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kkakkuro0/Downloads/"/>
    </mc:Choice>
  </mc:AlternateContent>
  <xr:revisionPtr revIDLastSave="0" documentId="8_{85AB9E1A-A9C5-5149-9A9E-EEB2812E2C26}" xr6:coauthVersionLast="47" xr6:coauthVersionMax="47" xr10:uidLastSave="{00000000-0000-0000-0000-000000000000}"/>
  <bookViews>
    <workbookView xWindow="38280" yWindow="2500" windowWidth="29040" windowHeight="15720" xr2:uid="{00000000-000D-0000-FFFF-FFFF00000000}"/>
  </bookViews>
  <sheets>
    <sheet name="SALES" sheetId="2" r:id="rId1"/>
  </sheets>
  <definedNames>
    <definedName name="_xlnm.Print_Area" localSheetId="0">SALES!$B$2:$M$35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L22" i="2" s="1"/>
  <c r="L23" i="2" s="1"/>
  <c r="G17" i="2"/>
  <c r="F22" i="2" l="1"/>
</calcChain>
</file>

<file path=xl/sharedStrings.xml><?xml version="1.0" encoding="utf-8"?>
<sst xmlns="http://schemas.openxmlformats.org/spreadsheetml/2006/main" count="55" uniqueCount="53">
  <si>
    <t>End User</t>
    <phoneticPr fontId="3" type="noConversion"/>
  </si>
  <si>
    <t>P/N</t>
    <phoneticPr fontId="3" type="noConversion"/>
  </si>
  <si>
    <t>품목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</si>
  <si>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</si>
  <si>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</si>
  <si>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</si>
  <si>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매입처</t>
    <phoneticPr fontId="3" type="noConversion"/>
  </si>
  <si>
    <t>단가</t>
    <phoneticPr fontId="3" type="noConversion"/>
  </si>
  <si>
    <t>합계</t>
    <phoneticPr fontId="3" type="noConversion"/>
  </si>
  <si>
    <t>매출금액 합계(VAT별도)</t>
    <phoneticPr fontId="3" type="noConversion"/>
  </si>
  <si>
    <t>매입금액 합계(VAT별도)</t>
    <phoneticPr fontId="3" type="noConversion"/>
  </si>
  <si>
    <t>계산서 메일</t>
    <phoneticPr fontId="13" type="noConversion"/>
  </si>
  <si>
    <t>배 송 일</t>
    <phoneticPr fontId="3" type="noConversion"/>
  </si>
  <si>
    <t>대표이사</t>
    <phoneticPr fontId="3" type="noConversion"/>
  </si>
  <si>
    <t>영업담당</t>
    <phoneticPr fontId="3" type="noConversion"/>
  </si>
  <si>
    <t>출고</t>
    <phoneticPr fontId="3" type="noConversion"/>
  </si>
  <si>
    <t>서명</t>
    <phoneticPr fontId="3" type="noConversion"/>
  </si>
  <si>
    <t>매출처/담당/연락처</t>
    <phoneticPr fontId="11" type="noConversion"/>
  </si>
  <si>
    <t>품의 코드</t>
    <phoneticPr fontId="3" type="noConversion"/>
  </si>
  <si>
    <t>품의 일자</t>
    <phoneticPr fontId="3" type="noConversion"/>
  </si>
  <si>
    <t>품의 담당</t>
    <phoneticPr fontId="3" type="noConversion"/>
  </si>
  <si>
    <t>배송주소</t>
    <phoneticPr fontId="11" type="noConversion"/>
  </si>
  <si>
    <t>받으실분 / 연락처</t>
    <phoneticPr fontId="3" type="noConversion"/>
  </si>
  <si>
    <t>계산서 발행일</t>
    <phoneticPr fontId="2" type="noConversion"/>
  </si>
  <si>
    <t>계산서 발행예정일</t>
    <phoneticPr fontId="2" type="noConversion"/>
  </si>
  <si>
    <t>SALES 통합 품의서</t>
    <phoneticPr fontId="3" type="noConversion"/>
  </si>
  <si>
    <t>영업팀장</t>
    <phoneticPr fontId="3" type="noConversion"/>
  </si>
  <si>
    <t>결제일</t>
    <phoneticPr fontId="2" type="noConversion"/>
  </si>
  <si>
    <t>매입일or계산서 발행</t>
    <phoneticPr fontId="3" type="noConversion"/>
  </si>
  <si>
    <t>MT&amp;S/N</t>
    <phoneticPr fontId="2" type="noConversion"/>
  </si>
  <si>
    <t>기타</t>
    <phoneticPr fontId="2" type="noConversion"/>
  </si>
  <si>
    <t xml:space="preserve"> </t>
    <phoneticPr fontId="2" type="noConversion"/>
  </si>
  <si>
    <t>매입금액 합계(VAT포함)</t>
    <phoneticPr fontId="3" type="noConversion"/>
  </si>
  <si>
    <t>김대훈</t>
    <phoneticPr fontId="3" type="noConversion"/>
  </si>
  <si>
    <t>*** 퀵/택배는 월간리스트에서 맞으면 관리부에서 매입 한번에 기록</t>
    <phoneticPr fontId="2" type="noConversion"/>
  </si>
  <si>
    <t>[품목명]
예시_서버랙</t>
    <phoneticPr fontId="33" type="noConversion"/>
  </si>
  <si>
    <t>[품목명]
예시_전원</t>
    <phoneticPr fontId="33" type="noConversion"/>
  </si>
  <si>
    <t>견적 나간 회사 / 해당 담당자 / 담당자 연락처</t>
    <phoneticPr fontId="3" type="noConversion"/>
  </si>
  <si>
    <t>[매출처 앞단의 회사 정보가 공개 될 경우에 작성 / 없으면 미작성 or 매출처명]</t>
    <phoneticPr fontId="2" type="noConversion"/>
  </si>
  <si>
    <t xml:space="preserve"> -19인치표준랙 (ANSI/EIA-310-D 규격)
 -(H)2,000*(W)600*(D)1,070 mm / 42U /Black
 -케이지너트 타입 마운트프레임( 유닛넘버링)
 -재질: SPCC 냉간압연강판
 -두께 : 1.2T, 1.5T, 2.0T
 -전면도어 : 벌집타공도어 &amp; 스윙핸들 잠금장치
 -후면도어 : 양문형 벌집타공도어 &amp; 스윙핸들 잠금장치
 -사이드판넬 : 스틸판넬 * 4개  ( 별도포장납품 )
 -하중선반 :  선반 2개
 -전원 : -</t>
  </si>
  <si>
    <t>[제품명]</t>
    <phoneticPr fontId="2" type="noConversion"/>
  </si>
  <si>
    <t>AL 10구 16A MCCB 랙전원
&gt;단상3선식, 220V, 30A 배선용차단기(MCCB), 단자대
&gt;3C*4.0SQ*2.5M
&gt;출력소켓 : KS 타입소켓 * 10개
&gt;입력플러그 : 220V 16A IP67 플러그(TYP 290)
&gt;인입선용 소켓 : 220V 16A IP67 소켓(TYP 552) 제공</t>
  </si>
  <si>
    <t>BYC, 1층 인도조건, 배송기사 1인, 하차 시 도움필요</t>
  </si>
  <si>
    <t>RACK 코리아</t>
    <phoneticPr fontId="2" type="noConversion"/>
  </si>
  <si>
    <t>예시_배송기사 별도 납품</t>
    <phoneticPr fontId="2" type="noConversion"/>
  </si>
  <si>
    <t>매출처 측으로 발주서 받기 전 협의 or 납품 이후 발행</t>
    <phoneticPr fontId="2" type="noConversion"/>
  </si>
  <si>
    <t>[매출처 측 계산서 이메일]</t>
    <phoneticPr fontId="2" type="noConversion"/>
  </si>
  <si>
    <r>
      <t xml:space="preserve">[견적서의 결제조건으로 따라감] </t>
    </r>
    <r>
      <rPr>
        <b/>
        <sz val="11"/>
        <color indexed="8"/>
        <rFont val="맑은 고딕"/>
        <family val="3"/>
        <charset val="129"/>
        <scheme val="minor"/>
      </rPr>
      <t>예시_계산서 발행 후 익월 말 현금 조건</t>
    </r>
    <phoneticPr fontId="2" type="noConversion"/>
  </si>
  <si>
    <r>
      <t xml:space="preserve">[발주 시에 협의 후 정해지지만, 도중 배송 주소 변경 될 경우도 있음] </t>
    </r>
    <r>
      <rPr>
        <b/>
        <sz val="11"/>
        <color indexed="8"/>
        <rFont val="맑은 고딕"/>
        <family val="3"/>
        <charset val="129"/>
        <scheme val="minor"/>
      </rPr>
      <t>예시_가산디지털1로 131 BYC하이시티 B동 12층 1201호, 서버메이트</t>
    </r>
    <phoneticPr fontId="2" type="noConversion"/>
  </si>
  <si>
    <t>받는 사람의 이름 / 연락처</t>
    <phoneticPr fontId="2" type="noConversion"/>
  </si>
  <si>
    <t>[딜리버리가 정해져있을 경우 작성 / 딜리버리가 불분명 할 경우 별도협의 작성, 이후 서버메이트 사무실로 입고 시 협의 후 납품]</t>
    <phoneticPr fontId="2" type="noConversion"/>
  </si>
  <si>
    <r>
      <rPr>
        <sz val="11"/>
        <color indexed="8"/>
        <rFont val="맑은 고딕"/>
        <family val="3"/>
        <charset val="129"/>
        <scheme val="minor"/>
      </rPr>
      <t>[코드 순서-&gt;품의자이니셜/품의날짜/품의작성 날의 품의서 순서]</t>
    </r>
    <r>
      <rPr>
        <b/>
        <sz val="11"/>
        <color indexed="8"/>
        <rFont val="맑은 고딕"/>
        <family val="3"/>
        <charset val="129"/>
        <scheme val="minor"/>
      </rPr>
      <t xml:space="preserve"> 예시_D251202-01</t>
    </r>
    <phoneticPr fontId="2" type="noConversion"/>
  </si>
  <si>
    <r>
      <rPr>
        <sz val="11"/>
        <color indexed="8"/>
        <rFont val="맑은 고딕"/>
        <family val="3"/>
        <charset val="129"/>
        <scheme val="minor"/>
      </rPr>
      <t>[서버나 스토리지 등의 모델타입, 시리얼넘버가 있을 경우]</t>
    </r>
    <r>
      <rPr>
        <b/>
        <sz val="11"/>
        <color indexed="8"/>
        <rFont val="맑은 고딕"/>
        <family val="3"/>
        <charset val="129"/>
        <scheme val="minor"/>
      </rPr>
      <t xml:space="preserve"> 서버의 경우 예시_3A4BCTO1WW / S123Q1W2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</si>
</sst>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_-;_-@_-"/>
    <numFmt numFmtId="177" formatCode="_-* #,##0.00_-;\-* #,##0.00_-;_-* &quot;-&quot;??_-;_-@_-"/>
    <numFmt numFmtId="178" formatCode="mm&quot;월&quot;\ dd&quot;일&quot;"/>
    <numFmt numFmtId="179" formatCode="_-* #,##0.0_-;\-* #,##0.0_-;_-* &quot;-&quot;?_-;_-@_-"/>
  </numFmts>
  <fonts count="36">
    <font>
      <sz val="11"/>
      <color theme="1"/>
      <name val="맑은 고딕"/>
      <family val="2"/>
      <charset val="129"/>
      <scheme val="minor"/>
    </font>
    <font>
      <sz val="9"/>
      <color indexed="8"/>
      <name val="Arial"/>
      <family val="2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u val="double"/>
      <sz val="12"/>
      <color indexed="8"/>
      <name val="맑은 고딕"/>
      <family val="3"/>
      <charset val="129"/>
      <scheme val="minor"/>
    </font>
    <font>
      <b/>
      <u/>
      <sz val="12"/>
      <color indexed="8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sz val="10"/>
      <name val="Helv"/>
      <family val="2"/>
    </font>
    <font>
      <b/>
      <sz val="12"/>
      <name val="맑은 고딕"/>
      <family val="3"/>
      <charset val="129"/>
      <scheme val="minor"/>
    </font>
    <font>
      <sz val="8"/>
      <name val="돋움"/>
      <family val="3"/>
      <charset val="129"/>
    </font>
    <font>
      <sz val="14"/>
      <color indexed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9"/>
      <name val="굴림"/>
      <family val="3"/>
      <charset val="129"/>
    </font>
    <font>
      <sz val="11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28"/>
      <color indexed="8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Arial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</borders>
  <cellStyleXfs count="8">
    <xf numFmtId="0" fontId="0" fillId="0" borderId="0">
      <alignment vertical="center"/>
    </xf>
    <xf numFmtId="0" fontId="9" fillId="0" borderId="0"/>
    <xf numFmtId="176" fontId="15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5" fillId="0" borderId="0" applyFont="0" applyFill="0" applyBorder="0" applyAlignment="0" applyProtection="0">
      <alignment vertical="center"/>
    </xf>
    <xf numFmtId="0" fontId="9" fillId="0" borderId="0"/>
    <xf numFmtId="176" fontId="29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>
      <alignment vertical="center"/>
    </xf>
    <xf numFmtId="0" fontId="8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3" fontId="10" fillId="0" borderId="0" xfId="0" applyNumberFormat="1" applyFont="1" applyAlignment="1">
      <alignment horizontal="right" vertical="center"/>
    </xf>
    <xf numFmtId="0" fontId="14" fillId="4" borderId="7" xfId="2" applyNumberFormat="1" applyFont="1" applyFill="1" applyBorder="1" applyAlignment="1">
      <alignment horizontal="center" vertical="center" wrapText="1"/>
    </xf>
    <xf numFmtId="0" fontId="14" fillId="5" borderId="6" xfId="2" applyNumberFormat="1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left" vertical="center" wrapText="1"/>
    </xf>
    <xf numFmtId="0" fontId="20" fillId="2" borderId="0" xfId="0" applyFont="1" applyFill="1">
      <alignment vertical="center"/>
    </xf>
    <xf numFmtId="0" fontId="0" fillId="0" borderId="4" xfId="0" applyBorder="1">
      <alignment vertical="center"/>
    </xf>
    <xf numFmtId="0" fontId="14" fillId="4" borderId="13" xfId="2" applyNumberFormat="1" applyFont="1" applyFill="1" applyBorder="1" applyAlignment="1">
      <alignment horizontal="center" vertical="center" wrapText="1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10" fillId="0" borderId="0" xfId="1" applyFont="1" applyAlignment="1" applyProtection="1">
      <alignment horizontal="center" vertical="center" wrapText="1"/>
      <protection locked="0" hidden="1"/>
    </xf>
    <xf numFmtId="0" fontId="8" fillId="5" borderId="0" xfId="0" applyFont="1" applyFill="1" applyAlignment="1">
      <alignment horizontal="center" vertical="center" wrapText="1"/>
    </xf>
    <xf numFmtId="0" fontId="14" fillId="2" borderId="17" xfId="0" applyFont="1" applyFill="1" applyBorder="1">
      <alignment vertical="center"/>
    </xf>
    <xf numFmtId="0" fontId="8" fillId="2" borderId="18" xfId="0" applyFont="1" applyFill="1" applyBorder="1" applyAlignment="1">
      <alignment horizontal="center" vertical="center"/>
    </xf>
    <xf numFmtId="178" fontId="14" fillId="0" borderId="20" xfId="0" applyNumberFormat="1" applyFont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14" fontId="19" fillId="5" borderId="0" xfId="0" applyNumberFormat="1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9" fillId="2" borderId="0" xfId="0" applyFont="1" applyFill="1">
      <alignment vertical="center"/>
    </xf>
    <xf numFmtId="0" fontId="23" fillId="0" borderId="0" xfId="1" applyFont="1" applyAlignment="1" applyProtection="1">
      <alignment horizontal="center" vertical="center" wrapText="1"/>
      <protection locked="0" hidden="1"/>
    </xf>
    <xf numFmtId="0" fontId="16" fillId="0" borderId="0" xfId="1" applyFont="1" applyAlignment="1" applyProtection="1">
      <alignment horizontal="center" vertical="center" wrapText="1"/>
      <protection locked="0" hidden="1"/>
    </xf>
    <xf numFmtId="0" fontId="7" fillId="5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10" fillId="7" borderId="0" xfId="1" applyFont="1" applyFill="1" applyAlignment="1" applyProtection="1">
      <alignment horizontal="center" vertical="center" wrapText="1"/>
      <protection locked="0" hidden="1"/>
    </xf>
    <xf numFmtId="14" fontId="4" fillId="7" borderId="0" xfId="0" applyNumberFormat="1" applyFont="1" applyFill="1" applyAlignment="1">
      <alignment horizontal="left" vertical="center" wrapText="1"/>
    </xf>
    <xf numFmtId="0" fontId="17" fillId="3" borderId="0" xfId="0" applyFont="1" applyFill="1">
      <alignment vertical="center"/>
    </xf>
    <xf numFmtId="0" fontId="20" fillId="3" borderId="0" xfId="0" applyFont="1" applyFill="1">
      <alignment vertical="center"/>
    </xf>
    <xf numFmtId="0" fontId="19" fillId="0" borderId="0" xfId="0" applyFont="1" applyAlignment="1">
      <alignment horizontal="left" vertical="center" wrapText="1"/>
    </xf>
    <xf numFmtId="0" fontId="25" fillId="5" borderId="0" xfId="0" applyFont="1" applyFill="1" applyAlignment="1">
      <alignment horizontal="left" vertical="center"/>
    </xf>
    <xf numFmtId="0" fontId="17" fillId="5" borderId="0" xfId="0" applyFont="1" applyFill="1">
      <alignment vertical="center"/>
    </xf>
    <xf numFmtId="178" fontId="26" fillId="7" borderId="0" xfId="0" applyNumberFormat="1" applyFont="1" applyFill="1" applyAlignment="1">
      <alignment horizontal="left" vertical="center"/>
    </xf>
    <xf numFmtId="0" fontId="4" fillId="5" borderId="7" xfId="2" applyNumberFormat="1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176" fontId="0" fillId="0" borderId="5" xfId="0" applyNumberFormat="1" applyBorder="1">
      <alignment vertical="center"/>
    </xf>
    <xf numFmtId="0" fontId="22" fillId="0" borderId="0" xfId="0" applyFont="1">
      <alignment vertical="center"/>
    </xf>
    <xf numFmtId="0" fontId="24" fillId="5" borderId="0" xfId="5" applyFont="1" applyFill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 wrapText="1"/>
    </xf>
    <xf numFmtId="176" fontId="0" fillId="0" borderId="0" xfId="6" applyFont="1">
      <alignment vertical="center"/>
    </xf>
    <xf numFmtId="176" fontId="0" fillId="0" borderId="2" xfId="6" applyFont="1" applyBorder="1">
      <alignment vertical="center"/>
    </xf>
    <xf numFmtId="176" fontId="1" fillId="2" borderId="0" xfId="6" applyFont="1" applyFill="1">
      <alignment vertical="center"/>
    </xf>
    <xf numFmtId="176" fontId="21" fillId="2" borderId="0" xfId="6" applyFont="1" applyFill="1" applyAlignment="1">
      <alignment horizontal="center" vertical="center"/>
    </xf>
    <xf numFmtId="176" fontId="5" fillId="2" borderId="0" xfId="6" applyFont="1" applyFill="1" applyAlignment="1">
      <alignment horizontal="center" vertical="center"/>
    </xf>
    <xf numFmtId="176" fontId="6" fillId="2" borderId="0" xfId="6" applyFont="1" applyFill="1" applyAlignment="1">
      <alignment horizontal="center" vertical="center"/>
    </xf>
    <xf numFmtId="176" fontId="8" fillId="2" borderId="0" xfId="6" applyFont="1" applyFill="1" applyAlignment="1">
      <alignment horizontal="center" vertical="center"/>
    </xf>
    <xf numFmtId="176" fontId="8" fillId="2" borderId="0" xfId="6" applyFont="1" applyFill="1" applyAlignment="1">
      <alignment horizontal="left" vertical="center"/>
    </xf>
    <xf numFmtId="176" fontId="14" fillId="4" borderId="6" xfId="6" applyFont="1" applyFill="1" applyBorder="1" applyAlignment="1">
      <alignment horizontal="center" vertical="center" wrapText="1"/>
    </xf>
    <xf numFmtId="176" fontId="0" fillId="0" borderId="0" xfId="6" applyFont="1" applyBorder="1">
      <alignment vertical="center"/>
    </xf>
    <xf numFmtId="176" fontId="24" fillId="5" borderId="0" xfId="6" applyFont="1" applyFill="1" applyBorder="1" applyAlignment="1">
      <alignment horizontal="right" vertical="center"/>
    </xf>
    <xf numFmtId="176" fontId="19" fillId="5" borderId="0" xfId="6" applyFont="1" applyFill="1" applyAlignment="1">
      <alignment horizontal="left" vertical="center" wrapText="1"/>
    </xf>
    <xf numFmtId="176" fontId="20" fillId="2" borderId="0" xfId="6" applyFont="1" applyFill="1">
      <alignment vertical="center"/>
    </xf>
    <xf numFmtId="176" fontId="20" fillId="3" borderId="0" xfId="6" applyFont="1" applyFill="1">
      <alignment vertical="center"/>
    </xf>
    <xf numFmtId="176" fontId="0" fillId="0" borderId="15" xfId="6" applyFont="1" applyBorder="1">
      <alignment vertical="center"/>
    </xf>
    <xf numFmtId="176" fontId="10" fillId="0" borderId="0" xfId="6" applyFont="1" applyAlignment="1">
      <alignment horizontal="right" vertical="center"/>
    </xf>
    <xf numFmtId="176" fontId="14" fillId="4" borderId="8" xfId="6" applyFont="1" applyFill="1" applyBorder="1" applyAlignment="1">
      <alignment horizontal="center" vertical="center" wrapText="1"/>
    </xf>
    <xf numFmtId="176" fontId="0" fillId="0" borderId="23" xfId="6" applyFont="1" applyBorder="1">
      <alignment vertical="center"/>
    </xf>
    <xf numFmtId="176" fontId="0" fillId="0" borderId="24" xfId="6" applyFont="1" applyBorder="1">
      <alignment vertical="center"/>
    </xf>
    <xf numFmtId="176" fontId="0" fillId="3" borderId="0" xfId="6" applyFont="1" applyFill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7" fillId="2" borderId="0" xfId="6" applyFont="1" applyFill="1">
      <alignment vertical="center"/>
    </xf>
    <xf numFmtId="176" fontId="8" fillId="2" borderId="0" xfId="6" applyFont="1" applyFill="1">
      <alignment vertical="center"/>
    </xf>
    <xf numFmtId="176" fontId="14" fillId="5" borderId="6" xfId="6" applyFont="1" applyFill="1" applyBorder="1" applyAlignment="1">
      <alignment horizontal="center" vertical="center" wrapText="1"/>
    </xf>
    <xf numFmtId="176" fontId="19" fillId="0" borderId="0" xfId="6" applyFont="1" applyAlignment="1">
      <alignment horizontal="left" vertical="center" wrapText="1"/>
    </xf>
    <xf numFmtId="176" fontId="8" fillId="2" borderId="18" xfId="6" applyFont="1" applyFill="1" applyBorder="1" applyAlignment="1">
      <alignment horizontal="center" vertical="center"/>
    </xf>
    <xf numFmtId="176" fontId="8" fillId="2" borderId="21" xfId="6" applyFont="1" applyFill="1" applyBorder="1" applyAlignment="1">
      <alignment horizontal="center" vertical="center"/>
    </xf>
    <xf numFmtId="176" fontId="14" fillId="2" borderId="0" xfId="6" applyFont="1" applyFill="1" applyAlignment="1">
      <alignment horizontal="right" vertical="center"/>
    </xf>
    <xf numFmtId="176" fontId="14" fillId="5" borderId="9" xfId="6" applyFont="1" applyFill="1" applyBorder="1" applyAlignment="1">
      <alignment horizontal="center" vertical="center" wrapText="1"/>
    </xf>
    <xf numFmtId="176" fontId="0" fillId="0" borderId="5" xfId="6" applyFont="1" applyBorder="1">
      <alignment vertical="center"/>
    </xf>
    <xf numFmtId="176" fontId="24" fillId="5" borderId="12" xfId="6" applyFont="1" applyFill="1" applyBorder="1">
      <alignment vertical="center"/>
    </xf>
    <xf numFmtId="176" fontId="8" fillId="2" borderId="19" xfId="6" applyFont="1" applyFill="1" applyBorder="1" applyAlignment="1">
      <alignment horizontal="center" vertical="center"/>
    </xf>
    <xf numFmtId="176" fontId="8" fillId="2" borderId="22" xfId="6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0" fontId="27" fillId="0" borderId="0" xfId="0" applyFont="1">
      <alignment vertical="center"/>
    </xf>
    <xf numFmtId="176" fontId="0" fillId="0" borderId="0" xfId="6" applyFont="1" applyBorder="1" applyAlignment="1">
      <alignment vertical="center"/>
    </xf>
    <xf numFmtId="0" fontId="30" fillId="0" borderId="0" xfId="0" applyFont="1" applyAlignment="1">
      <alignment vertical="center" wrapText="1"/>
    </xf>
    <xf numFmtId="177" fontId="0" fillId="0" borderId="0" xfId="0" applyNumberFormat="1">
      <alignment vertical="center"/>
    </xf>
    <xf numFmtId="0" fontId="31" fillId="0" borderId="0" xfId="0" quotePrefix="1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32" fillId="0" borderId="25" xfId="0" applyFont="1" applyBorder="1" applyAlignment="1">
      <alignment horizontal="center" vertical="center" wrapText="1" shrinkToFit="1"/>
    </xf>
    <xf numFmtId="178" fontId="19" fillId="5" borderId="0" xfId="0" applyNumberFormat="1" applyFont="1" applyFill="1" applyAlignment="1">
      <alignment horizontal="left" vertical="center" wrapText="1"/>
    </xf>
    <xf numFmtId="0" fontId="19" fillId="5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4" fillId="6" borderId="10" xfId="5" applyFont="1" applyFill="1" applyBorder="1" applyAlignment="1">
      <alignment horizontal="center" vertical="center" wrapText="1"/>
    </xf>
    <xf numFmtId="0" fontId="24" fillId="6" borderId="11" xfId="5" applyFont="1" applyFill="1" applyBorder="1" applyAlignment="1">
      <alignment horizontal="center" vertical="center" wrapText="1"/>
    </xf>
    <xf numFmtId="176" fontId="24" fillId="6" borderId="10" xfId="2" applyFont="1" applyFill="1" applyBorder="1" applyAlignment="1">
      <alignment horizontal="right" vertical="center"/>
    </xf>
    <xf numFmtId="176" fontId="24" fillId="6" borderId="8" xfId="2" applyFont="1" applyFill="1" applyBorder="1" applyAlignment="1">
      <alignment horizontal="right" vertical="center"/>
    </xf>
    <xf numFmtId="0" fontId="24" fillId="5" borderId="10" xfId="5" applyFont="1" applyFill="1" applyBorder="1" applyAlignment="1">
      <alignment horizontal="center" vertical="center" wrapText="1"/>
    </xf>
    <xf numFmtId="0" fontId="24" fillId="5" borderId="11" xfId="5" applyFont="1" applyFill="1" applyBorder="1" applyAlignment="1">
      <alignment horizontal="center" vertical="center" wrapText="1"/>
    </xf>
    <xf numFmtId="0" fontId="24" fillId="5" borderId="8" xfId="5" applyFont="1" applyFill="1" applyBorder="1" applyAlignment="1">
      <alignment horizontal="center" vertical="center" wrapText="1"/>
    </xf>
    <xf numFmtId="14" fontId="28" fillId="5" borderId="0" xfId="0" applyNumberFormat="1" applyFont="1" applyFill="1" applyAlignment="1">
      <alignment horizontal="left" vertical="center" wrapText="1"/>
    </xf>
    <xf numFmtId="0" fontId="28" fillId="5" borderId="0" xfId="0" applyFont="1" applyFill="1" applyAlignment="1">
      <alignment horizontal="left" vertical="center" wrapText="1"/>
    </xf>
    <xf numFmtId="14" fontId="35" fillId="5" borderId="0" xfId="7" applyNumberFormat="1" applyFill="1" applyAlignment="1">
      <alignment horizontal="left" vertical="center" wrapText="1"/>
    </xf>
  </cellXfs>
  <cellStyles count="8">
    <cellStyle name="쉼표 [0]" xfId="6" builtinId="6"/>
    <cellStyle name="쉼표 [0] 10 2" xfId="3" xr:uid="{00000000-0005-0000-0000-000000000000}"/>
    <cellStyle name="쉼표 [0] 12" xfId="2" xr:uid="{00000000-0005-0000-0000-000001000000}"/>
    <cellStyle name="쉼표 [0] 3 2" xfId="4" xr:uid="{00000000-0005-0000-0000-000002000000}"/>
    <cellStyle name="스타일 1" xfId="5" xr:uid="{00000000-0005-0000-0000-000003000000}"/>
    <cellStyle name="표준" xfId="0" builtinId="0"/>
    <cellStyle name="표준_ATTO용 견적서들_020712" xfId="1" xr:uid="{00000000-0005-0000-0000-000005000000}"/>
    <cellStyle name="하이퍼링크" xfId="7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56951</xdr:colOff>
      <xdr:row>33</xdr:row>
      <xdr:rowOff>36314</xdr:rowOff>
    </xdr:from>
    <xdr:to>
      <xdr:col>10</xdr:col>
      <xdr:colOff>1208246</xdr:colOff>
      <xdr:row>33</xdr:row>
      <xdr:rowOff>762000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7C1567-E650-3FBC-7055-4FF774FC9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5034" y="8725231"/>
          <a:ext cx="1157645" cy="725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hkim@servermat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35"/>
  <sheetViews>
    <sheetView tabSelected="1" topLeftCell="A7" zoomScale="90" zoomScaleNormal="90" workbookViewId="0">
      <selection activeCell="D15" sqref="D15"/>
    </sheetView>
  </sheetViews>
  <sheetFormatPr baseColWidth="10" defaultColWidth="8.83203125" defaultRowHeight="17"/>
  <cols>
    <col min="1" max="1" width="4.5" customWidth="1"/>
    <col min="3" max="3" width="19.33203125" bestFit="1" customWidth="1"/>
    <col min="4" max="4" width="76.1640625" customWidth="1"/>
    <col min="5" max="5" width="5.6640625" bestFit="1" customWidth="1"/>
    <col min="6" max="6" width="12.5" style="52" bestFit="1" customWidth="1"/>
    <col min="7" max="7" width="12.83203125" style="52" bestFit="1" customWidth="1"/>
    <col min="8" max="8" width="19.5" customWidth="1"/>
    <col min="9" max="10" width="16.5" customWidth="1"/>
    <col min="11" max="11" width="16.5" style="52" customWidth="1"/>
    <col min="12" max="12" width="17.1640625" style="52" customWidth="1"/>
    <col min="13" max="13" width="10.83203125" bestFit="1" customWidth="1"/>
    <col min="14" max="14" width="12.33203125" bestFit="1" customWidth="1"/>
    <col min="16" max="16" width="12.33203125" bestFit="1" customWidth="1"/>
  </cols>
  <sheetData>
    <row r="1" spans="2:13" ht="18" thickBot="1"/>
    <row r="2" spans="2:13">
      <c r="B2" s="17"/>
      <c r="C2" s="18"/>
      <c r="D2" s="18"/>
      <c r="E2" s="18"/>
      <c r="F2" s="53"/>
      <c r="G2" s="53"/>
      <c r="H2" s="18"/>
      <c r="I2" s="18"/>
      <c r="J2" s="18"/>
      <c r="K2" s="53"/>
      <c r="L2" s="53"/>
      <c r="M2" s="19"/>
    </row>
    <row r="3" spans="2:13">
      <c r="B3" s="12"/>
      <c r="C3" s="1"/>
      <c r="D3" s="1"/>
      <c r="E3" s="1"/>
      <c r="F3" s="54"/>
      <c r="G3" s="54"/>
      <c r="H3" s="1"/>
      <c r="I3" s="1"/>
      <c r="J3" s="1"/>
      <c r="K3" s="54"/>
      <c r="L3" s="54"/>
      <c r="M3" s="20"/>
    </row>
    <row r="4" spans="2:13">
      <c r="B4" s="12"/>
      <c r="C4" s="1"/>
      <c r="D4" s="1"/>
      <c r="E4" s="1"/>
      <c r="F4" s="54"/>
      <c r="G4" s="54"/>
      <c r="H4" s="1"/>
      <c r="I4" s="1"/>
      <c r="J4" s="1"/>
      <c r="K4" s="54"/>
      <c r="L4" s="54"/>
      <c r="M4" s="20"/>
    </row>
    <row r="5" spans="2:13">
      <c r="B5" s="12"/>
      <c r="C5" s="96" t="s">
        <v>25</v>
      </c>
      <c r="D5" s="96"/>
      <c r="E5" s="96"/>
      <c r="F5" s="96"/>
      <c r="G5" s="96"/>
      <c r="H5" s="96"/>
      <c r="I5" s="96"/>
      <c r="J5" s="96"/>
      <c r="K5" s="96"/>
      <c r="L5" s="96"/>
      <c r="M5" s="20"/>
    </row>
    <row r="6" spans="2:13">
      <c r="B6" s="12"/>
      <c r="C6" s="96"/>
      <c r="D6" s="96"/>
      <c r="E6" s="96"/>
      <c r="F6" s="96"/>
      <c r="G6" s="96"/>
      <c r="H6" s="96"/>
      <c r="I6" s="96"/>
      <c r="J6" s="96"/>
      <c r="K6" s="96"/>
      <c r="L6" s="96"/>
      <c r="M6" s="20"/>
    </row>
    <row r="7" spans="2:13" ht="40">
      <c r="B7" s="12"/>
      <c r="C7" s="35"/>
      <c r="D7" s="35"/>
      <c r="E7" s="35"/>
      <c r="F7" s="55"/>
      <c r="G7" s="55"/>
      <c r="H7" s="35"/>
      <c r="I7" s="35"/>
      <c r="J7" s="35"/>
      <c r="K7" s="55"/>
      <c r="L7" s="55"/>
      <c r="M7" s="20"/>
    </row>
    <row r="8" spans="2:13" ht="18">
      <c r="B8" s="12"/>
      <c r="C8" s="36" t="s">
        <v>23</v>
      </c>
      <c r="D8" s="44"/>
      <c r="E8" s="2"/>
      <c r="F8" s="56"/>
      <c r="G8" s="56"/>
      <c r="H8" s="2"/>
      <c r="I8" s="2"/>
      <c r="J8" s="2"/>
      <c r="K8" s="56"/>
      <c r="L8" s="56"/>
      <c r="M8" s="20"/>
    </row>
    <row r="9" spans="2:13" ht="18">
      <c r="B9" s="12"/>
      <c r="C9" s="28" t="s">
        <v>18</v>
      </c>
      <c r="D9" s="29" t="s">
        <v>51</v>
      </c>
      <c r="E9" s="2"/>
      <c r="F9" s="56"/>
      <c r="G9" s="56"/>
      <c r="H9" s="2"/>
      <c r="I9" s="2"/>
      <c r="J9" s="2"/>
      <c r="K9" s="56"/>
      <c r="L9" s="56"/>
      <c r="M9" s="20"/>
    </row>
    <row r="10" spans="2:13" ht="18">
      <c r="B10" s="12"/>
      <c r="C10" s="28" t="s">
        <v>19</v>
      </c>
      <c r="D10" s="29">
        <v>45993</v>
      </c>
      <c r="E10" s="2"/>
      <c r="F10" s="56"/>
      <c r="G10" s="56"/>
      <c r="H10" s="2"/>
      <c r="I10" s="2"/>
      <c r="J10" s="2"/>
      <c r="K10" s="56"/>
      <c r="L10" s="56"/>
      <c r="M10" s="20"/>
    </row>
    <row r="11" spans="2:13" ht="18">
      <c r="B11" s="12"/>
      <c r="C11" s="28" t="s">
        <v>20</v>
      </c>
      <c r="D11" s="30" t="s">
        <v>33</v>
      </c>
      <c r="E11" s="3"/>
      <c r="F11" s="57"/>
      <c r="G11" s="57"/>
      <c r="H11" s="3"/>
      <c r="I11" s="3"/>
      <c r="J11" s="3"/>
      <c r="K11" s="57"/>
      <c r="L11" s="57"/>
      <c r="M11" s="20"/>
    </row>
    <row r="12" spans="2:13" ht="23.25" customHeight="1">
      <c r="B12" s="12"/>
      <c r="C12" s="31"/>
      <c r="D12" s="31"/>
      <c r="E12" s="4"/>
      <c r="F12" s="97"/>
      <c r="G12" s="97"/>
      <c r="H12" s="5"/>
      <c r="I12" s="5"/>
      <c r="J12" s="5"/>
      <c r="K12" s="74"/>
      <c r="L12" s="74"/>
      <c r="M12" s="20"/>
    </row>
    <row r="13" spans="2:13" ht="23.25" customHeight="1">
      <c r="B13" s="12"/>
      <c r="C13" s="32" t="s">
        <v>17</v>
      </c>
      <c r="D13" s="42" t="s">
        <v>37</v>
      </c>
      <c r="E13" s="43"/>
      <c r="F13" s="58"/>
      <c r="G13" s="58"/>
      <c r="H13" s="5"/>
      <c r="I13" s="5"/>
      <c r="J13" s="5"/>
      <c r="K13" s="75"/>
      <c r="L13" s="75"/>
      <c r="M13" s="20"/>
    </row>
    <row r="14" spans="2:13" ht="23.25" customHeight="1">
      <c r="B14" s="12"/>
      <c r="C14" s="28" t="s">
        <v>0</v>
      </c>
      <c r="D14" s="48" t="s">
        <v>38</v>
      </c>
      <c r="E14" s="6"/>
      <c r="F14" s="58"/>
      <c r="G14" s="58"/>
      <c r="H14" s="5"/>
      <c r="I14" s="5"/>
      <c r="J14" s="5"/>
      <c r="K14" s="75"/>
      <c r="L14" s="75"/>
      <c r="M14" s="20"/>
    </row>
    <row r="15" spans="2:13" ht="19" thickBot="1">
      <c r="B15" s="12"/>
      <c r="C15" s="28" t="s">
        <v>29</v>
      </c>
      <c r="D15" s="46" t="s">
        <v>52</v>
      </c>
      <c r="E15" s="4"/>
      <c r="F15" s="59"/>
      <c r="G15" s="67"/>
      <c r="H15" s="7"/>
      <c r="I15" s="7"/>
      <c r="J15" s="7"/>
      <c r="K15" s="74"/>
      <c r="L15" s="80"/>
      <c r="M15" s="20"/>
    </row>
    <row r="16" spans="2:13" ht="20" thickBot="1">
      <c r="B16" s="12"/>
      <c r="C16" s="13" t="s">
        <v>1</v>
      </c>
      <c r="D16" s="8" t="s">
        <v>2</v>
      </c>
      <c r="E16" s="8" t="s">
        <v>3</v>
      </c>
      <c r="F16" s="60" t="s">
        <v>4</v>
      </c>
      <c r="G16" s="68" t="s">
        <v>5</v>
      </c>
      <c r="H16" s="45" t="s">
        <v>28</v>
      </c>
      <c r="I16" s="9" t="s">
        <v>6</v>
      </c>
      <c r="J16" s="9" t="s">
        <v>3</v>
      </c>
      <c r="K16" s="76" t="s">
        <v>7</v>
      </c>
      <c r="L16" s="81" t="s">
        <v>8</v>
      </c>
      <c r="M16" s="20"/>
    </row>
    <row r="17" spans="2:14">
      <c r="B17" s="12"/>
      <c r="C17" s="12"/>
      <c r="D17" s="87" t="s">
        <v>40</v>
      </c>
      <c r="E17">
        <v>1</v>
      </c>
      <c r="F17" s="61">
        <v>3000000</v>
      </c>
      <c r="G17" s="69">
        <f>E17*F17</f>
        <v>3000000</v>
      </c>
      <c r="H17" s="72">
        <v>45993</v>
      </c>
      <c r="I17" s="73" t="s">
        <v>43</v>
      </c>
      <c r="J17" s="73">
        <v>1</v>
      </c>
      <c r="K17" s="61">
        <v>2700000</v>
      </c>
      <c r="L17" s="82">
        <f>J17*K17</f>
        <v>2700000</v>
      </c>
      <c r="M17" s="20"/>
    </row>
    <row r="18" spans="2:14" ht="140">
      <c r="B18" s="12"/>
      <c r="C18" s="93" t="s">
        <v>35</v>
      </c>
      <c r="D18" s="91" t="s">
        <v>39</v>
      </c>
      <c r="E18">
        <v>1</v>
      </c>
      <c r="F18" s="61"/>
      <c r="G18" s="70"/>
      <c r="H18" s="72"/>
      <c r="I18" s="73"/>
      <c r="J18" s="73"/>
      <c r="K18" s="61"/>
      <c r="L18" s="82"/>
      <c r="M18" s="82"/>
    </row>
    <row r="19" spans="2:14" ht="84">
      <c r="B19" s="12"/>
      <c r="C19" s="93" t="s">
        <v>36</v>
      </c>
      <c r="D19" s="92" t="s">
        <v>41</v>
      </c>
      <c r="E19">
        <v>2</v>
      </c>
      <c r="F19" s="88"/>
      <c r="G19" s="70"/>
      <c r="H19" s="72"/>
      <c r="I19" s="73"/>
      <c r="J19" s="73"/>
      <c r="K19" s="61"/>
      <c r="L19" s="82"/>
      <c r="M19" s="82"/>
    </row>
    <row r="20" spans="2:14" ht="30">
      <c r="B20" s="12"/>
      <c r="C20" s="93" t="s">
        <v>36</v>
      </c>
      <c r="D20" s="51" t="s">
        <v>42</v>
      </c>
      <c r="E20">
        <v>1</v>
      </c>
      <c r="F20" s="88"/>
      <c r="G20" s="70"/>
      <c r="H20" s="72"/>
      <c r="I20" s="73"/>
      <c r="J20" s="73"/>
      <c r="K20" s="61"/>
      <c r="L20" s="82"/>
      <c r="M20" s="82"/>
      <c r="N20" s="90"/>
    </row>
    <row r="21" spans="2:14" ht="18" thickBot="1">
      <c r="B21" s="12"/>
      <c r="C21" s="50"/>
      <c r="D21" s="89"/>
      <c r="F21" s="88"/>
      <c r="G21" s="70"/>
      <c r="H21" s="72"/>
      <c r="I21" s="73"/>
      <c r="J21" s="73"/>
      <c r="K21" s="61"/>
      <c r="L21" s="82"/>
      <c r="M21" s="82"/>
    </row>
    <row r="22" spans="2:14" ht="21" thickBot="1">
      <c r="B22" s="12"/>
      <c r="C22" s="98" t="s">
        <v>9</v>
      </c>
      <c r="D22" s="99"/>
      <c r="E22" s="99"/>
      <c r="F22" s="100">
        <f>G17</f>
        <v>3000000</v>
      </c>
      <c r="G22" s="101"/>
      <c r="H22" s="102" t="s">
        <v>10</v>
      </c>
      <c r="I22" s="103"/>
      <c r="J22" s="103"/>
      <c r="K22" s="104"/>
      <c r="L22" s="83">
        <f>L17</f>
        <v>2700000</v>
      </c>
      <c r="M22" s="47"/>
      <c r="N22" s="86"/>
    </row>
    <row r="23" spans="2:14" ht="21" thickBot="1">
      <c r="B23" s="12"/>
      <c r="C23" s="49"/>
      <c r="D23" s="49"/>
      <c r="E23" s="49"/>
      <c r="F23" s="62"/>
      <c r="G23" s="62"/>
      <c r="H23" s="102" t="s">
        <v>32</v>
      </c>
      <c r="I23" s="103"/>
      <c r="J23" s="103"/>
      <c r="K23" s="104"/>
      <c r="L23" s="83">
        <f>L22*1.1</f>
        <v>2970000.0000000005</v>
      </c>
      <c r="M23" s="47"/>
    </row>
    <row r="24" spans="2:14" ht="19">
      <c r="B24" s="12"/>
      <c r="C24" s="21" t="s">
        <v>30</v>
      </c>
      <c r="D24" s="105" t="s">
        <v>44</v>
      </c>
      <c r="E24" s="106"/>
      <c r="F24" s="106"/>
      <c r="G24" s="106"/>
      <c r="H24" s="106"/>
      <c r="I24" s="106"/>
      <c r="J24" s="106"/>
      <c r="K24" s="106"/>
      <c r="L24" s="106"/>
      <c r="M24" s="20"/>
    </row>
    <row r="25" spans="2:14" ht="19">
      <c r="B25" s="12"/>
      <c r="C25" s="37" t="s">
        <v>24</v>
      </c>
      <c r="D25" s="38" t="s">
        <v>45</v>
      </c>
      <c r="E25" s="10"/>
      <c r="F25" s="63"/>
      <c r="G25" s="63"/>
      <c r="J25" s="41"/>
      <c r="K25" s="77"/>
      <c r="L25" s="77"/>
      <c r="M25" s="20"/>
    </row>
    <row r="26" spans="2:14" ht="19">
      <c r="B26" s="12"/>
      <c r="C26" s="33" t="s">
        <v>11</v>
      </c>
      <c r="D26" s="107" t="s">
        <v>46</v>
      </c>
      <c r="E26" s="106"/>
      <c r="F26" s="106"/>
      <c r="G26" s="106"/>
      <c r="H26" s="106"/>
      <c r="I26" s="106"/>
      <c r="J26" s="106"/>
      <c r="K26" s="106"/>
      <c r="L26" s="106"/>
      <c r="M26" s="20"/>
    </row>
    <row r="27" spans="2:14" ht="19">
      <c r="B27" s="12"/>
      <c r="C27" s="33" t="s">
        <v>27</v>
      </c>
      <c r="D27" s="10" t="s">
        <v>47</v>
      </c>
      <c r="E27" s="10"/>
      <c r="F27" s="63"/>
      <c r="G27" s="63"/>
      <c r="H27" s="10"/>
      <c r="I27" s="10"/>
      <c r="J27" s="10"/>
      <c r="K27" s="63"/>
      <c r="L27" s="63"/>
      <c r="M27" s="20"/>
    </row>
    <row r="28" spans="2:14" ht="18">
      <c r="B28" s="12"/>
      <c r="C28" s="33"/>
      <c r="D28" s="10"/>
      <c r="E28" s="10"/>
      <c r="F28" s="63"/>
      <c r="G28" s="63"/>
      <c r="H28" s="10"/>
      <c r="I28" s="10"/>
      <c r="J28" s="10"/>
      <c r="K28" s="63"/>
      <c r="L28" s="63"/>
      <c r="M28" s="20"/>
    </row>
    <row r="29" spans="2:14" ht="19">
      <c r="B29" s="12"/>
      <c r="C29" s="33" t="s">
        <v>21</v>
      </c>
      <c r="D29" s="95" t="s">
        <v>48</v>
      </c>
      <c r="E29" s="95"/>
      <c r="F29" s="95"/>
      <c r="G29" s="95"/>
      <c r="H29" s="95"/>
      <c r="I29" s="95"/>
      <c r="J29" s="10"/>
      <c r="K29" s="63"/>
      <c r="L29" s="63"/>
      <c r="M29" s="20"/>
    </row>
    <row r="30" spans="2:14" ht="19">
      <c r="B30" s="12"/>
      <c r="C30" s="34" t="s">
        <v>22</v>
      </c>
      <c r="D30" s="95" t="s">
        <v>49</v>
      </c>
      <c r="E30" s="95"/>
      <c r="F30" s="95"/>
      <c r="G30" s="95"/>
      <c r="H30" s="10"/>
      <c r="I30" s="10"/>
      <c r="J30" s="10"/>
      <c r="K30" s="63"/>
      <c r="L30" s="63"/>
      <c r="M30" s="20"/>
    </row>
    <row r="31" spans="2:14" ht="36">
      <c r="B31" s="12"/>
      <c r="C31" s="34" t="s">
        <v>12</v>
      </c>
      <c r="D31" s="27" t="s">
        <v>50</v>
      </c>
      <c r="E31" s="10"/>
      <c r="F31" s="63"/>
      <c r="G31" s="63"/>
      <c r="H31" s="10"/>
      <c r="I31" s="10"/>
      <c r="J31" s="10"/>
      <c r="K31" s="63"/>
      <c r="L31" s="63"/>
      <c r="M31" s="20"/>
    </row>
    <row r="32" spans="2:14" ht="19" thickBot="1">
      <c r="B32" s="12"/>
      <c r="C32" s="22"/>
      <c r="D32" s="94"/>
      <c r="E32" s="95"/>
      <c r="F32" s="95"/>
      <c r="G32" s="95"/>
      <c r="H32" s="95"/>
      <c r="I32" s="95"/>
      <c r="J32" s="95"/>
      <c r="K32" s="95"/>
      <c r="L32" s="95"/>
      <c r="M32" s="20"/>
    </row>
    <row r="33" spans="2:16" ht="34.5" customHeight="1">
      <c r="B33" s="12"/>
      <c r="C33" s="11"/>
      <c r="D33" s="11"/>
      <c r="E33" s="11"/>
      <c r="F33" s="64"/>
      <c r="H33" s="23"/>
      <c r="I33" s="24" t="s">
        <v>13</v>
      </c>
      <c r="J33" s="24" t="s">
        <v>26</v>
      </c>
      <c r="K33" s="78" t="s">
        <v>14</v>
      </c>
      <c r="L33" s="84" t="s">
        <v>15</v>
      </c>
      <c r="M33" s="20"/>
      <c r="P33" t="s">
        <v>31</v>
      </c>
    </row>
    <row r="34" spans="2:16" ht="63" customHeight="1" thickBot="1">
      <c r="B34" s="12"/>
      <c r="C34" s="39" t="s">
        <v>34</v>
      </c>
      <c r="D34" s="40"/>
      <c r="E34" s="40"/>
      <c r="F34" s="65"/>
      <c r="G34" s="71"/>
      <c r="H34" s="25" t="s">
        <v>16</v>
      </c>
      <c r="I34" s="26"/>
      <c r="J34" s="26"/>
      <c r="K34" s="79"/>
      <c r="L34" s="85"/>
      <c r="M34" s="20"/>
    </row>
    <row r="35" spans="2:16" ht="18" thickBot="1">
      <c r="B35" s="14"/>
      <c r="C35" s="15"/>
      <c r="D35" s="15"/>
      <c r="E35" s="15"/>
      <c r="F35" s="66"/>
      <c r="G35" s="66"/>
      <c r="H35" s="15"/>
      <c r="I35" s="15"/>
      <c r="J35" s="15"/>
      <c r="K35" s="66"/>
      <c r="L35" s="66"/>
      <c r="M35" s="16"/>
    </row>
  </sheetData>
  <mergeCells count="11">
    <mergeCell ref="D32:L32"/>
    <mergeCell ref="C5:L6"/>
    <mergeCell ref="F12:G12"/>
    <mergeCell ref="C22:E22"/>
    <mergeCell ref="F22:G22"/>
    <mergeCell ref="H22:K22"/>
    <mergeCell ref="D24:L24"/>
    <mergeCell ref="D29:I29"/>
    <mergeCell ref="D30:G30"/>
    <mergeCell ref="H23:K23"/>
    <mergeCell ref="D26:L26"/>
  </mergeCells>
  <phoneticPr fontId="2" type="noConversion"/>
  <hyperlinks>
    <hyperlink ref="D26" r:id="rId1" display="dhkim@servermate.net" xr:uid="{C0CCAAE0-7358-4CA7-8B0D-92A1BFA447B8}"/>
  </hyperlinks>
  <pageMargins left="0.70866141732283472" right="0.70866141732283472" top="0.74803149606299213" bottom="0.74803149606299213" header="0.31496062992125984" footer="0.31496062992125984"/>
  <pageSetup paperSize="9" scale="5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SALES</vt:lpstr>
      <vt:lpstr>SALES!Print_Area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창엽 김</cp:lastModifiedBy>
  <cp:lastPrinted>2020-03-09T08:01:58Z</cp:lastPrinted>
  <dcterms:created xsi:type="dcterms:W3CDTF">2020-02-27T08:15:04Z</dcterms:created>
  <dcterms:modified xsi:type="dcterms:W3CDTF">2026-01-07T09:00:23Z</dcterms:modified>
</cp:coreProperties>
</file>