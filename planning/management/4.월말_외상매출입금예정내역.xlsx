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yyoon\Desktop\경영팀\ERP\ERP\"/>
    </mc:Choice>
  </mc:AlternateContent>
  <xr:revisionPtr revIDLastSave="0" documentId="13_ncr:1_{920F4DAC-00A3-409D-997C-484BD87535AC}" xr6:coauthVersionLast="47" xr6:coauthVersionMax="47" xr10:uidLastSave="{00000000-0000-0000-0000-000000000000}"/>
  <bookViews>
    <workbookView xWindow="-120" yWindow="-120" windowWidth="29040" windowHeight="15840" firstSheet="4" activeTab="5" xr2:uid="{00000000-000D-0000-FFFF-FFFF00000000}"/>
  </bookViews>
  <sheets>
    <sheet name="2020년 3월-원본" sheetId="66" state="hidden" r:id="rId1"/>
    <sheet name="5월(X)" sheetId="72" state="hidden" r:id="rId2"/>
    <sheet name="5월-대표님확인용(X)" sheetId="73" state="hidden" r:id="rId3"/>
    <sheet name="11월-업체명순" sheetId="91" state="hidden" r:id="rId4"/>
    <sheet name="11월-월별" sheetId="215" r:id="rId5"/>
    <sheet name="11월-업체별" sheetId="216" r:id="rId6"/>
  </sheets>
  <definedNames>
    <definedName name="_xlnm._FilterDatabase" localSheetId="3" hidden="1">'11월-업체명순'!$A$3:$T$82</definedName>
    <definedName name="_xlnm._FilterDatabase" localSheetId="5" hidden="1">'11월-업체별'!$A$3:$U$154</definedName>
    <definedName name="_xlnm._FilterDatabase" localSheetId="4" hidden="1">'11월-월별'!$A$3:$T$91</definedName>
    <definedName name="_xlnm._FilterDatabase" localSheetId="0" hidden="1">'2020년 3월-원본'!$A$4:$T$104</definedName>
    <definedName name="_xlnm._FilterDatabase" localSheetId="1" hidden="1">'5월(X)'!$A$3:$S$43</definedName>
    <definedName name="_xlnm._FilterDatabase" localSheetId="2" hidden="1">'5월-대표님확인용(X)'!$A$3:$S$71</definedName>
  </definedNames>
  <calcPr calcId="191029"/>
</workbook>
</file>

<file path=xl/calcChain.xml><?xml version="1.0" encoding="utf-8"?>
<calcChain xmlns="http://schemas.openxmlformats.org/spreadsheetml/2006/main">
  <c r="S9" i="215" l="1"/>
  <c r="S10" i="215"/>
  <c r="S11" i="215"/>
  <c r="S12" i="215"/>
  <c r="S13" i="215"/>
  <c r="S14" i="215"/>
  <c r="S15" i="215"/>
  <c r="S16" i="215"/>
  <c r="S17" i="215"/>
  <c r="S18" i="215"/>
  <c r="S19" i="215"/>
  <c r="S20" i="215"/>
  <c r="S21" i="215"/>
  <c r="S22" i="215"/>
  <c r="S23" i="215"/>
  <c r="S24" i="215"/>
  <c r="S25" i="215"/>
  <c r="S26" i="215"/>
  <c r="S27" i="215"/>
  <c r="S28" i="215"/>
  <c r="S29" i="215"/>
  <c r="S30" i="215"/>
  <c r="S31" i="215"/>
  <c r="S32" i="215"/>
  <c r="S33" i="215"/>
  <c r="S34" i="215"/>
  <c r="S35" i="215"/>
  <c r="S36" i="215"/>
  <c r="S37" i="215"/>
  <c r="S38" i="215"/>
  <c r="S39" i="215"/>
  <c r="S40" i="215"/>
  <c r="S41" i="215"/>
  <c r="S42" i="215"/>
  <c r="S43" i="215"/>
  <c r="S44" i="215"/>
  <c r="S45" i="215"/>
  <c r="S46" i="215"/>
  <c r="S47" i="215"/>
  <c r="S48" i="215"/>
  <c r="S49" i="215"/>
  <c r="S50" i="215"/>
  <c r="S51" i="215"/>
  <c r="S52" i="215"/>
  <c r="S53" i="215"/>
  <c r="S54" i="215"/>
  <c r="S55" i="215"/>
  <c r="S56" i="215"/>
  <c r="S57" i="215"/>
  <c r="S58" i="215"/>
  <c r="S59" i="215"/>
  <c r="S60" i="215"/>
  <c r="S61" i="215"/>
  <c r="S62" i="215"/>
  <c r="S63" i="215"/>
  <c r="S64" i="215"/>
  <c r="S65" i="215"/>
  <c r="S66" i="215"/>
  <c r="S67" i="215"/>
  <c r="S68" i="215"/>
  <c r="S69" i="215"/>
  <c r="S70" i="215"/>
  <c r="S71" i="215"/>
  <c r="S72" i="215"/>
  <c r="S73" i="215"/>
  <c r="S74" i="215"/>
  <c r="S75" i="215"/>
  <c r="S76" i="215"/>
  <c r="S77" i="215"/>
  <c r="S78" i="215"/>
  <c r="S79" i="215"/>
  <c r="S80" i="215"/>
  <c r="S81" i="215"/>
  <c r="S82" i="215"/>
  <c r="S83" i="215"/>
  <c r="S84" i="215"/>
  <c r="S85" i="215"/>
  <c r="S86" i="215"/>
  <c r="S87" i="215"/>
  <c r="S88" i="215"/>
  <c r="S89" i="215"/>
  <c r="S90" i="215"/>
  <c r="S4" i="215" l="1"/>
  <c r="S5" i="215"/>
  <c r="S6" i="215"/>
  <c r="S7" i="215"/>
  <c r="S8" i="215"/>
  <c r="S91" i="215"/>
  <c r="M134" i="216" l="1"/>
  <c r="M122" i="216"/>
  <c r="M105" i="216"/>
  <c r="M85" i="216"/>
  <c r="M79" i="216"/>
  <c r="M67" i="216"/>
  <c r="M59" i="216"/>
  <c r="M50" i="216"/>
  <c r="M42" i="216"/>
  <c r="M32" i="216"/>
  <c r="M27" i="216"/>
  <c r="M19" i="216"/>
  <c r="T152" i="216"/>
  <c r="T66" i="216"/>
  <c r="T109" i="216"/>
  <c r="T93" i="216"/>
  <c r="T97" i="216"/>
  <c r="T91" i="216"/>
  <c r="T89" i="216"/>
  <c r="T99" i="216"/>
  <c r="T144" i="216"/>
  <c r="T124" i="216"/>
  <c r="T41" i="216"/>
  <c r="T146" i="216"/>
  <c r="T26" i="216"/>
  <c r="T25" i="216"/>
  <c r="T38" i="216"/>
  <c r="T8" i="216"/>
  <c r="T6" i="216"/>
  <c r="T46" i="216"/>
  <c r="T31" i="216"/>
  <c r="T30" i="216"/>
  <c r="T49" i="216"/>
  <c r="T48" i="216"/>
  <c r="T121" i="216"/>
  <c r="T69" i="216"/>
  <c r="T40" i="216"/>
  <c r="T78" i="216"/>
  <c r="T104" i="216"/>
  <c r="T4" i="216"/>
  <c r="T77" i="216"/>
  <c r="T76" i="216"/>
  <c r="T75" i="216"/>
  <c r="T74" i="216"/>
  <c r="T73" i="216"/>
  <c r="T36" i="216"/>
  <c r="T95" i="216"/>
  <c r="T65" i="216"/>
  <c r="T103" i="216"/>
  <c r="T102" i="216"/>
  <c r="T101" i="216"/>
  <c r="T128" i="216"/>
  <c r="T29" i="216"/>
  <c r="T138" i="216"/>
  <c r="T84" i="216"/>
  <c r="T83" i="216"/>
  <c r="T82" i="216"/>
  <c r="T136" i="216"/>
  <c r="T130" i="216"/>
  <c r="T133" i="216"/>
  <c r="T132" i="216"/>
  <c r="T87" i="216"/>
  <c r="T142" i="216"/>
  <c r="T113" i="216"/>
  <c r="T63" i="216"/>
  <c r="T18" i="216"/>
  <c r="T17" i="216"/>
  <c r="T16" i="216"/>
  <c r="T15" i="216"/>
  <c r="T14" i="216"/>
  <c r="T13" i="216"/>
  <c r="T12" i="216"/>
  <c r="T11" i="216"/>
  <c r="T10" i="216"/>
  <c r="T120" i="216"/>
  <c r="T81" i="216"/>
  <c r="T61" i="216"/>
  <c r="T119" i="216"/>
  <c r="T118" i="216"/>
  <c r="T117" i="216"/>
  <c r="T58" i="216"/>
  <c r="T57" i="216"/>
  <c r="T56" i="216"/>
  <c r="T55" i="216"/>
  <c r="T54" i="216"/>
  <c r="T3" i="216"/>
  <c r="L93" i="215"/>
  <c r="S3" i="215"/>
  <c r="M156" i="216" l="1"/>
  <c r="M85" i="91"/>
  <c r="K92" i="91" l="1"/>
  <c r="T81" i="91"/>
  <c r="T80" i="91"/>
  <c r="T79" i="91"/>
  <c r="T78" i="91"/>
  <c r="T77" i="91"/>
  <c r="T76" i="91"/>
  <c r="T75" i="91"/>
  <c r="T74" i="91"/>
  <c r="T73" i="91"/>
  <c r="T71" i="91"/>
  <c r="T70" i="91"/>
  <c r="T69" i="91"/>
  <c r="T68" i="91"/>
  <c r="T67" i="91"/>
  <c r="T66" i="91"/>
  <c r="T63" i="91"/>
  <c r="T62" i="91"/>
  <c r="T61" i="91"/>
  <c r="T60" i="91"/>
  <c r="T59" i="91"/>
  <c r="T58" i="91"/>
  <c r="T57" i="91"/>
  <c r="T56" i="91"/>
  <c r="T55" i="91"/>
  <c r="T54" i="91"/>
  <c r="T52" i="91"/>
  <c r="T51" i="91"/>
  <c r="T50" i="91"/>
  <c r="T49" i="91"/>
  <c r="T48" i="91"/>
  <c r="T47" i="91"/>
  <c r="T46" i="91"/>
  <c r="T45" i="91"/>
  <c r="T44" i="91"/>
  <c r="T43" i="91"/>
  <c r="T42" i="91"/>
  <c r="T41" i="91"/>
  <c r="T40" i="91"/>
  <c r="T39" i="91"/>
  <c r="T38" i="91"/>
  <c r="T37" i="91"/>
  <c r="T36" i="91"/>
  <c r="T35" i="91"/>
  <c r="T34" i="91"/>
  <c r="T33" i="91"/>
  <c r="T32" i="91"/>
  <c r="T31" i="91"/>
  <c r="T30" i="91"/>
  <c r="T29" i="91"/>
  <c r="T28" i="91"/>
  <c r="T27" i="91"/>
  <c r="T26" i="91"/>
  <c r="T25" i="91"/>
  <c r="T24" i="91"/>
  <c r="T23" i="91"/>
  <c r="T22" i="91"/>
  <c r="T21" i="91"/>
  <c r="T20" i="91"/>
  <c r="T17" i="91"/>
  <c r="T16" i="91"/>
  <c r="T15" i="91"/>
  <c r="T14" i="91"/>
  <c r="T13" i="91"/>
  <c r="T12" i="91"/>
  <c r="T11" i="91"/>
  <c r="T10" i="91"/>
  <c r="T9" i="91"/>
  <c r="T8" i="91"/>
  <c r="T7" i="91"/>
  <c r="T6" i="91"/>
  <c r="T5" i="91"/>
  <c r="T4" i="91"/>
  <c r="M87" i="91" l="1"/>
  <c r="M89" i="91" s="1"/>
  <c r="L92" i="91"/>
  <c r="M92" i="91" s="1"/>
  <c r="M46" i="72" l="1"/>
  <c r="M8" i="73" l="1"/>
  <c r="M16" i="73"/>
  <c r="M24" i="73"/>
  <c r="M32" i="73"/>
  <c r="M38" i="73"/>
  <c r="M46" i="73"/>
  <c r="M57" i="73"/>
  <c r="P8" i="73"/>
  <c r="P16" i="73"/>
  <c r="P24" i="73"/>
  <c r="P32" i="73"/>
  <c r="P38" i="73"/>
  <c r="P46" i="73"/>
  <c r="P57" i="73"/>
  <c r="M74" i="7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A2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F2" authorId="0" shapeId="0" xr:uid="{00000000-0006-0000-0900-000002000000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 xml:space="preserve">MA
MAPAC
WSU
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기술지원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임대료
</t>
        </r>
      </text>
    </comment>
    <comment ref="G2" authorId="0" shapeId="0" xr:uid="{00000000-0006-0000-0900-000003000000}">
      <text>
        <r>
          <rPr>
            <b/>
            <sz val="9"/>
            <color indexed="81"/>
            <rFont val="돋움"/>
            <family val="3"/>
            <charset val="129"/>
          </rPr>
          <t>월간-IKTS
월간-레노버
BID-레노버
월간
분기
연간</t>
        </r>
      </text>
    </comment>
    <comment ref="Q30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 xml:space="preserve">5/8 </t>
        </r>
        <r>
          <rPr>
            <b/>
            <sz val="9"/>
            <color indexed="81"/>
            <rFont val="돋움"/>
            <family val="3"/>
            <charset val="129"/>
          </rPr>
          <t>이용찬팀장님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A2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F2" authorId="0" shapeId="0" xr:uid="{00000000-0006-0000-0A00-000002000000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 xml:space="preserve">MA
MAPAC
WSU
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기술지원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임대료
</t>
        </r>
      </text>
    </comment>
    <comment ref="G2" authorId="0" shapeId="0" xr:uid="{00000000-0006-0000-0A00-000003000000}">
      <text>
        <r>
          <rPr>
            <b/>
            <sz val="9"/>
            <color indexed="81"/>
            <rFont val="돋움"/>
            <family val="3"/>
            <charset val="129"/>
          </rPr>
          <t>월간-IKTS
월간-레노버
BID-레노버
월간
분기
연간</t>
        </r>
      </text>
    </comment>
    <comment ref="Q34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 xml:space="preserve">5/8 </t>
        </r>
        <r>
          <rPr>
            <b/>
            <sz val="9"/>
            <color indexed="81"/>
            <rFont val="돋움"/>
            <family val="3"/>
            <charset val="129"/>
          </rPr>
          <t>이용찬팀장님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A2" authorId="0" shapeId="0" xr:uid="{D1DD71A4-A7D2-4941-A95A-6E2C2CA45FCB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F2" authorId="0" shapeId="0" xr:uid="{96860149-CF2F-4C13-BF96-437E0E90401E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 xml:space="preserve">MA
MAPAC
WSU
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기술지원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임대료
</t>
        </r>
      </text>
    </comment>
    <comment ref="G2" authorId="0" shapeId="0" xr:uid="{F4312A6C-614C-406E-BC7A-4E3A391FB889}">
      <text>
        <r>
          <rPr>
            <b/>
            <sz val="9"/>
            <color indexed="81"/>
            <rFont val="돋움"/>
            <family val="3"/>
            <charset val="129"/>
          </rPr>
          <t>월간-IKTS
월간-레노버
BID-레노버
월간
분기
연간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A2" authorId="0" shapeId="0" xr:uid="{49634463-633F-4BA4-942F-958EACC8D713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F2" authorId="0" shapeId="0" xr:uid="{D0D44CB9-F78A-49A9-99D1-3FD8728B2E7C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 xml:space="preserve">MA
MAPAC
WSU
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기술지원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임대료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A2" authorId="0" shapeId="0" xr:uid="{F9E8C8D7-0936-47A0-9973-40DA6712B871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F2" authorId="0" shapeId="0" xr:uid="{18D1808C-38F7-4184-8248-64AD50E51652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 xml:space="preserve">MA
MAPAC
WSU
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기술지원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임대료
</t>
        </r>
      </text>
    </comment>
    <comment ref="G2" authorId="0" shapeId="0" xr:uid="{4A5C530C-7AD8-45FC-A8D7-C999A03E2C90}">
      <text>
        <r>
          <rPr>
            <b/>
            <sz val="9"/>
            <color indexed="81"/>
            <rFont val="돋움"/>
            <family val="3"/>
            <charset val="129"/>
          </rPr>
          <t>월간-IKTS
월간-레노버
BID-레노버
월간
분기
연간</t>
        </r>
      </text>
    </comment>
  </commentList>
</comments>
</file>

<file path=xl/sharedStrings.xml><?xml version="1.0" encoding="utf-8"?>
<sst xmlns="http://schemas.openxmlformats.org/spreadsheetml/2006/main" count="3262" uniqueCount="888">
  <si>
    <t>이현모</t>
    <phoneticPr fontId="11" type="noConversion"/>
  </si>
  <si>
    <t>그루젠</t>
    <phoneticPr fontId="11" type="noConversion"/>
  </si>
  <si>
    <t>서서형</t>
    <phoneticPr fontId="11" type="noConversion"/>
  </si>
  <si>
    <t>WSU</t>
    <phoneticPr fontId="11" type="noConversion"/>
  </si>
  <si>
    <t>이용찬</t>
    <phoneticPr fontId="11" type="noConversion"/>
  </si>
  <si>
    <t>에어코드</t>
    <phoneticPr fontId="11" type="noConversion"/>
  </si>
  <si>
    <t>21세기병원(묵동)</t>
  </si>
  <si>
    <t>유지정비</t>
  </si>
  <si>
    <t>이용찬</t>
  </si>
  <si>
    <t>이현모</t>
  </si>
  <si>
    <t>세틀뱅크</t>
    <phoneticPr fontId="11" type="noConversion"/>
  </si>
  <si>
    <t>솔리드이엔지</t>
    <phoneticPr fontId="11" type="noConversion"/>
  </si>
  <si>
    <t>아비코전자</t>
  </si>
  <si>
    <t>이너인포</t>
    <phoneticPr fontId="11" type="noConversion"/>
  </si>
  <si>
    <t>비에이앤티</t>
    <phoneticPr fontId="11" type="noConversion"/>
  </si>
  <si>
    <t>진네트웍스</t>
    <phoneticPr fontId="11" type="noConversion"/>
  </si>
  <si>
    <t>MA(월간)</t>
  </si>
  <si>
    <t>해안종합건축사사무소</t>
    <phoneticPr fontId="11" type="noConversion"/>
  </si>
  <si>
    <t>삼인에이치엔티</t>
    <phoneticPr fontId="11" type="noConversion"/>
  </si>
  <si>
    <t>46M0917</t>
    <phoneticPr fontId="11" type="noConversion"/>
  </si>
  <si>
    <t>1월 유지정비료 -1회</t>
    <phoneticPr fontId="11" type="noConversion"/>
  </si>
  <si>
    <t>1월 유지정비료 -5회</t>
    <phoneticPr fontId="11" type="noConversion"/>
  </si>
  <si>
    <t>2월말</t>
    <phoneticPr fontId="11" type="noConversion"/>
  </si>
  <si>
    <t>연간 유지정비료 (20.01.01~20.12.31)</t>
    <phoneticPr fontId="11" type="noConversion"/>
  </si>
  <si>
    <t>875241-B21</t>
    <phoneticPr fontId="11" type="noConversion"/>
  </si>
  <si>
    <t>96W Smart Storage Battery with 145mm Cable (P440)</t>
    <phoneticPr fontId="11" type="noConversion"/>
  </si>
  <si>
    <t>서서형</t>
  </si>
  <si>
    <t>WSU</t>
  </si>
  <si>
    <t>그루젠</t>
  </si>
  <si>
    <t>OB맥주</t>
    <phoneticPr fontId="11" type="noConversion"/>
  </si>
  <si>
    <t>MA</t>
    <phoneticPr fontId="11" type="noConversion"/>
  </si>
  <si>
    <t>월간-삼주</t>
    <phoneticPr fontId="11" type="noConversion"/>
  </si>
  <si>
    <t>IKTS(1/7)-(1/3)-1,234,200 :분기</t>
  </si>
  <si>
    <t>삼인에이치엔티</t>
  </si>
  <si>
    <t xml:space="preserve">한국산림복지진흥원 </t>
    <phoneticPr fontId="11" type="noConversion"/>
  </si>
  <si>
    <t>IKTS(1/1)-(1/3)-300,000 :분기</t>
  </si>
  <si>
    <t>3월말</t>
  </si>
  <si>
    <t>서비스링크</t>
  </si>
  <si>
    <t xml:space="preserve">세원정공 </t>
    <phoneticPr fontId="11" type="noConversion"/>
  </si>
  <si>
    <t>분기-삼주</t>
    <phoneticPr fontId="11" type="noConversion"/>
  </si>
  <si>
    <t>분기 (1~3월) 유지정비료 -(3/4)</t>
    <phoneticPr fontId="11" type="noConversion"/>
  </si>
  <si>
    <t>IKTS(1/1)</t>
  </si>
  <si>
    <t>다말테크</t>
  </si>
  <si>
    <t>5PS7A06897</t>
  </si>
  <si>
    <t xml:space="preserve">Premier with Essential - 3Yr 24x7 4Hr </t>
    <phoneticPr fontId="11" type="noConversion"/>
  </si>
  <si>
    <t>레노버()</t>
  </si>
  <si>
    <t>에이치인포</t>
  </si>
  <si>
    <t>인터클러스터시스템</t>
  </si>
  <si>
    <t>상품</t>
    <phoneticPr fontId="11" type="noConversion"/>
  </si>
  <si>
    <t>01KN321</t>
  </si>
  <si>
    <t>8GB TruDDR4 2400 MHz (1Rx8 1.2V) ECC UDIMM -367,900</t>
  </si>
  <si>
    <t>레노버(/) -미정</t>
  </si>
  <si>
    <t>지인아이티</t>
  </si>
  <si>
    <t>EN0A</t>
  </si>
  <si>
    <t>IBM 16GB PCI-E Dual-Port FC HBA [USED]</t>
    <phoneticPr fontId="11" type="noConversion"/>
  </si>
  <si>
    <t>이비웨이브(1/21-2ea)-780,000</t>
  </si>
  <si>
    <t xml:space="preserve">중소기업연구원 </t>
    <phoneticPr fontId="11" type="noConversion"/>
  </si>
  <si>
    <t>MAPAC</t>
    <phoneticPr fontId="11" type="noConversion"/>
  </si>
  <si>
    <t>연간-레노버</t>
    <phoneticPr fontId="11" type="noConversion"/>
  </si>
  <si>
    <t>품의코드</t>
    <phoneticPr fontId="11" type="noConversion"/>
  </si>
  <si>
    <t>Vendor 코드</t>
    <phoneticPr fontId="11" type="noConversion"/>
  </si>
  <si>
    <t>날짜</t>
    <phoneticPr fontId="11" type="noConversion"/>
  </si>
  <si>
    <t>매출처</t>
    <phoneticPr fontId="11" type="noConversion"/>
  </si>
  <si>
    <t>END-USER</t>
    <phoneticPr fontId="11" type="noConversion"/>
  </si>
  <si>
    <t>구분</t>
    <phoneticPr fontId="11" type="noConversion"/>
  </si>
  <si>
    <t>MA : 청구구분
상품 : PN</t>
    <phoneticPr fontId="11" type="noConversion"/>
  </si>
  <si>
    <t>거래내용</t>
    <phoneticPr fontId="11" type="noConversion"/>
  </si>
  <si>
    <t>수량</t>
    <phoneticPr fontId="11" type="noConversion"/>
  </si>
  <si>
    <t>매출</t>
    <phoneticPr fontId="11" type="noConversion"/>
  </si>
  <si>
    <t>매입액
(상품경우)</t>
    <phoneticPr fontId="11" type="noConversion"/>
  </si>
  <si>
    <t>매입거래처</t>
    <phoneticPr fontId="11" type="noConversion"/>
  </si>
  <si>
    <t>GP</t>
    <phoneticPr fontId="11" type="noConversion"/>
  </si>
  <si>
    <t>입금일</t>
    <phoneticPr fontId="11" type="noConversion"/>
  </si>
  <si>
    <t>영업
담당자</t>
    <phoneticPr fontId="11" type="noConversion"/>
  </si>
  <si>
    <t>비고</t>
    <phoneticPr fontId="11" type="noConversion"/>
  </si>
  <si>
    <t>단가</t>
    <phoneticPr fontId="11" type="noConversion"/>
  </si>
  <si>
    <t>공급가액</t>
    <phoneticPr fontId="11" type="noConversion"/>
  </si>
  <si>
    <t>부가세</t>
    <phoneticPr fontId="11" type="noConversion"/>
  </si>
  <si>
    <t>공급가합계</t>
    <phoneticPr fontId="11" type="noConversion"/>
  </si>
  <si>
    <t>레노버(1/16)</t>
  </si>
  <si>
    <t>2월말</t>
  </si>
  <si>
    <t xml:space="preserve">동양에스텍 </t>
    <phoneticPr fontId="11" type="noConversion"/>
  </si>
  <si>
    <t>월간-레노버</t>
    <phoneticPr fontId="11" type="noConversion"/>
  </si>
  <si>
    <t>1월 유지정비료 -28회 (28/36회)</t>
    <phoneticPr fontId="11" type="noConversion"/>
  </si>
  <si>
    <t>레노버(3/31)-(1분기)-685,530 :분기</t>
    <phoneticPr fontId="11" type="noConversion"/>
  </si>
  <si>
    <t>유니포인트</t>
  </si>
  <si>
    <t>월간</t>
    <phoneticPr fontId="11" type="noConversion"/>
  </si>
  <si>
    <t xml:space="preserve">CJ헬로비전(송도) </t>
    <phoneticPr fontId="11" type="noConversion"/>
  </si>
  <si>
    <t>레노버() 연간 5,265,400</t>
    <phoneticPr fontId="11" type="noConversion"/>
  </si>
  <si>
    <t>쿠퍼스시스템즈</t>
  </si>
  <si>
    <t xml:space="preserve">시큐브 </t>
    <phoneticPr fontId="11" type="noConversion"/>
  </si>
  <si>
    <t xml:space="preserve">1월 유지정비료 -5회 </t>
    <phoneticPr fontId="11" type="noConversion"/>
  </si>
  <si>
    <t>드림캐처</t>
  </si>
  <si>
    <t xml:space="preserve">한국방송통신전파진흥원 </t>
    <phoneticPr fontId="11" type="noConversion"/>
  </si>
  <si>
    <t>1월 유지정비료 -10회</t>
    <phoneticPr fontId="11" type="noConversion"/>
  </si>
  <si>
    <t>레노버(1/31) :연간 총 12,187,360</t>
  </si>
  <si>
    <t>비트</t>
  </si>
  <si>
    <t>연합정밀</t>
    <phoneticPr fontId="11" type="noConversion"/>
  </si>
  <si>
    <t>2월 유지정비료 -9회</t>
    <phoneticPr fontId="11" type="noConversion"/>
  </si>
  <si>
    <t>2월 유지정비료 -2회</t>
    <phoneticPr fontId="11" type="noConversion"/>
  </si>
  <si>
    <t>GS건설</t>
    <phoneticPr fontId="11" type="noConversion"/>
  </si>
  <si>
    <t>3월말</t>
    <phoneticPr fontId="11" type="noConversion"/>
  </si>
  <si>
    <t>투아이시스</t>
  </si>
  <si>
    <t>포르쉐코리아</t>
    <phoneticPr fontId="11" type="noConversion"/>
  </si>
  <si>
    <t>2월 유지정비료 -6회</t>
    <phoneticPr fontId="11" type="noConversion"/>
  </si>
  <si>
    <t>아이리스인포테크</t>
  </si>
  <si>
    <t>프레이져플레이스호텔</t>
    <phoneticPr fontId="11" type="noConversion"/>
  </si>
  <si>
    <t>분기 (2~4월) 유지정비료 -(3/4)</t>
    <phoneticPr fontId="11" type="noConversion"/>
  </si>
  <si>
    <t>엠씨앤파트너</t>
  </si>
  <si>
    <t>00E6167</t>
  </si>
  <si>
    <t>HDD, 2.5-inch, hot-swap 300 GB 10K</t>
    <phoneticPr fontId="11" type="noConversion"/>
  </si>
  <si>
    <t>메이슨캐피탈</t>
    <phoneticPr fontId="11" type="noConversion"/>
  </si>
  <si>
    <t>2월 유지정비료 -1회</t>
    <phoneticPr fontId="11" type="noConversion"/>
  </si>
  <si>
    <t>44W3256</t>
  </si>
  <si>
    <t>IBM 44W3256 8X/24X SATA SLIMLINE DVD-ROM DRIVE</t>
  </si>
  <si>
    <t>YKK코리아</t>
    <phoneticPr fontId="11" type="noConversion"/>
  </si>
  <si>
    <t>신동아건설</t>
  </si>
  <si>
    <t>95P4436</t>
  </si>
  <si>
    <t xml:space="preserve">LTO4 IBM 800GB/1.6TB GEN4 / 바코드포함 </t>
    <phoneticPr fontId="11" type="noConversion"/>
  </si>
  <si>
    <t>2월 유지정비료 -10회</t>
  </si>
  <si>
    <t>2월 유지정비료 -2회</t>
  </si>
  <si>
    <t>유니원아이앤씨</t>
  </si>
  <si>
    <t>서울대학교</t>
    <phoneticPr fontId="11" type="noConversion"/>
  </si>
  <si>
    <t>연간 유지정비료 (20.02.18~21.02.17)</t>
    <phoneticPr fontId="11" type="noConversion"/>
  </si>
  <si>
    <t>연세의료원</t>
  </si>
  <si>
    <t>디에이치정보기술</t>
  </si>
  <si>
    <t>KDMC</t>
    <phoneticPr fontId="11" type="noConversion"/>
  </si>
  <si>
    <t>2월 유지정비료 -3회</t>
  </si>
  <si>
    <t>서버제니스</t>
  </si>
  <si>
    <t>7Y51S1DS00</t>
  </si>
  <si>
    <t>SR250외 &amp; 트루이미지</t>
  </si>
  <si>
    <t>일자리위원회</t>
  </si>
  <si>
    <t>2월 유지정비료 -6회</t>
  </si>
  <si>
    <t>모터세븐</t>
  </si>
  <si>
    <t>TrueImage</t>
    <phoneticPr fontId="11" type="noConversion"/>
  </si>
  <si>
    <t>Acronis Backup &amp; Recovery 12.5 Server for Windows</t>
    <phoneticPr fontId="11" type="noConversion"/>
  </si>
  <si>
    <t>2월말-&gt;3월말</t>
    <phoneticPr fontId="11" type="noConversion"/>
  </si>
  <si>
    <t>씨제이씨지브이</t>
  </si>
  <si>
    <t>CGV김해</t>
    <phoneticPr fontId="11" type="noConversion"/>
  </si>
  <si>
    <t>연간 유지정비료 (20.03.01~21.03.03)</t>
    <phoneticPr fontId="11" type="noConversion"/>
  </si>
  <si>
    <t>제일엔지니어링종합건축사사무소</t>
  </si>
  <si>
    <t>2월 유지정비료 -9회</t>
  </si>
  <si>
    <t>비씨엠정보통신</t>
  </si>
  <si>
    <t>꼬망스</t>
    <phoneticPr fontId="11" type="noConversion"/>
  </si>
  <si>
    <t xml:space="preserve">2월 유지정비료 -6회 </t>
    <phoneticPr fontId="11" type="noConversion"/>
  </si>
  <si>
    <t>솔리드이엔지</t>
  </si>
  <si>
    <t>한국침례신학대학교</t>
    <phoneticPr fontId="11" type="noConversion"/>
  </si>
  <si>
    <t>2월 유지정비료 -12회</t>
    <phoneticPr fontId="11" type="noConversion"/>
  </si>
  <si>
    <t>에즈웰</t>
  </si>
  <si>
    <t>한국조폐공사</t>
    <phoneticPr fontId="11" type="noConversion"/>
  </si>
  <si>
    <t>2월 유지정비료 -5회</t>
    <phoneticPr fontId="11" type="noConversion"/>
  </si>
  <si>
    <t>극동대학교</t>
    <phoneticPr fontId="11" type="noConversion"/>
  </si>
  <si>
    <t>에즈웰 청주지점</t>
  </si>
  <si>
    <t>청주시청</t>
    <phoneticPr fontId="11" type="noConversion"/>
  </si>
  <si>
    <t>2월 유지정비료 -8회</t>
    <phoneticPr fontId="11" type="noConversion"/>
  </si>
  <si>
    <t>메이머스트</t>
  </si>
  <si>
    <t xml:space="preserve">인포렉스 </t>
    <phoneticPr fontId="11" type="noConversion"/>
  </si>
  <si>
    <t>테크앤</t>
  </si>
  <si>
    <t xml:space="preserve">세스코 </t>
    <phoneticPr fontId="11" type="noConversion"/>
  </si>
  <si>
    <t>엠아이비</t>
  </si>
  <si>
    <t xml:space="preserve">대전선병원 </t>
    <phoneticPr fontId="11" type="noConversion"/>
  </si>
  <si>
    <t>영민시스템</t>
  </si>
  <si>
    <t xml:space="preserve">대전보훈병원 </t>
    <phoneticPr fontId="11" type="noConversion"/>
  </si>
  <si>
    <t>2월 유지정비료 -11회</t>
    <phoneticPr fontId="11" type="noConversion"/>
  </si>
  <si>
    <t>원앤원</t>
    <phoneticPr fontId="11" type="noConversion"/>
  </si>
  <si>
    <t>2월 유지정비료 -7회</t>
    <phoneticPr fontId="11" type="noConversion"/>
  </si>
  <si>
    <t>지앤아이</t>
  </si>
  <si>
    <t>송원산업</t>
    <phoneticPr fontId="11" type="noConversion"/>
  </si>
  <si>
    <t>2월 유지정비료 -22회</t>
    <phoneticPr fontId="11" type="noConversion"/>
  </si>
  <si>
    <t>트루시스</t>
  </si>
  <si>
    <t>국가과학인력개발원</t>
    <phoneticPr fontId="11" type="noConversion"/>
  </si>
  <si>
    <t>2월 유지정비료 -2회 (2/2)</t>
    <phoneticPr fontId="11" type="noConversion"/>
  </si>
  <si>
    <t>비에이앤티</t>
  </si>
  <si>
    <t>한일전기</t>
    <phoneticPr fontId="11" type="noConversion"/>
  </si>
  <si>
    <t>성원제강</t>
    <phoneticPr fontId="11" type="noConversion"/>
  </si>
  <si>
    <t>한일철강</t>
    <phoneticPr fontId="11" type="noConversion"/>
  </si>
  <si>
    <t>문배철강</t>
    <phoneticPr fontId="11" type="noConversion"/>
  </si>
  <si>
    <t>김앤장</t>
    <phoneticPr fontId="11" type="noConversion"/>
  </si>
  <si>
    <t>정원엔시스</t>
  </si>
  <si>
    <t>동우화인켐</t>
    <phoneticPr fontId="11" type="noConversion"/>
  </si>
  <si>
    <t>삼표</t>
  </si>
  <si>
    <t>삼성중공업</t>
    <phoneticPr fontId="11" type="noConversion"/>
  </si>
  <si>
    <t>2월 유지정비료 -1회</t>
  </si>
  <si>
    <t>오파스넷</t>
  </si>
  <si>
    <t>한국전통민속연구회</t>
    <phoneticPr fontId="11" type="noConversion"/>
  </si>
  <si>
    <t>분기 (1~3월) 유지정비료 -(4/4)</t>
    <phoneticPr fontId="11" type="noConversion"/>
  </si>
  <si>
    <t>Rental</t>
  </si>
  <si>
    <t>IBM P720 서버 임대(20/02/11~20/03/10) -350,000</t>
    <phoneticPr fontId="11" type="noConversion"/>
  </si>
  <si>
    <t>세틀뱅크</t>
  </si>
  <si>
    <t>IBM P720 서버 임대(20/02/16~20/03/15) -350,000</t>
  </si>
  <si>
    <t>다온시스템즈</t>
  </si>
  <si>
    <t>7AA99PA#AB1</t>
  </si>
  <si>
    <t>HP Z2 G4 Workstation , 조립PC</t>
  </si>
  <si>
    <t>도시엔컴</t>
  </si>
  <si>
    <t>00Y2426</t>
  </si>
  <si>
    <t>IBM 4TB 7200RPM SAS 6GBPS 3.5INCH NL HARD DISK</t>
  </si>
  <si>
    <t>씨에스</t>
  </si>
  <si>
    <t>TAPE DRIVE</t>
    <phoneticPr fontId="11" type="noConversion"/>
  </si>
  <si>
    <t>IBM LTO5 FC(FH) DRIVE for TS3200</t>
    <phoneticPr fontId="11" type="noConversion"/>
  </si>
  <si>
    <t>나노브레인</t>
  </si>
  <si>
    <t>SPS</t>
  </si>
  <si>
    <t>SPS for EMC VNX5300</t>
  </si>
  <si>
    <t>RAID 8I</t>
    <phoneticPr fontId="11" type="noConversion"/>
  </si>
  <si>
    <t>SERVERAID 8I Controller</t>
    <phoneticPr fontId="11" type="noConversion"/>
  </si>
  <si>
    <t>우리에스아이티</t>
  </si>
  <si>
    <t>#3203</t>
  </si>
  <si>
    <t>300GB 10K 6G SAS 2.5inch Hard Drive</t>
  </si>
  <si>
    <t>우창정기</t>
    <phoneticPr fontId="11" type="noConversion"/>
  </si>
  <si>
    <t>00D4957</t>
    <phoneticPr fontId="11" type="noConversion"/>
  </si>
  <si>
    <t>4 GB (Dual-Rank) PC3 12800</t>
    <phoneticPr fontId="11" type="noConversion"/>
  </si>
  <si>
    <t>74Y6020</t>
    <phoneticPr fontId="11" type="noConversion"/>
  </si>
  <si>
    <t>CACHE CARD BATTERY</t>
    <phoneticPr fontId="11" type="noConversion"/>
  </si>
  <si>
    <t>RAID BATTERY for M5000</t>
    <phoneticPr fontId="11" type="noConversion"/>
  </si>
  <si>
    <t>파로스</t>
    <phoneticPr fontId="11" type="noConversion"/>
  </si>
  <si>
    <t>2076-112</t>
    <phoneticPr fontId="11" type="noConversion"/>
  </si>
  <si>
    <t>V7000 Gen1 Storage with DUAL CANISTER</t>
    <phoneticPr fontId="11" type="noConversion"/>
  </si>
  <si>
    <t>H200309-02</t>
    <phoneticPr fontId="11" type="noConversion"/>
  </si>
  <si>
    <t>조인트리</t>
    <phoneticPr fontId="11" type="noConversion"/>
  </si>
  <si>
    <t>00NA492</t>
    <phoneticPr fontId="11" type="noConversion"/>
  </si>
  <si>
    <t>IBM 1TB 7.2K SAS 12G SFF G3 HS HARD DRIVE</t>
    <phoneticPr fontId="11" type="noConversion"/>
  </si>
  <si>
    <t>21세기병원</t>
    <phoneticPr fontId="11" type="noConversion"/>
  </si>
  <si>
    <t>21세기병원(서초)</t>
    <phoneticPr fontId="11" type="noConversion"/>
  </si>
  <si>
    <t>3월 유지정비료 -3회</t>
    <phoneticPr fontId="11" type="noConversion"/>
  </si>
  <si>
    <t>서버메이트</t>
  </si>
  <si>
    <t>3월 유지정비료 -10회</t>
    <phoneticPr fontId="11" type="noConversion"/>
  </si>
  <si>
    <t>정일스톨트헤븐</t>
    <phoneticPr fontId="11" type="noConversion"/>
  </si>
  <si>
    <t>3월 유지정비료 -7회</t>
    <phoneticPr fontId="11" type="noConversion"/>
  </si>
  <si>
    <t>제이티캐피탈</t>
    <phoneticPr fontId="11" type="noConversion"/>
  </si>
  <si>
    <t>IKTS(2/1)-1,440,000
에스엔에이(2/28)-295,000
키미데이타(2/28)-70,000
유니포인트(2/28)-1,350,000
시스나인(2/3)-2,000,000</t>
  </si>
  <si>
    <t>네오센</t>
    <phoneticPr fontId="11" type="noConversion"/>
  </si>
  <si>
    <t>기술료</t>
    <phoneticPr fontId="11" type="noConversion"/>
  </si>
  <si>
    <t>시스템 컨설팅 기술료</t>
    <phoneticPr fontId="11" type="noConversion"/>
  </si>
  <si>
    <t>3/9,3/10</t>
    <phoneticPr fontId="11" type="noConversion"/>
  </si>
  <si>
    <t>법무법인바른</t>
  </si>
  <si>
    <t>3월 유지정비료 -1회</t>
    <phoneticPr fontId="11" type="noConversion"/>
  </si>
  <si>
    <t>중앙유통단지관리운영회</t>
  </si>
  <si>
    <t>이올테크()</t>
    <phoneticPr fontId="11" type="noConversion"/>
  </si>
  <si>
    <t>HDD</t>
    <phoneticPr fontId="11" type="noConversion"/>
  </si>
  <si>
    <t>IBM 73G HDD</t>
    <phoneticPr fontId="11" type="noConversion"/>
  </si>
  <si>
    <t>IKTS(1/1)-(2/3)-1,831,950 :분기</t>
  </si>
  <si>
    <t>IKTS(1/7)-(2/3)-1,234,200 :분기</t>
  </si>
  <si>
    <t>IKTS(1/1)-(2/3)-6,132,000 :분기</t>
  </si>
  <si>
    <t>IKTS(1/1)-(2/3)-1,821,000 :분기
시스나인(19/8/1)-(6/6)-800,000 :19.09~20.02</t>
  </si>
  <si>
    <t>IKTS(20/1/1)-(3/3)-588,000 :분기(2~3월분)
IKTS(20/4/1)-(1/3)-588,000 :분기(4~6월분)</t>
  </si>
  <si>
    <t>이비웨이브(2/3)</t>
  </si>
  <si>
    <t>IKTS(2/1)</t>
  </si>
  <si>
    <t>재고</t>
  </si>
  <si>
    <t>IKTS(2/11)</t>
  </si>
  <si>
    <t>스토리지케이투(2/7-20ea)-30,000</t>
  </si>
  <si>
    <t>서버제니스(2/28)</t>
  </si>
  <si>
    <t>레노버(2/19)</t>
  </si>
  <si>
    <t>이룸에스앤앤(2/14) -3,136000
단군소프트(2/17) -800,000</t>
  </si>
  <si>
    <t>블루포트(2/10-1ea)-800,000
이룸에스앤앤(2/13-1ea)-364,000</t>
  </si>
  <si>
    <t>IKTS(2/1)-260,000
코오롱베니트(19/9/23)-(6/12)-1,440,000 :연간
이비웨이브(2/24-1ea)-180,000 M5210 Controller</t>
  </si>
  <si>
    <t>레노버(2/28)</t>
  </si>
  <si>
    <t>IKTS(1/1)-(2/3)-186,000 :분기</t>
  </si>
  <si>
    <t>IKTS(1/1)-(2/3)-363,000 :분기</t>
  </si>
  <si>
    <t>IKTS(1/1)-(2/3)-6,904,500 :분기</t>
  </si>
  <si>
    <t>IKTS(1/1)-(2/3)-2,360,700 :분기</t>
  </si>
  <si>
    <t>서버메이트
이비웨이브(2/19-1ea)-250,000 :HP 1.2TB SFF SAS (CN7643044P)</t>
  </si>
  <si>
    <t>IKTS(1/1)-(2/3)-1,790,000 :분기</t>
  </si>
  <si>
    <t>IKTS(1/1)-(2/3)-1,368,000 :분기</t>
  </si>
  <si>
    <t>이비웨이브(2/11-1ea)-170,000 :IBM 450GB 10K 3.5" HS SAS</t>
  </si>
  <si>
    <t>레노버(2/28)-861,600
레노버(2/28)-69,600
IKTS(1/1)-(2/3)-2,007,000 :분기</t>
  </si>
  <si>
    <t>IKTS(1/1)-(2/3)-2,137,800 :분기</t>
  </si>
  <si>
    <t>IKTS(1/1)-(2/3)-456,000 :분기</t>
  </si>
  <si>
    <t>IKTS(1/1)-(2/3)-1,260,000 :분기</t>
  </si>
  <si>
    <t>IKTS(1/1)-(2/3)-759,000 :분기</t>
  </si>
  <si>
    <t>IKTS(1/1)-(2/3)-990,000 :분기</t>
  </si>
  <si>
    <t>프라테르(2/28)-1,490,750
IKTS(1/30)-(2/3)-6,480,600 :분기
현성솔루션(2/28)-320,000
유니와이드테크놀러지(2/28)-290,000
에스엔에이(2/29)-700,000
코오롱베니트(19/8/30)-(6/12)-4,940,000 :연간</t>
  </si>
  <si>
    <t>레노버()-(2/12)연간</t>
  </si>
  <si>
    <t>에스엔에이(3/16-2ea)-300,000</t>
  </si>
  <si>
    <t>네오프렌드(2/12-1,850,000)
컴퓨존(2/18-751,874)</t>
  </si>
  <si>
    <t>이비웨이브(2/10)</t>
  </si>
  <si>
    <t>에스엔에이(2/10)</t>
  </si>
  <si>
    <t>이비웨이브(2/17)</t>
  </si>
  <si>
    <t>재고
이비웨이브(2/27-1ea) -90,000</t>
  </si>
  <si>
    <t>IKTS(2/28)</t>
  </si>
  <si>
    <t>서버제니스(2/29)-902,500
아신아이(2/29)-85,000
씨큐윈(2/29)-512,000
수산아이앤티(2/29)-95,400
수산아이앤티(2/29)-434,373</t>
  </si>
  <si>
    <t>에스엔에이(3/10), 시스나인(2/28)</t>
  </si>
  <si>
    <t>이비웨이브(2/18)</t>
  </si>
  <si>
    <t>이비웨이브(2/14)</t>
  </si>
  <si>
    <t>이비웨이브(2/19)</t>
  </si>
  <si>
    <t>이비웨이브(2/25)</t>
  </si>
  <si>
    <t>시스나인(2019/8/5)</t>
  </si>
  <si>
    <t>이비웨이브()</t>
  </si>
  <si>
    <t>687,067입금됨 =&gt; 계산서 금액과 안 맞음</t>
    <phoneticPr fontId="13" type="noConversion"/>
  </si>
  <si>
    <t>제이원정보</t>
  </si>
  <si>
    <t>MA(분기)-삼주</t>
  </si>
  <si>
    <t>한국메탈 분기 (10~12월) 유지정비료 -(3/4)</t>
  </si>
  <si>
    <t>네이브아이티</t>
  </si>
  <si>
    <t>상품매출</t>
  </si>
  <si>
    <t>00Y8457
기술지원</t>
  </si>
  <si>
    <t>SYSTEM BOARD for X3650M4 -800,000
엔지니어 기술지원 -200,000</t>
  </si>
  <si>
    <t>1
1</t>
  </si>
  <si>
    <t>온피아</t>
  </si>
  <si>
    <t>LENOVO SR530 1식 -21,410,000</t>
  </si>
  <si>
    <t>더힘</t>
  </si>
  <si>
    <t>MA(연간)-레노버</t>
  </si>
  <si>
    <t>CGV 수유 연간 유지정비료 (19.12.13~20.12.12)</t>
  </si>
  <si>
    <t>이브레인테크</t>
  </si>
  <si>
    <t xml:space="preserve">
5PS7A21506</t>
  </si>
  <si>
    <t>한국저작권보호원
Premier with Essential - 3Yr 24x7 4Hr Response + YourDrive YourData</t>
  </si>
  <si>
    <t xml:space="preserve">
1</t>
  </si>
  <si>
    <t xml:space="preserve">
5WS7A21830</t>
  </si>
  <si>
    <t>인스젠시스템즈
WARRANTY PreEssl - 3Y 24x7x4</t>
  </si>
  <si>
    <t>농협케미컬 연간 유지정비료 (20.01.22~21.01.21)</t>
  </si>
  <si>
    <t>넥신아이티</t>
  </si>
  <si>
    <t>덕신하우징 연간 유지정비료 (19.12.16~20.12.15)</t>
  </si>
  <si>
    <t>LENOVO SR530 1식</t>
  </si>
  <si>
    <t>아이티비</t>
  </si>
  <si>
    <t>BOARD</t>
  </si>
  <si>
    <t>X3550M4 Board</t>
  </si>
  <si>
    <t>콤텍시스템</t>
  </si>
  <si>
    <t>MA(연간)</t>
  </si>
  <si>
    <t>한화TICN 연간 유지정비료 -2,948,652</t>
  </si>
  <si>
    <t>CGV 왕십리 연간 유지정비료 (19.12.23~20.12.22)</t>
  </si>
  <si>
    <t>MA(월간)-삼주</t>
  </si>
  <si>
    <t xml:space="preserve">시큐브 12월 유지정비료 -4회 </t>
  </si>
  <si>
    <t>Premier with Essential - 3Yr 24x7 4Hr Response + YourDrive -823,000</t>
  </si>
  <si>
    <t>아이티인포</t>
  </si>
  <si>
    <t>비엠더블유코리아 11월 유지정비료 -1회 -3,507,000
비엠더블유코리아 12월 유지정비료 -2회 -3,507,000
비엠더블유코리아 20년 1월 유지정비료 -3회 -3,507,000</t>
  </si>
  <si>
    <t>1
1
1</t>
  </si>
  <si>
    <t>한국아이비엠테크니컬솔루션(10/1)</t>
  </si>
  <si>
    <t>이비웨이브(12/2)-500,000
서버메이트</t>
  </si>
  <si>
    <t>추후정리</t>
  </si>
  <si>
    <t>레노버(12/4)</t>
  </si>
  <si>
    <t>레노버(12/12)</t>
  </si>
  <si>
    <t>레노버(12/5)</t>
  </si>
  <si>
    <t>파란컴퓨터(12/6-1ea)-1,386,000
파란컴퓨터(12/6-2ea)-176,000
파란컴퓨터(12/6-1ea)-140,000
파란컴퓨터(12/6-1ea)-20,000
컴퓨존(12/6-1ea)-159,909</t>
  </si>
  <si>
    <t>이비웨이브(12/13)</t>
  </si>
  <si>
    <t>레노버(12/18)</t>
  </si>
  <si>
    <t>한국아이비엠테크니컬솔루션(12/1)</t>
  </si>
  <si>
    <t>한국아이비엠테크니컬솔루션(12/23)-5,018,000 :11,12월분
한국아이비엠테크니컬솔루션(20/1/1)-2,509,000 :20년 1월분
비에이앤티()-4,800,000
시스나인(12/30)-750,000 :분기</t>
  </si>
  <si>
    <t>11월말-&gt;2020년2말</t>
  </si>
  <si>
    <t>20년 1월말</t>
  </si>
  <si>
    <t>20년 3월말</t>
  </si>
  <si>
    <t>20년 2월말</t>
  </si>
  <si>
    <r>
      <rPr>
        <sz val="10"/>
        <rFont val="맑은 고딕"/>
        <family val="3"/>
        <charset val="129"/>
        <scheme val="major"/>
      </rPr>
      <t>IKTS(2/1)-948,000</t>
    </r>
    <r>
      <rPr>
        <sz val="10"/>
        <color rgb="FFFF0000"/>
        <rFont val="맑은 고딕"/>
        <family val="3"/>
        <charset val="129"/>
        <scheme val="major"/>
      </rPr>
      <t xml:space="preserve">
레노버(2/29)-331,500 :월간(19.11~20.05)</t>
    </r>
    <phoneticPr fontId="11" type="noConversion"/>
  </si>
  <si>
    <r>
      <rPr>
        <sz val="10"/>
        <rFont val="맑은 고딕"/>
        <family val="3"/>
        <charset val="129"/>
        <scheme val="major"/>
      </rPr>
      <t>IKTS(1/1) 2,403,000 :분기</t>
    </r>
    <r>
      <rPr>
        <sz val="10"/>
        <color rgb="FFFF0000"/>
        <rFont val="맑은 고딕"/>
        <family val="3"/>
        <charset val="129"/>
        <scheme val="major"/>
      </rPr>
      <t xml:space="preserve">
제이원정보(3/26)-119,883</t>
    </r>
    <phoneticPr fontId="11" type="noConversion"/>
  </si>
  <si>
    <t>ST250 E-2124G 4C4T 3.4GHz 1x8GB외</t>
    <phoneticPr fontId="13" type="noConversion"/>
  </si>
  <si>
    <t>7Y45A01CCN</t>
    <phoneticPr fontId="13" type="noConversion"/>
  </si>
  <si>
    <t>전월에도 있던 내역</t>
    <phoneticPr fontId="13" type="noConversion"/>
  </si>
  <si>
    <t>전월에 빠진 내역</t>
    <phoneticPr fontId="13" type="noConversion"/>
  </si>
  <si>
    <t>20년 2월말-&gt;3말</t>
    <phoneticPr fontId="13" type="noConversion"/>
  </si>
  <si>
    <t>20년 2월말-&gt;미정</t>
    <phoneticPr fontId="13" type="noConversion"/>
  </si>
  <si>
    <t>진흥마제스타워서면 입주자대표회의</t>
  </si>
  <si>
    <t>.</t>
    <phoneticPr fontId="11" type="noConversion"/>
  </si>
  <si>
    <t>3월 유지정비료 -9회</t>
    <phoneticPr fontId="11" type="noConversion"/>
  </si>
  <si>
    <t>레노버(19/6/24)-(9/12회)-1,604,102 :연간</t>
    <phoneticPr fontId="11" type="noConversion"/>
  </si>
  <si>
    <t>758,000원 입금됨 =&gt; 천원 덜 들어옴</t>
    <phoneticPr fontId="13" type="noConversion"/>
  </si>
  <si>
    <t>분기-IKTS</t>
    <phoneticPr fontId="11" type="noConversion"/>
  </si>
  <si>
    <t>4월말</t>
  </si>
  <si>
    <t>세연아이넷</t>
  </si>
  <si>
    <t>5PS7A06897
5PS7A06898</t>
  </si>
  <si>
    <t>Premier with Essential - 3Yr 24x7 4Hr Response - 22식</t>
    <phoneticPr fontId="11" type="noConversion"/>
  </si>
  <si>
    <t>월간-IKTS</t>
    <phoneticPr fontId="11" type="noConversion"/>
  </si>
  <si>
    <t>한국산림복지진흥원</t>
    <phoneticPr fontId="11" type="noConversion"/>
  </si>
  <si>
    <t>7X08A06YCN</t>
  </si>
  <si>
    <t>ThinkSystem SR530 외</t>
  </si>
  <si>
    <t>이룸SNN(2/13)</t>
  </si>
  <si>
    <t>Premier with Essential - 3Yr 24x7 4Hr Response + YourDrive YourData</t>
  </si>
  <si>
    <t>동양에스텍</t>
    <phoneticPr fontId="11" type="noConversion"/>
  </si>
  <si>
    <t>장비임대</t>
    <phoneticPr fontId="11" type="noConversion"/>
  </si>
  <si>
    <t>에스엔에이</t>
    <phoneticPr fontId="11" type="noConversion"/>
  </si>
  <si>
    <t>레노버(3/31)</t>
    <phoneticPr fontId="11" type="noConversion"/>
  </si>
  <si>
    <t>에스엠티정보기술</t>
    <phoneticPr fontId="11" type="noConversion"/>
  </si>
  <si>
    <t>7X06CT01WW</t>
    <phoneticPr fontId="11" type="noConversion"/>
  </si>
  <si>
    <t>Lenovo SR650외</t>
    <phoneticPr fontId="11" type="noConversion"/>
  </si>
  <si>
    <t>이룸에스앤앤(3/20)10,268,000 모리케이블 4,760, 퀵15,000</t>
    <phoneticPr fontId="11" type="noConversion"/>
  </si>
  <si>
    <t>이너인포</t>
  </si>
  <si>
    <t>상품</t>
  </si>
  <si>
    <t>881093-210</t>
    <phoneticPr fontId="11" type="noConversion"/>
  </si>
  <si>
    <t>96W Smart Storage Battery with 145mm Cable</t>
    <phoneticPr fontId="11" type="noConversion"/>
  </si>
  <si>
    <t>이비웨이브(3/18)</t>
    <phoneticPr fontId="11" type="noConversion"/>
  </si>
  <si>
    <t>부일철강</t>
  </si>
  <si>
    <t>임대료</t>
  </si>
  <si>
    <t>윤주영</t>
  </si>
  <si>
    <t xml:space="preserve">한국메탈 </t>
    <phoneticPr fontId="11" type="noConversion"/>
  </si>
  <si>
    <t>5월입금 어려울것 같다고..(이용찬팀장님)</t>
    <phoneticPr fontId="13" type="noConversion"/>
  </si>
  <si>
    <t>5월말일 주시기로(이현모차장님)</t>
    <phoneticPr fontId="13" type="noConversion"/>
  </si>
  <si>
    <t>WSU(BID)</t>
    <phoneticPr fontId="11" type="noConversion"/>
  </si>
  <si>
    <t>레노버(18/12/27) 28건</t>
    <phoneticPr fontId="11" type="noConversion"/>
  </si>
  <si>
    <t>군인공제회</t>
    <phoneticPr fontId="11" type="noConversion"/>
  </si>
  <si>
    <t>BID-레노버</t>
    <phoneticPr fontId="11" type="noConversion"/>
  </si>
  <si>
    <t>Premier with Essential - 5Yr 24x7 4Hr + YDYD</t>
  </si>
  <si>
    <t>레노버(3/17 BID)</t>
    <phoneticPr fontId="11" type="noConversion"/>
  </si>
  <si>
    <t>5월말</t>
  </si>
  <si>
    <t>전기초자코리아</t>
    <phoneticPr fontId="11" type="noConversion"/>
  </si>
  <si>
    <t>전기초자코리아 연간 유지정비료 (20.03.04~21.03.03)</t>
  </si>
  <si>
    <t>레노버(2/4)</t>
  </si>
  <si>
    <t>5월말</t>
    <phoneticPr fontId="11" type="noConversion"/>
  </si>
  <si>
    <t>다올시스</t>
  </si>
  <si>
    <t>대동도어</t>
    <phoneticPr fontId="11" type="noConversion"/>
  </si>
  <si>
    <t>대동도어 연간 유지정비료 (20.02.11~21.02.10)</t>
  </si>
  <si>
    <t>레노버(2/7)BID 연간 634500*2</t>
    <phoneticPr fontId="11" type="noConversion"/>
  </si>
  <si>
    <t>딜리버리히어로</t>
    <phoneticPr fontId="11" type="noConversion"/>
  </si>
  <si>
    <t>딜리버리히어로 연간 유지정비료 (20.02.07~22.02.06)-2년</t>
  </si>
  <si>
    <t>레노버(2/7)BID 연간 1,412,650</t>
    <phoneticPr fontId="11" type="noConversion"/>
  </si>
  <si>
    <t>티시아이티</t>
    <phoneticPr fontId="11" type="noConversion"/>
  </si>
  <si>
    <t>티시아이티 연간 유지정비료 (20.02.01~21.01.31)</t>
  </si>
  <si>
    <t>레노버(2/7)BID 연간 634,500*3</t>
    <phoneticPr fontId="11" type="noConversion"/>
  </si>
  <si>
    <t>CGV 불광</t>
    <phoneticPr fontId="11" type="noConversion"/>
  </si>
  <si>
    <t>CGV 불광 연간 유지정비료 (20.02.01~21.01.31)</t>
  </si>
  <si>
    <t>레노버(2/7 BID) 연간</t>
    <phoneticPr fontId="11" type="noConversion"/>
  </si>
  <si>
    <t>CGV 제주노형</t>
    <phoneticPr fontId="11" type="noConversion"/>
  </si>
  <si>
    <t>CGV 제주노형 연간 유지정비료 (20.02.01~21.01.31)</t>
  </si>
  <si>
    <t>Premier with Ess - 5Yr 24x7 +YDYD</t>
  </si>
  <si>
    <t>지마린서비스</t>
    <phoneticPr fontId="11" type="noConversion"/>
  </si>
  <si>
    <t>Premier with Essential - 4Yr 24x7 4Hr Reponse + YourDrive YourData</t>
  </si>
  <si>
    <t>CGV 서현</t>
    <phoneticPr fontId="11" type="noConversion"/>
  </si>
  <si>
    <t>연간 유지정비료 (20.02.26~21.02.25)</t>
    <phoneticPr fontId="11" type="noConversion"/>
  </si>
  <si>
    <t>81Y1620</t>
  </si>
  <si>
    <t>IBM SN 1000BASE-T (RJ45) SFP Transceiver 1g -70,000</t>
  </si>
  <si>
    <t>재고-아인시스(2014/6/24)</t>
    <phoneticPr fontId="11" type="noConversion"/>
  </si>
  <si>
    <t>한양증권</t>
    <phoneticPr fontId="11" type="noConversion"/>
  </si>
  <si>
    <t>IKTS(1/7)1,234,200 :분기</t>
  </si>
  <si>
    <t>IKTS(1/1)
300,000 :분기</t>
  </si>
  <si>
    <t>이룸에스앤앤</t>
    <phoneticPr fontId="11" type="noConversion"/>
  </si>
  <si>
    <t>Premier with Essential - 3Yr 24x7 4Hr Response + YourDrive YourData</t>
    <phoneticPr fontId="11" type="noConversion"/>
  </si>
  <si>
    <t>레노버(3/17 BID)7,686,400</t>
    <phoneticPr fontId="11" type="noConversion"/>
  </si>
  <si>
    <t>FC3279</t>
    <phoneticPr fontId="11" type="noConversion"/>
  </si>
  <si>
    <t>IBM 146GB 15K Ultra320 SCSI 3.5" HARD DISK DRIVE</t>
    <phoneticPr fontId="11" type="noConversion"/>
  </si>
  <si>
    <r>
      <t xml:space="preserve">시스나인(4/4)6,160,000
</t>
    </r>
    <r>
      <rPr>
        <sz val="9"/>
        <color rgb="FF9C0006"/>
        <rFont val="맑은 고딕"/>
        <family val="3"/>
        <charset val="129"/>
        <scheme val="minor"/>
      </rPr>
      <t>항공운임 631,000 통관비 21,705</t>
    </r>
    <phoneticPr fontId="11" type="noConversion"/>
  </si>
  <si>
    <t>인터클러스터시스템</t>
    <phoneticPr fontId="11" type="noConversion"/>
  </si>
  <si>
    <t>에셋플러스자산운용</t>
    <phoneticPr fontId="11" type="noConversion"/>
  </si>
  <si>
    <t>5PS7A27127</t>
    <phoneticPr fontId="11" type="noConversion"/>
  </si>
  <si>
    <t>Premier 3Yr</t>
    <phoneticPr fontId="11" type="noConversion"/>
  </si>
  <si>
    <r>
      <t xml:space="preserve">레노버() 465,030(2ea) 
</t>
    </r>
    <r>
      <rPr>
        <sz val="9"/>
        <rFont val="맑은 고딕"/>
        <family val="3"/>
        <charset val="129"/>
        <scheme val="major"/>
      </rPr>
      <t>레노버(3/17 BID) 343,650*3</t>
    </r>
    <phoneticPr fontId="11" type="noConversion"/>
  </si>
  <si>
    <t>FC3648</t>
    <phoneticPr fontId="11" type="noConversion"/>
  </si>
  <si>
    <t>IBM 300GB 15K 3.5" SAS</t>
    <phoneticPr fontId="11" type="noConversion"/>
  </si>
  <si>
    <r>
      <t xml:space="preserve">에스엔에이(4/4)2,700,000
</t>
    </r>
    <r>
      <rPr>
        <sz val="9"/>
        <color rgb="FF9C0006"/>
        <rFont val="맑은 고딕"/>
        <family val="3"/>
        <charset val="129"/>
        <scheme val="minor"/>
      </rPr>
      <t>통관비 21,705</t>
    </r>
    <phoneticPr fontId="11" type="noConversion"/>
  </si>
  <si>
    <t>한국침례신학원</t>
    <phoneticPr fontId="11" type="noConversion"/>
  </si>
  <si>
    <t>3월 유지정비료 -30회 (30/36)</t>
    <phoneticPr fontId="11" type="noConversion"/>
  </si>
  <si>
    <t>레노버(3/31)-(3/3)-685,530 :분기</t>
    <phoneticPr fontId="11" type="noConversion"/>
  </si>
  <si>
    <t>레노버(3/31)-분기 7,768,800
시스나인(3/31) -분기 1Q 4,500,000</t>
    <phoneticPr fontId="11" type="noConversion"/>
  </si>
  <si>
    <t>아름방송</t>
    <phoneticPr fontId="11" type="noConversion"/>
  </si>
  <si>
    <t>001GR493</t>
    <phoneticPr fontId="11" type="noConversion"/>
  </si>
  <si>
    <t>X3550M4 V2 BOARD</t>
    <phoneticPr fontId="11" type="noConversion"/>
  </si>
  <si>
    <t>이비웨이브(3/10), SM</t>
    <phoneticPr fontId="11" type="noConversion"/>
  </si>
  <si>
    <t>867959-B21</t>
    <phoneticPr fontId="11" type="noConversion"/>
  </si>
  <si>
    <t>HPE DL360 Gen10 8SFF CTO Server 외</t>
    <phoneticPr fontId="11" type="noConversion"/>
  </si>
  <si>
    <t>신세계아이앤씨(3/18) 47,205,000중12셑
신세계아이앤씨(3/25) 12,876,000
모리케이블(19/12/16) 57,120 퀵45,000</t>
    <phoneticPr fontId="11" type="noConversion"/>
  </si>
  <si>
    <t>(5/14)</t>
    <phoneticPr fontId="11" type="noConversion"/>
  </si>
  <si>
    <t>서울문화재단</t>
  </si>
  <si>
    <t>23-0000092-02</t>
  </si>
  <si>
    <t>POWER SUPPLY for BROCADE 6510</t>
  </si>
  <si>
    <t>이비웨이브() 300,000</t>
    <phoneticPr fontId="11" type="noConversion"/>
  </si>
  <si>
    <t>7XB7A00027</t>
  </si>
  <si>
    <t>LENOVO HDD 1.2TB 10K SAS 12Gb/s 2.5''</t>
  </si>
  <si>
    <t>수원스마트시티</t>
  </si>
  <si>
    <t>XYT17</t>
  </si>
  <si>
    <t>DELL X520-D2 10G NIC DUAL PORT</t>
  </si>
  <si>
    <t>동양미래대학교</t>
  </si>
  <si>
    <t>X306A-R5</t>
  </si>
  <si>
    <t>2TB DISK for NEPAPP FAS3210</t>
  </si>
  <si>
    <t>중앙전파관리소</t>
  </si>
  <si>
    <t>81Y2432</t>
  </si>
  <si>
    <t>BATTERY for DS5020</t>
  </si>
  <si>
    <t>이룸에스엔엔(4/28) 242,000</t>
    <phoneticPr fontId="11" type="noConversion"/>
  </si>
  <si>
    <t>이비웨이브() 2*200,000</t>
    <phoneticPr fontId="11" type="noConversion"/>
  </si>
  <si>
    <t>이비웨이브() 150,000</t>
    <phoneticPr fontId="11" type="noConversion"/>
  </si>
  <si>
    <t>이비웨이브() 350,000</t>
    <phoneticPr fontId="11" type="noConversion"/>
  </si>
  <si>
    <t>5월 유지정비료 -5회</t>
    <phoneticPr fontId="11" type="noConversion"/>
  </si>
  <si>
    <t>서버메이트
서버제니스 연 60</t>
    <phoneticPr fontId="11" type="noConversion"/>
  </si>
  <si>
    <t>5월 유지정비료 -12회</t>
    <phoneticPr fontId="11" type="noConversion"/>
  </si>
  <si>
    <r>
      <rPr>
        <sz val="9"/>
        <rFont val="맑은 고딕"/>
        <family val="3"/>
        <charset val="129"/>
        <scheme val="major"/>
      </rPr>
      <t>IKTS(5/1)-948,000</t>
    </r>
    <r>
      <rPr>
        <sz val="9"/>
        <color rgb="FFFF0000"/>
        <rFont val="맑은 고딕"/>
        <family val="3"/>
        <charset val="129"/>
        <scheme val="major"/>
      </rPr>
      <t xml:space="preserve">
레노버(5/말)-331,500 :월간(19.11~20.05)</t>
    </r>
    <phoneticPr fontId="11" type="noConversion"/>
  </si>
  <si>
    <t>5월 유지정비료 -9회</t>
    <phoneticPr fontId="11" type="noConversion"/>
  </si>
  <si>
    <r>
      <rPr>
        <sz val="9"/>
        <rFont val="맑은 고딕"/>
        <family val="3"/>
        <charset val="129"/>
        <scheme val="minor"/>
      </rPr>
      <t>IKTS(5/1) 2,403,000 :분기</t>
    </r>
    <r>
      <rPr>
        <sz val="9"/>
        <color rgb="FF9C0006"/>
        <rFont val="맑은 고딕"/>
        <family val="3"/>
        <charset val="129"/>
        <scheme val="minor"/>
      </rPr>
      <t xml:space="preserve">
제이원정보()-119,883</t>
    </r>
    <phoneticPr fontId="11" type="noConversion"/>
  </si>
  <si>
    <t>분기 (5~7월) 유지정비료 -(4/4)</t>
    <phoneticPr fontId="11" type="noConversion"/>
  </si>
  <si>
    <t>IKTS(20/4/1)-(2/3회)-588,000 :분기(4~6월분)</t>
    <phoneticPr fontId="11" type="noConversion"/>
  </si>
  <si>
    <t>한국디지털오디오방송</t>
    <phoneticPr fontId="11" type="noConversion"/>
  </si>
  <si>
    <t>7X06VCDP00</t>
    <phoneticPr fontId="11" type="noConversion"/>
  </si>
  <si>
    <t>SR650, Xeon Silver 4110 8C 2.1GHz, 1x16GB (2Rx8 1.2V)</t>
    <phoneticPr fontId="11" type="noConversion"/>
  </si>
  <si>
    <r>
      <t xml:space="preserve">세연()2,562,000 세연 3*255,000
이룸SNN 1,240,000 . 2*154000 / 76,000 / 148,000, </t>
    </r>
    <r>
      <rPr>
        <sz val="9"/>
        <rFont val="맑은 고딕"/>
        <family val="3"/>
        <charset val="129"/>
        <scheme val="major"/>
      </rPr>
      <t>삼성탭 450,000</t>
    </r>
    <phoneticPr fontId="11" type="noConversion"/>
  </si>
  <si>
    <t>이올테크(5/20)</t>
    <phoneticPr fontId="11" type="noConversion"/>
  </si>
  <si>
    <t>5월 유지정비료 -11회</t>
    <phoneticPr fontId="11" type="noConversion"/>
  </si>
  <si>
    <t>부가세 빼고 22만원만 들어옴</t>
    <phoneticPr fontId="13" type="noConversion"/>
  </si>
  <si>
    <t xml:space="preserve">SR650, Xeon Silver 4110 8C 2.1GHz, 1x16GB </t>
    <phoneticPr fontId="11" type="noConversion"/>
  </si>
  <si>
    <t>프레이져호텔</t>
    <phoneticPr fontId="11" type="noConversion"/>
  </si>
  <si>
    <t>3Yr 24x7 4Hr Response + YourDrive YourData</t>
    <phoneticPr fontId="11" type="noConversion"/>
  </si>
  <si>
    <t>4Yr 24x7 4Hr Reponse + YourDrive YourData</t>
    <phoneticPr fontId="13" type="noConversion"/>
  </si>
  <si>
    <t>3Yr 24x7 4Hr Response + YourDrive YourData</t>
    <phoneticPr fontId="13" type="noConversion"/>
  </si>
  <si>
    <t>딜리버리히어로 유지정비료 (20.02.07~22.02.06)-2년</t>
    <phoneticPr fontId="13" type="noConversion"/>
  </si>
  <si>
    <t>부가세 22천원만 남음</t>
    <phoneticPr fontId="13" type="noConversion"/>
  </si>
  <si>
    <t>DISK</t>
  </si>
  <si>
    <t>입금완료</t>
    <phoneticPr fontId="13" type="noConversion"/>
  </si>
  <si>
    <t>예정총액</t>
    <phoneticPr fontId="13" type="noConversion"/>
  </si>
  <si>
    <t>대형웍스</t>
  </si>
  <si>
    <t>미입금잔액</t>
    <phoneticPr fontId="13" type="noConversion"/>
  </si>
  <si>
    <t>.</t>
    <phoneticPr fontId="13" type="noConversion"/>
  </si>
  <si>
    <t>온피아</t>
    <phoneticPr fontId="13" type="noConversion"/>
  </si>
  <si>
    <t>이용찬</t>
    <phoneticPr fontId="13" type="noConversion"/>
  </si>
  <si>
    <t>507284-001</t>
  </si>
  <si>
    <t>HP 300-GB 6G 10K 2.5 DP SAS HDD</t>
  </si>
  <si>
    <t>납품완료후 익월말</t>
    <phoneticPr fontId="13" type="noConversion"/>
  </si>
  <si>
    <t>아이에스에이테크</t>
    <phoneticPr fontId="11" type="noConversion"/>
  </si>
  <si>
    <t>임대</t>
    <phoneticPr fontId="11" type="noConversion"/>
  </si>
  <si>
    <t>HPE Proliant DL360 Gen10 외</t>
    <phoneticPr fontId="11" type="noConversion"/>
  </si>
  <si>
    <t xml:space="preserve">한국메탈 </t>
  </si>
  <si>
    <t>MA</t>
  </si>
  <si>
    <t>분기-IKTS</t>
  </si>
  <si>
    <t>분기 (7~9월) 유지정비료 -(2/4)</t>
  </si>
  <si>
    <t>IKTS(7/1)분기</t>
  </si>
  <si>
    <t>8월말</t>
  </si>
  <si>
    <t>CGV 안산</t>
  </si>
  <si>
    <t>MAPAC</t>
  </si>
  <si>
    <t>연간-레노버</t>
  </si>
  <si>
    <t>연간유지정비료(20.08.20~21.08.19)</t>
  </si>
  <si>
    <t>레노버(8/20)</t>
  </si>
  <si>
    <t>11월말</t>
  </si>
  <si>
    <t>CGV 강남</t>
  </si>
  <si>
    <t>연간유지정비료(20.09.05~21.09.04)</t>
  </si>
  <si>
    <t>00Y2475</t>
  </si>
  <si>
    <t>4TB 7.2K 6G LEF NL SAS HDD</t>
  </si>
  <si>
    <t>이비웨이브(8/11) 250,000*2</t>
  </si>
  <si>
    <t>지아이테크놀러지</t>
  </si>
  <si>
    <t>녹십자지놈</t>
  </si>
  <si>
    <t>7X06A0CDCN</t>
  </si>
  <si>
    <t>SR650 외</t>
  </si>
  <si>
    <t>이룸에스앤앤(8/24)</t>
  </si>
  <si>
    <t>10월말</t>
  </si>
  <si>
    <t>CJ헬로비전(송도)</t>
  </si>
  <si>
    <t>BID-레노버</t>
  </si>
  <si>
    <t>8월 유지정비료 -8회</t>
  </si>
  <si>
    <t>레노버(20/2/7) BID 연간 5,103,900(7/12회)</t>
  </si>
  <si>
    <t>한국침례신학대학교</t>
  </si>
  <si>
    <t>월간-레노버</t>
  </si>
  <si>
    <t>8월 유지정비료 -6회</t>
  </si>
  <si>
    <t>레노버(8/31)</t>
  </si>
  <si>
    <t>삼성중공업</t>
  </si>
  <si>
    <t>분기-레노버</t>
  </si>
  <si>
    <t>레노버(9/30)-분기 6,709,500 2/3회
시스나인(9/28) -분기 3Q 4,500,000(2/3회)</t>
  </si>
  <si>
    <t>미정</t>
  </si>
  <si>
    <t>Prem Ess 3Yr 24x7 4Hr</t>
  </si>
  <si>
    <t>OB맥주</t>
  </si>
  <si>
    <t>9월 유지정비료 -9회</t>
  </si>
  <si>
    <t>IKTS(7/1)분기 1,234,200(3/3회)</t>
  </si>
  <si>
    <t>한길더블류아이티</t>
  </si>
  <si>
    <t>한국엔에스케이</t>
  </si>
  <si>
    <t>9월 유지정비료 6/12회</t>
  </si>
  <si>
    <t>IKTS(7/1) 분기(3/3회)</t>
  </si>
  <si>
    <t>에스엔에이</t>
  </si>
  <si>
    <t>HDD</t>
  </si>
  <si>
    <t>1.2TB 12G 2.5" 10K Ent HDD</t>
  </si>
  <si>
    <t>시스나인(10/5) 190,000*24 
통관비 20,000 운송비 13,000*2</t>
  </si>
  <si>
    <t>에스엠티정보기술</t>
  </si>
  <si>
    <t>FITI</t>
  </si>
  <si>
    <t>SR650</t>
  </si>
  <si>
    <t>이룸에스앤앤(9/21) 13,532,000
모리케이블 9,520 운송비 15,000</t>
  </si>
  <si>
    <t>Power Supply for X3550M5</t>
  </si>
  <si>
    <t>재고, 운송비 10,000</t>
  </si>
  <si>
    <t>동양에스텍</t>
  </si>
  <si>
    <t>9월 유지정비료 -(36/36)</t>
  </si>
  <si>
    <t>레노버(9/30)-685,530 :분기 3/3</t>
  </si>
  <si>
    <t>스마트로</t>
  </si>
  <si>
    <t>레노버(2/5 BID) 연간 2,103,200*2건 (5/12회)
레노버(2/7 BID) 연간 1,886,000 (5/12회)</t>
  </si>
  <si>
    <t>한미약품</t>
  </si>
  <si>
    <t>월간</t>
  </si>
  <si>
    <t>유지정비료 9월</t>
  </si>
  <si>
    <t>SM</t>
  </si>
  <si>
    <t>9월 유지정비료 -7회</t>
  </si>
  <si>
    <t>레노버(9/30)</t>
  </si>
  <si>
    <t>레노버(9/30)-분기 6,709,500 3/3회
시스나인(9/28) -분기 3Q 4,500,000(3/3회)</t>
  </si>
  <si>
    <t>두원정공</t>
  </si>
  <si>
    <t>연간-IKTS</t>
  </si>
  <si>
    <t>9월 유지정비료 -3회</t>
  </si>
  <si>
    <t>레노버(7/1)연간 443.362 (3/12회)
IKTS(8/1) 연간 734,400 (3/12회)</t>
  </si>
  <si>
    <t>엔콤</t>
  </si>
  <si>
    <t>전북도시가스</t>
  </si>
  <si>
    <t>9월 유지정비료 (6회)</t>
  </si>
  <si>
    <t>IKTS(7/1)분기 7~9월(3/3회차)2,580,000
레노버(4/7)연간 3,117,800(5/12회)</t>
  </si>
  <si>
    <t>신용보증재단중앙회</t>
  </si>
  <si>
    <t>9월 유지정비료 3/12회</t>
  </si>
  <si>
    <t>삼주(8/18) 분기 8,009,000(3/3회)
레노버(8/11) 연간 1,140,825
시스나인(10/30) 연간 1,800,000(3/12회)
제이에스(9/25) 월 250,000</t>
  </si>
  <si>
    <t>연합정밀</t>
  </si>
  <si>
    <t>월간-IKTS</t>
  </si>
  <si>
    <t>10월 유지정비료 -5회</t>
  </si>
  <si>
    <t>IKTS(10/1)분기1,929,000 1/3회차</t>
  </si>
  <si>
    <t>GS건설</t>
  </si>
  <si>
    <t>10월 유지정비료 -10회</t>
  </si>
  <si>
    <t>IKTS(10/1)  :분기6,132,000(1/3회)</t>
  </si>
  <si>
    <t>비엠더블유코리아(역삼)</t>
  </si>
  <si>
    <t>10월 유지정비료 -12회</t>
  </si>
  <si>
    <t>IKTS(10/1)-2,509,000
시스나인(8/3)-750,000 :분기(8~10월)(3/3회차)
비에이앤티(10/30) 400,000</t>
  </si>
  <si>
    <t>피코스코리아</t>
  </si>
  <si>
    <t>한국소비자보호원</t>
  </si>
  <si>
    <t>IBM V3700 스토리지 유지보수 9월 -(7/10회)</t>
  </si>
  <si>
    <t>투아이시스 삼성지점</t>
  </si>
  <si>
    <t>YKK코리아</t>
  </si>
  <si>
    <t>10월 유지정비료 -7/9회</t>
  </si>
  <si>
    <t>IKTS(10/1) 291,800
시스나인()Q4(2,250,000) 1/3회차</t>
  </si>
  <si>
    <t>메이슨캐피탈(한국종합캐피탈)</t>
  </si>
  <si>
    <t>10월 유지정비료 -9회</t>
  </si>
  <si>
    <t>IKTS(10/1)</t>
  </si>
  <si>
    <t>솔트웨어</t>
  </si>
  <si>
    <t>한국정보통신</t>
  </si>
  <si>
    <t>유지정비료 24x7x4 (2020.09.29~2020.12.31)</t>
  </si>
  <si>
    <t>레노버(10/8) 9월 12,200
레노버(10/31) 183,000 * 3월</t>
  </si>
  <si>
    <t>25R8088</t>
  </si>
  <si>
    <t>BATTERY for RAID 8K</t>
  </si>
  <si>
    <t>3Y SYS(재고), 퀵 12,000</t>
  </si>
  <si>
    <t>10월 유지정비료 -6회</t>
  </si>
  <si>
    <t>서버제니스(10/30)</t>
  </si>
  <si>
    <t>KDMC</t>
  </si>
  <si>
    <t>21세기병원</t>
  </si>
  <si>
    <t>묵동</t>
  </si>
  <si>
    <t>10월 유지정비료 -11회</t>
  </si>
  <si>
    <t>서버제니스(10/31)</t>
  </si>
  <si>
    <t>653952-001</t>
  </si>
  <si>
    <t>HP 600GB 15K rpm 6Gb SAS</t>
  </si>
  <si>
    <t>이비웨이브(10/1)</t>
  </si>
  <si>
    <t>432320-001</t>
  </si>
  <si>
    <t>HP 146GB 3G 10K SFF SAS [USED]</t>
  </si>
  <si>
    <t>71P8644</t>
  </si>
  <si>
    <t>SERVERAID 7K Controller</t>
  </si>
  <si>
    <t>이비웨이브(10/10)</t>
  </si>
  <si>
    <t>아이원</t>
  </si>
  <si>
    <t>EMC DataDomain P-X-2UC-2TBS for DD2200</t>
  </si>
  <si>
    <t>프레이(10/30)</t>
  </si>
  <si>
    <t>713985-B21</t>
  </si>
  <si>
    <t>HP 16GB 2Rx4 PC3L-12800R-11</t>
  </si>
  <si>
    <t>이비웨이브(10/20)</t>
  </si>
  <si>
    <t>005-051-840</t>
  </si>
  <si>
    <t>EMC DataDomain P-X-2UC-2TBS for DD2200 [USED]</t>
  </si>
  <si>
    <t>트리빗(10/23)</t>
  </si>
  <si>
    <t>업그레이드</t>
  </si>
  <si>
    <t>임상연구관리서버 업그레이드</t>
  </si>
  <si>
    <t>신세계아이앤씨(10/30)</t>
  </si>
  <si>
    <t>장비임대</t>
  </si>
  <si>
    <t>IBM P720 서버 임대(20/09/16~20/10/15)</t>
  </si>
  <si>
    <t>에스엔에이(10/16)</t>
  </si>
  <si>
    <t>교세라코리아</t>
  </si>
  <si>
    <t>연간유지정비료(20.10.01~21.09.30)</t>
  </si>
  <si>
    <t>IKTS(10/7)</t>
  </si>
  <si>
    <t>꼬망스</t>
  </si>
  <si>
    <t xml:space="preserve">10월 유지정비료 -2회 </t>
  </si>
  <si>
    <t>서버제니스(10/30) 연60</t>
  </si>
  <si>
    <t>강동대학교</t>
  </si>
  <si>
    <t>10월 유지정비료 -2회</t>
  </si>
  <si>
    <t>IKTS(10/1) 분기(1/3회)</t>
  </si>
  <si>
    <t>청주시청</t>
  </si>
  <si>
    <t xml:space="preserve">세스코 </t>
  </si>
  <si>
    <t xml:space="preserve">대전선병원 </t>
  </si>
  <si>
    <t>10월 유지정비료 -7회</t>
  </si>
  <si>
    <t>IKTS(10/1)분기 2,823,000(1/3회)</t>
  </si>
  <si>
    <t xml:space="preserve">대전보훈병원 </t>
  </si>
  <si>
    <t>IKTS(10/1)분기 1,439,100 (1/3회)</t>
  </si>
  <si>
    <t>원앤원</t>
  </si>
  <si>
    <t>10월 유지정비료 -3회</t>
  </si>
  <si>
    <t>송원산업</t>
  </si>
  <si>
    <t>10월 유지정비료</t>
  </si>
  <si>
    <t>레노버(2/7 BID) 연간 8,631,300
IKTS(10/1)-(2/5회)-분기 2,133,000
코오롱베니트(8/31) 1,070,000 연간(9/12)</t>
  </si>
  <si>
    <t>동강의료재단</t>
  </si>
  <si>
    <t>10월 유지정비료 5회</t>
  </si>
  <si>
    <t xml:space="preserve">레노버(10/2) </t>
  </si>
  <si>
    <t>서한이앤피</t>
  </si>
  <si>
    <t>10월 유지정비료 2회</t>
  </si>
  <si>
    <t>레노버(9/14)연간 747,792 (2/12회)</t>
  </si>
  <si>
    <t>태영인더스트리</t>
  </si>
  <si>
    <t>레노버(9/14)연간 1,342,388 (2/12회)</t>
  </si>
  <si>
    <t>한일전기</t>
  </si>
  <si>
    <t>IKTS(10/1)-(1/3)-2,137,800 :분기</t>
  </si>
  <si>
    <t>우창정기</t>
  </si>
  <si>
    <t>성원제강</t>
  </si>
  <si>
    <t>IKTS()-(1/3)-456,000 :분기</t>
  </si>
  <si>
    <t>문배철강</t>
  </si>
  <si>
    <t>IKTS(10/1)-(1/3)-:분기799,200</t>
  </si>
  <si>
    <t>한일철강</t>
  </si>
  <si>
    <t>IKTS(10/1)-(1/3)-1,326,900 :분기</t>
  </si>
  <si>
    <t>김앤장</t>
  </si>
  <si>
    <t>동우화인켐</t>
  </si>
  <si>
    <t xml:space="preserve">10월 유지정비료 추가분 -19/24회 </t>
  </si>
  <si>
    <t>레노버(10/31) 681,600 레노버(10/31) 76,800</t>
  </si>
  <si>
    <t>프라테르(10/30)-1,490,750
IKTS(10/1)-(1/3회)-6,480,600 :분기
현성솔루션(10/30)-320,000
유니와이드테크놀러지()-290,000
에스엔에이(10/30)-700,000
시스나인()-5,000,000(분기 4Q) 1/3회
코오롱베니트(19/8/30)-(10/12)-4,940,000 :연간
레노버(2/7) BID연간 519,500+1,187,550
이비웨이브(10/13 600G 130,000</t>
  </si>
  <si>
    <t xml:space="preserve">NTB코리아 </t>
  </si>
  <si>
    <t>분기 (10~12월) 유지정비료 -(4/4)</t>
  </si>
  <si>
    <t>넥상스/극동전선</t>
  </si>
  <si>
    <t>분기 (10~12월) 유지정비료 -(3/4)</t>
  </si>
  <si>
    <t>IKTS(10/1)분기</t>
  </si>
  <si>
    <t>알티캐스트</t>
  </si>
  <si>
    <t>Battery</t>
  </si>
  <si>
    <t>Dell PowerVault MD3200 Cache Battery (중고)</t>
  </si>
  <si>
    <t>다우기술</t>
  </si>
  <si>
    <t>IBK투자증권</t>
  </si>
  <si>
    <t>레노버(10/21)</t>
  </si>
  <si>
    <t>아이피맥스</t>
  </si>
  <si>
    <t>한화손해사정</t>
  </si>
  <si>
    <t>UPS</t>
  </si>
  <si>
    <t>APC SRT5KXLI [ 5 kVA UPS ] / 3U 외</t>
  </si>
  <si>
    <t>RMS(10/27) 7,000,000
RMS(11/4) 전력선2개추가 50,000*2
SM</t>
  </si>
  <si>
    <t>서초</t>
  </si>
  <si>
    <t>11월 유지정비료 -11회</t>
  </si>
  <si>
    <t>서버메이트
서버제니스 연 60
시스나인(7/1) 1,200,000/12 (10/12회차)</t>
  </si>
  <si>
    <t>해안종합건축사사무소</t>
  </si>
  <si>
    <t>11월 유지정비료 -6회</t>
  </si>
  <si>
    <t>IKTS(11/1)-952,900
레노버(5/28)연간 3,213,439 (6/12회)
에스엔에이(11/15) 200,000</t>
  </si>
  <si>
    <t>제이티캐피탈</t>
  </si>
  <si>
    <t>IKTS(10/1)-1,324,000
에스엔에이()-295,000
키미데이타(10/31)-70,000
유니포인트(10/30)-1,350,000
코오롱베니트(9/29) 1,397,000연간(2/12회)
시스나인(10/5) 2,500,000
운반비 283,000</t>
  </si>
  <si>
    <t>유진투자증권</t>
  </si>
  <si>
    <t>IBM유지보수 11월분 5/12회</t>
  </si>
  <si>
    <t>레노버(11말) 중 40,200
레노버(12말) 중 161,000</t>
  </si>
  <si>
    <t>11월 유지정비료 -9회</t>
  </si>
  <si>
    <t>이올테크()</t>
  </si>
  <si>
    <t>우리앤</t>
  </si>
  <si>
    <t>건물임대</t>
  </si>
  <si>
    <t>11월 임대료(20.10.26~20.11.25)</t>
  </si>
  <si>
    <t>X</t>
  </si>
  <si>
    <t>11월 유지정비료 -9/10회</t>
  </si>
  <si>
    <t>이현모</t>
    <phoneticPr fontId="13" type="noConversion"/>
  </si>
  <si>
    <t>입금예정일</t>
    <phoneticPr fontId="11" type="noConversion"/>
  </si>
  <si>
    <t>공급가액만 완료(9/3)
부가세 추후주기로</t>
    <phoneticPr fontId="11" type="noConversion"/>
  </si>
  <si>
    <t>IKTS(11/1)-952,900
레노버(5/28)연간 3,213,439 (6/12회)
에스엔에이(11/15) 200,001</t>
  </si>
  <si>
    <t>서버</t>
  </si>
  <si>
    <t>월간-IBM</t>
  </si>
  <si>
    <t>서버</t>
    <phoneticPr fontId="11" type="noConversion"/>
  </si>
  <si>
    <t>건물임대</t>
    <phoneticPr fontId="11" type="noConversion"/>
  </si>
  <si>
    <t>임대료</t>
    <phoneticPr fontId="11" type="noConversion"/>
  </si>
  <si>
    <t>윤주영</t>
    <phoneticPr fontId="11" type="noConversion"/>
  </si>
  <si>
    <t>월간-IBM</t>
    <phoneticPr fontId="11" type="noConversion"/>
  </si>
  <si>
    <t>기술지원</t>
    <phoneticPr fontId="11" type="noConversion"/>
  </si>
  <si>
    <t>분기-레노버</t>
    <phoneticPr fontId="11" type="noConversion"/>
  </si>
  <si>
    <t>김대훈</t>
    <phoneticPr fontId="11" type="noConversion"/>
  </si>
  <si>
    <t>11월 유지정비료 - 7/12회</t>
    <phoneticPr fontId="11" type="noConversion"/>
  </si>
  <si>
    <t>11월 유지정비료 - 5/12회</t>
    <phoneticPr fontId="11" type="noConversion"/>
  </si>
  <si>
    <t>11월 유지정비료 - 6/12회</t>
    <phoneticPr fontId="11" type="noConversion"/>
  </si>
  <si>
    <t>11월말</t>
    <phoneticPr fontId="11" type="noConversion"/>
  </si>
  <si>
    <t>서버임대</t>
  </si>
  <si>
    <t>90Y8878(USED)</t>
  </si>
  <si>
    <t>300GB 10K 6GB SAS 2.5</t>
  </si>
  <si>
    <t>X3650M5 임대 (Xeon E5-2640v3 2.6GHz 8C x2 / 128GB Memory / 600GB SAS x4 / Power x2)(25/1/2~25/2/1)</t>
  </si>
  <si>
    <t>X3650M5 임대 (Xeon E5-2640v3 2.6GHz 8C x2 / 128GB Memory / 600GB SAS x4 / Power x2)
(25/2/2~25/3/1)</t>
  </si>
  <si>
    <t>x3650M5 임대 (Xeon E5-2699v4)
(2025.03.01~3.31)</t>
  </si>
  <si>
    <t>X3650M5 임대 (Xeon E5-2640v3 2.6GHz 8C x2 / 128GB Memory / 600GB SAS x4 / Power x2)(25/3/2~4/1)</t>
  </si>
  <si>
    <t>X3650M5 임대 (Xeon E5-2640v3 2.6GHz 8C x2 / 128GB Memory / 600GB SAS x4 / Power x2)
(4월1일~4월30일)</t>
  </si>
  <si>
    <t>임대료(25/6/8~7/7) - 3/12회</t>
  </si>
  <si>
    <t>분기</t>
    <phoneticPr fontId="11" type="noConversion"/>
  </si>
  <si>
    <t>월간-DCSS</t>
    <phoneticPr fontId="11" type="noConversion"/>
  </si>
  <si>
    <t>PC</t>
    <phoneticPr fontId="11" type="noConversion"/>
  </si>
  <si>
    <t>임대료(25/8/8~9/7) - 5/12회</t>
    <phoneticPr fontId="11" type="noConversion"/>
  </si>
  <si>
    <t>74Y6496</t>
  </si>
  <si>
    <t>IBM 300GB 15K SAS 2.5 HDD</t>
  </si>
  <si>
    <t>9월 유지정비료 - 3/12회</t>
    <phoneticPr fontId="11" type="noConversion"/>
  </si>
  <si>
    <t>9월 유지정비료 - 7/12회</t>
    <phoneticPr fontId="11" type="noConversion"/>
  </si>
  <si>
    <t>임대료(25/7/8~8/7) - 4/12회</t>
  </si>
  <si>
    <t>임대료(25/9/8~10/7) - 6/12회</t>
    <phoneticPr fontId="11" type="noConversion"/>
  </si>
  <si>
    <t>9월 유지정비료 - 9/12회</t>
    <phoneticPr fontId="11" type="noConversion"/>
  </si>
  <si>
    <t>9월 유지정비료 - 8/47회차</t>
    <phoneticPr fontId="11" type="noConversion"/>
  </si>
  <si>
    <t>9월 유지정비료 - 2/12회</t>
    <phoneticPr fontId="11" type="noConversion"/>
  </si>
  <si>
    <t>9월 유지정비료 - 17/32회</t>
    <phoneticPr fontId="11" type="noConversion"/>
  </si>
  <si>
    <t>(부품) 9월 유지정비료 - 9/12회</t>
    <phoneticPr fontId="11" type="noConversion"/>
  </si>
  <si>
    <t>9월 유지정비료 - 4/19회</t>
    <phoneticPr fontId="11" type="noConversion"/>
  </si>
  <si>
    <t>한국항공 RPA부문 - Lenovo HX5520 유지보수(25.7~25.9) 유지정비료 - 11/11회</t>
    <phoneticPr fontId="11" type="noConversion"/>
  </si>
  <si>
    <t>한국항공HW유지보수-Lenovo부문 백라인계약
(25.7~25.9) 유지보수 - 8/9회</t>
    <phoneticPr fontId="11" type="noConversion"/>
  </si>
  <si>
    <t>2025년 e-HR서버 3분기 유지보수 3/4회</t>
    <phoneticPr fontId="11" type="noConversion"/>
  </si>
  <si>
    <t>3분기 유지정비료 - 3/4회</t>
    <phoneticPr fontId="11" type="noConversion"/>
  </si>
  <si>
    <t>엔지니어 출장 지원(11회 7/15~8/21)</t>
    <phoneticPr fontId="11" type="noConversion"/>
  </si>
  <si>
    <t xml:space="preserve">Lenovo ThinkSystem SR630v3  </t>
  </si>
  <si>
    <t>10월 유지정비료 - 26/35회</t>
    <phoneticPr fontId="11" type="noConversion"/>
  </si>
  <si>
    <t>분기(10~12월) 유지정비료 - 12/12회</t>
    <phoneticPr fontId="11" type="noConversion"/>
  </si>
  <si>
    <t>연간유지정비료(2025.10.01~26.09.30)</t>
    <phoneticPr fontId="11" type="noConversion"/>
  </si>
  <si>
    <t>BOARD SYSTEM Maintenance 10월분 - 1/12회</t>
    <phoneticPr fontId="11" type="noConversion"/>
  </si>
  <si>
    <t>LG 슬림 PC</t>
    <phoneticPr fontId="11" type="noConversion"/>
  </si>
  <si>
    <t xml:space="preserve">LG 슬림 PC 납품  </t>
    <phoneticPr fontId="11" type="noConversion"/>
  </si>
  <si>
    <t xml:space="preserve">YKK서울 PC 교체 작업 잔금 (50%) </t>
    <phoneticPr fontId="11" type="noConversion"/>
  </si>
  <si>
    <t>10월 유지정비료 - 6/12회</t>
    <phoneticPr fontId="11" type="noConversion"/>
  </si>
  <si>
    <t>10월 유지정비료 - 9/12회</t>
    <phoneticPr fontId="11" type="noConversion"/>
  </si>
  <si>
    <t>10월 유지정비료 - 2/12회</t>
    <phoneticPr fontId="11" type="noConversion"/>
  </si>
  <si>
    <t>10월 유지정비료 - 11/12회</t>
    <phoneticPr fontId="11" type="noConversion"/>
  </si>
  <si>
    <t>10월 유지정비료 - 10/12회</t>
    <phoneticPr fontId="11" type="noConversion"/>
  </si>
  <si>
    <t>10월 유지정비료 - 4/12회</t>
    <phoneticPr fontId="11" type="noConversion"/>
  </si>
  <si>
    <t>라벨 프린터</t>
  </si>
  <si>
    <t>SEWOO Label Printer - LK-B20II</t>
  </si>
  <si>
    <t>탭</t>
    <phoneticPr fontId="11" type="noConversion"/>
  </si>
  <si>
    <t>삼성 갤럭시탭 S10 플러스(5G / 512GB / 플래티넘실버</t>
    <phoneticPr fontId="11" type="noConversion"/>
  </si>
  <si>
    <t>00Y2432(USED)</t>
  </si>
  <si>
    <t>1.2TB 10K 6G SAS 2.5inch Hard Drive</t>
  </si>
  <si>
    <t>W347K</t>
  </si>
  <si>
    <t>Dell 600GB 15K SAS 3.5"</t>
  </si>
  <si>
    <t>임대료(25/10/8~11/7) - 7/12회</t>
    <phoneticPr fontId="11" type="noConversion"/>
  </si>
  <si>
    <t>10월 유지정비료 - 34/38회</t>
    <phoneticPr fontId="11" type="noConversion"/>
  </si>
  <si>
    <t>10월 유지정비료 - 31/36회</t>
    <phoneticPr fontId="11" type="noConversion"/>
  </si>
  <si>
    <t>10월 유지정비료 - 32/46회</t>
    <phoneticPr fontId="11" type="noConversion"/>
  </si>
  <si>
    <t>10월 유지정비료 - 18/24회</t>
    <phoneticPr fontId="11" type="noConversion"/>
  </si>
  <si>
    <t>10월 유지정비료 - 18/32회</t>
    <phoneticPr fontId="11" type="noConversion"/>
  </si>
  <si>
    <t>10월 유지정비료 - 19/21회</t>
    <phoneticPr fontId="11" type="noConversion"/>
  </si>
  <si>
    <t>10월 유지정비료 - 13/15회</t>
    <phoneticPr fontId="11" type="noConversion"/>
  </si>
  <si>
    <t>10월 유지정비료</t>
    <phoneticPr fontId="11" type="noConversion"/>
  </si>
  <si>
    <t>HW 10월 유지정비료 - 8/12회</t>
    <phoneticPr fontId="11" type="noConversion"/>
  </si>
  <si>
    <t>10월 유지정비료 - 7/12회</t>
    <phoneticPr fontId="11" type="noConversion"/>
  </si>
  <si>
    <t>삼표 DB세이퍼 유지보수 - 10월(3/12회)</t>
    <phoneticPr fontId="11" type="noConversion"/>
  </si>
  <si>
    <t>4XB7A38176</t>
  </si>
  <si>
    <t>ThinkSystem 2.5인치 PM1643a 1.92TB SAS 12Gb SSD[Used]</t>
  </si>
  <si>
    <t>이전</t>
    <phoneticPr fontId="11" type="noConversion"/>
  </si>
  <si>
    <t>서버이전 설치비(29~30일 작업예정)</t>
    <phoneticPr fontId="11" type="noConversion"/>
  </si>
  <si>
    <t>11월 유지정비료 - 19/36회</t>
    <phoneticPr fontId="11" type="noConversion"/>
  </si>
  <si>
    <r>
      <t>VPN 서비스 11월임대료 - 11/</t>
    </r>
    <r>
      <rPr>
        <sz val="9"/>
        <rFont val="맑은 고딕"/>
        <family val="3"/>
        <charset val="129"/>
        <scheme val="minor"/>
      </rPr>
      <t>12회 280,000</t>
    </r>
    <r>
      <rPr>
        <sz val="9"/>
        <color theme="1"/>
        <rFont val="맑은 고딕"/>
        <family val="3"/>
        <charset val="129"/>
        <scheme val="minor"/>
      </rPr>
      <t xml:space="preserve">
+ 보안스위치 11월 2대*120,000</t>
    </r>
    <phoneticPr fontId="11" type="noConversion"/>
  </si>
  <si>
    <t>VPN 서비스 11월임대료 - 11/12회</t>
    <phoneticPr fontId="11" type="noConversion"/>
  </si>
  <si>
    <t>11월 유지정비료 - 3/12회</t>
    <phoneticPr fontId="11" type="noConversion"/>
  </si>
  <si>
    <t>11월 유지정비료 - 1/12회</t>
    <phoneticPr fontId="11" type="noConversion"/>
  </si>
  <si>
    <t>10월 임대료 (10/12~11/11) - 3/12회</t>
    <phoneticPr fontId="11" type="noConversion"/>
  </si>
  <si>
    <t>11월 임대료 - 8/24회</t>
    <phoneticPr fontId="11" type="noConversion"/>
  </si>
  <si>
    <t>11월 임대료 (10/20~11/19) - 3/12회</t>
    <phoneticPr fontId="11" type="noConversion"/>
  </si>
  <si>
    <t>10월 유지정비료 - 22/36회</t>
    <phoneticPr fontId="11" type="noConversion"/>
  </si>
  <si>
    <t>서버임대 SR650 2식 - 26/36회</t>
    <phoneticPr fontId="11" type="noConversion"/>
  </si>
  <si>
    <t>11월 유지정비료 - 8/36회</t>
    <phoneticPr fontId="11" type="noConversion"/>
  </si>
  <si>
    <t>11월 유지정비료 - 9/12회</t>
    <phoneticPr fontId="11" type="noConversion"/>
  </si>
  <si>
    <t>9월 유지정비료 - 8/47회</t>
    <phoneticPr fontId="11" type="noConversion"/>
  </si>
  <si>
    <t>스*</t>
  </si>
  <si>
    <t>인*</t>
  </si>
  <si>
    <t>시*</t>
  </si>
  <si>
    <t>에*</t>
  </si>
  <si>
    <t>다*</t>
  </si>
  <si>
    <t>이*</t>
  </si>
  <si>
    <t>투*</t>
  </si>
  <si>
    <t>케*</t>
  </si>
  <si>
    <t>지*</t>
  </si>
  <si>
    <t>리*</t>
  </si>
  <si>
    <t>와*</t>
  </si>
  <si>
    <t>신*</t>
  </si>
  <si>
    <t>연*</t>
  </si>
  <si>
    <t>비*</t>
  </si>
  <si>
    <t>애*</t>
  </si>
  <si>
    <t>강*</t>
  </si>
  <si>
    <t>삼*</t>
  </si>
  <si>
    <t>아*</t>
  </si>
  <si>
    <t>솔*</t>
  </si>
  <si>
    <t>서*</t>
  </si>
  <si>
    <t>광*널</t>
  </si>
  <si>
    <t>나*</t>
  </si>
  <si>
    <t>락*</t>
  </si>
  <si>
    <t>퓨*</t>
  </si>
  <si>
    <t>제*</t>
  </si>
  <si>
    <t>페*</t>
  </si>
  <si>
    <t>엔*</t>
  </si>
  <si>
    <t>온*</t>
  </si>
  <si>
    <t>엠*</t>
  </si>
  <si>
    <t>유*</t>
  </si>
  <si>
    <t>한*</t>
  </si>
  <si>
    <t>택*</t>
  </si>
  <si>
    <t>하*</t>
  </si>
  <si>
    <t>동*</t>
  </si>
  <si>
    <t>해*</t>
  </si>
  <si>
    <t>왕*</t>
  </si>
  <si>
    <t>순*</t>
  </si>
  <si>
    <t>디*</t>
  </si>
  <si>
    <t>중*</t>
  </si>
  <si>
    <t>익*</t>
  </si>
  <si>
    <t>법*</t>
  </si>
  <si>
    <t>세*</t>
  </si>
  <si>
    <t>광*</t>
  </si>
  <si>
    <t>명*</t>
  </si>
  <si>
    <t>*</t>
  </si>
  <si>
    <t>롯*보통신)</t>
  </si>
  <si>
    <t>이*미널 #1</t>
  </si>
  <si>
    <t>이*미널 #2</t>
  </si>
  <si>
    <t>안*</t>
  </si>
  <si>
    <t>L*</t>
  </si>
  <si>
    <t>웰*</t>
  </si>
  <si>
    <t>L*UD</t>
  </si>
  <si>
    <t>엘*</t>
  </si>
  <si>
    <t>포*</t>
  </si>
  <si>
    <t>S*남항)</t>
  </si>
  <si>
    <t>현*</t>
  </si>
  <si>
    <t>청*</t>
  </si>
  <si>
    <t>꼬*</t>
  </si>
  <si>
    <t>키*</t>
  </si>
  <si>
    <t>조*</t>
  </si>
  <si>
    <t>도*</t>
  </si>
  <si>
    <t>묵*</t>
  </si>
  <si>
    <t>평*</t>
  </si>
  <si>
    <t>인*울)</t>
  </si>
  <si>
    <t>국*</t>
  </si>
  <si>
    <t>성*</t>
  </si>
  <si>
    <t>문*</t>
  </si>
  <si>
    <t>부*</t>
  </si>
  <si>
    <t>대*)</t>
  </si>
  <si>
    <t>H*</t>
  </si>
  <si>
    <t>S*</t>
  </si>
  <si>
    <t>전*</t>
  </si>
  <si>
    <t>문*sk 증설 건</t>
  </si>
  <si>
    <t>본*</t>
  </si>
  <si>
    <t>압*</t>
  </si>
  <si>
    <t>세*)</t>
  </si>
  <si>
    <t>대*</t>
  </si>
  <si>
    <t>검*</t>
  </si>
  <si>
    <t>롯*</t>
    <phoneticPr fontId="11" type="noConversion"/>
  </si>
  <si>
    <t>이*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</si>
</sst>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mm&quot;월&quot;\ dd&quot;일&quot;"/>
    <numFmt numFmtId="178" formatCode="#,##0_ ;[Red]\-#,##0\ "/>
    <numFmt numFmtId="179" formatCode="#,##0_ "/>
    <numFmt numFmtId="180" formatCode="m&quot;월&quot;\ d&quot;일&quot;;@"/>
    <numFmt numFmtId="181" formatCode="#,##0_);[Red]\(#,##0\)"/>
    <numFmt numFmtId="182" formatCode="h&quot;시간&quot;\ mm&quot;분&quot;\ ss&quot;초&quot;;@"/>
    <numFmt numFmtId="183" formatCode="yy/mm/dd"/>
  </numFmts>
  <fonts count="44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name val="Helv"/>
      <family val="2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10"/>
      <color rgb="FF9C0006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rgb="FF9C0006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ajor"/>
    </font>
    <font>
      <sz val="9"/>
      <color rgb="FFFF0000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ajor"/>
    </font>
    <font>
      <sz val="9"/>
      <color rgb="FFC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2"/>
      <charset val="129"/>
      <scheme val="minor"/>
    </font>
    <font>
      <sz val="9"/>
      <color rgb="FFC0000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</borders>
  <cellStyleXfs count="28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4" fillId="0" borderId="0"/>
    <xf numFmtId="0" fontId="7" fillId="0" borderId="0">
      <alignment vertical="center"/>
    </xf>
    <xf numFmtId="176" fontId="15" fillId="0" borderId="0" applyFont="0" applyFill="0" applyBorder="0" applyAlignment="0" applyProtection="0"/>
    <xf numFmtId="0" fontId="15" fillId="0" borderId="0"/>
    <xf numFmtId="0" fontId="15" fillId="0" borderId="0">
      <alignment vertical="center"/>
    </xf>
    <xf numFmtId="176" fontId="15" fillId="0" borderId="0" applyFont="0" applyFill="0" applyBorder="0" applyAlignment="0" applyProtection="0"/>
    <xf numFmtId="0" fontId="5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745">
    <xf numFmtId="0" fontId="0" fillId="0" borderId="0" xfId="0">
      <alignment vertical="center"/>
    </xf>
    <xf numFmtId="0" fontId="10" fillId="4" borderId="2" xfId="4" applyBorder="1" applyAlignment="1">
      <alignment vertical="center" wrapText="1"/>
    </xf>
    <xf numFmtId="179" fontId="10" fillId="4" borderId="2" xfId="4" applyNumberFormat="1" applyBorder="1" applyAlignment="1">
      <alignment vertical="center" wrapText="1"/>
    </xf>
    <xf numFmtId="176" fontId="0" fillId="0" borderId="0" xfId="10" applyFo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178" fontId="19" fillId="13" borderId="15" xfId="4" applyNumberFormat="1" applyFont="1" applyFill="1" applyBorder="1" applyAlignment="1">
      <alignment horizontal="center" vertical="center" wrapText="1"/>
    </xf>
    <xf numFmtId="179" fontId="17" fillId="13" borderId="15" xfId="0" applyNumberFormat="1" applyFont="1" applyFill="1" applyBorder="1" applyAlignment="1">
      <alignment horizontal="center" vertical="center" wrapText="1"/>
    </xf>
    <xf numFmtId="179" fontId="17" fillId="11" borderId="15" xfId="0" applyNumberFormat="1" applyFont="1" applyFill="1" applyBorder="1" applyAlignment="1">
      <alignment horizontal="center" vertical="center" wrapText="1"/>
    </xf>
    <xf numFmtId="14" fontId="17" fillId="0" borderId="29" xfId="0" applyNumberFormat="1" applyFont="1" applyBorder="1" applyAlignment="1">
      <alignment horizontal="center" vertical="center" wrapText="1"/>
    </xf>
    <xf numFmtId="14" fontId="17" fillId="0" borderId="18" xfId="0" applyNumberFormat="1" applyFont="1" applyBorder="1" applyAlignment="1">
      <alignment horizontal="center" vertical="center" wrapText="1"/>
    </xf>
    <xf numFmtId="14" fontId="16" fillId="0" borderId="2" xfId="8" applyNumberFormat="1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1" fillId="0" borderId="4" xfId="4" applyFont="1" applyFill="1" applyBorder="1" applyAlignment="1">
      <alignment horizontal="center" vertical="center" wrapText="1"/>
    </xf>
    <xf numFmtId="0" fontId="16" fillId="0" borderId="2" xfId="1" applyFont="1" applyFill="1" applyBorder="1" applyAlignment="1">
      <alignment horizontal="center" vertical="center" wrapText="1"/>
    </xf>
    <xf numFmtId="178" fontId="20" fillId="0" borderId="2" xfId="0" applyNumberFormat="1" applyFont="1" applyBorder="1" applyAlignment="1">
      <alignment vertical="center" wrapText="1"/>
    </xf>
    <xf numFmtId="179" fontId="20" fillId="0" borderId="2" xfId="0" applyNumberFormat="1" applyFont="1" applyBorder="1" applyAlignment="1">
      <alignment vertical="center" wrapText="1"/>
    </xf>
    <xf numFmtId="179" fontId="20" fillId="0" borderId="4" xfId="0" applyNumberFormat="1" applyFont="1" applyBorder="1" applyAlignment="1">
      <alignment vertical="center" wrapText="1"/>
    </xf>
    <xf numFmtId="178" fontId="20" fillId="8" borderId="2" xfId="0" applyNumberFormat="1" applyFont="1" applyFill="1" applyBorder="1" applyAlignment="1">
      <alignment vertical="center" wrapText="1"/>
    </xf>
    <xf numFmtId="0" fontId="16" fillId="6" borderId="2" xfId="7" applyFont="1" applyBorder="1" applyAlignment="1">
      <alignment horizontal="left" vertical="center" wrapText="1"/>
    </xf>
    <xf numFmtId="179" fontId="22" fillId="0" borderId="2" xfId="4" applyNumberFormat="1" applyFont="1" applyFill="1" applyBorder="1" applyAlignment="1">
      <alignment vertical="center" wrapText="1"/>
    </xf>
    <xf numFmtId="179" fontId="20" fillId="8" borderId="4" xfId="0" applyNumberFormat="1" applyFont="1" applyFill="1" applyBorder="1" applyAlignment="1">
      <alignment vertical="center" wrapText="1"/>
    </xf>
    <xf numFmtId="177" fontId="20" fillId="8" borderId="2" xfId="0" applyNumberFormat="1" applyFont="1" applyFill="1" applyBorder="1" applyAlignment="1">
      <alignment horizontal="center" vertical="center" wrapText="1"/>
    </xf>
    <xf numFmtId="0" fontId="20" fillId="8" borderId="30" xfId="0" applyFont="1" applyFill="1" applyBorder="1" applyAlignment="1">
      <alignment horizontal="center" vertical="center" wrapText="1"/>
    </xf>
    <xf numFmtId="0" fontId="16" fillId="6" borderId="2" xfId="7" applyFont="1" applyBorder="1" applyAlignment="1">
      <alignment vertical="center" wrapText="1"/>
    </xf>
    <xf numFmtId="0" fontId="16" fillId="10" borderId="2" xfId="19" applyFont="1" applyBorder="1" applyAlignment="1">
      <alignment vertical="center" wrapText="1"/>
    </xf>
    <xf numFmtId="0" fontId="21" fillId="0" borderId="2" xfId="6" applyFont="1" applyFill="1" applyBorder="1" applyAlignment="1">
      <alignment vertical="center" wrapText="1"/>
    </xf>
    <xf numFmtId="179" fontId="20" fillId="8" borderId="2" xfId="0" applyNumberFormat="1" applyFont="1" applyFill="1" applyBorder="1" applyAlignment="1">
      <alignment vertical="center" wrapText="1"/>
    </xf>
    <xf numFmtId="14" fontId="16" fillId="0" borderId="2" xfId="7" applyNumberFormat="1" applyFont="1" applyFill="1" applyBorder="1" applyAlignment="1">
      <alignment horizontal="center" vertical="center" wrapText="1"/>
    </xf>
    <xf numFmtId="0" fontId="20" fillId="0" borderId="2" xfId="3" applyFont="1" applyFill="1" applyBorder="1" applyAlignment="1">
      <alignment horizontal="center" vertical="center" wrapText="1"/>
    </xf>
    <xf numFmtId="0" fontId="20" fillId="0" borderId="2" xfId="0" applyFont="1" applyBorder="1" applyAlignment="1">
      <alignment vertical="center" wrapText="1"/>
    </xf>
    <xf numFmtId="179" fontId="22" fillId="4" borderId="2" xfId="4" applyNumberFormat="1" applyFont="1" applyBorder="1" applyAlignment="1">
      <alignment vertical="center" wrapText="1"/>
    </xf>
    <xf numFmtId="177" fontId="20" fillId="0" borderId="2" xfId="0" applyNumberFormat="1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180" fontId="20" fillId="0" borderId="20" xfId="0" applyNumberFormat="1" applyFont="1" applyBorder="1" applyAlignment="1">
      <alignment horizontal="center" vertical="center" wrapText="1"/>
    </xf>
    <xf numFmtId="14" fontId="20" fillId="0" borderId="2" xfId="0" applyNumberFormat="1" applyFont="1" applyBorder="1" applyAlignment="1">
      <alignment horizontal="center" vertical="center" wrapText="1"/>
    </xf>
    <xf numFmtId="179" fontId="20" fillId="0" borderId="2" xfId="0" applyNumberFormat="1" applyFont="1" applyBorder="1" applyAlignment="1">
      <alignment horizontal="center" vertical="center" wrapText="1"/>
    </xf>
    <xf numFmtId="0" fontId="16" fillId="0" borderId="2" xfId="1" applyFont="1" applyFill="1" applyBorder="1" applyAlignment="1">
      <alignment vertical="center" wrapText="1"/>
    </xf>
    <xf numFmtId="179" fontId="21" fillId="0" borderId="2" xfId="4" applyNumberFormat="1" applyFont="1" applyFill="1" applyBorder="1" applyAlignment="1">
      <alignment vertical="center" wrapText="1"/>
    </xf>
    <xf numFmtId="179" fontId="23" fillId="0" borderId="2" xfId="4" applyNumberFormat="1" applyFont="1" applyFill="1" applyBorder="1" applyAlignment="1">
      <alignment vertical="center" wrapText="1"/>
    </xf>
    <xf numFmtId="14" fontId="20" fillId="0" borderId="1" xfId="0" applyNumberFormat="1" applyFont="1" applyBorder="1" applyAlignment="1">
      <alignment horizontal="center" vertical="center" wrapText="1"/>
    </xf>
    <xf numFmtId="180" fontId="20" fillId="8" borderId="20" xfId="0" applyNumberFormat="1" applyFont="1" applyFill="1" applyBorder="1" applyAlignment="1">
      <alignment horizontal="center" vertical="center" wrapText="1"/>
    </xf>
    <xf numFmtId="178" fontId="21" fillId="0" borderId="2" xfId="4" applyNumberFormat="1" applyFont="1" applyFill="1" applyBorder="1" applyAlignment="1">
      <alignment vertical="center" wrapText="1"/>
    </xf>
    <xf numFmtId="0" fontId="20" fillId="8" borderId="20" xfId="0" applyFont="1" applyFill="1" applyBorder="1" applyAlignment="1">
      <alignment horizontal="center" vertical="center" wrapText="1"/>
    </xf>
    <xf numFmtId="14" fontId="17" fillId="0" borderId="32" xfId="0" applyNumberFormat="1" applyFont="1" applyBorder="1" applyAlignment="1">
      <alignment horizontal="center" vertical="center" wrapText="1"/>
    </xf>
    <xf numFmtId="14" fontId="17" fillId="0" borderId="33" xfId="0" applyNumberFormat="1" applyFont="1" applyBorder="1" applyAlignment="1">
      <alignment horizontal="center" vertical="center" wrapText="1"/>
    </xf>
    <xf numFmtId="0" fontId="20" fillId="8" borderId="34" xfId="0" applyFont="1" applyFill="1" applyBorder="1" applyAlignment="1">
      <alignment horizontal="center" vertical="center" wrapText="1"/>
    </xf>
    <xf numFmtId="179" fontId="24" fillId="8" borderId="2" xfId="0" applyNumberFormat="1" applyFont="1" applyFill="1" applyBorder="1" applyAlignment="1">
      <alignment vertical="center" wrapText="1"/>
    </xf>
    <xf numFmtId="0" fontId="16" fillId="0" borderId="2" xfId="5" applyFont="1" applyFill="1" applyBorder="1" applyAlignment="1">
      <alignment horizontal="center" vertical="center" wrapText="1"/>
    </xf>
    <xf numFmtId="14" fontId="16" fillId="0" borderId="2" xfId="18" applyNumberFormat="1" applyFont="1" applyFill="1" applyBorder="1" applyAlignment="1">
      <alignment horizontal="center" vertical="center" wrapText="1"/>
    </xf>
    <xf numFmtId="0" fontId="16" fillId="0" borderId="2" xfId="5" applyFont="1" applyFill="1" applyBorder="1" applyAlignment="1">
      <alignment horizontal="left" vertical="center" wrapText="1"/>
    </xf>
    <xf numFmtId="177" fontId="24" fillId="8" borderId="2" xfId="0" applyNumberFormat="1" applyFont="1" applyFill="1" applyBorder="1" applyAlignment="1">
      <alignment horizontal="center" vertical="center" wrapText="1"/>
    </xf>
    <xf numFmtId="179" fontId="20" fillId="8" borderId="4" xfId="0" applyNumberFormat="1" applyFon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center" vertical="center" wrapText="1"/>
    </xf>
    <xf numFmtId="0" fontId="21" fillId="0" borderId="4" xfId="4" applyFont="1" applyFill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 shrinkToFit="1"/>
    </xf>
    <xf numFmtId="0" fontId="21" fillId="0" borderId="31" xfId="4" applyFont="1" applyFill="1" applyBorder="1" applyAlignment="1">
      <alignment horizontal="center" vertical="center" shrinkToFit="1"/>
    </xf>
    <xf numFmtId="0" fontId="16" fillId="11" borderId="0" xfId="0" applyFont="1" applyFill="1">
      <alignment vertical="center"/>
    </xf>
    <xf numFmtId="0" fontId="20" fillId="12" borderId="2" xfId="0" applyFont="1" applyFill="1" applyBorder="1" applyAlignment="1">
      <alignment horizontal="center" vertical="center" wrapText="1"/>
    </xf>
    <xf numFmtId="0" fontId="16" fillId="12" borderId="0" xfId="0" applyFont="1" applyFill="1">
      <alignment vertical="center"/>
    </xf>
    <xf numFmtId="14" fontId="16" fillId="0" borderId="4" xfId="7" applyNumberFormat="1" applyFont="1" applyFill="1" applyBorder="1" applyAlignment="1">
      <alignment horizontal="center" vertical="center" wrapText="1"/>
    </xf>
    <xf numFmtId="0" fontId="20" fillId="0" borderId="4" xfId="3" applyFont="1" applyFill="1" applyBorder="1" applyAlignment="1">
      <alignment horizontal="center" vertical="center" wrapText="1"/>
    </xf>
    <xf numFmtId="0" fontId="20" fillId="0" borderId="4" xfId="0" applyFont="1" applyBorder="1" applyAlignment="1">
      <alignment vertical="center" wrapText="1"/>
    </xf>
    <xf numFmtId="178" fontId="20" fillId="0" borderId="4" xfId="0" applyNumberFormat="1" applyFont="1" applyBorder="1" applyAlignment="1">
      <alignment vertical="center" wrapText="1"/>
    </xf>
    <xf numFmtId="179" fontId="22" fillId="4" borderId="4" xfId="4" applyNumberFormat="1" applyFont="1" applyBorder="1" applyAlignment="1">
      <alignment vertical="center" wrapText="1"/>
    </xf>
    <xf numFmtId="177" fontId="20" fillId="0" borderId="4" xfId="0" applyNumberFormat="1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14" fontId="16" fillId="0" borderId="15" xfId="8" applyNumberFormat="1" applyFont="1" applyFill="1" applyBorder="1" applyAlignment="1">
      <alignment horizontal="center" vertical="center" wrapText="1"/>
    </xf>
    <xf numFmtId="0" fontId="20" fillId="12" borderId="15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1" fillId="0" borderId="15" xfId="4" applyFont="1" applyFill="1" applyBorder="1" applyAlignment="1">
      <alignment horizontal="center" vertical="center" wrapText="1"/>
    </xf>
    <xf numFmtId="0" fontId="21" fillId="0" borderId="15" xfId="4" applyFont="1" applyFill="1" applyBorder="1" applyAlignment="1">
      <alignment horizontal="center" vertical="center" shrinkToFit="1"/>
    </xf>
    <xf numFmtId="0" fontId="16" fillId="0" borderId="15" xfId="1" applyFont="1" applyFill="1" applyBorder="1" applyAlignment="1">
      <alignment horizontal="center" vertical="center" wrapText="1"/>
    </xf>
    <xf numFmtId="178" fontId="20" fillId="0" borderId="15" xfId="0" applyNumberFormat="1" applyFont="1" applyBorder="1" applyAlignment="1">
      <alignment vertical="center" wrapText="1"/>
    </xf>
    <xf numFmtId="179" fontId="20" fillId="0" borderId="15" xfId="0" applyNumberFormat="1" applyFont="1" applyBorder="1" applyAlignment="1">
      <alignment vertical="center" wrapText="1"/>
    </xf>
    <xf numFmtId="179" fontId="20" fillId="8" borderId="15" xfId="0" applyNumberFormat="1" applyFont="1" applyFill="1" applyBorder="1" applyAlignment="1">
      <alignment vertical="center" wrapText="1"/>
    </xf>
    <xf numFmtId="179" fontId="16" fillId="0" borderId="15" xfId="7" applyNumberFormat="1" applyFont="1" applyFill="1" applyBorder="1" applyAlignment="1">
      <alignment vertical="center" wrapText="1"/>
    </xf>
    <xf numFmtId="179" fontId="22" fillId="0" borderId="15" xfId="4" applyNumberFormat="1" applyFont="1" applyFill="1" applyBorder="1" applyAlignment="1">
      <alignment vertical="center" wrapText="1"/>
    </xf>
    <xf numFmtId="179" fontId="20" fillId="8" borderId="15" xfId="0" applyNumberFormat="1" applyFont="1" applyFill="1" applyBorder="1" applyAlignment="1">
      <alignment horizontal="center" vertical="center" wrapText="1"/>
    </xf>
    <xf numFmtId="177" fontId="20" fillId="8" borderId="15" xfId="0" applyNumberFormat="1" applyFont="1" applyFill="1" applyBorder="1" applyAlignment="1">
      <alignment horizontal="center" vertical="center" wrapText="1"/>
    </xf>
    <xf numFmtId="0" fontId="20" fillId="8" borderId="35" xfId="0" applyFont="1" applyFill="1" applyBorder="1" applyAlignment="1">
      <alignment horizontal="center" vertical="center" wrapText="1"/>
    </xf>
    <xf numFmtId="14" fontId="20" fillId="0" borderId="38" xfId="0" applyNumberFormat="1" applyFont="1" applyBorder="1" applyAlignment="1">
      <alignment horizontal="center" vertical="center" wrapText="1"/>
    </xf>
    <xf numFmtId="177" fontId="20" fillId="8" borderId="4" xfId="0" applyNumberFormat="1" applyFont="1" applyFill="1" applyBorder="1" applyAlignment="1">
      <alignment horizontal="center" vertical="center" wrapText="1"/>
    </xf>
    <xf numFmtId="180" fontId="20" fillId="8" borderId="36" xfId="0" applyNumberFormat="1" applyFont="1" applyFill="1" applyBorder="1" applyAlignment="1">
      <alignment horizontal="center" vertical="center" wrapText="1"/>
    </xf>
    <xf numFmtId="0" fontId="20" fillId="8" borderId="37" xfId="0" applyFont="1" applyFill="1" applyBorder="1" applyAlignment="1">
      <alignment horizontal="center" vertical="center" wrapText="1"/>
    </xf>
    <xf numFmtId="0" fontId="16" fillId="0" borderId="15" xfId="1" applyFont="1" applyFill="1" applyBorder="1" applyAlignment="1">
      <alignment vertical="center" wrapText="1"/>
    </xf>
    <xf numFmtId="179" fontId="22" fillId="4" borderId="15" xfId="4" applyNumberFormat="1" applyFont="1" applyBorder="1" applyAlignment="1">
      <alignment vertical="center" wrapText="1"/>
    </xf>
    <xf numFmtId="177" fontId="20" fillId="0" borderId="15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shrinkToFit="1"/>
    </xf>
    <xf numFmtId="0" fontId="20" fillId="8" borderId="39" xfId="0" applyFont="1" applyFill="1" applyBorder="1" applyAlignment="1">
      <alignment horizontal="center" vertical="center" wrapText="1"/>
    </xf>
    <xf numFmtId="14" fontId="25" fillId="0" borderId="29" xfId="0" applyNumberFormat="1" applyFont="1" applyBorder="1" applyAlignment="1">
      <alignment horizontal="center" vertical="center" wrapText="1"/>
    </xf>
    <xf numFmtId="14" fontId="25" fillId="0" borderId="18" xfId="0" applyNumberFormat="1" applyFont="1" applyBorder="1" applyAlignment="1">
      <alignment horizontal="center" vertical="center" wrapText="1"/>
    </xf>
    <xf numFmtId="14" fontId="26" fillId="0" borderId="2" xfId="8" applyNumberFormat="1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8" fillId="0" borderId="4" xfId="4" applyFont="1" applyFill="1" applyBorder="1" applyAlignment="1">
      <alignment horizontal="center" vertical="center" wrapText="1"/>
    </xf>
    <xf numFmtId="0" fontId="26" fillId="0" borderId="2" xfId="1" applyFont="1" applyFill="1" applyBorder="1" applyAlignment="1">
      <alignment vertical="center" wrapText="1"/>
    </xf>
    <xf numFmtId="0" fontId="26" fillId="0" borderId="2" xfId="1" applyFont="1" applyFill="1" applyBorder="1" applyAlignment="1">
      <alignment horizontal="center" vertical="center" wrapText="1"/>
    </xf>
    <xf numFmtId="178" fontId="27" fillId="0" borderId="2" xfId="0" applyNumberFormat="1" applyFont="1" applyBorder="1" applyAlignment="1">
      <alignment vertical="center" wrapText="1"/>
    </xf>
    <xf numFmtId="179" fontId="27" fillId="0" borderId="2" xfId="0" applyNumberFormat="1" applyFont="1" applyBorder="1" applyAlignment="1">
      <alignment vertical="center" wrapText="1"/>
    </xf>
    <xf numFmtId="179" fontId="27" fillId="8" borderId="2" xfId="0" applyNumberFormat="1" applyFont="1" applyFill="1" applyBorder="1" applyAlignment="1">
      <alignment vertical="center" wrapText="1"/>
    </xf>
    <xf numFmtId="179" fontId="27" fillId="8" borderId="4" xfId="0" applyNumberFormat="1" applyFont="1" applyFill="1" applyBorder="1" applyAlignment="1">
      <alignment vertical="center" wrapText="1"/>
    </xf>
    <xf numFmtId="177" fontId="27" fillId="8" borderId="2" xfId="0" applyNumberFormat="1" applyFont="1" applyFill="1" applyBorder="1" applyAlignment="1">
      <alignment horizontal="center" vertical="center" wrapText="1"/>
    </xf>
    <xf numFmtId="0" fontId="27" fillId="8" borderId="20" xfId="0" applyFont="1" applyFill="1" applyBorder="1" applyAlignment="1">
      <alignment horizontal="center" vertical="center" wrapText="1"/>
    </xf>
    <xf numFmtId="0" fontId="27" fillId="8" borderId="30" xfId="0" applyFont="1" applyFill="1" applyBorder="1" applyAlignment="1">
      <alignment horizontal="center" vertical="center" wrapText="1"/>
    </xf>
    <xf numFmtId="179" fontId="29" fillId="4" borderId="2" xfId="4" applyNumberFormat="1" applyFont="1" applyBorder="1" applyAlignment="1">
      <alignment vertical="center" wrapText="1"/>
    </xf>
    <xf numFmtId="0" fontId="27" fillId="8" borderId="34" xfId="0" applyFont="1" applyFill="1" applyBorder="1" applyAlignment="1">
      <alignment horizontal="center" vertical="center" wrapText="1"/>
    </xf>
    <xf numFmtId="179" fontId="10" fillId="0" borderId="2" xfId="4" applyNumberFormat="1" applyFill="1" applyBorder="1" applyAlignment="1">
      <alignment vertical="center" wrapText="1"/>
    </xf>
    <xf numFmtId="179" fontId="10" fillId="4" borderId="4" xfId="4" applyNumberFormat="1" applyBorder="1" applyAlignment="1">
      <alignment vertical="center" wrapText="1"/>
    </xf>
    <xf numFmtId="179" fontId="10" fillId="4" borderId="15" xfId="4" applyNumberFormat="1" applyBorder="1" applyAlignment="1">
      <alignment vertical="center" wrapText="1"/>
    </xf>
    <xf numFmtId="179" fontId="10" fillId="4" borderId="0" xfId="4" applyNumberFormat="1" applyBorder="1" applyAlignment="1">
      <alignment vertical="center" wrapText="1"/>
    </xf>
    <xf numFmtId="177" fontId="0" fillId="0" borderId="0" xfId="0" applyNumberFormat="1">
      <alignment vertical="center"/>
    </xf>
    <xf numFmtId="178" fontId="31" fillId="13" borderId="15" xfId="4" applyNumberFormat="1" applyFont="1" applyFill="1" applyBorder="1" applyAlignment="1">
      <alignment horizontal="center" vertical="center" wrapText="1"/>
    </xf>
    <xf numFmtId="179" fontId="25" fillId="15" borderId="15" xfId="0" applyNumberFormat="1" applyFont="1" applyFill="1" applyBorder="1" applyAlignment="1">
      <alignment horizontal="center" vertical="center" wrapText="1"/>
    </xf>
    <xf numFmtId="0" fontId="26" fillId="0" borderId="2" xfId="5" applyFont="1" applyFill="1" applyBorder="1" applyAlignment="1">
      <alignment horizontal="center" vertical="center" wrapText="1"/>
    </xf>
    <xf numFmtId="0" fontId="26" fillId="0" borderId="2" xfId="5" applyFont="1" applyFill="1" applyBorder="1" applyAlignment="1">
      <alignment vertical="center" wrapText="1"/>
    </xf>
    <xf numFmtId="179" fontId="0" fillId="0" borderId="0" xfId="0" applyNumberFormat="1">
      <alignment vertical="center"/>
    </xf>
    <xf numFmtId="0" fontId="26" fillId="0" borderId="4" xfId="1" applyFont="1" applyFill="1" applyBorder="1" applyAlignment="1">
      <alignment vertical="center" wrapText="1"/>
    </xf>
    <xf numFmtId="0" fontId="26" fillId="0" borderId="4" xfId="1" applyFont="1" applyFill="1" applyBorder="1" applyAlignment="1">
      <alignment horizontal="center" vertical="center" wrapText="1"/>
    </xf>
    <xf numFmtId="0" fontId="0" fillId="0" borderId="0" xfId="0" applyAlignment="1">
      <alignment vertical="center" shrinkToFit="1"/>
    </xf>
    <xf numFmtId="0" fontId="27" fillId="0" borderId="4" xfId="0" applyFont="1" applyBorder="1" applyAlignment="1">
      <alignment horizontal="center" vertical="center" wrapText="1"/>
    </xf>
    <xf numFmtId="177" fontId="27" fillId="0" borderId="2" xfId="0" applyNumberFormat="1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14" fontId="3" fillId="14" borderId="2" xfId="20" applyNumberFormat="1" applyBorder="1" applyAlignment="1">
      <alignment horizontal="center" vertical="center" wrapText="1"/>
    </xf>
    <xf numFmtId="0" fontId="3" fillId="14" borderId="2" xfId="20" applyBorder="1" applyAlignment="1">
      <alignment horizontal="center" vertical="center" wrapText="1"/>
    </xf>
    <xf numFmtId="0" fontId="3" fillId="14" borderId="4" xfId="20" applyBorder="1" applyAlignment="1">
      <alignment horizontal="center" vertical="center" wrapText="1"/>
    </xf>
    <xf numFmtId="0" fontId="3" fillId="14" borderId="2" xfId="20" applyBorder="1" applyAlignment="1">
      <alignment vertical="center" wrapText="1"/>
    </xf>
    <xf numFmtId="178" fontId="3" fillId="14" borderId="2" xfId="20" applyNumberFormat="1" applyBorder="1" applyAlignment="1">
      <alignment vertical="center" wrapText="1"/>
    </xf>
    <xf numFmtId="179" fontId="3" fillId="14" borderId="2" xfId="20" applyNumberFormat="1" applyBorder="1" applyAlignment="1">
      <alignment vertical="center" wrapText="1"/>
    </xf>
    <xf numFmtId="179" fontId="3" fillId="14" borderId="4" xfId="20" applyNumberFormat="1" applyBorder="1" applyAlignment="1">
      <alignment vertical="center" wrapText="1"/>
    </xf>
    <xf numFmtId="177" fontId="3" fillId="14" borderId="2" xfId="20" applyNumberFormat="1" applyBorder="1" applyAlignment="1">
      <alignment horizontal="center" vertical="center" wrapText="1"/>
    </xf>
    <xf numFmtId="0" fontId="3" fillId="14" borderId="20" xfId="20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8" borderId="2" xfId="0" applyFont="1" applyFill="1" applyBorder="1" applyAlignment="1">
      <alignment horizontal="center" vertical="center" wrapText="1"/>
    </xf>
    <xf numFmtId="0" fontId="28" fillId="8" borderId="4" xfId="4" applyFont="1" applyFill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179" fontId="27" fillId="0" borderId="4" xfId="0" applyNumberFormat="1" applyFont="1" applyBorder="1" applyAlignment="1">
      <alignment vertical="center" wrapText="1"/>
    </xf>
    <xf numFmtId="14" fontId="26" fillId="0" borderId="2" xfId="18" applyNumberFormat="1" applyFont="1" applyFill="1" applyBorder="1" applyAlignment="1">
      <alignment horizontal="center" vertical="center" wrapText="1"/>
    </xf>
    <xf numFmtId="0" fontId="27" fillId="0" borderId="2" xfId="0" applyFont="1" applyBorder="1" applyAlignment="1">
      <alignment vertical="center" wrapText="1"/>
    </xf>
    <xf numFmtId="14" fontId="35" fillId="0" borderId="2" xfId="8" applyNumberFormat="1" applyFont="1" applyFill="1" applyBorder="1" applyAlignment="1">
      <alignment horizontal="center" vertical="center" wrapText="1"/>
    </xf>
    <xf numFmtId="178" fontId="28" fillId="0" borderId="2" xfId="4" applyNumberFormat="1" applyFont="1" applyFill="1" applyBorder="1" applyAlignment="1">
      <alignment vertical="center" wrapText="1"/>
    </xf>
    <xf numFmtId="180" fontId="27" fillId="8" borderId="20" xfId="0" applyNumberFormat="1" applyFont="1" applyFill="1" applyBorder="1" applyAlignment="1">
      <alignment horizontal="center" vertical="center" wrapText="1"/>
    </xf>
    <xf numFmtId="0" fontId="27" fillId="0" borderId="4" xfId="0" applyFont="1" applyBorder="1" applyAlignment="1">
      <alignment vertical="center" wrapText="1"/>
    </xf>
    <xf numFmtId="179" fontId="36" fillId="8" borderId="2" xfId="0" applyNumberFormat="1" applyFont="1" applyFill="1" applyBorder="1" applyAlignment="1">
      <alignment vertical="center" wrapText="1"/>
    </xf>
    <xf numFmtId="14" fontId="26" fillId="0" borderId="2" xfId="7" applyNumberFormat="1" applyFont="1" applyFill="1" applyBorder="1" applyAlignment="1">
      <alignment horizontal="center" vertical="center" wrapText="1"/>
    </xf>
    <xf numFmtId="0" fontId="27" fillId="0" borderId="2" xfId="3" applyFont="1" applyFill="1" applyBorder="1" applyAlignment="1">
      <alignment horizontal="center" vertical="center" wrapText="1"/>
    </xf>
    <xf numFmtId="0" fontId="27" fillId="0" borderId="4" xfId="4" applyFont="1" applyFill="1" applyBorder="1" applyAlignment="1">
      <alignment vertical="center" wrapText="1"/>
    </xf>
    <xf numFmtId="0" fontId="27" fillId="0" borderId="4" xfId="4" applyFont="1" applyFill="1" applyBorder="1" applyAlignment="1">
      <alignment horizontal="center" vertical="center" wrapText="1"/>
    </xf>
    <xf numFmtId="0" fontId="37" fillId="0" borderId="0" xfId="0" applyFont="1">
      <alignment vertical="center"/>
    </xf>
    <xf numFmtId="179" fontId="34" fillId="0" borderId="2" xfId="4" applyNumberFormat="1" applyFont="1" applyFill="1" applyBorder="1" applyAlignment="1">
      <alignment vertical="center" wrapText="1"/>
    </xf>
    <xf numFmtId="0" fontId="10" fillId="4" borderId="0" xfId="4" applyAlignment="1">
      <alignment vertical="center" wrapText="1"/>
    </xf>
    <xf numFmtId="14" fontId="27" fillId="0" borderId="1" xfId="0" applyNumberFormat="1" applyFont="1" applyBorder="1" applyAlignment="1">
      <alignment horizontal="center" vertical="center" wrapText="1"/>
    </xf>
    <xf numFmtId="177" fontId="36" fillId="0" borderId="2" xfId="0" applyNumberFormat="1" applyFont="1" applyBorder="1" applyAlignment="1">
      <alignment horizontal="center" vertical="center" wrapText="1"/>
    </xf>
    <xf numFmtId="177" fontId="36" fillId="8" borderId="2" xfId="0" applyNumberFormat="1" applyFont="1" applyFill="1" applyBorder="1" applyAlignment="1">
      <alignment horizontal="center" vertical="center" wrapText="1"/>
    </xf>
    <xf numFmtId="0" fontId="36" fillId="8" borderId="30" xfId="0" applyFont="1" applyFill="1" applyBorder="1" applyAlignment="1">
      <alignment horizontal="center" vertical="center" wrapText="1"/>
    </xf>
    <xf numFmtId="14" fontId="26" fillId="0" borderId="1" xfId="8" applyNumberFormat="1" applyFont="1" applyFill="1" applyBorder="1" applyAlignment="1">
      <alignment horizontal="center" vertical="center" wrapText="1"/>
    </xf>
    <xf numFmtId="0" fontId="28" fillId="0" borderId="2" xfId="4" applyFont="1" applyFill="1" applyBorder="1" applyAlignment="1">
      <alignment horizontal="center" vertical="center" wrapText="1"/>
    </xf>
    <xf numFmtId="0" fontId="27" fillId="0" borderId="2" xfId="4" applyFont="1" applyFill="1" applyBorder="1" applyAlignment="1">
      <alignment vertical="center" wrapText="1"/>
    </xf>
    <xf numFmtId="0" fontId="27" fillId="0" borderId="2" xfId="4" applyFont="1" applyFill="1" applyBorder="1" applyAlignment="1">
      <alignment horizontal="center" vertical="center" wrapText="1"/>
    </xf>
    <xf numFmtId="0" fontId="27" fillId="11" borderId="2" xfId="0" applyFont="1" applyFill="1" applyBorder="1" applyAlignment="1">
      <alignment horizontal="center" vertical="center" wrapText="1"/>
    </xf>
    <xf numFmtId="179" fontId="12" fillId="0" borderId="0" xfId="0" applyNumberFormat="1" applyFont="1">
      <alignment vertical="center"/>
    </xf>
    <xf numFmtId="0" fontId="28" fillId="0" borderId="13" xfId="4" applyFont="1" applyFill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179" fontId="27" fillId="0" borderId="13" xfId="0" applyNumberFormat="1" applyFont="1" applyBorder="1" applyAlignment="1">
      <alignment vertical="center" wrapText="1"/>
    </xf>
    <xf numFmtId="179" fontId="27" fillId="8" borderId="13" xfId="0" applyNumberFormat="1" applyFont="1" applyFill="1" applyBorder="1" applyAlignment="1">
      <alignment vertical="center" wrapText="1"/>
    </xf>
    <xf numFmtId="14" fontId="26" fillId="0" borderId="6" xfId="7" applyNumberFormat="1" applyFont="1" applyFill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7" xfId="0" applyFont="1" applyBorder="1" applyAlignment="1">
      <alignment vertical="center" wrapText="1"/>
    </xf>
    <xf numFmtId="178" fontId="27" fillId="0" borderId="7" xfId="0" applyNumberFormat="1" applyFont="1" applyBorder="1" applyAlignment="1">
      <alignment vertical="center" wrapText="1"/>
    </xf>
    <xf numFmtId="179" fontId="27" fillId="0" borderId="7" xfId="0" applyNumberFormat="1" applyFont="1" applyBorder="1" applyAlignment="1">
      <alignment vertical="center" wrapText="1"/>
    </xf>
    <xf numFmtId="179" fontId="25" fillId="11" borderId="7" xfId="0" applyNumberFormat="1" applyFont="1" applyFill="1" applyBorder="1" applyAlignment="1">
      <alignment vertical="center" wrapText="1"/>
    </xf>
    <xf numFmtId="179" fontId="27" fillId="8" borderId="7" xfId="0" applyNumberFormat="1" applyFont="1" applyFill="1" applyBorder="1" applyAlignment="1">
      <alignment vertical="center" wrapText="1"/>
    </xf>
    <xf numFmtId="179" fontId="36" fillId="8" borderId="7" xfId="0" applyNumberFormat="1" applyFont="1" applyFill="1" applyBorder="1" applyAlignment="1">
      <alignment vertical="center" wrapText="1"/>
    </xf>
    <xf numFmtId="177" fontId="27" fillId="8" borderId="7" xfId="0" applyNumberFormat="1" applyFont="1" applyFill="1" applyBorder="1" applyAlignment="1">
      <alignment horizontal="center" vertical="center" wrapText="1"/>
    </xf>
    <xf numFmtId="0" fontId="27" fillId="8" borderId="42" xfId="0" applyFont="1" applyFill="1" applyBorder="1" applyAlignment="1">
      <alignment horizontal="center" vertical="center" wrapText="1"/>
    </xf>
    <xf numFmtId="0" fontId="27" fillId="8" borderId="8" xfId="0" applyFont="1" applyFill="1" applyBorder="1" applyAlignment="1">
      <alignment horizontal="center" vertical="center" wrapText="1"/>
    </xf>
    <xf numFmtId="14" fontId="35" fillId="0" borderId="13" xfId="8" applyNumberFormat="1" applyFont="1" applyFill="1" applyBorder="1" applyAlignment="1">
      <alignment horizontal="center" vertical="center" wrapText="1"/>
    </xf>
    <xf numFmtId="0" fontId="27" fillId="0" borderId="13" xfId="4" applyFont="1" applyFill="1" applyBorder="1" applyAlignment="1">
      <alignment vertical="center" wrapText="1"/>
    </xf>
    <xf numFmtId="0" fontId="27" fillId="0" borderId="13" xfId="4" applyFont="1" applyFill="1" applyBorder="1" applyAlignment="1">
      <alignment horizontal="center" vertical="center" wrapText="1"/>
    </xf>
    <xf numFmtId="178" fontId="28" fillId="0" borderId="13" xfId="4" applyNumberFormat="1" applyFont="1" applyFill="1" applyBorder="1" applyAlignment="1">
      <alignment vertical="center" wrapText="1"/>
    </xf>
    <xf numFmtId="179" fontId="36" fillId="8" borderId="13" xfId="0" applyNumberFormat="1" applyFont="1" applyFill="1" applyBorder="1" applyAlignment="1">
      <alignment vertical="center" wrapText="1"/>
    </xf>
    <xf numFmtId="177" fontId="27" fillId="8" borderId="13" xfId="0" applyNumberFormat="1" applyFont="1" applyFill="1" applyBorder="1" applyAlignment="1">
      <alignment horizontal="center" vertical="center" wrapText="1"/>
    </xf>
    <xf numFmtId="0" fontId="27" fillId="8" borderId="40" xfId="0" applyFont="1" applyFill="1" applyBorder="1" applyAlignment="1">
      <alignment horizontal="center" vertical="center" wrapText="1"/>
    </xf>
    <xf numFmtId="0" fontId="27" fillId="8" borderId="41" xfId="0" applyFont="1" applyFill="1" applyBorder="1" applyAlignment="1">
      <alignment horizontal="center" vertical="center" wrapText="1"/>
    </xf>
    <xf numFmtId="14" fontId="35" fillId="0" borderId="6" xfId="8" applyNumberFormat="1" applyFont="1" applyFill="1" applyBorder="1" applyAlignment="1">
      <alignment horizontal="center" vertical="center" wrapText="1"/>
    </xf>
    <xf numFmtId="0" fontId="28" fillId="0" borderId="7" xfId="4" applyFont="1" applyFill="1" applyBorder="1" applyAlignment="1">
      <alignment horizontal="center" vertical="center" wrapText="1"/>
    </xf>
    <xf numFmtId="0" fontId="27" fillId="0" borderId="7" xfId="4" applyFont="1" applyFill="1" applyBorder="1" applyAlignment="1">
      <alignment vertical="center" wrapText="1"/>
    </xf>
    <xf numFmtId="0" fontId="27" fillId="0" borderId="7" xfId="4" applyFont="1" applyFill="1" applyBorder="1" applyAlignment="1">
      <alignment horizontal="center" vertical="center" wrapText="1"/>
    </xf>
    <xf numFmtId="178" fontId="28" fillId="0" borderId="7" xfId="4" applyNumberFormat="1" applyFont="1" applyFill="1" applyBorder="1" applyAlignment="1">
      <alignment vertical="center" wrapText="1"/>
    </xf>
    <xf numFmtId="0" fontId="27" fillId="0" borderId="13" xfId="0" applyFont="1" applyBorder="1" applyAlignment="1">
      <alignment vertical="center" wrapText="1"/>
    </xf>
    <xf numFmtId="0" fontId="26" fillId="0" borderId="13" xfId="5" applyFont="1" applyFill="1" applyBorder="1" applyAlignment="1">
      <alignment horizontal="center" vertical="center" wrapText="1"/>
    </xf>
    <xf numFmtId="14" fontId="26" fillId="0" borderId="13" xfId="8" applyNumberFormat="1" applyFont="1" applyFill="1" applyBorder="1" applyAlignment="1">
      <alignment horizontal="center" vertical="center" wrapText="1"/>
    </xf>
    <xf numFmtId="0" fontId="26" fillId="0" borderId="13" xfId="1" applyFont="1" applyFill="1" applyBorder="1" applyAlignment="1">
      <alignment vertical="center" wrapText="1"/>
    </xf>
    <xf numFmtId="0" fontId="26" fillId="0" borderId="13" xfId="1" applyFont="1" applyFill="1" applyBorder="1" applyAlignment="1">
      <alignment horizontal="center" vertical="center" wrapText="1"/>
    </xf>
    <xf numFmtId="178" fontId="27" fillId="0" borderId="13" xfId="0" applyNumberFormat="1" applyFont="1" applyBorder="1" applyAlignment="1">
      <alignment vertical="center" wrapText="1"/>
    </xf>
    <xf numFmtId="179" fontId="10" fillId="4" borderId="13" xfId="4" applyNumberFormat="1" applyBorder="1" applyAlignment="1">
      <alignment vertical="center" wrapText="1"/>
    </xf>
    <xf numFmtId="14" fontId="26" fillId="0" borderId="6" xfId="8" applyNumberFormat="1" applyFont="1" applyFill="1" applyBorder="1" applyAlignment="1">
      <alignment horizontal="center" vertical="center" wrapText="1"/>
    </xf>
    <xf numFmtId="0" fontId="26" fillId="0" borderId="7" xfId="1" applyFont="1" applyFill="1" applyBorder="1" applyAlignment="1">
      <alignment vertical="center" wrapText="1"/>
    </xf>
    <xf numFmtId="0" fontId="26" fillId="0" borderId="7" xfId="1" applyFont="1" applyFill="1" applyBorder="1" applyAlignment="1">
      <alignment horizontal="center" vertical="center" wrapText="1"/>
    </xf>
    <xf numFmtId="179" fontId="10" fillId="4" borderId="7" xfId="4" applyNumberFormat="1" applyBorder="1" applyAlignment="1">
      <alignment vertical="center" wrapText="1"/>
    </xf>
    <xf numFmtId="14" fontId="26" fillId="0" borderId="13" xfId="7" applyNumberFormat="1" applyFont="1" applyFill="1" applyBorder="1" applyAlignment="1">
      <alignment horizontal="center" vertical="center" wrapText="1"/>
    </xf>
    <xf numFmtId="179" fontId="10" fillId="0" borderId="13" xfId="4" applyNumberFormat="1" applyFill="1" applyBorder="1" applyAlignment="1">
      <alignment vertical="center" wrapText="1"/>
    </xf>
    <xf numFmtId="179" fontId="34" fillId="0" borderId="13" xfId="4" applyNumberFormat="1" applyFont="1" applyFill="1" applyBorder="1" applyAlignment="1">
      <alignment vertical="center" wrapText="1"/>
    </xf>
    <xf numFmtId="180" fontId="27" fillId="8" borderId="40" xfId="0" applyNumberFormat="1" applyFont="1" applyFill="1" applyBorder="1" applyAlignment="1">
      <alignment horizontal="center" vertical="center" wrapText="1"/>
    </xf>
    <xf numFmtId="0" fontId="26" fillId="0" borderId="7" xfId="5" applyFont="1" applyFill="1" applyBorder="1" applyAlignment="1">
      <alignment horizontal="center" vertical="center" wrapText="1"/>
    </xf>
    <xf numFmtId="179" fontId="10" fillId="0" borderId="7" xfId="4" applyNumberFormat="1" applyFill="1" applyBorder="1" applyAlignment="1">
      <alignment vertical="center" wrapText="1"/>
    </xf>
    <xf numFmtId="179" fontId="34" fillId="0" borderId="7" xfId="4" applyNumberFormat="1" applyFont="1" applyFill="1" applyBorder="1" applyAlignment="1">
      <alignment vertical="center" wrapText="1"/>
    </xf>
    <xf numFmtId="180" fontId="27" fillId="8" borderId="42" xfId="0" applyNumberFormat="1" applyFont="1" applyFill="1" applyBorder="1" applyAlignment="1">
      <alignment horizontal="center" vertical="center" wrapText="1"/>
    </xf>
    <xf numFmtId="14" fontId="26" fillId="0" borderId="13" xfId="18" applyNumberFormat="1" applyFont="1" applyFill="1" applyBorder="1" applyAlignment="1">
      <alignment horizontal="center" vertical="center" wrapText="1"/>
    </xf>
    <xf numFmtId="14" fontId="26" fillId="0" borderId="10" xfId="8" applyNumberFormat="1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8" fillId="0" borderId="11" xfId="4" applyFont="1" applyFill="1" applyBorder="1" applyAlignment="1">
      <alignment horizontal="center" vertical="center" wrapText="1"/>
    </xf>
    <xf numFmtId="0" fontId="26" fillId="0" borderId="11" xfId="1" applyFont="1" applyFill="1" applyBorder="1" applyAlignment="1">
      <alignment vertical="center" wrapText="1"/>
    </xf>
    <xf numFmtId="0" fontId="26" fillId="0" borderId="11" xfId="1" applyFont="1" applyFill="1" applyBorder="1" applyAlignment="1">
      <alignment horizontal="center" vertical="center" wrapText="1"/>
    </xf>
    <xf numFmtId="178" fontId="27" fillId="0" borderId="11" xfId="0" applyNumberFormat="1" applyFont="1" applyBorder="1" applyAlignment="1">
      <alignment vertical="center" wrapText="1"/>
    </xf>
    <xf numFmtId="179" fontId="27" fillId="0" borderId="11" xfId="0" applyNumberFormat="1" applyFont="1" applyBorder="1" applyAlignment="1">
      <alignment vertical="center" wrapText="1"/>
    </xf>
    <xf numFmtId="179" fontId="27" fillId="8" borderId="11" xfId="0" applyNumberFormat="1" applyFont="1" applyFill="1" applyBorder="1" applyAlignment="1">
      <alignment vertical="center" wrapText="1"/>
    </xf>
    <xf numFmtId="177" fontId="27" fillId="8" borderId="11" xfId="0" applyNumberFormat="1" applyFont="1" applyFill="1" applyBorder="1" applyAlignment="1">
      <alignment horizontal="center" vertical="center" wrapText="1"/>
    </xf>
    <xf numFmtId="0" fontId="27" fillId="8" borderId="43" xfId="0" applyFont="1" applyFill="1" applyBorder="1" applyAlignment="1">
      <alignment horizontal="center" vertical="center" wrapText="1"/>
    </xf>
    <xf numFmtId="0" fontId="27" fillId="8" borderId="12" xfId="0" applyFont="1" applyFill="1" applyBorder="1" applyAlignment="1">
      <alignment horizontal="center" vertical="center" wrapText="1"/>
    </xf>
    <xf numFmtId="14" fontId="26" fillId="0" borderId="1" xfId="18" applyNumberFormat="1" applyFont="1" applyFill="1" applyBorder="1" applyAlignment="1">
      <alignment horizontal="center" vertical="center" wrapText="1"/>
    </xf>
    <xf numFmtId="0" fontId="27" fillId="8" borderId="3" xfId="0" applyFont="1" applyFill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8" fillId="0" borderId="16" xfId="4" applyFont="1" applyFill="1" applyBorder="1" applyAlignment="1">
      <alignment horizontal="center" vertical="center" wrapText="1"/>
    </xf>
    <xf numFmtId="0" fontId="26" fillId="0" borderId="15" xfId="1" applyFont="1" applyFill="1" applyBorder="1" applyAlignment="1">
      <alignment vertical="center" wrapText="1"/>
    </xf>
    <xf numFmtId="0" fontId="26" fillId="0" borderId="15" xfId="1" applyFont="1" applyFill="1" applyBorder="1" applyAlignment="1">
      <alignment horizontal="center" vertical="center" wrapText="1"/>
    </xf>
    <xf numFmtId="178" fontId="27" fillId="0" borderId="15" xfId="0" applyNumberFormat="1" applyFont="1" applyBorder="1" applyAlignment="1">
      <alignment vertical="center" wrapText="1"/>
    </xf>
    <xf numFmtId="179" fontId="27" fillId="0" borderId="15" xfId="0" applyNumberFormat="1" applyFont="1" applyBorder="1" applyAlignment="1">
      <alignment vertical="center" wrapText="1"/>
    </xf>
    <xf numFmtId="179" fontId="27" fillId="0" borderId="16" xfId="0" applyNumberFormat="1" applyFont="1" applyBorder="1" applyAlignment="1">
      <alignment vertical="center" wrapText="1"/>
    </xf>
    <xf numFmtId="179" fontId="25" fillId="11" borderId="16" xfId="0" applyNumberFormat="1" applyFont="1" applyFill="1" applyBorder="1" applyAlignment="1">
      <alignment vertical="center" wrapText="1"/>
    </xf>
    <xf numFmtId="179" fontId="27" fillId="8" borderId="15" xfId="0" applyNumberFormat="1" applyFont="1" applyFill="1" applyBorder="1" applyAlignment="1">
      <alignment vertical="center" wrapText="1"/>
    </xf>
    <xf numFmtId="179" fontId="36" fillId="8" borderId="15" xfId="0" applyNumberFormat="1" applyFont="1" applyFill="1" applyBorder="1" applyAlignment="1">
      <alignment vertical="center" wrapText="1"/>
    </xf>
    <xf numFmtId="177" fontId="27" fillId="8" borderId="15" xfId="0" applyNumberFormat="1" applyFont="1" applyFill="1" applyBorder="1" applyAlignment="1">
      <alignment horizontal="center" vertical="center" wrapText="1"/>
    </xf>
    <xf numFmtId="0" fontId="27" fillId="8" borderId="39" xfId="0" applyFont="1" applyFill="1" applyBorder="1" applyAlignment="1">
      <alignment horizontal="center" vertical="center" wrapText="1"/>
    </xf>
    <xf numFmtId="0" fontId="27" fillId="8" borderId="17" xfId="0" applyFont="1" applyFill="1" applyBorder="1" applyAlignment="1">
      <alignment horizontal="center" vertical="center" wrapText="1"/>
    </xf>
    <xf numFmtId="14" fontId="26" fillId="0" borderId="19" xfId="8" applyNumberFormat="1" applyFont="1" applyFill="1" applyBorder="1" applyAlignment="1">
      <alignment horizontal="center" vertical="center" wrapText="1"/>
    </xf>
    <xf numFmtId="177" fontId="36" fillId="0" borderId="13" xfId="0" applyNumberFormat="1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7" fillId="0" borderId="41" xfId="0" applyFont="1" applyBorder="1" applyAlignment="1">
      <alignment horizontal="center" vertical="center" wrapText="1"/>
    </xf>
    <xf numFmtId="0" fontId="27" fillId="0" borderId="42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6" fillId="0" borderId="13" xfId="5" applyFont="1" applyFill="1" applyBorder="1" applyAlignment="1">
      <alignment vertical="center" wrapText="1"/>
    </xf>
    <xf numFmtId="0" fontId="26" fillId="0" borderId="7" xfId="5" applyFont="1" applyFill="1" applyBorder="1" applyAlignment="1">
      <alignment vertical="center" wrapText="1"/>
    </xf>
    <xf numFmtId="0" fontId="27" fillId="8" borderId="11" xfId="0" applyFont="1" applyFill="1" applyBorder="1" applyAlignment="1">
      <alignment horizontal="center" vertical="center" wrapText="1"/>
    </xf>
    <xf numFmtId="0" fontId="28" fillId="8" borderId="11" xfId="4" applyFont="1" applyFill="1" applyBorder="1" applyAlignment="1">
      <alignment horizontal="center" vertical="center" wrapText="1"/>
    </xf>
    <xf numFmtId="179" fontId="10" fillId="4" borderId="11" xfId="4" applyNumberFormat="1" applyBorder="1" applyAlignment="1">
      <alignment vertical="center" wrapText="1"/>
    </xf>
    <xf numFmtId="0" fontId="27" fillId="0" borderId="43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14" fontId="26" fillId="0" borderId="14" xfId="8" applyNumberFormat="1" applyFont="1" applyFill="1" applyBorder="1" applyAlignment="1">
      <alignment horizontal="center" vertical="center" wrapText="1"/>
    </xf>
    <xf numFmtId="0" fontId="28" fillId="0" borderId="15" xfId="4" applyFont="1" applyFill="1" applyBorder="1" applyAlignment="1">
      <alignment horizontal="center" vertical="center" wrapText="1"/>
    </xf>
    <xf numFmtId="179" fontId="10" fillId="4" borderId="5" xfId="4" applyNumberFormat="1" applyBorder="1" applyAlignment="1">
      <alignment vertical="center" wrapText="1"/>
    </xf>
    <xf numFmtId="14" fontId="26" fillId="0" borderId="6" xfId="18" applyNumberFormat="1" applyFont="1" applyFill="1" applyBorder="1" applyAlignment="1">
      <alignment horizontal="center" vertical="center" wrapText="1"/>
    </xf>
    <xf numFmtId="177" fontId="27" fillId="0" borderId="13" xfId="0" applyNumberFormat="1" applyFont="1" applyBorder="1" applyAlignment="1">
      <alignment horizontal="center" vertical="center" wrapText="1"/>
    </xf>
    <xf numFmtId="14" fontId="26" fillId="0" borderId="10" xfId="7" applyNumberFormat="1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vertical="center" wrapText="1"/>
    </xf>
    <xf numFmtId="0" fontId="36" fillId="8" borderId="12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6" fillId="0" borderId="16" xfId="1" applyFont="1" applyFill="1" applyBorder="1" applyAlignment="1">
      <alignment vertical="center" wrapText="1"/>
    </xf>
    <xf numFmtId="0" fontId="26" fillId="0" borderId="16" xfId="1" applyFont="1" applyFill="1" applyBorder="1" applyAlignment="1">
      <alignment horizontal="center" vertical="center" wrapText="1"/>
    </xf>
    <xf numFmtId="177" fontId="27" fillId="0" borderId="15" xfId="0" applyNumberFormat="1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14" fontId="35" fillId="0" borderId="10" xfId="8" applyNumberFormat="1" applyFont="1" applyFill="1" applyBorder="1" applyAlignment="1">
      <alignment horizontal="center" vertical="center" wrapText="1"/>
    </xf>
    <xf numFmtId="0" fontId="27" fillId="0" borderId="11" xfId="4" applyFont="1" applyFill="1" applyBorder="1" applyAlignment="1">
      <alignment vertical="center" wrapText="1"/>
    </xf>
    <xf numFmtId="0" fontId="27" fillId="0" borderId="11" xfId="4" applyFont="1" applyFill="1" applyBorder="1" applyAlignment="1">
      <alignment horizontal="center" vertical="center" wrapText="1"/>
    </xf>
    <xf numFmtId="178" fontId="28" fillId="0" borderId="11" xfId="4" applyNumberFormat="1" applyFont="1" applyFill="1" applyBorder="1" applyAlignment="1">
      <alignment vertical="center" wrapText="1"/>
    </xf>
    <xf numFmtId="14" fontId="35" fillId="0" borderId="1" xfId="8" applyNumberFormat="1" applyFont="1" applyFill="1" applyBorder="1" applyAlignment="1">
      <alignment horizontal="center" vertical="center" wrapText="1"/>
    </xf>
    <xf numFmtId="14" fontId="35" fillId="0" borderId="14" xfId="8" applyNumberFormat="1" applyFont="1" applyFill="1" applyBorder="1" applyAlignment="1">
      <alignment horizontal="center" vertical="center" wrapText="1"/>
    </xf>
    <xf numFmtId="0" fontId="27" fillId="0" borderId="16" xfId="4" applyFont="1" applyFill="1" applyBorder="1" applyAlignment="1">
      <alignment vertical="center" wrapText="1"/>
    </xf>
    <xf numFmtId="0" fontId="27" fillId="0" borderId="16" xfId="4" applyFont="1" applyFill="1" applyBorder="1" applyAlignment="1">
      <alignment horizontal="center" vertical="center" wrapText="1"/>
    </xf>
    <xf numFmtId="178" fontId="28" fillId="0" borderId="15" xfId="4" applyNumberFormat="1" applyFont="1" applyFill="1" applyBorder="1" applyAlignment="1">
      <alignment vertical="center" wrapText="1"/>
    </xf>
    <xf numFmtId="0" fontId="27" fillId="0" borderId="15" xfId="0" applyFont="1" applyBorder="1" applyAlignment="1">
      <alignment vertical="center" wrapText="1"/>
    </xf>
    <xf numFmtId="177" fontId="36" fillId="8" borderId="13" xfId="0" applyNumberFormat="1" applyFont="1" applyFill="1" applyBorder="1" applyAlignment="1">
      <alignment horizontal="center" vertical="center" wrapText="1"/>
    </xf>
    <xf numFmtId="14" fontId="27" fillId="0" borderId="13" xfId="0" applyNumberFormat="1" applyFont="1" applyBorder="1" applyAlignment="1">
      <alignment horizontal="center" vertical="center" wrapText="1"/>
    </xf>
    <xf numFmtId="14" fontId="27" fillId="0" borderId="6" xfId="0" applyNumberFormat="1" applyFont="1" applyBorder="1" applyAlignment="1">
      <alignment horizontal="center" vertical="center" wrapText="1"/>
    </xf>
    <xf numFmtId="0" fontId="26" fillId="0" borderId="11" xfId="5" applyFont="1" applyFill="1" applyBorder="1" applyAlignment="1">
      <alignment vertical="center" wrapText="1"/>
    </xf>
    <xf numFmtId="0" fontId="26" fillId="0" borderId="11" xfId="5" applyFont="1" applyFill="1" applyBorder="1" applyAlignment="1">
      <alignment horizontal="center" vertical="center" wrapText="1"/>
    </xf>
    <xf numFmtId="177" fontId="36" fillId="8" borderId="11" xfId="0" applyNumberFormat="1" applyFont="1" applyFill="1" applyBorder="1" applyAlignment="1">
      <alignment horizontal="center" vertical="center" wrapText="1"/>
    </xf>
    <xf numFmtId="179" fontId="25" fillId="11" borderId="15" xfId="0" applyNumberFormat="1" applyFont="1" applyFill="1" applyBorder="1" applyAlignment="1">
      <alignment vertical="center" wrapText="1"/>
    </xf>
    <xf numFmtId="179" fontId="27" fillId="8" borderId="16" xfId="0" applyNumberFormat="1" applyFont="1" applyFill="1" applyBorder="1" applyAlignment="1">
      <alignment vertical="center" wrapText="1"/>
    </xf>
    <xf numFmtId="177" fontId="36" fillId="8" borderId="15" xfId="0" applyNumberFormat="1" applyFont="1" applyFill="1" applyBorder="1" applyAlignment="1">
      <alignment horizontal="center" vertical="center" wrapText="1"/>
    </xf>
    <xf numFmtId="180" fontId="27" fillId="8" borderId="43" xfId="0" applyNumberFormat="1" applyFont="1" applyFill="1" applyBorder="1" applyAlignment="1">
      <alignment horizontal="center" vertical="center" wrapText="1"/>
    </xf>
    <xf numFmtId="0" fontId="27" fillId="8" borderId="44" xfId="0" applyFont="1" applyFill="1" applyBorder="1" applyAlignment="1">
      <alignment horizontal="center" vertical="center" wrapText="1"/>
    </xf>
    <xf numFmtId="0" fontId="10" fillId="4" borderId="13" xfId="4" applyBorder="1" applyAlignment="1">
      <alignment vertical="center" wrapText="1"/>
    </xf>
    <xf numFmtId="0" fontId="27" fillId="11" borderId="7" xfId="0" applyFont="1" applyFill="1" applyBorder="1" applyAlignment="1">
      <alignment horizontal="center" vertical="center" wrapText="1"/>
    </xf>
    <xf numFmtId="0" fontId="27" fillId="11" borderId="11" xfId="0" applyFont="1" applyFill="1" applyBorder="1" applyAlignment="1">
      <alignment horizontal="center" vertical="center" wrapText="1"/>
    </xf>
    <xf numFmtId="0" fontId="27" fillId="11" borderId="11" xfId="3" applyFont="1" applyFill="1" applyBorder="1" applyAlignment="1">
      <alignment horizontal="center" vertical="center" wrapText="1"/>
    </xf>
    <xf numFmtId="0" fontId="27" fillId="11" borderId="7" xfId="3" applyFont="1" applyFill="1" applyBorder="1" applyAlignment="1">
      <alignment horizontal="center" vertical="center" wrapText="1"/>
    </xf>
    <xf numFmtId="177" fontId="38" fillId="0" borderId="7" xfId="0" applyNumberFormat="1" applyFont="1" applyBorder="1" applyAlignment="1">
      <alignment horizontal="center" vertical="center" wrapText="1"/>
    </xf>
    <xf numFmtId="177" fontId="38" fillId="0" borderId="11" xfId="0" applyNumberFormat="1" applyFont="1" applyBorder="1" applyAlignment="1">
      <alignment horizontal="center" vertical="center" wrapText="1"/>
    </xf>
    <xf numFmtId="177" fontId="38" fillId="8" borderId="7" xfId="0" applyNumberFormat="1" applyFont="1" applyFill="1" applyBorder="1" applyAlignment="1">
      <alignment horizontal="center" vertical="center" wrapText="1"/>
    </xf>
    <xf numFmtId="0" fontId="3" fillId="14" borderId="30" xfId="20" applyBorder="1" applyAlignment="1">
      <alignment horizontal="center" vertical="center" wrapText="1"/>
    </xf>
    <xf numFmtId="14" fontId="3" fillId="14" borderId="6" xfId="20" applyNumberFormat="1" applyBorder="1" applyAlignment="1">
      <alignment horizontal="center" vertical="center" wrapText="1"/>
    </xf>
    <xf numFmtId="0" fontId="3" fillId="14" borderId="7" xfId="20" applyBorder="1" applyAlignment="1">
      <alignment horizontal="center" vertical="center" wrapText="1"/>
    </xf>
    <xf numFmtId="0" fontId="3" fillId="14" borderId="7" xfId="20" applyBorder="1" applyAlignment="1">
      <alignment vertical="center" wrapText="1"/>
    </xf>
    <xf numFmtId="178" fontId="3" fillId="14" borderId="7" xfId="20" applyNumberFormat="1" applyBorder="1" applyAlignment="1">
      <alignment vertical="center" wrapText="1"/>
    </xf>
    <xf numFmtId="179" fontId="3" fillId="14" borderId="7" xfId="20" applyNumberFormat="1" applyBorder="1" applyAlignment="1">
      <alignment vertical="center" wrapText="1"/>
    </xf>
    <xf numFmtId="177" fontId="3" fillId="14" borderId="7" xfId="20" applyNumberFormat="1" applyBorder="1" applyAlignment="1">
      <alignment horizontal="center" vertical="center" wrapText="1"/>
    </xf>
    <xf numFmtId="0" fontId="3" fillId="14" borderId="42" xfId="20" applyBorder="1" applyAlignment="1">
      <alignment horizontal="center" vertical="center" wrapText="1"/>
    </xf>
    <xf numFmtId="0" fontId="3" fillId="14" borderId="8" xfId="20" applyBorder="1" applyAlignment="1">
      <alignment horizontal="center" vertical="center" wrapText="1"/>
    </xf>
    <xf numFmtId="180" fontId="3" fillId="14" borderId="42" xfId="20" applyNumberFormat="1" applyBorder="1" applyAlignment="1">
      <alignment horizontal="center" vertical="center" wrapText="1"/>
    </xf>
    <xf numFmtId="0" fontId="28" fillId="0" borderId="31" xfId="4" applyFont="1" applyFill="1" applyBorder="1" applyAlignment="1">
      <alignment horizontal="center" vertical="center" wrapText="1"/>
    </xf>
    <xf numFmtId="179" fontId="34" fillId="4" borderId="2" xfId="4" applyNumberFormat="1" applyFont="1" applyBorder="1" applyAlignment="1">
      <alignment vertical="center" wrapText="1"/>
    </xf>
    <xf numFmtId="177" fontId="27" fillId="0" borderId="20" xfId="0" applyNumberFormat="1" applyFont="1" applyBorder="1" applyAlignment="1">
      <alignment horizontal="center" vertical="center" wrapText="1"/>
    </xf>
    <xf numFmtId="178" fontId="31" fillId="13" borderId="9" xfId="4" applyNumberFormat="1" applyFont="1" applyFill="1" applyBorder="1" applyAlignment="1">
      <alignment horizontal="center" vertical="center" wrapText="1"/>
    </xf>
    <xf numFmtId="179" fontId="39" fillId="4" borderId="2" xfId="4" applyNumberFormat="1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26" fillId="0" borderId="4" xfId="4" applyFont="1" applyFill="1" applyBorder="1" applyAlignment="1">
      <alignment horizontal="center" vertical="center" wrapText="1"/>
    </xf>
    <xf numFmtId="0" fontId="27" fillId="0" borderId="36" xfId="0" applyFont="1" applyBorder="1" applyAlignment="1">
      <alignment horizontal="center" vertical="center" wrapText="1"/>
    </xf>
    <xf numFmtId="177" fontId="27" fillId="8" borderId="4" xfId="0" applyNumberFormat="1" applyFont="1" applyFill="1" applyBorder="1" applyAlignment="1">
      <alignment horizontal="center" vertical="center" wrapText="1"/>
    </xf>
    <xf numFmtId="0" fontId="27" fillId="8" borderId="36" xfId="0" applyFont="1" applyFill="1" applyBorder="1" applyAlignment="1">
      <alignment horizontal="center" vertical="center" wrapText="1"/>
    </xf>
    <xf numFmtId="180" fontId="27" fillId="8" borderId="36" xfId="0" applyNumberFormat="1" applyFont="1" applyFill="1" applyBorder="1" applyAlignment="1">
      <alignment horizontal="center" vertical="center" wrapText="1"/>
    </xf>
    <xf numFmtId="14" fontId="26" fillId="0" borderId="2" xfId="22" applyNumberFormat="1" applyFont="1" applyFill="1" applyBorder="1" applyAlignment="1">
      <alignment horizontal="center" vertical="center" wrapText="1"/>
    </xf>
    <xf numFmtId="0" fontId="26" fillId="0" borderId="2" xfId="23" applyFont="1" applyFill="1" applyBorder="1" applyAlignment="1">
      <alignment horizontal="center" vertical="center" wrapText="1"/>
    </xf>
    <xf numFmtId="177" fontId="35" fillId="0" borderId="30" xfId="24" applyNumberFormat="1" applyFont="1" applyFill="1" applyBorder="1" applyAlignment="1">
      <alignment horizontal="center" vertical="center" wrapText="1"/>
    </xf>
    <xf numFmtId="14" fontId="26" fillId="0" borderId="2" xfId="25" applyNumberFormat="1" applyFont="1" applyFill="1" applyBorder="1" applyAlignment="1">
      <alignment horizontal="center" vertical="center" wrapText="1"/>
    </xf>
    <xf numFmtId="14" fontId="26" fillId="0" borderId="4" xfId="21" applyNumberFormat="1" applyFont="1" applyFill="1" applyBorder="1" applyAlignment="1">
      <alignment horizontal="center" vertical="center" wrapText="1"/>
    </xf>
    <xf numFmtId="14" fontId="26" fillId="0" borderId="2" xfId="21" applyNumberFormat="1" applyFont="1" applyFill="1" applyBorder="1" applyAlignment="1">
      <alignment horizontal="center" vertical="center" wrapText="1"/>
    </xf>
    <xf numFmtId="14" fontId="35" fillId="0" borderId="2" xfId="21" applyNumberFormat="1" applyFont="1" applyFill="1" applyBorder="1" applyAlignment="1">
      <alignment horizontal="center" vertical="center" wrapText="1"/>
    </xf>
    <xf numFmtId="0" fontId="28" fillId="0" borderId="2" xfId="23" applyFont="1" applyFill="1" applyBorder="1" applyAlignment="1">
      <alignment horizontal="center" vertical="center" wrapText="1"/>
    </xf>
    <xf numFmtId="0" fontId="26" fillId="0" borderId="2" xfId="23" applyFont="1" applyFill="1" applyBorder="1" applyAlignment="1">
      <alignment horizontal="left" vertical="center" wrapText="1"/>
    </xf>
    <xf numFmtId="177" fontId="27" fillId="0" borderId="4" xfId="0" applyNumberFormat="1" applyFont="1" applyBorder="1" applyAlignment="1">
      <alignment horizontal="center" vertical="center" wrapText="1"/>
    </xf>
    <xf numFmtId="14" fontId="26" fillId="0" borderId="4" xfId="25" applyNumberFormat="1" applyFont="1" applyFill="1" applyBorder="1" applyAlignment="1">
      <alignment horizontal="center" vertical="center" wrapText="1"/>
    </xf>
    <xf numFmtId="181" fontId="27" fillId="0" borderId="2" xfId="10" applyNumberFormat="1" applyFont="1" applyFill="1" applyBorder="1" applyAlignment="1">
      <alignment horizontal="right" vertical="center" wrapText="1"/>
    </xf>
    <xf numFmtId="14" fontId="27" fillId="0" borderId="2" xfId="0" applyNumberFormat="1" applyFont="1" applyBorder="1" applyAlignment="1">
      <alignment horizontal="center" vertical="center" wrapText="1"/>
    </xf>
    <xf numFmtId="0" fontId="27" fillId="0" borderId="4" xfId="3" applyFont="1" applyFill="1" applyBorder="1" applyAlignment="1">
      <alignment horizontal="center" vertical="center" wrapText="1"/>
    </xf>
    <xf numFmtId="179" fontId="41" fillId="0" borderId="2" xfId="4" applyNumberFormat="1" applyFont="1" applyFill="1" applyBorder="1" applyAlignment="1">
      <alignment vertical="center" wrapText="1"/>
    </xf>
    <xf numFmtId="177" fontId="36" fillId="8" borderId="4" xfId="0" applyNumberFormat="1" applyFont="1" applyFill="1" applyBorder="1" applyAlignment="1">
      <alignment horizontal="center" vertical="center" wrapText="1"/>
    </xf>
    <xf numFmtId="182" fontId="0" fillId="0" borderId="0" xfId="0" applyNumberFormat="1">
      <alignment vertical="center"/>
    </xf>
    <xf numFmtId="0" fontId="10" fillId="4" borderId="0" xfId="4" applyBorder="1" applyAlignment="1">
      <alignment vertical="center" wrapText="1"/>
    </xf>
    <xf numFmtId="179" fontId="39" fillId="4" borderId="4" xfId="4" applyNumberFormat="1" applyFont="1" applyBorder="1" applyAlignment="1">
      <alignment vertical="center" wrapText="1"/>
    </xf>
    <xf numFmtId="0" fontId="27" fillId="0" borderId="7" xfId="3" applyFont="1" applyFill="1" applyBorder="1" applyAlignment="1">
      <alignment horizontal="center" vertical="center" wrapText="1"/>
    </xf>
    <xf numFmtId="179" fontId="27" fillId="0" borderId="8" xfId="0" applyNumberFormat="1" applyFont="1" applyBorder="1" applyAlignment="1">
      <alignment vertical="center" wrapText="1"/>
    </xf>
    <xf numFmtId="177" fontId="38" fillId="12" borderId="6" xfId="0" applyNumberFormat="1" applyFont="1" applyFill="1" applyBorder="1" applyAlignment="1">
      <alignment horizontal="center" vertical="center" wrapText="1"/>
    </xf>
    <xf numFmtId="179" fontId="39" fillId="4" borderId="0" xfId="4" applyNumberFormat="1" applyFont="1" applyBorder="1" applyAlignment="1">
      <alignment vertical="center" wrapText="1"/>
    </xf>
    <xf numFmtId="178" fontId="27" fillId="0" borderId="2" xfId="10" applyNumberFormat="1" applyFont="1" applyFill="1" applyBorder="1" applyAlignment="1">
      <alignment vertical="center" wrapText="1"/>
    </xf>
    <xf numFmtId="178" fontId="27" fillId="0" borderId="4" xfId="10" applyNumberFormat="1" applyFont="1" applyFill="1" applyBorder="1" applyAlignment="1">
      <alignment horizontal="right" vertical="center" wrapText="1"/>
    </xf>
    <xf numFmtId="14" fontId="26" fillId="0" borderId="50" xfId="8" applyNumberFormat="1" applyFont="1" applyFill="1" applyBorder="1" applyAlignment="1">
      <alignment horizontal="center" vertical="center" wrapText="1"/>
    </xf>
    <xf numFmtId="0" fontId="26" fillId="0" borderId="0" xfId="0" applyFont="1">
      <alignment vertical="center"/>
    </xf>
    <xf numFmtId="179" fontId="26" fillId="0" borderId="0" xfId="0" applyNumberFormat="1" applyFont="1">
      <alignment vertical="center"/>
    </xf>
    <xf numFmtId="177" fontId="26" fillId="0" borderId="47" xfId="24" applyNumberFormat="1" applyFont="1" applyFill="1" applyBorder="1" applyAlignment="1">
      <alignment horizontal="center" vertical="center" wrapText="1"/>
    </xf>
    <xf numFmtId="179" fontId="30" fillId="0" borderId="0" xfId="0" applyNumberFormat="1" applyFont="1">
      <alignment vertical="center"/>
    </xf>
    <xf numFmtId="176" fontId="26" fillId="0" borderId="0" xfId="10" applyFont="1">
      <alignment vertical="center"/>
    </xf>
    <xf numFmtId="178" fontId="27" fillId="0" borderId="2" xfId="10" applyNumberFormat="1" applyFont="1" applyFill="1" applyBorder="1" applyAlignment="1">
      <alignment horizontal="right" vertical="center" wrapText="1"/>
    </xf>
    <xf numFmtId="178" fontId="28" fillId="0" borderId="2" xfId="10" applyNumberFormat="1" applyFont="1" applyFill="1" applyBorder="1" applyAlignment="1">
      <alignment horizontal="right" vertical="center" wrapText="1"/>
    </xf>
    <xf numFmtId="178" fontId="28" fillId="0" borderId="4" xfId="4" applyNumberFormat="1" applyFont="1" applyFill="1" applyBorder="1" applyAlignment="1">
      <alignment horizontal="center" vertical="center" wrapText="1"/>
    </xf>
    <xf numFmtId="178" fontId="28" fillId="0" borderId="4" xfId="10" applyNumberFormat="1" applyFont="1" applyFill="1" applyBorder="1" applyAlignment="1">
      <alignment horizontal="right" vertical="center" wrapText="1"/>
    </xf>
    <xf numFmtId="176" fontId="26" fillId="0" borderId="0" xfId="0" applyNumberFormat="1" applyFont="1">
      <alignment vertical="center"/>
    </xf>
    <xf numFmtId="181" fontId="27" fillId="0" borderId="4" xfId="10" applyNumberFormat="1" applyFont="1" applyFill="1" applyBorder="1" applyAlignment="1">
      <alignment horizontal="right" vertical="center" wrapText="1"/>
    </xf>
    <xf numFmtId="178" fontId="28" fillId="0" borderId="46" xfId="10" applyNumberFormat="1" applyFont="1" applyFill="1" applyBorder="1" applyAlignment="1">
      <alignment horizontal="right" vertical="center" wrapText="1"/>
    </xf>
    <xf numFmtId="178" fontId="28" fillId="0" borderId="55" xfId="10" applyNumberFormat="1" applyFont="1" applyFill="1" applyBorder="1" applyAlignment="1">
      <alignment horizontal="right" vertical="center" wrapText="1"/>
    </xf>
    <xf numFmtId="178" fontId="28" fillId="0" borderId="13" xfId="10" applyNumberFormat="1" applyFont="1" applyFill="1" applyBorder="1" applyAlignment="1">
      <alignment horizontal="right" vertical="center" wrapText="1"/>
    </xf>
    <xf numFmtId="0" fontId="27" fillId="0" borderId="4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7" fillId="0" borderId="4" xfId="0" applyFont="1" applyBorder="1" applyAlignment="1">
      <alignment horizontal="center" vertical="center" shrinkToFit="1"/>
    </xf>
    <xf numFmtId="178" fontId="27" fillId="0" borderId="4" xfId="0" applyNumberFormat="1" applyFont="1" applyBorder="1" applyAlignment="1">
      <alignment horizontal="center" vertical="center" wrapText="1"/>
    </xf>
    <xf numFmtId="178" fontId="26" fillId="0" borderId="2" xfId="1" applyNumberFormat="1" applyFont="1" applyFill="1" applyBorder="1" applyAlignment="1">
      <alignment horizontal="center" vertical="center" wrapText="1"/>
    </xf>
    <xf numFmtId="178" fontId="26" fillId="0" borderId="2" xfId="10" applyNumberFormat="1" applyFont="1" applyFill="1" applyBorder="1" applyAlignment="1">
      <alignment horizontal="center" vertical="center" wrapText="1"/>
    </xf>
    <xf numFmtId="178" fontId="26" fillId="0" borderId="4" xfId="1" applyNumberFormat="1" applyFont="1" applyFill="1" applyBorder="1" applyAlignment="1">
      <alignment horizontal="center" vertical="center" wrapText="1"/>
    </xf>
    <xf numFmtId="181" fontId="10" fillId="0" borderId="2" xfId="4" applyNumberFormat="1" applyFill="1" applyBorder="1" applyAlignment="1">
      <alignment horizontal="right" vertical="center" wrapText="1"/>
    </xf>
    <xf numFmtId="181" fontId="10" fillId="0" borderId="4" xfId="4" applyNumberFormat="1" applyFill="1" applyBorder="1" applyAlignment="1">
      <alignment horizontal="right" vertical="center" wrapText="1"/>
    </xf>
    <xf numFmtId="178" fontId="26" fillId="0" borderId="4" xfId="10" applyNumberFormat="1" applyFont="1" applyFill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14" fontId="26" fillId="0" borderId="9" xfId="8" applyNumberFormat="1" applyFont="1" applyFill="1" applyBorder="1" applyAlignment="1">
      <alignment horizontal="center" vertical="center" wrapText="1"/>
    </xf>
    <xf numFmtId="14" fontId="26" fillId="0" borderId="54" xfId="8" applyNumberFormat="1" applyFont="1" applyFill="1" applyBorder="1" applyAlignment="1">
      <alignment horizontal="center" vertical="center" wrapText="1"/>
    </xf>
    <xf numFmtId="178" fontId="26" fillId="0" borderId="55" xfId="1" applyNumberFormat="1" applyFont="1" applyFill="1" applyBorder="1" applyAlignment="1">
      <alignment horizontal="center" vertical="center" wrapText="1"/>
    </xf>
    <xf numFmtId="14" fontId="26" fillId="0" borderId="4" xfId="8" applyNumberFormat="1" applyFont="1" applyFill="1" applyBorder="1" applyAlignment="1">
      <alignment horizontal="center" vertical="center" wrapText="1"/>
    </xf>
    <xf numFmtId="178" fontId="26" fillId="0" borderId="46" xfId="1" applyNumberFormat="1" applyFont="1" applyFill="1" applyBorder="1" applyAlignment="1">
      <alignment horizontal="center" vertical="center" wrapText="1"/>
    </xf>
    <xf numFmtId="178" fontId="26" fillId="0" borderId="13" xfId="1" applyNumberFormat="1" applyFont="1" applyFill="1" applyBorder="1" applyAlignment="1">
      <alignment horizontal="center" vertical="center" wrapText="1"/>
    </xf>
    <xf numFmtId="178" fontId="28" fillId="0" borderId="55" xfId="4" applyNumberFormat="1" applyFont="1" applyFill="1" applyBorder="1" applyAlignment="1">
      <alignment horizontal="center" vertical="center" wrapText="1"/>
    </xf>
    <xf numFmtId="178" fontId="28" fillId="0" borderId="13" xfId="4" applyNumberFormat="1" applyFont="1" applyFill="1" applyBorder="1" applyAlignment="1">
      <alignment horizontal="center" vertical="center" wrapText="1"/>
    </xf>
    <xf numFmtId="178" fontId="26" fillId="0" borderId="46" xfId="10" applyNumberFormat="1" applyFont="1" applyFill="1" applyBorder="1" applyAlignment="1">
      <alignment horizontal="center" vertical="center" wrapText="1"/>
    </xf>
    <xf numFmtId="178" fontId="10" fillId="0" borderId="2" xfId="4" applyNumberFormat="1" applyFill="1" applyBorder="1" applyAlignment="1">
      <alignment horizontal="right" vertical="center" wrapText="1"/>
    </xf>
    <xf numFmtId="0" fontId="26" fillId="0" borderId="0" xfId="0" applyFont="1" applyAlignment="1">
      <alignment horizontal="left" vertical="center"/>
    </xf>
    <xf numFmtId="177" fontId="26" fillId="0" borderId="0" xfId="0" applyNumberFormat="1" applyFont="1" applyAlignment="1">
      <alignment horizontal="left" vertical="center"/>
    </xf>
    <xf numFmtId="178" fontId="30" fillId="0" borderId="0" xfId="10" applyNumberFormat="1" applyFont="1" applyAlignment="1">
      <alignment horizontal="left" vertical="center"/>
    </xf>
    <xf numFmtId="178" fontId="26" fillId="0" borderId="9" xfId="1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78" fontId="28" fillId="0" borderId="9" xfId="10" applyNumberFormat="1" applyFont="1" applyFill="1" applyBorder="1" applyAlignment="1">
      <alignment horizontal="right" vertical="center" wrapText="1"/>
    </xf>
    <xf numFmtId="14" fontId="26" fillId="0" borderId="29" xfId="8" applyNumberFormat="1" applyFont="1" applyFill="1" applyBorder="1" applyAlignment="1">
      <alignment horizontal="center" vertical="center" wrapText="1"/>
    </xf>
    <xf numFmtId="178" fontId="28" fillId="0" borderId="45" xfId="10" applyNumberFormat="1" applyFont="1" applyFill="1" applyBorder="1" applyAlignment="1">
      <alignment horizontal="right" vertical="center" wrapText="1"/>
    </xf>
    <xf numFmtId="0" fontId="28" fillId="0" borderId="4" xfId="4" applyNumberFormat="1" applyFont="1" applyFill="1" applyBorder="1" applyAlignment="1">
      <alignment horizontal="center" vertical="center" wrapText="1"/>
    </xf>
    <xf numFmtId="0" fontId="26" fillId="0" borderId="2" xfId="1" applyNumberFormat="1" applyFont="1" applyFill="1" applyBorder="1" applyAlignment="1">
      <alignment vertical="center" wrapText="1"/>
    </xf>
    <xf numFmtId="0" fontId="27" fillId="0" borderId="4" xfId="4" applyNumberFormat="1" applyFont="1" applyFill="1" applyBorder="1" applyAlignment="1">
      <alignment vertical="center" wrapText="1"/>
    </xf>
    <xf numFmtId="181" fontId="28" fillId="0" borderId="2" xfId="10" applyNumberFormat="1" applyFont="1" applyFill="1" applyBorder="1" applyAlignment="1">
      <alignment horizontal="right" vertical="center" wrapText="1"/>
    </xf>
    <xf numFmtId="0" fontId="39" fillId="0" borderId="2" xfId="4" applyNumberFormat="1" applyFont="1" applyFill="1" applyBorder="1" applyAlignment="1">
      <alignment vertical="center" wrapText="1"/>
    </xf>
    <xf numFmtId="181" fontId="28" fillId="0" borderId="4" xfId="10" applyNumberFormat="1" applyFont="1" applyFill="1" applyBorder="1" applyAlignment="1">
      <alignment horizontal="right" vertical="center" wrapText="1"/>
    </xf>
    <xf numFmtId="0" fontId="26" fillId="0" borderId="4" xfId="1" applyNumberFormat="1" applyFont="1" applyFill="1" applyBorder="1" applyAlignment="1">
      <alignment vertical="center" wrapText="1"/>
    </xf>
    <xf numFmtId="0" fontId="39" fillId="0" borderId="4" xfId="4" applyNumberFormat="1" applyFont="1" applyFill="1" applyBorder="1" applyAlignment="1">
      <alignment vertical="center" wrapText="1"/>
    </xf>
    <xf numFmtId="0" fontId="34" fillId="0" borderId="2" xfId="4" applyNumberFormat="1" applyFont="1" applyFill="1" applyBorder="1" applyAlignment="1">
      <alignment vertical="center" wrapText="1"/>
    </xf>
    <xf numFmtId="0" fontId="28" fillId="0" borderId="4" xfId="4" applyNumberFormat="1" applyFont="1" applyFill="1" applyBorder="1" applyAlignment="1">
      <alignment horizontal="center" vertical="center" shrinkToFit="1"/>
    </xf>
    <xf numFmtId="0" fontId="10" fillId="0" borderId="2" xfId="4" applyNumberFormat="1" applyFill="1" applyBorder="1" applyAlignment="1">
      <alignment vertical="center" wrapText="1"/>
    </xf>
    <xf numFmtId="0" fontId="28" fillId="0" borderId="2" xfId="4" applyNumberFormat="1" applyFont="1" applyFill="1" applyBorder="1" applyAlignment="1">
      <alignment horizontal="center" vertical="center" wrapText="1"/>
    </xf>
    <xf numFmtId="0" fontId="28" fillId="0" borderId="13" xfId="4" applyNumberFormat="1" applyFont="1" applyFill="1" applyBorder="1" applyAlignment="1">
      <alignment horizontal="center" vertical="center" wrapText="1"/>
    </xf>
    <xf numFmtId="0" fontId="26" fillId="0" borderId="13" xfId="1" applyNumberFormat="1" applyFont="1" applyFill="1" applyBorder="1" applyAlignment="1">
      <alignment vertical="center" wrapText="1"/>
    </xf>
    <xf numFmtId="0" fontId="28" fillId="0" borderId="55" xfId="4" applyNumberFormat="1" applyFont="1" applyFill="1" applyBorder="1" applyAlignment="1">
      <alignment horizontal="center" vertical="center" wrapText="1"/>
    </xf>
    <xf numFmtId="0" fontId="26" fillId="0" borderId="55" xfId="1" applyNumberFormat="1" applyFont="1" applyFill="1" applyBorder="1" applyAlignment="1">
      <alignment vertical="center" wrapText="1"/>
    </xf>
    <xf numFmtId="0" fontId="28" fillId="0" borderId="46" xfId="4" applyNumberFormat="1" applyFont="1" applyFill="1" applyBorder="1" applyAlignment="1">
      <alignment horizontal="center" vertical="center" wrapText="1"/>
    </xf>
    <xf numFmtId="0" fontId="28" fillId="0" borderId="46" xfId="4" applyNumberFormat="1" applyFont="1" applyFill="1" applyBorder="1" applyAlignment="1">
      <alignment horizontal="center" vertical="center" shrinkToFit="1"/>
    </xf>
    <xf numFmtId="0" fontId="26" fillId="0" borderId="9" xfId="1" applyNumberFormat="1" applyFont="1" applyFill="1" applyBorder="1" applyAlignment="1">
      <alignment vertical="center" wrapText="1"/>
    </xf>
    <xf numFmtId="0" fontId="26" fillId="0" borderId="46" xfId="1" applyNumberFormat="1" applyFont="1" applyFill="1" applyBorder="1" applyAlignment="1">
      <alignment vertical="center" wrapText="1"/>
    </xf>
    <xf numFmtId="0" fontId="28" fillId="0" borderId="45" xfId="4" applyNumberFormat="1" applyFont="1" applyFill="1" applyBorder="1" applyAlignment="1">
      <alignment horizontal="center" vertical="center" wrapText="1"/>
    </xf>
    <xf numFmtId="0" fontId="28" fillId="0" borderId="55" xfId="4" applyNumberFormat="1" applyFont="1" applyFill="1" applyBorder="1" applyAlignment="1">
      <alignment vertical="center" wrapText="1"/>
    </xf>
    <xf numFmtId="0" fontId="34" fillId="0" borderId="9" xfId="4" applyNumberFormat="1" applyFont="1" applyFill="1" applyBorder="1" applyAlignment="1">
      <alignment vertical="center" wrapText="1"/>
    </xf>
    <xf numFmtId="0" fontId="34" fillId="0" borderId="55" xfId="4" applyNumberFormat="1" applyFont="1" applyFill="1" applyBorder="1" applyAlignment="1">
      <alignment vertical="center" wrapText="1"/>
    </xf>
    <xf numFmtId="0" fontId="26" fillId="0" borderId="45" xfId="1" applyNumberFormat="1" applyFont="1" applyFill="1" applyBorder="1" applyAlignment="1">
      <alignment vertical="center" wrapText="1"/>
    </xf>
    <xf numFmtId="0" fontId="28" fillId="0" borderId="4" xfId="4" applyNumberFormat="1" applyFont="1" applyFill="1" applyBorder="1" applyAlignment="1">
      <alignment vertical="center" wrapText="1"/>
    </xf>
    <xf numFmtId="0" fontId="28" fillId="0" borderId="31" xfId="4" applyNumberFormat="1" applyFont="1" applyFill="1" applyBorder="1" applyAlignment="1">
      <alignment horizontal="center" vertical="center" wrapText="1"/>
    </xf>
    <xf numFmtId="0" fontId="34" fillId="0" borderId="4" xfId="4" applyNumberFormat="1" applyFont="1" applyFill="1" applyBorder="1" applyAlignment="1">
      <alignment vertical="center" wrapText="1"/>
    </xf>
    <xf numFmtId="0" fontId="28" fillId="0" borderId="58" xfId="4" applyNumberFormat="1" applyFont="1" applyFill="1" applyBorder="1" applyAlignment="1">
      <alignment horizontal="center" vertical="center" wrapText="1"/>
    </xf>
    <xf numFmtId="0" fontId="28" fillId="0" borderId="25" xfId="4" applyNumberFormat="1" applyFont="1" applyFill="1" applyBorder="1" applyAlignment="1">
      <alignment horizontal="center" vertical="center" wrapText="1"/>
    </xf>
    <xf numFmtId="0" fontId="28" fillId="0" borderId="9" xfId="4" applyNumberFormat="1" applyFont="1" applyFill="1" applyBorder="1" applyAlignment="1">
      <alignment horizontal="center" vertical="center" wrapText="1"/>
    </xf>
    <xf numFmtId="0" fontId="39" fillId="0" borderId="46" xfId="4" applyNumberFormat="1" applyFont="1" applyFill="1" applyBorder="1" applyAlignment="1">
      <alignment vertical="center" wrapText="1"/>
    </xf>
    <xf numFmtId="0" fontId="28" fillId="0" borderId="19" xfId="4" applyNumberFormat="1" applyFont="1" applyFill="1" applyBorder="1" applyAlignment="1">
      <alignment horizontal="center" vertical="center" wrapText="1"/>
    </xf>
    <xf numFmtId="0" fontId="34" fillId="0" borderId="45" xfId="4" applyNumberFormat="1" applyFont="1" applyFill="1" applyBorder="1" applyAlignment="1">
      <alignment vertical="center" wrapText="1"/>
    </xf>
    <xf numFmtId="179" fontId="31" fillId="15" borderId="9" xfId="0" applyNumberFormat="1" applyFont="1" applyFill="1" applyBorder="1" applyAlignment="1">
      <alignment horizontal="center" vertical="center" wrapText="1"/>
    </xf>
    <xf numFmtId="14" fontId="31" fillId="0" borderId="32" xfId="0" applyNumberFormat="1" applyFont="1" applyBorder="1" applyAlignment="1">
      <alignment horizontal="center" vertical="center" wrapText="1"/>
    </xf>
    <xf numFmtId="14" fontId="31" fillId="0" borderId="33" xfId="0" applyNumberFormat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left" vertical="center" wrapText="1"/>
    </xf>
    <xf numFmtId="178" fontId="28" fillId="0" borderId="4" xfId="0" applyNumberFormat="1" applyFont="1" applyBorder="1" applyAlignment="1">
      <alignment horizontal="center" vertical="center" wrapText="1"/>
    </xf>
    <xf numFmtId="177" fontId="28" fillId="0" borderId="34" xfId="0" applyNumberFormat="1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14" fontId="31" fillId="0" borderId="53" xfId="0" applyNumberFormat="1" applyFont="1" applyBorder="1" applyAlignment="1">
      <alignment horizontal="center" vertical="center" wrapText="1"/>
    </xf>
    <xf numFmtId="178" fontId="28" fillId="0" borderId="4" xfId="10" applyNumberFormat="1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shrinkToFit="1"/>
    </xf>
    <xf numFmtId="0" fontId="28" fillId="0" borderId="4" xfId="0" applyFont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 wrapText="1"/>
    </xf>
    <xf numFmtId="14" fontId="31" fillId="0" borderId="50" xfId="0" applyNumberFormat="1" applyFont="1" applyBorder="1" applyAlignment="1">
      <alignment horizontal="center" vertical="center" wrapText="1"/>
    </xf>
    <xf numFmtId="14" fontId="31" fillId="0" borderId="52" xfId="0" applyNumberFormat="1" applyFont="1" applyBorder="1" applyAlignment="1">
      <alignment horizontal="center" vertical="center" wrapText="1"/>
    </xf>
    <xf numFmtId="0" fontId="28" fillId="0" borderId="45" xfId="0" applyFont="1" applyBorder="1" applyAlignment="1">
      <alignment horizontal="center" vertical="center" shrinkToFit="1"/>
    </xf>
    <xf numFmtId="0" fontId="34" fillId="4" borderId="2" xfId="4" applyFont="1" applyBorder="1" applyAlignment="1">
      <alignment vertical="center" wrapText="1"/>
    </xf>
    <xf numFmtId="0" fontId="34" fillId="4" borderId="4" xfId="4" applyNumberFormat="1" applyFont="1" applyBorder="1" applyAlignment="1">
      <alignment horizontal="left" vertical="center" wrapText="1"/>
    </xf>
    <xf numFmtId="0" fontId="34" fillId="4" borderId="4" xfId="4" applyFont="1" applyBorder="1" applyAlignment="1">
      <alignment vertical="center" wrapText="1"/>
    </xf>
    <xf numFmtId="0" fontId="34" fillId="4" borderId="2" xfId="4" applyNumberFormat="1" applyFont="1" applyBorder="1" applyAlignment="1">
      <alignment horizontal="left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shrinkToFit="1"/>
    </xf>
    <xf numFmtId="177" fontId="28" fillId="0" borderId="47" xfId="0" applyNumberFormat="1" applyFont="1" applyBorder="1" applyAlignment="1">
      <alignment horizontal="center" vertical="center" wrapText="1"/>
    </xf>
    <xf numFmtId="178" fontId="31" fillId="11" borderId="13" xfId="10" applyNumberFormat="1" applyFont="1" applyFill="1" applyBorder="1" applyAlignment="1">
      <alignment horizontal="right" vertical="center" wrapText="1"/>
    </xf>
    <xf numFmtId="177" fontId="28" fillId="0" borderId="41" xfId="0" applyNumberFormat="1" applyFont="1" applyBorder="1" applyAlignment="1">
      <alignment horizontal="center" vertical="center" wrapText="1"/>
    </xf>
    <xf numFmtId="177" fontId="28" fillId="0" borderId="26" xfId="0" applyNumberFormat="1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34" fillId="4" borderId="55" xfId="4" applyNumberFormat="1" applyFont="1" applyBorder="1" applyAlignment="1">
      <alignment horizontal="left" vertical="center" wrapText="1"/>
    </xf>
    <xf numFmtId="0" fontId="28" fillId="0" borderId="23" xfId="0" applyFont="1" applyBorder="1" applyAlignment="1">
      <alignment horizontal="center" vertical="center" wrapText="1"/>
    </xf>
    <xf numFmtId="0" fontId="34" fillId="4" borderId="45" xfId="4" applyFont="1" applyBorder="1" applyAlignment="1">
      <alignment vertical="center" wrapText="1"/>
    </xf>
    <xf numFmtId="0" fontId="34" fillId="4" borderId="9" xfId="4" applyNumberFormat="1" applyFont="1" applyBorder="1" applyAlignment="1">
      <alignment horizontal="left" vertical="center" wrapText="1"/>
    </xf>
    <xf numFmtId="178" fontId="28" fillId="0" borderId="55" xfId="10" applyNumberFormat="1" applyFont="1" applyFill="1" applyBorder="1" applyAlignment="1">
      <alignment horizontal="center" vertical="center" wrapText="1"/>
    </xf>
    <xf numFmtId="14" fontId="26" fillId="16" borderId="2" xfId="8" applyNumberFormat="1" applyFont="1" applyFill="1" applyBorder="1" applyAlignment="1">
      <alignment horizontal="center" vertical="center" wrapText="1"/>
    </xf>
    <xf numFmtId="0" fontId="28" fillId="16" borderId="4" xfId="4" applyNumberFormat="1" applyFont="1" applyFill="1" applyBorder="1" applyAlignment="1">
      <alignment horizontal="center" vertical="center" wrapText="1"/>
    </xf>
    <xf numFmtId="181" fontId="10" fillId="4" borderId="2" xfId="4" applyNumberFormat="1" applyBorder="1" applyAlignment="1">
      <alignment horizontal="right" vertical="center" wrapText="1"/>
    </xf>
    <xf numFmtId="0" fontId="10" fillId="4" borderId="4" xfId="4" applyNumberFormat="1" applyBorder="1" applyAlignment="1">
      <alignment vertical="center" wrapText="1"/>
    </xf>
    <xf numFmtId="181" fontId="27" fillId="8" borderId="2" xfId="10" applyNumberFormat="1" applyFont="1" applyFill="1" applyBorder="1" applyAlignment="1">
      <alignment vertical="center" wrapText="1"/>
    </xf>
    <xf numFmtId="178" fontId="10" fillId="4" borderId="2" xfId="4" applyNumberFormat="1" applyBorder="1" applyAlignment="1">
      <alignment horizontal="right" vertical="center" wrapText="1"/>
    </xf>
    <xf numFmtId="178" fontId="27" fillId="0" borderId="4" xfId="10" applyNumberFormat="1" applyFont="1" applyBorder="1" applyAlignment="1">
      <alignment horizontal="center" vertical="center" wrapText="1"/>
    </xf>
    <xf numFmtId="178" fontId="42" fillId="8" borderId="2" xfId="0" applyNumberFormat="1" applyFont="1" applyFill="1" applyBorder="1" applyAlignment="1">
      <alignment horizontal="right" vertical="center" wrapText="1"/>
    </xf>
    <xf numFmtId="0" fontId="42" fillId="8" borderId="2" xfId="0" applyFont="1" applyFill="1" applyBorder="1" applyAlignment="1">
      <alignment vertical="center" wrapText="1"/>
    </xf>
    <xf numFmtId="0" fontId="10" fillId="4" borderId="2" xfId="4" applyNumberFormat="1" applyBorder="1" applyAlignment="1">
      <alignment vertical="center" wrapText="1"/>
    </xf>
    <xf numFmtId="178" fontId="27" fillId="0" borderId="4" xfId="4" applyNumberFormat="1" applyFont="1" applyFill="1" applyBorder="1" applyAlignment="1">
      <alignment horizontal="center" vertical="center" wrapText="1"/>
    </xf>
    <xf numFmtId="181" fontId="10" fillId="4" borderId="4" xfId="4" applyNumberFormat="1" applyBorder="1" applyAlignment="1">
      <alignment horizontal="right" vertical="center" wrapText="1"/>
    </xf>
    <xf numFmtId="0" fontId="10" fillId="4" borderId="4" xfId="4" applyNumberFormat="1" applyBorder="1" applyAlignment="1">
      <alignment horizontal="left" vertical="center" wrapText="1"/>
    </xf>
    <xf numFmtId="0" fontId="27" fillId="0" borderId="2" xfId="3" applyNumberFormat="1" applyFont="1" applyFill="1" applyBorder="1" applyAlignment="1">
      <alignment horizontal="center" vertical="center" wrapText="1"/>
    </xf>
    <xf numFmtId="183" fontId="27" fillId="0" borderId="4" xfId="0" applyNumberFormat="1" applyFont="1" applyBorder="1" applyAlignment="1">
      <alignment horizontal="center" vertical="center" wrapText="1"/>
    </xf>
    <xf numFmtId="183" fontId="36" fillId="0" borderId="4" xfId="0" applyNumberFormat="1" applyFont="1" applyBorder="1" applyAlignment="1">
      <alignment horizontal="center" vertical="center" wrapText="1"/>
    </xf>
    <xf numFmtId="183" fontId="43" fillId="0" borderId="4" xfId="0" applyNumberFormat="1" applyFont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shrinkToFit="1"/>
    </xf>
    <xf numFmtId="0" fontId="28" fillId="0" borderId="2" xfId="4" applyNumberFormat="1" applyFont="1" applyFill="1" applyBorder="1" applyAlignment="1">
      <alignment horizontal="center" vertical="center" shrinkToFit="1"/>
    </xf>
    <xf numFmtId="0" fontId="27" fillId="0" borderId="2" xfId="0" applyFont="1" applyBorder="1" applyAlignment="1">
      <alignment horizontal="left" vertical="center" wrapText="1"/>
    </xf>
    <xf numFmtId="0" fontId="27" fillId="0" borderId="2" xfId="4" applyNumberFormat="1" applyFont="1" applyFill="1" applyBorder="1" applyAlignment="1">
      <alignment vertical="center" wrapText="1"/>
    </xf>
    <xf numFmtId="178" fontId="27" fillId="0" borderId="2" xfId="0" applyNumberFormat="1" applyFont="1" applyBorder="1" applyAlignment="1">
      <alignment horizontal="center" vertical="center" wrapText="1"/>
    </xf>
    <xf numFmtId="178" fontId="10" fillId="4" borderId="4" xfId="4" applyNumberFormat="1" applyBorder="1" applyAlignment="1">
      <alignment horizontal="right" vertical="center" wrapText="1"/>
    </xf>
    <xf numFmtId="0" fontId="10" fillId="4" borderId="4" xfId="4" applyBorder="1" applyAlignment="1">
      <alignment vertical="center" wrapText="1"/>
    </xf>
    <xf numFmtId="178" fontId="42" fillId="8" borderId="4" xfId="0" applyNumberFormat="1" applyFont="1" applyFill="1" applyBorder="1" applyAlignment="1">
      <alignment horizontal="right" vertical="center" wrapText="1"/>
    </xf>
    <xf numFmtId="0" fontId="28" fillId="0" borderId="55" xfId="4" applyNumberFormat="1" applyFont="1" applyFill="1" applyBorder="1" applyAlignment="1">
      <alignment horizontal="center" vertical="center" shrinkToFit="1"/>
    </xf>
    <xf numFmtId="0" fontId="27" fillId="0" borderId="45" xfId="0" applyFont="1" applyBorder="1" applyAlignment="1">
      <alignment horizontal="center" vertical="center" shrinkToFit="1"/>
    </xf>
    <xf numFmtId="0" fontId="27" fillId="0" borderId="46" xfId="0" applyFont="1" applyBorder="1" applyAlignment="1">
      <alignment horizontal="center" vertical="center" shrinkToFit="1"/>
    </xf>
    <xf numFmtId="183" fontId="27" fillId="0" borderId="46" xfId="0" applyNumberFormat="1" applyFont="1" applyBorder="1" applyAlignment="1">
      <alignment horizontal="center" vertical="center" wrapText="1"/>
    </xf>
    <xf numFmtId="0" fontId="27" fillId="8" borderId="56" xfId="0" applyFont="1" applyFill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shrinkToFit="1"/>
    </xf>
    <xf numFmtId="0" fontId="27" fillId="0" borderId="13" xfId="0" applyFont="1" applyBorder="1" applyAlignment="1">
      <alignment horizontal="center" vertical="center" shrinkToFit="1"/>
    </xf>
    <xf numFmtId="178" fontId="27" fillId="0" borderId="13" xfId="0" applyNumberFormat="1" applyFont="1" applyBorder="1" applyAlignment="1">
      <alignment horizontal="center" vertical="center" wrapText="1"/>
    </xf>
    <xf numFmtId="181" fontId="10" fillId="4" borderId="9" xfId="4" applyNumberFormat="1" applyBorder="1" applyAlignment="1">
      <alignment horizontal="right" vertical="center" wrapText="1"/>
    </xf>
    <xf numFmtId="183" fontId="27" fillId="0" borderId="13" xfId="0" applyNumberFormat="1" applyFont="1" applyBorder="1" applyAlignment="1">
      <alignment horizontal="center" vertical="center" wrapText="1"/>
    </xf>
    <xf numFmtId="0" fontId="27" fillId="0" borderId="55" xfId="0" applyFont="1" applyBorder="1" applyAlignment="1">
      <alignment horizontal="center" vertical="center" shrinkToFit="1"/>
    </xf>
    <xf numFmtId="178" fontId="27" fillId="0" borderId="55" xfId="0" applyNumberFormat="1" applyFont="1" applyBorder="1" applyAlignment="1">
      <alignment horizontal="center" vertical="center" wrapText="1"/>
    </xf>
    <xf numFmtId="181" fontId="10" fillId="4" borderId="55" xfId="4" applyNumberFormat="1" applyBorder="1" applyAlignment="1">
      <alignment horizontal="right" vertical="center" wrapText="1"/>
    </xf>
    <xf numFmtId="0" fontId="10" fillId="4" borderId="55" xfId="4" applyNumberFormat="1" applyBorder="1" applyAlignment="1">
      <alignment horizontal="left" vertical="center" wrapText="1"/>
    </xf>
    <xf numFmtId="183" fontId="27" fillId="0" borderId="55" xfId="0" applyNumberFormat="1" applyFont="1" applyBorder="1" applyAlignment="1">
      <alignment horizontal="center" vertical="center" wrapText="1"/>
    </xf>
    <xf numFmtId="0" fontId="27" fillId="8" borderId="23" xfId="0" applyFont="1" applyFill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178" fontId="27" fillId="0" borderId="46" xfId="0" applyNumberFormat="1" applyFont="1" applyBorder="1" applyAlignment="1">
      <alignment horizontal="center" vertical="center" wrapText="1"/>
    </xf>
    <xf numFmtId="181" fontId="10" fillId="4" borderId="45" xfId="4" applyNumberFormat="1" applyBorder="1" applyAlignment="1">
      <alignment horizontal="right" vertical="center" wrapText="1"/>
    </xf>
    <xf numFmtId="0" fontId="10" fillId="4" borderId="45" xfId="4" applyNumberFormat="1" applyBorder="1" applyAlignment="1">
      <alignment vertical="center" wrapText="1"/>
    </xf>
    <xf numFmtId="0" fontId="28" fillId="0" borderId="13" xfId="0" applyFont="1" applyBorder="1" applyAlignment="1">
      <alignment horizontal="center" vertical="center" shrinkToFit="1"/>
    </xf>
    <xf numFmtId="0" fontId="28" fillId="0" borderId="13" xfId="4" applyNumberFormat="1" applyFont="1" applyFill="1" applyBorder="1" applyAlignment="1">
      <alignment vertical="center" wrapText="1"/>
    </xf>
    <xf numFmtId="14" fontId="35" fillId="0" borderId="4" xfId="8" applyNumberFormat="1" applyFont="1" applyFill="1" applyBorder="1" applyAlignment="1">
      <alignment horizontal="center" vertical="center" wrapText="1"/>
    </xf>
    <xf numFmtId="181" fontId="27" fillId="8" borderId="4" xfId="10" applyNumberFormat="1" applyFont="1" applyFill="1" applyBorder="1" applyAlignment="1">
      <alignment vertical="center" wrapText="1"/>
    </xf>
    <xf numFmtId="14" fontId="35" fillId="0" borderId="50" xfId="8" applyNumberFormat="1" applyFont="1" applyFill="1" applyBorder="1" applyAlignment="1">
      <alignment horizontal="center" vertical="center" wrapText="1"/>
    </xf>
    <xf numFmtId="0" fontId="27" fillId="0" borderId="45" xfId="0" applyFont="1" applyBorder="1" applyAlignment="1">
      <alignment horizontal="center" vertical="center" wrapText="1"/>
    </xf>
    <xf numFmtId="0" fontId="27" fillId="0" borderId="58" xfId="0" applyFont="1" applyBorder="1" applyAlignment="1">
      <alignment horizontal="center" vertical="center" wrapText="1"/>
    </xf>
    <xf numFmtId="0" fontId="27" fillId="0" borderId="46" xfId="0" applyFont="1" applyBorder="1" applyAlignment="1">
      <alignment horizontal="left" vertical="center" wrapText="1"/>
    </xf>
    <xf numFmtId="178" fontId="27" fillId="0" borderId="46" xfId="10" applyNumberFormat="1" applyFont="1" applyFill="1" applyBorder="1" applyAlignment="1">
      <alignment horizontal="right" vertical="center" wrapText="1"/>
    </xf>
    <xf numFmtId="178" fontId="27" fillId="0" borderId="45" xfId="10" applyNumberFormat="1" applyFont="1" applyFill="1" applyBorder="1" applyAlignment="1">
      <alignment horizontal="right" vertical="center" wrapText="1"/>
    </xf>
    <xf numFmtId="178" fontId="25" fillId="11" borderId="46" xfId="10" applyNumberFormat="1" applyFont="1" applyFill="1" applyBorder="1" applyAlignment="1">
      <alignment horizontal="right" vertical="center" wrapText="1"/>
    </xf>
    <xf numFmtId="178" fontId="10" fillId="4" borderId="45" xfId="4" applyNumberFormat="1" applyBorder="1" applyAlignment="1">
      <alignment horizontal="right" vertical="center" wrapText="1"/>
    </xf>
    <xf numFmtId="0" fontId="10" fillId="4" borderId="45" xfId="4" applyBorder="1" applyAlignment="1">
      <alignment vertical="center" wrapText="1"/>
    </xf>
    <xf numFmtId="181" fontId="27" fillId="8" borderId="45" xfId="10" applyNumberFormat="1" applyFont="1" applyFill="1" applyBorder="1" applyAlignment="1">
      <alignment vertical="center" wrapText="1"/>
    </xf>
    <xf numFmtId="0" fontId="27" fillId="0" borderId="9" xfId="0" applyFont="1" applyBorder="1" applyAlignment="1">
      <alignment horizontal="center" vertical="center" wrapText="1"/>
    </xf>
    <xf numFmtId="0" fontId="28" fillId="0" borderId="13" xfId="4" applyNumberFormat="1" applyFont="1" applyFill="1" applyBorder="1" applyAlignment="1">
      <alignment horizontal="center" vertical="center" shrinkToFit="1"/>
    </xf>
    <xf numFmtId="178" fontId="27" fillId="0" borderId="13" xfId="10" applyNumberFormat="1" applyFont="1" applyFill="1" applyBorder="1" applyAlignment="1">
      <alignment horizontal="right" vertical="center" wrapText="1"/>
    </xf>
    <xf numFmtId="178" fontId="27" fillId="0" borderId="9" xfId="10" applyNumberFormat="1" applyFont="1" applyFill="1" applyBorder="1" applyAlignment="1">
      <alignment horizontal="right" vertical="center" wrapText="1"/>
    </xf>
    <xf numFmtId="178" fontId="25" fillId="11" borderId="13" xfId="10" applyNumberFormat="1" applyFont="1" applyFill="1" applyBorder="1" applyAlignment="1">
      <alignment horizontal="right" vertical="center" wrapText="1"/>
    </xf>
    <xf numFmtId="0" fontId="10" fillId="4" borderId="9" xfId="4" applyNumberFormat="1" applyBorder="1" applyAlignment="1">
      <alignment vertical="center" wrapText="1"/>
    </xf>
    <xf numFmtId="181" fontId="27" fillId="8" borderId="9" xfId="10" applyNumberFormat="1" applyFont="1" applyFill="1" applyBorder="1" applyAlignment="1">
      <alignment vertical="center" wrapText="1"/>
    </xf>
    <xf numFmtId="0" fontId="27" fillId="8" borderId="57" xfId="0" applyFont="1" applyFill="1" applyBorder="1" applyAlignment="1">
      <alignment horizontal="center" vertical="center" wrapText="1"/>
    </xf>
    <xf numFmtId="0" fontId="27" fillId="0" borderId="9" xfId="0" applyFont="1" applyBorder="1" applyAlignment="1">
      <alignment horizontal="left" vertical="center" wrapText="1"/>
    </xf>
    <xf numFmtId="178" fontId="27" fillId="0" borderId="9" xfId="0" applyNumberFormat="1" applyFont="1" applyBorder="1" applyAlignment="1">
      <alignment horizontal="center" vertical="center" wrapText="1"/>
    </xf>
    <xf numFmtId="178" fontId="10" fillId="4" borderId="9" xfId="4" applyNumberFormat="1" applyBorder="1" applyAlignment="1">
      <alignment horizontal="right" vertical="center" wrapText="1"/>
    </xf>
    <xf numFmtId="0" fontId="10" fillId="4" borderId="9" xfId="4" applyBorder="1" applyAlignment="1">
      <alignment vertical="center" wrapText="1"/>
    </xf>
    <xf numFmtId="178" fontId="10" fillId="0" borderId="9" xfId="4" applyNumberFormat="1" applyFill="1" applyBorder="1" applyAlignment="1">
      <alignment horizontal="right" vertical="center" wrapText="1"/>
    </xf>
    <xf numFmtId="0" fontId="10" fillId="0" borderId="9" xfId="4" applyNumberFormat="1" applyFill="1" applyBorder="1" applyAlignment="1">
      <alignment vertical="center" wrapText="1"/>
    </xf>
    <xf numFmtId="181" fontId="10" fillId="0" borderId="9" xfId="4" applyNumberFormat="1" applyFill="1" applyBorder="1" applyAlignment="1">
      <alignment horizontal="right" vertical="center" wrapText="1"/>
    </xf>
    <xf numFmtId="0" fontId="27" fillId="0" borderId="55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181" fontId="10" fillId="0" borderId="45" xfId="4" applyNumberFormat="1" applyFill="1" applyBorder="1" applyAlignment="1">
      <alignment horizontal="right" vertical="center" wrapText="1"/>
    </xf>
    <xf numFmtId="178" fontId="27" fillId="0" borderId="55" xfId="10" applyNumberFormat="1" applyFont="1" applyFill="1" applyBorder="1" applyAlignment="1">
      <alignment horizontal="right" vertical="center" wrapText="1"/>
    </xf>
    <xf numFmtId="0" fontId="10" fillId="4" borderId="55" xfId="4" applyNumberFormat="1" applyBorder="1" applyAlignment="1">
      <alignment vertical="center" wrapText="1"/>
    </xf>
    <xf numFmtId="181" fontId="27" fillId="8" borderId="55" xfId="10" applyNumberFormat="1" applyFont="1" applyFill="1" applyBorder="1" applyAlignment="1">
      <alignment vertical="center" wrapText="1"/>
    </xf>
    <xf numFmtId="0" fontId="27" fillId="0" borderId="45" xfId="0" applyFont="1" applyBorder="1" applyAlignment="1">
      <alignment horizontal="left" vertical="center" wrapText="1"/>
    </xf>
    <xf numFmtId="178" fontId="27" fillId="0" borderId="45" xfId="0" applyNumberFormat="1" applyFont="1" applyBorder="1" applyAlignment="1">
      <alignment horizontal="center" vertical="center" wrapText="1"/>
    </xf>
    <xf numFmtId="0" fontId="27" fillId="8" borderId="51" xfId="0" applyFont="1" applyFill="1" applyBorder="1" applyAlignment="1">
      <alignment horizontal="center" vertical="center" wrapText="1"/>
    </xf>
    <xf numFmtId="0" fontId="27" fillId="0" borderId="55" xfId="0" applyFont="1" applyBorder="1" applyAlignment="1">
      <alignment horizontal="left" vertical="center" wrapText="1"/>
    </xf>
    <xf numFmtId="178" fontId="10" fillId="4" borderId="55" xfId="4" applyNumberFormat="1" applyBorder="1" applyAlignment="1">
      <alignment horizontal="right" vertical="center" wrapText="1"/>
    </xf>
    <xf numFmtId="0" fontId="10" fillId="4" borderId="55" xfId="4" applyBorder="1" applyAlignment="1">
      <alignment vertical="center" wrapText="1"/>
    </xf>
    <xf numFmtId="178" fontId="10" fillId="0" borderId="55" xfId="4" applyNumberFormat="1" applyFill="1" applyBorder="1" applyAlignment="1">
      <alignment horizontal="right" vertical="center" wrapText="1"/>
    </xf>
    <xf numFmtId="0" fontId="10" fillId="0" borderId="55" xfId="4" applyNumberFormat="1" applyFill="1" applyBorder="1" applyAlignment="1">
      <alignment vertical="center" wrapText="1"/>
    </xf>
    <xf numFmtId="181" fontId="10" fillId="0" borderId="55" xfId="4" applyNumberFormat="1" applyFill="1" applyBorder="1" applyAlignment="1">
      <alignment horizontal="right" vertical="center" wrapText="1"/>
    </xf>
    <xf numFmtId="178" fontId="10" fillId="4" borderId="46" xfId="4" applyNumberFormat="1" applyBorder="1" applyAlignment="1">
      <alignment horizontal="right" vertical="center" wrapText="1"/>
    </xf>
    <xf numFmtId="0" fontId="10" fillId="4" borderId="46" xfId="4" applyBorder="1" applyAlignment="1">
      <alignment vertical="center" wrapText="1"/>
    </xf>
    <xf numFmtId="0" fontId="10" fillId="4" borderId="45" xfId="4" applyNumberForma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178" fontId="10" fillId="4" borderId="13" xfId="4" applyNumberFormat="1" applyBorder="1" applyAlignment="1">
      <alignment horizontal="right" vertical="center" wrapText="1"/>
    </xf>
    <xf numFmtId="0" fontId="27" fillId="0" borderId="19" xfId="0" applyFont="1" applyBorder="1" applyAlignment="1">
      <alignment horizontal="center" vertical="center" wrapText="1"/>
    </xf>
    <xf numFmtId="181" fontId="10" fillId="0" borderId="13" xfId="4" applyNumberFormat="1" applyFill="1" applyBorder="1" applyAlignment="1">
      <alignment horizontal="right" vertical="center" wrapText="1"/>
    </xf>
    <xf numFmtId="178" fontId="27" fillId="0" borderId="9" xfId="10" applyNumberFormat="1" applyFont="1" applyFill="1" applyBorder="1" applyAlignment="1">
      <alignment vertical="center" wrapText="1"/>
    </xf>
    <xf numFmtId="0" fontId="42" fillId="8" borderId="4" xfId="0" applyFont="1" applyFill="1" applyBorder="1" applyAlignment="1">
      <alignment vertical="center" wrapText="1"/>
    </xf>
    <xf numFmtId="178" fontId="27" fillId="0" borderId="4" xfId="10" applyNumberFormat="1" applyFont="1" applyFill="1" applyBorder="1" applyAlignment="1">
      <alignment vertical="center" wrapText="1"/>
    </xf>
    <xf numFmtId="0" fontId="27" fillId="0" borderId="55" xfId="0" applyFont="1" applyBorder="1" applyAlignment="1">
      <alignment vertical="center" wrapText="1"/>
    </xf>
    <xf numFmtId="178" fontId="42" fillId="8" borderId="45" xfId="0" applyNumberFormat="1" applyFont="1" applyFill="1" applyBorder="1" applyAlignment="1">
      <alignment horizontal="right" vertical="center" wrapText="1"/>
    </xf>
    <xf numFmtId="0" fontId="42" fillId="8" borderId="45" xfId="0" applyFont="1" applyFill="1" applyBorder="1" applyAlignment="1">
      <alignment vertical="center" wrapText="1"/>
    </xf>
    <xf numFmtId="178" fontId="27" fillId="0" borderId="45" xfId="10" applyNumberFormat="1" applyFont="1" applyFill="1" applyBorder="1" applyAlignment="1">
      <alignment vertical="center" wrapText="1"/>
    </xf>
    <xf numFmtId="0" fontId="27" fillId="0" borderId="46" xfId="0" applyFont="1" applyBorder="1" applyAlignment="1">
      <alignment vertical="center" wrapText="1"/>
    </xf>
    <xf numFmtId="181" fontId="10" fillId="4" borderId="46" xfId="4" applyNumberFormat="1" applyBorder="1" applyAlignment="1">
      <alignment horizontal="right" vertical="center" wrapText="1"/>
    </xf>
    <xf numFmtId="178" fontId="27" fillId="0" borderId="55" xfId="10" applyNumberFormat="1" applyFont="1" applyFill="1" applyBorder="1" applyAlignment="1">
      <alignment vertical="center" wrapText="1"/>
    </xf>
    <xf numFmtId="183" fontId="43" fillId="0" borderId="13" xfId="0" applyNumberFormat="1" applyFont="1" applyBorder="1" applyAlignment="1">
      <alignment horizontal="center" vertical="center" wrapText="1"/>
    </xf>
    <xf numFmtId="0" fontId="27" fillId="0" borderId="9" xfId="0" applyFont="1" applyBorder="1" applyAlignment="1">
      <alignment vertical="center" wrapText="1"/>
    </xf>
    <xf numFmtId="0" fontId="27" fillId="0" borderId="9" xfId="4" applyNumberFormat="1" applyFont="1" applyFill="1" applyBorder="1" applyAlignment="1">
      <alignment vertical="center" wrapText="1"/>
    </xf>
    <xf numFmtId="178" fontId="27" fillId="0" borderId="13" xfId="10" applyNumberFormat="1" applyFont="1" applyBorder="1" applyAlignment="1">
      <alignment horizontal="center" vertical="center" wrapText="1"/>
    </xf>
    <xf numFmtId="0" fontId="34" fillId="0" borderId="46" xfId="4" applyNumberFormat="1" applyFont="1" applyFill="1" applyBorder="1" applyAlignment="1">
      <alignment vertical="center" wrapText="1"/>
    </xf>
    <xf numFmtId="183" fontId="43" fillId="0" borderId="55" xfId="0" applyNumberFormat="1" applyFont="1" applyBorder="1" applyAlignment="1">
      <alignment horizontal="center" vertical="center" wrapText="1"/>
    </xf>
    <xf numFmtId="0" fontId="27" fillId="0" borderId="55" xfId="4" applyNumberFormat="1" applyFont="1" applyFill="1" applyBorder="1" applyAlignment="1">
      <alignment vertical="center" wrapText="1"/>
    </xf>
    <xf numFmtId="178" fontId="27" fillId="0" borderId="55" xfId="10" applyNumberFormat="1" applyFont="1" applyBorder="1" applyAlignment="1">
      <alignment horizontal="center" vertical="center" wrapText="1"/>
    </xf>
    <xf numFmtId="181" fontId="10" fillId="4" borderId="13" xfId="4" applyNumberFormat="1" applyBorder="1" applyAlignment="1">
      <alignment horizontal="right" vertical="center" wrapText="1"/>
    </xf>
    <xf numFmtId="0" fontId="27" fillId="0" borderId="45" xfId="3" applyNumberFormat="1" applyFont="1" applyFill="1" applyBorder="1" applyAlignment="1">
      <alignment horizontal="center" vertical="center" wrapText="1"/>
    </xf>
    <xf numFmtId="183" fontId="27" fillId="11" borderId="4" xfId="0" applyNumberFormat="1" applyFont="1" applyFill="1" applyBorder="1" applyAlignment="1">
      <alignment horizontal="center" vertical="center" wrapText="1"/>
    </xf>
    <xf numFmtId="181" fontId="27" fillId="0" borderId="2" xfId="10" applyNumberFormat="1" applyFont="1" applyFill="1" applyBorder="1" applyAlignment="1">
      <alignment vertical="center" wrapText="1"/>
    </xf>
    <xf numFmtId="178" fontId="27" fillId="0" borderId="4" xfId="10" applyNumberFormat="1" applyFont="1" applyFill="1" applyBorder="1" applyAlignment="1">
      <alignment horizontal="center" vertical="center" wrapText="1"/>
    </xf>
    <xf numFmtId="178" fontId="42" fillId="0" borderId="2" xfId="0" applyNumberFormat="1" applyFont="1" applyBorder="1" applyAlignment="1">
      <alignment horizontal="right" vertical="center" wrapText="1"/>
    </xf>
    <xf numFmtId="0" fontId="42" fillId="0" borderId="2" xfId="0" applyFont="1" applyBorder="1" applyAlignment="1">
      <alignment vertical="center" wrapText="1"/>
    </xf>
    <xf numFmtId="178" fontId="28" fillId="0" borderId="46" xfId="4" applyNumberFormat="1" applyFont="1" applyFill="1" applyBorder="1" applyAlignment="1">
      <alignment horizontal="center" vertical="center" wrapText="1"/>
    </xf>
    <xf numFmtId="178" fontId="42" fillId="0" borderId="9" xfId="0" applyNumberFormat="1" applyFont="1" applyBorder="1" applyAlignment="1">
      <alignment horizontal="right" vertical="center" wrapText="1"/>
    </xf>
    <xf numFmtId="0" fontId="42" fillId="0" borderId="9" xfId="0" applyFont="1" applyBorder="1" applyAlignment="1">
      <alignment vertical="center" wrapText="1"/>
    </xf>
    <xf numFmtId="178" fontId="42" fillId="0" borderId="55" xfId="0" applyNumberFormat="1" applyFont="1" applyBorder="1" applyAlignment="1">
      <alignment horizontal="right" vertical="center" wrapText="1"/>
    </xf>
    <xf numFmtId="0" fontId="42" fillId="0" borderId="55" xfId="0" applyFont="1" applyBorder="1" applyAlignment="1">
      <alignment vertical="center" wrapText="1"/>
    </xf>
    <xf numFmtId="14" fontId="35" fillId="0" borderId="9" xfId="8" applyNumberFormat="1" applyFont="1" applyFill="1" applyBorder="1" applyAlignment="1">
      <alignment horizontal="center" vertical="center" wrapText="1"/>
    </xf>
    <xf numFmtId="181" fontId="27" fillId="0" borderId="9" xfId="10" applyNumberFormat="1" applyFont="1" applyFill="1" applyBorder="1" applyAlignment="1">
      <alignment vertical="center" wrapText="1"/>
    </xf>
    <xf numFmtId="14" fontId="35" fillId="0" borderId="54" xfId="8" applyNumberFormat="1" applyFont="1" applyFill="1" applyBorder="1" applyAlignment="1">
      <alignment horizontal="center" vertical="center" wrapText="1"/>
    </xf>
    <xf numFmtId="181" fontId="27" fillId="0" borderId="55" xfId="10" applyNumberFormat="1" applyFont="1" applyFill="1" applyBorder="1" applyAlignment="1">
      <alignment vertical="center" wrapText="1"/>
    </xf>
    <xf numFmtId="0" fontId="27" fillId="0" borderId="45" xfId="0" applyFont="1" applyBorder="1" applyAlignment="1">
      <alignment vertical="center" wrapText="1"/>
    </xf>
    <xf numFmtId="14" fontId="35" fillId="0" borderId="29" xfId="8" applyNumberFormat="1" applyFont="1" applyFill="1" applyBorder="1" applyAlignment="1">
      <alignment horizontal="center" vertical="center" wrapText="1"/>
    </xf>
    <xf numFmtId="178" fontId="27" fillId="0" borderId="13" xfId="10" applyNumberFormat="1" applyFont="1" applyFill="1" applyBorder="1" applyAlignment="1">
      <alignment horizontal="center" vertical="center" wrapText="1"/>
    </xf>
    <xf numFmtId="178" fontId="27" fillId="0" borderId="55" xfId="10" applyNumberFormat="1" applyFont="1" applyFill="1" applyBorder="1" applyAlignment="1">
      <alignment horizontal="center" vertical="center" wrapText="1"/>
    </xf>
    <xf numFmtId="178" fontId="28" fillId="0" borderId="13" xfId="10" applyNumberFormat="1" applyFont="1" applyFill="1" applyBorder="1" applyAlignment="1">
      <alignment horizontal="center" vertical="center" wrapText="1"/>
    </xf>
    <xf numFmtId="0" fontId="27" fillId="0" borderId="45" xfId="4" applyNumberFormat="1" applyFont="1" applyFill="1" applyBorder="1" applyAlignment="1">
      <alignment vertical="center" wrapText="1"/>
    </xf>
    <xf numFmtId="178" fontId="27" fillId="0" borderId="45" xfId="10" applyNumberFormat="1" applyFont="1" applyFill="1" applyBorder="1" applyAlignment="1">
      <alignment horizontal="center" vertical="center" wrapText="1"/>
    </xf>
    <xf numFmtId="0" fontId="27" fillId="0" borderId="55" xfId="3" applyNumberFormat="1" applyFont="1" applyFill="1" applyBorder="1" applyAlignment="1">
      <alignment horizontal="center" vertical="center" shrinkToFit="1"/>
    </xf>
    <xf numFmtId="0" fontId="27" fillId="16" borderId="4" xfId="0" applyFont="1" applyFill="1" applyBorder="1" applyAlignment="1">
      <alignment horizontal="center" vertical="center" shrinkToFit="1"/>
    </xf>
    <xf numFmtId="178" fontId="27" fillId="16" borderId="4" xfId="0" applyNumberFormat="1" applyFont="1" applyFill="1" applyBorder="1" applyAlignment="1">
      <alignment horizontal="center" vertical="center" wrapText="1"/>
    </xf>
    <xf numFmtId="183" fontId="36" fillId="16" borderId="4" xfId="0" applyNumberFormat="1" applyFont="1" applyFill="1" applyBorder="1" applyAlignment="1">
      <alignment horizontal="center" vertical="center" wrapText="1"/>
    </xf>
    <xf numFmtId="0" fontId="27" fillId="16" borderId="36" xfId="0" applyFont="1" applyFill="1" applyBorder="1" applyAlignment="1">
      <alignment horizontal="center" vertical="center" wrapText="1"/>
    </xf>
    <xf numFmtId="176" fontId="30" fillId="0" borderId="0" xfId="0" applyNumberFormat="1" applyFont="1">
      <alignment vertical="center"/>
    </xf>
    <xf numFmtId="183" fontId="36" fillId="0" borderId="2" xfId="0" applyNumberFormat="1" applyFont="1" applyBorder="1" applyAlignment="1">
      <alignment horizontal="center" vertical="center" wrapText="1"/>
    </xf>
    <xf numFmtId="181" fontId="10" fillId="0" borderId="46" xfId="4" applyNumberFormat="1" applyFill="1" applyBorder="1" applyAlignment="1">
      <alignment horizontal="right" vertical="center" wrapText="1"/>
    </xf>
    <xf numFmtId="178" fontId="10" fillId="0" borderId="46" xfId="4" applyNumberFormat="1" applyFill="1" applyBorder="1" applyAlignment="1">
      <alignment horizontal="right" vertical="center" wrapText="1"/>
    </xf>
    <xf numFmtId="0" fontId="27" fillId="16" borderId="2" xfId="0" applyFont="1" applyFill="1" applyBorder="1" applyAlignment="1">
      <alignment horizontal="center" vertical="center" shrinkToFit="1"/>
    </xf>
    <xf numFmtId="0" fontId="27" fillId="0" borderId="31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26" fillId="16" borderId="4" xfId="1" applyNumberFormat="1" applyFont="1" applyFill="1" applyBorder="1" applyAlignment="1">
      <alignment vertical="center" wrapText="1"/>
    </xf>
    <xf numFmtId="0" fontId="28" fillId="0" borderId="31" xfId="4" applyNumberFormat="1" applyFont="1" applyFill="1" applyBorder="1" applyAlignment="1">
      <alignment horizontal="center" vertical="center" shrinkToFit="1"/>
    </xf>
    <xf numFmtId="0" fontId="39" fillId="0" borderId="45" xfId="4" applyNumberFormat="1" applyFont="1" applyFill="1" applyBorder="1" applyAlignment="1">
      <alignment vertical="center" wrapText="1"/>
    </xf>
    <xf numFmtId="14" fontId="26" fillId="17" borderId="2" xfId="8" applyNumberFormat="1" applyFont="1" applyFill="1" applyBorder="1" applyAlignment="1">
      <alignment horizontal="center" vertical="center" wrapText="1"/>
    </xf>
    <xf numFmtId="0" fontId="28" fillId="17" borderId="2" xfId="0" applyFont="1" applyFill="1" applyBorder="1" applyAlignment="1">
      <alignment horizontal="center" vertical="center" wrapText="1"/>
    </xf>
    <xf numFmtId="0" fontId="28" fillId="17" borderId="4" xfId="0" applyFont="1" applyFill="1" applyBorder="1" applyAlignment="1">
      <alignment horizontal="center" vertical="center" shrinkToFit="1"/>
    </xf>
    <xf numFmtId="0" fontId="28" fillId="17" borderId="4" xfId="4" applyNumberFormat="1" applyFont="1" applyFill="1" applyBorder="1" applyAlignment="1">
      <alignment horizontal="center" vertical="center" shrinkToFit="1"/>
    </xf>
    <xf numFmtId="0" fontId="28" fillId="17" borderId="4" xfId="0" applyFont="1" applyFill="1" applyBorder="1" applyAlignment="1">
      <alignment horizontal="left" vertical="center" wrapText="1"/>
    </xf>
    <xf numFmtId="178" fontId="28" fillId="17" borderId="4" xfId="10" applyNumberFormat="1" applyFont="1" applyFill="1" applyBorder="1" applyAlignment="1">
      <alignment horizontal="center" vertical="center" wrapText="1"/>
    </xf>
    <xf numFmtId="178" fontId="28" fillId="17" borderId="4" xfId="10" applyNumberFormat="1" applyFont="1" applyFill="1" applyBorder="1" applyAlignment="1">
      <alignment horizontal="right" vertical="center" wrapText="1"/>
    </xf>
    <xf numFmtId="178" fontId="28" fillId="17" borderId="2" xfId="10" applyNumberFormat="1" applyFont="1" applyFill="1" applyBorder="1" applyAlignment="1">
      <alignment horizontal="right" vertical="center" wrapText="1"/>
    </xf>
    <xf numFmtId="14" fontId="35" fillId="17" borderId="2" xfId="8" applyNumberFormat="1" applyFont="1" applyFill="1" applyBorder="1" applyAlignment="1">
      <alignment horizontal="center" vertical="center" wrapText="1"/>
    </xf>
    <xf numFmtId="0" fontId="27" fillId="17" borderId="2" xfId="0" applyFont="1" applyFill="1" applyBorder="1" applyAlignment="1">
      <alignment horizontal="center" vertical="center" wrapText="1"/>
    </xf>
    <xf numFmtId="178" fontId="27" fillId="17" borderId="2" xfId="10" applyNumberFormat="1" applyFont="1" applyFill="1" applyBorder="1" applyAlignment="1">
      <alignment horizontal="right" vertical="center" wrapText="1"/>
    </xf>
    <xf numFmtId="178" fontId="27" fillId="17" borderId="4" xfId="10" applyNumberFormat="1" applyFont="1" applyFill="1" applyBorder="1" applyAlignment="1">
      <alignment horizontal="right" vertical="center" wrapText="1"/>
    </xf>
    <xf numFmtId="178" fontId="28" fillId="17" borderId="4" xfId="0" applyNumberFormat="1" applyFont="1" applyFill="1" applyBorder="1" applyAlignment="1">
      <alignment horizontal="center" vertical="center" wrapText="1"/>
    </xf>
    <xf numFmtId="0" fontId="28" fillId="17" borderId="4" xfId="4" applyNumberFormat="1" applyFont="1" applyFill="1" applyBorder="1" applyAlignment="1">
      <alignment vertical="center" wrapText="1"/>
    </xf>
    <xf numFmtId="183" fontId="43" fillId="17" borderId="4" xfId="0" applyNumberFormat="1" applyFont="1" applyFill="1" applyBorder="1" applyAlignment="1">
      <alignment horizontal="center" vertical="center" wrapText="1"/>
    </xf>
    <xf numFmtId="0" fontId="28" fillId="17" borderId="36" xfId="0" applyFont="1" applyFill="1" applyBorder="1" applyAlignment="1">
      <alignment horizontal="center" vertical="center" wrapText="1"/>
    </xf>
    <xf numFmtId="183" fontId="36" fillId="17" borderId="4" xfId="0" applyNumberFormat="1" applyFont="1" applyFill="1" applyBorder="1" applyAlignment="1">
      <alignment horizontal="center" vertical="center" wrapText="1"/>
    </xf>
    <xf numFmtId="0" fontId="43" fillId="17" borderId="4" xfId="0" applyFont="1" applyFill="1" applyBorder="1" applyAlignment="1">
      <alignment horizontal="center" vertical="center" wrapText="1"/>
    </xf>
    <xf numFmtId="0" fontId="28" fillId="17" borderId="2" xfId="0" applyFont="1" applyFill="1" applyBorder="1" applyAlignment="1">
      <alignment horizontal="center" vertical="center" shrinkToFit="1"/>
    </xf>
    <xf numFmtId="0" fontId="27" fillId="17" borderId="4" xfId="0" applyFont="1" applyFill="1" applyBorder="1" applyAlignment="1">
      <alignment horizontal="left" vertical="center" wrapText="1"/>
    </xf>
    <xf numFmtId="178" fontId="27" fillId="17" borderId="4" xfId="0" applyNumberFormat="1" applyFont="1" applyFill="1" applyBorder="1" applyAlignment="1">
      <alignment horizontal="center" vertical="center" wrapText="1"/>
    </xf>
    <xf numFmtId="0" fontId="27" fillId="17" borderId="36" xfId="0" applyFont="1" applyFill="1" applyBorder="1" applyAlignment="1">
      <alignment horizontal="center" vertical="center" wrapText="1"/>
    </xf>
    <xf numFmtId="0" fontId="26" fillId="17" borderId="2" xfId="1" applyNumberFormat="1" applyFont="1" applyFill="1" applyBorder="1" applyAlignment="1">
      <alignment vertical="center" wrapText="1"/>
    </xf>
    <xf numFmtId="178" fontId="27" fillId="8" borderId="2" xfId="10" applyNumberFormat="1" applyFont="1" applyFill="1" applyBorder="1" applyAlignment="1">
      <alignment vertical="center" wrapText="1"/>
    </xf>
    <xf numFmtId="178" fontId="27" fillId="0" borderId="4" xfId="10" applyNumberFormat="1" applyFont="1" applyBorder="1" applyAlignment="1">
      <alignment horizontal="right" vertical="center" wrapText="1"/>
    </xf>
    <xf numFmtId="178" fontId="10" fillId="4" borderId="2" xfId="4" applyNumberFormat="1" applyBorder="1" applyAlignment="1">
      <alignment vertical="center" wrapText="1"/>
    </xf>
    <xf numFmtId="181" fontId="28" fillId="0" borderId="4" xfId="4" applyNumberFormat="1" applyFont="1" applyFill="1" applyBorder="1" applyAlignment="1">
      <alignment horizontal="center" vertical="center" wrapText="1"/>
    </xf>
    <xf numFmtId="181" fontId="27" fillId="0" borderId="2" xfId="0" applyNumberFormat="1" applyFont="1" applyBorder="1" applyAlignment="1">
      <alignment vertical="center" wrapText="1"/>
    </xf>
    <xf numFmtId="0" fontId="40" fillId="17" borderId="2" xfId="0" applyFont="1" applyFill="1" applyBorder="1" applyAlignment="1">
      <alignment horizontal="center" vertical="center" shrinkToFit="1"/>
    </xf>
    <xf numFmtId="0" fontId="28" fillId="17" borderId="4" xfId="4" applyNumberFormat="1" applyFont="1" applyFill="1" applyBorder="1" applyAlignment="1">
      <alignment horizontal="center" vertical="center" wrapText="1"/>
    </xf>
    <xf numFmtId="178" fontId="26" fillId="17" borderId="2" xfId="1" applyNumberFormat="1" applyFont="1" applyFill="1" applyBorder="1" applyAlignment="1">
      <alignment horizontal="center" vertical="center" wrapText="1"/>
    </xf>
    <xf numFmtId="0" fontId="27" fillId="17" borderId="2" xfId="0" applyFont="1" applyFill="1" applyBorder="1" applyAlignment="1">
      <alignment horizontal="center" vertical="center" shrinkToFit="1"/>
    </xf>
    <xf numFmtId="0" fontId="39" fillId="0" borderId="2" xfId="4" applyFont="1" applyFill="1" applyBorder="1" applyAlignment="1">
      <alignment vertical="center" wrapText="1"/>
    </xf>
    <xf numFmtId="178" fontId="27" fillId="0" borderId="2" xfId="10" applyNumberFormat="1" applyFont="1" applyBorder="1" applyAlignment="1">
      <alignment horizontal="center" vertical="center" wrapText="1"/>
    </xf>
    <xf numFmtId="14" fontId="35" fillId="0" borderId="32" xfId="8" applyNumberFormat="1" applyFont="1" applyFill="1" applyBorder="1" applyAlignment="1">
      <alignment horizontal="center" vertical="center" wrapText="1"/>
    </xf>
    <xf numFmtId="0" fontId="27" fillId="0" borderId="13" xfId="4" applyNumberFormat="1" applyFont="1" applyFill="1" applyBorder="1" applyAlignment="1">
      <alignment vertical="center" wrapText="1"/>
    </xf>
    <xf numFmtId="178" fontId="27" fillId="8" borderId="9" xfId="10" applyNumberFormat="1" applyFont="1" applyFill="1" applyBorder="1" applyAlignment="1">
      <alignment vertical="center" wrapText="1"/>
    </xf>
    <xf numFmtId="178" fontId="42" fillId="8" borderId="9" xfId="0" applyNumberFormat="1" applyFont="1" applyFill="1" applyBorder="1" applyAlignment="1">
      <alignment horizontal="right" vertical="center" wrapText="1"/>
    </xf>
    <xf numFmtId="0" fontId="42" fillId="8" borderId="9" xfId="0" applyFont="1" applyFill="1" applyBorder="1" applyAlignment="1">
      <alignment vertical="center" wrapText="1"/>
    </xf>
    <xf numFmtId="178" fontId="10" fillId="4" borderId="4" xfId="4" applyNumberFormat="1" applyBorder="1" applyAlignment="1">
      <alignment vertical="center" wrapText="1"/>
    </xf>
    <xf numFmtId="178" fontId="27" fillId="8" borderId="4" xfId="10" applyNumberFormat="1" applyFont="1" applyFill="1" applyBorder="1" applyAlignment="1">
      <alignment vertical="center" wrapText="1"/>
    </xf>
    <xf numFmtId="178" fontId="27" fillId="8" borderId="55" xfId="10" applyNumberFormat="1" applyFont="1" applyFill="1" applyBorder="1" applyAlignment="1">
      <alignment vertical="center" wrapText="1"/>
    </xf>
    <xf numFmtId="178" fontId="42" fillId="8" borderId="55" xfId="0" applyNumberFormat="1" applyFont="1" applyFill="1" applyBorder="1" applyAlignment="1">
      <alignment horizontal="right" vertical="center" wrapText="1"/>
    </xf>
    <xf numFmtId="0" fontId="42" fillId="8" borderId="55" xfId="0" applyFont="1" applyFill="1" applyBorder="1" applyAlignment="1">
      <alignment vertical="center" wrapText="1"/>
    </xf>
    <xf numFmtId="178" fontId="27" fillId="0" borderId="46" xfId="10" applyNumberFormat="1" applyFont="1" applyBorder="1" applyAlignment="1">
      <alignment horizontal="right" vertical="center" wrapText="1"/>
    </xf>
    <xf numFmtId="178" fontId="10" fillId="4" borderId="45" xfId="4" applyNumberFormat="1" applyBorder="1" applyAlignment="1">
      <alignment vertical="center" wrapText="1"/>
    </xf>
    <xf numFmtId="178" fontId="27" fillId="8" borderId="45" xfId="10" applyNumberFormat="1" applyFont="1" applyFill="1" applyBorder="1" applyAlignment="1">
      <alignment vertical="center" wrapText="1"/>
    </xf>
    <xf numFmtId="0" fontId="27" fillId="0" borderId="46" xfId="3" applyNumberFormat="1" applyFont="1" applyFill="1" applyBorder="1" applyAlignment="1">
      <alignment horizontal="center" vertical="center" wrapText="1"/>
    </xf>
    <xf numFmtId="178" fontId="27" fillId="0" borderId="45" xfId="10" applyNumberFormat="1" applyFont="1" applyBorder="1" applyAlignment="1">
      <alignment horizontal="center" vertical="center" wrapText="1"/>
    </xf>
    <xf numFmtId="20" fontId="26" fillId="0" borderId="0" xfId="0" applyNumberFormat="1" applyFont="1">
      <alignment vertical="center"/>
    </xf>
    <xf numFmtId="0" fontId="27" fillId="11" borderId="4" xfId="0" applyFont="1" applyFill="1" applyBorder="1" applyAlignment="1">
      <alignment horizontal="center" vertical="center" wrapText="1"/>
    </xf>
    <xf numFmtId="0" fontId="39" fillId="0" borderId="9" xfId="4" applyFont="1" applyFill="1" applyBorder="1" applyAlignment="1">
      <alignment vertical="center" wrapText="1"/>
    </xf>
    <xf numFmtId="0" fontId="39" fillId="0" borderId="55" xfId="4" applyFont="1" applyFill="1" applyBorder="1" applyAlignment="1">
      <alignment vertical="center" wrapText="1"/>
    </xf>
    <xf numFmtId="183" fontId="36" fillId="0" borderId="13" xfId="0" applyNumberFormat="1" applyFont="1" applyBorder="1" applyAlignment="1">
      <alignment horizontal="center" vertical="center" wrapText="1"/>
    </xf>
    <xf numFmtId="178" fontId="27" fillId="16" borderId="4" xfId="10" applyNumberFormat="1" applyFont="1" applyFill="1" applyBorder="1" applyAlignment="1">
      <alignment horizontal="right" vertical="center" wrapText="1"/>
    </xf>
    <xf numFmtId="178" fontId="27" fillId="16" borderId="2" xfId="10" applyNumberFormat="1" applyFont="1" applyFill="1" applyBorder="1" applyAlignment="1">
      <alignment horizontal="right" vertical="center" wrapText="1"/>
    </xf>
    <xf numFmtId="178" fontId="10" fillId="4" borderId="2" xfId="4" applyNumberFormat="1" applyBorder="1" applyAlignment="1">
      <alignment horizontal="left" vertical="center" wrapText="1"/>
    </xf>
    <xf numFmtId="0" fontId="10" fillId="4" borderId="36" xfId="4" applyBorder="1" applyAlignment="1">
      <alignment vertical="center" wrapText="1"/>
    </xf>
    <xf numFmtId="178" fontId="10" fillId="4" borderId="45" xfId="4" applyNumberFormat="1" applyBorder="1" applyAlignment="1">
      <alignment horizontal="left" vertical="center" wrapText="1"/>
    </xf>
    <xf numFmtId="14" fontId="31" fillId="0" borderId="21" xfId="0" applyNumberFormat="1" applyFont="1" applyBorder="1" applyAlignment="1">
      <alignment horizontal="center" vertical="center" wrapText="1"/>
    </xf>
    <xf numFmtId="14" fontId="31" fillId="0" borderId="60" xfId="0" applyNumberFormat="1" applyFont="1" applyBorder="1" applyAlignment="1">
      <alignment horizontal="center" vertical="center" wrapText="1"/>
    </xf>
    <xf numFmtId="14" fontId="35" fillId="0" borderId="55" xfId="8" applyNumberFormat="1" applyFont="1" applyFill="1" applyBorder="1" applyAlignment="1">
      <alignment horizontal="center" vertical="center" wrapText="1"/>
    </xf>
    <xf numFmtId="14" fontId="35" fillId="0" borderId="45" xfId="8" applyNumberFormat="1" applyFont="1" applyFill="1" applyBorder="1" applyAlignment="1">
      <alignment horizontal="center" vertical="center" wrapText="1"/>
    </xf>
    <xf numFmtId="178" fontId="10" fillId="4" borderId="55" xfId="4" applyNumberFormat="1" applyBorder="1" applyAlignment="1">
      <alignment horizontal="left" vertical="center" wrapText="1"/>
    </xf>
    <xf numFmtId="0" fontId="27" fillId="0" borderId="0" xfId="0" applyFont="1" applyAlignment="1">
      <alignment horizontal="center" vertical="center" shrinkToFit="1"/>
    </xf>
    <xf numFmtId="0" fontId="28" fillId="0" borderId="0" xfId="0" applyFont="1" applyAlignment="1">
      <alignment horizontal="center" vertical="center" wrapText="1"/>
    </xf>
    <xf numFmtId="0" fontId="19" fillId="11" borderId="22" xfId="4" applyFont="1" applyFill="1" applyBorder="1" applyAlignment="1">
      <alignment horizontal="center" vertical="center" wrapText="1"/>
    </xf>
    <xf numFmtId="0" fontId="19" fillId="11" borderId="16" xfId="4" applyFont="1" applyFill="1" applyBorder="1" applyAlignment="1">
      <alignment horizontal="center" vertical="center" wrapText="1"/>
    </xf>
    <xf numFmtId="14" fontId="17" fillId="13" borderId="21" xfId="0" applyNumberFormat="1" applyFont="1" applyFill="1" applyBorder="1" applyAlignment="1">
      <alignment horizontal="center" vertical="center" wrapText="1"/>
    </xf>
    <xf numFmtId="14" fontId="17" fillId="13" borderId="27" xfId="0" applyNumberFormat="1" applyFont="1" applyFill="1" applyBorder="1" applyAlignment="1">
      <alignment horizontal="center" vertical="center" wrapText="1"/>
    </xf>
    <xf numFmtId="14" fontId="17" fillId="13" borderId="22" xfId="0" applyNumberFormat="1" applyFont="1" applyFill="1" applyBorder="1" applyAlignment="1">
      <alignment horizontal="center" vertical="center" wrapText="1"/>
    </xf>
    <xf numFmtId="14" fontId="17" fillId="13" borderId="16" xfId="0" applyNumberFormat="1" applyFont="1" applyFill="1" applyBorder="1" applyAlignment="1">
      <alignment horizontal="center" vertical="center" wrapText="1"/>
    </xf>
    <xf numFmtId="14" fontId="18" fillId="11" borderId="22" xfId="8" applyNumberFormat="1" applyFont="1" applyFill="1" applyBorder="1" applyAlignment="1">
      <alignment horizontal="center" vertical="center" wrapText="1"/>
    </xf>
    <xf numFmtId="14" fontId="18" fillId="11" borderId="16" xfId="8" applyNumberFormat="1" applyFont="1" applyFill="1" applyBorder="1" applyAlignment="1">
      <alignment horizontal="center" vertical="center" wrapText="1"/>
    </xf>
    <xf numFmtId="0" fontId="17" fillId="11" borderId="22" xfId="0" applyFont="1" applyFill="1" applyBorder="1" applyAlignment="1">
      <alignment horizontal="center" vertical="center" wrapText="1"/>
    </xf>
    <xf numFmtId="0" fontId="17" fillId="11" borderId="16" xfId="0" applyFont="1" applyFill="1" applyBorder="1" applyAlignment="1">
      <alignment horizontal="center" vertical="center" wrapText="1"/>
    </xf>
    <xf numFmtId="178" fontId="17" fillId="13" borderId="22" xfId="0" applyNumberFormat="1" applyFont="1" applyFill="1" applyBorder="1" applyAlignment="1">
      <alignment horizontal="center" vertical="center" wrapText="1"/>
    </xf>
    <xf numFmtId="178" fontId="17" fillId="13" borderId="16" xfId="0" applyNumberFormat="1" applyFont="1" applyFill="1" applyBorder="1" applyAlignment="1">
      <alignment horizontal="center" vertical="center" wrapText="1"/>
    </xf>
    <xf numFmtId="180" fontId="17" fillId="13" borderId="22" xfId="0" applyNumberFormat="1" applyFont="1" applyFill="1" applyBorder="1" applyAlignment="1">
      <alignment horizontal="center" vertical="center" wrapText="1"/>
    </xf>
    <xf numFmtId="180" fontId="17" fillId="13" borderId="16" xfId="0" applyNumberFormat="1" applyFont="1" applyFill="1" applyBorder="1" applyAlignment="1">
      <alignment horizontal="center" vertical="center" wrapText="1"/>
    </xf>
    <xf numFmtId="0" fontId="17" fillId="13" borderId="26" xfId="0" applyFont="1" applyFill="1" applyBorder="1" applyAlignment="1">
      <alignment horizontal="center" vertical="center" wrapText="1"/>
    </xf>
    <xf numFmtId="0" fontId="17" fillId="13" borderId="28" xfId="0" applyFont="1" applyFill="1" applyBorder="1" applyAlignment="1">
      <alignment horizontal="center" vertical="center" wrapText="1"/>
    </xf>
    <xf numFmtId="0" fontId="19" fillId="13" borderId="22" xfId="4" applyFont="1" applyFill="1" applyBorder="1" applyAlignment="1">
      <alignment horizontal="center" vertical="center" shrinkToFit="1"/>
    </xf>
    <xf numFmtId="0" fontId="19" fillId="13" borderId="16" xfId="4" applyFont="1" applyFill="1" applyBorder="1" applyAlignment="1">
      <alignment horizontal="center" vertical="center" shrinkToFit="1"/>
    </xf>
    <xf numFmtId="0" fontId="17" fillId="11" borderId="22" xfId="4" applyFont="1" applyFill="1" applyBorder="1" applyAlignment="1">
      <alignment horizontal="center" vertical="center" wrapText="1"/>
    </xf>
    <xf numFmtId="0" fontId="17" fillId="11" borderId="16" xfId="4" applyFont="1" applyFill="1" applyBorder="1" applyAlignment="1">
      <alignment horizontal="center" vertical="center" wrapText="1"/>
    </xf>
    <xf numFmtId="0" fontId="17" fillId="0" borderId="22" xfId="4" applyFont="1" applyFill="1" applyBorder="1" applyAlignment="1">
      <alignment horizontal="center" vertical="center" wrapText="1"/>
    </xf>
    <xf numFmtId="0" fontId="17" fillId="0" borderId="16" xfId="4" applyFont="1" applyFill="1" applyBorder="1" applyAlignment="1">
      <alignment horizontal="center" vertical="center" wrapText="1"/>
    </xf>
    <xf numFmtId="178" fontId="17" fillId="13" borderId="23" xfId="0" applyNumberFormat="1" applyFont="1" applyFill="1" applyBorder="1" applyAlignment="1">
      <alignment horizontal="center" vertical="center" wrapText="1"/>
    </xf>
    <xf numFmtId="178" fontId="17" fillId="13" borderId="24" xfId="0" applyNumberFormat="1" applyFont="1" applyFill="1" applyBorder="1" applyAlignment="1">
      <alignment horizontal="center" vertical="center" wrapText="1"/>
    </xf>
    <xf numFmtId="178" fontId="17" fillId="13" borderId="25" xfId="0" applyNumberFormat="1" applyFont="1" applyFill="1" applyBorder="1" applyAlignment="1">
      <alignment horizontal="center" vertical="center" wrapText="1"/>
    </xf>
    <xf numFmtId="178" fontId="25" fillId="13" borderId="22" xfId="0" applyNumberFormat="1" applyFont="1" applyFill="1" applyBorder="1" applyAlignment="1">
      <alignment horizontal="center" vertical="center" wrapText="1"/>
    </xf>
    <xf numFmtId="178" fontId="25" fillId="13" borderId="16" xfId="0" applyNumberFormat="1" applyFont="1" applyFill="1" applyBorder="1" applyAlignment="1">
      <alignment horizontal="center" vertical="center" wrapText="1"/>
    </xf>
    <xf numFmtId="180" fontId="25" fillId="13" borderId="22" xfId="0" applyNumberFormat="1" applyFont="1" applyFill="1" applyBorder="1" applyAlignment="1">
      <alignment horizontal="center" vertical="center" wrapText="1"/>
    </xf>
    <xf numFmtId="180" fontId="25" fillId="13" borderId="16" xfId="0" applyNumberFormat="1" applyFont="1" applyFill="1" applyBorder="1" applyAlignment="1">
      <alignment horizontal="center" vertical="center" wrapText="1"/>
    </xf>
    <xf numFmtId="0" fontId="25" fillId="13" borderId="26" xfId="0" applyFont="1" applyFill="1" applyBorder="1" applyAlignment="1">
      <alignment horizontal="center" vertical="center" wrapText="1"/>
    </xf>
    <xf numFmtId="0" fontId="25" fillId="13" borderId="28" xfId="0" applyFont="1" applyFill="1" applyBorder="1" applyAlignment="1">
      <alignment horizontal="center" vertical="center" wrapText="1"/>
    </xf>
    <xf numFmtId="0" fontId="31" fillId="15" borderId="22" xfId="4" applyFont="1" applyFill="1" applyBorder="1" applyAlignment="1">
      <alignment horizontal="center" vertical="center" wrapText="1"/>
    </xf>
    <xf numFmtId="0" fontId="31" fillId="15" borderId="16" xfId="4" applyFont="1" applyFill="1" applyBorder="1" applyAlignment="1">
      <alignment horizontal="center" vertical="center" wrapText="1"/>
    </xf>
    <xf numFmtId="0" fontId="25" fillId="15" borderId="22" xfId="4" applyFont="1" applyFill="1" applyBorder="1" applyAlignment="1">
      <alignment horizontal="center" vertical="center" wrapText="1"/>
    </xf>
    <xf numFmtId="0" fontId="25" fillId="15" borderId="16" xfId="4" applyFont="1" applyFill="1" applyBorder="1" applyAlignment="1">
      <alignment horizontal="center" vertical="center" wrapText="1"/>
    </xf>
    <xf numFmtId="0" fontId="25" fillId="13" borderId="22" xfId="4" applyFont="1" applyFill="1" applyBorder="1" applyAlignment="1">
      <alignment horizontal="center" vertical="center" wrapText="1"/>
    </xf>
    <xf numFmtId="0" fontId="25" fillId="13" borderId="16" xfId="4" applyFont="1" applyFill="1" applyBorder="1" applyAlignment="1">
      <alignment horizontal="center" vertical="center" wrapText="1"/>
    </xf>
    <xf numFmtId="178" fontId="25" fillId="13" borderId="23" xfId="0" applyNumberFormat="1" applyFont="1" applyFill="1" applyBorder="1" applyAlignment="1">
      <alignment horizontal="center" vertical="center" wrapText="1"/>
    </xf>
    <xf numFmtId="178" fontId="25" fillId="13" borderId="24" xfId="0" applyNumberFormat="1" applyFont="1" applyFill="1" applyBorder="1" applyAlignment="1">
      <alignment horizontal="center" vertical="center" wrapText="1"/>
    </xf>
    <xf numFmtId="178" fontId="25" fillId="13" borderId="25" xfId="0" applyNumberFormat="1" applyFont="1" applyFill="1" applyBorder="1" applyAlignment="1">
      <alignment horizontal="center" vertical="center" wrapText="1"/>
    </xf>
    <xf numFmtId="14" fontId="25" fillId="13" borderId="21" xfId="0" applyNumberFormat="1" applyFont="1" applyFill="1" applyBorder="1" applyAlignment="1">
      <alignment horizontal="center" vertical="center" wrapText="1"/>
    </xf>
    <xf numFmtId="14" fontId="25" fillId="13" borderId="27" xfId="0" applyNumberFormat="1" applyFont="1" applyFill="1" applyBorder="1" applyAlignment="1">
      <alignment horizontal="center" vertical="center" wrapText="1"/>
    </xf>
    <xf numFmtId="14" fontId="25" fillId="13" borderId="22" xfId="0" applyNumberFormat="1" applyFont="1" applyFill="1" applyBorder="1" applyAlignment="1">
      <alignment horizontal="center" vertical="center" wrapText="1"/>
    </xf>
    <xf numFmtId="14" fontId="25" fillId="13" borderId="16" xfId="0" applyNumberFormat="1" applyFont="1" applyFill="1" applyBorder="1" applyAlignment="1">
      <alignment horizontal="center" vertical="center" wrapText="1"/>
    </xf>
    <xf numFmtId="14" fontId="30" fillId="15" borderId="22" xfId="8" applyNumberFormat="1" applyFont="1" applyFill="1" applyBorder="1" applyAlignment="1">
      <alignment horizontal="center" vertical="center" wrapText="1"/>
    </xf>
    <xf numFmtId="14" fontId="30" fillId="15" borderId="16" xfId="8" applyNumberFormat="1" applyFont="1" applyFill="1" applyBorder="1" applyAlignment="1">
      <alignment horizontal="center" vertical="center" wrapText="1"/>
    </xf>
    <xf numFmtId="0" fontId="25" fillId="15" borderId="22" xfId="0" applyFont="1" applyFill="1" applyBorder="1" applyAlignment="1">
      <alignment horizontal="center" vertical="center" wrapText="1"/>
    </xf>
    <xf numFmtId="0" fontId="25" fillId="15" borderId="16" xfId="0" applyFont="1" applyFill="1" applyBorder="1" applyAlignment="1">
      <alignment horizontal="center" vertical="center" wrapText="1"/>
    </xf>
    <xf numFmtId="14" fontId="30" fillId="15" borderId="22" xfId="21" applyNumberFormat="1" applyFont="1" applyFill="1" applyBorder="1" applyAlignment="1">
      <alignment horizontal="center" vertical="center" wrapText="1"/>
    </xf>
    <xf numFmtId="14" fontId="30" fillId="15" borderId="16" xfId="21" applyNumberFormat="1" applyFont="1" applyFill="1" applyBorder="1" applyAlignment="1">
      <alignment horizontal="center" vertical="center" wrapText="1"/>
    </xf>
    <xf numFmtId="0" fontId="31" fillId="15" borderId="22" xfId="4" applyFont="1" applyFill="1" applyBorder="1" applyAlignment="1">
      <alignment horizontal="center" vertical="center" shrinkToFit="1"/>
    </xf>
    <xf numFmtId="0" fontId="31" fillId="15" borderId="4" xfId="4" applyFont="1" applyFill="1" applyBorder="1" applyAlignment="1">
      <alignment horizontal="center" vertical="center" shrinkToFit="1"/>
    </xf>
    <xf numFmtId="14" fontId="31" fillId="13" borderId="21" xfId="0" applyNumberFormat="1" applyFont="1" applyFill="1" applyBorder="1" applyAlignment="1">
      <alignment horizontal="center" vertical="center" wrapText="1"/>
    </xf>
    <xf numFmtId="14" fontId="31" fillId="13" borderId="27" xfId="0" applyNumberFormat="1" applyFont="1" applyFill="1" applyBorder="1" applyAlignment="1">
      <alignment horizontal="center" vertical="center" wrapText="1"/>
    </xf>
    <xf numFmtId="14" fontId="31" fillId="13" borderId="49" xfId="0" applyNumberFormat="1" applyFont="1" applyFill="1" applyBorder="1" applyAlignment="1">
      <alignment horizontal="center" vertical="center" wrapText="1"/>
    </xf>
    <xf numFmtId="14" fontId="31" fillId="13" borderId="48" xfId="0" applyNumberFormat="1" applyFont="1" applyFill="1" applyBorder="1" applyAlignment="1">
      <alignment horizontal="center" vertical="center" wrapText="1"/>
    </xf>
    <xf numFmtId="14" fontId="30" fillId="15" borderId="21" xfId="21" applyNumberFormat="1" applyFont="1" applyFill="1" applyBorder="1" applyAlignment="1">
      <alignment horizontal="center" vertical="center" wrapText="1"/>
    </xf>
    <xf numFmtId="14" fontId="30" fillId="15" borderId="59" xfId="21" applyNumberFormat="1" applyFont="1" applyFill="1" applyBorder="1" applyAlignment="1">
      <alignment horizontal="center" vertical="center" wrapText="1"/>
    </xf>
    <xf numFmtId="0" fontId="31" fillId="15" borderId="22" xfId="0" applyFont="1" applyFill="1" applyBorder="1" applyAlignment="1">
      <alignment horizontal="center" vertical="center" shrinkToFit="1"/>
    </xf>
    <xf numFmtId="0" fontId="31" fillId="15" borderId="4" xfId="0" applyFont="1" applyFill="1" applyBorder="1" applyAlignment="1">
      <alignment horizontal="center" vertical="center" shrinkToFit="1"/>
    </xf>
    <xf numFmtId="0" fontId="31" fillId="15" borderId="13" xfId="4" applyFont="1" applyFill="1" applyBorder="1" applyAlignment="1">
      <alignment horizontal="center" vertical="center" shrinkToFit="1"/>
    </xf>
    <xf numFmtId="178" fontId="31" fillId="13" borderId="22" xfId="0" applyNumberFormat="1" applyFont="1" applyFill="1" applyBorder="1" applyAlignment="1">
      <alignment horizontal="center" vertical="center" wrapText="1"/>
    </xf>
    <xf numFmtId="178" fontId="31" fillId="13" borderId="13" xfId="0" applyNumberFormat="1" applyFont="1" applyFill="1" applyBorder="1" applyAlignment="1">
      <alignment horizontal="center" vertical="center" wrapText="1"/>
    </xf>
    <xf numFmtId="180" fontId="31" fillId="13" borderId="22" xfId="0" applyNumberFormat="1" applyFont="1" applyFill="1" applyBorder="1" applyAlignment="1">
      <alignment horizontal="center" vertical="center" shrinkToFit="1"/>
    </xf>
    <xf numFmtId="180" fontId="31" fillId="13" borderId="13" xfId="0" applyNumberFormat="1" applyFont="1" applyFill="1" applyBorder="1" applyAlignment="1">
      <alignment horizontal="center" vertical="center" shrinkToFit="1"/>
    </xf>
    <xf numFmtId="180" fontId="31" fillId="13" borderId="22" xfId="0" applyNumberFormat="1" applyFont="1" applyFill="1" applyBorder="1" applyAlignment="1">
      <alignment horizontal="center" vertical="center" wrapText="1"/>
    </xf>
    <xf numFmtId="180" fontId="31" fillId="13" borderId="13" xfId="0" applyNumberFormat="1" applyFont="1" applyFill="1" applyBorder="1" applyAlignment="1">
      <alignment horizontal="center" vertical="center" wrapText="1"/>
    </xf>
    <xf numFmtId="0" fontId="31" fillId="13" borderId="26" xfId="0" applyFont="1" applyFill="1" applyBorder="1" applyAlignment="1">
      <alignment horizontal="center" vertical="center" wrapText="1"/>
    </xf>
    <xf numFmtId="0" fontId="31" fillId="13" borderId="37" xfId="0" applyFont="1" applyFill="1" applyBorder="1" applyAlignment="1">
      <alignment horizontal="center" vertical="center" wrapText="1"/>
    </xf>
    <xf numFmtId="0" fontId="31" fillId="13" borderId="22" xfId="4" applyFont="1" applyFill="1" applyBorder="1" applyAlignment="1">
      <alignment horizontal="center" vertical="center" wrapText="1"/>
    </xf>
    <xf numFmtId="0" fontId="31" fillId="13" borderId="13" xfId="4" applyFont="1" applyFill="1" applyBorder="1" applyAlignment="1">
      <alignment horizontal="center" vertical="center" wrapText="1"/>
    </xf>
    <xf numFmtId="178" fontId="31" fillId="13" borderId="23" xfId="0" applyNumberFormat="1" applyFont="1" applyFill="1" applyBorder="1" applyAlignment="1">
      <alignment horizontal="center" vertical="center" wrapText="1"/>
    </xf>
    <xf numFmtId="178" fontId="31" fillId="13" borderId="24" xfId="0" applyNumberFormat="1" applyFont="1" applyFill="1" applyBorder="1" applyAlignment="1">
      <alignment horizontal="center" vertical="center" wrapText="1"/>
    </xf>
    <xf numFmtId="178" fontId="31" fillId="13" borderId="25" xfId="0" applyNumberFormat="1" applyFont="1" applyFill="1" applyBorder="1" applyAlignment="1">
      <alignment horizontal="center" vertical="center" wrapText="1"/>
    </xf>
  </cellXfs>
  <cellStyles count="28">
    <cellStyle name="20% - 강조색1" xfId="5" builtinId="30"/>
    <cellStyle name="20% - 강조색1 2" xfId="1" xr:uid="{00000000-0005-0000-0000-000001000000}"/>
    <cellStyle name="20% - 강조색1 3" xfId="23" xr:uid="{2F480B4F-5179-425D-AEED-2B8916C86962}"/>
    <cellStyle name="20% - 강조색2" xfId="20" builtinId="34"/>
    <cellStyle name="20% - 강조색2 2" xfId="24" xr:uid="{D864D832-AA7A-4F16-9077-E8D65A78444D}"/>
    <cellStyle name="20% - 강조색3" xfId="19" builtinId="38"/>
    <cellStyle name="20% - 강조색4" xfId="18" builtinId="42"/>
    <cellStyle name="20% - 강조색4 2" xfId="22" xr:uid="{61CD53FB-4B01-470B-BBBA-2A0125C43EAF}"/>
    <cellStyle name="40% - 강조색1" xfId="6" builtinId="31"/>
    <cellStyle name="40% - 강조색2" xfId="7" builtinId="35"/>
    <cellStyle name="40% - 강조색2 2" xfId="25" xr:uid="{589AC49A-07E7-456C-B36F-2DB17438A5DE}"/>
    <cellStyle name="40% - 강조색4" xfId="8" builtinId="43"/>
    <cellStyle name="40% - 강조색4 2" xfId="21" xr:uid="{881EA8B3-A511-472C-A537-1823A135CB35}"/>
    <cellStyle name="40% - 강조색4 26" xfId="26" xr:uid="{0E908E9E-CD81-4DE1-817C-2008AB3EF66C}"/>
    <cellStyle name="나쁨" xfId="4" builtinId="27"/>
    <cellStyle name="쉼표 [0]" xfId="10" builtinId="6"/>
    <cellStyle name="쉼표 [0] 2 2 7 4" xfId="14" xr:uid="{00000000-0005-0000-0000-00000B000000}"/>
    <cellStyle name="쉼표 [0] 34" xfId="17" xr:uid="{00000000-0005-0000-0000-00000C000000}"/>
    <cellStyle name="쉼표 [0] 40" xfId="9" xr:uid="{00000000-0005-0000-0000-00000D000000}"/>
    <cellStyle name="쉼표 [0] 7" xfId="27" xr:uid="{9D99DE27-4A24-49C1-A97F-69455F390EE7}"/>
    <cellStyle name="스타일 1" xfId="12" xr:uid="{00000000-0005-0000-0000-00000E000000}"/>
    <cellStyle name="좋음" xfId="3" builtinId="26"/>
    <cellStyle name="좋음 2" xfId="2" xr:uid="{00000000-0005-0000-0000-000010000000}"/>
    <cellStyle name="표준" xfId="0" builtinId="0"/>
    <cellStyle name="표준 13 2" xfId="11" xr:uid="{00000000-0005-0000-0000-000012000000}"/>
    <cellStyle name="표준 18 2" xfId="13" xr:uid="{00000000-0005-0000-0000-000013000000}"/>
    <cellStyle name="표준 2" xfId="15" xr:uid="{00000000-0005-0000-0000-000014000000}"/>
    <cellStyle name="표준 2 2 2 2" xfId="16" xr:uid="{00000000-0005-0000-0000-000015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U107"/>
  <sheetViews>
    <sheetView workbookViewId="0">
      <selection activeCell="I22" sqref="I22"/>
    </sheetView>
  </sheetViews>
  <sheetFormatPr defaultRowHeight="13.5" x14ac:dyDescent="0.3"/>
  <cols>
    <col min="1" max="1" width="1.125" style="4" customWidth="1"/>
    <col min="2" max="2" width="10.75" style="4" hidden="1" customWidth="1"/>
    <col min="3" max="3" width="9.75" style="4" hidden="1" customWidth="1"/>
    <col min="4" max="4" width="11" style="4" customWidth="1"/>
    <col min="5" max="5" width="16.375" style="4" customWidth="1"/>
    <col min="6" max="6" width="14.125" style="4" hidden="1" customWidth="1"/>
    <col min="7" max="7" width="7.5" style="4" customWidth="1"/>
    <col min="8" max="8" width="11.25" style="4" bestFit="1" customWidth="1"/>
    <col min="9" max="9" width="39.25" style="4" customWidth="1"/>
    <col min="10" max="10" width="4" style="5" customWidth="1"/>
    <col min="11" max="11" width="9.875" style="4" hidden="1" customWidth="1"/>
    <col min="12" max="13" width="11.5" style="4" customWidth="1"/>
    <col min="14" max="14" width="11.875" style="4" customWidth="1"/>
    <col min="15" max="15" width="12.375" style="4" customWidth="1"/>
    <col min="16" max="16" width="30" style="4" hidden="1" customWidth="1"/>
    <col min="17" max="17" width="10.875" style="4" customWidth="1"/>
    <col min="18" max="18" width="12.25" style="5" customWidth="1"/>
    <col min="19" max="21" width="9" style="4"/>
    <col min="22" max="22" width="9.5" style="4" bestFit="1" customWidth="1"/>
    <col min="23" max="16384" width="9" style="4"/>
  </cols>
  <sheetData>
    <row r="2" spans="2:20" ht="14.25" thickBot="1" x14ac:dyDescent="0.35"/>
    <row r="3" spans="2:20" x14ac:dyDescent="0.3">
      <c r="B3" s="673" t="s">
        <v>59</v>
      </c>
      <c r="C3" s="675" t="s">
        <v>60</v>
      </c>
      <c r="D3" s="677" t="s">
        <v>61</v>
      </c>
      <c r="E3" s="679" t="s">
        <v>62</v>
      </c>
      <c r="F3" s="671" t="s">
        <v>63</v>
      </c>
      <c r="G3" s="671" t="s">
        <v>64</v>
      </c>
      <c r="H3" s="687" t="s">
        <v>65</v>
      </c>
      <c r="I3" s="689" t="s">
        <v>66</v>
      </c>
      <c r="J3" s="691" t="s">
        <v>67</v>
      </c>
      <c r="K3" s="693" t="s">
        <v>68</v>
      </c>
      <c r="L3" s="694"/>
      <c r="M3" s="694"/>
      <c r="N3" s="695"/>
      <c r="O3" s="681" t="s">
        <v>69</v>
      </c>
      <c r="P3" s="681" t="s">
        <v>70</v>
      </c>
      <c r="Q3" s="681" t="s">
        <v>71</v>
      </c>
      <c r="R3" s="683" t="s">
        <v>72</v>
      </c>
      <c r="S3" s="683" t="s">
        <v>73</v>
      </c>
      <c r="T3" s="685" t="s">
        <v>74</v>
      </c>
    </row>
    <row r="4" spans="2:20" x14ac:dyDescent="0.3">
      <c r="B4" s="674"/>
      <c r="C4" s="676"/>
      <c r="D4" s="678"/>
      <c r="E4" s="680"/>
      <c r="F4" s="672"/>
      <c r="G4" s="672"/>
      <c r="H4" s="688"/>
      <c r="I4" s="690"/>
      <c r="J4" s="692"/>
      <c r="K4" s="6" t="s">
        <v>75</v>
      </c>
      <c r="L4" s="7" t="s">
        <v>76</v>
      </c>
      <c r="M4" s="7" t="s">
        <v>77</v>
      </c>
      <c r="N4" s="8" t="s">
        <v>78</v>
      </c>
      <c r="O4" s="682"/>
      <c r="P4" s="682"/>
      <c r="Q4" s="682"/>
      <c r="R4" s="684"/>
      <c r="S4" s="684"/>
      <c r="T4" s="686"/>
    </row>
    <row r="5" spans="2:20" ht="27" x14ac:dyDescent="0.3">
      <c r="B5" s="9"/>
      <c r="C5" s="10"/>
      <c r="D5" s="11">
        <v>43769</v>
      </c>
      <c r="E5" s="55" t="s">
        <v>287</v>
      </c>
      <c r="F5" s="13"/>
      <c r="G5" s="14" t="s">
        <v>7</v>
      </c>
      <c r="H5" s="56" t="s">
        <v>288</v>
      </c>
      <c r="I5" s="14" t="s">
        <v>289</v>
      </c>
      <c r="J5" s="15">
        <v>1</v>
      </c>
      <c r="K5" s="15"/>
      <c r="L5" s="16">
        <v>820000</v>
      </c>
      <c r="M5" s="17">
        <v>82000</v>
      </c>
      <c r="N5" s="18">
        <v>902000</v>
      </c>
      <c r="O5" s="19">
        <v>858550</v>
      </c>
      <c r="P5" s="20" t="s">
        <v>323</v>
      </c>
      <c r="Q5" s="21">
        <v>39500</v>
      </c>
      <c r="R5" s="54" t="s">
        <v>334</v>
      </c>
      <c r="S5" s="23" t="s">
        <v>9</v>
      </c>
      <c r="T5" s="24"/>
    </row>
    <row r="6" spans="2:20" ht="27" x14ac:dyDescent="0.3">
      <c r="B6" s="9"/>
      <c r="C6" s="10"/>
      <c r="D6" s="11">
        <v>43801</v>
      </c>
      <c r="E6" s="55" t="s">
        <v>290</v>
      </c>
      <c r="F6" s="13"/>
      <c r="G6" s="14" t="s">
        <v>291</v>
      </c>
      <c r="H6" s="56" t="s">
        <v>292</v>
      </c>
      <c r="I6" s="14" t="s">
        <v>293</v>
      </c>
      <c r="J6" s="15" t="s">
        <v>294</v>
      </c>
      <c r="K6" s="15"/>
      <c r="L6" s="16">
        <v>1000000</v>
      </c>
      <c r="M6" s="17">
        <v>100000</v>
      </c>
      <c r="N6" s="18">
        <v>1100000</v>
      </c>
      <c r="O6" s="19">
        <v>550000</v>
      </c>
      <c r="P6" s="25" t="s">
        <v>324</v>
      </c>
      <c r="Q6" s="21">
        <v>500000</v>
      </c>
      <c r="R6" s="54" t="s">
        <v>335</v>
      </c>
      <c r="S6" s="23" t="s">
        <v>9</v>
      </c>
      <c r="T6" s="24"/>
    </row>
    <row r="7" spans="2:20" x14ac:dyDescent="0.3">
      <c r="B7" s="9"/>
      <c r="C7" s="10"/>
      <c r="D7" s="11">
        <v>43802</v>
      </c>
      <c r="E7" s="55" t="s">
        <v>295</v>
      </c>
      <c r="F7" s="13"/>
      <c r="G7" s="14" t="s">
        <v>291</v>
      </c>
      <c r="H7" s="56"/>
      <c r="I7" s="14" t="s">
        <v>296</v>
      </c>
      <c r="J7" s="15">
        <v>2</v>
      </c>
      <c r="K7" s="15"/>
      <c r="L7" s="16">
        <v>42820000</v>
      </c>
      <c r="M7" s="17">
        <v>4282000</v>
      </c>
      <c r="N7" s="18">
        <v>47102000</v>
      </c>
      <c r="O7" s="19">
        <v>0</v>
      </c>
      <c r="P7" s="26" t="s">
        <v>325</v>
      </c>
      <c r="Q7" s="21">
        <v>42820000</v>
      </c>
      <c r="R7" s="54" t="s">
        <v>335</v>
      </c>
      <c r="S7" s="23" t="s">
        <v>26</v>
      </c>
      <c r="T7" s="24"/>
    </row>
    <row r="8" spans="2:20" x14ac:dyDescent="0.3">
      <c r="B8" s="9"/>
      <c r="C8" s="10"/>
      <c r="D8" s="11">
        <v>43805</v>
      </c>
      <c r="E8" s="12" t="s">
        <v>297</v>
      </c>
      <c r="F8" s="13"/>
      <c r="G8" s="14" t="s">
        <v>7</v>
      </c>
      <c r="H8" s="56" t="s">
        <v>298</v>
      </c>
      <c r="I8" s="14" t="s">
        <v>299</v>
      </c>
      <c r="J8" s="15">
        <v>1</v>
      </c>
      <c r="K8" s="15"/>
      <c r="L8" s="16">
        <v>419200</v>
      </c>
      <c r="M8" s="17">
        <v>41920</v>
      </c>
      <c r="N8" s="18">
        <v>461120</v>
      </c>
      <c r="O8" s="19">
        <v>403771.5</v>
      </c>
      <c r="P8" s="25" t="s">
        <v>326</v>
      </c>
      <c r="Q8" s="21">
        <v>52135</v>
      </c>
      <c r="R8" s="54" t="s">
        <v>336</v>
      </c>
      <c r="S8" s="23" t="s">
        <v>9</v>
      </c>
      <c r="T8" s="24"/>
    </row>
    <row r="9" spans="2:20" x14ac:dyDescent="0.3">
      <c r="B9" s="9"/>
      <c r="C9" s="10"/>
      <c r="D9" s="11">
        <v>43805</v>
      </c>
      <c r="E9" s="55" t="s">
        <v>295</v>
      </c>
      <c r="F9" s="13"/>
      <c r="G9" s="14" t="s">
        <v>291</v>
      </c>
      <c r="H9" s="56"/>
      <c r="I9" s="14" t="s">
        <v>296</v>
      </c>
      <c r="J9" s="15">
        <v>2</v>
      </c>
      <c r="K9" s="15"/>
      <c r="L9" s="16">
        <v>42820000</v>
      </c>
      <c r="M9" s="17">
        <v>4282000</v>
      </c>
      <c r="N9" s="18">
        <v>47102000</v>
      </c>
      <c r="O9" s="19">
        <v>0</v>
      </c>
      <c r="P9" s="26" t="s">
        <v>325</v>
      </c>
      <c r="Q9" s="21">
        <v>42820000</v>
      </c>
      <c r="R9" s="54" t="s">
        <v>335</v>
      </c>
      <c r="S9" s="23" t="s">
        <v>26</v>
      </c>
      <c r="T9" s="24"/>
    </row>
    <row r="10" spans="2:20" x14ac:dyDescent="0.3">
      <c r="B10" s="9"/>
      <c r="C10" s="10"/>
      <c r="D10" s="11">
        <v>43810</v>
      </c>
      <c r="E10" s="55" t="s">
        <v>295</v>
      </c>
      <c r="F10" s="13"/>
      <c r="G10" s="14" t="s">
        <v>291</v>
      </c>
      <c r="H10" s="56"/>
      <c r="I10" s="14" t="s">
        <v>296</v>
      </c>
      <c r="J10" s="15">
        <v>2</v>
      </c>
      <c r="K10" s="15"/>
      <c r="L10" s="16">
        <v>42820000</v>
      </c>
      <c r="M10" s="17">
        <v>4282000</v>
      </c>
      <c r="N10" s="18">
        <v>47102000</v>
      </c>
      <c r="O10" s="19">
        <v>0</v>
      </c>
      <c r="P10" s="26" t="s">
        <v>325</v>
      </c>
      <c r="Q10" s="21">
        <v>42820000</v>
      </c>
      <c r="R10" s="54" t="s">
        <v>335</v>
      </c>
      <c r="S10" s="23" t="s">
        <v>26</v>
      </c>
      <c r="T10" s="24"/>
    </row>
    <row r="11" spans="2:20" ht="40.5" x14ac:dyDescent="0.3">
      <c r="B11" s="9"/>
      <c r="C11" s="10"/>
      <c r="D11" s="11">
        <v>43812</v>
      </c>
      <c r="E11" s="12" t="s">
        <v>300</v>
      </c>
      <c r="F11" s="13"/>
      <c r="G11" s="14" t="s">
        <v>27</v>
      </c>
      <c r="H11" s="56" t="s">
        <v>301</v>
      </c>
      <c r="I11" s="14" t="s">
        <v>302</v>
      </c>
      <c r="J11" s="15" t="s">
        <v>303</v>
      </c>
      <c r="K11" s="15"/>
      <c r="L11" s="16">
        <v>1636800</v>
      </c>
      <c r="M11" s="17">
        <v>163680</v>
      </c>
      <c r="N11" s="18">
        <v>1800480</v>
      </c>
      <c r="O11" s="19">
        <v>1800480</v>
      </c>
      <c r="P11" s="25" t="s">
        <v>327</v>
      </c>
      <c r="Q11" s="21">
        <v>0</v>
      </c>
      <c r="R11" s="54" t="s">
        <v>336</v>
      </c>
      <c r="S11" s="23" t="s">
        <v>9</v>
      </c>
      <c r="T11" s="24"/>
    </row>
    <row r="12" spans="2:20" ht="27" x14ac:dyDescent="0.3">
      <c r="B12" s="9"/>
      <c r="C12" s="10"/>
      <c r="D12" s="11">
        <v>43817</v>
      </c>
      <c r="E12" s="12" t="s">
        <v>300</v>
      </c>
      <c r="F12" s="13"/>
      <c r="G12" s="14" t="s">
        <v>27</v>
      </c>
      <c r="H12" s="56" t="s">
        <v>304</v>
      </c>
      <c r="I12" s="14" t="s">
        <v>305</v>
      </c>
      <c r="J12" s="15" t="s">
        <v>303</v>
      </c>
      <c r="K12" s="15"/>
      <c r="L12" s="16">
        <v>2051200</v>
      </c>
      <c r="M12" s="17">
        <v>205120</v>
      </c>
      <c r="N12" s="18">
        <v>2256320</v>
      </c>
      <c r="O12" s="19">
        <v>2256320</v>
      </c>
      <c r="P12" s="25" t="s">
        <v>328</v>
      </c>
      <c r="Q12" s="21">
        <v>0</v>
      </c>
      <c r="R12" s="54" t="s">
        <v>336</v>
      </c>
      <c r="S12" s="23" t="s">
        <v>9</v>
      </c>
      <c r="T12" s="24"/>
    </row>
    <row r="13" spans="2:20" x14ac:dyDescent="0.3">
      <c r="B13" s="9"/>
      <c r="C13" s="10"/>
      <c r="D13" s="11">
        <v>43817</v>
      </c>
      <c r="E13" s="12" t="s">
        <v>297</v>
      </c>
      <c r="F13" s="13"/>
      <c r="G13" s="14" t="s">
        <v>7</v>
      </c>
      <c r="H13" s="56" t="s">
        <v>298</v>
      </c>
      <c r="I13" s="14" t="s">
        <v>306</v>
      </c>
      <c r="J13" s="15">
        <v>1</v>
      </c>
      <c r="K13" s="15"/>
      <c r="L13" s="16">
        <v>1015200</v>
      </c>
      <c r="M13" s="17">
        <v>101520</v>
      </c>
      <c r="N13" s="18">
        <v>1116720</v>
      </c>
      <c r="O13" s="19">
        <v>978477.5</v>
      </c>
      <c r="P13" s="25" t="s">
        <v>327</v>
      </c>
      <c r="Q13" s="21">
        <v>125675</v>
      </c>
      <c r="R13" s="54" t="s">
        <v>336</v>
      </c>
      <c r="S13" s="23" t="s">
        <v>9</v>
      </c>
      <c r="T13" s="24"/>
    </row>
    <row r="14" spans="2:20" x14ac:dyDescent="0.3">
      <c r="B14" s="9"/>
      <c r="C14" s="10"/>
      <c r="D14" s="11">
        <v>43817</v>
      </c>
      <c r="E14" s="55" t="s">
        <v>307</v>
      </c>
      <c r="F14" s="13"/>
      <c r="G14" s="14" t="s">
        <v>7</v>
      </c>
      <c r="H14" s="56" t="s">
        <v>298</v>
      </c>
      <c r="I14" s="14" t="s">
        <v>308</v>
      </c>
      <c r="J14" s="15">
        <v>1</v>
      </c>
      <c r="K14" s="15"/>
      <c r="L14" s="16">
        <v>1704000</v>
      </c>
      <c r="M14" s="17">
        <v>170400</v>
      </c>
      <c r="N14" s="18">
        <v>1874400</v>
      </c>
      <c r="O14" s="19">
        <v>1603525</v>
      </c>
      <c r="P14" s="25" t="s">
        <v>327</v>
      </c>
      <c r="Q14" s="21">
        <v>246250</v>
      </c>
      <c r="R14" s="54" t="s">
        <v>337</v>
      </c>
      <c r="S14" s="23" t="s">
        <v>9</v>
      </c>
      <c r="T14" s="24"/>
    </row>
    <row r="15" spans="2:20" x14ac:dyDescent="0.3">
      <c r="B15" s="9"/>
      <c r="C15" s="10"/>
      <c r="D15" s="11">
        <v>43818</v>
      </c>
      <c r="E15" s="55" t="s">
        <v>295</v>
      </c>
      <c r="F15" s="13"/>
      <c r="G15" s="14" t="s">
        <v>291</v>
      </c>
      <c r="H15" s="56"/>
      <c r="I15" s="14" t="s">
        <v>309</v>
      </c>
      <c r="J15" s="15">
        <v>1</v>
      </c>
      <c r="K15" s="15"/>
      <c r="L15" s="16">
        <v>21410000</v>
      </c>
      <c r="M15" s="17">
        <v>2141000</v>
      </c>
      <c r="N15" s="18">
        <v>23551000</v>
      </c>
      <c r="O15" s="19">
        <v>0</v>
      </c>
      <c r="P15" s="26" t="s">
        <v>325</v>
      </c>
      <c r="Q15" s="21">
        <v>21410000</v>
      </c>
      <c r="R15" s="54" t="s">
        <v>335</v>
      </c>
      <c r="S15" s="23" t="s">
        <v>26</v>
      </c>
      <c r="T15" s="24"/>
    </row>
    <row r="16" spans="2:20" ht="27.75" customHeight="1" x14ac:dyDescent="0.3">
      <c r="B16" s="9"/>
      <c r="C16" s="10"/>
      <c r="D16" s="11">
        <v>43822</v>
      </c>
      <c r="E16" s="55" t="s">
        <v>310</v>
      </c>
      <c r="F16" s="13"/>
      <c r="G16" s="14" t="s">
        <v>291</v>
      </c>
      <c r="H16" s="56" t="s">
        <v>341</v>
      </c>
      <c r="I16" s="14" t="s">
        <v>340</v>
      </c>
      <c r="J16" s="15">
        <v>1</v>
      </c>
      <c r="K16" s="15"/>
      <c r="L16" s="16">
        <v>2460000</v>
      </c>
      <c r="M16" s="17">
        <v>246000</v>
      </c>
      <c r="N16" s="18">
        <v>2706000</v>
      </c>
      <c r="O16" s="19">
        <v>2263699.9</v>
      </c>
      <c r="P16" s="25" t="s">
        <v>329</v>
      </c>
      <c r="Q16" s="21">
        <v>402091</v>
      </c>
      <c r="R16" s="54" t="s">
        <v>344</v>
      </c>
      <c r="S16" s="23" t="s">
        <v>8</v>
      </c>
      <c r="T16" s="24"/>
    </row>
    <row r="17" spans="2:21" ht="27" x14ac:dyDescent="0.3">
      <c r="B17" s="9"/>
      <c r="C17" s="10"/>
      <c r="D17" s="11">
        <v>43822</v>
      </c>
      <c r="E17" s="55" t="s">
        <v>310</v>
      </c>
      <c r="F17" s="13"/>
      <c r="G17" s="14" t="s">
        <v>291</v>
      </c>
      <c r="H17" s="56" t="s">
        <v>311</v>
      </c>
      <c r="I17" s="14" t="s">
        <v>312</v>
      </c>
      <c r="J17" s="15">
        <v>1</v>
      </c>
      <c r="K17" s="15"/>
      <c r="L17" s="16">
        <v>600000</v>
      </c>
      <c r="M17" s="17">
        <v>60000</v>
      </c>
      <c r="N17" s="18">
        <v>660000</v>
      </c>
      <c r="O17" s="19">
        <v>330000</v>
      </c>
      <c r="P17" s="25" t="s">
        <v>330</v>
      </c>
      <c r="Q17" s="21">
        <v>300000</v>
      </c>
      <c r="R17" s="54" t="s">
        <v>345</v>
      </c>
      <c r="S17" s="23" t="s">
        <v>8</v>
      </c>
      <c r="T17" s="24"/>
    </row>
    <row r="18" spans="2:21" x14ac:dyDescent="0.3">
      <c r="B18" s="9"/>
      <c r="C18" s="10"/>
      <c r="D18" s="11">
        <v>43822</v>
      </c>
      <c r="E18" s="12" t="s">
        <v>313</v>
      </c>
      <c r="F18" s="13"/>
      <c r="G18" s="14" t="s">
        <v>7</v>
      </c>
      <c r="H18" s="56" t="s">
        <v>314</v>
      </c>
      <c r="I18" s="14" t="s">
        <v>315</v>
      </c>
      <c r="J18" s="15">
        <v>6</v>
      </c>
      <c r="K18" s="15"/>
      <c r="L18" s="16">
        <v>17691912</v>
      </c>
      <c r="M18" s="17">
        <v>1769191.2000000002</v>
      </c>
      <c r="N18" s="18">
        <v>19461103.199999999</v>
      </c>
      <c r="O18" s="19">
        <v>0</v>
      </c>
      <c r="P18" s="26" t="s">
        <v>325</v>
      </c>
      <c r="Q18" s="21">
        <v>17691912</v>
      </c>
      <c r="R18" s="54" t="s">
        <v>336</v>
      </c>
      <c r="S18" s="23" t="s">
        <v>26</v>
      </c>
      <c r="T18" s="24"/>
    </row>
    <row r="19" spans="2:21" x14ac:dyDescent="0.3">
      <c r="B19" s="9"/>
      <c r="C19" s="10"/>
      <c r="D19" s="11">
        <v>43823</v>
      </c>
      <c r="E19" s="12" t="s">
        <v>297</v>
      </c>
      <c r="F19" s="13"/>
      <c r="G19" s="14" t="s">
        <v>7</v>
      </c>
      <c r="H19" s="56" t="s">
        <v>298</v>
      </c>
      <c r="I19" s="14" t="s">
        <v>316</v>
      </c>
      <c r="J19" s="15">
        <v>1</v>
      </c>
      <c r="K19" s="15"/>
      <c r="L19" s="16">
        <v>419200</v>
      </c>
      <c r="M19" s="17">
        <v>41920</v>
      </c>
      <c r="N19" s="18">
        <v>461120</v>
      </c>
      <c r="O19" s="19">
        <v>403771.5</v>
      </c>
      <c r="P19" s="25" t="s">
        <v>331</v>
      </c>
      <c r="Q19" s="21">
        <v>52135</v>
      </c>
      <c r="R19" s="54" t="s">
        <v>336</v>
      </c>
      <c r="S19" s="23" t="s">
        <v>9</v>
      </c>
      <c r="T19" s="24"/>
    </row>
    <row r="20" spans="2:21" x14ac:dyDescent="0.3">
      <c r="B20" s="9"/>
      <c r="C20" s="10"/>
      <c r="D20" s="11">
        <v>43829</v>
      </c>
      <c r="E20" s="60" t="s">
        <v>89</v>
      </c>
      <c r="F20" s="13"/>
      <c r="G20" s="14" t="s">
        <v>7</v>
      </c>
      <c r="H20" s="56" t="s">
        <v>317</v>
      </c>
      <c r="I20" s="14" t="s">
        <v>318</v>
      </c>
      <c r="J20" s="15">
        <v>1</v>
      </c>
      <c r="K20" s="15"/>
      <c r="L20" s="16">
        <v>284000</v>
      </c>
      <c r="M20" s="17">
        <v>28400</v>
      </c>
      <c r="N20" s="18">
        <v>312400</v>
      </c>
      <c r="O20" s="19">
        <v>283800</v>
      </c>
      <c r="P20" s="25" t="s">
        <v>332</v>
      </c>
      <c r="Q20" s="21">
        <v>26000</v>
      </c>
      <c r="R20" s="54" t="s">
        <v>335</v>
      </c>
      <c r="S20" s="23" t="s">
        <v>9</v>
      </c>
      <c r="T20" s="24"/>
    </row>
    <row r="21" spans="2:21" ht="27" x14ac:dyDescent="0.3">
      <c r="B21" s="9"/>
      <c r="C21" s="10"/>
      <c r="D21" s="11">
        <v>43830</v>
      </c>
      <c r="E21" s="12" t="s">
        <v>297</v>
      </c>
      <c r="F21" s="13"/>
      <c r="G21" s="14" t="s">
        <v>27</v>
      </c>
      <c r="H21" s="56" t="s">
        <v>43</v>
      </c>
      <c r="I21" s="14" t="s">
        <v>319</v>
      </c>
      <c r="J21" s="15">
        <v>2</v>
      </c>
      <c r="K21" s="15"/>
      <c r="L21" s="16">
        <v>1646000</v>
      </c>
      <c r="M21" s="17">
        <v>164600</v>
      </c>
      <c r="N21" s="18">
        <v>1810600</v>
      </c>
      <c r="O21" s="19">
        <v>0</v>
      </c>
      <c r="P21" s="27" t="s">
        <v>45</v>
      </c>
      <c r="Q21" s="21">
        <v>1646000</v>
      </c>
      <c r="R21" s="54" t="s">
        <v>336</v>
      </c>
      <c r="S21" s="23" t="s">
        <v>9</v>
      </c>
      <c r="T21" s="24"/>
    </row>
    <row r="22" spans="2:21" ht="56.25" customHeight="1" x14ac:dyDescent="0.3">
      <c r="B22" s="9"/>
      <c r="C22" s="10"/>
      <c r="D22" s="70">
        <v>43830</v>
      </c>
      <c r="E22" s="71" t="s">
        <v>320</v>
      </c>
      <c r="F22" s="72"/>
      <c r="G22" s="73" t="s">
        <v>7</v>
      </c>
      <c r="H22" s="74" t="s">
        <v>16</v>
      </c>
      <c r="I22" s="73" t="s">
        <v>321</v>
      </c>
      <c r="J22" s="75" t="s">
        <v>322</v>
      </c>
      <c r="K22" s="75"/>
      <c r="L22" s="76">
        <v>10521000</v>
      </c>
      <c r="M22" s="77">
        <v>1052100</v>
      </c>
      <c r="N22" s="77">
        <v>11573100</v>
      </c>
      <c r="O22" s="78">
        <v>0</v>
      </c>
      <c r="P22" s="79" t="s">
        <v>333</v>
      </c>
      <c r="Q22" s="80">
        <v>10521000</v>
      </c>
      <c r="R22" s="81" t="s">
        <v>80</v>
      </c>
      <c r="S22" s="82" t="s">
        <v>26</v>
      </c>
      <c r="T22" s="83"/>
    </row>
    <row r="23" spans="2:21" x14ac:dyDescent="0.3">
      <c r="B23" s="9"/>
      <c r="C23" s="10"/>
      <c r="D23" s="62">
        <v>43831</v>
      </c>
      <c r="E23" s="63" t="s">
        <v>28</v>
      </c>
      <c r="F23" s="13" t="s">
        <v>29</v>
      </c>
      <c r="G23" s="13" t="s">
        <v>30</v>
      </c>
      <c r="H23" s="56" t="s">
        <v>31</v>
      </c>
      <c r="I23" s="64" t="s">
        <v>20</v>
      </c>
      <c r="J23" s="13">
        <v>1</v>
      </c>
      <c r="K23" s="65">
        <v>421400</v>
      </c>
      <c r="L23" s="18">
        <v>421400</v>
      </c>
      <c r="M23" s="18">
        <v>42140</v>
      </c>
      <c r="N23" s="18">
        <v>463540</v>
      </c>
      <c r="O23" s="66">
        <v>411400</v>
      </c>
      <c r="P23" s="66" t="s">
        <v>32</v>
      </c>
      <c r="Q23" s="18">
        <v>52140</v>
      </c>
      <c r="R23" s="67">
        <v>43895</v>
      </c>
      <c r="S23" s="68" t="s">
        <v>26</v>
      </c>
      <c r="T23" s="69"/>
    </row>
    <row r="24" spans="2:21" ht="27" x14ac:dyDescent="0.3">
      <c r="B24" s="9"/>
      <c r="C24" s="10"/>
      <c r="D24" s="29">
        <v>43831</v>
      </c>
      <c r="E24" s="12" t="s">
        <v>33</v>
      </c>
      <c r="F24" s="14" t="s">
        <v>34</v>
      </c>
      <c r="G24" s="13" t="s">
        <v>30</v>
      </c>
      <c r="H24" s="56" t="s">
        <v>31</v>
      </c>
      <c r="I24" s="31" t="s">
        <v>21</v>
      </c>
      <c r="J24" s="12">
        <v>1</v>
      </c>
      <c r="K24" s="16">
        <v>115000</v>
      </c>
      <c r="L24" s="17">
        <v>115000</v>
      </c>
      <c r="M24" s="17">
        <v>11500</v>
      </c>
      <c r="N24" s="17">
        <v>126500</v>
      </c>
      <c r="O24" s="32">
        <v>100000</v>
      </c>
      <c r="P24" s="32" t="s">
        <v>35</v>
      </c>
      <c r="Q24" s="18">
        <v>26500</v>
      </c>
      <c r="R24" s="33" t="s">
        <v>36</v>
      </c>
      <c r="S24" s="36" t="s">
        <v>9</v>
      </c>
      <c r="T24" s="35"/>
    </row>
    <row r="25" spans="2:21" x14ac:dyDescent="0.3">
      <c r="B25" s="9"/>
      <c r="C25" s="10"/>
      <c r="D25" s="11">
        <v>43831</v>
      </c>
      <c r="E25" s="12" t="s">
        <v>37</v>
      </c>
      <c r="F25" s="14" t="s">
        <v>38</v>
      </c>
      <c r="G25" s="13" t="s">
        <v>30</v>
      </c>
      <c r="H25" s="57" t="s">
        <v>39</v>
      </c>
      <c r="I25" s="31" t="s">
        <v>40</v>
      </c>
      <c r="J25" s="13">
        <v>1</v>
      </c>
      <c r="K25" s="16">
        <v>345000</v>
      </c>
      <c r="L25" s="17">
        <v>345000</v>
      </c>
      <c r="M25" s="17">
        <v>34500</v>
      </c>
      <c r="N25" s="17">
        <v>379500</v>
      </c>
      <c r="O25" s="32">
        <v>294000</v>
      </c>
      <c r="P25" s="32" t="s">
        <v>41</v>
      </c>
      <c r="Q25" s="18">
        <v>85500</v>
      </c>
      <c r="R25" s="33" t="s">
        <v>36</v>
      </c>
      <c r="S25" s="34" t="s">
        <v>9</v>
      </c>
      <c r="T25" s="35"/>
    </row>
    <row r="26" spans="2:21" x14ac:dyDescent="0.3">
      <c r="B26" s="9"/>
      <c r="C26" s="10"/>
      <c r="D26" s="37">
        <v>43838</v>
      </c>
      <c r="E26" s="38" t="s">
        <v>42</v>
      </c>
      <c r="F26" s="14"/>
      <c r="G26" s="14" t="s">
        <v>27</v>
      </c>
      <c r="H26" s="56" t="s">
        <v>43</v>
      </c>
      <c r="I26" s="39" t="s">
        <v>44</v>
      </c>
      <c r="J26" s="15">
        <v>8</v>
      </c>
      <c r="K26" s="16">
        <v>713650</v>
      </c>
      <c r="L26" s="17">
        <v>5709200</v>
      </c>
      <c r="M26" s="17">
        <v>570920</v>
      </c>
      <c r="N26" s="17">
        <v>6280120</v>
      </c>
      <c r="O26" s="40"/>
      <c r="P26" s="40" t="s">
        <v>45</v>
      </c>
      <c r="Q26" s="18">
        <v>6280120</v>
      </c>
      <c r="R26" s="38" t="s">
        <v>36</v>
      </c>
      <c r="S26" s="34" t="s">
        <v>9</v>
      </c>
      <c r="T26" s="35"/>
    </row>
    <row r="27" spans="2:21" x14ac:dyDescent="0.3">
      <c r="B27" s="9"/>
      <c r="C27" s="10"/>
      <c r="D27" s="37">
        <v>43839</v>
      </c>
      <c r="E27" s="38" t="s">
        <v>46</v>
      </c>
      <c r="F27" s="14"/>
      <c r="G27" s="14" t="s">
        <v>27</v>
      </c>
      <c r="H27" s="56" t="s">
        <v>43</v>
      </c>
      <c r="I27" s="39" t="s">
        <v>44</v>
      </c>
      <c r="J27" s="15">
        <v>20</v>
      </c>
      <c r="K27" s="16">
        <v>700000</v>
      </c>
      <c r="L27" s="17">
        <v>14000000</v>
      </c>
      <c r="M27" s="17">
        <v>1400000</v>
      </c>
      <c r="N27" s="17">
        <v>15400000</v>
      </c>
      <c r="O27" s="40"/>
      <c r="P27" s="40" t="s">
        <v>45</v>
      </c>
      <c r="Q27" s="18">
        <v>15400000</v>
      </c>
      <c r="R27" s="38" t="s">
        <v>36</v>
      </c>
      <c r="S27" s="34" t="s">
        <v>9</v>
      </c>
      <c r="T27" s="35"/>
    </row>
    <row r="28" spans="2:21" ht="27" x14ac:dyDescent="0.3">
      <c r="B28" s="9"/>
      <c r="C28" s="10"/>
      <c r="D28" s="11">
        <v>43851</v>
      </c>
      <c r="E28" s="12" t="s">
        <v>47</v>
      </c>
      <c r="F28" s="14"/>
      <c r="G28" s="12" t="s">
        <v>48</v>
      </c>
      <c r="H28" s="56" t="s">
        <v>49</v>
      </c>
      <c r="I28" s="39" t="s">
        <v>50</v>
      </c>
      <c r="J28" s="15">
        <v>6</v>
      </c>
      <c r="K28" s="16">
        <v>367900</v>
      </c>
      <c r="L28" s="17">
        <v>2207400</v>
      </c>
      <c r="M28" s="17">
        <v>220740</v>
      </c>
      <c r="N28" s="17">
        <v>2428140</v>
      </c>
      <c r="O28" s="17"/>
      <c r="P28" s="17" t="s">
        <v>51</v>
      </c>
      <c r="Q28" s="18">
        <v>2428140</v>
      </c>
      <c r="R28" s="33" t="s">
        <v>36</v>
      </c>
      <c r="S28" s="34" t="s">
        <v>9</v>
      </c>
      <c r="T28" s="35"/>
    </row>
    <row r="29" spans="2:21" x14ac:dyDescent="0.3">
      <c r="B29" s="9"/>
      <c r="C29" s="10"/>
      <c r="D29" s="11">
        <v>43851</v>
      </c>
      <c r="E29" s="12" t="s">
        <v>52</v>
      </c>
      <c r="F29" s="14"/>
      <c r="G29" s="12" t="s">
        <v>48</v>
      </c>
      <c r="H29" s="56" t="s">
        <v>53</v>
      </c>
      <c r="I29" s="39" t="s">
        <v>54</v>
      </c>
      <c r="J29" s="15">
        <v>2</v>
      </c>
      <c r="K29" s="16">
        <v>900000</v>
      </c>
      <c r="L29" s="17">
        <v>1800000</v>
      </c>
      <c r="M29" s="17">
        <v>180000</v>
      </c>
      <c r="N29" s="17">
        <v>1980000</v>
      </c>
      <c r="O29" s="32">
        <v>1560000</v>
      </c>
      <c r="P29" s="32" t="s">
        <v>55</v>
      </c>
      <c r="Q29" s="18">
        <v>420000</v>
      </c>
      <c r="R29" s="33" t="s">
        <v>36</v>
      </c>
      <c r="S29" s="34" t="s">
        <v>9</v>
      </c>
      <c r="T29" s="35"/>
    </row>
    <row r="30" spans="2:21" x14ac:dyDescent="0.3">
      <c r="B30" s="9"/>
      <c r="C30" s="10"/>
      <c r="D30" s="11">
        <v>43858</v>
      </c>
      <c r="E30" s="55" t="s">
        <v>46</v>
      </c>
      <c r="F30" s="14" t="s">
        <v>56</v>
      </c>
      <c r="G30" s="14" t="s">
        <v>57</v>
      </c>
      <c r="H30" s="56" t="s">
        <v>58</v>
      </c>
      <c r="I30" s="39" t="s">
        <v>23</v>
      </c>
      <c r="J30" s="15">
        <v>1</v>
      </c>
      <c r="K30" s="16">
        <v>852000</v>
      </c>
      <c r="L30" s="17">
        <v>852000</v>
      </c>
      <c r="M30" s="17">
        <v>85200</v>
      </c>
      <c r="N30" s="17">
        <v>937200</v>
      </c>
      <c r="O30" s="32">
        <v>713166</v>
      </c>
      <c r="P30" s="32" t="s">
        <v>79</v>
      </c>
      <c r="Q30" s="18">
        <v>224034</v>
      </c>
      <c r="R30" s="33" t="s">
        <v>80</v>
      </c>
      <c r="S30" s="34" t="s">
        <v>9</v>
      </c>
      <c r="T30" s="35"/>
    </row>
    <row r="31" spans="2:21" x14ac:dyDescent="0.3">
      <c r="B31" s="9"/>
      <c r="C31" s="10"/>
      <c r="D31" s="11">
        <v>43861</v>
      </c>
      <c r="E31" s="12" t="s">
        <v>28</v>
      </c>
      <c r="F31" s="14" t="s">
        <v>81</v>
      </c>
      <c r="G31" s="13" t="s">
        <v>30</v>
      </c>
      <c r="H31" s="56" t="s">
        <v>82</v>
      </c>
      <c r="I31" s="39" t="s">
        <v>83</v>
      </c>
      <c r="J31" s="15">
        <v>1</v>
      </c>
      <c r="K31" s="16">
        <v>267667</v>
      </c>
      <c r="L31" s="17">
        <v>267667</v>
      </c>
      <c r="M31" s="17">
        <v>26766.7</v>
      </c>
      <c r="N31" s="17">
        <v>294433.7</v>
      </c>
      <c r="O31" s="40">
        <v>228510</v>
      </c>
      <c r="P31" s="41" t="s">
        <v>84</v>
      </c>
      <c r="Q31" s="18">
        <v>65923.700000000012</v>
      </c>
      <c r="R31" s="33">
        <v>43895</v>
      </c>
      <c r="S31" s="34" t="s">
        <v>26</v>
      </c>
      <c r="T31" s="35"/>
      <c r="U31" s="4" t="s">
        <v>286</v>
      </c>
    </row>
    <row r="32" spans="2:21" x14ac:dyDescent="0.3">
      <c r="B32" s="9"/>
      <c r="C32" s="10"/>
      <c r="D32" s="11">
        <v>43861</v>
      </c>
      <c r="E32" s="12" t="s">
        <v>85</v>
      </c>
      <c r="F32" s="14" t="s">
        <v>87</v>
      </c>
      <c r="G32" s="13" t="s">
        <v>30</v>
      </c>
      <c r="H32" s="56" t="s">
        <v>82</v>
      </c>
      <c r="I32" s="39" t="s">
        <v>20</v>
      </c>
      <c r="J32" s="15">
        <v>1</v>
      </c>
      <c r="K32" s="16">
        <v>1020000</v>
      </c>
      <c r="L32" s="17">
        <v>1020000</v>
      </c>
      <c r="M32" s="17">
        <v>102000</v>
      </c>
      <c r="N32" s="17">
        <v>1122000</v>
      </c>
      <c r="O32" s="21">
        <v>438783.33333333331</v>
      </c>
      <c r="P32" s="41" t="s">
        <v>88</v>
      </c>
      <c r="Q32" s="18">
        <v>683216.66666666674</v>
      </c>
      <c r="R32" s="33" t="s">
        <v>36</v>
      </c>
      <c r="S32" s="34" t="s">
        <v>26</v>
      </c>
      <c r="T32" s="35"/>
    </row>
    <row r="33" spans="2:20" x14ac:dyDescent="0.3">
      <c r="B33" s="9"/>
      <c r="C33" s="10"/>
      <c r="D33" s="11">
        <v>43861</v>
      </c>
      <c r="E33" s="55" t="s">
        <v>89</v>
      </c>
      <c r="F33" s="14" t="s">
        <v>90</v>
      </c>
      <c r="G33" s="13" t="s">
        <v>30</v>
      </c>
      <c r="H33" s="56" t="s">
        <v>31</v>
      </c>
      <c r="I33" s="39" t="s">
        <v>91</v>
      </c>
      <c r="J33" s="15">
        <v>1</v>
      </c>
      <c r="K33" s="16">
        <v>284000</v>
      </c>
      <c r="L33" s="17">
        <v>284000</v>
      </c>
      <c r="M33" s="17">
        <v>28400</v>
      </c>
      <c r="N33" s="17">
        <v>312400</v>
      </c>
      <c r="O33" s="32">
        <v>258000</v>
      </c>
      <c r="P33" s="32" t="s">
        <v>41</v>
      </c>
      <c r="Q33" s="18">
        <v>54400</v>
      </c>
      <c r="R33" s="33" t="s">
        <v>80</v>
      </c>
      <c r="S33" s="34" t="s">
        <v>9</v>
      </c>
      <c r="T33" s="35"/>
    </row>
    <row r="34" spans="2:20" ht="27" x14ac:dyDescent="0.3">
      <c r="B34" s="9"/>
      <c r="C34" s="10"/>
      <c r="D34" s="70">
        <v>43861</v>
      </c>
      <c r="E34" s="72" t="s">
        <v>92</v>
      </c>
      <c r="F34" s="73" t="s">
        <v>93</v>
      </c>
      <c r="G34" s="72" t="s">
        <v>30</v>
      </c>
      <c r="H34" s="74" t="s">
        <v>82</v>
      </c>
      <c r="I34" s="88" t="s">
        <v>94</v>
      </c>
      <c r="J34" s="75">
        <v>1</v>
      </c>
      <c r="K34" s="76">
        <v>636000</v>
      </c>
      <c r="L34" s="77">
        <v>636000</v>
      </c>
      <c r="M34" s="77">
        <v>63600</v>
      </c>
      <c r="N34" s="77">
        <v>699600</v>
      </c>
      <c r="O34" s="89">
        <v>552000</v>
      </c>
      <c r="P34" s="89" t="s">
        <v>95</v>
      </c>
      <c r="Q34" s="77">
        <v>147600</v>
      </c>
      <c r="R34" s="90">
        <v>43905</v>
      </c>
      <c r="S34" s="91" t="s">
        <v>9</v>
      </c>
      <c r="T34" s="92"/>
    </row>
    <row r="35" spans="2:20" x14ac:dyDescent="0.3">
      <c r="B35" s="9"/>
      <c r="C35" s="10"/>
      <c r="D35" s="84">
        <v>43862</v>
      </c>
      <c r="E35" s="63" t="s">
        <v>96</v>
      </c>
      <c r="F35" s="14" t="s">
        <v>97</v>
      </c>
      <c r="G35" s="13" t="s">
        <v>30</v>
      </c>
      <c r="H35" s="56" t="s">
        <v>31</v>
      </c>
      <c r="I35" s="64" t="s">
        <v>98</v>
      </c>
      <c r="J35" s="13">
        <v>1</v>
      </c>
      <c r="K35" s="65">
        <v>639900</v>
      </c>
      <c r="L35" s="18">
        <v>639900</v>
      </c>
      <c r="M35" s="18">
        <v>63990</v>
      </c>
      <c r="N35" s="22">
        <v>703890</v>
      </c>
      <c r="O35" s="66">
        <v>610650</v>
      </c>
      <c r="P35" s="66" t="s">
        <v>239</v>
      </c>
      <c r="Q35" s="22">
        <v>93240</v>
      </c>
      <c r="R35" s="85" t="s">
        <v>101</v>
      </c>
      <c r="S35" s="86" t="s">
        <v>9</v>
      </c>
      <c r="T35" s="87"/>
    </row>
    <row r="36" spans="2:20" x14ac:dyDescent="0.3">
      <c r="B36" s="9"/>
      <c r="C36" s="10"/>
      <c r="D36" s="42">
        <v>43862</v>
      </c>
      <c r="E36" s="12" t="s">
        <v>28</v>
      </c>
      <c r="F36" s="12" t="s">
        <v>29</v>
      </c>
      <c r="G36" s="13" t="s">
        <v>30</v>
      </c>
      <c r="H36" s="56" t="s">
        <v>31</v>
      </c>
      <c r="I36" s="31" t="s">
        <v>99</v>
      </c>
      <c r="J36" s="12">
        <v>1</v>
      </c>
      <c r="K36" s="44">
        <v>421400</v>
      </c>
      <c r="L36" s="17">
        <v>421400</v>
      </c>
      <c r="M36" s="17">
        <v>42140</v>
      </c>
      <c r="N36" s="28">
        <v>463540</v>
      </c>
      <c r="O36" s="32">
        <v>411400</v>
      </c>
      <c r="P36" s="32" t="s">
        <v>240</v>
      </c>
      <c r="Q36" s="22">
        <v>52140</v>
      </c>
      <c r="R36" s="23" t="s">
        <v>36</v>
      </c>
      <c r="S36" s="43" t="s">
        <v>26</v>
      </c>
      <c r="T36" s="24"/>
    </row>
    <row r="37" spans="2:20" x14ac:dyDescent="0.3">
      <c r="B37" s="9"/>
      <c r="C37" s="10"/>
      <c r="D37" s="42">
        <v>43862</v>
      </c>
      <c r="E37" s="30" t="s">
        <v>42</v>
      </c>
      <c r="F37" s="12" t="s">
        <v>100</v>
      </c>
      <c r="G37" s="13" t="s">
        <v>30</v>
      </c>
      <c r="H37" s="56" t="s">
        <v>31</v>
      </c>
      <c r="I37" s="31" t="s">
        <v>99</v>
      </c>
      <c r="J37" s="12">
        <v>1</v>
      </c>
      <c r="K37" s="16">
        <v>2950000</v>
      </c>
      <c r="L37" s="17">
        <v>2950000</v>
      </c>
      <c r="M37" s="17">
        <v>295000</v>
      </c>
      <c r="N37" s="28">
        <v>3245000</v>
      </c>
      <c r="O37" s="32">
        <v>2044000</v>
      </c>
      <c r="P37" s="32" t="s">
        <v>241</v>
      </c>
      <c r="Q37" s="22">
        <v>1201000</v>
      </c>
      <c r="R37" s="23" t="s">
        <v>36</v>
      </c>
      <c r="S37" s="45" t="s">
        <v>26</v>
      </c>
      <c r="T37" s="24"/>
    </row>
    <row r="38" spans="2:20" ht="40.5" x14ac:dyDescent="0.3">
      <c r="B38" s="9"/>
      <c r="C38" s="10"/>
      <c r="D38" s="42">
        <v>43862</v>
      </c>
      <c r="E38" s="12" t="s">
        <v>102</v>
      </c>
      <c r="F38" s="12" t="s">
        <v>103</v>
      </c>
      <c r="G38" s="13" t="s">
        <v>30</v>
      </c>
      <c r="H38" s="56" t="s">
        <v>31</v>
      </c>
      <c r="I38" s="31" t="s">
        <v>104</v>
      </c>
      <c r="J38" s="12">
        <v>1</v>
      </c>
      <c r="K38" s="16">
        <v>889000</v>
      </c>
      <c r="L38" s="17">
        <v>889000</v>
      </c>
      <c r="M38" s="17">
        <v>88900</v>
      </c>
      <c r="N38" s="28">
        <v>977900</v>
      </c>
      <c r="O38" s="32">
        <v>740300</v>
      </c>
      <c r="P38" s="32" t="s">
        <v>242</v>
      </c>
      <c r="Q38" s="22">
        <v>237600</v>
      </c>
      <c r="R38" s="23" t="s">
        <v>36</v>
      </c>
      <c r="S38" s="43" t="s">
        <v>26</v>
      </c>
      <c r="T38" s="24"/>
    </row>
    <row r="39" spans="2:20" ht="54" x14ac:dyDescent="0.3">
      <c r="B39" s="9"/>
      <c r="C39" s="10"/>
      <c r="D39" s="42">
        <v>43862</v>
      </c>
      <c r="E39" s="12" t="s">
        <v>105</v>
      </c>
      <c r="F39" s="14" t="s">
        <v>106</v>
      </c>
      <c r="G39" s="13" t="s">
        <v>30</v>
      </c>
      <c r="H39" s="58" t="s">
        <v>39</v>
      </c>
      <c r="I39" s="31" t="s">
        <v>107</v>
      </c>
      <c r="J39" s="12">
        <v>1</v>
      </c>
      <c r="K39" s="16">
        <v>986000</v>
      </c>
      <c r="L39" s="17">
        <v>986000</v>
      </c>
      <c r="M39" s="17">
        <v>98600</v>
      </c>
      <c r="N39" s="28">
        <v>1084600</v>
      </c>
      <c r="O39" s="28">
        <v>588000</v>
      </c>
      <c r="P39" s="28" t="s">
        <v>243</v>
      </c>
      <c r="Q39" s="22">
        <v>496600</v>
      </c>
      <c r="R39" s="23" t="s">
        <v>36</v>
      </c>
      <c r="S39" s="43" t="s">
        <v>9</v>
      </c>
      <c r="T39" s="24"/>
    </row>
    <row r="40" spans="2:20" x14ac:dyDescent="0.3">
      <c r="B40" s="9"/>
      <c r="C40" s="10"/>
      <c r="D40" s="11">
        <v>43864</v>
      </c>
      <c r="E40" s="12" t="s">
        <v>108</v>
      </c>
      <c r="F40" s="14"/>
      <c r="G40" s="12" t="s">
        <v>48</v>
      </c>
      <c r="H40" s="56" t="s">
        <v>109</v>
      </c>
      <c r="I40" s="31" t="s">
        <v>110</v>
      </c>
      <c r="J40" s="12">
        <v>1</v>
      </c>
      <c r="K40" s="16">
        <v>250000</v>
      </c>
      <c r="L40" s="17">
        <v>250000</v>
      </c>
      <c r="M40" s="17">
        <v>25000</v>
      </c>
      <c r="N40" s="28">
        <v>275000</v>
      </c>
      <c r="O40" s="32">
        <v>150000</v>
      </c>
      <c r="P40" s="32" t="s">
        <v>244</v>
      </c>
      <c r="Q40" s="22">
        <v>125000</v>
      </c>
      <c r="R40" s="23" t="s">
        <v>36</v>
      </c>
      <c r="S40" s="45" t="s">
        <v>9</v>
      </c>
      <c r="T40" s="24"/>
    </row>
    <row r="41" spans="2:20" x14ac:dyDescent="0.3">
      <c r="B41" s="9"/>
      <c r="C41" s="10"/>
      <c r="D41" s="11">
        <v>43866</v>
      </c>
      <c r="E41" s="12" t="s">
        <v>102</v>
      </c>
      <c r="F41" s="14" t="s">
        <v>111</v>
      </c>
      <c r="G41" s="12" t="s">
        <v>30</v>
      </c>
      <c r="H41" s="56" t="s">
        <v>31</v>
      </c>
      <c r="I41" s="31" t="s">
        <v>112</v>
      </c>
      <c r="J41" s="13">
        <v>1</v>
      </c>
      <c r="K41" s="16">
        <v>164000</v>
      </c>
      <c r="L41" s="17">
        <v>164000</v>
      </c>
      <c r="M41" s="17">
        <v>16400</v>
      </c>
      <c r="N41" s="28">
        <v>180400</v>
      </c>
      <c r="O41" s="32">
        <v>150000</v>
      </c>
      <c r="P41" s="32" t="s">
        <v>245</v>
      </c>
      <c r="Q41" s="22">
        <v>30400</v>
      </c>
      <c r="R41" s="23" t="s">
        <v>36</v>
      </c>
      <c r="S41" s="45" t="s">
        <v>9</v>
      </c>
      <c r="T41" s="24"/>
    </row>
    <row r="42" spans="2:20" ht="27" x14ac:dyDescent="0.3">
      <c r="B42" s="9"/>
      <c r="C42" s="10"/>
      <c r="D42" s="11">
        <v>43866</v>
      </c>
      <c r="E42" s="12" t="s">
        <v>108</v>
      </c>
      <c r="F42" s="14"/>
      <c r="G42" s="12" t="s">
        <v>48</v>
      </c>
      <c r="H42" s="56" t="s">
        <v>113</v>
      </c>
      <c r="I42" s="39" t="s">
        <v>114</v>
      </c>
      <c r="J42" s="15">
        <v>1</v>
      </c>
      <c r="K42" s="16">
        <v>50000</v>
      </c>
      <c r="L42" s="17">
        <v>50000</v>
      </c>
      <c r="M42" s="17">
        <v>5000</v>
      </c>
      <c r="N42" s="28">
        <v>55000</v>
      </c>
      <c r="O42" s="28"/>
      <c r="P42" s="28" t="s">
        <v>246</v>
      </c>
      <c r="Q42" s="22">
        <v>55000</v>
      </c>
      <c r="R42" s="23" t="s">
        <v>36</v>
      </c>
      <c r="S42" s="45" t="s">
        <v>9</v>
      </c>
      <c r="T42" s="24"/>
    </row>
    <row r="43" spans="2:20" x14ac:dyDescent="0.3">
      <c r="B43" s="9"/>
      <c r="C43" s="10"/>
      <c r="D43" s="11">
        <v>43866</v>
      </c>
      <c r="E43" s="12" t="s">
        <v>102</v>
      </c>
      <c r="F43" s="14" t="s">
        <v>115</v>
      </c>
      <c r="G43" s="12" t="s">
        <v>30</v>
      </c>
      <c r="H43" s="56" t="s">
        <v>31</v>
      </c>
      <c r="I43" s="39" t="s">
        <v>99</v>
      </c>
      <c r="J43" s="15">
        <v>1</v>
      </c>
      <c r="K43" s="16">
        <v>1310000</v>
      </c>
      <c r="L43" s="17">
        <v>1310000</v>
      </c>
      <c r="M43" s="17">
        <v>131000</v>
      </c>
      <c r="N43" s="28">
        <v>1441000</v>
      </c>
      <c r="O43" s="32">
        <v>291800</v>
      </c>
      <c r="P43" s="32" t="s">
        <v>247</v>
      </c>
      <c r="Q43" s="22">
        <v>1149200</v>
      </c>
      <c r="R43" s="23" t="s">
        <v>36</v>
      </c>
      <c r="S43" s="45" t="s">
        <v>26</v>
      </c>
      <c r="T43" s="24"/>
    </row>
    <row r="44" spans="2:20" x14ac:dyDescent="0.3">
      <c r="B44" s="9"/>
      <c r="C44" s="10"/>
      <c r="D44" s="11">
        <v>43879</v>
      </c>
      <c r="E44" s="12" t="s">
        <v>116</v>
      </c>
      <c r="F44" s="14"/>
      <c r="G44" s="14" t="s">
        <v>48</v>
      </c>
      <c r="H44" s="56" t="s">
        <v>117</v>
      </c>
      <c r="I44" s="39" t="s">
        <v>118</v>
      </c>
      <c r="J44" s="15">
        <v>20</v>
      </c>
      <c r="K44" s="16">
        <v>40000</v>
      </c>
      <c r="L44" s="17">
        <v>800000</v>
      </c>
      <c r="M44" s="17">
        <v>80000</v>
      </c>
      <c r="N44" s="28">
        <v>880000</v>
      </c>
      <c r="O44" s="32">
        <v>600000</v>
      </c>
      <c r="P44" s="32" t="s">
        <v>248</v>
      </c>
      <c r="Q44" s="22">
        <v>280000</v>
      </c>
      <c r="R44" s="23" t="s">
        <v>36</v>
      </c>
      <c r="S44" s="45" t="s">
        <v>9</v>
      </c>
      <c r="T44" s="24"/>
    </row>
    <row r="45" spans="2:20" x14ac:dyDescent="0.3">
      <c r="B45" s="9"/>
      <c r="C45" s="10"/>
      <c r="D45" s="11">
        <v>43880</v>
      </c>
      <c r="E45" s="12" t="s">
        <v>116</v>
      </c>
      <c r="F45" s="14"/>
      <c r="G45" s="14" t="s">
        <v>30</v>
      </c>
      <c r="H45" s="56" t="s">
        <v>86</v>
      </c>
      <c r="I45" s="39" t="s">
        <v>119</v>
      </c>
      <c r="J45" s="15">
        <v>1</v>
      </c>
      <c r="K45" s="16">
        <v>950000</v>
      </c>
      <c r="L45" s="17">
        <v>950000</v>
      </c>
      <c r="M45" s="17">
        <v>95000</v>
      </c>
      <c r="N45" s="28">
        <v>1045000</v>
      </c>
      <c r="O45" s="32">
        <v>675000</v>
      </c>
      <c r="P45" s="32" t="s">
        <v>249</v>
      </c>
      <c r="Q45" s="22">
        <v>370000</v>
      </c>
      <c r="R45" s="23" t="s">
        <v>36</v>
      </c>
      <c r="S45" s="45" t="s">
        <v>8</v>
      </c>
      <c r="T45" s="24"/>
    </row>
    <row r="46" spans="2:20" x14ac:dyDescent="0.3">
      <c r="B46" s="9"/>
      <c r="C46" s="10"/>
      <c r="D46" s="11">
        <v>43885</v>
      </c>
      <c r="E46" s="12" t="s">
        <v>121</v>
      </c>
      <c r="F46" s="14" t="s">
        <v>122</v>
      </c>
      <c r="G46" s="14" t="s">
        <v>57</v>
      </c>
      <c r="H46" s="56" t="s">
        <v>82</v>
      </c>
      <c r="I46" s="39" t="s">
        <v>123</v>
      </c>
      <c r="J46" s="15">
        <v>1</v>
      </c>
      <c r="K46" s="16">
        <v>912000</v>
      </c>
      <c r="L46" s="17">
        <v>912000</v>
      </c>
      <c r="M46" s="17">
        <v>91200</v>
      </c>
      <c r="N46" s="28">
        <v>1003200</v>
      </c>
      <c r="O46" s="32">
        <v>769827</v>
      </c>
      <c r="P46" s="32" t="s">
        <v>250</v>
      </c>
      <c r="Q46" s="22">
        <v>233373</v>
      </c>
      <c r="R46" s="23" t="s">
        <v>36</v>
      </c>
      <c r="S46" s="45" t="s">
        <v>9</v>
      </c>
      <c r="T46" s="24"/>
    </row>
    <row r="47" spans="2:20" x14ac:dyDescent="0.3">
      <c r="B47" s="9"/>
      <c r="C47" s="10"/>
      <c r="D47" s="11">
        <v>43886</v>
      </c>
      <c r="E47" s="12" t="s">
        <v>125</v>
      </c>
      <c r="F47" s="14" t="s">
        <v>126</v>
      </c>
      <c r="G47" s="14" t="s">
        <v>30</v>
      </c>
      <c r="H47" s="56" t="s">
        <v>31</v>
      </c>
      <c r="I47" s="39" t="s">
        <v>99</v>
      </c>
      <c r="J47" s="15">
        <v>1</v>
      </c>
      <c r="K47" s="16">
        <v>294000</v>
      </c>
      <c r="L47" s="17">
        <v>294000</v>
      </c>
      <c r="M47" s="17">
        <v>29400</v>
      </c>
      <c r="N47" s="28">
        <v>323400</v>
      </c>
      <c r="O47" s="32">
        <v>177000</v>
      </c>
      <c r="P47" s="32" t="s">
        <v>245</v>
      </c>
      <c r="Q47" s="22">
        <v>146400</v>
      </c>
      <c r="R47" s="23" t="s">
        <v>36</v>
      </c>
      <c r="S47" s="45" t="s">
        <v>9</v>
      </c>
      <c r="T47" s="24"/>
    </row>
    <row r="48" spans="2:20" x14ac:dyDescent="0.3">
      <c r="B48" s="9"/>
      <c r="C48" s="10"/>
      <c r="D48" s="11">
        <v>43886</v>
      </c>
      <c r="E48" s="12" t="s">
        <v>6</v>
      </c>
      <c r="F48" s="14"/>
      <c r="G48" s="14" t="s">
        <v>30</v>
      </c>
      <c r="H48" s="56" t="s">
        <v>86</v>
      </c>
      <c r="I48" s="39" t="s">
        <v>127</v>
      </c>
      <c r="J48" s="15">
        <v>1</v>
      </c>
      <c r="K48" s="16">
        <v>380000</v>
      </c>
      <c r="L48" s="17">
        <v>380000</v>
      </c>
      <c r="M48" s="17">
        <v>38000</v>
      </c>
      <c r="N48" s="28">
        <v>418000</v>
      </c>
      <c r="O48" s="32">
        <v>285000</v>
      </c>
      <c r="P48" s="32" t="s">
        <v>249</v>
      </c>
      <c r="Q48" s="22">
        <v>133000</v>
      </c>
      <c r="R48" s="23" t="s">
        <v>36</v>
      </c>
      <c r="S48" s="45" t="s">
        <v>9</v>
      </c>
      <c r="T48" s="24"/>
    </row>
    <row r="49" spans="2:20" ht="27" x14ac:dyDescent="0.3">
      <c r="B49" s="9"/>
      <c r="C49" s="10"/>
      <c r="D49" s="11">
        <v>43887</v>
      </c>
      <c r="E49" s="12" t="s">
        <v>128</v>
      </c>
      <c r="F49" s="14"/>
      <c r="G49" s="14" t="s">
        <v>48</v>
      </c>
      <c r="H49" s="56" t="s">
        <v>129</v>
      </c>
      <c r="I49" s="39" t="s">
        <v>130</v>
      </c>
      <c r="J49" s="15">
        <v>1</v>
      </c>
      <c r="K49" s="16">
        <v>4370000</v>
      </c>
      <c r="L49" s="17">
        <v>4370000</v>
      </c>
      <c r="M49" s="17">
        <v>437000</v>
      </c>
      <c r="N49" s="28">
        <v>4807000</v>
      </c>
      <c r="O49" s="32">
        <v>3936000</v>
      </c>
      <c r="P49" s="32" t="s">
        <v>251</v>
      </c>
      <c r="Q49" s="22">
        <v>871000</v>
      </c>
      <c r="R49" s="23" t="s">
        <v>36</v>
      </c>
      <c r="S49" s="45" t="s">
        <v>8</v>
      </c>
      <c r="T49" s="24"/>
    </row>
    <row r="50" spans="2:20" ht="67.5" x14ac:dyDescent="0.3">
      <c r="B50" s="9"/>
      <c r="C50" s="10"/>
      <c r="D50" s="11">
        <v>43888</v>
      </c>
      <c r="E50" s="12" t="s">
        <v>131</v>
      </c>
      <c r="F50" s="14"/>
      <c r="G50" s="14" t="s">
        <v>30</v>
      </c>
      <c r="H50" s="56" t="s">
        <v>86</v>
      </c>
      <c r="I50" s="39" t="s">
        <v>132</v>
      </c>
      <c r="J50" s="15">
        <v>1</v>
      </c>
      <c r="K50" s="16">
        <v>2284000</v>
      </c>
      <c r="L50" s="17">
        <v>2284000</v>
      </c>
      <c r="M50" s="17">
        <v>228400</v>
      </c>
      <c r="N50" s="28">
        <v>2512400</v>
      </c>
      <c r="O50" s="28">
        <v>2029273</v>
      </c>
      <c r="P50" s="28" t="s">
        <v>278</v>
      </c>
      <c r="Q50" s="22">
        <v>483127</v>
      </c>
      <c r="R50" s="23" t="s">
        <v>80</v>
      </c>
      <c r="S50" s="45" t="s">
        <v>26</v>
      </c>
      <c r="T50" s="24"/>
    </row>
    <row r="51" spans="2:20" ht="27" x14ac:dyDescent="0.3">
      <c r="B51" s="9"/>
      <c r="C51" s="10"/>
      <c r="D51" s="11">
        <v>43888</v>
      </c>
      <c r="E51" s="60" t="s">
        <v>133</v>
      </c>
      <c r="F51" s="14"/>
      <c r="G51" s="14" t="s">
        <v>48</v>
      </c>
      <c r="H51" s="56" t="s">
        <v>134</v>
      </c>
      <c r="I51" s="39" t="s">
        <v>135</v>
      </c>
      <c r="J51" s="15">
        <v>1</v>
      </c>
      <c r="K51" s="16">
        <v>1300000</v>
      </c>
      <c r="L51" s="17">
        <v>1300000</v>
      </c>
      <c r="M51" s="17">
        <v>130000</v>
      </c>
      <c r="N51" s="28">
        <v>1430000</v>
      </c>
      <c r="O51" s="32">
        <v>1164000</v>
      </c>
      <c r="P51" s="32" t="s">
        <v>252</v>
      </c>
      <c r="Q51" s="22">
        <v>266000</v>
      </c>
      <c r="R51" s="23" t="s">
        <v>136</v>
      </c>
      <c r="S51" s="45" t="s">
        <v>8</v>
      </c>
      <c r="T51" s="24"/>
    </row>
    <row r="52" spans="2:20" x14ac:dyDescent="0.3">
      <c r="B52" s="9"/>
      <c r="C52" s="10"/>
      <c r="D52" s="11">
        <v>43888</v>
      </c>
      <c r="E52" s="12" t="s">
        <v>137</v>
      </c>
      <c r="F52" s="14" t="s">
        <v>138</v>
      </c>
      <c r="G52" s="14" t="s">
        <v>57</v>
      </c>
      <c r="H52" s="56" t="s">
        <v>82</v>
      </c>
      <c r="I52" s="39" t="s">
        <v>139</v>
      </c>
      <c r="J52" s="15">
        <v>1</v>
      </c>
      <c r="K52" s="16">
        <v>472000</v>
      </c>
      <c r="L52" s="17">
        <v>472000</v>
      </c>
      <c r="M52" s="17">
        <v>47200</v>
      </c>
      <c r="N52" s="28">
        <v>519200</v>
      </c>
      <c r="O52" s="28">
        <v>362555</v>
      </c>
      <c r="P52" s="28" t="s">
        <v>45</v>
      </c>
      <c r="Q52" s="22">
        <v>156645</v>
      </c>
      <c r="R52" s="23" t="s">
        <v>36</v>
      </c>
      <c r="S52" s="45" t="s">
        <v>9</v>
      </c>
      <c r="T52" s="24"/>
    </row>
    <row r="53" spans="2:20" ht="67.5" x14ac:dyDescent="0.3">
      <c r="B53" s="9"/>
      <c r="C53" s="10"/>
      <c r="D53" s="11">
        <v>43889</v>
      </c>
      <c r="E53" s="12" t="s">
        <v>140</v>
      </c>
      <c r="F53" s="14"/>
      <c r="G53" s="14" t="s">
        <v>30</v>
      </c>
      <c r="H53" s="56" t="s">
        <v>86</v>
      </c>
      <c r="I53" s="39" t="s">
        <v>132</v>
      </c>
      <c r="J53" s="15">
        <v>1</v>
      </c>
      <c r="K53" s="16">
        <v>1113000</v>
      </c>
      <c r="L53" s="17">
        <v>1113000</v>
      </c>
      <c r="M53" s="17">
        <v>111300</v>
      </c>
      <c r="N53" s="28">
        <v>1224300</v>
      </c>
      <c r="O53" s="32">
        <v>570000</v>
      </c>
      <c r="P53" s="32" t="s">
        <v>253</v>
      </c>
      <c r="Q53" s="22">
        <v>654300</v>
      </c>
      <c r="R53" s="23">
        <v>43910</v>
      </c>
      <c r="S53" s="45" t="s">
        <v>9</v>
      </c>
      <c r="T53" s="24"/>
    </row>
    <row r="54" spans="2:20" x14ac:dyDescent="0.3">
      <c r="B54" s="9"/>
      <c r="C54" s="10"/>
      <c r="D54" s="11">
        <v>43889</v>
      </c>
      <c r="E54" s="12" t="s">
        <v>12</v>
      </c>
      <c r="F54" s="14"/>
      <c r="G54" s="14" t="s">
        <v>30</v>
      </c>
      <c r="H54" s="56" t="s">
        <v>82</v>
      </c>
      <c r="I54" s="39" t="s">
        <v>141</v>
      </c>
      <c r="J54" s="15">
        <v>1</v>
      </c>
      <c r="K54" s="16">
        <v>165000</v>
      </c>
      <c r="L54" s="17">
        <v>165000</v>
      </c>
      <c r="M54" s="17">
        <v>16500</v>
      </c>
      <c r="N54" s="28">
        <v>181500</v>
      </c>
      <c r="O54" s="32">
        <v>151200</v>
      </c>
      <c r="P54" s="32" t="s">
        <v>254</v>
      </c>
      <c r="Q54" s="22">
        <v>30300</v>
      </c>
      <c r="R54" s="23" t="s">
        <v>36</v>
      </c>
      <c r="S54" s="45" t="s">
        <v>9</v>
      </c>
      <c r="T54" s="24"/>
    </row>
    <row r="55" spans="2:20" x14ac:dyDescent="0.3">
      <c r="B55" s="9"/>
      <c r="C55" s="10"/>
      <c r="D55" s="11">
        <v>43889</v>
      </c>
      <c r="E55" s="12" t="s">
        <v>142</v>
      </c>
      <c r="F55" s="14" t="s">
        <v>143</v>
      </c>
      <c r="G55" s="14" t="s">
        <v>30</v>
      </c>
      <c r="H55" s="56" t="s">
        <v>86</v>
      </c>
      <c r="I55" s="39" t="s">
        <v>144</v>
      </c>
      <c r="J55" s="15">
        <v>1</v>
      </c>
      <c r="K55" s="16">
        <v>320000</v>
      </c>
      <c r="L55" s="17">
        <v>320000</v>
      </c>
      <c r="M55" s="17">
        <v>32000</v>
      </c>
      <c r="N55" s="28">
        <v>352000</v>
      </c>
      <c r="O55" s="28"/>
      <c r="P55" s="28"/>
      <c r="Q55" s="22">
        <v>352000</v>
      </c>
      <c r="R55" s="23" t="s">
        <v>36</v>
      </c>
      <c r="S55" s="45" t="s">
        <v>9</v>
      </c>
      <c r="T55" s="24"/>
    </row>
    <row r="56" spans="2:20" ht="27" x14ac:dyDescent="0.3">
      <c r="B56" s="9"/>
      <c r="C56" s="10"/>
      <c r="D56" s="11">
        <v>43889</v>
      </c>
      <c r="E56" s="12" t="s">
        <v>145</v>
      </c>
      <c r="F56" s="14" t="s">
        <v>146</v>
      </c>
      <c r="G56" s="14" t="s">
        <v>30</v>
      </c>
      <c r="H56" s="56" t="s">
        <v>82</v>
      </c>
      <c r="I56" s="39" t="s">
        <v>147</v>
      </c>
      <c r="J56" s="15">
        <v>1</v>
      </c>
      <c r="K56" s="16">
        <v>304000</v>
      </c>
      <c r="L56" s="17">
        <v>304000</v>
      </c>
      <c r="M56" s="17">
        <v>30400</v>
      </c>
      <c r="N56" s="28">
        <v>334400</v>
      </c>
      <c r="O56" s="32">
        <v>260280</v>
      </c>
      <c r="P56" s="32" t="s">
        <v>254</v>
      </c>
      <c r="Q56" s="22">
        <v>74120</v>
      </c>
      <c r="R56" s="23" t="s">
        <v>36</v>
      </c>
      <c r="S56" s="45" t="s">
        <v>9</v>
      </c>
      <c r="T56" s="24"/>
    </row>
    <row r="57" spans="2:20" x14ac:dyDescent="0.3">
      <c r="B57" s="9"/>
      <c r="C57" s="10"/>
      <c r="D57" s="11">
        <v>43889</v>
      </c>
      <c r="E57" s="12" t="s">
        <v>148</v>
      </c>
      <c r="F57" s="14" t="s">
        <v>149</v>
      </c>
      <c r="G57" s="14" t="s">
        <v>30</v>
      </c>
      <c r="H57" s="56" t="s">
        <v>86</v>
      </c>
      <c r="I57" s="39" t="s">
        <v>150</v>
      </c>
      <c r="J57" s="15">
        <v>1</v>
      </c>
      <c r="K57" s="16">
        <v>66250</v>
      </c>
      <c r="L57" s="17">
        <v>66250</v>
      </c>
      <c r="M57" s="17">
        <v>6625</v>
      </c>
      <c r="N57" s="28">
        <v>72875</v>
      </c>
      <c r="O57" s="32">
        <v>62000</v>
      </c>
      <c r="P57" s="32" t="s">
        <v>255</v>
      </c>
      <c r="Q57" s="22">
        <v>10875</v>
      </c>
      <c r="R57" s="23" t="s">
        <v>36</v>
      </c>
      <c r="S57" s="45" t="s">
        <v>9</v>
      </c>
      <c r="T57" s="24"/>
    </row>
    <row r="58" spans="2:20" x14ac:dyDescent="0.3">
      <c r="B58" s="9"/>
      <c r="C58" s="10"/>
      <c r="D58" s="11">
        <v>43889</v>
      </c>
      <c r="E58" s="12" t="s">
        <v>148</v>
      </c>
      <c r="F58" s="14" t="s">
        <v>151</v>
      </c>
      <c r="G58" s="14" t="s">
        <v>30</v>
      </c>
      <c r="H58" s="56" t="s">
        <v>31</v>
      </c>
      <c r="I58" s="39" t="s">
        <v>104</v>
      </c>
      <c r="J58" s="15">
        <v>1</v>
      </c>
      <c r="K58" s="16">
        <v>140000</v>
      </c>
      <c r="L58" s="17">
        <v>140000</v>
      </c>
      <c r="M58" s="17">
        <v>14000</v>
      </c>
      <c r="N58" s="28">
        <v>154000</v>
      </c>
      <c r="O58" s="32">
        <v>121000</v>
      </c>
      <c r="P58" s="32" t="s">
        <v>256</v>
      </c>
      <c r="Q58" s="22">
        <v>33000</v>
      </c>
      <c r="R58" s="23" t="s">
        <v>101</v>
      </c>
      <c r="S58" s="45" t="s">
        <v>9</v>
      </c>
      <c r="T58" s="24"/>
    </row>
    <row r="59" spans="2:20" x14ac:dyDescent="0.3">
      <c r="B59" s="9"/>
      <c r="C59" s="10"/>
      <c r="D59" s="11">
        <v>43889</v>
      </c>
      <c r="E59" s="12" t="s">
        <v>152</v>
      </c>
      <c r="F59" s="14" t="s">
        <v>153</v>
      </c>
      <c r="G59" s="14" t="s">
        <v>30</v>
      </c>
      <c r="H59" s="56" t="s">
        <v>31</v>
      </c>
      <c r="I59" s="39" t="s">
        <v>104</v>
      </c>
      <c r="J59" s="15">
        <v>1</v>
      </c>
      <c r="K59" s="16">
        <v>2441800</v>
      </c>
      <c r="L59" s="17">
        <v>2441800</v>
      </c>
      <c r="M59" s="17">
        <v>244180</v>
      </c>
      <c r="N59" s="28">
        <v>2685980</v>
      </c>
      <c r="O59" s="32">
        <v>2301500</v>
      </c>
      <c r="P59" s="32" t="s">
        <v>257</v>
      </c>
      <c r="Q59" s="22">
        <v>384480</v>
      </c>
      <c r="R59" s="23" t="s">
        <v>101</v>
      </c>
      <c r="S59" s="45" t="s">
        <v>9</v>
      </c>
      <c r="T59" s="24"/>
    </row>
    <row r="60" spans="2:20" x14ac:dyDescent="0.3">
      <c r="B60" s="9"/>
      <c r="C60" s="10"/>
      <c r="D60" s="11">
        <v>43889</v>
      </c>
      <c r="E60" s="12" t="s">
        <v>152</v>
      </c>
      <c r="F60" s="14" t="s">
        <v>153</v>
      </c>
      <c r="G60" s="14" t="s">
        <v>30</v>
      </c>
      <c r="H60" s="56" t="s">
        <v>31</v>
      </c>
      <c r="I60" s="39" t="s">
        <v>154</v>
      </c>
      <c r="J60" s="15">
        <v>1</v>
      </c>
      <c r="K60" s="16">
        <v>850000</v>
      </c>
      <c r="L60" s="17">
        <v>850000</v>
      </c>
      <c r="M60" s="17">
        <v>85000</v>
      </c>
      <c r="N60" s="28">
        <v>935000</v>
      </c>
      <c r="O60" s="32">
        <v>786900</v>
      </c>
      <c r="P60" s="32" t="s">
        <v>258</v>
      </c>
      <c r="Q60" s="22">
        <v>148100</v>
      </c>
      <c r="R60" s="23" t="s">
        <v>101</v>
      </c>
      <c r="S60" s="45" t="s">
        <v>9</v>
      </c>
      <c r="T60" s="24"/>
    </row>
    <row r="61" spans="2:20" x14ac:dyDescent="0.3">
      <c r="B61" s="9"/>
      <c r="C61" s="10"/>
      <c r="D61" s="11">
        <v>43889</v>
      </c>
      <c r="E61" s="12" t="s">
        <v>89</v>
      </c>
      <c r="F61" s="14" t="s">
        <v>90</v>
      </c>
      <c r="G61" s="14" t="s">
        <v>30</v>
      </c>
      <c r="H61" s="56" t="s">
        <v>31</v>
      </c>
      <c r="I61" s="39" t="s">
        <v>144</v>
      </c>
      <c r="J61" s="15">
        <v>1</v>
      </c>
      <c r="K61" s="16">
        <v>284000</v>
      </c>
      <c r="L61" s="17">
        <v>284000</v>
      </c>
      <c r="M61" s="17">
        <v>28400</v>
      </c>
      <c r="N61" s="28">
        <v>312400</v>
      </c>
      <c r="O61" s="32">
        <v>258000</v>
      </c>
      <c r="P61" s="32" t="s">
        <v>245</v>
      </c>
      <c r="Q61" s="22">
        <v>54400</v>
      </c>
      <c r="R61" s="23" t="s">
        <v>36</v>
      </c>
      <c r="S61" s="45" t="s">
        <v>9</v>
      </c>
      <c r="T61" s="24"/>
    </row>
    <row r="62" spans="2:20" x14ac:dyDescent="0.3">
      <c r="B62" s="9"/>
      <c r="C62" s="10"/>
      <c r="D62" s="11">
        <v>43889</v>
      </c>
      <c r="E62" s="12" t="s">
        <v>155</v>
      </c>
      <c r="F62" s="14" t="s">
        <v>156</v>
      </c>
      <c r="G62" s="14" t="s">
        <v>30</v>
      </c>
      <c r="H62" s="56" t="s">
        <v>31</v>
      </c>
      <c r="I62" s="39" t="s">
        <v>147</v>
      </c>
      <c r="J62" s="15">
        <v>1</v>
      </c>
      <c r="K62" s="16">
        <v>248000</v>
      </c>
      <c r="L62" s="17">
        <v>248000</v>
      </c>
      <c r="M62" s="17">
        <v>24800</v>
      </c>
      <c r="N62" s="28">
        <v>272800</v>
      </c>
      <c r="O62" s="32">
        <v>220000</v>
      </c>
      <c r="P62" s="32" t="s">
        <v>245</v>
      </c>
      <c r="Q62" s="22">
        <v>52800</v>
      </c>
      <c r="R62" s="23" t="s">
        <v>36</v>
      </c>
      <c r="S62" s="45" t="s">
        <v>9</v>
      </c>
      <c r="T62" s="24"/>
    </row>
    <row r="63" spans="2:20" ht="40.5" x14ac:dyDescent="0.3">
      <c r="B63" s="9"/>
      <c r="C63" s="10"/>
      <c r="D63" s="11">
        <v>43889</v>
      </c>
      <c r="E63" s="12" t="s">
        <v>157</v>
      </c>
      <c r="F63" s="14" t="s">
        <v>158</v>
      </c>
      <c r="G63" s="14" t="s">
        <v>30</v>
      </c>
      <c r="H63" s="56" t="s">
        <v>86</v>
      </c>
      <c r="I63" s="39" t="s">
        <v>99</v>
      </c>
      <c r="J63" s="15">
        <v>1</v>
      </c>
      <c r="K63" s="16">
        <v>640000</v>
      </c>
      <c r="L63" s="17">
        <v>640000</v>
      </c>
      <c r="M63" s="17">
        <v>64000</v>
      </c>
      <c r="N63" s="28">
        <v>704000</v>
      </c>
      <c r="O63" s="32">
        <v>250000</v>
      </c>
      <c r="P63" s="32" t="s">
        <v>259</v>
      </c>
      <c r="Q63" s="22">
        <v>454000</v>
      </c>
      <c r="R63" s="23" t="s">
        <v>36</v>
      </c>
      <c r="S63" s="45" t="s">
        <v>9</v>
      </c>
      <c r="T63" s="24"/>
    </row>
    <row r="64" spans="2:20" x14ac:dyDescent="0.3">
      <c r="B64" s="9"/>
      <c r="C64" s="10"/>
      <c r="D64" s="11">
        <v>43889</v>
      </c>
      <c r="E64" s="12" t="s">
        <v>159</v>
      </c>
      <c r="F64" s="14" t="s">
        <v>160</v>
      </c>
      <c r="G64" s="14" t="s">
        <v>30</v>
      </c>
      <c r="H64" s="56" t="s">
        <v>31</v>
      </c>
      <c r="I64" s="39" t="s">
        <v>147</v>
      </c>
      <c r="J64" s="15">
        <v>1</v>
      </c>
      <c r="K64" s="16">
        <v>967000</v>
      </c>
      <c r="L64" s="17">
        <v>967000</v>
      </c>
      <c r="M64" s="17">
        <v>96700</v>
      </c>
      <c r="N64" s="28">
        <v>1063700</v>
      </c>
      <c r="O64" s="32">
        <v>596666</v>
      </c>
      <c r="P64" s="32" t="s">
        <v>260</v>
      </c>
      <c r="Q64" s="22">
        <v>467034</v>
      </c>
      <c r="R64" s="23" t="s">
        <v>36</v>
      </c>
      <c r="S64" s="45" t="s">
        <v>9</v>
      </c>
      <c r="T64" s="24"/>
    </row>
    <row r="65" spans="2:20" x14ac:dyDescent="0.3">
      <c r="B65" s="9"/>
      <c r="C65" s="10"/>
      <c r="D65" s="11">
        <v>43889</v>
      </c>
      <c r="E65" s="12" t="s">
        <v>161</v>
      </c>
      <c r="F65" s="14" t="s">
        <v>162</v>
      </c>
      <c r="G65" s="14" t="s">
        <v>30</v>
      </c>
      <c r="H65" s="56" t="s">
        <v>31</v>
      </c>
      <c r="I65" s="39" t="s">
        <v>163</v>
      </c>
      <c r="J65" s="15">
        <v>1</v>
      </c>
      <c r="K65" s="16">
        <v>506000</v>
      </c>
      <c r="L65" s="17">
        <v>506000</v>
      </c>
      <c r="M65" s="17">
        <v>50600</v>
      </c>
      <c r="N65" s="28">
        <v>556600</v>
      </c>
      <c r="O65" s="32">
        <v>456000</v>
      </c>
      <c r="P65" s="32" t="s">
        <v>261</v>
      </c>
      <c r="Q65" s="22">
        <v>100600</v>
      </c>
      <c r="R65" s="23" t="s">
        <v>36</v>
      </c>
      <c r="S65" s="45" t="s">
        <v>9</v>
      </c>
      <c r="T65" s="24"/>
    </row>
    <row r="66" spans="2:20" ht="27" x14ac:dyDescent="0.3">
      <c r="B66" s="9"/>
      <c r="C66" s="10"/>
      <c r="D66" s="11">
        <v>43889</v>
      </c>
      <c r="E66" s="12" t="s">
        <v>102</v>
      </c>
      <c r="F66" s="14" t="s">
        <v>164</v>
      </c>
      <c r="G66" s="14" t="s">
        <v>30</v>
      </c>
      <c r="H66" s="56" t="s">
        <v>86</v>
      </c>
      <c r="I66" s="39" t="s">
        <v>165</v>
      </c>
      <c r="J66" s="15">
        <v>1</v>
      </c>
      <c r="K66" s="16">
        <v>370000</v>
      </c>
      <c r="L66" s="17">
        <v>370000</v>
      </c>
      <c r="M66" s="17">
        <v>37000</v>
      </c>
      <c r="N66" s="28">
        <v>407000</v>
      </c>
      <c r="O66" s="32">
        <v>170000</v>
      </c>
      <c r="P66" s="32" t="s">
        <v>262</v>
      </c>
      <c r="Q66" s="22">
        <v>237000</v>
      </c>
      <c r="R66" s="23" t="s">
        <v>36</v>
      </c>
      <c r="S66" s="45" t="s">
        <v>9</v>
      </c>
      <c r="T66" s="24"/>
    </row>
    <row r="67" spans="2:20" ht="40.5" x14ac:dyDescent="0.3">
      <c r="B67" s="9"/>
      <c r="C67" s="10"/>
      <c r="D67" s="11">
        <v>43889</v>
      </c>
      <c r="E67" s="12" t="s">
        <v>166</v>
      </c>
      <c r="F67" s="14" t="s">
        <v>167</v>
      </c>
      <c r="G67" s="14" t="s">
        <v>30</v>
      </c>
      <c r="H67" s="56" t="s">
        <v>86</v>
      </c>
      <c r="I67" s="39" t="s">
        <v>168</v>
      </c>
      <c r="J67" s="15">
        <v>1</v>
      </c>
      <c r="K67" s="16">
        <v>1826000</v>
      </c>
      <c r="L67" s="17">
        <v>1826000</v>
      </c>
      <c r="M67" s="17">
        <v>182600</v>
      </c>
      <c r="N67" s="28">
        <v>2008600</v>
      </c>
      <c r="O67" s="28">
        <v>1600200</v>
      </c>
      <c r="P67" s="28" t="s">
        <v>263</v>
      </c>
      <c r="Q67" s="22">
        <v>408400</v>
      </c>
      <c r="R67" s="23" t="s">
        <v>36</v>
      </c>
      <c r="S67" s="45" t="s">
        <v>9</v>
      </c>
      <c r="T67" s="24"/>
    </row>
    <row r="68" spans="2:20" ht="27" x14ac:dyDescent="0.3">
      <c r="B68" s="9"/>
      <c r="C68" s="10"/>
      <c r="D68" s="11">
        <v>43889</v>
      </c>
      <c r="E68" s="12" t="s">
        <v>169</v>
      </c>
      <c r="F68" s="14" t="s">
        <v>170</v>
      </c>
      <c r="G68" s="14" t="s">
        <v>30</v>
      </c>
      <c r="H68" s="56" t="s">
        <v>86</v>
      </c>
      <c r="I68" s="39" t="s">
        <v>171</v>
      </c>
      <c r="J68" s="15">
        <v>1</v>
      </c>
      <c r="K68" s="16">
        <v>784500</v>
      </c>
      <c r="L68" s="17">
        <v>784500</v>
      </c>
      <c r="M68" s="17">
        <v>78450</v>
      </c>
      <c r="N68" s="28">
        <v>862950</v>
      </c>
      <c r="O68" s="32">
        <v>713150</v>
      </c>
      <c r="P68" s="32" t="s">
        <v>245</v>
      </c>
      <c r="Q68" s="22">
        <v>149800</v>
      </c>
      <c r="R68" s="23" t="s">
        <v>36</v>
      </c>
      <c r="S68" s="45" t="s">
        <v>9</v>
      </c>
      <c r="T68" s="24"/>
    </row>
    <row r="69" spans="2:20" x14ac:dyDescent="0.3">
      <c r="B69" s="9"/>
      <c r="C69" s="10"/>
      <c r="D69" s="11">
        <v>43889</v>
      </c>
      <c r="E69" s="12" t="s">
        <v>172</v>
      </c>
      <c r="F69" s="14" t="s">
        <v>173</v>
      </c>
      <c r="G69" s="14" t="s">
        <v>30</v>
      </c>
      <c r="H69" s="56" t="s">
        <v>31</v>
      </c>
      <c r="I69" s="39" t="s">
        <v>99</v>
      </c>
      <c r="J69" s="15">
        <v>1</v>
      </c>
      <c r="K69" s="16">
        <v>748000</v>
      </c>
      <c r="L69" s="17">
        <v>748000</v>
      </c>
      <c r="M69" s="17">
        <v>74800</v>
      </c>
      <c r="N69" s="28">
        <v>822800</v>
      </c>
      <c r="O69" s="32">
        <v>712600</v>
      </c>
      <c r="P69" s="32" t="s">
        <v>264</v>
      </c>
      <c r="Q69" s="22">
        <v>110200</v>
      </c>
      <c r="R69" s="23" t="s">
        <v>36</v>
      </c>
      <c r="S69" s="45" t="s">
        <v>9</v>
      </c>
      <c r="T69" s="24"/>
    </row>
    <row r="70" spans="2:20" x14ac:dyDescent="0.3">
      <c r="B70" s="9"/>
      <c r="C70" s="10"/>
      <c r="D70" s="11">
        <v>43889</v>
      </c>
      <c r="E70" s="12" t="s">
        <v>172</v>
      </c>
      <c r="F70" s="14" t="s">
        <v>174</v>
      </c>
      <c r="G70" s="14" t="s">
        <v>30</v>
      </c>
      <c r="H70" s="56" t="s">
        <v>31</v>
      </c>
      <c r="I70" s="39" t="s">
        <v>163</v>
      </c>
      <c r="J70" s="15">
        <v>1</v>
      </c>
      <c r="K70" s="16">
        <v>166000</v>
      </c>
      <c r="L70" s="17">
        <v>166000</v>
      </c>
      <c r="M70" s="17">
        <v>16600</v>
      </c>
      <c r="N70" s="28">
        <v>182600</v>
      </c>
      <c r="O70" s="32">
        <v>152000</v>
      </c>
      <c r="P70" s="32" t="s">
        <v>265</v>
      </c>
      <c r="Q70" s="22">
        <v>30600</v>
      </c>
      <c r="R70" s="23" t="s">
        <v>36</v>
      </c>
      <c r="S70" s="45" t="s">
        <v>9</v>
      </c>
      <c r="T70" s="24"/>
    </row>
    <row r="71" spans="2:20" x14ac:dyDescent="0.3">
      <c r="B71" s="9"/>
      <c r="C71" s="10"/>
      <c r="D71" s="11">
        <v>43889</v>
      </c>
      <c r="E71" s="12" t="s">
        <v>172</v>
      </c>
      <c r="F71" s="14" t="s">
        <v>175</v>
      </c>
      <c r="G71" s="14" t="s">
        <v>30</v>
      </c>
      <c r="H71" s="56" t="s">
        <v>31</v>
      </c>
      <c r="I71" s="39" t="s">
        <v>163</v>
      </c>
      <c r="J71" s="15">
        <v>1</v>
      </c>
      <c r="K71" s="16">
        <v>460000</v>
      </c>
      <c r="L71" s="17">
        <v>460000</v>
      </c>
      <c r="M71" s="17">
        <v>46000</v>
      </c>
      <c r="N71" s="28">
        <v>506000</v>
      </c>
      <c r="O71" s="32">
        <v>420000</v>
      </c>
      <c r="P71" s="32" t="s">
        <v>266</v>
      </c>
      <c r="Q71" s="22">
        <v>86000</v>
      </c>
      <c r="R71" s="23" t="s">
        <v>36</v>
      </c>
      <c r="S71" s="45" t="s">
        <v>9</v>
      </c>
      <c r="T71" s="24"/>
    </row>
    <row r="72" spans="2:20" x14ac:dyDescent="0.3">
      <c r="B72" s="9"/>
      <c r="C72" s="10"/>
      <c r="D72" s="11">
        <v>43889</v>
      </c>
      <c r="E72" s="12" t="s">
        <v>172</v>
      </c>
      <c r="F72" s="14" t="s">
        <v>176</v>
      </c>
      <c r="G72" s="14" t="s">
        <v>30</v>
      </c>
      <c r="H72" s="56" t="s">
        <v>31</v>
      </c>
      <c r="I72" s="39" t="s">
        <v>163</v>
      </c>
      <c r="J72" s="15">
        <v>1</v>
      </c>
      <c r="K72" s="16">
        <v>278000</v>
      </c>
      <c r="L72" s="17">
        <v>278000</v>
      </c>
      <c r="M72" s="17">
        <v>27800</v>
      </c>
      <c r="N72" s="28">
        <v>305800</v>
      </c>
      <c r="O72" s="32">
        <v>253000</v>
      </c>
      <c r="P72" s="32" t="s">
        <v>267</v>
      </c>
      <c r="Q72" s="22">
        <v>52800</v>
      </c>
      <c r="R72" s="23" t="s">
        <v>36</v>
      </c>
      <c r="S72" s="45" t="s">
        <v>9</v>
      </c>
      <c r="T72" s="24"/>
    </row>
    <row r="73" spans="2:20" x14ac:dyDescent="0.3">
      <c r="B73" s="9"/>
      <c r="C73" s="10"/>
      <c r="D73" s="11">
        <v>43889</v>
      </c>
      <c r="E73" s="12" t="s">
        <v>172</v>
      </c>
      <c r="F73" s="14" t="s">
        <v>177</v>
      </c>
      <c r="G73" s="14" t="s">
        <v>30</v>
      </c>
      <c r="H73" s="56" t="s">
        <v>31</v>
      </c>
      <c r="I73" s="39" t="s">
        <v>165</v>
      </c>
      <c r="J73" s="15">
        <v>1</v>
      </c>
      <c r="K73" s="16">
        <v>363000</v>
      </c>
      <c r="L73" s="17">
        <v>363000</v>
      </c>
      <c r="M73" s="17">
        <v>36300</v>
      </c>
      <c r="N73" s="28">
        <v>399300</v>
      </c>
      <c r="O73" s="32">
        <v>330000</v>
      </c>
      <c r="P73" s="32" t="s">
        <v>268</v>
      </c>
      <c r="Q73" s="22">
        <v>69300</v>
      </c>
      <c r="R73" s="23" t="s">
        <v>36</v>
      </c>
      <c r="S73" s="45" t="s">
        <v>9</v>
      </c>
      <c r="T73" s="24"/>
    </row>
    <row r="74" spans="2:20" x14ac:dyDescent="0.3">
      <c r="B74" s="9"/>
      <c r="C74" s="10"/>
      <c r="D74" s="11">
        <v>43889</v>
      </c>
      <c r="E74" s="12" t="s">
        <v>178</v>
      </c>
      <c r="F74" s="14" t="s">
        <v>179</v>
      </c>
      <c r="G74" s="14" t="s">
        <v>30</v>
      </c>
      <c r="H74" s="56" t="s">
        <v>82</v>
      </c>
      <c r="I74" s="39" t="s">
        <v>163</v>
      </c>
      <c r="J74" s="15">
        <v>1</v>
      </c>
      <c r="K74" s="16">
        <v>1115000</v>
      </c>
      <c r="L74" s="17">
        <v>1115000</v>
      </c>
      <c r="M74" s="17">
        <v>111500</v>
      </c>
      <c r="N74" s="28">
        <v>1226500</v>
      </c>
      <c r="O74" s="32">
        <v>681600</v>
      </c>
      <c r="P74" s="32" t="s">
        <v>254</v>
      </c>
      <c r="Q74" s="22">
        <v>544900</v>
      </c>
      <c r="R74" s="23" t="s">
        <v>36</v>
      </c>
      <c r="S74" s="45" t="s">
        <v>9</v>
      </c>
      <c r="T74" s="24"/>
    </row>
    <row r="75" spans="2:20" ht="94.5" x14ac:dyDescent="0.3">
      <c r="B75" s="9"/>
      <c r="C75" s="10"/>
      <c r="D75" s="11">
        <v>43889</v>
      </c>
      <c r="E75" s="12" t="s">
        <v>180</v>
      </c>
      <c r="F75" s="14"/>
      <c r="G75" s="14" t="s">
        <v>30</v>
      </c>
      <c r="H75" s="56" t="s">
        <v>86</v>
      </c>
      <c r="I75" s="39" t="s">
        <v>120</v>
      </c>
      <c r="J75" s="15">
        <v>1</v>
      </c>
      <c r="K75" s="16">
        <v>12336000</v>
      </c>
      <c r="L75" s="17">
        <v>12336000</v>
      </c>
      <c r="M75" s="17">
        <v>1233600</v>
      </c>
      <c r="N75" s="28">
        <v>13569600</v>
      </c>
      <c r="O75" s="32">
        <v>5209332</v>
      </c>
      <c r="P75" s="32" t="s">
        <v>269</v>
      </c>
      <c r="Q75" s="22">
        <v>8360268</v>
      </c>
      <c r="R75" s="23" t="s">
        <v>101</v>
      </c>
      <c r="S75" s="45" t="s">
        <v>8</v>
      </c>
      <c r="T75" s="24"/>
    </row>
    <row r="76" spans="2:20" x14ac:dyDescent="0.3">
      <c r="B76" s="9"/>
      <c r="C76" s="10"/>
      <c r="D76" s="11">
        <v>43889</v>
      </c>
      <c r="E76" s="12" t="s">
        <v>145</v>
      </c>
      <c r="F76" s="14" t="s">
        <v>181</v>
      </c>
      <c r="G76" s="14" t="s">
        <v>30</v>
      </c>
      <c r="H76" s="56" t="s">
        <v>82</v>
      </c>
      <c r="I76" s="39" t="s">
        <v>99</v>
      </c>
      <c r="J76" s="15">
        <v>1</v>
      </c>
      <c r="K76" s="16">
        <v>4442500</v>
      </c>
      <c r="L76" s="17">
        <v>4442500</v>
      </c>
      <c r="M76" s="17">
        <v>444250</v>
      </c>
      <c r="N76" s="28">
        <v>4886750</v>
      </c>
      <c r="O76" s="28">
        <v>2889005</v>
      </c>
      <c r="P76" s="28" t="s">
        <v>270</v>
      </c>
      <c r="Q76" s="22">
        <v>1997745</v>
      </c>
      <c r="R76" s="23" t="s">
        <v>36</v>
      </c>
      <c r="S76" s="45" t="s">
        <v>9</v>
      </c>
      <c r="T76" s="24"/>
    </row>
    <row r="77" spans="2:20" x14ac:dyDescent="0.3">
      <c r="B77" s="9"/>
      <c r="C77" s="10"/>
      <c r="D77" s="11">
        <v>43889</v>
      </c>
      <c r="E77" s="60" t="s">
        <v>133</v>
      </c>
      <c r="F77" s="14"/>
      <c r="G77" s="14" t="s">
        <v>30</v>
      </c>
      <c r="H77" s="56" t="s">
        <v>86</v>
      </c>
      <c r="I77" s="39" t="s">
        <v>182</v>
      </c>
      <c r="J77" s="15">
        <v>1</v>
      </c>
      <c r="K77" s="16">
        <v>170000</v>
      </c>
      <c r="L77" s="17">
        <v>170000</v>
      </c>
      <c r="M77" s="17">
        <v>17000</v>
      </c>
      <c r="N77" s="28">
        <v>187000</v>
      </c>
      <c r="O77" s="28">
        <v>0</v>
      </c>
      <c r="P77" s="28" t="s">
        <v>223</v>
      </c>
      <c r="Q77" s="22">
        <v>187000</v>
      </c>
      <c r="R77" s="23" t="s">
        <v>136</v>
      </c>
      <c r="S77" s="45" t="s">
        <v>8</v>
      </c>
      <c r="T77" s="24"/>
    </row>
    <row r="78" spans="2:20" ht="27" x14ac:dyDescent="0.3">
      <c r="B78" s="9"/>
      <c r="C78" s="10"/>
      <c r="D78" s="11">
        <v>43889</v>
      </c>
      <c r="E78" s="12" t="s">
        <v>183</v>
      </c>
      <c r="F78" s="14" t="s">
        <v>184</v>
      </c>
      <c r="G78" s="14" t="s">
        <v>30</v>
      </c>
      <c r="H78" s="56" t="s">
        <v>39</v>
      </c>
      <c r="I78" s="39" t="s">
        <v>185</v>
      </c>
      <c r="J78" s="15">
        <v>1</v>
      </c>
      <c r="K78" s="16">
        <v>576000</v>
      </c>
      <c r="L78" s="17">
        <v>576000</v>
      </c>
      <c r="M78" s="17">
        <v>57600</v>
      </c>
      <c r="N78" s="28">
        <v>633600</v>
      </c>
      <c r="O78" s="28">
        <v>0</v>
      </c>
      <c r="P78" s="28" t="s">
        <v>223</v>
      </c>
      <c r="Q78" s="22">
        <v>633600</v>
      </c>
      <c r="R78" s="23" t="s">
        <v>36</v>
      </c>
      <c r="S78" s="45" t="s">
        <v>9</v>
      </c>
      <c r="T78" s="24"/>
    </row>
    <row r="79" spans="2:20" x14ac:dyDescent="0.3">
      <c r="B79" s="46"/>
      <c r="C79" s="47"/>
      <c r="D79" s="11">
        <v>43889</v>
      </c>
      <c r="E79" s="12" t="s">
        <v>10</v>
      </c>
      <c r="F79" s="14"/>
      <c r="G79" s="14" t="s">
        <v>186</v>
      </c>
      <c r="H79" s="56" t="s">
        <v>186</v>
      </c>
      <c r="I79" s="39" t="s">
        <v>187</v>
      </c>
      <c r="J79" s="15">
        <v>2</v>
      </c>
      <c r="K79" s="16">
        <v>350000</v>
      </c>
      <c r="L79" s="17">
        <v>700000</v>
      </c>
      <c r="M79" s="17">
        <v>70000</v>
      </c>
      <c r="N79" s="28">
        <v>770000</v>
      </c>
      <c r="O79" s="32">
        <v>1000000</v>
      </c>
      <c r="P79" s="32" t="s">
        <v>279</v>
      </c>
      <c r="Q79" s="22">
        <v>-230000</v>
      </c>
      <c r="R79" s="23" t="s">
        <v>36</v>
      </c>
      <c r="S79" s="45" t="s">
        <v>8</v>
      </c>
      <c r="T79" s="48"/>
    </row>
    <row r="80" spans="2:20" x14ac:dyDescent="0.3">
      <c r="B80" s="46"/>
      <c r="C80" s="47"/>
      <c r="D80" s="11">
        <v>43889</v>
      </c>
      <c r="E80" s="12" t="s">
        <v>188</v>
      </c>
      <c r="F80" s="14"/>
      <c r="G80" s="14" t="s">
        <v>186</v>
      </c>
      <c r="H80" s="56" t="s">
        <v>186</v>
      </c>
      <c r="I80" s="39" t="s">
        <v>189</v>
      </c>
      <c r="J80" s="15">
        <v>2</v>
      </c>
      <c r="K80" s="16">
        <v>350000</v>
      </c>
      <c r="L80" s="17">
        <v>700000</v>
      </c>
      <c r="M80" s="17">
        <v>70000</v>
      </c>
      <c r="N80" s="28">
        <v>770000</v>
      </c>
      <c r="O80" s="28">
        <v>600000</v>
      </c>
      <c r="P80" s="28" t="s">
        <v>271</v>
      </c>
      <c r="Q80" s="22">
        <v>170000</v>
      </c>
      <c r="R80" s="23" t="s">
        <v>36</v>
      </c>
      <c r="S80" s="45" t="s">
        <v>8</v>
      </c>
      <c r="T80" s="48"/>
    </row>
    <row r="81" spans="2:20" ht="27" x14ac:dyDescent="0.3">
      <c r="B81" s="46"/>
      <c r="C81" s="47"/>
      <c r="D81" s="11">
        <v>43889</v>
      </c>
      <c r="E81" s="12" t="s">
        <v>190</v>
      </c>
      <c r="F81" s="14"/>
      <c r="G81" s="14" t="s">
        <v>48</v>
      </c>
      <c r="H81" s="56" t="s">
        <v>191</v>
      </c>
      <c r="I81" s="39" t="s">
        <v>192</v>
      </c>
      <c r="J81" s="15">
        <v>1</v>
      </c>
      <c r="K81" s="16">
        <v>3000000</v>
      </c>
      <c r="L81" s="17">
        <v>3000000</v>
      </c>
      <c r="M81" s="17">
        <v>300000</v>
      </c>
      <c r="N81" s="28">
        <v>3300000</v>
      </c>
      <c r="O81" s="32">
        <v>2601874</v>
      </c>
      <c r="P81" s="32" t="s">
        <v>272</v>
      </c>
      <c r="Q81" s="22">
        <v>698126</v>
      </c>
      <c r="R81" s="23" t="s">
        <v>36</v>
      </c>
      <c r="S81" s="45" t="s">
        <v>8</v>
      </c>
      <c r="T81" s="48"/>
    </row>
    <row r="82" spans="2:20" ht="27" x14ac:dyDescent="0.3">
      <c r="B82" s="46"/>
      <c r="C82" s="47"/>
      <c r="D82" s="11">
        <v>43889</v>
      </c>
      <c r="E82" s="12" t="s">
        <v>193</v>
      </c>
      <c r="F82" s="14"/>
      <c r="G82" s="14" t="s">
        <v>48</v>
      </c>
      <c r="H82" s="56" t="s">
        <v>194</v>
      </c>
      <c r="I82" s="39" t="s">
        <v>195</v>
      </c>
      <c r="J82" s="15">
        <v>1</v>
      </c>
      <c r="K82" s="16">
        <v>350000</v>
      </c>
      <c r="L82" s="17">
        <v>350000</v>
      </c>
      <c r="M82" s="17">
        <v>35000</v>
      </c>
      <c r="N82" s="28">
        <v>385000</v>
      </c>
      <c r="O82" s="32">
        <v>280000</v>
      </c>
      <c r="P82" s="32" t="s">
        <v>273</v>
      </c>
      <c r="Q82" s="22">
        <v>105000</v>
      </c>
      <c r="R82" s="23" t="s">
        <v>36</v>
      </c>
      <c r="S82" s="45" t="s">
        <v>9</v>
      </c>
      <c r="T82" s="48"/>
    </row>
    <row r="83" spans="2:20" x14ac:dyDescent="0.3">
      <c r="B83" s="46"/>
      <c r="C83" s="47"/>
      <c r="D83" s="11">
        <v>43889</v>
      </c>
      <c r="E83" s="12" t="s">
        <v>196</v>
      </c>
      <c r="F83" s="14"/>
      <c r="G83" s="14" t="s">
        <v>48</v>
      </c>
      <c r="H83" s="56" t="s">
        <v>197</v>
      </c>
      <c r="I83" s="39" t="s">
        <v>198</v>
      </c>
      <c r="J83" s="15">
        <v>1</v>
      </c>
      <c r="K83" s="16">
        <v>2000000</v>
      </c>
      <c r="L83" s="17">
        <v>2000000</v>
      </c>
      <c r="M83" s="17">
        <v>200000</v>
      </c>
      <c r="N83" s="28">
        <v>2200000</v>
      </c>
      <c r="O83" s="32">
        <v>1200000</v>
      </c>
      <c r="P83" s="32" t="s">
        <v>274</v>
      </c>
      <c r="Q83" s="22">
        <v>1000000</v>
      </c>
      <c r="R83" s="23" t="s">
        <v>36</v>
      </c>
      <c r="S83" s="45" t="s">
        <v>9</v>
      </c>
      <c r="T83" s="48"/>
    </row>
    <row r="84" spans="2:20" x14ac:dyDescent="0.3">
      <c r="B84" s="46"/>
      <c r="C84" s="47"/>
      <c r="D84" s="11">
        <v>43889</v>
      </c>
      <c r="E84" s="12" t="s">
        <v>199</v>
      </c>
      <c r="F84" s="14"/>
      <c r="G84" s="14" t="s">
        <v>48</v>
      </c>
      <c r="H84" s="56" t="s">
        <v>200</v>
      </c>
      <c r="I84" s="39" t="s">
        <v>201</v>
      </c>
      <c r="J84" s="15">
        <v>1</v>
      </c>
      <c r="K84" s="16">
        <v>450000</v>
      </c>
      <c r="L84" s="17">
        <v>450000</v>
      </c>
      <c r="M84" s="17">
        <v>45000</v>
      </c>
      <c r="N84" s="28">
        <v>495000</v>
      </c>
      <c r="O84" s="32">
        <v>350000</v>
      </c>
      <c r="P84" s="32" t="s">
        <v>275</v>
      </c>
      <c r="Q84" s="22">
        <v>145000</v>
      </c>
      <c r="R84" s="23" t="s">
        <v>36</v>
      </c>
      <c r="S84" s="45" t="s">
        <v>9</v>
      </c>
      <c r="T84" s="48"/>
    </row>
    <row r="85" spans="2:20" ht="27" x14ac:dyDescent="0.3">
      <c r="B85" s="46"/>
      <c r="C85" s="47"/>
      <c r="D85" s="11">
        <v>43889</v>
      </c>
      <c r="E85" s="12" t="s">
        <v>128</v>
      </c>
      <c r="F85" s="14"/>
      <c r="G85" s="14" t="s">
        <v>48</v>
      </c>
      <c r="H85" s="56" t="s">
        <v>202</v>
      </c>
      <c r="I85" s="39" t="s">
        <v>203</v>
      </c>
      <c r="J85" s="15">
        <v>1</v>
      </c>
      <c r="K85" s="16">
        <v>110000</v>
      </c>
      <c r="L85" s="17">
        <v>110000</v>
      </c>
      <c r="M85" s="17">
        <v>11000</v>
      </c>
      <c r="N85" s="28">
        <v>121000</v>
      </c>
      <c r="O85" s="28">
        <v>90000</v>
      </c>
      <c r="P85" s="28" t="s">
        <v>276</v>
      </c>
      <c r="Q85" s="22">
        <v>31000</v>
      </c>
      <c r="R85" s="23" t="s">
        <v>36</v>
      </c>
      <c r="S85" s="45" t="s">
        <v>9</v>
      </c>
      <c r="T85" s="48"/>
    </row>
    <row r="86" spans="2:20" x14ac:dyDescent="0.3">
      <c r="B86" s="46"/>
      <c r="C86" s="47"/>
      <c r="D86" s="11">
        <v>43889</v>
      </c>
      <c r="E86" s="12" t="s">
        <v>204</v>
      </c>
      <c r="F86" s="14"/>
      <c r="G86" s="14" t="s">
        <v>48</v>
      </c>
      <c r="H86" s="56" t="s">
        <v>205</v>
      </c>
      <c r="I86" s="39" t="s">
        <v>206</v>
      </c>
      <c r="J86" s="15">
        <v>1</v>
      </c>
      <c r="K86" s="16">
        <v>180000</v>
      </c>
      <c r="L86" s="17">
        <v>180000</v>
      </c>
      <c r="M86" s="17">
        <v>18000</v>
      </c>
      <c r="N86" s="28">
        <v>198000</v>
      </c>
      <c r="O86" s="32">
        <v>120000</v>
      </c>
      <c r="P86" s="32" t="s">
        <v>280</v>
      </c>
      <c r="Q86" s="22">
        <v>78000</v>
      </c>
      <c r="R86" s="23" t="s">
        <v>36</v>
      </c>
      <c r="S86" s="45" t="s">
        <v>9</v>
      </c>
      <c r="T86" s="48"/>
    </row>
    <row r="87" spans="2:20" x14ac:dyDescent="0.3">
      <c r="B87" s="46"/>
      <c r="C87" s="47"/>
      <c r="D87" s="11">
        <v>43889</v>
      </c>
      <c r="E87" s="12" t="s">
        <v>14</v>
      </c>
      <c r="F87" s="14" t="s">
        <v>207</v>
      </c>
      <c r="G87" s="14" t="s">
        <v>30</v>
      </c>
      <c r="H87" s="56" t="s">
        <v>31</v>
      </c>
      <c r="I87" s="39" t="s">
        <v>112</v>
      </c>
      <c r="J87" s="15">
        <v>1</v>
      </c>
      <c r="K87" s="16">
        <v>96000</v>
      </c>
      <c r="L87" s="17">
        <v>96000</v>
      </c>
      <c r="M87" s="17">
        <v>9600</v>
      </c>
      <c r="N87" s="28">
        <v>105600</v>
      </c>
      <c r="O87" s="32">
        <v>88400</v>
      </c>
      <c r="P87" s="32" t="s">
        <v>277</v>
      </c>
      <c r="Q87" s="22">
        <v>17200</v>
      </c>
      <c r="R87" s="23" t="s">
        <v>101</v>
      </c>
      <c r="S87" s="45" t="s">
        <v>0</v>
      </c>
      <c r="T87" s="48"/>
    </row>
    <row r="88" spans="2:20" ht="27" x14ac:dyDescent="0.3">
      <c r="B88" s="46"/>
      <c r="C88" s="47"/>
      <c r="D88" s="11">
        <v>43889</v>
      </c>
      <c r="E88" s="12" t="s">
        <v>13</v>
      </c>
      <c r="F88" s="14"/>
      <c r="G88" s="14" t="s">
        <v>48</v>
      </c>
      <c r="H88" s="56" t="s">
        <v>24</v>
      </c>
      <c r="I88" s="39" t="s">
        <v>25</v>
      </c>
      <c r="J88" s="15">
        <v>2</v>
      </c>
      <c r="K88" s="16">
        <v>220000</v>
      </c>
      <c r="L88" s="17">
        <v>440000</v>
      </c>
      <c r="M88" s="17">
        <v>44000</v>
      </c>
      <c r="N88" s="28">
        <v>484000</v>
      </c>
      <c r="O88" s="32">
        <v>340000</v>
      </c>
      <c r="P88" s="32" t="s">
        <v>273</v>
      </c>
      <c r="Q88" s="22">
        <v>144000</v>
      </c>
      <c r="R88" s="23" t="s">
        <v>101</v>
      </c>
      <c r="S88" s="45" t="s">
        <v>0</v>
      </c>
      <c r="T88" s="48"/>
    </row>
    <row r="89" spans="2:20" x14ac:dyDescent="0.3">
      <c r="B89" s="46"/>
      <c r="C89" s="47"/>
      <c r="D89" s="11">
        <v>43889</v>
      </c>
      <c r="E89" s="12" t="s">
        <v>13</v>
      </c>
      <c r="F89" s="14"/>
      <c r="G89" s="14" t="s">
        <v>48</v>
      </c>
      <c r="H89" s="56" t="s">
        <v>208</v>
      </c>
      <c r="I89" s="39" t="s">
        <v>209</v>
      </c>
      <c r="J89" s="15">
        <v>1</v>
      </c>
      <c r="K89" s="16">
        <v>100000</v>
      </c>
      <c r="L89" s="17">
        <v>100000</v>
      </c>
      <c r="M89" s="17">
        <v>10000</v>
      </c>
      <c r="N89" s="28">
        <v>110000</v>
      </c>
      <c r="O89" s="32">
        <v>80000</v>
      </c>
      <c r="P89" s="32" t="s">
        <v>281</v>
      </c>
      <c r="Q89" s="22">
        <v>30000</v>
      </c>
      <c r="R89" s="23" t="s">
        <v>101</v>
      </c>
      <c r="S89" s="45" t="s">
        <v>0</v>
      </c>
      <c r="T89" s="48"/>
    </row>
    <row r="90" spans="2:20" ht="27" x14ac:dyDescent="0.3">
      <c r="B90" s="46"/>
      <c r="C90" s="47"/>
      <c r="D90" s="11">
        <v>43889</v>
      </c>
      <c r="E90" s="12" t="s">
        <v>13</v>
      </c>
      <c r="F90" s="14"/>
      <c r="G90" s="14" t="s">
        <v>48</v>
      </c>
      <c r="H90" s="56" t="s">
        <v>24</v>
      </c>
      <c r="I90" s="39" t="s">
        <v>25</v>
      </c>
      <c r="J90" s="15">
        <v>1</v>
      </c>
      <c r="K90" s="16">
        <v>220000</v>
      </c>
      <c r="L90" s="17">
        <v>220000</v>
      </c>
      <c r="M90" s="17">
        <v>22000</v>
      </c>
      <c r="N90" s="28">
        <v>242000</v>
      </c>
      <c r="O90" s="32">
        <v>170000</v>
      </c>
      <c r="P90" s="32" t="s">
        <v>282</v>
      </c>
      <c r="Q90" s="22">
        <v>72000</v>
      </c>
      <c r="R90" s="23" t="s">
        <v>101</v>
      </c>
      <c r="S90" s="45" t="s">
        <v>0</v>
      </c>
      <c r="T90" s="48"/>
    </row>
    <row r="91" spans="2:20" x14ac:dyDescent="0.3">
      <c r="B91" s="46"/>
      <c r="C91" s="47"/>
      <c r="D91" s="11">
        <v>43889</v>
      </c>
      <c r="E91" s="12" t="s">
        <v>13</v>
      </c>
      <c r="F91" s="14"/>
      <c r="G91" s="14" t="s">
        <v>48</v>
      </c>
      <c r="H91" s="56" t="s">
        <v>210</v>
      </c>
      <c r="I91" s="39" t="s">
        <v>211</v>
      </c>
      <c r="J91" s="15">
        <v>1</v>
      </c>
      <c r="K91" s="16">
        <v>350000</v>
      </c>
      <c r="L91" s="17">
        <v>350000</v>
      </c>
      <c r="M91" s="17">
        <v>35000</v>
      </c>
      <c r="N91" s="28">
        <v>385000</v>
      </c>
      <c r="O91" s="28">
        <v>400000</v>
      </c>
      <c r="P91" s="28" t="s">
        <v>283</v>
      </c>
      <c r="Q91" s="22">
        <v>-15000</v>
      </c>
      <c r="R91" s="23" t="s">
        <v>101</v>
      </c>
      <c r="S91" s="45" t="s">
        <v>0</v>
      </c>
      <c r="T91" s="48"/>
    </row>
    <row r="92" spans="2:20" x14ac:dyDescent="0.3">
      <c r="B92" s="46"/>
      <c r="C92" s="47"/>
      <c r="D92" s="11">
        <v>43889</v>
      </c>
      <c r="E92" s="12" t="s">
        <v>13</v>
      </c>
      <c r="F92" s="14"/>
      <c r="G92" s="14" t="s">
        <v>48</v>
      </c>
      <c r="H92" s="56" t="s">
        <v>19</v>
      </c>
      <c r="I92" s="39" t="s">
        <v>212</v>
      </c>
      <c r="J92" s="15">
        <v>1</v>
      </c>
      <c r="K92" s="16">
        <v>150000</v>
      </c>
      <c r="L92" s="17">
        <v>150000</v>
      </c>
      <c r="M92" s="17">
        <v>15000</v>
      </c>
      <c r="N92" s="28">
        <v>165000</v>
      </c>
      <c r="O92" s="32">
        <v>130000</v>
      </c>
      <c r="P92" s="32" t="s">
        <v>284</v>
      </c>
      <c r="Q92" s="22">
        <v>35000</v>
      </c>
      <c r="R92" s="23" t="s">
        <v>101</v>
      </c>
      <c r="S92" s="45" t="s">
        <v>0</v>
      </c>
      <c r="T92" s="48"/>
    </row>
    <row r="93" spans="2:20" x14ac:dyDescent="0.3">
      <c r="B93" s="46"/>
      <c r="C93" s="47"/>
      <c r="D93" s="11">
        <v>43889</v>
      </c>
      <c r="E93" s="12" t="s">
        <v>213</v>
      </c>
      <c r="F93" s="14"/>
      <c r="G93" s="14" t="s">
        <v>48</v>
      </c>
      <c r="H93" s="56" t="s">
        <v>214</v>
      </c>
      <c r="I93" s="39" t="s">
        <v>215</v>
      </c>
      <c r="J93" s="15">
        <v>1</v>
      </c>
      <c r="K93" s="16">
        <v>4000000</v>
      </c>
      <c r="L93" s="17">
        <v>4000000</v>
      </c>
      <c r="M93" s="17">
        <v>400000</v>
      </c>
      <c r="N93" s="28">
        <v>4400000</v>
      </c>
      <c r="O93" s="28">
        <v>2800000</v>
      </c>
      <c r="P93" s="28" t="s">
        <v>285</v>
      </c>
      <c r="Q93" s="22">
        <v>1600000</v>
      </c>
      <c r="R93" s="23" t="s">
        <v>101</v>
      </c>
      <c r="S93" s="45" t="s">
        <v>0</v>
      </c>
      <c r="T93" s="48"/>
    </row>
    <row r="94" spans="2:20" x14ac:dyDescent="0.3">
      <c r="B94" s="46" t="s">
        <v>216</v>
      </c>
      <c r="C94" s="47"/>
      <c r="D94" s="11">
        <v>43889</v>
      </c>
      <c r="E94" s="12" t="s">
        <v>217</v>
      </c>
      <c r="F94" s="14"/>
      <c r="G94" s="14" t="s">
        <v>48</v>
      </c>
      <c r="H94" s="56" t="s">
        <v>218</v>
      </c>
      <c r="I94" s="39" t="s">
        <v>219</v>
      </c>
      <c r="J94" s="15">
        <v>1</v>
      </c>
      <c r="K94" s="16">
        <v>409100</v>
      </c>
      <c r="L94" s="17">
        <v>409100</v>
      </c>
      <c r="M94" s="17">
        <v>40910</v>
      </c>
      <c r="N94" s="28">
        <v>450010</v>
      </c>
      <c r="O94" s="28"/>
      <c r="P94" s="28" t="s">
        <v>45</v>
      </c>
      <c r="Q94" s="22">
        <v>450010</v>
      </c>
      <c r="R94" s="23" t="s">
        <v>101</v>
      </c>
      <c r="S94" s="45" t="s">
        <v>0</v>
      </c>
      <c r="T94" s="48"/>
    </row>
    <row r="95" spans="2:20" x14ac:dyDescent="0.3">
      <c r="B95" s="9"/>
      <c r="C95" s="10"/>
      <c r="D95" s="70">
        <v>43889</v>
      </c>
      <c r="E95" s="72" t="s">
        <v>124</v>
      </c>
      <c r="F95" s="73"/>
      <c r="G95" s="73" t="s">
        <v>30</v>
      </c>
      <c r="H95" s="74" t="s">
        <v>86</v>
      </c>
      <c r="I95" s="88" t="s">
        <v>112</v>
      </c>
      <c r="J95" s="75">
        <v>1</v>
      </c>
      <c r="K95" s="76">
        <v>855000</v>
      </c>
      <c r="L95" s="77">
        <v>855000</v>
      </c>
      <c r="M95" s="77">
        <v>85500</v>
      </c>
      <c r="N95" s="78">
        <v>940500</v>
      </c>
      <c r="O95" s="89">
        <v>600000</v>
      </c>
      <c r="P95" s="89" t="s">
        <v>249</v>
      </c>
      <c r="Q95" s="78">
        <v>340500</v>
      </c>
      <c r="R95" s="82" t="s">
        <v>101</v>
      </c>
      <c r="S95" s="94" t="s">
        <v>8</v>
      </c>
      <c r="T95" s="83"/>
    </row>
    <row r="96" spans="2:20" x14ac:dyDescent="0.3">
      <c r="B96" s="9"/>
      <c r="C96" s="10"/>
      <c r="D96" s="62">
        <v>43891</v>
      </c>
      <c r="E96" s="13" t="s">
        <v>220</v>
      </c>
      <c r="F96" s="13" t="s">
        <v>221</v>
      </c>
      <c r="G96" s="13" t="s">
        <v>30</v>
      </c>
      <c r="H96" s="93" t="s">
        <v>86</v>
      </c>
      <c r="I96" s="64" t="s">
        <v>222</v>
      </c>
      <c r="J96" s="13">
        <v>1</v>
      </c>
      <c r="K96" s="65">
        <v>440000</v>
      </c>
      <c r="L96" s="18">
        <v>440000</v>
      </c>
      <c r="M96" s="18">
        <v>44000</v>
      </c>
      <c r="N96" s="22">
        <v>484000</v>
      </c>
      <c r="O96" s="22"/>
      <c r="P96" s="4" t="s">
        <v>223</v>
      </c>
      <c r="Q96" s="22">
        <v>440000</v>
      </c>
      <c r="R96" s="85" t="s">
        <v>101</v>
      </c>
      <c r="S96" s="86" t="s">
        <v>0</v>
      </c>
      <c r="T96" s="87"/>
    </row>
    <row r="97" spans="1:21" ht="40.5" x14ac:dyDescent="0.3">
      <c r="B97" s="9"/>
      <c r="C97" s="10"/>
      <c r="D97" s="29">
        <v>43891</v>
      </c>
      <c r="E97" s="30" t="s">
        <v>17</v>
      </c>
      <c r="F97" s="12"/>
      <c r="G97" s="12" t="s">
        <v>30</v>
      </c>
      <c r="H97" s="57" t="s">
        <v>86</v>
      </c>
      <c r="I97" s="31" t="s">
        <v>224</v>
      </c>
      <c r="J97" s="12">
        <v>1</v>
      </c>
      <c r="K97" s="16">
        <v>1715000</v>
      </c>
      <c r="L97" s="17">
        <v>1715000</v>
      </c>
      <c r="M97" s="18">
        <v>171500</v>
      </c>
      <c r="N97" s="22">
        <v>1886500</v>
      </c>
      <c r="O97" s="28">
        <v>1279500</v>
      </c>
      <c r="P97" s="49" t="s">
        <v>338</v>
      </c>
      <c r="Q97" s="28">
        <v>435500</v>
      </c>
      <c r="R97" s="23" t="s">
        <v>101</v>
      </c>
      <c r="S97" s="45" t="s">
        <v>4</v>
      </c>
      <c r="T97" s="24"/>
    </row>
    <row r="98" spans="1:21" ht="27" x14ac:dyDescent="0.3">
      <c r="B98" s="9"/>
      <c r="C98" s="10"/>
      <c r="D98" s="29">
        <v>43891</v>
      </c>
      <c r="E98" s="12" t="s">
        <v>15</v>
      </c>
      <c r="F98" s="12" t="s">
        <v>225</v>
      </c>
      <c r="G98" s="12" t="s">
        <v>30</v>
      </c>
      <c r="H98" s="56" t="s">
        <v>31</v>
      </c>
      <c r="I98" s="31" t="s">
        <v>226</v>
      </c>
      <c r="J98" s="50">
        <v>1</v>
      </c>
      <c r="K98" s="16">
        <v>969350</v>
      </c>
      <c r="L98" s="17">
        <v>969350</v>
      </c>
      <c r="M98" s="18">
        <v>96935</v>
      </c>
      <c r="N98" s="22">
        <v>1066285</v>
      </c>
      <c r="O98" s="28"/>
      <c r="P98" s="49" t="s">
        <v>339</v>
      </c>
      <c r="Q98" s="28">
        <v>969350</v>
      </c>
      <c r="R98" s="23" t="s">
        <v>101</v>
      </c>
      <c r="S98" s="43" t="s">
        <v>0</v>
      </c>
      <c r="T98" s="24"/>
    </row>
    <row r="99" spans="1:21" ht="67.5" x14ac:dyDescent="0.3">
      <c r="B99" s="9"/>
      <c r="C99" s="10"/>
      <c r="D99" s="51">
        <v>43895</v>
      </c>
      <c r="E99" s="12" t="s">
        <v>227</v>
      </c>
      <c r="F99" s="14"/>
      <c r="G99" s="12" t="s">
        <v>30</v>
      </c>
      <c r="H99" s="56" t="s">
        <v>86</v>
      </c>
      <c r="I99" s="31" t="s">
        <v>104</v>
      </c>
      <c r="J99" s="12">
        <v>1</v>
      </c>
      <c r="K99" s="16">
        <v>6700000</v>
      </c>
      <c r="L99" s="17">
        <v>6700000</v>
      </c>
      <c r="M99" s="18">
        <v>670000</v>
      </c>
      <c r="N99" s="22">
        <v>7370000</v>
      </c>
      <c r="O99" s="32">
        <v>5155000</v>
      </c>
      <c r="P99" s="32" t="s">
        <v>228</v>
      </c>
      <c r="Q99" s="28">
        <v>1545000</v>
      </c>
      <c r="R99" s="23" t="s">
        <v>101</v>
      </c>
      <c r="S99" s="45" t="s">
        <v>2</v>
      </c>
      <c r="T99" s="24"/>
    </row>
    <row r="100" spans="1:21" x14ac:dyDescent="0.3">
      <c r="B100" s="9"/>
      <c r="C100" s="10"/>
      <c r="D100" s="29">
        <v>43900</v>
      </c>
      <c r="E100" s="12" t="s">
        <v>229</v>
      </c>
      <c r="F100" s="14"/>
      <c r="G100" s="14" t="s">
        <v>230</v>
      </c>
      <c r="H100" s="56" t="s">
        <v>230</v>
      </c>
      <c r="I100" s="52" t="s">
        <v>231</v>
      </c>
      <c r="J100" s="50">
        <v>1</v>
      </c>
      <c r="K100" s="16">
        <v>690000</v>
      </c>
      <c r="L100" s="17">
        <v>690000</v>
      </c>
      <c r="M100" s="18">
        <v>69000</v>
      </c>
      <c r="N100" s="22">
        <v>759000</v>
      </c>
      <c r="O100" s="28">
        <v>0</v>
      </c>
      <c r="P100" s="49"/>
      <c r="Q100" s="28">
        <v>690000</v>
      </c>
      <c r="R100" s="53" t="s">
        <v>232</v>
      </c>
      <c r="S100" s="45" t="s">
        <v>2</v>
      </c>
      <c r="T100" s="24"/>
      <c r="U100" s="4" t="s">
        <v>350</v>
      </c>
    </row>
    <row r="101" spans="1:21" x14ac:dyDescent="0.3">
      <c r="B101" s="9"/>
      <c r="C101" s="10"/>
      <c r="D101" s="11">
        <v>43910</v>
      </c>
      <c r="E101" s="12" t="s">
        <v>233</v>
      </c>
      <c r="F101" s="14"/>
      <c r="G101" s="14" t="s">
        <v>30</v>
      </c>
      <c r="H101" s="56" t="s">
        <v>86</v>
      </c>
      <c r="I101" s="39" t="s">
        <v>234</v>
      </c>
      <c r="J101" s="15">
        <v>1</v>
      </c>
      <c r="K101" s="16">
        <v>200000</v>
      </c>
      <c r="L101" s="17">
        <v>200000</v>
      </c>
      <c r="M101" s="18">
        <v>20000</v>
      </c>
      <c r="N101" s="22">
        <v>220000</v>
      </c>
      <c r="O101" s="28"/>
      <c r="P101" s="28"/>
      <c r="Q101" s="22">
        <v>220000</v>
      </c>
      <c r="R101" s="23" t="s">
        <v>36</v>
      </c>
      <c r="S101" s="45" t="s">
        <v>8</v>
      </c>
      <c r="T101" s="24"/>
    </row>
    <row r="102" spans="1:21" ht="27" x14ac:dyDescent="0.3">
      <c r="B102" s="9"/>
      <c r="C102" s="10"/>
      <c r="D102" s="11">
        <v>43910</v>
      </c>
      <c r="E102" s="12" t="s">
        <v>235</v>
      </c>
      <c r="F102" s="14"/>
      <c r="G102" s="14" t="s">
        <v>30</v>
      </c>
      <c r="H102" s="56" t="s">
        <v>86</v>
      </c>
      <c r="I102" s="39" t="s">
        <v>222</v>
      </c>
      <c r="J102" s="15">
        <v>1</v>
      </c>
      <c r="K102" s="16">
        <v>1000000</v>
      </c>
      <c r="L102" s="17">
        <v>1000000</v>
      </c>
      <c r="M102" s="18">
        <v>100000</v>
      </c>
      <c r="N102" s="22">
        <v>1100000</v>
      </c>
      <c r="O102" s="21">
        <v>550000</v>
      </c>
      <c r="P102" s="21" t="s">
        <v>236</v>
      </c>
      <c r="Q102" s="22">
        <v>550000</v>
      </c>
      <c r="R102" s="23" t="s">
        <v>101</v>
      </c>
      <c r="S102" s="45" t="s">
        <v>9</v>
      </c>
      <c r="T102" s="24"/>
    </row>
    <row r="103" spans="1:21" ht="27" x14ac:dyDescent="0.3">
      <c r="B103" s="9"/>
      <c r="C103" s="10"/>
      <c r="D103" s="11">
        <v>43910</v>
      </c>
      <c r="E103" s="12" t="s">
        <v>235</v>
      </c>
      <c r="F103" s="14"/>
      <c r="G103" s="14" t="s">
        <v>48</v>
      </c>
      <c r="H103" s="56" t="s">
        <v>237</v>
      </c>
      <c r="I103" s="39" t="s">
        <v>238</v>
      </c>
      <c r="J103" s="15">
        <v>4</v>
      </c>
      <c r="K103" s="16">
        <v>330000</v>
      </c>
      <c r="L103" s="17">
        <v>1780000</v>
      </c>
      <c r="M103" s="18">
        <v>178000</v>
      </c>
      <c r="N103" s="22">
        <v>1958000</v>
      </c>
      <c r="O103" s="21"/>
      <c r="P103" s="21"/>
      <c r="Q103" s="22"/>
      <c r="R103" s="23" t="s">
        <v>101</v>
      </c>
      <c r="S103" s="45" t="s">
        <v>0</v>
      </c>
      <c r="T103" s="24"/>
    </row>
    <row r="104" spans="1:21" customFormat="1" ht="27" x14ac:dyDescent="0.3">
      <c r="A104" t="s">
        <v>347</v>
      </c>
      <c r="B104" s="95"/>
      <c r="C104" s="96"/>
      <c r="D104" s="97">
        <v>43914</v>
      </c>
      <c r="E104" s="98" t="s">
        <v>346</v>
      </c>
      <c r="F104" s="99"/>
      <c r="G104" s="99" t="s">
        <v>30</v>
      </c>
      <c r="H104" s="99" t="s">
        <v>82</v>
      </c>
      <c r="I104" s="100" t="s">
        <v>348</v>
      </c>
      <c r="J104" s="101">
        <v>1</v>
      </c>
      <c r="K104" s="102">
        <v>176000</v>
      </c>
      <c r="L104" s="103">
        <v>176000</v>
      </c>
      <c r="M104" s="103">
        <v>17600</v>
      </c>
      <c r="N104" s="104">
        <v>193600</v>
      </c>
      <c r="O104" s="2">
        <v>133675.16666666666</v>
      </c>
      <c r="P104" s="109" t="s">
        <v>349</v>
      </c>
      <c r="Q104" s="105">
        <v>59924.833333333343</v>
      </c>
      <c r="R104" s="106" t="s">
        <v>101</v>
      </c>
      <c r="S104" s="107" t="s">
        <v>9</v>
      </c>
      <c r="T104" s="108"/>
    </row>
    <row r="106" spans="1:21" x14ac:dyDescent="0.3">
      <c r="E106" s="59" t="s">
        <v>342</v>
      </c>
    </row>
    <row r="107" spans="1:21" x14ac:dyDescent="0.3">
      <c r="E107" s="61" t="s">
        <v>343</v>
      </c>
    </row>
  </sheetData>
  <autoFilter ref="A4:T104" xr:uid="{00000000-0009-0000-0000-000004000000}"/>
  <mergeCells count="16">
    <mergeCell ref="Q3:Q4"/>
    <mergeCell ref="R3:R4"/>
    <mergeCell ref="S3:S4"/>
    <mergeCell ref="T3:T4"/>
    <mergeCell ref="H3:H4"/>
    <mergeCell ref="I3:I4"/>
    <mergeCell ref="J3:J4"/>
    <mergeCell ref="K3:N3"/>
    <mergeCell ref="O3:O4"/>
    <mergeCell ref="P3:P4"/>
    <mergeCell ref="G3:G4"/>
    <mergeCell ref="B3:B4"/>
    <mergeCell ref="C3:C4"/>
    <mergeCell ref="D3:D4"/>
    <mergeCell ref="E3:E4"/>
    <mergeCell ref="F3:F4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T46"/>
  <sheetViews>
    <sheetView topLeftCell="C7" workbookViewId="0">
      <selection activeCell="H34" sqref="H34"/>
    </sheetView>
  </sheetViews>
  <sheetFormatPr defaultRowHeight="16.5" customHeight="1" x14ac:dyDescent="0.3"/>
  <cols>
    <col min="1" max="1" width="10.75" hidden="1" customWidth="1"/>
    <col min="2" max="2" width="9.75" hidden="1" customWidth="1"/>
    <col min="3" max="3" width="11" customWidth="1"/>
    <col min="4" max="4" width="21.625" customWidth="1"/>
    <col min="5" max="5" width="14.125" customWidth="1"/>
    <col min="6" max="6" width="7.5" hidden="1" customWidth="1"/>
    <col min="7" max="7" width="10.875" hidden="1" customWidth="1"/>
    <col min="8" max="8" width="39.25" customWidth="1"/>
    <col min="9" max="9" width="4" customWidth="1"/>
    <col min="10" max="10" width="9.875" hidden="1" customWidth="1"/>
    <col min="11" max="12" width="11.5" customWidth="1"/>
    <col min="13" max="13" width="11.875" customWidth="1"/>
    <col min="14" max="14" width="12.375" hidden="1" customWidth="1"/>
    <col min="15" max="15" width="30" hidden="1" customWidth="1"/>
    <col min="16" max="16" width="10.875" hidden="1" customWidth="1"/>
    <col min="17" max="17" width="12.25" customWidth="1"/>
    <col min="19" max="19" width="22.5" bestFit="1" customWidth="1"/>
    <col min="20" max="20" width="9.875" bestFit="1" customWidth="1"/>
  </cols>
  <sheetData>
    <row r="1" spans="1:19" ht="16.5" customHeight="1" thickBot="1" x14ac:dyDescent="0.35"/>
    <row r="2" spans="1:19" ht="16.5" customHeight="1" x14ac:dyDescent="0.3">
      <c r="A2" s="711" t="s">
        <v>59</v>
      </c>
      <c r="B2" s="713" t="s">
        <v>60</v>
      </c>
      <c r="C2" s="715" t="s">
        <v>61</v>
      </c>
      <c r="D2" s="717" t="s">
        <v>62</v>
      </c>
      <c r="E2" s="702" t="s">
        <v>63</v>
      </c>
      <c r="F2" s="702" t="s">
        <v>64</v>
      </c>
      <c r="G2" s="702" t="s">
        <v>65</v>
      </c>
      <c r="H2" s="704" t="s">
        <v>66</v>
      </c>
      <c r="I2" s="706" t="s">
        <v>67</v>
      </c>
      <c r="J2" s="708" t="s">
        <v>68</v>
      </c>
      <c r="K2" s="709"/>
      <c r="L2" s="709"/>
      <c r="M2" s="710"/>
      <c r="N2" s="696" t="s">
        <v>69</v>
      </c>
      <c r="O2" s="696" t="s">
        <v>70</v>
      </c>
      <c r="P2" s="696" t="s">
        <v>71</v>
      </c>
      <c r="Q2" s="698" t="s">
        <v>72</v>
      </c>
      <c r="R2" s="698" t="s">
        <v>73</v>
      </c>
      <c r="S2" s="700" t="s">
        <v>74</v>
      </c>
    </row>
    <row r="3" spans="1:19" ht="16.5" customHeight="1" x14ac:dyDescent="0.3">
      <c r="A3" s="712"/>
      <c r="B3" s="714"/>
      <c r="C3" s="716"/>
      <c r="D3" s="718"/>
      <c r="E3" s="703"/>
      <c r="F3" s="703"/>
      <c r="G3" s="703"/>
      <c r="H3" s="705"/>
      <c r="I3" s="707"/>
      <c r="J3" s="116" t="s">
        <v>75</v>
      </c>
      <c r="K3" s="117" t="s">
        <v>76</v>
      </c>
      <c r="L3" s="117" t="s">
        <v>77</v>
      </c>
      <c r="M3" s="117" t="s">
        <v>78</v>
      </c>
      <c r="N3" s="697"/>
      <c r="O3" s="697"/>
      <c r="P3" s="697"/>
      <c r="Q3" s="699"/>
      <c r="R3" s="699"/>
      <c r="S3" s="701"/>
    </row>
    <row r="4" spans="1:19" ht="16.5" customHeight="1" x14ac:dyDescent="0.3">
      <c r="C4" s="97">
        <v>43861</v>
      </c>
      <c r="D4" s="98" t="s">
        <v>287</v>
      </c>
      <c r="E4" s="99" t="s">
        <v>378</v>
      </c>
      <c r="F4" s="124" t="s">
        <v>30</v>
      </c>
      <c r="G4" s="99" t="s">
        <v>351</v>
      </c>
      <c r="H4" s="100" t="s">
        <v>185</v>
      </c>
      <c r="I4" s="101">
        <v>1</v>
      </c>
      <c r="J4" s="102">
        <v>820000</v>
      </c>
      <c r="K4" s="103">
        <v>820000</v>
      </c>
      <c r="L4" s="103">
        <v>82000</v>
      </c>
      <c r="M4" s="103">
        <v>902000</v>
      </c>
      <c r="N4" s="2">
        <v>780500</v>
      </c>
      <c r="O4" s="2" t="s">
        <v>41</v>
      </c>
      <c r="P4" s="140">
        <v>39500</v>
      </c>
      <c r="Q4" s="156" t="s">
        <v>22</v>
      </c>
      <c r="R4" s="126" t="s">
        <v>9</v>
      </c>
      <c r="S4" s="136"/>
    </row>
    <row r="5" spans="1:19" ht="16.5" customHeight="1" x14ac:dyDescent="0.3">
      <c r="C5" s="97">
        <v>43861</v>
      </c>
      <c r="D5" s="98" t="s">
        <v>300</v>
      </c>
      <c r="E5" s="99"/>
      <c r="F5" s="137" t="s">
        <v>381</v>
      </c>
      <c r="G5" s="138" t="s">
        <v>354</v>
      </c>
      <c r="H5" s="100" t="s">
        <v>355</v>
      </c>
      <c r="I5" s="101">
        <v>1</v>
      </c>
      <c r="J5" s="102">
        <v>15700000</v>
      </c>
      <c r="K5" s="103">
        <v>18986000</v>
      </c>
      <c r="L5" s="103">
        <v>1898600</v>
      </c>
      <c r="M5" s="103">
        <v>20884600</v>
      </c>
      <c r="N5" s="2">
        <v>16120530</v>
      </c>
      <c r="O5" s="2" t="s">
        <v>382</v>
      </c>
      <c r="P5" s="140">
        <v>2865470</v>
      </c>
      <c r="Q5" s="156" t="s">
        <v>352</v>
      </c>
      <c r="R5" s="126" t="s">
        <v>9</v>
      </c>
      <c r="S5" s="139"/>
    </row>
    <row r="6" spans="1:19" ht="16.5" customHeight="1" x14ac:dyDescent="0.3">
      <c r="C6" s="141">
        <v>43866</v>
      </c>
      <c r="D6" s="98" t="s">
        <v>300</v>
      </c>
      <c r="E6" s="99" t="s">
        <v>383</v>
      </c>
      <c r="F6" s="98" t="s">
        <v>3</v>
      </c>
      <c r="G6" s="99" t="s">
        <v>384</v>
      </c>
      <c r="H6" s="142" t="s">
        <v>385</v>
      </c>
      <c r="I6" s="98">
        <v>1</v>
      </c>
      <c r="J6" s="102">
        <v>952000</v>
      </c>
      <c r="K6" s="103">
        <v>952000</v>
      </c>
      <c r="L6" s="103">
        <v>95200</v>
      </c>
      <c r="M6" s="104">
        <v>1047200</v>
      </c>
      <c r="N6" s="2">
        <v>595000</v>
      </c>
      <c r="O6" s="2" t="s">
        <v>386</v>
      </c>
      <c r="P6" s="105">
        <v>357000</v>
      </c>
      <c r="Q6" s="106" t="s">
        <v>387</v>
      </c>
      <c r="R6" s="107" t="s">
        <v>9</v>
      </c>
      <c r="S6" s="108"/>
    </row>
    <row r="7" spans="1:19" ht="16.5" customHeight="1" x14ac:dyDescent="0.3">
      <c r="C7" s="97">
        <v>43871</v>
      </c>
      <c r="D7" s="98" t="s">
        <v>353</v>
      </c>
      <c r="E7" s="99" t="s">
        <v>388</v>
      </c>
      <c r="F7" s="99" t="s">
        <v>57</v>
      </c>
      <c r="G7" s="99" t="s">
        <v>82</v>
      </c>
      <c r="H7" s="100" t="s">
        <v>389</v>
      </c>
      <c r="I7" s="101">
        <v>1</v>
      </c>
      <c r="J7" s="102">
        <v>912000</v>
      </c>
      <c r="K7" s="103">
        <v>912000</v>
      </c>
      <c r="L7" s="103">
        <v>91200</v>
      </c>
      <c r="M7" s="104">
        <v>1003200</v>
      </c>
      <c r="N7" s="2">
        <v>769827</v>
      </c>
      <c r="O7" s="2" t="s">
        <v>390</v>
      </c>
      <c r="P7" s="105">
        <v>142173</v>
      </c>
      <c r="Q7" s="106" t="s">
        <v>391</v>
      </c>
      <c r="R7" s="107" t="s">
        <v>9</v>
      </c>
      <c r="S7" s="108"/>
    </row>
    <row r="8" spans="1:19" ht="16.5" customHeight="1" x14ac:dyDescent="0.3">
      <c r="C8" s="97">
        <v>43874</v>
      </c>
      <c r="D8" s="98" t="s">
        <v>392</v>
      </c>
      <c r="E8" s="99" t="s">
        <v>393</v>
      </c>
      <c r="F8" s="99" t="s">
        <v>57</v>
      </c>
      <c r="G8" s="99" t="s">
        <v>384</v>
      </c>
      <c r="H8" s="100" t="s">
        <v>394</v>
      </c>
      <c r="I8" s="101">
        <v>1</v>
      </c>
      <c r="J8" s="102">
        <v>2056000</v>
      </c>
      <c r="K8" s="103">
        <v>2056000</v>
      </c>
      <c r="L8" s="103">
        <v>205600</v>
      </c>
      <c r="M8" s="104">
        <v>2261600</v>
      </c>
      <c r="N8" s="2">
        <v>1269000</v>
      </c>
      <c r="O8" s="2" t="s">
        <v>395</v>
      </c>
      <c r="P8" s="105">
        <v>787000</v>
      </c>
      <c r="Q8" s="106" t="s">
        <v>387</v>
      </c>
      <c r="R8" s="107" t="s">
        <v>9</v>
      </c>
      <c r="S8" s="108"/>
    </row>
    <row r="9" spans="1:19" ht="16.5" customHeight="1" x14ac:dyDescent="0.3">
      <c r="C9" s="97">
        <v>43874</v>
      </c>
      <c r="D9" s="98" t="s">
        <v>300</v>
      </c>
      <c r="E9" s="99" t="s">
        <v>396</v>
      </c>
      <c r="F9" s="99" t="s">
        <v>57</v>
      </c>
      <c r="G9" s="99" t="s">
        <v>384</v>
      </c>
      <c r="H9" s="100" t="s">
        <v>397</v>
      </c>
      <c r="I9" s="101">
        <v>1</v>
      </c>
      <c r="J9" s="102">
        <v>2260000</v>
      </c>
      <c r="K9" s="103">
        <v>2260000</v>
      </c>
      <c r="L9" s="103">
        <v>226000</v>
      </c>
      <c r="M9" s="104">
        <v>2486000</v>
      </c>
      <c r="N9" s="2">
        <v>1412650</v>
      </c>
      <c r="O9" s="2" t="s">
        <v>398</v>
      </c>
      <c r="P9" s="105">
        <v>847350</v>
      </c>
      <c r="Q9" s="106" t="s">
        <v>387</v>
      </c>
      <c r="R9" s="107" t="s">
        <v>9</v>
      </c>
      <c r="S9" s="108"/>
    </row>
    <row r="10" spans="1:19" ht="16.5" customHeight="1" x14ac:dyDescent="0.3">
      <c r="C10" s="97">
        <v>43874</v>
      </c>
      <c r="D10" s="98" t="s">
        <v>300</v>
      </c>
      <c r="E10" s="99" t="s">
        <v>399</v>
      </c>
      <c r="F10" s="99" t="s">
        <v>57</v>
      </c>
      <c r="G10" s="99" t="s">
        <v>384</v>
      </c>
      <c r="H10" s="100" t="s">
        <v>400</v>
      </c>
      <c r="I10" s="101">
        <v>1</v>
      </c>
      <c r="J10" s="102">
        <v>3045000</v>
      </c>
      <c r="K10" s="103">
        <v>3045000</v>
      </c>
      <c r="L10" s="103">
        <v>304500</v>
      </c>
      <c r="M10" s="104">
        <v>3349500</v>
      </c>
      <c r="N10" s="2">
        <v>1903500</v>
      </c>
      <c r="O10" s="2" t="s">
        <v>401</v>
      </c>
      <c r="P10" s="105">
        <v>1141500</v>
      </c>
      <c r="Q10" s="106" t="s">
        <v>387</v>
      </c>
      <c r="R10" s="107" t="s">
        <v>9</v>
      </c>
      <c r="S10" s="108"/>
    </row>
    <row r="11" spans="1:19" ht="16.5" customHeight="1" x14ac:dyDescent="0.3">
      <c r="C11" s="97">
        <v>43874</v>
      </c>
      <c r="D11" s="98" t="s">
        <v>297</v>
      </c>
      <c r="E11" s="99" t="s">
        <v>402</v>
      </c>
      <c r="F11" s="99" t="s">
        <v>57</v>
      </c>
      <c r="G11" s="99" t="s">
        <v>384</v>
      </c>
      <c r="H11" s="100" t="s">
        <v>403</v>
      </c>
      <c r="I11" s="101">
        <v>1</v>
      </c>
      <c r="J11" s="102">
        <v>419200</v>
      </c>
      <c r="K11" s="103">
        <v>419200</v>
      </c>
      <c r="L11" s="103">
        <v>41920</v>
      </c>
      <c r="M11" s="104">
        <v>461120</v>
      </c>
      <c r="N11" s="2">
        <v>262000</v>
      </c>
      <c r="O11" s="2" t="s">
        <v>404</v>
      </c>
      <c r="P11" s="105">
        <v>157200</v>
      </c>
      <c r="Q11" s="106" t="s">
        <v>387</v>
      </c>
      <c r="R11" s="107" t="s">
        <v>9</v>
      </c>
      <c r="S11" s="108"/>
    </row>
    <row r="12" spans="1:19" ht="16.5" customHeight="1" x14ac:dyDescent="0.3">
      <c r="C12" s="97">
        <v>43874</v>
      </c>
      <c r="D12" s="98" t="s">
        <v>297</v>
      </c>
      <c r="E12" s="99" t="s">
        <v>405</v>
      </c>
      <c r="F12" s="99" t="s">
        <v>57</v>
      </c>
      <c r="G12" s="99" t="s">
        <v>82</v>
      </c>
      <c r="H12" s="100" t="s">
        <v>406</v>
      </c>
      <c r="I12" s="101">
        <v>1</v>
      </c>
      <c r="J12" s="102">
        <v>419200</v>
      </c>
      <c r="K12" s="103">
        <v>419200</v>
      </c>
      <c r="L12" s="103">
        <v>41920</v>
      </c>
      <c r="M12" s="104">
        <v>461120</v>
      </c>
      <c r="N12" s="2">
        <v>262000</v>
      </c>
      <c r="O12" s="2" t="s">
        <v>404</v>
      </c>
      <c r="P12" s="105">
        <v>157200</v>
      </c>
      <c r="Q12" s="106" t="s">
        <v>387</v>
      </c>
      <c r="R12" s="107" t="s">
        <v>9</v>
      </c>
      <c r="S12" s="108"/>
    </row>
    <row r="13" spans="1:19" ht="16.5" customHeight="1" x14ac:dyDescent="0.3">
      <c r="C13" s="97">
        <v>43880</v>
      </c>
      <c r="D13" s="98" t="s">
        <v>300</v>
      </c>
      <c r="E13" s="99"/>
      <c r="F13" s="99" t="s">
        <v>27</v>
      </c>
      <c r="G13" s="99" t="s">
        <v>384</v>
      </c>
      <c r="H13" s="100" t="s">
        <v>407</v>
      </c>
      <c r="I13" s="101">
        <v>1</v>
      </c>
      <c r="J13" s="102">
        <v>3275000</v>
      </c>
      <c r="K13" s="103">
        <v>3275000</v>
      </c>
      <c r="L13" s="103">
        <v>327500</v>
      </c>
      <c r="M13" s="104">
        <v>3602500</v>
      </c>
      <c r="N13" s="2">
        <v>2047150</v>
      </c>
      <c r="O13" s="2" t="s">
        <v>386</v>
      </c>
      <c r="P13" s="105">
        <v>1227850</v>
      </c>
      <c r="Q13" s="106" t="s">
        <v>387</v>
      </c>
      <c r="R13" s="107" t="s">
        <v>9</v>
      </c>
      <c r="S13" s="108"/>
    </row>
    <row r="14" spans="1:19" ht="16.5" customHeight="1" x14ac:dyDescent="0.3">
      <c r="C14" s="97">
        <v>43882</v>
      </c>
      <c r="D14" s="98" t="s">
        <v>300</v>
      </c>
      <c r="E14" s="99" t="s">
        <v>408</v>
      </c>
      <c r="F14" s="99" t="s">
        <v>27</v>
      </c>
      <c r="G14" s="99" t="s">
        <v>384</v>
      </c>
      <c r="H14" s="100" t="s">
        <v>409</v>
      </c>
      <c r="I14" s="101">
        <v>1</v>
      </c>
      <c r="J14" s="102">
        <v>750000</v>
      </c>
      <c r="K14" s="103">
        <v>750000</v>
      </c>
      <c r="L14" s="103">
        <v>75000</v>
      </c>
      <c r="M14" s="104">
        <v>825000</v>
      </c>
      <c r="N14" s="2">
        <v>469000</v>
      </c>
      <c r="O14" s="2" t="s">
        <v>386</v>
      </c>
      <c r="P14" s="105">
        <v>281000</v>
      </c>
      <c r="Q14" s="106" t="s">
        <v>387</v>
      </c>
      <c r="R14" s="107" t="s">
        <v>9</v>
      </c>
      <c r="S14" s="108"/>
    </row>
    <row r="15" spans="1:19" ht="16.5" customHeight="1" x14ac:dyDescent="0.3">
      <c r="C15" s="97">
        <v>43885</v>
      </c>
      <c r="D15" s="98" t="s">
        <v>297</v>
      </c>
      <c r="E15" s="99" t="s">
        <v>410</v>
      </c>
      <c r="F15" s="99" t="s">
        <v>57</v>
      </c>
      <c r="G15" s="99" t="s">
        <v>82</v>
      </c>
      <c r="H15" s="100" t="s">
        <v>411</v>
      </c>
      <c r="I15" s="101">
        <v>1</v>
      </c>
      <c r="J15" s="102">
        <v>419200</v>
      </c>
      <c r="K15" s="103">
        <v>419200</v>
      </c>
      <c r="L15" s="103">
        <v>41920</v>
      </c>
      <c r="M15" s="104">
        <v>461120</v>
      </c>
      <c r="N15" s="2">
        <v>362555</v>
      </c>
      <c r="O15" s="2" t="s">
        <v>250</v>
      </c>
      <c r="P15" s="105">
        <v>56645</v>
      </c>
      <c r="Q15" s="106" t="s">
        <v>387</v>
      </c>
      <c r="R15" s="107" t="s">
        <v>9</v>
      </c>
      <c r="S15" s="108"/>
    </row>
    <row r="16" spans="1:19" ht="16.5" customHeight="1" x14ac:dyDescent="0.3">
      <c r="C16" s="97">
        <v>43887</v>
      </c>
      <c r="D16" s="98" t="s">
        <v>310</v>
      </c>
      <c r="E16" s="99"/>
      <c r="F16" s="99" t="s">
        <v>48</v>
      </c>
      <c r="G16" s="99" t="s">
        <v>358</v>
      </c>
      <c r="H16" s="100" t="s">
        <v>359</v>
      </c>
      <c r="I16" s="101">
        <v>1</v>
      </c>
      <c r="J16" s="102">
        <v>4700000</v>
      </c>
      <c r="K16" s="103">
        <v>4700000</v>
      </c>
      <c r="L16" s="103">
        <v>470000</v>
      </c>
      <c r="M16" s="104">
        <v>5170000</v>
      </c>
      <c r="N16" s="2">
        <v>3731000</v>
      </c>
      <c r="O16" s="2" t="s">
        <v>360</v>
      </c>
      <c r="P16" s="105">
        <v>969000</v>
      </c>
      <c r="Q16" s="157" t="s">
        <v>352</v>
      </c>
      <c r="R16" s="107" t="s">
        <v>8</v>
      </c>
      <c r="S16" s="108"/>
    </row>
    <row r="17" spans="3:20" ht="16.5" customHeight="1" x14ac:dyDescent="0.3">
      <c r="C17" s="97">
        <v>43887</v>
      </c>
      <c r="D17" s="98" t="s">
        <v>297</v>
      </c>
      <c r="E17" s="99"/>
      <c r="F17" s="99" t="s">
        <v>48</v>
      </c>
      <c r="G17" s="99" t="s">
        <v>412</v>
      </c>
      <c r="H17" s="100" t="s">
        <v>413</v>
      </c>
      <c r="I17" s="101">
        <v>2</v>
      </c>
      <c r="J17" s="102">
        <v>70000</v>
      </c>
      <c r="K17" s="103">
        <v>140000</v>
      </c>
      <c r="L17" s="103">
        <v>14000</v>
      </c>
      <c r="M17" s="104">
        <v>154000</v>
      </c>
      <c r="N17" s="104"/>
      <c r="O17" s="104" t="s">
        <v>414</v>
      </c>
      <c r="P17" s="105">
        <v>140000</v>
      </c>
      <c r="Q17" s="106" t="s">
        <v>387</v>
      </c>
      <c r="R17" s="107" t="s">
        <v>8</v>
      </c>
      <c r="S17" s="108"/>
    </row>
    <row r="18" spans="3:20" ht="16.5" customHeight="1" x14ac:dyDescent="0.3">
      <c r="C18" s="97">
        <v>43889</v>
      </c>
      <c r="D18" s="98" t="s">
        <v>300</v>
      </c>
      <c r="E18" s="99" t="s">
        <v>415</v>
      </c>
      <c r="F18" s="99" t="s">
        <v>27</v>
      </c>
      <c r="G18" s="99" t="s">
        <v>384</v>
      </c>
      <c r="H18" s="100" t="s">
        <v>361</v>
      </c>
      <c r="I18" s="101">
        <v>1</v>
      </c>
      <c r="J18" s="102">
        <v>550000</v>
      </c>
      <c r="K18" s="103">
        <v>550000</v>
      </c>
      <c r="L18" s="103">
        <v>55000</v>
      </c>
      <c r="M18" s="104">
        <v>605000</v>
      </c>
      <c r="N18" s="2">
        <v>343650</v>
      </c>
      <c r="O18" s="2" t="s">
        <v>386</v>
      </c>
      <c r="P18" s="105">
        <v>206350</v>
      </c>
      <c r="Q18" s="106" t="s">
        <v>387</v>
      </c>
      <c r="R18" s="107" t="s">
        <v>9</v>
      </c>
      <c r="S18" s="110"/>
    </row>
    <row r="19" spans="3:20" ht="16.5" customHeight="1" x14ac:dyDescent="0.3">
      <c r="C19" s="143">
        <v>43891</v>
      </c>
      <c r="D19" s="98" t="s">
        <v>1</v>
      </c>
      <c r="E19" s="98" t="s">
        <v>29</v>
      </c>
      <c r="F19" s="98" t="s">
        <v>30</v>
      </c>
      <c r="G19" s="99" t="s">
        <v>356</v>
      </c>
      <c r="H19" s="142" t="s">
        <v>222</v>
      </c>
      <c r="I19" s="99">
        <v>1</v>
      </c>
      <c r="J19" s="144">
        <v>421400</v>
      </c>
      <c r="K19" s="103">
        <v>421400</v>
      </c>
      <c r="L19" s="140">
        <v>42140</v>
      </c>
      <c r="M19" s="105">
        <v>463540</v>
      </c>
      <c r="N19" s="2">
        <v>411400</v>
      </c>
      <c r="O19" s="2" t="s">
        <v>416</v>
      </c>
      <c r="P19" s="104">
        <v>10000</v>
      </c>
      <c r="Q19" s="157">
        <v>43956</v>
      </c>
      <c r="R19" s="145" t="s">
        <v>2</v>
      </c>
      <c r="S19" s="108"/>
    </row>
    <row r="20" spans="3:20" ht="16.5" customHeight="1" x14ac:dyDescent="0.3">
      <c r="C20" s="143">
        <v>43891</v>
      </c>
      <c r="D20" s="98" t="s">
        <v>18</v>
      </c>
      <c r="E20" s="99" t="s">
        <v>357</v>
      </c>
      <c r="F20" s="98" t="s">
        <v>30</v>
      </c>
      <c r="G20" s="99" t="s">
        <v>356</v>
      </c>
      <c r="H20" s="142" t="s">
        <v>226</v>
      </c>
      <c r="I20" s="118">
        <v>1</v>
      </c>
      <c r="J20" s="102">
        <v>115000</v>
      </c>
      <c r="K20" s="103">
        <v>115000</v>
      </c>
      <c r="L20" s="140">
        <v>11500</v>
      </c>
      <c r="M20" s="105">
        <v>126500</v>
      </c>
      <c r="N20" s="2">
        <v>100000</v>
      </c>
      <c r="O20" s="2" t="s">
        <v>417</v>
      </c>
      <c r="P20" s="104">
        <v>15000</v>
      </c>
      <c r="Q20" s="106" t="s">
        <v>391</v>
      </c>
      <c r="R20" s="107" t="s">
        <v>0</v>
      </c>
      <c r="S20" s="108"/>
    </row>
    <row r="21" spans="3:20" ht="16.5" customHeight="1" x14ac:dyDescent="0.3">
      <c r="C21" s="127">
        <v>43906</v>
      </c>
      <c r="D21" s="128" t="s">
        <v>418</v>
      </c>
      <c r="E21" s="129"/>
      <c r="F21" s="129" t="s">
        <v>3</v>
      </c>
      <c r="G21" s="129" t="s">
        <v>384</v>
      </c>
      <c r="H21" s="130" t="s">
        <v>419</v>
      </c>
      <c r="I21" s="128">
        <v>10</v>
      </c>
      <c r="J21" s="131">
        <v>589000</v>
      </c>
      <c r="K21" s="132">
        <v>8762000</v>
      </c>
      <c r="L21" s="133">
        <v>876200</v>
      </c>
      <c r="M21" s="133">
        <v>9638200</v>
      </c>
      <c r="N21" s="132">
        <v>7686400</v>
      </c>
      <c r="O21" s="132" t="s">
        <v>420</v>
      </c>
      <c r="P21" s="132">
        <v>1075600</v>
      </c>
      <c r="Q21" s="134" t="s">
        <v>391</v>
      </c>
      <c r="R21" s="135" t="s">
        <v>0</v>
      </c>
      <c r="S21" s="294"/>
      <c r="T21" s="115">
        <v>43979</v>
      </c>
    </row>
    <row r="22" spans="3:20" ht="16.5" customHeight="1" x14ac:dyDescent="0.3">
      <c r="C22" s="143">
        <v>43907</v>
      </c>
      <c r="D22" s="98" t="s">
        <v>364</v>
      </c>
      <c r="E22" s="99"/>
      <c r="F22" s="99" t="s">
        <v>48</v>
      </c>
      <c r="G22" s="99" t="s">
        <v>421</v>
      </c>
      <c r="H22" s="146" t="s">
        <v>422</v>
      </c>
      <c r="I22" s="124">
        <v>70</v>
      </c>
      <c r="J22" s="102">
        <v>110000</v>
      </c>
      <c r="K22" s="103">
        <v>7700000</v>
      </c>
      <c r="L22" s="140">
        <v>770000</v>
      </c>
      <c r="M22" s="105">
        <v>8470000</v>
      </c>
      <c r="N22" s="2">
        <v>6812705</v>
      </c>
      <c r="O22" s="2" t="s">
        <v>423</v>
      </c>
      <c r="P22" s="104">
        <v>887295</v>
      </c>
      <c r="Q22" s="106" t="s">
        <v>391</v>
      </c>
      <c r="R22" s="107" t="s">
        <v>0</v>
      </c>
      <c r="S22" s="108"/>
    </row>
    <row r="23" spans="3:20" ht="16.5" customHeight="1" x14ac:dyDescent="0.3">
      <c r="C23" s="97">
        <v>43909</v>
      </c>
      <c r="D23" s="98" t="s">
        <v>424</v>
      </c>
      <c r="E23" s="99" t="s">
        <v>425</v>
      </c>
      <c r="F23" s="99" t="s">
        <v>3</v>
      </c>
      <c r="G23" s="99" t="s">
        <v>426</v>
      </c>
      <c r="H23" s="119" t="s">
        <v>427</v>
      </c>
      <c r="I23" s="118">
        <v>1</v>
      </c>
      <c r="J23" s="102">
        <v>564000</v>
      </c>
      <c r="K23" s="103">
        <v>3386000</v>
      </c>
      <c r="L23" s="140">
        <v>338600</v>
      </c>
      <c r="M23" s="105">
        <v>3724600</v>
      </c>
      <c r="N23" s="104">
        <v>1961010</v>
      </c>
      <c r="O23" s="147" t="s">
        <v>428</v>
      </c>
      <c r="P23" s="104">
        <v>1424990</v>
      </c>
      <c r="Q23" s="106" t="s">
        <v>391</v>
      </c>
      <c r="R23" s="107" t="s">
        <v>0</v>
      </c>
      <c r="S23" s="108"/>
    </row>
    <row r="24" spans="3:20" ht="16.5" customHeight="1" x14ac:dyDescent="0.3">
      <c r="C24" s="143">
        <v>43913</v>
      </c>
      <c r="D24" s="98" t="s">
        <v>364</v>
      </c>
      <c r="E24" s="99"/>
      <c r="F24" s="99" t="s">
        <v>48</v>
      </c>
      <c r="G24" s="99" t="s">
        <v>429</v>
      </c>
      <c r="H24" s="146" t="s">
        <v>430</v>
      </c>
      <c r="I24" s="124">
        <v>30</v>
      </c>
      <c r="J24" s="102">
        <v>115000</v>
      </c>
      <c r="K24" s="103">
        <v>3450000</v>
      </c>
      <c r="L24" s="140">
        <v>345000</v>
      </c>
      <c r="M24" s="105">
        <v>3795000</v>
      </c>
      <c r="N24" s="2">
        <v>2700000</v>
      </c>
      <c r="O24" s="2" t="s">
        <v>431</v>
      </c>
      <c r="P24" s="104">
        <v>750000</v>
      </c>
      <c r="Q24" s="106" t="s">
        <v>391</v>
      </c>
      <c r="R24" s="107" t="s">
        <v>0</v>
      </c>
      <c r="S24" s="108"/>
    </row>
    <row r="25" spans="3:20" ht="16.5" customHeight="1" x14ac:dyDescent="0.3">
      <c r="C25" s="148">
        <v>43917</v>
      </c>
      <c r="D25" s="149" t="s">
        <v>11</v>
      </c>
      <c r="E25" s="99" t="s">
        <v>432</v>
      </c>
      <c r="F25" s="99" t="s">
        <v>30</v>
      </c>
      <c r="G25" s="99" t="s">
        <v>58</v>
      </c>
      <c r="H25" s="119" t="s">
        <v>234</v>
      </c>
      <c r="I25" s="118">
        <v>1</v>
      </c>
      <c r="J25" s="102">
        <v>304000</v>
      </c>
      <c r="K25" s="103">
        <v>304000</v>
      </c>
      <c r="L25" s="140">
        <v>30400</v>
      </c>
      <c r="M25" s="105">
        <v>334400</v>
      </c>
      <c r="N25" s="2">
        <v>260100</v>
      </c>
      <c r="O25" s="2" t="s">
        <v>365</v>
      </c>
      <c r="P25" s="104">
        <v>43900</v>
      </c>
      <c r="Q25" s="157">
        <v>43971</v>
      </c>
      <c r="R25" s="107" t="s">
        <v>0</v>
      </c>
      <c r="S25" s="108"/>
    </row>
    <row r="26" spans="3:20" ht="16.5" customHeight="1" x14ac:dyDescent="0.3">
      <c r="C26" s="97">
        <v>43921</v>
      </c>
      <c r="D26" s="98" t="s">
        <v>28</v>
      </c>
      <c r="E26" s="99" t="s">
        <v>362</v>
      </c>
      <c r="F26" s="99" t="s">
        <v>30</v>
      </c>
      <c r="G26" s="99" t="s">
        <v>82</v>
      </c>
      <c r="H26" s="100" t="s">
        <v>433</v>
      </c>
      <c r="I26" s="101">
        <v>1</v>
      </c>
      <c r="J26" s="102">
        <v>267667</v>
      </c>
      <c r="K26" s="103">
        <v>267667</v>
      </c>
      <c r="L26" s="103">
        <v>26766.7</v>
      </c>
      <c r="M26" s="104">
        <v>294433.7</v>
      </c>
      <c r="N26" s="2">
        <v>228510</v>
      </c>
      <c r="O26" s="2" t="s">
        <v>434</v>
      </c>
      <c r="P26" s="104">
        <v>39157</v>
      </c>
      <c r="Q26" s="157">
        <v>43956</v>
      </c>
      <c r="R26" s="107" t="s">
        <v>26</v>
      </c>
      <c r="S26" s="108"/>
    </row>
    <row r="27" spans="3:20" ht="16.5" customHeight="1" x14ac:dyDescent="0.3">
      <c r="C27" s="97">
        <v>43921</v>
      </c>
      <c r="D27" s="98" t="s">
        <v>145</v>
      </c>
      <c r="E27" s="99" t="s">
        <v>181</v>
      </c>
      <c r="F27" s="99" t="s">
        <v>30</v>
      </c>
      <c r="G27" s="99" t="s">
        <v>82</v>
      </c>
      <c r="H27" s="100" t="s">
        <v>222</v>
      </c>
      <c r="I27" s="101">
        <v>1</v>
      </c>
      <c r="J27" s="102">
        <v>4442500</v>
      </c>
      <c r="K27" s="103">
        <v>4442500</v>
      </c>
      <c r="L27" s="103">
        <v>444250</v>
      </c>
      <c r="M27" s="104">
        <v>4886750</v>
      </c>
      <c r="N27" s="2">
        <v>4089600</v>
      </c>
      <c r="O27" s="2" t="s">
        <v>435</v>
      </c>
      <c r="P27" s="104">
        <v>352900</v>
      </c>
      <c r="Q27" s="157">
        <v>43971</v>
      </c>
      <c r="R27" s="107" t="s">
        <v>9</v>
      </c>
      <c r="S27" s="108"/>
    </row>
    <row r="28" spans="3:20" ht="16.5" customHeight="1" x14ac:dyDescent="0.3">
      <c r="C28" s="143">
        <v>43921</v>
      </c>
      <c r="D28" s="98" t="s">
        <v>5</v>
      </c>
      <c r="E28" s="99" t="s">
        <v>436</v>
      </c>
      <c r="F28" s="99" t="s">
        <v>48</v>
      </c>
      <c r="G28" s="99" t="s">
        <v>437</v>
      </c>
      <c r="H28" s="150" t="s">
        <v>438</v>
      </c>
      <c r="I28" s="151">
        <v>1</v>
      </c>
      <c r="J28" s="144">
        <v>850000</v>
      </c>
      <c r="K28" s="103">
        <v>850000</v>
      </c>
      <c r="L28" s="140">
        <v>85000</v>
      </c>
      <c r="M28" s="105">
        <v>935000</v>
      </c>
      <c r="N28" s="2">
        <v>300000</v>
      </c>
      <c r="O28" s="2" t="s">
        <v>439</v>
      </c>
      <c r="P28" s="104">
        <v>550000</v>
      </c>
      <c r="Q28" s="106" t="s">
        <v>391</v>
      </c>
      <c r="R28" s="107" t="s">
        <v>4</v>
      </c>
      <c r="S28" s="108"/>
    </row>
    <row r="29" spans="3:20" ht="16.5" customHeight="1" x14ac:dyDescent="0.3">
      <c r="C29" s="143">
        <v>43921</v>
      </c>
      <c r="D29" s="98" t="s">
        <v>5</v>
      </c>
      <c r="E29" s="99"/>
      <c r="F29" s="99" t="s">
        <v>48</v>
      </c>
      <c r="G29" s="99" t="s">
        <v>440</v>
      </c>
      <c r="H29" s="150" t="s">
        <v>441</v>
      </c>
      <c r="I29" s="151">
        <v>12</v>
      </c>
      <c r="J29" s="144">
        <v>4865000</v>
      </c>
      <c r="K29" s="103">
        <v>58380000</v>
      </c>
      <c r="L29" s="140">
        <v>5838000</v>
      </c>
      <c r="M29" s="105">
        <v>64218000</v>
      </c>
      <c r="N29" s="2">
        <v>50742120</v>
      </c>
      <c r="O29" s="2" t="s">
        <v>442</v>
      </c>
      <c r="P29" s="104">
        <v>7637880</v>
      </c>
      <c r="Q29" s="106" t="s">
        <v>391</v>
      </c>
      <c r="R29" s="107" t="s">
        <v>4</v>
      </c>
      <c r="S29" s="108"/>
    </row>
    <row r="30" spans="3:20" ht="16.5" customHeight="1" x14ac:dyDescent="0.3">
      <c r="C30" s="97">
        <v>43921</v>
      </c>
      <c r="D30" s="98" t="s">
        <v>366</v>
      </c>
      <c r="E30" s="99"/>
      <c r="F30" s="124" t="s">
        <v>48</v>
      </c>
      <c r="G30" s="99" t="s">
        <v>367</v>
      </c>
      <c r="H30" s="119" t="s">
        <v>368</v>
      </c>
      <c r="I30" s="118">
        <v>1</v>
      </c>
      <c r="J30" s="102">
        <v>3690000</v>
      </c>
      <c r="K30" s="103">
        <v>11760000</v>
      </c>
      <c r="L30" s="140">
        <v>1176000</v>
      </c>
      <c r="M30" s="105">
        <v>12936000</v>
      </c>
      <c r="N30" s="2">
        <v>10287760</v>
      </c>
      <c r="O30" s="2" t="s">
        <v>369</v>
      </c>
      <c r="P30" s="104">
        <v>1472240</v>
      </c>
      <c r="Q30" s="106" t="s">
        <v>391</v>
      </c>
      <c r="R30" s="107" t="s">
        <v>4</v>
      </c>
      <c r="S30" s="108"/>
    </row>
    <row r="31" spans="3:20" ht="16.5" customHeight="1" x14ac:dyDescent="0.3">
      <c r="C31" s="148">
        <v>43921</v>
      </c>
      <c r="D31" s="149" t="s">
        <v>370</v>
      </c>
      <c r="E31" s="124"/>
      <c r="F31" s="124" t="s">
        <v>371</v>
      </c>
      <c r="G31" s="124" t="s">
        <v>372</v>
      </c>
      <c r="H31" s="142" t="s">
        <v>373</v>
      </c>
      <c r="I31" s="98">
        <v>1</v>
      </c>
      <c r="J31" s="102">
        <v>220000</v>
      </c>
      <c r="K31" s="103">
        <v>220000</v>
      </c>
      <c r="L31" s="140">
        <v>22000</v>
      </c>
      <c r="M31" s="105">
        <v>22000</v>
      </c>
      <c r="N31" s="2">
        <v>170000</v>
      </c>
      <c r="O31" s="2" t="s">
        <v>374</v>
      </c>
      <c r="P31" s="104">
        <v>50000</v>
      </c>
      <c r="Q31" s="106" t="s">
        <v>443</v>
      </c>
      <c r="R31" s="107" t="s">
        <v>9</v>
      </c>
      <c r="S31" s="158" t="s">
        <v>477</v>
      </c>
      <c r="T31" s="152"/>
    </row>
    <row r="32" spans="3:20" ht="16.5" customHeight="1" x14ac:dyDescent="0.3">
      <c r="C32" s="97">
        <v>43950</v>
      </c>
      <c r="D32" s="98" t="s">
        <v>13</v>
      </c>
      <c r="E32" s="99" t="s">
        <v>444</v>
      </c>
      <c r="F32" s="99" t="s">
        <v>48</v>
      </c>
      <c r="G32" s="99" t="s">
        <v>445</v>
      </c>
      <c r="H32" s="100" t="s">
        <v>446</v>
      </c>
      <c r="I32" s="101">
        <v>1</v>
      </c>
      <c r="J32" s="102">
        <v>400000</v>
      </c>
      <c r="K32" s="103">
        <v>400000</v>
      </c>
      <c r="L32" s="140">
        <v>40000</v>
      </c>
      <c r="M32" s="105">
        <v>440000</v>
      </c>
      <c r="N32" s="104">
        <v>300000</v>
      </c>
      <c r="O32" s="147" t="s">
        <v>447</v>
      </c>
      <c r="P32" s="104">
        <v>100000</v>
      </c>
      <c r="Q32" s="125" t="s">
        <v>391</v>
      </c>
      <c r="R32" s="107" t="s">
        <v>9</v>
      </c>
      <c r="S32" s="136"/>
    </row>
    <row r="33" spans="3:20" ht="16.5" customHeight="1" x14ac:dyDescent="0.3">
      <c r="C33" s="97">
        <v>43950</v>
      </c>
      <c r="D33" s="98" t="s">
        <v>13</v>
      </c>
      <c r="E33" s="99" t="s">
        <v>444</v>
      </c>
      <c r="F33" s="99" t="s">
        <v>48</v>
      </c>
      <c r="G33" s="99" t="s">
        <v>448</v>
      </c>
      <c r="H33" s="100" t="s">
        <v>449</v>
      </c>
      <c r="I33" s="101">
        <v>1</v>
      </c>
      <c r="J33" s="102">
        <v>290000</v>
      </c>
      <c r="K33" s="103">
        <v>290000</v>
      </c>
      <c r="L33" s="140">
        <v>29000</v>
      </c>
      <c r="M33" s="105">
        <v>319000</v>
      </c>
      <c r="N33" s="2">
        <v>242000</v>
      </c>
      <c r="O33" s="2" t="s">
        <v>459</v>
      </c>
      <c r="P33" s="104">
        <v>48000</v>
      </c>
      <c r="Q33" s="125" t="s">
        <v>391</v>
      </c>
      <c r="R33" s="107" t="s">
        <v>9</v>
      </c>
      <c r="S33" s="136"/>
    </row>
    <row r="34" spans="3:20" ht="16.5" customHeight="1" x14ac:dyDescent="0.3">
      <c r="C34" s="97">
        <v>43950</v>
      </c>
      <c r="D34" s="98" t="s">
        <v>13</v>
      </c>
      <c r="E34" s="99" t="s">
        <v>450</v>
      </c>
      <c r="F34" s="99" t="s">
        <v>48</v>
      </c>
      <c r="G34" s="99" t="s">
        <v>451</v>
      </c>
      <c r="H34" s="100" t="s">
        <v>452</v>
      </c>
      <c r="I34" s="101">
        <v>2</v>
      </c>
      <c r="J34" s="102">
        <v>250000</v>
      </c>
      <c r="K34" s="103">
        <v>500000</v>
      </c>
      <c r="L34" s="140">
        <v>50000</v>
      </c>
      <c r="M34" s="105">
        <v>550000</v>
      </c>
      <c r="N34" s="104">
        <v>400000</v>
      </c>
      <c r="O34" s="147" t="s">
        <v>460</v>
      </c>
      <c r="P34" s="104">
        <v>100000</v>
      </c>
      <c r="Q34" s="125" t="s">
        <v>391</v>
      </c>
      <c r="R34" s="107" t="s">
        <v>9</v>
      </c>
      <c r="S34" s="136"/>
    </row>
    <row r="35" spans="3:20" ht="16.5" customHeight="1" x14ac:dyDescent="0.3">
      <c r="C35" s="97">
        <v>43950</v>
      </c>
      <c r="D35" s="98" t="s">
        <v>13</v>
      </c>
      <c r="E35" s="99" t="s">
        <v>453</v>
      </c>
      <c r="F35" s="99" t="s">
        <v>48</v>
      </c>
      <c r="G35" s="99" t="s">
        <v>454</v>
      </c>
      <c r="H35" s="100" t="s">
        <v>455</v>
      </c>
      <c r="I35" s="101">
        <v>1</v>
      </c>
      <c r="J35" s="102">
        <v>200000</v>
      </c>
      <c r="K35" s="103">
        <v>200000</v>
      </c>
      <c r="L35" s="140">
        <v>20000</v>
      </c>
      <c r="M35" s="105">
        <v>220000</v>
      </c>
      <c r="N35" s="104">
        <v>150000</v>
      </c>
      <c r="O35" s="147" t="s">
        <v>461</v>
      </c>
      <c r="P35" s="104">
        <v>50000</v>
      </c>
      <c r="Q35" s="125" t="s">
        <v>391</v>
      </c>
      <c r="R35" s="107" t="s">
        <v>9</v>
      </c>
      <c r="S35" s="136"/>
    </row>
    <row r="36" spans="3:20" ht="16.5" customHeight="1" x14ac:dyDescent="0.3">
      <c r="C36" s="97">
        <v>43950</v>
      </c>
      <c r="D36" s="98" t="s">
        <v>13</v>
      </c>
      <c r="E36" s="99" t="s">
        <v>456</v>
      </c>
      <c r="F36" s="99" t="s">
        <v>48</v>
      </c>
      <c r="G36" s="99" t="s">
        <v>457</v>
      </c>
      <c r="H36" s="100" t="s">
        <v>458</v>
      </c>
      <c r="I36" s="101">
        <v>1</v>
      </c>
      <c r="J36" s="102">
        <v>450000</v>
      </c>
      <c r="K36" s="103">
        <v>450000</v>
      </c>
      <c r="L36" s="140">
        <v>45000</v>
      </c>
      <c r="M36" s="105">
        <v>495000</v>
      </c>
      <c r="N36" s="104">
        <v>350000</v>
      </c>
      <c r="O36" s="147" t="s">
        <v>462</v>
      </c>
      <c r="P36" s="104">
        <v>100000</v>
      </c>
      <c r="Q36" s="125" t="s">
        <v>391</v>
      </c>
      <c r="R36" s="107" t="s">
        <v>9</v>
      </c>
      <c r="S36" s="136"/>
    </row>
    <row r="37" spans="3:20" ht="16.5" customHeight="1" x14ac:dyDescent="0.3">
      <c r="C37" s="148">
        <v>43952</v>
      </c>
      <c r="D37" s="98" t="s">
        <v>220</v>
      </c>
      <c r="E37" s="98" t="s">
        <v>221</v>
      </c>
      <c r="F37" s="98" t="s">
        <v>30</v>
      </c>
      <c r="G37" s="98" t="s">
        <v>86</v>
      </c>
      <c r="H37" s="142" t="s">
        <v>463</v>
      </c>
      <c r="I37" s="98">
        <v>1</v>
      </c>
      <c r="J37" s="102">
        <v>440000</v>
      </c>
      <c r="K37" s="103">
        <v>440000</v>
      </c>
      <c r="L37" s="140">
        <v>44000</v>
      </c>
      <c r="M37" s="140">
        <v>484000</v>
      </c>
      <c r="N37" s="2">
        <v>50000</v>
      </c>
      <c r="O37" s="154" t="s">
        <v>464</v>
      </c>
      <c r="P37" s="104">
        <v>390000</v>
      </c>
      <c r="Q37" s="106" t="s">
        <v>391</v>
      </c>
      <c r="R37" s="145" t="s">
        <v>0</v>
      </c>
      <c r="S37" s="108"/>
    </row>
    <row r="38" spans="3:20" ht="16.5" customHeight="1" x14ac:dyDescent="0.3">
      <c r="C38" s="148">
        <v>43952</v>
      </c>
      <c r="D38" s="149" t="s">
        <v>17</v>
      </c>
      <c r="E38" s="98"/>
      <c r="F38" s="98" t="s">
        <v>30</v>
      </c>
      <c r="G38" s="98" t="s">
        <v>86</v>
      </c>
      <c r="H38" s="142" t="s">
        <v>465</v>
      </c>
      <c r="I38" s="98">
        <v>1</v>
      </c>
      <c r="J38" s="102">
        <v>1715000</v>
      </c>
      <c r="K38" s="103">
        <v>1715000</v>
      </c>
      <c r="L38" s="140">
        <v>171500</v>
      </c>
      <c r="M38" s="140">
        <v>1886500</v>
      </c>
      <c r="N38" s="104">
        <v>1279500</v>
      </c>
      <c r="O38" s="147" t="s">
        <v>466</v>
      </c>
      <c r="P38" s="104">
        <v>435500</v>
      </c>
      <c r="Q38" s="106" t="s">
        <v>391</v>
      </c>
      <c r="R38" s="107" t="s">
        <v>4</v>
      </c>
      <c r="S38" s="108"/>
    </row>
    <row r="39" spans="3:20" ht="16.5" customHeight="1" x14ac:dyDescent="0.3">
      <c r="C39" s="148">
        <v>43952</v>
      </c>
      <c r="D39" s="98" t="s">
        <v>15</v>
      </c>
      <c r="E39" s="98" t="s">
        <v>225</v>
      </c>
      <c r="F39" s="98" t="s">
        <v>30</v>
      </c>
      <c r="G39" s="99" t="s">
        <v>356</v>
      </c>
      <c r="H39" s="142" t="s">
        <v>467</v>
      </c>
      <c r="I39" s="118">
        <v>1</v>
      </c>
      <c r="J39" s="102">
        <v>969350</v>
      </c>
      <c r="K39" s="103">
        <v>969350</v>
      </c>
      <c r="L39" s="140">
        <v>96935</v>
      </c>
      <c r="M39" s="140">
        <v>1066285</v>
      </c>
      <c r="N39" s="111">
        <v>920833</v>
      </c>
      <c r="O39" s="153" t="s">
        <v>468</v>
      </c>
      <c r="P39" s="104">
        <v>48517</v>
      </c>
      <c r="Q39" s="106" t="s">
        <v>391</v>
      </c>
      <c r="R39" s="145" t="s">
        <v>0</v>
      </c>
      <c r="S39" s="108"/>
    </row>
    <row r="40" spans="3:20" ht="33" x14ac:dyDescent="0.3">
      <c r="C40" s="155">
        <v>43952</v>
      </c>
      <c r="D40" s="98" t="s">
        <v>105</v>
      </c>
      <c r="E40" s="99" t="s">
        <v>106</v>
      </c>
      <c r="F40" s="124" t="s">
        <v>30</v>
      </c>
      <c r="G40" s="99" t="s">
        <v>351</v>
      </c>
      <c r="H40" s="142" t="s">
        <v>469</v>
      </c>
      <c r="I40" s="98">
        <v>1</v>
      </c>
      <c r="J40" s="102">
        <v>986000</v>
      </c>
      <c r="K40" s="103">
        <v>986000</v>
      </c>
      <c r="L40" s="103">
        <v>98600</v>
      </c>
      <c r="M40" s="103">
        <v>1084600</v>
      </c>
      <c r="N40" s="2">
        <v>588000</v>
      </c>
      <c r="O40" s="2" t="s">
        <v>470</v>
      </c>
      <c r="P40" s="105">
        <v>398000</v>
      </c>
      <c r="Q40" s="106" t="s">
        <v>391</v>
      </c>
      <c r="R40" s="145" t="s">
        <v>9</v>
      </c>
      <c r="S40" s="108"/>
    </row>
    <row r="41" spans="3:20" ht="36" x14ac:dyDescent="0.3">
      <c r="C41" s="143">
        <v>43966</v>
      </c>
      <c r="D41" s="98" t="s">
        <v>471</v>
      </c>
      <c r="E41" s="99"/>
      <c r="F41" s="98" t="s">
        <v>48</v>
      </c>
      <c r="G41" s="99" t="s">
        <v>472</v>
      </c>
      <c r="H41" s="150" t="s">
        <v>473</v>
      </c>
      <c r="I41" s="151">
        <v>1</v>
      </c>
      <c r="J41" s="144">
        <v>3860000</v>
      </c>
      <c r="K41" s="103">
        <v>6960000</v>
      </c>
      <c r="L41" s="140">
        <v>696000</v>
      </c>
      <c r="M41" s="105">
        <v>7656000</v>
      </c>
      <c r="N41" s="104">
        <v>5549000</v>
      </c>
      <c r="O41" s="147" t="s">
        <v>474</v>
      </c>
      <c r="P41" s="104">
        <v>1411000</v>
      </c>
      <c r="Q41" s="106" t="s">
        <v>391</v>
      </c>
      <c r="R41" s="107" t="s">
        <v>4</v>
      </c>
      <c r="S41" s="108"/>
    </row>
    <row r="42" spans="3:20" ht="16.5" customHeight="1" x14ac:dyDescent="0.3">
      <c r="C42" s="97">
        <v>43971</v>
      </c>
      <c r="D42" s="98" t="s">
        <v>235</v>
      </c>
      <c r="E42" s="99"/>
      <c r="F42" s="99" t="s">
        <v>30</v>
      </c>
      <c r="G42" s="99" t="s">
        <v>86</v>
      </c>
      <c r="H42" s="100" t="s">
        <v>463</v>
      </c>
      <c r="I42" s="101">
        <v>1</v>
      </c>
      <c r="J42" s="102">
        <v>1000000</v>
      </c>
      <c r="K42" s="103">
        <v>1000000</v>
      </c>
      <c r="L42" s="140">
        <v>100000</v>
      </c>
      <c r="M42" s="105">
        <v>1100000</v>
      </c>
      <c r="N42" s="2">
        <v>550000</v>
      </c>
      <c r="O42" s="2" t="s">
        <v>475</v>
      </c>
      <c r="P42" s="104">
        <v>450000</v>
      </c>
      <c r="Q42" s="106" t="s">
        <v>391</v>
      </c>
      <c r="R42" s="107" t="s">
        <v>9</v>
      </c>
      <c r="S42" s="108"/>
    </row>
    <row r="43" spans="3:20" ht="33" x14ac:dyDescent="0.3">
      <c r="C43" s="127">
        <v>43973</v>
      </c>
      <c r="D43" s="128" t="s">
        <v>346</v>
      </c>
      <c r="E43" s="129"/>
      <c r="F43" s="129" t="s">
        <v>30</v>
      </c>
      <c r="G43" s="129" t="s">
        <v>82</v>
      </c>
      <c r="H43" s="130" t="s">
        <v>476</v>
      </c>
      <c r="I43" s="128">
        <v>1</v>
      </c>
      <c r="J43" s="131">
        <v>176000</v>
      </c>
      <c r="K43" s="132">
        <v>176000</v>
      </c>
      <c r="L43" s="132">
        <v>17600</v>
      </c>
      <c r="M43" s="133">
        <v>193600</v>
      </c>
      <c r="N43" s="132">
        <v>133675.16666666666</v>
      </c>
      <c r="O43" s="132" t="s">
        <v>349</v>
      </c>
      <c r="P43" s="132">
        <v>42324.833333333343</v>
      </c>
      <c r="Q43" s="134" t="s">
        <v>391</v>
      </c>
      <c r="R43" s="135" t="s">
        <v>9</v>
      </c>
      <c r="S43" s="294"/>
      <c r="T43" s="115">
        <v>43979</v>
      </c>
    </row>
    <row r="46" spans="3:20" ht="16.5" customHeight="1" x14ac:dyDescent="0.3">
      <c r="M46" s="120">
        <f>SUM(M4:M43)</f>
        <v>169013368.69999999</v>
      </c>
    </row>
  </sheetData>
  <autoFilter ref="A3:S43" xr:uid="{00000000-0009-0000-0000-000009000000}"/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M2"/>
    <mergeCell ref="N2:N3"/>
    <mergeCell ref="O2:O3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T74"/>
  <sheetViews>
    <sheetView topLeftCell="C1" workbookViewId="0">
      <pane ySplit="3" topLeftCell="A70" activePane="bottomLeft" state="frozen"/>
      <selection activeCell="H34" sqref="H34"/>
      <selection pane="bottomLeft" activeCell="H34" sqref="H34"/>
    </sheetView>
  </sheetViews>
  <sheetFormatPr defaultRowHeight="16.5" customHeight="1" x14ac:dyDescent="0.3"/>
  <cols>
    <col min="1" max="1" width="10.75" hidden="1" customWidth="1"/>
    <col min="2" max="2" width="9.75" hidden="1" customWidth="1"/>
    <col min="3" max="3" width="11" customWidth="1"/>
    <col min="4" max="4" width="21.625" customWidth="1"/>
    <col min="5" max="5" width="14.125" customWidth="1"/>
    <col min="6" max="6" width="7.5" hidden="1" customWidth="1"/>
    <col min="7" max="7" width="10.875" hidden="1" customWidth="1"/>
    <col min="8" max="8" width="39.25" customWidth="1"/>
    <col min="9" max="9" width="4" customWidth="1"/>
    <col min="10" max="10" width="9.875" hidden="1" customWidth="1"/>
    <col min="11" max="12" width="11.5" customWidth="1"/>
    <col min="13" max="13" width="13.875" bestFit="1" customWidth="1"/>
    <col min="14" max="14" width="12.375" hidden="1" customWidth="1"/>
    <col min="15" max="15" width="30" hidden="1" customWidth="1"/>
    <col min="16" max="16" width="10.875" hidden="1" customWidth="1"/>
    <col min="17" max="17" width="12.25" customWidth="1"/>
    <col min="19" max="19" width="22.5" bestFit="1" customWidth="1"/>
    <col min="20" max="20" width="38.5" bestFit="1" customWidth="1"/>
  </cols>
  <sheetData>
    <row r="1" spans="1:20" ht="16.5" customHeight="1" thickBot="1" x14ac:dyDescent="0.35"/>
    <row r="2" spans="1:20" ht="16.5" customHeight="1" x14ac:dyDescent="0.3">
      <c r="A2" s="711" t="s">
        <v>59</v>
      </c>
      <c r="B2" s="713" t="s">
        <v>60</v>
      </c>
      <c r="C2" s="715" t="s">
        <v>61</v>
      </c>
      <c r="D2" s="717" t="s">
        <v>62</v>
      </c>
      <c r="E2" s="702" t="s">
        <v>63</v>
      </c>
      <c r="F2" s="702" t="s">
        <v>64</v>
      </c>
      <c r="G2" s="702" t="s">
        <v>65</v>
      </c>
      <c r="H2" s="704" t="s">
        <v>66</v>
      </c>
      <c r="I2" s="706" t="s">
        <v>67</v>
      </c>
      <c r="J2" s="708" t="s">
        <v>68</v>
      </c>
      <c r="K2" s="709"/>
      <c r="L2" s="709"/>
      <c r="M2" s="710"/>
      <c r="N2" s="696" t="s">
        <v>69</v>
      </c>
      <c r="O2" s="696" t="s">
        <v>70</v>
      </c>
      <c r="P2" s="696" t="s">
        <v>71</v>
      </c>
      <c r="Q2" s="698" t="s">
        <v>72</v>
      </c>
      <c r="R2" s="698" t="s">
        <v>73</v>
      </c>
      <c r="S2" s="700" t="s">
        <v>74</v>
      </c>
    </row>
    <row r="3" spans="1:20" ht="16.5" customHeight="1" x14ac:dyDescent="0.3">
      <c r="A3" s="712"/>
      <c r="B3" s="714"/>
      <c r="C3" s="716"/>
      <c r="D3" s="718"/>
      <c r="E3" s="703"/>
      <c r="F3" s="703"/>
      <c r="G3" s="703"/>
      <c r="H3" s="705"/>
      <c r="I3" s="707"/>
      <c r="J3" s="116" t="s">
        <v>75</v>
      </c>
      <c r="K3" s="117" t="s">
        <v>76</v>
      </c>
      <c r="L3" s="117" t="s">
        <v>77</v>
      </c>
      <c r="M3" s="117" t="s">
        <v>78</v>
      </c>
      <c r="N3" s="697"/>
      <c r="O3" s="697"/>
      <c r="P3" s="697"/>
      <c r="Q3" s="699"/>
      <c r="R3" s="699"/>
      <c r="S3" s="701"/>
    </row>
    <row r="4" spans="1:20" ht="16.5" customHeight="1" x14ac:dyDescent="0.3">
      <c r="C4" s="295">
        <v>43952</v>
      </c>
      <c r="D4" s="296" t="s">
        <v>220</v>
      </c>
      <c r="E4" s="296" t="s">
        <v>221</v>
      </c>
      <c r="F4" s="296" t="s">
        <v>30</v>
      </c>
      <c r="G4" s="296" t="s">
        <v>86</v>
      </c>
      <c r="H4" s="297" t="s">
        <v>463</v>
      </c>
      <c r="I4" s="296">
        <v>1</v>
      </c>
      <c r="J4" s="298">
        <v>440000</v>
      </c>
      <c r="K4" s="299">
        <v>440000</v>
      </c>
      <c r="L4" s="299">
        <v>44000</v>
      </c>
      <c r="M4" s="299">
        <v>484000</v>
      </c>
      <c r="N4" s="299">
        <v>50000</v>
      </c>
      <c r="O4" s="297" t="s">
        <v>464</v>
      </c>
      <c r="P4" s="299">
        <v>390000</v>
      </c>
      <c r="Q4" s="300" t="s">
        <v>391</v>
      </c>
      <c r="R4" s="303" t="s">
        <v>0</v>
      </c>
      <c r="S4" s="302"/>
      <c r="T4" s="115">
        <v>43980</v>
      </c>
    </row>
    <row r="5" spans="1:20" ht="16.5" customHeight="1" x14ac:dyDescent="0.3">
      <c r="C5" s="204"/>
      <c r="D5" s="166"/>
      <c r="E5" s="166"/>
      <c r="F5" s="166"/>
      <c r="G5" s="166"/>
      <c r="H5" s="193"/>
      <c r="I5" s="166"/>
      <c r="J5" s="198"/>
      <c r="K5" s="167"/>
      <c r="L5" s="167"/>
      <c r="M5" s="167"/>
      <c r="N5" s="199"/>
      <c r="O5" s="286"/>
      <c r="P5" s="168"/>
      <c r="Q5" s="185"/>
      <c r="R5" s="207"/>
      <c r="S5" s="187"/>
    </row>
    <row r="6" spans="1:20" ht="16.5" customHeight="1" x14ac:dyDescent="0.3">
      <c r="C6" s="265">
        <v>43891</v>
      </c>
      <c r="D6" s="288" t="s">
        <v>1</v>
      </c>
      <c r="E6" s="214" t="s">
        <v>29</v>
      </c>
      <c r="F6" s="214" t="s">
        <v>30</v>
      </c>
      <c r="G6" s="215" t="s">
        <v>356</v>
      </c>
      <c r="H6" s="258" t="s">
        <v>222</v>
      </c>
      <c r="I6" s="215">
        <v>1</v>
      </c>
      <c r="J6" s="268">
        <v>421400</v>
      </c>
      <c r="K6" s="219">
        <v>421400</v>
      </c>
      <c r="L6" s="219">
        <v>42140</v>
      </c>
      <c r="M6" s="220">
        <v>463540</v>
      </c>
      <c r="N6" s="249">
        <v>411400</v>
      </c>
      <c r="O6" s="249" t="s">
        <v>416</v>
      </c>
      <c r="P6" s="220">
        <v>10000</v>
      </c>
      <c r="Q6" s="280">
        <v>43956</v>
      </c>
      <c r="R6" s="284" t="s">
        <v>2</v>
      </c>
      <c r="S6" s="285"/>
    </row>
    <row r="7" spans="1:20" ht="16.5" customHeight="1" x14ac:dyDescent="0.3">
      <c r="C7" s="159">
        <v>43921</v>
      </c>
      <c r="D7" s="163" t="s">
        <v>28</v>
      </c>
      <c r="E7" s="99" t="s">
        <v>362</v>
      </c>
      <c r="F7" s="160" t="s">
        <v>30</v>
      </c>
      <c r="G7" s="99" t="s">
        <v>82</v>
      </c>
      <c r="H7" s="100" t="s">
        <v>433</v>
      </c>
      <c r="I7" s="101">
        <v>1</v>
      </c>
      <c r="J7" s="102">
        <v>267667</v>
      </c>
      <c r="K7" s="103">
        <v>267667</v>
      </c>
      <c r="L7" s="103">
        <v>26766.7</v>
      </c>
      <c r="M7" s="104">
        <v>294433.7</v>
      </c>
      <c r="N7" s="2">
        <v>228510</v>
      </c>
      <c r="O7" s="2" t="s">
        <v>434</v>
      </c>
      <c r="P7" s="105">
        <v>39157</v>
      </c>
      <c r="Q7" s="157">
        <v>43956</v>
      </c>
      <c r="R7" s="107" t="s">
        <v>26</v>
      </c>
      <c r="S7" s="225"/>
    </row>
    <row r="8" spans="1:20" ht="16.5" customHeight="1" x14ac:dyDescent="0.3">
      <c r="C8" s="252"/>
      <c r="D8" s="226"/>
      <c r="E8" s="227"/>
      <c r="F8" s="227"/>
      <c r="G8" s="227"/>
      <c r="H8" s="228"/>
      <c r="I8" s="229"/>
      <c r="J8" s="230"/>
      <c r="K8" s="231"/>
      <c r="L8" s="231"/>
      <c r="M8" s="281">
        <f>SUM(M6:M7)</f>
        <v>757973.7</v>
      </c>
      <c r="N8" s="113"/>
      <c r="O8" s="113"/>
      <c r="P8" s="282">
        <f>SUM(P6:P7)</f>
        <v>49157</v>
      </c>
      <c r="Q8" s="283"/>
      <c r="R8" s="237"/>
      <c r="S8" s="238"/>
    </row>
    <row r="9" spans="1:20" ht="16.5" customHeight="1" x14ac:dyDescent="0.3">
      <c r="C9" s="195"/>
      <c r="D9" s="166"/>
      <c r="E9" s="165"/>
      <c r="F9" s="165"/>
      <c r="G9" s="165"/>
      <c r="H9" s="196"/>
      <c r="I9" s="197"/>
      <c r="J9" s="198"/>
      <c r="K9" s="167"/>
      <c r="L9" s="167"/>
      <c r="M9" s="168"/>
      <c r="N9" s="199"/>
      <c r="O9" s="199"/>
      <c r="P9" s="168"/>
      <c r="Q9" s="275"/>
      <c r="R9" s="186"/>
      <c r="S9" s="187"/>
    </row>
    <row r="10" spans="1:20" ht="16.5" customHeight="1" x14ac:dyDescent="0.3">
      <c r="C10" s="200">
        <v>43874</v>
      </c>
      <c r="D10" s="287" t="s">
        <v>392</v>
      </c>
      <c r="E10" s="189" t="s">
        <v>393</v>
      </c>
      <c r="F10" s="189" t="s">
        <v>57</v>
      </c>
      <c r="G10" s="189" t="s">
        <v>384</v>
      </c>
      <c r="H10" s="201" t="s">
        <v>394</v>
      </c>
      <c r="I10" s="202">
        <v>1</v>
      </c>
      <c r="J10" s="172">
        <v>2056000</v>
      </c>
      <c r="K10" s="173">
        <v>2056000</v>
      </c>
      <c r="L10" s="173">
        <v>205600</v>
      </c>
      <c r="M10" s="174">
        <v>2261600</v>
      </c>
      <c r="N10" s="203">
        <v>1269000</v>
      </c>
      <c r="O10" s="203" t="s">
        <v>395</v>
      </c>
      <c r="P10" s="175">
        <v>787000</v>
      </c>
      <c r="Q10" s="177" t="s">
        <v>387</v>
      </c>
      <c r="R10" s="178" t="s">
        <v>9</v>
      </c>
      <c r="S10" s="179"/>
    </row>
    <row r="11" spans="1:20" ht="16.5" customHeight="1" x14ac:dyDescent="0.3">
      <c r="C11" s="195"/>
      <c r="D11" s="166"/>
      <c r="E11" s="165"/>
      <c r="F11" s="165"/>
      <c r="G11" s="165"/>
      <c r="H11" s="196"/>
      <c r="I11" s="197"/>
      <c r="J11" s="198"/>
      <c r="K11" s="167"/>
      <c r="L11" s="167"/>
      <c r="M11" s="168"/>
      <c r="N11" s="199"/>
      <c r="O11" s="199"/>
      <c r="P11" s="168"/>
      <c r="Q11" s="185"/>
      <c r="R11" s="186"/>
      <c r="S11" s="187"/>
    </row>
    <row r="12" spans="1:20" ht="16.5" customHeight="1" x14ac:dyDescent="0.3">
      <c r="C12" s="213">
        <v>43874</v>
      </c>
      <c r="D12" s="288" t="s">
        <v>297</v>
      </c>
      <c r="E12" s="215" t="s">
        <v>402</v>
      </c>
      <c r="F12" s="215" t="s">
        <v>57</v>
      </c>
      <c r="G12" s="215" t="s">
        <v>384</v>
      </c>
      <c r="H12" s="216" t="s">
        <v>403</v>
      </c>
      <c r="I12" s="217">
        <v>1</v>
      </c>
      <c r="J12" s="218">
        <v>419200</v>
      </c>
      <c r="K12" s="219">
        <v>419200</v>
      </c>
      <c r="L12" s="219">
        <v>41920</v>
      </c>
      <c r="M12" s="220">
        <v>461120</v>
      </c>
      <c r="N12" s="249">
        <v>262000</v>
      </c>
      <c r="O12" s="249" t="s">
        <v>404</v>
      </c>
      <c r="P12" s="220">
        <v>157200</v>
      </c>
      <c r="Q12" s="221" t="s">
        <v>387</v>
      </c>
      <c r="R12" s="222" t="s">
        <v>9</v>
      </c>
      <c r="S12" s="223"/>
    </row>
    <row r="13" spans="1:20" ht="16.5" customHeight="1" x14ac:dyDescent="0.3">
      <c r="C13" s="159">
        <v>43874</v>
      </c>
      <c r="D13" s="163" t="s">
        <v>297</v>
      </c>
      <c r="E13" s="99" t="s">
        <v>405</v>
      </c>
      <c r="F13" s="99" t="s">
        <v>57</v>
      </c>
      <c r="G13" s="99" t="s">
        <v>82</v>
      </c>
      <c r="H13" s="100" t="s">
        <v>406</v>
      </c>
      <c r="I13" s="101">
        <v>1</v>
      </c>
      <c r="J13" s="102">
        <v>419200</v>
      </c>
      <c r="K13" s="103">
        <v>419200</v>
      </c>
      <c r="L13" s="103">
        <v>41920</v>
      </c>
      <c r="M13" s="104">
        <v>461120</v>
      </c>
      <c r="N13" s="2">
        <v>262000</v>
      </c>
      <c r="O13" s="2" t="s">
        <v>404</v>
      </c>
      <c r="P13" s="105">
        <v>157200</v>
      </c>
      <c r="Q13" s="106" t="s">
        <v>387</v>
      </c>
      <c r="R13" s="107" t="s">
        <v>9</v>
      </c>
      <c r="S13" s="225"/>
    </row>
    <row r="14" spans="1:20" ht="16.5" customHeight="1" x14ac:dyDescent="0.3">
      <c r="C14" s="159">
        <v>43885</v>
      </c>
      <c r="D14" s="163" t="s">
        <v>297</v>
      </c>
      <c r="E14" s="99" t="s">
        <v>410</v>
      </c>
      <c r="F14" s="99" t="s">
        <v>57</v>
      </c>
      <c r="G14" s="99" t="s">
        <v>82</v>
      </c>
      <c r="H14" s="100" t="s">
        <v>411</v>
      </c>
      <c r="I14" s="101">
        <v>1</v>
      </c>
      <c r="J14" s="102">
        <v>419200</v>
      </c>
      <c r="K14" s="103">
        <v>419200</v>
      </c>
      <c r="L14" s="103">
        <v>41920</v>
      </c>
      <c r="M14" s="104">
        <v>461120</v>
      </c>
      <c r="N14" s="2">
        <v>362555</v>
      </c>
      <c r="O14" s="2" t="s">
        <v>250</v>
      </c>
      <c r="P14" s="105">
        <v>56645</v>
      </c>
      <c r="Q14" s="106" t="s">
        <v>387</v>
      </c>
      <c r="R14" s="107" t="s">
        <v>9</v>
      </c>
      <c r="S14" s="225"/>
    </row>
    <row r="15" spans="1:20" ht="16.5" customHeight="1" x14ac:dyDescent="0.3">
      <c r="C15" s="159">
        <v>43887</v>
      </c>
      <c r="D15" s="163" t="s">
        <v>297</v>
      </c>
      <c r="E15" s="99"/>
      <c r="F15" s="99" t="s">
        <v>48</v>
      </c>
      <c r="G15" s="99" t="s">
        <v>412</v>
      </c>
      <c r="H15" s="100" t="s">
        <v>413</v>
      </c>
      <c r="I15" s="101">
        <v>2</v>
      </c>
      <c r="J15" s="102">
        <v>70000</v>
      </c>
      <c r="K15" s="103">
        <v>140000</v>
      </c>
      <c r="L15" s="103">
        <v>14000</v>
      </c>
      <c r="M15" s="104">
        <v>154000</v>
      </c>
      <c r="N15" s="104"/>
      <c r="O15" s="104" t="s">
        <v>414</v>
      </c>
      <c r="P15" s="105">
        <v>140000</v>
      </c>
      <c r="Q15" s="106" t="s">
        <v>387</v>
      </c>
      <c r="R15" s="107" t="s">
        <v>8</v>
      </c>
      <c r="S15" s="225"/>
    </row>
    <row r="16" spans="1:20" ht="16.5" customHeight="1" x14ac:dyDescent="0.3">
      <c r="C16" s="252"/>
      <c r="D16" s="226"/>
      <c r="E16" s="227"/>
      <c r="F16" s="227"/>
      <c r="G16" s="227"/>
      <c r="H16" s="228"/>
      <c r="I16" s="229"/>
      <c r="J16" s="230"/>
      <c r="K16" s="231"/>
      <c r="L16" s="231"/>
      <c r="M16" s="281">
        <f>SUM(M12:M15)</f>
        <v>1537360</v>
      </c>
      <c r="N16" s="234"/>
      <c r="O16" s="234"/>
      <c r="P16" s="282">
        <f>SUM(P12:P15)</f>
        <v>511045</v>
      </c>
      <c r="Q16" s="236"/>
      <c r="R16" s="237"/>
      <c r="S16" s="238"/>
    </row>
    <row r="17" spans="3:20" ht="16.5" customHeight="1" x14ac:dyDescent="0.3">
      <c r="C17" s="195"/>
      <c r="D17" s="166"/>
      <c r="E17" s="165"/>
      <c r="F17" s="165"/>
      <c r="G17" s="165"/>
      <c r="H17" s="196"/>
      <c r="I17" s="197"/>
      <c r="J17" s="198"/>
      <c r="K17" s="167"/>
      <c r="L17" s="167"/>
      <c r="M17" s="168"/>
      <c r="N17" s="168"/>
      <c r="O17" s="168"/>
      <c r="P17" s="168"/>
      <c r="Q17" s="185"/>
      <c r="R17" s="186"/>
      <c r="S17" s="187"/>
    </row>
    <row r="18" spans="3:20" ht="16.5" customHeight="1" x14ac:dyDescent="0.3">
      <c r="C18" s="188">
        <v>43891</v>
      </c>
      <c r="D18" s="287" t="s">
        <v>18</v>
      </c>
      <c r="E18" s="189" t="s">
        <v>357</v>
      </c>
      <c r="F18" s="170" t="s">
        <v>30</v>
      </c>
      <c r="G18" s="189" t="s">
        <v>356</v>
      </c>
      <c r="H18" s="171" t="s">
        <v>226</v>
      </c>
      <c r="I18" s="208">
        <v>1</v>
      </c>
      <c r="J18" s="172">
        <v>115000</v>
      </c>
      <c r="K18" s="173">
        <v>115000</v>
      </c>
      <c r="L18" s="173">
        <v>11500</v>
      </c>
      <c r="M18" s="174">
        <v>126500</v>
      </c>
      <c r="N18" s="203">
        <v>100000</v>
      </c>
      <c r="O18" s="203" t="s">
        <v>417</v>
      </c>
      <c r="P18" s="175">
        <v>15000</v>
      </c>
      <c r="Q18" s="177" t="s">
        <v>391</v>
      </c>
      <c r="R18" s="178" t="s">
        <v>0</v>
      </c>
      <c r="S18" s="179"/>
    </row>
    <row r="19" spans="3:20" ht="16.5" customHeight="1" x14ac:dyDescent="0.3">
      <c r="C19" s="180"/>
      <c r="D19" s="166"/>
      <c r="E19" s="165"/>
      <c r="F19" s="166"/>
      <c r="G19" s="165"/>
      <c r="H19" s="193"/>
      <c r="I19" s="194"/>
      <c r="J19" s="198"/>
      <c r="K19" s="167"/>
      <c r="L19" s="167"/>
      <c r="M19" s="168"/>
      <c r="N19" s="199"/>
      <c r="O19" s="199"/>
      <c r="P19" s="168"/>
      <c r="Q19" s="185"/>
      <c r="R19" s="186"/>
      <c r="S19" s="187"/>
    </row>
    <row r="20" spans="3:20" ht="16.5" customHeight="1" x14ac:dyDescent="0.3">
      <c r="C20" s="200">
        <v>43871</v>
      </c>
      <c r="D20" s="287" t="s">
        <v>353</v>
      </c>
      <c r="E20" s="189" t="s">
        <v>388</v>
      </c>
      <c r="F20" s="189" t="s">
        <v>57</v>
      </c>
      <c r="G20" s="189" t="s">
        <v>82</v>
      </c>
      <c r="H20" s="201" t="s">
        <v>389</v>
      </c>
      <c r="I20" s="202">
        <v>1</v>
      </c>
      <c r="J20" s="172">
        <v>912000</v>
      </c>
      <c r="K20" s="173">
        <v>912000</v>
      </c>
      <c r="L20" s="173">
        <v>91200</v>
      </c>
      <c r="M20" s="174">
        <v>1003200</v>
      </c>
      <c r="N20" s="203">
        <v>769827</v>
      </c>
      <c r="O20" s="203" t="s">
        <v>390</v>
      </c>
      <c r="P20" s="175">
        <v>142173</v>
      </c>
      <c r="Q20" s="177" t="s">
        <v>391</v>
      </c>
      <c r="R20" s="178" t="s">
        <v>9</v>
      </c>
      <c r="S20" s="179"/>
    </row>
    <row r="21" spans="3:20" ht="16.5" customHeight="1" x14ac:dyDescent="0.3">
      <c r="C21" s="195"/>
      <c r="D21" s="166"/>
      <c r="E21" s="165"/>
      <c r="F21" s="165"/>
      <c r="G21" s="165"/>
      <c r="H21" s="196"/>
      <c r="I21" s="197"/>
      <c r="J21" s="198"/>
      <c r="K21" s="167"/>
      <c r="L21" s="167"/>
      <c r="M21" s="168"/>
      <c r="N21" s="199"/>
      <c r="O21" s="199"/>
      <c r="P21" s="168"/>
      <c r="Q21" s="185"/>
      <c r="R21" s="186"/>
      <c r="S21" s="187"/>
    </row>
    <row r="22" spans="3:20" ht="16.5" customHeight="1" x14ac:dyDescent="0.3">
      <c r="C22" s="257">
        <v>43917</v>
      </c>
      <c r="D22" s="289" t="s">
        <v>11</v>
      </c>
      <c r="E22" s="215" t="s">
        <v>432</v>
      </c>
      <c r="F22" s="215" t="s">
        <v>30</v>
      </c>
      <c r="G22" s="215" t="s">
        <v>58</v>
      </c>
      <c r="H22" s="278" t="s">
        <v>234</v>
      </c>
      <c r="I22" s="279">
        <v>1</v>
      </c>
      <c r="J22" s="218">
        <v>304000</v>
      </c>
      <c r="K22" s="219">
        <v>304000</v>
      </c>
      <c r="L22" s="219">
        <v>30400</v>
      </c>
      <c r="M22" s="220">
        <v>334400</v>
      </c>
      <c r="N22" s="249">
        <v>260100</v>
      </c>
      <c r="O22" s="249" t="s">
        <v>365</v>
      </c>
      <c r="P22" s="220">
        <v>43900</v>
      </c>
      <c r="Q22" s="280">
        <v>43971</v>
      </c>
      <c r="R22" s="222" t="s">
        <v>0</v>
      </c>
      <c r="S22" s="223"/>
    </row>
    <row r="23" spans="3:20" ht="16.5" customHeight="1" x14ac:dyDescent="0.3">
      <c r="C23" s="159">
        <v>43921</v>
      </c>
      <c r="D23" s="163" t="s">
        <v>145</v>
      </c>
      <c r="E23" s="99" t="s">
        <v>181</v>
      </c>
      <c r="F23" s="99" t="s">
        <v>30</v>
      </c>
      <c r="G23" s="99" t="s">
        <v>82</v>
      </c>
      <c r="H23" s="100" t="s">
        <v>222</v>
      </c>
      <c r="I23" s="101">
        <v>1</v>
      </c>
      <c r="J23" s="102">
        <v>4442500</v>
      </c>
      <c r="K23" s="103">
        <v>4442500</v>
      </c>
      <c r="L23" s="103">
        <v>444250</v>
      </c>
      <c r="M23" s="104">
        <v>4886750</v>
      </c>
      <c r="N23" s="2">
        <v>4089600</v>
      </c>
      <c r="O23" s="2" t="s">
        <v>435</v>
      </c>
      <c r="P23" s="105">
        <v>352900</v>
      </c>
      <c r="Q23" s="157">
        <v>43971</v>
      </c>
      <c r="R23" s="107" t="s">
        <v>9</v>
      </c>
      <c r="S23" s="225"/>
    </row>
    <row r="24" spans="3:20" ht="16.5" customHeight="1" x14ac:dyDescent="0.3">
      <c r="C24" s="252"/>
      <c r="D24" s="226"/>
      <c r="E24" s="227"/>
      <c r="F24" s="227"/>
      <c r="G24" s="227"/>
      <c r="H24" s="228"/>
      <c r="I24" s="229"/>
      <c r="J24" s="230"/>
      <c r="K24" s="231"/>
      <c r="L24" s="231"/>
      <c r="M24" s="281">
        <f>SUM(M22:M23)</f>
        <v>5221150</v>
      </c>
      <c r="N24" s="113"/>
      <c r="O24" s="113"/>
      <c r="P24" s="282">
        <f>SUM(P22:P23)</f>
        <v>396800</v>
      </c>
      <c r="Q24" s="283"/>
      <c r="R24" s="237"/>
      <c r="S24" s="238"/>
    </row>
    <row r="25" spans="3:20" ht="16.5" customHeight="1" x14ac:dyDescent="0.3">
      <c r="C25" s="195"/>
      <c r="D25" s="166"/>
      <c r="E25" s="165"/>
      <c r="F25" s="165"/>
      <c r="G25" s="165"/>
      <c r="H25" s="196"/>
      <c r="I25" s="197"/>
      <c r="J25" s="198"/>
      <c r="K25" s="167"/>
      <c r="L25" s="167"/>
      <c r="M25" s="168"/>
      <c r="N25" s="199"/>
      <c r="O25" s="199"/>
      <c r="P25" s="168"/>
      <c r="Q25" s="275"/>
      <c r="R25" s="186"/>
      <c r="S25" s="187"/>
    </row>
    <row r="26" spans="3:20" ht="16.5" customHeight="1" x14ac:dyDescent="0.3">
      <c r="C26" s="277">
        <v>43952</v>
      </c>
      <c r="D26" s="287" t="s">
        <v>105</v>
      </c>
      <c r="E26" s="189" t="s">
        <v>479</v>
      </c>
      <c r="F26" s="170" t="s">
        <v>30</v>
      </c>
      <c r="G26" s="189" t="s">
        <v>351</v>
      </c>
      <c r="H26" s="171" t="s">
        <v>469</v>
      </c>
      <c r="I26" s="170">
        <v>1</v>
      </c>
      <c r="J26" s="172">
        <v>986000</v>
      </c>
      <c r="K26" s="173">
        <v>986000</v>
      </c>
      <c r="L26" s="173">
        <v>98600</v>
      </c>
      <c r="M26" s="174">
        <v>1084600</v>
      </c>
      <c r="N26" s="203">
        <v>588000</v>
      </c>
      <c r="O26" s="203" t="s">
        <v>470</v>
      </c>
      <c r="P26" s="175">
        <v>398000</v>
      </c>
      <c r="Q26" s="177" t="s">
        <v>391</v>
      </c>
      <c r="R26" s="211" t="s">
        <v>9</v>
      </c>
      <c r="S26" s="179"/>
    </row>
    <row r="27" spans="3:20" ht="16.5" customHeight="1" x14ac:dyDescent="0.3">
      <c r="C27" s="276"/>
      <c r="D27" s="166"/>
      <c r="E27" s="165"/>
      <c r="F27" s="166"/>
      <c r="G27" s="165"/>
      <c r="H27" s="193"/>
      <c r="I27" s="166"/>
      <c r="J27" s="198"/>
      <c r="K27" s="167"/>
      <c r="L27" s="167"/>
      <c r="M27" s="167"/>
      <c r="N27" s="199"/>
      <c r="O27" s="199"/>
      <c r="P27" s="168"/>
      <c r="Q27" s="185"/>
      <c r="R27" s="207"/>
      <c r="S27" s="187"/>
    </row>
    <row r="28" spans="3:20" ht="16.5" customHeight="1" x14ac:dyDescent="0.3">
      <c r="C28" s="200">
        <v>43887</v>
      </c>
      <c r="D28" s="287" t="s">
        <v>310</v>
      </c>
      <c r="E28" s="189"/>
      <c r="F28" s="189" t="s">
        <v>48</v>
      </c>
      <c r="G28" s="189" t="s">
        <v>358</v>
      </c>
      <c r="H28" s="201" t="s">
        <v>359</v>
      </c>
      <c r="I28" s="202">
        <v>1</v>
      </c>
      <c r="J28" s="172">
        <v>4700000</v>
      </c>
      <c r="K28" s="173">
        <v>4700000</v>
      </c>
      <c r="L28" s="173">
        <v>470000</v>
      </c>
      <c r="M28" s="174">
        <v>5170000</v>
      </c>
      <c r="N28" s="203">
        <v>3731000</v>
      </c>
      <c r="O28" s="203" t="s">
        <v>360</v>
      </c>
      <c r="P28" s="175">
        <v>969000</v>
      </c>
      <c r="Q28" s="293" t="s">
        <v>352</v>
      </c>
      <c r="R28" s="178" t="s">
        <v>8</v>
      </c>
      <c r="S28" s="179"/>
      <c r="T28" s="123" t="s">
        <v>379</v>
      </c>
    </row>
    <row r="29" spans="3:20" ht="16.5" customHeight="1" x14ac:dyDescent="0.3">
      <c r="C29" s="195"/>
      <c r="D29" s="166"/>
      <c r="E29" s="165"/>
      <c r="F29" s="165"/>
      <c r="G29" s="165"/>
      <c r="H29" s="196"/>
      <c r="I29" s="197"/>
      <c r="J29" s="198"/>
      <c r="K29" s="167"/>
      <c r="L29" s="167"/>
      <c r="M29" s="168"/>
      <c r="N29" s="199"/>
      <c r="O29" s="199"/>
      <c r="P29" s="168"/>
      <c r="Q29" s="275"/>
      <c r="R29" s="186"/>
      <c r="S29" s="187"/>
    </row>
    <row r="30" spans="3:20" ht="16.5" customHeight="1" x14ac:dyDescent="0.3">
      <c r="C30" s="265">
        <v>43907</v>
      </c>
      <c r="D30" s="288" t="s">
        <v>364</v>
      </c>
      <c r="E30" s="215"/>
      <c r="F30" s="215" t="s">
        <v>48</v>
      </c>
      <c r="G30" s="215" t="s">
        <v>421</v>
      </c>
      <c r="H30" s="258" t="s">
        <v>422</v>
      </c>
      <c r="I30" s="214">
        <v>70</v>
      </c>
      <c r="J30" s="218">
        <v>110000</v>
      </c>
      <c r="K30" s="219">
        <v>7700000</v>
      </c>
      <c r="L30" s="219">
        <v>770000</v>
      </c>
      <c r="M30" s="220">
        <v>8470000</v>
      </c>
      <c r="N30" s="249">
        <v>6812705</v>
      </c>
      <c r="O30" s="249" t="s">
        <v>423</v>
      </c>
      <c r="P30" s="220">
        <v>887295</v>
      </c>
      <c r="Q30" s="221" t="s">
        <v>391</v>
      </c>
      <c r="R30" s="222" t="s">
        <v>0</v>
      </c>
      <c r="S30" s="223"/>
    </row>
    <row r="31" spans="3:20" ht="16.5" customHeight="1" x14ac:dyDescent="0.3">
      <c r="C31" s="269">
        <v>43913</v>
      </c>
      <c r="D31" s="163" t="s">
        <v>364</v>
      </c>
      <c r="E31" s="99"/>
      <c r="F31" s="160" t="s">
        <v>48</v>
      </c>
      <c r="G31" s="99" t="s">
        <v>429</v>
      </c>
      <c r="H31" s="142" t="s">
        <v>430</v>
      </c>
      <c r="I31" s="98">
        <v>30</v>
      </c>
      <c r="J31" s="102">
        <v>115000</v>
      </c>
      <c r="K31" s="103">
        <v>3450000</v>
      </c>
      <c r="L31" s="140">
        <v>345000</v>
      </c>
      <c r="M31" s="105">
        <v>3795000</v>
      </c>
      <c r="N31" s="2">
        <v>2700000</v>
      </c>
      <c r="O31" s="2" t="s">
        <v>431</v>
      </c>
      <c r="P31" s="104">
        <v>750000</v>
      </c>
      <c r="Q31" s="106" t="s">
        <v>391</v>
      </c>
      <c r="R31" s="107" t="s">
        <v>0</v>
      </c>
      <c r="S31" s="225"/>
    </row>
    <row r="32" spans="3:20" ht="16.5" customHeight="1" x14ac:dyDescent="0.3">
      <c r="C32" s="270"/>
      <c r="D32" s="226"/>
      <c r="E32" s="227"/>
      <c r="F32" s="227"/>
      <c r="G32" s="227"/>
      <c r="H32" s="274"/>
      <c r="I32" s="226"/>
      <c r="J32" s="230"/>
      <c r="K32" s="231"/>
      <c r="L32" s="232"/>
      <c r="M32" s="233">
        <f>SUM(M30:M31)</f>
        <v>12265000</v>
      </c>
      <c r="N32" s="113"/>
      <c r="O32" s="113"/>
      <c r="P32" s="234">
        <f>SUM(P30:P31)</f>
        <v>1637295</v>
      </c>
      <c r="Q32" s="236"/>
      <c r="R32" s="237"/>
      <c r="S32" s="238"/>
    </row>
    <row r="33" spans="3:20" ht="16.5" customHeight="1" x14ac:dyDescent="0.3">
      <c r="C33" s="180"/>
      <c r="D33" s="166"/>
      <c r="E33" s="165"/>
      <c r="F33" s="165"/>
      <c r="G33" s="165"/>
      <c r="H33" s="193"/>
      <c r="I33" s="166"/>
      <c r="J33" s="198"/>
      <c r="K33" s="167"/>
      <c r="L33" s="167"/>
      <c r="M33" s="168"/>
      <c r="N33" s="199"/>
      <c r="O33" s="199"/>
      <c r="P33" s="168"/>
      <c r="Q33" s="185"/>
      <c r="R33" s="186"/>
      <c r="S33" s="187"/>
    </row>
    <row r="34" spans="3:20" ht="16.5" customHeight="1" x14ac:dyDescent="0.3">
      <c r="C34" s="200">
        <v>43921</v>
      </c>
      <c r="D34" s="287" t="s">
        <v>366</v>
      </c>
      <c r="E34" s="189"/>
      <c r="F34" s="170" t="s">
        <v>48</v>
      </c>
      <c r="G34" s="189" t="s">
        <v>367</v>
      </c>
      <c r="H34" s="246" t="s">
        <v>368</v>
      </c>
      <c r="I34" s="208">
        <v>1</v>
      </c>
      <c r="J34" s="172">
        <v>3690000</v>
      </c>
      <c r="K34" s="173">
        <v>11760000</v>
      </c>
      <c r="L34" s="173">
        <v>1176000</v>
      </c>
      <c r="M34" s="174">
        <v>12936000</v>
      </c>
      <c r="N34" s="203">
        <v>10287760</v>
      </c>
      <c r="O34" s="203" t="s">
        <v>369</v>
      </c>
      <c r="P34" s="175">
        <v>1472240</v>
      </c>
      <c r="Q34" s="177" t="s">
        <v>391</v>
      </c>
      <c r="R34" s="178" t="s">
        <v>4</v>
      </c>
      <c r="S34" s="179"/>
    </row>
    <row r="35" spans="3:20" ht="16.5" customHeight="1" x14ac:dyDescent="0.3">
      <c r="C35" s="195"/>
      <c r="D35" s="166"/>
      <c r="E35" s="165"/>
      <c r="F35" s="166"/>
      <c r="G35" s="165"/>
      <c r="H35" s="245"/>
      <c r="I35" s="194"/>
      <c r="J35" s="198"/>
      <c r="K35" s="167"/>
      <c r="L35" s="167"/>
      <c r="M35" s="168"/>
      <c r="N35" s="199"/>
      <c r="O35" s="199"/>
      <c r="P35" s="168"/>
      <c r="Q35" s="185"/>
      <c r="R35" s="186"/>
      <c r="S35" s="187"/>
    </row>
    <row r="36" spans="3:20" ht="16.5" customHeight="1" x14ac:dyDescent="0.3">
      <c r="C36" s="265">
        <v>43921</v>
      </c>
      <c r="D36" s="288" t="s">
        <v>5</v>
      </c>
      <c r="E36" s="215" t="s">
        <v>436</v>
      </c>
      <c r="F36" s="215" t="s">
        <v>48</v>
      </c>
      <c r="G36" s="215" t="s">
        <v>437</v>
      </c>
      <c r="H36" s="266" t="s">
        <v>438</v>
      </c>
      <c r="I36" s="267">
        <v>1</v>
      </c>
      <c r="J36" s="268">
        <v>850000</v>
      </c>
      <c r="K36" s="219">
        <v>850000</v>
      </c>
      <c r="L36" s="219">
        <v>85000</v>
      </c>
      <c r="M36" s="220">
        <v>935000</v>
      </c>
      <c r="N36" s="249">
        <v>300000</v>
      </c>
      <c r="O36" s="249" t="s">
        <v>439</v>
      </c>
      <c r="P36" s="220">
        <v>550000</v>
      </c>
      <c r="Q36" s="221" t="s">
        <v>391</v>
      </c>
      <c r="R36" s="222" t="s">
        <v>4</v>
      </c>
      <c r="S36" s="223"/>
    </row>
    <row r="37" spans="3:20" ht="16.5" customHeight="1" x14ac:dyDescent="0.3">
      <c r="C37" s="269">
        <v>43921</v>
      </c>
      <c r="D37" s="163" t="s">
        <v>5</v>
      </c>
      <c r="E37" s="99"/>
      <c r="F37" s="99" t="s">
        <v>48</v>
      </c>
      <c r="G37" s="99" t="s">
        <v>440</v>
      </c>
      <c r="H37" s="161" t="s">
        <v>441</v>
      </c>
      <c r="I37" s="162">
        <v>12</v>
      </c>
      <c r="J37" s="144">
        <v>4865000</v>
      </c>
      <c r="K37" s="103">
        <v>58380000</v>
      </c>
      <c r="L37" s="140">
        <v>5838000</v>
      </c>
      <c r="M37" s="105">
        <v>64218000</v>
      </c>
      <c r="N37" s="2">
        <v>50742120</v>
      </c>
      <c r="O37" s="2" t="s">
        <v>442</v>
      </c>
      <c r="P37" s="104">
        <v>7637880</v>
      </c>
      <c r="Q37" s="106" t="s">
        <v>391</v>
      </c>
      <c r="R37" s="107" t="s">
        <v>4</v>
      </c>
      <c r="S37" s="225"/>
    </row>
    <row r="38" spans="3:20" ht="16.5" customHeight="1" x14ac:dyDescent="0.3">
      <c r="C38" s="270"/>
      <c r="D38" s="226"/>
      <c r="E38" s="227"/>
      <c r="F38" s="227"/>
      <c r="G38" s="227"/>
      <c r="H38" s="271"/>
      <c r="I38" s="272"/>
      <c r="J38" s="273"/>
      <c r="K38" s="231"/>
      <c r="L38" s="232"/>
      <c r="M38" s="233">
        <f>SUM(M36:M37)</f>
        <v>65153000</v>
      </c>
      <c r="N38" s="113"/>
      <c r="O38" s="113"/>
      <c r="P38" s="234">
        <f>SUM(P36:P37)</f>
        <v>8187880</v>
      </c>
      <c r="Q38" s="236"/>
      <c r="R38" s="237"/>
      <c r="S38" s="238"/>
    </row>
    <row r="39" spans="3:20" ht="16.5" customHeight="1" x14ac:dyDescent="0.3">
      <c r="C39" s="180"/>
      <c r="D39" s="166"/>
      <c r="E39" s="165"/>
      <c r="F39" s="165"/>
      <c r="G39" s="165"/>
      <c r="H39" s="181"/>
      <c r="I39" s="182"/>
      <c r="J39" s="183"/>
      <c r="K39" s="167"/>
      <c r="L39" s="167"/>
      <c r="M39" s="168"/>
      <c r="N39" s="199"/>
      <c r="O39" s="199"/>
      <c r="P39" s="168"/>
      <c r="Q39" s="185"/>
      <c r="R39" s="186"/>
      <c r="S39" s="187"/>
    </row>
    <row r="40" spans="3:20" ht="16.5" customHeight="1" x14ac:dyDescent="0.3">
      <c r="C40" s="257">
        <v>43921</v>
      </c>
      <c r="D40" s="289" t="s">
        <v>370</v>
      </c>
      <c r="E40" s="214"/>
      <c r="F40" s="214" t="s">
        <v>371</v>
      </c>
      <c r="G40" s="214" t="s">
        <v>372</v>
      </c>
      <c r="H40" s="258" t="s">
        <v>373</v>
      </c>
      <c r="I40" s="214">
        <v>1</v>
      </c>
      <c r="J40" s="218">
        <v>220000</v>
      </c>
      <c r="K40" s="219"/>
      <c r="L40" s="219"/>
      <c r="M40" s="220">
        <v>22000</v>
      </c>
      <c r="N40" s="249">
        <v>170000</v>
      </c>
      <c r="O40" s="249" t="s">
        <v>374</v>
      </c>
      <c r="P40" s="220">
        <v>50000</v>
      </c>
      <c r="Q40" s="221" t="s">
        <v>443</v>
      </c>
      <c r="R40" s="222" t="s">
        <v>9</v>
      </c>
      <c r="S40" s="259" t="s">
        <v>484</v>
      </c>
      <c r="T40" s="152"/>
    </row>
    <row r="41" spans="3:20" ht="16.5" customHeight="1" x14ac:dyDescent="0.3">
      <c r="C41" s="159">
        <v>43950</v>
      </c>
      <c r="D41" s="163" t="s">
        <v>13</v>
      </c>
      <c r="E41" s="99" t="s">
        <v>444</v>
      </c>
      <c r="F41" s="99" t="s">
        <v>48</v>
      </c>
      <c r="G41" s="99" t="s">
        <v>445</v>
      </c>
      <c r="H41" s="100" t="s">
        <v>446</v>
      </c>
      <c r="I41" s="101">
        <v>1</v>
      </c>
      <c r="J41" s="102">
        <v>400000</v>
      </c>
      <c r="K41" s="103">
        <v>400000</v>
      </c>
      <c r="L41" s="140">
        <v>40000</v>
      </c>
      <c r="M41" s="105">
        <v>440000</v>
      </c>
      <c r="N41" s="104">
        <v>300000</v>
      </c>
      <c r="O41" s="147" t="s">
        <v>447</v>
      </c>
      <c r="P41" s="104">
        <v>100000</v>
      </c>
      <c r="Q41" s="125" t="s">
        <v>391</v>
      </c>
      <c r="R41" s="107" t="s">
        <v>9</v>
      </c>
      <c r="S41" s="260"/>
    </row>
    <row r="42" spans="3:20" ht="16.5" customHeight="1" x14ac:dyDescent="0.3">
      <c r="C42" s="159">
        <v>43950</v>
      </c>
      <c r="D42" s="163" t="s">
        <v>13</v>
      </c>
      <c r="E42" s="99" t="s">
        <v>444</v>
      </c>
      <c r="F42" s="99" t="s">
        <v>48</v>
      </c>
      <c r="G42" s="99" t="s">
        <v>448</v>
      </c>
      <c r="H42" s="100" t="s">
        <v>449</v>
      </c>
      <c r="I42" s="101">
        <v>1</v>
      </c>
      <c r="J42" s="102">
        <v>290000</v>
      </c>
      <c r="K42" s="103">
        <v>290000</v>
      </c>
      <c r="L42" s="103">
        <v>29000</v>
      </c>
      <c r="M42" s="104">
        <v>319000</v>
      </c>
      <c r="N42" s="2">
        <v>242000</v>
      </c>
      <c r="O42" s="2" t="s">
        <v>459</v>
      </c>
      <c r="P42" s="104">
        <v>48000</v>
      </c>
      <c r="Q42" s="125" t="s">
        <v>391</v>
      </c>
      <c r="R42" s="107" t="s">
        <v>9</v>
      </c>
      <c r="S42" s="260"/>
    </row>
    <row r="43" spans="3:20" ht="16.5" customHeight="1" x14ac:dyDescent="0.3">
      <c r="C43" s="159">
        <v>43950</v>
      </c>
      <c r="D43" s="163" t="s">
        <v>13</v>
      </c>
      <c r="E43" s="99" t="s">
        <v>450</v>
      </c>
      <c r="F43" s="99" t="s">
        <v>48</v>
      </c>
      <c r="G43" s="99" t="s">
        <v>451</v>
      </c>
      <c r="H43" s="100" t="s">
        <v>452</v>
      </c>
      <c r="I43" s="101">
        <v>2</v>
      </c>
      <c r="J43" s="102">
        <v>250000</v>
      </c>
      <c r="K43" s="103">
        <v>500000</v>
      </c>
      <c r="L43" s="103">
        <v>50000</v>
      </c>
      <c r="M43" s="104">
        <v>550000</v>
      </c>
      <c r="N43" s="104">
        <v>400000</v>
      </c>
      <c r="O43" s="147" t="s">
        <v>460</v>
      </c>
      <c r="P43" s="104">
        <v>100000</v>
      </c>
      <c r="Q43" s="125" t="s">
        <v>391</v>
      </c>
      <c r="R43" s="107" t="s">
        <v>9</v>
      </c>
      <c r="S43" s="260"/>
    </row>
    <row r="44" spans="3:20" ht="16.5" customHeight="1" x14ac:dyDescent="0.3">
      <c r="C44" s="159">
        <v>43950</v>
      </c>
      <c r="D44" s="163" t="s">
        <v>13</v>
      </c>
      <c r="E44" s="99" t="s">
        <v>453</v>
      </c>
      <c r="F44" s="99" t="s">
        <v>48</v>
      </c>
      <c r="G44" s="99" t="s">
        <v>454</v>
      </c>
      <c r="H44" s="121" t="s">
        <v>455</v>
      </c>
      <c r="I44" s="122">
        <v>1</v>
      </c>
      <c r="J44" s="102">
        <v>200000</v>
      </c>
      <c r="K44" s="103">
        <v>200000</v>
      </c>
      <c r="L44" s="140">
        <v>20000</v>
      </c>
      <c r="M44" s="105">
        <v>220000</v>
      </c>
      <c r="N44" s="104">
        <v>150000</v>
      </c>
      <c r="O44" s="147" t="s">
        <v>461</v>
      </c>
      <c r="P44" s="104">
        <v>50000</v>
      </c>
      <c r="Q44" s="125" t="s">
        <v>391</v>
      </c>
      <c r="R44" s="107" t="s">
        <v>9</v>
      </c>
      <c r="S44" s="260"/>
    </row>
    <row r="45" spans="3:20" ht="16.5" customHeight="1" x14ac:dyDescent="0.3">
      <c r="C45" s="159">
        <v>43950</v>
      </c>
      <c r="D45" s="163" t="s">
        <v>13</v>
      </c>
      <c r="E45" s="99" t="s">
        <v>456</v>
      </c>
      <c r="F45" s="99" t="s">
        <v>48</v>
      </c>
      <c r="G45" s="99" t="s">
        <v>457</v>
      </c>
      <c r="H45" s="121" t="s">
        <v>458</v>
      </c>
      <c r="I45" s="122">
        <v>1</v>
      </c>
      <c r="J45" s="102">
        <v>450000</v>
      </c>
      <c r="K45" s="103">
        <v>450000</v>
      </c>
      <c r="L45" s="140">
        <v>45000</v>
      </c>
      <c r="M45" s="105">
        <v>495000</v>
      </c>
      <c r="N45" s="104">
        <v>350000</v>
      </c>
      <c r="O45" s="147" t="s">
        <v>462</v>
      </c>
      <c r="P45" s="104">
        <v>100000</v>
      </c>
      <c r="Q45" s="125" t="s">
        <v>391</v>
      </c>
      <c r="R45" s="107" t="s">
        <v>9</v>
      </c>
      <c r="S45" s="260"/>
    </row>
    <row r="46" spans="3:20" ht="16.5" customHeight="1" x14ac:dyDescent="0.3">
      <c r="C46" s="252"/>
      <c r="D46" s="226"/>
      <c r="E46" s="227"/>
      <c r="F46" s="227"/>
      <c r="G46" s="227"/>
      <c r="H46" s="261"/>
      <c r="I46" s="262"/>
      <c r="J46" s="230"/>
      <c r="K46" s="231"/>
      <c r="L46" s="232"/>
      <c r="M46" s="233">
        <f>SUM(M40:M45)</f>
        <v>2046000</v>
      </c>
      <c r="N46" s="234"/>
      <c r="O46" s="235"/>
      <c r="P46" s="234">
        <f>SUM(P40:P45)</f>
        <v>448000</v>
      </c>
      <c r="Q46" s="263"/>
      <c r="R46" s="237"/>
      <c r="S46" s="264"/>
    </row>
    <row r="47" spans="3:20" ht="16.5" customHeight="1" x14ac:dyDescent="0.3">
      <c r="C47" s="195"/>
      <c r="D47" s="166"/>
      <c r="E47" s="165"/>
      <c r="F47" s="165"/>
      <c r="G47" s="165"/>
      <c r="H47" s="196"/>
      <c r="I47" s="197"/>
      <c r="J47" s="198"/>
      <c r="K47" s="167"/>
      <c r="L47" s="167"/>
      <c r="M47" s="168"/>
      <c r="N47" s="168"/>
      <c r="O47" s="184"/>
      <c r="P47" s="168"/>
      <c r="Q47" s="256"/>
      <c r="R47" s="186"/>
      <c r="S47" s="242"/>
    </row>
    <row r="48" spans="3:20" ht="16.5" customHeight="1" x14ac:dyDescent="0.3">
      <c r="C48" s="255">
        <v>43906</v>
      </c>
      <c r="D48" s="287" t="s">
        <v>418</v>
      </c>
      <c r="E48" s="189"/>
      <c r="F48" s="189" t="s">
        <v>3</v>
      </c>
      <c r="G48" s="189" t="s">
        <v>384</v>
      </c>
      <c r="H48" s="201" t="s">
        <v>480</v>
      </c>
      <c r="I48" s="202">
        <v>10</v>
      </c>
      <c r="J48" s="172">
        <v>589000</v>
      </c>
      <c r="K48" s="173">
        <v>8762000</v>
      </c>
      <c r="L48" s="173">
        <v>876200</v>
      </c>
      <c r="M48" s="174">
        <v>9638200</v>
      </c>
      <c r="N48" s="203">
        <v>7686400</v>
      </c>
      <c r="O48" s="203" t="s">
        <v>420</v>
      </c>
      <c r="P48" s="175">
        <v>1075600</v>
      </c>
      <c r="Q48" s="177" t="s">
        <v>391</v>
      </c>
      <c r="R48" s="178" t="s">
        <v>0</v>
      </c>
      <c r="S48" s="179"/>
    </row>
    <row r="49" spans="3:20" ht="16.5" customHeight="1" x14ac:dyDescent="0.3">
      <c r="C49" s="212"/>
      <c r="D49" s="166"/>
      <c r="E49" s="165"/>
      <c r="F49" s="165"/>
      <c r="G49" s="165"/>
      <c r="H49" s="196"/>
      <c r="I49" s="197"/>
      <c r="J49" s="198"/>
      <c r="K49" s="167"/>
      <c r="L49" s="167"/>
      <c r="M49" s="168"/>
      <c r="N49" s="199"/>
      <c r="O49" s="199"/>
      <c r="P49" s="168"/>
      <c r="Q49" s="185"/>
      <c r="R49" s="186"/>
      <c r="S49" s="187"/>
    </row>
    <row r="50" spans="3:20" ht="16.5" customHeight="1" x14ac:dyDescent="0.3">
      <c r="C50" s="213">
        <v>43861</v>
      </c>
      <c r="D50" s="288" t="s">
        <v>300</v>
      </c>
      <c r="E50" s="215"/>
      <c r="F50" s="247" t="s">
        <v>381</v>
      </c>
      <c r="G50" s="248" t="s">
        <v>354</v>
      </c>
      <c r="H50" s="216" t="s">
        <v>355</v>
      </c>
      <c r="I50" s="217">
        <v>1</v>
      </c>
      <c r="J50" s="218">
        <v>15700000</v>
      </c>
      <c r="K50" s="219">
        <v>18986000</v>
      </c>
      <c r="L50" s="219">
        <v>1898600</v>
      </c>
      <c r="M50" s="219">
        <v>20884600</v>
      </c>
      <c r="N50" s="249">
        <v>16120530</v>
      </c>
      <c r="O50" s="249" t="s">
        <v>382</v>
      </c>
      <c r="P50" s="219">
        <v>2865470</v>
      </c>
      <c r="Q50" s="292" t="s">
        <v>352</v>
      </c>
      <c r="R50" s="250" t="s">
        <v>9</v>
      </c>
      <c r="S50" s="251"/>
      <c r="T50" s="123" t="s">
        <v>380</v>
      </c>
    </row>
    <row r="51" spans="3:20" ht="16.5" customHeight="1" x14ac:dyDescent="0.3">
      <c r="C51" s="224">
        <v>43866</v>
      </c>
      <c r="D51" s="163" t="s">
        <v>300</v>
      </c>
      <c r="E51" s="99" t="s">
        <v>383</v>
      </c>
      <c r="F51" s="124" t="s">
        <v>3</v>
      </c>
      <c r="G51" s="99" t="s">
        <v>384</v>
      </c>
      <c r="H51" s="142" t="s">
        <v>385</v>
      </c>
      <c r="I51" s="98">
        <v>1</v>
      </c>
      <c r="J51" s="102">
        <v>952000</v>
      </c>
      <c r="K51" s="103">
        <v>952000</v>
      </c>
      <c r="L51" s="140">
        <v>95200</v>
      </c>
      <c r="M51" s="105">
        <v>1047200</v>
      </c>
      <c r="N51" s="2">
        <v>595000</v>
      </c>
      <c r="O51" s="2" t="s">
        <v>386</v>
      </c>
      <c r="P51" s="104">
        <v>357000</v>
      </c>
      <c r="Q51" s="106" t="s">
        <v>387</v>
      </c>
      <c r="R51" s="107" t="s">
        <v>9</v>
      </c>
      <c r="S51" s="225"/>
    </row>
    <row r="52" spans="3:20" ht="16.5" customHeight="1" x14ac:dyDescent="0.3">
      <c r="C52" s="159">
        <v>43874</v>
      </c>
      <c r="D52" s="163" t="s">
        <v>300</v>
      </c>
      <c r="E52" s="99" t="s">
        <v>396</v>
      </c>
      <c r="F52" s="99" t="s">
        <v>57</v>
      </c>
      <c r="G52" s="99" t="s">
        <v>384</v>
      </c>
      <c r="H52" s="100" t="s">
        <v>483</v>
      </c>
      <c r="I52" s="101">
        <v>1</v>
      </c>
      <c r="J52" s="102">
        <v>2260000</v>
      </c>
      <c r="K52" s="103">
        <v>2260000</v>
      </c>
      <c r="L52" s="140">
        <v>226000</v>
      </c>
      <c r="M52" s="105">
        <v>2486000</v>
      </c>
      <c r="N52" s="2">
        <v>1412650</v>
      </c>
      <c r="O52" s="2" t="s">
        <v>398</v>
      </c>
      <c r="P52" s="104">
        <v>847350</v>
      </c>
      <c r="Q52" s="106" t="s">
        <v>387</v>
      </c>
      <c r="R52" s="107" t="s">
        <v>9</v>
      </c>
      <c r="S52" s="225"/>
    </row>
    <row r="53" spans="3:20" ht="16.5" customHeight="1" x14ac:dyDescent="0.3">
      <c r="C53" s="159">
        <v>43874</v>
      </c>
      <c r="D53" s="163" t="s">
        <v>300</v>
      </c>
      <c r="E53" s="99" t="s">
        <v>399</v>
      </c>
      <c r="F53" s="99" t="s">
        <v>57</v>
      </c>
      <c r="G53" s="99" t="s">
        <v>384</v>
      </c>
      <c r="H53" s="100" t="s">
        <v>400</v>
      </c>
      <c r="I53" s="101">
        <v>1</v>
      </c>
      <c r="J53" s="102">
        <v>3045000</v>
      </c>
      <c r="K53" s="103">
        <v>3045000</v>
      </c>
      <c r="L53" s="140">
        <v>304500</v>
      </c>
      <c r="M53" s="105">
        <v>3349500</v>
      </c>
      <c r="N53" s="2">
        <v>1903500</v>
      </c>
      <c r="O53" s="2" t="s">
        <v>401</v>
      </c>
      <c r="P53" s="104">
        <v>1141500</v>
      </c>
      <c r="Q53" s="106" t="s">
        <v>387</v>
      </c>
      <c r="R53" s="107" t="s">
        <v>9</v>
      </c>
      <c r="S53" s="225"/>
    </row>
    <row r="54" spans="3:20" ht="16.5" customHeight="1" x14ac:dyDescent="0.3">
      <c r="C54" s="159">
        <v>43880</v>
      </c>
      <c r="D54" s="163" t="s">
        <v>300</v>
      </c>
      <c r="E54" s="99"/>
      <c r="F54" s="99" t="s">
        <v>27</v>
      </c>
      <c r="G54" s="99" t="s">
        <v>384</v>
      </c>
      <c r="H54" s="100" t="s">
        <v>407</v>
      </c>
      <c r="I54" s="101">
        <v>1</v>
      </c>
      <c r="J54" s="102">
        <v>3275000</v>
      </c>
      <c r="K54" s="103">
        <v>3275000</v>
      </c>
      <c r="L54" s="140">
        <v>327500</v>
      </c>
      <c r="M54" s="105">
        <v>3602500</v>
      </c>
      <c r="N54" s="2">
        <v>2047150</v>
      </c>
      <c r="O54" s="2" t="s">
        <v>386</v>
      </c>
      <c r="P54" s="104">
        <v>1227850</v>
      </c>
      <c r="Q54" s="106" t="s">
        <v>387</v>
      </c>
      <c r="R54" s="107" t="s">
        <v>9</v>
      </c>
      <c r="S54" s="225"/>
    </row>
    <row r="55" spans="3:20" ht="16.5" customHeight="1" x14ac:dyDescent="0.3">
      <c r="C55" s="159">
        <v>43882</v>
      </c>
      <c r="D55" s="163" t="s">
        <v>300</v>
      </c>
      <c r="E55" s="99" t="s">
        <v>408</v>
      </c>
      <c r="F55" s="99" t="s">
        <v>27</v>
      </c>
      <c r="G55" s="99" t="s">
        <v>384</v>
      </c>
      <c r="H55" s="100" t="s">
        <v>481</v>
      </c>
      <c r="I55" s="101">
        <v>1</v>
      </c>
      <c r="J55" s="102">
        <v>750000</v>
      </c>
      <c r="K55" s="103">
        <v>750000</v>
      </c>
      <c r="L55" s="140">
        <v>75000</v>
      </c>
      <c r="M55" s="105">
        <v>825000</v>
      </c>
      <c r="N55" s="2">
        <v>469000</v>
      </c>
      <c r="O55" s="2" t="s">
        <v>386</v>
      </c>
      <c r="P55" s="104">
        <v>281000</v>
      </c>
      <c r="Q55" s="106" t="s">
        <v>387</v>
      </c>
      <c r="R55" s="107" t="s">
        <v>9</v>
      </c>
      <c r="S55" s="225"/>
    </row>
    <row r="56" spans="3:20" ht="16.5" customHeight="1" x14ac:dyDescent="0.3">
      <c r="C56" s="159">
        <v>43889</v>
      </c>
      <c r="D56" s="163" t="s">
        <v>300</v>
      </c>
      <c r="E56" s="160" t="s">
        <v>415</v>
      </c>
      <c r="F56" s="160" t="s">
        <v>27</v>
      </c>
      <c r="G56" s="160" t="s">
        <v>384</v>
      </c>
      <c r="H56" s="100" t="s">
        <v>482</v>
      </c>
      <c r="I56" s="101">
        <v>1</v>
      </c>
      <c r="J56" s="102">
        <v>550000</v>
      </c>
      <c r="K56" s="103">
        <v>550000</v>
      </c>
      <c r="L56" s="140">
        <v>55000</v>
      </c>
      <c r="M56" s="105">
        <v>605000</v>
      </c>
      <c r="N56" s="2">
        <v>343650</v>
      </c>
      <c r="O56" s="114" t="s">
        <v>386</v>
      </c>
      <c r="P56" s="104">
        <v>206350</v>
      </c>
      <c r="Q56" s="106" t="s">
        <v>387</v>
      </c>
      <c r="R56" s="107" t="s">
        <v>9</v>
      </c>
      <c r="S56" s="225"/>
    </row>
    <row r="57" spans="3:20" ht="16.5" customHeight="1" x14ac:dyDescent="0.3">
      <c r="C57" s="252"/>
      <c r="D57" s="226"/>
      <c r="E57" s="253"/>
      <c r="F57" s="253"/>
      <c r="G57" s="253"/>
      <c r="H57" s="228"/>
      <c r="I57" s="229"/>
      <c r="J57" s="230"/>
      <c r="K57" s="231"/>
      <c r="L57" s="232"/>
      <c r="M57" s="233">
        <f>SUM(M50:M56)</f>
        <v>32799800</v>
      </c>
      <c r="N57" s="113"/>
      <c r="O57" s="254"/>
      <c r="P57" s="234">
        <f>SUM(P50:P56)</f>
        <v>6926520</v>
      </c>
      <c r="Q57" s="236"/>
      <c r="R57" s="237"/>
      <c r="S57" s="238"/>
    </row>
    <row r="58" spans="3:20" ht="16.5" customHeight="1" x14ac:dyDescent="0.3">
      <c r="C58" s="195"/>
      <c r="D58" s="166"/>
      <c r="E58" s="165"/>
      <c r="F58" s="165"/>
      <c r="G58" s="165"/>
      <c r="H58" s="196"/>
      <c r="I58" s="197"/>
      <c r="J58" s="198"/>
      <c r="K58" s="167"/>
      <c r="L58" s="167"/>
      <c r="M58" s="168"/>
      <c r="N58" s="199"/>
      <c r="O58" s="114"/>
      <c r="P58" s="168"/>
      <c r="Q58" s="185"/>
      <c r="R58" s="186"/>
      <c r="S58" s="187"/>
    </row>
    <row r="59" spans="3:20" ht="16.5" customHeight="1" x14ac:dyDescent="0.3">
      <c r="C59" s="200">
        <v>43909</v>
      </c>
      <c r="D59" s="287" t="s">
        <v>424</v>
      </c>
      <c r="E59" s="189" t="s">
        <v>425</v>
      </c>
      <c r="F59" s="189" t="s">
        <v>3</v>
      </c>
      <c r="G59" s="189" t="s">
        <v>426</v>
      </c>
      <c r="H59" s="246" t="s">
        <v>427</v>
      </c>
      <c r="I59" s="208">
        <v>1</v>
      </c>
      <c r="J59" s="172">
        <v>564000</v>
      </c>
      <c r="K59" s="173">
        <v>3386000</v>
      </c>
      <c r="L59" s="173">
        <v>338600</v>
      </c>
      <c r="M59" s="174">
        <v>3724600</v>
      </c>
      <c r="N59" s="175">
        <v>1961010</v>
      </c>
      <c r="O59" s="176" t="s">
        <v>428</v>
      </c>
      <c r="P59" s="175">
        <v>1424990</v>
      </c>
      <c r="Q59" s="177" t="s">
        <v>391</v>
      </c>
      <c r="R59" s="178" t="s">
        <v>0</v>
      </c>
      <c r="S59" s="179"/>
    </row>
    <row r="60" spans="3:20" ht="16.5" customHeight="1" x14ac:dyDescent="0.3">
      <c r="C60" s="195"/>
      <c r="D60" s="166"/>
      <c r="E60" s="165"/>
      <c r="F60" s="165"/>
      <c r="G60" s="165"/>
      <c r="H60" s="245"/>
      <c r="I60" s="194"/>
      <c r="J60" s="198"/>
      <c r="K60" s="167"/>
      <c r="L60" s="167"/>
      <c r="M60" s="168"/>
      <c r="N60" s="168"/>
      <c r="O60" s="184"/>
      <c r="P60" s="168"/>
      <c r="Q60" s="185"/>
      <c r="R60" s="186"/>
      <c r="S60" s="187"/>
    </row>
    <row r="61" spans="3:20" ht="16.5" customHeight="1" x14ac:dyDescent="0.3">
      <c r="C61" s="200">
        <v>43861</v>
      </c>
      <c r="D61" s="287" t="s">
        <v>287</v>
      </c>
      <c r="E61" s="189" t="s">
        <v>378</v>
      </c>
      <c r="F61" s="170" t="s">
        <v>30</v>
      </c>
      <c r="G61" s="189" t="s">
        <v>351</v>
      </c>
      <c r="H61" s="201" t="s">
        <v>185</v>
      </c>
      <c r="I61" s="202">
        <v>1</v>
      </c>
      <c r="J61" s="172">
        <v>820000</v>
      </c>
      <c r="K61" s="173">
        <v>820000</v>
      </c>
      <c r="L61" s="173">
        <v>82000</v>
      </c>
      <c r="M61" s="174">
        <v>902000</v>
      </c>
      <c r="N61" s="203">
        <v>780500</v>
      </c>
      <c r="O61" s="203" t="s">
        <v>41</v>
      </c>
      <c r="P61" s="173">
        <v>39500</v>
      </c>
      <c r="Q61" s="291" t="s">
        <v>22</v>
      </c>
      <c r="R61" s="243" t="s">
        <v>9</v>
      </c>
      <c r="S61" s="244"/>
      <c r="T61" s="123" t="s">
        <v>380</v>
      </c>
    </row>
    <row r="62" spans="3:20" ht="16.5" customHeight="1" x14ac:dyDescent="0.3">
      <c r="C62" s="239"/>
      <c r="D62" s="166"/>
      <c r="E62" s="165"/>
      <c r="F62" s="166"/>
      <c r="G62" s="165"/>
      <c r="H62" s="196"/>
      <c r="I62" s="197"/>
      <c r="J62" s="198"/>
      <c r="K62" s="167"/>
      <c r="L62" s="167"/>
      <c r="M62" s="167"/>
      <c r="N62" s="199"/>
      <c r="O62" s="199"/>
      <c r="P62" s="167"/>
      <c r="Q62" s="240"/>
      <c r="R62" s="241"/>
      <c r="S62" s="242"/>
    </row>
    <row r="63" spans="3:20" ht="16.5" customHeight="1" x14ac:dyDescent="0.3">
      <c r="C63" s="295">
        <v>43971</v>
      </c>
      <c r="D63" s="296" t="s">
        <v>235</v>
      </c>
      <c r="E63" s="296"/>
      <c r="F63" s="296" t="s">
        <v>30</v>
      </c>
      <c r="G63" s="296" t="s">
        <v>86</v>
      </c>
      <c r="H63" s="297" t="s">
        <v>463</v>
      </c>
      <c r="I63" s="296">
        <v>1</v>
      </c>
      <c r="J63" s="298">
        <v>1000000</v>
      </c>
      <c r="K63" s="299">
        <v>1000000</v>
      </c>
      <c r="L63" s="299">
        <v>100000</v>
      </c>
      <c r="M63" s="299">
        <v>1100000</v>
      </c>
      <c r="N63" s="299">
        <v>550000</v>
      </c>
      <c r="O63" s="299" t="s">
        <v>475</v>
      </c>
      <c r="P63" s="299">
        <v>450000</v>
      </c>
      <c r="Q63" s="300" t="s">
        <v>391</v>
      </c>
      <c r="R63" s="301" t="s">
        <v>9</v>
      </c>
      <c r="S63" s="302"/>
      <c r="T63" s="115">
        <v>43980</v>
      </c>
    </row>
    <row r="64" spans="3:20" ht="16.5" customHeight="1" x14ac:dyDescent="0.3">
      <c r="C64" s="195"/>
      <c r="D64" s="166"/>
      <c r="E64" s="165"/>
      <c r="F64" s="165"/>
      <c r="G64" s="165"/>
      <c r="H64" s="196"/>
      <c r="I64" s="197"/>
      <c r="J64" s="198"/>
      <c r="K64" s="167"/>
      <c r="L64" s="167"/>
      <c r="M64" s="168"/>
      <c r="N64" s="199"/>
      <c r="O64" s="199"/>
      <c r="P64" s="168"/>
      <c r="Q64" s="185"/>
      <c r="R64" s="186"/>
      <c r="S64" s="187"/>
    </row>
    <row r="65" spans="3:19" ht="24" x14ac:dyDescent="0.3">
      <c r="C65" s="169">
        <v>43952</v>
      </c>
      <c r="D65" s="287" t="s">
        <v>15</v>
      </c>
      <c r="E65" s="170" t="s">
        <v>225</v>
      </c>
      <c r="F65" s="170" t="s">
        <v>30</v>
      </c>
      <c r="G65" s="189" t="s">
        <v>356</v>
      </c>
      <c r="H65" s="171" t="s">
        <v>467</v>
      </c>
      <c r="I65" s="208">
        <v>1</v>
      </c>
      <c r="J65" s="172">
        <v>969350</v>
      </c>
      <c r="K65" s="173">
        <v>969350</v>
      </c>
      <c r="L65" s="173">
        <v>96935</v>
      </c>
      <c r="M65" s="174">
        <v>1066285</v>
      </c>
      <c r="N65" s="209">
        <v>920833</v>
      </c>
      <c r="O65" s="210" t="s">
        <v>468</v>
      </c>
      <c r="P65" s="175">
        <v>48517</v>
      </c>
      <c r="Q65" s="177" t="s">
        <v>391</v>
      </c>
      <c r="R65" s="211" t="s">
        <v>0</v>
      </c>
      <c r="S65" s="179"/>
    </row>
    <row r="66" spans="3:19" x14ac:dyDescent="0.3">
      <c r="C66" s="204"/>
      <c r="D66" s="166"/>
      <c r="E66" s="166"/>
      <c r="F66" s="166"/>
      <c r="G66" s="165"/>
      <c r="H66" s="193"/>
      <c r="I66" s="194"/>
      <c r="J66" s="198"/>
      <c r="K66" s="167"/>
      <c r="L66" s="167"/>
      <c r="M66" s="167"/>
      <c r="N66" s="205"/>
      <c r="O66" s="206"/>
      <c r="P66" s="168"/>
      <c r="Q66" s="185"/>
      <c r="R66" s="207"/>
      <c r="S66" s="187"/>
    </row>
    <row r="67" spans="3:19" ht="33" x14ac:dyDescent="0.3">
      <c r="C67" s="200">
        <v>43973</v>
      </c>
      <c r="D67" s="287" t="s">
        <v>346</v>
      </c>
      <c r="E67" s="189"/>
      <c r="F67" s="189" t="s">
        <v>30</v>
      </c>
      <c r="G67" s="189" t="s">
        <v>82</v>
      </c>
      <c r="H67" s="201" t="s">
        <v>476</v>
      </c>
      <c r="I67" s="202">
        <v>1</v>
      </c>
      <c r="J67" s="172">
        <v>176000</v>
      </c>
      <c r="K67" s="173">
        <v>176000</v>
      </c>
      <c r="L67" s="173">
        <v>17600</v>
      </c>
      <c r="M67" s="174">
        <v>193600</v>
      </c>
      <c r="N67" s="203">
        <v>133675.16666666666</v>
      </c>
      <c r="O67" s="203" t="s">
        <v>349</v>
      </c>
      <c r="P67" s="175">
        <v>42324.833333333343</v>
      </c>
      <c r="Q67" s="177" t="s">
        <v>391</v>
      </c>
      <c r="R67" s="178" t="s">
        <v>9</v>
      </c>
      <c r="S67" s="179"/>
    </row>
    <row r="68" spans="3:19" x14ac:dyDescent="0.3">
      <c r="C68" s="195"/>
      <c r="D68" s="166"/>
      <c r="E68" s="165"/>
      <c r="F68" s="165"/>
      <c r="G68" s="165"/>
      <c r="H68" s="196"/>
      <c r="I68" s="197"/>
      <c r="J68" s="198"/>
      <c r="K68" s="167"/>
      <c r="L68" s="167"/>
      <c r="M68" s="168"/>
      <c r="N68" s="199"/>
      <c r="O68" s="199"/>
      <c r="P68" s="168"/>
      <c r="Q68" s="185"/>
      <c r="R68" s="186"/>
      <c r="S68" s="187"/>
    </row>
    <row r="69" spans="3:19" ht="16.5" customHeight="1" x14ac:dyDescent="0.3">
      <c r="C69" s="188">
        <v>43966</v>
      </c>
      <c r="D69" s="287" t="s">
        <v>471</v>
      </c>
      <c r="E69" s="189"/>
      <c r="F69" s="170" t="s">
        <v>48</v>
      </c>
      <c r="G69" s="189" t="s">
        <v>472</v>
      </c>
      <c r="H69" s="190" t="s">
        <v>478</v>
      </c>
      <c r="I69" s="191">
        <v>1</v>
      </c>
      <c r="J69" s="192">
        <v>3860000</v>
      </c>
      <c r="K69" s="173">
        <v>6960000</v>
      </c>
      <c r="L69" s="173">
        <v>696000</v>
      </c>
      <c r="M69" s="174">
        <v>7656000</v>
      </c>
      <c r="N69" s="175">
        <v>5549000</v>
      </c>
      <c r="O69" s="176" t="s">
        <v>474</v>
      </c>
      <c r="P69" s="175">
        <v>1411000</v>
      </c>
      <c r="Q69" s="177" t="s">
        <v>391</v>
      </c>
      <c r="R69" s="178" t="s">
        <v>4</v>
      </c>
      <c r="S69" s="179"/>
    </row>
    <row r="70" spans="3:19" ht="16.5" customHeight="1" x14ac:dyDescent="0.3">
      <c r="C70" s="180"/>
      <c r="D70" s="166"/>
      <c r="E70" s="165"/>
      <c r="F70" s="166"/>
      <c r="G70" s="165"/>
      <c r="H70" s="181"/>
      <c r="I70" s="182"/>
      <c r="J70" s="183"/>
      <c r="K70" s="167"/>
      <c r="L70" s="167"/>
      <c r="M70" s="168"/>
      <c r="N70" s="168"/>
      <c r="O70" s="184"/>
      <c r="P70" s="168"/>
      <c r="Q70" s="185"/>
      <c r="R70" s="186"/>
      <c r="S70" s="187"/>
    </row>
    <row r="71" spans="3:19" ht="24" x14ac:dyDescent="0.3">
      <c r="C71" s="169">
        <v>43952</v>
      </c>
      <c r="D71" s="290" t="s">
        <v>17</v>
      </c>
      <c r="E71" s="170"/>
      <c r="F71" s="170" t="s">
        <v>30</v>
      </c>
      <c r="G71" s="170" t="s">
        <v>86</v>
      </c>
      <c r="H71" s="171" t="s">
        <v>465</v>
      </c>
      <c r="I71" s="170">
        <v>1</v>
      </c>
      <c r="J71" s="172">
        <v>1715000</v>
      </c>
      <c r="K71" s="173">
        <v>1715000</v>
      </c>
      <c r="L71" s="173">
        <v>171500</v>
      </c>
      <c r="M71" s="174">
        <v>1886500</v>
      </c>
      <c r="N71" s="175">
        <v>1279500</v>
      </c>
      <c r="O71" s="176" t="s">
        <v>466</v>
      </c>
      <c r="P71" s="175">
        <v>435500</v>
      </c>
      <c r="Q71" s="177" t="s">
        <v>391</v>
      </c>
      <c r="R71" s="178" t="s">
        <v>4</v>
      </c>
      <c r="S71" s="179"/>
    </row>
    <row r="74" spans="3:19" ht="16.5" customHeight="1" x14ac:dyDescent="0.3">
      <c r="M74" s="164">
        <f>SUM(M71,M69,M67,M65,M63,M61,M59,M57,M48,M46,M38,M34,M32,M28,M26,M24,M20,M18,M16,M10,M8,M4)</f>
        <v>169013368.69999999</v>
      </c>
    </row>
  </sheetData>
  <autoFilter ref="A3:S71" xr:uid="{00000000-0009-0000-0000-00000A000000}"/>
  <sortState xmlns:xlrd2="http://schemas.microsoft.com/office/spreadsheetml/2017/richdata2" ref="A4:T71">
    <sortCondition ref="D4:D71"/>
  </sortState>
  <mergeCells count="16">
    <mergeCell ref="P2:P3"/>
    <mergeCell ref="Q2:Q3"/>
    <mergeCell ref="R2:R3"/>
    <mergeCell ref="S2:S3"/>
    <mergeCell ref="G2:G3"/>
    <mergeCell ref="H2:H3"/>
    <mergeCell ref="I2:I3"/>
    <mergeCell ref="J2:M2"/>
    <mergeCell ref="N2:N3"/>
    <mergeCell ref="O2:O3"/>
    <mergeCell ref="F2:F3"/>
    <mergeCell ref="A2:A3"/>
    <mergeCell ref="B2:B3"/>
    <mergeCell ref="C2:C3"/>
    <mergeCell ref="D2:D3"/>
    <mergeCell ref="E2:E3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70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F9C5-7A7A-4189-A997-0AF5E4DFFF0C}">
  <sheetPr codeName="Sheet1"/>
  <dimension ref="A1:U107"/>
  <sheetViews>
    <sheetView topLeftCell="C1" workbookViewId="0">
      <pane ySplit="3" topLeftCell="A70" activePane="bottomLeft" state="frozen"/>
      <selection activeCell="C1" sqref="C1"/>
      <selection pane="bottomLeft" activeCell="E91" sqref="E91"/>
    </sheetView>
  </sheetViews>
  <sheetFormatPr defaultRowHeight="16.5" customHeight="1" x14ac:dyDescent="0.3"/>
  <cols>
    <col min="1" max="1" width="10.75" hidden="1" customWidth="1"/>
    <col min="2" max="2" width="9.75" hidden="1" customWidth="1"/>
    <col min="3" max="3" width="11" customWidth="1"/>
    <col min="4" max="4" width="21.625" customWidth="1"/>
    <col min="5" max="5" width="16.875" customWidth="1"/>
    <col min="6" max="6" width="16.375" hidden="1" customWidth="1"/>
    <col min="7" max="7" width="10.875" hidden="1" customWidth="1"/>
    <col min="8" max="8" width="39.25" customWidth="1"/>
    <col min="9" max="9" width="4" customWidth="1"/>
    <col min="10" max="10" width="11.5" hidden="1" customWidth="1"/>
    <col min="11" max="12" width="11.5" customWidth="1"/>
    <col min="13" max="13" width="12.75" customWidth="1"/>
    <col min="14" max="14" width="12.375" hidden="1" customWidth="1"/>
    <col min="15" max="15" width="30" hidden="1" customWidth="1"/>
    <col min="16" max="16" width="10.875" hidden="1" customWidth="1"/>
    <col min="17" max="17" width="12.25" customWidth="1"/>
    <col min="18" max="18" width="9.875" bestFit="1" customWidth="1"/>
    <col min="19" max="19" width="15.125" customWidth="1"/>
    <col min="20" max="20" width="9.875" customWidth="1"/>
    <col min="21" max="21" width="11" bestFit="1" customWidth="1"/>
  </cols>
  <sheetData>
    <row r="1" spans="1:21" ht="16.5" customHeight="1" thickBot="1" x14ac:dyDescent="0.35"/>
    <row r="2" spans="1:21" ht="16.5" customHeight="1" x14ac:dyDescent="0.3">
      <c r="A2" s="711" t="s">
        <v>59</v>
      </c>
      <c r="B2" s="713" t="s">
        <v>60</v>
      </c>
      <c r="C2" s="719" t="s">
        <v>61</v>
      </c>
      <c r="D2" s="717" t="s">
        <v>62</v>
      </c>
      <c r="E2" s="702" t="s">
        <v>63</v>
      </c>
      <c r="F2" s="702" t="s">
        <v>64</v>
      </c>
      <c r="G2" s="702" t="s">
        <v>65</v>
      </c>
      <c r="H2" s="704" t="s">
        <v>66</v>
      </c>
      <c r="I2" s="706" t="s">
        <v>67</v>
      </c>
      <c r="J2" s="708" t="s">
        <v>68</v>
      </c>
      <c r="K2" s="709"/>
      <c r="L2" s="709"/>
      <c r="M2" s="710"/>
      <c r="N2" s="696" t="s">
        <v>69</v>
      </c>
      <c r="O2" s="696" t="s">
        <v>70</v>
      </c>
      <c r="P2" s="696" t="s">
        <v>71</v>
      </c>
      <c r="Q2" s="698" t="s">
        <v>710</v>
      </c>
      <c r="R2" s="698" t="s">
        <v>73</v>
      </c>
      <c r="S2" s="700" t="s">
        <v>74</v>
      </c>
    </row>
    <row r="3" spans="1:21" ht="16.5" customHeight="1" x14ac:dyDescent="0.3">
      <c r="A3" s="712"/>
      <c r="B3" s="714"/>
      <c r="C3" s="720"/>
      <c r="D3" s="718"/>
      <c r="E3" s="703"/>
      <c r="F3" s="703"/>
      <c r="G3" s="703"/>
      <c r="H3" s="705"/>
      <c r="I3" s="707"/>
      <c r="J3" s="116" t="s">
        <v>75</v>
      </c>
      <c r="K3" s="117" t="s">
        <v>76</v>
      </c>
      <c r="L3" s="117" t="s">
        <v>77</v>
      </c>
      <c r="M3" s="117" t="s">
        <v>78</v>
      </c>
      <c r="N3" s="697"/>
      <c r="O3" s="697"/>
      <c r="P3" s="697"/>
      <c r="Q3" s="699"/>
      <c r="R3" s="699"/>
      <c r="S3" s="701"/>
    </row>
    <row r="4" spans="1:21" ht="16.5" customHeight="1" x14ac:dyDescent="0.3">
      <c r="A4" t="s">
        <v>490</v>
      </c>
      <c r="C4" s="318">
        <v>44129</v>
      </c>
      <c r="D4" s="98" t="s">
        <v>605</v>
      </c>
      <c r="E4" s="124" t="s">
        <v>606</v>
      </c>
      <c r="F4" s="124" t="s">
        <v>500</v>
      </c>
      <c r="G4" s="124" t="s">
        <v>558</v>
      </c>
      <c r="H4" s="142" t="s">
        <v>607</v>
      </c>
      <c r="I4" s="98">
        <v>1</v>
      </c>
      <c r="J4" s="102">
        <v>380000</v>
      </c>
      <c r="K4" s="103">
        <v>380000</v>
      </c>
      <c r="L4" s="103">
        <v>38000</v>
      </c>
      <c r="M4" s="140">
        <v>418000</v>
      </c>
      <c r="N4" s="2">
        <v>100000</v>
      </c>
      <c r="O4" s="2" t="s">
        <v>608</v>
      </c>
      <c r="P4" s="103">
        <v>280000</v>
      </c>
      <c r="Q4" s="125" t="s">
        <v>510</v>
      </c>
      <c r="R4" s="126" t="s">
        <v>9</v>
      </c>
      <c r="S4" s="317"/>
      <c r="T4" t="str">
        <f t="shared" ref="T4:T17" si="0">IF(S4="","","입금완료")</f>
        <v/>
      </c>
      <c r="U4" s="120"/>
    </row>
    <row r="5" spans="1:21" ht="16.5" customHeight="1" x14ac:dyDescent="0.3">
      <c r="A5" t="s">
        <v>490</v>
      </c>
      <c r="C5" s="325">
        <v>44136</v>
      </c>
      <c r="D5" s="124" t="s">
        <v>605</v>
      </c>
      <c r="E5" s="124" t="s">
        <v>691</v>
      </c>
      <c r="F5" s="124" t="s">
        <v>500</v>
      </c>
      <c r="G5" s="124" t="s">
        <v>558</v>
      </c>
      <c r="H5" s="142" t="s">
        <v>692</v>
      </c>
      <c r="I5" s="98">
        <v>1</v>
      </c>
      <c r="J5" s="102">
        <v>440000</v>
      </c>
      <c r="K5" s="103">
        <v>440000</v>
      </c>
      <c r="L5" s="103">
        <v>44000</v>
      </c>
      <c r="M5" s="140">
        <v>484000</v>
      </c>
      <c r="N5" s="2">
        <v>150000</v>
      </c>
      <c r="O5" s="1" t="s">
        <v>693</v>
      </c>
      <c r="P5" s="104">
        <v>290000</v>
      </c>
      <c r="Q5" s="125" t="s">
        <v>510</v>
      </c>
      <c r="R5" s="145" t="s">
        <v>9</v>
      </c>
      <c r="S5" s="317"/>
      <c r="T5" t="str">
        <f t="shared" si="0"/>
        <v/>
      </c>
    </row>
    <row r="6" spans="1:21" ht="16.5" customHeight="1" x14ac:dyDescent="0.3">
      <c r="A6" t="s">
        <v>490</v>
      </c>
      <c r="C6" s="325">
        <v>44075</v>
      </c>
      <c r="D6" s="328" t="s">
        <v>28</v>
      </c>
      <c r="E6" s="124" t="s">
        <v>535</v>
      </c>
      <c r="F6" s="99" t="s">
        <v>500</v>
      </c>
      <c r="G6" s="99" t="s">
        <v>501</v>
      </c>
      <c r="H6" s="142" t="s">
        <v>536</v>
      </c>
      <c r="I6" s="98">
        <v>1</v>
      </c>
      <c r="J6" s="102">
        <v>421400</v>
      </c>
      <c r="K6" s="103">
        <v>421400</v>
      </c>
      <c r="L6" s="103">
        <v>42140</v>
      </c>
      <c r="M6" s="140">
        <v>463540</v>
      </c>
      <c r="N6" s="111">
        <v>411400</v>
      </c>
      <c r="O6" s="103" t="s">
        <v>537</v>
      </c>
      <c r="P6" s="104">
        <v>10000</v>
      </c>
      <c r="Q6" s="157">
        <v>44150</v>
      </c>
      <c r="R6" s="306" t="s">
        <v>26</v>
      </c>
      <c r="S6" s="317"/>
      <c r="T6" t="str">
        <f t="shared" si="0"/>
        <v/>
      </c>
    </row>
    <row r="7" spans="1:21" ht="16.5" customHeight="1" x14ac:dyDescent="0.3">
      <c r="A7" t="s">
        <v>490</v>
      </c>
      <c r="C7" s="325">
        <v>44103</v>
      </c>
      <c r="D7" s="328" t="s">
        <v>28</v>
      </c>
      <c r="E7" s="124" t="s">
        <v>552</v>
      </c>
      <c r="F7" s="124" t="s">
        <v>500</v>
      </c>
      <c r="G7" s="124" t="s">
        <v>531</v>
      </c>
      <c r="H7" s="142" t="s">
        <v>553</v>
      </c>
      <c r="I7" s="98">
        <v>1</v>
      </c>
      <c r="J7" s="102">
        <v>267667</v>
      </c>
      <c r="K7" s="103">
        <v>267667</v>
      </c>
      <c r="L7" s="103">
        <v>26766.7</v>
      </c>
      <c r="M7" s="140">
        <v>294433.7</v>
      </c>
      <c r="N7" s="2">
        <v>228510</v>
      </c>
      <c r="O7" s="2" t="s">
        <v>554</v>
      </c>
      <c r="P7" s="104">
        <v>39157</v>
      </c>
      <c r="Q7" s="156">
        <v>44150</v>
      </c>
      <c r="R7" s="126" t="s">
        <v>26</v>
      </c>
      <c r="S7" s="317"/>
      <c r="T7" t="str">
        <f t="shared" si="0"/>
        <v/>
      </c>
      <c r="U7" s="120"/>
    </row>
    <row r="8" spans="1:21" ht="16.5" customHeight="1" x14ac:dyDescent="0.3">
      <c r="A8" t="s">
        <v>490</v>
      </c>
      <c r="C8" s="318">
        <v>44103</v>
      </c>
      <c r="D8" s="149" t="s">
        <v>28</v>
      </c>
      <c r="E8" s="124" t="s">
        <v>564</v>
      </c>
      <c r="F8" s="124" t="s">
        <v>500</v>
      </c>
      <c r="G8" s="124" t="s">
        <v>565</v>
      </c>
      <c r="H8" s="142" t="s">
        <v>566</v>
      </c>
      <c r="I8" s="98">
        <v>1</v>
      </c>
      <c r="J8" s="102">
        <v>148000</v>
      </c>
      <c r="K8" s="103">
        <v>148000</v>
      </c>
      <c r="L8" s="103">
        <v>14800</v>
      </c>
      <c r="M8" s="140">
        <v>162800</v>
      </c>
      <c r="N8" s="2">
        <v>98146.833333333343</v>
      </c>
      <c r="O8" s="2" t="s">
        <v>567</v>
      </c>
      <c r="P8" s="104">
        <v>49853.166666666657</v>
      </c>
      <c r="Q8" s="157">
        <v>44150</v>
      </c>
      <c r="R8" s="107" t="s">
        <v>9</v>
      </c>
      <c r="S8" s="317"/>
      <c r="T8" t="str">
        <f t="shared" si="0"/>
        <v/>
      </c>
    </row>
    <row r="9" spans="1:21" ht="16.5" customHeight="1" x14ac:dyDescent="0.3">
      <c r="A9" t="s">
        <v>490</v>
      </c>
      <c r="C9" s="320">
        <v>44134</v>
      </c>
      <c r="D9" s="98" t="s">
        <v>28</v>
      </c>
      <c r="E9" s="99" t="s">
        <v>677</v>
      </c>
      <c r="F9" s="99" t="s">
        <v>500</v>
      </c>
      <c r="G9" s="99" t="s">
        <v>501</v>
      </c>
      <c r="H9" s="100" t="s">
        <v>678</v>
      </c>
      <c r="I9" s="101">
        <v>1</v>
      </c>
      <c r="J9" s="102">
        <v>5869000</v>
      </c>
      <c r="K9" s="103">
        <v>5869000</v>
      </c>
      <c r="L9" s="103">
        <v>586900</v>
      </c>
      <c r="M9" s="140">
        <v>6455900</v>
      </c>
      <c r="N9" s="2">
        <v>5596800</v>
      </c>
      <c r="O9" s="2" t="s">
        <v>594</v>
      </c>
      <c r="P9" s="104">
        <v>272200</v>
      </c>
      <c r="Q9" s="106" t="s">
        <v>510</v>
      </c>
      <c r="R9" s="107" t="s">
        <v>9</v>
      </c>
      <c r="S9" s="317"/>
      <c r="T9" t="str">
        <f t="shared" si="0"/>
        <v/>
      </c>
    </row>
    <row r="10" spans="1:21" ht="16.5" customHeight="1" x14ac:dyDescent="0.3">
      <c r="A10" t="s">
        <v>490</v>
      </c>
      <c r="C10" s="320">
        <v>44105</v>
      </c>
      <c r="D10" s="98" t="s">
        <v>42</v>
      </c>
      <c r="E10" s="99" t="s">
        <v>579</v>
      </c>
      <c r="F10" s="99" t="s">
        <v>500</v>
      </c>
      <c r="G10" s="99" t="s">
        <v>501</v>
      </c>
      <c r="H10" s="100" t="s">
        <v>580</v>
      </c>
      <c r="I10" s="101">
        <v>1</v>
      </c>
      <c r="J10" s="102">
        <v>2950000</v>
      </c>
      <c r="K10" s="103">
        <v>2950000</v>
      </c>
      <c r="L10" s="140">
        <v>295000</v>
      </c>
      <c r="M10" s="140">
        <v>3245000</v>
      </c>
      <c r="N10" s="2">
        <v>2044000</v>
      </c>
      <c r="O10" s="305" t="s">
        <v>581</v>
      </c>
      <c r="P10" s="104">
        <v>906000</v>
      </c>
      <c r="Q10" s="106" t="s">
        <v>510</v>
      </c>
      <c r="R10" s="107" t="s">
        <v>26</v>
      </c>
      <c r="S10" s="317"/>
      <c r="T10" t="str">
        <f t="shared" si="0"/>
        <v/>
      </c>
    </row>
    <row r="11" spans="1:21" ht="16.5" customHeight="1" x14ac:dyDescent="0.3">
      <c r="A11" t="s">
        <v>490</v>
      </c>
      <c r="C11" s="320">
        <v>44134</v>
      </c>
      <c r="D11" s="98" t="s">
        <v>683</v>
      </c>
      <c r="E11" s="99" t="s">
        <v>684</v>
      </c>
      <c r="F11" s="99" t="s">
        <v>506</v>
      </c>
      <c r="G11" s="99" t="s">
        <v>507</v>
      </c>
      <c r="H11" s="100" t="s">
        <v>633</v>
      </c>
      <c r="I11" s="101">
        <v>1</v>
      </c>
      <c r="J11" s="102">
        <v>2030000</v>
      </c>
      <c r="K11" s="103">
        <v>2030000</v>
      </c>
      <c r="L11" s="103">
        <v>203000</v>
      </c>
      <c r="M11" s="140">
        <v>2233000</v>
      </c>
      <c r="N11" s="2">
        <v>1904800</v>
      </c>
      <c r="O11" s="2" t="s">
        <v>685</v>
      </c>
      <c r="P11" s="104">
        <v>125200</v>
      </c>
      <c r="Q11" s="106" t="s">
        <v>510</v>
      </c>
      <c r="R11" s="107" t="s">
        <v>9</v>
      </c>
      <c r="S11" s="317"/>
      <c r="T11" t="str">
        <f t="shared" si="0"/>
        <v/>
      </c>
    </row>
    <row r="12" spans="1:21" ht="16.5" customHeight="1" x14ac:dyDescent="0.3">
      <c r="A12" t="s">
        <v>490</v>
      </c>
      <c r="C12" s="320">
        <v>44130</v>
      </c>
      <c r="D12" s="309" t="s">
        <v>488</v>
      </c>
      <c r="E12" s="310"/>
      <c r="F12" s="99" t="s">
        <v>371</v>
      </c>
      <c r="G12" s="99" t="s">
        <v>609</v>
      </c>
      <c r="H12" s="100" t="s">
        <v>610</v>
      </c>
      <c r="I12" s="101">
        <v>2</v>
      </c>
      <c r="J12" s="102">
        <v>220000</v>
      </c>
      <c r="K12" s="103">
        <v>440000</v>
      </c>
      <c r="L12" s="103">
        <v>44000</v>
      </c>
      <c r="M12" s="140">
        <v>484000</v>
      </c>
      <c r="N12" s="2">
        <v>340000</v>
      </c>
      <c r="O12" s="2" t="s">
        <v>611</v>
      </c>
      <c r="P12" s="104">
        <v>100000</v>
      </c>
      <c r="Q12" s="106" t="s">
        <v>510</v>
      </c>
      <c r="R12" s="107" t="s">
        <v>9</v>
      </c>
      <c r="S12" s="317"/>
      <c r="T12" t="str">
        <f t="shared" si="0"/>
        <v/>
      </c>
    </row>
    <row r="13" spans="1:21" ht="16.5" customHeight="1" x14ac:dyDescent="0.3">
      <c r="A13" t="s">
        <v>490</v>
      </c>
      <c r="C13" s="318">
        <v>44130</v>
      </c>
      <c r="D13" s="98" t="s">
        <v>488</v>
      </c>
      <c r="E13" s="124"/>
      <c r="F13" s="124" t="s">
        <v>371</v>
      </c>
      <c r="G13" s="124" t="s">
        <v>612</v>
      </c>
      <c r="H13" s="146" t="s">
        <v>613</v>
      </c>
      <c r="I13" s="124">
        <v>1</v>
      </c>
      <c r="J13" s="102">
        <v>100000</v>
      </c>
      <c r="K13" s="103">
        <v>100000</v>
      </c>
      <c r="L13" s="103">
        <v>10000</v>
      </c>
      <c r="M13" s="140">
        <v>110000</v>
      </c>
      <c r="N13" s="111">
        <v>0</v>
      </c>
      <c r="O13" s="329" t="s">
        <v>246</v>
      </c>
      <c r="P13" s="104">
        <v>100000</v>
      </c>
      <c r="Q13" s="125" t="s">
        <v>510</v>
      </c>
      <c r="R13" s="126" t="s">
        <v>9</v>
      </c>
      <c r="S13" s="317"/>
      <c r="T13" t="str">
        <f t="shared" si="0"/>
        <v/>
      </c>
      <c r="U13" t="s">
        <v>495</v>
      </c>
    </row>
    <row r="14" spans="1:21" ht="16.5" customHeight="1" x14ac:dyDescent="0.3">
      <c r="A14" t="s">
        <v>490</v>
      </c>
      <c r="C14" s="318">
        <v>44063</v>
      </c>
      <c r="D14" s="149" t="s">
        <v>297</v>
      </c>
      <c r="E14" s="124" t="s">
        <v>505</v>
      </c>
      <c r="F14" s="124" t="s">
        <v>506</v>
      </c>
      <c r="G14" s="99" t="s">
        <v>507</v>
      </c>
      <c r="H14" s="146" t="s">
        <v>508</v>
      </c>
      <c r="I14" s="124">
        <v>1</v>
      </c>
      <c r="J14" s="102">
        <v>419200</v>
      </c>
      <c r="K14" s="103">
        <v>419200</v>
      </c>
      <c r="L14" s="103">
        <v>41920</v>
      </c>
      <c r="M14" s="140">
        <v>461120</v>
      </c>
      <c r="N14" s="2">
        <v>344289</v>
      </c>
      <c r="O14" s="2" t="s">
        <v>509</v>
      </c>
      <c r="P14" s="104">
        <v>74911</v>
      </c>
      <c r="Q14" s="106" t="s">
        <v>510</v>
      </c>
      <c r="R14" s="126" t="s">
        <v>9</v>
      </c>
      <c r="S14" s="317"/>
      <c r="T14" t="str">
        <f t="shared" si="0"/>
        <v/>
      </c>
    </row>
    <row r="15" spans="1:21" ht="16.5" customHeight="1" x14ac:dyDescent="0.3">
      <c r="A15" t="s">
        <v>490</v>
      </c>
      <c r="C15" s="320">
        <v>44063</v>
      </c>
      <c r="D15" s="320" t="s">
        <v>297</v>
      </c>
      <c r="E15" s="319" t="s">
        <v>511</v>
      </c>
      <c r="F15" s="124" t="s">
        <v>506</v>
      </c>
      <c r="G15" s="99" t="s">
        <v>507</v>
      </c>
      <c r="H15" s="121" t="s">
        <v>512</v>
      </c>
      <c r="I15" s="122">
        <v>1</v>
      </c>
      <c r="J15" s="102">
        <v>419200</v>
      </c>
      <c r="K15" s="103">
        <v>419200</v>
      </c>
      <c r="L15" s="103">
        <v>41920</v>
      </c>
      <c r="M15" s="140">
        <v>461120</v>
      </c>
      <c r="N15" s="2">
        <v>344289</v>
      </c>
      <c r="O15" s="2" t="s">
        <v>509</v>
      </c>
      <c r="P15" s="104">
        <v>74911</v>
      </c>
      <c r="Q15" s="125" t="s">
        <v>510</v>
      </c>
      <c r="R15" s="107" t="s">
        <v>9</v>
      </c>
      <c r="S15" s="317"/>
      <c r="T15" t="str">
        <f t="shared" si="0"/>
        <v/>
      </c>
    </row>
    <row r="16" spans="1:21" ht="16.5" customHeight="1" x14ac:dyDescent="0.3">
      <c r="A16" t="s">
        <v>490</v>
      </c>
      <c r="C16" s="320">
        <v>44071</v>
      </c>
      <c r="D16" s="320" t="s">
        <v>297</v>
      </c>
      <c r="E16" s="319"/>
      <c r="F16" s="98" t="s">
        <v>371</v>
      </c>
      <c r="G16" s="304" t="s">
        <v>513</v>
      </c>
      <c r="H16" s="100" t="s">
        <v>514</v>
      </c>
      <c r="I16" s="101">
        <v>2</v>
      </c>
      <c r="J16" s="102">
        <v>330000</v>
      </c>
      <c r="K16" s="103">
        <v>660000</v>
      </c>
      <c r="L16" s="140">
        <v>66000</v>
      </c>
      <c r="M16" s="140">
        <v>726000</v>
      </c>
      <c r="N16" s="2">
        <v>500000</v>
      </c>
      <c r="O16" s="2" t="s">
        <v>515</v>
      </c>
      <c r="P16" s="104">
        <v>160000</v>
      </c>
      <c r="Q16" s="125" t="s">
        <v>510</v>
      </c>
      <c r="R16" s="107" t="s">
        <v>8</v>
      </c>
      <c r="S16" s="317"/>
      <c r="T16" t="str">
        <f t="shared" si="0"/>
        <v/>
      </c>
      <c r="U16" s="120"/>
    </row>
    <row r="17" spans="1:20" ht="16.5" customHeight="1" x14ac:dyDescent="0.3">
      <c r="A17" t="s">
        <v>490</v>
      </c>
      <c r="C17" s="318">
        <v>44129</v>
      </c>
      <c r="D17" s="98" t="s">
        <v>125</v>
      </c>
      <c r="E17" s="98" t="s">
        <v>604</v>
      </c>
      <c r="F17" s="98" t="s">
        <v>500</v>
      </c>
      <c r="G17" s="98" t="s">
        <v>576</v>
      </c>
      <c r="H17" s="142" t="s">
        <v>580</v>
      </c>
      <c r="I17" s="98">
        <v>1</v>
      </c>
      <c r="J17" s="102">
        <v>294000</v>
      </c>
      <c r="K17" s="103">
        <v>294000</v>
      </c>
      <c r="L17" s="140">
        <v>29400</v>
      </c>
      <c r="M17" s="140">
        <v>323400</v>
      </c>
      <c r="N17" s="2">
        <v>192400</v>
      </c>
      <c r="O17" s="2" t="s">
        <v>594</v>
      </c>
      <c r="P17" s="104">
        <v>101600</v>
      </c>
      <c r="Q17" s="125" t="s">
        <v>510</v>
      </c>
      <c r="R17" s="126" t="s">
        <v>9</v>
      </c>
      <c r="S17" s="317"/>
      <c r="T17" t="str">
        <f t="shared" si="0"/>
        <v/>
      </c>
    </row>
    <row r="18" spans="1:20" ht="16.5" customHeight="1" x14ac:dyDescent="0.3">
      <c r="A18" t="s">
        <v>490</v>
      </c>
      <c r="C18" s="318">
        <v>44155</v>
      </c>
      <c r="D18" s="98" t="s">
        <v>233</v>
      </c>
      <c r="E18" s="124"/>
      <c r="F18" s="124" t="s">
        <v>500</v>
      </c>
      <c r="G18" s="124" t="s">
        <v>558</v>
      </c>
      <c r="H18" s="146" t="s">
        <v>702</v>
      </c>
      <c r="I18" s="124">
        <v>1</v>
      </c>
      <c r="J18" s="102">
        <v>200000</v>
      </c>
      <c r="K18" s="103">
        <v>200000</v>
      </c>
      <c r="L18" s="103">
        <v>20000</v>
      </c>
      <c r="M18" s="140">
        <v>220000</v>
      </c>
      <c r="N18" s="2">
        <v>0</v>
      </c>
      <c r="O18" s="1" t="s">
        <v>560</v>
      </c>
      <c r="P18" s="104">
        <v>200000</v>
      </c>
      <c r="Q18" s="125" t="s">
        <v>510</v>
      </c>
      <c r="R18" s="145" t="s">
        <v>8</v>
      </c>
      <c r="S18" s="317"/>
    </row>
    <row r="19" spans="1:20" ht="16.5" customHeight="1" x14ac:dyDescent="0.3">
      <c r="A19" t="s">
        <v>490</v>
      </c>
      <c r="C19" s="318">
        <v>44165</v>
      </c>
      <c r="D19" s="98" t="s">
        <v>375</v>
      </c>
      <c r="E19" s="124"/>
      <c r="F19" s="124" t="s">
        <v>500</v>
      </c>
      <c r="G19" s="124" t="s">
        <v>558</v>
      </c>
      <c r="H19" s="146" t="s">
        <v>708</v>
      </c>
      <c r="I19" s="124">
        <v>1</v>
      </c>
      <c r="J19" s="102">
        <v>200000</v>
      </c>
      <c r="K19" s="103">
        <v>200000</v>
      </c>
      <c r="L19" s="103">
        <v>20000</v>
      </c>
      <c r="M19" s="140">
        <v>220000</v>
      </c>
      <c r="N19" s="2">
        <v>0</v>
      </c>
      <c r="O19" s="1" t="s">
        <v>560</v>
      </c>
      <c r="P19" s="104">
        <v>200000</v>
      </c>
      <c r="Q19" s="125" t="s">
        <v>510</v>
      </c>
      <c r="R19" s="145" t="s">
        <v>9</v>
      </c>
      <c r="S19" s="317"/>
    </row>
    <row r="20" spans="1:20" ht="16.5" customHeight="1" x14ac:dyDescent="0.3">
      <c r="A20" t="s">
        <v>490</v>
      </c>
      <c r="C20" s="320">
        <v>44134</v>
      </c>
      <c r="D20" s="98" t="s">
        <v>142</v>
      </c>
      <c r="E20" s="99" t="s">
        <v>635</v>
      </c>
      <c r="F20" s="99" t="s">
        <v>500</v>
      </c>
      <c r="G20" s="99" t="s">
        <v>558</v>
      </c>
      <c r="H20" s="121" t="s">
        <v>636</v>
      </c>
      <c r="I20" s="122">
        <v>1</v>
      </c>
      <c r="J20" s="102">
        <v>320000</v>
      </c>
      <c r="K20" s="103">
        <v>320000</v>
      </c>
      <c r="L20" s="103">
        <v>32000</v>
      </c>
      <c r="M20" s="140">
        <v>352000</v>
      </c>
      <c r="N20" s="2">
        <v>50000</v>
      </c>
      <c r="O20" s="2" t="s">
        <v>637</v>
      </c>
      <c r="P20" s="104">
        <v>270000</v>
      </c>
      <c r="Q20" s="106" t="s">
        <v>510</v>
      </c>
      <c r="R20" s="107" t="s">
        <v>9</v>
      </c>
      <c r="S20" s="317"/>
      <c r="T20" t="str">
        <f t="shared" ref="T20:T52" si="1">IF(S20="","","입금완료")</f>
        <v/>
      </c>
    </row>
    <row r="21" spans="1:20" ht="16.5" customHeight="1" x14ac:dyDescent="0.3">
      <c r="A21" t="s">
        <v>490</v>
      </c>
      <c r="C21" s="320">
        <v>44134</v>
      </c>
      <c r="D21" s="98" t="s">
        <v>172</v>
      </c>
      <c r="E21" s="99" t="s">
        <v>661</v>
      </c>
      <c r="F21" s="124" t="s">
        <v>500</v>
      </c>
      <c r="G21" s="99" t="s">
        <v>501</v>
      </c>
      <c r="H21" s="100" t="s">
        <v>580</v>
      </c>
      <c r="I21" s="101">
        <v>1</v>
      </c>
      <c r="J21" s="102">
        <v>748000</v>
      </c>
      <c r="K21" s="103">
        <v>748000</v>
      </c>
      <c r="L21" s="103">
        <v>74800</v>
      </c>
      <c r="M21" s="140">
        <v>822800</v>
      </c>
      <c r="N21" s="2">
        <v>712600</v>
      </c>
      <c r="O21" s="2" t="s">
        <v>662</v>
      </c>
      <c r="P21" s="104">
        <v>35400</v>
      </c>
      <c r="Q21" s="106" t="s">
        <v>510</v>
      </c>
      <c r="R21" s="126" t="s">
        <v>9</v>
      </c>
      <c r="S21" s="317"/>
      <c r="T21" t="str">
        <f t="shared" si="1"/>
        <v/>
      </c>
    </row>
    <row r="22" spans="1:20" ht="16.5" customHeight="1" x14ac:dyDescent="0.3">
      <c r="A22" t="s">
        <v>490</v>
      </c>
      <c r="C22" s="320">
        <v>44134</v>
      </c>
      <c r="D22" s="98" t="s">
        <v>172</v>
      </c>
      <c r="E22" s="99" t="s">
        <v>663</v>
      </c>
      <c r="F22" s="99" t="s">
        <v>500</v>
      </c>
      <c r="G22" s="99" t="s">
        <v>576</v>
      </c>
      <c r="H22" s="100" t="s">
        <v>593</v>
      </c>
      <c r="I22" s="101">
        <v>1</v>
      </c>
      <c r="J22" s="102">
        <v>96000</v>
      </c>
      <c r="K22" s="103">
        <v>96000</v>
      </c>
      <c r="L22" s="103">
        <v>9600</v>
      </c>
      <c r="M22" s="140">
        <v>105600</v>
      </c>
      <c r="N22" s="2">
        <v>88400</v>
      </c>
      <c r="O22" s="2" t="s">
        <v>594</v>
      </c>
      <c r="P22" s="104">
        <v>7600</v>
      </c>
      <c r="Q22" s="106" t="s">
        <v>510</v>
      </c>
      <c r="R22" s="107" t="s">
        <v>9</v>
      </c>
      <c r="S22" s="317"/>
      <c r="T22" t="str">
        <f t="shared" si="1"/>
        <v/>
      </c>
    </row>
    <row r="23" spans="1:20" ht="16.5" customHeight="1" x14ac:dyDescent="0.3">
      <c r="A23" t="s">
        <v>490</v>
      </c>
      <c r="C23" s="320">
        <v>44134</v>
      </c>
      <c r="D23" s="98" t="s">
        <v>172</v>
      </c>
      <c r="E23" s="124" t="s">
        <v>664</v>
      </c>
      <c r="F23" s="124" t="s">
        <v>500</v>
      </c>
      <c r="G23" s="124" t="s">
        <v>501</v>
      </c>
      <c r="H23" s="142" t="s">
        <v>644</v>
      </c>
      <c r="I23" s="98">
        <v>1</v>
      </c>
      <c r="J23" s="102">
        <v>166000</v>
      </c>
      <c r="K23" s="103">
        <v>166000</v>
      </c>
      <c r="L23" s="103">
        <v>16600</v>
      </c>
      <c r="M23" s="140">
        <v>182600</v>
      </c>
      <c r="N23" s="2">
        <v>152000</v>
      </c>
      <c r="O23" s="2" t="s">
        <v>665</v>
      </c>
      <c r="P23" s="104">
        <v>14000</v>
      </c>
      <c r="Q23" s="106" t="s">
        <v>510</v>
      </c>
      <c r="R23" s="126" t="s">
        <v>9</v>
      </c>
      <c r="S23" s="317"/>
      <c r="T23" t="str">
        <f t="shared" si="1"/>
        <v/>
      </c>
    </row>
    <row r="24" spans="1:20" ht="16.5" customHeight="1" x14ac:dyDescent="0.3">
      <c r="A24" t="s">
        <v>490</v>
      </c>
      <c r="C24" s="320">
        <v>44134</v>
      </c>
      <c r="D24" s="98" t="s">
        <v>172</v>
      </c>
      <c r="E24" s="124" t="s">
        <v>666</v>
      </c>
      <c r="F24" s="124" t="s">
        <v>500</v>
      </c>
      <c r="G24" s="124" t="s">
        <v>501</v>
      </c>
      <c r="H24" s="142" t="s">
        <v>644</v>
      </c>
      <c r="I24" s="98">
        <v>1</v>
      </c>
      <c r="J24" s="102">
        <v>292000</v>
      </c>
      <c r="K24" s="103">
        <v>292000</v>
      </c>
      <c r="L24" s="103">
        <v>29200</v>
      </c>
      <c r="M24" s="140">
        <v>321200</v>
      </c>
      <c r="N24" s="2">
        <v>266400</v>
      </c>
      <c r="O24" s="2" t="s">
        <v>667</v>
      </c>
      <c r="P24" s="104">
        <v>25600</v>
      </c>
      <c r="Q24" s="106" t="s">
        <v>510</v>
      </c>
      <c r="R24" s="126" t="s">
        <v>9</v>
      </c>
      <c r="S24" s="317"/>
      <c r="T24" t="str">
        <f t="shared" si="1"/>
        <v/>
      </c>
    </row>
    <row r="25" spans="1:20" ht="16.5" customHeight="1" x14ac:dyDescent="0.3">
      <c r="A25" t="s">
        <v>490</v>
      </c>
      <c r="C25" s="320">
        <v>44134</v>
      </c>
      <c r="D25" s="98" t="s">
        <v>172</v>
      </c>
      <c r="E25" s="99" t="s">
        <v>668</v>
      </c>
      <c r="F25" s="99" t="s">
        <v>500</v>
      </c>
      <c r="G25" s="99" t="s">
        <v>501</v>
      </c>
      <c r="H25" s="161" t="s">
        <v>644</v>
      </c>
      <c r="I25" s="162">
        <v>1</v>
      </c>
      <c r="J25" s="144">
        <v>483000</v>
      </c>
      <c r="K25" s="103">
        <v>483000</v>
      </c>
      <c r="L25" s="103">
        <v>48300</v>
      </c>
      <c r="M25" s="140">
        <v>531300</v>
      </c>
      <c r="N25" s="2">
        <v>442300</v>
      </c>
      <c r="O25" s="2" t="s">
        <v>669</v>
      </c>
      <c r="P25" s="104">
        <v>40700</v>
      </c>
      <c r="Q25" s="106" t="s">
        <v>510</v>
      </c>
      <c r="R25" s="107" t="s">
        <v>9</v>
      </c>
      <c r="S25" s="317"/>
      <c r="T25" t="str">
        <f t="shared" si="1"/>
        <v/>
      </c>
    </row>
    <row r="26" spans="1:20" ht="16.5" customHeight="1" x14ac:dyDescent="0.3">
      <c r="A26" t="s">
        <v>490</v>
      </c>
      <c r="C26" s="320">
        <v>44134</v>
      </c>
      <c r="D26" s="98" t="s">
        <v>172</v>
      </c>
      <c r="E26" s="99" t="s">
        <v>670</v>
      </c>
      <c r="F26" s="99" t="s">
        <v>500</v>
      </c>
      <c r="G26" s="99" t="s">
        <v>501</v>
      </c>
      <c r="H26" s="161" t="s">
        <v>649</v>
      </c>
      <c r="I26" s="162">
        <v>1</v>
      </c>
      <c r="J26" s="144">
        <v>323500</v>
      </c>
      <c r="K26" s="103">
        <v>323500</v>
      </c>
      <c r="L26" s="103">
        <v>32350</v>
      </c>
      <c r="M26" s="140">
        <v>355850</v>
      </c>
      <c r="N26" s="2">
        <v>294000</v>
      </c>
      <c r="O26" s="2" t="s">
        <v>640</v>
      </c>
      <c r="P26" s="104">
        <v>29500</v>
      </c>
      <c r="Q26" s="106" t="s">
        <v>510</v>
      </c>
      <c r="R26" s="107" t="s">
        <v>9</v>
      </c>
      <c r="S26" s="317"/>
      <c r="T26" t="str">
        <f t="shared" si="1"/>
        <v/>
      </c>
    </row>
    <row r="27" spans="1:20" ht="16.5" customHeight="1" x14ac:dyDescent="0.3">
      <c r="A27" t="s">
        <v>490</v>
      </c>
      <c r="C27" s="320">
        <v>44105</v>
      </c>
      <c r="D27" s="98" t="s">
        <v>96</v>
      </c>
      <c r="E27" s="99" t="s">
        <v>575</v>
      </c>
      <c r="F27" s="99" t="s">
        <v>500</v>
      </c>
      <c r="G27" s="99" t="s">
        <v>576</v>
      </c>
      <c r="H27" s="100" t="s">
        <v>577</v>
      </c>
      <c r="I27" s="101">
        <v>1</v>
      </c>
      <c r="J27" s="102">
        <v>760000</v>
      </c>
      <c r="K27" s="103">
        <v>760000</v>
      </c>
      <c r="L27" s="103">
        <v>76000</v>
      </c>
      <c r="M27" s="140">
        <v>836000</v>
      </c>
      <c r="N27" s="2">
        <v>643000</v>
      </c>
      <c r="O27" s="2" t="s">
        <v>578</v>
      </c>
      <c r="P27" s="104">
        <v>117000</v>
      </c>
      <c r="Q27" s="106" t="s">
        <v>510</v>
      </c>
      <c r="R27" s="107" t="s">
        <v>9</v>
      </c>
      <c r="S27" s="317"/>
      <c r="T27" t="str">
        <f t="shared" si="1"/>
        <v/>
      </c>
    </row>
    <row r="28" spans="1:20" ht="16.5" customHeight="1" x14ac:dyDescent="0.3">
      <c r="A28" t="s">
        <v>490</v>
      </c>
      <c r="C28" s="320">
        <v>44103</v>
      </c>
      <c r="D28" s="98" t="s">
        <v>33</v>
      </c>
      <c r="E28" s="160" t="s">
        <v>572</v>
      </c>
      <c r="F28" s="160" t="s">
        <v>500</v>
      </c>
      <c r="G28" s="99" t="s">
        <v>501</v>
      </c>
      <c r="H28" s="100" t="s">
        <v>573</v>
      </c>
      <c r="I28" s="101">
        <v>1</v>
      </c>
      <c r="J28" s="102">
        <v>3990000</v>
      </c>
      <c r="K28" s="103">
        <v>3990000</v>
      </c>
      <c r="L28" s="103">
        <v>399000</v>
      </c>
      <c r="M28" s="140">
        <v>4389000</v>
      </c>
      <c r="N28" s="2">
        <v>3164735.4166666665</v>
      </c>
      <c r="O28" s="2" t="s">
        <v>574</v>
      </c>
      <c r="P28" s="104">
        <v>825264.58333333349</v>
      </c>
      <c r="Q28" s="106" t="s">
        <v>510</v>
      </c>
      <c r="R28" s="107" t="s">
        <v>9</v>
      </c>
      <c r="S28" s="317"/>
      <c r="T28" t="str">
        <f t="shared" si="1"/>
        <v/>
      </c>
    </row>
    <row r="29" spans="1:20" ht="16.5" customHeight="1" x14ac:dyDescent="0.3">
      <c r="A29" t="s">
        <v>490</v>
      </c>
      <c r="C29" s="320">
        <v>44134</v>
      </c>
      <c r="D29" s="98" t="s">
        <v>180</v>
      </c>
      <c r="E29" s="99"/>
      <c r="F29" s="99" t="s">
        <v>500</v>
      </c>
      <c r="G29" s="99" t="s">
        <v>558</v>
      </c>
      <c r="H29" s="100" t="s">
        <v>580</v>
      </c>
      <c r="I29" s="101">
        <v>1</v>
      </c>
      <c r="J29" s="102">
        <v>12336000</v>
      </c>
      <c r="K29" s="103">
        <v>12336000</v>
      </c>
      <c r="L29" s="140">
        <v>1233600</v>
      </c>
      <c r="M29" s="140">
        <v>13569600</v>
      </c>
      <c r="N29" s="2">
        <v>7311537.5000000009</v>
      </c>
      <c r="O29" s="2" t="s">
        <v>674</v>
      </c>
      <c r="P29" s="104">
        <v>5024462.4999999991</v>
      </c>
      <c r="Q29" s="106" t="s">
        <v>510</v>
      </c>
      <c r="R29" s="107" t="s">
        <v>8</v>
      </c>
      <c r="S29" s="317"/>
      <c r="T29" t="str">
        <f t="shared" si="1"/>
        <v/>
      </c>
    </row>
    <row r="30" spans="1:20" ht="16.5" customHeight="1" x14ac:dyDescent="0.3">
      <c r="A30" t="s">
        <v>490</v>
      </c>
      <c r="C30" s="318">
        <v>44133</v>
      </c>
      <c r="D30" s="98" t="s">
        <v>128</v>
      </c>
      <c r="E30" s="124"/>
      <c r="F30" s="98" t="s">
        <v>371</v>
      </c>
      <c r="G30" s="124" t="s">
        <v>620</v>
      </c>
      <c r="H30" s="142" t="s">
        <v>621</v>
      </c>
      <c r="I30" s="98">
        <v>4</v>
      </c>
      <c r="J30" s="102">
        <v>120000</v>
      </c>
      <c r="K30" s="103">
        <v>480000</v>
      </c>
      <c r="L30" s="140">
        <v>48000</v>
      </c>
      <c r="M30" s="140">
        <v>528000</v>
      </c>
      <c r="N30" s="2">
        <v>320000</v>
      </c>
      <c r="O30" s="2" t="s">
        <v>622</v>
      </c>
      <c r="P30" s="104">
        <v>160000</v>
      </c>
      <c r="Q30" s="125" t="s">
        <v>510</v>
      </c>
      <c r="R30" s="126" t="s">
        <v>9</v>
      </c>
      <c r="S30" s="317"/>
      <c r="T30" t="str">
        <f t="shared" si="1"/>
        <v/>
      </c>
    </row>
    <row r="31" spans="1:20" ht="16.5" customHeight="1" x14ac:dyDescent="0.3">
      <c r="A31" t="s">
        <v>490</v>
      </c>
      <c r="C31" s="318">
        <v>44134</v>
      </c>
      <c r="D31" s="149" t="s">
        <v>188</v>
      </c>
      <c r="E31" s="98"/>
      <c r="F31" s="98" t="s">
        <v>629</v>
      </c>
      <c r="G31" s="99" t="s">
        <v>186</v>
      </c>
      <c r="H31" s="142" t="s">
        <v>630</v>
      </c>
      <c r="I31" s="98">
        <v>2</v>
      </c>
      <c r="J31" s="326">
        <v>350000</v>
      </c>
      <c r="K31" s="103">
        <v>700000</v>
      </c>
      <c r="L31" s="140">
        <v>70000</v>
      </c>
      <c r="M31" s="140">
        <v>770000</v>
      </c>
      <c r="N31" s="2">
        <v>600000</v>
      </c>
      <c r="O31" s="2" t="s">
        <v>631</v>
      </c>
      <c r="P31" s="104">
        <v>100000</v>
      </c>
      <c r="Q31" s="106" t="s">
        <v>510</v>
      </c>
      <c r="R31" s="107" t="s">
        <v>8</v>
      </c>
      <c r="S31" s="317"/>
      <c r="T31" t="str">
        <f t="shared" si="1"/>
        <v/>
      </c>
    </row>
    <row r="32" spans="1:20" ht="16.5" customHeight="1" x14ac:dyDescent="0.3">
      <c r="A32" t="s">
        <v>490</v>
      </c>
      <c r="C32" s="321">
        <v>44074</v>
      </c>
      <c r="D32" s="98" t="s">
        <v>145</v>
      </c>
      <c r="E32" s="99" t="s">
        <v>526</v>
      </c>
      <c r="F32" s="99" t="s">
        <v>500</v>
      </c>
      <c r="G32" s="304" t="s">
        <v>527</v>
      </c>
      <c r="H32" s="161" t="s">
        <v>528</v>
      </c>
      <c r="I32" s="151">
        <v>1</v>
      </c>
      <c r="J32" s="144">
        <v>304000</v>
      </c>
      <c r="K32" s="103">
        <v>304000</v>
      </c>
      <c r="L32" s="140">
        <v>30400</v>
      </c>
      <c r="M32" s="140">
        <v>334400</v>
      </c>
      <c r="N32" s="2">
        <v>260100</v>
      </c>
      <c r="O32" s="2" t="s">
        <v>529</v>
      </c>
      <c r="P32" s="105">
        <v>43900</v>
      </c>
      <c r="Q32" s="157">
        <v>44124</v>
      </c>
      <c r="R32" s="107" t="s">
        <v>9</v>
      </c>
      <c r="S32" s="317"/>
      <c r="T32" t="str">
        <f t="shared" si="1"/>
        <v/>
      </c>
    </row>
    <row r="33" spans="1:21" ht="16.5" customHeight="1" x14ac:dyDescent="0.3">
      <c r="A33" t="s">
        <v>490</v>
      </c>
      <c r="C33" s="320">
        <v>44074</v>
      </c>
      <c r="D33" s="98" t="s">
        <v>145</v>
      </c>
      <c r="E33" s="99" t="s">
        <v>530</v>
      </c>
      <c r="F33" s="160" t="s">
        <v>500</v>
      </c>
      <c r="G33" s="304" t="s">
        <v>531</v>
      </c>
      <c r="H33" s="100" t="s">
        <v>524</v>
      </c>
      <c r="I33" s="101">
        <v>1</v>
      </c>
      <c r="J33" s="102">
        <v>4442500</v>
      </c>
      <c r="K33" s="103">
        <v>4442500</v>
      </c>
      <c r="L33" s="140">
        <v>444250</v>
      </c>
      <c r="M33" s="140">
        <v>4886750</v>
      </c>
      <c r="N33" s="2">
        <v>3736500</v>
      </c>
      <c r="O33" s="2" t="s">
        <v>532</v>
      </c>
      <c r="P33" s="104">
        <v>706000</v>
      </c>
      <c r="Q33" s="157">
        <v>44124</v>
      </c>
      <c r="R33" s="107" t="s">
        <v>9</v>
      </c>
      <c r="S33" s="317"/>
      <c r="T33" t="str">
        <f t="shared" si="1"/>
        <v/>
      </c>
    </row>
    <row r="34" spans="1:21" ht="16.5" customHeight="1" x14ac:dyDescent="0.3">
      <c r="A34" t="s">
        <v>490</v>
      </c>
      <c r="C34" s="321">
        <v>44103</v>
      </c>
      <c r="D34" s="98" t="s">
        <v>145</v>
      </c>
      <c r="E34" s="160" t="s">
        <v>526</v>
      </c>
      <c r="F34" s="160" t="s">
        <v>500</v>
      </c>
      <c r="G34" s="160" t="s">
        <v>527</v>
      </c>
      <c r="H34" s="150" t="s">
        <v>561</v>
      </c>
      <c r="I34" s="151">
        <v>1</v>
      </c>
      <c r="J34" s="144">
        <v>304000</v>
      </c>
      <c r="K34" s="103">
        <v>304000</v>
      </c>
      <c r="L34" s="140">
        <v>30400</v>
      </c>
      <c r="M34" s="140">
        <v>334400</v>
      </c>
      <c r="N34" s="2">
        <v>260100</v>
      </c>
      <c r="O34" s="112" t="s">
        <v>562</v>
      </c>
      <c r="P34" s="104">
        <v>43900</v>
      </c>
      <c r="Q34" s="157">
        <v>44155</v>
      </c>
      <c r="R34" s="313" t="s">
        <v>9</v>
      </c>
      <c r="S34" s="317"/>
      <c r="T34" t="str">
        <f t="shared" si="1"/>
        <v/>
      </c>
    </row>
    <row r="35" spans="1:21" ht="16.5" customHeight="1" x14ac:dyDescent="0.3">
      <c r="A35" t="s">
        <v>490</v>
      </c>
      <c r="C35" s="320">
        <v>44103</v>
      </c>
      <c r="D35" s="98" t="s">
        <v>145</v>
      </c>
      <c r="E35" s="160" t="s">
        <v>530</v>
      </c>
      <c r="F35" s="160" t="s">
        <v>500</v>
      </c>
      <c r="G35" s="160" t="s">
        <v>531</v>
      </c>
      <c r="H35" s="121" t="s">
        <v>536</v>
      </c>
      <c r="I35" s="122">
        <v>1</v>
      </c>
      <c r="J35" s="102">
        <v>4442500</v>
      </c>
      <c r="K35" s="103">
        <v>4442500</v>
      </c>
      <c r="L35" s="140">
        <v>444250</v>
      </c>
      <c r="M35" s="140">
        <v>4886750</v>
      </c>
      <c r="N35" s="2">
        <v>3736500</v>
      </c>
      <c r="O35" s="112" t="s">
        <v>563</v>
      </c>
      <c r="P35" s="104">
        <v>706000</v>
      </c>
      <c r="Q35" s="330">
        <v>44155</v>
      </c>
      <c r="R35" s="313" t="s">
        <v>9</v>
      </c>
      <c r="S35" s="317"/>
      <c r="T35" t="str">
        <f t="shared" si="1"/>
        <v/>
      </c>
    </row>
    <row r="36" spans="1:21" ht="16.5" customHeight="1" x14ac:dyDescent="0.3">
      <c r="A36" t="s">
        <v>490</v>
      </c>
      <c r="C36" s="321">
        <v>44116</v>
      </c>
      <c r="D36" s="149" t="s">
        <v>595</v>
      </c>
      <c r="E36" s="99" t="s">
        <v>596</v>
      </c>
      <c r="F36" s="124" t="s">
        <v>500</v>
      </c>
      <c r="G36" s="99" t="s">
        <v>527</v>
      </c>
      <c r="H36" s="142" t="s">
        <v>597</v>
      </c>
      <c r="I36" s="316">
        <v>1</v>
      </c>
      <c r="J36" s="102">
        <v>630000</v>
      </c>
      <c r="K36" s="103">
        <v>630000</v>
      </c>
      <c r="L36" s="140">
        <v>63000</v>
      </c>
      <c r="M36" s="140">
        <v>693000</v>
      </c>
      <c r="N36" s="2">
        <v>561200</v>
      </c>
      <c r="O36" s="2" t="s">
        <v>598</v>
      </c>
      <c r="P36" s="104">
        <v>68800</v>
      </c>
      <c r="Q36" s="125" t="s">
        <v>510</v>
      </c>
      <c r="R36" s="145" t="s">
        <v>9</v>
      </c>
      <c r="S36" s="317"/>
      <c r="T36" t="str">
        <f t="shared" si="1"/>
        <v/>
      </c>
      <c r="U36" s="120"/>
    </row>
    <row r="37" spans="1:21" ht="16.5" customHeight="1" x14ac:dyDescent="0.3">
      <c r="A37" t="s">
        <v>490</v>
      </c>
      <c r="C37" s="319">
        <v>44124</v>
      </c>
      <c r="D37" s="98" t="s">
        <v>116</v>
      </c>
      <c r="E37" s="99"/>
      <c r="F37" s="124" t="s">
        <v>500</v>
      </c>
      <c r="G37" s="99" t="s">
        <v>558</v>
      </c>
      <c r="H37" s="146" t="s">
        <v>602</v>
      </c>
      <c r="I37" s="124">
        <v>1</v>
      </c>
      <c r="J37" s="102">
        <v>950000</v>
      </c>
      <c r="K37" s="103">
        <v>950000</v>
      </c>
      <c r="L37" s="140">
        <v>95000</v>
      </c>
      <c r="M37" s="140">
        <v>1045000</v>
      </c>
      <c r="N37" s="2">
        <v>675000</v>
      </c>
      <c r="O37" s="112" t="s">
        <v>603</v>
      </c>
      <c r="P37" s="104">
        <v>275000</v>
      </c>
      <c r="Q37" s="125" t="s">
        <v>510</v>
      </c>
      <c r="R37" s="314" t="s">
        <v>8</v>
      </c>
      <c r="S37" s="317"/>
      <c r="T37" t="str">
        <f t="shared" si="1"/>
        <v/>
      </c>
    </row>
    <row r="38" spans="1:21" ht="16.5" customHeight="1" x14ac:dyDescent="0.3">
      <c r="A38" t="s">
        <v>490</v>
      </c>
      <c r="C38" s="320">
        <v>44134</v>
      </c>
      <c r="D38" s="98" t="s">
        <v>12</v>
      </c>
      <c r="E38" s="99"/>
      <c r="F38" s="99" t="s">
        <v>500</v>
      </c>
      <c r="G38" s="99" t="s">
        <v>527</v>
      </c>
      <c r="H38" s="100" t="s">
        <v>577</v>
      </c>
      <c r="I38" s="101">
        <v>1</v>
      </c>
      <c r="J38" s="102">
        <v>165000</v>
      </c>
      <c r="K38" s="103">
        <v>165000</v>
      </c>
      <c r="L38" s="103">
        <v>16500</v>
      </c>
      <c r="M38" s="140">
        <v>181500</v>
      </c>
      <c r="N38" s="2">
        <v>151200</v>
      </c>
      <c r="O38" s="2" t="s">
        <v>45</v>
      </c>
      <c r="P38" s="104">
        <v>13800</v>
      </c>
      <c r="Q38" s="106" t="s">
        <v>510</v>
      </c>
      <c r="R38" s="107" t="s">
        <v>9</v>
      </c>
      <c r="S38" s="317"/>
      <c r="T38" t="str">
        <f t="shared" si="1"/>
        <v/>
      </c>
    </row>
    <row r="39" spans="1:21" ht="16.5" customHeight="1" x14ac:dyDescent="0.3">
      <c r="A39" t="s">
        <v>490</v>
      </c>
      <c r="C39" s="320">
        <v>44130</v>
      </c>
      <c r="D39" s="98" t="s">
        <v>617</v>
      </c>
      <c r="E39" s="98"/>
      <c r="F39" s="99" t="s">
        <v>371</v>
      </c>
      <c r="G39" s="99" t="s">
        <v>485</v>
      </c>
      <c r="H39" s="100" t="s">
        <v>618</v>
      </c>
      <c r="I39" s="101">
        <v>1</v>
      </c>
      <c r="J39" s="102">
        <v>1300000</v>
      </c>
      <c r="K39" s="103">
        <v>1300000</v>
      </c>
      <c r="L39" s="103">
        <v>130000</v>
      </c>
      <c r="M39" s="140">
        <v>1430000</v>
      </c>
      <c r="N39" s="2">
        <v>1000000</v>
      </c>
      <c r="O39" s="2" t="s">
        <v>619</v>
      </c>
      <c r="P39" s="104">
        <v>300000</v>
      </c>
      <c r="Q39" s="125" t="s">
        <v>510</v>
      </c>
      <c r="R39" s="107" t="s">
        <v>9</v>
      </c>
      <c r="S39" s="317"/>
      <c r="T39" t="str">
        <f t="shared" si="1"/>
        <v/>
      </c>
    </row>
    <row r="40" spans="1:21" ht="16.5" customHeight="1" x14ac:dyDescent="0.3">
      <c r="A40" t="s">
        <v>490</v>
      </c>
      <c r="C40" s="325">
        <v>44133</v>
      </c>
      <c r="D40" s="98" t="s">
        <v>617</v>
      </c>
      <c r="E40" s="124"/>
      <c r="F40" s="124" t="s">
        <v>371</v>
      </c>
      <c r="G40" s="124" t="s">
        <v>623</v>
      </c>
      <c r="H40" s="146" t="s">
        <v>624</v>
      </c>
      <c r="I40" s="124">
        <v>1</v>
      </c>
      <c r="J40" s="102">
        <v>750000</v>
      </c>
      <c r="K40" s="103">
        <v>750000</v>
      </c>
      <c r="L40" s="103">
        <v>75000</v>
      </c>
      <c r="M40" s="140">
        <v>825000</v>
      </c>
      <c r="N40" s="2">
        <v>450000</v>
      </c>
      <c r="O40" s="112" t="s">
        <v>625</v>
      </c>
      <c r="P40" s="104">
        <v>300000</v>
      </c>
      <c r="Q40" s="324" t="s">
        <v>510</v>
      </c>
      <c r="R40" s="311" t="s">
        <v>9</v>
      </c>
      <c r="S40" s="317"/>
      <c r="T40" t="str">
        <f t="shared" si="1"/>
        <v/>
      </c>
    </row>
    <row r="41" spans="1:21" ht="16.5" customHeight="1" x14ac:dyDescent="0.3">
      <c r="A41" t="s">
        <v>490</v>
      </c>
      <c r="C41" s="320">
        <v>44105</v>
      </c>
      <c r="D41" s="98" t="s">
        <v>320</v>
      </c>
      <c r="E41" s="99" t="s">
        <v>582</v>
      </c>
      <c r="F41" s="160" t="s">
        <v>500</v>
      </c>
      <c r="G41" s="304" t="s">
        <v>576</v>
      </c>
      <c r="H41" s="100" t="s">
        <v>583</v>
      </c>
      <c r="I41" s="101">
        <v>1</v>
      </c>
      <c r="J41" s="102">
        <v>3507000</v>
      </c>
      <c r="K41" s="103">
        <v>3507000</v>
      </c>
      <c r="L41" s="140">
        <v>350700</v>
      </c>
      <c r="M41" s="140">
        <v>3857700</v>
      </c>
      <c r="N41" s="2">
        <v>3159000</v>
      </c>
      <c r="O41" s="2" t="s">
        <v>584</v>
      </c>
      <c r="P41" s="104">
        <v>348000</v>
      </c>
      <c r="Q41" s="106" t="s">
        <v>510</v>
      </c>
      <c r="R41" s="107" t="s">
        <v>26</v>
      </c>
      <c r="S41" s="317"/>
      <c r="T41" t="str">
        <f t="shared" si="1"/>
        <v/>
      </c>
    </row>
    <row r="42" spans="1:21" ht="16.5" customHeight="1" x14ac:dyDescent="0.3">
      <c r="A42" t="s">
        <v>490</v>
      </c>
      <c r="C42" s="319">
        <v>44134</v>
      </c>
      <c r="D42" s="98" t="s">
        <v>686</v>
      </c>
      <c r="E42" s="99" t="s">
        <v>687</v>
      </c>
      <c r="F42" s="99" t="s">
        <v>371</v>
      </c>
      <c r="G42" s="99" t="s">
        <v>688</v>
      </c>
      <c r="H42" s="121" t="s">
        <v>689</v>
      </c>
      <c r="I42" s="122">
        <v>1</v>
      </c>
      <c r="J42" s="102">
        <v>9700000</v>
      </c>
      <c r="K42" s="103">
        <v>9700000</v>
      </c>
      <c r="L42" s="103">
        <v>970000</v>
      </c>
      <c r="M42" s="140">
        <v>10670000</v>
      </c>
      <c r="N42" s="2">
        <v>7100000</v>
      </c>
      <c r="O42" s="333" t="s">
        <v>690</v>
      </c>
      <c r="P42" s="104">
        <v>2600000</v>
      </c>
      <c r="Q42" s="312" t="s">
        <v>510</v>
      </c>
      <c r="R42" s="313" t="s">
        <v>8</v>
      </c>
      <c r="S42" s="317"/>
      <c r="T42" t="str">
        <f t="shared" si="1"/>
        <v/>
      </c>
    </row>
    <row r="43" spans="1:21" ht="16.5" customHeight="1" x14ac:dyDescent="0.3">
      <c r="A43" t="s">
        <v>490</v>
      </c>
      <c r="C43" s="319">
        <v>44134</v>
      </c>
      <c r="D43" s="98" t="s">
        <v>680</v>
      </c>
      <c r="E43" s="99" t="s">
        <v>680</v>
      </c>
      <c r="F43" s="99" t="s">
        <v>371</v>
      </c>
      <c r="G43" s="99" t="s">
        <v>681</v>
      </c>
      <c r="H43" s="121" t="s">
        <v>682</v>
      </c>
      <c r="I43" s="122">
        <v>1</v>
      </c>
      <c r="J43" s="102">
        <v>600000</v>
      </c>
      <c r="K43" s="103">
        <v>600000</v>
      </c>
      <c r="L43" s="103">
        <v>60000</v>
      </c>
      <c r="M43" s="140">
        <v>660000</v>
      </c>
      <c r="N43" s="2">
        <v>200000</v>
      </c>
      <c r="O43" s="112" t="s">
        <v>622</v>
      </c>
      <c r="P43" s="104">
        <v>400000</v>
      </c>
      <c r="Q43" s="312" t="s">
        <v>510</v>
      </c>
      <c r="R43" s="313" t="s">
        <v>8</v>
      </c>
      <c r="S43" s="317"/>
      <c r="T43" t="str">
        <f t="shared" si="1"/>
        <v/>
      </c>
    </row>
    <row r="44" spans="1:21" ht="16.5" customHeight="1" x14ac:dyDescent="0.3">
      <c r="A44" t="s">
        <v>490</v>
      </c>
      <c r="C44" s="319">
        <v>44092</v>
      </c>
      <c r="D44" s="98" t="s">
        <v>542</v>
      </c>
      <c r="E44" s="99"/>
      <c r="F44" s="124" t="s">
        <v>371</v>
      </c>
      <c r="G44" s="99" t="s">
        <v>543</v>
      </c>
      <c r="H44" s="121" t="s">
        <v>544</v>
      </c>
      <c r="I44" s="122">
        <v>24</v>
      </c>
      <c r="J44" s="102">
        <v>200000</v>
      </c>
      <c r="K44" s="103">
        <v>4800000</v>
      </c>
      <c r="L44" s="103">
        <v>480000</v>
      </c>
      <c r="M44" s="105">
        <v>5280000</v>
      </c>
      <c r="N44" s="308">
        <v>4606000</v>
      </c>
      <c r="O44" s="333" t="s">
        <v>545</v>
      </c>
      <c r="P44" s="104">
        <v>194000</v>
      </c>
      <c r="Q44" s="324" t="s">
        <v>510</v>
      </c>
      <c r="R44" s="311" t="s">
        <v>9</v>
      </c>
      <c r="S44" s="317"/>
      <c r="T44" t="str">
        <f t="shared" si="1"/>
        <v/>
      </c>
    </row>
    <row r="45" spans="1:21" ht="16.5" customHeight="1" x14ac:dyDescent="0.3">
      <c r="A45" t="s">
        <v>490</v>
      </c>
      <c r="C45" s="321">
        <v>44099</v>
      </c>
      <c r="D45" s="98" t="s">
        <v>546</v>
      </c>
      <c r="E45" s="99" t="s">
        <v>547</v>
      </c>
      <c r="F45" s="124" t="s">
        <v>371</v>
      </c>
      <c r="G45" s="99"/>
      <c r="H45" s="142" t="s">
        <v>548</v>
      </c>
      <c r="I45" s="316">
        <v>2</v>
      </c>
      <c r="J45" s="102">
        <v>8070000</v>
      </c>
      <c r="K45" s="103">
        <v>16140000</v>
      </c>
      <c r="L45" s="103">
        <v>1614000</v>
      </c>
      <c r="M45" s="140">
        <v>17754000</v>
      </c>
      <c r="N45" s="2">
        <v>13556520</v>
      </c>
      <c r="O45" s="2" t="s">
        <v>549</v>
      </c>
      <c r="P45" s="104">
        <v>2583480</v>
      </c>
      <c r="Q45" s="106" t="s">
        <v>510</v>
      </c>
      <c r="R45" s="107" t="s">
        <v>8</v>
      </c>
      <c r="S45" s="317"/>
      <c r="T45" t="str">
        <f t="shared" si="1"/>
        <v/>
      </c>
      <c r="U45" s="120"/>
    </row>
    <row r="46" spans="1:21" ht="16.5" customHeight="1" x14ac:dyDescent="0.3">
      <c r="A46" t="s">
        <v>490</v>
      </c>
      <c r="C46" s="320">
        <v>44134</v>
      </c>
      <c r="D46" s="98" t="s">
        <v>148</v>
      </c>
      <c r="E46" s="99" t="s">
        <v>638</v>
      </c>
      <c r="F46" s="99" t="s">
        <v>500</v>
      </c>
      <c r="G46" s="99" t="s">
        <v>501</v>
      </c>
      <c r="H46" s="100" t="s">
        <v>639</v>
      </c>
      <c r="I46" s="162">
        <v>1</v>
      </c>
      <c r="J46" s="144">
        <v>143000</v>
      </c>
      <c r="K46" s="103">
        <v>143000</v>
      </c>
      <c r="L46" s="140">
        <v>14300</v>
      </c>
      <c r="M46" s="140">
        <v>157300</v>
      </c>
      <c r="N46" s="2">
        <v>127300</v>
      </c>
      <c r="O46" s="2" t="s">
        <v>640</v>
      </c>
      <c r="P46" s="104">
        <v>15700</v>
      </c>
      <c r="Q46" s="106" t="s">
        <v>510</v>
      </c>
      <c r="R46" s="107" t="s">
        <v>9</v>
      </c>
      <c r="S46" s="317"/>
      <c r="T46" t="str">
        <f t="shared" si="1"/>
        <v/>
      </c>
    </row>
    <row r="47" spans="1:21" ht="16.5" customHeight="1" x14ac:dyDescent="0.3">
      <c r="A47" t="s">
        <v>490</v>
      </c>
      <c r="C47" s="320">
        <v>44134</v>
      </c>
      <c r="D47" s="98" t="s">
        <v>152</v>
      </c>
      <c r="E47" s="99" t="s">
        <v>641</v>
      </c>
      <c r="F47" s="99" t="s">
        <v>500</v>
      </c>
      <c r="G47" s="99" t="s">
        <v>501</v>
      </c>
      <c r="H47" s="100" t="s">
        <v>639</v>
      </c>
      <c r="I47" s="162">
        <v>1</v>
      </c>
      <c r="J47" s="144">
        <v>2441800</v>
      </c>
      <c r="K47" s="103">
        <v>2441800</v>
      </c>
      <c r="L47" s="140">
        <v>244180</v>
      </c>
      <c r="M47" s="140">
        <v>2685980</v>
      </c>
      <c r="N47" s="2">
        <v>2301500</v>
      </c>
      <c r="O47" s="2" t="s">
        <v>640</v>
      </c>
      <c r="P47" s="104">
        <v>140300</v>
      </c>
      <c r="Q47" s="106" t="s">
        <v>510</v>
      </c>
      <c r="R47" s="107" t="s">
        <v>9</v>
      </c>
      <c r="S47" s="317"/>
      <c r="T47" t="str">
        <f t="shared" si="1"/>
        <v/>
      </c>
    </row>
    <row r="48" spans="1:21" ht="16.5" customHeight="1" x14ac:dyDescent="0.3">
      <c r="A48" t="s">
        <v>490</v>
      </c>
      <c r="C48" s="320">
        <v>44103</v>
      </c>
      <c r="D48" s="98" t="s">
        <v>568</v>
      </c>
      <c r="E48" s="99" t="s">
        <v>569</v>
      </c>
      <c r="F48" s="99" t="s">
        <v>500</v>
      </c>
      <c r="G48" s="99" t="s">
        <v>501</v>
      </c>
      <c r="H48" s="323" t="s">
        <v>570</v>
      </c>
      <c r="I48" s="101">
        <v>1</v>
      </c>
      <c r="J48" s="102">
        <v>1358000</v>
      </c>
      <c r="K48" s="103">
        <v>1358000</v>
      </c>
      <c r="L48" s="140">
        <v>135800</v>
      </c>
      <c r="M48" s="140">
        <v>1493800</v>
      </c>
      <c r="N48" s="2">
        <v>1119816.6666666667</v>
      </c>
      <c r="O48" s="2" t="s">
        <v>571</v>
      </c>
      <c r="P48" s="104">
        <v>238183.33333333326</v>
      </c>
      <c r="Q48" s="106" t="s">
        <v>510</v>
      </c>
      <c r="R48" s="107" t="s">
        <v>9</v>
      </c>
      <c r="S48" s="317"/>
      <c r="T48" t="str">
        <f t="shared" si="1"/>
        <v/>
      </c>
    </row>
    <row r="49" spans="1:20" ht="16.5" customHeight="1" x14ac:dyDescent="0.3">
      <c r="A49" t="s">
        <v>490</v>
      </c>
      <c r="C49" s="320">
        <v>44134</v>
      </c>
      <c r="D49" s="98" t="s">
        <v>159</v>
      </c>
      <c r="E49" s="99" t="s">
        <v>643</v>
      </c>
      <c r="F49" s="99" t="s">
        <v>500</v>
      </c>
      <c r="G49" s="99" t="s">
        <v>576</v>
      </c>
      <c r="H49" s="100" t="s">
        <v>644</v>
      </c>
      <c r="I49" s="101">
        <v>1</v>
      </c>
      <c r="J49" s="102">
        <v>1015500</v>
      </c>
      <c r="K49" s="103">
        <v>1015500</v>
      </c>
      <c r="L49" s="140">
        <v>101550</v>
      </c>
      <c r="M49" s="140">
        <v>1117050</v>
      </c>
      <c r="N49" s="2">
        <v>941000</v>
      </c>
      <c r="O49" s="2" t="s">
        <v>645</v>
      </c>
      <c r="P49" s="104">
        <v>74500</v>
      </c>
      <c r="Q49" s="106" t="s">
        <v>510</v>
      </c>
      <c r="R49" s="107" t="s">
        <v>9</v>
      </c>
      <c r="S49" s="317"/>
      <c r="T49" t="str">
        <f t="shared" si="1"/>
        <v/>
      </c>
    </row>
    <row r="50" spans="1:20" ht="16.5" customHeight="1" x14ac:dyDescent="0.3">
      <c r="A50" t="s">
        <v>490</v>
      </c>
      <c r="C50" s="318">
        <v>44131</v>
      </c>
      <c r="D50" s="98" t="s">
        <v>124</v>
      </c>
      <c r="E50" s="124"/>
      <c r="F50" s="124" t="s">
        <v>500</v>
      </c>
      <c r="G50" s="124" t="s">
        <v>558</v>
      </c>
      <c r="H50" s="142" t="s">
        <v>593</v>
      </c>
      <c r="I50" s="98">
        <v>1</v>
      </c>
      <c r="J50" s="102">
        <v>855000</v>
      </c>
      <c r="K50" s="103">
        <v>855000</v>
      </c>
      <c r="L50" s="140">
        <v>85500</v>
      </c>
      <c r="M50" s="140">
        <v>940500</v>
      </c>
      <c r="N50" s="2">
        <v>600000</v>
      </c>
      <c r="O50" s="2" t="s">
        <v>603</v>
      </c>
      <c r="P50" s="104">
        <v>255000</v>
      </c>
      <c r="Q50" s="125" t="s">
        <v>510</v>
      </c>
      <c r="R50" s="126" t="s">
        <v>8</v>
      </c>
      <c r="S50" s="317"/>
      <c r="T50" t="str">
        <f t="shared" si="1"/>
        <v/>
      </c>
    </row>
    <row r="51" spans="1:20" ht="16.5" customHeight="1" x14ac:dyDescent="0.3">
      <c r="A51" t="s">
        <v>490</v>
      </c>
      <c r="C51" s="318">
        <v>44133</v>
      </c>
      <c r="D51" s="98" t="s">
        <v>124</v>
      </c>
      <c r="E51" s="124" t="s">
        <v>124</v>
      </c>
      <c r="F51" s="124" t="s">
        <v>371</v>
      </c>
      <c r="G51" s="124" t="s">
        <v>626</v>
      </c>
      <c r="H51" s="142" t="s">
        <v>627</v>
      </c>
      <c r="I51" s="98">
        <v>1</v>
      </c>
      <c r="J51" s="102">
        <v>2460000</v>
      </c>
      <c r="K51" s="103">
        <v>2460000</v>
      </c>
      <c r="L51" s="103">
        <v>246000</v>
      </c>
      <c r="M51" s="140">
        <v>2706000</v>
      </c>
      <c r="N51" s="2">
        <v>2262000</v>
      </c>
      <c r="O51" s="2" t="s">
        <v>628</v>
      </c>
      <c r="P51" s="104">
        <v>198000</v>
      </c>
      <c r="Q51" s="125" t="s">
        <v>510</v>
      </c>
      <c r="R51" s="126" t="s">
        <v>8</v>
      </c>
      <c r="S51" s="317"/>
      <c r="T51" t="str">
        <f t="shared" si="1"/>
        <v/>
      </c>
    </row>
    <row r="52" spans="1:20" ht="16.5" customHeight="1" x14ac:dyDescent="0.3">
      <c r="A52" t="s">
        <v>490</v>
      </c>
      <c r="C52" s="320">
        <v>44134</v>
      </c>
      <c r="D52" s="98" t="s">
        <v>161</v>
      </c>
      <c r="E52" s="99" t="s">
        <v>646</v>
      </c>
      <c r="F52" s="99" t="s">
        <v>500</v>
      </c>
      <c r="G52" s="99" t="s">
        <v>576</v>
      </c>
      <c r="H52" s="100" t="s">
        <v>644</v>
      </c>
      <c r="I52" s="101">
        <v>1</v>
      </c>
      <c r="J52" s="102">
        <v>527750</v>
      </c>
      <c r="K52" s="103">
        <v>527750</v>
      </c>
      <c r="L52" s="140">
        <v>52775</v>
      </c>
      <c r="M52" s="140">
        <v>580525</v>
      </c>
      <c r="N52" s="2">
        <v>479700</v>
      </c>
      <c r="O52" s="2" t="s">
        <v>647</v>
      </c>
      <c r="P52" s="104">
        <v>48050</v>
      </c>
      <c r="Q52" s="106" t="s">
        <v>510</v>
      </c>
      <c r="R52" s="107" t="s">
        <v>9</v>
      </c>
      <c r="S52" s="317"/>
      <c r="T52" t="str">
        <f t="shared" si="1"/>
        <v/>
      </c>
    </row>
    <row r="53" spans="1:20" ht="16.5" customHeight="1" x14ac:dyDescent="0.3">
      <c r="A53" t="s">
        <v>490</v>
      </c>
      <c r="C53" s="318">
        <v>44155</v>
      </c>
      <c r="D53" s="98" t="s">
        <v>704</v>
      </c>
      <c r="E53" s="124"/>
      <c r="F53" s="124" t="s">
        <v>705</v>
      </c>
      <c r="G53" s="124" t="s">
        <v>376</v>
      </c>
      <c r="H53" s="142" t="s">
        <v>706</v>
      </c>
      <c r="I53" s="98">
        <v>1</v>
      </c>
      <c r="J53" s="102">
        <v>850000</v>
      </c>
      <c r="K53" s="103">
        <v>850000</v>
      </c>
      <c r="L53" s="140">
        <v>85000</v>
      </c>
      <c r="M53" s="140">
        <v>935000</v>
      </c>
      <c r="N53" s="2">
        <v>0</v>
      </c>
      <c r="O53" s="1" t="s">
        <v>707</v>
      </c>
      <c r="P53" s="104">
        <v>850000</v>
      </c>
      <c r="Q53" s="125" t="s">
        <v>510</v>
      </c>
      <c r="R53" s="145" t="s">
        <v>377</v>
      </c>
      <c r="S53" s="317"/>
    </row>
    <row r="54" spans="1:20" ht="16.5" customHeight="1" x14ac:dyDescent="0.3">
      <c r="A54" t="s">
        <v>490</v>
      </c>
      <c r="C54" s="320">
        <v>44130</v>
      </c>
      <c r="D54" s="98" t="s">
        <v>204</v>
      </c>
      <c r="E54" s="99"/>
      <c r="F54" s="99" t="s">
        <v>371</v>
      </c>
      <c r="G54" s="99" t="s">
        <v>614</v>
      </c>
      <c r="H54" s="100" t="s">
        <v>615</v>
      </c>
      <c r="I54" s="101">
        <v>1</v>
      </c>
      <c r="J54" s="102">
        <v>200000</v>
      </c>
      <c r="K54" s="103">
        <v>200000</v>
      </c>
      <c r="L54" s="140">
        <v>20000</v>
      </c>
      <c r="M54" s="140">
        <v>220000</v>
      </c>
      <c r="N54" s="2">
        <v>150000</v>
      </c>
      <c r="O54" s="308" t="s">
        <v>616</v>
      </c>
      <c r="P54" s="104">
        <v>50000</v>
      </c>
      <c r="Q54" s="125" t="s">
        <v>510</v>
      </c>
      <c r="R54" s="107" t="s">
        <v>9</v>
      </c>
      <c r="S54" s="317"/>
      <c r="T54" t="str">
        <f t="shared" ref="T54:T63" si="2">IF(S54="","","입금완료")</f>
        <v/>
      </c>
    </row>
    <row r="55" spans="1:20" ht="16.5" customHeight="1" x14ac:dyDescent="0.3">
      <c r="A55" t="s">
        <v>490</v>
      </c>
      <c r="C55" s="321">
        <v>44074</v>
      </c>
      <c r="D55" s="149" t="s">
        <v>85</v>
      </c>
      <c r="E55" s="99" t="s">
        <v>522</v>
      </c>
      <c r="F55" s="99" t="s">
        <v>506</v>
      </c>
      <c r="G55" s="99" t="s">
        <v>523</v>
      </c>
      <c r="H55" s="142" t="s">
        <v>524</v>
      </c>
      <c r="I55" s="322">
        <v>1</v>
      </c>
      <c r="J55" s="102">
        <v>1020000</v>
      </c>
      <c r="K55" s="103">
        <v>1020000</v>
      </c>
      <c r="L55" s="140">
        <v>102000</v>
      </c>
      <c r="M55" s="140">
        <v>1122000</v>
      </c>
      <c r="N55" s="2">
        <v>425325</v>
      </c>
      <c r="O55" s="2" t="s">
        <v>525</v>
      </c>
      <c r="P55" s="104">
        <v>594675</v>
      </c>
      <c r="Q55" s="157" t="s">
        <v>521</v>
      </c>
      <c r="R55" s="126" t="s">
        <v>26</v>
      </c>
      <c r="S55" s="317"/>
      <c r="T55" t="str">
        <f t="shared" si="2"/>
        <v/>
      </c>
    </row>
    <row r="56" spans="1:20" ht="16.5" customHeight="1" x14ac:dyDescent="0.3">
      <c r="A56" t="s">
        <v>490</v>
      </c>
      <c r="C56" s="321">
        <v>44103</v>
      </c>
      <c r="D56" s="98" t="s">
        <v>85</v>
      </c>
      <c r="E56" s="99" t="s">
        <v>555</v>
      </c>
      <c r="F56" s="99" t="s">
        <v>506</v>
      </c>
      <c r="G56" s="99" t="s">
        <v>523</v>
      </c>
      <c r="H56" s="161" t="s">
        <v>536</v>
      </c>
      <c r="I56" s="162">
        <v>1</v>
      </c>
      <c r="J56" s="144">
        <v>1333333</v>
      </c>
      <c r="K56" s="103">
        <v>1333333</v>
      </c>
      <c r="L56" s="140">
        <v>133333.30000000002</v>
      </c>
      <c r="M56" s="140">
        <v>1466666.3</v>
      </c>
      <c r="N56" s="2">
        <v>507700</v>
      </c>
      <c r="O56" s="2" t="s">
        <v>556</v>
      </c>
      <c r="P56" s="104">
        <v>825633</v>
      </c>
      <c r="Q56" s="106" t="s">
        <v>510</v>
      </c>
      <c r="R56" s="107" t="s">
        <v>26</v>
      </c>
      <c r="S56" s="317"/>
      <c r="T56" t="str">
        <f t="shared" si="2"/>
        <v/>
      </c>
    </row>
    <row r="57" spans="1:20" ht="16.5" customHeight="1" x14ac:dyDescent="0.3">
      <c r="A57" t="s">
        <v>490</v>
      </c>
      <c r="C57" s="321">
        <v>44103</v>
      </c>
      <c r="D57" s="98" t="s">
        <v>85</v>
      </c>
      <c r="E57" s="99" t="s">
        <v>522</v>
      </c>
      <c r="F57" s="99" t="s">
        <v>506</v>
      </c>
      <c r="G57" s="99" t="s">
        <v>523</v>
      </c>
      <c r="H57" s="161" t="s">
        <v>536</v>
      </c>
      <c r="I57" s="151">
        <v>1</v>
      </c>
      <c r="J57" s="144">
        <v>1020000</v>
      </c>
      <c r="K57" s="103">
        <v>1020000</v>
      </c>
      <c r="L57" s="140">
        <v>102000</v>
      </c>
      <c r="M57" s="140">
        <v>1122000</v>
      </c>
      <c r="N57" s="2">
        <v>425325</v>
      </c>
      <c r="O57" s="2" t="s">
        <v>525</v>
      </c>
      <c r="P57" s="104">
        <v>594675</v>
      </c>
      <c r="Q57" s="106" t="s">
        <v>510</v>
      </c>
      <c r="R57" s="107" t="s">
        <v>26</v>
      </c>
      <c r="S57" s="317"/>
      <c r="T57" t="str">
        <f t="shared" si="2"/>
        <v/>
      </c>
    </row>
    <row r="58" spans="1:20" ht="16.5" customHeight="1" x14ac:dyDescent="0.3">
      <c r="A58" t="s">
        <v>490</v>
      </c>
      <c r="C58" s="321">
        <v>44103</v>
      </c>
      <c r="D58" s="98" t="s">
        <v>85</v>
      </c>
      <c r="E58" s="99" t="s">
        <v>557</v>
      </c>
      <c r="F58" s="99" t="s">
        <v>500</v>
      </c>
      <c r="G58" s="99" t="s">
        <v>558</v>
      </c>
      <c r="H58" s="161" t="s">
        <v>559</v>
      </c>
      <c r="I58" s="151">
        <v>1</v>
      </c>
      <c r="J58" s="144">
        <v>81666</v>
      </c>
      <c r="K58" s="103">
        <v>81666</v>
      </c>
      <c r="L58" s="140">
        <v>8166.6</v>
      </c>
      <c r="M58" s="140">
        <v>89832.6</v>
      </c>
      <c r="N58" s="2">
        <v>0</v>
      </c>
      <c r="O58" s="2" t="s">
        <v>560</v>
      </c>
      <c r="P58" s="104">
        <v>81666</v>
      </c>
      <c r="Q58" s="106" t="s">
        <v>510</v>
      </c>
      <c r="R58" s="107" t="s">
        <v>26</v>
      </c>
      <c r="S58" s="317"/>
      <c r="T58" t="str">
        <f t="shared" si="2"/>
        <v/>
      </c>
    </row>
    <row r="59" spans="1:20" ht="16.5" customHeight="1" x14ac:dyDescent="0.3">
      <c r="A59" t="s">
        <v>490</v>
      </c>
      <c r="C59" s="320">
        <v>44134</v>
      </c>
      <c r="D59" s="98" t="s">
        <v>370</v>
      </c>
      <c r="E59" s="99"/>
      <c r="F59" s="99" t="s">
        <v>371</v>
      </c>
      <c r="G59" s="99" t="s">
        <v>493</v>
      </c>
      <c r="H59" s="100" t="s">
        <v>494</v>
      </c>
      <c r="I59" s="122">
        <v>1</v>
      </c>
      <c r="J59" s="102">
        <v>120000</v>
      </c>
      <c r="K59" s="103">
        <v>120000</v>
      </c>
      <c r="L59" s="140">
        <v>12000</v>
      </c>
      <c r="M59" s="140">
        <v>132000</v>
      </c>
      <c r="N59" s="2">
        <v>70000</v>
      </c>
      <c r="O59" s="2" t="s">
        <v>285</v>
      </c>
      <c r="P59" s="104">
        <v>50000</v>
      </c>
      <c r="Q59" s="106" t="s">
        <v>510</v>
      </c>
      <c r="R59" s="107" t="s">
        <v>9</v>
      </c>
      <c r="S59" s="317"/>
      <c r="T59" t="str">
        <f t="shared" si="2"/>
        <v/>
      </c>
    </row>
    <row r="60" spans="1:20" ht="16.5" customHeight="1" x14ac:dyDescent="0.3">
      <c r="A60" t="s">
        <v>490</v>
      </c>
      <c r="C60" s="320">
        <v>44074</v>
      </c>
      <c r="D60" s="98" t="s">
        <v>300</v>
      </c>
      <c r="E60" s="99" t="s">
        <v>533</v>
      </c>
      <c r="F60" s="99" t="s">
        <v>27</v>
      </c>
      <c r="G60" s="99" t="s">
        <v>43</v>
      </c>
      <c r="H60" s="100" t="s">
        <v>534</v>
      </c>
      <c r="I60" s="101">
        <v>2</v>
      </c>
      <c r="J60" s="102">
        <v>1077200</v>
      </c>
      <c r="K60" s="103">
        <v>2154400</v>
      </c>
      <c r="L60" s="140">
        <v>215440</v>
      </c>
      <c r="M60" s="140">
        <v>2369840</v>
      </c>
      <c r="N60" s="2">
        <v>2154400</v>
      </c>
      <c r="O60" s="2" t="s">
        <v>45</v>
      </c>
      <c r="P60" s="104">
        <v>0</v>
      </c>
      <c r="Q60" s="106" t="s">
        <v>510</v>
      </c>
      <c r="R60" s="107" t="s">
        <v>9</v>
      </c>
      <c r="S60" s="317"/>
      <c r="T60" t="str">
        <f t="shared" si="2"/>
        <v/>
      </c>
    </row>
    <row r="61" spans="1:20" ht="16.5" customHeight="1" x14ac:dyDescent="0.3">
      <c r="A61" t="s">
        <v>490</v>
      </c>
      <c r="C61" s="320">
        <v>44134</v>
      </c>
      <c r="D61" s="98" t="s">
        <v>178</v>
      </c>
      <c r="E61" s="99" t="s">
        <v>671</v>
      </c>
      <c r="F61" s="99" t="s">
        <v>500</v>
      </c>
      <c r="G61" s="99" t="s">
        <v>527</v>
      </c>
      <c r="H61" s="161" t="s">
        <v>672</v>
      </c>
      <c r="I61" s="162">
        <v>1</v>
      </c>
      <c r="J61" s="144">
        <v>1205000</v>
      </c>
      <c r="K61" s="103">
        <v>1205000</v>
      </c>
      <c r="L61" s="140">
        <v>120500</v>
      </c>
      <c r="M61" s="140">
        <v>1325500</v>
      </c>
      <c r="N61" s="111">
        <v>758400</v>
      </c>
      <c r="O61" s="153" t="s">
        <v>673</v>
      </c>
      <c r="P61" s="104">
        <v>446600</v>
      </c>
      <c r="Q61" s="106" t="s">
        <v>510</v>
      </c>
      <c r="R61" s="107" t="s">
        <v>9</v>
      </c>
      <c r="S61" s="317"/>
      <c r="T61" t="str">
        <f t="shared" si="2"/>
        <v/>
      </c>
    </row>
    <row r="62" spans="1:20" ht="16.5" customHeight="1" x14ac:dyDescent="0.3">
      <c r="A62" t="s">
        <v>490</v>
      </c>
      <c r="C62" s="318">
        <v>44043</v>
      </c>
      <c r="D62" s="149" t="s">
        <v>287</v>
      </c>
      <c r="E62" s="124" t="s">
        <v>499</v>
      </c>
      <c r="F62" s="124" t="s">
        <v>500</v>
      </c>
      <c r="G62" s="99" t="s">
        <v>501</v>
      </c>
      <c r="H62" s="142" t="s">
        <v>502</v>
      </c>
      <c r="I62" s="98">
        <v>1</v>
      </c>
      <c r="J62" s="102">
        <v>820000</v>
      </c>
      <c r="K62" s="103">
        <v>820000</v>
      </c>
      <c r="L62" s="140">
        <v>82000</v>
      </c>
      <c r="M62" s="140">
        <v>902000</v>
      </c>
      <c r="N62" s="2">
        <v>780500</v>
      </c>
      <c r="O62" s="2" t="s">
        <v>503</v>
      </c>
      <c r="P62" s="104">
        <v>39500</v>
      </c>
      <c r="Q62" s="157" t="s">
        <v>504</v>
      </c>
      <c r="R62" s="126" t="s">
        <v>709</v>
      </c>
      <c r="S62" s="317"/>
      <c r="T62" t="str">
        <f t="shared" si="2"/>
        <v/>
      </c>
    </row>
    <row r="63" spans="1:20" ht="16.5" customHeight="1" x14ac:dyDescent="0.3">
      <c r="A63" t="s">
        <v>490</v>
      </c>
      <c r="C63" s="320">
        <v>44134</v>
      </c>
      <c r="D63" s="98" t="s">
        <v>287</v>
      </c>
      <c r="E63" s="99" t="s">
        <v>499</v>
      </c>
      <c r="F63" s="99" t="s">
        <v>500</v>
      </c>
      <c r="G63" s="99" t="s">
        <v>501</v>
      </c>
      <c r="H63" s="100" t="s">
        <v>678</v>
      </c>
      <c r="I63" s="101">
        <v>1</v>
      </c>
      <c r="J63" s="102">
        <v>820000</v>
      </c>
      <c r="K63" s="103">
        <v>820000</v>
      </c>
      <c r="L63" s="140">
        <v>82000</v>
      </c>
      <c r="M63" s="140">
        <v>902000</v>
      </c>
      <c r="N63" s="2">
        <v>780500</v>
      </c>
      <c r="O63" s="2" t="s">
        <v>679</v>
      </c>
      <c r="P63" s="104">
        <v>39500</v>
      </c>
      <c r="Q63" s="106" t="s">
        <v>510</v>
      </c>
      <c r="R63" s="107" t="s">
        <v>9</v>
      </c>
      <c r="S63" s="317"/>
      <c r="T63" t="str">
        <f t="shared" si="2"/>
        <v/>
      </c>
    </row>
    <row r="64" spans="1:20" ht="16.5" customHeight="1" x14ac:dyDescent="0.3">
      <c r="A64" t="s">
        <v>490</v>
      </c>
      <c r="C64" s="318">
        <v>44140</v>
      </c>
      <c r="D64" s="98" t="s">
        <v>697</v>
      </c>
      <c r="E64" s="124"/>
      <c r="F64" s="124" t="s">
        <v>500</v>
      </c>
      <c r="G64" s="124" t="s">
        <v>558</v>
      </c>
      <c r="H64" s="142" t="s">
        <v>639</v>
      </c>
      <c r="I64" s="98">
        <v>1</v>
      </c>
      <c r="J64" s="102">
        <v>7550000</v>
      </c>
      <c r="K64" s="103">
        <v>7550000</v>
      </c>
      <c r="L64" s="140">
        <v>755000</v>
      </c>
      <c r="M64" s="140">
        <v>8305000</v>
      </c>
      <c r="N64" s="2">
        <v>5938416.666666666</v>
      </c>
      <c r="O64" s="1" t="s">
        <v>698</v>
      </c>
      <c r="P64" s="104">
        <v>1611583.333333334</v>
      </c>
      <c r="Q64" s="125" t="s">
        <v>510</v>
      </c>
      <c r="R64" s="145" t="s">
        <v>26</v>
      </c>
      <c r="S64" s="317"/>
    </row>
    <row r="65" spans="1:21" ht="16.5" customHeight="1" x14ac:dyDescent="0.3">
      <c r="A65" t="s">
        <v>490</v>
      </c>
      <c r="C65" s="318">
        <v>44155</v>
      </c>
      <c r="D65" s="98" t="s">
        <v>235</v>
      </c>
      <c r="E65" s="124"/>
      <c r="F65" s="124" t="s">
        <v>500</v>
      </c>
      <c r="G65" s="124" t="s">
        <v>558</v>
      </c>
      <c r="H65" s="146" t="s">
        <v>692</v>
      </c>
      <c r="I65" s="124">
        <v>1</v>
      </c>
      <c r="J65" s="102">
        <v>1000000</v>
      </c>
      <c r="K65" s="103">
        <v>1000000</v>
      </c>
      <c r="L65" s="103">
        <v>100000</v>
      </c>
      <c r="M65" s="140">
        <v>1100000</v>
      </c>
      <c r="N65" s="2">
        <v>550000</v>
      </c>
      <c r="O65" s="1" t="s">
        <v>703</v>
      </c>
      <c r="P65" s="104">
        <v>450000</v>
      </c>
      <c r="Q65" s="125" t="s">
        <v>510</v>
      </c>
      <c r="R65" s="145" t="s">
        <v>9</v>
      </c>
      <c r="S65" s="317"/>
    </row>
    <row r="66" spans="1:21" ht="16.5" customHeight="1" x14ac:dyDescent="0.3">
      <c r="A66" t="s">
        <v>490</v>
      </c>
      <c r="C66" s="320">
        <v>44071</v>
      </c>
      <c r="D66" s="320" t="s">
        <v>516</v>
      </c>
      <c r="E66" s="319" t="s">
        <v>517</v>
      </c>
      <c r="F66" s="124" t="s">
        <v>371</v>
      </c>
      <c r="G66" s="99" t="s">
        <v>518</v>
      </c>
      <c r="H66" s="121" t="s">
        <v>519</v>
      </c>
      <c r="I66" s="122">
        <v>1</v>
      </c>
      <c r="J66" s="102">
        <v>5740000</v>
      </c>
      <c r="K66" s="103">
        <v>5740000</v>
      </c>
      <c r="L66" s="103">
        <v>574000</v>
      </c>
      <c r="M66" s="140">
        <v>6314000</v>
      </c>
      <c r="N66" s="2">
        <v>4403000</v>
      </c>
      <c r="O66" s="2" t="s">
        <v>520</v>
      </c>
      <c r="P66" s="104">
        <v>1337000</v>
      </c>
      <c r="Q66" s="156" t="s">
        <v>521</v>
      </c>
      <c r="R66" s="107" t="s">
        <v>8</v>
      </c>
      <c r="S66" s="317"/>
      <c r="T66" t="str">
        <f t="shared" ref="T66:T71" si="3">IF(S66="","","입금완료")</f>
        <v/>
      </c>
    </row>
    <row r="67" spans="1:21" ht="16.5" customHeight="1" x14ac:dyDescent="0.3">
      <c r="A67" t="s">
        <v>490</v>
      </c>
      <c r="C67" s="320">
        <v>44134</v>
      </c>
      <c r="D67" s="98" t="s">
        <v>166</v>
      </c>
      <c r="E67" s="99" t="s">
        <v>650</v>
      </c>
      <c r="F67" s="99" t="s">
        <v>506</v>
      </c>
      <c r="G67" s="99" t="s">
        <v>523</v>
      </c>
      <c r="H67" s="121" t="s">
        <v>651</v>
      </c>
      <c r="I67" s="122">
        <v>1</v>
      </c>
      <c r="J67" s="102">
        <v>1869000</v>
      </c>
      <c r="K67" s="103">
        <v>1869000</v>
      </c>
      <c r="L67" s="103">
        <v>186900</v>
      </c>
      <c r="M67" s="140">
        <v>2055900</v>
      </c>
      <c r="N67" s="2">
        <v>1519441.6666666667</v>
      </c>
      <c r="O67" s="2" t="s">
        <v>652</v>
      </c>
      <c r="P67" s="104">
        <v>349558.33333333326</v>
      </c>
      <c r="Q67" s="106" t="s">
        <v>510</v>
      </c>
      <c r="R67" s="107" t="s">
        <v>9</v>
      </c>
      <c r="S67" s="317"/>
      <c r="T67" t="str">
        <f t="shared" si="3"/>
        <v/>
      </c>
      <c r="U67" s="120"/>
    </row>
    <row r="68" spans="1:21" ht="16.5" customHeight="1" x14ac:dyDescent="0.3">
      <c r="A68" t="s">
        <v>490</v>
      </c>
      <c r="C68" s="320">
        <v>44134</v>
      </c>
      <c r="D68" s="98" t="s">
        <v>166</v>
      </c>
      <c r="E68" s="99" t="s">
        <v>653</v>
      </c>
      <c r="F68" s="99" t="s">
        <v>500</v>
      </c>
      <c r="G68" s="99" t="s">
        <v>527</v>
      </c>
      <c r="H68" s="100" t="s">
        <v>654</v>
      </c>
      <c r="I68" s="101">
        <v>1</v>
      </c>
      <c r="J68" s="102">
        <v>668000</v>
      </c>
      <c r="K68" s="103">
        <v>668000</v>
      </c>
      <c r="L68" s="140">
        <v>66800</v>
      </c>
      <c r="M68" s="140">
        <v>734800</v>
      </c>
      <c r="N68" s="2">
        <v>581400</v>
      </c>
      <c r="O68" s="2" t="s">
        <v>655</v>
      </c>
      <c r="P68" s="104">
        <v>86600</v>
      </c>
      <c r="Q68" s="106" t="s">
        <v>510</v>
      </c>
      <c r="R68" s="107" t="s">
        <v>9</v>
      </c>
      <c r="S68" s="317"/>
      <c r="T68" t="str">
        <f t="shared" si="3"/>
        <v/>
      </c>
    </row>
    <row r="69" spans="1:21" ht="16.5" customHeight="1" x14ac:dyDescent="0.3">
      <c r="A69" t="s">
        <v>490</v>
      </c>
      <c r="C69" s="320">
        <v>44134</v>
      </c>
      <c r="D69" s="98" t="s">
        <v>166</v>
      </c>
      <c r="E69" s="160" t="s">
        <v>656</v>
      </c>
      <c r="F69" s="160" t="s">
        <v>506</v>
      </c>
      <c r="G69" s="160" t="s">
        <v>527</v>
      </c>
      <c r="H69" s="121" t="s">
        <v>657</v>
      </c>
      <c r="I69" s="122">
        <v>1</v>
      </c>
      <c r="J69" s="102">
        <v>86500</v>
      </c>
      <c r="K69" s="103">
        <v>86500</v>
      </c>
      <c r="L69" s="140">
        <v>8650</v>
      </c>
      <c r="M69" s="140">
        <v>95150</v>
      </c>
      <c r="N69" s="2">
        <v>62316</v>
      </c>
      <c r="O69" s="112" t="s">
        <v>658</v>
      </c>
      <c r="P69" s="104">
        <v>24184</v>
      </c>
      <c r="Q69" s="106" t="s">
        <v>510</v>
      </c>
      <c r="R69" s="313" t="s">
        <v>9</v>
      </c>
      <c r="S69" s="317"/>
      <c r="T69" t="str">
        <f t="shared" si="3"/>
        <v/>
      </c>
    </row>
    <row r="70" spans="1:21" ht="16.5" customHeight="1" x14ac:dyDescent="0.3">
      <c r="A70" t="s">
        <v>490</v>
      </c>
      <c r="C70" s="320">
        <v>44134</v>
      </c>
      <c r="D70" s="98" t="s">
        <v>166</v>
      </c>
      <c r="E70" s="160" t="s">
        <v>659</v>
      </c>
      <c r="F70" s="160" t="s">
        <v>506</v>
      </c>
      <c r="G70" s="160" t="s">
        <v>527</v>
      </c>
      <c r="H70" s="121" t="s">
        <v>657</v>
      </c>
      <c r="I70" s="122">
        <v>1</v>
      </c>
      <c r="J70" s="102">
        <v>155800</v>
      </c>
      <c r="K70" s="103">
        <v>155800</v>
      </c>
      <c r="L70" s="140">
        <v>15580</v>
      </c>
      <c r="M70" s="140">
        <v>171380</v>
      </c>
      <c r="N70" s="2">
        <v>111865.66666666667</v>
      </c>
      <c r="O70" s="112" t="s">
        <v>660</v>
      </c>
      <c r="P70" s="104">
        <v>43934.333333333328</v>
      </c>
      <c r="Q70" s="106" t="s">
        <v>510</v>
      </c>
      <c r="R70" s="313" t="s">
        <v>9</v>
      </c>
      <c r="S70" s="317"/>
      <c r="T70" t="str">
        <f t="shared" si="3"/>
        <v/>
      </c>
    </row>
    <row r="71" spans="1:21" ht="16.5" customHeight="1" x14ac:dyDescent="0.3">
      <c r="A71" t="s">
        <v>490</v>
      </c>
      <c r="C71" s="327">
        <v>44102</v>
      </c>
      <c r="D71" s="98" t="s">
        <v>52</v>
      </c>
      <c r="E71" s="99"/>
      <c r="F71" s="124" t="s">
        <v>371</v>
      </c>
      <c r="G71" s="99"/>
      <c r="H71" s="142" t="s">
        <v>550</v>
      </c>
      <c r="I71" s="98">
        <v>1</v>
      </c>
      <c r="J71" s="102">
        <v>150000</v>
      </c>
      <c r="K71" s="103">
        <v>150000</v>
      </c>
      <c r="L71" s="103">
        <v>15000</v>
      </c>
      <c r="M71" s="140">
        <v>165000</v>
      </c>
      <c r="N71" s="2">
        <v>10000</v>
      </c>
      <c r="O71" s="305" t="s">
        <v>551</v>
      </c>
      <c r="P71" s="104">
        <v>140000</v>
      </c>
      <c r="Q71" s="106" t="s">
        <v>510</v>
      </c>
      <c r="R71" s="145" t="s">
        <v>9</v>
      </c>
      <c r="S71" s="317"/>
      <c r="T71" t="str">
        <f t="shared" si="3"/>
        <v/>
      </c>
    </row>
    <row r="72" spans="1:21" ht="16.5" customHeight="1" x14ac:dyDescent="0.3">
      <c r="A72" t="s">
        <v>490</v>
      </c>
      <c r="C72" s="318">
        <v>44152</v>
      </c>
      <c r="D72" s="98" t="s">
        <v>313</v>
      </c>
      <c r="E72" s="124" t="s">
        <v>699</v>
      </c>
      <c r="F72" s="124" t="s">
        <v>500</v>
      </c>
      <c r="G72" s="124" t="s">
        <v>527</v>
      </c>
      <c r="H72" s="142" t="s">
        <v>700</v>
      </c>
      <c r="I72" s="98">
        <v>1</v>
      </c>
      <c r="J72" s="102">
        <v>295200</v>
      </c>
      <c r="K72" s="103">
        <v>295200</v>
      </c>
      <c r="L72" s="103">
        <v>29520</v>
      </c>
      <c r="M72" s="140">
        <v>324720</v>
      </c>
      <c r="N72" s="2">
        <v>201000</v>
      </c>
      <c r="O72" s="1" t="s">
        <v>701</v>
      </c>
      <c r="P72" s="104">
        <v>94200</v>
      </c>
      <c r="Q72" s="125" t="s">
        <v>510</v>
      </c>
      <c r="R72" s="145" t="s">
        <v>9</v>
      </c>
      <c r="S72" s="317"/>
    </row>
    <row r="73" spans="1:21" ht="16.5" customHeight="1" x14ac:dyDescent="0.3">
      <c r="A73" t="s">
        <v>490</v>
      </c>
      <c r="C73" s="320">
        <v>44134</v>
      </c>
      <c r="D73" s="98" t="s">
        <v>157</v>
      </c>
      <c r="E73" s="99" t="s">
        <v>642</v>
      </c>
      <c r="F73" s="99" t="s">
        <v>500</v>
      </c>
      <c r="G73" s="99" t="s">
        <v>558</v>
      </c>
      <c r="H73" s="100" t="s">
        <v>580</v>
      </c>
      <c r="I73" s="162">
        <v>1</v>
      </c>
      <c r="J73" s="144">
        <v>680000</v>
      </c>
      <c r="K73" s="103">
        <v>680000</v>
      </c>
      <c r="L73" s="103">
        <v>68000</v>
      </c>
      <c r="M73" s="140">
        <v>748000</v>
      </c>
      <c r="N73" s="2">
        <v>0</v>
      </c>
      <c r="O73" s="2" t="s">
        <v>560</v>
      </c>
      <c r="P73" s="104">
        <v>680000</v>
      </c>
      <c r="Q73" s="106" t="s">
        <v>510</v>
      </c>
      <c r="R73" s="107" t="s">
        <v>9</v>
      </c>
      <c r="S73" s="317"/>
      <c r="T73" t="str">
        <f t="shared" ref="T73:T81" si="4">IF(S73="","","입금완료")</f>
        <v/>
      </c>
    </row>
    <row r="74" spans="1:21" ht="16.5" customHeight="1" x14ac:dyDescent="0.3">
      <c r="A74" t="s">
        <v>490</v>
      </c>
      <c r="C74" s="318">
        <v>44109</v>
      </c>
      <c r="D74" s="149" t="s">
        <v>588</v>
      </c>
      <c r="E74" s="124" t="s">
        <v>589</v>
      </c>
      <c r="F74" s="99" t="s">
        <v>500</v>
      </c>
      <c r="G74" s="99" t="s">
        <v>558</v>
      </c>
      <c r="H74" s="142" t="s">
        <v>590</v>
      </c>
      <c r="I74" s="98">
        <v>1</v>
      </c>
      <c r="J74" s="102">
        <v>1340000</v>
      </c>
      <c r="K74" s="103">
        <v>1340000</v>
      </c>
      <c r="L74" s="140">
        <v>134000</v>
      </c>
      <c r="M74" s="140">
        <v>1474000</v>
      </c>
      <c r="N74" s="2">
        <v>1041800</v>
      </c>
      <c r="O74" s="2" t="s">
        <v>591</v>
      </c>
      <c r="P74" s="104">
        <v>298200</v>
      </c>
      <c r="Q74" s="106" t="s">
        <v>510</v>
      </c>
      <c r="R74" s="306" t="s">
        <v>9</v>
      </c>
      <c r="S74" s="317"/>
      <c r="T74" t="str">
        <f t="shared" si="4"/>
        <v/>
      </c>
    </row>
    <row r="75" spans="1:21" ht="16.5" customHeight="1" x14ac:dyDescent="0.3">
      <c r="A75" t="s">
        <v>490</v>
      </c>
      <c r="C75" s="318">
        <v>44109</v>
      </c>
      <c r="D75" s="149" t="s">
        <v>588</v>
      </c>
      <c r="E75" s="98" t="s">
        <v>592</v>
      </c>
      <c r="F75" s="98" t="s">
        <v>500</v>
      </c>
      <c r="G75" s="160" t="s">
        <v>576</v>
      </c>
      <c r="H75" s="142" t="s">
        <v>593</v>
      </c>
      <c r="I75" s="316">
        <v>1</v>
      </c>
      <c r="J75" s="102">
        <v>164000</v>
      </c>
      <c r="K75" s="103">
        <v>164000</v>
      </c>
      <c r="L75" s="140">
        <v>16400</v>
      </c>
      <c r="M75" s="140">
        <v>180400</v>
      </c>
      <c r="N75" s="2">
        <v>150000</v>
      </c>
      <c r="O75" s="114" t="s">
        <v>594</v>
      </c>
      <c r="P75" s="104">
        <v>14000</v>
      </c>
      <c r="Q75" s="106" t="s">
        <v>510</v>
      </c>
      <c r="R75" s="107" t="s">
        <v>9</v>
      </c>
      <c r="S75" s="317"/>
      <c r="T75" t="str">
        <f t="shared" si="4"/>
        <v/>
      </c>
    </row>
    <row r="76" spans="1:21" ht="16.5" customHeight="1" x14ac:dyDescent="0.3">
      <c r="A76" t="s">
        <v>490</v>
      </c>
      <c r="C76" s="315">
        <v>44123</v>
      </c>
      <c r="D76" s="98" t="s">
        <v>588</v>
      </c>
      <c r="E76" s="160"/>
      <c r="F76" s="98" t="s">
        <v>371</v>
      </c>
      <c r="G76" s="160" t="s">
        <v>599</v>
      </c>
      <c r="H76" s="142" t="s">
        <v>600</v>
      </c>
      <c r="I76" s="316">
        <v>1</v>
      </c>
      <c r="J76" s="102">
        <v>100000</v>
      </c>
      <c r="K76" s="103">
        <v>100000</v>
      </c>
      <c r="L76" s="140">
        <v>10000</v>
      </c>
      <c r="M76" s="140">
        <v>110000</v>
      </c>
      <c r="N76" s="2">
        <v>27000</v>
      </c>
      <c r="O76" s="114" t="s">
        <v>601</v>
      </c>
      <c r="P76" s="104">
        <v>73000</v>
      </c>
      <c r="Q76" s="125" t="s">
        <v>510</v>
      </c>
      <c r="R76" s="145" t="s">
        <v>9</v>
      </c>
      <c r="S76" s="317"/>
      <c r="T76" t="str">
        <f t="shared" si="4"/>
        <v/>
      </c>
    </row>
    <row r="77" spans="1:21" ht="16.5" customHeight="1" x14ac:dyDescent="0.3">
      <c r="A77" t="s">
        <v>490</v>
      </c>
      <c r="C77" s="320">
        <v>44134</v>
      </c>
      <c r="D77" s="98" t="s">
        <v>588</v>
      </c>
      <c r="E77" s="160" t="s">
        <v>632</v>
      </c>
      <c r="F77" s="160" t="s">
        <v>506</v>
      </c>
      <c r="G77" s="160" t="s">
        <v>507</v>
      </c>
      <c r="H77" s="100" t="s">
        <v>633</v>
      </c>
      <c r="I77" s="101">
        <v>1</v>
      </c>
      <c r="J77" s="102">
        <v>443000</v>
      </c>
      <c r="K77" s="103">
        <v>443000</v>
      </c>
      <c r="L77" s="140">
        <v>44300</v>
      </c>
      <c r="M77" s="140">
        <v>487300</v>
      </c>
      <c r="N77" s="2">
        <v>392400</v>
      </c>
      <c r="O77" s="114" t="s">
        <v>634</v>
      </c>
      <c r="P77" s="104">
        <v>50600</v>
      </c>
      <c r="Q77" s="106" t="s">
        <v>510</v>
      </c>
      <c r="R77" s="107" t="s">
        <v>9</v>
      </c>
      <c r="S77" s="317"/>
      <c r="T77" t="str">
        <f t="shared" si="4"/>
        <v/>
      </c>
    </row>
    <row r="78" spans="1:21" ht="16.5" customHeight="1" x14ac:dyDescent="0.3">
      <c r="A78" t="s">
        <v>490</v>
      </c>
      <c r="C78" s="320">
        <v>44134</v>
      </c>
      <c r="D78" s="98" t="s">
        <v>588</v>
      </c>
      <c r="E78" s="160" t="s">
        <v>648</v>
      </c>
      <c r="F78" s="160" t="s">
        <v>500</v>
      </c>
      <c r="G78" s="160" t="s">
        <v>558</v>
      </c>
      <c r="H78" s="100" t="s">
        <v>649</v>
      </c>
      <c r="I78" s="101">
        <v>1</v>
      </c>
      <c r="J78" s="102">
        <v>370000</v>
      </c>
      <c r="K78" s="103">
        <v>370000</v>
      </c>
      <c r="L78" s="140">
        <v>37000</v>
      </c>
      <c r="M78" s="140">
        <v>407000</v>
      </c>
      <c r="N78" s="2">
        <v>0</v>
      </c>
      <c r="O78" s="114" t="s">
        <v>560</v>
      </c>
      <c r="P78" s="104">
        <v>370000</v>
      </c>
      <c r="Q78" s="106" t="s">
        <v>510</v>
      </c>
      <c r="R78" s="107" t="s">
        <v>9</v>
      </c>
      <c r="S78" s="317"/>
      <c r="T78" t="str">
        <f t="shared" si="4"/>
        <v/>
      </c>
    </row>
    <row r="79" spans="1:21" ht="16.5" customHeight="1" x14ac:dyDescent="0.3">
      <c r="A79" t="s">
        <v>490</v>
      </c>
      <c r="C79" s="320">
        <v>44134</v>
      </c>
      <c r="D79" s="98" t="s">
        <v>588</v>
      </c>
      <c r="E79" s="160" t="s">
        <v>675</v>
      </c>
      <c r="F79" s="98" t="s">
        <v>500</v>
      </c>
      <c r="G79" s="160" t="s">
        <v>558</v>
      </c>
      <c r="H79" s="100" t="s">
        <v>676</v>
      </c>
      <c r="I79" s="101">
        <v>1</v>
      </c>
      <c r="J79" s="102">
        <v>120000</v>
      </c>
      <c r="K79" s="103">
        <v>120000</v>
      </c>
      <c r="L79" s="140">
        <v>12000</v>
      </c>
      <c r="M79" s="140">
        <v>132000</v>
      </c>
      <c r="N79" s="2"/>
      <c r="O79" s="114" t="s">
        <v>560</v>
      </c>
      <c r="P79" s="104">
        <v>120000</v>
      </c>
      <c r="Q79" s="106" t="s">
        <v>510</v>
      </c>
      <c r="R79" s="107" t="s">
        <v>9</v>
      </c>
      <c r="S79" s="317"/>
      <c r="T79" t="str">
        <f t="shared" si="4"/>
        <v/>
      </c>
    </row>
    <row r="80" spans="1:21" ht="16.5" customHeight="1" x14ac:dyDescent="0.3">
      <c r="A80" t="s">
        <v>490</v>
      </c>
      <c r="C80" s="320">
        <v>44105</v>
      </c>
      <c r="D80" s="98" t="s">
        <v>585</v>
      </c>
      <c r="E80" s="160" t="s">
        <v>586</v>
      </c>
      <c r="F80" s="160" t="s">
        <v>500</v>
      </c>
      <c r="G80" s="160" t="s">
        <v>558</v>
      </c>
      <c r="H80" s="100" t="s">
        <v>587</v>
      </c>
      <c r="I80" s="101">
        <v>1</v>
      </c>
      <c r="J80" s="102">
        <v>155000</v>
      </c>
      <c r="K80" s="103">
        <v>155000</v>
      </c>
      <c r="L80" s="140">
        <v>15500</v>
      </c>
      <c r="M80" s="140">
        <v>170500</v>
      </c>
      <c r="N80" s="2"/>
      <c r="O80" s="114" t="s">
        <v>560</v>
      </c>
      <c r="P80" s="104">
        <v>155000</v>
      </c>
      <c r="Q80" s="106" t="s">
        <v>510</v>
      </c>
      <c r="R80" s="107" t="s">
        <v>26</v>
      </c>
      <c r="S80" s="317"/>
      <c r="T80" t="str">
        <f t="shared" si="4"/>
        <v/>
      </c>
    </row>
    <row r="81" spans="1:21" ht="16.5" customHeight="1" x14ac:dyDescent="0.3">
      <c r="A81" t="s">
        <v>490</v>
      </c>
      <c r="C81" s="321">
        <v>44084</v>
      </c>
      <c r="D81" s="98" t="s">
        <v>538</v>
      </c>
      <c r="E81" s="160" t="s">
        <v>539</v>
      </c>
      <c r="F81" s="160" t="s">
        <v>500</v>
      </c>
      <c r="G81" s="160" t="s">
        <v>501</v>
      </c>
      <c r="H81" s="161" t="s">
        <v>540</v>
      </c>
      <c r="I81" s="162">
        <v>1</v>
      </c>
      <c r="J81" s="144">
        <v>358000</v>
      </c>
      <c r="K81" s="103">
        <v>358000</v>
      </c>
      <c r="L81" s="140">
        <v>35800</v>
      </c>
      <c r="M81" s="140">
        <v>393800</v>
      </c>
      <c r="N81" s="308">
        <v>334400</v>
      </c>
      <c r="O81" s="337" t="s">
        <v>541</v>
      </c>
      <c r="P81" s="104">
        <v>23600</v>
      </c>
      <c r="Q81" s="106" t="s">
        <v>510</v>
      </c>
      <c r="R81" s="107" t="s">
        <v>9</v>
      </c>
      <c r="S81" s="317"/>
      <c r="T81" t="str">
        <f t="shared" si="4"/>
        <v/>
      </c>
    </row>
    <row r="82" spans="1:21" ht="16.5" customHeight="1" x14ac:dyDescent="0.3">
      <c r="A82" t="s">
        <v>490</v>
      </c>
      <c r="C82" s="318">
        <v>44136</v>
      </c>
      <c r="D82" s="98" t="s">
        <v>694</v>
      </c>
      <c r="E82" s="98"/>
      <c r="F82" s="98" t="s">
        <v>500</v>
      </c>
      <c r="G82" s="98" t="s">
        <v>576</v>
      </c>
      <c r="H82" s="142" t="s">
        <v>695</v>
      </c>
      <c r="I82" s="98">
        <v>1</v>
      </c>
      <c r="J82" s="102">
        <v>1725000</v>
      </c>
      <c r="K82" s="103">
        <v>1725000</v>
      </c>
      <c r="L82" s="140">
        <v>172500</v>
      </c>
      <c r="M82" s="140">
        <v>1897500</v>
      </c>
      <c r="N82" s="2">
        <v>1420686.5833333333</v>
      </c>
      <c r="O82" s="332" t="s">
        <v>696</v>
      </c>
      <c r="P82" s="104">
        <v>304313.41666666674</v>
      </c>
      <c r="Q82" s="125" t="s">
        <v>510</v>
      </c>
      <c r="R82" s="145" t="s">
        <v>9</v>
      </c>
      <c r="S82" s="317"/>
    </row>
    <row r="83" spans="1:21" ht="16.5" customHeight="1" x14ac:dyDescent="0.3">
      <c r="C83" s="318"/>
      <c r="D83" s="98" t="s">
        <v>491</v>
      </c>
      <c r="E83" s="98"/>
      <c r="F83" s="98" t="s">
        <v>500</v>
      </c>
      <c r="G83" s="98" t="s">
        <v>576</v>
      </c>
      <c r="H83" s="142"/>
      <c r="I83" s="98"/>
      <c r="J83" s="102">
        <v>1725000</v>
      </c>
      <c r="K83" s="103"/>
      <c r="L83" s="140"/>
      <c r="M83" s="140">
        <v>6058000</v>
      </c>
      <c r="N83" s="2">
        <v>1420686.5833333333</v>
      </c>
      <c r="O83" s="332" t="s">
        <v>712</v>
      </c>
      <c r="P83" s="104">
        <v>304314.41666666698</v>
      </c>
      <c r="Q83" s="125" t="s">
        <v>510</v>
      </c>
      <c r="R83" s="145" t="s">
        <v>492</v>
      </c>
      <c r="S83" s="317"/>
      <c r="U83" s="120"/>
    </row>
    <row r="84" spans="1:21" ht="16.5" customHeight="1" x14ac:dyDescent="0.3">
      <c r="M84" s="120"/>
    </row>
    <row r="85" spans="1:21" ht="16.5" customHeight="1" x14ac:dyDescent="0.3">
      <c r="L85" t="s">
        <v>487</v>
      </c>
      <c r="M85" s="164">
        <f>SUM(M4:M83)</f>
        <v>143957207.59999999</v>
      </c>
    </row>
    <row r="87" spans="1:21" ht="16.5" customHeight="1" x14ac:dyDescent="0.3">
      <c r="L87" t="s">
        <v>486</v>
      </c>
      <c r="M87" s="120">
        <f>SUMIF(T4:T82,$L$87,M4:M82)</f>
        <v>0</v>
      </c>
      <c r="R87" s="115"/>
    </row>
    <row r="88" spans="1:21" ht="16.5" customHeight="1" x14ac:dyDescent="0.3">
      <c r="M88" s="120"/>
    </row>
    <row r="89" spans="1:21" ht="16.5" customHeight="1" x14ac:dyDescent="0.3">
      <c r="L89" t="s">
        <v>489</v>
      </c>
      <c r="M89" s="164">
        <f>M85-M87</f>
        <v>143957207.59999999</v>
      </c>
      <c r="S89" s="120"/>
    </row>
    <row r="92" spans="1:21" ht="48" x14ac:dyDescent="0.3">
      <c r="C92" s="277">
        <v>44046</v>
      </c>
      <c r="D92" s="334" t="s">
        <v>496</v>
      </c>
      <c r="E92" s="170"/>
      <c r="F92" s="170" t="s">
        <v>363</v>
      </c>
      <c r="G92" s="170" t="s">
        <v>497</v>
      </c>
      <c r="H92" s="171" t="s">
        <v>498</v>
      </c>
      <c r="I92" s="170">
        <v>1</v>
      </c>
      <c r="J92" s="172">
        <v>8000000</v>
      </c>
      <c r="K92" s="173">
        <f t="shared" ref="K92" si="5">I92*J92</f>
        <v>8000000</v>
      </c>
      <c r="L92" s="173">
        <f t="shared" ref="L92" si="6">K92*10%</f>
        <v>800000</v>
      </c>
      <c r="M92" s="335">
        <f t="shared" ref="M92" si="7">SUM(K92:L92)</f>
        <v>8800000</v>
      </c>
      <c r="Q92" s="336" t="s">
        <v>711</v>
      </c>
      <c r="R92" s="211" t="s">
        <v>4</v>
      </c>
      <c r="S92" s="179"/>
    </row>
    <row r="94" spans="1:21" ht="16.5" customHeight="1" x14ac:dyDescent="0.3">
      <c r="F94" s="331"/>
    </row>
    <row r="96" spans="1:21" ht="16.5" customHeight="1" x14ac:dyDescent="0.3">
      <c r="M96" s="3"/>
    </row>
    <row r="97" spans="8:13" ht="16.5" customHeight="1" x14ac:dyDescent="0.3">
      <c r="M97" s="3"/>
    </row>
    <row r="98" spans="8:13" ht="16.5" customHeight="1" x14ac:dyDescent="0.3">
      <c r="M98" s="3"/>
    </row>
    <row r="99" spans="8:13" ht="16.5" customHeight="1" x14ac:dyDescent="0.3">
      <c r="M99" s="3"/>
    </row>
    <row r="100" spans="8:13" ht="16.5" customHeight="1" x14ac:dyDescent="0.3">
      <c r="M100" s="3"/>
    </row>
    <row r="101" spans="8:13" ht="16.5" customHeight="1" x14ac:dyDescent="0.3">
      <c r="M101" s="3"/>
    </row>
    <row r="107" spans="8:13" ht="16.5" customHeight="1" x14ac:dyDescent="0.3">
      <c r="H107" s="120"/>
    </row>
  </sheetData>
  <autoFilter ref="A3:T82" xr:uid="{E00D2B6C-860B-4795-9264-D04E3B3E35D1}"/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M2"/>
    <mergeCell ref="N2:N3"/>
    <mergeCell ref="O2:O3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A88F-5F06-450A-8385-8A152A8413AB}">
  <sheetPr codeName="Sheet25"/>
  <dimension ref="A1:U101"/>
  <sheetViews>
    <sheetView topLeftCell="C1" workbookViewId="0">
      <pane ySplit="3" topLeftCell="A4" activePane="bottomLeft" state="frozen"/>
      <selection activeCell="C1" sqref="C1"/>
      <selection pane="bottomLeft" activeCell="G21" sqref="G21"/>
    </sheetView>
  </sheetViews>
  <sheetFormatPr defaultRowHeight="16.5" customHeight="1" x14ac:dyDescent="0.3"/>
  <cols>
    <col min="1" max="1" width="10.75" style="341" hidden="1" customWidth="1"/>
    <col min="2" max="2" width="9.75" style="341" hidden="1" customWidth="1"/>
    <col min="3" max="3" width="11" style="341" customWidth="1"/>
    <col min="4" max="4" width="21.625" style="357" customWidth="1"/>
    <col min="5" max="5" width="16.875" style="357" customWidth="1"/>
    <col min="6" max="6" width="9.875" style="357" customWidth="1"/>
    <col min="7" max="7" width="39.25" style="357" customWidth="1"/>
    <col min="8" max="8" width="4" style="341" customWidth="1"/>
    <col min="9" max="11" width="11.5" style="341" customWidth="1"/>
    <col min="12" max="12" width="15.625" style="341" bestFit="1" customWidth="1"/>
    <col min="13" max="13" width="12.375" style="341" hidden="1" customWidth="1"/>
    <col min="14" max="14" width="30" style="341" hidden="1" customWidth="1"/>
    <col min="15" max="15" width="10.875" style="341" hidden="1" customWidth="1"/>
    <col min="16" max="16" width="11.75" style="601" customWidth="1"/>
    <col min="17" max="17" width="9.875" style="341" hidden="1" customWidth="1"/>
    <col min="18" max="18" width="15.125" style="341" customWidth="1"/>
    <col min="19" max="19" width="9.875" style="341" customWidth="1"/>
    <col min="20" max="20" width="14.75" style="377" bestFit="1" customWidth="1"/>
    <col min="21" max="16384" width="9" style="341"/>
  </cols>
  <sheetData>
    <row r="1" spans="1:21" ht="16.5" customHeight="1" thickBot="1" x14ac:dyDescent="0.35"/>
    <row r="2" spans="1:21" ht="16.5" customHeight="1" x14ac:dyDescent="0.3">
      <c r="A2" s="723" t="s">
        <v>59</v>
      </c>
      <c r="B2" s="725" t="s">
        <v>60</v>
      </c>
      <c r="C2" s="727" t="s">
        <v>61</v>
      </c>
      <c r="D2" s="729" t="s">
        <v>62</v>
      </c>
      <c r="E2" s="721" t="s">
        <v>63</v>
      </c>
      <c r="F2" s="721" t="s">
        <v>64</v>
      </c>
      <c r="G2" s="721" t="s">
        <v>66</v>
      </c>
      <c r="H2" s="740" t="s">
        <v>67</v>
      </c>
      <c r="I2" s="742" t="s">
        <v>68</v>
      </c>
      <c r="J2" s="743"/>
      <c r="K2" s="743"/>
      <c r="L2" s="744"/>
      <c r="M2" s="732"/>
      <c r="N2" s="732"/>
      <c r="O2" s="732"/>
      <c r="P2" s="734" t="s">
        <v>710</v>
      </c>
      <c r="Q2" s="736" t="s">
        <v>73</v>
      </c>
      <c r="R2" s="738" t="s">
        <v>74</v>
      </c>
    </row>
    <row r="3" spans="1:21" ht="16.5" customHeight="1" x14ac:dyDescent="0.3">
      <c r="A3" s="724"/>
      <c r="B3" s="726"/>
      <c r="C3" s="728"/>
      <c r="D3" s="730"/>
      <c r="E3" s="731"/>
      <c r="F3" s="722"/>
      <c r="G3" s="731"/>
      <c r="H3" s="741"/>
      <c r="I3" s="307" t="s">
        <v>75</v>
      </c>
      <c r="J3" s="419" t="s">
        <v>76</v>
      </c>
      <c r="K3" s="419" t="s">
        <v>77</v>
      </c>
      <c r="L3" s="419" t="s">
        <v>78</v>
      </c>
      <c r="M3" s="733"/>
      <c r="N3" s="733"/>
      <c r="O3" s="733"/>
      <c r="P3" s="735"/>
      <c r="Q3" s="737"/>
      <c r="R3" s="739"/>
      <c r="S3" s="341" t="str">
        <f t="shared" ref="S3:S91" si="0">IF(R3="","","입금완료")</f>
        <v/>
      </c>
    </row>
    <row r="4" spans="1:21" ht="24" x14ac:dyDescent="0.3">
      <c r="A4" s="420"/>
      <c r="B4" s="421"/>
      <c r="C4" s="605">
        <v>45706</v>
      </c>
      <c r="D4" s="606" t="s">
        <v>808</v>
      </c>
      <c r="E4" s="607" t="s">
        <v>849</v>
      </c>
      <c r="F4" s="623" t="s">
        <v>629</v>
      </c>
      <c r="G4" s="609" t="s">
        <v>730</v>
      </c>
      <c r="H4" s="610">
        <v>1</v>
      </c>
      <c r="I4" s="611">
        <v>200000</v>
      </c>
      <c r="J4" s="612">
        <v>200000</v>
      </c>
      <c r="K4" s="611">
        <v>20000</v>
      </c>
      <c r="L4" s="611">
        <v>220000</v>
      </c>
      <c r="M4" s="364"/>
      <c r="N4" s="393"/>
      <c r="O4" s="570"/>
      <c r="P4" s="619" t="s">
        <v>36</v>
      </c>
      <c r="Q4" s="620" t="s">
        <v>8</v>
      </c>
      <c r="R4" s="425"/>
      <c r="S4" s="341" t="str">
        <f t="shared" si="0"/>
        <v/>
      </c>
      <c r="T4" s="378"/>
      <c r="U4" s="378"/>
    </row>
    <row r="5" spans="1:21" ht="36" x14ac:dyDescent="0.3">
      <c r="A5" s="420"/>
      <c r="B5" s="421"/>
      <c r="C5" s="605">
        <v>45726</v>
      </c>
      <c r="D5" s="606" t="s">
        <v>808</v>
      </c>
      <c r="E5" s="607" t="s">
        <v>849</v>
      </c>
      <c r="F5" s="607" t="s">
        <v>629</v>
      </c>
      <c r="G5" s="609" t="s">
        <v>731</v>
      </c>
      <c r="H5" s="617">
        <v>1</v>
      </c>
      <c r="I5" s="611">
        <v>200000</v>
      </c>
      <c r="J5" s="612">
        <v>200000</v>
      </c>
      <c r="K5" s="611">
        <v>20000</v>
      </c>
      <c r="L5" s="611">
        <v>220000</v>
      </c>
      <c r="M5" s="364"/>
      <c r="N5" s="393"/>
      <c r="O5" s="570"/>
      <c r="P5" s="619" t="s">
        <v>352</v>
      </c>
      <c r="Q5" s="620" t="s">
        <v>8</v>
      </c>
      <c r="R5" s="425"/>
      <c r="S5" s="341" t="str">
        <f t="shared" si="0"/>
        <v/>
      </c>
      <c r="T5" s="378"/>
      <c r="U5" s="378"/>
    </row>
    <row r="6" spans="1:21" ht="24" x14ac:dyDescent="0.3">
      <c r="A6" s="420"/>
      <c r="B6" s="421"/>
      <c r="C6" s="613">
        <v>45747</v>
      </c>
      <c r="D6" s="614" t="s">
        <v>808</v>
      </c>
      <c r="E6" s="607" t="s">
        <v>849</v>
      </c>
      <c r="F6" s="608" t="s">
        <v>629</v>
      </c>
      <c r="G6" s="624" t="s">
        <v>732</v>
      </c>
      <c r="H6" s="625">
        <v>2</v>
      </c>
      <c r="I6" s="616">
        <v>180000</v>
      </c>
      <c r="J6" s="615">
        <v>360000</v>
      </c>
      <c r="K6" s="616">
        <v>36000</v>
      </c>
      <c r="L6" s="616">
        <v>396000</v>
      </c>
      <c r="M6" s="364"/>
      <c r="N6" s="393"/>
      <c r="O6" s="570"/>
      <c r="P6" s="621" t="s">
        <v>352</v>
      </c>
      <c r="Q6" s="626" t="s">
        <v>8</v>
      </c>
      <c r="R6" s="425"/>
      <c r="S6" s="341" t="str">
        <f t="shared" si="0"/>
        <v/>
      </c>
      <c r="T6" s="378"/>
      <c r="U6" s="378"/>
    </row>
    <row r="7" spans="1:21" ht="24" x14ac:dyDescent="0.3">
      <c r="A7" s="420"/>
      <c r="B7" s="421"/>
      <c r="C7" s="605">
        <v>45751</v>
      </c>
      <c r="D7" s="606" t="s">
        <v>808</v>
      </c>
      <c r="E7" s="607" t="s">
        <v>849</v>
      </c>
      <c r="F7" s="623" t="s">
        <v>629</v>
      </c>
      <c r="G7" s="627" t="s">
        <v>733</v>
      </c>
      <c r="H7" s="617">
        <v>1</v>
      </c>
      <c r="I7" s="611">
        <v>200000</v>
      </c>
      <c r="J7" s="612">
        <v>200000</v>
      </c>
      <c r="K7" s="611">
        <v>20000</v>
      </c>
      <c r="L7" s="611">
        <v>220000</v>
      </c>
      <c r="M7" s="364"/>
      <c r="N7" s="393"/>
      <c r="O7" s="570"/>
      <c r="P7" s="622" t="s">
        <v>387</v>
      </c>
      <c r="Q7" s="620" t="s">
        <v>8</v>
      </c>
      <c r="R7" s="425"/>
      <c r="S7" s="341" t="str">
        <f t="shared" si="0"/>
        <v/>
      </c>
      <c r="T7" s="378"/>
      <c r="U7" s="378"/>
    </row>
    <row r="8" spans="1:21" ht="36" x14ac:dyDescent="0.3">
      <c r="A8" s="420"/>
      <c r="B8" s="421"/>
      <c r="C8" s="605">
        <v>45775</v>
      </c>
      <c r="D8" s="606" t="s">
        <v>808</v>
      </c>
      <c r="E8" s="607" t="s">
        <v>849</v>
      </c>
      <c r="F8" s="623" t="s">
        <v>629</v>
      </c>
      <c r="G8" s="618" t="s">
        <v>734</v>
      </c>
      <c r="H8" s="610">
        <v>1</v>
      </c>
      <c r="I8" s="611">
        <v>200000</v>
      </c>
      <c r="J8" s="612">
        <v>200000</v>
      </c>
      <c r="K8" s="611">
        <v>20000</v>
      </c>
      <c r="L8" s="611">
        <v>220000</v>
      </c>
      <c r="M8" s="364"/>
      <c r="N8" s="393"/>
      <c r="O8" s="570"/>
      <c r="P8" s="619" t="s">
        <v>387</v>
      </c>
      <c r="Q8" s="620" t="s">
        <v>8</v>
      </c>
      <c r="R8" s="425"/>
      <c r="S8" s="341" t="str">
        <f t="shared" si="0"/>
        <v/>
      </c>
      <c r="T8" s="378"/>
      <c r="U8" s="378"/>
    </row>
    <row r="9" spans="1:21" ht="16.5" customHeight="1" x14ac:dyDescent="0.3">
      <c r="A9" s="420"/>
      <c r="B9" s="427"/>
      <c r="C9" s="451">
        <v>45838</v>
      </c>
      <c r="D9" s="599" t="s">
        <v>809</v>
      </c>
      <c r="E9" s="591" t="s">
        <v>850</v>
      </c>
      <c r="F9" s="452" t="s">
        <v>705</v>
      </c>
      <c r="G9" s="602" t="s">
        <v>735</v>
      </c>
      <c r="H9" s="592">
        <v>1</v>
      </c>
      <c r="I9" s="659">
        <v>550000</v>
      </c>
      <c r="J9" s="660">
        <v>550000</v>
      </c>
      <c r="K9" s="659">
        <v>55000</v>
      </c>
      <c r="L9" s="659">
        <v>605000</v>
      </c>
      <c r="M9" s="364"/>
      <c r="N9" s="393"/>
      <c r="O9" s="570"/>
      <c r="P9" s="593">
        <v>45845</v>
      </c>
      <c r="Q9" s="594" t="s">
        <v>377</v>
      </c>
      <c r="R9" s="425"/>
      <c r="S9" s="341" t="str">
        <f t="shared" ref="S9:S72" si="1">IF(R9="","","입금완료")</f>
        <v/>
      </c>
      <c r="T9" s="378"/>
      <c r="U9" s="378"/>
    </row>
    <row r="10" spans="1:21" ht="16.5" customHeight="1" x14ac:dyDescent="0.3">
      <c r="A10" s="420"/>
      <c r="B10" s="427"/>
      <c r="C10" s="451">
        <v>45869</v>
      </c>
      <c r="D10" s="599" t="s">
        <v>809</v>
      </c>
      <c r="E10" s="591" t="s">
        <v>850</v>
      </c>
      <c r="F10" s="452" t="s">
        <v>705</v>
      </c>
      <c r="G10" s="602" t="s">
        <v>744</v>
      </c>
      <c r="H10" s="592">
        <v>1</v>
      </c>
      <c r="I10" s="659">
        <v>550000</v>
      </c>
      <c r="J10" s="660">
        <v>550000</v>
      </c>
      <c r="K10" s="659">
        <v>55000</v>
      </c>
      <c r="L10" s="659">
        <v>605000</v>
      </c>
      <c r="M10" s="364"/>
      <c r="N10" s="393"/>
      <c r="O10" s="570"/>
      <c r="P10" s="593">
        <v>45876</v>
      </c>
      <c r="Q10" s="594" t="s">
        <v>377</v>
      </c>
      <c r="R10" s="425"/>
      <c r="S10" s="341" t="str">
        <f t="shared" si="1"/>
        <v/>
      </c>
      <c r="T10" s="378"/>
      <c r="U10" s="378"/>
    </row>
    <row r="11" spans="1:21" ht="16.5" customHeight="1" x14ac:dyDescent="0.3">
      <c r="A11" s="420"/>
      <c r="B11" s="427"/>
      <c r="C11" s="451">
        <v>45898</v>
      </c>
      <c r="D11" s="599" t="s">
        <v>809</v>
      </c>
      <c r="E11" s="591" t="s">
        <v>850</v>
      </c>
      <c r="F11" s="452" t="s">
        <v>716</v>
      </c>
      <c r="G11" s="602" t="s">
        <v>739</v>
      </c>
      <c r="H11" s="592">
        <v>1</v>
      </c>
      <c r="I11" s="659">
        <v>550000</v>
      </c>
      <c r="J11" s="660">
        <v>550000</v>
      </c>
      <c r="K11" s="659">
        <v>55000</v>
      </c>
      <c r="L11" s="659">
        <v>605000</v>
      </c>
      <c r="M11" s="593"/>
      <c r="N11" s="594"/>
      <c r="O11" s="338"/>
      <c r="P11" s="593">
        <v>45907</v>
      </c>
      <c r="Q11" s="594" t="s">
        <v>718</v>
      </c>
      <c r="R11" s="425"/>
      <c r="S11" s="341" t="str">
        <f t="shared" si="1"/>
        <v/>
      </c>
      <c r="T11" s="378"/>
      <c r="U11" s="378"/>
    </row>
    <row r="12" spans="1:21" ht="16.5" customHeight="1" x14ac:dyDescent="0.3">
      <c r="A12" s="420"/>
      <c r="B12" s="427"/>
      <c r="C12" s="97">
        <v>45920</v>
      </c>
      <c r="D12" s="356" t="s">
        <v>810</v>
      </c>
      <c r="E12" s="358" t="s">
        <v>851</v>
      </c>
      <c r="F12" s="385" t="s">
        <v>30</v>
      </c>
      <c r="G12" s="355" t="s">
        <v>743</v>
      </c>
      <c r="H12" s="359">
        <v>1</v>
      </c>
      <c r="I12" s="339">
        <v>1000000</v>
      </c>
      <c r="J12" s="346">
        <v>1000000</v>
      </c>
      <c r="K12" s="339">
        <v>100000</v>
      </c>
      <c r="L12" s="339">
        <v>1100000</v>
      </c>
      <c r="M12" s="456"/>
      <c r="N12" s="1"/>
      <c r="O12" s="455"/>
      <c r="P12" s="569" t="s">
        <v>726</v>
      </c>
      <c r="Q12" s="313" t="s">
        <v>0</v>
      </c>
      <c r="R12" s="425"/>
      <c r="S12" s="341" t="str">
        <f t="shared" si="1"/>
        <v/>
      </c>
      <c r="T12" s="378"/>
      <c r="U12" s="378"/>
    </row>
    <row r="13" spans="1:21" ht="16.5" customHeight="1" x14ac:dyDescent="0.3">
      <c r="A13" s="420"/>
      <c r="B13" s="427"/>
      <c r="C13" s="143">
        <v>45926</v>
      </c>
      <c r="D13" s="98" t="s">
        <v>811</v>
      </c>
      <c r="E13" s="124" t="s">
        <v>852</v>
      </c>
      <c r="F13" s="124" t="s">
        <v>48</v>
      </c>
      <c r="G13" s="355" t="s">
        <v>729</v>
      </c>
      <c r="H13" s="359">
        <v>1</v>
      </c>
      <c r="I13" s="339">
        <v>120000</v>
      </c>
      <c r="J13" s="346">
        <v>120000</v>
      </c>
      <c r="K13" s="339">
        <v>12000</v>
      </c>
      <c r="L13" s="339">
        <v>132000</v>
      </c>
      <c r="M13" s="456"/>
      <c r="N13" s="1"/>
      <c r="O13" s="338"/>
      <c r="P13" s="655" t="s">
        <v>726</v>
      </c>
      <c r="Q13" s="313" t="s">
        <v>4</v>
      </c>
      <c r="R13" s="425"/>
      <c r="S13" s="341" t="str">
        <f t="shared" si="1"/>
        <v/>
      </c>
      <c r="T13" s="378"/>
      <c r="U13" s="378"/>
    </row>
    <row r="14" spans="1:21" ht="16.5" customHeight="1" x14ac:dyDescent="0.3">
      <c r="A14" s="420"/>
      <c r="B14" s="427"/>
      <c r="C14" s="451">
        <v>45930</v>
      </c>
      <c r="D14" s="599" t="s">
        <v>809</v>
      </c>
      <c r="E14" s="591" t="s">
        <v>850</v>
      </c>
      <c r="F14" s="452" t="s">
        <v>716</v>
      </c>
      <c r="G14" s="602" t="s">
        <v>745</v>
      </c>
      <c r="H14" s="592">
        <v>1</v>
      </c>
      <c r="I14" s="659">
        <v>550000</v>
      </c>
      <c r="J14" s="660">
        <v>550000</v>
      </c>
      <c r="K14" s="659">
        <v>55000</v>
      </c>
      <c r="L14" s="659">
        <v>605000</v>
      </c>
      <c r="M14" s="453"/>
      <c r="N14" s="460"/>
      <c r="O14" s="338"/>
      <c r="P14" s="593">
        <v>45937</v>
      </c>
      <c r="Q14" s="594" t="s">
        <v>718</v>
      </c>
      <c r="R14" s="425"/>
      <c r="S14" s="341" t="str">
        <f t="shared" si="1"/>
        <v/>
      </c>
      <c r="T14" s="378"/>
      <c r="U14" s="378"/>
    </row>
    <row r="15" spans="1:21" ht="16.5" customHeight="1" x14ac:dyDescent="0.3">
      <c r="A15" s="420"/>
      <c r="B15" s="427"/>
      <c r="C15" s="143">
        <v>45930</v>
      </c>
      <c r="D15" s="356" t="s">
        <v>812</v>
      </c>
      <c r="E15" s="358" t="s">
        <v>886</v>
      </c>
      <c r="F15" s="124" t="s">
        <v>30</v>
      </c>
      <c r="G15" s="355" t="s">
        <v>746</v>
      </c>
      <c r="H15" s="359">
        <v>1</v>
      </c>
      <c r="I15" s="339">
        <v>700000</v>
      </c>
      <c r="J15" s="346">
        <v>700000</v>
      </c>
      <c r="K15" s="339">
        <v>70000</v>
      </c>
      <c r="L15" s="339">
        <v>770000</v>
      </c>
      <c r="M15" s="456"/>
      <c r="N15" s="1"/>
      <c r="O15" s="338"/>
      <c r="P15" s="655" t="s">
        <v>726</v>
      </c>
      <c r="Q15" s="107" t="s">
        <v>0</v>
      </c>
      <c r="R15" s="425"/>
      <c r="S15" s="341" t="str">
        <f t="shared" si="1"/>
        <v/>
      </c>
      <c r="T15" s="378"/>
      <c r="U15" s="378"/>
    </row>
    <row r="16" spans="1:21" ht="16.5" customHeight="1" x14ac:dyDescent="0.3">
      <c r="A16" s="420"/>
      <c r="B16" s="427"/>
      <c r="C16" s="143">
        <v>45930</v>
      </c>
      <c r="D16" s="356" t="s">
        <v>812</v>
      </c>
      <c r="E16" s="358" t="s">
        <v>887</v>
      </c>
      <c r="F16" s="124" t="s">
        <v>30</v>
      </c>
      <c r="G16" s="355" t="s">
        <v>746</v>
      </c>
      <c r="H16" s="359">
        <v>1</v>
      </c>
      <c r="I16" s="339">
        <v>380000</v>
      </c>
      <c r="J16" s="346">
        <v>380000</v>
      </c>
      <c r="K16" s="339">
        <v>38000</v>
      </c>
      <c r="L16" s="339">
        <v>418000</v>
      </c>
      <c r="M16" s="456"/>
      <c r="N16" s="1"/>
      <c r="O16" s="338"/>
      <c r="P16" s="655" t="s">
        <v>726</v>
      </c>
      <c r="Q16" s="107" t="s">
        <v>0</v>
      </c>
      <c r="R16" s="425"/>
      <c r="S16" s="341" t="str">
        <f t="shared" si="1"/>
        <v/>
      </c>
      <c r="T16" s="378"/>
      <c r="U16" s="378"/>
    </row>
    <row r="17" spans="1:21" ht="16.5" customHeight="1" x14ac:dyDescent="0.3">
      <c r="A17" s="420"/>
      <c r="B17" s="427"/>
      <c r="C17" s="143">
        <v>45930</v>
      </c>
      <c r="D17" s="356" t="s">
        <v>812</v>
      </c>
      <c r="E17" s="358" t="s">
        <v>887</v>
      </c>
      <c r="F17" s="124" t="s">
        <v>30</v>
      </c>
      <c r="G17" s="355" t="s">
        <v>746</v>
      </c>
      <c r="H17" s="359">
        <v>1</v>
      </c>
      <c r="I17" s="339">
        <v>625000</v>
      </c>
      <c r="J17" s="346">
        <v>625000</v>
      </c>
      <c r="K17" s="339">
        <v>62500</v>
      </c>
      <c r="L17" s="339">
        <v>687500</v>
      </c>
      <c r="M17" s="456"/>
      <c r="N17" s="1"/>
      <c r="O17" s="338"/>
      <c r="P17" s="655" t="s">
        <v>726</v>
      </c>
      <c r="Q17" s="107" t="s">
        <v>0</v>
      </c>
      <c r="R17" s="425"/>
      <c r="S17" s="341" t="str">
        <f t="shared" si="1"/>
        <v/>
      </c>
      <c r="T17" s="378"/>
      <c r="U17" s="378"/>
    </row>
    <row r="18" spans="1:21" ht="16.5" customHeight="1" x14ac:dyDescent="0.3">
      <c r="A18" s="420"/>
      <c r="B18" s="427"/>
      <c r="C18" s="143">
        <v>45930</v>
      </c>
      <c r="D18" s="356" t="s">
        <v>812</v>
      </c>
      <c r="E18" s="358" t="s">
        <v>856</v>
      </c>
      <c r="F18" s="124" t="s">
        <v>30</v>
      </c>
      <c r="G18" s="355" t="s">
        <v>746</v>
      </c>
      <c r="H18" s="359">
        <v>1</v>
      </c>
      <c r="I18" s="339">
        <v>1232000</v>
      </c>
      <c r="J18" s="346">
        <v>1232000</v>
      </c>
      <c r="K18" s="339">
        <v>123200</v>
      </c>
      <c r="L18" s="339">
        <v>1355200</v>
      </c>
      <c r="M18" s="456"/>
      <c r="N18" s="1"/>
      <c r="O18" s="338"/>
      <c r="P18" s="655" t="s">
        <v>726</v>
      </c>
      <c r="Q18" s="313" t="s">
        <v>0</v>
      </c>
      <c r="R18" s="425"/>
      <c r="S18" s="341" t="str">
        <f t="shared" si="1"/>
        <v/>
      </c>
      <c r="T18" s="378"/>
      <c r="U18" s="378"/>
    </row>
    <row r="19" spans="1:21" ht="16.5" customHeight="1" x14ac:dyDescent="0.3">
      <c r="A19" s="420"/>
      <c r="B19" s="427"/>
      <c r="C19" s="143">
        <v>45930</v>
      </c>
      <c r="D19" s="356" t="s">
        <v>812</v>
      </c>
      <c r="E19" s="358" t="s">
        <v>857</v>
      </c>
      <c r="F19" s="124" t="s">
        <v>30</v>
      </c>
      <c r="G19" s="355" t="s">
        <v>746</v>
      </c>
      <c r="H19" s="359">
        <v>1</v>
      </c>
      <c r="I19" s="339">
        <v>535000</v>
      </c>
      <c r="J19" s="346">
        <v>535000</v>
      </c>
      <c r="K19" s="339">
        <v>53500</v>
      </c>
      <c r="L19" s="339">
        <v>588500</v>
      </c>
      <c r="M19" s="474"/>
      <c r="N19" s="1"/>
      <c r="O19" s="338"/>
      <c r="P19" s="655" t="s">
        <v>726</v>
      </c>
      <c r="Q19" s="313" t="s">
        <v>0</v>
      </c>
      <c r="R19" s="425"/>
      <c r="S19" s="341" t="str">
        <f t="shared" si="1"/>
        <v/>
      </c>
      <c r="T19" s="378"/>
      <c r="U19" s="378"/>
    </row>
    <row r="20" spans="1:21" ht="16.5" customHeight="1" x14ac:dyDescent="0.3">
      <c r="A20" s="420"/>
      <c r="B20" s="427"/>
      <c r="C20" s="143">
        <v>45930</v>
      </c>
      <c r="D20" s="98" t="s">
        <v>812</v>
      </c>
      <c r="E20" s="124" t="s">
        <v>857</v>
      </c>
      <c r="F20" s="385" t="s">
        <v>30</v>
      </c>
      <c r="G20" s="355" t="s">
        <v>747</v>
      </c>
      <c r="H20" s="359">
        <v>1</v>
      </c>
      <c r="I20" s="339">
        <v>2139700</v>
      </c>
      <c r="J20" s="346">
        <v>2139700</v>
      </c>
      <c r="K20" s="339">
        <v>213970</v>
      </c>
      <c r="L20" s="339">
        <v>2353670</v>
      </c>
      <c r="M20" s="474"/>
      <c r="N20" s="1"/>
      <c r="O20" s="338"/>
      <c r="P20" s="655" t="s">
        <v>726</v>
      </c>
      <c r="Q20" s="313" t="s">
        <v>0</v>
      </c>
      <c r="R20" s="425"/>
      <c r="S20" s="341" t="str">
        <f t="shared" si="1"/>
        <v/>
      </c>
      <c r="T20" s="378"/>
      <c r="U20" s="378"/>
    </row>
    <row r="21" spans="1:21" ht="16.5" customHeight="1" x14ac:dyDescent="0.3">
      <c r="A21" s="420"/>
      <c r="B21" s="427"/>
      <c r="C21" s="143">
        <v>45930</v>
      </c>
      <c r="D21" s="356" t="s">
        <v>812</v>
      </c>
      <c r="E21" s="358" t="s">
        <v>857</v>
      </c>
      <c r="F21" s="124" t="s">
        <v>30</v>
      </c>
      <c r="G21" s="386" t="s">
        <v>742</v>
      </c>
      <c r="H21" s="359">
        <v>1</v>
      </c>
      <c r="I21" s="339">
        <v>573000</v>
      </c>
      <c r="J21" s="346">
        <v>573000</v>
      </c>
      <c r="K21" s="339">
        <v>57300</v>
      </c>
      <c r="L21" s="339">
        <v>630300</v>
      </c>
      <c r="M21" s="453"/>
      <c r="N21" s="1"/>
      <c r="O21" s="455"/>
      <c r="P21" s="655" t="s">
        <v>726</v>
      </c>
      <c r="Q21" s="313" t="s">
        <v>0</v>
      </c>
      <c r="R21" s="425"/>
      <c r="S21" s="341" t="str">
        <f t="shared" si="1"/>
        <v/>
      </c>
      <c r="T21" s="378"/>
      <c r="U21" s="378"/>
    </row>
    <row r="22" spans="1:21" ht="16.5" customHeight="1" x14ac:dyDescent="0.3">
      <c r="A22" s="420"/>
      <c r="B22" s="427"/>
      <c r="C22" s="143">
        <v>45930</v>
      </c>
      <c r="D22" s="356" t="s">
        <v>812</v>
      </c>
      <c r="E22" s="358" t="s">
        <v>858</v>
      </c>
      <c r="F22" s="124" t="s">
        <v>30</v>
      </c>
      <c r="G22" s="355" t="s">
        <v>748</v>
      </c>
      <c r="H22" s="359">
        <v>1</v>
      </c>
      <c r="I22" s="339">
        <v>240000</v>
      </c>
      <c r="J22" s="346">
        <v>240000</v>
      </c>
      <c r="K22" s="339">
        <v>24000</v>
      </c>
      <c r="L22" s="339">
        <v>264000</v>
      </c>
      <c r="M22" s="453"/>
      <c r="N22" s="1"/>
      <c r="O22" s="455"/>
      <c r="P22" s="655" t="s">
        <v>726</v>
      </c>
      <c r="Q22" s="313" t="s">
        <v>0</v>
      </c>
      <c r="R22" s="425"/>
      <c r="S22" s="341" t="str">
        <f t="shared" si="1"/>
        <v/>
      </c>
      <c r="T22" s="378"/>
      <c r="U22" s="378"/>
    </row>
    <row r="23" spans="1:21" ht="16.5" customHeight="1" x14ac:dyDescent="0.3">
      <c r="A23" s="420"/>
      <c r="B23" s="427"/>
      <c r="C23" s="143">
        <v>45930</v>
      </c>
      <c r="D23" s="98" t="s">
        <v>812</v>
      </c>
      <c r="E23" s="124" t="s">
        <v>859</v>
      </c>
      <c r="F23" s="124" t="s">
        <v>30</v>
      </c>
      <c r="G23" s="355" t="s">
        <v>748</v>
      </c>
      <c r="H23" s="359">
        <v>1</v>
      </c>
      <c r="I23" s="339">
        <v>1950000</v>
      </c>
      <c r="J23" s="346">
        <v>1950000</v>
      </c>
      <c r="K23" s="339">
        <v>195000</v>
      </c>
      <c r="L23" s="339">
        <v>2145000</v>
      </c>
      <c r="M23" s="456"/>
      <c r="N23" s="1"/>
      <c r="O23" s="338"/>
      <c r="P23" s="655" t="s">
        <v>726</v>
      </c>
      <c r="Q23" s="313" t="s">
        <v>0</v>
      </c>
      <c r="R23" s="425"/>
      <c r="S23" s="341" t="str">
        <f t="shared" si="1"/>
        <v/>
      </c>
      <c r="T23" s="378"/>
      <c r="U23" s="378"/>
    </row>
    <row r="24" spans="1:21" ht="16.5" customHeight="1" x14ac:dyDescent="0.3">
      <c r="A24" s="420"/>
      <c r="B24" s="427"/>
      <c r="C24" s="143">
        <v>45930</v>
      </c>
      <c r="D24" s="356" t="s">
        <v>810</v>
      </c>
      <c r="E24" s="358" t="s">
        <v>860</v>
      </c>
      <c r="F24" s="124" t="s">
        <v>30</v>
      </c>
      <c r="G24" s="355" t="s">
        <v>749</v>
      </c>
      <c r="H24" s="359">
        <v>1</v>
      </c>
      <c r="I24" s="339">
        <v>659700</v>
      </c>
      <c r="J24" s="346">
        <v>659700</v>
      </c>
      <c r="K24" s="339">
        <v>65970</v>
      </c>
      <c r="L24" s="339">
        <v>725670</v>
      </c>
      <c r="M24" s="462"/>
      <c r="N24" s="1"/>
      <c r="O24" s="455"/>
      <c r="P24" s="655" t="s">
        <v>726</v>
      </c>
      <c r="Q24" s="313" t="s">
        <v>0</v>
      </c>
      <c r="R24" s="425"/>
      <c r="S24" s="341" t="str">
        <f t="shared" si="1"/>
        <v/>
      </c>
      <c r="T24" s="378"/>
      <c r="U24" s="378"/>
    </row>
    <row r="25" spans="1:21" ht="16.5" customHeight="1" x14ac:dyDescent="0.3">
      <c r="A25" s="420"/>
      <c r="B25" s="427"/>
      <c r="C25" s="143">
        <v>45930</v>
      </c>
      <c r="D25" s="356" t="s">
        <v>813</v>
      </c>
      <c r="E25" s="394" t="s">
        <v>861</v>
      </c>
      <c r="F25" s="385" t="s">
        <v>30</v>
      </c>
      <c r="G25" s="386" t="s">
        <v>746</v>
      </c>
      <c r="H25" s="360">
        <v>1</v>
      </c>
      <c r="I25" s="346">
        <v>2871300</v>
      </c>
      <c r="J25" s="346">
        <v>2871300</v>
      </c>
      <c r="K25" s="339">
        <v>287130</v>
      </c>
      <c r="L25" s="339">
        <v>3158430</v>
      </c>
      <c r="M25" s="456"/>
      <c r="N25" s="1"/>
      <c r="O25" s="628"/>
      <c r="P25" s="569" t="s">
        <v>726</v>
      </c>
      <c r="Q25" s="107" t="s">
        <v>0</v>
      </c>
      <c r="R25" s="425"/>
      <c r="S25" s="341" t="str">
        <f t="shared" si="1"/>
        <v/>
      </c>
      <c r="T25" s="378"/>
      <c r="U25" s="378"/>
    </row>
    <row r="26" spans="1:21" ht="16.5" customHeight="1" x14ac:dyDescent="0.3">
      <c r="A26" s="420"/>
      <c r="B26" s="427"/>
      <c r="C26" s="143">
        <v>45930</v>
      </c>
      <c r="D26" s="98" t="s">
        <v>814</v>
      </c>
      <c r="E26" s="124" t="s">
        <v>808</v>
      </c>
      <c r="F26" s="98" t="s">
        <v>30</v>
      </c>
      <c r="G26" s="355" t="s">
        <v>750</v>
      </c>
      <c r="H26" s="359">
        <v>1</v>
      </c>
      <c r="I26" s="339">
        <v>2697200</v>
      </c>
      <c r="J26" s="346">
        <v>2697200</v>
      </c>
      <c r="K26" s="339">
        <v>269720</v>
      </c>
      <c r="L26" s="339">
        <v>2966920</v>
      </c>
      <c r="M26" s="572"/>
      <c r="N26" s="573"/>
      <c r="O26" s="338"/>
      <c r="P26" s="569" t="s">
        <v>726</v>
      </c>
      <c r="Q26" s="313" t="s">
        <v>2</v>
      </c>
      <c r="R26" s="425"/>
      <c r="S26" s="341" t="str">
        <f t="shared" si="1"/>
        <v/>
      </c>
      <c r="T26" s="378"/>
      <c r="U26" s="378"/>
    </row>
    <row r="27" spans="1:21" ht="16.5" customHeight="1" x14ac:dyDescent="0.3">
      <c r="A27" s="420"/>
      <c r="B27" s="427"/>
      <c r="C27" s="143">
        <v>45930</v>
      </c>
      <c r="D27" s="98" t="s">
        <v>811</v>
      </c>
      <c r="E27" s="124" t="s">
        <v>862</v>
      </c>
      <c r="F27" s="124" t="s">
        <v>30</v>
      </c>
      <c r="G27" s="355" t="s">
        <v>751</v>
      </c>
      <c r="H27" s="359">
        <v>1</v>
      </c>
      <c r="I27" s="339">
        <v>1440000</v>
      </c>
      <c r="J27" s="346">
        <v>1440000</v>
      </c>
      <c r="K27" s="339">
        <v>144000</v>
      </c>
      <c r="L27" s="339">
        <v>1584000</v>
      </c>
      <c r="M27" s="376"/>
      <c r="N27" s="637"/>
      <c r="O27" s="338"/>
      <c r="P27" s="655" t="s">
        <v>726</v>
      </c>
      <c r="Q27" s="313" t="s">
        <v>2</v>
      </c>
      <c r="R27" s="425"/>
      <c r="S27" s="341" t="str">
        <f t="shared" si="1"/>
        <v/>
      </c>
      <c r="T27" s="378"/>
      <c r="U27" s="378"/>
    </row>
    <row r="28" spans="1:21" ht="16.5" customHeight="1" x14ac:dyDescent="0.3">
      <c r="A28" s="420"/>
      <c r="B28" s="427"/>
      <c r="C28" s="143">
        <v>45930</v>
      </c>
      <c r="D28" s="98" t="s">
        <v>815</v>
      </c>
      <c r="E28" s="124" t="s">
        <v>838</v>
      </c>
      <c r="F28" s="385" t="s">
        <v>30</v>
      </c>
      <c r="G28" s="386" t="s">
        <v>752</v>
      </c>
      <c r="H28" s="359">
        <v>1</v>
      </c>
      <c r="I28" s="339">
        <v>1224000</v>
      </c>
      <c r="J28" s="346">
        <v>1224000</v>
      </c>
      <c r="K28" s="339">
        <v>122400</v>
      </c>
      <c r="L28" s="339">
        <v>1346400</v>
      </c>
      <c r="M28" s="474"/>
      <c r="N28" s="460"/>
      <c r="O28" s="628"/>
      <c r="P28" s="655" t="s">
        <v>726</v>
      </c>
      <c r="Q28" s="313" t="s">
        <v>0</v>
      </c>
      <c r="R28" s="425"/>
      <c r="S28" s="341" t="str">
        <f t="shared" si="1"/>
        <v/>
      </c>
      <c r="T28" s="378"/>
      <c r="U28" s="378"/>
    </row>
    <row r="29" spans="1:21" ht="16.5" customHeight="1" x14ac:dyDescent="0.3">
      <c r="A29" s="420"/>
      <c r="B29" s="427"/>
      <c r="C29" s="143">
        <v>45930</v>
      </c>
      <c r="D29" s="98" t="s">
        <v>815</v>
      </c>
      <c r="E29" s="124" t="s">
        <v>838</v>
      </c>
      <c r="F29" s="385" t="s">
        <v>30</v>
      </c>
      <c r="G29" s="386" t="s">
        <v>753</v>
      </c>
      <c r="H29" s="359">
        <v>1</v>
      </c>
      <c r="I29" s="339">
        <v>12434465</v>
      </c>
      <c r="J29" s="346">
        <v>12434465</v>
      </c>
      <c r="K29" s="339">
        <v>1243446.5</v>
      </c>
      <c r="L29" s="339">
        <v>13677911.5</v>
      </c>
      <c r="M29" s="474"/>
      <c r="N29" s="436"/>
      <c r="O29" s="628"/>
      <c r="P29" s="655" t="s">
        <v>726</v>
      </c>
      <c r="Q29" s="313" t="s">
        <v>0</v>
      </c>
      <c r="R29" s="425"/>
      <c r="S29" s="341" t="str">
        <f t="shared" si="1"/>
        <v/>
      </c>
      <c r="T29" s="378"/>
      <c r="U29" s="378"/>
    </row>
    <row r="30" spans="1:21" ht="16.5" customHeight="1" x14ac:dyDescent="0.3">
      <c r="A30" s="420"/>
      <c r="B30" s="427"/>
      <c r="C30" s="143">
        <v>45930</v>
      </c>
      <c r="D30" s="98" t="s">
        <v>816</v>
      </c>
      <c r="E30" s="385" t="s">
        <v>863</v>
      </c>
      <c r="F30" s="385" t="s">
        <v>30</v>
      </c>
      <c r="G30" s="387" t="s">
        <v>754</v>
      </c>
      <c r="H30" s="571">
        <v>1</v>
      </c>
      <c r="I30" s="347">
        <v>615000</v>
      </c>
      <c r="J30" s="346">
        <v>615000</v>
      </c>
      <c r="K30" s="629">
        <v>61500</v>
      </c>
      <c r="L30" s="339">
        <v>676500</v>
      </c>
      <c r="M30" s="630"/>
      <c r="N30" s="460"/>
      <c r="O30" s="628"/>
      <c r="P30" s="655" t="s">
        <v>726</v>
      </c>
      <c r="Q30" s="107" t="s">
        <v>2</v>
      </c>
      <c r="R30" s="425"/>
      <c r="S30" s="341" t="str">
        <f t="shared" si="1"/>
        <v/>
      </c>
      <c r="T30" s="378"/>
      <c r="U30" s="378"/>
    </row>
    <row r="31" spans="1:21" ht="16.5" customHeight="1" x14ac:dyDescent="0.3">
      <c r="A31" s="420"/>
      <c r="B31" s="427"/>
      <c r="C31" s="143">
        <v>45930</v>
      </c>
      <c r="D31" s="98" t="s">
        <v>815</v>
      </c>
      <c r="E31" s="124" t="s">
        <v>809</v>
      </c>
      <c r="F31" s="385" t="s">
        <v>30</v>
      </c>
      <c r="G31" s="355" t="s">
        <v>755</v>
      </c>
      <c r="H31" s="359">
        <v>1</v>
      </c>
      <c r="I31" s="339">
        <v>40677330</v>
      </c>
      <c r="J31" s="346">
        <v>40677330</v>
      </c>
      <c r="K31" s="339">
        <v>4067733</v>
      </c>
      <c r="L31" s="339">
        <v>44745063</v>
      </c>
      <c r="M31" s="456"/>
      <c r="N31" s="1"/>
      <c r="O31" s="338"/>
      <c r="P31" s="655" t="s">
        <v>726</v>
      </c>
      <c r="Q31" s="313" t="s">
        <v>0</v>
      </c>
      <c r="R31" s="425"/>
      <c r="S31" s="341" t="str">
        <f t="shared" si="1"/>
        <v/>
      </c>
      <c r="T31" s="378"/>
      <c r="U31" s="378"/>
    </row>
    <row r="32" spans="1:21" ht="16.5" customHeight="1" x14ac:dyDescent="0.3">
      <c r="A32" s="420"/>
      <c r="B32" s="427"/>
      <c r="C32" s="143">
        <v>45930</v>
      </c>
      <c r="D32" s="98" t="s">
        <v>811</v>
      </c>
      <c r="E32" s="124" t="s">
        <v>857</v>
      </c>
      <c r="F32" s="124" t="s">
        <v>48</v>
      </c>
      <c r="G32" s="355" t="s">
        <v>756</v>
      </c>
      <c r="H32" s="359">
        <v>1</v>
      </c>
      <c r="I32" s="339">
        <v>2000000</v>
      </c>
      <c r="J32" s="346">
        <v>2000000</v>
      </c>
      <c r="K32" s="339">
        <v>200000</v>
      </c>
      <c r="L32" s="339">
        <v>2200000</v>
      </c>
      <c r="M32" s="456"/>
      <c r="N32" s="1"/>
      <c r="O32" s="338"/>
      <c r="P32" s="655" t="s">
        <v>726</v>
      </c>
      <c r="Q32" s="313" t="s">
        <v>4</v>
      </c>
      <c r="R32" s="425"/>
      <c r="S32" s="341" t="str">
        <f t="shared" si="1"/>
        <v/>
      </c>
      <c r="T32" s="378"/>
      <c r="U32" s="378"/>
    </row>
    <row r="33" spans="1:21" ht="16.5" customHeight="1" x14ac:dyDescent="0.3">
      <c r="A33" s="420"/>
      <c r="B33" s="427"/>
      <c r="C33" s="143">
        <v>45930</v>
      </c>
      <c r="D33" s="98" t="s">
        <v>811</v>
      </c>
      <c r="E33" s="124" t="s">
        <v>857</v>
      </c>
      <c r="F33" s="124" t="s">
        <v>48</v>
      </c>
      <c r="G33" s="355" t="s">
        <v>757</v>
      </c>
      <c r="H33" s="359">
        <v>2</v>
      </c>
      <c r="I33" s="339">
        <v>6700000</v>
      </c>
      <c r="J33" s="346">
        <v>15570000</v>
      </c>
      <c r="K33" s="339">
        <v>1557000</v>
      </c>
      <c r="L33" s="339">
        <v>17127000</v>
      </c>
      <c r="M33" s="456"/>
      <c r="N33" s="435"/>
      <c r="O33" s="338"/>
      <c r="P33" s="655" t="s">
        <v>726</v>
      </c>
      <c r="Q33" s="313" t="s">
        <v>4</v>
      </c>
      <c r="R33" s="425"/>
      <c r="S33" s="341" t="str">
        <f t="shared" si="1"/>
        <v/>
      </c>
      <c r="T33" s="378"/>
      <c r="U33" s="378"/>
    </row>
    <row r="34" spans="1:21" ht="16.5" customHeight="1" x14ac:dyDescent="0.3">
      <c r="A34" s="420"/>
      <c r="B34" s="427"/>
      <c r="C34" s="143">
        <v>45930</v>
      </c>
      <c r="D34" s="98" t="s">
        <v>811</v>
      </c>
      <c r="E34" s="124" t="s">
        <v>852</v>
      </c>
      <c r="F34" s="124" t="s">
        <v>48</v>
      </c>
      <c r="G34" s="355" t="s">
        <v>757</v>
      </c>
      <c r="H34" s="359">
        <v>2</v>
      </c>
      <c r="I34" s="339">
        <v>6700000</v>
      </c>
      <c r="J34" s="346">
        <v>13400000</v>
      </c>
      <c r="K34" s="339">
        <v>1340000</v>
      </c>
      <c r="L34" s="339">
        <v>14740000</v>
      </c>
      <c r="M34" s="456"/>
      <c r="N34" s="1"/>
      <c r="O34" s="338"/>
      <c r="P34" s="655" t="s">
        <v>726</v>
      </c>
      <c r="Q34" s="313" t="s">
        <v>4</v>
      </c>
      <c r="R34" s="425"/>
      <c r="S34" s="341" t="str">
        <f t="shared" si="1"/>
        <v/>
      </c>
      <c r="T34" s="378"/>
      <c r="U34" s="378"/>
    </row>
    <row r="35" spans="1:21" ht="16.5" customHeight="1" x14ac:dyDescent="0.3">
      <c r="A35" s="420"/>
      <c r="B35" s="427"/>
      <c r="C35" s="143">
        <v>45931</v>
      </c>
      <c r="D35" s="98" t="s">
        <v>815</v>
      </c>
      <c r="E35" s="124" t="s">
        <v>864</v>
      </c>
      <c r="F35" s="98" t="s">
        <v>30</v>
      </c>
      <c r="G35" s="387" t="s">
        <v>758</v>
      </c>
      <c r="H35" s="457">
        <v>1</v>
      </c>
      <c r="I35" s="339">
        <v>1600000</v>
      </c>
      <c r="J35" s="346">
        <v>1600000</v>
      </c>
      <c r="K35" s="339">
        <v>160000</v>
      </c>
      <c r="L35" s="339">
        <v>1760000</v>
      </c>
      <c r="M35" s="453"/>
      <c r="N35" s="454"/>
      <c r="O35" s="455"/>
      <c r="P35" s="655" t="s">
        <v>726</v>
      </c>
      <c r="Q35" s="313" t="s">
        <v>0</v>
      </c>
      <c r="R35" s="425"/>
      <c r="S35" s="341" t="str">
        <f t="shared" si="1"/>
        <v/>
      </c>
      <c r="T35" s="378"/>
      <c r="U35" s="378"/>
    </row>
    <row r="36" spans="1:21" ht="16.5" customHeight="1" x14ac:dyDescent="0.3">
      <c r="A36" s="420"/>
      <c r="B36" s="427"/>
      <c r="C36" s="143">
        <v>45931</v>
      </c>
      <c r="D36" s="98" t="s">
        <v>817</v>
      </c>
      <c r="E36" s="124" t="s">
        <v>838</v>
      </c>
      <c r="F36" s="98" t="s">
        <v>30</v>
      </c>
      <c r="G36" s="410" t="s">
        <v>759</v>
      </c>
      <c r="H36" s="631">
        <v>1</v>
      </c>
      <c r="I36" s="388">
        <v>1233000</v>
      </c>
      <c r="J36" s="326">
        <v>1233000</v>
      </c>
      <c r="K36" s="351">
        <v>123300</v>
      </c>
      <c r="L36" s="351">
        <v>1356300</v>
      </c>
      <c r="M36" s="453"/>
      <c r="N36" s="389"/>
      <c r="O36" s="632"/>
      <c r="P36" s="569" t="s">
        <v>726</v>
      </c>
      <c r="Q36" s="311" t="s">
        <v>0</v>
      </c>
      <c r="R36" s="425"/>
      <c r="S36" s="341" t="str">
        <f t="shared" si="1"/>
        <v/>
      </c>
      <c r="T36" s="378"/>
      <c r="U36" s="378"/>
    </row>
    <row r="37" spans="1:21" ht="16.5" customHeight="1" x14ac:dyDescent="0.3">
      <c r="A37" s="420"/>
      <c r="B37" s="427"/>
      <c r="C37" s="143">
        <v>45932</v>
      </c>
      <c r="D37" s="98" t="s">
        <v>816</v>
      </c>
      <c r="E37" s="124" t="s">
        <v>852</v>
      </c>
      <c r="F37" s="124" t="s">
        <v>30</v>
      </c>
      <c r="G37" s="355" t="s">
        <v>760</v>
      </c>
      <c r="H37" s="359">
        <v>1</v>
      </c>
      <c r="I37" s="339">
        <v>8534000</v>
      </c>
      <c r="J37" s="346">
        <v>8534000</v>
      </c>
      <c r="K37" s="339">
        <v>853400</v>
      </c>
      <c r="L37" s="339">
        <v>9387400</v>
      </c>
      <c r="M37" s="458"/>
      <c r="N37" s="459"/>
      <c r="O37" s="338"/>
      <c r="P37" s="655" t="s">
        <v>726</v>
      </c>
      <c r="Q37" s="313" t="s">
        <v>0</v>
      </c>
      <c r="R37" s="425"/>
      <c r="S37" s="341" t="str">
        <f t="shared" si="1"/>
        <v/>
      </c>
      <c r="T37" s="378"/>
      <c r="U37" s="378"/>
    </row>
    <row r="38" spans="1:21" ht="16.5" customHeight="1" x14ac:dyDescent="0.3">
      <c r="A38" s="420"/>
      <c r="B38" s="427"/>
      <c r="C38" s="143">
        <v>45940</v>
      </c>
      <c r="D38" s="98" t="s">
        <v>818</v>
      </c>
      <c r="E38" s="124" t="s">
        <v>852</v>
      </c>
      <c r="F38" s="98" t="s">
        <v>30</v>
      </c>
      <c r="G38" s="355" t="s">
        <v>761</v>
      </c>
      <c r="H38" s="457">
        <v>1</v>
      </c>
      <c r="I38" s="339">
        <v>1100000</v>
      </c>
      <c r="J38" s="346">
        <v>1100000</v>
      </c>
      <c r="K38" s="339">
        <v>110000</v>
      </c>
      <c r="L38" s="339">
        <v>1210000</v>
      </c>
      <c r="M38" s="456"/>
      <c r="N38" s="1"/>
      <c r="O38" s="338"/>
      <c r="P38" s="569" t="s">
        <v>726</v>
      </c>
      <c r="Q38" s="311" t="s">
        <v>2</v>
      </c>
      <c r="R38" s="425"/>
      <c r="S38" s="341" t="str">
        <f t="shared" si="1"/>
        <v/>
      </c>
      <c r="T38" s="378"/>
      <c r="U38" s="378"/>
    </row>
    <row r="39" spans="1:21" ht="16.5" customHeight="1" x14ac:dyDescent="0.3">
      <c r="A39" s="420"/>
      <c r="B39" s="427"/>
      <c r="C39" s="143">
        <v>45946</v>
      </c>
      <c r="D39" s="98" t="s">
        <v>818</v>
      </c>
      <c r="E39" s="124" t="s">
        <v>827</v>
      </c>
      <c r="F39" s="124" t="s">
        <v>48</v>
      </c>
      <c r="G39" s="355" t="s">
        <v>763</v>
      </c>
      <c r="H39" s="359">
        <v>1</v>
      </c>
      <c r="I39" s="339">
        <v>1610000</v>
      </c>
      <c r="J39" s="346">
        <v>1610000</v>
      </c>
      <c r="K39" s="339">
        <v>161000</v>
      </c>
      <c r="L39" s="339">
        <v>1771000</v>
      </c>
      <c r="M39" s="456"/>
      <c r="N39" s="1"/>
      <c r="O39" s="338"/>
      <c r="P39" s="655" t="s">
        <v>726</v>
      </c>
      <c r="Q39" s="313" t="s">
        <v>2</v>
      </c>
      <c r="R39" s="425"/>
      <c r="S39" s="341" t="str">
        <f t="shared" si="1"/>
        <v/>
      </c>
      <c r="T39" s="378"/>
      <c r="U39" s="378"/>
    </row>
    <row r="40" spans="1:21" ht="16.5" customHeight="1" x14ac:dyDescent="0.3">
      <c r="A40" s="420"/>
      <c r="B40" s="427"/>
      <c r="C40" s="143">
        <v>45947</v>
      </c>
      <c r="D40" s="98" t="s">
        <v>818</v>
      </c>
      <c r="E40" s="124" t="s">
        <v>827</v>
      </c>
      <c r="F40" s="124" t="s">
        <v>48</v>
      </c>
      <c r="G40" s="355" t="s">
        <v>764</v>
      </c>
      <c r="H40" s="359">
        <v>1</v>
      </c>
      <c r="I40" s="339">
        <v>50000000</v>
      </c>
      <c r="J40" s="346">
        <v>50000000</v>
      </c>
      <c r="K40" s="339">
        <v>5000000</v>
      </c>
      <c r="L40" s="339">
        <v>55000000</v>
      </c>
      <c r="M40" s="456"/>
      <c r="N40" s="1"/>
      <c r="O40" s="338"/>
      <c r="P40" s="655" t="s">
        <v>726</v>
      </c>
      <c r="Q40" s="313" t="s">
        <v>2</v>
      </c>
      <c r="R40" s="425"/>
      <c r="S40" s="341" t="str">
        <f t="shared" si="1"/>
        <v/>
      </c>
      <c r="T40" s="378"/>
      <c r="U40" s="378"/>
    </row>
    <row r="41" spans="1:21" ht="16.5" customHeight="1" x14ac:dyDescent="0.3">
      <c r="A41" s="420"/>
      <c r="B41" s="427"/>
      <c r="C41" s="605">
        <v>45950</v>
      </c>
      <c r="D41" s="633" t="s">
        <v>819</v>
      </c>
      <c r="E41" s="608" t="s">
        <v>852</v>
      </c>
      <c r="F41" s="634" t="s">
        <v>30</v>
      </c>
      <c r="G41" s="627" t="s">
        <v>765</v>
      </c>
      <c r="H41" s="635">
        <v>1</v>
      </c>
      <c r="I41" s="615">
        <v>950000</v>
      </c>
      <c r="J41" s="615">
        <v>950000</v>
      </c>
      <c r="K41" s="616">
        <v>95000</v>
      </c>
      <c r="L41" s="616">
        <v>1045000</v>
      </c>
      <c r="M41" s="363"/>
      <c r="N41" s="389"/>
      <c r="O41" s="455"/>
      <c r="P41" s="569" t="s">
        <v>726</v>
      </c>
      <c r="Q41" s="107" t="s">
        <v>2</v>
      </c>
      <c r="R41" s="425"/>
      <c r="S41" s="341" t="str">
        <f t="shared" si="1"/>
        <v/>
      </c>
      <c r="T41" s="378"/>
      <c r="U41" s="378"/>
    </row>
    <row r="42" spans="1:21" ht="16.5" customHeight="1" x14ac:dyDescent="0.3">
      <c r="A42" s="420"/>
      <c r="B42" s="427"/>
      <c r="C42" s="605">
        <v>45950</v>
      </c>
      <c r="D42" s="636" t="s">
        <v>820</v>
      </c>
      <c r="E42" s="608" t="s">
        <v>852</v>
      </c>
      <c r="F42" s="634" t="s">
        <v>30</v>
      </c>
      <c r="G42" s="627" t="s">
        <v>766</v>
      </c>
      <c r="H42" s="635">
        <v>1</v>
      </c>
      <c r="I42" s="615">
        <v>1505000</v>
      </c>
      <c r="J42" s="615">
        <v>1505000</v>
      </c>
      <c r="K42" s="616">
        <v>150500</v>
      </c>
      <c r="L42" s="616">
        <v>1655500</v>
      </c>
      <c r="M42" s="453"/>
      <c r="N42" s="460"/>
      <c r="O42" s="455"/>
      <c r="P42" s="569" t="s">
        <v>726</v>
      </c>
      <c r="Q42" s="107" t="s">
        <v>2</v>
      </c>
      <c r="R42" s="425"/>
      <c r="S42" s="341" t="str">
        <f t="shared" si="1"/>
        <v/>
      </c>
      <c r="T42" s="378"/>
      <c r="U42" s="378"/>
    </row>
    <row r="43" spans="1:21" ht="16.5" customHeight="1" x14ac:dyDescent="0.3">
      <c r="A43" s="420"/>
      <c r="B43" s="427"/>
      <c r="C43" s="143">
        <v>45955</v>
      </c>
      <c r="D43" s="356" t="s">
        <v>821</v>
      </c>
      <c r="E43" s="394" t="s">
        <v>865</v>
      </c>
      <c r="F43" s="385" t="s">
        <v>30</v>
      </c>
      <c r="G43" s="386" t="s">
        <v>767</v>
      </c>
      <c r="H43" s="360">
        <v>1</v>
      </c>
      <c r="I43" s="346">
        <v>320000</v>
      </c>
      <c r="J43" s="346">
        <v>320000</v>
      </c>
      <c r="K43" s="339">
        <v>32000</v>
      </c>
      <c r="L43" s="339">
        <v>352000</v>
      </c>
      <c r="M43" s="376"/>
      <c r="N43" s="393"/>
      <c r="O43" s="455"/>
      <c r="P43" s="569" t="s">
        <v>726</v>
      </c>
      <c r="Q43" s="107" t="s">
        <v>9</v>
      </c>
      <c r="R43" s="425"/>
      <c r="S43" s="341" t="str">
        <f t="shared" si="1"/>
        <v/>
      </c>
      <c r="T43" s="378"/>
      <c r="U43" s="378"/>
    </row>
    <row r="44" spans="1:21" ht="16.5" customHeight="1" x14ac:dyDescent="0.3">
      <c r="A44" s="420"/>
      <c r="B44" s="427"/>
      <c r="C44" s="143">
        <v>45955</v>
      </c>
      <c r="D44" s="356" t="s">
        <v>822</v>
      </c>
      <c r="E44" s="358" t="s">
        <v>866</v>
      </c>
      <c r="F44" s="385" t="s">
        <v>30</v>
      </c>
      <c r="G44" s="387" t="s">
        <v>768</v>
      </c>
      <c r="H44" s="461">
        <v>1</v>
      </c>
      <c r="I44" s="349">
        <v>350000</v>
      </c>
      <c r="J44" s="346">
        <v>350000</v>
      </c>
      <c r="K44" s="339">
        <v>35000</v>
      </c>
      <c r="L44" s="339">
        <v>385000</v>
      </c>
      <c r="M44" s="453"/>
      <c r="N44" s="460"/>
      <c r="O44" s="455"/>
      <c r="P44" s="569" t="s">
        <v>726</v>
      </c>
      <c r="Q44" s="313" t="s">
        <v>0</v>
      </c>
      <c r="R44" s="425"/>
      <c r="S44" s="341" t="str">
        <f t="shared" si="1"/>
        <v/>
      </c>
      <c r="T44" s="378"/>
      <c r="U44" s="378"/>
    </row>
    <row r="45" spans="1:21" ht="16.5" customHeight="1" x14ac:dyDescent="0.3">
      <c r="A45" s="420"/>
      <c r="B45" s="427"/>
      <c r="C45" s="143">
        <v>45955</v>
      </c>
      <c r="D45" s="356" t="s">
        <v>822</v>
      </c>
      <c r="E45" s="358" t="s">
        <v>818</v>
      </c>
      <c r="F45" s="385" t="s">
        <v>30</v>
      </c>
      <c r="G45" s="387" t="s">
        <v>769</v>
      </c>
      <c r="H45" s="461">
        <v>1</v>
      </c>
      <c r="I45" s="349">
        <v>1269000</v>
      </c>
      <c r="J45" s="346">
        <v>1269000</v>
      </c>
      <c r="K45" s="339">
        <v>126900</v>
      </c>
      <c r="L45" s="339">
        <v>1395900</v>
      </c>
      <c r="M45" s="364"/>
      <c r="N45" s="392"/>
      <c r="O45" s="455"/>
      <c r="P45" s="569" t="s">
        <v>726</v>
      </c>
      <c r="Q45" s="313" t="s">
        <v>0</v>
      </c>
      <c r="R45" s="425"/>
      <c r="S45" s="341" t="str">
        <f t="shared" si="1"/>
        <v/>
      </c>
      <c r="T45" s="378"/>
      <c r="U45" s="378"/>
    </row>
    <row r="46" spans="1:21" ht="16.5" customHeight="1" x14ac:dyDescent="0.3">
      <c r="A46" s="420"/>
      <c r="B46" s="427"/>
      <c r="C46" s="143">
        <v>45955</v>
      </c>
      <c r="D46" s="356" t="s">
        <v>822</v>
      </c>
      <c r="E46" s="358" t="s">
        <v>867</v>
      </c>
      <c r="F46" s="385" t="s">
        <v>30</v>
      </c>
      <c r="G46" s="387" t="s">
        <v>765</v>
      </c>
      <c r="H46" s="461">
        <v>1</v>
      </c>
      <c r="I46" s="349">
        <v>70000</v>
      </c>
      <c r="J46" s="346">
        <v>70000</v>
      </c>
      <c r="K46" s="339">
        <v>7000</v>
      </c>
      <c r="L46" s="339">
        <v>77000</v>
      </c>
      <c r="M46" s="462"/>
      <c r="N46" s="454"/>
      <c r="O46" s="455"/>
      <c r="P46" s="569" t="s">
        <v>726</v>
      </c>
      <c r="Q46" s="313" t="s">
        <v>0</v>
      </c>
      <c r="R46" s="425"/>
      <c r="S46" s="341" t="str">
        <f t="shared" si="1"/>
        <v/>
      </c>
      <c r="T46" s="378"/>
      <c r="U46" s="378"/>
    </row>
    <row r="47" spans="1:21" ht="16.5" customHeight="1" x14ac:dyDescent="0.3">
      <c r="A47" s="420"/>
      <c r="B47" s="427"/>
      <c r="C47" s="143">
        <v>45955</v>
      </c>
      <c r="D47" s="356" t="s">
        <v>822</v>
      </c>
      <c r="E47" s="358" t="s">
        <v>818</v>
      </c>
      <c r="F47" s="385" t="s">
        <v>30</v>
      </c>
      <c r="G47" s="387" t="s">
        <v>765</v>
      </c>
      <c r="H47" s="461">
        <v>1</v>
      </c>
      <c r="I47" s="349">
        <v>120000</v>
      </c>
      <c r="J47" s="346">
        <v>120000</v>
      </c>
      <c r="K47" s="339">
        <v>12000</v>
      </c>
      <c r="L47" s="339">
        <v>132000</v>
      </c>
      <c r="M47" s="462"/>
      <c r="N47" s="454"/>
      <c r="O47" s="455"/>
      <c r="P47" s="569" t="s">
        <v>726</v>
      </c>
      <c r="Q47" s="313" t="s">
        <v>0</v>
      </c>
      <c r="R47" s="425"/>
      <c r="S47" s="341" t="str">
        <f t="shared" si="1"/>
        <v/>
      </c>
      <c r="T47" s="378"/>
      <c r="U47" s="378"/>
    </row>
    <row r="48" spans="1:21" ht="16.5" customHeight="1" x14ac:dyDescent="0.3">
      <c r="A48" s="420"/>
      <c r="B48" s="427"/>
      <c r="C48" s="143">
        <v>45955</v>
      </c>
      <c r="D48" s="98" t="s">
        <v>822</v>
      </c>
      <c r="E48" s="124" t="s">
        <v>868</v>
      </c>
      <c r="F48" s="124" t="s">
        <v>30</v>
      </c>
      <c r="G48" s="387" t="s">
        <v>770</v>
      </c>
      <c r="H48" s="359">
        <v>1</v>
      </c>
      <c r="I48" s="339">
        <v>285000</v>
      </c>
      <c r="J48" s="346">
        <v>285000</v>
      </c>
      <c r="K48" s="339">
        <v>28500</v>
      </c>
      <c r="L48" s="339">
        <v>313500</v>
      </c>
      <c r="M48" s="456"/>
      <c r="N48" s="1"/>
      <c r="O48" s="338"/>
      <c r="P48" s="569" t="s">
        <v>726</v>
      </c>
      <c r="Q48" s="313" t="s">
        <v>0</v>
      </c>
      <c r="R48" s="425"/>
      <c r="S48" s="341" t="str">
        <f t="shared" si="1"/>
        <v/>
      </c>
      <c r="T48" s="378"/>
      <c r="U48" s="378"/>
    </row>
    <row r="49" spans="1:21" ht="16.5" customHeight="1" x14ac:dyDescent="0.3">
      <c r="A49" s="420"/>
      <c r="B49" s="427"/>
      <c r="C49" s="143">
        <v>45955</v>
      </c>
      <c r="D49" s="356" t="s">
        <v>823</v>
      </c>
      <c r="E49" s="356" t="s">
        <v>869</v>
      </c>
      <c r="F49" s="385" t="s">
        <v>30</v>
      </c>
      <c r="G49" s="386" t="s">
        <v>768</v>
      </c>
      <c r="H49" s="360">
        <v>1</v>
      </c>
      <c r="I49" s="346">
        <v>500000</v>
      </c>
      <c r="J49" s="346">
        <v>500000</v>
      </c>
      <c r="K49" s="339">
        <v>50000</v>
      </c>
      <c r="L49" s="339">
        <v>550000</v>
      </c>
      <c r="M49" s="453"/>
      <c r="N49" s="460"/>
      <c r="O49" s="455"/>
      <c r="P49" s="569" t="s">
        <v>726</v>
      </c>
      <c r="Q49" s="107" t="s">
        <v>0</v>
      </c>
      <c r="R49" s="425"/>
      <c r="S49" s="341" t="str">
        <f t="shared" si="1"/>
        <v/>
      </c>
      <c r="T49" s="378"/>
      <c r="U49" s="378"/>
    </row>
    <row r="50" spans="1:21" ht="16.5" customHeight="1" x14ac:dyDescent="0.3">
      <c r="A50" s="420"/>
      <c r="B50" s="427"/>
      <c r="C50" s="143">
        <v>45957</v>
      </c>
      <c r="D50" s="98" t="s">
        <v>818</v>
      </c>
      <c r="E50" s="124" t="s">
        <v>870</v>
      </c>
      <c r="F50" s="124" t="s">
        <v>48</v>
      </c>
      <c r="G50" s="355" t="s">
        <v>772</v>
      </c>
      <c r="H50" s="359">
        <v>2</v>
      </c>
      <c r="I50" s="339">
        <v>380000</v>
      </c>
      <c r="J50" s="346">
        <v>760000</v>
      </c>
      <c r="K50" s="339">
        <v>76000</v>
      </c>
      <c r="L50" s="339">
        <v>836000</v>
      </c>
      <c r="M50" s="456"/>
      <c r="N50" s="1"/>
      <c r="O50" s="338"/>
      <c r="P50" s="655" t="s">
        <v>726</v>
      </c>
      <c r="Q50" s="313" t="s">
        <v>2</v>
      </c>
      <c r="R50" s="425"/>
      <c r="S50" s="341" t="str">
        <f t="shared" si="1"/>
        <v/>
      </c>
      <c r="T50" s="378"/>
      <c r="U50" s="378"/>
    </row>
    <row r="51" spans="1:21" ht="16.5" customHeight="1" x14ac:dyDescent="0.3">
      <c r="A51" s="420"/>
      <c r="B51" s="427"/>
      <c r="C51" s="143">
        <v>45960</v>
      </c>
      <c r="D51" s="98" t="s">
        <v>822</v>
      </c>
      <c r="E51" s="124" t="s">
        <v>852</v>
      </c>
      <c r="F51" s="124" t="s">
        <v>48</v>
      </c>
      <c r="G51" s="355" t="s">
        <v>774</v>
      </c>
      <c r="H51" s="359">
        <v>5</v>
      </c>
      <c r="I51" s="339">
        <v>1245000</v>
      </c>
      <c r="J51" s="346">
        <v>6550000</v>
      </c>
      <c r="K51" s="339">
        <v>655000</v>
      </c>
      <c r="L51" s="339">
        <v>7205000</v>
      </c>
      <c r="M51" s="456"/>
      <c r="N51" s="1"/>
      <c r="O51" s="338"/>
      <c r="P51" s="655" t="s">
        <v>726</v>
      </c>
      <c r="Q51" s="313" t="s">
        <v>4</v>
      </c>
      <c r="R51" s="425"/>
      <c r="S51" s="341" t="str">
        <f t="shared" si="1"/>
        <v/>
      </c>
      <c r="T51" s="378"/>
      <c r="U51" s="378"/>
    </row>
    <row r="52" spans="1:21" ht="16.5" customHeight="1" x14ac:dyDescent="0.3">
      <c r="A52" s="420"/>
      <c r="B52" s="427"/>
      <c r="C52" s="143">
        <v>45960</v>
      </c>
      <c r="D52" s="98" t="s">
        <v>824</v>
      </c>
      <c r="E52" s="124" t="s">
        <v>852</v>
      </c>
      <c r="F52" s="124" t="s">
        <v>48</v>
      </c>
      <c r="G52" s="355" t="s">
        <v>776</v>
      </c>
      <c r="H52" s="359">
        <v>1</v>
      </c>
      <c r="I52" s="339">
        <v>220000</v>
      </c>
      <c r="J52" s="346">
        <v>220000</v>
      </c>
      <c r="K52" s="339">
        <v>22000</v>
      </c>
      <c r="L52" s="339">
        <v>242000</v>
      </c>
      <c r="M52" s="456"/>
      <c r="N52" s="1"/>
      <c r="O52" s="338"/>
      <c r="P52" s="655" t="s">
        <v>726</v>
      </c>
      <c r="Q52" s="313" t="s">
        <v>4</v>
      </c>
      <c r="R52" s="425"/>
      <c r="S52" s="341" t="str">
        <f t="shared" si="1"/>
        <v/>
      </c>
      <c r="T52" s="378"/>
      <c r="U52" s="378"/>
    </row>
    <row r="53" spans="1:21" ht="16.5" customHeight="1" x14ac:dyDescent="0.3">
      <c r="A53" s="420"/>
      <c r="B53" s="427"/>
      <c r="C53" s="143">
        <v>45960</v>
      </c>
      <c r="D53" s="98" t="s">
        <v>825</v>
      </c>
      <c r="E53" s="358" t="s">
        <v>871</v>
      </c>
      <c r="F53" s="124" t="s">
        <v>48</v>
      </c>
      <c r="G53" s="355" t="s">
        <v>778</v>
      </c>
      <c r="H53" s="359">
        <v>1</v>
      </c>
      <c r="I53" s="339">
        <v>230000</v>
      </c>
      <c r="J53" s="346">
        <v>230000</v>
      </c>
      <c r="K53" s="339">
        <v>23000</v>
      </c>
      <c r="L53" s="339">
        <v>253000</v>
      </c>
      <c r="M53" s="456"/>
      <c r="N53" s="1"/>
      <c r="O53" s="338"/>
      <c r="P53" s="655" t="s">
        <v>726</v>
      </c>
      <c r="Q53" s="313" t="s">
        <v>4</v>
      </c>
      <c r="R53" s="425"/>
      <c r="S53" s="341" t="str">
        <f t="shared" si="1"/>
        <v/>
      </c>
      <c r="T53" s="378"/>
      <c r="U53" s="378"/>
    </row>
    <row r="54" spans="1:21" ht="16.5" customHeight="1" x14ac:dyDescent="0.3">
      <c r="A54" s="420"/>
      <c r="B54" s="427"/>
      <c r="C54" s="451">
        <v>45961</v>
      </c>
      <c r="D54" s="599" t="s">
        <v>809</v>
      </c>
      <c r="E54" s="591" t="s">
        <v>850</v>
      </c>
      <c r="F54" s="452" t="s">
        <v>716</v>
      </c>
      <c r="G54" s="602" t="s">
        <v>779</v>
      </c>
      <c r="H54" s="592">
        <v>1</v>
      </c>
      <c r="I54" s="659">
        <v>550000</v>
      </c>
      <c r="J54" s="660">
        <v>550000</v>
      </c>
      <c r="K54" s="659">
        <v>55000</v>
      </c>
      <c r="L54" s="659">
        <v>605000</v>
      </c>
      <c r="M54" s="593"/>
      <c r="N54" s="594"/>
      <c r="O54" s="338"/>
      <c r="P54" s="593">
        <v>45968</v>
      </c>
      <c r="Q54" s="594" t="s">
        <v>718</v>
      </c>
      <c r="R54" s="425"/>
      <c r="S54" s="341" t="str">
        <f t="shared" si="1"/>
        <v/>
      </c>
      <c r="T54" s="378"/>
      <c r="U54" s="378"/>
    </row>
    <row r="55" spans="1:21" ht="16.5" customHeight="1" x14ac:dyDescent="0.3">
      <c r="A55" s="420"/>
      <c r="B55" s="427"/>
      <c r="C55" s="143">
        <v>45961</v>
      </c>
      <c r="D55" s="356" t="s">
        <v>826</v>
      </c>
      <c r="E55" s="356" t="s">
        <v>872</v>
      </c>
      <c r="F55" s="98" t="s">
        <v>30</v>
      </c>
      <c r="G55" s="386" t="s">
        <v>780</v>
      </c>
      <c r="H55" s="348">
        <v>1</v>
      </c>
      <c r="I55" s="349">
        <v>11178000</v>
      </c>
      <c r="J55" s="346">
        <v>11178000</v>
      </c>
      <c r="K55" s="339">
        <v>1117800</v>
      </c>
      <c r="L55" s="339">
        <v>12295800</v>
      </c>
      <c r="M55" s="462"/>
      <c r="N55" s="1"/>
      <c r="O55" s="455"/>
      <c r="P55" s="569" t="s">
        <v>726</v>
      </c>
      <c r="Q55" s="313" t="s">
        <v>0</v>
      </c>
      <c r="R55" s="425"/>
      <c r="S55" s="341" t="str">
        <f t="shared" si="1"/>
        <v/>
      </c>
      <c r="T55" s="378"/>
      <c r="U55" s="378"/>
    </row>
    <row r="56" spans="1:21" ht="16.5" customHeight="1" x14ac:dyDescent="0.3">
      <c r="A56" s="420"/>
      <c r="B56" s="427"/>
      <c r="C56" s="143">
        <v>45961</v>
      </c>
      <c r="D56" s="356" t="s">
        <v>826</v>
      </c>
      <c r="E56" s="394" t="s">
        <v>824</v>
      </c>
      <c r="F56" s="385" t="s">
        <v>30</v>
      </c>
      <c r="G56" s="387" t="s">
        <v>769</v>
      </c>
      <c r="H56" s="360">
        <v>1</v>
      </c>
      <c r="I56" s="339">
        <v>585000</v>
      </c>
      <c r="J56" s="346">
        <v>585000</v>
      </c>
      <c r="K56" s="339">
        <v>58500</v>
      </c>
      <c r="L56" s="339">
        <v>643500</v>
      </c>
      <c r="M56" s="453"/>
      <c r="N56" s="1"/>
      <c r="O56" s="455"/>
      <c r="P56" s="569" t="s">
        <v>726</v>
      </c>
      <c r="Q56" s="107" t="s">
        <v>0</v>
      </c>
      <c r="R56" s="425"/>
      <c r="S56" s="341" t="str">
        <f t="shared" si="1"/>
        <v/>
      </c>
      <c r="T56" s="378"/>
      <c r="U56" s="378"/>
    </row>
    <row r="57" spans="1:21" ht="16.5" customHeight="1" x14ac:dyDescent="0.3">
      <c r="A57" s="420"/>
      <c r="B57" s="427"/>
      <c r="C57" s="143">
        <v>45961</v>
      </c>
      <c r="D57" s="356" t="s">
        <v>817</v>
      </c>
      <c r="E57" s="394" t="s">
        <v>873</v>
      </c>
      <c r="F57" s="385" t="s">
        <v>30</v>
      </c>
      <c r="G57" s="386" t="s">
        <v>781</v>
      </c>
      <c r="H57" s="571">
        <v>1</v>
      </c>
      <c r="I57" s="347">
        <v>180000</v>
      </c>
      <c r="J57" s="346">
        <v>180000</v>
      </c>
      <c r="K57" s="339">
        <v>18000</v>
      </c>
      <c r="L57" s="339">
        <v>198000</v>
      </c>
      <c r="M57" s="453"/>
      <c r="N57" s="460"/>
      <c r="O57" s="455"/>
      <c r="P57" s="569" t="s">
        <v>726</v>
      </c>
      <c r="Q57" s="107" t="s">
        <v>0</v>
      </c>
      <c r="R57" s="425"/>
      <c r="S57" s="341" t="str">
        <f t="shared" si="1"/>
        <v/>
      </c>
      <c r="T57" s="378"/>
      <c r="U57" s="378"/>
    </row>
    <row r="58" spans="1:21" ht="16.5" customHeight="1" x14ac:dyDescent="0.3">
      <c r="A58" s="420"/>
      <c r="B58" s="427"/>
      <c r="C58" s="143">
        <v>45961</v>
      </c>
      <c r="D58" s="356" t="s">
        <v>817</v>
      </c>
      <c r="E58" s="394" t="s">
        <v>874</v>
      </c>
      <c r="F58" s="385" t="s">
        <v>30</v>
      </c>
      <c r="G58" s="386" t="s">
        <v>781</v>
      </c>
      <c r="H58" s="571">
        <v>1</v>
      </c>
      <c r="I58" s="347">
        <v>240000</v>
      </c>
      <c r="J58" s="346">
        <v>240000</v>
      </c>
      <c r="K58" s="339">
        <v>24000</v>
      </c>
      <c r="L58" s="339">
        <v>264000</v>
      </c>
      <c r="M58" s="453"/>
      <c r="N58" s="460"/>
      <c r="O58" s="455"/>
      <c r="P58" s="569" t="s">
        <v>726</v>
      </c>
      <c r="Q58" s="107" t="s">
        <v>0</v>
      </c>
      <c r="R58" s="425"/>
      <c r="S58" s="341" t="str">
        <f t="shared" si="1"/>
        <v/>
      </c>
      <c r="T58" s="378"/>
      <c r="U58" s="378"/>
    </row>
    <row r="59" spans="1:21" ht="16.5" customHeight="1" x14ac:dyDescent="0.3">
      <c r="A59" s="420"/>
      <c r="B59" s="427"/>
      <c r="C59" s="143">
        <v>45961</v>
      </c>
      <c r="D59" s="356" t="s">
        <v>827</v>
      </c>
      <c r="E59" s="358" t="s">
        <v>819</v>
      </c>
      <c r="F59" s="124" t="s">
        <v>30</v>
      </c>
      <c r="G59" s="386" t="s">
        <v>782</v>
      </c>
      <c r="H59" s="359">
        <v>1</v>
      </c>
      <c r="I59" s="339">
        <v>8490300</v>
      </c>
      <c r="J59" s="346">
        <v>8490300</v>
      </c>
      <c r="K59" s="339">
        <v>849030</v>
      </c>
      <c r="L59" s="339">
        <v>9339330</v>
      </c>
      <c r="M59" s="462"/>
      <c r="N59" s="435"/>
      <c r="O59" s="455"/>
      <c r="P59" s="569" t="s">
        <v>726</v>
      </c>
      <c r="Q59" s="313" t="s">
        <v>0</v>
      </c>
      <c r="R59" s="425"/>
      <c r="S59" s="341" t="str">
        <f t="shared" si="1"/>
        <v/>
      </c>
      <c r="T59" s="378"/>
      <c r="U59" s="378"/>
    </row>
    <row r="60" spans="1:21" ht="16.5" customHeight="1" x14ac:dyDescent="0.3">
      <c r="A60" s="420"/>
      <c r="B60" s="427"/>
      <c r="C60" s="143">
        <v>45961</v>
      </c>
      <c r="D60" s="356" t="s">
        <v>828</v>
      </c>
      <c r="E60" s="358" t="s">
        <v>852</v>
      </c>
      <c r="F60" s="385" t="s">
        <v>30</v>
      </c>
      <c r="G60" s="386" t="s">
        <v>783</v>
      </c>
      <c r="H60" s="359">
        <v>1</v>
      </c>
      <c r="I60" s="339">
        <v>3916667</v>
      </c>
      <c r="J60" s="346">
        <v>3916667</v>
      </c>
      <c r="K60" s="339">
        <v>391667</v>
      </c>
      <c r="L60" s="339">
        <v>4308334</v>
      </c>
      <c r="M60" s="462"/>
      <c r="N60" s="463"/>
      <c r="O60" s="455"/>
      <c r="P60" s="569" t="s">
        <v>726</v>
      </c>
      <c r="Q60" s="313" t="s">
        <v>4</v>
      </c>
      <c r="R60" s="425"/>
      <c r="S60" s="341" t="str">
        <f t="shared" si="1"/>
        <v/>
      </c>
      <c r="T60" s="378"/>
      <c r="U60" s="378"/>
    </row>
    <row r="61" spans="1:21" ht="16.5" customHeight="1" x14ac:dyDescent="0.3">
      <c r="A61" s="420"/>
      <c r="B61" s="427"/>
      <c r="C61" s="143">
        <v>45961</v>
      </c>
      <c r="D61" s="356" t="s">
        <v>829</v>
      </c>
      <c r="E61" s="358" t="s">
        <v>875</v>
      </c>
      <c r="F61" s="124" t="s">
        <v>30</v>
      </c>
      <c r="G61" s="386" t="s">
        <v>784</v>
      </c>
      <c r="H61" s="359">
        <v>1</v>
      </c>
      <c r="I61" s="339">
        <v>207000</v>
      </c>
      <c r="J61" s="346">
        <v>207000</v>
      </c>
      <c r="K61" s="339">
        <v>20700</v>
      </c>
      <c r="L61" s="339">
        <v>227700</v>
      </c>
      <c r="M61" s="462"/>
      <c r="N61" s="460"/>
      <c r="O61" s="455"/>
      <c r="P61" s="569" t="s">
        <v>726</v>
      </c>
      <c r="Q61" s="313" t="s">
        <v>0</v>
      </c>
      <c r="R61" s="425"/>
      <c r="S61" s="341" t="str">
        <f t="shared" si="1"/>
        <v/>
      </c>
      <c r="T61" s="378"/>
      <c r="U61" s="378"/>
    </row>
    <row r="62" spans="1:21" ht="16.5" customHeight="1" x14ac:dyDescent="0.3">
      <c r="A62" s="420"/>
      <c r="B62" s="427"/>
      <c r="C62" s="143">
        <v>45961</v>
      </c>
      <c r="D62" s="356" t="s">
        <v>821</v>
      </c>
      <c r="E62" s="358" t="s">
        <v>838</v>
      </c>
      <c r="F62" s="124" t="s">
        <v>30</v>
      </c>
      <c r="G62" s="391" t="s">
        <v>785</v>
      </c>
      <c r="H62" s="359">
        <v>1</v>
      </c>
      <c r="I62" s="339">
        <v>155000</v>
      </c>
      <c r="J62" s="346">
        <v>155000</v>
      </c>
      <c r="K62" s="339">
        <v>15500</v>
      </c>
      <c r="L62" s="339">
        <v>170500</v>
      </c>
      <c r="M62" s="453"/>
      <c r="N62" s="460"/>
      <c r="O62" s="455"/>
      <c r="P62" s="569" t="s">
        <v>726</v>
      </c>
      <c r="Q62" s="311" t="s">
        <v>2</v>
      </c>
      <c r="R62" s="425"/>
      <c r="S62" s="341" t="str">
        <f t="shared" si="1"/>
        <v/>
      </c>
      <c r="T62" s="378"/>
      <c r="U62" s="378"/>
    </row>
    <row r="63" spans="1:21" ht="16.5" customHeight="1" x14ac:dyDescent="0.3">
      <c r="A63" s="420"/>
      <c r="B63" s="427"/>
      <c r="C63" s="143">
        <v>45961</v>
      </c>
      <c r="D63" s="356" t="s">
        <v>830</v>
      </c>
      <c r="E63" s="358" t="s">
        <v>824</v>
      </c>
      <c r="F63" s="385" t="s">
        <v>30</v>
      </c>
      <c r="G63" s="355" t="s">
        <v>786</v>
      </c>
      <c r="H63" s="359">
        <v>1</v>
      </c>
      <c r="I63" s="339">
        <v>13057800</v>
      </c>
      <c r="J63" s="346">
        <v>13057800</v>
      </c>
      <c r="K63" s="339">
        <v>1305780</v>
      </c>
      <c r="L63" s="339">
        <v>14363580</v>
      </c>
      <c r="M63" s="456"/>
      <c r="N63" s="1"/>
      <c r="O63" s="628"/>
      <c r="P63" s="569" t="s">
        <v>726</v>
      </c>
      <c r="Q63" s="311" t="s">
        <v>0</v>
      </c>
      <c r="R63" s="425"/>
      <c r="S63" s="341" t="str">
        <f t="shared" si="1"/>
        <v/>
      </c>
      <c r="T63" s="378"/>
      <c r="U63" s="378"/>
    </row>
    <row r="64" spans="1:21" ht="16.5" customHeight="1" x14ac:dyDescent="0.3">
      <c r="A64" s="420"/>
      <c r="B64" s="427"/>
      <c r="C64" s="143">
        <v>45961</v>
      </c>
      <c r="D64" s="98" t="s">
        <v>830</v>
      </c>
      <c r="E64" s="124" t="s">
        <v>876</v>
      </c>
      <c r="F64" s="124" t="s">
        <v>30</v>
      </c>
      <c r="G64" s="355" t="s">
        <v>785</v>
      </c>
      <c r="H64" s="359">
        <v>1</v>
      </c>
      <c r="I64" s="339">
        <v>202000</v>
      </c>
      <c r="J64" s="346">
        <v>202000</v>
      </c>
      <c r="K64" s="339">
        <v>20200</v>
      </c>
      <c r="L64" s="339">
        <v>222200</v>
      </c>
      <c r="M64" s="456"/>
      <c r="N64" s="1"/>
      <c r="O64" s="338"/>
      <c r="P64" s="569" t="s">
        <v>726</v>
      </c>
      <c r="Q64" s="313" t="s">
        <v>0</v>
      </c>
      <c r="R64" s="425"/>
      <c r="S64" s="341" t="str">
        <f t="shared" si="1"/>
        <v/>
      </c>
      <c r="T64" s="378"/>
      <c r="U64" s="378"/>
    </row>
    <row r="65" spans="1:21" ht="16.5" customHeight="1" x14ac:dyDescent="0.3">
      <c r="A65" s="420"/>
      <c r="B65" s="427"/>
      <c r="C65" s="143">
        <v>45961</v>
      </c>
      <c r="D65" s="356" t="s">
        <v>831</v>
      </c>
      <c r="E65" s="358" t="s">
        <v>877</v>
      </c>
      <c r="F65" s="124" t="s">
        <v>30</v>
      </c>
      <c r="G65" s="386" t="s">
        <v>769</v>
      </c>
      <c r="H65" s="359">
        <v>1</v>
      </c>
      <c r="I65" s="339">
        <v>904800</v>
      </c>
      <c r="J65" s="346">
        <v>904800</v>
      </c>
      <c r="K65" s="339">
        <v>90480</v>
      </c>
      <c r="L65" s="339">
        <v>995280</v>
      </c>
      <c r="M65" s="456"/>
      <c r="N65" s="1"/>
      <c r="O65" s="338"/>
      <c r="P65" s="569" t="s">
        <v>726</v>
      </c>
      <c r="Q65" s="313" t="s">
        <v>0</v>
      </c>
      <c r="R65" s="425"/>
      <c r="S65" s="341" t="str">
        <f t="shared" si="1"/>
        <v/>
      </c>
      <c r="T65" s="378"/>
      <c r="U65" s="378"/>
    </row>
    <row r="66" spans="1:21" ht="16.5" customHeight="1" x14ac:dyDescent="0.3">
      <c r="A66" s="420"/>
      <c r="B66" s="427"/>
      <c r="C66" s="143">
        <v>45961</v>
      </c>
      <c r="D66" s="98" t="s">
        <v>824</v>
      </c>
      <c r="E66" s="124" t="s">
        <v>852</v>
      </c>
      <c r="F66" s="124" t="s">
        <v>30</v>
      </c>
      <c r="G66" s="386" t="s">
        <v>769</v>
      </c>
      <c r="H66" s="359">
        <v>1</v>
      </c>
      <c r="I66" s="339">
        <v>3611000</v>
      </c>
      <c r="J66" s="346">
        <v>3611000</v>
      </c>
      <c r="K66" s="339">
        <v>361100</v>
      </c>
      <c r="L66" s="339">
        <v>3972100</v>
      </c>
      <c r="M66" s="363"/>
      <c r="N66" s="392"/>
      <c r="O66" s="455"/>
      <c r="P66" s="569" t="s">
        <v>726</v>
      </c>
      <c r="Q66" s="313" t="s">
        <v>4</v>
      </c>
      <c r="R66" s="425"/>
      <c r="S66" s="341" t="str">
        <f t="shared" si="1"/>
        <v/>
      </c>
      <c r="T66" s="378"/>
      <c r="U66" s="378"/>
    </row>
    <row r="67" spans="1:21" ht="16.5" customHeight="1" x14ac:dyDescent="0.3">
      <c r="A67" s="420"/>
      <c r="B67" s="427"/>
      <c r="C67" s="143">
        <v>45961</v>
      </c>
      <c r="D67" s="356" t="s">
        <v>832</v>
      </c>
      <c r="E67" s="358" t="s">
        <v>878</v>
      </c>
      <c r="F67" s="98" t="s">
        <v>30</v>
      </c>
      <c r="G67" s="386" t="s">
        <v>769</v>
      </c>
      <c r="H67" s="359">
        <v>1</v>
      </c>
      <c r="I67" s="339">
        <v>554000</v>
      </c>
      <c r="J67" s="346">
        <v>554000</v>
      </c>
      <c r="K67" s="339">
        <v>55400</v>
      </c>
      <c r="L67" s="339">
        <v>609400</v>
      </c>
      <c r="M67" s="456"/>
      <c r="N67" s="1"/>
      <c r="O67" s="338"/>
      <c r="P67" s="569" t="s">
        <v>726</v>
      </c>
      <c r="Q67" s="313" t="s">
        <v>0</v>
      </c>
      <c r="R67" s="425"/>
      <c r="S67" s="341" t="str">
        <f t="shared" si="1"/>
        <v/>
      </c>
      <c r="T67" s="378"/>
      <c r="U67" s="378"/>
    </row>
    <row r="68" spans="1:21" ht="16.5" customHeight="1" x14ac:dyDescent="0.3">
      <c r="A68" s="420"/>
      <c r="B68" s="427"/>
      <c r="C68" s="143">
        <v>45961</v>
      </c>
      <c r="D68" s="98" t="s">
        <v>833</v>
      </c>
      <c r="E68" s="124" t="s">
        <v>878</v>
      </c>
      <c r="F68" s="124" t="s">
        <v>30</v>
      </c>
      <c r="G68" s="355" t="s">
        <v>787</v>
      </c>
      <c r="H68" s="359">
        <v>1</v>
      </c>
      <c r="I68" s="339">
        <v>454600</v>
      </c>
      <c r="J68" s="346">
        <v>454600</v>
      </c>
      <c r="K68" s="339">
        <v>45460</v>
      </c>
      <c r="L68" s="339">
        <v>500060</v>
      </c>
      <c r="M68" s="456"/>
      <c r="N68" s="1"/>
      <c r="O68" s="338"/>
      <c r="P68" s="569" t="s">
        <v>726</v>
      </c>
      <c r="Q68" s="313" t="s">
        <v>0</v>
      </c>
      <c r="R68" s="425"/>
      <c r="S68" s="341" t="str">
        <f t="shared" si="1"/>
        <v/>
      </c>
      <c r="T68" s="378"/>
      <c r="U68" s="378"/>
    </row>
    <row r="69" spans="1:21" ht="16.5" customHeight="1" x14ac:dyDescent="0.3">
      <c r="A69" s="420"/>
      <c r="B69" s="427"/>
      <c r="C69" s="143">
        <v>45961</v>
      </c>
      <c r="D69" s="356" t="s">
        <v>818</v>
      </c>
      <c r="E69" s="358" t="s">
        <v>856</v>
      </c>
      <c r="F69" s="98" t="s">
        <v>30</v>
      </c>
      <c r="G69" s="355" t="s">
        <v>769</v>
      </c>
      <c r="H69" s="359">
        <v>1</v>
      </c>
      <c r="I69" s="339">
        <v>2900000</v>
      </c>
      <c r="J69" s="346">
        <v>2900000</v>
      </c>
      <c r="K69" s="339">
        <v>290000</v>
      </c>
      <c r="L69" s="339">
        <v>3190000</v>
      </c>
      <c r="M69" s="456"/>
      <c r="N69" s="1"/>
      <c r="O69" s="338"/>
      <c r="P69" s="569" t="s">
        <v>726</v>
      </c>
      <c r="Q69" s="313" t="s">
        <v>0</v>
      </c>
      <c r="R69" s="425"/>
      <c r="S69" s="341" t="str">
        <f t="shared" si="1"/>
        <v/>
      </c>
      <c r="T69" s="378"/>
      <c r="U69" s="378"/>
    </row>
    <row r="70" spans="1:21" ht="16.5" customHeight="1" x14ac:dyDescent="0.3">
      <c r="A70" s="420"/>
      <c r="B70" s="427"/>
      <c r="C70" s="143">
        <v>45961</v>
      </c>
      <c r="D70" s="356" t="s">
        <v>811</v>
      </c>
      <c r="E70" s="358" t="s">
        <v>838</v>
      </c>
      <c r="F70" s="385" t="s">
        <v>30</v>
      </c>
      <c r="G70" s="355" t="s">
        <v>788</v>
      </c>
      <c r="H70" s="359">
        <v>1</v>
      </c>
      <c r="I70" s="339">
        <v>501000</v>
      </c>
      <c r="J70" s="346">
        <v>501000</v>
      </c>
      <c r="K70" s="339">
        <v>50100</v>
      </c>
      <c r="L70" s="339">
        <v>551100</v>
      </c>
      <c r="M70" s="456"/>
      <c r="N70" s="1"/>
      <c r="O70" s="455"/>
      <c r="P70" s="569" t="s">
        <v>726</v>
      </c>
      <c r="Q70" s="313" t="s">
        <v>0</v>
      </c>
      <c r="R70" s="425"/>
      <c r="S70" s="341" t="str">
        <f t="shared" si="1"/>
        <v/>
      </c>
      <c r="T70" s="378"/>
      <c r="U70" s="378"/>
    </row>
    <row r="71" spans="1:21" ht="16.5" customHeight="1" x14ac:dyDescent="0.3">
      <c r="A71" s="420"/>
      <c r="B71" s="427"/>
      <c r="C71" s="143">
        <v>45961</v>
      </c>
      <c r="D71" s="356" t="s">
        <v>834</v>
      </c>
      <c r="E71" s="394" t="s">
        <v>879</v>
      </c>
      <c r="F71" s="385" t="s">
        <v>30</v>
      </c>
      <c r="G71" s="386" t="s">
        <v>789</v>
      </c>
      <c r="H71" s="360">
        <v>1</v>
      </c>
      <c r="I71" s="346">
        <v>1600000</v>
      </c>
      <c r="J71" s="346">
        <v>1600000</v>
      </c>
      <c r="K71" s="339">
        <v>160000</v>
      </c>
      <c r="L71" s="339">
        <v>1760000</v>
      </c>
      <c r="M71" s="462"/>
      <c r="N71" s="460"/>
      <c r="O71" s="455"/>
      <c r="P71" s="655" t="s">
        <v>726</v>
      </c>
      <c r="Q71" s="107" t="s">
        <v>0</v>
      </c>
      <c r="R71" s="425"/>
      <c r="S71" s="341" t="str">
        <f t="shared" si="1"/>
        <v/>
      </c>
      <c r="T71" s="378"/>
      <c r="U71" s="378"/>
    </row>
    <row r="72" spans="1:21" ht="16.5" customHeight="1" x14ac:dyDescent="0.3">
      <c r="A72" s="420"/>
      <c r="B72" s="427"/>
      <c r="C72" s="143">
        <v>45961</v>
      </c>
      <c r="D72" s="356" t="s">
        <v>835</v>
      </c>
      <c r="E72" s="358" t="s">
        <v>824</v>
      </c>
      <c r="F72" s="124" t="s">
        <v>30</v>
      </c>
      <c r="G72" s="355" t="s">
        <v>790</v>
      </c>
      <c r="H72" s="359">
        <v>1</v>
      </c>
      <c r="I72" s="339">
        <v>1200000</v>
      </c>
      <c r="J72" s="346">
        <v>1200000</v>
      </c>
      <c r="K72" s="339">
        <v>120000</v>
      </c>
      <c r="L72" s="339">
        <v>1320000</v>
      </c>
      <c r="M72" s="453"/>
      <c r="N72" s="389"/>
      <c r="O72" s="455"/>
      <c r="P72" s="569" t="s">
        <v>726</v>
      </c>
      <c r="Q72" s="313" t="s">
        <v>2</v>
      </c>
      <c r="R72" s="425"/>
      <c r="S72" s="341" t="str">
        <f t="shared" si="1"/>
        <v/>
      </c>
      <c r="T72" s="378"/>
      <c r="U72" s="378"/>
    </row>
    <row r="73" spans="1:21" x14ac:dyDescent="0.3">
      <c r="A73" s="420"/>
      <c r="B73" s="427"/>
      <c r="C73" s="143">
        <v>45961</v>
      </c>
      <c r="D73" s="98" t="s">
        <v>836</v>
      </c>
      <c r="E73" s="124" t="s">
        <v>852</v>
      </c>
      <c r="F73" s="124" t="s">
        <v>48</v>
      </c>
      <c r="G73" s="355" t="s">
        <v>741</v>
      </c>
      <c r="H73" s="359">
        <v>1</v>
      </c>
      <c r="I73" s="339">
        <v>180000</v>
      </c>
      <c r="J73" s="346">
        <v>180000</v>
      </c>
      <c r="K73" s="339">
        <v>18000</v>
      </c>
      <c r="L73" s="339">
        <v>198000</v>
      </c>
      <c r="M73" s="456"/>
      <c r="N73" s="1"/>
      <c r="O73" s="338"/>
      <c r="P73" s="569" t="s">
        <v>726</v>
      </c>
      <c r="Q73" s="313" t="s">
        <v>0</v>
      </c>
      <c r="R73" s="425"/>
      <c r="S73" s="341" t="str">
        <f t="shared" ref="S73:S90" si="2">IF(R73="","","입금완료")</f>
        <v/>
      </c>
      <c r="T73" s="378"/>
      <c r="U73" s="378"/>
    </row>
    <row r="74" spans="1:21" ht="24" x14ac:dyDescent="0.3">
      <c r="A74" s="420"/>
      <c r="B74" s="427"/>
      <c r="C74" s="143">
        <v>45961</v>
      </c>
      <c r="D74" s="98" t="s">
        <v>837</v>
      </c>
      <c r="E74" s="124" t="s">
        <v>880</v>
      </c>
      <c r="F74" s="124" t="s">
        <v>48</v>
      </c>
      <c r="G74" s="355" t="s">
        <v>792</v>
      </c>
      <c r="H74" s="359">
        <v>6</v>
      </c>
      <c r="I74" s="339">
        <v>720000</v>
      </c>
      <c r="J74" s="346">
        <v>4320000</v>
      </c>
      <c r="K74" s="339">
        <v>432000</v>
      </c>
      <c r="L74" s="339">
        <v>4752000</v>
      </c>
      <c r="M74" s="456"/>
      <c r="N74" s="1"/>
      <c r="O74" s="338"/>
      <c r="P74" s="655" t="s">
        <v>726</v>
      </c>
      <c r="Q74" s="313" t="s">
        <v>722</v>
      </c>
      <c r="R74" s="425"/>
      <c r="S74" s="341" t="str">
        <f t="shared" si="2"/>
        <v/>
      </c>
      <c r="T74" s="378"/>
      <c r="U74" s="378"/>
    </row>
    <row r="75" spans="1:21" ht="16.5" customHeight="1" x14ac:dyDescent="0.3">
      <c r="A75" s="420"/>
      <c r="B75" s="427"/>
      <c r="C75" s="143">
        <v>45961</v>
      </c>
      <c r="D75" s="98" t="s">
        <v>819</v>
      </c>
      <c r="E75" s="124" t="s">
        <v>852</v>
      </c>
      <c r="F75" s="124" t="s">
        <v>48</v>
      </c>
      <c r="G75" s="355" t="s">
        <v>794</v>
      </c>
      <c r="H75" s="359">
        <v>1</v>
      </c>
      <c r="I75" s="339">
        <v>7800000</v>
      </c>
      <c r="J75" s="346">
        <v>7800000</v>
      </c>
      <c r="K75" s="339">
        <v>780000</v>
      </c>
      <c r="L75" s="339">
        <v>8580000</v>
      </c>
      <c r="M75" s="458"/>
      <c r="N75" s="459"/>
      <c r="O75" s="338"/>
      <c r="P75" s="655" t="s">
        <v>726</v>
      </c>
      <c r="Q75" s="313" t="s">
        <v>0</v>
      </c>
      <c r="R75" s="425"/>
      <c r="S75" s="341" t="str">
        <f t="shared" si="2"/>
        <v/>
      </c>
      <c r="T75" s="378"/>
      <c r="U75" s="378"/>
    </row>
    <row r="76" spans="1:21" ht="16.5" customHeight="1" x14ac:dyDescent="0.3">
      <c r="A76" s="420"/>
      <c r="B76" s="427"/>
      <c r="C76" s="143">
        <v>45962</v>
      </c>
      <c r="D76" s="98" t="s">
        <v>838</v>
      </c>
      <c r="E76" s="124" t="s">
        <v>852</v>
      </c>
      <c r="F76" s="98" t="s">
        <v>30</v>
      </c>
      <c r="G76" s="355" t="s">
        <v>795</v>
      </c>
      <c r="H76" s="457">
        <v>1</v>
      </c>
      <c r="I76" s="339">
        <v>507500</v>
      </c>
      <c r="J76" s="346">
        <v>507500</v>
      </c>
      <c r="K76" s="339">
        <v>50750</v>
      </c>
      <c r="L76" s="339">
        <v>558250</v>
      </c>
      <c r="M76" s="453"/>
      <c r="N76" s="454"/>
      <c r="O76" s="455"/>
      <c r="P76" s="655" t="s">
        <v>726</v>
      </c>
      <c r="Q76" s="313" t="s">
        <v>0</v>
      </c>
      <c r="R76" s="425"/>
      <c r="S76" s="341" t="str">
        <f t="shared" si="2"/>
        <v/>
      </c>
      <c r="T76" s="378"/>
      <c r="U76" s="378"/>
    </row>
    <row r="77" spans="1:21" ht="24" x14ac:dyDescent="0.3">
      <c r="A77" s="420"/>
      <c r="B77" s="427"/>
      <c r="C77" s="143">
        <v>45962</v>
      </c>
      <c r="D77" s="98" t="s">
        <v>839</v>
      </c>
      <c r="E77" s="385" t="s">
        <v>881</v>
      </c>
      <c r="F77" s="385" t="s">
        <v>30</v>
      </c>
      <c r="G77" s="386" t="s">
        <v>796</v>
      </c>
      <c r="H77" s="361">
        <v>1</v>
      </c>
      <c r="I77" s="346">
        <v>520000</v>
      </c>
      <c r="J77" s="346">
        <v>520000</v>
      </c>
      <c r="K77" s="339">
        <v>52000</v>
      </c>
      <c r="L77" s="339">
        <v>572000</v>
      </c>
      <c r="M77" s="453"/>
      <c r="N77" s="460"/>
      <c r="O77" s="455"/>
      <c r="P77" s="655" t="s">
        <v>726</v>
      </c>
      <c r="Q77" s="107" t="s">
        <v>2</v>
      </c>
      <c r="R77" s="425"/>
      <c r="S77" s="341" t="str">
        <f t="shared" si="2"/>
        <v/>
      </c>
      <c r="T77" s="378"/>
      <c r="U77" s="378"/>
    </row>
    <row r="78" spans="1:21" ht="16.5" customHeight="1" x14ac:dyDescent="0.3">
      <c r="A78" s="420"/>
      <c r="B78" s="427"/>
      <c r="C78" s="143">
        <v>45962</v>
      </c>
      <c r="D78" s="98" t="s">
        <v>840</v>
      </c>
      <c r="E78" s="385" t="s">
        <v>882</v>
      </c>
      <c r="F78" s="385" t="s">
        <v>30</v>
      </c>
      <c r="G78" s="386" t="s">
        <v>797</v>
      </c>
      <c r="H78" s="361">
        <v>1</v>
      </c>
      <c r="I78" s="346">
        <v>320000</v>
      </c>
      <c r="J78" s="346">
        <v>320000</v>
      </c>
      <c r="K78" s="339">
        <v>32000</v>
      </c>
      <c r="L78" s="339">
        <v>352000</v>
      </c>
      <c r="M78" s="453"/>
      <c r="N78" s="460"/>
      <c r="O78" s="455"/>
      <c r="P78" s="655" t="s">
        <v>726</v>
      </c>
      <c r="Q78" s="107" t="s">
        <v>2</v>
      </c>
      <c r="R78" s="425"/>
      <c r="S78" s="341" t="str">
        <f t="shared" si="2"/>
        <v/>
      </c>
      <c r="T78" s="378"/>
      <c r="U78" s="378"/>
    </row>
    <row r="79" spans="1:21" ht="16.5" customHeight="1" x14ac:dyDescent="0.3">
      <c r="A79" s="420"/>
      <c r="B79" s="427"/>
      <c r="C79" s="143">
        <v>45962</v>
      </c>
      <c r="D79" s="98" t="s">
        <v>841</v>
      </c>
      <c r="E79" s="98" t="s">
        <v>841</v>
      </c>
      <c r="F79" s="385" t="s">
        <v>30</v>
      </c>
      <c r="G79" s="386" t="s">
        <v>723</v>
      </c>
      <c r="H79" s="361">
        <v>1</v>
      </c>
      <c r="I79" s="346">
        <v>1200000</v>
      </c>
      <c r="J79" s="346">
        <v>1200000</v>
      </c>
      <c r="K79" s="339">
        <v>120000</v>
      </c>
      <c r="L79" s="339">
        <v>1320000</v>
      </c>
      <c r="M79" s="363"/>
      <c r="N79" s="389"/>
      <c r="O79" s="455"/>
      <c r="P79" s="655" t="s">
        <v>726</v>
      </c>
      <c r="Q79" s="107" t="s">
        <v>2</v>
      </c>
      <c r="R79" s="425"/>
      <c r="S79" s="341" t="str">
        <f t="shared" si="2"/>
        <v/>
      </c>
      <c r="T79" s="378"/>
      <c r="U79" s="378"/>
    </row>
    <row r="80" spans="1:21" ht="16.5" customHeight="1" x14ac:dyDescent="0.3">
      <c r="A80" s="420"/>
      <c r="B80" s="427"/>
      <c r="C80" s="143">
        <v>45962</v>
      </c>
      <c r="D80" s="464" t="s">
        <v>842</v>
      </c>
      <c r="E80" s="464" t="s">
        <v>852</v>
      </c>
      <c r="F80" s="98" t="s">
        <v>30</v>
      </c>
      <c r="G80" s="142" t="s">
        <v>725</v>
      </c>
      <c r="H80" s="638">
        <v>1</v>
      </c>
      <c r="I80" s="346">
        <v>1474000</v>
      </c>
      <c r="J80" s="346">
        <v>1474000</v>
      </c>
      <c r="K80" s="339">
        <v>147400</v>
      </c>
      <c r="L80" s="339">
        <v>1621400</v>
      </c>
      <c r="M80" s="363"/>
      <c r="N80" s="393"/>
      <c r="O80" s="455"/>
      <c r="P80" s="655" t="s">
        <v>726</v>
      </c>
      <c r="Q80" s="107" t="s">
        <v>0</v>
      </c>
      <c r="R80" s="425"/>
      <c r="S80" s="341" t="str">
        <f t="shared" si="2"/>
        <v/>
      </c>
      <c r="T80" s="378"/>
      <c r="U80" s="378"/>
    </row>
    <row r="81" spans="1:21" ht="16.5" customHeight="1" x14ac:dyDescent="0.3">
      <c r="A81" s="420"/>
      <c r="B81" s="427"/>
      <c r="C81" s="143">
        <v>45962</v>
      </c>
      <c r="D81" s="98" t="s">
        <v>827</v>
      </c>
      <c r="E81" s="124" t="s">
        <v>883</v>
      </c>
      <c r="F81" s="98" t="s">
        <v>30</v>
      </c>
      <c r="G81" s="387" t="s">
        <v>724</v>
      </c>
      <c r="H81" s="359">
        <v>1</v>
      </c>
      <c r="I81" s="339">
        <v>248000</v>
      </c>
      <c r="J81" s="346">
        <v>248000</v>
      </c>
      <c r="K81" s="339">
        <v>24800</v>
      </c>
      <c r="L81" s="339">
        <v>272800</v>
      </c>
      <c r="M81" s="456"/>
      <c r="N81" s="1"/>
      <c r="O81" s="338"/>
      <c r="P81" s="655" t="s">
        <v>726</v>
      </c>
      <c r="Q81" s="313" t="s">
        <v>0</v>
      </c>
      <c r="R81" s="425"/>
      <c r="S81" s="341" t="str">
        <f t="shared" si="2"/>
        <v/>
      </c>
      <c r="T81" s="378"/>
      <c r="U81" s="378"/>
    </row>
    <row r="82" spans="1:21" ht="16.5" customHeight="1" x14ac:dyDescent="0.3">
      <c r="A82" s="420"/>
      <c r="B82" s="427"/>
      <c r="C82" s="143">
        <v>45962</v>
      </c>
      <c r="D82" s="98" t="s">
        <v>838</v>
      </c>
      <c r="E82" s="98" t="s">
        <v>852</v>
      </c>
      <c r="F82" s="98" t="s">
        <v>30</v>
      </c>
      <c r="G82" s="387" t="s">
        <v>798</v>
      </c>
      <c r="H82" s="571">
        <v>1</v>
      </c>
      <c r="I82" s="347">
        <v>1538000</v>
      </c>
      <c r="J82" s="346">
        <v>1538000</v>
      </c>
      <c r="K82" s="339">
        <v>153800</v>
      </c>
      <c r="L82" s="339">
        <v>1691800</v>
      </c>
      <c r="M82" s="363"/>
      <c r="N82" s="395"/>
      <c r="O82" s="455"/>
      <c r="P82" s="655" t="s">
        <v>726</v>
      </c>
      <c r="Q82" s="107" t="s">
        <v>0</v>
      </c>
      <c r="R82" s="425"/>
      <c r="S82" s="341" t="str">
        <f t="shared" si="2"/>
        <v/>
      </c>
      <c r="T82" s="378"/>
      <c r="U82" s="378"/>
    </row>
    <row r="83" spans="1:21" ht="16.5" customHeight="1" x14ac:dyDescent="0.3">
      <c r="A83" s="420"/>
      <c r="B83" s="427"/>
      <c r="C83" s="143">
        <v>45962</v>
      </c>
      <c r="D83" s="98" t="s">
        <v>825</v>
      </c>
      <c r="E83" s="124" t="s">
        <v>884</v>
      </c>
      <c r="F83" s="98" t="s">
        <v>30</v>
      </c>
      <c r="G83" s="355" t="s">
        <v>799</v>
      </c>
      <c r="H83" s="359">
        <v>1</v>
      </c>
      <c r="I83" s="339">
        <v>168000</v>
      </c>
      <c r="J83" s="346">
        <v>168000</v>
      </c>
      <c r="K83" s="339">
        <v>16800</v>
      </c>
      <c r="L83" s="339">
        <v>184800</v>
      </c>
      <c r="M83" s="456"/>
      <c r="N83" s="1"/>
      <c r="O83" s="338"/>
      <c r="P83" s="569" t="s">
        <v>726</v>
      </c>
      <c r="Q83" s="313" t="s">
        <v>0</v>
      </c>
      <c r="R83" s="425"/>
      <c r="S83" s="341" t="str">
        <f t="shared" si="2"/>
        <v/>
      </c>
      <c r="T83" s="378"/>
      <c r="U83" s="378"/>
    </row>
    <row r="84" spans="1:21" ht="16.5" customHeight="1" x14ac:dyDescent="0.3">
      <c r="A84" s="420"/>
      <c r="B84" s="427"/>
      <c r="C84" s="97">
        <v>45972</v>
      </c>
      <c r="D84" s="98" t="s">
        <v>843</v>
      </c>
      <c r="E84" s="124" t="s">
        <v>885</v>
      </c>
      <c r="F84" s="385" t="s">
        <v>716</v>
      </c>
      <c r="G84" s="142" t="s">
        <v>800</v>
      </c>
      <c r="H84" s="348">
        <v>1</v>
      </c>
      <c r="I84" s="349">
        <v>400000</v>
      </c>
      <c r="J84" s="346">
        <v>400000</v>
      </c>
      <c r="K84" s="339">
        <v>40000</v>
      </c>
      <c r="L84" s="339">
        <v>440000</v>
      </c>
      <c r="M84" s="453"/>
      <c r="N84" s="460"/>
      <c r="O84" s="455"/>
      <c r="P84" s="569">
        <v>45973</v>
      </c>
      <c r="Q84" s="107" t="s">
        <v>718</v>
      </c>
      <c r="R84" s="425"/>
      <c r="S84" s="341" t="str">
        <f t="shared" si="2"/>
        <v/>
      </c>
      <c r="T84" s="378"/>
      <c r="U84" s="378"/>
    </row>
    <row r="85" spans="1:21" ht="16.5" customHeight="1" x14ac:dyDescent="0.3">
      <c r="A85" s="420"/>
      <c r="B85" s="427"/>
      <c r="C85" s="97">
        <v>45972</v>
      </c>
      <c r="D85" s="98" t="s">
        <v>844</v>
      </c>
      <c r="E85" s="124" t="s">
        <v>885</v>
      </c>
      <c r="F85" s="385" t="s">
        <v>716</v>
      </c>
      <c r="G85" s="142" t="s">
        <v>801</v>
      </c>
      <c r="H85" s="348">
        <v>1</v>
      </c>
      <c r="I85" s="349">
        <v>360000</v>
      </c>
      <c r="J85" s="346">
        <v>720000</v>
      </c>
      <c r="K85" s="339">
        <v>72000</v>
      </c>
      <c r="L85" s="339">
        <v>792000</v>
      </c>
      <c r="M85" s="453"/>
      <c r="N85" s="460"/>
      <c r="O85" s="455"/>
      <c r="P85" s="569" t="s">
        <v>726</v>
      </c>
      <c r="Q85" s="107" t="s">
        <v>718</v>
      </c>
      <c r="R85" s="425"/>
      <c r="S85" s="341" t="str">
        <f t="shared" si="2"/>
        <v/>
      </c>
      <c r="T85" s="378"/>
      <c r="U85" s="378"/>
    </row>
    <row r="86" spans="1:21" ht="16.5" customHeight="1" x14ac:dyDescent="0.3">
      <c r="A86" s="420"/>
      <c r="B86" s="427"/>
      <c r="C86" s="143">
        <v>45976</v>
      </c>
      <c r="D86" s="98" t="s">
        <v>845</v>
      </c>
      <c r="E86" s="124" t="s">
        <v>850</v>
      </c>
      <c r="F86" s="124" t="s">
        <v>716</v>
      </c>
      <c r="G86" s="142" t="s">
        <v>802</v>
      </c>
      <c r="H86" s="359">
        <v>1</v>
      </c>
      <c r="I86" s="339">
        <v>700000</v>
      </c>
      <c r="J86" s="346">
        <v>700000</v>
      </c>
      <c r="K86" s="339">
        <v>70000</v>
      </c>
      <c r="L86" s="339">
        <v>770000</v>
      </c>
      <c r="M86" s="453"/>
      <c r="N86" s="460"/>
      <c r="O86" s="338"/>
      <c r="P86" s="569">
        <v>45980</v>
      </c>
      <c r="Q86" s="107" t="s">
        <v>718</v>
      </c>
      <c r="R86" s="425"/>
      <c r="S86" s="341" t="str">
        <f t="shared" si="2"/>
        <v/>
      </c>
      <c r="T86" s="378"/>
      <c r="U86" s="378"/>
    </row>
    <row r="87" spans="1:21" ht="16.5" customHeight="1" x14ac:dyDescent="0.3">
      <c r="A87" s="420"/>
      <c r="B87" s="427"/>
      <c r="C87" s="143">
        <v>45976</v>
      </c>
      <c r="D87" s="98" t="s">
        <v>837</v>
      </c>
      <c r="E87" s="124" t="s">
        <v>827</v>
      </c>
      <c r="F87" s="124" t="s">
        <v>30</v>
      </c>
      <c r="G87" s="355" t="s">
        <v>803</v>
      </c>
      <c r="H87" s="359">
        <v>1</v>
      </c>
      <c r="I87" s="339">
        <v>1080000</v>
      </c>
      <c r="J87" s="346">
        <v>1080000</v>
      </c>
      <c r="K87" s="339">
        <v>108000</v>
      </c>
      <c r="L87" s="339">
        <v>1188000</v>
      </c>
      <c r="M87" s="453"/>
      <c r="N87" s="460"/>
      <c r="O87" s="455"/>
      <c r="P87" s="569" t="s">
        <v>726</v>
      </c>
      <c r="Q87" s="313" t="s">
        <v>0</v>
      </c>
      <c r="R87" s="425"/>
      <c r="S87" s="341" t="str">
        <f t="shared" si="2"/>
        <v/>
      </c>
      <c r="T87" s="378"/>
      <c r="U87" s="378"/>
    </row>
    <row r="88" spans="1:21" ht="16.5" customHeight="1" x14ac:dyDescent="0.3">
      <c r="A88" s="420"/>
      <c r="B88" s="427"/>
      <c r="C88" s="143">
        <v>45981</v>
      </c>
      <c r="D88" s="356" t="s">
        <v>846</v>
      </c>
      <c r="E88" s="358" t="s">
        <v>852</v>
      </c>
      <c r="F88" s="385" t="s">
        <v>363</v>
      </c>
      <c r="G88" s="386" t="s">
        <v>804</v>
      </c>
      <c r="H88" s="359">
        <v>1</v>
      </c>
      <c r="I88" s="346">
        <v>1000000</v>
      </c>
      <c r="J88" s="346">
        <v>1000000</v>
      </c>
      <c r="K88" s="339">
        <v>100000</v>
      </c>
      <c r="L88" s="339">
        <v>1100000</v>
      </c>
      <c r="M88" s="364"/>
      <c r="N88" s="393"/>
      <c r="O88" s="455"/>
      <c r="P88" s="569" t="s">
        <v>726</v>
      </c>
      <c r="Q88" s="107" t="s">
        <v>0</v>
      </c>
      <c r="R88" s="425"/>
      <c r="S88" s="341" t="str">
        <f t="shared" si="2"/>
        <v/>
      </c>
      <c r="T88" s="378"/>
      <c r="U88" s="378"/>
    </row>
    <row r="89" spans="1:21" ht="16.5" customHeight="1" x14ac:dyDescent="0.3">
      <c r="A89" s="420"/>
      <c r="B89" s="427"/>
      <c r="C89" s="143">
        <v>45981</v>
      </c>
      <c r="D89" s="98" t="s">
        <v>847</v>
      </c>
      <c r="E89" s="124" t="s">
        <v>852</v>
      </c>
      <c r="F89" s="385" t="s">
        <v>30</v>
      </c>
      <c r="G89" s="355" t="s">
        <v>805</v>
      </c>
      <c r="H89" s="359">
        <v>1</v>
      </c>
      <c r="I89" s="339">
        <v>64000</v>
      </c>
      <c r="J89" s="346">
        <v>64000</v>
      </c>
      <c r="K89" s="339">
        <v>6400</v>
      </c>
      <c r="L89" s="339">
        <v>70400</v>
      </c>
      <c r="M89" s="456"/>
      <c r="N89" s="395"/>
      <c r="O89" s="338"/>
      <c r="P89" s="569" t="s">
        <v>726</v>
      </c>
      <c r="Q89" s="313" t="s">
        <v>0</v>
      </c>
      <c r="R89" s="425"/>
      <c r="S89" s="341" t="str">
        <f t="shared" si="2"/>
        <v/>
      </c>
      <c r="T89" s="378"/>
      <c r="U89" s="378"/>
    </row>
    <row r="90" spans="1:21" ht="16.5" customHeight="1" x14ac:dyDescent="0.3">
      <c r="A90" s="420"/>
      <c r="B90" s="427"/>
      <c r="C90" s="143">
        <v>45986</v>
      </c>
      <c r="D90" s="356" t="s">
        <v>848</v>
      </c>
      <c r="E90" s="394" t="s">
        <v>852</v>
      </c>
      <c r="F90" s="385" t="s">
        <v>30</v>
      </c>
      <c r="G90" s="386" t="s">
        <v>806</v>
      </c>
      <c r="H90" s="360">
        <v>1</v>
      </c>
      <c r="I90" s="346">
        <v>200000</v>
      </c>
      <c r="J90" s="346">
        <v>310000</v>
      </c>
      <c r="K90" s="339">
        <v>31000</v>
      </c>
      <c r="L90" s="339">
        <v>341000</v>
      </c>
      <c r="M90" s="453"/>
      <c r="N90" s="661"/>
      <c r="O90" s="455"/>
      <c r="P90" s="569" t="s">
        <v>726</v>
      </c>
      <c r="Q90" s="107" t="s">
        <v>4</v>
      </c>
      <c r="R90" s="425"/>
      <c r="S90" s="341" t="str">
        <f t="shared" si="2"/>
        <v/>
      </c>
      <c r="T90" s="378"/>
      <c r="U90" s="378"/>
    </row>
    <row r="91" spans="1:21" ht="16.5" customHeight="1" thickBot="1" x14ac:dyDescent="0.35">
      <c r="A91" s="420" t="s">
        <v>490</v>
      </c>
      <c r="B91" s="433"/>
      <c r="C91" s="340"/>
      <c r="D91" s="434"/>
      <c r="E91" s="434"/>
      <c r="F91" s="434"/>
      <c r="G91" s="434"/>
      <c r="H91" s="434"/>
      <c r="I91" s="434"/>
      <c r="J91" s="434"/>
      <c r="K91" s="434"/>
      <c r="L91" s="434"/>
      <c r="M91" s="434"/>
      <c r="N91" s="434"/>
      <c r="O91" s="434"/>
      <c r="P91" s="434"/>
      <c r="Q91" s="434"/>
      <c r="R91" s="343"/>
      <c r="S91" s="341" t="str">
        <f t="shared" si="0"/>
        <v/>
      </c>
      <c r="T91" s="378"/>
    </row>
    <row r="92" spans="1:21" ht="16.5" customHeight="1" x14ac:dyDescent="0.3">
      <c r="L92" s="350"/>
      <c r="R92" s="345"/>
      <c r="T92" s="379"/>
    </row>
    <row r="93" spans="1:21" ht="16.5" customHeight="1" x14ac:dyDescent="0.3">
      <c r="K93" s="381" t="s">
        <v>487</v>
      </c>
      <c r="L93" s="595">
        <f>SUM(L4:L91)</f>
        <v>282354998.5</v>
      </c>
      <c r="R93" s="345"/>
      <c r="T93" s="379"/>
    </row>
    <row r="94" spans="1:21" ht="16.5" customHeight="1" x14ac:dyDescent="0.3">
      <c r="K94" s="381"/>
      <c r="L94" s="344"/>
      <c r="R94" s="345"/>
      <c r="T94" s="379"/>
    </row>
    <row r="95" spans="1:21" ht="16.5" customHeight="1" x14ac:dyDescent="0.3">
      <c r="K95" s="381"/>
      <c r="L95" s="342"/>
      <c r="Q95" s="654"/>
    </row>
    <row r="96" spans="1:21" ht="16.5" customHeight="1" x14ac:dyDescent="0.3">
      <c r="K96" s="381"/>
      <c r="L96" s="344"/>
    </row>
    <row r="97" spans="11:12" ht="16.5" customHeight="1" x14ac:dyDescent="0.3">
      <c r="K97" s="669"/>
      <c r="L97" s="344"/>
    </row>
    <row r="98" spans="11:12" ht="16.5" customHeight="1" x14ac:dyDescent="0.3">
      <c r="K98" s="670"/>
      <c r="L98" s="344"/>
    </row>
    <row r="99" spans="11:12" ht="16.5" customHeight="1" x14ac:dyDescent="0.3">
      <c r="K99" s="381"/>
      <c r="L99" s="344"/>
    </row>
    <row r="100" spans="11:12" ht="16.5" customHeight="1" x14ac:dyDescent="0.3">
      <c r="K100" s="381"/>
      <c r="L100" s="344"/>
    </row>
    <row r="101" spans="11:12" ht="16.5" customHeight="1" x14ac:dyDescent="0.3">
      <c r="K101" s="381"/>
      <c r="L101" s="344"/>
    </row>
  </sheetData>
  <autoFilter ref="A3:T91" xr:uid="{454EA88F-5F06-450A-8385-8A152A8413AB}"/>
  <mergeCells count="15">
    <mergeCell ref="O2:O3"/>
    <mergeCell ref="P2:P3"/>
    <mergeCell ref="Q2:Q3"/>
    <mergeCell ref="R2:R3"/>
    <mergeCell ref="G2:G3"/>
    <mergeCell ref="H2:H3"/>
    <mergeCell ref="I2:L2"/>
    <mergeCell ref="M2:M3"/>
    <mergeCell ref="N2:N3"/>
    <mergeCell ref="F2:F3"/>
    <mergeCell ref="A2:A3"/>
    <mergeCell ref="B2:B3"/>
    <mergeCell ref="C2:C3"/>
    <mergeCell ref="D2:D3"/>
    <mergeCell ref="E2:E3"/>
  </mergeCells>
  <phoneticPr fontId="11" type="noConversion"/>
  <pageMargins left="0.23622047244094491" right="0.23622047244094491" top="0.74803149606299213" bottom="0.74803149606299213" header="0.31496062992125984" footer="0.31496062992125984"/>
  <pageSetup paperSize="9" scale="80" orientation="landscape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A48F-9D14-4E04-8FFD-17145795C882}">
  <sheetPr codeName="Sheet26"/>
  <dimension ref="A1:V162"/>
  <sheetViews>
    <sheetView tabSelected="1" topLeftCell="C1" workbookViewId="0">
      <pane ySplit="3" topLeftCell="A4" activePane="bottomLeft" state="frozen"/>
      <selection activeCell="C1" sqref="C1"/>
      <selection pane="bottomLeft" activeCell="H18" sqref="H18"/>
    </sheetView>
  </sheetViews>
  <sheetFormatPr defaultRowHeight="16.5" customHeight="1" x14ac:dyDescent="0.3"/>
  <cols>
    <col min="1" max="1" width="10.75" style="341" hidden="1" customWidth="1"/>
    <col min="2" max="2" width="9.75" style="341" hidden="1" customWidth="1"/>
    <col min="3" max="3" width="11" style="341" customWidth="1"/>
    <col min="4" max="4" width="21.625" style="357" customWidth="1"/>
    <col min="5" max="5" width="16.875" style="357" customWidth="1"/>
    <col min="6" max="6" width="9.875" style="357" hidden="1" customWidth="1"/>
    <col min="7" max="7" width="10.875" style="357" customWidth="1"/>
    <col min="8" max="8" width="39.25" style="357" customWidth="1"/>
    <col min="9" max="9" width="4" style="341" customWidth="1"/>
    <col min="10" max="12" width="11.5" style="341" customWidth="1"/>
    <col min="13" max="13" width="15.625" style="341" bestFit="1" customWidth="1"/>
    <col min="14" max="14" width="12.375" style="341" hidden="1" customWidth="1"/>
    <col min="15" max="15" width="30" style="341" hidden="1" customWidth="1"/>
    <col min="16" max="16" width="10.875" style="341" hidden="1" customWidth="1"/>
    <col min="17" max="17" width="11.75" style="601" customWidth="1"/>
    <col min="18" max="18" width="9.875" style="341" hidden="1" customWidth="1"/>
    <col min="19" max="19" width="15.125" style="341" customWidth="1"/>
    <col min="20" max="20" width="9.875" style="341" customWidth="1"/>
    <col min="21" max="21" width="14.75" style="377" bestFit="1" customWidth="1"/>
    <col min="22" max="16384" width="9" style="341"/>
  </cols>
  <sheetData>
    <row r="1" spans="1:22" ht="16.5" customHeight="1" thickBot="1" x14ac:dyDescent="0.35"/>
    <row r="2" spans="1:22" ht="16.5" customHeight="1" x14ac:dyDescent="0.3">
      <c r="A2" s="723" t="s">
        <v>59</v>
      </c>
      <c r="B2" s="725" t="s">
        <v>60</v>
      </c>
      <c r="C2" s="727" t="s">
        <v>61</v>
      </c>
      <c r="D2" s="729" t="s">
        <v>62</v>
      </c>
      <c r="E2" s="721" t="s">
        <v>63</v>
      </c>
      <c r="F2" s="721" t="s">
        <v>64</v>
      </c>
      <c r="G2" s="721" t="s">
        <v>65</v>
      </c>
      <c r="H2" s="721" t="s">
        <v>66</v>
      </c>
      <c r="I2" s="740" t="s">
        <v>67</v>
      </c>
      <c r="J2" s="742" t="s">
        <v>68</v>
      </c>
      <c r="K2" s="743"/>
      <c r="L2" s="743"/>
      <c r="M2" s="744"/>
      <c r="N2" s="732"/>
      <c r="O2" s="732"/>
      <c r="P2" s="732"/>
      <c r="Q2" s="734" t="s">
        <v>710</v>
      </c>
      <c r="R2" s="736" t="s">
        <v>73</v>
      </c>
      <c r="S2" s="738" t="s">
        <v>74</v>
      </c>
    </row>
    <row r="3" spans="1:22" ht="16.5" customHeight="1" x14ac:dyDescent="0.3">
      <c r="A3" s="724"/>
      <c r="B3" s="726"/>
      <c r="C3" s="728"/>
      <c r="D3" s="730"/>
      <c r="E3" s="731"/>
      <c r="F3" s="722"/>
      <c r="G3" s="731"/>
      <c r="H3" s="731"/>
      <c r="I3" s="741"/>
      <c r="J3" s="307" t="s">
        <v>75</v>
      </c>
      <c r="K3" s="419" t="s">
        <v>76</v>
      </c>
      <c r="L3" s="419" t="s">
        <v>77</v>
      </c>
      <c r="M3" s="419" t="s">
        <v>78</v>
      </c>
      <c r="N3" s="733"/>
      <c r="O3" s="733"/>
      <c r="P3" s="733"/>
      <c r="Q3" s="735"/>
      <c r="R3" s="737"/>
      <c r="S3" s="739"/>
      <c r="T3" s="341" t="str">
        <f t="shared" ref="T3" si="0">IF(S3="","","입금완료")</f>
        <v/>
      </c>
    </row>
    <row r="4" spans="1:22" ht="17.25" thickBot="1" x14ac:dyDescent="0.35">
      <c r="A4" s="420"/>
      <c r="B4" s="421"/>
      <c r="C4" s="579">
        <v>45955</v>
      </c>
      <c r="D4" s="482" t="s">
        <v>823</v>
      </c>
      <c r="E4" s="483" t="s">
        <v>869</v>
      </c>
      <c r="F4" s="415" t="s">
        <v>30</v>
      </c>
      <c r="G4" s="397" t="s">
        <v>86</v>
      </c>
      <c r="H4" s="398" t="s">
        <v>768</v>
      </c>
      <c r="I4" s="372">
        <v>1</v>
      </c>
      <c r="J4" s="513">
        <v>500000</v>
      </c>
      <c r="K4" s="514">
        <v>500000</v>
      </c>
      <c r="L4" s="513">
        <v>50000</v>
      </c>
      <c r="M4" s="515">
        <v>550000</v>
      </c>
      <c r="N4" s="567"/>
      <c r="O4" s="516"/>
      <c r="P4" s="517"/>
      <c r="Q4" s="486" t="s">
        <v>726</v>
      </c>
      <c r="R4" s="186" t="s">
        <v>0</v>
      </c>
      <c r="S4" s="425"/>
      <c r="T4" s="341" t="str">
        <f>IF(S4="","","입금완료")</f>
        <v/>
      </c>
      <c r="U4" s="378"/>
      <c r="V4" s="378"/>
    </row>
    <row r="5" spans="1:22" x14ac:dyDescent="0.3">
      <c r="A5" s="420"/>
      <c r="B5" s="427"/>
      <c r="C5" s="581"/>
      <c r="D5" s="590"/>
      <c r="E5" s="487"/>
      <c r="F5" s="399"/>
      <c r="G5" s="414"/>
      <c r="H5" s="400"/>
      <c r="I5" s="488"/>
      <c r="J5" s="530"/>
      <c r="K5" s="530"/>
      <c r="L5" s="530"/>
      <c r="M5" s="530"/>
      <c r="N5" s="541"/>
      <c r="O5" s="540"/>
      <c r="P5" s="532"/>
      <c r="Q5" s="491"/>
      <c r="R5" s="492"/>
      <c r="S5" s="444"/>
      <c r="U5" s="378"/>
      <c r="V5" s="378"/>
    </row>
    <row r="6" spans="1:22" ht="17.25" thickBot="1" x14ac:dyDescent="0.35">
      <c r="A6" s="420"/>
      <c r="B6" s="427"/>
      <c r="C6" s="501">
        <v>45961</v>
      </c>
      <c r="D6" s="478" t="s">
        <v>828</v>
      </c>
      <c r="E6" s="479"/>
      <c r="F6" s="401" t="s">
        <v>30</v>
      </c>
      <c r="G6" s="401" t="s">
        <v>719</v>
      </c>
      <c r="H6" s="404" t="s">
        <v>783</v>
      </c>
      <c r="I6" s="494">
        <v>1</v>
      </c>
      <c r="J6" s="505">
        <v>3916667</v>
      </c>
      <c r="K6" s="506">
        <v>3916667</v>
      </c>
      <c r="L6" s="505">
        <v>391667</v>
      </c>
      <c r="M6" s="507">
        <v>4308334</v>
      </c>
      <c r="N6" s="557"/>
      <c r="O6" s="544"/>
      <c r="P6" s="510"/>
      <c r="Q6" s="480" t="s">
        <v>726</v>
      </c>
      <c r="R6" s="481" t="s">
        <v>4</v>
      </c>
      <c r="S6" s="441"/>
      <c r="T6" s="341" t="str">
        <f>IF(S6="","","입금완료")</f>
        <v/>
      </c>
      <c r="U6" s="378"/>
      <c r="V6" s="378"/>
    </row>
    <row r="7" spans="1:22" x14ac:dyDescent="0.3">
      <c r="A7" s="420"/>
      <c r="B7" s="427"/>
      <c r="C7" s="581"/>
      <c r="D7" s="487"/>
      <c r="E7" s="487"/>
      <c r="F7" s="399"/>
      <c r="G7" s="399"/>
      <c r="H7" s="400"/>
      <c r="I7" s="488"/>
      <c r="J7" s="530"/>
      <c r="K7" s="530"/>
      <c r="L7" s="530"/>
      <c r="M7" s="530"/>
      <c r="N7" s="489"/>
      <c r="O7" s="490"/>
      <c r="P7" s="532"/>
      <c r="Q7" s="491"/>
      <c r="R7" s="492"/>
      <c r="S7" s="444"/>
      <c r="U7" s="378"/>
      <c r="V7" s="378"/>
    </row>
    <row r="8" spans="1:22" ht="17.25" thickBot="1" x14ac:dyDescent="0.35">
      <c r="A8" s="420"/>
      <c r="B8" s="427"/>
      <c r="C8" s="501">
        <v>45961</v>
      </c>
      <c r="D8" s="478" t="s">
        <v>829</v>
      </c>
      <c r="E8" s="479" t="s">
        <v>875</v>
      </c>
      <c r="F8" s="502" t="s">
        <v>30</v>
      </c>
      <c r="G8" s="401" t="s">
        <v>719</v>
      </c>
      <c r="H8" s="409" t="s">
        <v>784</v>
      </c>
      <c r="I8" s="494">
        <v>1</v>
      </c>
      <c r="J8" s="505">
        <v>207000</v>
      </c>
      <c r="K8" s="506">
        <v>207000</v>
      </c>
      <c r="L8" s="505">
        <v>20700</v>
      </c>
      <c r="M8" s="507">
        <v>227700</v>
      </c>
      <c r="N8" s="557"/>
      <c r="O8" s="496"/>
      <c r="P8" s="510"/>
      <c r="Q8" s="480" t="s">
        <v>726</v>
      </c>
      <c r="R8" s="481" t="s">
        <v>0</v>
      </c>
      <c r="S8" s="441"/>
      <c r="T8" s="341" t="str">
        <f>IF(S8="","","입금완료")</f>
        <v/>
      </c>
      <c r="U8" s="378"/>
      <c r="V8" s="378"/>
    </row>
    <row r="9" spans="1:22" x14ac:dyDescent="0.3">
      <c r="A9" s="420"/>
      <c r="B9" s="421"/>
      <c r="C9" s="499"/>
      <c r="D9" s="358"/>
      <c r="E9" s="358"/>
      <c r="F9" s="124"/>
      <c r="G9" s="385"/>
      <c r="H9" s="391"/>
      <c r="I9" s="359"/>
      <c r="J9" s="339"/>
      <c r="K9" s="339"/>
      <c r="L9" s="339"/>
      <c r="M9" s="339"/>
      <c r="N9" s="462"/>
      <c r="O9" s="454"/>
      <c r="P9" s="500"/>
      <c r="Q9" s="465"/>
      <c r="R9" s="313"/>
      <c r="S9" s="443"/>
      <c r="U9" s="378"/>
      <c r="V9" s="378"/>
    </row>
    <row r="10" spans="1:22" x14ac:dyDescent="0.3">
      <c r="A10" s="420"/>
      <c r="B10" s="421"/>
      <c r="C10" s="143">
        <v>45930</v>
      </c>
      <c r="D10" s="356" t="s">
        <v>812</v>
      </c>
      <c r="E10" s="358" t="s">
        <v>853</v>
      </c>
      <c r="F10" s="98" t="s">
        <v>30</v>
      </c>
      <c r="G10" s="124" t="s">
        <v>82</v>
      </c>
      <c r="H10" s="355" t="s">
        <v>746</v>
      </c>
      <c r="I10" s="359">
        <v>1</v>
      </c>
      <c r="J10" s="339">
        <v>700000</v>
      </c>
      <c r="K10" s="346">
        <v>700000</v>
      </c>
      <c r="L10" s="339">
        <v>70000</v>
      </c>
      <c r="M10" s="339">
        <v>770000</v>
      </c>
      <c r="N10" s="474"/>
      <c r="O10" s="1"/>
      <c r="P10" s="338"/>
      <c r="Q10" s="124" t="s">
        <v>726</v>
      </c>
      <c r="R10" s="313" t="s">
        <v>0</v>
      </c>
      <c r="S10" s="425"/>
      <c r="T10" s="341" t="str">
        <f t="shared" ref="T10:T18" si="1">IF(S10="","","입금완료")</f>
        <v/>
      </c>
      <c r="U10" s="378"/>
      <c r="V10" s="378"/>
    </row>
    <row r="11" spans="1:22" ht="16.5" customHeight="1" x14ac:dyDescent="0.3">
      <c r="A11" s="420"/>
      <c r="B11" s="427"/>
      <c r="C11" s="143">
        <v>45930</v>
      </c>
      <c r="D11" s="356" t="s">
        <v>812</v>
      </c>
      <c r="E11" s="358" t="s">
        <v>854</v>
      </c>
      <c r="F11" s="124" t="s">
        <v>30</v>
      </c>
      <c r="G11" s="366" t="s">
        <v>82</v>
      </c>
      <c r="H11" s="355" t="s">
        <v>746</v>
      </c>
      <c r="I11" s="359">
        <v>1</v>
      </c>
      <c r="J11" s="339">
        <v>380000</v>
      </c>
      <c r="K11" s="346">
        <v>380000</v>
      </c>
      <c r="L11" s="339">
        <v>38000</v>
      </c>
      <c r="M11" s="339">
        <v>418000</v>
      </c>
      <c r="N11" s="474"/>
      <c r="O11" s="1"/>
      <c r="P11" s="338"/>
      <c r="Q11" s="124" t="s">
        <v>726</v>
      </c>
      <c r="R11" s="313" t="s">
        <v>0</v>
      </c>
      <c r="S11" s="425"/>
      <c r="T11" s="341" t="str">
        <f t="shared" si="1"/>
        <v/>
      </c>
      <c r="U11" s="378"/>
      <c r="V11" s="378"/>
    </row>
    <row r="12" spans="1:22" ht="16.5" customHeight="1" x14ac:dyDescent="0.3">
      <c r="A12" s="420"/>
      <c r="B12" s="427"/>
      <c r="C12" s="143">
        <v>45930</v>
      </c>
      <c r="D12" s="356" t="s">
        <v>812</v>
      </c>
      <c r="E12" s="358" t="s">
        <v>855</v>
      </c>
      <c r="F12" s="124" t="s">
        <v>30</v>
      </c>
      <c r="G12" s="366" t="s">
        <v>82</v>
      </c>
      <c r="H12" s="355" t="s">
        <v>746</v>
      </c>
      <c r="I12" s="359">
        <v>1</v>
      </c>
      <c r="J12" s="339">
        <v>625000</v>
      </c>
      <c r="K12" s="346">
        <v>625000</v>
      </c>
      <c r="L12" s="339">
        <v>62500</v>
      </c>
      <c r="M12" s="339">
        <v>687500</v>
      </c>
      <c r="N12" s="474"/>
      <c r="O12" s="1"/>
      <c r="P12" s="338"/>
      <c r="Q12" s="124" t="s">
        <v>726</v>
      </c>
      <c r="R12" s="313" t="s">
        <v>0</v>
      </c>
      <c r="S12" s="425"/>
      <c r="T12" s="341" t="str">
        <f t="shared" si="1"/>
        <v/>
      </c>
      <c r="U12" s="378"/>
      <c r="V12" s="378"/>
    </row>
    <row r="13" spans="1:22" ht="16.5" customHeight="1" x14ac:dyDescent="0.3">
      <c r="A13" s="420"/>
      <c r="B13" s="427"/>
      <c r="C13" s="143">
        <v>45930</v>
      </c>
      <c r="D13" s="356" t="s">
        <v>812</v>
      </c>
      <c r="E13" s="358" t="s">
        <v>856</v>
      </c>
      <c r="F13" s="124" t="s">
        <v>30</v>
      </c>
      <c r="G13" s="124" t="s">
        <v>82</v>
      </c>
      <c r="H13" s="355" t="s">
        <v>746</v>
      </c>
      <c r="I13" s="359">
        <v>1</v>
      </c>
      <c r="J13" s="339">
        <v>1232000</v>
      </c>
      <c r="K13" s="346">
        <v>1232000</v>
      </c>
      <c r="L13" s="339">
        <v>123200</v>
      </c>
      <c r="M13" s="339">
        <v>1355200</v>
      </c>
      <c r="N13" s="456"/>
      <c r="O13" s="1"/>
      <c r="P13" s="338"/>
      <c r="Q13" s="124" t="s">
        <v>726</v>
      </c>
      <c r="R13" s="313" t="s">
        <v>0</v>
      </c>
      <c r="S13" s="425"/>
      <c r="T13" s="341" t="str">
        <f t="shared" si="1"/>
        <v/>
      </c>
      <c r="U13" s="378"/>
      <c r="V13" s="378"/>
    </row>
    <row r="14" spans="1:22" ht="16.5" customHeight="1" x14ac:dyDescent="0.3">
      <c r="A14" s="420"/>
      <c r="B14" s="427"/>
      <c r="C14" s="143">
        <v>45930</v>
      </c>
      <c r="D14" s="356" t="s">
        <v>812</v>
      </c>
      <c r="E14" s="358" t="s">
        <v>857</v>
      </c>
      <c r="F14" s="124" t="s">
        <v>30</v>
      </c>
      <c r="G14" s="366" t="s">
        <v>82</v>
      </c>
      <c r="H14" s="355" t="s">
        <v>746</v>
      </c>
      <c r="I14" s="359">
        <v>1</v>
      </c>
      <c r="J14" s="339">
        <v>535000</v>
      </c>
      <c r="K14" s="346">
        <v>535000</v>
      </c>
      <c r="L14" s="339">
        <v>53500</v>
      </c>
      <c r="M14" s="339">
        <v>588500</v>
      </c>
      <c r="N14" s="474"/>
      <c r="O14" s="662"/>
      <c r="P14" s="338"/>
      <c r="Q14" s="124" t="s">
        <v>726</v>
      </c>
      <c r="R14" s="313" t="s">
        <v>0</v>
      </c>
      <c r="S14" s="425"/>
      <c r="T14" s="341" t="str">
        <f t="shared" si="1"/>
        <v/>
      </c>
      <c r="U14" s="378"/>
      <c r="V14" s="378"/>
    </row>
    <row r="15" spans="1:22" ht="16.5" customHeight="1" x14ac:dyDescent="0.3">
      <c r="A15" s="420"/>
      <c r="B15" s="427"/>
      <c r="C15" s="143">
        <v>45930</v>
      </c>
      <c r="D15" s="98" t="s">
        <v>812</v>
      </c>
      <c r="E15" s="124" t="s">
        <v>857</v>
      </c>
      <c r="F15" s="385" t="s">
        <v>30</v>
      </c>
      <c r="G15" s="124" t="s">
        <v>82</v>
      </c>
      <c r="H15" s="355" t="s">
        <v>807</v>
      </c>
      <c r="I15" s="359">
        <v>1</v>
      </c>
      <c r="J15" s="339">
        <v>2139700</v>
      </c>
      <c r="K15" s="346">
        <v>2139700</v>
      </c>
      <c r="L15" s="339">
        <v>213970</v>
      </c>
      <c r="M15" s="339">
        <v>2353670</v>
      </c>
      <c r="N15" s="456"/>
      <c r="O15" s="1"/>
      <c r="P15" s="338"/>
      <c r="Q15" s="124" t="s">
        <v>726</v>
      </c>
      <c r="R15" s="313" t="s">
        <v>0</v>
      </c>
      <c r="S15" s="425"/>
      <c r="T15" s="341" t="str">
        <f t="shared" si="1"/>
        <v/>
      </c>
      <c r="U15" s="378"/>
      <c r="V15" s="378"/>
    </row>
    <row r="16" spans="1:22" ht="16.5" customHeight="1" x14ac:dyDescent="0.3">
      <c r="A16" s="420"/>
      <c r="B16" s="427"/>
      <c r="C16" s="143">
        <v>45930</v>
      </c>
      <c r="D16" s="356" t="s">
        <v>812</v>
      </c>
      <c r="E16" s="358" t="s">
        <v>857</v>
      </c>
      <c r="F16" s="124" t="s">
        <v>30</v>
      </c>
      <c r="G16" s="366" t="s">
        <v>82</v>
      </c>
      <c r="H16" s="391" t="s">
        <v>742</v>
      </c>
      <c r="I16" s="359">
        <v>1</v>
      </c>
      <c r="J16" s="339">
        <v>573000</v>
      </c>
      <c r="K16" s="346">
        <v>573000</v>
      </c>
      <c r="L16" s="339">
        <v>57300</v>
      </c>
      <c r="M16" s="339">
        <v>630300</v>
      </c>
      <c r="N16" s="453"/>
      <c r="O16" s="1"/>
      <c r="P16" s="455"/>
      <c r="Q16" s="124" t="s">
        <v>726</v>
      </c>
      <c r="R16" s="313" t="s">
        <v>0</v>
      </c>
      <c r="S16" s="425"/>
      <c r="T16" s="341" t="str">
        <f t="shared" si="1"/>
        <v/>
      </c>
      <c r="U16" s="378"/>
      <c r="V16" s="378"/>
    </row>
    <row r="17" spans="1:22" ht="16.5" customHeight="1" x14ac:dyDescent="0.3">
      <c r="A17" s="420"/>
      <c r="B17" s="427"/>
      <c r="C17" s="143">
        <v>45930</v>
      </c>
      <c r="D17" s="356" t="s">
        <v>812</v>
      </c>
      <c r="E17" s="358" t="s">
        <v>858</v>
      </c>
      <c r="F17" s="124" t="s">
        <v>30</v>
      </c>
      <c r="G17" s="366" t="s">
        <v>82</v>
      </c>
      <c r="H17" s="355" t="s">
        <v>748</v>
      </c>
      <c r="I17" s="359">
        <v>1</v>
      </c>
      <c r="J17" s="339">
        <v>240000</v>
      </c>
      <c r="K17" s="346">
        <v>240000</v>
      </c>
      <c r="L17" s="339">
        <v>24000</v>
      </c>
      <c r="M17" s="339">
        <v>264000</v>
      </c>
      <c r="N17" s="453"/>
      <c r="O17" s="1"/>
      <c r="P17" s="455"/>
      <c r="Q17" s="124" t="s">
        <v>726</v>
      </c>
      <c r="R17" s="313" t="s">
        <v>0</v>
      </c>
      <c r="S17" s="425"/>
      <c r="T17" s="341" t="str">
        <f t="shared" si="1"/>
        <v/>
      </c>
      <c r="U17" s="378"/>
      <c r="V17" s="378"/>
    </row>
    <row r="18" spans="1:22" ht="16.5" customHeight="1" x14ac:dyDescent="0.3">
      <c r="A18" s="420"/>
      <c r="B18" s="427"/>
      <c r="C18" s="143">
        <v>45930</v>
      </c>
      <c r="D18" s="98" t="s">
        <v>812</v>
      </c>
      <c r="E18" s="124" t="s">
        <v>859</v>
      </c>
      <c r="F18" s="124" t="s">
        <v>30</v>
      </c>
      <c r="G18" s="124" t="s">
        <v>737</v>
      </c>
      <c r="H18" s="355" t="s">
        <v>748</v>
      </c>
      <c r="I18" s="359">
        <v>1</v>
      </c>
      <c r="J18" s="339">
        <v>1950000</v>
      </c>
      <c r="K18" s="346">
        <v>1950000</v>
      </c>
      <c r="L18" s="339">
        <v>195000</v>
      </c>
      <c r="M18" s="339">
        <v>2145000</v>
      </c>
      <c r="N18" s="456"/>
      <c r="O18" s="1"/>
      <c r="P18" s="338"/>
      <c r="Q18" s="124" t="s">
        <v>726</v>
      </c>
      <c r="R18" s="107" t="s">
        <v>0</v>
      </c>
      <c r="S18" s="425"/>
      <c r="T18" s="341" t="str">
        <f t="shared" si="1"/>
        <v/>
      </c>
      <c r="U18" s="378"/>
      <c r="V18" s="378"/>
    </row>
    <row r="19" spans="1:22" ht="16.5" customHeight="1" thickBot="1" x14ac:dyDescent="0.35">
      <c r="A19" s="420"/>
      <c r="B19" s="427"/>
      <c r="C19" s="579"/>
      <c r="D19" s="511"/>
      <c r="E19" s="166"/>
      <c r="F19" s="166"/>
      <c r="G19" s="166"/>
      <c r="H19" s="545"/>
      <c r="I19" s="484"/>
      <c r="J19" s="513"/>
      <c r="K19" s="514"/>
      <c r="L19" s="513"/>
      <c r="M19" s="515">
        <f>SUM(M10:M18)</f>
        <v>9212170</v>
      </c>
      <c r="N19" s="521"/>
      <c r="O19" s="522"/>
      <c r="P19" s="549"/>
      <c r="Q19" s="166"/>
      <c r="R19" s="518"/>
      <c r="S19" s="425"/>
      <c r="U19" s="378"/>
      <c r="V19" s="378"/>
    </row>
    <row r="20" spans="1:22" ht="16.5" customHeight="1" x14ac:dyDescent="0.3">
      <c r="A20" s="420"/>
      <c r="B20" s="427"/>
      <c r="C20" s="581"/>
      <c r="D20" s="526"/>
      <c r="E20" s="526"/>
      <c r="F20" s="526"/>
      <c r="G20" s="526"/>
      <c r="H20" s="536"/>
      <c r="I20" s="488"/>
      <c r="J20" s="530"/>
      <c r="K20" s="530"/>
      <c r="L20" s="530"/>
      <c r="M20" s="530"/>
      <c r="N20" s="537"/>
      <c r="O20" s="538"/>
      <c r="P20" s="558"/>
      <c r="Q20" s="526"/>
      <c r="R20" s="492"/>
      <c r="S20" s="444"/>
      <c r="U20" s="378"/>
      <c r="V20" s="378"/>
    </row>
    <row r="21" spans="1:22" ht="16.5" customHeight="1" thickBot="1" x14ac:dyDescent="0.35">
      <c r="A21" s="420"/>
      <c r="B21" s="427"/>
      <c r="C21" s="501">
        <v>45962</v>
      </c>
      <c r="D21" s="502" t="s">
        <v>841</v>
      </c>
      <c r="E21" s="493" t="s">
        <v>841</v>
      </c>
      <c r="F21" s="401" t="s">
        <v>30</v>
      </c>
      <c r="G21" s="401" t="s">
        <v>86</v>
      </c>
      <c r="H21" s="404" t="s">
        <v>723</v>
      </c>
      <c r="I21" s="375">
        <v>1</v>
      </c>
      <c r="J21" s="505">
        <v>1200000</v>
      </c>
      <c r="K21" s="506">
        <v>1200000</v>
      </c>
      <c r="L21" s="505">
        <v>120000</v>
      </c>
      <c r="M21" s="507">
        <v>1320000</v>
      </c>
      <c r="N21" s="529"/>
      <c r="O21" s="604"/>
      <c r="P21" s="510"/>
      <c r="Q21" s="493" t="s">
        <v>726</v>
      </c>
      <c r="R21" s="535" t="s">
        <v>2</v>
      </c>
      <c r="S21" s="441"/>
      <c r="U21" s="378"/>
      <c r="V21" s="378"/>
    </row>
    <row r="22" spans="1:22" ht="16.5" customHeight="1" x14ac:dyDescent="0.3">
      <c r="A22" s="420"/>
      <c r="B22" s="427"/>
      <c r="C22" s="499"/>
      <c r="D22" s="124"/>
      <c r="E22" s="124"/>
      <c r="F22" s="385"/>
      <c r="G22" s="385"/>
      <c r="H22" s="391"/>
      <c r="I22" s="365"/>
      <c r="J22" s="339"/>
      <c r="K22" s="339"/>
      <c r="L22" s="339"/>
      <c r="M22" s="339"/>
      <c r="N22" s="364"/>
      <c r="O22" s="392"/>
      <c r="P22" s="500"/>
      <c r="Q22" s="124"/>
      <c r="R22" s="313"/>
      <c r="S22" s="443"/>
      <c r="U22" s="378"/>
      <c r="V22" s="378"/>
    </row>
    <row r="23" spans="1:22" ht="16.5" customHeight="1" thickBot="1" x14ac:dyDescent="0.35">
      <c r="A23" s="420"/>
      <c r="B23" s="427"/>
      <c r="C23" s="579">
        <v>45976</v>
      </c>
      <c r="D23" s="511" t="s">
        <v>845</v>
      </c>
      <c r="E23" s="166" t="s">
        <v>850</v>
      </c>
      <c r="F23" s="166" t="s">
        <v>716</v>
      </c>
      <c r="G23" s="397" t="s">
        <v>717</v>
      </c>
      <c r="H23" s="193" t="s">
        <v>802</v>
      </c>
      <c r="I23" s="484">
        <v>1</v>
      </c>
      <c r="J23" s="513">
        <v>700000</v>
      </c>
      <c r="K23" s="514">
        <v>700000</v>
      </c>
      <c r="L23" s="513">
        <v>70000</v>
      </c>
      <c r="M23" s="515">
        <v>770000</v>
      </c>
      <c r="N23" s="485"/>
      <c r="O23" s="516"/>
      <c r="P23" s="549"/>
      <c r="Q23" s="486">
        <v>45980</v>
      </c>
      <c r="R23" s="518" t="s">
        <v>718</v>
      </c>
      <c r="S23" s="425"/>
      <c r="U23" s="378"/>
      <c r="V23" s="378"/>
    </row>
    <row r="24" spans="1:22" ht="16.5" customHeight="1" x14ac:dyDescent="0.3">
      <c r="A24" s="420"/>
      <c r="B24" s="427"/>
      <c r="C24" s="581"/>
      <c r="D24" s="526"/>
      <c r="E24" s="526"/>
      <c r="F24" s="526"/>
      <c r="G24" s="399"/>
      <c r="H24" s="552"/>
      <c r="I24" s="488"/>
      <c r="J24" s="530"/>
      <c r="K24" s="530"/>
      <c r="L24" s="530"/>
      <c r="M24" s="530"/>
      <c r="N24" s="489"/>
      <c r="O24" s="531"/>
      <c r="P24" s="558"/>
      <c r="Q24" s="491"/>
      <c r="R24" s="492"/>
      <c r="S24" s="444"/>
      <c r="U24" s="378"/>
      <c r="V24" s="378"/>
    </row>
    <row r="25" spans="1:22" ht="16.5" customHeight="1" x14ac:dyDescent="0.3">
      <c r="A25" s="420"/>
      <c r="B25" s="427"/>
      <c r="C25" s="584">
        <v>45961</v>
      </c>
      <c r="D25" s="356" t="s">
        <v>830</v>
      </c>
      <c r="E25" s="358" t="s">
        <v>824</v>
      </c>
      <c r="F25" s="385" t="s">
        <v>30</v>
      </c>
      <c r="G25" s="124" t="s">
        <v>82</v>
      </c>
      <c r="H25" s="355" t="s">
        <v>786</v>
      </c>
      <c r="I25" s="359">
        <v>1</v>
      </c>
      <c r="J25" s="339">
        <v>13057800</v>
      </c>
      <c r="K25" s="346">
        <v>13057800</v>
      </c>
      <c r="L25" s="339">
        <v>1305780</v>
      </c>
      <c r="M25" s="339">
        <v>14363580</v>
      </c>
      <c r="N25" s="456"/>
      <c r="O25" s="1"/>
      <c r="P25" s="628"/>
      <c r="Q25" s="465" t="s">
        <v>726</v>
      </c>
      <c r="R25" s="311" t="s">
        <v>0</v>
      </c>
      <c r="S25" s="425"/>
      <c r="T25" s="341" t="str">
        <f>IF(S25="","","입금완료")</f>
        <v/>
      </c>
      <c r="U25" s="378"/>
      <c r="V25" s="378"/>
    </row>
    <row r="26" spans="1:22" ht="16.5" customHeight="1" x14ac:dyDescent="0.3">
      <c r="A26" s="420"/>
      <c r="B26" s="427"/>
      <c r="C26" s="584">
        <v>45961</v>
      </c>
      <c r="D26" s="98" t="s">
        <v>830</v>
      </c>
      <c r="E26" s="124" t="s">
        <v>876</v>
      </c>
      <c r="F26" s="124" t="s">
        <v>30</v>
      </c>
      <c r="G26" s="124" t="s">
        <v>82</v>
      </c>
      <c r="H26" s="355" t="s">
        <v>785</v>
      </c>
      <c r="I26" s="359">
        <v>1</v>
      </c>
      <c r="J26" s="339">
        <v>202000</v>
      </c>
      <c r="K26" s="346">
        <v>202000</v>
      </c>
      <c r="L26" s="339">
        <v>20200</v>
      </c>
      <c r="M26" s="339">
        <v>222200</v>
      </c>
      <c r="N26" s="474"/>
      <c r="O26" s="1"/>
      <c r="P26" s="338"/>
      <c r="Q26" s="465" t="s">
        <v>726</v>
      </c>
      <c r="R26" s="313" t="s">
        <v>0</v>
      </c>
      <c r="S26" s="425"/>
      <c r="T26" s="341" t="str">
        <f>IF(S26="","","입금완료")</f>
        <v/>
      </c>
      <c r="U26" s="378"/>
      <c r="V26" s="378"/>
    </row>
    <row r="27" spans="1:22" ht="16.5" customHeight="1" thickBot="1" x14ac:dyDescent="0.35">
      <c r="A27" s="420"/>
      <c r="B27" s="427"/>
      <c r="C27" s="501"/>
      <c r="D27" s="502"/>
      <c r="E27" s="493"/>
      <c r="F27" s="493"/>
      <c r="G27" s="503"/>
      <c r="H27" s="504"/>
      <c r="I27" s="494"/>
      <c r="J27" s="505"/>
      <c r="K27" s="506"/>
      <c r="L27" s="505"/>
      <c r="M27" s="507">
        <f>SUM(M25:M26)</f>
        <v>14585780</v>
      </c>
      <c r="N27" s="542"/>
      <c r="O27" s="509"/>
      <c r="P27" s="555"/>
      <c r="Q27" s="480"/>
      <c r="R27" s="481"/>
      <c r="S27" s="441"/>
      <c r="U27" s="378"/>
      <c r="V27" s="378"/>
    </row>
    <row r="28" spans="1:22" ht="16.5" customHeight="1" x14ac:dyDescent="0.3">
      <c r="A28" s="420"/>
      <c r="B28" s="427"/>
      <c r="C28" s="499"/>
      <c r="D28" s="124"/>
      <c r="E28" s="124"/>
      <c r="F28" s="124"/>
      <c r="G28" s="366"/>
      <c r="H28" s="355"/>
      <c r="I28" s="359"/>
      <c r="J28" s="339"/>
      <c r="K28" s="339"/>
      <c r="L28" s="339"/>
      <c r="M28" s="339"/>
      <c r="N28" s="474"/>
      <c r="O28" s="475"/>
      <c r="P28" s="551"/>
      <c r="Q28" s="465"/>
      <c r="R28" s="313"/>
      <c r="S28" s="443"/>
      <c r="U28" s="378"/>
      <c r="V28" s="378"/>
    </row>
    <row r="29" spans="1:22" ht="16.5" customHeight="1" x14ac:dyDescent="0.3">
      <c r="A29" s="420"/>
      <c r="B29" s="427"/>
      <c r="C29" s="143">
        <v>45931</v>
      </c>
      <c r="D29" s="98" t="s">
        <v>817</v>
      </c>
      <c r="E29" s="124" t="s">
        <v>838</v>
      </c>
      <c r="F29" s="124" t="s">
        <v>30</v>
      </c>
      <c r="G29" s="411" t="s">
        <v>719</v>
      </c>
      <c r="H29" s="410" t="s">
        <v>759</v>
      </c>
      <c r="I29" s="631">
        <v>1</v>
      </c>
      <c r="J29" s="390">
        <v>1233000</v>
      </c>
      <c r="K29" s="326">
        <v>1233000</v>
      </c>
      <c r="L29" s="351">
        <v>123300</v>
      </c>
      <c r="M29" s="351">
        <v>1356300</v>
      </c>
      <c r="N29" s="462"/>
      <c r="O29" s="389"/>
      <c r="P29" s="632"/>
      <c r="Q29" s="465" t="s">
        <v>726</v>
      </c>
      <c r="R29" s="311" t="s">
        <v>0</v>
      </c>
      <c r="S29" s="425"/>
      <c r="T29" s="341" t="str">
        <f>IF(S29="","","입금완료")</f>
        <v/>
      </c>
      <c r="U29" s="378"/>
      <c r="V29" s="378"/>
    </row>
    <row r="30" spans="1:22" ht="16.5" customHeight="1" x14ac:dyDescent="0.3">
      <c r="A30" s="420"/>
      <c r="B30" s="427"/>
      <c r="C30" s="143">
        <v>45961</v>
      </c>
      <c r="D30" s="356" t="s">
        <v>817</v>
      </c>
      <c r="E30" s="394" t="s">
        <v>873</v>
      </c>
      <c r="F30" s="385" t="s">
        <v>30</v>
      </c>
      <c r="G30" s="411" t="s">
        <v>719</v>
      </c>
      <c r="H30" s="386" t="s">
        <v>781</v>
      </c>
      <c r="I30" s="571">
        <v>1</v>
      </c>
      <c r="J30" s="349">
        <v>180000</v>
      </c>
      <c r="K30" s="346">
        <v>180000</v>
      </c>
      <c r="L30" s="339">
        <v>18000</v>
      </c>
      <c r="M30" s="339">
        <v>198000</v>
      </c>
      <c r="N30" s="453"/>
      <c r="O30" s="460"/>
      <c r="P30" s="455"/>
      <c r="Q30" s="465" t="s">
        <v>726</v>
      </c>
      <c r="R30" s="313" t="s">
        <v>0</v>
      </c>
      <c r="S30" s="425"/>
      <c r="T30" s="341" t="str">
        <f>IF(S30="","","입금완료")</f>
        <v/>
      </c>
      <c r="U30" s="378"/>
      <c r="V30" s="378"/>
    </row>
    <row r="31" spans="1:22" ht="16.5" customHeight="1" x14ac:dyDescent="0.3">
      <c r="A31" s="420"/>
      <c r="B31" s="427"/>
      <c r="C31" s="143">
        <v>45961</v>
      </c>
      <c r="D31" s="356" t="s">
        <v>817</v>
      </c>
      <c r="E31" s="394" t="s">
        <v>874</v>
      </c>
      <c r="F31" s="385" t="s">
        <v>30</v>
      </c>
      <c r="G31" s="411" t="s">
        <v>719</v>
      </c>
      <c r="H31" s="391" t="s">
        <v>781</v>
      </c>
      <c r="I31" s="571">
        <v>1</v>
      </c>
      <c r="J31" s="349">
        <v>240000</v>
      </c>
      <c r="K31" s="346">
        <v>240000</v>
      </c>
      <c r="L31" s="339">
        <v>24000</v>
      </c>
      <c r="M31" s="339">
        <v>264000</v>
      </c>
      <c r="N31" s="453"/>
      <c r="O31" s="460"/>
      <c r="P31" s="455"/>
      <c r="Q31" s="465" t="s">
        <v>726</v>
      </c>
      <c r="R31" s="313" t="s">
        <v>0</v>
      </c>
      <c r="S31" s="425"/>
      <c r="T31" s="341" t="str">
        <f>IF(S31="","","입금완료")</f>
        <v/>
      </c>
      <c r="U31" s="378"/>
      <c r="V31" s="378"/>
    </row>
    <row r="32" spans="1:22" ht="16.5" customHeight="1" thickBot="1" x14ac:dyDescent="0.35">
      <c r="A32" s="420"/>
      <c r="B32" s="427"/>
      <c r="C32" s="579"/>
      <c r="D32" s="482"/>
      <c r="E32" s="512"/>
      <c r="F32" s="397"/>
      <c r="G32" s="417"/>
      <c r="H32" s="398"/>
      <c r="I32" s="585"/>
      <c r="J32" s="354"/>
      <c r="K32" s="514"/>
      <c r="L32" s="513"/>
      <c r="M32" s="515">
        <f>SUM(M29:M31)</f>
        <v>1818300</v>
      </c>
      <c r="N32" s="485"/>
      <c r="O32" s="516"/>
      <c r="P32" s="517"/>
      <c r="Q32" s="486"/>
      <c r="R32" s="186"/>
      <c r="S32" s="425"/>
      <c r="U32" s="378"/>
      <c r="V32" s="378"/>
    </row>
    <row r="33" spans="1:22" ht="16.5" customHeight="1" x14ac:dyDescent="0.3">
      <c r="A33" s="420"/>
      <c r="B33" s="427"/>
      <c r="C33" s="581"/>
      <c r="D33" s="487"/>
      <c r="E33" s="477"/>
      <c r="F33" s="399"/>
      <c r="G33" s="414"/>
      <c r="H33" s="400"/>
      <c r="I33" s="586"/>
      <c r="J33" s="353"/>
      <c r="K33" s="530"/>
      <c r="L33" s="530"/>
      <c r="M33" s="530"/>
      <c r="N33" s="489"/>
      <c r="O33" s="531"/>
      <c r="P33" s="532"/>
      <c r="Q33" s="491"/>
      <c r="R33" s="492"/>
      <c r="S33" s="444"/>
      <c r="U33" s="378"/>
      <c r="V33" s="378"/>
    </row>
    <row r="34" spans="1:22" ht="16.5" customHeight="1" thickBot="1" x14ac:dyDescent="0.35">
      <c r="A34" s="420"/>
      <c r="B34" s="427"/>
      <c r="C34" s="501">
        <v>45986</v>
      </c>
      <c r="D34" s="478" t="s">
        <v>848</v>
      </c>
      <c r="E34" s="402"/>
      <c r="F34" s="401" t="s">
        <v>30</v>
      </c>
      <c r="G34" s="413" t="s">
        <v>86</v>
      </c>
      <c r="H34" s="404" t="s">
        <v>806</v>
      </c>
      <c r="I34" s="371">
        <v>1</v>
      </c>
      <c r="J34" s="505">
        <v>200000</v>
      </c>
      <c r="K34" s="506">
        <v>310000</v>
      </c>
      <c r="L34" s="505">
        <v>31000</v>
      </c>
      <c r="M34" s="507">
        <v>341000</v>
      </c>
      <c r="N34" s="495"/>
      <c r="O34" s="663"/>
      <c r="P34" s="510"/>
      <c r="Q34" s="480" t="s">
        <v>726</v>
      </c>
      <c r="R34" s="481" t="s">
        <v>4</v>
      </c>
      <c r="S34" s="441"/>
      <c r="U34" s="378"/>
      <c r="V34" s="378"/>
    </row>
    <row r="35" spans="1:22" ht="16.5" customHeight="1" x14ac:dyDescent="0.3">
      <c r="A35" s="420"/>
      <c r="B35" s="427"/>
      <c r="C35" s="581"/>
      <c r="D35" s="487"/>
      <c r="E35" s="477"/>
      <c r="F35" s="399"/>
      <c r="G35" s="414"/>
      <c r="H35" s="400"/>
      <c r="I35" s="369"/>
      <c r="J35" s="530"/>
      <c r="K35" s="530"/>
      <c r="L35" s="530"/>
      <c r="M35" s="530"/>
      <c r="N35" s="489"/>
      <c r="O35" s="668"/>
      <c r="P35" s="532"/>
      <c r="Q35" s="491"/>
      <c r="R35" s="492"/>
      <c r="S35" s="444"/>
      <c r="U35" s="378"/>
      <c r="V35" s="378"/>
    </row>
    <row r="36" spans="1:22" ht="16.5" customHeight="1" thickBot="1" x14ac:dyDescent="0.35">
      <c r="A36" s="420"/>
      <c r="B36" s="427"/>
      <c r="C36" s="501">
        <v>45955</v>
      </c>
      <c r="D36" s="478" t="s">
        <v>821</v>
      </c>
      <c r="E36" s="402" t="s">
        <v>865</v>
      </c>
      <c r="F36" s="401" t="s">
        <v>30</v>
      </c>
      <c r="G36" s="413" t="s">
        <v>86</v>
      </c>
      <c r="H36" s="404" t="s">
        <v>767</v>
      </c>
      <c r="I36" s="371">
        <v>1</v>
      </c>
      <c r="J36" s="505">
        <v>320000</v>
      </c>
      <c r="K36" s="506">
        <v>320000</v>
      </c>
      <c r="L36" s="505">
        <v>32000</v>
      </c>
      <c r="M36" s="507">
        <v>352000</v>
      </c>
      <c r="N36" s="598"/>
      <c r="O36" s="418"/>
      <c r="P36" s="510"/>
      <c r="Q36" s="480" t="s">
        <v>726</v>
      </c>
      <c r="R36" s="481" t="s">
        <v>9</v>
      </c>
      <c r="S36" s="441"/>
      <c r="T36" s="341" t="str">
        <f>IF(S36="","","입금완료")</f>
        <v/>
      </c>
      <c r="U36" s="378"/>
      <c r="V36" s="378"/>
    </row>
    <row r="37" spans="1:22" ht="16.5" customHeight="1" x14ac:dyDescent="0.3">
      <c r="A37" s="420"/>
      <c r="B37" s="427"/>
      <c r="C37" s="499"/>
      <c r="D37" s="124"/>
      <c r="E37" s="124"/>
      <c r="F37" s="124"/>
      <c r="G37" s="366"/>
      <c r="H37" s="355"/>
      <c r="I37" s="359"/>
      <c r="J37" s="339"/>
      <c r="K37" s="339"/>
      <c r="L37" s="339"/>
      <c r="M37" s="339"/>
      <c r="N37" s="462"/>
      <c r="O37" s="475"/>
      <c r="P37" s="500"/>
      <c r="Q37" s="465"/>
      <c r="R37" s="313"/>
      <c r="S37" s="443"/>
      <c r="U37" s="378"/>
      <c r="V37" s="378"/>
    </row>
    <row r="38" spans="1:22" ht="16.5" customHeight="1" thickBot="1" x14ac:dyDescent="0.35">
      <c r="A38" s="420"/>
      <c r="B38" s="427"/>
      <c r="C38" s="579">
        <v>45961</v>
      </c>
      <c r="D38" s="482" t="s">
        <v>821</v>
      </c>
      <c r="E38" s="483" t="s">
        <v>838</v>
      </c>
      <c r="F38" s="511" t="s">
        <v>30</v>
      </c>
      <c r="G38" s="417" t="s">
        <v>86</v>
      </c>
      <c r="H38" s="398" t="s">
        <v>785</v>
      </c>
      <c r="I38" s="484">
        <v>1</v>
      </c>
      <c r="J38" s="513">
        <v>155000</v>
      </c>
      <c r="K38" s="514">
        <v>155000</v>
      </c>
      <c r="L38" s="513">
        <v>15500</v>
      </c>
      <c r="M38" s="515">
        <v>170500</v>
      </c>
      <c r="N38" s="485"/>
      <c r="O38" s="516"/>
      <c r="P38" s="517"/>
      <c r="Q38" s="486" t="s">
        <v>726</v>
      </c>
      <c r="R38" s="241" t="s">
        <v>2</v>
      </c>
      <c r="S38" s="425"/>
      <c r="T38" s="341" t="str">
        <f>IF(S38="","","입금완료")</f>
        <v/>
      </c>
      <c r="U38" s="378"/>
      <c r="V38" s="378"/>
    </row>
    <row r="39" spans="1:22" ht="16.5" customHeight="1" x14ac:dyDescent="0.3">
      <c r="A39" s="420"/>
      <c r="B39" s="427"/>
      <c r="C39" s="581"/>
      <c r="D39" s="487"/>
      <c r="E39" s="487"/>
      <c r="F39" s="526"/>
      <c r="G39" s="414"/>
      <c r="H39" s="400"/>
      <c r="I39" s="488"/>
      <c r="J39" s="530"/>
      <c r="K39" s="530"/>
      <c r="L39" s="530"/>
      <c r="M39" s="530"/>
      <c r="N39" s="489"/>
      <c r="O39" s="531"/>
      <c r="P39" s="532"/>
      <c r="Q39" s="491"/>
      <c r="R39" s="528"/>
      <c r="S39" s="444"/>
      <c r="U39" s="378"/>
      <c r="V39" s="378"/>
    </row>
    <row r="40" spans="1:22" ht="16.5" customHeight="1" x14ac:dyDescent="0.3">
      <c r="A40" s="420"/>
      <c r="B40" s="427"/>
      <c r="C40" s="584">
        <v>45960</v>
      </c>
      <c r="D40" s="98" t="s">
        <v>824</v>
      </c>
      <c r="E40" s="124"/>
      <c r="F40" s="124" t="s">
        <v>48</v>
      </c>
      <c r="G40" s="600" t="s">
        <v>775</v>
      </c>
      <c r="H40" s="355" t="s">
        <v>776</v>
      </c>
      <c r="I40" s="359">
        <v>1</v>
      </c>
      <c r="J40" s="339">
        <v>220000</v>
      </c>
      <c r="K40" s="346">
        <v>220000</v>
      </c>
      <c r="L40" s="339">
        <v>22000</v>
      </c>
      <c r="M40" s="339">
        <v>242000</v>
      </c>
      <c r="N40" s="456"/>
      <c r="O40" s="1"/>
      <c r="P40" s="338"/>
      <c r="Q40" s="124" t="s">
        <v>726</v>
      </c>
      <c r="R40" s="313" t="s">
        <v>4</v>
      </c>
      <c r="S40" s="425"/>
      <c r="T40" s="341" t="str">
        <f>IF(S40="","","입금완료")</f>
        <v/>
      </c>
      <c r="U40" s="378"/>
      <c r="V40" s="378"/>
    </row>
    <row r="41" spans="1:22" ht="16.5" customHeight="1" x14ac:dyDescent="0.3">
      <c r="A41" s="420"/>
      <c r="B41" s="427"/>
      <c r="C41" s="584">
        <v>45961</v>
      </c>
      <c r="D41" s="98" t="s">
        <v>824</v>
      </c>
      <c r="E41" s="124"/>
      <c r="F41" s="124" t="s">
        <v>30</v>
      </c>
      <c r="G41" s="124" t="s">
        <v>86</v>
      </c>
      <c r="H41" s="386" t="s">
        <v>769</v>
      </c>
      <c r="I41" s="359">
        <v>1</v>
      </c>
      <c r="J41" s="339">
        <v>3611000</v>
      </c>
      <c r="K41" s="346">
        <v>3611000</v>
      </c>
      <c r="L41" s="339">
        <v>361100</v>
      </c>
      <c r="M41" s="339">
        <v>3972100</v>
      </c>
      <c r="N41" s="364"/>
      <c r="O41" s="389"/>
      <c r="P41" s="455"/>
      <c r="Q41" s="465" t="s">
        <v>726</v>
      </c>
      <c r="R41" s="313" t="s">
        <v>4</v>
      </c>
      <c r="S41" s="425"/>
      <c r="T41" s="341" t="str">
        <f>IF(S41="","","입금완료")</f>
        <v/>
      </c>
      <c r="U41" s="378"/>
      <c r="V41" s="378"/>
    </row>
    <row r="42" spans="1:22" ht="16.5" customHeight="1" thickBot="1" x14ac:dyDescent="0.35">
      <c r="A42" s="420"/>
      <c r="B42" s="427"/>
      <c r="C42" s="501"/>
      <c r="D42" s="502"/>
      <c r="E42" s="493"/>
      <c r="F42" s="493"/>
      <c r="G42" s="493"/>
      <c r="H42" s="409"/>
      <c r="I42" s="494"/>
      <c r="J42" s="505"/>
      <c r="K42" s="506"/>
      <c r="L42" s="505"/>
      <c r="M42" s="507">
        <f>SUM(M40:M41)</f>
        <v>4214100</v>
      </c>
      <c r="N42" s="597"/>
      <c r="O42" s="416"/>
      <c r="P42" s="510"/>
      <c r="Q42" s="480"/>
      <c r="R42" s="481"/>
      <c r="S42" s="441"/>
      <c r="U42" s="378"/>
      <c r="V42" s="378"/>
    </row>
    <row r="43" spans="1:22" ht="16.5" customHeight="1" x14ac:dyDescent="0.3">
      <c r="A43" s="420"/>
      <c r="B43" s="427"/>
      <c r="C43" s="499"/>
      <c r="D43" s="124"/>
      <c r="E43" s="124"/>
      <c r="F43" s="124"/>
      <c r="G43" s="124"/>
      <c r="H43" s="391"/>
      <c r="I43" s="359"/>
      <c r="J43" s="339"/>
      <c r="K43" s="339"/>
      <c r="L43" s="339"/>
      <c r="M43" s="339"/>
      <c r="N43" s="364"/>
      <c r="O43" s="392"/>
      <c r="P43" s="500"/>
      <c r="Q43" s="465"/>
      <c r="R43" s="313"/>
      <c r="S43" s="443"/>
      <c r="U43" s="378"/>
      <c r="V43" s="378"/>
    </row>
    <row r="44" spans="1:22" ht="16.5" customHeight="1" thickBot="1" x14ac:dyDescent="0.35">
      <c r="A44" s="420"/>
      <c r="B44" s="427"/>
      <c r="C44" s="579">
        <v>45962</v>
      </c>
      <c r="D44" s="511" t="s">
        <v>827</v>
      </c>
      <c r="E44" s="166" t="s">
        <v>883</v>
      </c>
      <c r="F44" s="166" t="s">
        <v>30</v>
      </c>
      <c r="G44" s="397" t="s">
        <v>82</v>
      </c>
      <c r="H44" s="561" t="s">
        <v>724</v>
      </c>
      <c r="I44" s="484">
        <v>1</v>
      </c>
      <c r="J44" s="513">
        <v>248000</v>
      </c>
      <c r="K44" s="514">
        <v>248000</v>
      </c>
      <c r="L44" s="513">
        <v>24800</v>
      </c>
      <c r="M44" s="515">
        <v>272800</v>
      </c>
      <c r="N44" s="546"/>
      <c r="O44" s="286"/>
      <c r="P44" s="549"/>
      <c r="Q44" s="166" t="s">
        <v>726</v>
      </c>
      <c r="R44" s="186" t="s">
        <v>0</v>
      </c>
      <c r="S44" s="425"/>
      <c r="U44" s="378"/>
      <c r="V44" s="378"/>
    </row>
    <row r="45" spans="1:22" ht="16.5" customHeight="1" x14ac:dyDescent="0.3">
      <c r="A45" s="420"/>
      <c r="B45" s="427"/>
      <c r="C45" s="581"/>
      <c r="D45" s="526"/>
      <c r="E45" s="526"/>
      <c r="F45" s="526"/>
      <c r="G45" s="399"/>
      <c r="H45" s="565"/>
      <c r="I45" s="488"/>
      <c r="J45" s="530"/>
      <c r="K45" s="530"/>
      <c r="L45" s="530"/>
      <c r="M45" s="530"/>
      <c r="N45" s="537"/>
      <c r="O45" s="538"/>
      <c r="P45" s="558"/>
      <c r="Q45" s="526"/>
      <c r="R45" s="492"/>
      <c r="S45" s="444"/>
      <c r="U45" s="378"/>
      <c r="V45" s="378"/>
    </row>
    <row r="46" spans="1:22" ht="16.5" customHeight="1" thickBot="1" x14ac:dyDescent="0.35">
      <c r="A46" s="420"/>
      <c r="B46" s="427"/>
      <c r="C46" s="501">
        <v>45961</v>
      </c>
      <c r="D46" s="478" t="s">
        <v>827</v>
      </c>
      <c r="E46" s="479" t="s">
        <v>819</v>
      </c>
      <c r="F46" s="493" t="s">
        <v>30</v>
      </c>
      <c r="G46" s="493" t="s">
        <v>82</v>
      </c>
      <c r="H46" s="404" t="s">
        <v>782</v>
      </c>
      <c r="I46" s="494">
        <v>1</v>
      </c>
      <c r="J46" s="506">
        <v>8490300</v>
      </c>
      <c r="K46" s="506">
        <v>8490300</v>
      </c>
      <c r="L46" s="505">
        <v>849030</v>
      </c>
      <c r="M46" s="507">
        <v>9339330</v>
      </c>
      <c r="N46" s="495"/>
      <c r="O46" s="448"/>
      <c r="P46" s="510"/>
      <c r="Q46" s="480" t="s">
        <v>726</v>
      </c>
      <c r="R46" s="535" t="s">
        <v>0</v>
      </c>
      <c r="S46" s="441"/>
      <c r="T46" s="341" t="str">
        <f>IF(S46="","","입금완료")</f>
        <v/>
      </c>
      <c r="U46" s="378"/>
      <c r="V46" s="378"/>
    </row>
    <row r="47" spans="1:22" ht="16.5" customHeight="1" x14ac:dyDescent="0.3">
      <c r="A47" s="420"/>
      <c r="B47" s="427"/>
      <c r="C47" s="499"/>
      <c r="D47" s="358"/>
      <c r="E47" s="358"/>
      <c r="F47" s="124"/>
      <c r="G47" s="366"/>
      <c r="H47" s="391"/>
      <c r="I47" s="359"/>
      <c r="J47" s="339"/>
      <c r="K47" s="339"/>
      <c r="L47" s="339"/>
      <c r="M47" s="339"/>
      <c r="N47" s="462"/>
      <c r="O47" s="437"/>
      <c r="P47" s="500"/>
      <c r="Q47" s="465"/>
      <c r="R47" s="313"/>
      <c r="S47" s="443"/>
      <c r="U47" s="378"/>
      <c r="V47" s="378"/>
    </row>
    <row r="48" spans="1:22" ht="16.5" customHeight="1" x14ac:dyDescent="0.3">
      <c r="A48" s="420"/>
      <c r="B48" s="427"/>
      <c r="C48" s="143">
        <v>45961</v>
      </c>
      <c r="D48" s="356" t="s">
        <v>826</v>
      </c>
      <c r="E48" s="358" t="s">
        <v>872</v>
      </c>
      <c r="F48" s="124" t="s">
        <v>30</v>
      </c>
      <c r="G48" s="411" t="s">
        <v>82</v>
      </c>
      <c r="H48" s="391" t="s">
        <v>780</v>
      </c>
      <c r="I48" s="348">
        <v>1</v>
      </c>
      <c r="J48" s="349">
        <v>11178000</v>
      </c>
      <c r="K48" s="346">
        <v>11178000</v>
      </c>
      <c r="L48" s="339">
        <v>1117800</v>
      </c>
      <c r="M48" s="339">
        <v>12295800</v>
      </c>
      <c r="N48" s="453"/>
      <c r="O48" s="1"/>
      <c r="P48" s="455"/>
      <c r="Q48" s="465" t="s">
        <v>726</v>
      </c>
      <c r="R48" s="313" t="s">
        <v>0</v>
      </c>
      <c r="S48" s="425"/>
      <c r="T48" s="341" t="str">
        <f>IF(S48="","","입금완료")</f>
        <v/>
      </c>
      <c r="U48" s="378"/>
      <c r="V48" s="378"/>
    </row>
    <row r="49" spans="1:22" ht="16.5" customHeight="1" x14ac:dyDescent="0.3">
      <c r="A49" s="420"/>
      <c r="B49" s="427"/>
      <c r="C49" s="143">
        <v>45961</v>
      </c>
      <c r="D49" s="356" t="s">
        <v>826</v>
      </c>
      <c r="E49" s="394" t="s">
        <v>824</v>
      </c>
      <c r="F49" s="385" t="s">
        <v>30</v>
      </c>
      <c r="G49" s="411" t="s">
        <v>82</v>
      </c>
      <c r="H49" s="387" t="s">
        <v>769</v>
      </c>
      <c r="I49" s="362">
        <v>1</v>
      </c>
      <c r="J49" s="339">
        <v>585000</v>
      </c>
      <c r="K49" s="346">
        <v>585000</v>
      </c>
      <c r="L49" s="339">
        <v>58500</v>
      </c>
      <c r="M49" s="339">
        <v>643500</v>
      </c>
      <c r="N49" s="453"/>
      <c r="O49" s="1"/>
      <c r="P49" s="455"/>
      <c r="Q49" s="465" t="s">
        <v>726</v>
      </c>
      <c r="R49" s="313" t="s">
        <v>0</v>
      </c>
      <c r="S49" s="425"/>
      <c r="T49" s="341" t="str">
        <f>IF(S49="","","입금완료")</f>
        <v/>
      </c>
      <c r="U49" s="378"/>
      <c r="V49" s="378"/>
    </row>
    <row r="50" spans="1:22" ht="16.5" customHeight="1" thickBot="1" x14ac:dyDescent="0.35">
      <c r="A50" s="420"/>
      <c r="B50" s="427"/>
      <c r="C50" s="579"/>
      <c r="D50" s="482"/>
      <c r="E50" s="512"/>
      <c r="F50" s="397"/>
      <c r="G50" s="417"/>
      <c r="H50" s="640"/>
      <c r="I50" s="372"/>
      <c r="J50" s="513"/>
      <c r="K50" s="514"/>
      <c r="L50" s="513"/>
      <c r="M50" s="515">
        <f>SUM(M48:M49)</f>
        <v>12939300</v>
      </c>
      <c r="N50" s="485"/>
      <c r="O50" s="522"/>
      <c r="P50" s="517"/>
      <c r="Q50" s="486"/>
      <c r="R50" s="186"/>
      <c r="S50" s="425"/>
      <c r="U50" s="378"/>
      <c r="V50" s="378"/>
    </row>
    <row r="51" spans="1:22" ht="16.5" customHeight="1" x14ac:dyDescent="0.3">
      <c r="A51" s="420"/>
      <c r="B51" s="427"/>
      <c r="C51" s="581"/>
      <c r="D51" s="487"/>
      <c r="E51" s="477"/>
      <c r="F51" s="399"/>
      <c r="G51" s="414"/>
      <c r="H51" s="565"/>
      <c r="I51" s="369"/>
      <c r="J51" s="530"/>
      <c r="K51" s="530"/>
      <c r="L51" s="530"/>
      <c r="M51" s="530"/>
      <c r="N51" s="489"/>
      <c r="O51" s="538"/>
      <c r="P51" s="532"/>
      <c r="Q51" s="491"/>
      <c r="R51" s="492"/>
      <c r="S51" s="444"/>
      <c r="U51" s="378"/>
      <c r="V51" s="378"/>
    </row>
    <row r="52" spans="1:22" ht="16.5" customHeight="1" thickBot="1" x14ac:dyDescent="0.35">
      <c r="A52" s="420"/>
      <c r="B52" s="427"/>
      <c r="C52" s="340">
        <v>45972</v>
      </c>
      <c r="D52" s="502" t="s">
        <v>844</v>
      </c>
      <c r="E52" s="493" t="s">
        <v>885</v>
      </c>
      <c r="F52" s="401" t="s">
        <v>716</v>
      </c>
      <c r="G52" s="413" t="s">
        <v>717</v>
      </c>
      <c r="H52" s="556" t="s">
        <v>801</v>
      </c>
      <c r="I52" s="574">
        <v>1</v>
      </c>
      <c r="J52" s="352">
        <v>360000</v>
      </c>
      <c r="K52" s="506">
        <v>720000</v>
      </c>
      <c r="L52" s="505">
        <v>72000</v>
      </c>
      <c r="M52" s="507">
        <v>792000</v>
      </c>
      <c r="N52" s="495"/>
      <c r="O52" s="496"/>
      <c r="P52" s="510"/>
      <c r="Q52" s="480" t="s">
        <v>726</v>
      </c>
      <c r="R52" s="481" t="s">
        <v>718</v>
      </c>
      <c r="S52" s="441"/>
      <c r="U52" s="378"/>
      <c r="V52" s="378"/>
    </row>
    <row r="53" spans="1:22" ht="16.5" customHeight="1" x14ac:dyDescent="0.3">
      <c r="A53" s="420"/>
      <c r="B53" s="427"/>
      <c r="C53" s="370"/>
      <c r="D53" s="124"/>
      <c r="E53" s="124"/>
      <c r="F53" s="385"/>
      <c r="G53" s="411"/>
      <c r="H53" s="146"/>
      <c r="I53" s="348"/>
      <c r="J53" s="349"/>
      <c r="K53" s="339"/>
      <c r="L53" s="339"/>
      <c r="M53" s="339"/>
      <c r="N53" s="462"/>
      <c r="O53" s="454"/>
      <c r="P53" s="500"/>
      <c r="Q53" s="465"/>
      <c r="R53" s="313"/>
      <c r="S53" s="443"/>
      <c r="U53" s="378"/>
      <c r="V53" s="378"/>
    </row>
    <row r="54" spans="1:22" ht="24" x14ac:dyDescent="0.3">
      <c r="A54" s="420"/>
      <c r="B54" s="427"/>
      <c r="C54" s="97">
        <v>45706</v>
      </c>
      <c r="D54" s="422" t="s">
        <v>808</v>
      </c>
      <c r="E54" s="430" t="s">
        <v>849</v>
      </c>
      <c r="F54" s="430" t="s">
        <v>629</v>
      </c>
      <c r="G54" s="603" t="s">
        <v>727</v>
      </c>
      <c r="H54" s="423" t="s">
        <v>730</v>
      </c>
      <c r="I54" s="428">
        <v>1</v>
      </c>
      <c r="J54" s="349">
        <v>200000</v>
      </c>
      <c r="K54" s="347">
        <v>200000</v>
      </c>
      <c r="L54" s="349">
        <v>20000</v>
      </c>
      <c r="M54" s="349">
        <v>220000</v>
      </c>
      <c r="N54" s="363"/>
      <c r="O54" s="393"/>
      <c r="P54" s="570"/>
      <c r="Q54" s="467" t="s">
        <v>36</v>
      </c>
      <c r="R54" s="426" t="s">
        <v>8</v>
      </c>
      <c r="S54" s="425"/>
      <c r="T54" s="341" t="str">
        <f>IF(S54="","","입금완료")</f>
        <v/>
      </c>
      <c r="U54" s="378"/>
      <c r="V54" s="378"/>
    </row>
    <row r="55" spans="1:22" ht="36" x14ac:dyDescent="0.3">
      <c r="A55" s="420"/>
      <c r="B55" s="427"/>
      <c r="C55" s="97">
        <v>45726</v>
      </c>
      <c r="D55" s="422" t="s">
        <v>808</v>
      </c>
      <c r="E55" s="430" t="s">
        <v>849</v>
      </c>
      <c r="F55" s="429" t="s">
        <v>629</v>
      </c>
      <c r="G55" s="430" t="s">
        <v>727</v>
      </c>
      <c r="H55" s="423" t="s">
        <v>731</v>
      </c>
      <c r="I55" s="424">
        <v>1</v>
      </c>
      <c r="J55" s="349">
        <v>200000</v>
      </c>
      <c r="K55" s="347">
        <v>200000</v>
      </c>
      <c r="L55" s="349">
        <v>20000</v>
      </c>
      <c r="M55" s="349">
        <v>220000</v>
      </c>
      <c r="N55" s="363"/>
      <c r="O55" s="412"/>
      <c r="P55" s="570"/>
      <c r="Q55" s="467" t="s">
        <v>352</v>
      </c>
      <c r="R55" s="426" t="s">
        <v>8</v>
      </c>
      <c r="S55" s="425"/>
      <c r="T55" s="341" t="str">
        <f>IF(S55="","","입금완료")</f>
        <v/>
      </c>
      <c r="U55" s="378"/>
      <c r="V55" s="378"/>
    </row>
    <row r="56" spans="1:22" ht="24" x14ac:dyDescent="0.3">
      <c r="A56" s="420"/>
      <c r="B56" s="427"/>
      <c r="C56" s="143">
        <v>45747</v>
      </c>
      <c r="D56" s="98" t="s">
        <v>808</v>
      </c>
      <c r="E56" s="430" t="s">
        <v>849</v>
      </c>
      <c r="F56" s="470" t="s">
        <v>629</v>
      </c>
      <c r="G56" s="603" t="s">
        <v>727</v>
      </c>
      <c r="H56" s="355" t="s">
        <v>732</v>
      </c>
      <c r="I56" s="359">
        <v>2</v>
      </c>
      <c r="J56" s="346">
        <v>180000</v>
      </c>
      <c r="K56" s="346">
        <v>360000</v>
      </c>
      <c r="L56" s="339">
        <v>36000</v>
      </c>
      <c r="M56" s="339">
        <v>396000</v>
      </c>
      <c r="N56" s="363"/>
      <c r="O56" s="393"/>
      <c r="P56" s="570"/>
      <c r="Q56" s="466" t="s">
        <v>352</v>
      </c>
      <c r="R56" s="311" t="s">
        <v>8</v>
      </c>
      <c r="S56" s="425"/>
      <c r="T56" s="341" t="str">
        <f>IF(S56="","","입금완료")</f>
        <v/>
      </c>
      <c r="U56" s="378"/>
      <c r="V56" s="378"/>
    </row>
    <row r="57" spans="1:22" ht="24" x14ac:dyDescent="0.3">
      <c r="A57" s="420"/>
      <c r="B57" s="427"/>
      <c r="C57" s="97">
        <v>45751</v>
      </c>
      <c r="D57" s="422" t="s">
        <v>808</v>
      </c>
      <c r="E57" s="430" t="s">
        <v>849</v>
      </c>
      <c r="F57" s="430" t="s">
        <v>629</v>
      </c>
      <c r="G57" s="603" t="s">
        <v>727</v>
      </c>
      <c r="H57" s="391" t="s">
        <v>733</v>
      </c>
      <c r="I57" s="424">
        <v>1</v>
      </c>
      <c r="J57" s="349">
        <v>200000</v>
      </c>
      <c r="K57" s="347">
        <v>200000</v>
      </c>
      <c r="L57" s="349">
        <v>20000</v>
      </c>
      <c r="M57" s="349">
        <v>220000</v>
      </c>
      <c r="N57" s="363"/>
      <c r="O57" s="393"/>
      <c r="P57" s="570"/>
      <c r="Q57" s="468" t="s">
        <v>387</v>
      </c>
      <c r="R57" s="426" t="s">
        <v>8</v>
      </c>
      <c r="S57" s="425"/>
      <c r="T57" s="341" t="str">
        <f>IF(S57="","","입금완료")</f>
        <v/>
      </c>
      <c r="U57" s="378"/>
      <c r="V57" s="378"/>
    </row>
    <row r="58" spans="1:22" ht="36" x14ac:dyDescent="0.3">
      <c r="A58" s="420"/>
      <c r="B58" s="427"/>
      <c r="C58" s="97">
        <v>45775</v>
      </c>
      <c r="D58" s="422" t="s">
        <v>808</v>
      </c>
      <c r="E58" s="430" t="s">
        <v>849</v>
      </c>
      <c r="F58" s="429" t="s">
        <v>629</v>
      </c>
      <c r="G58" s="394" t="s">
        <v>727</v>
      </c>
      <c r="H58" s="410" t="s">
        <v>734</v>
      </c>
      <c r="I58" s="428">
        <v>1</v>
      </c>
      <c r="J58" s="349">
        <v>200000</v>
      </c>
      <c r="K58" s="347">
        <v>200000</v>
      </c>
      <c r="L58" s="349">
        <v>20000</v>
      </c>
      <c r="M58" s="349">
        <v>220000</v>
      </c>
      <c r="N58" s="363"/>
      <c r="O58" s="393"/>
      <c r="P58" s="570"/>
      <c r="Q58" s="467" t="s">
        <v>387</v>
      </c>
      <c r="R58" s="426" t="s">
        <v>8</v>
      </c>
      <c r="S58" s="425"/>
      <c r="T58" s="341" t="str">
        <f>IF(S58="","","입금완료")</f>
        <v/>
      </c>
      <c r="U58" s="378"/>
      <c r="V58" s="378"/>
    </row>
    <row r="59" spans="1:22" ht="16.5" customHeight="1" thickBot="1" x14ac:dyDescent="0.35">
      <c r="A59" s="420"/>
      <c r="B59" s="427"/>
      <c r="C59" s="367"/>
      <c r="D59" s="431"/>
      <c r="E59" s="497"/>
      <c r="F59" s="497"/>
      <c r="G59" s="512"/>
      <c r="H59" s="498"/>
      <c r="I59" s="587"/>
      <c r="J59" s="354"/>
      <c r="K59" s="382"/>
      <c r="L59" s="354"/>
      <c r="M59" s="442">
        <f>SUM(M54:M58)</f>
        <v>1276000</v>
      </c>
      <c r="N59" s="525"/>
      <c r="O59" s="407"/>
      <c r="P59" s="580"/>
      <c r="Q59" s="559"/>
      <c r="R59" s="445"/>
      <c r="S59" s="425"/>
      <c r="U59" s="378"/>
      <c r="V59" s="378"/>
    </row>
    <row r="60" spans="1:22" ht="16.5" customHeight="1" x14ac:dyDescent="0.3">
      <c r="A60" s="420"/>
      <c r="B60" s="427"/>
      <c r="C60" s="368"/>
      <c r="D60" s="439"/>
      <c r="E60" s="440"/>
      <c r="F60" s="440"/>
      <c r="G60" s="477"/>
      <c r="H60" s="406"/>
      <c r="I60" s="450"/>
      <c r="J60" s="353"/>
      <c r="K60" s="353"/>
      <c r="L60" s="353"/>
      <c r="M60" s="353"/>
      <c r="N60" s="541"/>
      <c r="O60" s="408"/>
      <c r="P60" s="582"/>
      <c r="Q60" s="564"/>
      <c r="R60" s="447"/>
      <c r="S60" s="444"/>
      <c r="U60" s="378"/>
      <c r="V60" s="378"/>
    </row>
    <row r="61" spans="1:22" ht="16.5" customHeight="1" thickBot="1" x14ac:dyDescent="0.35">
      <c r="A61" s="420"/>
      <c r="B61" s="427"/>
      <c r="C61" s="340">
        <v>45920</v>
      </c>
      <c r="D61" s="478" t="s">
        <v>810</v>
      </c>
      <c r="E61" s="479" t="s">
        <v>851</v>
      </c>
      <c r="F61" s="401" t="s">
        <v>30</v>
      </c>
      <c r="G61" s="413" t="s">
        <v>719</v>
      </c>
      <c r="H61" s="504" t="s">
        <v>743</v>
      </c>
      <c r="I61" s="494">
        <v>1</v>
      </c>
      <c r="J61" s="505">
        <v>1000000</v>
      </c>
      <c r="K61" s="506">
        <v>1000000</v>
      </c>
      <c r="L61" s="505">
        <v>100000</v>
      </c>
      <c r="M61" s="507">
        <v>1100000</v>
      </c>
      <c r="N61" s="508"/>
      <c r="O61" s="509"/>
      <c r="P61" s="510"/>
      <c r="Q61" s="480" t="s">
        <v>726</v>
      </c>
      <c r="R61" s="481" t="s">
        <v>0</v>
      </c>
      <c r="S61" s="441"/>
      <c r="T61" s="341" t="str">
        <f>IF(S61="","","입금완료")</f>
        <v/>
      </c>
      <c r="U61" s="378"/>
      <c r="V61" s="378"/>
    </row>
    <row r="62" spans="1:22" ht="16.5" customHeight="1" x14ac:dyDescent="0.3">
      <c r="A62" s="420"/>
      <c r="B62" s="427"/>
      <c r="C62" s="370"/>
      <c r="D62" s="358"/>
      <c r="E62" s="358"/>
      <c r="F62" s="385"/>
      <c r="G62" s="411"/>
      <c r="H62" s="355"/>
      <c r="I62" s="359"/>
      <c r="J62" s="339"/>
      <c r="K62" s="339"/>
      <c r="L62" s="339"/>
      <c r="M62" s="339"/>
      <c r="N62" s="474"/>
      <c r="O62" s="475"/>
      <c r="P62" s="500"/>
      <c r="Q62" s="465"/>
      <c r="R62" s="313"/>
      <c r="S62" s="443"/>
      <c r="U62" s="378"/>
      <c r="V62" s="378"/>
    </row>
    <row r="63" spans="1:22" ht="16.5" customHeight="1" thickBot="1" x14ac:dyDescent="0.35">
      <c r="A63" s="420"/>
      <c r="B63" s="427"/>
      <c r="C63" s="579">
        <v>45930</v>
      </c>
      <c r="D63" s="482" t="s">
        <v>810</v>
      </c>
      <c r="E63" s="483" t="s">
        <v>860</v>
      </c>
      <c r="F63" s="166" t="s">
        <v>30</v>
      </c>
      <c r="G63" s="547" t="s">
        <v>82</v>
      </c>
      <c r="H63" s="545" t="s">
        <v>749</v>
      </c>
      <c r="I63" s="484">
        <v>1</v>
      </c>
      <c r="J63" s="513">
        <v>659700</v>
      </c>
      <c r="K63" s="514">
        <v>659700</v>
      </c>
      <c r="L63" s="513">
        <v>65970</v>
      </c>
      <c r="M63" s="515">
        <v>725670</v>
      </c>
      <c r="N63" s="485"/>
      <c r="O63" s="522"/>
      <c r="P63" s="517"/>
      <c r="Q63" s="166" t="s">
        <v>726</v>
      </c>
      <c r="R63" s="186" t="s">
        <v>0</v>
      </c>
      <c r="S63" s="425"/>
      <c r="T63" s="341" t="str">
        <f>IF(S63="","","입금완료")</f>
        <v/>
      </c>
      <c r="U63" s="378"/>
      <c r="V63" s="378"/>
    </row>
    <row r="64" spans="1:22" ht="16.5" customHeight="1" x14ac:dyDescent="0.3">
      <c r="A64" s="420"/>
      <c r="B64" s="427"/>
      <c r="C64" s="581"/>
      <c r="D64" s="487"/>
      <c r="E64" s="487"/>
      <c r="F64" s="526"/>
      <c r="G64" s="527"/>
      <c r="H64" s="536"/>
      <c r="I64" s="488"/>
      <c r="J64" s="530"/>
      <c r="K64" s="530"/>
      <c r="L64" s="530"/>
      <c r="M64" s="530"/>
      <c r="N64" s="489"/>
      <c r="O64" s="538"/>
      <c r="P64" s="532"/>
      <c r="Q64" s="526"/>
      <c r="R64" s="492"/>
      <c r="S64" s="444"/>
      <c r="U64" s="378"/>
      <c r="V64" s="378"/>
    </row>
    <row r="65" spans="1:22" ht="16.5" customHeight="1" x14ac:dyDescent="0.3">
      <c r="A65" s="420"/>
      <c r="B65" s="427"/>
      <c r="C65" s="383">
        <v>45950</v>
      </c>
      <c r="D65" s="469" t="s">
        <v>819</v>
      </c>
      <c r="E65" s="394"/>
      <c r="F65" s="385" t="s">
        <v>30</v>
      </c>
      <c r="G65" s="385" t="s">
        <v>86</v>
      </c>
      <c r="H65" s="386" t="s">
        <v>765</v>
      </c>
      <c r="I65" s="360">
        <v>1</v>
      </c>
      <c r="J65" s="346">
        <v>950000</v>
      </c>
      <c r="K65" s="346">
        <v>950000</v>
      </c>
      <c r="L65" s="339">
        <v>95000</v>
      </c>
      <c r="M65" s="339">
        <v>1045000</v>
      </c>
      <c r="N65" s="363"/>
      <c r="O65" s="389"/>
      <c r="P65" s="455"/>
      <c r="Q65" s="465" t="s">
        <v>726</v>
      </c>
      <c r="R65" s="107" t="s">
        <v>2</v>
      </c>
      <c r="S65" s="425"/>
      <c r="T65" s="341" t="str">
        <f>IF(S65="","","입금완료")</f>
        <v/>
      </c>
      <c r="U65" s="378"/>
      <c r="V65" s="378"/>
    </row>
    <row r="66" spans="1:22" ht="16.5" customHeight="1" x14ac:dyDescent="0.3">
      <c r="A66" s="420"/>
      <c r="B66" s="427"/>
      <c r="C66" s="584">
        <v>45961</v>
      </c>
      <c r="D66" s="98" t="s">
        <v>819</v>
      </c>
      <c r="E66" s="124"/>
      <c r="F66" s="124" t="s">
        <v>48</v>
      </c>
      <c r="G66" s="124" t="s">
        <v>793</v>
      </c>
      <c r="H66" s="471" t="s">
        <v>794</v>
      </c>
      <c r="I66" s="473">
        <v>1</v>
      </c>
      <c r="J66" s="346">
        <v>7800000</v>
      </c>
      <c r="K66" s="346">
        <v>7800000</v>
      </c>
      <c r="L66" s="339">
        <v>780000</v>
      </c>
      <c r="M66" s="339">
        <v>8580000</v>
      </c>
      <c r="N66" s="458"/>
      <c r="O66" s="459"/>
      <c r="P66" s="338"/>
      <c r="Q66" s="124" t="s">
        <v>726</v>
      </c>
      <c r="R66" s="107" t="s">
        <v>0</v>
      </c>
      <c r="S66" s="425"/>
      <c r="T66" s="341" t="str">
        <f>IF(S66="","","입금완료")</f>
        <v/>
      </c>
      <c r="U66" s="378"/>
      <c r="V66" s="378"/>
    </row>
    <row r="67" spans="1:22" ht="16.5" customHeight="1" thickBot="1" x14ac:dyDescent="0.35">
      <c r="A67" s="420"/>
      <c r="B67" s="427"/>
      <c r="C67" s="501"/>
      <c r="D67" s="502"/>
      <c r="E67" s="493"/>
      <c r="F67" s="493"/>
      <c r="G67" s="493"/>
      <c r="H67" s="533"/>
      <c r="I67" s="534"/>
      <c r="J67" s="506"/>
      <c r="K67" s="506"/>
      <c r="L67" s="505"/>
      <c r="M67" s="507">
        <f>SUM(M65:M66)</f>
        <v>9625000</v>
      </c>
      <c r="N67" s="553"/>
      <c r="O67" s="554"/>
      <c r="P67" s="555"/>
      <c r="Q67" s="493"/>
      <c r="R67" s="535"/>
      <c r="S67" s="441"/>
      <c r="U67" s="378"/>
      <c r="V67" s="378"/>
    </row>
    <row r="68" spans="1:22" ht="16.5" customHeight="1" x14ac:dyDescent="0.3">
      <c r="A68" s="420"/>
      <c r="B68" s="427"/>
      <c r="C68" s="499"/>
      <c r="D68" s="124"/>
      <c r="E68" s="124"/>
      <c r="F68" s="124"/>
      <c r="G68" s="124"/>
      <c r="H68" s="355"/>
      <c r="I68" s="359"/>
      <c r="J68" s="339"/>
      <c r="K68" s="339"/>
      <c r="L68" s="339"/>
      <c r="M68" s="339"/>
      <c r="N68" s="476"/>
      <c r="O68" s="550"/>
      <c r="P68" s="551"/>
      <c r="Q68" s="124"/>
      <c r="R68" s="313"/>
      <c r="S68" s="443"/>
      <c r="U68" s="378"/>
      <c r="V68" s="378"/>
    </row>
    <row r="69" spans="1:22" ht="16.5" customHeight="1" thickBot="1" x14ac:dyDescent="0.35">
      <c r="A69" s="420"/>
      <c r="B69" s="427"/>
      <c r="C69" s="579">
        <v>45960</v>
      </c>
      <c r="D69" s="511" t="s">
        <v>825</v>
      </c>
      <c r="E69" s="483" t="s">
        <v>871</v>
      </c>
      <c r="F69" s="166" t="s">
        <v>48</v>
      </c>
      <c r="G69" s="166" t="s">
        <v>777</v>
      </c>
      <c r="H69" s="519" t="s">
        <v>778</v>
      </c>
      <c r="I69" s="520">
        <v>1</v>
      </c>
      <c r="J69" s="514">
        <v>230000</v>
      </c>
      <c r="K69" s="514">
        <v>230000</v>
      </c>
      <c r="L69" s="513">
        <v>23000</v>
      </c>
      <c r="M69" s="515">
        <v>253000</v>
      </c>
      <c r="N69" s="521"/>
      <c r="O69" s="522"/>
      <c r="P69" s="549"/>
      <c r="Q69" s="166" t="s">
        <v>726</v>
      </c>
      <c r="R69" s="518" t="s">
        <v>4</v>
      </c>
      <c r="S69" s="425"/>
      <c r="T69" s="341" t="str">
        <f>IF(S69="","","입금완료")</f>
        <v/>
      </c>
      <c r="U69" s="378"/>
      <c r="V69" s="378"/>
    </row>
    <row r="70" spans="1:22" ht="16.5" customHeight="1" x14ac:dyDescent="0.3">
      <c r="A70" s="420"/>
      <c r="B70" s="427"/>
      <c r="C70" s="581"/>
      <c r="D70" s="526"/>
      <c r="E70" s="487"/>
      <c r="F70" s="526"/>
      <c r="G70" s="526"/>
      <c r="H70" s="536"/>
      <c r="I70" s="488"/>
      <c r="J70" s="530"/>
      <c r="K70" s="530"/>
      <c r="L70" s="530"/>
      <c r="M70" s="530"/>
      <c r="N70" s="537"/>
      <c r="O70" s="538"/>
      <c r="P70" s="558"/>
      <c r="Q70" s="526"/>
      <c r="R70" s="492"/>
      <c r="S70" s="444"/>
      <c r="U70" s="378"/>
      <c r="V70" s="378"/>
    </row>
    <row r="71" spans="1:22" ht="16.5" customHeight="1" thickBot="1" x14ac:dyDescent="0.35">
      <c r="A71" s="420"/>
      <c r="B71" s="427"/>
      <c r="C71" s="501">
        <v>45962</v>
      </c>
      <c r="D71" s="502" t="s">
        <v>825</v>
      </c>
      <c r="E71" s="493" t="s">
        <v>884</v>
      </c>
      <c r="F71" s="493" t="s">
        <v>30</v>
      </c>
      <c r="G71" s="493" t="s">
        <v>714</v>
      </c>
      <c r="H71" s="504" t="s">
        <v>799</v>
      </c>
      <c r="I71" s="494">
        <v>1</v>
      </c>
      <c r="J71" s="505">
        <v>168000</v>
      </c>
      <c r="K71" s="506">
        <v>168000</v>
      </c>
      <c r="L71" s="505">
        <v>16800</v>
      </c>
      <c r="M71" s="507">
        <v>184800</v>
      </c>
      <c r="N71" s="508"/>
      <c r="O71" s="509"/>
      <c r="P71" s="555"/>
      <c r="Q71" s="480" t="s">
        <v>726</v>
      </c>
      <c r="R71" s="481" t="s">
        <v>0</v>
      </c>
      <c r="S71" s="441"/>
      <c r="U71" s="378"/>
      <c r="V71" s="378"/>
    </row>
    <row r="72" spans="1:22" ht="16.5" customHeight="1" x14ac:dyDescent="0.3">
      <c r="A72" s="420"/>
      <c r="B72" s="427"/>
      <c r="C72" s="499"/>
      <c r="D72" s="124"/>
      <c r="E72" s="124"/>
      <c r="F72" s="124"/>
      <c r="G72" s="124"/>
      <c r="H72" s="355"/>
      <c r="I72" s="359"/>
      <c r="J72" s="339"/>
      <c r="K72" s="339"/>
      <c r="L72" s="339"/>
      <c r="M72" s="339"/>
      <c r="N72" s="474"/>
      <c r="O72" s="475"/>
      <c r="P72" s="551"/>
      <c r="Q72" s="465"/>
      <c r="R72" s="313"/>
      <c r="S72" s="443"/>
      <c r="U72" s="378"/>
      <c r="V72" s="378"/>
    </row>
    <row r="73" spans="1:22" ht="16.5" customHeight="1" x14ac:dyDescent="0.3">
      <c r="A73" s="420"/>
      <c r="B73" s="427"/>
      <c r="C73" s="143">
        <v>45955</v>
      </c>
      <c r="D73" s="356" t="s">
        <v>822</v>
      </c>
      <c r="E73" s="358" t="s">
        <v>866</v>
      </c>
      <c r="F73" s="385" t="s">
        <v>30</v>
      </c>
      <c r="G73" s="385" t="s">
        <v>719</v>
      </c>
      <c r="H73" s="387" t="s">
        <v>768</v>
      </c>
      <c r="I73" s="461">
        <v>1</v>
      </c>
      <c r="J73" s="349">
        <v>350000</v>
      </c>
      <c r="K73" s="346">
        <v>350000</v>
      </c>
      <c r="L73" s="339">
        <v>35000</v>
      </c>
      <c r="M73" s="339">
        <v>385000</v>
      </c>
      <c r="N73" s="462"/>
      <c r="O73" s="454"/>
      <c r="P73" s="455"/>
      <c r="Q73" s="465" t="s">
        <v>726</v>
      </c>
      <c r="R73" s="313" t="s">
        <v>0</v>
      </c>
      <c r="S73" s="425"/>
      <c r="T73" s="341" t="str">
        <f t="shared" ref="T73:T78" si="2">IF(S73="","","입금완료")</f>
        <v/>
      </c>
      <c r="U73" s="378"/>
      <c r="V73" s="378"/>
    </row>
    <row r="74" spans="1:22" ht="16.5" customHeight="1" x14ac:dyDescent="0.3">
      <c r="A74" s="420"/>
      <c r="B74" s="427"/>
      <c r="C74" s="143">
        <v>45955</v>
      </c>
      <c r="D74" s="356" t="s">
        <v>822</v>
      </c>
      <c r="E74" s="358" t="s">
        <v>818</v>
      </c>
      <c r="F74" s="385" t="s">
        <v>30</v>
      </c>
      <c r="G74" s="385" t="s">
        <v>719</v>
      </c>
      <c r="H74" s="387" t="s">
        <v>769</v>
      </c>
      <c r="I74" s="461">
        <v>1</v>
      </c>
      <c r="J74" s="349">
        <v>1269000</v>
      </c>
      <c r="K74" s="346">
        <v>1269000</v>
      </c>
      <c r="L74" s="339">
        <v>126900</v>
      </c>
      <c r="M74" s="339">
        <v>1395900</v>
      </c>
      <c r="N74" s="364"/>
      <c r="O74" s="392"/>
      <c r="P74" s="455"/>
      <c r="Q74" s="465" t="s">
        <v>726</v>
      </c>
      <c r="R74" s="313" t="s">
        <v>0</v>
      </c>
      <c r="S74" s="425"/>
      <c r="T74" s="341" t="str">
        <f t="shared" si="2"/>
        <v/>
      </c>
      <c r="U74" s="378"/>
      <c r="V74" s="378"/>
    </row>
    <row r="75" spans="1:22" ht="16.5" customHeight="1" x14ac:dyDescent="0.3">
      <c r="A75" s="420"/>
      <c r="B75" s="427"/>
      <c r="C75" s="143">
        <v>45955</v>
      </c>
      <c r="D75" s="356" t="s">
        <v>822</v>
      </c>
      <c r="E75" s="358" t="s">
        <v>867</v>
      </c>
      <c r="F75" s="385" t="s">
        <v>30</v>
      </c>
      <c r="G75" s="385" t="s">
        <v>737</v>
      </c>
      <c r="H75" s="387" t="s">
        <v>765</v>
      </c>
      <c r="I75" s="461">
        <v>1</v>
      </c>
      <c r="J75" s="349">
        <v>70000</v>
      </c>
      <c r="K75" s="346">
        <v>70000</v>
      </c>
      <c r="L75" s="339">
        <v>7000</v>
      </c>
      <c r="M75" s="339">
        <v>77000</v>
      </c>
      <c r="N75" s="462"/>
      <c r="O75" s="454"/>
      <c r="P75" s="455"/>
      <c r="Q75" s="465" t="s">
        <v>726</v>
      </c>
      <c r="R75" s="313" t="s">
        <v>0</v>
      </c>
      <c r="S75" s="425"/>
      <c r="T75" s="341" t="str">
        <f t="shared" si="2"/>
        <v/>
      </c>
      <c r="U75" s="378"/>
      <c r="V75" s="378"/>
    </row>
    <row r="76" spans="1:22" ht="16.5" customHeight="1" x14ac:dyDescent="0.3">
      <c r="A76" s="420"/>
      <c r="B76" s="427"/>
      <c r="C76" s="143">
        <v>45955</v>
      </c>
      <c r="D76" s="356" t="s">
        <v>822</v>
      </c>
      <c r="E76" s="358" t="s">
        <v>818</v>
      </c>
      <c r="F76" s="385" t="s">
        <v>30</v>
      </c>
      <c r="G76" s="411" t="s">
        <v>737</v>
      </c>
      <c r="H76" s="387" t="s">
        <v>765</v>
      </c>
      <c r="I76" s="461">
        <v>1</v>
      </c>
      <c r="J76" s="349">
        <v>120000</v>
      </c>
      <c r="K76" s="346">
        <v>120000</v>
      </c>
      <c r="L76" s="339">
        <v>12000</v>
      </c>
      <c r="M76" s="339">
        <v>132000</v>
      </c>
      <c r="N76" s="453"/>
      <c r="O76" s="460"/>
      <c r="P76" s="455"/>
      <c r="Q76" s="465" t="s">
        <v>726</v>
      </c>
      <c r="R76" s="313" t="s">
        <v>0</v>
      </c>
      <c r="S76" s="425"/>
      <c r="T76" s="341" t="str">
        <f t="shared" si="2"/>
        <v/>
      </c>
      <c r="U76" s="378"/>
      <c r="V76" s="378"/>
    </row>
    <row r="77" spans="1:22" ht="16.5" customHeight="1" x14ac:dyDescent="0.3">
      <c r="A77" s="420"/>
      <c r="B77" s="427"/>
      <c r="C77" s="143">
        <v>45955</v>
      </c>
      <c r="D77" s="98" t="s">
        <v>822</v>
      </c>
      <c r="E77" s="98" t="s">
        <v>868</v>
      </c>
      <c r="F77" s="124" t="s">
        <v>30</v>
      </c>
      <c r="G77" s="124" t="s">
        <v>719</v>
      </c>
      <c r="H77" s="472" t="s">
        <v>770</v>
      </c>
      <c r="I77" s="473">
        <v>1</v>
      </c>
      <c r="J77" s="346">
        <v>285000</v>
      </c>
      <c r="K77" s="346">
        <v>285000</v>
      </c>
      <c r="L77" s="339">
        <v>28500</v>
      </c>
      <c r="M77" s="339">
        <v>313500</v>
      </c>
      <c r="N77" s="456"/>
      <c r="O77" s="1"/>
      <c r="P77" s="338"/>
      <c r="Q77" s="465" t="s">
        <v>726</v>
      </c>
      <c r="R77" s="107" t="s">
        <v>0</v>
      </c>
      <c r="S77" s="425"/>
      <c r="T77" s="341" t="str">
        <f t="shared" si="2"/>
        <v/>
      </c>
      <c r="U77" s="378"/>
      <c r="V77" s="378"/>
    </row>
    <row r="78" spans="1:22" ht="16.5" customHeight="1" x14ac:dyDescent="0.3">
      <c r="A78" s="420"/>
      <c r="B78" s="427"/>
      <c r="C78" s="143">
        <v>45960</v>
      </c>
      <c r="D78" s="98" t="s">
        <v>822</v>
      </c>
      <c r="E78" s="124"/>
      <c r="F78" s="124" t="s">
        <v>48</v>
      </c>
      <c r="G78" s="124" t="s">
        <v>773</v>
      </c>
      <c r="H78" s="471" t="s">
        <v>774</v>
      </c>
      <c r="I78" s="359">
        <v>5</v>
      </c>
      <c r="J78" s="339">
        <v>1245000</v>
      </c>
      <c r="K78" s="346">
        <v>6550000</v>
      </c>
      <c r="L78" s="339">
        <v>655000</v>
      </c>
      <c r="M78" s="339">
        <v>7205000</v>
      </c>
      <c r="N78" s="456"/>
      <c r="O78" s="1"/>
      <c r="P78" s="338"/>
      <c r="Q78" s="124" t="s">
        <v>726</v>
      </c>
      <c r="R78" s="313" t="s">
        <v>4</v>
      </c>
      <c r="S78" s="425"/>
      <c r="T78" s="341" t="str">
        <f t="shared" si="2"/>
        <v/>
      </c>
      <c r="U78" s="378"/>
      <c r="V78" s="378"/>
    </row>
    <row r="79" spans="1:22" ht="16.5" customHeight="1" thickBot="1" x14ac:dyDescent="0.35">
      <c r="A79" s="420"/>
      <c r="B79" s="427"/>
      <c r="C79" s="579"/>
      <c r="D79" s="511"/>
      <c r="E79" s="166"/>
      <c r="F79" s="166"/>
      <c r="G79" s="547"/>
      <c r="H79" s="545"/>
      <c r="I79" s="484"/>
      <c r="J79" s="513"/>
      <c r="K79" s="514"/>
      <c r="L79" s="513"/>
      <c r="M79" s="515">
        <f>SUM(M73:M78)</f>
        <v>9508400</v>
      </c>
      <c r="N79" s="521"/>
      <c r="O79" s="522"/>
      <c r="P79" s="549"/>
      <c r="Q79" s="166"/>
      <c r="R79" s="186"/>
      <c r="S79" s="425"/>
      <c r="U79" s="378"/>
      <c r="V79" s="378"/>
    </row>
    <row r="80" spans="1:22" ht="16.5" customHeight="1" x14ac:dyDescent="0.3">
      <c r="A80" s="420"/>
      <c r="B80" s="427"/>
      <c r="C80" s="581"/>
      <c r="D80" s="526"/>
      <c r="E80" s="526"/>
      <c r="F80" s="526"/>
      <c r="G80" s="527"/>
      <c r="H80" s="536"/>
      <c r="I80" s="488"/>
      <c r="J80" s="530"/>
      <c r="K80" s="530"/>
      <c r="L80" s="530"/>
      <c r="M80" s="530"/>
      <c r="N80" s="537"/>
      <c r="O80" s="538"/>
      <c r="P80" s="558"/>
      <c r="Q80" s="526"/>
      <c r="R80" s="492"/>
      <c r="S80" s="444"/>
      <c r="U80" s="378"/>
      <c r="V80" s="378"/>
    </row>
    <row r="81" spans="1:22" ht="16.5" customHeight="1" x14ac:dyDescent="0.3">
      <c r="A81" s="420"/>
      <c r="B81" s="427"/>
      <c r="C81" s="584">
        <v>45926</v>
      </c>
      <c r="D81" s="98" t="s">
        <v>811</v>
      </c>
      <c r="E81" s="124"/>
      <c r="F81" s="124" t="s">
        <v>48</v>
      </c>
      <c r="G81" s="600" t="s">
        <v>728</v>
      </c>
      <c r="H81" s="355" t="s">
        <v>729</v>
      </c>
      <c r="I81" s="359">
        <v>1</v>
      </c>
      <c r="J81" s="339">
        <v>120000</v>
      </c>
      <c r="K81" s="346">
        <v>120000</v>
      </c>
      <c r="L81" s="339">
        <v>12000</v>
      </c>
      <c r="M81" s="339">
        <v>132000</v>
      </c>
      <c r="N81" s="456"/>
      <c r="O81" s="1"/>
      <c r="P81" s="338"/>
      <c r="Q81" s="124" t="s">
        <v>726</v>
      </c>
      <c r="R81" s="313" t="s">
        <v>4</v>
      </c>
      <c r="S81" s="425"/>
      <c r="T81" s="341" t="str">
        <f>IF(S81="","","입금완료")</f>
        <v/>
      </c>
      <c r="U81" s="378"/>
      <c r="V81" s="378"/>
    </row>
    <row r="82" spans="1:22" ht="16.5" customHeight="1" x14ac:dyDescent="0.3">
      <c r="A82" s="420"/>
      <c r="B82" s="427"/>
      <c r="C82" s="584">
        <v>45930</v>
      </c>
      <c r="D82" s="98" t="s">
        <v>811</v>
      </c>
      <c r="E82" s="124" t="s">
        <v>857</v>
      </c>
      <c r="F82" s="124" t="s">
        <v>48</v>
      </c>
      <c r="G82" s="366" t="s">
        <v>720</v>
      </c>
      <c r="H82" s="355" t="s">
        <v>756</v>
      </c>
      <c r="I82" s="359">
        <v>1</v>
      </c>
      <c r="J82" s="339">
        <v>2000000</v>
      </c>
      <c r="K82" s="346">
        <v>2000000</v>
      </c>
      <c r="L82" s="339">
        <v>200000</v>
      </c>
      <c r="M82" s="339">
        <v>2200000</v>
      </c>
      <c r="N82" s="456"/>
      <c r="O82" s="1"/>
      <c r="P82" s="338"/>
      <c r="Q82" s="124" t="s">
        <v>726</v>
      </c>
      <c r="R82" s="313" t="s">
        <v>4</v>
      </c>
      <c r="S82" s="425"/>
      <c r="T82" s="341" t="str">
        <f>IF(S82="","","입금완료")</f>
        <v/>
      </c>
      <c r="U82" s="378"/>
      <c r="V82" s="378"/>
    </row>
    <row r="83" spans="1:22" ht="16.5" customHeight="1" x14ac:dyDescent="0.3">
      <c r="A83" s="420"/>
      <c r="B83" s="427"/>
      <c r="C83" s="584">
        <v>45930</v>
      </c>
      <c r="D83" s="98" t="s">
        <v>811</v>
      </c>
      <c r="E83" s="124" t="s">
        <v>857</v>
      </c>
      <c r="F83" s="124" t="s">
        <v>48</v>
      </c>
      <c r="G83" s="366" t="s">
        <v>713</v>
      </c>
      <c r="H83" s="355" t="s">
        <v>757</v>
      </c>
      <c r="I83" s="359">
        <v>2</v>
      </c>
      <c r="J83" s="339">
        <v>6700000</v>
      </c>
      <c r="K83" s="346">
        <v>15570000</v>
      </c>
      <c r="L83" s="339">
        <v>1557000</v>
      </c>
      <c r="M83" s="339">
        <v>17127000</v>
      </c>
      <c r="N83" s="456"/>
      <c r="O83" s="435"/>
      <c r="P83" s="338"/>
      <c r="Q83" s="124" t="s">
        <v>726</v>
      </c>
      <c r="R83" s="313" t="s">
        <v>4</v>
      </c>
      <c r="S83" s="425"/>
      <c r="T83" s="341" t="str">
        <f>IF(S83="","","입금완료")</f>
        <v/>
      </c>
      <c r="U83" s="378"/>
      <c r="V83" s="378"/>
    </row>
    <row r="84" spans="1:22" ht="16.5" customHeight="1" x14ac:dyDescent="0.3">
      <c r="A84" s="420"/>
      <c r="B84" s="427"/>
      <c r="C84" s="584">
        <v>45930</v>
      </c>
      <c r="D84" s="98" t="s">
        <v>811</v>
      </c>
      <c r="E84" s="124"/>
      <c r="F84" s="124" t="s">
        <v>48</v>
      </c>
      <c r="G84" s="366" t="s">
        <v>713</v>
      </c>
      <c r="H84" s="355" t="s">
        <v>757</v>
      </c>
      <c r="I84" s="359">
        <v>2</v>
      </c>
      <c r="J84" s="339">
        <v>6700000</v>
      </c>
      <c r="K84" s="346">
        <v>13400000</v>
      </c>
      <c r="L84" s="339">
        <v>1340000</v>
      </c>
      <c r="M84" s="339">
        <v>14740000</v>
      </c>
      <c r="N84" s="456"/>
      <c r="O84" s="1"/>
      <c r="P84" s="338"/>
      <c r="Q84" s="124" t="s">
        <v>726</v>
      </c>
      <c r="R84" s="313" t="s">
        <v>4</v>
      </c>
      <c r="S84" s="425"/>
      <c r="T84" s="341" t="str">
        <f>IF(S84="","","입금완료")</f>
        <v/>
      </c>
      <c r="U84" s="378"/>
      <c r="V84" s="378"/>
    </row>
    <row r="85" spans="1:22" ht="16.5" customHeight="1" thickBot="1" x14ac:dyDescent="0.35">
      <c r="A85" s="420"/>
      <c r="B85" s="427"/>
      <c r="C85" s="501"/>
      <c r="D85" s="502"/>
      <c r="E85" s="493"/>
      <c r="F85" s="493"/>
      <c r="G85" s="503"/>
      <c r="H85" s="504"/>
      <c r="I85" s="494"/>
      <c r="J85" s="505"/>
      <c r="K85" s="506"/>
      <c r="L85" s="505"/>
      <c r="M85" s="507">
        <f>SUM(M81:M84)</f>
        <v>34199000</v>
      </c>
      <c r="N85" s="508"/>
      <c r="O85" s="509"/>
      <c r="P85" s="555"/>
      <c r="Q85" s="493"/>
      <c r="R85" s="481"/>
      <c r="S85" s="441"/>
      <c r="U85" s="378"/>
      <c r="V85" s="378"/>
    </row>
    <row r="86" spans="1:22" ht="16.5" customHeight="1" x14ac:dyDescent="0.3">
      <c r="A86" s="420"/>
      <c r="B86" s="427"/>
      <c r="C86" s="499"/>
      <c r="D86" s="124"/>
      <c r="E86" s="124"/>
      <c r="F86" s="124"/>
      <c r="G86" s="366"/>
      <c r="H86" s="355"/>
      <c r="I86" s="359"/>
      <c r="J86" s="339"/>
      <c r="K86" s="339"/>
      <c r="L86" s="339"/>
      <c r="M86" s="339"/>
      <c r="N86" s="474"/>
      <c r="O86" s="475"/>
      <c r="P86" s="551"/>
      <c r="Q86" s="124"/>
      <c r="R86" s="313"/>
      <c r="S86" s="443"/>
      <c r="U86" s="378"/>
      <c r="V86" s="378"/>
    </row>
    <row r="87" spans="1:22" ht="16.5" customHeight="1" thickBot="1" x14ac:dyDescent="0.35">
      <c r="A87" s="420"/>
      <c r="B87" s="427"/>
      <c r="C87" s="579">
        <v>45930</v>
      </c>
      <c r="D87" s="511" t="s">
        <v>811</v>
      </c>
      <c r="E87" s="166" t="s">
        <v>862</v>
      </c>
      <c r="F87" s="166" t="s">
        <v>30</v>
      </c>
      <c r="G87" s="166" t="s">
        <v>737</v>
      </c>
      <c r="H87" s="545" t="s">
        <v>751</v>
      </c>
      <c r="I87" s="484">
        <v>1</v>
      </c>
      <c r="J87" s="513">
        <v>1440000</v>
      </c>
      <c r="K87" s="514">
        <v>1440000</v>
      </c>
      <c r="L87" s="513">
        <v>144000</v>
      </c>
      <c r="M87" s="515">
        <v>1584000</v>
      </c>
      <c r="N87" s="523"/>
      <c r="O87" s="656"/>
      <c r="P87" s="549"/>
      <c r="Q87" s="166" t="s">
        <v>726</v>
      </c>
      <c r="R87" s="186" t="s">
        <v>2</v>
      </c>
      <c r="S87" s="425"/>
      <c r="T87" s="341" t="str">
        <f>IF(S87="","","입금완료")</f>
        <v/>
      </c>
      <c r="U87" s="378"/>
      <c r="V87" s="378"/>
    </row>
    <row r="88" spans="1:22" ht="16.5" customHeight="1" x14ac:dyDescent="0.3">
      <c r="A88" s="420"/>
      <c r="B88" s="427"/>
      <c r="C88" s="581"/>
      <c r="D88" s="526"/>
      <c r="E88" s="526"/>
      <c r="F88" s="526"/>
      <c r="G88" s="526"/>
      <c r="H88" s="536"/>
      <c r="I88" s="488"/>
      <c r="J88" s="530"/>
      <c r="K88" s="530"/>
      <c r="L88" s="530"/>
      <c r="M88" s="530"/>
      <c r="N88" s="539"/>
      <c r="O88" s="657"/>
      <c r="P88" s="558"/>
      <c r="Q88" s="526"/>
      <c r="R88" s="492"/>
      <c r="S88" s="444"/>
      <c r="U88" s="378"/>
      <c r="V88" s="378"/>
    </row>
    <row r="89" spans="1:22" ht="16.5" customHeight="1" thickBot="1" x14ac:dyDescent="0.35">
      <c r="A89" s="420"/>
      <c r="B89" s="427"/>
      <c r="C89" s="501">
        <v>45961</v>
      </c>
      <c r="D89" s="478" t="s">
        <v>811</v>
      </c>
      <c r="E89" s="478" t="s">
        <v>838</v>
      </c>
      <c r="F89" s="405" t="s">
        <v>30</v>
      </c>
      <c r="G89" s="493" t="s">
        <v>82</v>
      </c>
      <c r="H89" s="533" t="s">
        <v>788</v>
      </c>
      <c r="I89" s="494">
        <v>1</v>
      </c>
      <c r="J89" s="505">
        <v>501000</v>
      </c>
      <c r="K89" s="506">
        <v>501000</v>
      </c>
      <c r="L89" s="505">
        <v>50100</v>
      </c>
      <c r="M89" s="507">
        <v>551100</v>
      </c>
      <c r="N89" s="542"/>
      <c r="O89" s="509"/>
      <c r="P89" s="510"/>
      <c r="Q89" s="480" t="s">
        <v>726</v>
      </c>
      <c r="R89" s="481" t="s">
        <v>0</v>
      </c>
      <c r="S89" s="441"/>
      <c r="T89" s="341" t="str">
        <f>IF(S89="","","입금완료")</f>
        <v/>
      </c>
      <c r="U89" s="378"/>
      <c r="V89" s="378"/>
    </row>
    <row r="90" spans="1:22" ht="16.5" customHeight="1" x14ac:dyDescent="0.3">
      <c r="A90" s="420"/>
      <c r="B90" s="427"/>
      <c r="C90" s="499"/>
      <c r="D90" s="358"/>
      <c r="E90" s="358"/>
      <c r="F90" s="385"/>
      <c r="G90" s="124"/>
      <c r="H90" s="355"/>
      <c r="I90" s="359"/>
      <c r="J90" s="339"/>
      <c r="K90" s="339"/>
      <c r="L90" s="339"/>
      <c r="M90" s="339"/>
      <c r="N90" s="474"/>
      <c r="O90" s="475"/>
      <c r="P90" s="500"/>
      <c r="Q90" s="465"/>
      <c r="R90" s="313"/>
      <c r="S90" s="443"/>
      <c r="U90" s="378"/>
      <c r="V90" s="378"/>
    </row>
    <row r="91" spans="1:22" ht="16.5" customHeight="1" thickBot="1" x14ac:dyDescent="0.35">
      <c r="A91" s="420"/>
      <c r="B91" s="427"/>
      <c r="C91" s="579">
        <v>45961</v>
      </c>
      <c r="D91" s="482" t="s">
        <v>834</v>
      </c>
      <c r="E91" s="512" t="s">
        <v>879</v>
      </c>
      <c r="F91" s="397" t="s">
        <v>30</v>
      </c>
      <c r="G91" s="397" t="s">
        <v>719</v>
      </c>
      <c r="H91" s="398" t="s">
        <v>789</v>
      </c>
      <c r="I91" s="380">
        <v>1</v>
      </c>
      <c r="J91" s="513">
        <v>1600000</v>
      </c>
      <c r="K91" s="514">
        <v>1600000</v>
      </c>
      <c r="L91" s="513">
        <v>160000</v>
      </c>
      <c r="M91" s="515">
        <v>1760000</v>
      </c>
      <c r="N91" s="485"/>
      <c r="O91" s="516"/>
      <c r="P91" s="517"/>
      <c r="Q91" s="166" t="s">
        <v>726</v>
      </c>
      <c r="R91" s="518" t="s">
        <v>0</v>
      </c>
      <c r="S91" s="425"/>
      <c r="T91" s="341" t="str">
        <f>IF(S91="","","입금완료")</f>
        <v/>
      </c>
      <c r="U91" s="378"/>
      <c r="V91" s="378"/>
    </row>
    <row r="92" spans="1:22" ht="16.5" customHeight="1" x14ac:dyDescent="0.3">
      <c r="A92" s="420"/>
      <c r="B92" s="427"/>
      <c r="C92" s="581"/>
      <c r="D92" s="487"/>
      <c r="E92" s="477"/>
      <c r="F92" s="399"/>
      <c r="G92" s="399"/>
      <c r="H92" s="400"/>
      <c r="I92" s="369"/>
      <c r="J92" s="530"/>
      <c r="K92" s="530"/>
      <c r="L92" s="530"/>
      <c r="M92" s="530"/>
      <c r="N92" s="489"/>
      <c r="O92" s="531"/>
      <c r="P92" s="532"/>
      <c r="Q92" s="526"/>
      <c r="R92" s="492"/>
      <c r="S92" s="444"/>
      <c r="U92" s="378"/>
      <c r="V92" s="378"/>
    </row>
    <row r="93" spans="1:22" ht="16.5" customHeight="1" thickBot="1" x14ac:dyDescent="0.35">
      <c r="A93" s="420"/>
      <c r="B93" s="427"/>
      <c r="C93" s="501">
        <v>45961</v>
      </c>
      <c r="D93" s="502" t="s">
        <v>836</v>
      </c>
      <c r="E93" s="493"/>
      <c r="F93" s="493" t="s">
        <v>48</v>
      </c>
      <c r="G93" s="493" t="s">
        <v>740</v>
      </c>
      <c r="H93" s="533" t="s">
        <v>741</v>
      </c>
      <c r="I93" s="494">
        <v>1</v>
      </c>
      <c r="J93" s="506">
        <v>180000</v>
      </c>
      <c r="K93" s="506">
        <v>180000</v>
      </c>
      <c r="L93" s="505">
        <v>18000</v>
      </c>
      <c r="M93" s="507">
        <v>198000</v>
      </c>
      <c r="N93" s="508"/>
      <c r="O93" s="509"/>
      <c r="P93" s="555"/>
      <c r="Q93" s="480" t="s">
        <v>726</v>
      </c>
      <c r="R93" s="535" t="s">
        <v>0</v>
      </c>
      <c r="S93" s="441"/>
      <c r="T93" s="341" t="str">
        <f>IF(S93="","","입금완료")</f>
        <v/>
      </c>
      <c r="U93" s="378"/>
      <c r="V93" s="378"/>
    </row>
    <row r="94" spans="1:22" ht="16.5" customHeight="1" x14ac:dyDescent="0.3">
      <c r="A94" s="420"/>
      <c r="B94" s="427"/>
      <c r="C94" s="499"/>
      <c r="D94" s="124"/>
      <c r="E94" s="124"/>
      <c r="F94" s="124"/>
      <c r="G94" s="124"/>
      <c r="H94" s="355"/>
      <c r="I94" s="359"/>
      <c r="J94" s="339"/>
      <c r="K94" s="339"/>
      <c r="L94" s="339"/>
      <c r="M94" s="339"/>
      <c r="N94" s="474"/>
      <c r="O94" s="475"/>
      <c r="P94" s="551"/>
      <c r="Q94" s="465"/>
      <c r="R94" s="313"/>
      <c r="S94" s="443"/>
      <c r="U94" s="378"/>
      <c r="V94" s="378"/>
    </row>
    <row r="95" spans="1:22" ht="16.5" customHeight="1" thickBot="1" x14ac:dyDescent="0.35">
      <c r="A95" s="420"/>
      <c r="B95" s="427"/>
      <c r="C95" s="367">
        <v>45950</v>
      </c>
      <c r="D95" s="482" t="s">
        <v>820</v>
      </c>
      <c r="E95" s="512"/>
      <c r="F95" s="397" t="s">
        <v>30</v>
      </c>
      <c r="G95" s="397" t="s">
        <v>86</v>
      </c>
      <c r="H95" s="403" t="s">
        <v>766</v>
      </c>
      <c r="I95" s="372">
        <v>1</v>
      </c>
      <c r="J95" s="514">
        <v>1505000</v>
      </c>
      <c r="K95" s="514">
        <v>1505000</v>
      </c>
      <c r="L95" s="513">
        <v>150500</v>
      </c>
      <c r="M95" s="515">
        <v>1655500</v>
      </c>
      <c r="N95" s="485"/>
      <c r="O95" s="516"/>
      <c r="P95" s="517"/>
      <c r="Q95" s="486" t="s">
        <v>726</v>
      </c>
      <c r="R95" s="518" t="s">
        <v>2</v>
      </c>
      <c r="S95" s="425"/>
      <c r="T95" s="341" t="str">
        <f>IF(S95="","","입금완료")</f>
        <v/>
      </c>
      <c r="U95" s="378"/>
      <c r="V95" s="378"/>
    </row>
    <row r="96" spans="1:22" ht="16.5" customHeight="1" x14ac:dyDescent="0.3">
      <c r="A96" s="420"/>
      <c r="B96" s="427"/>
      <c r="C96" s="368"/>
      <c r="D96" s="487"/>
      <c r="E96" s="477"/>
      <c r="F96" s="399"/>
      <c r="G96" s="414"/>
      <c r="H96" s="400"/>
      <c r="I96" s="369"/>
      <c r="J96" s="530"/>
      <c r="K96" s="530"/>
      <c r="L96" s="530"/>
      <c r="M96" s="530"/>
      <c r="N96" s="489"/>
      <c r="O96" s="531"/>
      <c r="P96" s="532"/>
      <c r="Q96" s="491"/>
      <c r="R96" s="492"/>
      <c r="S96" s="444"/>
      <c r="U96" s="378"/>
      <c r="V96" s="378"/>
    </row>
    <row r="97" spans="1:22" ht="16.5" customHeight="1" thickBot="1" x14ac:dyDescent="0.35">
      <c r="A97" s="420"/>
      <c r="B97" s="427"/>
      <c r="C97" s="501">
        <v>45961</v>
      </c>
      <c r="D97" s="478" t="s">
        <v>835</v>
      </c>
      <c r="E97" s="479" t="s">
        <v>824</v>
      </c>
      <c r="F97" s="493" t="s">
        <v>30</v>
      </c>
      <c r="G97" s="503" t="s">
        <v>86</v>
      </c>
      <c r="H97" s="533" t="s">
        <v>790</v>
      </c>
      <c r="I97" s="494">
        <v>1</v>
      </c>
      <c r="J97" s="505">
        <v>1200000</v>
      </c>
      <c r="K97" s="506">
        <v>1200000</v>
      </c>
      <c r="L97" s="505">
        <v>120000</v>
      </c>
      <c r="M97" s="507">
        <v>1320000</v>
      </c>
      <c r="N97" s="557"/>
      <c r="O97" s="604"/>
      <c r="P97" s="510"/>
      <c r="Q97" s="480" t="s">
        <v>726</v>
      </c>
      <c r="R97" s="481" t="s">
        <v>2</v>
      </c>
      <c r="S97" s="441"/>
      <c r="T97" s="341" t="str">
        <f>IF(S97="","","입금완료")</f>
        <v/>
      </c>
      <c r="U97" s="378"/>
      <c r="V97" s="378"/>
    </row>
    <row r="98" spans="1:22" ht="16.5" customHeight="1" x14ac:dyDescent="0.3">
      <c r="A98" s="420"/>
      <c r="B98" s="427"/>
      <c r="C98" s="499"/>
      <c r="D98" s="358"/>
      <c r="E98" s="358"/>
      <c r="F98" s="124"/>
      <c r="G98" s="366"/>
      <c r="H98" s="355"/>
      <c r="I98" s="359"/>
      <c r="J98" s="339"/>
      <c r="K98" s="339"/>
      <c r="L98" s="339"/>
      <c r="M98" s="339"/>
      <c r="N98" s="462"/>
      <c r="O98" s="392"/>
      <c r="P98" s="500"/>
      <c r="Q98" s="465"/>
      <c r="R98" s="313"/>
      <c r="S98" s="443"/>
      <c r="U98" s="378"/>
      <c r="V98" s="378"/>
    </row>
    <row r="99" spans="1:22" ht="16.5" customHeight="1" thickBot="1" x14ac:dyDescent="0.35">
      <c r="A99" s="420"/>
      <c r="B99" s="427"/>
      <c r="C99" s="579">
        <v>45961</v>
      </c>
      <c r="D99" s="482" t="s">
        <v>818</v>
      </c>
      <c r="E99" s="483" t="s">
        <v>856</v>
      </c>
      <c r="F99" s="166" t="s">
        <v>30</v>
      </c>
      <c r="G99" s="166" t="s">
        <v>82</v>
      </c>
      <c r="H99" s="519" t="s">
        <v>769</v>
      </c>
      <c r="I99" s="484">
        <v>1</v>
      </c>
      <c r="J99" s="513">
        <v>2900000</v>
      </c>
      <c r="K99" s="514">
        <v>2900000</v>
      </c>
      <c r="L99" s="513">
        <v>290000</v>
      </c>
      <c r="M99" s="515">
        <v>3190000</v>
      </c>
      <c r="N99" s="546"/>
      <c r="O99" s="286"/>
      <c r="P99" s="549"/>
      <c r="Q99" s="486" t="s">
        <v>726</v>
      </c>
      <c r="R99" s="186" t="s">
        <v>0</v>
      </c>
      <c r="S99" s="425"/>
      <c r="T99" s="341" t="str">
        <f>IF(S99="","","입금완료")</f>
        <v/>
      </c>
      <c r="U99" s="378"/>
      <c r="V99" s="378"/>
    </row>
    <row r="100" spans="1:22" ht="16.5" customHeight="1" x14ac:dyDescent="0.3">
      <c r="A100" s="420"/>
      <c r="B100" s="427"/>
      <c r="C100" s="581"/>
      <c r="D100" s="487"/>
      <c r="E100" s="487"/>
      <c r="F100" s="526"/>
      <c r="G100" s="526"/>
      <c r="H100" s="536"/>
      <c r="I100" s="488"/>
      <c r="J100" s="530"/>
      <c r="K100" s="530"/>
      <c r="L100" s="530"/>
      <c r="M100" s="530"/>
      <c r="N100" s="537"/>
      <c r="O100" s="538"/>
      <c r="P100" s="558"/>
      <c r="Q100" s="491"/>
      <c r="R100" s="492"/>
      <c r="S100" s="444"/>
      <c r="U100" s="378"/>
      <c r="V100" s="378"/>
    </row>
    <row r="101" spans="1:22" ht="16.5" customHeight="1" x14ac:dyDescent="0.3">
      <c r="A101" s="420"/>
      <c r="B101" s="427"/>
      <c r="C101" s="584">
        <v>45940</v>
      </c>
      <c r="D101" s="98" t="s">
        <v>818</v>
      </c>
      <c r="E101" s="124" t="s">
        <v>827</v>
      </c>
      <c r="F101" s="124" t="s">
        <v>30</v>
      </c>
      <c r="G101" s="385" t="s">
        <v>86</v>
      </c>
      <c r="H101" s="471" t="s">
        <v>761</v>
      </c>
      <c r="I101" s="457">
        <v>1</v>
      </c>
      <c r="J101" s="339">
        <v>1100000</v>
      </c>
      <c r="K101" s="346">
        <v>1100000</v>
      </c>
      <c r="L101" s="339">
        <v>110000</v>
      </c>
      <c r="M101" s="339">
        <v>1210000</v>
      </c>
      <c r="N101" s="474"/>
      <c r="O101" s="1"/>
      <c r="P101" s="338"/>
      <c r="Q101" s="465" t="s">
        <v>726</v>
      </c>
      <c r="R101" s="311" t="s">
        <v>2</v>
      </c>
      <c r="S101" s="425"/>
      <c r="T101" s="341" t="str">
        <f>IF(S101="","","입금완료")</f>
        <v/>
      </c>
      <c r="U101" s="378"/>
      <c r="V101" s="378"/>
    </row>
    <row r="102" spans="1:22" ht="16.5" customHeight="1" x14ac:dyDescent="0.3">
      <c r="A102" s="420"/>
      <c r="B102" s="427"/>
      <c r="C102" s="584">
        <v>45946</v>
      </c>
      <c r="D102" s="98" t="s">
        <v>818</v>
      </c>
      <c r="E102" s="124" t="s">
        <v>827</v>
      </c>
      <c r="F102" s="124" t="s">
        <v>48</v>
      </c>
      <c r="G102" s="124" t="s">
        <v>762</v>
      </c>
      <c r="H102" s="355" t="s">
        <v>763</v>
      </c>
      <c r="I102" s="359">
        <v>1</v>
      </c>
      <c r="J102" s="339">
        <v>1610000</v>
      </c>
      <c r="K102" s="346">
        <v>1610000</v>
      </c>
      <c r="L102" s="339">
        <v>161000</v>
      </c>
      <c r="M102" s="339">
        <v>1771000</v>
      </c>
      <c r="N102" s="456"/>
      <c r="O102" s="1"/>
      <c r="P102" s="338"/>
      <c r="Q102" s="124" t="s">
        <v>726</v>
      </c>
      <c r="R102" s="313" t="s">
        <v>2</v>
      </c>
      <c r="S102" s="425"/>
      <c r="T102" s="341" t="str">
        <f>IF(S102="","","입금완료")</f>
        <v/>
      </c>
      <c r="U102" s="378"/>
      <c r="V102" s="378"/>
    </row>
    <row r="103" spans="1:22" ht="16.5" customHeight="1" x14ac:dyDescent="0.3">
      <c r="A103" s="420"/>
      <c r="B103" s="427"/>
      <c r="C103" s="584">
        <v>45947</v>
      </c>
      <c r="D103" s="98" t="s">
        <v>818</v>
      </c>
      <c r="E103" s="124" t="s">
        <v>827</v>
      </c>
      <c r="F103" s="124" t="s">
        <v>48</v>
      </c>
      <c r="G103" s="366" t="s">
        <v>738</v>
      </c>
      <c r="H103" s="355" t="s">
        <v>764</v>
      </c>
      <c r="I103" s="359">
        <v>1</v>
      </c>
      <c r="J103" s="339">
        <v>50000000</v>
      </c>
      <c r="K103" s="346">
        <v>50000000</v>
      </c>
      <c r="L103" s="339">
        <v>5000000</v>
      </c>
      <c r="M103" s="339">
        <v>55000000</v>
      </c>
      <c r="N103" s="456"/>
      <c r="O103" s="1"/>
      <c r="P103" s="338"/>
      <c r="Q103" s="124" t="s">
        <v>726</v>
      </c>
      <c r="R103" s="313" t="s">
        <v>2</v>
      </c>
      <c r="S103" s="425"/>
      <c r="T103" s="341" t="str">
        <f>IF(S103="","","입금완료")</f>
        <v/>
      </c>
      <c r="U103" s="378"/>
      <c r="V103" s="378"/>
    </row>
    <row r="104" spans="1:22" ht="16.5" customHeight="1" x14ac:dyDescent="0.3">
      <c r="A104" s="420"/>
      <c r="B104" s="427"/>
      <c r="C104" s="584">
        <v>45957</v>
      </c>
      <c r="D104" s="98" t="s">
        <v>818</v>
      </c>
      <c r="E104" s="124" t="s">
        <v>870</v>
      </c>
      <c r="F104" s="124" t="s">
        <v>48</v>
      </c>
      <c r="G104" s="124" t="s">
        <v>771</v>
      </c>
      <c r="H104" s="355" t="s">
        <v>772</v>
      </c>
      <c r="I104" s="359">
        <v>2</v>
      </c>
      <c r="J104" s="339">
        <v>380000</v>
      </c>
      <c r="K104" s="346">
        <v>760000</v>
      </c>
      <c r="L104" s="339">
        <v>76000</v>
      </c>
      <c r="M104" s="339">
        <v>836000</v>
      </c>
      <c r="N104" s="456"/>
      <c r="O104" s="1"/>
      <c r="P104" s="338"/>
      <c r="Q104" s="124" t="s">
        <v>726</v>
      </c>
      <c r="R104" s="313" t="s">
        <v>2</v>
      </c>
      <c r="S104" s="425"/>
      <c r="T104" s="341" t="str">
        <f>IF(S104="","","입금완료")</f>
        <v/>
      </c>
      <c r="U104" s="378"/>
      <c r="V104" s="378"/>
    </row>
    <row r="105" spans="1:22" ht="16.5" customHeight="1" thickBot="1" x14ac:dyDescent="0.35">
      <c r="A105" s="420"/>
      <c r="B105" s="427"/>
      <c r="C105" s="501"/>
      <c r="D105" s="502"/>
      <c r="E105" s="493"/>
      <c r="F105" s="493"/>
      <c r="G105" s="493"/>
      <c r="H105" s="504"/>
      <c r="I105" s="494"/>
      <c r="J105" s="505"/>
      <c r="K105" s="506"/>
      <c r="L105" s="505"/>
      <c r="M105" s="507">
        <f>SUM(M101:M104)</f>
        <v>58817000</v>
      </c>
      <c r="N105" s="508"/>
      <c r="O105" s="509"/>
      <c r="P105" s="555"/>
      <c r="Q105" s="493"/>
      <c r="R105" s="481"/>
      <c r="S105" s="441"/>
      <c r="U105" s="378"/>
      <c r="V105" s="378"/>
    </row>
    <row r="106" spans="1:22" ht="16.5" customHeight="1" x14ac:dyDescent="0.3">
      <c r="A106" s="420"/>
      <c r="B106" s="427"/>
      <c r="C106" s="499"/>
      <c r="D106" s="124"/>
      <c r="E106" s="124"/>
      <c r="F106" s="124"/>
      <c r="G106" s="124"/>
      <c r="H106" s="355"/>
      <c r="I106" s="359"/>
      <c r="J106" s="339"/>
      <c r="K106" s="339"/>
      <c r="L106" s="339"/>
      <c r="M106" s="339"/>
      <c r="N106" s="474"/>
      <c r="O106" s="475"/>
      <c r="P106" s="551"/>
      <c r="Q106" s="124"/>
      <c r="R106" s="313"/>
      <c r="S106" s="443"/>
      <c r="U106" s="378"/>
      <c r="V106" s="378"/>
    </row>
    <row r="107" spans="1:22" ht="16.5" customHeight="1" thickBot="1" x14ac:dyDescent="0.35">
      <c r="A107" s="420"/>
      <c r="B107" s="427"/>
      <c r="C107" s="367">
        <v>45972</v>
      </c>
      <c r="D107" s="511" t="s">
        <v>843</v>
      </c>
      <c r="E107" s="166" t="s">
        <v>885</v>
      </c>
      <c r="F107" s="397" t="s">
        <v>716</v>
      </c>
      <c r="G107" s="397" t="s">
        <v>717</v>
      </c>
      <c r="H107" s="560" t="s">
        <v>800</v>
      </c>
      <c r="I107" s="374">
        <v>1</v>
      </c>
      <c r="J107" s="354">
        <v>400000</v>
      </c>
      <c r="K107" s="514">
        <v>400000</v>
      </c>
      <c r="L107" s="513">
        <v>40000</v>
      </c>
      <c r="M107" s="515">
        <v>440000</v>
      </c>
      <c r="N107" s="485"/>
      <c r="O107" s="516"/>
      <c r="P107" s="517"/>
      <c r="Q107" s="658">
        <v>45973</v>
      </c>
      <c r="R107" s="186" t="s">
        <v>718</v>
      </c>
      <c r="S107" s="425"/>
      <c r="U107" s="378"/>
      <c r="V107" s="378"/>
    </row>
    <row r="108" spans="1:22" ht="16.5" customHeight="1" x14ac:dyDescent="0.3">
      <c r="A108" s="420"/>
      <c r="B108" s="427"/>
      <c r="C108" s="368"/>
      <c r="D108" s="526"/>
      <c r="E108" s="526"/>
      <c r="F108" s="399"/>
      <c r="G108" s="399"/>
      <c r="H108" s="552"/>
      <c r="I108" s="373"/>
      <c r="J108" s="353"/>
      <c r="K108" s="530"/>
      <c r="L108" s="530"/>
      <c r="M108" s="530"/>
      <c r="N108" s="489"/>
      <c r="O108" s="531"/>
      <c r="P108" s="532"/>
      <c r="Q108" s="491"/>
      <c r="R108" s="492"/>
      <c r="S108" s="444"/>
      <c r="U108" s="378"/>
      <c r="V108" s="378"/>
    </row>
    <row r="109" spans="1:22" ht="24.75" thickBot="1" x14ac:dyDescent="0.35">
      <c r="A109" s="420"/>
      <c r="B109" s="427"/>
      <c r="C109" s="501">
        <v>45961</v>
      </c>
      <c r="D109" s="502" t="s">
        <v>837</v>
      </c>
      <c r="E109" s="493" t="s">
        <v>880</v>
      </c>
      <c r="F109" s="493" t="s">
        <v>48</v>
      </c>
      <c r="G109" s="493" t="s">
        <v>791</v>
      </c>
      <c r="H109" s="533" t="s">
        <v>792</v>
      </c>
      <c r="I109" s="494">
        <v>6</v>
      </c>
      <c r="J109" s="505">
        <v>720000</v>
      </c>
      <c r="K109" s="506">
        <v>4320000</v>
      </c>
      <c r="L109" s="505">
        <v>432000</v>
      </c>
      <c r="M109" s="507">
        <v>4752000</v>
      </c>
      <c r="N109" s="508"/>
      <c r="O109" s="543"/>
      <c r="P109" s="555"/>
      <c r="Q109" s="493" t="s">
        <v>726</v>
      </c>
      <c r="R109" s="481" t="s">
        <v>722</v>
      </c>
      <c r="S109" s="441"/>
      <c r="T109" s="341" t="str">
        <f>IF(S109="","","입금완료")</f>
        <v/>
      </c>
      <c r="U109" s="378"/>
      <c r="V109" s="378"/>
    </row>
    <row r="110" spans="1:22" ht="16.5" customHeight="1" x14ac:dyDescent="0.3">
      <c r="A110" s="420"/>
      <c r="B110" s="427"/>
      <c r="C110" s="499"/>
      <c r="D110" s="124"/>
      <c r="E110" s="124"/>
      <c r="F110" s="124"/>
      <c r="G110" s="366"/>
      <c r="H110" s="355"/>
      <c r="I110" s="359"/>
      <c r="J110" s="339"/>
      <c r="K110" s="339"/>
      <c r="L110" s="339"/>
      <c r="M110" s="339"/>
      <c r="N110" s="474"/>
      <c r="O110" s="475"/>
      <c r="P110" s="551"/>
      <c r="Q110" s="124"/>
      <c r="R110" s="313"/>
      <c r="S110" s="443"/>
      <c r="U110" s="378"/>
      <c r="V110" s="378"/>
    </row>
    <row r="111" spans="1:22" ht="16.5" customHeight="1" thickBot="1" x14ac:dyDescent="0.35">
      <c r="A111" s="420"/>
      <c r="B111" s="427"/>
      <c r="C111" s="579">
        <v>45976</v>
      </c>
      <c r="D111" s="511" t="s">
        <v>837</v>
      </c>
      <c r="E111" s="166" t="s">
        <v>827</v>
      </c>
      <c r="F111" s="511" t="s">
        <v>30</v>
      </c>
      <c r="G111" s="547" t="s">
        <v>82</v>
      </c>
      <c r="H111" s="519" t="s">
        <v>803</v>
      </c>
      <c r="I111" s="484">
        <v>1</v>
      </c>
      <c r="J111" s="513">
        <v>1080000</v>
      </c>
      <c r="K111" s="514">
        <v>1080000</v>
      </c>
      <c r="L111" s="513">
        <v>108000</v>
      </c>
      <c r="M111" s="515">
        <v>1188000</v>
      </c>
      <c r="N111" s="485"/>
      <c r="O111" s="516"/>
      <c r="P111" s="517"/>
      <c r="Q111" s="486" t="s">
        <v>726</v>
      </c>
      <c r="R111" s="186" t="s">
        <v>0</v>
      </c>
      <c r="S111" s="425"/>
      <c r="U111" s="378"/>
      <c r="V111" s="378"/>
    </row>
    <row r="112" spans="1:22" ht="16.5" customHeight="1" x14ac:dyDescent="0.3">
      <c r="A112" s="420"/>
      <c r="B112" s="427"/>
      <c r="C112" s="581"/>
      <c r="D112" s="526"/>
      <c r="E112" s="526"/>
      <c r="F112" s="526"/>
      <c r="G112" s="527"/>
      <c r="H112" s="536"/>
      <c r="I112" s="488"/>
      <c r="J112" s="530"/>
      <c r="K112" s="530"/>
      <c r="L112" s="530"/>
      <c r="M112" s="530"/>
      <c r="N112" s="489"/>
      <c r="O112" s="531"/>
      <c r="P112" s="532"/>
      <c r="Q112" s="491"/>
      <c r="R112" s="492"/>
      <c r="S112" s="444"/>
      <c r="U112" s="378"/>
      <c r="V112" s="378"/>
    </row>
    <row r="113" spans="1:22" ht="16.5" customHeight="1" thickBot="1" x14ac:dyDescent="0.35">
      <c r="A113" s="420"/>
      <c r="B113" s="427"/>
      <c r="C113" s="501">
        <v>45930</v>
      </c>
      <c r="D113" s="478" t="s">
        <v>813</v>
      </c>
      <c r="E113" s="402" t="s">
        <v>861</v>
      </c>
      <c r="F113" s="401" t="s">
        <v>30</v>
      </c>
      <c r="G113" s="493" t="s">
        <v>82</v>
      </c>
      <c r="H113" s="404" t="s">
        <v>746</v>
      </c>
      <c r="I113" s="371">
        <v>1</v>
      </c>
      <c r="J113" s="505">
        <v>2871300</v>
      </c>
      <c r="K113" s="506">
        <v>2871300</v>
      </c>
      <c r="L113" s="505">
        <v>287130</v>
      </c>
      <c r="M113" s="507">
        <v>3158430</v>
      </c>
      <c r="N113" s="508"/>
      <c r="O113" s="509"/>
      <c r="P113" s="651"/>
      <c r="Q113" s="480" t="s">
        <v>726</v>
      </c>
      <c r="R113" s="481" t="s">
        <v>0</v>
      </c>
      <c r="S113" s="441"/>
      <c r="T113" s="341" t="str">
        <f>IF(S113="","","입금완료")</f>
        <v/>
      </c>
      <c r="U113" s="378"/>
      <c r="V113" s="378"/>
    </row>
    <row r="114" spans="1:22" ht="16.5" customHeight="1" x14ac:dyDescent="0.3">
      <c r="A114" s="420"/>
      <c r="B114" s="427"/>
      <c r="C114" s="499"/>
      <c r="D114" s="358"/>
      <c r="E114" s="394"/>
      <c r="F114" s="385"/>
      <c r="G114" s="124"/>
      <c r="H114" s="391"/>
      <c r="I114" s="362"/>
      <c r="J114" s="339"/>
      <c r="K114" s="339"/>
      <c r="L114" s="339"/>
      <c r="M114" s="339"/>
      <c r="N114" s="474"/>
      <c r="O114" s="475"/>
      <c r="P114" s="645"/>
      <c r="Q114" s="465"/>
      <c r="R114" s="313"/>
      <c r="S114" s="443"/>
      <c r="U114" s="378"/>
      <c r="V114" s="378"/>
    </row>
    <row r="115" spans="1:22" ht="16.5" customHeight="1" thickBot="1" x14ac:dyDescent="0.35">
      <c r="A115" s="420"/>
      <c r="B115" s="427"/>
      <c r="C115" s="579">
        <v>45981</v>
      </c>
      <c r="D115" s="511" t="s">
        <v>847</v>
      </c>
      <c r="E115" s="166"/>
      <c r="F115" s="415" t="s">
        <v>30</v>
      </c>
      <c r="G115" s="166" t="s">
        <v>82</v>
      </c>
      <c r="H115" s="545" t="s">
        <v>805</v>
      </c>
      <c r="I115" s="484">
        <v>1</v>
      </c>
      <c r="J115" s="513">
        <v>64000</v>
      </c>
      <c r="K115" s="514">
        <v>64000</v>
      </c>
      <c r="L115" s="513">
        <v>6400</v>
      </c>
      <c r="M115" s="515">
        <v>70400</v>
      </c>
      <c r="N115" s="521"/>
      <c r="O115" s="524"/>
      <c r="P115" s="549"/>
      <c r="Q115" s="486" t="s">
        <v>726</v>
      </c>
      <c r="R115" s="186" t="s">
        <v>0</v>
      </c>
      <c r="S115" s="425"/>
      <c r="U115" s="378"/>
      <c r="V115" s="378"/>
    </row>
    <row r="116" spans="1:22" ht="16.5" customHeight="1" x14ac:dyDescent="0.3">
      <c r="A116" s="420"/>
      <c r="B116" s="427"/>
      <c r="C116" s="581"/>
      <c r="D116" s="526"/>
      <c r="E116" s="526"/>
      <c r="F116" s="399"/>
      <c r="G116" s="527"/>
      <c r="H116" s="536"/>
      <c r="I116" s="488"/>
      <c r="J116" s="530"/>
      <c r="K116" s="530"/>
      <c r="L116" s="530"/>
      <c r="M116" s="530"/>
      <c r="N116" s="537"/>
      <c r="O116" s="540"/>
      <c r="P116" s="558"/>
      <c r="Q116" s="491"/>
      <c r="R116" s="492"/>
      <c r="S116" s="444"/>
      <c r="U116" s="378"/>
      <c r="V116" s="378"/>
    </row>
    <row r="117" spans="1:22" ht="16.5" customHeight="1" x14ac:dyDescent="0.3">
      <c r="A117" s="420"/>
      <c r="B117" s="427"/>
      <c r="C117" s="383">
        <v>45838</v>
      </c>
      <c r="D117" s="356" t="s">
        <v>809</v>
      </c>
      <c r="E117" s="358" t="s">
        <v>850</v>
      </c>
      <c r="F117" s="385" t="s">
        <v>705</v>
      </c>
      <c r="G117" s="411" t="s">
        <v>376</v>
      </c>
      <c r="H117" s="391" t="s">
        <v>735</v>
      </c>
      <c r="I117" s="359">
        <v>1</v>
      </c>
      <c r="J117" s="339">
        <v>550000</v>
      </c>
      <c r="K117" s="346">
        <v>550000</v>
      </c>
      <c r="L117" s="339">
        <v>55000</v>
      </c>
      <c r="M117" s="339">
        <v>605000</v>
      </c>
      <c r="N117" s="363"/>
      <c r="O117" s="393"/>
      <c r="P117" s="570"/>
      <c r="Q117" s="466">
        <v>45845</v>
      </c>
      <c r="R117" s="311" t="s">
        <v>377</v>
      </c>
      <c r="S117" s="425"/>
      <c r="T117" s="341" t="str">
        <f>IF(S117="","","입금완료")</f>
        <v/>
      </c>
      <c r="U117" s="378"/>
      <c r="V117" s="378"/>
    </row>
    <row r="118" spans="1:22" ht="16.5" customHeight="1" x14ac:dyDescent="0.3">
      <c r="A118" s="420"/>
      <c r="B118" s="427"/>
      <c r="C118" s="383">
        <v>45869</v>
      </c>
      <c r="D118" s="356" t="s">
        <v>809</v>
      </c>
      <c r="E118" s="358" t="s">
        <v>850</v>
      </c>
      <c r="F118" s="385" t="s">
        <v>705</v>
      </c>
      <c r="G118" s="385" t="s">
        <v>376</v>
      </c>
      <c r="H118" s="386" t="s">
        <v>744</v>
      </c>
      <c r="I118" s="473">
        <v>1</v>
      </c>
      <c r="J118" s="346">
        <v>550000</v>
      </c>
      <c r="K118" s="346">
        <v>550000</v>
      </c>
      <c r="L118" s="339">
        <v>55000</v>
      </c>
      <c r="M118" s="339">
        <v>605000</v>
      </c>
      <c r="N118" s="364"/>
      <c r="O118" s="393"/>
      <c r="P118" s="570"/>
      <c r="Q118" s="466">
        <v>45876</v>
      </c>
      <c r="R118" s="126" t="s">
        <v>377</v>
      </c>
      <c r="S118" s="425"/>
      <c r="T118" s="341" t="str">
        <f>IF(S118="","","입금완료")</f>
        <v/>
      </c>
      <c r="U118" s="378"/>
      <c r="V118" s="378"/>
    </row>
    <row r="119" spans="1:22" ht="16.5" customHeight="1" x14ac:dyDescent="0.3">
      <c r="A119" s="420"/>
      <c r="B119" s="427"/>
      <c r="C119" s="383">
        <v>45898</v>
      </c>
      <c r="D119" s="356" t="s">
        <v>809</v>
      </c>
      <c r="E119" s="358" t="s">
        <v>850</v>
      </c>
      <c r="F119" s="385" t="s">
        <v>716</v>
      </c>
      <c r="G119" s="385" t="s">
        <v>717</v>
      </c>
      <c r="H119" s="391" t="s">
        <v>739</v>
      </c>
      <c r="I119" s="359">
        <v>1</v>
      </c>
      <c r="J119" s="339">
        <v>550000</v>
      </c>
      <c r="K119" s="346">
        <v>550000</v>
      </c>
      <c r="L119" s="339">
        <v>55000</v>
      </c>
      <c r="M119" s="339">
        <v>605000</v>
      </c>
      <c r="N119" s="596"/>
      <c r="O119" s="98"/>
      <c r="P119" s="338"/>
      <c r="Q119" s="466">
        <v>45907</v>
      </c>
      <c r="R119" s="311" t="s">
        <v>718</v>
      </c>
      <c r="S119" s="425"/>
      <c r="T119" s="341" t="str">
        <f>IF(S119="","","입금완료")</f>
        <v/>
      </c>
      <c r="U119" s="378"/>
      <c r="V119" s="378"/>
    </row>
    <row r="120" spans="1:22" x14ac:dyDescent="0.3">
      <c r="A120" s="420"/>
      <c r="B120" s="427"/>
      <c r="C120" s="383">
        <v>45930</v>
      </c>
      <c r="D120" s="356" t="s">
        <v>809</v>
      </c>
      <c r="E120" s="358" t="s">
        <v>850</v>
      </c>
      <c r="F120" s="385" t="s">
        <v>716</v>
      </c>
      <c r="G120" s="411" t="s">
        <v>717</v>
      </c>
      <c r="H120" s="391" t="s">
        <v>745</v>
      </c>
      <c r="I120" s="359">
        <v>1</v>
      </c>
      <c r="J120" s="339">
        <v>550000</v>
      </c>
      <c r="K120" s="346">
        <v>550000</v>
      </c>
      <c r="L120" s="339">
        <v>55000</v>
      </c>
      <c r="M120" s="339">
        <v>605000</v>
      </c>
      <c r="N120" s="363"/>
      <c r="O120" s="395"/>
      <c r="P120" s="338"/>
      <c r="Q120" s="466">
        <v>45937</v>
      </c>
      <c r="R120" s="311" t="s">
        <v>718</v>
      </c>
      <c r="S120" s="425"/>
      <c r="T120" s="341" t="str">
        <f>IF(S120="","","입금완료")</f>
        <v/>
      </c>
      <c r="U120" s="378"/>
      <c r="V120" s="378"/>
    </row>
    <row r="121" spans="1:22" x14ac:dyDescent="0.3">
      <c r="A121" s="420"/>
      <c r="B121" s="427"/>
      <c r="C121" s="383">
        <v>45961</v>
      </c>
      <c r="D121" s="356" t="s">
        <v>809</v>
      </c>
      <c r="E121" s="358" t="s">
        <v>850</v>
      </c>
      <c r="F121" s="385" t="s">
        <v>716</v>
      </c>
      <c r="G121" s="411" t="s">
        <v>717</v>
      </c>
      <c r="H121" s="391" t="s">
        <v>779</v>
      </c>
      <c r="I121" s="359">
        <v>1</v>
      </c>
      <c r="J121" s="339">
        <v>550000</v>
      </c>
      <c r="K121" s="346">
        <v>550000</v>
      </c>
      <c r="L121" s="339">
        <v>55000</v>
      </c>
      <c r="M121" s="339">
        <v>605000</v>
      </c>
      <c r="N121" s="363"/>
      <c r="O121" s="395"/>
      <c r="P121" s="338"/>
      <c r="Q121" s="466">
        <v>45968</v>
      </c>
      <c r="R121" s="311" t="s">
        <v>718</v>
      </c>
      <c r="S121" s="425"/>
      <c r="T121" s="341" t="str">
        <f>IF(S121="","","입금완료")</f>
        <v/>
      </c>
      <c r="U121" s="378"/>
      <c r="V121" s="378"/>
    </row>
    <row r="122" spans="1:22" ht="16.5" customHeight="1" thickBot="1" x14ac:dyDescent="0.35">
      <c r="A122" s="420"/>
      <c r="B122" s="427"/>
      <c r="C122" s="501"/>
      <c r="D122" s="502"/>
      <c r="E122" s="493"/>
      <c r="F122" s="493"/>
      <c r="G122" s="493"/>
      <c r="H122" s="504"/>
      <c r="I122" s="494"/>
      <c r="J122" s="505"/>
      <c r="K122" s="506"/>
      <c r="L122" s="505"/>
      <c r="M122" s="507">
        <f>SUM(M117:M121)</f>
        <v>3025000</v>
      </c>
      <c r="N122" s="508"/>
      <c r="O122" s="509"/>
      <c r="P122" s="555"/>
      <c r="Q122" s="493"/>
      <c r="R122" s="481"/>
      <c r="S122" s="441"/>
      <c r="U122" s="378"/>
      <c r="V122" s="378"/>
    </row>
    <row r="123" spans="1:22" ht="16.5" customHeight="1" x14ac:dyDescent="0.3">
      <c r="A123" s="420"/>
      <c r="B123" s="427"/>
      <c r="C123" s="499"/>
      <c r="D123" s="124"/>
      <c r="E123" s="124"/>
      <c r="F123" s="124"/>
      <c r="G123" s="124"/>
      <c r="H123" s="355"/>
      <c r="I123" s="359"/>
      <c r="J123" s="339"/>
      <c r="K123" s="339"/>
      <c r="L123" s="339"/>
      <c r="M123" s="339"/>
      <c r="N123" s="474"/>
      <c r="O123" s="475"/>
      <c r="P123" s="551"/>
      <c r="Q123" s="124"/>
      <c r="R123" s="313"/>
      <c r="S123" s="443"/>
      <c r="U123" s="378"/>
      <c r="V123" s="378"/>
    </row>
    <row r="124" spans="1:22" ht="16.5" customHeight="1" thickBot="1" x14ac:dyDescent="0.35">
      <c r="A124" s="420"/>
      <c r="B124" s="427"/>
      <c r="C124" s="579">
        <v>45961</v>
      </c>
      <c r="D124" s="482" t="s">
        <v>832</v>
      </c>
      <c r="E124" s="483" t="s">
        <v>878</v>
      </c>
      <c r="F124" s="166" t="s">
        <v>30</v>
      </c>
      <c r="G124" s="547" t="s">
        <v>82</v>
      </c>
      <c r="H124" s="398" t="s">
        <v>769</v>
      </c>
      <c r="I124" s="484">
        <v>1</v>
      </c>
      <c r="J124" s="513">
        <v>554000</v>
      </c>
      <c r="K124" s="514">
        <v>554000</v>
      </c>
      <c r="L124" s="513">
        <v>55400</v>
      </c>
      <c r="M124" s="515">
        <v>609400</v>
      </c>
      <c r="N124" s="521"/>
      <c r="O124" s="522"/>
      <c r="P124" s="549"/>
      <c r="Q124" s="486" t="s">
        <v>726</v>
      </c>
      <c r="R124" s="186" t="s">
        <v>0</v>
      </c>
      <c r="S124" s="425"/>
      <c r="T124" s="341" t="str">
        <f>IF(S124="","","입금완료")</f>
        <v/>
      </c>
      <c r="U124" s="378"/>
      <c r="V124" s="378"/>
    </row>
    <row r="125" spans="1:22" ht="16.5" customHeight="1" x14ac:dyDescent="0.3">
      <c r="A125" s="420"/>
      <c r="B125" s="427"/>
      <c r="C125" s="581"/>
      <c r="D125" s="487"/>
      <c r="E125" s="487"/>
      <c r="F125" s="526"/>
      <c r="G125" s="527"/>
      <c r="H125" s="400"/>
      <c r="I125" s="488"/>
      <c r="J125" s="530"/>
      <c r="K125" s="530"/>
      <c r="L125" s="530"/>
      <c r="M125" s="530"/>
      <c r="N125" s="537"/>
      <c r="O125" s="538"/>
      <c r="P125" s="558"/>
      <c r="Q125" s="491"/>
      <c r="R125" s="492"/>
      <c r="S125" s="444"/>
      <c r="U125" s="378"/>
      <c r="V125" s="378"/>
    </row>
    <row r="126" spans="1:22" ht="16.5" customHeight="1" thickBot="1" x14ac:dyDescent="0.35">
      <c r="A126" s="420"/>
      <c r="B126" s="427"/>
      <c r="C126" s="501">
        <v>45981</v>
      </c>
      <c r="D126" s="478" t="s">
        <v>846</v>
      </c>
      <c r="E126" s="479"/>
      <c r="F126" s="405" t="s">
        <v>363</v>
      </c>
      <c r="G126" s="405" t="s">
        <v>715</v>
      </c>
      <c r="H126" s="404" t="s">
        <v>804</v>
      </c>
      <c r="I126" s="494">
        <v>1</v>
      </c>
      <c r="J126" s="505">
        <v>1000000</v>
      </c>
      <c r="K126" s="506">
        <v>1000000</v>
      </c>
      <c r="L126" s="505">
        <v>100000</v>
      </c>
      <c r="M126" s="507">
        <v>1100000</v>
      </c>
      <c r="N126" s="529"/>
      <c r="O126" s="563"/>
      <c r="P126" s="510"/>
      <c r="Q126" s="480" t="s">
        <v>726</v>
      </c>
      <c r="R126" s="481" t="s">
        <v>0</v>
      </c>
      <c r="S126" s="441"/>
      <c r="U126" s="378"/>
      <c r="V126" s="378"/>
    </row>
    <row r="127" spans="1:22" ht="16.5" customHeight="1" x14ac:dyDescent="0.3">
      <c r="A127" s="420"/>
      <c r="B127" s="427"/>
      <c r="C127" s="499"/>
      <c r="D127" s="358"/>
      <c r="E127" s="358"/>
      <c r="F127" s="385"/>
      <c r="G127" s="385"/>
      <c r="H127" s="391"/>
      <c r="I127" s="359"/>
      <c r="J127" s="339"/>
      <c r="K127" s="339"/>
      <c r="L127" s="339"/>
      <c r="M127" s="339"/>
      <c r="N127" s="364"/>
      <c r="O127" s="412"/>
      <c r="P127" s="500"/>
      <c r="Q127" s="465"/>
      <c r="R127" s="313"/>
      <c r="S127" s="443"/>
      <c r="U127" s="378"/>
      <c r="V127" s="378"/>
    </row>
    <row r="128" spans="1:22" ht="16.5" customHeight="1" thickBot="1" x14ac:dyDescent="0.35">
      <c r="A128" s="420"/>
      <c r="B128" s="427"/>
      <c r="C128" s="579">
        <v>45932</v>
      </c>
      <c r="D128" s="511" t="s">
        <v>816</v>
      </c>
      <c r="E128" s="166"/>
      <c r="F128" s="166" t="s">
        <v>30</v>
      </c>
      <c r="G128" s="166" t="s">
        <v>82</v>
      </c>
      <c r="H128" s="519" t="s">
        <v>760</v>
      </c>
      <c r="I128" s="520">
        <v>1</v>
      </c>
      <c r="J128" s="514">
        <v>8534000</v>
      </c>
      <c r="K128" s="514">
        <v>8534000</v>
      </c>
      <c r="L128" s="513">
        <v>853400</v>
      </c>
      <c r="M128" s="515">
        <v>9387400</v>
      </c>
      <c r="N128" s="642"/>
      <c r="O128" s="643"/>
      <c r="P128" s="549"/>
      <c r="Q128" s="166" t="s">
        <v>726</v>
      </c>
      <c r="R128" s="518" t="s">
        <v>0</v>
      </c>
      <c r="S128" s="425"/>
      <c r="T128" s="341" t="str">
        <f>IF(S128="","","입금완료")</f>
        <v/>
      </c>
      <c r="U128" s="378"/>
      <c r="V128" s="378"/>
    </row>
    <row r="129" spans="1:22" ht="16.5" customHeight="1" x14ac:dyDescent="0.3">
      <c r="A129" s="420"/>
      <c r="B129" s="427"/>
      <c r="C129" s="581"/>
      <c r="D129" s="526"/>
      <c r="E129" s="526"/>
      <c r="F129" s="526"/>
      <c r="G129" s="526"/>
      <c r="H129" s="536"/>
      <c r="I129" s="488"/>
      <c r="J129" s="530"/>
      <c r="K129" s="530"/>
      <c r="L129" s="530"/>
      <c r="M129" s="530"/>
      <c r="N129" s="647"/>
      <c r="O129" s="648"/>
      <c r="P129" s="558"/>
      <c r="Q129" s="526"/>
      <c r="R129" s="492"/>
      <c r="S129" s="444"/>
      <c r="U129" s="378"/>
      <c r="V129" s="378"/>
    </row>
    <row r="130" spans="1:22" ht="16.5" customHeight="1" thickBot="1" x14ac:dyDescent="0.35">
      <c r="A130" s="420"/>
      <c r="B130" s="427"/>
      <c r="C130" s="501">
        <v>45930</v>
      </c>
      <c r="D130" s="502" t="s">
        <v>816</v>
      </c>
      <c r="E130" s="401" t="s">
        <v>863</v>
      </c>
      <c r="F130" s="401" t="s">
        <v>30</v>
      </c>
      <c r="G130" s="401" t="s">
        <v>736</v>
      </c>
      <c r="H130" s="588" t="s">
        <v>754</v>
      </c>
      <c r="I130" s="589">
        <v>1</v>
      </c>
      <c r="J130" s="384">
        <v>615000</v>
      </c>
      <c r="K130" s="506">
        <v>615000</v>
      </c>
      <c r="L130" s="649">
        <v>61500</v>
      </c>
      <c r="M130" s="507">
        <v>676500</v>
      </c>
      <c r="N130" s="650"/>
      <c r="O130" s="496"/>
      <c r="P130" s="651"/>
      <c r="Q130" s="493" t="s">
        <v>726</v>
      </c>
      <c r="R130" s="535" t="s">
        <v>2</v>
      </c>
      <c r="S130" s="441"/>
      <c r="T130" s="341" t="str">
        <f>IF(S130="","","입금완료")</f>
        <v/>
      </c>
      <c r="U130" s="378"/>
      <c r="V130" s="378"/>
    </row>
    <row r="131" spans="1:22" ht="16.5" customHeight="1" x14ac:dyDescent="0.3">
      <c r="A131" s="420"/>
      <c r="B131" s="427"/>
      <c r="C131" s="499"/>
      <c r="D131" s="124"/>
      <c r="E131" s="385"/>
      <c r="F131" s="385"/>
      <c r="G131" s="385"/>
      <c r="H131" s="387"/>
      <c r="I131" s="571"/>
      <c r="J131" s="349"/>
      <c r="K131" s="339"/>
      <c r="L131" s="629"/>
      <c r="M131" s="339"/>
      <c r="N131" s="644"/>
      <c r="O131" s="454"/>
      <c r="P131" s="645"/>
      <c r="Q131" s="124"/>
      <c r="R131" s="313"/>
      <c r="S131" s="443"/>
      <c r="U131" s="378"/>
      <c r="V131" s="378"/>
    </row>
    <row r="132" spans="1:22" ht="16.5" customHeight="1" x14ac:dyDescent="0.3">
      <c r="A132" s="420"/>
      <c r="B132" s="427"/>
      <c r="C132" s="143">
        <v>45930</v>
      </c>
      <c r="D132" s="98" t="s">
        <v>815</v>
      </c>
      <c r="E132" s="98" t="s">
        <v>838</v>
      </c>
      <c r="F132" s="385" t="s">
        <v>30</v>
      </c>
      <c r="G132" s="385" t="s">
        <v>721</v>
      </c>
      <c r="H132" s="386" t="s">
        <v>752</v>
      </c>
      <c r="I132" s="473">
        <v>1</v>
      </c>
      <c r="J132" s="346">
        <v>1224000</v>
      </c>
      <c r="K132" s="346">
        <v>1224000</v>
      </c>
      <c r="L132" s="339">
        <v>122400</v>
      </c>
      <c r="M132" s="339">
        <v>1346400</v>
      </c>
      <c r="N132" s="456"/>
      <c r="O132" s="460"/>
      <c r="P132" s="628"/>
      <c r="Q132" s="124" t="s">
        <v>726</v>
      </c>
      <c r="R132" s="107" t="s">
        <v>0</v>
      </c>
      <c r="S132" s="425"/>
      <c r="T132" s="341" t="str">
        <f>IF(S132="","","입금완료")</f>
        <v/>
      </c>
      <c r="U132" s="378"/>
      <c r="V132" s="378"/>
    </row>
    <row r="133" spans="1:22" ht="16.5" customHeight="1" x14ac:dyDescent="0.3">
      <c r="A133" s="420"/>
      <c r="B133" s="427"/>
      <c r="C133" s="143">
        <v>45930</v>
      </c>
      <c r="D133" s="98" t="s">
        <v>815</v>
      </c>
      <c r="E133" s="98" t="s">
        <v>838</v>
      </c>
      <c r="F133" s="396" t="s">
        <v>30</v>
      </c>
      <c r="G133" s="396" t="s">
        <v>721</v>
      </c>
      <c r="H133" s="386" t="s">
        <v>753</v>
      </c>
      <c r="I133" s="473">
        <v>1</v>
      </c>
      <c r="J133" s="346">
        <v>12434465</v>
      </c>
      <c r="K133" s="346">
        <v>12434465</v>
      </c>
      <c r="L133" s="339">
        <v>1243446.5</v>
      </c>
      <c r="M133" s="339">
        <v>13677911.5</v>
      </c>
      <c r="N133" s="456"/>
      <c r="O133" s="438"/>
      <c r="P133" s="628"/>
      <c r="Q133" s="124" t="s">
        <v>726</v>
      </c>
      <c r="R133" s="107" t="s">
        <v>0</v>
      </c>
      <c r="S133" s="425"/>
      <c r="T133" s="341" t="str">
        <f>IF(S133="","","입금완료")</f>
        <v/>
      </c>
      <c r="U133" s="378"/>
      <c r="V133" s="378"/>
    </row>
    <row r="134" spans="1:22" ht="16.5" customHeight="1" thickBot="1" x14ac:dyDescent="0.35">
      <c r="A134" s="420"/>
      <c r="B134" s="427"/>
      <c r="C134" s="579"/>
      <c r="D134" s="511"/>
      <c r="E134" s="166"/>
      <c r="F134" s="415"/>
      <c r="G134" s="397"/>
      <c r="H134" s="398"/>
      <c r="I134" s="484"/>
      <c r="J134" s="513"/>
      <c r="K134" s="514"/>
      <c r="L134" s="513"/>
      <c r="M134" s="515">
        <f>SUM(M132:M133)</f>
        <v>15024311.5</v>
      </c>
      <c r="N134" s="521"/>
      <c r="O134" s="449"/>
      <c r="P134" s="641"/>
      <c r="Q134" s="166"/>
      <c r="R134" s="186"/>
      <c r="S134" s="425"/>
      <c r="U134" s="378"/>
      <c r="V134" s="378"/>
    </row>
    <row r="135" spans="1:22" ht="16.5" customHeight="1" x14ac:dyDescent="0.3">
      <c r="A135" s="420"/>
      <c r="B135" s="427"/>
      <c r="C135" s="581"/>
      <c r="D135" s="526"/>
      <c r="E135" s="526"/>
      <c r="F135" s="399"/>
      <c r="G135" s="399"/>
      <c r="H135" s="400"/>
      <c r="I135" s="488"/>
      <c r="J135" s="530"/>
      <c r="K135" s="530"/>
      <c r="L135" s="530"/>
      <c r="M135" s="530"/>
      <c r="N135" s="537"/>
      <c r="O135" s="446"/>
      <c r="P135" s="646"/>
      <c r="Q135" s="526"/>
      <c r="R135" s="492"/>
      <c r="S135" s="444"/>
      <c r="U135" s="378"/>
      <c r="V135" s="378"/>
    </row>
    <row r="136" spans="1:22" ht="16.5" customHeight="1" thickBot="1" x14ac:dyDescent="0.35">
      <c r="A136" s="420"/>
      <c r="B136" s="427"/>
      <c r="C136" s="501">
        <v>45930</v>
      </c>
      <c r="D136" s="502" t="s">
        <v>815</v>
      </c>
      <c r="E136" s="493" t="s">
        <v>809</v>
      </c>
      <c r="F136" s="405" t="s">
        <v>30</v>
      </c>
      <c r="G136" s="493" t="s">
        <v>82</v>
      </c>
      <c r="H136" s="504" t="s">
        <v>755</v>
      </c>
      <c r="I136" s="494">
        <v>1</v>
      </c>
      <c r="J136" s="505">
        <v>40677330</v>
      </c>
      <c r="K136" s="506">
        <v>40677330</v>
      </c>
      <c r="L136" s="505">
        <v>4067733</v>
      </c>
      <c r="M136" s="507">
        <v>44745063</v>
      </c>
      <c r="N136" s="508"/>
      <c r="O136" s="509"/>
      <c r="P136" s="555"/>
      <c r="Q136" s="493" t="s">
        <v>726</v>
      </c>
      <c r="R136" s="481" t="s">
        <v>0</v>
      </c>
      <c r="S136" s="441"/>
      <c r="T136" s="341" t="str">
        <f>IF(S136="","","입금완료")</f>
        <v/>
      </c>
      <c r="U136" s="378"/>
      <c r="V136" s="378"/>
    </row>
    <row r="137" spans="1:22" ht="16.5" customHeight="1" x14ac:dyDescent="0.3">
      <c r="A137" s="420"/>
      <c r="B137" s="427"/>
      <c r="C137" s="499"/>
      <c r="D137" s="124"/>
      <c r="E137" s="124"/>
      <c r="F137" s="385"/>
      <c r="G137" s="124"/>
      <c r="H137" s="355"/>
      <c r="I137" s="359"/>
      <c r="J137" s="339"/>
      <c r="K137" s="339"/>
      <c r="L137" s="339"/>
      <c r="M137" s="339"/>
      <c r="N137" s="474"/>
      <c r="O137" s="475"/>
      <c r="P137" s="551"/>
      <c r="Q137" s="124"/>
      <c r="R137" s="313"/>
      <c r="S137" s="443"/>
      <c r="U137" s="378"/>
      <c r="V137" s="378"/>
    </row>
    <row r="138" spans="1:22" ht="16.5" customHeight="1" thickBot="1" x14ac:dyDescent="0.35">
      <c r="A138" s="420"/>
      <c r="B138" s="427"/>
      <c r="C138" s="579">
        <v>45931</v>
      </c>
      <c r="D138" s="511" t="s">
        <v>815</v>
      </c>
      <c r="E138" s="511" t="s">
        <v>864</v>
      </c>
      <c r="F138" s="511" t="s">
        <v>30</v>
      </c>
      <c r="G138" s="397" t="s">
        <v>719</v>
      </c>
      <c r="H138" s="640" t="s">
        <v>758</v>
      </c>
      <c r="I138" s="562">
        <v>1</v>
      </c>
      <c r="J138" s="514">
        <v>1600000</v>
      </c>
      <c r="K138" s="514">
        <v>1600000</v>
      </c>
      <c r="L138" s="513">
        <v>160000</v>
      </c>
      <c r="M138" s="515">
        <v>1760000</v>
      </c>
      <c r="N138" s="485"/>
      <c r="O138" s="516"/>
      <c r="P138" s="517"/>
      <c r="Q138" s="166" t="s">
        <v>726</v>
      </c>
      <c r="R138" s="518" t="s">
        <v>0</v>
      </c>
      <c r="S138" s="425"/>
      <c r="T138" s="341" t="str">
        <f>IF(S138="","","입금완료")</f>
        <v/>
      </c>
      <c r="U138" s="378"/>
      <c r="V138" s="378"/>
    </row>
    <row r="139" spans="1:22" ht="16.5" customHeight="1" x14ac:dyDescent="0.3">
      <c r="A139" s="420"/>
      <c r="B139" s="427"/>
      <c r="C139" s="581"/>
      <c r="D139" s="526"/>
      <c r="E139" s="526"/>
      <c r="F139" s="526"/>
      <c r="G139" s="399"/>
      <c r="H139" s="565"/>
      <c r="I139" s="566"/>
      <c r="J139" s="530"/>
      <c r="K139" s="530"/>
      <c r="L139" s="530"/>
      <c r="M139" s="530"/>
      <c r="N139" s="489"/>
      <c r="O139" s="531"/>
      <c r="P139" s="532"/>
      <c r="Q139" s="526"/>
      <c r="R139" s="492"/>
      <c r="S139" s="444"/>
      <c r="U139" s="378"/>
      <c r="V139" s="378"/>
    </row>
    <row r="140" spans="1:22" ht="24.75" thickBot="1" x14ac:dyDescent="0.35">
      <c r="A140" s="420"/>
      <c r="B140" s="427"/>
      <c r="C140" s="501">
        <v>45962</v>
      </c>
      <c r="D140" s="502" t="s">
        <v>839</v>
      </c>
      <c r="E140" s="401" t="s">
        <v>881</v>
      </c>
      <c r="F140" s="405" t="s">
        <v>30</v>
      </c>
      <c r="G140" s="405" t="s">
        <v>86</v>
      </c>
      <c r="H140" s="404" t="s">
        <v>796</v>
      </c>
      <c r="I140" s="375">
        <v>1</v>
      </c>
      <c r="J140" s="505">
        <v>520000</v>
      </c>
      <c r="K140" s="506">
        <v>520000</v>
      </c>
      <c r="L140" s="505">
        <v>52000</v>
      </c>
      <c r="M140" s="507">
        <v>572000</v>
      </c>
      <c r="N140" s="495"/>
      <c r="O140" s="496"/>
      <c r="P140" s="510"/>
      <c r="Q140" s="493" t="s">
        <v>726</v>
      </c>
      <c r="R140" s="481" t="s">
        <v>2</v>
      </c>
      <c r="S140" s="441"/>
      <c r="U140" s="378"/>
      <c r="V140" s="378"/>
    </row>
    <row r="141" spans="1:22" ht="16.5" customHeight="1" x14ac:dyDescent="0.3">
      <c r="A141" s="420"/>
      <c r="B141" s="427"/>
      <c r="C141" s="499"/>
      <c r="D141" s="124"/>
      <c r="E141" s="385"/>
      <c r="F141" s="385"/>
      <c r="G141" s="385"/>
      <c r="H141" s="391"/>
      <c r="I141" s="365"/>
      <c r="J141" s="339"/>
      <c r="K141" s="339"/>
      <c r="L141" s="339"/>
      <c r="M141" s="339"/>
      <c r="N141" s="462"/>
      <c r="O141" s="454"/>
      <c r="P141" s="500"/>
      <c r="Q141" s="124"/>
      <c r="R141" s="313"/>
      <c r="S141" s="443"/>
      <c r="U141" s="378"/>
      <c r="V141" s="378"/>
    </row>
    <row r="142" spans="1:22" ht="16.5" customHeight="1" thickBot="1" x14ac:dyDescent="0.35">
      <c r="A142" s="420"/>
      <c r="B142" s="427"/>
      <c r="C142" s="579">
        <v>45930</v>
      </c>
      <c r="D142" s="511" t="s">
        <v>814</v>
      </c>
      <c r="E142" s="166" t="s">
        <v>808</v>
      </c>
      <c r="F142" s="166" t="s">
        <v>30</v>
      </c>
      <c r="G142" s="166" t="s">
        <v>86</v>
      </c>
      <c r="H142" s="519" t="s">
        <v>750</v>
      </c>
      <c r="I142" s="484">
        <v>1</v>
      </c>
      <c r="J142" s="513">
        <v>2697200</v>
      </c>
      <c r="K142" s="514">
        <v>2697200</v>
      </c>
      <c r="L142" s="513">
        <v>269720</v>
      </c>
      <c r="M142" s="515">
        <v>2966920</v>
      </c>
      <c r="N142" s="575"/>
      <c r="O142" s="576"/>
      <c r="P142" s="549"/>
      <c r="Q142" s="486" t="s">
        <v>726</v>
      </c>
      <c r="R142" s="518" t="s">
        <v>2</v>
      </c>
      <c r="S142" s="425"/>
      <c r="T142" s="341" t="str">
        <f>IF(S142="","","입금완료")</f>
        <v/>
      </c>
      <c r="U142" s="378"/>
      <c r="V142" s="378"/>
    </row>
    <row r="143" spans="1:22" ht="16.5" customHeight="1" x14ac:dyDescent="0.3">
      <c r="A143" s="420"/>
      <c r="B143" s="427"/>
      <c r="C143" s="581"/>
      <c r="D143" s="526"/>
      <c r="E143" s="526"/>
      <c r="F143" s="526"/>
      <c r="G143" s="526"/>
      <c r="H143" s="536"/>
      <c r="I143" s="488"/>
      <c r="J143" s="530"/>
      <c r="K143" s="530"/>
      <c r="L143" s="530"/>
      <c r="M143" s="530"/>
      <c r="N143" s="577"/>
      <c r="O143" s="578"/>
      <c r="P143" s="558"/>
      <c r="Q143" s="491"/>
      <c r="R143" s="492"/>
      <c r="S143" s="444"/>
      <c r="U143" s="378"/>
      <c r="V143" s="378"/>
    </row>
    <row r="144" spans="1:22" ht="16.5" customHeight="1" thickBot="1" x14ac:dyDescent="0.35">
      <c r="A144" s="420"/>
      <c r="B144" s="427"/>
      <c r="C144" s="501">
        <v>45961</v>
      </c>
      <c r="D144" s="502" t="s">
        <v>833</v>
      </c>
      <c r="E144" s="493" t="s">
        <v>878</v>
      </c>
      <c r="F144" s="493" t="s">
        <v>30</v>
      </c>
      <c r="G144" s="493" t="s">
        <v>82</v>
      </c>
      <c r="H144" s="533" t="s">
        <v>787</v>
      </c>
      <c r="I144" s="494">
        <v>1</v>
      </c>
      <c r="J144" s="505">
        <v>454600</v>
      </c>
      <c r="K144" s="506">
        <v>454600</v>
      </c>
      <c r="L144" s="505">
        <v>45460</v>
      </c>
      <c r="M144" s="507">
        <v>500060</v>
      </c>
      <c r="N144" s="508"/>
      <c r="O144" s="509"/>
      <c r="P144" s="555"/>
      <c r="Q144" s="480" t="s">
        <v>726</v>
      </c>
      <c r="R144" s="535" t="s">
        <v>0</v>
      </c>
      <c r="S144" s="441"/>
      <c r="T144" s="341" t="str">
        <f>IF(S144="","","입금완료")</f>
        <v/>
      </c>
      <c r="U144" s="378"/>
      <c r="V144" s="378"/>
    </row>
    <row r="145" spans="1:22" ht="16.5" customHeight="1" x14ac:dyDescent="0.3">
      <c r="A145" s="420"/>
      <c r="B145" s="427"/>
      <c r="C145" s="499"/>
      <c r="D145" s="124"/>
      <c r="E145" s="124"/>
      <c r="F145" s="124"/>
      <c r="G145" s="124"/>
      <c r="H145" s="355"/>
      <c r="I145" s="359"/>
      <c r="J145" s="339"/>
      <c r="K145" s="339"/>
      <c r="L145" s="339"/>
      <c r="M145" s="339"/>
      <c r="N145" s="474"/>
      <c r="O145" s="475"/>
      <c r="P145" s="551"/>
      <c r="Q145" s="465"/>
      <c r="R145" s="313"/>
      <c r="S145" s="443"/>
      <c r="U145" s="378"/>
      <c r="V145" s="378"/>
    </row>
    <row r="146" spans="1:22" ht="16.5" customHeight="1" thickBot="1" x14ac:dyDescent="0.35">
      <c r="A146" s="420"/>
      <c r="B146" s="427"/>
      <c r="C146" s="579">
        <v>45961</v>
      </c>
      <c r="D146" s="482" t="s">
        <v>831</v>
      </c>
      <c r="E146" s="483" t="s">
        <v>877</v>
      </c>
      <c r="F146" s="166" t="s">
        <v>30</v>
      </c>
      <c r="G146" s="166" t="s">
        <v>82</v>
      </c>
      <c r="H146" s="403" t="s">
        <v>769</v>
      </c>
      <c r="I146" s="484">
        <v>1</v>
      </c>
      <c r="J146" s="513">
        <v>904800</v>
      </c>
      <c r="K146" s="514">
        <v>904800</v>
      </c>
      <c r="L146" s="513">
        <v>90480</v>
      </c>
      <c r="M146" s="515">
        <v>995280</v>
      </c>
      <c r="N146" s="521"/>
      <c r="O146" s="522"/>
      <c r="P146" s="549"/>
      <c r="Q146" s="486" t="s">
        <v>726</v>
      </c>
      <c r="R146" s="518" t="s">
        <v>0</v>
      </c>
      <c r="S146" s="425"/>
      <c r="T146" s="341" t="str">
        <f>IF(S146="","","입금완료")</f>
        <v/>
      </c>
      <c r="U146" s="378"/>
      <c r="V146" s="378"/>
    </row>
    <row r="147" spans="1:22" ht="16.5" customHeight="1" x14ac:dyDescent="0.3">
      <c r="A147" s="420"/>
      <c r="B147" s="427"/>
      <c r="C147" s="581"/>
      <c r="D147" s="487"/>
      <c r="E147" s="487"/>
      <c r="F147" s="526"/>
      <c r="G147" s="526"/>
      <c r="H147" s="400"/>
      <c r="I147" s="488"/>
      <c r="J147" s="530"/>
      <c r="K147" s="530"/>
      <c r="L147" s="530"/>
      <c r="M147" s="530"/>
      <c r="N147" s="537"/>
      <c r="O147" s="538"/>
      <c r="P147" s="558"/>
      <c r="Q147" s="491"/>
      <c r="R147" s="492"/>
      <c r="S147" s="444"/>
      <c r="U147" s="378"/>
      <c r="V147" s="378"/>
    </row>
    <row r="148" spans="1:22" ht="16.5" customHeight="1" thickBot="1" x14ac:dyDescent="0.35">
      <c r="A148" s="420"/>
      <c r="B148" s="427"/>
      <c r="C148" s="501">
        <v>45962</v>
      </c>
      <c r="D148" s="502" t="s">
        <v>840</v>
      </c>
      <c r="E148" s="401" t="s">
        <v>882</v>
      </c>
      <c r="F148" s="401" t="s">
        <v>30</v>
      </c>
      <c r="G148" s="401" t="s">
        <v>86</v>
      </c>
      <c r="H148" s="404" t="s">
        <v>797</v>
      </c>
      <c r="I148" s="375">
        <v>1</v>
      </c>
      <c r="J148" s="505">
        <v>320000</v>
      </c>
      <c r="K148" s="506">
        <v>320000</v>
      </c>
      <c r="L148" s="505">
        <v>32000</v>
      </c>
      <c r="M148" s="507">
        <v>352000</v>
      </c>
      <c r="N148" s="495"/>
      <c r="O148" s="496"/>
      <c r="P148" s="510"/>
      <c r="Q148" s="493" t="s">
        <v>726</v>
      </c>
      <c r="R148" s="481" t="s">
        <v>2</v>
      </c>
      <c r="S148" s="441"/>
      <c r="U148" s="378"/>
      <c r="V148" s="378"/>
    </row>
    <row r="149" spans="1:22" ht="16.5" customHeight="1" x14ac:dyDescent="0.3">
      <c r="A149" s="420"/>
      <c r="B149" s="427"/>
      <c r="C149" s="499"/>
      <c r="D149" s="124"/>
      <c r="E149" s="385"/>
      <c r="F149" s="385"/>
      <c r="G149" s="385"/>
      <c r="H149" s="391"/>
      <c r="I149" s="365"/>
      <c r="J149" s="339"/>
      <c r="K149" s="339"/>
      <c r="L149" s="339"/>
      <c r="M149" s="339"/>
      <c r="N149" s="462"/>
      <c r="O149" s="454"/>
      <c r="P149" s="500"/>
      <c r="Q149" s="124"/>
      <c r="R149" s="313"/>
      <c r="S149" s="443"/>
      <c r="U149" s="378"/>
      <c r="V149" s="378"/>
    </row>
    <row r="150" spans="1:22" ht="16.5" customHeight="1" thickBot="1" x14ac:dyDescent="0.35">
      <c r="A150" s="420"/>
      <c r="B150" s="427"/>
      <c r="C150" s="579">
        <v>45962</v>
      </c>
      <c r="D150" s="511" t="s">
        <v>838</v>
      </c>
      <c r="E150" s="166"/>
      <c r="F150" s="166" t="s">
        <v>30</v>
      </c>
      <c r="G150" s="397" t="s">
        <v>82</v>
      </c>
      <c r="H150" s="561" t="s">
        <v>798</v>
      </c>
      <c r="I150" s="585">
        <v>1</v>
      </c>
      <c r="J150" s="382">
        <v>1538000</v>
      </c>
      <c r="K150" s="514">
        <v>1538000</v>
      </c>
      <c r="L150" s="513">
        <v>153800</v>
      </c>
      <c r="M150" s="515">
        <v>1691800</v>
      </c>
      <c r="N150" s="548"/>
      <c r="O150" s="524"/>
      <c r="P150" s="517"/>
      <c r="Q150" s="166" t="s">
        <v>726</v>
      </c>
      <c r="R150" s="518" t="s">
        <v>0</v>
      </c>
      <c r="S150" s="425"/>
      <c r="U150" s="378"/>
      <c r="V150" s="378"/>
    </row>
    <row r="151" spans="1:22" ht="16.5" customHeight="1" x14ac:dyDescent="0.3">
      <c r="A151" s="420"/>
      <c r="B151" s="427"/>
      <c r="C151" s="581"/>
      <c r="D151" s="526"/>
      <c r="E151" s="526"/>
      <c r="F151" s="526"/>
      <c r="G151" s="414"/>
      <c r="H151" s="565"/>
      <c r="I151" s="586"/>
      <c r="J151" s="353"/>
      <c r="K151" s="530"/>
      <c r="L151" s="530"/>
      <c r="M151" s="530"/>
      <c r="N151" s="541"/>
      <c r="O151" s="540"/>
      <c r="P151" s="532"/>
      <c r="Q151" s="526"/>
      <c r="R151" s="492"/>
      <c r="S151" s="444"/>
      <c r="U151" s="378"/>
      <c r="V151" s="378"/>
    </row>
    <row r="152" spans="1:22" ht="16.5" customHeight="1" thickBot="1" x14ac:dyDescent="0.35">
      <c r="A152" s="420"/>
      <c r="B152" s="427"/>
      <c r="C152" s="639">
        <v>45962</v>
      </c>
      <c r="D152" s="511" t="s">
        <v>838</v>
      </c>
      <c r="E152" s="166"/>
      <c r="F152" s="166" t="s">
        <v>30</v>
      </c>
      <c r="G152" s="547" t="s">
        <v>719</v>
      </c>
      <c r="H152" s="545" t="s">
        <v>795</v>
      </c>
      <c r="I152" s="562">
        <v>1</v>
      </c>
      <c r="J152" s="513">
        <v>507500</v>
      </c>
      <c r="K152" s="514">
        <v>507500</v>
      </c>
      <c r="L152" s="513">
        <v>50750</v>
      </c>
      <c r="M152" s="515">
        <v>558250</v>
      </c>
      <c r="N152" s="485"/>
      <c r="O152" s="516"/>
      <c r="P152" s="517"/>
      <c r="Q152" s="166" t="s">
        <v>726</v>
      </c>
      <c r="R152" s="186" t="s">
        <v>0</v>
      </c>
      <c r="S152" s="425"/>
      <c r="T152" s="341" t="str">
        <f>IF(S152="","","입금완료")</f>
        <v/>
      </c>
      <c r="U152" s="378"/>
      <c r="V152" s="378"/>
    </row>
    <row r="153" spans="1:22" ht="16.5" customHeight="1" x14ac:dyDescent="0.3">
      <c r="A153" s="664"/>
      <c r="B153" s="665"/>
      <c r="C153" s="666"/>
      <c r="D153" s="526"/>
      <c r="E153" s="526"/>
      <c r="F153" s="526"/>
      <c r="G153" s="527"/>
      <c r="H153" s="536"/>
      <c r="I153" s="566"/>
      <c r="J153" s="530"/>
      <c r="K153" s="530"/>
      <c r="L153" s="530"/>
      <c r="M153" s="530"/>
      <c r="N153" s="489"/>
      <c r="O153" s="531"/>
      <c r="P153" s="532"/>
      <c r="Q153" s="526"/>
      <c r="R153" s="492"/>
      <c r="S153" s="444"/>
      <c r="U153" s="378"/>
      <c r="V153" s="378"/>
    </row>
    <row r="154" spans="1:22" ht="16.5" customHeight="1" thickBot="1" x14ac:dyDescent="0.35">
      <c r="A154" s="432"/>
      <c r="B154" s="433"/>
      <c r="C154" s="667">
        <v>45962</v>
      </c>
      <c r="D154" s="568" t="s">
        <v>842</v>
      </c>
      <c r="E154" s="652"/>
      <c r="F154" s="493" t="s">
        <v>30</v>
      </c>
      <c r="G154" s="493" t="s">
        <v>714</v>
      </c>
      <c r="H154" s="583" t="s">
        <v>725</v>
      </c>
      <c r="I154" s="653">
        <v>1</v>
      </c>
      <c r="J154" s="506">
        <v>1474000</v>
      </c>
      <c r="K154" s="506">
        <v>1474000</v>
      </c>
      <c r="L154" s="505">
        <v>147400</v>
      </c>
      <c r="M154" s="507">
        <v>1621400</v>
      </c>
      <c r="N154" s="529"/>
      <c r="O154" s="418"/>
      <c r="P154" s="510"/>
      <c r="Q154" s="493" t="s">
        <v>726</v>
      </c>
      <c r="R154" s="535" t="s">
        <v>0</v>
      </c>
      <c r="S154" s="441"/>
      <c r="U154" s="378"/>
      <c r="V154" s="378"/>
    </row>
    <row r="155" spans="1:22" ht="16.5" customHeight="1" x14ac:dyDescent="0.3">
      <c r="M155" s="350"/>
      <c r="S155" s="345"/>
      <c r="U155" s="379"/>
    </row>
    <row r="156" spans="1:22" ht="16.5" customHeight="1" x14ac:dyDescent="0.3">
      <c r="L156" s="381" t="s">
        <v>487</v>
      </c>
      <c r="M156" s="595">
        <f>SUM(M154,M152,M150,M148,M146,M144,M142,M140,M138,M136,M134,M130,M128,M126,M124,M122,M115,M113,M111,M109,M107,M105,M99,M97,M95,M93,M91,M89,M87,M85,M79,M71,M69,M67,M63,M61,M59,M52,M50,M46,M44,M42,M38,M36,M34,M32,M27,M23,M21,M19,M8,M6,M4)</f>
        <v>282354998.5</v>
      </c>
      <c r="S156" s="345"/>
      <c r="U156" s="379"/>
    </row>
    <row r="157" spans="1:22" ht="16.5" customHeight="1" x14ac:dyDescent="0.3">
      <c r="L157" s="381"/>
      <c r="M157" s="344"/>
      <c r="S157" s="345"/>
      <c r="U157" s="379"/>
    </row>
    <row r="158" spans="1:22" ht="16.5" customHeight="1" x14ac:dyDescent="0.3">
      <c r="L158" s="381"/>
      <c r="M158" s="342"/>
      <c r="R158" s="654"/>
    </row>
    <row r="159" spans="1:22" ht="16.5" customHeight="1" x14ac:dyDescent="0.3">
      <c r="M159" s="344"/>
    </row>
    <row r="160" spans="1:22" ht="16.5" customHeight="1" x14ac:dyDescent="0.3">
      <c r="L160" s="381"/>
      <c r="M160" s="344"/>
    </row>
    <row r="161" spans="12:13" ht="16.5" customHeight="1" x14ac:dyDescent="0.3">
      <c r="L161" s="381"/>
      <c r="M161" s="344"/>
    </row>
    <row r="162" spans="12:13" ht="16.5" customHeight="1" x14ac:dyDescent="0.3">
      <c r="L162" s="381"/>
      <c r="M162" s="344"/>
    </row>
  </sheetData>
  <autoFilter ref="A3:U154" xr:uid="{ECF5B9BC-2FAD-45FD-A5E6-628F368EAB9E}"/>
  <sortState xmlns:xlrd2="http://schemas.microsoft.com/office/spreadsheetml/2017/richdata2" ref="A4:U154">
    <sortCondition ref="D4:D154"/>
  </sortState>
  <mergeCells count="16">
    <mergeCell ref="P2:P3"/>
    <mergeCell ref="Q2:Q3"/>
    <mergeCell ref="R2:R3"/>
    <mergeCell ref="S2:S3"/>
    <mergeCell ref="G2:G3"/>
    <mergeCell ref="H2:H3"/>
    <mergeCell ref="I2:I3"/>
    <mergeCell ref="J2:M2"/>
    <mergeCell ref="N2:N3"/>
    <mergeCell ref="O2:O3"/>
    <mergeCell ref="F2:F3"/>
    <mergeCell ref="A2:A3"/>
    <mergeCell ref="B2:B3"/>
    <mergeCell ref="C2:C3"/>
    <mergeCell ref="D2:D3"/>
    <mergeCell ref="E2:E3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8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2020년 3월-원본</vt:lpstr>
      <vt:lpstr>5월(X)</vt:lpstr>
      <vt:lpstr>5월-대표님확인용(X)</vt:lpstr>
      <vt:lpstr>11월-업체명순</vt:lpstr>
      <vt:lpstr>11월-월별</vt:lpstr>
      <vt:lpstr>11월-업체별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Jyyoon</cp:lastModifiedBy>
  <cp:lastPrinted>2023-12-22T05:23:57Z</cp:lastPrinted>
  <dcterms:created xsi:type="dcterms:W3CDTF">2017-01-20T05:23:03Z</dcterms:created>
  <dcterms:modified xsi:type="dcterms:W3CDTF">2025-12-23T08:38:41Z</dcterms:modified>
</cp:coreProperties>
</file>