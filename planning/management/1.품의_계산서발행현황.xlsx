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jangjingang/dev/smerp_next/planning/management/"/>
    </mc:Choice>
  </mc:AlternateContent>
  <xr:revisionPtr revIDLastSave="0" documentId="13_ncr:1_{1041C6A6-9100-D24C-AAC7-E3BB55F12710}" xr6:coauthVersionLast="47" xr6:coauthVersionMax="47" xr10:uidLastSave="{00000000-0000-0000-0000-000000000000}"/>
  <bookViews>
    <workbookView xWindow="-19200" yWindow="-1980" windowWidth="19200" windowHeight="21100" xr2:uid="{9B01404A-6A32-4A1E-8494-F48DBB915D41}"/>
  </bookViews>
  <sheets>
    <sheet name="25.12" sheetId="58" r:id="rId1"/>
  </sheets>
  <definedNames>
    <definedName name="_xlnm._FilterDatabase" localSheetId="0" hidden="1">'25.12'!$A$2:$R$46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8" l="1"/>
  <c r="H13" i="58" s="1"/>
  <c r="O13" i="58"/>
  <c r="P13" i="58" s="1"/>
  <c r="O3" i="58" l="1"/>
  <c r="P3" i="58" s="1"/>
  <c r="O4" i="58"/>
  <c r="P4" i="58" s="1"/>
  <c r="G5" i="58"/>
  <c r="H5" i="58" s="1"/>
  <c r="O5" i="58"/>
  <c r="P5" i="58" s="1"/>
  <c r="G6" i="58"/>
  <c r="H6" i="58" s="1"/>
  <c r="O6" i="58"/>
  <c r="P6" i="58" s="1"/>
  <c r="G7" i="58"/>
  <c r="O7" i="58"/>
  <c r="P7" i="58" s="1"/>
  <c r="G8" i="58"/>
  <c r="O8" i="58"/>
  <c r="P8" i="58" s="1"/>
  <c r="G9" i="58"/>
  <c r="H9" i="58" s="1"/>
  <c r="O9" i="58"/>
  <c r="P9" i="58" s="1"/>
  <c r="G16" i="58"/>
  <c r="H16" i="58" s="1"/>
  <c r="O16" i="58"/>
  <c r="P16" i="58" s="1"/>
  <c r="G17" i="58"/>
  <c r="H17" i="58" s="1"/>
  <c r="O17" i="58"/>
  <c r="P17" i="58" s="1"/>
  <c r="G18" i="58"/>
  <c r="H18" i="58" s="1"/>
  <c r="O18" i="58"/>
  <c r="P18" i="58" s="1"/>
  <c r="G19" i="58"/>
  <c r="H19" i="58" s="1"/>
  <c r="O19" i="58"/>
  <c r="P19" i="58" s="1"/>
  <c r="G20" i="58"/>
  <c r="H20" i="58" s="1"/>
  <c r="O20" i="58"/>
  <c r="P20" i="58" s="1"/>
  <c r="G21" i="58"/>
  <c r="H21" i="58" s="1"/>
  <c r="O21" i="58"/>
  <c r="P21" i="58" s="1"/>
  <c r="G22" i="58"/>
  <c r="H22" i="58" s="1"/>
  <c r="O22" i="58"/>
  <c r="P22" i="58" s="1"/>
  <c r="G23" i="58"/>
  <c r="H23" i="58" s="1"/>
  <c r="O23" i="58"/>
  <c r="P23" i="58" s="1"/>
  <c r="G24" i="58"/>
  <c r="H24" i="58" s="1"/>
  <c r="O24" i="58"/>
  <c r="P24" i="58" s="1"/>
  <c r="G25" i="58"/>
  <c r="H25" i="58" s="1"/>
  <c r="O25" i="58"/>
  <c r="P25" i="58" s="1"/>
  <c r="G34" i="58"/>
  <c r="H34" i="58" s="1"/>
  <c r="O34" i="58"/>
  <c r="P34" i="58" s="1"/>
  <c r="G10" i="58"/>
  <c r="H10" i="58" s="1"/>
  <c r="O10" i="58"/>
  <c r="P10" i="58" s="1"/>
  <c r="G11" i="58"/>
  <c r="H11" i="58" s="1"/>
  <c r="O11" i="58"/>
  <c r="P11" i="58" s="1"/>
  <c r="G12" i="58"/>
  <c r="H12" i="58" s="1"/>
  <c r="O12" i="58"/>
  <c r="P12" i="58" s="1"/>
  <c r="G14" i="58"/>
  <c r="H14" i="58" s="1"/>
  <c r="O14" i="58"/>
  <c r="P14" i="58" s="1"/>
  <c r="G15" i="58"/>
  <c r="H15" i="58" s="1"/>
  <c r="O15" i="58"/>
  <c r="P15" i="58" s="1"/>
  <c r="G35" i="58"/>
  <c r="H35" i="58" s="1"/>
  <c r="O35" i="58"/>
  <c r="P35" i="58" s="1"/>
  <c r="G26" i="58"/>
  <c r="H26" i="58" s="1"/>
  <c r="O26" i="58"/>
  <c r="P26" i="58" s="1"/>
  <c r="G27" i="58"/>
  <c r="H27" i="58" s="1"/>
  <c r="O27" i="58"/>
  <c r="P27" i="58" s="1"/>
  <c r="G28" i="58"/>
  <c r="H28" i="58" s="1"/>
  <c r="O28" i="58"/>
  <c r="P28" i="58" s="1"/>
  <c r="G29" i="58"/>
  <c r="H29" i="58" s="1"/>
  <c r="O29" i="58"/>
  <c r="P29" i="58" s="1"/>
  <c r="G30" i="58"/>
  <c r="H30" i="58" s="1"/>
  <c r="O30" i="58"/>
  <c r="P30" i="58" s="1"/>
  <c r="G31" i="58"/>
  <c r="H31" i="58" s="1"/>
  <c r="O31" i="58"/>
  <c r="P31" i="58" s="1"/>
  <c r="G32" i="58"/>
  <c r="H32" i="58" s="1"/>
  <c r="O32" i="58"/>
  <c r="P32" i="58" s="1"/>
  <c r="G33" i="58"/>
  <c r="H33" i="58" s="1"/>
  <c r="O33" i="58"/>
  <c r="P33" i="58" s="1"/>
  <c r="G36" i="58"/>
  <c r="H36" i="58" s="1"/>
  <c r="O36" i="58"/>
  <c r="P36" i="58" s="1"/>
  <c r="G37" i="58"/>
  <c r="H37" i="58" s="1"/>
  <c r="O37" i="58"/>
  <c r="P37" i="58" s="1"/>
  <c r="G38" i="58"/>
  <c r="H38" i="58" s="1"/>
  <c r="O38" i="58"/>
  <c r="P38" i="58" s="1"/>
  <c r="G39" i="58"/>
  <c r="H39" i="58" s="1"/>
  <c r="O39" i="58"/>
  <c r="P39" i="58" s="1"/>
  <c r="G40" i="58"/>
  <c r="H40" i="58" s="1"/>
  <c r="O40" i="58"/>
  <c r="P40" i="58" s="1"/>
  <c r="G41" i="58"/>
  <c r="H41" i="58" s="1"/>
  <c r="O41" i="58"/>
  <c r="P41" i="58" s="1"/>
  <c r="O45" i="58"/>
  <c r="P45" i="58" s="1"/>
  <c r="G45" i="58"/>
  <c r="H45" i="58" s="1"/>
  <c r="O44" i="58"/>
  <c r="P44" i="58" s="1"/>
  <c r="G44" i="58"/>
  <c r="H44" i="58" s="1"/>
  <c r="O43" i="58"/>
  <c r="P43" i="58" s="1"/>
  <c r="G43" i="58"/>
  <c r="H43" i="58" s="1"/>
  <c r="O42" i="58"/>
  <c r="P42" i="58" s="1"/>
  <c r="G42" i="58"/>
  <c r="H42" i="58" s="1"/>
  <c r="G4" i="58"/>
  <c r="H4" i="58" s="1"/>
  <c r="G3" i="58"/>
  <c r="H3" i="58" s="1"/>
  <c r="O46" i="58" l="1"/>
  <c r="H46" i="58"/>
</calcChain>
</file>

<file path=xl/sharedStrings.xml><?xml version="1.0" encoding="utf-8"?>
<sst xmlns="http://schemas.openxmlformats.org/spreadsheetml/2006/main" count="164" uniqueCount="105">
  <si>
    <t>매입일</t>
    <phoneticPr fontId="2" type="noConversion"/>
  </si>
  <si>
    <t>단가</t>
    <phoneticPr fontId="2" type="noConversion"/>
  </si>
  <si>
    <t>수량</t>
    <phoneticPr fontId="2" type="noConversion"/>
  </si>
  <si>
    <t>합계</t>
    <phoneticPr fontId="2" type="noConversion"/>
  </si>
  <si>
    <t>품의코드</t>
    <phoneticPr fontId="2" type="noConversion"/>
  </si>
  <si>
    <t>매출처</t>
    <phoneticPr fontId="2" type="noConversion"/>
  </si>
  <si>
    <t>P/N</t>
    <phoneticPr fontId="2" type="noConversion"/>
  </si>
  <si>
    <t>품목</t>
    <phoneticPr fontId="2" type="noConversion"/>
  </si>
  <si>
    <t>매입처</t>
    <phoneticPr fontId="2" type="noConversion"/>
  </si>
  <si>
    <t>매출계산서</t>
    <phoneticPr fontId="2" type="noConversion"/>
  </si>
  <si>
    <t>매입계산서</t>
    <phoneticPr fontId="2" type="noConversion"/>
  </si>
  <si>
    <t>기타사항</t>
    <phoneticPr fontId="2" type="noConversion"/>
  </si>
  <si>
    <t>건별합계</t>
    <phoneticPr fontId="2" type="noConversion"/>
  </si>
  <si>
    <t>X</t>
    <phoneticPr fontId="2" type="noConversion"/>
  </si>
  <si>
    <t>MA</t>
    <phoneticPr fontId="2" type="noConversion"/>
  </si>
  <si>
    <t>MEMORY</t>
  </si>
  <si>
    <t>POWER</t>
  </si>
  <si>
    <t>00Y2426</t>
  </si>
  <si>
    <t>81Y9691</t>
  </si>
  <si>
    <t>42D0638</t>
  </si>
  <si>
    <t xml:space="preserve">조립PC </t>
  </si>
  <si>
    <t>1WMVC</t>
  </si>
  <si>
    <t>Y251201-01</t>
  </si>
  <si>
    <t>49Y4232(USED)</t>
  </si>
  <si>
    <t>Intel Ethernet Dual Port Server Adapter I340 T2 for system X</t>
  </si>
  <si>
    <t>H251202-01</t>
  </si>
  <si>
    <t>IBM 4TB 7.2K 3.5 SAS 6G NL HDD</t>
  </si>
  <si>
    <t>Y251209-01</t>
  </si>
  <si>
    <t>X</t>
    <phoneticPr fontId="2" type="noConversion"/>
  </si>
  <si>
    <t>엔지니어 OS 설치 지원 외
12/3,12/11</t>
    <phoneticPr fontId="2" type="noConversion"/>
  </si>
  <si>
    <t>H251204-01</t>
  </si>
  <si>
    <t>H251205-01</t>
  </si>
  <si>
    <t>H251208-01</t>
  </si>
  <si>
    <t>H251208-02</t>
  </si>
  <si>
    <t>H251208-03</t>
  </si>
  <si>
    <t>H251208-04</t>
  </si>
  <si>
    <t>654873-003</t>
  </si>
  <si>
    <t>HP FBWC Battery For P420 and P421</t>
  </si>
  <si>
    <t>78P4198</t>
  </si>
  <si>
    <t>IBM DDR4 32GB PC4-21333 2666MHZ RDIMM</t>
  </si>
  <si>
    <t>P13247-001</t>
  </si>
  <si>
    <t>HPE MSA 2.4TB SAS 10K SFF M2 HDD for MSA2060</t>
  </si>
  <si>
    <t>43X0825</t>
  </si>
  <si>
    <t>IBM 146GB 3G 10K 2.5 SAS HDD 43X0824</t>
  </si>
  <si>
    <t>IBM 1TB SAS 7.2K 6Gbps NL HS 2.5 HDD</t>
  </si>
  <si>
    <t>01DC489</t>
  </si>
  <si>
    <t>Lenovo Storage 4TB 7.2K LFF NL-SAS HDD DB생명 4599HC1 - J34B0GW</t>
  </si>
  <si>
    <t>MA</t>
    <phoneticPr fontId="2" type="noConversion"/>
  </si>
  <si>
    <t>Y251202-01</t>
    <phoneticPr fontId="2" type="noConversion"/>
  </si>
  <si>
    <t>반품</t>
    <phoneticPr fontId="2" type="noConversion"/>
  </si>
  <si>
    <t>HPE DL360Gen11</t>
    <phoneticPr fontId="2" type="noConversion"/>
  </si>
  <si>
    <t>D251202-01</t>
  </si>
  <si>
    <t>Rack</t>
  </si>
  <si>
    <t>Y251217-01</t>
    <phoneticPr fontId="2" type="noConversion"/>
  </si>
  <si>
    <t xml:space="preserve">Lenovo SR250v3 외 </t>
    <phoneticPr fontId="2" type="noConversion"/>
  </si>
  <si>
    <t>Y251217-02</t>
  </si>
  <si>
    <t>HPE Aruba 1430 16G (R8R47A/비관리형스위치/16포트)</t>
    <phoneticPr fontId="2" type="noConversion"/>
  </si>
  <si>
    <t>HPE Aruba 1430 16G (R8R47A/비관리형스위치/16포트)</t>
  </si>
  <si>
    <t>Y251218-01</t>
    <phoneticPr fontId="2" type="noConversion"/>
  </si>
  <si>
    <t>Y251210-01</t>
    <phoneticPr fontId="2" type="noConversion"/>
  </si>
  <si>
    <t>H251215-02</t>
  </si>
  <si>
    <t>H251215-03</t>
  </si>
  <si>
    <t>H251215-04</t>
  </si>
  <si>
    <t>H251219-01</t>
  </si>
  <si>
    <t>H251219-02</t>
  </si>
  <si>
    <t>H251222-01</t>
  </si>
  <si>
    <t>H251222-02</t>
  </si>
  <si>
    <t>DELL 8TB 7.2K 6G SATA 3.5inch Hard Drive [USED] for R440</t>
  </si>
  <si>
    <t>005052921</t>
  </si>
  <si>
    <t>3.84TB 강북구청 MA 장애 회수예정</t>
  </si>
  <si>
    <t>Dell 8WKDY 32GB 2RX4 DDR4 PC4-23400 2933Mhz ECC</t>
  </si>
  <si>
    <t>F617N</t>
  </si>
  <si>
    <t>300GB SAS LFF for R320</t>
  </si>
  <si>
    <t>1600W POWER SUPPLY for DL380G10 LSE MA</t>
  </si>
  <si>
    <t>IBM 300GB 10K 6G 2.5 SAS HDD 06CLGL1</t>
  </si>
  <si>
    <t>3.84TB 강북구청 MA</t>
  </si>
  <si>
    <t>H251215-01</t>
    <phoneticPr fontId="2" type="noConversion"/>
  </si>
  <si>
    <t>에*</t>
  </si>
  <si>
    <t>다*</t>
  </si>
  <si>
    <t>장*</t>
    <phoneticPr fontId="2" type="noConversion"/>
  </si>
  <si>
    <t>티*</t>
  </si>
  <si>
    <t>이*</t>
  </si>
  <si>
    <t>대*</t>
  </si>
  <si>
    <t>강*</t>
  </si>
  <si>
    <t>불*</t>
  </si>
  <si>
    <t>현*</t>
  </si>
  <si>
    <t>삼*</t>
  </si>
  <si>
    <t>컴*</t>
  </si>
  <si>
    <t>S*</t>
  </si>
  <si>
    <t>한*</t>
  </si>
  <si>
    <t>위*</t>
  </si>
  <si>
    <t>원*</t>
  </si>
  <si>
    <t>재*</t>
  </si>
  <si>
    <t>D*</t>
  </si>
  <si>
    <t>알*</t>
  </si>
  <si>
    <t>L*장님</t>
  </si>
  <si>
    <t>김*</t>
  </si>
  <si>
    <t>구*</t>
  </si>
  <si>
    <t>차*</t>
  </si>
  <si>
    <t>임*</t>
  </si>
  <si>
    <t>노*</t>
  </si>
  <si>
    <t>최*</t>
  </si>
  <si>
    <t>박*</t>
  </si>
  <si>
    <t>*</t>
  </si>
  <si>
    <t>인*대리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</si>
</sst>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yy/mm/dd"/>
    <numFmt numFmtId="178" formatCode="_-* #,##0.0000000_-;\-* #,##0.0000000_-;_-* &quot;-&quot;_-;_-@_-"/>
    <numFmt numFmtId="179" formatCode="#,##0_ ;[Red]\-#,##0\ 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0" borderId="0"/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>
      <alignment vertical="center"/>
    </xf>
    <xf numFmtId="176" fontId="5" fillId="0" borderId="0" applyFont="0" applyFill="0" applyBorder="0" applyAlignment="0" applyProtection="0"/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176" fontId="0" fillId="0" borderId="0" xfId="1" applyFont="1">
      <alignment vertical="center"/>
    </xf>
    <xf numFmtId="176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vertical="center" shrinkToFit="1"/>
    </xf>
    <xf numFmtId="0" fontId="0" fillId="3" borderId="1" xfId="0" applyFill="1" applyBorder="1" applyAlignment="1">
      <alignment horizontal="center" vertical="center" shrinkToFit="1"/>
    </xf>
    <xf numFmtId="176" fontId="0" fillId="3" borderId="1" xfId="1" applyFont="1" applyFill="1" applyBorder="1" applyAlignment="1">
      <alignment horizontal="center" vertical="center"/>
    </xf>
    <xf numFmtId="176" fontId="0" fillId="4" borderId="1" xfId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0" fillId="0" borderId="0" xfId="1" applyNumberFormat="1" applyFont="1" applyAlignment="1">
      <alignment vertical="center" shrinkToFit="1"/>
    </xf>
    <xf numFmtId="0" fontId="0" fillId="0" borderId="1" xfId="0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177" fontId="0" fillId="0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177" fontId="0" fillId="4" borderId="1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vertical="center" wrapText="1" shrinkToFit="1"/>
    </xf>
    <xf numFmtId="177" fontId="3" fillId="2" borderId="1" xfId="0" applyNumberFormat="1" applyFont="1" applyFill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6" borderId="1" xfId="0" applyNumberFormat="1" applyFont="1" applyFill="1" applyBorder="1" applyAlignment="1">
      <alignment horizontal="center" vertical="center" shrinkToFit="1"/>
    </xf>
    <xf numFmtId="177" fontId="3" fillId="0" borderId="0" xfId="0" applyNumberFormat="1" applyFont="1" applyAlignment="1">
      <alignment horizontal="center" vertical="center" shrinkToFit="1"/>
    </xf>
    <xf numFmtId="179" fontId="0" fillId="0" borderId="1" xfId="1" applyNumberFormat="1" applyFont="1" applyFill="1" applyBorder="1">
      <alignment vertical="center"/>
    </xf>
    <xf numFmtId="179" fontId="0" fillId="0" borderId="5" xfId="1" applyNumberFormat="1" applyFont="1" applyFill="1" applyBorder="1" applyAlignment="1">
      <alignment horizontal="center" vertical="center"/>
    </xf>
    <xf numFmtId="179" fontId="0" fillId="0" borderId="5" xfId="1" applyNumberFormat="1" applyFont="1" applyFill="1" applyBorder="1">
      <alignment vertical="center"/>
    </xf>
    <xf numFmtId="179" fontId="0" fillId="0" borderId="1" xfId="1" applyNumberFormat="1" applyFont="1" applyFill="1" applyBorder="1" applyAlignment="1">
      <alignment horizontal="center" vertical="center"/>
    </xf>
    <xf numFmtId="179" fontId="0" fillId="0" borderId="0" xfId="1" applyNumberFormat="1" applyFont="1">
      <alignment vertical="center"/>
    </xf>
    <xf numFmtId="179" fontId="0" fillId="0" borderId="0" xfId="1" applyNumberFormat="1" applyFont="1" applyAlignment="1">
      <alignment horizontal="center" vertical="center"/>
    </xf>
    <xf numFmtId="179" fontId="0" fillId="0" borderId="1" xfId="1" applyNumberFormat="1" applyFont="1" applyFill="1" applyBorder="1" applyAlignment="1">
      <alignment horizontal="right" vertical="center"/>
    </xf>
    <xf numFmtId="179" fontId="0" fillId="0" borderId="0" xfId="1" applyNumberFormat="1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4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177" fontId="3" fillId="2" borderId="5" xfId="0" applyNumberFormat="1" applyFont="1" applyFill="1" applyBorder="1" applyAlignment="1">
      <alignment horizontal="center" vertical="center" shrinkToFit="1"/>
    </xf>
    <xf numFmtId="177" fontId="3" fillId="2" borderId="4" xfId="0" applyNumberFormat="1" applyFont="1" applyFill="1" applyBorder="1" applyAlignment="1">
      <alignment horizontal="center" vertical="center" shrinkToFit="1"/>
    </xf>
    <xf numFmtId="177" fontId="3" fillId="2" borderId="6" xfId="0" applyNumberFormat="1" applyFont="1" applyFill="1" applyBorder="1" applyAlignment="1">
      <alignment horizontal="center" vertical="center" shrinkToFit="1"/>
    </xf>
    <xf numFmtId="179" fontId="0" fillId="0" borderId="5" xfId="1" applyNumberFormat="1" applyFont="1" applyFill="1" applyBorder="1" applyAlignment="1">
      <alignment horizontal="right" vertical="center"/>
    </xf>
    <xf numFmtId="179" fontId="0" fillId="0" borderId="4" xfId="1" applyNumberFormat="1" applyFont="1" applyFill="1" applyBorder="1" applyAlignment="1">
      <alignment horizontal="right" vertical="center"/>
    </xf>
    <xf numFmtId="179" fontId="0" fillId="0" borderId="6" xfId="1" applyNumberFormat="1" applyFont="1" applyFill="1" applyBorder="1" applyAlignment="1">
      <alignment horizontal="right" vertical="center"/>
    </xf>
  </cellXfs>
  <cellStyles count="30">
    <cellStyle name="쉼표 [0]" xfId="1" builtinId="6"/>
    <cellStyle name="쉼표 [0] 10" xfId="17" xr:uid="{2643273F-76C5-46E5-BBF0-660FF68B46D2}"/>
    <cellStyle name="쉼표 [0] 10 2" xfId="5" xr:uid="{C70B62E4-D060-4AFA-8DD1-C268C6FE57B5}"/>
    <cellStyle name="쉼표 [0] 10 2 2" xfId="9" xr:uid="{ECC4CE1B-6FE7-4FAD-93E4-B556EDC8320E}"/>
    <cellStyle name="쉼표 [0] 10 2 3" xfId="28" xr:uid="{9F301A9F-4087-4FCA-B763-7D657DC0E136}"/>
    <cellStyle name="쉼표 [0] 12" xfId="3" xr:uid="{A4E16E46-1865-4D8A-A154-EB6D16421846}"/>
    <cellStyle name="쉼표 [0] 12 2" xfId="8" xr:uid="{9492E52E-F3C0-433B-B5C1-4F6F1C3E05A5}"/>
    <cellStyle name="쉼표 [0] 12 3" xfId="27" xr:uid="{025D254A-7E4E-42BF-8946-B857107CEC8E}"/>
    <cellStyle name="쉼표 [0] 2" xfId="12" xr:uid="{5A728861-ADDF-4EF9-977F-C098780F67FE}"/>
    <cellStyle name="쉼표 [0] 2 10" xfId="25" xr:uid="{A5EF7010-95F2-4217-A4B9-5F804D65EFCA}"/>
    <cellStyle name="쉼표 [0] 2 11" xfId="24" xr:uid="{565043D3-56D2-456B-8564-F59C5FB584D1}"/>
    <cellStyle name="쉼표 [0] 2 2 7 4" xfId="19" xr:uid="{07577AD5-69D5-4D75-9F3A-8B7BC7EFF88C}"/>
    <cellStyle name="쉼표 [0] 3 2" xfId="6" xr:uid="{E9FC4E09-A45A-41E2-8338-DC7B2AFE52D9}"/>
    <cellStyle name="쉼표 [0] 3 2 2" xfId="10" xr:uid="{BE0C6693-712E-4EAB-8B3D-94A24C69316A}"/>
    <cellStyle name="쉼표 [0] 3 2 3" xfId="29" xr:uid="{5AD55765-A29D-4FE2-B8E2-9749B6746134}"/>
    <cellStyle name="쉼표 [0] 34" xfId="4" xr:uid="{118DE754-74A1-40AC-BF3A-7DF7DC7CF12E}"/>
    <cellStyle name="쉼표 [0] 34 2" xfId="16" xr:uid="{2D60F6D7-4FA1-404C-A2AE-21977635331B}"/>
    <cellStyle name="스타일 1" xfId="11" xr:uid="{8155E346-1231-4238-891F-683585C920FC}"/>
    <cellStyle name="표준" xfId="0" builtinId="0"/>
    <cellStyle name="표준 10" xfId="15" xr:uid="{26E5617F-7F6E-4135-9A5D-E11C697F7DA2}"/>
    <cellStyle name="표준 13" xfId="14" xr:uid="{2FC8D64A-BDD5-4CF7-B9AA-809AA739C148}"/>
    <cellStyle name="표준 18 2" xfId="18" xr:uid="{C3B668BA-DC8A-4715-BE55-0FD830737421}"/>
    <cellStyle name="표준 2 2" xfId="23" xr:uid="{D5AD28A1-572F-462B-9B5E-584C10F28A07}"/>
    <cellStyle name="표준 2 2 2" xfId="7" xr:uid="{0887508A-2568-4AE4-9151-CB34181DAB2D}"/>
    <cellStyle name="표준 2 2 8" xfId="13" xr:uid="{6520D10F-3580-4E6D-BD24-CCE3DDF06CB9}"/>
    <cellStyle name="표준 22" xfId="26" xr:uid="{A8157974-51D1-4C12-B9F7-E3ABD14C5758}"/>
    <cellStyle name="표준 3" xfId="21" xr:uid="{FFBAA697-9C3A-47CE-9AD1-08CA5BCC3891}"/>
    <cellStyle name="표준 32" xfId="22" xr:uid="{5783B154-A362-4B07-94E7-42DA99C1AF39}"/>
    <cellStyle name="표준 33" xfId="20" xr:uid="{D8F80F4F-7422-4D47-AB13-B6EF02395B22}"/>
    <cellStyle name="표준 44" xfId="2" xr:uid="{10B299E4-7CEB-49DE-8806-B085423BA1FA}"/>
  </cellStyles>
  <dxfs count="0"/>
  <tableStyles count="0" defaultTableStyle="TableStyleMedium2" defaultPivotStyle="PivotStyleLight16"/>
  <colors>
    <mruColors>
      <color rgb="FFFFCCFF"/>
      <color rgb="FF0000FF"/>
      <color rgb="FF00FF00"/>
      <color rgb="FF99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5E9B-85F9-4E44-9C7E-51AD5AE80DB0}">
  <dimension ref="A1:FG62"/>
  <sheetViews>
    <sheetView tabSelected="1" zoomScaleNormal="100" workbookViewId="0">
      <pane ySplit="2" topLeftCell="A3" activePane="bottomLeft" state="frozen"/>
      <selection pane="bottomLeft" activeCell="C14" sqref="C14"/>
    </sheetView>
  </sheetViews>
  <sheetFormatPr baseColWidth="10" defaultColWidth="8.83203125" defaultRowHeight="17"/>
  <cols>
    <col min="1" max="1" width="11.33203125" style="3" bestFit="1" customWidth="1"/>
    <col min="2" max="2" width="9" style="4"/>
    <col min="3" max="3" width="68.33203125" style="5" bestFit="1" customWidth="1"/>
    <col min="4" max="4" width="14.6640625" style="4" customWidth="1"/>
    <col min="5" max="5" width="6.5" style="2" customWidth="1"/>
    <col min="6" max="6" width="14.6640625" style="1" bestFit="1" customWidth="1"/>
    <col min="7" max="8" width="13" style="1" bestFit="1" customWidth="1"/>
    <col min="9" max="9" width="11" style="29" bestFit="1" customWidth="1"/>
    <col min="10" max="10" width="20" style="5" customWidth="1"/>
    <col min="11" max="11" width="9" style="6"/>
    <col min="12" max="12" width="16.6640625" style="2" bestFit="1" customWidth="1"/>
    <col min="13" max="13" width="6.5" style="1" customWidth="1"/>
    <col min="14" max="14" width="13" style="1" bestFit="1" customWidth="1"/>
    <col min="15" max="15" width="11.83203125" style="1" bestFit="1" customWidth="1"/>
    <col min="16" max="16" width="13" style="1" bestFit="1" customWidth="1"/>
    <col min="17" max="17" width="12.83203125" style="12" customWidth="1"/>
    <col min="18" max="18" width="14.6640625" bestFit="1" customWidth="1"/>
    <col min="19" max="19" width="13.5" bestFit="1" customWidth="1"/>
    <col min="20" max="20" width="9.83203125" bestFit="1" customWidth="1"/>
  </cols>
  <sheetData>
    <row r="1" spans="1:17">
      <c r="A1" s="38" t="s">
        <v>4</v>
      </c>
      <c r="B1" s="39"/>
      <c r="C1" s="39"/>
      <c r="D1" s="39"/>
      <c r="E1" s="39"/>
      <c r="F1" s="39"/>
      <c r="G1" s="39"/>
      <c r="H1" s="39"/>
      <c r="I1" s="39"/>
      <c r="J1" s="39"/>
      <c r="K1" s="40" t="s">
        <v>8</v>
      </c>
      <c r="L1" s="40"/>
      <c r="M1" s="40"/>
      <c r="N1" s="40"/>
      <c r="O1" s="40"/>
      <c r="P1" s="40"/>
      <c r="Q1" s="40"/>
    </row>
    <row r="2" spans="1:17">
      <c r="A2" s="38"/>
      <c r="B2" s="8" t="s">
        <v>6</v>
      </c>
      <c r="C2" s="8" t="s">
        <v>7</v>
      </c>
      <c r="D2" s="8" t="s">
        <v>5</v>
      </c>
      <c r="E2" s="9" t="s">
        <v>2</v>
      </c>
      <c r="F2" s="9" t="s">
        <v>1</v>
      </c>
      <c r="G2" s="9" t="s">
        <v>3</v>
      </c>
      <c r="H2" s="9" t="s">
        <v>12</v>
      </c>
      <c r="I2" s="28" t="s">
        <v>9</v>
      </c>
      <c r="J2" s="20" t="s">
        <v>11</v>
      </c>
      <c r="K2" s="21" t="s">
        <v>0</v>
      </c>
      <c r="L2" s="10" t="s">
        <v>8</v>
      </c>
      <c r="M2" s="10" t="s">
        <v>2</v>
      </c>
      <c r="N2" s="10" t="s">
        <v>1</v>
      </c>
      <c r="O2" s="10" t="s">
        <v>3</v>
      </c>
      <c r="P2" s="10" t="s">
        <v>12</v>
      </c>
      <c r="Q2" s="11" t="s">
        <v>10</v>
      </c>
    </row>
    <row r="3" spans="1:17" ht="18">
      <c r="A3" s="22" t="s">
        <v>22</v>
      </c>
      <c r="B3" s="23" t="s">
        <v>23</v>
      </c>
      <c r="C3" s="24" t="s">
        <v>24</v>
      </c>
      <c r="D3" s="23" t="s">
        <v>77</v>
      </c>
      <c r="E3" s="31">
        <v>1</v>
      </c>
      <c r="F3" s="32">
        <v>90000</v>
      </c>
      <c r="G3" s="30">
        <f t="shared" ref="G3:G25" si="0">E3*F3</f>
        <v>90000</v>
      </c>
      <c r="H3" s="30">
        <f>SUM(G3)</f>
        <v>90000</v>
      </c>
      <c r="I3" s="27" t="s">
        <v>49</v>
      </c>
      <c r="J3" s="18" t="s">
        <v>95</v>
      </c>
      <c r="K3" s="19"/>
      <c r="L3" s="15" t="s">
        <v>86</v>
      </c>
      <c r="M3" s="30">
        <v>1</v>
      </c>
      <c r="N3" s="36">
        <v>0</v>
      </c>
      <c r="O3" s="36">
        <f t="shared" ref="O3:O25" si="1">M3*N3</f>
        <v>0</v>
      </c>
      <c r="P3" s="36">
        <f t="shared" ref="P3:P25" si="2">SUM(O3)</f>
        <v>0</v>
      </c>
      <c r="Q3" s="27" t="s">
        <v>28</v>
      </c>
    </row>
    <row r="4" spans="1:17" ht="18">
      <c r="A4" s="22" t="s">
        <v>48</v>
      </c>
      <c r="B4" s="23"/>
      <c r="C4" s="24" t="s">
        <v>20</v>
      </c>
      <c r="D4" s="23" t="s">
        <v>78</v>
      </c>
      <c r="E4" s="31">
        <v>1</v>
      </c>
      <c r="F4" s="32">
        <v>1460000</v>
      </c>
      <c r="G4" s="30">
        <f t="shared" si="0"/>
        <v>1460000</v>
      </c>
      <c r="H4" s="30">
        <f>SUM(G4)</f>
        <v>1460000</v>
      </c>
      <c r="I4" s="27">
        <v>45996</v>
      </c>
      <c r="J4" s="18" t="s">
        <v>81</v>
      </c>
      <c r="K4" s="19"/>
      <c r="L4" s="15" t="s">
        <v>87</v>
      </c>
      <c r="M4" s="30">
        <v>1</v>
      </c>
      <c r="N4" s="36">
        <v>1297182</v>
      </c>
      <c r="O4" s="36">
        <f t="shared" si="1"/>
        <v>1297182</v>
      </c>
      <c r="P4" s="36">
        <f t="shared" si="2"/>
        <v>1297182</v>
      </c>
      <c r="Q4" s="27">
        <v>45993</v>
      </c>
    </row>
    <row r="5" spans="1:17" ht="36">
      <c r="A5" s="22" t="s">
        <v>27</v>
      </c>
      <c r="B5" s="23"/>
      <c r="C5" s="25" t="s">
        <v>29</v>
      </c>
      <c r="D5" s="23" t="s">
        <v>77</v>
      </c>
      <c r="E5" s="31">
        <v>1</v>
      </c>
      <c r="F5" s="32">
        <v>2000000</v>
      </c>
      <c r="G5" s="30">
        <f t="shared" si="0"/>
        <v>2000000</v>
      </c>
      <c r="H5" s="30">
        <f>SUM(G5)</f>
        <v>2000000</v>
      </c>
      <c r="I5" s="27">
        <v>46003</v>
      </c>
      <c r="J5" s="18" t="s">
        <v>96</v>
      </c>
      <c r="K5" s="19"/>
      <c r="L5" s="15" t="s">
        <v>88</v>
      </c>
      <c r="M5" s="30">
        <v>1</v>
      </c>
      <c r="N5" s="36"/>
      <c r="O5" s="36">
        <f t="shared" si="1"/>
        <v>0</v>
      </c>
      <c r="P5" s="36">
        <f t="shared" si="2"/>
        <v>0</v>
      </c>
      <c r="Q5" s="27" t="s">
        <v>28</v>
      </c>
    </row>
    <row r="6" spans="1:17" ht="18">
      <c r="A6" s="41" t="s">
        <v>59</v>
      </c>
      <c r="B6" s="23"/>
      <c r="C6" s="24" t="s">
        <v>50</v>
      </c>
      <c r="D6" s="44" t="s">
        <v>79</v>
      </c>
      <c r="E6" s="31">
        <v>1</v>
      </c>
      <c r="F6" s="32">
        <v>10000000</v>
      </c>
      <c r="G6" s="30">
        <f t="shared" si="0"/>
        <v>10000000</v>
      </c>
      <c r="H6" s="50">
        <f>SUM(G6)</f>
        <v>10000000</v>
      </c>
      <c r="I6" s="47"/>
      <c r="J6" s="18" t="s">
        <v>81</v>
      </c>
      <c r="K6" s="19">
        <v>46000</v>
      </c>
      <c r="L6" s="15" t="s">
        <v>89</v>
      </c>
      <c r="M6" s="30">
        <v>1</v>
      </c>
      <c r="N6" s="36">
        <v>5721000</v>
      </c>
      <c r="O6" s="36">
        <f t="shared" si="1"/>
        <v>5721000</v>
      </c>
      <c r="P6" s="36">
        <f t="shared" si="2"/>
        <v>5721000</v>
      </c>
      <c r="Q6" s="26"/>
    </row>
    <row r="7" spans="1:17">
      <c r="A7" s="42"/>
      <c r="B7" s="23"/>
      <c r="C7" s="24"/>
      <c r="D7" s="45"/>
      <c r="E7" s="31"/>
      <c r="F7" s="32"/>
      <c r="G7" s="30">
        <f t="shared" si="0"/>
        <v>0</v>
      </c>
      <c r="H7" s="51"/>
      <c r="I7" s="48"/>
      <c r="J7" s="18"/>
      <c r="K7" s="19"/>
      <c r="L7" s="15" t="s">
        <v>90</v>
      </c>
      <c r="M7" s="30">
        <v>1</v>
      </c>
      <c r="N7" s="36">
        <v>1340000</v>
      </c>
      <c r="O7" s="36">
        <f t="shared" si="1"/>
        <v>1340000</v>
      </c>
      <c r="P7" s="36">
        <f t="shared" si="2"/>
        <v>1340000</v>
      </c>
      <c r="Q7" s="27">
        <v>46001</v>
      </c>
    </row>
    <row r="8" spans="1:17">
      <c r="A8" s="43"/>
      <c r="B8" s="23"/>
      <c r="C8" s="24"/>
      <c r="D8" s="46"/>
      <c r="E8" s="31"/>
      <c r="F8" s="32"/>
      <c r="G8" s="30">
        <f t="shared" si="0"/>
        <v>0</v>
      </c>
      <c r="H8" s="52"/>
      <c r="I8" s="49"/>
      <c r="J8" s="18"/>
      <c r="K8" s="19"/>
      <c r="L8" s="15" t="s">
        <v>87</v>
      </c>
      <c r="M8" s="30">
        <v>1</v>
      </c>
      <c r="N8" s="36">
        <v>10618</v>
      </c>
      <c r="O8" s="36">
        <f t="shared" si="1"/>
        <v>10618</v>
      </c>
      <c r="P8" s="36">
        <f t="shared" si="2"/>
        <v>10618</v>
      </c>
      <c r="Q8" s="26"/>
    </row>
    <row r="9" spans="1:17" ht="18">
      <c r="A9" s="22" t="s">
        <v>53</v>
      </c>
      <c r="B9" s="23"/>
      <c r="C9" s="24" t="s">
        <v>54</v>
      </c>
      <c r="D9" s="23" t="s">
        <v>77</v>
      </c>
      <c r="E9" s="31">
        <v>1</v>
      </c>
      <c r="F9" s="32">
        <v>9840000</v>
      </c>
      <c r="G9" s="30">
        <f t="shared" si="0"/>
        <v>9840000</v>
      </c>
      <c r="H9" s="30">
        <f t="shared" ref="H9:H25" si="3">SUM(G9)</f>
        <v>9840000</v>
      </c>
      <c r="I9" s="26"/>
      <c r="J9" s="18" t="s">
        <v>97</v>
      </c>
      <c r="K9" s="19">
        <v>46008</v>
      </c>
      <c r="L9" s="15" t="s">
        <v>81</v>
      </c>
      <c r="M9" s="30">
        <v>1</v>
      </c>
      <c r="N9" s="36">
        <v>8800000</v>
      </c>
      <c r="O9" s="36">
        <f t="shared" si="1"/>
        <v>8800000</v>
      </c>
      <c r="P9" s="36">
        <f t="shared" si="2"/>
        <v>8800000</v>
      </c>
      <c r="Q9" s="27">
        <v>46010</v>
      </c>
    </row>
    <row r="10" spans="1:17" ht="18">
      <c r="A10" s="22" t="s">
        <v>55</v>
      </c>
      <c r="B10" s="23"/>
      <c r="C10" s="24" t="s">
        <v>56</v>
      </c>
      <c r="D10" s="23" t="s">
        <v>77</v>
      </c>
      <c r="E10" s="31">
        <v>1</v>
      </c>
      <c r="F10" s="32">
        <v>165000</v>
      </c>
      <c r="G10" s="30">
        <f t="shared" si="0"/>
        <v>165000</v>
      </c>
      <c r="H10" s="30">
        <f t="shared" si="3"/>
        <v>165000</v>
      </c>
      <c r="I10" s="26"/>
      <c r="J10" s="18" t="s">
        <v>97</v>
      </c>
      <c r="K10" s="19">
        <v>46008</v>
      </c>
      <c r="L10" s="15" t="s">
        <v>87</v>
      </c>
      <c r="M10" s="30">
        <v>1</v>
      </c>
      <c r="N10" s="36">
        <v>139090</v>
      </c>
      <c r="O10" s="36">
        <f t="shared" si="1"/>
        <v>139090</v>
      </c>
      <c r="P10" s="36">
        <f t="shared" si="2"/>
        <v>139090</v>
      </c>
      <c r="Q10" s="27">
        <v>46008</v>
      </c>
    </row>
    <row r="11" spans="1:17" ht="18">
      <c r="A11" s="22" t="s">
        <v>58</v>
      </c>
      <c r="B11" s="23"/>
      <c r="C11" s="24" t="s">
        <v>57</v>
      </c>
      <c r="D11" s="23" t="s">
        <v>77</v>
      </c>
      <c r="E11" s="31">
        <v>1</v>
      </c>
      <c r="F11" s="32">
        <v>165000</v>
      </c>
      <c r="G11" s="30">
        <f t="shared" si="0"/>
        <v>165000</v>
      </c>
      <c r="H11" s="30">
        <f t="shared" si="3"/>
        <v>165000</v>
      </c>
      <c r="I11" s="26"/>
      <c r="J11" s="18" t="s">
        <v>97</v>
      </c>
      <c r="K11" s="19">
        <v>46009</v>
      </c>
      <c r="L11" s="15" t="s">
        <v>87</v>
      </c>
      <c r="M11" s="30">
        <v>1</v>
      </c>
      <c r="N11" s="36">
        <v>139090</v>
      </c>
      <c r="O11" s="36">
        <f t="shared" si="1"/>
        <v>139090</v>
      </c>
      <c r="P11" s="36">
        <f t="shared" si="2"/>
        <v>139090</v>
      </c>
      <c r="Q11" s="27">
        <v>46009</v>
      </c>
    </row>
    <row r="12" spans="1:17">
      <c r="A12" s="22"/>
      <c r="B12" s="23"/>
      <c r="C12" s="24"/>
      <c r="D12" s="23"/>
      <c r="E12" s="31"/>
      <c r="F12" s="32"/>
      <c r="G12" s="30">
        <f t="shared" si="0"/>
        <v>0</v>
      </c>
      <c r="H12" s="30">
        <f t="shared" si="3"/>
        <v>0</v>
      </c>
      <c r="I12" s="27"/>
      <c r="J12" s="18"/>
      <c r="K12" s="19"/>
      <c r="L12" s="15"/>
      <c r="M12" s="30"/>
      <c r="N12" s="36"/>
      <c r="O12" s="36">
        <f t="shared" si="1"/>
        <v>0</v>
      </c>
      <c r="P12" s="36">
        <f t="shared" si="2"/>
        <v>0</v>
      </c>
      <c r="Q12" s="27"/>
    </row>
    <row r="13" spans="1:17">
      <c r="A13" s="22"/>
      <c r="B13" s="23"/>
      <c r="C13" s="24"/>
      <c r="D13" s="23"/>
      <c r="E13" s="31"/>
      <c r="F13" s="32"/>
      <c r="G13" s="30">
        <f t="shared" si="0"/>
        <v>0</v>
      </c>
      <c r="H13" s="30">
        <f t="shared" si="3"/>
        <v>0</v>
      </c>
      <c r="I13" s="27"/>
      <c r="J13" s="18"/>
      <c r="K13" s="19"/>
      <c r="L13" s="15"/>
      <c r="M13" s="30"/>
      <c r="N13" s="36"/>
      <c r="O13" s="36">
        <f t="shared" si="1"/>
        <v>0</v>
      </c>
      <c r="P13" s="36">
        <f t="shared" si="2"/>
        <v>0</v>
      </c>
      <c r="Q13" s="27"/>
    </row>
    <row r="14" spans="1:17">
      <c r="A14" s="22"/>
      <c r="B14" s="23"/>
      <c r="C14" s="24"/>
      <c r="D14" s="23"/>
      <c r="E14" s="31"/>
      <c r="F14" s="32"/>
      <c r="G14" s="30">
        <f t="shared" si="0"/>
        <v>0</v>
      </c>
      <c r="H14" s="30">
        <f t="shared" si="3"/>
        <v>0</v>
      </c>
      <c r="I14" s="27"/>
      <c r="J14" s="18"/>
      <c r="K14" s="19"/>
      <c r="L14" s="15"/>
      <c r="M14" s="30"/>
      <c r="N14" s="36"/>
      <c r="O14" s="36">
        <f t="shared" si="1"/>
        <v>0</v>
      </c>
      <c r="P14" s="36">
        <f t="shared" si="2"/>
        <v>0</v>
      </c>
      <c r="Q14" s="27"/>
    </row>
    <row r="15" spans="1:17">
      <c r="A15" s="22"/>
      <c r="B15" s="23"/>
      <c r="C15" s="24"/>
      <c r="D15" s="23"/>
      <c r="E15" s="31"/>
      <c r="F15" s="32"/>
      <c r="G15" s="30">
        <f t="shared" si="0"/>
        <v>0</v>
      </c>
      <c r="H15" s="30">
        <f t="shared" si="3"/>
        <v>0</v>
      </c>
      <c r="I15" s="27"/>
      <c r="J15" s="18"/>
      <c r="K15" s="19"/>
      <c r="L15" s="15"/>
      <c r="M15" s="30"/>
      <c r="N15" s="36"/>
      <c r="O15" s="36">
        <f t="shared" si="1"/>
        <v>0</v>
      </c>
      <c r="P15" s="36">
        <f t="shared" si="2"/>
        <v>0</v>
      </c>
      <c r="Q15" s="27"/>
    </row>
    <row r="16" spans="1:17" ht="18">
      <c r="A16" s="22" t="s">
        <v>25</v>
      </c>
      <c r="B16" s="23" t="s">
        <v>17</v>
      </c>
      <c r="C16" s="24" t="s">
        <v>26</v>
      </c>
      <c r="D16" s="23" t="s">
        <v>80</v>
      </c>
      <c r="E16" s="31">
        <v>3</v>
      </c>
      <c r="F16" s="32">
        <v>250000</v>
      </c>
      <c r="G16" s="30">
        <f t="shared" si="0"/>
        <v>750000</v>
      </c>
      <c r="H16" s="30">
        <f t="shared" si="3"/>
        <v>750000</v>
      </c>
      <c r="I16" s="27">
        <v>46014</v>
      </c>
      <c r="J16" s="18" t="s">
        <v>98</v>
      </c>
      <c r="K16" s="19">
        <v>45992</v>
      </c>
      <c r="L16" s="15" t="s">
        <v>81</v>
      </c>
      <c r="M16" s="30">
        <v>3</v>
      </c>
      <c r="N16" s="36">
        <v>200000</v>
      </c>
      <c r="O16" s="36">
        <f t="shared" si="1"/>
        <v>600000</v>
      </c>
      <c r="P16" s="36">
        <f t="shared" si="2"/>
        <v>600000</v>
      </c>
      <c r="Q16" s="26"/>
    </row>
    <row r="17" spans="1:17" ht="18">
      <c r="A17" s="22" t="s">
        <v>30</v>
      </c>
      <c r="B17" s="23" t="s">
        <v>36</v>
      </c>
      <c r="C17" s="24" t="s">
        <v>37</v>
      </c>
      <c r="D17" s="23" t="s">
        <v>80</v>
      </c>
      <c r="E17" s="31">
        <v>1</v>
      </c>
      <c r="F17" s="32">
        <v>200000</v>
      </c>
      <c r="G17" s="30">
        <f t="shared" si="0"/>
        <v>200000</v>
      </c>
      <c r="H17" s="30">
        <f t="shared" si="3"/>
        <v>200000</v>
      </c>
      <c r="I17" s="27">
        <v>46014</v>
      </c>
      <c r="J17" s="18" t="s">
        <v>81</v>
      </c>
      <c r="K17" s="19">
        <v>45994</v>
      </c>
      <c r="L17" s="15" t="s">
        <v>91</v>
      </c>
      <c r="M17" s="30">
        <v>1</v>
      </c>
      <c r="N17" s="36">
        <v>120000</v>
      </c>
      <c r="O17" s="36">
        <f t="shared" si="1"/>
        <v>120000</v>
      </c>
      <c r="P17" s="36">
        <f t="shared" si="2"/>
        <v>120000</v>
      </c>
      <c r="Q17" s="26"/>
    </row>
    <row r="18" spans="1:17" ht="18">
      <c r="A18" s="22" t="s">
        <v>31</v>
      </c>
      <c r="B18" s="23" t="s">
        <v>38</v>
      </c>
      <c r="C18" s="24" t="s">
        <v>39</v>
      </c>
      <c r="D18" s="23" t="s">
        <v>80</v>
      </c>
      <c r="E18" s="31">
        <v>1</v>
      </c>
      <c r="F18" s="32">
        <v>220000</v>
      </c>
      <c r="G18" s="30">
        <f t="shared" si="0"/>
        <v>220000</v>
      </c>
      <c r="H18" s="30">
        <f t="shared" si="3"/>
        <v>220000</v>
      </c>
      <c r="I18" s="27">
        <v>46014</v>
      </c>
      <c r="J18" s="18" t="s">
        <v>81</v>
      </c>
      <c r="K18" s="19">
        <v>45996</v>
      </c>
      <c r="L18" s="15" t="s">
        <v>91</v>
      </c>
      <c r="M18" s="30">
        <v>1</v>
      </c>
      <c r="N18" s="36">
        <v>180000</v>
      </c>
      <c r="O18" s="36">
        <f t="shared" si="1"/>
        <v>180000</v>
      </c>
      <c r="P18" s="36">
        <f t="shared" si="2"/>
        <v>180000</v>
      </c>
      <c r="Q18" s="26"/>
    </row>
    <row r="19" spans="1:17" ht="18">
      <c r="A19" s="22" t="s">
        <v>32</v>
      </c>
      <c r="B19" s="23" t="s">
        <v>40</v>
      </c>
      <c r="C19" s="24" t="s">
        <v>41</v>
      </c>
      <c r="D19" s="23" t="s">
        <v>80</v>
      </c>
      <c r="E19" s="31">
        <v>1</v>
      </c>
      <c r="F19" s="32">
        <v>500000</v>
      </c>
      <c r="G19" s="30">
        <f t="shared" si="0"/>
        <v>500000</v>
      </c>
      <c r="H19" s="30">
        <f t="shared" si="3"/>
        <v>500000</v>
      </c>
      <c r="I19" s="27">
        <v>46014</v>
      </c>
      <c r="J19" s="18" t="s">
        <v>99</v>
      </c>
      <c r="K19" s="19">
        <v>45999</v>
      </c>
      <c r="L19" s="15" t="s">
        <v>91</v>
      </c>
      <c r="M19" s="30">
        <v>1</v>
      </c>
      <c r="N19" s="36">
        <v>430000</v>
      </c>
      <c r="O19" s="36">
        <f t="shared" si="1"/>
        <v>430000</v>
      </c>
      <c r="P19" s="36">
        <f t="shared" si="2"/>
        <v>430000</v>
      </c>
      <c r="Q19" s="26"/>
    </row>
    <row r="20" spans="1:17" ht="18">
      <c r="A20" s="22" t="s">
        <v>33</v>
      </c>
      <c r="B20" s="23" t="s">
        <v>42</v>
      </c>
      <c r="C20" s="24" t="s">
        <v>43</v>
      </c>
      <c r="D20" s="23" t="s">
        <v>80</v>
      </c>
      <c r="E20" s="31">
        <v>2</v>
      </c>
      <c r="F20" s="32">
        <v>50000</v>
      </c>
      <c r="G20" s="30">
        <f t="shared" si="0"/>
        <v>100000</v>
      </c>
      <c r="H20" s="30">
        <f t="shared" si="3"/>
        <v>100000</v>
      </c>
      <c r="I20" s="27">
        <v>46014</v>
      </c>
      <c r="J20" s="18" t="s">
        <v>81</v>
      </c>
      <c r="K20" s="19"/>
      <c r="L20" s="15" t="s">
        <v>92</v>
      </c>
      <c r="M20" s="30">
        <v>2</v>
      </c>
      <c r="N20" s="36">
        <v>0</v>
      </c>
      <c r="O20" s="36">
        <f t="shared" si="1"/>
        <v>0</v>
      </c>
      <c r="P20" s="36">
        <f t="shared" si="2"/>
        <v>0</v>
      </c>
      <c r="Q20" s="27" t="s">
        <v>28</v>
      </c>
    </row>
    <row r="21" spans="1:17" ht="18">
      <c r="A21" s="22" t="s">
        <v>34</v>
      </c>
      <c r="B21" s="23" t="s">
        <v>18</v>
      </c>
      <c r="C21" s="24" t="s">
        <v>44</v>
      </c>
      <c r="D21" s="23" t="s">
        <v>81</v>
      </c>
      <c r="E21" s="31">
        <v>1</v>
      </c>
      <c r="F21" s="32">
        <v>150000</v>
      </c>
      <c r="G21" s="30">
        <f t="shared" si="0"/>
        <v>150000</v>
      </c>
      <c r="H21" s="30">
        <f t="shared" si="3"/>
        <v>150000</v>
      </c>
      <c r="I21" s="26"/>
      <c r="J21" s="18" t="s">
        <v>100</v>
      </c>
      <c r="K21" s="19"/>
      <c r="L21" s="15" t="s">
        <v>92</v>
      </c>
      <c r="M21" s="30">
        <v>1</v>
      </c>
      <c r="N21" s="36">
        <v>0</v>
      </c>
      <c r="O21" s="36">
        <f t="shared" si="1"/>
        <v>0</v>
      </c>
      <c r="P21" s="36">
        <f t="shared" si="2"/>
        <v>0</v>
      </c>
      <c r="Q21" s="27" t="s">
        <v>28</v>
      </c>
    </row>
    <row r="22" spans="1:17" ht="18">
      <c r="A22" s="22" t="s">
        <v>35</v>
      </c>
      <c r="B22" s="23" t="s">
        <v>45</v>
      </c>
      <c r="C22" s="24" t="s">
        <v>46</v>
      </c>
      <c r="D22" s="23" t="s">
        <v>81</v>
      </c>
      <c r="E22" s="31">
        <v>1</v>
      </c>
      <c r="F22" s="32">
        <v>0</v>
      </c>
      <c r="G22" s="30">
        <f t="shared" si="0"/>
        <v>0</v>
      </c>
      <c r="H22" s="30">
        <f t="shared" si="3"/>
        <v>0</v>
      </c>
      <c r="I22" s="27" t="s">
        <v>47</v>
      </c>
      <c r="J22" s="18" t="s">
        <v>101</v>
      </c>
      <c r="K22" s="19"/>
      <c r="L22" s="15" t="s">
        <v>93</v>
      </c>
      <c r="M22" s="30">
        <v>1</v>
      </c>
      <c r="N22" s="36">
        <v>0</v>
      </c>
      <c r="O22" s="36">
        <f t="shared" si="1"/>
        <v>0</v>
      </c>
      <c r="P22" s="36">
        <f t="shared" si="2"/>
        <v>0</v>
      </c>
      <c r="Q22" s="27" t="s">
        <v>47</v>
      </c>
    </row>
    <row r="23" spans="1:17" ht="18">
      <c r="A23" s="22" t="s">
        <v>76</v>
      </c>
      <c r="B23" s="23" t="s">
        <v>21</v>
      </c>
      <c r="C23" s="24" t="s">
        <v>67</v>
      </c>
      <c r="D23" s="23" t="s">
        <v>82</v>
      </c>
      <c r="E23" s="31">
        <v>1</v>
      </c>
      <c r="F23" s="32">
        <v>390000</v>
      </c>
      <c r="G23" s="30">
        <f t="shared" si="0"/>
        <v>390000</v>
      </c>
      <c r="H23" s="30">
        <f t="shared" si="3"/>
        <v>390000</v>
      </c>
      <c r="I23" s="27">
        <v>46014</v>
      </c>
      <c r="J23" s="18" t="s">
        <v>102</v>
      </c>
      <c r="K23" s="19">
        <v>46006</v>
      </c>
      <c r="L23" s="15" t="s">
        <v>81</v>
      </c>
      <c r="M23" s="30">
        <v>1</v>
      </c>
      <c r="N23" s="36">
        <v>300000</v>
      </c>
      <c r="O23" s="36">
        <f t="shared" si="1"/>
        <v>300000</v>
      </c>
      <c r="P23" s="36">
        <f t="shared" si="2"/>
        <v>300000</v>
      </c>
      <c r="Q23" s="26"/>
    </row>
    <row r="24" spans="1:17" ht="18">
      <c r="A24" s="22" t="s">
        <v>60</v>
      </c>
      <c r="B24" s="23" t="s">
        <v>68</v>
      </c>
      <c r="C24" s="24" t="s">
        <v>69</v>
      </c>
      <c r="D24" s="23" t="s">
        <v>83</v>
      </c>
      <c r="E24" s="31">
        <v>1</v>
      </c>
      <c r="F24" s="32">
        <v>0</v>
      </c>
      <c r="G24" s="30">
        <f t="shared" si="0"/>
        <v>0</v>
      </c>
      <c r="H24" s="30">
        <f t="shared" si="3"/>
        <v>0</v>
      </c>
      <c r="I24" s="27" t="s">
        <v>14</v>
      </c>
      <c r="J24" s="18" t="s">
        <v>103</v>
      </c>
      <c r="K24" s="19">
        <v>0</v>
      </c>
      <c r="L24" s="15" t="s">
        <v>93</v>
      </c>
      <c r="M24" s="30">
        <v>1</v>
      </c>
      <c r="N24" s="36">
        <v>0</v>
      </c>
      <c r="O24" s="36">
        <f t="shared" si="1"/>
        <v>0</v>
      </c>
      <c r="P24" s="36">
        <f t="shared" si="2"/>
        <v>0</v>
      </c>
      <c r="Q24" s="27" t="s">
        <v>14</v>
      </c>
    </row>
    <row r="25" spans="1:17" ht="18">
      <c r="A25" s="22" t="s">
        <v>61</v>
      </c>
      <c r="B25" s="23" t="s">
        <v>15</v>
      </c>
      <c r="C25" s="24" t="s">
        <v>70</v>
      </c>
      <c r="D25" s="23" t="s">
        <v>80</v>
      </c>
      <c r="E25" s="31">
        <v>4</v>
      </c>
      <c r="F25" s="32">
        <v>550000</v>
      </c>
      <c r="G25" s="30">
        <f t="shared" si="0"/>
        <v>2200000</v>
      </c>
      <c r="H25" s="30">
        <f t="shared" si="3"/>
        <v>2200000</v>
      </c>
      <c r="I25" s="27">
        <v>46014</v>
      </c>
      <c r="J25" s="18" t="s">
        <v>81</v>
      </c>
      <c r="K25" s="19">
        <v>46006</v>
      </c>
      <c r="L25" s="15" t="s">
        <v>81</v>
      </c>
      <c r="M25" s="30">
        <v>4</v>
      </c>
      <c r="N25" s="36">
        <v>480000</v>
      </c>
      <c r="O25" s="36">
        <f t="shared" si="1"/>
        <v>1920000</v>
      </c>
      <c r="P25" s="36">
        <f t="shared" si="2"/>
        <v>1920000</v>
      </c>
      <c r="Q25" s="26"/>
    </row>
    <row r="26" spans="1:17" ht="18">
      <c r="A26" s="22" t="s">
        <v>62</v>
      </c>
      <c r="B26" s="23" t="s">
        <v>71</v>
      </c>
      <c r="C26" s="24" t="s">
        <v>72</v>
      </c>
      <c r="D26" s="23" t="s">
        <v>80</v>
      </c>
      <c r="E26" s="31">
        <v>2</v>
      </c>
      <c r="F26" s="32">
        <v>160000</v>
      </c>
      <c r="G26" s="30">
        <f t="shared" ref="G26:G33" si="4">E26*F26</f>
        <v>320000</v>
      </c>
      <c r="H26" s="30">
        <f t="shared" ref="H26:H33" si="5">SUM(G26)</f>
        <v>320000</v>
      </c>
      <c r="I26" s="27">
        <v>46014</v>
      </c>
      <c r="J26" s="18" t="s">
        <v>81</v>
      </c>
      <c r="K26" s="19">
        <v>46006</v>
      </c>
      <c r="L26" s="15" t="s">
        <v>81</v>
      </c>
      <c r="M26" s="30">
        <v>2</v>
      </c>
      <c r="N26" s="36">
        <v>120000</v>
      </c>
      <c r="O26" s="36">
        <f t="shared" ref="O26:O33" si="6">M26*N26</f>
        <v>240000</v>
      </c>
      <c r="P26" s="36">
        <f t="shared" ref="P26:P33" si="7">SUM(O26)</f>
        <v>240000</v>
      </c>
      <c r="Q26" s="26"/>
    </row>
    <row r="27" spans="1:17">
      <c r="A27" s="22" t="s">
        <v>63</v>
      </c>
      <c r="B27" s="23" t="s">
        <v>16</v>
      </c>
      <c r="C27" s="24" t="s">
        <v>73</v>
      </c>
      <c r="D27" s="23" t="s">
        <v>78</v>
      </c>
      <c r="E27" s="31">
        <v>1</v>
      </c>
      <c r="F27" s="32">
        <v>0</v>
      </c>
      <c r="G27" s="30">
        <f t="shared" si="4"/>
        <v>0</v>
      </c>
      <c r="H27" s="30">
        <f t="shared" si="5"/>
        <v>0</v>
      </c>
      <c r="I27" s="27" t="s">
        <v>14</v>
      </c>
      <c r="J27" s="18"/>
      <c r="K27" s="19">
        <v>46010</v>
      </c>
      <c r="L27" s="15" t="s">
        <v>93</v>
      </c>
      <c r="M27" s="30">
        <v>1</v>
      </c>
      <c r="N27" s="36">
        <v>0</v>
      </c>
      <c r="O27" s="36">
        <f t="shared" si="6"/>
        <v>0</v>
      </c>
      <c r="P27" s="36">
        <f t="shared" si="7"/>
        <v>0</v>
      </c>
      <c r="Q27" s="27" t="s">
        <v>14</v>
      </c>
    </row>
    <row r="28" spans="1:17">
      <c r="A28" s="22" t="s">
        <v>64</v>
      </c>
      <c r="B28" s="23" t="s">
        <v>16</v>
      </c>
      <c r="C28" s="24" t="s">
        <v>73</v>
      </c>
      <c r="D28" s="23" t="s">
        <v>78</v>
      </c>
      <c r="E28" s="31">
        <v>1</v>
      </c>
      <c r="F28" s="32">
        <v>0</v>
      </c>
      <c r="G28" s="30">
        <f t="shared" si="4"/>
        <v>0</v>
      </c>
      <c r="H28" s="30">
        <f t="shared" si="5"/>
        <v>0</v>
      </c>
      <c r="I28" s="27" t="s">
        <v>14</v>
      </c>
      <c r="J28" s="18"/>
      <c r="K28" s="19">
        <v>46010</v>
      </c>
      <c r="L28" s="15" t="s">
        <v>93</v>
      </c>
      <c r="M28" s="30">
        <v>1</v>
      </c>
      <c r="N28" s="36">
        <v>0</v>
      </c>
      <c r="O28" s="36">
        <f t="shared" si="6"/>
        <v>0</v>
      </c>
      <c r="P28" s="36">
        <f t="shared" si="7"/>
        <v>0</v>
      </c>
      <c r="Q28" s="27" t="s">
        <v>14</v>
      </c>
    </row>
    <row r="29" spans="1:17">
      <c r="A29" s="22" t="s">
        <v>65</v>
      </c>
      <c r="B29" s="23" t="s">
        <v>19</v>
      </c>
      <c r="C29" s="24" t="s">
        <v>74</v>
      </c>
      <c r="D29" s="23" t="s">
        <v>84</v>
      </c>
      <c r="E29" s="31">
        <v>1</v>
      </c>
      <c r="F29" s="32">
        <v>0</v>
      </c>
      <c r="G29" s="30">
        <f t="shared" si="4"/>
        <v>0</v>
      </c>
      <c r="H29" s="30">
        <f t="shared" si="5"/>
        <v>0</v>
      </c>
      <c r="I29" s="27" t="s">
        <v>14</v>
      </c>
      <c r="J29" s="18"/>
      <c r="K29" s="19">
        <v>46013</v>
      </c>
      <c r="L29" s="15" t="s">
        <v>92</v>
      </c>
      <c r="M29" s="30">
        <v>1</v>
      </c>
      <c r="N29" s="36">
        <v>0</v>
      </c>
      <c r="O29" s="36">
        <f t="shared" si="6"/>
        <v>0</v>
      </c>
      <c r="P29" s="36">
        <f t="shared" si="7"/>
        <v>0</v>
      </c>
      <c r="Q29" s="27" t="s">
        <v>13</v>
      </c>
    </row>
    <row r="30" spans="1:17">
      <c r="A30" s="22" t="s">
        <v>66</v>
      </c>
      <c r="B30" s="23" t="s">
        <v>68</v>
      </c>
      <c r="C30" s="24" t="s">
        <v>75</v>
      </c>
      <c r="D30" s="23" t="s">
        <v>83</v>
      </c>
      <c r="E30" s="31">
        <v>1</v>
      </c>
      <c r="F30" s="32">
        <v>0</v>
      </c>
      <c r="G30" s="30">
        <f t="shared" si="4"/>
        <v>0</v>
      </c>
      <c r="H30" s="30">
        <f t="shared" si="5"/>
        <v>0</v>
      </c>
      <c r="I30" s="27" t="s">
        <v>14</v>
      </c>
      <c r="J30" s="18"/>
      <c r="K30" s="19">
        <v>46013</v>
      </c>
      <c r="L30" s="15" t="s">
        <v>93</v>
      </c>
      <c r="M30" s="30">
        <v>1</v>
      </c>
      <c r="N30" s="36">
        <v>0</v>
      </c>
      <c r="O30" s="36">
        <f t="shared" si="6"/>
        <v>0</v>
      </c>
      <c r="P30" s="36">
        <f t="shared" si="7"/>
        <v>0</v>
      </c>
      <c r="Q30" s="27" t="s">
        <v>14</v>
      </c>
    </row>
    <row r="31" spans="1:17">
      <c r="A31" s="22"/>
      <c r="B31" s="23"/>
      <c r="C31" s="24"/>
      <c r="D31" s="23"/>
      <c r="E31" s="31"/>
      <c r="F31" s="32"/>
      <c r="G31" s="30">
        <f t="shared" si="4"/>
        <v>0</v>
      </c>
      <c r="H31" s="30">
        <f t="shared" si="5"/>
        <v>0</v>
      </c>
      <c r="I31" s="27"/>
      <c r="J31" s="18"/>
      <c r="K31" s="19"/>
      <c r="L31" s="15"/>
      <c r="M31" s="30"/>
      <c r="N31" s="36"/>
      <c r="O31" s="36">
        <f t="shared" si="6"/>
        <v>0</v>
      </c>
      <c r="P31" s="36">
        <f t="shared" si="7"/>
        <v>0</v>
      </c>
      <c r="Q31" s="27"/>
    </row>
    <row r="32" spans="1:17">
      <c r="A32" s="22"/>
      <c r="B32" s="23"/>
      <c r="C32" s="24"/>
      <c r="D32" s="23"/>
      <c r="E32" s="31"/>
      <c r="F32" s="32"/>
      <c r="G32" s="30">
        <f t="shared" si="4"/>
        <v>0</v>
      </c>
      <c r="H32" s="30">
        <f t="shared" si="5"/>
        <v>0</v>
      </c>
      <c r="I32" s="27"/>
      <c r="J32" s="18"/>
      <c r="K32" s="19"/>
      <c r="L32" s="15"/>
      <c r="M32" s="30"/>
      <c r="N32" s="36"/>
      <c r="O32" s="36">
        <f t="shared" si="6"/>
        <v>0</v>
      </c>
      <c r="P32" s="36">
        <f t="shared" si="7"/>
        <v>0</v>
      </c>
      <c r="Q32" s="27"/>
    </row>
    <row r="33" spans="1:163">
      <c r="A33" s="22"/>
      <c r="B33" s="23"/>
      <c r="C33" s="24"/>
      <c r="D33" s="23"/>
      <c r="E33" s="31"/>
      <c r="F33" s="32"/>
      <c r="G33" s="30">
        <f t="shared" si="4"/>
        <v>0</v>
      </c>
      <c r="H33" s="30">
        <f t="shared" si="5"/>
        <v>0</v>
      </c>
      <c r="I33" s="27"/>
      <c r="J33" s="18"/>
      <c r="K33" s="19"/>
      <c r="L33" s="15"/>
      <c r="M33" s="30"/>
      <c r="N33" s="36"/>
      <c r="O33" s="36">
        <f t="shared" si="6"/>
        <v>0</v>
      </c>
      <c r="P33" s="36">
        <f t="shared" si="7"/>
        <v>0</v>
      </c>
      <c r="Q33" s="27"/>
    </row>
    <row r="34" spans="1:163">
      <c r="A34" s="22"/>
      <c r="B34" s="23"/>
      <c r="C34" s="24"/>
      <c r="D34" s="23"/>
      <c r="E34" s="31"/>
      <c r="F34" s="32"/>
      <c r="G34" s="30">
        <f t="shared" ref="G34:G45" si="8">E34*F34</f>
        <v>0</v>
      </c>
      <c r="H34" s="30">
        <f t="shared" ref="H34:H45" si="9">SUM(G34)</f>
        <v>0</v>
      </c>
      <c r="I34" s="27"/>
      <c r="J34" s="18"/>
      <c r="K34" s="19"/>
      <c r="L34" s="15"/>
      <c r="M34" s="30"/>
      <c r="N34" s="36"/>
      <c r="O34" s="36">
        <f t="shared" ref="O34:O45" si="10">M34*N34</f>
        <v>0</v>
      </c>
      <c r="P34" s="36">
        <f t="shared" ref="P34:P45" si="11">SUM(O34)</f>
        <v>0</v>
      </c>
      <c r="Q34" s="27"/>
    </row>
    <row r="35" spans="1:163" ht="18">
      <c r="A35" s="22" t="s">
        <v>51</v>
      </c>
      <c r="B35" s="23"/>
      <c r="C35" s="24" t="s">
        <v>52</v>
      </c>
      <c r="D35" s="23" t="s">
        <v>85</v>
      </c>
      <c r="E35" s="31">
        <v>1</v>
      </c>
      <c r="F35" s="32">
        <v>1550000</v>
      </c>
      <c r="G35" s="30">
        <f t="shared" si="8"/>
        <v>1550000</v>
      </c>
      <c r="H35" s="30">
        <f t="shared" si="9"/>
        <v>1550000</v>
      </c>
      <c r="I35" s="27">
        <v>46007</v>
      </c>
      <c r="J35" s="18" t="s">
        <v>104</v>
      </c>
      <c r="K35" s="19"/>
      <c r="L35" s="15" t="s">
        <v>94</v>
      </c>
      <c r="M35" s="30">
        <v>1</v>
      </c>
      <c r="N35" s="36">
        <v>1380000</v>
      </c>
      <c r="O35" s="36">
        <f t="shared" si="10"/>
        <v>1380000</v>
      </c>
      <c r="P35" s="36">
        <f t="shared" si="11"/>
        <v>1380000</v>
      </c>
      <c r="Q35" s="27">
        <v>46002</v>
      </c>
    </row>
    <row r="36" spans="1:163">
      <c r="A36" s="22"/>
      <c r="B36" s="23"/>
      <c r="C36" s="24"/>
      <c r="D36" s="23"/>
      <c r="E36" s="31"/>
      <c r="F36" s="32"/>
      <c r="G36" s="30">
        <f t="shared" si="8"/>
        <v>0</v>
      </c>
      <c r="H36" s="30">
        <f t="shared" si="9"/>
        <v>0</v>
      </c>
      <c r="I36" s="26"/>
      <c r="J36" s="18"/>
      <c r="K36" s="19"/>
      <c r="L36" s="15"/>
      <c r="M36" s="30"/>
      <c r="N36" s="36"/>
      <c r="O36" s="36">
        <f t="shared" si="10"/>
        <v>0</v>
      </c>
      <c r="P36" s="36">
        <f t="shared" si="11"/>
        <v>0</v>
      </c>
      <c r="Q36" s="26"/>
    </row>
    <row r="37" spans="1:163">
      <c r="A37" s="22"/>
      <c r="B37" s="23"/>
      <c r="C37" s="24"/>
      <c r="D37" s="23"/>
      <c r="E37" s="31"/>
      <c r="F37" s="32"/>
      <c r="G37" s="30">
        <f t="shared" si="8"/>
        <v>0</v>
      </c>
      <c r="H37" s="30">
        <f t="shared" si="9"/>
        <v>0</v>
      </c>
      <c r="I37" s="26"/>
      <c r="J37" s="18"/>
      <c r="K37" s="19"/>
      <c r="L37" s="15"/>
      <c r="M37" s="30"/>
      <c r="N37" s="36"/>
      <c r="O37" s="36">
        <f t="shared" si="10"/>
        <v>0</v>
      </c>
      <c r="P37" s="36">
        <f t="shared" si="11"/>
        <v>0</v>
      </c>
      <c r="Q37" s="26"/>
    </row>
    <row r="38" spans="1:163">
      <c r="A38" s="22"/>
      <c r="B38" s="23"/>
      <c r="C38" s="24"/>
      <c r="D38" s="23"/>
      <c r="E38" s="31"/>
      <c r="F38" s="32"/>
      <c r="G38" s="30">
        <f t="shared" si="8"/>
        <v>0</v>
      </c>
      <c r="H38" s="30">
        <f t="shared" si="9"/>
        <v>0</v>
      </c>
      <c r="I38" s="26"/>
      <c r="J38" s="18"/>
      <c r="K38" s="19"/>
      <c r="L38" s="15"/>
      <c r="M38" s="30"/>
      <c r="N38" s="36"/>
      <c r="O38" s="36">
        <f t="shared" si="10"/>
        <v>0</v>
      </c>
      <c r="P38" s="36">
        <f t="shared" si="11"/>
        <v>0</v>
      </c>
      <c r="Q38" s="26"/>
    </row>
    <row r="39" spans="1:163">
      <c r="A39" s="22"/>
      <c r="B39" s="23"/>
      <c r="C39" s="24"/>
      <c r="D39" s="23"/>
      <c r="E39" s="31"/>
      <c r="F39" s="32"/>
      <c r="G39" s="30">
        <f t="shared" si="8"/>
        <v>0</v>
      </c>
      <c r="H39" s="30">
        <f t="shared" si="9"/>
        <v>0</v>
      </c>
      <c r="I39" s="26"/>
      <c r="J39" s="18"/>
      <c r="K39" s="19"/>
      <c r="L39" s="15"/>
      <c r="M39" s="30"/>
      <c r="N39" s="36"/>
      <c r="O39" s="36">
        <f t="shared" si="10"/>
        <v>0</v>
      </c>
      <c r="P39" s="36">
        <f t="shared" si="11"/>
        <v>0</v>
      </c>
      <c r="Q39" s="26"/>
    </row>
    <row r="40" spans="1:163">
      <c r="A40" s="22"/>
      <c r="B40" s="23"/>
      <c r="C40" s="24"/>
      <c r="D40" s="23"/>
      <c r="E40" s="31"/>
      <c r="F40" s="32"/>
      <c r="G40" s="30">
        <f t="shared" si="8"/>
        <v>0</v>
      </c>
      <c r="H40" s="30">
        <f t="shared" si="9"/>
        <v>0</v>
      </c>
      <c r="I40" s="26"/>
      <c r="J40" s="18"/>
      <c r="K40" s="19"/>
      <c r="L40" s="15"/>
      <c r="M40" s="30"/>
      <c r="N40" s="36"/>
      <c r="O40" s="36">
        <f t="shared" si="10"/>
        <v>0</v>
      </c>
      <c r="P40" s="36">
        <f t="shared" si="11"/>
        <v>0</v>
      </c>
      <c r="Q40" s="26"/>
    </row>
    <row r="41" spans="1:163">
      <c r="A41" s="22"/>
      <c r="B41" s="23"/>
      <c r="C41" s="24"/>
      <c r="D41" s="23"/>
      <c r="E41" s="31"/>
      <c r="F41" s="32"/>
      <c r="G41" s="30">
        <f t="shared" si="8"/>
        <v>0</v>
      </c>
      <c r="H41" s="30">
        <f t="shared" si="9"/>
        <v>0</v>
      </c>
      <c r="I41" s="26"/>
      <c r="J41" s="18"/>
      <c r="K41" s="19"/>
      <c r="L41" s="15"/>
      <c r="M41" s="30"/>
      <c r="N41" s="36"/>
      <c r="O41" s="36">
        <f t="shared" si="10"/>
        <v>0</v>
      </c>
      <c r="P41" s="36">
        <f t="shared" si="11"/>
        <v>0</v>
      </c>
      <c r="Q41" s="26"/>
    </row>
    <row r="42" spans="1:163">
      <c r="A42" s="22"/>
      <c r="B42" s="23"/>
      <c r="C42" s="24"/>
      <c r="D42" s="23"/>
      <c r="E42" s="31"/>
      <c r="F42" s="32"/>
      <c r="G42" s="30">
        <f t="shared" si="8"/>
        <v>0</v>
      </c>
      <c r="H42" s="30">
        <f t="shared" si="9"/>
        <v>0</v>
      </c>
      <c r="I42" s="26"/>
      <c r="J42" s="18"/>
      <c r="K42" s="19"/>
      <c r="L42" s="15"/>
      <c r="M42" s="30"/>
      <c r="N42" s="36"/>
      <c r="O42" s="36">
        <f t="shared" si="10"/>
        <v>0</v>
      </c>
      <c r="P42" s="36">
        <f t="shared" si="11"/>
        <v>0</v>
      </c>
      <c r="Q42" s="26"/>
    </row>
    <row r="43" spans="1:163">
      <c r="A43" s="22"/>
      <c r="B43" s="23"/>
      <c r="C43" s="24"/>
      <c r="D43" s="23"/>
      <c r="E43" s="31"/>
      <c r="F43" s="32"/>
      <c r="G43" s="30">
        <f t="shared" si="8"/>
        <v>0</v>
      </c>
      <c r="H43" s="30">
        <f t="shared" si="9"/>
        <v>0</v>
      </c>
      <c r="I43" s="26"/>
      <c r="J43" s="18"/>
      <c r="K43" s="19"/>
      <c r="L43" s="15"/>
      <c r="M43" s="30"/>
      <c r="N43" s="36"/>
      <c r="O43" s="36">
        <f t="shared" si="10"/>
        <v>0</v>
      </c>
      <c r="P43" s="36">
        <f t="shared" si="11"/>
        <v>0</v>
      </c>
      <c r="Q43" s="26"/>
    </row>
    <row r="44" spans="1:163">
      <c r="A44" s="22"/>
      <c r="B44" s="23"/>
      <c r="C44" s="24"/>
      <c r="D44" s="23"/>
      <c r="E44" s="31"/>
      <c r="F44" s="32"/>
      <c r="G44" s="30">
        <f t="shared" si="8"/>
        <v>0</v>
      </c>
      <c r="H44" s="30">
        <f t="shared" si="9"/>
        <v>0</v>
      </c>
      <c r="I44" s="26"/>
      <c r="J44" s="18"/>
      <c r="K44" s="19"/>
      <c r="L44" s="15"/>
      <c r="M44" s="30"/>
      <c r="N44" s="36"/>
      <c r="O44" s="36">
        <f t="shared" si="10"/>
        <v>0</v>
      </c>
      <c r="P44" s="36">
        <f t="shared" si="11"/>
        <v>0</v>
      </c>
      <c r="Q44" s="26"/>
    </row>
    <row r="45" spans="1:163">
      <c r="A45" s="14"/>
      <c r="B45" s="16"/>
      <c r="C45" s="17"/>
      <c r="D45" s="16"/>
      <c r="E45" s="33"/>
      <c r="F45" s="30"/>
      <c r="G45" s="30">
        <f t="shared" si="8"/>
        <v>0</v>
      </c>
      <c r="H45" s="30">
        <f t="shared" si="9"/>
        <v>0</v>
      </c>
      <c r="I45" s="26"/>
      <c r="J45" s="18"/>
      <c r="K45" s="19"/>
      <c r="L45" s="15"/>
      <c r="M45" s="30"/>
      <c r="N45" s="36"/>
      <c r="O45" s="36">
        <f t="shared" si="10"/>
        <v>0</v>
      </c>
      <c r="P45" s="36">
        <f t="shared" si="11"/>
        <v>0</v>
      </c>
      <c r="Q45" s="26"/>
    </row>
    <row r="46" spans="1:163" s="7" customFormat="1">
      <c r="A46" s="3"/>
      <c r="B46" s="4"/>
      <c r="C46" s="13"/>
      <c r="D46" s="4"/>
      <c r="E46" s="35"/>
      <c r="F46" s="34"/>
      <c r="G46" s="34"/>
      <c r="H46" s="34">
        <f>SUM(H3:H45)</f>
        <v>30100000</v>
      </c>
      <c r="I46" s="34"/>
      <c r="J46" s="34"/>
      <c r="K46" s="34"/>
      <c r="L46" s="34"/>
      <c r="M46" s="34"/>
      <c r="N46" s="34"/>
      <c r="O46" s="34">
        <f>SUM(O3:O45)</f>
        <v>22616980</v>
      </c>
      <c r="P46" s="37"/>
      <c r="Q46" s="12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</row>
    <row r="53" spans="1:18" s="1" customFormat="1">
      <c r="A53" s="3"/>
      <c r="B53" s="4"/>
      <c r="C53" s="5"/>
      <c r="D53" s="4"/>
      <c r="E53" s="2"/>
      <c r="I53" s="29"/>
      <c r="J53" s="5"/>
      <c r="K53" s="6"/>
      <c r="L53" s="2"/>
      <c r="Q53" s="12"/>
      <c r="R53"/>
    </row>
    <row r="54" spans="1:18" s="1" customFormat="1">
      <c r="A54" s="3"/>
      <c r="B54" s="4"/>
      <c r="C54" s="5"/>
      <c r="D54" s="4"/>
      <c r="E54" s="2"/>
      <c r="I54" s="29"/>
      <c r="J54" s="5"/>
      <c r="K54" s="6"/>
      <c r="L54" s="2"/>
      <c r="Q54" s="12"/>
      <c r="R54"/>
    </row>
    <row r="55" spans="1:18" s="1" customFormat="1">
      <c r="A55" s="3"/>
      <c r="B55" s="4"/>
      <c r="C55" s="5"/>
      <c r="D55" s="4"/>
      <c r="E55" s="2"/>
      <c r="I55" s="29"/>
      <c r="J55" s="5"/>
      <c r="K55" s="6"/>
      <c r="L55" s="2"/>
      <c r="Q55" s="12"/>
      <c r="R55"/>
    </row>
    <row r="56" spans="1:18" s="1" customFormat="1">
      <c r="A56" s="3"/>
      <c r="B56" s="4"/>
      <c r="C56" s="5"/>
      <c r="D56" s="4"/>
      <c r="E56" s="2"/>
      <c r="I56" s="29"/>
      <c r="J56" s="5"/>
      <c r="K56" s="6"/>
      <c r="L56" s="2"/>
      <c r="Q56" s="12"/>
      <c r="R56"/>
    </row>
    <row r="58" spans="1:18" s="1" customFormat="1">
      <c r="A58" s="3"/>
      <c r="B58" s="4"/>
      <c r="C58" s="5"/>
      <c r="D58" s="4"/>
      <c r="E58" s="2"/>
      <c r="I58" s="29"/>
      <c r="J58" s="5"/>
      <c r="K58" s="6"/>
      <c r="L58" s="2"/>
      <c r="Q58" s="12"/>
      <c r="R58"/>
    </row>
    <row r="59" spans="1:18" s="1" customFormat="1">
      <c r="A59" s="3"/>
      <c r="B59" s="4"/>
      <c r="C59" s="5"/>
      <c r="D59" s="4"/>
      <c r="E59" s="2"/>
      <c r="I59" s="29"/>
      <c r="J59" s="5"/>
      <c r="K59" s="6"/>
      <c r="L59" s="2"/>
      <c r="Q59" s="12"/>
      <c r="R59"/>
    </row>
    <row r="60" spans="1:18" s="1" customFormat="1">
      <c r="A60" s="3"/>
      <c r="B60" s="4"/>
      <c r="C60" s="5"/>
      <c r="D60" s="4"/>
      <c r="E60" s="2"/>
      <c r="I60" s="29"/>
      <c r="J60" s="5"/>
      <c r="K60" s="6"/>
      <c r="L60" s="2"/>
      <c r="Q60" s="12"/>
      <c r="R60"/>
    </row>
    <row r="61" spans="1:18" s="1" customFormat="1">
      <c r="A61" s="3"/>
      <c r="B61" s="4"/>
      <c r="C61" s="5"/>
      <c r="D61" s="4"/>
      <c r="E61" s="2"/>
      <c r="I61" s="29"/>
      <c r="J61" s="5"/>
      <c r="K61" s="6"/>
      <c r="L61" s="2"/>
      <c r="Q61" s="12"/>
      <c r="R61"/>
    </row>
    <row r="62" spans="1:18" s="1" customFormat="1">
      <c r="A62" s="3"/>
      <c r="B62" s="4"/>
      <c r="C62" s="5"/>
      <c r="D62" s="4"/>
      <c r="E62" s="2"/>
      <c r="I62" s="29"/>
      <c r="J62" s="5"/>
      <c r="K62" s="6"/>
      <c r="L62" s="2"/>
      <c r="Q62" s="12"/>
      <c r="R62"/>
    </row>
  </sheetData>
  <autoFilter ref="A2:R46" xr:uid="{D4712CAF-4282-40D5-A08A-3ECDCE8A2646}"/>
  <mergeCells count="7">
    <mergeCell ref="A1:A2"/>
    <mergeCell ref="B1:J1"/>
    <mergeCell ref="K1:Q1"/>
    <mergeCell ref="A6:A8"/>
    <mergeCell ref="D6:D8"/>
    <mergeCell ref="I6:I8"/>
    <mergeCell ref="H6:H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mjkim</dc:creator>
  <cp:lastModifiedBy>진강 장</cp:lastModifiedBy>
  <cp:lastPrinted>2022-11-10T05:04:51Z</cp:lastPrinted>
  <dcterms:created xsi:type="dcterms:W3CDTF">2021-11-29T02:13:41Z</dcterms:created>
  <dcterms:modified xsi:type="dcterms:W3CDTF">2026-01-22T05:51:43Z</dcterms:modified>
</cp:coreProperties>
</file>