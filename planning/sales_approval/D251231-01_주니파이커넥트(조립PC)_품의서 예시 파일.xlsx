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jangjingang/dev/smerp_next/planning/sales_approval/"/>
    </mc:Choice>
  </mc:AlternateContent>
  <xr:revisionPtr revIDLastSave="0" documentId="13_ncr:1_{33D5EBC2-BB1A-9D44-BE8D-C55B0188151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ALES" sheetId="2" r:id="rId1"/>
  </sheets>
  <definedNames>
    <definedName name="_xlnm.Print_Area" localSheetId="0">SALES!$B$2:$M$42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2" l="1"/>
  <c r="L26" i="2"/>
  <c r="G17" i="2"/>
  <c r="L25" i="2" l="1"/>
  <c r="L24" i="2"/>
  <c r="L23" i="2"/>
  <c r="L22" i="2"/>
  <c r="L21" i="2" l="1"/>
  <c r="L20" i="2"/>
  <c r="L19" i="2"/>
  <c r="L18" i="2"/>
  <c r="L30" i="2" l="1"/>
  <c r="F29" i="2"/>
  <c r="L29" i="2" l="1"/>
</calcChain>
</file>

<file path=xl/sharedStrings.xml><?xml version="1.0" encoding="utf-8"?>
<sst xmlns="http://schemas.openxmlformats.org/spreadsheetml/2006/main" count="78" uniqueCount="76">
  <si>
    <t>End User</t>
    <phoneticPr fontId="3" type="noConversion"/>
  </si>
  <si>
    <t>P/N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</si>
  <si>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</si>
  <si>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</si>
  <si>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</si>
  <si>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</si>
  <si>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매입처</t>
    <phoneticPr fontId="3" type="noConversion"/>
  </si>
  <si>
    <t>단가</t>
    <phoneticPr fontId="3" type="noConversion"/>
  </si>
  <si>
    <t>합계</t>
    <phoneticPr fontId="3" type="noConversion"/>
  </si>
  <si>
    <t>매출금액 합계(VAT별도)</t>
    <phoneticPr fontId="3" type="noConversion"/>
  </si>
  <si>
    <t>매입금액 합계(VAT별도)</t>
    <phoneticPr fontId="3" type="noConversion"/>
  </si>
  <si>
    <t>계산서 메일</t>
    <phoneticPr fontId="13" type="noConversion"/>
  </si>
  <si>
    <t>배 송 일</t>
    <phoneticPr fontId="3" type="noConversion"/>
  </si>
  <si>
    <t>대표이사</t>
    <phoneticPr fontId="3" type="noConversion"/>
  </si>
  <si>
    <t>영업담당</t>
    <phoneticPr fontId="3" type="noConversion"/>
  </si>
  <si>
    <t>출고</t>
    <phoneticPr fontId="3" type="noConversion"/>
  </si>
  <si>
    <t>서명</t>
    <phoneticPr fontId="3" type="noConversion"/>
  </si>
  <si>
    <t>매출처/담당/연락처</t>
    <phoneticPr fontId="11" type="noConversion"/>
  </si>
  <si>
    <t>품의 코드</t>
    <phoneticPr fontId="3" type="noConversion"/>
  </si>
  <si>
    <t>품의 일자</t>
    <phoneticPr fontId="3" type="noConversion"/>
  </si>
  <si>
    <t>품의 담당</t>
    <phoneticPr fontId="3" type="noConversion"/>
  </si>
  <si>
    <t>배송주소</t>
    <phoneticPr fontId="11" type="noConversion"/>
  </si>
  <si>
    <t>받으실분 / 연락처</t>
    <phoneticPr fontId="3" type="noConversion"/>
  </si>
  <si>
    <t>계산서 발행일</t>
    <phoneticPr fontId="2" type="noConversion"/>
  </si>
  <si>
    <t>계산서 발행예정일</t>
    <phoneticPr fontId="2" type="noConversion"/>
  </si>
  <si>
    <t>SALES 통합 품의서</t>
    <phoneticPr fontId="3" type="noConversion"/>
  </si>
  <si>
    <t>영업팀장</t>
    <phoneticPr fontId="3" type="noConversion"/>
  </si>
  <si>
    <t>결제일</t>
    <phoneticPr fontId="2" type="noConversion"/>
  </si>
  <si>
    <t>매입일or계산서 발행</t>
    <phoneticPr fontId="3" type="noConversion"/>
  </si>
  <si>
    <t>MT&amp;S/N</t>
    <phoneticPr fontId="2" type="noConversion"/>
  </si>
  <si>
    <t>기타</t>
    <phoneticPr fontId="2" type="noConversion"/>
  </si>
  <si>
    <t xml:space="preserve"> </t>
    <phoneticPr fontId="2" type="noConversion"/>
  </si>
  <si>
    <t>매입금액 합계(VAT포함)</t>
    <phoneticPr fontId="3" type="noConversion"/>
  </si>
  <si>
    <t>김대훈</t>
    <phoneticPr fontId="3" type="noConversion"/>
  </si>
  <si>
    <t>컴퓨존</t>
    <phoneticPr fontId="2" type="noConversion"/>
  </si>
  <si>
    <t>CPU</t>
  </si>
  <si>
    <t>BOARD</t>
  </si>
  <si>
    <t>CASE</t>
  </si>
  <si>
    <t>POWER</t>
  </si>
  <si>
    <t>*** 퀵/택배는 월간리스트에서 맞으면 관리부에서 매입 한번에 기록</t>
    <phoneticPr fontId="2" type="noConversion"/>
  </si>
  <si>
    <t>RAM</t>
  </si>
  <si>
    <t>GPU</t>
  </si>
  <si>
    <t>별도협의</t>
    <phoneticPr fontId="2" type="noConversion"/>
  </si>
  <si>
    <t>불교TV DDP망 및 일반망 PC 교체의 건</t>
    <phoneticPr fontId="2" type="noConversion"/>
  </si>
  <si>
    <t>[MSI] 지포스 RTX 5060 벤투스 2X OC D7 8GB</t>
  </si>
  <si>
    <t>영상편집용 조립PC</t>
    <phoneticPr fontId="2" type="noConversion"/>
  </si>
  <si>
    <t>유니파이커넥트 / 010-1234-5678 / 장진강 담당님</t>
    <phoneticPr fontId="3" type="noConversion"/>
  </si>
  <si>
    <t>유니파이커넥트</t>
    <phoneticPr fontId="2" type="noConversion"/>
  </si>
  <si>
    <t>M.2 SSD</t>
  </si>
  <si>
    <t>COOLER</t>
  </si>
  <si>
    <t>OS</t>
  </si>
  <si>
    <t>[INTEL] 인텔 코어 Ultra 9 프로세서 285K (애로우 레이크/쿨러미포함)</t>
  </si>
  <si>
    <t>[GIGABYTE] Z890 AORUS ELITE WIFI7</t>
  </si>
  <si>
    <t>16GB DDR5 PC5-44800 [5600]</t>
  </si>
  <si>
    <t>500GB M.2 NVMe [DRAM 탑재 제품]</t>
  </si>
  <si>
    <t>1TB M.2 NVMe[DRAM 탑재 제품]</t>
  </si>
  <si>
    <t>[3RSYS] Socoool RC1900N 솔더링 쌍철봉 [공랭]</t>
  </si>
  <si>
    <t>[MSI] MAG A850GL 80PLUS GOLD 풀모듈러 ATX 3.1 PCIE5 [850W]</t>
  </si>
  <si>
    <t>[3RSYS] R200</t>
  </si>
  <si>
    <t>[Microsoft] Windows 11 Pro [COEM(DSP)/한글/64bit]</t>
  </si>
  <si>
    <t>다나와</t>
    <phoneticPr fontId="2" type="noConversion"/>
  </si>
  <si>
    <t>조이젠</t>
    <phoneticPr fontId="2" type="noConversion"/>
  </si>
  <si>
    <t>아싸컴</t>
    <phoneticPr fontId="2" type="noConversion"/>
  </si>
  <si>
    <t>컴스클럽</t>
    <phoneticPr fontId="2" type="noConversion"/>
  </si>
  <si>
    <t>견적왕</t>
    <phoneticPr fontId="2" type="noConversion"/>
  </si>
  <si>
    <t>쿠팡</t>
    <phoneticPr fontId="2" type="noConversion"/>
  </si>
  <si>
    <t>네이버스토어</t>
    <phoneticPr fontId="2" type="noConversion"/>
  </si>
  <si>
    <t>오버시스템</t>
    <phoneticPr fontId="2" type="noConversion"/>
  </si>
  <si>
    <t>퀘이사존</t>
    <phoneticPr fontId="2" type="noConversion"/>
  </si>
  <si>
    <t>납품 후 계산서 발행 예정</t>
    <phoneticPr fontId="2" type="noConversion"/>
  </si>
  <si>
    <t>kang48@junifyconnect.com</t>
  </si>
  <si>
    <t>계산서 발행 후 익월 말 현금 결제</t>
    <phoneticPr fontId="2" type="noConversion"/>
  </si>
  <si>
    <t>RAM 및 M.2 SSD품목은 발주 시 재고 가능한 품목으로 구성으로 협의 했습니다</t>
    <phoneticPr fontId="2" type="noConversion"/>
  </si>
  <si>
    <t>주니파이커넥트</t>
    <phoneticPr fontId="2" type="noConversion"/>
  </si>
  <si>
    <t>장진강 담당님 / 010-1234-5678</t>
    <phoneticPr fontId="2" type="noConversion"/>
  </si>
  <si>
    <t>D251231-01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</si>
</sst>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mm&quot;월&quot;\ dd&quot;일&quot;"/>
    <numFmt numFmtId="179" formatCode="_-* #,##0.0_-;\-* #,##0.0_-;_-* &quot;-&quot;?_-;_-@_-"/>
  </numFmts>
  <fonts count="32"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u val="double"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Helv"/>
      <family val="2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2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2"/>
      <color rgb="FF1A1A1A"/>
      <name val="Spoqa M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9" fillId="0" borderId="0"/>
    <xf numFmtId="176" fontId="15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9" fillId="0" borderId="0"/>
    <xf numFmtId="176" fontId="29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4" fillId="4" borderId="7" xfId="2" applyNumberFormat="1" applyFont="1" applyFill="1" applyBorder="1" applyAlignment="1">
      <alignment horizontal="center" vertical="center" wrapText="1"/>
    </xf>
    <xf numFmtId="0" fontId="14" fillId="5" borderId="6" xfId="2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2" borderId="0" xfId="0" applyFont="1" applyFill="1">
      <alignment vertical="center"/>
    </xf>
    <xf numFmtId="0" fontId="0" fillId="0" borderId="4" xfId="0" applyBorder="1">
      <alignment vertical="center"/>
    </xf>
    <xf numFmtId="0" fontId="14" fillId="4" borderId="13" xfId="2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0" fillId="0" borderId="0" xfId="1" applyFont="1" applyAlignment="1" applyProtection="1">
      <alignment horizontal="center" vertical="center" wrapText="1"/>
      <protection locked="0" hidden="1"/>
    </xf>
    <xf numFmtId="0" fontId="8" fillId="5" borderId="0" xfId="0" applyFont="1" applyFill="1" applyAlignment="1">
      <alignment horizontal="center" vertical="center" wrapText="1"/>
    </xf>
    <xf numFmtId="0" fontId="14" fillId="2" borderId="17" xfId="0" applyFont="1" applyFill="1" applyBorder="1">
      <alignment vertical="center"/>
    </xf>
    <xf numFmtId="0" fontId="8" fillId="2" borderId="18" xfId="0" applyFont="1" applyFill="1" applyBorder="1" applyAlignment="1">
      <alignment horizontal="center" vertical="center"/>
    </xf>
    <xf numFmtId="178" fontId="14" fillId="0" borderId="2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3" fillId="0" borderId="0" xfId="1" applyFont="1" applyAlignment="1" applyProtection="1">
      <alignment horizontal="center" vertical="center" wrapText="1"/>
      <protection locked="0" hidden="1"/>
    </xf>
    <xf numFmtId="0" fontId="16" fillId="0" borderId="0" xfId="1" applyFont="1" applyAlignment="1" applyProtection="1">
      <alignment horizontal="center" vertical="center" wrapText="1"/>
      <protection locked="0" hidden="1"/>
    </xf>
    <xf numFmtId="0" fontId="7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14" fontId="4" fillId="7" borderId="0" xfId="0" applyNumberFormat="1" applyFont="1" applyFill="1" applyAlignment="1">
      <alignment horizontal="left" vertical="center" wrapText="1"/>
    </xf>
    <xf numFmtId="0" fontId="1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9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17" fillId="5" borderId="0" xfId="0" applyFont="1" applyFill="1">
      <alignment vertical="center"/>
    </xf>
    <xf numFmtId="178" fontId="26" fillId="7" borderId="0" xfId="0" applyNumberFormat="1" applyFont="1" applyFill="1" applyAlignment="1">
      <alignment horizontal="left" vertical="center"/>
    </xf>
    <xf numFmtId="0" fontId="4" fillId="5" borderId="7" xfId="2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176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4" fillId="5" borderId="0" xfId="5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6" applyFont="1">
      <alignment vertical="center"/>
    </xf>
    <xf numFmtId="176" fontId="0" fillId="0" borderId="2" xfId="6" applyFont="1" applyBorder="1">
      <alignment vertical="center"/>
    </xf>
    <xf numFmtId="176" fontId="1" fillId="2" borderId="0" xfId="6" applyFont="1" applyFill="1">
      <alignment vertical="center"/>
    </xf>
    <xf numFmtId="176" fontId="21" fillId="2" borderId="0" xfId="6" applyFont="1" applyFill="1" applyAlignment="1">
      <alignment horizontal="center" vertical="center"/>
    </xf>
    <xf numFmtId="176" fontId="5" fillId="2" borderId="0" xfId="6" applyFont="1" applyFill="1" applyAlignment="1">
      <alignment horizontal="center" vertical="center"/>
    </xf>
    <xf numFmtId="176" fontId="6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left" vertical="center"/>
    </xf>
    <xf numFmtId="176" fontId="14" fillId="4" borderId="6" xfId="6" applyFont="1" applyFill="1" applyBorder="1" applyAlignment="1">
      <alignment horizontal="center" vertical="center" wrapText="1"/>
    </xf>
    <xf numFmtId="176" fontId="0" fillId="0" borderId="0" xfId="6" applyFont="1" applyBorder="1">
      <alignment vertical="center"/>
    </xf>
    <xf numFmtId="176" fontId="24" fillId="5" borderId="0" xfId="6" applyFont="1" applyFill="1" applyBorder="1" applyAlignment="1">
      <alignment horizontal="right" vertical="center"/>
    </xf>
    <xf numFmtId="176" fontId="19" fillId="5" borderId="0" xfId="6" applyFont="1" applyFill="1" applyAlignment="1">
      <alignment horizontal="left" vertical="center" wrapText="1"/>
    </xf>
    <xf numFmtId="176" fontId="20" fillId="2" borderId="0" xfId="6" applyFont="1" applyFill="1">
      <alignment vertical="center"/>
    </xf>
    <xf numFmtId="176" fontId="20" fillId="3" borderId="0" xfId="6" applyFont="1" applyFill="1">
      <alignment vertical="center"/>
    </xf>
    <xf numFmtId="176" fontId="0" fillId="0" borderId="15" xfId="6" applyFont="1" applyBorder="1">
      <alignment vertical="center"/>
    </xf>
    <xf numFmtId="176" fontId="10" fillId="0" borderId="0" xfId="6" applyFont="1" applyAlignment="1">
      <alignment horizontal="right" vertical="center"/>
    </xf>
    <xf numFmtId="176" fontId="14" fillId="4" borderId="8" xfId="6" applyFont="1" applyFill="1" applyBorder="1" applyAlignment="1">
      <alignment horizontal="center" vertical="center" wrapText="1"/>
    </xf>
    <xf numFmtId="176" fontId="0" fillId="0" borderId="23" xfId="6" applyFont="1" applyBorder="1">
      <alignment vertical="center"/>
    </xf>
    <xf numFmtId="176" fontId="0" fillId="0" borderId="24" xfId="6" applyFont="1" applyBorder="1">
      <alignment vertical="center"/>
    </xf>
    <xf numFmtId="176" fontId="0" fillId="3" borderId="0" xfId="6" applyFont="1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2" borderId="0" xfId="6" applyFont="1" applyFill="1">
      <alignment vertical="center"/>
    </xf>
    <xf numFmtId="176" fontId="8" fillId="2" borderId="0" xfId="6" applyFont="1" applyFill="1">
      <alignment vertical="center"/>
    </xf>
    <xf numFmtId="176" fontId="14" fillId="5" borderId="6" xfId="6" applyFont="1" applyFill="1" applyBorder="1" applyAlignment="1">
      <alignment horizontal="center" vertical="center" wrapText="1"/>
    </xf>
    <xf numFmtId="176" fontId="19" fillId="0" borderId="0" xfId="6" applyFont="1" applyAlignment="1">
      <alignment horizontal="left" vertical="center" wrapText="1"/>
    </xf>
    <xf numFmtId="176" fontId="8" fillId="2" borderId="18" xfId="6" applyFont="1" applyFill="1" applyBorder="1" applyAlignment="1">
      <alignment horizontal="center" vertical="center"/>
    </xf>
    <xf numFmtId="176" fontId="8" fillId="2" borderId="21" xfId="6" applyFont="1" applyFill="1" applyBorder="1" applyAlignment="1">
      <alignment horizontal="center" vertical="center"/>
    </xf>
    <xf numFmtId="176" fontId="14" fillId="2" borderId="0" xfId="6" applyFont="1" applyFill="1" applyAlignment="1">
      <alignment horizontal="right" vertical="center"/>
    </xf>
    <xf numFmtId="176" fontId="14" fillId="5" borderId="9" xfId="6" applyFont="1" applyFill="1" applyBorder="1" applyAlignment="1">
      <alignment horizontal="center" vertical="center" wrapText="1"/>
    </xf>
    <xf numFmtId="176" fontId="0" fillId="0" borderId="5" xfId="6" applyFont="1" applyBorder="1">
      <alignment vertical="center"/>
    </xf>
    <xf numFmtId="176" fontId="24" fillId="5" borderId="12" xfId="6" applyFont="1" applyFill="1" applyBorder="1">
      <alignment vertical="center"/>
    </xf>
    <xf numFmtId="176" fontId="8" fillId="2" borderId="19" xfId="6" applyFont="1" applyFill="1" applyBorder="1" applyAlignment="1">
      <alignment horizontal="center" vertical="center"/>
    </xf>
    <xf numFmtId="176" fontId="8" fillId="2" borderId="22" xfId="6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7" fillId="0" borderId="0" xfId="0" applyFont="1">
      <alignment vertical="center"/>
    </xf>
    <xf numFmtId="176" fontId="0" fillId="0" borderId="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177" fontId="0" fillId="0" borderId="0" xfId="0" applyNumberFormat="1">
      <alignment vertical="center"/>
    </xf>
    <xf numFmtId="176" fontId="0" fillId="0" borderId="0" xfId="6" applyFont="1" applyFill="1" applyBorder="1" applyAlignment="1">
      <alignment vertical="center"/>
    </xf>
    <xf numFmtId="176" fontId="0" fillId="0" borderId="24" xfId="6" applyFont="1" applyFill="1" applyBorder="1">
      <alignment vertical="center"/>
    </xf>
    <xf numFmtId="176" fontId="0" fillId="0" borderId="0" xfId="6" applyFont="1" applyFill="1" applyBorder="1">
      <alignment vertical="center"/>
    </xf>
    <xf numFmtId="176" fontId="0" fillId="0" borderId="5" xfId="6" applyFont="1" applyFill="1" applyBorder="1">
      <alignment vertical="center"/>
    </xf>
    <xf numFmtId="178" fontId="19" fillId="5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4" fillId="6" borderId="10" xfId="5" applyFont="1" applyFill="1" applyBorder="1" applyAlignment="1">
      <alignment horizontal="center" vertical="center" wrapText="1"/>
    </xf>
    <xf numFmtId="0" fontId="24" fillId="6" borderId="11" xfId="5" applyFont="1" applyFill="1" applyBorder="1" applyAlignment="1">
      <alignment horizontal="center" vertical="center" wrapText="1"/>
    </xf>
    <xf numFmtId="176" fontId="24" fillId="6" borderId="10" xfId="2" applyFont="1" applyFill="1" applyBorder="1" applyAlignment="1">
      <alignment horizontal="right" vertical="center"/>
    </xf>
    <xf numFmtId="176" fontId="24" fillId="6" borderId="8" xfId="2" applyFont="1" applyFill="1" applyBorder="1" applyAlignment="1">
      <alignment horizontal="right" vertical="center"/>
    </xf>
    <xf numFmtId="0" fontId="24" fillId="5" borderId="10" xfId="5" applyFont="1" applyFill="1" applyBorder="1" applyAlignment="1">
      <alignment horizontal="center" vertical="center" wrapText="1"/>
    </xf>
    <xf numFmtId="0" fontId="24" fillId="5" borderId="11" xfId="5" applyFont="1" applyFill="1" applyBorder="1" applyAlignment="1">
      <alignment horizontal="center" vertical="center" wrapText="1"/>
    </xf>
    <xf numFmtId="0" fontId="24" fillId="5" borderId="8" xfId="5" applyFont="1" applyFill="1" applyBorder="1" applyAlignment="1">
      <alignment horizontal="center" vertical="center" wrapText="1"/>
    </xf>
    <xf numFmtId="14" fontId="28" fillId="5" borderId="0" xfId="0" applyNumberFormat="1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</cellXfs>
  <cellStyles count="7">
    <cellStyle name="쉼표 [0]" xfId="6" builtinId="6"/>
    <cellStyle name="쉼표 [0] 10 2" xfId="3" xr:uid="{00000000-0005-0000-0000-000000000000}"/>
    <cellStyle name="쉼표 [0] 12" xfId="2" xr:uid="{00000000-0005-0000-0000-000001000000}"/>
    <cellStyle name="쉼표 [0] 3 2" xfId="4" xr:uid="{00000000-0005-0000-0000-000002000000}"/>
    <cellStyle name="스타일 1" xfId="5" xr:uid="{00000000-0005-0000-0000-000003000000}"/>
    <cellStyle name="표준" xfId="0" builtinId="0"/>
    <cellStyle name="표준_ATTO용 견적서들_020712" xfId="1" xr:uid="{00000000-0005-0000-0000-00000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56951</xdr:colOff>
      <xdr:row>40</xdr:row>
      <xdr:rowOff>36314</xdr:rowOff>
    </xdr:from>
    <xdr:to>
      <xdr:col>10</xdr:col>
      <xdr:colOff>1208246</xdr:colOff>
      <xdr:row>40</xdr:row>
      <xdr:rowOff>768350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C1567-E650-3FBC-7055-4FF774FC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5034" y="8725231"/>
          <a:ext cx="1157645" cy="725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2"/>
  <sheetViews>
    <sheetView tabSelected="1" zoomScale="90" zoomScaleNormal="90" workbookViewId="0">
      <selection activeCell="M15" sqref="M15"/>
    </sheetView>
  </sheetViews>
  <sheetFormatPr baseColWidth="10" defaultColWidth="8.83203125" defaultRowHeight="17"/>
  <cols>
    <col min="1" max="1" width="4.5" customWidth="1"/>
    <col min="3" max="3" width="19.33203125" bestFit="1" customWidth="1"/>
    <col min="4" max="4" width="76.1640625" customWidth="1"/>
    <col min="5" max="5" width="5.6640625" bestFit="1" customWidth="1"/>
    <col min="6" max="6" width="12.5" style="52" bestFit="1" customWidth="1"/>
    <col min="7" max="7" width="15.1640625" style="52" bestFit="1" customWidth="1"/>
    <col min="8" max="8" width="19.5" customWidth="1"/>
    <col min="9" max="10" width="16.5" customWidth="1"/>
    <col min="11" max="11" width="16.5" style="52" customWidth="1"/>
    <col min="12" max="12" width="17.1640625" style="52" customWidth="1"/>
    <col min="13" max="13" width="10.83203125" bestFit="1" customWidth="1"/>
    <col min="14" max="14" width="12.33203125" bestFit="1" customWidth="1"/>
    <col min="16" max="16" width="12.33203125" bestFit="1" customWidth="1"/>
  </cols>
  <sheetData>
    <row r="1" spans="2:13" ht="18" thickBot="1"/>
    <row r="2" spans="2:13">
      <c r="B2" s="17"/>
      <c r="C2" s="18"/>
      <c r="D2" s="18"/>
      <c r="E2" s="18"/>
      <c r="F2" s="53"/>
      <c r="G2" s="53"/>
      <c r="H2" s="18"/>
      <c r="I2" s="18"/>
      <c r="J2" s="18"/>
      <c r="K2" s="53"/>
      <c r="L2" s="53"/>
      <c r="M2" s="19"/>
    </row>
    <row r="3" spans="2:13">
      <c r="B3" s="12"/>
      <c r="C3" s="1"/>
      <c r="D3" s="1"/>
      <c r="E3" s="1"/>
      <c r="F3" s="54"/>
      <c r="G3" s="54"/>
      <c r="H3" s="1"/>
      <c r="I3" s="1"/>
      <c r="J3" s="1"/>
      <c r="K3" s="54"/>
      <c r="L3" s="54"/>
      <c r="M3" s="20"/>
    </row>
    <row r="4" spans="2:13">
      <c r="B4" s="12"/>
      <c r="C4" s="1"/>
      <c r="D4" s="1"/>
      <c r="E4" s="1"/>
      <c r="F4" s="54"/>
      <c r="G4" s="54"/>
      <c r="H4" s="1"/>
      <c r="I4" s="1"/>
      <c r="J4" s="1"/>
      <c r="K4" s="54"/>
      <c r="L4" s="54"/>
      <c r="M4" s="20"/>
    </row>
    <row r="5" spans="2:13">
      <c r="B5" s="12"/>
      <c r="C5" s="98" t="s">
        <v>25</v>
      </c>
      <c r="D5" s="98"/>
      <c r="E5" s="98"/>
      <c r="F5" s="98"/>
      <c r="G5" s="98"/>
      <c r="H5" s="98"/>
      <c r="I5" s="98"/>
      <c r="J5" s="98"/>
      <c r="K5" s="98"/>
      <c r="L5" s="98"/>
      <c r="M5" s="20"/>
    </row>
    <row r="6" spans="2:13">
      <c r="B6" s="12"/>
      <c r="C6" s="98"/>
      <c r="D6" s="98"/>
      <c r="E6" s="98"/>
      <c r="F6" s="98"/>
      <c r="G6" s="98"/>
      <c r="H6" s="98"/>
      <c r="I6" s="98"/>
      <c r="J6" s="98"/>
      <c r="K6" s="98"/>
      <c r="L6" s="98"/>
      <c r="M6" s="20"/>
    </row>
    <row r="7" spans="2:13" ht="40">
      <c r="B7" s="12"/>
      <c r="C7" s="35"/>
      <c r="D7" s="35"/>
      <c r="E7" s="35"/>
      <c r="F7" s="55"/>
      <c r="G7" s="55"/>
      <c r="H7" s="35"/>
      <c r="I7" s="35"/>
      <c r="J7" s="35"/>
      <c r="K7" s="55"/>
      <c r="L7" s="55"/>
      <c r="M7" s="20"/>
    </row>
    <row r="8" spans="2:13" ht="18">
      <c r="B8" s="12"/>
      <c r="C8" s="36" t="s">
        <v>23</v>
      </c>
      <c r="D8" s="44"/>
      <c r="E8" s="2"/>
      <c r="F8" s="56"/>
      <c r="G8" s="56"/>
      <c r="H8" s="2"/>
      <c r="I8" s="2"/>
      <c r="J8" s="2"/>
      <c r="K8" s="56"/>
      <c r="L8" s="56"/>
      <c r="M8" s="20"/>
    </row>
    <row r="9" spans="2:13" ht="18">
      <c r="B9" s="12"/>
      <c r="C9" s="28" t="s">
        <v>18</v>
      </c>
      <c r="D9" s="29" t="s">
        <v>75</v>
      </c>
      <c r="E9" s="2"/>
      <c r="F9" s="56"/>
      <c r="G9" s="56"/>
      <c r="H9" s="2"/>
      <c r="I9" s="2"/>
      <c r="J9" s="2"/>
      <c r="K9" s="56"/>
      <c r="L9" s="56"/>
      <c r="M9" s="20"/>
    </row>
    <row r="10" spans="2:13" ht="18">
      <c r="B10" s="12"/>
      <c r="C10" s="28" t="s">
        <v>19</v>
      </c>
      <c r="D10" s="29">
        <v>46022</v>
      </c>
      <c r="E10" s="2"/>
      <c r="F10" s="56"/>
      <c r="G10" s="56"/>
      <c r="H10" s="2"/>
      <c r="I10" s="2"/>
      <c r="J10" s="2"/>
      <c r="K10" s="56"/>
      <c r="L10" s="56"/>
      <c r="M10" s="20"/>
    </row>
    <row r="11" spans="2:13" ht="18">
      <c r="B11" s="12"/>
      <c r="C11" s="28" t="s">
        <v>20</v>
      </c>
      <c r="D11" s="30" t="s">
        <v>33</v>
      </c>
      <c r="E11" s="3"/>
      <c r="F11" s="57"/>
      <c r="G11" s="57"/>
      <c r="H11" s="3"/>
      <c r="I11" s="3"/>
      <c r="J11" s="3"/>
      <c r="K11" s="57"/>
      <c r="L11" s="57"/>
      <c r="M11" s="20"/>
    </row>
    <row r="12" spans="2:13" ht="23.25" customHeight="1">
      <c r="B12" s="12"/>
      <c r="C12" s="31"/>
      <c r="D12" s="31"/>
      <c r="E12" s="4"/>
      <c r="F12" s="99"/>
      <c r="G12" s="99"/>
      <c r="H12" s="5"/>
      <c r="I12" s="5"/>
      <c r="J12" s="5"/>
      <c r="K12" s="74"/>
      <c r="L12" s="74"/>
      <c r="M12" s="20"/>
    </row>
    <row r="13" spans="2:13" ht="23.25" customHeight="1">
      <c r="B13" s="12"/>
      <c r="C13" s="32" t="s">
        <v>17</v>
      </c>
      <c r="D13" s="42" t="s">
        <v>46</v>
      </c>
      <c r="E13" s="43"/>
      <c r="F13" s="58"/>
      <c r="G13" s="58"/>
      <c r="H13" s="5"/>
      <c r="I13" s="5"/>
      <c r="J13" s="5"/>
      <c r="K13" s="75"/>
      <c r="L13" s="75"/>
      <c r="M13" s="20"/>
    </row>
    <row r="14" spans="2:13" ht="23.25" customHeight="1">
      <c r="B14" s="12"/>
      <c r="C14" s="28" t="s">
        <v>0</v>
      </c>
      <c r="D14" s="48" t="s">
        <v>47</v>
      </c>
      <c r="E14" s="6"/>
      <c r="F14" s="58"/>
      <c r="G14" s="58"/>
      <c r="H14" s="5"/>
      <c r="I14" s="5"/>
      <c r="J14" s="5"/>
      <c r="K14" s="75"/>
      <c r="L14" s="75"/>
      <c r="M14" s="20"/>
    </row>
    <row r="15" spans="2:13" ht="19" thickBot="1">
      <c r="B15" s="12"/>
      <c r="C15" s="28" t="s">
        <v>29</v>
      </c>
      <c r="D15" s="46" t="s">
        <v>43</v>
      </c>
      <c r="E15" s="4"/>
      <c r="F15" s="59"/>
      <c r="G15" s="67"/>
      <c r="H15" s="7"/>
      <c r="I15" s="7"/>
      <c r="J15" s="7"/>
      <c r="K15" s="74"/>
      <c r="L15" s="80"/>
      <c r="M15" s="20"/>
    </row>
    <row r="16" spans="2:13" ht="20" thickBot="1">
      <c r="B16" s="12"/>
      <c r="C16" s="13" t="s">
        <v>1</v>
      </c>
      <c r="D16" s="8" t="s">
        <v>2</v>
      </c>
      <c r="E16" s="8" t="s">
        <v>3</v>
      </c>
      <c r="F16" s="60" t="s">
        <v>4</v>
      </c>
      <c r="G16" s="68" t="s">
        <v>5</v>
      </c>
      <c r="H16" s="45" t="s">
        <v>28</v>
      </c>
      <c r="I16" s="9" t="s">
        <v>6</v>
      </c>
      <c r="J16" s="9" t="s">
        <v>3</v>
      </c>
      <c r="K16" s="76" t="s">
        <v>7</v>
      </c>
      <c r="L16" s="81" t="s">
        <v>8</v>
      </c>
      <c r="M16" s="20"/>
    </row>
    <row r="17" spans="2:16">
      <c r="B17" s="12"/>
      <c r="C17" s="12"/>
      <c r="D17" s="87" t="s">
        <v>45</v>
      </c>
      <c r="E17">
        <v>1</v>
      </c>
      <c r="F17" s="61">
        <v>4500000</v>
      </c>
      <c r="G17" s="69">
        <f>F17*E17</f>
        <v>4500000</v>
      </c>
      <c r="K17" s="61"/>
      <c r="L17" s="82"/>
      <c r="M17" s="20"/>
    </row>
    <row r="18" spans="2:16" ht="18">
      <c r="B18" s="12"/>
      <c r="C18" s="50" t="s">
        <v>35</v>
      </c>
      <c r="D18" s="51" t="s">
        <v>51</v>
      </c>
      <c r="E18">
        <v>1</v>
      </c>
      <c r="F18" s="61"/>
      <c r="G18" s="70"/>
      <c r="H18" s="72">
        <v>46022</v>
      </c>
      <c r="I18" s="73" t="s">
        <v>60</v>
      </c>
      <c r="J18" s="73">
        <v>1</v>
      </c>
      <c r="K18" s="61">
        <v>900000</v>
      </c>
      <c r="L18" s="82">
        <f t="shared" ref="L18:L27" si="0">J18*K18</f>
        <v>900000</v>
      </c>
      <c r="M18" s="82"/>
    </row>
    <row r="19" spans="2:16" ht="18">
      <c r="B19" s="12"/>
      <c r="C19" s="50" t="s">
        <v>36</v>
      </c>
      <c r="D19" s="51" t="s">
        <v>52</v>
      </c>
      <c r="E19">
        <v>1</v>
      </c>
      <c r="F19" s="88"/>
      <c r="G19" s="70"/>
      <c r="H19" s="72">
        <v>46022</v>
      </c>
      <c r="I19" s="73" t="s">
        <v>34</v>
      </c>
      <c r="J19" s="73">
        <v>1</v>
      </c>
      <c r="K19" s="61">
        <v>327000</v>
      </c>
      <c r="L19" s="82">
        <f t="shared" si="0"/>
        <v>327000</v>
      </c>
      <c r="M19" s="82"/>
    </row>
    <row r="20" spans="2:16" ht="18">
      <c r="B20" s="12"/>
      <c r="C20" s="50" t="s">
        <v>40</v>
      </c>
      <c r="D20" s="51" t="s">
        <v>53</v>
      </c>
      <c r="E20">
        <v>2</v>
      </c>
      <c r="F20" s="92"/>
      <c r="G20" s="93"/>
      <c r="H20" s="72">
        <v>46022</v>
      </c>
      <c r="I20" s="73" t="s">
        <v>61</v>
      </c>
      <c r="J20" s="73">
        <v>2</v>
      </c>
      <c r="K20" s="94">
        <v>750000</v>
      </c>
      <c r="L20" s="95">
        <f t="shared" si="0"/>
        <v>1500000</v>
      </c>
      <c r="M20" s="82"/>
      <c r="N20" s="91"/>
    </row>
    <row r="21" spans="2:16" ht="18">
      <c r="B21" s="12"/>
      <c r="C21" s="50" t="s">
        <v>48</v>
      </c>
      <c r="D21" s="89" t="s">
        <v>54</v>
      </c>
      <c r="E21">
        <v>1</v>
      </c>
      <c r="F21" s="88"/>
      <c r="G21" s="70"/>
      <c r="H21" s="72">
        <v>46022</v>
      </c>
      <c r="I21" s="73" t="s">
        <v>62</v>
      </c>
      <c r="J21" s="73">
        <v>1</v>
      </c>
      <c r="K21" s="61">
        <v>200000</v>
      </c>
      <c r="L21" s="82">
        <f t="shared" si="0"/>
        <v>200000</v>
      </c>
      <c r="M21" s="82"/>
    </row>
    <row r="22" spans="2:16" ht="18">
      <c r="B22" s="12"/>
      <c r="C22" s="50" t="s">
        <v>48</v>
      </c>
      <c r="D22" s="89" t="s">
        <v>55</v>
      </c>
      <c r="E22">
        <v>1</v>
      </c>
      <c r="F22" s="88"/>
      <c r="G22" s="70"/>
      <c r="H22" s="72">
        <v>46022</v>
      </c>
      <c r="I22" s="73" t="s">
        <v>63</v>
      </c>
      <c r="J22" s="73">
        <v>1</v>
      </c>
      <c r="K22" s="61">
        <v>400000</v>
      </c>
      <c r="L22" s="82">
        <f t="shared" si="0"/>
        <v>400000</v>
      </c>
      <c r="M22" s="82"/>
    </row>
    <row r="23" spans="2:16" ht="18">
      <c r="B23" s="12"/>
      <c r="C23" s="50" t="s">
        <v>49</v>
      </c>
      <c r="D23" s="89" t="s">
        <v>56</v>
      </c>
      <c r="E23">
        <v>1</v>
      </c>
      <c r="F23" s="88"/>
      <c r="G23" s="70"/>
      <c r="H23" s="72">
        <v>46022</v>
      </c>
      <c r="I23" s="73" t="s">
        <v>64</v>
      </c>
      <c r="J23" s="73">
        <v>1</v>
      </c>
      <c r="K23" s="61">
        <v>108000</v>
      </c>
      <c r="L23" s="82">
        <f t="shared" si="0"/>
        <v>108000</v>
      </c>
      <c r="M23" s="82"/>
    </row>
    <row r="24" spans="2:16" ht="18">
      <c r="B24" s="12"/>
      <c r="C24" s="50" t="s">
        <v>38</v>
      </c>
      <c r="D24" s="89" t="s">
        <v>57</v>
      </c>
      <c r="E24">
        <v>1</v>
      </c>
      <c r="F24" s="88"/>
      <c r="G24" s="70"/>
      <c r="H24" s="72">
        <v>46022</v>
      </c>
      <c r="I24" s="73" t="s">
        <v>65</v>
      </c>
      <c r="J24" s="73">
        <v>1</v>
      </c>
      <c r="K24" s="61">
        <v>133000</v>
      </c>
      <c r="L24" s="82">
        <f t="shared" si="0"/>
        <v>133000</v>
      </c>
      <c r="M24" s="82"/>
    </row>
    <row r="25" spans="2:16" ht="18">
      <c r="B25" s="12"/>
      <c r="C25" s="50" t="s">
        <v>37</v>
      </c>
      <c r="D25" s="89" t="s">
        <v>58</v>
      </c>
      <c r="E25">
        <v>1</v>
      </c>
      <c r="F25" s="88"/>
      <c r="G25" s="70"/>
      <c r="H25" s="72">
        <v>46022</v>
      </c>
      <c r="I25" s="73" t="s">
        <v>66</v>
      </c>
      <c r="J25" s="73">
        <v>1</v>
      </c>
      <c r="K25" s="61">
        <v>480000</v>
      </c>
      <c r="L25" s="82">
        <f t="shared" si="0"/>
        <v>480000</v>
      </c>
      <c r="M25" s="82"/>
    </row>
    <row r="26" spans="2:16" ht="18">
      <c r="B26" s="12"/>
      <c r="C26" s="50" t="s">
        <v>41</v>
      </c>
      <c r="D26" s="89" t="s">
        <v>44</v>
      </c>
      <c r="E26">
        <v>1</v>
      </c>
      <c r="F26" s="88"/>
      <c r="G26" s="70"/>
      <c r="H26" s="72">
        <v>46022</v>
      </c>
      <c r="I26" s="73" t="s">
        <v>67</v>
      </c>
      <c r="J26" s="73">
        <v>1</v>
      </c>
      <c r="K26" s="61">
        <v>400000</v>
      </c>
      <c r="L26" s="82">
        <f t="shared" si="0"/>
        <v>400000</v>
      </c>
      <c r="M26" s="82"/>
    </row>
    <row r="27" spans="2:16" ht="18">
      <c r="B27" s="12"/>
      <c r="C27" s="50" t="s">
        <v>50</v>
      </c>
      <c r="D27" s="89" t="s">
        <v>59</v>
      </c>
      <c r="E27">
        <v>1</v>
      </c>
      <c r="F27" s="88"/>
      <c r="G27" s="70"/>
      <c r="H27" s="72">
        <v>46022</v>
      </c>
      <c r="I27" s="73" t="s">
        <v>68</v>
      </c>
      <c r="J27" s="73">
        <v>1</v>
      </c>
      <c r="K27" s="61">
        <v>250000</v>
      </c>
      <c r="L27" s="82">
        <f t="shared" si="0"/>
        <v>250000</v>
      </c>
      <c r="M27" s="82"/>
    </row>
    <row r="28" spans="2:16" ht="18" thickBot="1">
      <c r="B28" s="12"/>
      <c r="C28" s="50"/>
      <c r="D28" s="90"/>
      <c r="F28" s="88"/>
      <c r="G28" s="70"/>
      <c r="H28" s="72"/>
      <c r="I28" s="73"/>
      <c r="J28" s="73"/>
      <c r="K28" s="61"/>
      <c r="L28" s="82"/>
      <c r="M28" s="82"/>
      <c r="P28" s="86"/>
    </row>
    <row r="29" spans="2:16" ht="21" thickBot="1">
      <c r="B29" s="12"/>
      <c r="C29" s="100" t="s">
        <v>9</v>
      </c>
      <c r="D29" s="101"/>
      <c r="E29" s="101"/>
      <c r="F29" s="102">
        <f>G17</f>
        <v>4500000</v>
      </c>
      <c r="G29" s="103"/>
      <c r="H29" s="104" t="s">
        <v>10</v>
      </c>
      <c r="I29" s="105"/>
      <c r="J29" s="105"/>
      <c r="K29" s="106"/>
      <c r="L29" s="83">
        <f>L30/1.1</f>
        <v>4270909.0909090908</v>
      </c>
      <c r="M29" s="47"/>
      <c r="N29" s="86"/>
    </row>
    <row r="30" spans="2:16" ht="21" thickBot="1">
      <c r="B30" s="12"/>
      <c r="C30" s="49"/>
      <c r="D30" s="49"/>
      <c r="E30" s="49"/>
      <c r="F30" s="62"/>
      <c r="G30" s="62"/>
      <c r="H30" s="104" t="s">
        <v>32</v>
      </c>
      <c r="I30" s="105"/>
      <c r="J30" s="105"/>
      <c r="K30" s="106"/>
      <c r="L30" s="83">
        <f>SUM(L18:L28)</f>
        <v>4698000</v>
      </c>
      <c r="M30" s="47"/>
    </row>
    <row r="31" spans="2:16" ht="19">
      <c r="B31" s="12"/>
      <c r="C31" s="21" t="s">
        <v>30</v>
      </c>
      <c r="D31" s="107" t="s">
        <v>72</v>
      </c>
      <c r="E31" s="108"/>
      <c r="F31" s="108"/>
      <c r="G31" s="108"/>
      <c r="H31" s="108"/>
      <c r="I31" s="108"/>
      <c r="J31" s="108"/>
      <c r="K31" s="108"/>
      <c r="L31" s="108"/>
      <c r="M31" s="20"/>
    </row>
    <row r="32" spans="2:16" ht="19">
      <c r="B32" s="12"/>
      <c r="C32" s="37" t="s">
        <v>24</v>
      </c>
      <c r="D32" s="38" t="s">
        <v>69</v>
      </c>
      <c r="E32" s="10"/>
      <c r="F32" s="63"/>
      <c r="G32" s="63"/>
      <c r="J32" s="41"/>
      <c r="K32" s="77"/>
      <c r="L32" s="77"/>
      <c r="M32" s="20"/>
    </row>
    <row r="33" spans="2:16" ht="19">
      <c r="B33" s="12"/>
      <c r="C33" s="33" t="s">
        <v>11</v>
      </c>
      <c r="D33" s="107" t="s">
        <v>70</v>
      </c>
      <c r="E33" s="108"/>
      <c r="F33" s="108"/>
      <c r="G33" s="108"/>
      <c r="H33" s="108"/>
      <c r="I33" s="108"/>
      <c r="J33" s="108"/>
      <c r="K33" s="108"/>
      <c r="L33" s="108"/>
      <c r="M33" s="20"/>
    </row>
    <row r="34" spans="2:16" ht="19">
      <c r="B34" s="12"/>
      <c r="C34" s="33" t="s">
        <v>27</v>
      </c>
      <c r="D34" s="10" t="s">
        <v>71</v>
      </c>
      <c r="E34" s="10"/>
      <c r="F34" s="63"/>
      <c r="G34" s="63"/>
      <c r="H34" s="10"/>
      <c r="I34" s="10"/>
      <c r="J34" s="10"/>
      <c r="K34" s="63"/>
      <c r="L34" s="63"/>
      <c r="M34" s="20"/>
    </row>
    <row r="35" spans="2:16" ht="18">
      <c r="B35" s="12"/>
      <c r="C35" s="33"/>
      <c r="D35" s="10"/>
      <c r="E35" s="10"/>
      <c r="F35" s="63"/>
      <c r="G35" s="63"/>
      <c r="H35" s="10"/>
      <c r="I35" s="10"/>
      <c r="J35" s="10"/>
      <c r="K35" s="63"/>
      <c r="L35" s="63"/>
      <c r="M35" s="20"/>
    </row>
    <row r="36" spans="2:16" ht="19">
      <c r="B36" s="12"/>
      <c r="C36" s="33" t="s">
        <v>21</v>
      </c>
      <c r="D36" s="97" t="s">
        <v>73</v>
      </c>
      <c r="E36" s="97"/>
      <c r="F36" s="97"/>
      <c r="G36" s="97"/>
      <c r="H36" s="97"/>
      <c r="I36" s="97"/>
      <c r="J36" s="10"/>
      <c r="K36" s="63"/>
      <c r="L36" s="63"/>
      <c r="M36" s="20"/>
    </row>
    <row r="37" spans="2:16" ht="19">
      <c r="B37" s="12"/>
      <c r="C37" s="34" t="s">
        <v>22</v>
      </c>
      <c r="D37" s="97" t="s">
        <v>74</v>
      </c>
      <c r="E37" s="97"/>
      <c r="F37" s="97"/>
      <c r="G37" s="97"/>
      <c r="H37" s="10"/>
      <c r="I37" s="10"/>
      <c r="J37" s="10"/>
      <c r="K37" s="63"/>
      <c r="L37" s="63"/>
      <c r="M37" s="20"/>
    </row>
    <row r="38" spans="2:16" ht="19">
      <c r="B38" s="12"/>
      <c r="C38" s="34" t="s">
        <v>12</v>
      </c>
      <c r="D38" s="27" t="s">
        <v>42</v>
      </c>
      <c r="E38" s="10"/>
      <c r="F38" s="63"/>
      <c r="G38" s="63"/>
      <c r="H38" s="10"/>
      <c r="I38" s="10"/>
      <c r="J38" s="10"/>
      <c r="K38" s="63"/>
      <c r="L38" s="63"/>
      <c r="M38" s="20"/>
    </row>
    <row r="39" spans="2:16" ht="19" thickBot="1">
      <c r="B39" s="12"/>
      <c r="C39" s="22"/>
      <c r="D39" s="96"/>
      <c r="E39" s="97"/>
      <c r="F39" s="97"/>
      <c r="G39" s="97"/>
      <c r="H39" s="97"/>
      <c r="I39" s="97"/>
      <c r="J39" s="97"/>
      <c r="K39" s="97"/>
      <c r="L39" s="97"/>
      <c r="M39" s="20"/>
    </row>
    <row r="40" spans="2:16" ht="34.5" customHeight="1">
      <c r="B40" s="12"/>
      <c r="C40" s="11"/>
      <c r="D40" s="11"/>
      <c r="E40" s="11"/>
      <c r="F40" s="64"/>
      <c r="H40" s="23"/>
      <c r="I40" s="24" t="s">
        <v>13</v>
      </c>
      <c r="J40" s="24" t="s">
        <v>26</v>
      </c>
      <c r="K40" s="78" t="s">
        <v>14</v>
      </c>
      <c r="L40" s="84" t="s">
        <v>15</v>
      </c>
      <c r="M40" s="20"/>
      <c r="P40" t="s">
        <v>31</v>
      </c>
    </row>
    <row r="41" spans="2:16" ht="63" customHeight="1" thickBot="1">
      <c r="B41" s="12"/>
      <c r="C41" s="39" t="s">
        <v>39</v>
      </c>
      <c r="D41" s="40"/>
      <c r="E41" s="40"/>
      <c r="F41" s="65"/>
      <c r="G41" s="71"/>
      <c r="H41" s="25" t="s">
        <v>16</v>
      </c>
      <c r="I41" s="26"/>
      <c r="J41" s="26"/>
      <c r="K41" s="79"/>
      <c r="L41" s="85"/>
      <c r="M41" s="20"/>
    </row>
    <row r="42" spans="2:16" ht="18" thickBot="1">
      <c r="B42" s="14"/>
      <c r="C42" s="15"/>
      <c r="D42" s="15"/>
      <c r="E42" s="15"/>
      <c r="F42" s="66"/>
      <c r="G42" s="66"/>
      <c r="H42" s="15"/>
      <c r="I42" s="15"/>
      <c r="J42" s="15"/>
      <c r="K42" s="66"/>
      <c r="L42" s="66"/>
      <c r="M42" s="16"/>
    </row>
  </sheetData>
  <mergeCells count="11">
    <mergeCell ref="D39:L39"/>
    <mergeCell ref="C5:L6"/>
    <mergeCell ref="F12:G12"/>
    <mergeCell ref="C29:E29"/>
    <mergeCell ref="F29:G29"/>
    <mergeCell ref="H29:K29"/>
    <mergeCell ref="D31:L31"/>
    <mergeCell ref="D36:I36"/>
    <mergeCell ref="D37:G37"/>
    <mergeCell ref="H30:K30"/>
    <mergeCell ref="D33:L3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진강 장</cp:lastModifiedBy>
  <cp:lastPrinted>2020-03-09T08:01:58Z</cp:lastPrinted>
  <dcterms:created xsi:type="dcterms:W3CDTF">2020-02-27T08:15:04Z</dcterms:created>
  <dcterms:modified xsi:type="dcterms:W3CDTF">2026-02-19T03:45:38Z</dcterms:modified>
</cp:coreProperties>
</file>