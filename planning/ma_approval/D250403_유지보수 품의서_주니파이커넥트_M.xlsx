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HKIM\Desktop\김대훈\ME\유지보수 품의서\25\"/>
    </mc:Choice>
  </mc:AlternateContent>
  <xr:revisionPtr revIDLastSave="0" documentId="13_ncr:1_{78C9D7FE-F77E-48E9-9AED-22102FC47505}" xr6:coauthVersionLast="47" xr6:coauthVersionMax="47" xr10:uidLastSave="{00000000-0000-0000-0000-000000000000}"/>
  <bookViews>
    <workbookView xWindow="67080" yWindow="2490" windowWidth="29040" windowHeight="15720" activeTab="1" xr2:uid="{00000000-000D-0000-FFFF-FFFF00000000}"/>
  </bookViews>
  <sheets>
    <sheet name="유지보수 품의서" sheetId="2" r:id="rId1"/>
    <sheet name="상세내용" sheetId="3" r:id="rId2"/>
  </sheets>
  <definedNames>
    <definedName name="_xlnm.Print_Area" localSheetId="0">'유지보수 품의서'!$A$1:$Y$32</definedName>
  </definedNames>
  <calcPr calcId="181029"/>
</workbook>
</file>

<file path=xl/calcChain.xml><?xml version="1.0" encoding="utf-8"?>
<calcChain xmlns="http://schemas.openxmlformats.org/spreadsheetml/2006/main">
  <c r="P12" i="2" l="1"/>
  <c r="K12" i="2"/>
  <c r="M12" i="2" l="1"/>
  <c r="N12" i="2"/>
  <c r="Q12" i="2"/>
  <c r="O12" i="2"/>
  <c r="L12" i="2"/>
  <c r="H12" i="2"/>
  <c r="J12" i="2"/>
  <c r="R12" i="2" l="1"/>
  <c r="S12" i="2"/>
</calcChain>
</file>

<file path=xl/sharedStrings.xml><?xml version="1.0" encoding="utf-8"?>
<sst xmlns="http://schemas.openxmlformats.org/spreadsheetml/2006/main" count="56" uniqueCount="46">
  <si>
    <t>매출처</t>
    <phoneticPr fontId="14" type="noConversion"/>
  </si>
  <si>
    <t>청구구분</t>
    <phoneticPr fontId="14" type="noConversion"/>
  </si>
  <si>
    <t>매입가</t>
    <phoneticPr fontId="14" type="noConversion"/>
  </si>
  <si>
    <t>계약기간</t>
    <phoneticPr fontId="14" type="noConversion"/>
  </si>
  <si>
    <t>수량</t>
    <phoneticPr fontId="14" type="noConversion"/>
  </si>
  <si>
    <t>유지보수 품의서</t>
    <phoneticPr fontId="5" type="noConversion"/>
  </si>
  <si>
    <t>비고</t>
    <phoneticPr fontId="14" type="noConversion"/>
  </si>
  <si>
    <t>품의일자 :</t>
    <phoneticPr fontId="14" type="noConversion"/>
  </si>
  <si>
    <t>대표이사</t>
    <phoneticPr fontId="5" type="noConversion"/>
  </si>
  <si>
    <t>영업팀장</t>
    <phoneticPr fontId="5" type="noConversion"/>
  </si>
  <si>
    <t>영업담당</t>
    <phoneticPr fontId="5" type="noConversion"/>
  </si>
  <si>
    <t>출고</t>
    <phoneticPr fontId="5" type="noConversion"/>
  </si>
  <si>
    <t>서명</t>
    <phoneticPr fontId="5" type="noConversion"/>
  </si>
  <si>
    <t>담당자 :</t>
    <phoneticPr fontId="14" type="noConversion"/>
  </si>
  <si>
    <t>SM코드</t>
    <phoneticPr fontId="14" type="noConversion"/>
  </si>
  <si>
    <t>벤더코드</t>
    <phoneticPr fontId="14" type="noConversion"/>
  </si>
  <si>
    <t>고객사</t>
    <phoneticPr fontId="14" type="noConversion"/>
  </si>
  <si>
    <t>매출가</t>
    <phoneticPr fontId="14" type="noConversion"/>
  </si>
  <si>
    <t>수량</t>
    <phoneticPr fontId="14" type="noConversion"/>
  </si>
  <si>
    <t>청구구분</t>
    <phoneticPr fontId="14" type="noConversion"/>
  </si>
  <si>
    <t>매입처</t>
    <phoneticPr fontId="14" type="noConversion"/>
  </si>
  <si>
    <t>계약기간 총GP</t>
    <phoneticPr fontId="14" type="noConversion"/>
  </si>
  <si>
    <t>GP율</t>
    <phoneticPr fontId="14" type="noConversion"/>
  </si>
  <si>
    <t>Model</t>
  </si>
  <si>
    <t>M/T</t>
  </si>
  <si>
    <t>시작일</t>
  </si>
  <si>
    <t>종료일</t>
  </si>
  <si>
    <t>비고</t>
  </si>
  <si>
    <t>총(월간)</t>
    <phoneticPr fontId="22" type="noConversion"/>
  </si>
  <si>
    <t>고객사</t>
    <phoneticPr fontId="2" type="Hiragana"/>
  </si>
  <si>
    <t>S/N</t>
  </si>
  <si>
    <t>김대훈</t>
    <phoneticPr fontId="14" type="noConversion"/>
  </si>
  <si>
    <t>총(월간)</t>
    <phoneticPr fontId="14" type="noConversion"/>
  </si>
  <si>
    <t>Tech 24x7 4Hr Response</t>
  </si>
  <si>
    <t>주니파이커넥트</t>
    <phoneticPr fontId="14" type="noConversion"/>
  </si>
  <si>
    <t>LENOVO</t>
    <phoneticPr fontId="14" type="noConversion"/>
  </si>
  <si>
    <t>장진강 담당님</t>
    <phoneticPr fontId="14" type="noConversion"/>
  </si>
  <si>
    <t>010-1234-5678</t>
    <phoneticPr fontId="22" type="noConversion"/>
  </si>
  <si>
    <t>kang48@junifyconnect.com</t>
  </si>
  <si>
    <t>주니파이커넥트</t>
    <phoneticPr fontId="22" type="noConversion"/>
  </si>
  <si>
    <t>LENOVO</t>
    <phoneticPr fontId="22" type="noConversion"/>
  </si>
  <si>
    <t>장진강 담당님</t>
    <phoneticPr fontId="22" type="noConversion"/>
  </si>
  <si>
    <t>경기도 남양주시 별내중앙로</t>
    <phoneticPr fontId="14" type="noConversion"/>
  </si>
  <si>
    <t>SR250</t>
    <phoneticPr fontId="14" type="noConversion"/>
  </si>
  <si>
    <t>7Y51CTOLWW</t>
    <phoneticPr fontId="14" type="noConversion"/>
  </si>
  <si>
    <t>J32K3421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</si>
</sst>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m&quot;/&quot;d;@"/>
  </numFmts>
  <fonts count="26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name val="돋움"/>
      <family val="3"/>
      <charset val="129"/>
    </font>
    <font>
      <sz val="10"/>
      <name val="Helv"/>
      <family val="2"/>
    </font>
    <font>
      <sz val="9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indexed="8"/>
      <name val="맑은 고딕"/>
      <family val="3"/>
      <charset val="129"/>
      <scheme val="minor"/>
    </font>
    <font>
      <u/>
      <sz val="11"/>
      <color theme="10"/>
      <name val="맑은 고딕"/>
      <family val="3"/>
      <charset val="129"/>
      <scheme val="minor"/>
    </font>
    <font>
      <b/>
      <sz val="36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u/>
      <sz val="9"/>
      <color theme="10"/>
      <name val="맑은 고딕"/>
      <family val="3"/>
      <charset val="129"/>
      <scheme val="major"/>
    </font>
    <font>
      <sz val="8"/>
      <name val="맑은 고딕"/>
      <family val="2"/>
      <charset val="129"/>
      <scheme val="minor"/>
    </font>
    <font>
      <sz val="9"/>
      <color rgb="FF000000"/>
      <name val="맑은 고딕"/>
      <family val="3"/>
      <charset val="129"/>
      <scheme val="major"/>
    </font>
    <font>
      <u/>
      <sz val="11"/>
      <color indexed="12"/>
      <name val="돋움"/>
      <family val="3"/>
      <charset val="129"/>
    </font>
    <font>
      <sz val="10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0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0" borderId="0"/>
    <xf numFmtId="0" fontId="8" fillId="0" borderId="0"/>
    <xf numFmtId="0" fontId="8" fillId="0" borderId="0"/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" fillId="0" borderId="0"/>
    <xf numFmtId="0" fontId="7" fillId="0" borderId="0"/>
    <xf numFmtId="0" fontId="4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7" fillId="0" borderId="0">
      <alignment vertical="center"/>
    </xf>
    <xf numFmtId="0" fontId="7" fillId="0" borderId="0"/>
    <xf numFmtId="0" fontId="7" fillId="0" borderId="0"/>
    <xf numFmtId="0" fontId="10" fillId="0" borderId="0">
      <alignment vertical="center"/>
    </xf>
    <xf numFmtId="0" fontId="7" fillId="0" borderId="0"/>
    <xf numFmtId="0" fontId="9" fillId="0" borderId="0"/>
    <xf numFmtId="0" fontId="7" fillId="0" borderId="0"/>
    <xf numFmtId="0" fontId="10" fillId="0" borderId="0">
      <alignment vertical="center"/>
    </xf>
    <xf numFmtId="0" fontId="9" fillId="0" borderId="0"/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41" fontId="1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0" borderId="0"/>
    <xf numFmtId="9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3" fillId="0" borderId="0" applyFont="0" applyFill="0" applyBorder="0" applyAlignment="0" applyProtection="0">
      <alignment vertical="center"/>
    </xf>
    <xf numFmtId="0" fontId="7" fillId="0" borderId="0"/>
    <xf numFmtId="0" fontId="24" fillId="0" borderId="0" applyNumberFormat="0" applyFill="0" applyBorder="0" applyAlignment="0" applyProtection="0">
      <alignment vertical="top"/>
      <protection locked="0"/>
    </xf>
    <xf numFmtId="0" fontId="7" fillId="0" borderId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1" fontId="10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/>
  </cellStyleXfs>
  <cellXfs count="76">
    <xf numFmtId="0" fontId="0" fillId="0" borderId="0" xfId="0">
      <alignment vertical="center"/>
    </xf>
    <xf numFmtId="0" fontId="12" fillId="0" borderId="0" xfId="0" applyFont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13" fillId="0" borderId="11" xfId="0" applyFont="1" applyBorder="1">
      <alignment vertical="center"/>
    </xf>
    <xf numFmtId="0" fontId="13" fillId="0" borderId="0" xfId="0" applyFont="1">
      <alignment vertical="center"/>
    </xf>
    <xf numFmtId="0" fontId="13" fillId="0" borderId="12" xfId="0" applyFont="1" applyBorder="1">
      <alignment vertical="center"/>
    </xf>
    <xf numFmtId="0" fontId="0" fillId="0" borderId="13" xfId="0" applyBorder="1">
      <alignment vertical="center"/>
    </xf>
    <xf numFmtId="0" fontId="12" fillId="0" borderId="14" xfId="0" applyFont="1" applyBorder="1">
      <alignment vertical="center"/>
    </xf>
    <xf numFmtId="41" fontId="12" fillId="0" borderId="14" xfId="7" applyFont="1" applyBorder="1">
      <alignment vertical="center"/>
    </xf>
    <xf numFmtId="0" fontId="0" fillId="0" borderId="15" xfId="0" applyBorder="1">
      <alignment vertical="center"/>
    </xf>
    <xf numFmtId="0" fontId="15" fillId="0" borderId="0" xfId="0" applyFont="1" applyAlignment="1">
      <alignment horizontal="left" vertical="center"/>
    </xf>
    <xf numFmtId="14" fontId="15" fillId="0" borderId="0" xfId="0" applyNumberFormat="1" applyFont="1" applyAlignment="1">
      <alignment horizontal="left" vertical="center"/>
    </xf>
    <xf numFmtId="0" fontId="16" fillId="2" borderId="1" xfId="0" applyFont="1" applyFill="1" applyBorder="1">
      <alignment vertical="center"/>
    </xf>
    <xf numFmtId="0" fontId="17" fillId="2" borderId="2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176" fontId="16" fillId="0" borderId="5" xfId="0" applyNumberFormat="1" applyFont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/>
    </xf>
    <xf numFmtId="0" fontId="17" fillId="2" borderId="7" xfId="0" applyFont="1" applyFill="1" applyBorder="1" applyAlignment="1">
      <alignment horizontal="center" vertical="center"/>
    </xf>
    <xf numFmtId="0" fontId="18" fillId="0" borderId="0" xfId="82">
      <alignment vertical="center"/>
    </xf>
    <xf numFmtId="0" fontId="20" fillId="0" borderId="4" xfId="0" applyFont="1" applyBorder="1">
      <alignment vertical="center"/>
    </xf>
    <xf numFmtId="14" fontId="20" fillId="0" borderId="4" xfId="0" applyNumberFormat="1" applyFont="1" applyBorder="1">
      <alignment vertical="center"/>
    </xf>
    <xf numFmtId="41" fontId="20" fillId="0" borderId="4" xfId="7" applyFont="1" applyBorder="1">
      <alignment vertical="center"/>
    </xf>
    <xf numFmtId="14" fontId="0" fillId="0" borderId="0" xfId="0" applyNumberFormat="1">
      <alignment vertical="center"/>
    </xf>
    <xf numFmtId="0" fontId="21" fillId="0" borderId="4" xfId="82" applyFont="1" applyBorder="1">
      <alignment vertical="center"/>
    </xf>
    <xf numFmtId="49" fontId="20" fillId="0" borderId="4" xfId="0" applyNumberFormat="1" applyFont="1" applyBorder="1">
      <alignment vertical="center"/>
    </xf>
    <xf numFmtId="41" fontId="20" fillId="0" borderId="4" xfId="7" applyFont="1" applyFill="1" applyBorder="1">
      <alignment vertical="center"/>
    </xf>
    <xf numFmtId="0" fontId="21" fillId="0" borderId="4" xfId="82" applyFont="1" applyFill="1" applyBorder="1">
      <alignment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20" fillId="0" borderId="0" xfId="0" applyFont="1">
      <alignment vertical="center"/>
    </xf>
    <xf numFmtId="41" fontId="0" fillId="0" borderId="0" xfId="7" applyFont="1">
      <alignment vertical="center"/>
    </xf>
    <xf numFmtId="41" fontId="20" fillId="0" borderId="0" xfId="7" applyFont="1">
      <alignment vertical="center"/>
    </xf>
    <xf numFmtId="0" fontId="0" fillId="0" borderId="4" xfId="0" applyBorder="1">
      <alignment vertical="center"/>
    </xf>
    <xf numFmtId="0" fontId="0" fillId="0" borderId="4" xfId="0" applyBorder="1" applyAlignment="1">
      <alignment horizontal="center" vertical="center"/>
    </xf>
    <xf numFmtId="41" fontId="0" fillId="0" borderId="4" xfId="7" applyFont="1" applyBorder="1" applyAlignment="1">
      <alignment horizontal="center" vertical="center"/>
    </xf>
    <xf numFmtId="41" fontId="0" fillId="0" borderId="4" xfId="7" applyFont="1" applyFill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41" fontId="0" fillId="0" borderId="4" xfId="0" applyNumberFormat="1" applyBorder="1" applyAlignment="1">
      <alignment horizontal="center" vertical="center" wrapText="1"/>
    </xf>
    <xf numFmtId="9" fontId="0" fillId="0" borderId="4" xfId="84" applyFont="1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  <xf numFmtId="41" fontId="0" fillId="0" borderId="4" xfId="7" applyFont="1" applyBorder="1" applyAlignment="1">
      <alignment vertical="center"/>
    </xf>
    <xf numFmtId="41" fontId="0" fillId="0" borderId="4" xfId="7" applyFont="1" applyFill="1" applyBorder="1" applyAlignment="1">
      <alignment vertical="center"/>
    </xf>
    <xf numFmtId="14" fontId="0" fillId="0" borderId="4" xfId="0" applyNumberFormat="1" applyBorder="1">
      <alignment vertical="center"/>
    </xf>
    <xf numFmtId="41" fontId="0" fillId="0" borderId="4" xfId="0" applyNumberFormat="1" applyBorder="1" applyAlignment="1">
      <alignment vertical="center" wrapText="1"/>
    </xf>
    <xf numFmtId="9" fontId="0" fillId="0" borderId="4" xfId="84" applyFont="1" applyBorder="1">
      <alignment vertical="center"/>
    </xf>
    <xf numFmtId="14" fontId="0" fillId="0" borderId="4" xfId="7" applyNumberFormat="1" applyFont="1" applyBorder="1" applyAlignment="1">
      <alignment horizontal="center" vertical="center"/>
    </xf>
    <xf numFmtId="0" fontId="20" fillId="0" borderId="4" xfId="0" applyFont="1" applyBorder="1" applyAlignment="1">
      <alignment horizontal="left" vertical="center"/>
    </xf>
    <xf numFmtId="14" fontId="20" fillId="0" borderId="4" xfId="0" applyNumberFormat="1" applyFont="1" applyBorder="1" applyAlignment="1">
      <alignment horizontal="left" vertical="center"/>
    </xf>
    <xf numFmtId="41" fontId="20" fillId="0" borderId="4" xfId="7" applyFont="1" applyBorder="1" applyAlignment="1">
      <alignment horizontal="left" vertical="center"/>
    </xf>
    <xf numFmtId="0" fontId="21" fillId="0" borderId="4" xfId="82" applyFont="1" applyBorder="1" applyAlignment="1">
      <alignment horizontal="left" vertical="center"/>
    </xf>
    <xf numFmtId="49" fontId="20" fillId="0" borderId="4" xfId="0" applyNumberFormat="1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 wrapText="1" shrinkToFit="1"/>
    </xf>
    <xf numFmtId="177" fontId="20" fillId="0" borderId="0" xfId="0" applyNumberFormat="1" applyFont="1" applyAlignment="1">
      <alignment horizontal="left" vertical="center"/>
    </xf>
    <xf numFmtId="43" fontId="20" fillId="0" borderId="0" xfId="0" applyNumberFormat="1" applyFont="1">
      <alignment vertical="center"/>
    </xf>
    <xf numFmtId="41" fontId="20" fillId="0" borderId="4" xfId="0" applyNumberFormat="1" applyFont="1" applyBorder="1">
      <alignment vertical="center"/>
    </xf>
    <xf numFmtId="41" fontId="20" fillId="0" borderId="0" xfId="0" applyNumberFormat="1" applyFont="1">
      <alignment vertical="center"/>
    </xf>
    <xf numFmtId="0" fontId="21" fillId="0" borderId="0" xfId="82" applyFont="1">
      <alignment vertical="center"/>
    </xf>
    <xf numFmtId="176" fontId="20" fillId="0" borderId="0" xfId="0" applyNumberFormat="1" applyFont="1">
      <alignment vertical="center"/>
    </xf>
    <xf numFmtId="41" fontId="20" fillId="0" borderId="0" xfId="7" applyFont="1" applyBorder="1">
      <alignment vertical="center"/>
    </xf>
    <xf numFmtId="41" fontId="25" fillId="0" borderId="0" xfId="90" applyFont="1" applyFill="1" applyBorder="1" applyAlignment="1">
      <alignment vertical="center"/>
    </xf>
    <xf numFmtId="0" fontId="20" fillId="0" borderId="0" xfId="0" applyFont="1" applyAlignment="1">
      <alignment vertical="center" wrapText="1"/>
    </xf>
    <xf numFmtId="0" fontId="18" fillId="0" borderId="4" xfId="82" applyBorder="1">
      <alignment vertical="center"/>
    </xf>
    <xf numFmtId="0" fontId="23" fillId="6" borderId="4" xfId="0" applyFont="1" applyFill="1" applyBorder="1" applyAlignment="1">
      <alignment horizontal="center" vertical="center"/>
    </xf>
    <xf numFmtId="14" fontId="20" fillId="0" borderId="0" xfId="0" applyNumberFormat="1" applyFont="1">
      <alignment vertical="center"/>
    </xf>
    <xf numFmtId="0" fontId="19" fillId="0" borderId="4" xfId="0" applyFont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50">
    <cellStyle name="Comma [0] 2 10" xfId="1" xr:uid="{00000000-0005-0000-0000-000000000000}"/>
    <cellStyle name="Comma [0] 2 10 2" xfId="91" xr:uid="{866A4780-C540-48CF-BDD5-8A7445C66F83}"/>
    <cellStyle name="Comma [0] 2 20" xfId="2" xr:uid="{00000000-0005-0000-0000-000001000000}"/>
    <cellStyle name="Comma [0] 2 20 2" xfId="92" xr:uid="{96F352F1-A599-41B9-B8F8-75CE733EF3B9}"/>
    <cellStyle name="Comma [0] 4" xfId="3" xr:uid="{00000000-0005-0000-0000-000002000000}"/>
    <cellStyle name="Comma [0] 4 2" xfId="93" xr:uid="{A69F3B28-0001-4AFD-A1E2-D3C501685696}"/>
    <cellStyle name="Normal 2 18" xfId="4" xr:uid="{00000000-0005-0000-0000-000003000000}"/>
    <cellStyle name="Normal_Memory" xfId="5" xr:uid="{00000000-0005-0000-0000-000004000000}"/>
    <cellStyle name="Style 1 2 2" xfId="6" xr:uid="{00000000-0005-0000-0000-000005000000}"/>
    <cellStyle name="백분율" xfId="84" builtinId="5"/>
    <cellStyle name="쉼표 [0]" xfId="7" builtinId="6"/>
    <cellStyle name="쉼표 [0] 10" xfId="8" xr:uid="{00000000-0005-0000-0000-000007000000}"/>
    <cellStyle name="쉼표 [0] 10 10 2" xfId="9" xr:uid="{00000000-0005-0000-0000-000008000000}"/>
    <cellStyle name="쉼표 [0] 10 10 2 2" xfId="96" xr:uid="{D60A32E4-00BF-4855-9D07-DBBB5DF2A7AD}"/>
    <cellStyle name="쉼표 [0] 10 2" xfId="10" xr:uid="{00000000-0005-0000-0000-000009000000}"/>
    <cellStyle name="쉼표 [0] 10 2 10 2" xfId="11" xr:uid="{00000000-0005-0000-0000-00000A000000}"/>
    <cellStyle name="쉼표 [0] 10 2 10 2 2" xfId="12" xr:uid="{00000000-0005-0000-0000-00000B000000}"/>
    <cellStyle name="쉼표 [0] 10 2 10 2 2 2" xfId="99" xr:uid="{3E1182C0-448D-447C-B47B-62FB96393741}"/>
    <cellStyle name="쉼표 [0] 10 2 10 2 3" xfId="98" xr:uid="{78A66834-BB19-456F-B1B9-933FA304C3FB}"/>
    <cellStyle name="쉼표 [0] 10 2 2" xfId="97" xr:uid="{8E7ACCE1-9B46-4D7D-B006-49A291C7C5CC}"/>
    <cellStyle name="쉼표 [0] 10 2 3 2" xfId="13" xr:uid="{00000000-0005-0000-0000-00000C000000}"/>
    <cellStyle name="쉼표 [0] 10 2 3 2 2" xfId="100" xr:uid="{3644E97D-A1F6-4EE7-8D9F-6373DF07B304}"/>
    <cellStyle name="쉼표 [0] 10 2 48" xfId="14" xr:uid="{00000000-0005-0000-0000-00000D000000}"/>
    <cellStyle name="쉼표 [0] 10 2 48 2" xfId="101" xr:uid="{FE1B0EFF-229B-456E-8D49-A8F3EB29E323}"/>
    <cellStyle name="쉼표 [0] 10 2 5" xfId="15" xr:uid="{00000000-0005-0000-0000-00000E000000}"/>
    <cellStyle name="쉼표 [0] 10 2 5 2" xfId="102" xr:uid="{BD9D1C3E-9A36-4186-900B-CD9F9CD9A706}"/>
    <cellStyle name="쉼표 [0] 10 2 6" xfId="16" xr:uid="{00000000-0005-0000-0000-00000F000000}"/>
    <cellStyle name="쉼표 [0] 10 2 6 2" xfId="103" xr:uid="{194C4DF3-00CA-4713-80F8-8D7A48123A2B}"/>
    <cellStyle name="쉼표 [0] 10 20" xfId="85" xr:uid="{4840C708-DE9E-4F89-83F0-F538C6D5DAA8}"/>
    <cellStyle name="쉼표 [0] 10 20 2" xfId="147" xr:uid="{15E546B1-9B68-45E5-9FE5-171220A8604C}"/>
    <cellStyle name="쉼표 [0] 10 3" xfId="95" xr:uid="{12AD42B9-CEE9-487D-8109-B3E59B1B8271}"/>
    <cellStyle name="쉼표 [0] 10 3 38" xfId="17" xr:uid="{00000000-0005-0000-0000-000010000000}"/>
    <cellStyle name="쉼표 [0] 10 3 38 2" xfId="104" xr:uid="{1FD81EC0-538D-42B3-9F7D-2426DE6CC5ED}"/>
    <cellStyle name="쉼표 [0] 10 4 23" xfId="18" xr:uid="{00000000-0005-0000-0000-000011000000}"/>
    <cellStyle name="쉼표 [0] 10 4 23 2" xfId="105" xr:uid="{3410802B-6E55-499D-BE2B-6DADF6E56CD1}"/>
    <cellStyle name="쉼표 [0] 10 46" xfId="19" xr:uid="{00000000-0005-0000-0000-000012000000}"/>
    <cellStyle name="쉼표 [0] 10 46 2" xfId="106" xr:uid="{77D2F95E-4E84-43D6-8DDE-F552AF6448AF}"/>
    <cellStyle name="쉼표 [0] 10 60" xfId="20" xr:uid="{00000000-0005-0000-0000-000013000000}"/>
    <cellStyle name="쉼표 [0] 10 60 2" xfId="107" xr:uid="{86A42A63-8056-4D73-8BF0-8310CADD29B1}"/>
    <cellStyle name="쉼표 [0] 102" xfId="21" xr:uid="{00000000-0005-0000-0000-000014000000}"/>
    <cellStyle name="쉼표 [0] 102 2" xfId="108" xr:uid="{AEACDFE3-6F4E-4E20-88F9-6442FA289D38}"/>
    <cellStyle name="쉼표 [0] 104" xfId="22" xr:uid="{00000000-0005-0000-0000-000015000000}"/>
    <cellStyle name="쉼표 [0] 104 2" xfId="109" xr:uid="{EAAA2EC4-9CD3-49B4-9B7B-EC8BC5527759}"/>
    <cellStyle name="쉼표 [0] 108" xfId="23" xr:uid="{00000000-0005-0000-0000-000016000000}"/>
    <cellStyle name="쉼표 [0] 108 2" xfId="110" xr:uid="{E1D5301C-BFF7-428F-8FE8-EE603264691F}"/>
    <cellStyle name="쉼표 [0] 11" xfId="24" xr:uid="{00000000-0005-0000-0000-000017000000}"/>
    <cellStyle name="쉼표 [0] 11 2" xfId="111" xr:uid="{82F2D3E2-84A0-4AED-8373-CFA2268F0D87}"/>
    <cellStyle name="쉼표 [0] 11 4" xfId="25" xr:uid="{00000000-0005-0000-0000-000018000000}"/>
    <cellStyle name="쉼표 [0] 11 4 2" xfId="112" xr:uid="{314E1AB3-1A6F-4046-BBF5-9A36D18A7709}"/>
    <cellStyle name="쉼표 [0] 110" xfId="26" xr:uid="{00000000-0005-0000-0000-000019000000}"/>
    <cellStyle name="쉼표 [0] 110 2" xfId="113" xr:uid="{1EEC1B00-330D-4AAB-8B49-E559F0009914}"/>
    <cellStyle name="쉼표 [0] 113" xfId="27" xr:uid="{00000000-0005-0000-0000-00001A000000}"/>
    <cellStyle name="쉼표 [0] 113 2" xfId="114" xr:uid="{54ECF78D-F355-44B1-BAD7-21717B520A77}"/>
    <cellStyle name="쉼표 [0] 12" xfId="28" xr:uid="{00000000-0005-0000-0000-00001B000000}"/>
    <cellStyle name="쉼표 [0] 12 10" xfId="29" xr:uid="{00000000-0005-0000-0000-00001C000000}"/>
    <cellStyle name="쉼표 [0] 12 10 2" xfId="30" xr:uid="{00000000-0005-0000-0000-00001D000000}"/>
    <cellStyle name="쉼표 [0] 12 10 2 2" xfId="117" xr:uid="{F045D27F-239B-45C6-A0F0-EA1B1C2F3BC6}"/>
    <cellStyle name="쉼표 [0] 12 10 3" xfId="116" xr:uid="{EC26B4F0-DFE8-45F6-97B8-0E6E3F9546DF}"/>
    <cellStyle name="쉼표 [0] 12 19" xfId="81" xr:uid="{00000000-0005-0000-0000-00001E000000}"/>
    <cellStyle name="쉼표 [0] 12 19 2" xfId="146" xr:uid="{B4A044FF-C199-4441-B6CE-7C06EADFD522}"/>
    <cellStyle name="쉼표 [0] 12 2" xfId="115" xr:uid="{D53CCFB5-CC88-4A36-89CC-427D83F2B12C}"/>
    <cellStyle name="쉼표 [0] 12 23" xfId="31" xr:uid="{00000000-0005-0000-0000-00001F000000}"/>
    <cellStyle name="쉼표 [0] 12 23 2" xfId="118" xr:uid="{F8A7BE94-A41A-4E1A-ABD1-057F2B3C341A}"/>
    <cellStyle name="쉼표 [0] 12 4 2" xfId="32" xr:uid="{00000000-0005-0000-0000-000020000000}"/>
    <cellStyle name="쉼표 [0] 12 4 2 2" xfId="119" xr:uid="{4ACB7552-C515-4F4B-97EC-D43D0BB84A53}"/>
    <cellStyle name="쉼표 [0] 12 5" xfId="33" xr:uid="{00000000-0005-0000-0000-000021000000}"/>
    <cellStyle name="쉼표 [0] 12 5 2" xfId="120" xr:uid="{A1A8477C-EBDD-49DC-99A5-62A890952225}"/>
    <cellStyle name="쉼표 [0] 121" xfId="90" xr:uid="{4650F8BD-E0A3-424C-84D3-7C7BA6EC98C1}"/>
    <cellStyle name="쉼표 [0] 121 2" xfId="149" xr:uid="{AF6278D2-CD80-49EF-A973-B3E61DE804C4}"/>
    <cellStyle name="쉼표 [0] 128" xfId="34" xr:uid="{00000000-0005-0000-0000-000022000000}"/>
    <cellStyle name="쉼표 [0] 128 2" xfId="121" xr:uid="{9715B253-C54D-4AB6-86EF-D686E20317D7}"/>
    <cellStyle name="쉼표 [0] 13 9" xfId="35" xr:uid="{00000000-0005-0000-0000-000023000000}"/>
    <cellStyle name="쉼표 [0] 13 9 2" xfId="122" xr:uid="{9FAF5A74-2EE5-449F-80A8-91F248C8C5C5}"/>
    <cellStyle name="쉼표 [0] 192" xfId="86" xr:uid="{0E0FDC1C-07D8-49A2-940D-B9BC777C1ACF}"/>
    <cellStyle name="쉼표 [0] 192 2" xfId="148" xr:uid="{A615C900-3721-49ED-AC2D-2A6DE7678BDD}"/>
    <cellStyle name="쉼표 [0] 2" xfId="36" xr:uid="{00000000-0005-0000-0000-000024000000}"/>
    <cellStyle name="쉼표 [0] 2 10 10" xfId="37" xr:uid="{00000000-0005-0000-0000-000025000000}"/>
    <cellStyle name="쉼표 [0] 2 10 10 2" xfId="124" xr:uid="{BE6190F3-97A0-4E86-9B37-BF2C2BBACDF1}"/>
    <cellStyle name="쉼표 [0] 2 10 2" xfId="38" xr:uid="{00000000-0005-0000-0000-000026000000}"/>
    <cellStyle name="쉼표 [0] 2 10 2 2" xfId="125" xr:uid="{B5D68DD4-FF27-4128-988B-ED841927DAB5}"/>
    <cellStyle name="쉼표 [0] 2 11" xfId="39" xr:uid="{00000000-0005-0000-0000-000027000000}"/>
    <cellStyle name="쉼표 [0] 2 11 2" xfId="126" xr:uid="{FF743D4E-BC1A-47AE-834A-D7DF8A04FA43}"/>
    <cellStyle name="쉼표 [0] 2 2" xfId="123" xr:uid="{CAA8B852-F079-4A28-9C67-FDCAB2AA6A43}"/>
    <cellStyle name="쉼표 [0] 2 2 11" xfId="40" xr:uid="{00000000-0005-0000-0000-000028000000}"/>
    <cellStyle name="쉼표 [0] 2 2 11 2" xfId="127" xr:uid="{8B87D7B2-44ED-4FCA-9F4F-80B1A3EABEE9}"/>
    <cellStyle name="쉼표 [0] 2 2 7 4" xfId="41" xr:uid="{00000000-0005-0000-0000-000029000000}"/>
    <cellStyle name="쉼표 [0] 2 2 7 4 2" xfId="128" xr:uid="{A4E31596-DD23-4746-B68C-6EAEA3ACF12A}"/>
    <cellStyle name="쉼표 [0] 29" xfId="42" xr:uid="{00000000-0005-0000-0000-00002A000000}"/>
    <cellStyle name="쉼표 [0] 29 2" xfId="129" xr:uid="{96306F06-D613-498C-8FEC-31A9F14D57C6}"/>
    <cellStyle name="쉼표 [0] 3" xfId="94" xr:uid="{43228E73-5562-4F9C-9772-9E6FB931320C}"/>
    <cellStyle name="쉼표 [0] 3 2" xfId="43" xr:uid="{00000000-0005-0000-0000-00002B000000}"/>
    <cellStyle name="쉼표 [0] 3 2 2" xfId="44" xr:uid="{00000000-0005-0000-0000-00002C000000}"/>
    <cellStyle name="쉼표 [0] 3 2 2 2" xfId="131" xr:uid="{A1F86251-4237-445C-9B2A-71102C8F1911}"/>
    <cellStyle name="쉼표 [0] 3 2 3" xfId="130" xr:uid="{EC911D4D-4E1E-4259-A705-3C2C6DA999EE}"/>
    <cellStyle name="쉼표 [0] 3 57" xfId="45" xr:uid="{00000000-0005-0000-0000-00002D000000}"/>
    <cellStyle name="쉼표 [0] 3 57 2" xfId="132" xr:uid="{617ACD59-A3FF-4A8D-821E-F35614BFAA6B}"/>
    <cellStyle name="쉼표 [0] 33 2" xfId="46" xr:uid="{00000000-0005-0000-0000-00002E000000}"/>
    <cellStyle name="쉼표 [0] 33 2 2" xfId="133" xr:uid="{330DD498-40CF-4A88-8F13-91A79C027AF5}"/>
    <cellStyle name="쉼표 [0] 33 2 5" xfId="47" xr:uid="{00000000-0005-0000-0000-00002F000000}"/>
    <cellStyle name="쉼표 [0] 33 2 5 2" xfId="134" xr:uid="{4B160710-E2A1-4706-AF82-A4A3F3EEEDA1}"/>
    <cellStyle name="쉼표 [0] 34" xfId="48" xr:uid="{00000000-0005-0000-0000-000030000000}"/>
    <cellStyle name="쉼표 [0] 34 2" xfId="135" xr:uid="{D6298B08-937A-49E2-821B-E85F9F5C7A28}"/>
    <cellStyle name="쉼표 [0] 38" xfId="49" xr:uid="{00000000-0005-0000-0000-000031000000}"/>
    <cellStyle name="쉼표 [0] 38 2" xfId="136" xr:uid="{8B73C1CD-B77B-4A11-B1B9-EC6270FFFF71}"/>
    <cellStyle name="쉼표 [0] 39" xfId="50" xr:uid="{00000000-0005-0000-0000-000032000000}"/>
    <cellStyle name="쉼표 [0] 39 2" xfId="137" xr:uid="{8793F22F-D72A-4065-9CA7-3AF574B46A45}"/>
    <cellStyle name="쉼표 [0] 4 3 2 2 18" xfId="51" xr:uid="{00000000-0005-0000-0000-000033000000}"/>
    <cellStyle name="쉼표 [0] 4 3 2 2 18 2" xfId="138" xr:uid="{ABA1BA8C-816B-4E13-A6A9-C99C388B014E}"/>
    <cellStyle name="쉼표 [0] 4 3 8" xfId="52" xr:uid="{00000000-0005-0000-0000-000034000000}"/>
    <cellStyle name="쉼표 [0] 4 3 8 2" xfId="139" xr:uid="{AFC36ADA-FC91-4CA1-95A8-F64AE859C73F}"/>
    <cellStyle name="쉼표 [0] 40" xfId="53" xr:uid="{00000000-0005-0000-0000-000035000000}"/>
    <cellStyle name="쉼표 [0] 40 2" xfId="140" xr:uid="{5F72D78F-DA8D-4373-8B96-B950E55BBB73}"/>
    <cellStyle name="쉼표 [0] 41" xfId="54" xr:uid="{00000000-0005-0000-0000-000036000000}"/>
    <cellStyle name="쉼표 [0] 41 2" xfId="141" xr:uid="{B0BD4BE8-7248-4818-B9C6-201F632D82EC}"/>
    <cellStyle name="쉼표 [0] 45" xfId="55" xr:uid="{00000000-0005-0000-0000-000037000000}"/>
    <cellStyle name="쉼표 [0] 45 2" xfId="142" xr:uid="{A42E7420-DDF4-45E7-BF1B-5347AA53B7D9}"/>
    <cellStyle name="쉼표 [0] 6" xfId="56" xr:uid="{00000000-0005-0000-0000-000038000000}"/>
    <cellStyle name="쉼표 [0] 6 2" xfId="143" xr:uid="{CEF7FEDD-9138-4173-9BAD-9549FBD3AF06}"/>
    <cellStyle name="쉼표 [0] 66" xfId="57" xr:uid="{00000000-0005-0000-0000-000039000000}"/>
    <cellStyle name="쉼표 [0] 66 2" xfId="144" xr:uid="{E2A0263D-A455-43AD-8F93-162AF6352FF7}"/>
    <cellStyle name="쉼표 [0] 9 6" xfId="58" xr:uid="{00000000-0005-0000-0000-00003A000000}"/>
    <cellStyle name="쉼표 [0] 9 6 2" xfId="145" xr:uid="{5D09B151-45E4-4237-9CC3-064AFB74F02C}"/>
    <cellStyle name="스타일 1" xfId="59" xr:uid="{00000000-0005-0000-0000-00003B000000}"/>
    <cellStyle name="표준" xfId="0" builtinId="0"/>
    <cellStyle name="표준 10" xfId="60" xr:uid="{00000000-0005-0000-0000-00003D000000}"/>
    <cellStyle name="표준 10 2 2 2" xfId="83" xr:uid="{5D05D5E2-6956-474A-BCEC-C52A4BD2C741}"/>
    <cellStyle name="표준 13" xfId="61" xr:uid="{00000000-0005-0000-0000-00003E000000}"/>
    <cellStyle name="표준 13 2" xfId="62" xr:uid="{00000000-0005-0000-0000-00003F000000}"/>
    <cellStyle name="표준 15 2" xfId="63" xr:uid="{00000000-0005-0000-0000-000040000000}"/>
    <cellStyle name="표준 17 2 2" xfId="64" xr:uid="{00000000-0005-0000-0000-000041000000}"/>
    <cellStyle name="표준 18 2" xfId="65" xr:uid="{00000000-0005-0000-0000-000042000000}"/>
    <cellStyle name="표준 2 2 2" xfId="66" xr:uid="{00000000-0005-0000-0000-000043000000}"/>
    <cellStyle name="표준 2 2 69" xfId="67" xr:uid="{00000000-0005-0000-0000-000044000000}"/>
    <cellStyle name="표준 2 2 71" xfId="68" xr:uid="{00000000-0005-0000-0000-000045000000}"/>
    <cellStyle name="표준 2 28" xfId="69" xr:uid="{00000000-0005-0000-0000-000046000000}"/>
    <cellStyle name="표준 2 9" xfId="70" xr:uid="{00000000-0005-0000-0000-000047000000}"/>
    <cellStyle name="표준 221" xfId="87" xr:uid="{9F5768E4-E3E3-4109-8382-E152EA83D9E4}"/>
    <cellStyle name="표준 222" xfId="89" xr:uid="{68625AA1-3E50-424E-A323-583BC2C801C7}"/>
    <cellStyle name="표준 25" xfId="71" xr:uid="{00000000-0005-0000-0000-000048000000}"/>
    <cellStyle name="표준 3 2" xfId="72" xr:uid="{00000000-0005-0000-0000-000049000000}"/>
    <cellStyle name="표준 34" xfId="73" xr:uid="{00000000-0005-0000-0000-00004A000000}"/>
    <cellStyle name="표준 4 2" xfId="74" xr:uid="{00000000-0005-0000-0000-00004B000000}"/>
    <cellStyle name="표준 4 2 2" xfId="75" xr:uid="{00000000-0005-0000-0000-00004C000000}"/>
    <cellStyle name="표준 5 3 3" xfId="76" xr:uid="{00000000-0005-0000-0000-00004D000000}"/>
    <cellStyle name="표준 66" xfId="77" xr:uid="{00000000-0005-0000-0000-00004E000000}"/>
    <cellStyle name="표준 8 3" xfId="78" xr:uid="{00000000-0005-0000-0000-00004F000000}"/>
    <cellStyle name="표준 86" xfId="79" xr:uid="{00000000-0005-0000-0000-000050000000}"/>
    <cellStyle name="표준 89" xfId="80" xr:uid="{00000000-0005-0000-0000-000051000000}"/>
    <cellStyle name="하이퍼링크" xfId="82" builtinId="8"/>
    <cellStyle name="하이퍼링크 2 2" xfId="88" xr:uid="{70F97ABA-CD47-422B-8461-00E175FF9D2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12560</xdr:colOff>
      <xdr:row>30</xdr:row>
      <xdr:rowOff>190502</xdr:rowOff>
    </xdr:from>
    <xdr:to>
      <xdr:col>20</xdr:col>
      <xdr:colOff>2461</xdr:colOff>
      <xdr:row>30</xdr:row>
      <xdr:rowOff>754745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90FC06F-0ED6-43E2-AACF-DB24B5B85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aturation sat="0"/>
                  </a14:imgEffect>
                  <a14:imgEffect>
                    <a14:brightnessContrast bright="20000" contrast="-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6926239" y="13960931"/>
          <a:ext cx="1282579" cy="55789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2"/>
  <sheetViews>
    <sheetView zoomScaleNormal="100" zoomScaleSheetLayoutView="55" workbookViewId="0">
      <selection activeCell="F13" sqref="F13"/>
    </sheetView>
  </sheetViews>
  <sheetFormatPr defaultRowHeight="17" x14ac:dyDescent="0.45"/>
  <cols>
    <col min="1" max="1" width="8.58203125" customWidth="1"/>
    <col min="2" max="2" width="2.75" customWidth="1"/>
    <col min="3" max="3" width="3.08203125" customWidth="1"/>
    <col min="4" max="4" width="16" customWidth="1"/>
    <col min="5" max="5" width="13.25" bestFit="1" customWidth="1"/>
    <col min="6" max="6" width="16.58203125" bestFit="1" customWidth="1"/>
    <col min="7" max="7" width="13" bestFit="1" customWidth="1"/>
    <col min="8" max="8" width="14.33203125" bestFit="1" customWidth="1"/>
    <col min="9" max="9" width="5.58203125" bestFit="1" customWidth="1"/>
    <col min="10" max="10" width="9.25" bestFit="1" customWidth="1"/>
    <col min="11" max="12" width="12.75" bestFit="1" customWidth="1"/>
    <col min="13" max="13" width="11.58203125" customWidth="1"/>
    <col min="14" max="14" width="14.5" bestFit="1" customWidth="1"/>
    <col min="15" max="15" width="12.25" bestFit="1" customWidth="1"/>
    <col min="16" max="17" width="12.75" bestFit="1" customWidth="1"/>
    <col min="18" max="18" width="14.83203125" customWidth="1"/>
    <col min="19" max="20" width="17" customWidth="1"/>
    <col min="21" max="21" width="18.33203125" customWidth="1"/>
    <col min="22" max="22" width="21.25" customWidth="1"/>
    <col min="23" max="23" width="3.08203125" customWidth="1"/>
    <col min="24" max="24" width="3.58203125" customWidth="1"/>
    <col min="26" max="26" width="13.83203125" bestFit="1" customWidth="1"/>
    <col min="27" max="28" width="12.25" bestFit="1" customWidth="1"/>
    <col min="30" max="30" width="11.5" style="35" bestFit="1" customWidth="1"/>
    <col min="31" max="31" width="12" customWidth="1"/>
    <col min="32" max="32" width="9.58203125" bestFit="1" customWidth="1"/>
    <col min="33" max="33" width="10.5" style="35" bestFit="1" customWidth="1"/>
    <col min="38" max="38" width="9" customWidth="1"/>
  </cols>
  <sheetData>
    <row r="1" spans="1:39" x14ac:dyDescent="0.45">
      <c r="C1" s="2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4"/>
    </row>
    <row r="2" spans="1:39" x14ac:dyDescent="0.45">
      <c r="C2" s="5"/>
      <c r="W2" s="6"/>
    </row>
    <row r="3" spans="1:39" ht="66.75" customHeight="1" x14ac:dyDescent="0.45">
      <c r="C3" s="5"/>
      <c r="D3" s="69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"/>
    </row>
    <row r="4" spans="1:39" x14ac:dyDescent="0.45">
      <c r="C4" s="7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9"/>
    </row>
    <row r="5" spans="1:39" x14ac:dyDescent="0.45">
      <c r="C5" s="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9"/>
    </row>
    <row r="6" spans="1:39" ht="17.5" x14ac:dyDescent="0.45">
      <c r="C6" s="7"/>
      <c r="D6" s="14" t="s">
        <v>7</v>
      </c>
      <c r="E6" s="15">
        <v>45750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9"/>
    </row>
    <row r="7" spans="1:39" ht="17.5" x14ac:dyDescent="0.45">
      <c r="C7" s="7"/>
      <c r="D7" s="14" t="s">
        <v>13</v>
      </c>
      <c r="E7" s="14" t="s">
        <v>31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9"/>
    </row>
    <row r="8" spans="1:39" x14ac:dyDescent="0.45">
      <c r="C8" s="7"/>
      <c r="D8" s="22"/>
      <c r="E8" s="22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9"/>
    </row>
    <row r="9" spans="1:39" x14ac:dyDescent="0.45">
      <c r="C9" s="7"/>
      <c r="D9" s="22"/>
      <c r="E9" s="22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9"/>
    </row>
    <row r="10" spans="1:39" x14ac:dyDescent="0.45">
      <c r="C10" s="7"/>
      <c r="D10" s="22"/>
      <c r="E10" s="22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9"/>
    </row>
    <row r="11" spans="1:39" ht="27" customHeight="1" x14ac:dyDescent="0.45">
      <c r="C11" s="7"/>
      <c r="D11" s="31" t="s">
        <v>14</v>
      </c>
      <c r="E11" s="31" t="s">
        <v>15</v>
      </c>
      <c r="F11" s="31" t="s">
        <v>16</v>
      </c>
      <c r="G11" s="31" t="s">
        <v>0</v>
      </c>
      <c r="H11" s="31" t="s">
        <v>17</v>
      </c>
      <c r="I11" s="31" t="s">
        <v>18</v>
      </c>
      <c r="J11" s="31" t="s">
        <v>19</v>
      </c>
      <c r="K11" s="70" t="s">
        <v>3</v>
      </c>
      <c r="L11" s="70"/>
      <c r="M11" s="32" t="s">
        <v>20</v>
      </c>
      <c r="N11" s="32" t="s">
        <v>2</v>
      </c>
      <c r="O11" s="32" t="s">
        <v>1</v>
      </c>
      <c r="P11" s="71" t="s">
        <v>3</v>
      </c>
      <c r="Q11" s="71"/>
      <c r="R11" s="33" t="s">
        <v>21</v>
      </c>
      <c r="S11" s="33" t="s">
        <v>22</v>
      </c>
      <c r="T11" s="33" t="s">
        <v>4</v>
      </c>
      <c r="U11" s="72" t="s">
        <v>6</v>
      </c>
      <c r="V11" s="72"/>
      <c r="W11" s="9"/>
      <c r="Z11">
        <v>1</v>
      </c>
      <c r="AA11">
        <v>2</v>
      </c>
      <c r="AB11">
        <v>3</v>
      </c>
      <c r="AC11">
        <v>4</v>
      </c>
      <c r="AD11" s="35">
        <v>5</v>
      </c>
      <c r="AE11">
        <v>6</v>
      </c>
      <c r="AF11">
        <v>7</v>
      </c>
      <c r="AG11" s="35">
        <v>8</v>
      </c>
      <c r="AH11">
        <v>9</v>
      </c>
      <c r="AI11">
        <v>10</v>
      </c>
      <c r="AJ11">
        <v>11</v>
      </c>
      <c r="AK11">
        <v>12</v>
      </c>
      <c r="AL11">
        <v>13</v>
      </c>
      <c r="AM11">
        <v>14</v>
      </c>
    </row>
    <row r="12" spans="1:39" ht="47.25" customHeight="1" x14ac:dyDescent="0.45">
      <c r="A12" s="26"/>
      <c r="C12" s="7"/>
      <c r="D12" s="37"/>
      <c r="E12" s="38"/>
      <c r="F12" s="51" t="s">
        <v>34</v>
      </c>
      <c r="G12" s="38" t="s">
        <v>34</v>
      </c>
      <c r="H12" s="39">
        <f>VLOOKUP(F12,$Z$12:$AM$27,5,0)</f>
        <v>4800000</v>
      </c>
      <c r="I12" s="40"/>
      <c r="J12" s="38" t="str">
        <f>VLOOKUP(F12,$Z$12:$AM$27,4,0)</f>
        <v>총(월간)</v>
      </c>
      <c r="K12" s="41">
        <f>VLOOKUP(F12,$Z$12:$AM$27,2,0)</f>
        <v>45748</v>
      </c>
      <c r="L12" s="41">
        <f>VLOOKUP(F12,$Z$12:$AM$27,3,0)</f>
        <v>46112</v>
      </c>
      <c r="M12" s="41" t="str">
        <f>VLOOKUP(F12,$Z$12:$AM$27,9,0)</f>
        <v>LENOVO</v>
      </c>
      <c r="N12" s="39">
        <f>VLOOKUP(F12,Z$12:AM$27,8,0)</f>
        <v>3600000</v>
      </c>
      <c r="O12" s="39" t="str">
        <f>VLOOKUP(F12,$Z$12:$AM$27,7,0)</f>
        <v>총(월간)</v>
      </c>
      <c r="P12" s="50">
        <f>VLOOKUP(F12,$Z$12:$AM$27,2,0)</f>
        <v>45748</v>
      </c>
      <c r="Q12" s="50">
        <f>VLOOKUP(F12,$Z$12:$AM$27,3,0)</f>
        <v>46112</v>
      </c>
      <c r="R12" s="42">
        <f t="shared" ref="R12" si="0">H12-N12</f>
        <v>1200000</v>
      </c>
      <c r="S12" s="43">
        <f>1-(N12/H12)</f>
        <v>0.25</v>
      </c>
      <c r="T12" s="38"/>
      <c r="U12" s="73"/>
      <c r="V12" s="73"/>
      <c r="W12" s="9"/>
      <c r="Z12" s="51" t="s">
        <v>34</v>
      </c>
      <c r="AA12" s="52">
        <v>45748</v>
      </c>
      <c r="AB12" s="52">
        <v>46112</v>
      </c>
      <c r="AC12" s="51" t="s">
        <v>32</v>
      </c>
      <c r="AD12" s="53">
        <v>4800000</v>
      </c>
      <c r="AE12" s="51" t="s">
        <v>34</v>
      </c>
      <c r="AF12" s="53" t="s">
        <v>32</v>
      </c>
      <c r="AG12" s="53">
        <v>3600000</v>
      </c>
      <c r="AH12" s="51" t="s">
        <v>35</v>
      </c>
      <c r="AI12" s="51" t="s">
        <v>36</v>
      </c>
      <c r="AJ12" s="23" t="s">
        <v>37</v>
      </c>
      <c r="AK12" s="66" t="s">
        <v>38</v>
      </c>
      <c r="AL12" s="51"/>
      <c r="AM12" s="55"/>
    </row>
    <row r="13" spans="1:39" ht="47.25" customHeight="1" x14ac:dyDescent="0.45">
      <c r="C13" s="5"/>
      <c r="D13" s="37"/>
      <c r="E13" s="38"/>
      <c r="F13" s="51"/>
      <c r="G13" s="38"/>
      <c r="H13" s="39"/>
      <c r="I13" s="40"/>
      <c r="J13" s="38"/>
      <c r="K13" s="41"/>
      <c r="L13" s="41"/>
      <c r="M13" s="41"/>
      <c r="N13" s="39"/>
      <c r="O13" s="39"/>
      <c r="P13" s="50"/>
      <c r="Q13" s="50"/>
      <c r="R13" s="42"/>
      <c r="S13" s="43"/>
      <c r="T13" s="38"/>
      <c r="U13" s="73"/>
      <c r="V13" s="73"/>
      <c r="W13" s="6"/>
      <c r="Z13" s="51"/>
      <c r="AA13" s="52"/>
      <c r="AB13" s="52"/>
      <c r="AC13" s="51"/>
      <c r="AD13" s="53"/>
      <c r="AE13" s="51"/>
      <c r="AF13" s="51"/>
      <c r="AG13" s="53"/>
      <c r="AH13" s="51"/>
      <c r="AI13" s="51"/>
      <c r="AJ13" s="51"/>
      <c r="AK13" s="54"/>
      <c r="AL13" s="51"/>
      <c r="AM13" s="55"/>
    </row>
    <row r="14" spans="1:39" ht="47.25" customHeight="1" x14ac:dyDescent="0.45">
      <c r="C14" s="7"/>
      <c r="D14" s="37"/>
      <c r="E14" s="38"/>
      <c r="F14" s="56"/>
      <c r="G14" s="38"/>
      <c r="H14" s="39"/>
      <c r="I14" s="40"/>
      <c r="J14" s="38"/>
      <c r="K14" s="41"/>
      <c r="L14" s="41"/>
      <c r="M14" s="41"/>
      <c r="N14" s="39"/>
      <c r="O14" s="39"/>
      <c r="P14" s="50"/>
      <c r="Q14" s="50"/>
      <c r="R14" s="42"/>
      <c r="S14" s="43"/>
      <c r="T14" s="38"/>
      <c r="U14" s="74"/>
      <c r="V14" s="74"/>
      <c r="W14" s="9"/>
      <c r="Z14" s="56"/>
      <c r="AA14" s="52"/>
      <c r="AB14" s="52"/>
      <c r="AC14" s="51"/>
      <c r="AD14" s="53"/>
      <c r="AE14" s="51"/>
      <c r="AF14" s="51"/>
      <c r="AG14" s="53"/>
      <c r="AH14" s="51"/>
      <c r="AI14" s="51"/>
      <c r="AJ14" s="51"/>
      <c r="AK14" s="54"/>
      <c r="AL14" s="51"/>
      <c r="AM14" s="51"/>
    </row>
    <row r="15" spans="1:39" ht="47.25" customHeight="1" x14ac:dyDescent="0.45">
      <c r="C15" s="5"/>
      <c r="D15" s="37"/>
      <c r="E15" s="37"/>
      <c r="F15" s="23"/>
      <c r="G15" s="38"/>
      <c r="H15" s="39"/>
      <c r="I15" s="40"/>
      <c r="J15" s="38"/>
      <c r="K15" s="41"/>
      <c r="L15" s="41"/>
      <c r="M15" s="41"/>
      <c r="N15" s="39"/>
      <c r="O15" s="39"/>
      <c r="P15" s="50"/>
      <c r="Q15" s="50"/>
      <c r="R15" s="42"/>
      <c r="S15" s="43"/>
      <c r="T15" s="38"/>
      <c r="U15" s="74"/>
      <c r="V15" s="74"/>
      <c r="W15" s="6"/>
      <c r="Z15" s="23"/>
      <c r="AA15" s="24"/>
      <c r="AB15" s="24"/>
      <c r="AC15" s="23"/>
      <c r="AD15" s="25"/>
      <c r="AE15" s="23"/>
      <c r="AF15" s="23"/>
      <c r="AG15" s="29"/>
      <c r="AH15" s="23"/>
      <c r="AI15" s="23"/>
      <c r="AJ15" s="23"/>
      <c r="AK15" s="27"/>
      <c r="AL15" s="23"/>
      <c r="AM15" s="28"/>
    </row>
    <row r="16" spans="1:39" ht="47.25" customHeight="1" x14ac:dyDescent="0.45">
      <c r="C16" s="7"/>
      <c r="D16" s="37"/>
      <c r="E16" s="37"/>
      <c r="F16" s="23"/>
      <c r="G16" s="38"/>
      <c r="H16" s="39"/>
      <c r="I16" s="40"/>
      <c r="J16" s="38"/>
      <c r="K16" s="41"/>
      <c r="L16" s="41"/>
      <c r="M16" s="41"/>
      <c r="N16" s="39"/>
      <c r="O16" s="39"/>
      <c r="P16" s="41"/>
      <c r="Q16" s="41"/>
      <c r="R16" s="42"/>
      <c r="S16" s="43"/>
      <c r="T16" s="38"/>
      <c r="U16" s="75"/>
      <c r="V16" s="74"/>
      <c r="W16" s="9"/>
      <c r="Z16" s="23"/>
      <c r="AA16" s="24"/>
      <c r="AB16" s="24"/>
      <c r="AC16" s="23"/>
      <c r="AD16" s="25"/>
      <c r="AE16" s="23"/>
      <c r="AF16" s="23"/>
      <c r="AG16" s="29"/>
      <c r="AH16" s="23"/>
      <c r="AI16" s="23"/>
      <c r="AJ16" s="23"/>
      <c r="AK16" s="27"/>
      <c r="AL16" s="23"/>
      <c r="AM16" s="28"/>
    </row>
    <row r="17" spans="3:39" ht="47.25" customHeight="1" x14ac:dyDescent="0.45">
      <c r="C17" s="5"/>
      <c r="D17" s="37"/>
      <c r="E17" s="37"/>
      <c r="F17" s="37"/>
      <c r="G17" s="37"/>
      <c r="H17" s="45"/>
      <c r="I17" s="46"/>
      <c r="J17" s="37"/>
      <c r="K17" s="47"/>
      <c r="L17" s="47"/>
      <c r="M17" s="47"/>
      <c r="N17" s="45"/>
      <c r="O17" s="45"/>
      <c r="P17" s="47"/>
      <c r="Q17" s="47"/>
      <c r="R17" s="48"/>
      <c r="S17" s="49"/>
      <c r="T17" s="38"/>
      <c r="U17" s="74"/>
      <c r="V17" s="74"/>
      <c r="W17" s="6"/>
      <c r="Z17" s="23"/>
      <c r="AA17" s="24"/>
      <c r="AB17" s="24"/>
      <c r="AC17" s="23"/>
      <c r="AD17" s="25"/>
      <c r="AE17" s="29"/>
      <c r="AF17" s="23"/>
      <c r="AG17" s="25"/>
      <c r="AH17" s="23"/>
      <c r="AI17" s="23"/>
      <c r="AJ17" s="23"/>
      <c r="AK17" s="30"/>
      <c r="AL17" s="23"/>
      <c r="AM17" s="28"/>
    </row>
    <row r="18" spans="3:39" ht="47.25" customHeight="1" x14ac:dyDescent="0.45">
      <c r="C18" s="7"/>
      <c r="D18" s="37"/>
      <c r="E18" s="37"/>
      <c r="F18" s="37"/>
      <c r="G18" s="37"/>
      <c r="H18" s="45"/>
      <c r="I18" s="46"/>
      <c r="J18" s="37"/>
      <c r="K18" s="47"/>
      <c r="L18" s="47"/>
      <c r="M18" s="47"/>
      <c r="N18" s="45"/>
      <c r="O18" s="45"/>
      <c r="P18" s="47"/>
      <c r="Q18" s="47"/>
      <c r="R18" s="48"/>
      <c r="S18" s="49"/>
      <c r="T18" s="38"/>
      <c r="U18" s="74"/>
      <c r="V18" s="74"/>
      <c r="W18" s="9"/>
      <c r="Z18" s="23"/>
      <c r="AA18" s="24"/>
      <c r="AB18" s="24"/>
      <c r="AC18" s="23"/>
      <c r="AD18" s="25"/>
      <c r="AE18" s="29"/>
      <c r="AF18" s="23"/>
      <c r="AG18" s="25"/>
      <c r="AH18" s="23"/>
      <c r="AI18" s="23"/>
      <c r="AJ18" s="23"/>
      <c r="AK18" s="30"/>
      <c r="AL18" s="23"/>
      <c r="AM18" s="28"/>
    </row>
    <row r="19" spans="3:39" ht="47.25" customHeight="1" x14ac:dyDescent="0.45">
      <c r="C19" s="5"/>
      <c r="D19" s="37"/>
      <c r="E19" s="37"/>
      <c r="F19" s="37"/>
      <c r="G19" s="37"/>
      <c r="H19" s="45"/>
      <c r="I19" s="46"/>
      <c r="J19" s="37"/>
      <c r="K19" s="47"/>
      <c r="L19" s="47"/>
      <c r="M19" s="47"/>
      <c r="N19" s="45"/>
      <c r="O19" s="45"/>
      <c r="P19" s="47"/>
      <c r="Q19" s="47"/>
      <c r="R19" s="48"/>
      <c r="S19" s="49"/>
      <c r="T19" s="38"/>
      <c r="U19" s="74"/>
      <c r="V19" s="74"/>
      <c r="W19" s="6"/>
      <c r="Z19" s="23"/>
      <c r="AA19" s="24"/>
      <c r="AB19" s="24"/>
      <c r="AC19" s="23"/>
      <c r="AD19" s="25"/>
      <c r="AE19" s="29"/>
      <c r="AF19" s="23"/>
      <c r="AG19" s="25"/>
      <c r="AH19" s="23"/>
      <c r="AI19" s="23"/>
      <c r="AJ19" s="23"/>
      <c r="AK19" s="30"/>
      <c r="AL19" s="23"/>
      <c r="AM19" s="28"/>
    </row>
    <row r="20" spans="3:39" ht="47.25" customHeight="1" x14ac:dyDescent="0.45">
      <c r="C20" s="5"/>
      <c r="D20" s="37"/>
      <c r="E20" s="37"/>
      <c r="F20" s="37"/>
      <c r="G20" s="37"/>
      <c r="H20" s="45"/>
      <c r="I20" s="46"/>
      <c r="J20" s="37"/>
      <c r="K20" s="47"/>
      <c r="L20" s="47"/>
      <c r="M20" s="47"/>
      <c r="N20" s="45"/>
      <c r="O20" s="45"/>
      <c r="P20" s="47"/>
      <c r="Q20" s="47"/>
      <c r="R20" s="48"/>
      <c r="S20" s="49"/>
      <c r="T20" s="38"/>
      <c r="U20" s="74"/>
      <c r="V20" s="74"/>
      <c r="W20" s="6"/>
      <c r="Z20" s="23"/>
      <c r="AA20" s="24"/>
      <c r="AB20" s="24"/>
      <c r="AC20" s="23"/>
      <c r="AD20" s="25"/>
      <c r="AE20" s="23"/>
      <c r="AF20" s="23"/>
      <c r="AG20" s="25"/>
      <c r="AH20" s="23"/>
      <c r="AI20" s="23"/>
      <c r="AJ20" s="23"/>
      <c r="AK20" s="23"/>
      <c r="AL20" s="23"/>
      <c r="AM20" s="23"/>
    </row>
    <row r="21" spans="3:39" ht="47.25" customHeight="1" x14ac:dyDescent="0.45">
      <c r="C21" s="5"/>
      <c r="D21" s="37"/>
      <c r="E21" s="37"/>
      <c r="F21" s="37"/>
      <c r="G21" s="37"/>
      <c r="H21" s="45"/>
      <c r="I21" s="46"/>
      <c r="J21" s="37"/>
      <c r="K21" s="47"/>
      <c r="L21" s="47"/>
      <c r="M21" s="47"/>
      <c r="N21" s="45"/>
      <c r="O21" s="45"/>
      <c r="P21" s="47"/>
      <c r="Q21" s="47"/>
      <c r="R21" s="37"/>
      <c r="S21" s="37"/>
      <c r="T21" s="38"/>
      <c r="U21" s="74"/>
      <c r="V21" s="74"/>
      <c r="W21" s="6"/>
      <c r="Z21" s="34"/>
      <c r="AA21" s="34"/>
      <c r="AB21" s="34"/>
      <c r="AC21" s="34"/>
      <c r="AD21" s="36"/>
      <c r="AE21" s="34"/>
      <c r="AF21" s="34"/>
      <c r="AG21" s="36"/>
      <c r="AH21" s="34"/>
      <c r="AI21" s="34"/>
      <c r="AJ21" s="34"/>
      <c r="AK21" s="34"/>
      <c r="AL21" s="34"/>
      <c r="AM21" s="34"/>
    </row>
    <row r="22" spans="3:39" ht="47.25" customHeight="1" x14ac:dyDescent="0.45">
      <c r="C22" s="5"/>
      <c r="D22" s="37"/>
      <c r="E22" s="37"/>
      <c r="F22" s="37"/>
      <c r="G22" s="37"/>
      <c r="H22" s="45"/>
      <c r="I22" s="46"/>
      <c r="J22" s="37"/>
      <c r="K22" s="47"/>
      <c r="L22" s="47"/>
      <c r="M22" s="47"/>
      <c r="N22" s="45"/>
      <c r="O22" s="45"/>
      <c r="P22" s="47"/>
      <c r="Q22" s="47"/>
      <c r="R22" s="37"/>
      <c r="S22" s="37"/>
      <c r="T22" s="38"/>
      <c r="U22" s="74"/>
      <c r="V22" s="74"/>
      <c r="W22" s="6"/>
      <c r="Z22" s="34"/>
      <c r="AA22" s="34"/>
      <c r="AB22" s="34"/>
      <c r="AC22" s="34"/>
      <c r="AD22" s="36"/>
      <c r="AE22" s="34"/>
      <c r="AF22" s="34"/>
      <c r="AG22" s="36"/>
      <c r="AH22" s="34"/>
      <c r="AI22" s="34"/>
      <c r="AJ22" s="34"/>
      <c r="AK22" s="34"/>
      <c r="AL22" s="34"/>
      <c r="AM22" s="34"/>
    </row>
    <row r="23" spans="3:39" ht="47.25" customHeight="1" x14ac:dyDescent="0.45">
      <c r="C23" s="5"/>
      <c r="D23" s="37"/>
      <c r="E23" s="37"/>
      <c r="F23" s="37"/>
      <c r="G23" s="37"/>
      <c r="H23" s="45"/>
      <c r="I23" s="46"/>
      <c r="J23" s="37"/>
      <c r="K23" s="47"/>
      <c r="L23" s="47"/>
      <c r="M23" s="47"/>
      <c r="N23" s="45"/>
      <c r="O23" s="45"/>
      <c r="P23" s="47"/>
      <c r="Q23" s="47"/>
      <c r="R23" s="44"/>
      <c r="S23" s="37"/>
      <c r="T23" s="38"/>
      <c r="U23" s="74"/>
      <c r="V23" s="74"/>
      <c r="W23" s="6"/>
      <c r="Z23" s="34"/>
      <c r="AA23" s="34"/>
      <c r="AB23" s="34"/>
      <c r="AC23" s="34"/>
      <c r="AD23" s="36"/>
      <c r="AE23" s="34"/>
      <c r="AF23" s="34"/>
      <c r="AG23" s="36"/>
      <c r="AH23" s="34"/>
      <c r="AI23" s="34"/>
      <c r="AJ23" s="34"/>
      <c r="AK23" s="34"/>
      <c r="AL23" s="34"/>
      <c r="AM23" s="34"/>
    </row>
    <row r="24" spans="3:39" ht="47.25" customHeight="1" x14ac:dyDescent="0.45">
      <c r="C24" s="5"/>
      <c r="D24" s="37"/>
      <c r="E24" s="37"/>
      <c r="F24" s="37"/>
      <c r="G24" s="37"/>
      <c r="H24" s="45"/>
      <c r="I24" s="46"/>
      <c r="J24" s="37"/>
      <c r="K24" s="47"/>
      <c r="L24" s="47"/>
      <c r="M24" s="47"/>
      <c r="N24" s="45"/>
      <c r="O24" s="45"/>
      <c r="P24" s="47"/>
      <c r="Q24" s="47"/>
      <c r="R24" s="44"/>
      <c r="S24" s="37"/>
      <c r="T24" s="38"/>
      <c r="U24" s="74"/>
      <c r="V24" s="74"/>
      <c r="W24" s="6"/>
      <c r="Z24" s="34"/>
      <c r="AA24" s="34"/>
      <c r="AB24" s="34"/>
      <c r="AC24" s="34"/>
      <c r="AD24" s="36"/>
      <c r="AE24" s="34"/>
      <c r="AF24" s="34"/>
      <c r="AG24" s="36"/>
      <c r="AH24" s="34"/>
      <c r="AI24" s="34"/>
      <c r="AJ24" s="34"/>
      <c r="AK24" s="34"/>
      <c r="AL24" s="34"/>
      <c r="AM24" s="34"/>
    </row>
    <row r="25" spans="3:39" ht="47.25" customHeight="1" x14ac:dyDescent="0.45">
      <c r="C25" s="5"/>
      <c r="D25" s="37"/>
      <c r="E25" s="37"/>
      <c r="F25" s="37"/>
      <c r="G25" s="37"/>
      <c r="H25" s="45"/>
      <c r="I25" s="46"/>
      <c r="J25" s="37"/>
      <c r="K25" s="47"/>
      <c r="L25" s="47"/>
      <c r="M25" s="47"/>
      <c r="N25" s="45"/>
      <c r="O25" s="45"/>
      <c r="P25" s="47"/>
      <c r="Q25" s="47"/>
      <c r="R25" s="37"/>
      <c r="S25" s="37"/>
      <c r="T25" s="38"/>
      <c r="U25" s="74"/>
      <c r="V25" s="74"/>
      <c r="W25" s="6"/>
      <c r="Z25" s="34"/>
      <c r="AA25" s="34"/>
      <c r="AB25" s="34"/>
      <c r="AC25" s="34"/>
      <c r="AD25" s="36"/>
      <c r="AE25" s="34"/>
      <c r="AF25" s="34"/>
      <c r="AG25" s="36"/>
      <c r="AH25" s="34"/>
      <c r="AI25" s="34"/>
      <c r="AJ25" s="34"/>
      <c r="AK25" s="34"/>
      <c r="AL25" s="34"/>
      <c r="AM25" s="34"/>
    </row>
    <row r="26" spans="3:39" ht="47.25" customHeight="1" x14ac:dyDescent="0.45">
      <c r="C26" s="5"/>
      <c r="D26" s="37"/>
      <c r="E26" s="37"/>
      <c r="F26" s="37"/>
      <c r="G26" s="37"/>
      <c r="H26" s="45"/>
      <c r="I26" s="46"/>
      <c r="J26" s="37"/>
      <c r="K26" s="47"/>
      <c r="L26" s="47"/>
      <c r="M26" s="47"/>
      <c r="N26" s="45"/>
      <c r="O26" s="45"/>
      <c r="P26" s="47"/>
      <c r="Q26" s="47"/>
      <c r="R26" s="44"/>
      <c r="S26" s="37"/>
      <c r="T26" s="38"/>
      <c r="U26" s="74"/>
      <c r="V26" s="74"/>
      <c r="W26" s="6"/>
      <c r="Z26" s="34"/>
      <c r="AA26" s="34"/>
      <c r="AB26" s="34"/>
      <c r="AC26" s="34"/>
      <c r="AD26" s="36"/>
      <c r="AE26" s="34"/>
      <c r="AF26" s="34"/>
      <c r="AG26" s="36"/>
      <c r="AH26" s="34"/>
      <c r="AI26" s="34"/>
      <c r="AJ26" s="34"/>
      <c r="AK26" s="34"/>
      <c r="AL26" s="34"/>
      <c r="AM26" s="34"/>
    </row>
    <row r="27" spans="3:39" ht="47.25" customHeight="1" x14ac:dyDescent="0.45">
      <c r="C27" s="5"/>
      <c r="D27" s="37"/>
      <c r="E27" s="37"/>
      <c r="F27" s="37"/>
      <c r="G27" s="37"/>
      <c r="H27" s="45"/>
      <c r="I27" s="46"/>
      <c r="J27" s="37"/>
      <c r="K27" s="47"/>
      <c r="L27" s="47"/>
      <c r="M27" s="47"/>
      <c r="N27" s="45"/>
      <c r="O27" s="45"/>
      <c r="P27" s="47"/>
      <c r="Q27" s="47"/>
      <c r="R27" s="37"/>
      <c r="S27" s="37"/>
      <c r="T27" s="38"/>
      <c r="U27" s="74"/>
      <c r="V27" s="74"/>
      <c r="W27" s="6"/>
      <c r="Z27" s="34"/>
      <c r="AA27" s="34"/>
      <c r="AB27" s="34"/>
      <c r="AC27" s="34"/>
      <c r="AD27" s="36"/>
      <c r="AE27" s="34"/>
      <c r="AF27" s="34"/>
      <c r="AG27" s="36"/>
      <c r="AH27" s="34"/>
      <c r="AI27" s="34"/>
      <c r="AJ27" s="34"/>
      <c r="AK27" s="34"/>
      <c r="AL27" s="34"/>
      <c r="AM27" s="34"/>
    </row>
    <row r="28" spans="3:39" ht="29.25" customHeight="1" thickBot="1" x14ac:dyDescent="0.5">
      <c r="C28" s="10"/>
      <c r="D28" s="11"/>
      <c r="E28" s="11"/>
      <c r="F28" s="11"/>
      <c r="G28" s="11"/>
      <c r="H28" s="12"/>
      <c r="I28" s="12"/>
      <c r="J28" s="11"/>
      <c r="K28" s="11"/>
      <c r="L28" s="11"/>
      <c r="M28" s="11"/>
      <c r="N28" s="12"/>
      <c r="O28" s="11"/>
      <c r="P28" s="11"/>
      <c r="Q28" s="11"/>
      <c r="R28" s="11"/>
      <c r="S28" s="11"/>
      <c r="T28" s="11"/>
      <c r="U28" s="11"/>
      <c r="V28" s="11"/>
      <c r="W28" s="13"/>
    </row>
    <row r="29" spans="3:39" ht="17.5" thickBot="1" x14ac:dyDescent="0.5"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3:39" ht="43.5" customHeight="1" x14ac:dyDescent="0.45">
      <c r="Q30" s="16"/>
      <c r="R30" s="17" t="s">
        <v>8</v>
      </c>
      <c r="S30" s="17" t="s">
        <v>9</v>
      </c>
      <c r="T30" s="17" t="s">
        <v>10</v>
      </c>
      <c r="U30" s="18" t="s">
        <v>11</v>
      </c>
    </row>
    <row r="31" spans="3:39" ht="75" customHeight="1" thickBot="1" x14ac:dyDescent="0.5">
      <c r="Q31" s="19" t="s">
        <v>12</v>
      </c>
      <c r="R31" s="20"/>
      <c r="S31" s="20"/>
      <c r="T31" s="20"/>
      <c r="U31" s="21"/>
    </row>
    <row r="32" spans="3:39" x14ac:dyDescent="0.45"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</sheetData>
  <mergeCells count="20">
    <mergeCell ref="U27:V27"/>
    <mergeCell ref="U15:V15"/>
    <mergeCell ref="U21:V21"/>
    <mergeCell ref="U25:V25"/>
    <mergeCell ref="U13:V13"/>
    <mergeCell ref="U20:V20"/>
    <mergeCell ref="U26:V26"/>
    <mergeCell ref="U14:V14"/>
    <mergeCell ref="U16:V16"/>
    <mergeCell ref="U18:V18"/>
    <mergeCell ref="U17:V17"/>
    <mergeCell ref="U19:V19"/>
    <mergeCell ref="U22:V22"/>
    <mergeCell ref="U24:V24"/>
    <mergeCell ref="U23:V23"/>
    <mergeCell ref="D3:V3"/>
    <mergeCell ref="K11:L11"/>
    <mergeCell ref="P11:Q11"/>
    <mergeCell ref="U11:V11"/>
    <mergeCell ref="U12:V12"/>
  </mergeCells>
  <phoneticPr fontId="14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42" fitToWidth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843D5-EE6B-4339-8DD8-BAAB1E54971D}">
  <dimension ref="A3:AM65"/>
  <sheetViews>
    <sheetView tabSelected="1" topLeftCell="Q1" workbookViewId="0">
      <selection activeCell="Z5" sqref="Z5"/>
    </sheetView>
  </sheetViews>
  <sheetFormatPr defaultRowHeight="17" x14ac:dyDescent="0.45"/>
  <cols>
    <col min="1" max="1" width="11.33203125" bestFit="1" customWidth="1"/>
    <col min="2" max="3" width="9.75" bestFit="1" customWidth="1"/>
    <col min="4" max="4" width="8.33203125" bestFit="1" customWidth="1"/>
    <col min="5" max="5" width="9.58203125" bestFit="1" customWidth="1"/>
    <col min="6" max="6" width="15.5" bestFit="1" customWidth="1"/>
    <col min="7" max="7" width="7" bestFit="1" customWidth="1"/>
    <col min="8" max="8" width="10.5" bestFit="1" customWidth="1"/>
    <col min="9" max="9" width="7.33203125" bestFit="1" customWidth="1"/>
    <col min="10" max="10" width="9.5" bestFit="1" customWidth="1"/>
    <col min="11" max="11" width="23.75" bestFit="1" customWidth="1"/>
    <col min="12" max="12" width="29.08203125" bestFit="1" customWidth="1"/>
    <col min="13" max="13" width="32.58203125" bestFit="1" customWidth="1"/>
    <col min="14" max="14" width="5.83203125" bestFit="1" customWidth="1"/>
    <col min="20" max="20" width="12.25" bestFit="1" customWidth="1"/>
    <col min="21" max="21" width="7.75" bestFit="1" customWidth="1"/>
    <col min="22" max="22" width="11" customWidth="1"/>
    <col min="23" max="23" width="7.83203125" bestFit="1" customWidth="1"/>
    <col min="24" max="25" width="9.75" bestFit="1" customWidth="1"/>
    <col min="26" max="26" width="30.08203125" bestFit="1" customWidth="1"/>
    <col min="27" max="27" width="9.08203125" customWidth="1"/>
  </cols>
  <sheetData>
    <row r="3" spans="1:26" s="34" customFormat="1" ht="14.5" x14ac:dyDescent="0.45">
      <c r="E3" s="58"/>
    </row>
    <row r="4" spans="1:26" s="34" customFormat="1" x14ac:dyDescent="0.45">
      <c r="A4" s="23" t="s">
        <v>39</v>
      </c>
      <c r="B4" s="24">
        <v>45748</v>
      </c>
      <c r="C4" s="24">
        <v>46112</v>
      </c>
      <c r="D4" s="23" t="s">
        <v>28</v>
      </c>
      <c r="E4" s="59">
        <v>4800000</v>
      </c>
      <c r="F4" s="23" t="s">
        <v>39</v>
      </c>
      <c r="G4" s="23" t="s">
        <v>32</v>
      </c>
      <c r="H4" s="59">
        <v>3600000</v>
      </c>
      <c r="I4" s="23" t="s">
        <v>40</v>
      </c>
      <c r="J4" s="23" t="s">
        <v>41</v>
      </c>
      <c r="K4" s="23" t="s">
        <v>37</v>
      </c>
      <c r="L4" s="66" t="s">
        <v>38</v>
      </c>
      <c r="M4" s="23" t="s">
        <v>42</v>
      </c>
      <c r="N4" s="23"/>
      <c r="T4" s="67" t="s">
        <v>29</v>
      </c>
      <c r="U4" s="67" t="s">
        <v>23</v>
      </c>
      <c r="V4" s="67" t="s">
        <v>24</v>
      </c>
      <c r="W4" s="67" t="s">
        <v>30</v>
      </c>
      <c r="X4" s="67" t="s">
        <v>25</v>
      </c>
      <c r="Y4" s="67" t="s">
        <v>26</v>
      </c>
      <c r="Z4" s="67" t="s">
        <v>27</v>
      </c>
    </row>
    <row r="5" spans="1:26" s="34" customFormat="1" ht="14.5" x14ac:dyDescent="0.45">
      <c r="D5" s="36"/>
      <c r="E5" s="36">
        <v>400000</v>
      </c>
      <c r="F5" s="60"/>
      <c r="H5" s="36">
        <v>300000</v>
      </c>
      <c r="L5" s="61"/>
      <c r="O5" s="62"/>
      <c r="T5" s="23" t="s">
        <v>34</v>
      </c>
      <c r="U5" s="23" t="s">
        <v>43</v>
      </c>
      <c r="V5" s="23" t="s">
        <v>44</v>
      </c>
      <c r="W5" s="23" t="s">
        <v>45</v>
      </c>
      <c r="X5" s="24">
        <v>45748</v>
      </c>
      <c r="Y5" s="24">
        <v>46112</v>
      </c>
      <c r="Z5" s="23" t="s">
        <v>33</v>
      </c>
    </row>
    <row r="6" spans="1:26" s="34" customFormat="1" ht="14.5" x14ac:dyDescent="0.45">
      <c r="D6" s="36"/>
      <c r="E6" s="36"/>
      <c r="F6" s="60"/>
      <c r="H6" s="36"/>
      <c r="X6" s="68"/>
      <c r="Y6" s="68"/>
    </row>
    <row r="7" spans="1:26" s="34" customFormat="1" ht="14.5" x14ac:dyDescent="0.45">
      <c r="D7" s="36"/>
      <c r="E7" s="36"/>
      <c r="F7" s="60"/>
      <c r="H7" s="36"/>
      <c r="X7" s="68"/>
      <c r="Y7" s="68"/>
    </row>
    <row r="8" spans="1:26" s="34" customFormat="1" ht="14.5" x14ac:dyDescent="0.45">
      <c r="D8" s="36"/>
      <c r="E8" s="36"/>
      <c r="F8" s="60"/>
      <c r="H8" s="36"/>
      <c r="X8" s="68"/>
      <c r="Y8" s="68"/>
    </row>
    <row r="9" spans="1:26" s="34" customFormat="1" ht="14.5" x14ac:dyDescent="0.45">
      <c r="E9" s="36"/>
      <c r="F9" s="60"/>
      <c r="H9" s="36"/>
      <c r="X9" s="68"/>
      <c r="Y9" s="68"/>
    </row>
    <row r="10" spans="1:26" s="34" customFormat="1" ht="14.5" x14ac:dyDescent="0.45">
      <c r="E10" s="36"/>
      <c r="F10" s="60"/>
      <c r="H10" s="36"/>
      <c r="X10" s="68"/>
      <c r="Y10" s="68"/>
    </row>
    <row r="11" spans="1:26" s="34" customFormat="1" ht="14.5" x14ac:dyDescent="0.45">
      <c r="E11" s="36"/>
      <c r="F11" s="60"/>
      <c r="H11" s="36"/>
      <c r="X11" s="68"/>
      <c r="Y11" s="68"/>
    </row>
    <row r="12" spans="1:26" s="34" customFormat="1" ht="14.5" x14ac:dyDescent="0.45">
      <c r="E12" s="36"/>
      <c r="F12" s="60"/>
      <c r="H12" s="36"/>
      <c r="X12" s="68"/>
      <c r="Y12" s="68"/>
    </row>
    <row r="13" spans="1:26" s="34" customFormat="1" ht="14.5" x14ac:dyDescent="0.45">
      <c r="E13" s="36"/>
      <c r="F13" s="60"/>
      <c r="H13" s="36"/>
      <c r="X13" s="68"/>
      <c r="Y13" s="68"/>
    </row>
    <row r="14" spans="1:26" s="34" customFormat="1" ht="14.5" x14ac:dyDescent="0.45">
      <c r="E14" s="36"/>
      <c r="F14" s="60"/>
      <c r="H14" s="36"/>
    </row>
    <row r="15" spans="1:26" s="34" customFormat="1" ht="14.5" x14ac:dyDescent="0.45">
      <c r="E15" s="36"/>
      <c r="F15" s="60"/>
      <c r="H15" s="36"/>
    </row>
    <row r="16" spans="1:26" s="34" customFormat="1" ht="14.5" x14ac:dyDescent="0.45">
      <c r="E16" s="36"/>
      <c r="F16" s="60"/>
      <c r="H16" s="36"/>
    </row>
    <row r="17" spans="5:39" s="34" customFormat="1" ht="14.5" x14ac:dyDescent="0.45">
      <c r="E17" s="36"/>
      <c r="F17" s="60"/>
      <c r="H17" s="36"/>
    </row>
    <row r="18" spans="5:39" s="34" customFormat="1" ht="14.5" x14ac:dyDescent="0.45">
      <c r="E18" s="36"/>
      <c r="F18" s="60"/>
      <c r="H18" s="36"/>
    </row>
    <row r="19" spans="5:39" s="34" customFormat="1" ht="14.5" x14ac:dyDescent="0.45">
      <c r="E19" s="36"/>
      <c r="F19" s="60"/>
      <c r="H19" s="36"/>
    </row>
    <row r="20" spans="5:39" s="34" customFormat="1" ht="14.5" x14ac:dyDescent="0.45">
      <c r="E20" s="36"/>
      <c r="F20" s="60"/>
      <c r="H20" s="36"/>
    </row>
    <row r="21" spans="5:39" s="34" customFormat="1" ht="14.5" x14ac:dyDescent="0.45">
      <c r="E21" s="36"/>
      <c r="F21" s="60"/>
      <c r="H21" s="36"/>
    </row>
    <row r="22" spans="5:39" s="34" customFormat="1" ht="14.5" x14ac:dyDescent="0.45">
      <c r="E22" s="36"/>
      <c r="F22" s="60"/>
      <c r="H22" s="36"/>
    </row>
    <row r="23" spans="5:39" s="34" customFormat="1" ht="14.5" x14ac:dyDescent="0.45"/>
    <row r="24" spans="5:39" s="34" customFormat="1" ht="14.5" x14ac:dyDescent="0.45">
      <c r="O24" s="57"/>
      <c r="P24" s="57"/>
      <c r="Q24" s="57"/>
      <c r="R24" s="57"/>
    </row>
    <row r="25" spans="5:39" s="34" customFormat="1" ht="14.5" x14ac:dyDescent="0.45"/>
    <row r="26" spans="5:39" s="34" customFormat="1" ht="14.5" x14ac:dyDescent="0.45">
      <c r="O26" s="57"/>
      <c r="P26" s="57"/>
      <c r="Q26" s="57"/>
      <c r="R26" s="57"/>
      <c r="AL26" s="63"/>
      <c r="AM26" s="63"/>
    </row>
    <row r="27" spans="5:39" s="34" customFormat="1" ht="14.5" x14ac:dyDescent="0.45">
      <c r="AL27" s="63"/>
      <c r="AM27" s="63"/>
    </row>
    <row r="28" spans="5:39" s="34" customFormat="1" ht="14.5" x14ac:dyDescent="0.45">
      <c r="O28" s="57"/>
      <c r="P28" s="57"/>
      <c r="Q28" s="57"/>
      <c r="R28" s="57"/>
      <c r="AL28" s="63"/>
      <c r="AM28" s="63"/>
    </row>
    <row r="29" spans="5:39" s="34" customFormat="1" ht="14.5" x14ac:dyDescent="0.45">
      <c r="AL29" s="63"/>
      <c r="AM29" s="63"/>
    </row>
    <row r="30" spans="5:39" s="34" customFormat="1" ht="14.5" x14ac:dyDescent="0.45">
      <c r="O30" s="57"/>
      <c r="P30" s="57"/>
      <c r="Q30" s="57"/>
      <c r="R30" s="57"/>
      <c r="AL30" s="63"/>
      <c r="AM30" s="63"/>
    </row>
    <row r="31" spans="5:39" s="34" customFormat="1" ht="14.5" x14ac:dyDescent="0.45">
      <c r="AL31" s="63"/>
      <c r="AM31" s="63"/>
    </row>
    <row r="32" spans="5:39" s="34" customFormat="1" ht="14.5" x14ac:dyDescent="0.45">
      <c r="O32" s="57"/>
      <c r="P32" s="57"/>
      <c r="Q32" s="57"/>
      <c r="R32" s="57"/>
      <c r="AL32" s="63"/>
      <c r="AM32" s="63"/>
    </row>
    <row r="33" spans="15:39" s="34" customFormat="1" ht="14.5" x14ac:dyDescent="0.45">
      <c r="AL33" s="63"/>
      <c r="AM33" s="63"/>
    </row>
    <row r="34" spans="15:39" s="34" customFormat="1" ht="14.5" x14ac:dyDescent="0.45">
      <c r="O34" s="57"/>
      <c r="P34" s="57"/>
      <c r="Q34" s="57"/>
      <c r="R34" s="57"/>
      <c r="AL34" s="63"/>
      <c r="AM34" s="63"/>
    </row>
    <row r="35" spans="15:39" s="34" customFormat="1" ht="14.5" x14ac:dyDescent="0.45">
      <c r="AL35" s="63"/>
      <c r="AM35" s="63"/>
    </row>
    <row r="36" spans="15:39" s="34" customFormat="1" ht="14.5" x14ac:dyDescent="0.45">
      <c r="O36" s="57"/>
      <c r="P36" s="57"/>
      <c r="Q36" s="57"/>
      <c r="R36" s="57"/>
      <c r="AL36" s="63"/>
      <c r="AM36" s="63"/>
    </row>
    <row r="37" spans="15:39" s="34" customFormat="1" ht="14.5" x14ac:dyDescent="0.45">
      <c r="AL37" s="63"/>
      <c r="AM37" s="63"/>
    </row>
    <row r="38" spans="15:39" s="34" customFormat="1" ht="16" x14ac:dyDescent="0.45">
      <c r="O38" s="57"/>
      <c r="P38" s="57"/>
      <c r="Q38" s="57"/>
      <c r="R38" s="57"/>
      <c r="AL38" s="64"/>
      <c r="AM38" s="63"/>
    </row>
    <row r="39" spans="15:39" s="34" customFormat="1" ht="16" x14ac:dyDescent="0.45">
      <c r="AL39" s="64"/>
      <c r="AM39" s="63"/>
    </row>
    <row r="40" spans="15:39" s="34" customFormat="1" ht="16" x14ac:dyDescent="0.45">
      <c r="O40" s="57"/>
      <c r="P40" s="57"/>
      <c r="Q40" s="57"/>
      <c r="R40" s="57"/>
      <c r="AL40" s="64"/>
      <c r="AM40" s="63"/>
    </row>
    <row r="41" spans="15:39" s="34" customFormat="1" ht="16" x14ac:dyDescent="0.45">
      <c r="AH41" s="65"/>
      <c r="AL41" s="64"/>
      <c r="AM41" s="63"/>
    </row>
    <row r="42" spans="15:39" s="34" customFormat="1" ht="16" x14ac:dyDescent="0.45">
      <c r="O42" s="57"/>
      <c r="P42" s="57"/>
      <c r="Q42" s="57"/>
      <c r="R42" s="57"/>
      <c r="AL42" s="64"/>
      <c r="AM42" s="63"/>
    </row>
    <row r="43" spans="15:39" s="34" customFormat="1" ht="16" x14ac:dyDescent="0.45">
      <c r="AL43" s="64"/>
      <c r="AM43" s="63"/>
    </row>
    <row r="44" spans="15:39" s="34" customFormat="1" ht="16" x14ac:dyDescent="0.45">
      <c r="O44" s="57"/>
      <c r="P44" s="57"/>
      <c r="Q44" s="57"/>
      <c r="R44" s="57"/>
      <c r="AL44" s="64"/>
      <c r="AM44" s="63"/>
    </row>
    <row r="45" spans="15:39" s="34" customFormat="1" ht="16" x14ac:dyDescent="0.45">
      <c r="AL45" s="64"/>
      <c r="AM45" s="63"/>
    </row>
    <row r="46" spans="15:39" s="34" customFormat="1" ht="16" x14ac:dyDescent="0.45">
      <c r="O46" s="57"/>
      <c r="P46" s="57"/>
      <c r="Q46" s="57"/>
      <c r="R46" s="57"/>
      <c r="AL46" s="64"/>
      <c r="AM46" s="63"/>
    </row>
    <row r="47" spans="15:39" s="34" customFormat="1" ht="16" x14ac:dyDescent="0.45">
      <c r="AL47" s="64"/>
      <c r="AM47" s="63"/>
    </row>
    <row r="48" spans="15:39" s="34" customFormat="1" ht="16" x14ac:dyDescent="0.45">
      <c r="O48" s="57"/>
      <c r="P48" s="57"/>
      <c r="Q48" s="57"/>
      <c r="R48" s="57"/>
      <c r="AL48" s="64"/>
      <c r="AM48" s="63"/>
    </row>
    <row r="49" spans="1:39" s="34" customFormat="1" ht="14.5" x14ac:dyDescent="0.45">
      <c r="AL49" s="63"/>
      <c r="AM49" s="63"/>
    </row>
    <row r="50" spans="1:39" s="34" customFormat="1" ht="14.5" x14ac:dyDescent="0.45">
      <c r="O50" s="57"/>
      <c r="P50" s="57"/>
      <c r="Q50" s="57"/>
      <c r="R50" s="57"/>
      <c r="AL50" s="63"/>
      <c r="AM50" s="63"/>
    </row>
    <row r="51" spans="1:39" s="34" customFormat="1" ht="14.5" x14ac:dyDescent="0.45">
      <c r="AL51" s="63"/>
      <c r="AM51" s="63"/>
    </row>
    <row r="52" spans="1:39" s="34" customFormat="1" ht="14.5" x14ac:dyDescent="0.45">
      <c r="O52" s="57"/>
      <c r="P52" s="57"/>
      <c r="Q52" s="57"/>
      <c r="R52" s="57"/>
      <c r="AL52" s="63"/>
      <c r="AM52" s="63"/>
    </row>
    <row r="53" spans="1:39" s="34" customFormat="1" ht="14.5" x14ac:dyDescent="0.45"/>
    <row r="54" spans="1:39" s="34" customFormat="1" ht="14.5" x14ac:dyDescent="0.45">
      <c r="O54" s="57"/>
      <c r="P54" s="57"/>
      <c r="Q54" s="57"/>
      <c r="R54" s="57"/>
    </row>
    <row r="55" spans="1:39" s="34" customFormat="1" ht="14.5" x14ac:dyDescent="0.45"/>
    <row r="56" spans="1:39" s="34" customFormat="1" ht="14.5" x14ac:dyDescent="0.45">
      <c r="O56" s="57"/>
      <c r="P56" s="57"/>
      <c r="Q56" s="57"/>
      <c r="R56" s="57"/>
    </row>
    <row r="57" spans="1:39" s="34" customFormat="1" ht="14.5" x14ac:dyDescent="0.45"/>
    <row r="58" spans="1:39" s="34" customFormat="1" ht="14.5" x14ac:dyDescent="0.45">
      <c r="O58" s="57"/>
      <c r="P58" s="57"/>
      <c r="Q58" s="57"/>
      <c r="R58" s="57"/>
    </row>
    <row r="59" spans="1:39" s="34" customFormat="1" ht="14.5" x14ac:dyDescent="0.45"/>
    <row r="60" spans="1:39" s="34" customFormat="1" ht="14.5" x14ac:dyDescent="0.45">
      <c r="O60" s="57"/>
      <c r="P60" s="57"/>
      <c r="Q60" s="57"/>
      <c r="R60" s="57"/>
    </row>
    <row r="61" spans="1:39" s="34" customFormat="1" ht="14.5" x14ac:dyDescent="0.45"/>
    <row r="62" spans="1:39" x14ac:dyDescent="0.45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57"/>
      <c r="P62" s="57"/>
      <c r="Q62" s="57"/>
      <c r="R62" s="57"/>
      <c r="S62" s="34"/>
      <c r="T62" s="34"/>
      <c r="U62" s="34"/>
      <c r="V62" s="34"/>
      <c r="W62" s="34"/>
      <c r="X62" s="34"/>
      <c r="Y62" s="34"/>
      <c r="Z62" s="34"/>
      <c r="AA62" s="34"/>
      <c r="AB62" s="34"/>
      <c r="AC62" s="34"/>
      <c r="AD62" s="34"/>
      <c r="AE62" s="34"/>
      <c r="AF62" s="34"/>
      <c r="AG62" s="34"/>
    </row>
    <row r="63" spans="1:39" x14ac:dyDescent="0.4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  <c r="AC63" s="34"/>
      <c r="AD63" s="34"/>
      <c r="AE63" s="34"/>
      <c r="AF63" s="34"/>
      <c r="AG63" s="34"/>
    </row>
    <row r="64" spans="1:39" x14ac:dyDescent="0.4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57"/>
      <c r="P64" s="57"/>
      <c r="Q64" s="57"/>
      <c r="R64" s="57"/>
      <c r="S64" s="34"/>
      <c r="T64" s="34"/>
      <c r="U64" s="34"/>
      <c r="V64" s="34"/>
      <c r="W64" s="34"/>
      <c r="X64" s="34"/>
      <c r="Y64" s="34"/>
      <c r="Z64" s="34"/>
      <c r="AA64" s="34"/>
      <c r="AB64" s="34"/>
      <c r="AC64" s="34"/>
      <c r="AD64" s="34"/>
      <c r="AE64" s="34"/>
      <c r="AF64" s="34"/>
      <c r="AG64" s="34"/>
    </row>
    <row r="65" spans="1:33" x14ac:dyDescent="0.4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유지보수 품의서</vt:lpstr>
      <vt:lpstr>상세내용</vt:lpstr>
      <vt:lpstr>'유지보수 품의서'!Print_Area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Registered User</dc:creator>
  <cp:lastModifiedBy>대훈 김</cp:lastModifiedBy>
  <cp:lastPrinted>2021-05-31T05:15:18Z</cp:lastPrinted>
  <dcterms:created xsi:type="dcterms:W3CDTF">2014-01-13T03:03:24Z</dcterms:created>
  <dcterms:modified xsi:type="dcterms:W3CDTF">2026-01-14T10:12:26Z</dcterms:modified>
</cp:coreProperties>
</file>