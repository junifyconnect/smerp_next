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Jyyoon\Desktop\경영팀\ERP\ERP\"/>
    </mc:Choice>
  </mc:AlternateContent>
  <xr:revisionPtr revIDLastSave="0" documentId="13_ncr:1_{353F38E1-E08C-4A75-BBD0-2D65F141D7B9}" xr6:coauthVersionLast="47" xr6:coauthVersionMax="47" xr10:uidLastSave="{00000000-0000-0000-0000-000000000000}"/>
  <bookViews>
    <workbookView xWindow="28680" yWindow="-120" windowWidth="29040" windowHeight="15840" tabRatio="660" activeTab="1" xr2:uid="{00000000-000D-0000-FFFF-FFFF00000000}"/>
  </bookViews>
  <sheets>
    <sheet name="Master" sheetId="15" r:id="rId1"/>
    <sheet name="분류" sheetId="40" r:id="rId2"/>
    <sheet name="1월" sheetId="75" r:id="rId3"/>
    <sheet name="2월" sheetId="79" r:id="rId4"/>
    <sheet name="3월" sheetId="80" r:id="rId5"/>
    <sheet name="4월" sheetId="84" r:id="rId6"/>
    <sheet name="5월" sheetId="85" r:id="rId7"/>
    <sheet name="6월" sheetId="86" r:id="rId8"/>
  </sheets>
  <definedNames>
    <definedName name="_xlnm._FilterDatabase" localSheetId="2" hidden="1">'1월'!$A$2:$Z$130</definedName>
    <definedName name="_xlnm._FilterDatabase" localSheetId="3" hidden="1">'2월'!$A$2:$Z$135</definedName>
    <definedName name="_xlnm._FilterDatabase" localSheetId="4" hidden="1">'3월'!$A$2:$Z$127</definedName>
    <definedName name="_xlnm._FilterDatabase" localSheetId="5" hidden="1">'4월'!$A$2:$Z$143</definedName>
    <definedName name="_xlnm._FilterDatabase" localSheetId="6" hidden="1">'5월'!$A$2:$Z$121</definedName>
    <definedName name="_xlnm._FilterDatabase" localSheetId="7" hidden="1">'6월'!$A$2:$Z$148</definedName>
    <definedName name="_xlnm._FilterDatabase" localSheetId="0" hidden="1">Master!$A$1:$Z$780</definedName>
    <definedName name="_xlnm._FilterDatabase" localSheetId="1" hidden="1">분류!$A$24:$U$184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1" i="86" l="1"/>
  <c r="M141" i="86" s="1"/>
  <c r="O141" i="86"/>
  <c r="O39" i="75"/>
  <c r="Q141" i="86" l="1"/>
  <c r="N141" i="86"/>
  <c r="O20" i="86"/>
  <c r="O16" i="85"/>
  <c r="O56" i="86"/>
  <c r="O48" i="85"/>
  <c r="O70" i="84"/>
  <c r="O53" i="80"/>
  <c r="O57" i="79"/>
  <c r="O64" i="75"/>
  <c r="O55" i="86"/>
  <c r="O47" i="85"/>
  <c r="O69" i="84"/>
  <c r="O52" i="80"/>
  <c r="O56" i="79"/>
  <c r="O63" i="75"/>
  <c r="O61" i="85" l="1"/>
  <c r="O5" i="85" l="1"/>
  <c r="O129" i="79"/>
  <c r="O37" i="85"/>
  <c r="O101" i="75" l="1"/>
  <c r="O53" i="86" l="1"/>
  <c r="O46" i="86" l="1"/>
  <c r="O117" i="86" l="1"/>
  <c r="O106" i="80"/>
  <c r="O83" i="86"/>
  <c r="O15" i="86"/>
  <c r="O122" i="86" l="1"/>
  <c r="L770" i="15" l="1"/>
  <c r="M770" i="15" s="1"/>
  <c r="N770" i="15" s="1"/>
  <c r="L771" i="15"/>
  <c r="Q771" i="15" s="1"/>
  <c r="L772" i="15"/>
  <c r="M772" i="15" s="1"/>
  <c r="N772" i="15" s="1"/>
  <c r="L773" i="15"/>
  <c r="Q773" i="15" s="1"/>
  <c r="L774" i="15"/>
  <c r="M774" i="15" s="1"/>
  <c r="N774" i="15" s="1"/>
  <c r="L775" i="15"/>
  <c r="Q775" i="15" s="1"/>
  <c r="Q774" i="15" l="1"/>
  <c r="Q770" i="15"/>
  <c r="M771" i="15"/>
  <c r="N771" i="15" s="1"/>
  <c r="M775" i="15"/>
  <c r="N775" i="15" s="1"/>
  <c r="M773" i="15"/>
  <c r="N773" i="15" s="1"/>
  <c r="Q772" i="15"/>
  <c r="O32" i="86" l="1"/>
  <c r="O19" i="84" l="1"/>
  <c r="O103" i="80" l="1"/>
  <c r="O119" i="79"/>
  <c r="O121" i="75"/>
  <c r="O105" i="86" l="1"/>
  <c r="O97" i="85"/>
  <c r="O116" i="84"/>
  <c r="O98" i="80"/>
  <c r="C680" i="15" l="1"/>
  <c r="P140" i="75" l="1"/>
  <c r="P141" i="75" s="1"/>
  <c r="O142" i="86" l="1"/>
  <c r="B547" i="15" l="1"/>
  <c r="O111" i="86" l="1"/>
  <c r="O103" i="86"/>
  <c r="O103" i="85"/>
  <c r="O95" i="85"/>
  <c r="O121" i="84"/>
  <c r="O114" i="84"/>
  <c r="O96" i="80"/>
  <c r="O112" i="79"/>
  <c r="O117" i="75"/>
  <c r="O75" i="84" l="1"/>
  <c r="O108" i="85" l="1"/>
  <c r="B767" i="15" l="1"/>
  <c r="D767" i="15"/>
  <c r="E767" i="15"/>
  <c r="G767" i="15"/>
  <c r="H767" i="15"/>
  <c r="I767" i="15"/>
  <c r="J767" i="15"/>
  <c r="K767" i="15"/>
  <c r="L767" i="15"/>
  <c r="P767" i="15"/>
  <c r="R767" i="15"/>
  <c r="S767" i="15"/>
  <c r="B768" i="15"/>
  <c r="E768" i="15"/>
  <c r="G768" i="15"/>
  <c r="H768" i="15"/>
  <c r="I768" i="15"/>
  <c r="J768" i="15"/>
  <c r="K768" i="15"/>
  <c r="O768" i="15"/>
  <c r="P768" i="15"/>
  <c r="B769" i="15"/>
  <c r="E769" i="15"/>
  <c r="G769" i="15"/>
  <c r="H769" i="15"/>
  <c r="I769" i="15"/>
  <c r="J769" i="15"/>
  <c r="K769" i="15"/>
  <c r="O769" i="15"/>
  <c r="P769" i="15"/>
  <c r="M143" i="86"/>
  <c r="N143" i="86" s="1"/>
  <c r="N767" i="15" s="1"/>
  <c r="O143" i="86"/>
  <c r="O767" i="15" s="1"/>
  <c r="Q143" i="86" l="1"/>
  <c r="Q767" i="15" s="1"/>
  <c r="M767" i="15"/>
  <c r="O40" i="84" l="1"/>
  <c r="O57" i="84"/>
  <c r="O136" i="84"/>
  <c r="O134" i="84"/>
  <c r="O135" i="84"/>
  <c r="O60" i="85"/>
  <c r="O135" i="86"/>
  <c r="O62" i="85"/>
  <c r="O36" i="86"/>
  <c r="O131" i="86"/>
  <c r="O72" i="86"/>
  <c r="O38" i="86"/>
  <c r="O65" i="86"/>
  <c r="O37" i="86"/>
  <c r="O71" i="86"/>
  <c r="B766" i="15"/>
  <c r="D766" i="15"/>
  <c r="E766" i="15"/>
  <c r="F766" i="15"/>
  <c r="G766" i="15"/>
  <c r="H766" i="15"/>
  <c r="I766" i="15"/>
  <c r="J766" i="15"/>
  <c r="K766" i="15"/>
  <c r="O766" i="15"/>
  <c r="P766" i="15"/>
  <c r="R766" i="15"/>
  <c r="S766" i="15"/>
  <c r="O99" i="85" l="1"/>
  <c r="C626" i="15" l="1"/>
  <c r="C625" i="15"/>
  <c r="B627" i="15"/>
  <c r="D627" i="15"/>
  <c r="E627" i="15"/>
  <c r="F627" i="15"/>
  <c r="G627" i="15"/>
  <c r="H627" i="15"/>
  <c r="I627" i="15"/>
  <c r="J627" i="15"/>
  <c r="K627" i="15"/>
  <c r="P627" i="15"/>
  <c r="R627" i="15"/>
  <c r="S627" i="15"/>
  <c r="B628" i="15"/>
  <c r="D628" i="15"/>
  <c r="E628" i="15"/>
  <c r="G628" i="15"/>
  <c r="H628" i="15"/>
  <c r="I628" i="15"/>
  <c r="J628" i="15"/>
  <c r="K628" i="15"/>
  <c r="P628" i="15"/>
  <c r="R628" i="15"/>
  <c r="S628" i="15"/>
  <c r="B629" i="15"/>
  <c r="C629" i="15"/>
  <c r="D629" i="15"/>
  <c r="E629" i="15"/>
  <c r="G629" i="15"/>
  <c r="H629" i="15"/>
  <c r="I629" i="15"/>
  <c r="J629" i="15"/>
  <c r="K629" i="15"/>
  <c r="O629" i="15"/>
  <c r="P629" i="15"/>
  <c r="R629" i="15"/>
  <c r="S629" i="15"/>
  <c r="B630" i="15"/>
  <c r="D630" i="15"/>
  <c r="E630" i="15"/>
  <c r="F630" i="15"/>
  <c r="G630" i="15"/>
  <c r="H630" i="15"/>
  <c r="I630" i="15"/>
  <c r="J630" i="15"/>
  <c r="K630" i="15"/>
  <c r="O630" i="15"/>
  <c r="P630" i="15"/>
  <c r="R630" i="15"/>
  <c r="S630" i="15"/>
  <c r="B631" i="15"/>
  <c r="D631" i="15"/>
  <c r="E631" i="15"/>
  <c r="F631" i="15"/>
  <c r="G631" i="15"/>
  <c r="H631" i="15"/>
  <c r="I631" i="15"/>
  <c r="J631" i="15"/>
  <c r="K631" i="15"/>
  <c r="O631" i="15"/>
  <c r="P631" i="15"/>
  <c r="R631" i="15"/>
  <c r="S631" i="15"/>
  <c r="B632" i="15"/>
  <c r="D632" i="15"/>
  <c r="E632" i="15"/>
  <c r="F632" i="15"/>
  <c r="G632" i="15"/>
  <c r="H632" i="15"/>
  <c r="I632" i="15"/>
  <c r="J632" i="15"/>
  <c r="P632" i="15"/>
  <c r="R632" i="15"/>
  <c r="S632" i="15"/>
  <c r="B633" i="15"/>
  <c r="D633" i="15"/>
  <c r="E633" i="15"/>
  <c r="F633" i="15"/>
  <c r="G633" i="15"/>
  <c r="H633" i="15"/>
  <c r="I633" i="15"/>
  <c r="J633" i="15"/>
  <c r="K633" i="15"/>
  <c r="P633" i="15"/>
  <c r="R633" i="15"/>
  <c r="S633" i="15"/>
  <c r="B634" i="15"/>
  <c r="D634" i="15"/>
  <c r="E634" i="15"/>
  <c r="F634" i="15"/>
  <c r="G634" i="15"/>
  <c r="H634" i="15"/>
  <c r="I634" i="15"/>
  <c r="J634" i="15"/>
  <c r="K634" i="15"/>
  <c r="O634" i="15"/>
  <c r="P634" i="15"/>
  <c r="R634" i="15"/>
  <c r="S634" i="15"/>
  <c r="B635" i="15"/>
  <c r="D635" i="15"/>
  <c r="E635" i="15"/>
  <c r="F635" i="15"/>
  <c r="G635" i="15"/>
  <c r="H635" i="15"/>
  <c r="I635" i="15"/>
  <c r="J635" i="15"/>
  <c r="K635" i="15"/>
  <c r="O635" i="15"/>
  <c r="P635" i="15"/>
  <c r="R635" i="15"/>
  <c r="S635" i="15"/>
  <c r="B636" i="15"/>
  <c r="D636" i="15"/>
  <c r="E636" i="15"/>
  <c r="F636" i="15"/>
  <c r="G636" i="15"/>
  <c r="H636" i="15"/>
  <c r="I636" i="15"/>
  <c r="J636" i="15"/>
  <c r="K636" i="15"/>
  <c r="P636" i="15"/>
  <c r="R636" i="15"/>
  <c r="S636" i="15"/>
  <c r="B637" i="15"/>
  <c r="D637" i="15"/>
  <c r="E637" i="15"/>
  <c r="G637" i="15"/>
  <c r="H637" i="15"/>
  <c r="I637" i="15"/>
  <c r="J637" i="15"/>
  <c r="K637" i="15"/>
  <c r="O637" i="15"/>
  <c r="P637" i="15"/>
  <c r="R637" i="15"/>
  <c r="S637" i="15"/>
  <c r="B638" i="15"/>
  <c r="C638" i="15"/>
  <c r="D638" i="15"/>
  <c r="E638" i="15"/>
  <c r="F638" i="15"/>
  <c r="G638" i="15"/>
  <c r="H638" i="15"/>
  <c r="I638" i="15"/>
  <c r="J638" i="15"/>
  <c r="K638" i="15"/>
  <c r="O638" i="15"/>
  <c r="P638" i="15"/>
  <c r="R638" i="15"/>
  <c r="S638" i="15"/>
  <c r="B639" i="15"/>
  <c r="D639" i="15"/>
  <c r="E639" i="15"/>
  <c r="G639" i="15"/>
  <c r="H639" i="15"/>
  <c r="I639" i="15"/>
  <c r="J639" i="15"/>
  <c r="K639" i="15"/>
  <c r="P639" i="15"/>
  <c r="R639" i="15"/>
  <c r="S639" i="15"/>
  <c r="B640" i="15"/>
  <c r="D640" i="15"/>
  <c r="E640" i="15"/>
  <c r="F640" i="15"/>
  <c r="G640" i="15"/>
  <c r="H640" i="15"/>
  <c r="I640" i="15"/>
  <c r="J640" i="15"/>
  <c r="K640" i="15"/>
  <c r="O640" i="15"/>
  <c r="P640" i="15"/>
  <c r="R640" i="15"/>
  <c r="S640" i="15"/>
  <c r="B641" i="15"/>
  <c r="D641" i="15"/>
  <c r="E641" i="15"/>
  <c r="F641" i="15"/>
  <c r="G641" i="15"/>
  <c r="H641" i="15"/>
  <c r="I641" i="15"/>
  <c r="J641" i="15"/>
  <c r="K641" i="15"/>
  <c r="O641" i="15"/>
  <c r="P641" i="15"/>
  <c r="R641" i="15"/>
  <c r="S641" i="15"/>
  <c r="B642" i="15"/>
  <c r="D642" i="15"/>
  <c r="E642" i="15"/>
  <c r="F642" i="15"/>
  <c r="G642" i="15"/>
  <c r="H642" i="15"/>
  <c r="I642" i="15"/>
  <c r="J642" i="15"/>
  <c r="K642" i="15"/>
  <c r="L642" i="15"/>
  <c r="O642" i="15"/>
  <c r="P642" i="15"/>
  <c r="R642" i="15"/>
  <c r="S642" i="15"/>
  <c r="B643" i="15"/>
  <c r="E643" i="15"/>
  <c r="F643" i="15"/>
  <c r="G643" i="15"/>
  <c r="H643" i="15"/>
  <c r="I643" i="15"/>
  <c r="J643" i="15"/>
  <c r="K643" i="15"/>
  <c r="B644" i="15"/>
  <c r="D644" i="15"/>
  <c r="E644" i="15"/>
  <c r="G644" i="15"/>
  <c r="H644" i="15"/>
  <c r="I644" i="15"/>
  <c r="J644" i="15"/>
  <c r="K644" i="15"/>
  <c r="P644" i="15"/>
  <c r="R644" i="15"/>
  <c r="S644" i="15"/>
  <c r="B645" i="15"/>
  <c r="D645" i="15"/>
  <c r="E645" i="15"/>
  <c r="G645" i="15"/>
  <c r="H645" i="15"/>
  <c r="I645" i="15"/>
  <c r="J645" i="15"/>
  <c r="K645" i="15"/>
  <c r="O645" i="15"/>
  <c r="P645" i="15"/>
  <c r="R645" i="15"/>
  <c r="S645" i="15"/>
  <c r="B646" i="15"/>
  <c r="C646" i="15"/>
  <c r="D646" i="15"/>
  <c r="E646" i="15"/>
  <c r="G646" i="15"/>
  <c r="H646" i="15"/>
  <c r="I646" i="15"/>
  <c r="J646" i="15"/>
  <c r="K646" i="15"/>
  <c r="O646" i="15"/>
  <c r="P646" i="15"/>
  <c r="R646" i="15"/>
  <c r="S646" i="15"/>
  <c r="B647" i="15"/>
  <c r="D647" i="15"/>
  <c r="E647" i="15"/>
  <c r="G647" i="15"/>
  <c r="H647" i="15"/>
  <c r="I647" i="15"/>
  <c r="J647" i="15"/>
  <c r="K647" i="15"/>
  <c r="P647" i="15"/>
  <c r="R647" i="15"/>
  <c r="S647" i="15"/>
  <c r="B648" i="15"/>
  <c r="D648" i="15"/>
  <c r="E648" i="15"/>
  <c r="G648" i="15"/>
  <c r="H648" i="15"/>
  <c r="I648" i="15"/>
  <c r="J648" i="15"/>
  <c r="K648" i="15"/>
  <c r="O648" i="15"/>
  <c r="P648" i="15"/>
  <c r="R648" i="15"/>
  <c r="S648" i="15"/>
  <c r="B649" i="15"/>
  <c r="D649" i="15"/>
  <c r="E649" i="15"/>
  <c r="G649" i="15"/>
  <c r="H649" i="15"/>
  <c r="I649" i="15"/>
  <c r="J649" i="15"/>
  <c r="K649" i="15"/>
  <c r="O649" i="15"/>
  <c r="P649" i="15"/>
  <c r="R649" i="15"/>
  <c r="S649" i="15"/>
  <c r="B650" i="15"/>
  <c r="D650" i="15"/>
  <c r="E650" i="15"/>
  <c r="G650" i="15"/>
  <c r="H650" i="15"/>
  <c r="I650" i="15"/>
  <c r="J650" i="15"/>
  <c r="K650" i="15"/>
  <c r="O650" i="15"/>
  <c r="P650" i="15"/>
  <c r="R650" i="15"/>
  <c r="S650" i="15"/>
  <c r="B651" i="15"/>
  <c r="D651" i="15"/>
  <c r="E651" i="15"/>
  <c r="F651" i="15"/>
  <c r="G651" i="15"/>
  <c r="H651" i="15"/>
  <c r="I651" i="15"/>
  <c r="J651" i="15"/>
  <c r="K651" i="15"/>
  <c r="O651" i="15"/>
  <c r="P651" i="15"/>
  <c r="R651" i="15"/>
  <c r="S651" i="15"/>
  <c r="B652" i="15"/>
  <c r="D652" i="15"/>
  <c r="E652" i="15"/>
  <c r="F652" i="15"/>
  <c r="G652" i="15"/>
  <c r="H652" i="15"/>
  <c r="I652" i="15"/>
  <c r="J652" i="15"/>
  <c r="K652" i="15"/>
  <c r="O652" i="15"/>
  <c r="P652" i="15"/>
  <c r="R652" i="15"/>
  <c r="S652" i="15"/>
  <c r="B653" i="15"/>
  <c r="D653" i="15"/>
  <c r="E653" i="15"/>
  <c r="G653" i="15"/>
  <c r="H653" i="15"/>
  <c r="I653" i="15"/>
  <c r="J653" i="15"/>
  <c r="K653" i="15"/>
  <c r="O653" i="15"/>
  <c r="P653" i="15"/>
  <c r="R653" i="15"/>
  <c r="S653" i="15"/>
  <c r="B654" i="15"/>
  <c r="C654" i="15"/>
  <c r="D654" i="15"/>
  <c r="E654" i="15"/>
  <c r="F654" i="15"/>
  <c r="G654" i="15"/>
  <c r="H654" i="15"/>
  <c r="I654" i="15"/>
  <c r="J654" i="15"/>
  <c r="K654" i="15"/>
  <c r="O654" i="15"/>
  <c r="P654" i="15"/>
  <c r="R654" i="15"/>
  <c r="S654" i="15"/>
  <c r="B655" i="15"/>
  <c r="C655" i="15"/>
  <c r="D655" i="15"/>
  <c r="E655" i="15"/>
  <c r="F655" i="15"/>
  <c r="G655" i="15"/>
  <c r="H655" i="15"/>
  <c r="I655" i="15"/>
  <c r="J655" i="15"/>
  <c r="K655" i="15"/>
  <c r="P655" i="15"/>
  <c r="R655" i="15"/>
  <c r="S655" i="15"/>
  <c r="B656" i="15"/>
  <c r="D656" i="15"/>
  <c r="E656" i="15"/>
  <c r="G656" i="15"/>
  <c r="H656" i="15"/>
  <c r="I656" i="15"/>
  <c r="J656" i="15"/>
  <c r="K656" i="15"/>
  <c r="O656" i="15"/>
  <c r="P656" i="15"/>
  <c r="R656" i="15"/>
  <c r="S656" i="15"/>
  <c r="B657" i="15"/>
  <c r="D657" i="15"/>
  <c r="E657" i="15"/>
  <c r="G657" i="15"/>
  <c r="H657" i="15"/>
  <c r="I657" i="15"/>
  <c r="J657" i="15"/>
  <c r="K657" i="15"/>
  <c r="O657" i="15"/>
  <c r="P657" i="15"/>
  <c r="R657" i="15"/>
  <c r="S657" i="15"/>
  <c r="B658" i="15"/>
  <c r="D658" i="15"/>
  <c r="E658" i="15"/>
  <c r="G658" i="15"/>
  <c r="H658" i="15"/>
  <c r="I658" i="15"/>
  <c r="J658" i="15"/>
  <c r="K658" i="15"/>
  <c r="O658" i="15"/>
  <c r="P658" i="15"/>
  <c r="R658" i="15"/>
  <c r="S658" i="15"/>
  <c r="B659" i="15"/>
  <c r="D659" i="15"/>
  <c r="E659" i="15"/>
  <c r="F659" i="15"/>
  <c r="G659" i="15"/>
  <c r="H659" i="15"/>
  <c r="I659" i="15"/>
  <c r="J659" i="15"/>
  <c r="K659" i="15"/>
  <c r="O659" i="15"/>
  <c r="P659" i="15"/>
  <c r="R659" i="15"/>
  <c r="S659" i="15"/>
  <c r="B660" i="15"/>
  <c r="D660" i="15"/>
  <c r="E660" i="15"/>
  <c r="G660" i="15"/>
  <c r="H660" i="15"/>
  <c r="I660" i="15"/>
  <c r="J660" i="15"/>
  <c r="K660" i="15"/>
  <c r="O660" i="15"/>
  <c r="P660" i="15"/>
  <c r="R660" i="15"/>
  <c r="S660" i="15"/>
  <c r="B661" i="15"/>
  <c r="D661" i="15"/>
  <c r="E661" i="15"/>
  <c r="G661" i="15"/>
  <c r="H661" i="15"/>
  <c r="I661" i="15"/>
  <c r="J661" i="15"/>
  <c r="K661" i="15"/>
  <c r="O661" i="15"/>
  <c r="P661" i="15"/>
  <c r="R661" i="15"/>
  <c r="S661" i="15"/>
  <c r="B662" i="15"/>
  <c r="D662" i="15"/>
  <c r="E662" i="15"/>
  <c r="G662" i="15"/>
  <c r="H662" i="15"/>
  <c r="I662" i="15"/>
  <c r="J662" i="15"/>
  <c r="K662" i="15"/>
  <c r="O662" i="15"/>
  <c r="P662" i="15"/>
  <c r="R662" i="15"/>
  <c r="S662" i="15"/>
  <c r="B663" i="15"/>
  <c r="D663" i="15"/>
  <c r="E663" i="15"/>
  <c r="G663" i="15"/>
  <c r="H663" i="15"/>
  <c r="I663" i="15"/>
  <c r="J663" i="15"/>
  <c r="K663" i="15"/>
  <c r="P663" i="15"/>
  <c r="R663" i="15"/>
  <c r="S663" i="15"/>
  <c r="B664" i="15"/>
  <c r="D664" i="15"/>
  <c r="E664" i="15"/>
  <c r="G664" i="15"/>
  <c r="H664" i="15"/>
  <c r="I664" i="15"/>
  <c r="J664" i="15"/>
  <c r="K664" i="15"/>
  <c r="O664" i="15"/>
  <c r="P664" i="15"/>
  <c r="R664" i="15"/>
  <c r="S664" i="15"/>
  <c r="B665" i="15"/>
  <c r="D665" i="15"/>
  <c r="E665" i="15"/>
  <c r="F665" i="15"/>
  <c r="G665" i="15"/>
  <c r="H665" i="15"/>
  <c r="I665" i="15"/>
  <c r="J665" i="15"/>
  <c r="K665" i="15"/>
  <c r="O665" i="15"/>
  <c r="P665" i="15"/>
  <c r="R665" i="15"/>
  <c r="S665" i="15"/>
  <c r="B666" i="15"/>
  <c r="C666" i="15"/>
  <c r="D666" i="15"/>
  <c r="E666" i="15"/>
  <c r="G666" i="15"/>
  <c r="H666" i="15"/>
  <c r="I666" i="15"/>
  <c r="J666" i="15"/>
  <c r="K666" i="15"/>
  <c r="O666" i="15"/>
  <c r="P666" i="15"/>
  <c r="R666" i="15"/>
  <c r="S666" i="15"/>
  <c r="B667" i="15"/>
  <c r="D667" i="15"/>
  <c r="E667" i="15"/>
  <c r="F667" i="15"/>
  <c r="G667" i="15"/>
  <c r="H667" i="15"/>
  <c r="I667" i="15"/>
  <c r="J667" i="15"/>
  <c r="K667" i="15"/>
  <c r="O667" i="15"/>
  <c r="P667" i="15"/>
  <c r="R667" i="15"/>
  <c r="S667" i="15"/>
  <c r="B668" i="15"/>
  <c r="D668" i="15"/>
  <c r="E668" i="15"/>
  <c r="F668" i="15"/>
  <c r="G668" i="15"/>
  <c r="H668" i="15"/>
  <c r="I668" i="15"/>
  <c r="J668" i="15"/>
  <c r="K668" i="15"/>
  <c r="P668" i="15"/>
  <c r="R668" i="15"/>
  <c r="S668" i="15"/>
  <c r="B669" i="15"/>
  <c r="D669" i="15"/>
  <c r="E669" i="15"/>
  <c r="F669" i="15"/>
  <c r="G669" i="15"/>
  <c r="H669" i="15"/>
  <c r="I669" i="15"/>
  <c r="J669" i="15"/>
  <c r="K669" i="15"/>
  <c r="O669" i="15"/>
  <c r="P669" i="15"/>
  <c r="R669" i="15"/>
  <c r="S669" i="15"/>
  <c r="B670" i="15"/>
  <c r="D670" i="15"/>
  <c r="E670" i="15"/>
  <c r="G670" i="15"/>
  <c r="H670" i="15"/>
  <c r="I670" i="15"/>
  <c r="J670" i="15"/>
  <c r="K670" i="15"/>
  <c r="P670" i="15"/>
  <c r="R670" i="15"/>
  <c r="S670" i="15"/>
  <c r="B671" i="15"/>
  <c r="D671" i="15"/>
  <c r="E671" i="15"/>
  <c r="G671" i="15"/>
  <c r="H671" i="15"/>
  <c r="I671" i="15"/>
  <c r="J671" i="15"/>
  <c r="K671" i="15"/>
  <c r="P671" i="15"/>
  <c r="R671" i="15"/>
  <c r="S671" i="15"/>
  <c r="B672" i="15"/>
  <c r="D672" i="15"/>
  <c r="E672" i="15"/>
  <c r="G672" i="15"/>
  <c r="H672" i="15"/>
  <c r="I672" i="15"/>
  <c r="J672" i="15"/>
  <c r="K672" i="15"/>
  <c r="P672" i="15"/>
  <c r="R672" i="15"/>
  <c r="S672" i="15"/>
  <c r="B673" i="15"/>
  <c r="D673" i="15"/>
  <c r="E673" i="15"/>
  <c r="F673" i="15"/>
  <c r="G673" i="15"/>
  <c r="H673" i="15"/>
  <c r="I673" i="15"/>
  <c r="J673" i="15"/>
  <c r="K673" i="15"/>
  <c r="P673" i="15"/>
  <c r="R673" i="15"/>
  <c r="S673" i="15"/>
  <c r="B674" i="15"/>
  <c r="D674" i="15"/>
  <c r="E674" i="15"/>
  <c r="G674" i="15"/>
  <c r="H674" i="15"/>
  <c r="I674" i="15"/>
  <c r="J674" i="15"/>
  <c r="K674" i="15"/>
  <c r="L674" i="15"/>
  <c r="P674" i="15"/>
  <c r="R674" i="15"/>
  <c r="S674" i="15"/>
  <c r="B675" i="15"/>
  <c r="E675" i="15"/>
  <c r="G675" i="15"/>
  <c r="H675" i="15"/>
  <c r="I675" i="15"/>
  <c r="J675" i="15"/>
  <c r="K675" i="15"/>
  <c r="P675" i="15"/>
  <c r="B676" i="15"/>
  <c r="E676" i="15"/>
  <c r="G676" i="15"/>
  <c r="H676" i="15"/>
  <c r="I676" i="15"/>
  <c r="J676" i="15"/>
  <c r="K676" i="15"/>
  <c r="P676" i="15"/>
  <c r="B677" i="15"/>
  <c r="C677" i="15"/>
  <c r="D677" i="15"/>
  <c r="E677" i="15"/>
  <c r="F677" i="15"/>
  <c r="G677" i="15"/>
  <c r="H677" i="15"/>
  <c r="I677" i="15"/>
  <c r="J677" i="15"/>
  <c r="K677" i="15"/>
  <c r="P677" i="15"/>
  <c r="R677" i="15"/>
  <c r="S677" i="15"/>
  <c r="B678" i="15"/>
  <c r="D678" i="15"/>
  <c r="E678" i="15"/>
  <c r="F678" i="15"/>
  <c r="G678" i="15"/>
  <c r="H678" i="15"/>
  <c r="I678" i="15"/>
  <c r="J678" i="15"/>
  <c r="K678" i="15"/>
  <c r="O678" i="15"/>
  <c r="P678" i="15"/>
  <c r="R678" i="15"/>
  <c r="S678" i="15"/>
  <c r="B679" i="15"/>
  <c r="D679" i="15"/>
  <c r="E679" i="15"/>
  <c r="F679" i="15"/>
  <c r="G679" i="15"/>
  <c r="H679" i="15"/>
  <c r="I679" i="15"/>
  <c r="J679" i="15"/>
  <c r="K679" i="15"/>
  <c r="P679" i="15"/>
  <c r="R679" i="15"/>
  <c r="S679" i="15"/>
  <c r="B680" i="15"/>
  <c r="D680" i="15"/>
  <c r="E680" i="15"/>
  <c r="F680" i="15"/>
  <c r="G680" i="15"/>
  <c r="H680" i="15"/>
  <c r="I680" i="15"/>
  <c r="J680" i="15"/>
  <c r="K680" i="15"/>
  <c r="O680" i="15"/>
  <c r="P680" i="15"/>
  <c r="R680" i="15"/>
  <c r="S680" i="15"/>
  <c r="B681" i="15"/>
  <c r="D681" i="15"/>
  <c r="E681" i="15"/>
  <c r="F681" i="15"/>
  <c r="G681" i="15"/>
  <c r="H681" i="15"/>
  <c r="I681" i="15"/>
  <c r="J681" i="15"/>
  <c r="K681" i="15"/>
  <c r="O681" i="15"/>
  <c r="P681" i="15"/>
  <c r="R681" i="15"/>
  <c r="S681" i="15"/>
  <c r="B682" i="15"/>
  <c r="D682" i="15"/>
  <c r="E682" i="15"/>
  <c r="F682" i="15"/>
  <c r="G682" i="15"/>
  <c r="H682" i="15"/>
  <c r="I682" i="15"/>
  <c r="J682" i="15"/>
  <c r="K682" i="15"/>
  <c r="O682" i="15"/>
  <c r="P682" i="15"/>
  <c r="R682" i="15"/>
  <c r="S682" i="15"/>
  <c r="B683" i="15"/>
  <c r="D683" i="15"/>
  <c r="E683" i="15"/>
  <c r="G683" i="15"/>
  <c r="H683" i="15"/>
  <c r="I683" i="15"/>
  <c r="J683" i="15"/>
  <c r="K683" i="15"/>
  <c r="O683" i="15"/>
  <c r="P683" i="15"/>
  <c r="R683" i="15"/>
  <c r="S683" i="15"/>
  <c r="B684" i="15"/>
  <c r="D684" i="15"/>
  <c r="E684" i="15"/>
  <c r="G684" i="15"/>
  <c r="H684" i="15"/>
  <c r="I684" i="15"/>
  <c r="J684" i="15"/>
  <c r="K684" i="15"/>
  <c r="P684" i="15"/>
  <c r="R684" i="15"/>
  <c r="S684" i="15"/>
  <c r="B685" i="15"/>
  <c r="D685" i="15"/>
  <c r="E685" i="15"/>
  <c r="F685" i="15"/>
  <c r="G685" i="15"/>
  <c r="H685" i="15"/>
  <c r="I685" i="15"/>
  <c r="J685" i="15"/>
  <c r="K685" i="15"/>
  <c r="P685" i="15"/>
  <c r="R685" i="15"/>
  <c r="S685" i="15"/>
  <c r="B686" i="15"/>
  <c r="D686" i="15"/>
  <c r="E686" i="15"/>
  <c r="G686" i="15"/>
  <c r="H686" i="15"/>
  <c r="I686" i="15"/>
  <c r="J686" i="15"/>
  <c r="K686" i="15"/>
  <c r="P686" i="15"/>
  <c r="R686" i="15"/>
  <c r="S686" i="15"/>
  <c r="B687" i="15"/>
  <c r="C687" i="15"/>
  <c r="D687" i="15"/>
  <c r="E687" i="15"/>
  <c r="F687" i="15"/>
  <c r="G687" i="15"/>
  <c r="H687" i="15"/>
  <c r="I687" i="15"/>
  <c r="J687" i="15"/>
  <c r="K687" i="15"/>
  <c r="P687" i="15"/>
  <c r="R687" i="15"/>
  <c r="S687" i="15"/>
  <c r="B688" i="15"/>
  <c r="D688" i="15"/>
  <c r="E688" i="15"/>
  <c r="F688" i="15"/>
  <c r="G688" i="15"/>
  <c r="H688" i="15"/>
  <c r="I688" i="15"/>
  <c r="J688" i="15"/>
  <c r="K688" i="15"/>
  <c r="O688" i="15"/>
  <c r="P688" i="15"/>
  <c r="R688" i="15"/>
  <c r="S688" i="15"/>
  <c r="B689" i="15"/>
  <c r="D689" i="15"/>
  <c r="E689" i="15"/>
  <c r="G689" i="15"/>
  <c r="H689" i="15"/>
  <c r="I689" i="15"/>
  <c r="J689" i="15"/>
  <c r="K689" i="15"/>
  <c r="O689" i="15"/>
  <c r="P689" i="15"/>
  <c r="R689" i="15"/>
  <c r="S689" i="15"/>
  <c r="B690" i="15"/>
  <c r="D690" i="15"/>
  <c r="E690" i="15"/>
  <c r="G690" i="15"/>
  <c r="H690" i="15"/>
  <c r="I690" i="15"/>
  <c r="J690" i="15"/>
  <c r="K690" i="15"/>
  <c r="O690" i="15"/>
  <c r="P690" i="15"/>
  <c r="R690" i="15"/>
  <c r="S690" i="15"/>
  <c r="B691" i="15"/>
  <c r="D691" i="15"/>
  <c r="E691" i="15"/>
  <c r="F691" i="15"/>
  <c r="G691" i="15"/>
  <c r="H691" i="15"/>
  <c r="I691" i="15"/>
  <c r="J691" i="15"/>
  <c r="K691" i="15"/>
  <c r="O691" i="15"/>
  <c r="P691" i="15"/>
  <c r="R691" i="15"/>
  <c r="S691" i="15"/>
  <c r="B692" i="15"/>
  <c r="D692" i="15"/>
  <c r="E692" i="15"/>
  <c r="G692" i="15"/>
  <c r="H692" i="15"/>
  <c r="I692" i="15"/>
  <c r="J692" i="15"/>
  <c r="K692" i="15"/>
  <c r="O692" i="15"/>
  <c r="P692" i="15"/>
  <c r="R692" i="15"/>
  <c r="S692" i="15"/>
  <c r="B693" i="15"/>
  <c r="D693" i="15"/>
  <c r="E693" i="15"/>
  <c r="F693" i="15"/>
  <c r="G693" i="15"/>
  <c r="H693" i="15"/>
  <c r="I693" i="15"/>
  <c r="J693" i="15"/>
  <c r="K693" i="15"/>
  <c r="O693" i="15"/>
  <c r="P693" i="15"/>
  <c r="R693" i="15"/>
  <c r="S693" i="15"/>
  <c r="B694" i="15"/>
  <c r="D694" i="15"/>
  <c r="E694" i="15"/>
  <c r="F694" i="15"/>
  <c r="G694" i="15"/>
  <c r="H694" i="15"/>
  <c r="I694" i="15"/>
  <c r="J694" i="15"/>
  <c r="K694" i="15"/>
  <c r="O694" i="15"/>
  <c r="P694" i="15"/>
  <c r="R694" i="15"/>
  <c r="S694" i="15"/>
  <c r="B695" i="15"/>
  <c r="D695" i="15"/>
  <c r="E695" i="15"/>
  <c r="F695" i="15"/>
  <c r="G695" i="15"/>
  <c r="H695" i="15"/>
  <c r="I695" i="15"/>
  <c r="J695" i="15"/>
  <c r="K695" i="15"/>
  <c r="O695" i="15"/>
  <c r="P695" i="15"/>
  <c r="R695" i="15"/>
  <c r="S695" i="15"/>
  <c r="B696" i="15"/>
  <c r="D696" i="15"/>
  <c r="E696" i="15"/>
  <c r="F696" i="15"/>
  <c r="G696" i="15"/>
  <c r="H696" i="15"/>
  <c r="I696" i="15"/>
  <c r="J696" i="15"/>
  <c r="K696" i="15"/>
  <c r="O696" i="15"/>
  <c r="P696" i="15"/>
  <c r="R696" i="15"/>
  <c r="S696" i="15"/>
  <c r="B697" i="15"/>
  <c r="D697" i="15"/>
  <c r="E697" i="15"/>
  <c r="G697" i="15"/>
  <c r="H697" i="15"/>
  <c r="I697" i="15"/>
  <c r="J697" i="15"/>
  <c r="K697" i="15"/>
  <c r="O697" i="15"/>
  <c r="P697" i="15"/>
  <c r="R697" i="15"/>
  <c r="S697" i="15"/>
  <c r="B698" i="15"/>
  <c r="D698" i="15"/>
  <c r="E698" i="15"/>
  <c r="G698" i="15"/>
  <c r="H698" i="15"/>
  <c r="I698" i="15"/>
  <c r="J698" i="15"/>
  <c r="K698" i="15"/>
  <c r="O698" i="15"/>
  <c r="P698" i="15"/>
  <c r="R698" i="15"/>
  <c r="S698" i="15"/>
  <c r="B699" i="15"/>
  <c r="D699" i="15"/>
  <c r="E699" i="15"/>
  <c r="F699" i="15"/>
  <c r="G699" i="15"/>
  <c r="H699" i="15"/>
  <c r="I699" i="15"/>
  <c r="J699" i="15"/>
  <c r="K699" i="15"/>
  <c r="O699" i="15"/>
  <c r="P699" i="15"/>
  <c r="R699" i="15"/>
  <c r="S699" i="15"/>
  <c r="B700" i="15"/>
  <c r="D700" i="15"/>
  <c r="E700" i="15"/>
  <c r="F700" i="15"/>
  <c r="G700" i="15"/>
  <c r="H700" i="15"/>
  <c r="I700" i="15"/>
  <c r="J700" i="15"/>
  <c r="K700" i="15"/>
  <c r="O700" i="15"/>
  <c r="P700" i="15"/>
  <c r="R700" i="15"/>
  <c r="S700" i="15"/>
  <c r="B701" i="15"/>
  <c r="D701" i="15"/>
  <c r="E701" i="15"/>
  <c r="F701" i="15"/>
  <c r="G701" i="15"/>
  <c r="H701" i="15"/>
  <c r="I701" i="15"/>
  <c r="J701" i="15"/>
  <c r="K701" i="15"/>
  <c r="O701" i="15"/>
  <c r="P701" i="15"/>
  <c r="R701" i="15"/>
  <c r="S701" i="15"/>
  <c r="B702" i="15"/>
  <c r="C702" i="15"/>
  <c r="D702" i="15"/>
  <c r="E702" i="15"/>
  <c r="F702" i="15"/>
  <c r="G702" i="15"/>
  <c r="H702" i="15"/>
  <c r="I702" i="15"/>
  <c r="J702" i="15"/>
  <c r="K702" i="15"/>
  <c r="O702" i="15"/>
  <c r="P702" i="15"/>
  <c r="R702" i="15"/>
  <c r="S702" i="15"/>
  <c r="B703" i="15"/>
  <c r="C703" i="15"/>
  <c r="D703" i="15"/>
  <c r="E703" i="15"/>
  <c r="F703" i="15"/>
  <c r="G703" i="15"/>
  <c r="H703" i="15"/>
  <c r="I703" i="15"/>
  <c r="J703" i="15"/>
  <c r="K703" i="15"/>
  <c r="O703" i="15"/>
  <c r="P703" i="15"/>
  <c r="R703" i="15"/>
  <c r="S703" i="15"/>
  <c r="B704" i="15"/>
  <c r="D704" i="15"/>
  <c r="E704" i="15"/>
  <c r="F704" i="15"/>
  <c r="G704" i="15"/>
  <c r="H704" i="15"/>
  <c r="I704" i="15"/>
  <c r="J704" i="15"/>
  <c r="K704" i="15"/>
  <c r="O704" i="15"/>
  <c r="P704" i="15"/>
  <c r="R704" i="15"/>
  <c r="S704" i="15"/>
  <c r="B705" i="15"/>
  <c r="D705" i="15"/>
  <c r="E705" i="15"/>
  <c r="F705" i="15"/>
  <c r="G705" i="15"/>
  <c r="H705" i="15"/>
  <c r="I705" i="15"/>
  <c r="J705" i="15"/>
  <c r="K705" i="15"/>
  <c r="O705" i="15"/>
  <c r="P705" i="15"/>
  <c r="R705" i="15"/>
  <c r="S705" i="15"/>
  <c r="B706" i="15"/>
  <c r="D706" i="15"/>
  <c r="E706" i="15"/>
  <c r="F706" i="15"/>
  <c r="G706" i="15"/>
  <c r="H706" i="15"/>
  <c r="I706" i="15"/>
  <c r="J706" i="15"/>
  <c r="K706" i="15"/>
  <c r="P706" i="15"/>
  <c r="R706" i="15"/>
  <c r="S706" i="15"/>
  <c r="B707" i="15"/>
  <c r="C707" i="15"/>
  <c r="D707" i="15"/>
  <c r="E707" i="15"/>
  <c r="F707" i="15"/>
  <c r="G707" i="15"/>
  <c r="H707" i="15"/>
  <c r="I707" i="15"/>
  <c r="J707" i="15"/>
  <c r="K707" i="15"/>
  <c r="P707" i="15"/>
  <c r="R707" i="15"/>
  <c r="S707" i="15"/>
  <c r="B708" i="15"/>
  <c r="C708" i="15"/>
  <c r="D708" i="15"/>
  <c r="E708" i="15"/>
  <c r="F708" i="15"/>
  <c r="G708" i="15"/>
  <c r="H708" i="15"/>
  <c r="I708" i="15"/>
  <c r="J708" i="15"/>
  <c r="K708" i="15"/>
  <c r="O708" i="15"/>
  <c r="P708" i="15"/>
  <c r="R708" i="15"/>
  <c r="S708" i="15"/>
  <c r="B709" i="15"/>
  <c r="C709" i="15"/>
  <c r="D709" i="15"/>
  <c r="E709" i="15"/>
  <c r="F709" i="15"/>
  <c r="G709" i="15"/>
  <c r="H709" i="15"/>
  <c r="I709" i="15"/>
  <c r="J709" i="15"/>
  <c r="K709" i="15"/>
  <c r="O709" i="15"/>
  <c r="P709" i="15"/>
  <c r="R709" i="15"/>
  <c r="S709" i="15"/>
  <c r="B710" i="15"/>
  <c r="C710" i="15"/>
  <c r="D710" i="15"/>
  <c r="E710" i="15"/>
  <c r="F710" i="15"/>
  <c r="G710" i="15"/>
  <c r="H710" i="15"/>
  <c r="I710" i="15"/>
  <c r="J710" i="15"/>
  <c r="K710" i="15"/>
  <c r="O710" i="15"/>
  <c r="P710" i="15"/>
  <c r="R710" i="15"/>
  <c r="S710" i="15"/>
  <c r="B711" i="15"/>
  <c r="C711" i="15"/>
  <c r="D711" i="15"/>
  <c r="E711" i="15"/>
  <c r="F711" i="15"/>
  <c r="G711" i="15"/>
  <c r="H711" i="15"/>
  <c r="I711" i="15"/>
  <c r="J711" i="15"/>
  <c r="K711" i="15"/>
  <c r="P711" i="15"/>
  <c r="R711" i="15"/>
  <c r="S711" i="15"/>
  <c r="B712" i="15"/>
  <c r="C712" i="15"/>
  <c r="D712" i="15"/>
  <c r="E712" i="15"/>
  <c r="F712" i="15"/>
  <c r="G712" i="15"/>
  <c r="H712" i="15"/>
  <c r="I712" i="15"/>
  <c r="J712" i="15"/>
  <c r="K712" i="15"/>
  <c r="O712" i="15"/>
  <c r="P712" i="15"/>
  <c r="R712" i="15"/>
  <c r="S712" i="15"/>
  <c r="B713" i="15"/>
  <c r="C713" i="15"/>
  <c r="D713" i="15"/>
  <c r="E713" i="15"/>
  <c r="F713" i="15"/>
  <c r="G713" i="15"/>
  <c r="H713" i="15"/>
  <c r="I713" i="15"/>
  <c r="J713" i="15"/>
  <c r="K713" i="15"/>
  <c r="O713" i="15"/>
  <c r="P713" i="15"/>
  <c r="R713" i="15"/>
  <c r="S713" i="15"/>
  <c r="B714" i="15"/>
  <c r="C714" i="15"/>
  <c r="D714" i="15"/>
  <c r="E714" i="15"/>
  <c r="F714" i="15"/>
  <c r="G714" i="15"/>
  <c r="H714" i="15"/>
  <c r="I714" i="15"/>
  <c r="J714" i="15"/>
  <c r="K714" i="15"/>
  <c r="P714" i="15"/>
  <c r="R714" i="15"/>
  <c r="S714" i="15"/>
  <c r="B715" i="15"/>
  <c r="C715" i="15"/>
  <c r="D715" i="15"/>
  <c r="E715" i="15"/>
  <c r="F715" i="15"/>
  <c r="G715" i="15"/>
  <c r="H715" i="15"/>
  <c r="I715" i="15"/>
  <c r="J715" i="15"/>
  <c r="K715" i="15"/>
  <c r="O715" i="15"/>
  <c r="P715" i="15"/>
  <c r="R715" i="15"/>
  <c r="S715" i="15"/>
  <c r="B716" i="15"/>
  <c r="D716" i="15"/>
  <c r="E716" i="15"/>
  <c r="G716" i="15"/>
  <c r="H716" i="15"/>
  <c r="I716" i="15"/>
  <c r="J716" i="15"/>
  <c r="K716" i="15"/>
  <c r="M716" i="15"/>
  <c r="P716" i="15"/>
  <c r="R716" i="15"/>
  <c r="S716" i="15"/>
  <c r="B717" i="15"/>
  <c r="C717" i="15"/>
  <c r="D717" i="15"/>
  <c r="E717" i="15"/>
  <c r="F717" i="15"/>
  <c r="G717" i="15"/>
  <c r="H717" i="15"/>
  <c r="I717" i="15"/>
  <c r="J717" i="15"/>
  <c r="K717" i="15"/>
  <c r="O717" i="15"/>
  <c r="P717" i="15"/>
  <c r="R717" i="15"/>
  <c r="S717" i="15"/>
  <c r="B718" i="15"/>
  <c r="D718" i="15"/>
  <c r="E718" i="15"/>
  <c r="F718" i="15"/>
  <c r="G718" i="15"/>
  <c r="H718" i="15"/>
  <c r="I718" i="15"/>
  <c r="J718" i="15"/>
  <c r="K718" i="15"/>
  <c r="O718" i="15"/>
  <c r="P718" i="15"/>
  <c r="R718" i="15"/>
  <c r="S718" i="15"/>
  <c r="B719" i="15"/>
  <c r="D719" i="15"/>
  <c r="E719" i="15"/>
  <c r="F719" i="15"/>
  <c r="G719" i="15"/>
  <c r="H719" i="15"/>
  <c r="I719" i="15"/>
  <c r="J719" i="15"/>
  <c r="K719" i="15"/>
  <c r="P719" i="15"/>
  <c r="R719" i="15"/>
  <c r="S719" i="15"/>
  <c r="B720" i="15"/>
  <c r="C720" i="15"/>
  <c r="D720" i="15"/>
  <c r="E720" i="15"/>
  <c r="F720" i="15"/>
  <c r="G720" i="15"/>
  <c r="H720" i="15"/>
  <c r="I720" i="15"/>
  <c r="J720" i="15"/>
  <c r="K720" i="15"/>
  <c r="O720" i="15"/>
  <c r="P720" i="15"/>
  <c r="R720" i="15"/>
  <c r="S720" i="15"/>
  <c r="B721" i="15"/>
  <c r="C721" i="15"/>
  <c r="D721" i="15"/>
  <c r="E721" i="15"/>
  <c r="F721" i="15"/>
  <c r="G721" i="15"/>
  <c r="H721" i="15"/>
  <c r="I721" i="15"/>
  <c r="J721" i="15"/>
  <c r="K721" i="15"/>
  <c r="O721" i="15"/>
  <c r="P721" i="15"/>
  <c r="R721" i="15"/>
  <c r="S721" i="15"/>
  <c r="B722" i="15"/>
  <c r="C722" i="15"/>
  <c r="D722" i="15"/>
  <c r="E722" i="15"/>
  <c r="F722" i="15"/>
  <c r="G722" i="15"/>
  <c r="H722" i="15"/>
  <c r="I722" i="15"/>
  <c r="J722" i="15"/>
  <c r="K722" i="15"/>
  <c r="O722" i="15"/>
  <c r="P722" i="15"/>
  <c r="R722" i="15"/>
  <c r="S722" i="15"/>
  <c r="B723" i="15"/>
  <c r="C723" i="15"/>
  <c r="D723" i="15"/>
  <c r="E723" i="15"/>
  <c r="F723" i="15"/>
  <c r="G723" i="15"/>
  <c r="H723" i="15"/>
  <c r="I723" i="15"/>
  <c r="J723" i="15"/>
  <c r="K723" i="15"/>
  <c r="P723" i="15"/>
  <c r="R723" i="15"/>
  <c r="S723" i="15"/>
  <c r="B724" i="15"/>
  <c r="D724" i="15"/>
  <c r="E724" i="15"/>
  <c r="F724" i="15"/>
  <c r="G724" i="15"/>
  <c r="H724" i="15"/>
  <c r="I724" i="15"/>
  <c r="J724" i="15"/>
  <c r="K724" i="15"/>
  <c r="O724" i="15"/>
  <c r="P724" i="15"/>
  <c r="R724" i="15"/>
  <c r="S724" i="15"/>
  <c r="B725" i="15"/>
  <c r="D725" i="15"/>
  <c r="E725" i="15"/>
  <c r="F725" i="15"/>
  <c r="G725" i="15"/>
  <c r="H725" i="15"/>
  <c r="I725" i="15"/>
  <c r="J725" i="15"/>
  <c r="K725" i="15"/>
  <c r="O725" i="15"/>
  <c r="P725" i="15"/>
  <c r="R725" i="15"/>
  <c r="S725" i="15"/>
  <c r="B726" i="15"/>
  <c r="D726" i="15"/>
  <c r="E726" i="15"/>
  <c r="F726" i="15"/>
  <c r="G726" i="15"/>
  <c r="H726" i="15"/>
  <c r="I726" i="15"/>
  <c r="J726" i="15"/>
  <c r="K726" i="15"/>
  <c r="P726" i="15"/>
  <c r="R726" i="15"/>
  <c r="S726" i="15"/>
  <c r="B727" i="15"/>
  <c r="D727" i="15"/>
  <c r="E727" i="15"/>
  <c r="F727" i="15"/>
  <c r="G727" i="15"/>
  <c r="H727" i="15"/>
  <c r="I727" i="15"/>
  <c r="J727" i="15"/>
  <c r="K727" i="15"/>
  <c r="P727" i="15"/>
  <c r="R727" i="15"/>
  <c r="S727" i="15"/>
  <c r="B728" i="15"/>
  <c r="D728" i="15"/>
  <c r="E728" i="15"/>
  <c r="F728" i="15"/>
  <c r="G728" i="15"/>
  <c r="H728" i="15"/>
  <c r="I728" i="15"/>
  <c r="J728" i="15"/>
  <c r="K728" i="15"/>
  <c r="O728" i="15"/>
  <c r="P728" i="15"/>
  <c r="R728" i="15"/>
  <c r="S728" i="15"/>
  <c r="B729" i="15"/>
  <c r="D729" i="15"/>
  <c r="E729" i="15"/>
  <c r="F729" i="15"/>
  <c r="G729" i="15"/>
  <c r="H729" i="15"/>
  <c r="I729" i="15"/>
  <c r="J729" i="15"/>
  <c r="K729" i="15"/>
  <c r="P729" i="15"/>
  <c r="R729" i="15"/>
  <c r="S729" i="15"/>
  <c r="B730" i="15"/>
  <c r="C730" i="15"/>
  <c r="D730" i="15"/>
  <c r="E730" i="15"/>
  <c r="F730" i="15"/>
  <c r="G730" i="15"/>
  <c r="H730" i="15"/>
  <c r="I730" i="15"/>
  <c r="J730" i="15"/>
  <c r="K730" i="15"/>
  <c r="O730" i="15"/>
  <c r="P730" i="15"/>
  <c r="R730" i="15"/>
  <c r="S730" i="15"/>
  <c r="B731" i="15"/>
  <c r="D731" i="15"/>
  <c r="E731" i="15"/>
  <c r="G731" i="15"/>
  <c r="H731" i="15"/>
  <c r="I731" i="15"/>
  <c r="J731" i="15"/>
  <c r="K731" i="15"/>
  <c r="P731" i="15"/>
  <c r="R731" i="15"/>
  <c r="S731" i="15"/>
  <c r="B732" i="15"/>
  <c r="C732" i="15"/>
  <c r="D732" i="15"/>
  <c r="E732" i="15"/>
  <c r="F732" i="15"/>
  <c r="G732" i="15"/>
  <c r="H732" i="15"/>
  <c r="I732" i="15"/>
  <c r="J732" i="15"/>
  <c r="K732" i="15"/>
  <c r="O732" i="15"/>
  <c r="P732" i="15"/>
  <c r="R732" i="15"/>
  <c r="S732" i="15"/>
  <c r="B733" i="15"/>
  <c r="D733" i="15"/>
  <c r="E733" i="15"/>
  <c r="G733" i="15"/>
  <c r="H733" i="15"/>
  <c r="I733" i="15"/>
  <c r="J733" i="15"/>
  <c r="K733" i="15"/>
  <c r="O733" i="15"/>
  <c r="P733" i="15"/>
  <c r="R733" i="15"/>
  <c r="S733" i="15"/>
  <c r="B734" i="15"/>
  <c r="C734" i="15"/>
  <c r="D734" i="15"/>
  <c r="E734" i="15"/>
  <c r="F734" i="15"/>
  <c r="G734" i="15"/>
  <c r="H734" i="15"/>
  <c r="I734" i="15"/>
  <c r="J734" i="15"/>
  <c r="K734" i="15"/>
  <c r="P734" i="15"/>
  <c r="R734" i="15"/>
  <c r="S734" i="15"/>
  <c r="B735" i="15"/>
  <c r="D735" i="15"/>
  <c r="E735" i="15"/>
  <c r="F735" i="15"/>
  <c r="G735" i="15"/>
  <c r="H735" i="15"/>
  <c r="I735" i="15"/>
  <c r="J735" i="15"/>
  <c r="K735" i="15"/>
  <c r="O735" i="15"/>
  <c r="P735" i="15"/>
  <c r="R735" i="15"/>
  <c r="S735" i="15"/>
  <c r="B736" i="15"/>
  <c r="C736" i="15"/>
  <c r="D736" i="15"/>
  <c r="E736" i="15"/>
  <c r="F736" i="15"/>
  <c r="G736" i="15"/>
  <c r="H736" i="15"/>
  <c r="I736" i="15"/>
  <c r="J736" i="15"/>
  <c r="K736" i="15"/>
  <c r="P736" i="15"/>
  <c r="R736" i="15"/>
  <c r="S736" i="15"/>
  <c r="B737" i="15"/>
  <c r="C737" i="15"/>
  <c r="D737" i="15"/>
  <c r="E737" i="15"/>
  <c r="F737" i="15"/>
  <c r="G737" i="15"/>
  <c r="H737" i="15"/>
  <c r="I737" i="15"/>
  <c r="J737" i="15"/>
  <c r="K737" i="15"/>
  <c r="O737" i="15"/>
  <c r="P737" i="15"/>
  <c r="R737" i="15"/>
  <c r="S737" i="15"/>
  <c r="B738" i="15"/>
  <c r="D738" i="15"/>
  <c r="E738" i="15"/>
  <c r="F738" i="15"/>
  <c r="G738" i="15"/>
  <c r="H738" i="15"/>
  <c r="I738" i="15"/>
  <c r="J738" i="15"/>
  <c r="K738" i="15"/>
  <c r="O738" i="15"/>
  <c r="P738" i="15"/>
  <c r="R738" i="15"/>
  <c r="S738" i="15"/>
  <c r="B739" i="15"/>
  <c r="D739" i="15"/>
  <c r="E739" i="15"/>
  <c r="F739" i="15"/>
  <c r="G739" i="15"/>
  <c r="H739" i="15"/>
  <c r="I739" i="15"/>
  <c r="J739" i="15"/>
  <c r="K739" i="15"/>
  <c r="O739" i="15"/>
  <c r="P739" i="15"/>
  <c r="R739" i="15"/>
  <c r="S739" i="15"/>
  <c r="B740" i="15"/>
  <c r="C740" i="15"/>
  <c r="D740" i="15"/>
  <c r="E740" i="15"/>
  <c r="F740" i="15"/>
  <c r="G740" i="15"/>
  <c r="H740" i="15"/>
  <c r="I740" i="15"/>
  <c r="J740" i="15"/>
  <c r="K740" i="15"/>
  <c r="P740" i="15"/>
  <c r="R740" i="15"/>
  <c r="S740" i="15"/>
  <c r="B741" i="15"/>
  <c r="C741" i="15"/>
  <c r="D741" i="15"/>
  <c r="E741" i="15"/>
  <c r="F741" i="15"/>
  <c r="G741" i="15"/>
  <c r="H741" i="15"/>
  <c r="I741" i="15"/>
  <c r="J741" i="15"/>
  <c r="K741" i="15"/>
  <c r="P741" i="15"/>
  <c r="R741" i="15"/>
  <c r="S741" i="15"/>
  <c r="B742" i="15"/>
  <c r="C742" i="15"/>
  <c r="D742" i="15"/>
  <c r="E742" i="15"/>
  <c r="F742" i="15"/>
  <c r="G742" i="15"/>
  <c r="H742" i="15"/>
  <c r="I742" i="15"/>
  <c r="J742" i="15"/>
  <c r="K742" i="15"/>
  <c r="P742" i="15"/>
  <c r="R742" i="15"/>
  <c r="S742" i="15"/>
  <c r="B743" i="15"/>
  <c r="D743" i="15"/>
  <c r="E743" i="15"/>
  <c r="F743" i="15"/>
  <c r="G743" i="15"/>
  <c r="H743" i="15"/>
  <c r="I743" i="15"/>
  <c r="J743" i="15"/>
  <c r="K743" i="15"/>
  <c r="P743" i="15"/>
  <c r="R743" i="15"/>
  <c r="S743" i="15"/>
  <c r="B744" i="15"/>
  <c r="C744" i="15"/>
  <c r="D744" i="15"/>
  <c r="E744" i="15"/>
  <c r="F744" i="15"/>
  <c r="G744" i="15"/>
  <c r="H744" i="15"/>
  <c r="I744" i="15"/>
  <c r="J744" i="15"/>
  <c r="K744" i="15"/>
  <c r="P744" i="15"/>
  <c r="R744" i="15"/>
  <c r="S744" i="15"/>
  <c r="B745" i="15"/>
  <c r="D745" i="15"/>
  <c r="E745" i="15"/>
  <c r="F745" i="15"/>
  <c r="G745" i="15"/>
  <c r="H745" i="15"/>
  <c r="I745" i="15"/>
  <c r="J745" i="15"/>
  <c r="K745" i="15"/>
  <c r="O745" i="15"/>
  <c r="P745" i="15"/>
  <c r="R745" i="15"/>
  <c r="S745" i="15"/>
  <c r="B746" i="15"/>
  <c r="D746" i="15"/>
  <c r="E746" i="15"/>
  <c r="G746" i="15"/>
  <c r="H746" i="15"/>
  <c r="I746" i="15"/>
  <c r="J746" i="15"/>
  <c r="K746" i="15"/>
  <c r="O746" i="15"/>
  <c r="P746" i="15"/>
  <c r="R746" i="15"/>
  <c r="S746" i="15"/>
  <c r="B747" i="15"/>
  <c r="D747" i="15"/>
  <c r="E747" i="15"/>
  <c r="G747" i="15"/>
  <c r="H747" i="15"/>
  <c r="I747" i="15"/>
  <c r="J747" i="15"/>
  <c r="K747" i="15"/>
  <c r="P747" i="15"/>
  <c r="R747" i="15"/>
  <c r="S747" i="15"/>
  <c r="B748" i="15"/>
  <c r="E748" i="15"/>
  <c r="G748" i="15"/>
  <c r="H748" i="15"/>
  <c r="I748" i="15"/>
  <c r="J748" i="15"/>
  <c r="K748" i="15"/>
  <c r="P748" i="15"/>
  <c r="B749" i="15"/>
  <c r="E749" i="15"/>
  <c r="G749" i="15"/>
  <c r="H749" i="15"/>
  <c r="I749" i="15"/>
  <c r="J749" i="15"/>
  <c r="K749" i="15"/>
  <c r="P749" i="15"/>
  <c r="B750" i="15"/>
  <c r="E750" i="15"/>
  <c r="G750" i="15"/>
  <c r="H750" i="15"/>
  <c r="I750" i="15"/>
  <c r="J750" i="15"/>
  <c r="K750" i="15"/>
  <c r="P750" i="15"/>
  <c r="B751" i="15"/>
  <c r="E751" i="15"/>
  <c r="G751" i="15"/>
  <c r="H751" i="15"/>
  <c r="I751" i="15"/>
  <c r="J751" i="15"/>
  <c r="K751" i="15"/>
  <c r="P751" i="15"/>
  <c r="B752" i="15"/>
  <c r="D752" i="15"/>
  <c r="E752" i="15"/>
  <c r="G752" i="15"/>
  <c r="H752" i="15"/>
  <c r="I752" i="15"/>
  <c r="J752" i="15"/>
  <c r="K752" i="15"/>
  <c r="P752" i="15"/>
  <c r="R752" i="15"/>
  <c r="S752" i="15"/>
  <c r="B753" i="15"/>
  <c r="D753" i="15"/>
  <c r="E753" i="15"/>
  <c r="G753" i="15"/>
  <c r="H753" i="15"/>
  <c r="I753" i="15"/>
  <c r="J753" i="15"/>
  <c r="K753" i="15"/>
  <c r="O753" i="15"/>
  <c r="P753" i="15"/>
  <c r="R753" i="15"/>
  <c r="S753" i="15"/>
  <c r="B754" i="15"/>
  <c r="D754" i="15"/>
  <c r="E754" i="15"/>
  <c r="G754" i="15"/>
  <c r="H754" i="15"/>
  <c r="I754" i="15"/>
  <c r="J754" i="15"/>
  <c r="K754" i="15"/>
  <c r="O754" i="15"/>
  <c r="P754" i="15"/>
  <c r="R754" i="15"/>
  <c r="S754" i="15"/>
  <c r="B755" i="15"/>
  <c r="D755" i="15"/>
  <c r="E755" i="15"/>
  <c r="G755" i="15"/>
  <c r="H755" i="15"/>
  <c r="I755" i="15"/>
  <c r="J755" i="15"/>
  <c r="K755" i="15"/>
  <c r="L755" i="15"/>
  <c r="P755" i="15"/>
  <c r="R755" i="15"/>
  <c r="S755" i="15"/>
  <c r="B756" i="15"/>
  <c r="E756" i="15"/>
  <c r="G756" i="15"/>
  <c r="H756" i="15"/>
  <c r="I756" i="15"/>
  <c r="J756" i="15"/>
  <c r="K756" i="15"/>
  <c r="P756" i="15"/>
  <c r="B757" i="15"/>
  <c r="E757" i="15"/>
  <c r="G757" i="15"/>
  <c r="H757" i="15"/>
  <c r="I757" i="15"/>
  <c r="J757" i="15"/>
  <c r="K757" i="15"/>
  <c r="P757" i="15"/>
  <c r="B758" i="15"/>
  <c r="E758" i="15"/>
  <c r="G758" i="15"/>
  <c r="H758" i="15"/>
  <c r="I758" i="15"/>
  <c r="J758" i="15"/>
  <c r="K758" i="15"/>
  <c r="P758" i="15"/>
  <c r="B759" i="15"/>
  <c r="D759" i="15"/>
  <c r="E759" i="15"/>
  <c r="G759" i="15"/>
  <c r="H759" i="15"/>
  <c r="I759" i="15"/>
  <c r="J759" i="15"/>
  <c r="K759" i="15"/>
  <c r="L759" i="15"/>
  <c r="P759" i="15"/>
  <c r="R759" i="15"/>
  <c r="S759" i="15"/>
  <c r="B760" i="15"/>
  <c r="E760" i="15"/>
  <c r="G760" i="15"/>
  <c r="H760" i="15"/>
  <c r="I760" i="15"/>
  <c r="J760" i="15"/>
  <c r="K760" i="15"/>
  <c r="P760" i="15"/>
  <c r="B761" i="15"/>
  <c r="E761" i="15"/>
  <c r="G761" i="15"/>
  <c r="H761" i="15"/>
  <c r="I761" i="15"/>
  <c r="J761" i="15"/>
  <c r="K761" i="15"/>
  <c r="P761" i="15"/>
  <c r="B762" i="15"/>
  <c r="E762" i="15"/>
  <c r="G762" i="15"/>
  <c r="H762" i="15"/>
  <c r="I762" i="15"/>
  <c r="J762" i="15"/>
  <c r="K762" i="15"/>
  <c r="P762" i="15"/>
  <c r="B763" i="15"/>
  <c r="E763" i="15"/>
  <c r="G763" i="15"/>
  <c r="H763" i="15"/>
  <c r="I763" i="15"/>
  <c r="J763" i="15"/>
  <c r="K763" i="15"/>
  <c r="P763" i="15"/>
  <c r="B764" i="15"/>
  <c r="D764" i="15"/>
  <c r="E764" i="15"/>
  <c r="G764" i="15"/>
  <c r="H764" i="15"/>
  <c r="I764" i="15"/>
  <c r="J764" i="15"/>
  <c r="K764" i="15"/>
  <c r="O764" i="15"/>
  <c r="P764" i="15"/>
  <c r="R764" i="15"/>
  <c r="S764" i="15"/>
  <c r="B765" i="15"/>
  <c r="D765" i="15"/>
  <c r="E765" i="15"/>
  <c r="G765" i="15"/>
  <c r="H765" i="15"/>
  <c r="I765" i="15"/>
  <c r="J765" i="15"/>
  <c r="K765" i="15"/>
  <c r="O765" i="15"/>
  <c r="P765" i="15"/>
  <c r="R765" i="15"/>
  <c r="S765" i="15"/>
  <c r="O44" i="86" l="1"/>
  <c r="O668" i="15" s="1"/>
  <c r="L765" i="15" l="1"/>
  <c r="Q765" i="15"/>
  <c r="L32" i="86"/>
  <c r="Q32" i="86" s="1"/>
  <c r="Q656" i="15" s="1"/>
  <c r="U765" i="15" l="1"/>
  <c r="M32" i="86"/>
  <c r="L656" i="15"/>
  <c r="N765" i="15"/>
  <c r="M765" i="15"/>
  <c r="M135" i="86"/>
  <c r="Q135" i="86" l="1"/>
  <c r="Q759" i="15" s="1"/>
  <c r="O759" i="15"/>
  <c r="N135" i="86"/>
  <c r="N759" i="15" s="1"/>
  <c r="M759" i="15"/>
  <c r="N32" i="86"/>
  <c r="N656" i="15" s="1"/>
  <c r="M656" i="15"/>
  <c r="L128" i="86" l="1"/>
  <c r="O128" i="86"/>
  <c r="O752" i="15" s="1"/>
  <c r="L129" i="86"/>
  <c r="L130" i="86"/>
  <c r="L123" i="86"/>
  <c r="O123" i="86"/>
  <c r="O747" i="15" s="1"/>
  <c r="M130" i="86" l="1"/>
  <c r="L754" i="15"/>
  <c r="Q129" i="86"/>
  <c r="Q753" i="15" s="1"/>
  <c r="L753" i="15"/>
  <c r="M123" i="86"/>
  <c r="L747" i="15"/>
  <c r="M128" i="86"/>
  <c r="L752" i="15"/>
  <c r="Q123" i="86"/>
  <c r="Q747" i="15" s="1"/>
  <c r="Q128" i="86"/>
  <c r="Q752" i="15" s="1"/>
  <c r="Q130" i="86"/>
  <c r="Q754" i="15" s="1"/>
  <c r="M129" i="86"/>
  <c r="N129" i="86" l="1"/>
  <c r="N753" i="15" s="1"/>
  <c r="M753" i="15"/>
  <c r="N128" i="86"/>
  <c r="N752" i="15" s="1"/>
  <c r="M752" i="15"/>
  <c r="N123" i="86"/>
  <c r="N747" i="15" s="1"/>
  <c r="M747" i="15"/>
  <c r="N130" i="86"/>
  <c r="N754" i="15" s="1"/>
  <c r="M754" i="15"/>
  <c r="O639" i="15" l="1"/>
  <c r="O22" i="85"/>
  <c r="O49" i="86" l="1"/>
  <c r="O673" i="15" s="1"/>
  <c r="O755" i="15" l="1"/>
  <c r="M131" i="86" l="1"/>
  <c r="N131" i="86" l="1"/>
  <c r="N755" i="15" s="1"/>
  <c r="M755" i="15"/>
  <c r="Q131" i="86"/>
  <c r="Q755" i="15" s="1"/>
  <c r="L67" i="86" l="1"/>
  <c r="L73" i="86"/>
  <c r="L70" i="86"/>
  <c r="L71" i="86"/>
  <c r="L72" i="86"/>
  <c r="L69" i="86"/>
  <c r="L68" i="86"/>
  <c r="M70" i="86" l="1"/>
  <c r="L694" i="15"/>
  <c r="Q72" i="86"/>
  <c r="Q696" i="15" s="1"/>
  <c r="L696" i="15"/>
  <c r="M71" i="86"/>
  <c r="M695" i="15" s="1"/>
  <c r="L695" i="15"/>
  <c r="M68" i="86"/>
  <c r="L692" i="15"/>
  <c r="M69" i="86"/>
  <c r="L693" i="15"/>
  <c r="M73" i="86"/>
  <c r="M697" i="15" s="1"/>
  <c r="L697" i="15"/>
  <c r="M67" i="86"/>
  <c r="M691" i="15" s="1"/>
  <c r="L691" i="15"/>
  <c r="M72" i="86"/>
  <c r="Q69" i="86"/>
  <c r="Q693" i="15" s="1"/>
  <c r="Q73" i="86"/>
  <c r="Q697" i="15" s="1"/>
  <c r="Q67" i="86"/>
  <c r="Q691" i="15" s="1"/>
  <c r="Q70" i="86"/>
  <c r="Q694" i="15" s="1"/>
  <c r="Q71" i="86"/>
  <c r="Q695" i="15" s="1"/>
  <c r="Q68" i="86"/>
  <c r="Q692" i="15" s="1"/>
  <c r="N71" i="86" l="1"/>
  <c r="N695" i="15" s="1"/>
  <c r="N67" i="86"/>
  <c r="N691" i="15" s="1"/>
  <c r="N73" i="86"/>
  <c r="N697" i="15" s="1"/>
  <c r="N72" i="86"/>
  <c r="N696" i="15" s="1"/>
  <c r="M696" i="15"/>
  <c r="N68" i="86"/>
  <c r="N692" i="15" s="1"/>
  <c r="M692" i="15"/>
  <c r="N69" i="86"/>
  <c r="N693" i="15" s="1"/>
  <c r="M693" i="15"/>
  <c r="N70" i="86"/>
  <c r="N694" i="15" s="1"/>
  <c r="M694" i="15"/>
  <c r="L64" i="86" l="1"/>
  <c r="M64" i="86" l="1"/>
  <c r="L688" i="15"/>
  <c r="Q64" i="86"/>
  <c r="Q688" i="15" s="1"/>
  <c r="N64" i="86" l="1"/>
  <c r="N688" i="15" s="1"/>
  <c r="M688" i="15"/>
  <c r="L36" i="86"/>
  <c r="M36" i="86" l="1"/>
  <c r="M660" i="15" s="1"/>
  <c r="L660" i="15"/>
  <c r="Q36" i="86"/>
  <c r="Q660" i="15" s="1"/>
  <c r="L74" i="86"/>
  <c r="N36" i="86" l="1"/>
  <c r="N660" i="15" s="1"/>
  <c r="M74" i="86"/>
  <c r="L698" i="15"/>
  <c r="Q74" i="86"/>
  <c r="Q698" i="15" s="1"/>
  <c r="N74" i="86" l="1"/>
  <c r="N698" i="15" s="1"/>
  <c r="M698" i="15"/>
  <c r="B1" i="75"/>
  <c r="B1" i="79"/>
  <c r="B1" i="80"/>
  <c r="B1" i="84"/>
  <c r="B1" i="85"/>
  <c r="B1" i="86"/>
  <c r="L65" i="86" l="1"/>
  <c r="L38" i="86"/>
  <c r="Q38" i="86" l="1"/>
  <c r="Q662" i="15" s="1"/>
  <c r="L662" i="15"/>
  <c r="Q65" i="86"/>
  <c r="Q689" i="15" s="1"/>
  <c r="L689" i="15"/>
  <c r="M65" i="86"/>
  <c r="M38" i="86"/>
  <c r="N38" i="86" l="1"/>
  <c r="N662" i="15" s="1"/>
  <c r="M662" i="15"/>
  <c r="N65" i="86"/>
  <c r="N689" i="15" s="1"/>
  <c r="M689" i="15"/>
  <c r="L40" i="86"/>
  <c r="M40" i="86" l="1"/>
  <c r="M664" i="15" s="1"/>
  <c r="L664" i="15"/>
  <c r="Q40" i="86"/>
  <c r="Q664" i="15" s="1"/>
  <c r="O116" i="86"/>
  <c r="O740" i="15" s="1"/>
  <c r="L116" i="86"/>
  <c r="L740" i="15" s="1"/>
  <c r="N40" i="86" l="1"/>
  <c r="N664" i="15" s="1"/>
  <c r="Q116" i="86"/>
  <c r="Q740" i="15" s="1"/>
  <c r="M116" i="86"/>
  <c r="N116" i="86" l="1"/>
  <c r="N740" i="15" s="1"/>
  <c r="M740" i="15"/>
  <c r="L66" i="86"/>
  <c r="L29" i="86"/>
  <c r="Q29" i="86" l="1"/>
  <c r="Q653" i="15" s="1"/>
  <c r="L653" i="15"/>
  <c r="Q66" i="86"/>
  <c r="Q690" i="15" s="1"/>
  <c r="L690" i="15"/>
  <c r="M66" i="86"/>
  <c r="M29" i="86"/>
  <c r="N29" i="86" l="1"/>
  <c r="N653" i="15" s="1"/>
  <c r="M653" i="15"/>
  <c r="N66" i="86"/>
  <c r="N690" i="15" s="1"/>
  <c r="M690" i="15"/>
  <c r="B625" i="15"/>
  <c r="D625" i="15"/>
  <c r="E625" i="15"/>
  <c r="F625" i="15"/>
  <c r="G625" i="15"/>
  <c r="H625" i="15"/>
  <c r="I625" i="15"/>
  <c r="J625" i="15"/>
  <c r="K625" i="15"/>
  <c r="O625" i="15"/>
  <c r="P625" i="15"/>
  <c r="R625" i="15"/>
  <c r="S625" i="15"/>
  <c r="B626" i="15"/>
  <c r="D626" i="15"/>
  <c r="E626" i="15"/>
  <c r="F626" i="15"/>
  <c r="G626" i="15"/>
  <c r="H626" i="15"/>
  <c r="I626" i="15"/>
  <c r="J626" i="15"/>
  <c r="K626" i="15"/>
  <c r="P626" i="15"/>
  <c r="R626" i="15"/>
  <c r="S626" i="15"/>
  <c r="L27" i="86" l="1"/>
  <c r="Q27" i="86" l="1"/>
  <c r="Q651" i="15" s="1"/>
  <c r="L651" i="15"/>
  <c r="M27" i="86"/>
  <c r="N27" i="86" l="1"/>
  <c r="N651" i="15" s="1"/>
  <c r="M651" i="15"/>
  <c r="O116" i="85"/>
  <c r="O626" i="15" s="1"/>
  <c r="P19" i="15" l="1"/>
  <c r="O48" i="86" l="1"/>
  <c r="O672" i="15" s="1"/>
  <c r="O64" i="85" l="1"/>
  <c r="O14" i="85"/>
  <c r="O57" i="85"/>
  <c r="O41" i="85"/>
  <c r="O40" i="85"/>
  <c r="B624" i="15" l="1"/>
  <c r="D624" i="15"/>
  <c r="E624" i="15"/>
  <c r="F624" i="15"/>
  <c r="G624" i="15"/>
  <c r="H624" i="15"/>
  <c r="I624" i="15"/>
  <c r="J624" i="15"/>
  <c r="K624" i="15"/>
  <c r="O624" i="15"/>
  <c r="P624" i="15"/>
  <c r="R624" i="15"/>
  <c r="S624" i="15"/>
  <c r="O92" i="86"/>
  <c r="O716" i="15" s="1"/>
  <c r="O83" i="85"/>
  <c r="L77" i="86" l="1"/>
  <c r="L114" i="85"/>
  <c r="Q77" i="86" l="1"/>
  <c r="Q701" i="15" s="1"/>
  <c r="L701" i="15"/>
  <c r="Q114" i="85"/>
  <c r="Q624" i="15" s="1"/>
  <c r="L624" i="15"/>
  <c r="M77" i="86"/>
  <c r="M114" i="85"/>
  <c r="M624" i="15" s="1"/>
  <c r="N77" i="86" l="1"/>
  <c r="N701" i="15" s="1"/>
  <c r="M701" i="15"/>
  <c r="N114" i="85"/>
  <c r="N624" i="15" s="1"/>
  <c r="B513" i="15"/>
  <c r="D513" i="15"/>
  <c r="E513" i="15"/>
  <c r="F513" i="15"/>
  <c r="G513" i="15"/>
  <c r="H513" i="15"/>
  <c r="I513" i="15"/>
  <c r="J513" i="15"/>
  <c r="K513" i="15"/>
  <c r="P513" i="15"/>
  <c r="R513" i="15"/>
  <c r="S513" i="15"/>
  <c r="B514" i="15"/>
  <c r="D514" i="15"/>
  <c r="E514" i="15"/>
  <c r="G514" i="15"/>
  <c r="H514" i="15"/>
  <c r="I514" i="15"/>
  <c r="J514" i="15"/>
  <c r="K514" i="15"/>
  <c r="P514" i="15"/>
  <c r="R514" i="15"/>
  <c r="S514" i="15"/>
  <c r="B515" i="15"/>
  <c r="C515" i="15"/>
  <c r="D515" i="15"/>
  <c r="E515" i="15"/>
  <c r="G515" i="15"/>
  <c r="H515" i="15"/>
  <c r="I515" i="15"/>
  <c r="J515" i="15"/>
  <c r="K515" i="15"/>
  <c r="P515" i="15"/>
  <c r="R515" i="15"/>
  <c r="S515" i="15"/>
  <c r="B516" i="15"/>
  <c r="C516" i="15"/>
  <c r="D516" i="15"/>
  <c r="E516" i="15"/>
  <c r="G516" i="15"/>
  <c r="H516" i="15"/>
  <c r="I516" i="15"/>
  <c r="J516" i="15"/>
  <c r="K516" i="15"/>
  <c r="O516" i="15"/>
  <c r="P516" i="15"/>
  <c r="R516" i="15"/>
  <c r="S516" i="15"/>
  <c r="B517" i="15"/>
  <c r="D517" i="15"/>
  <c r="E517" i="15"/>
  <c r="F517" i="15"/>
  <c r="G517" i="15"/>
  <c r="H517" i="15"/>
  <c r="I517" i="15"/>
  <c r="J517" i="15"/>
  <c r="K517" i="15"/>
  <c r="O517" i="15"/>
  <c r="P517" i="15"/>
  <c r="R517" i="15"/>
  <c r="S517" i="15"/>
  <c r="B518" i="15"/>
  <c r="D518" i="15"/>
  <c r="E518" i="15"/>
  <c r="F518" i="15"/>
  <c r="G518" i="15"/>
  <c r="H518" i="15"/>
  <c r="I518" i="15"/>
  <c r="J518" i="15"/>
  <c r="K518" i="15"/>
  <c r="O518" i="15"/>
  <c r="P518" i="15"/>
  <c r="R518" i="15"/>
  <c r="S518" i="15"/>
  <c r="B519" i="15"/>
  <c r="D519" i="15"/>
  <c r="E519" i="15"/>
  <c r="F519" i="15"/>
  <c r="G519" i="15"/>
  <c r="H519" i="15"/>
  <c r="I519" i="15"/>
  <c r="J519" i="15"/>
  <c r="K519" i="15"/>
  <c r="O519" i="15"/>
  <c r="P519" i="15"/>
  <c r="R519" i="15"/>
  <c r="S519" i="15"/>
  <c r="B520" i="15"/>
  <c r="D520" i="15"/>
  <c r="E520" i="15"/>
  <c r="F520" i="15"/>
  <c r="G520" i="15"/>
  <c r="H520" i="15"/>
  <c r="I520" i="15"/>
  <c r="J520" i="15"/>
  <c r="P520" i="15"/>
  <c r="R520" i="15"/>
  <c r="S520" i="15"/>
  <c r="B521" i="15"/>
  <c r="D521" i="15"/>
  <c r="E521" i="15"/>
  <c r="F521" i="15"/>
  <c r="G521" i="15"/>
  <c r="H521" i="15"/>
  <c r="I521" i="15"/>
  <c r="J521" i="15"/>
  <c r="K521" i="15"/>
  <c r="P521" i="15"/>
  <c r="R521" i="15"/>
  <c r="S521" i="15"/>
  <c r="B522" i="15"/>
  <c r="D522" i="15"/>
  <c r="E522" i="15"/>
  <c r="F522" i="15"/>
  <c r="G522" i="15"/>
  <c r="H522" i="15"/>
  <c r="I522" i="15"/>
  <c r="J522" i="15"/>
  <c r="K522" i="15"/>
  <c r="O522" i="15"/>
  <c r="P522" i="15"/>
  <c r="R522" i="15"/>
  <c r="S522" i="15"/>
  <c r="B523" i="15"/>
  <c r="D523" i="15"/>
  <c r="E523" i="15"/>
  <c r="F523" i="15"/>
  <c r="G523" i="15"/>
  <c r="H523" i="15"/>
  <c r="I523" i="15"/>
  <c r="J523" i="15"/>
  <c r="K523" i="15"/>
  <c r="O523" i="15"/>
  <c r="P523" i="15"/>
  <c r="R523" i="15"/>
  <c r="S523" i="15"/>
  <c r="B524" i="15"/>
  <c r="D524" i="15"/>
  <c r="E524" i="15"/>
  <c r="F524" i="15"/>
  <c r="G524" i="15"/>
  <c r="H524" i="15"/>
  <c r="I524" i="15"/>
  <c r="J524" i="15"/>
  <c r="K524" i="15"/>
  <c r="P524" i="15"/>
  <c r="R524" i="15"/>
  <c r="S524" i="15"/>
  <c r="B525" i="15"/>
  <c r="D525" i="15"/>
  <c r="E525" i="15"/>
  <c r="G525" i="15"/>
  <c r="H525" i="15"/>
  <c r="I525" i="15"/>
  <c r="J525" i="15"/>
  <c r="K525" i="15"/>
  <c r="O525" i="15"/>
  <c r="P525" i="15"/>
  <c r="R525" i="15"/>
  <c r="S525" i="15"/>
  <c r="B526" i="15"/>
  <c r="D526" i="15"/>
  <c r="E526" i="15"/>
  <c r="G526" i="15"/>
  <c r="H526" i="15"/>
  <c r="I526" i="15"/>
  <c r="J526" i="15"/>
  <c r="K526" i="15"/>
  <c r="P526" i="15"/>
  <c r="R526" i="15"/>
  <c r="S526" i="15"/>
  <c r="B527" i="15"/>
  <c r="D527" i="15"/>
  <c r="E527" i="15"/>
  <c r="F527" i="15"/>
  <c r="G527" i="15"/>
  <c r="H527" i="15"/>
  <c r="I527" i="15"/>
  <c r="J527" i="15"/>
  <c r="K527" i="15"/>
  <c r="O527" i="15"/>
  <c r="P527" i="15"/>
  <c r="R527" i="15"/>
  <c r="S527" i="15"/>
  <c r="B528" i="15"/>
  <c r="D528" i="15"/>
  <c r="E528" i="15"/>
  <c r="F528" i="15"/>
  <c r="G528" i="15"/>
  <c r="H528" i="15"/>
  <c r="I528" i="15"/>
  <c r="J528" i="15"/>
  <c r="K528" i="15"/>
  <c r="O528" i="15"/>
  <c r="P528" i="15"/>
  <c r="R528" i="15"/>
  <c r="S528" i="15"/>
  <c r="B529" i="15"/>
  <c r="D529" i="15"/>
  <c r="E529" i="15"/>
  <c r="F529" i="15"/>
  <c r="G529" i="15"/>
  <c r="H529" i="15"/>
  <c r="I529" i="15"/>
  <c r="J529" i="15"/>
  <c r="K529" i="15"/>
  <c r="L529" i="15"/>
  <c r="O529" i="15"/>
  <c r="P529" i="15"/>
  <c r="R529" i="15"/>
  <c r="S529" i="15"/>
  <c r="B530" i="15"/>
  <c r="E530" i="15"/>
  <c r="F530" i="15"/>
  <c r="G530" i="15"/>
  <c r="H530" i="15"/>
  <c r="I530" i="15"/>
  <c r="J530" i="15"/>
  <c r="K530" i="15"/>
  <c r="B531" i="15"/>
  <c r="D531" i="15"/>
  <c r="E531" i="15"/>
  <c r="G531" i="15"/>
  <c r="H531" i="15"/>
  <c r="I531" i="15"/>
  <c r="J531" i="15"/>
  <c r="K531" i="15"/>
  <c r="O531" i="15"/>
  <c r="P531" i="15"/>
  <c r="R531" i="15"/>
  <c r="S531" i="15"/>
  <c r="B532" i="15"/>
  <c r="D532" i="15"/>
  <c r="E532" i="15"/>
  <c r="G532" i="15"/>
  <c r="H532" i="15"/>
  <c r="I532" i="15"/>
  <c r="J532" i="15"/>
  <c r="K532" i="15"/>
  <c r="O532" i="15"/>
  <c r="P532" i="15"/>
  <c r="R532" i="15"/>
  <c r="S532" i="15"/>
  <c r="B533" i="15"/>
  <c r="D533" i="15"/>
  <c r="E533" i="15"/>
  <c r="F533" i="15"/>
  <c r="G533" i="15"/>
  <c r="H533" i="15"/>
  <c r="I533" i="15"/>
  <c r="J533" i="15"/>
  <c r="K533" i="15"/>
  <c r="O533" i="15"/>
  <c r="P533" i="15"/>
  <c r="R533" i="15"/>
  <c r="S533" i="15"/>
  <c r="B534" i="15"/>
  <c r="D534" i="15"/>
  <c r="E534" i="15"/>
  <c r="F534" i="15"/>
  <c r="G534" i="15"/>
  <c r="H534" i="15"/>
  <c r="I534" i="15"/>
  <c r="J534" i="15"/>
  <c r="K534" i="15"/>
  <c r="O534" i="15"/>
  <c r="P534" i="15"/>
  <c r="R534" i="15"/>
  <c r="S534" i="15"/>
  <c r="B535" i="15"/>
  <c r="D535" i="15"/>
  <c r="E535" i="15"/>
  <c r="G535" i="15"/>
  <c r="H535" i="15"/>
  <c r="I535" i="15"/>
  <c r="J535" i="15"/>
  <c r="K535" i="15"/>
  <c r="O535" i="15"/>
  <c r="P535" i="15"/>
  <c r="R535" i="15"/>
  <c r="S535" i="15"/>
  <c r="B536" i="15"/>
  <c r="C536" i="15"/>
  <c r="D536" i="15"/>
  <c r="E536" i="15"/>
  <c r="F536" i="15"/>
  <c r="G536" i="15"/>
  <c r="H536" i="15"/>
  <c r="I536" i="15"/>
  <c r="J536" i="15"/>
  <c r="K536" i="15"/>
  <c r="O536" i="15"/>
  <c r="P536" i="15"/>
  <c r="R536" i="15"/>
  <c r="S536" i="15"/>
  <c r="B537" i="15"/>
  <c r="C537" i="15"/>
  <c r="D537" i="15"/>
  <c r="E537" i="15"/>
  <c r="F537" i="15"/>
  <c r="G537" i="15"/>
  <c r="H537" i="15"/>
  <c r="I537" i="15"/>
  <c r="J537" i="15"/>
  <c r="K537" i="15"/>
  <c r="P537" i="15"/>
  <c r="R537" i="15"/>
  <c r="S537" i="15"/>
  <c r="B538" i="15"/>
  <c r="D538" i="15"/>
  <c r="E538" i="15"/>
  <c r="F538" i="15"/>
  <c r="G538" i="15"/>
  <c r="H538" i="15"/>
  <c r="I538" i="15"/>
  <c r="J538" i="15"/>
  <c r="K538" i="15"/>
  <c r="O538" i="15"/>
  <c r="P538" i="15"/>
  <c r="R538" i="15"/>
  <c r="S538" i="15"/>
  <c r="B539" i="15"/>
  <c r="D539" i="15"/>
  <c r="E539" i="15"/>
  <c r="F539" i="15"/>
  <c r="G539" i="15"/>
  <c r="H539" i="15"/>
  <c r="I539" i="15"/>
  <c r="J539" i="15"/>
  <c r="K539" i="15"/>
  <c r="O539" i="15"/>
  <c r="P539" i="15"/>
  <c r="R539" i="15"/>
  <c r="S539" i="15"/>
  <c r="B540" i="15"/>
  <c r="D540" i="15"/>
  <c r="E540" i="15"/>
  <c r="G540" i="15"/>
  <c r="H540" i="15"/>
  <c r="I540" i="15"/>
  <c r="J540" i="15"/>
  <c r="K540" i="15"/>
  <c r="O540" i="15"/>
  <c r="P540" i="15"/>
  <c r="R540" i="15"/>
  <c r="S540" i="15"/>
  <c r="B541" i="15"/>
  <c r="D541" i="15"/>
  <c r="E541" i="15"/>
  <c r="F541" i="15"/>
  <c r="G541" i="15"/>
  <c r="H541" i="15"/>
  <c r="I541" i="15"/>
  <c r="J541" i="15"/>
  <c r="K541" i="15"/>
  <c r="O541" i="15"/>
  <c r="P541" i="15"/>
  <c r="R541" i="15"/>
  <c r="S541" i="15"/>
  <c r="B542" i="15"/>
  <c r="D542" i="15"/>
  <c r="E542" i="15"/>
  <c r="G542" i="15"/>
  <c r="H542" i="15"/>
  <c r="I542" i="15"/>
  <c r="J542" i="15"/>
  <c r="K542" i="15"/>
  <c r="P542" i="15"/>
  <c r="R542" i="15"/>
  <c r="S542" i="15"/>
  <c r="B543" i="15"/>
  <c r="D543" i="15"/>
  <c r="E543" i="15"/>
  <c r="F543" i="15"/>
  <c r="G543" i="15"/>
  <c r="H543" i="15"/>
  <c r="I543" i="15"/>
  <c r="J543" i="15"/>
  <c r="K543" i="15"/>
  <c r="P543" i="15"/>
  <c r="R543" i="15"/>
  <c r="S543" i="15"/>
  <c r="B544" i="15"/>
  <c r="D544" i="15"/>
  <c r="E544" i="15"/>
  <c r="F544" i="15"/>
  <c r="G544" i="15"/>
  <c r="H544" i="15"/>
  <c r="I544" i="15"/>
  <c r="J544" i="15"/>
  <c r="K544" i="15"/>
  <c r="O544" i="15"/>
  <c r="P544" i="15"/>
  <c r="R544" i="15"/>
  <c r="S544" i="15"/>
  <c r="B545" i="15"/>
  <c r="D545" i="15"/>
  <c r="E545" i="15"/>
  <c r="F545" i="15"/>
  <c r="G545" i="15"/>
  <c r="H545" i="15"/>
  <c r="I545" i="15"/>
  <c r="J545" i="15"/>
  <c r="K545" i="15"/>
  <c r="O545" i="15"/>
  <c r="P545" i="15"/>
  <c r="R545" i="15"/>
  <c r="S545" i="15"/>
  <c r="B546" i="15"/>
  <c r="C546" i="15"/>
  <c r="D546" i="15"/>
  <c r="E546" i="15"/>
  <c r="G546" i="15"/>
  <c r="H546" i="15"/>
  <c r="I546" i="15"/>
  <c r="J546" i="15"/>
  <c r="K546" i="15"/>
  <c r="O546" i="15"/>
  <c r="P546" i="15"/>
  <c r="R546" i="15"/>
  <c r="S546" i="15"/>
  <c r="D547" i="15"/>
  <c r="E547" i="15"/>
  <c r="G547" i="15"/>
  <c r="H547" i="15"/>
  <c r="I547" i="15"/>
  <c r="J547" i="15"/>
  <c r="K547" i="15"/>
  <c r="P547" i="15"/>
  <c r="R547" i="15"/>
  <c r="S547" i="15"/>
  <c r="B548" i="15"/>
  <c r="D548" i="15"/>
  <c r="E548" i="15"/>
  <c r="G548" i="15"/>
  <c r="H548" i="15"/>
  <c r="I548" i="15"/>
  <c r="J548" i="15"/>
  <c r="K548" i="15"/>
  <c r="P548" i="15"/>
  <c r="R548" i="15"/>
  <c r="S548" i="15"/>
  <c r="B549" i="15"/>
  <c r="D549" i="15"/>
  <c r="E549" i="15"/>
  <c r="G549" i="15"/>
  <c r="H549" i="15"/>
  <c r="I549" i="15"/>
  <c r="J549" i="15"/>
  <c r="K549" i="15"/>
  <c r="O549" i="15"/>
  <c r="P549" i="15"/>
  <c r="R549" i="15"/>
  <c r="S549" i="15"/>
  <c r="B550" i="15"/>
  <c r="D550" i="15"/>
  <c r="E550" i="15"/>
  <c r="G550" i="15"/>
  <c r="H550" i="15"/>
  <c r="I550" i="15"/>
  <c r="J550" i="15"/>
  <c r="K550" i="15"/>
  <c r="P550" i="15"/>
  <c r="R550" i="15"/>
  <c r="S550" i="15"/>
  <c r="B551" i="15"/>
  <c r="D551" i="15"/>
  <c r="E551" i="15"/>
  <c r="F551" i="15"/>
  <c r="G551" i="15"/>
  <c r="H551" i="15"/>
  <c r="I551" i="15"/>
  <c r="J551" i="15"/>
  <c r="K551" i="15"/>
  <c r="P551" i="15"/>
  <c r="R551" i="15"/>
  <c r="S551" i="15"/>
  <c r="B552" i="15"/>
  <c r="D552" i="15"/>
  <c r="E552" i="15"/>
  <c r="G552" i="15"/>
  <c r="H552" i="15"/>
  <c r="I552" i="15"/>
  <c r="J552" i="15"/>
  <c r="K552" i="15"/>
  <c r="L552" i="15"/>
  <c r="P552" i="15"/>
  <c r="R552" i="15"/>
  <c r="S552" i="15"/>
  <c r="B553" i="15"/>
  <c r="E553" i="15"/>
  <c r="G553" i="15"/>
  <c r="H553" i="15"/>
  <c r="I553" i="15"/>
  <c r="J553" i="15"/>
  <c r="K553" i="15"/>
  <c r="P553" i="15"/>
  <c r="B554" i="15"/>
  <c r="E554" i="15"/>
  <c r="G554" i="15"/>
  <c r="H554" i="15"/>
  <c r="I554" i="15"/>
  <c r="J554" i="15"/>
  <c r="K554" i="15"/>
  <c r="P554" i="15"/>
  <c r="B555" i="15"/>
  <c r="C555" i="15"/>
  <c r="D555" i="15"/>
  <c r="E555" i="15"/>
  <c r="F555" i="15"/>
  <c r="G555" i="15"/>
  <c r="H555" i="15"/>
  <c r="I555" i="15"/>
  <c r="J555" i="15"/>
  <c r="K555" i="15"/>
  <c r="P555" i="15"/>
  <c r="R555" i="15"/>
  <c r="S555" i="15"/>
  <c r="B556" i="15"/>
  <c r="D556" i="15"/>
  <c r="E556" i="15"/>
  <c r="F556" i="15"/>
  <c r="G556" i="15"/>
  <c r="H556" i="15"/>
  <c r="I556" i="15"/>
  <c r="J556" i="15"/>
  <c r="K556" i="15"/>
  <c r="O556" i="15"/>
  <c r="P556" i="15"/>
  <c r="R556" i="15"/>
  <c r="S556" i="15"/>
  <c r="B557" i="15"/>
  <c r="D557" i="15"/>
  <c r="E557" i="15"/>
  <c r="F557" i="15"/>
  <c r="G557" i="15"/>
  <c r="H557" i="15"/>
  <c r="I557" i="15"/>
  <c r="J557" i="15"/>
  <c r="K557" i="15"/>
  <c r="P557" i="15"/>
  <c r="R557" i="15"/>
  <c r="S557" i="15"/>
  <c r="B558" i="15"/>
  <c r="D558" i="15"/>
  <c r="E558" i="15"/>
  <c r="F558" i="15"/>
  <c r="G558" i="15"/>
  <c r="H558" i="15"/>
  <c r="I558" i="15"/>
  <c r="J558" i="15"/>
  <c r="K558" i="15"/>
  <c r="P558" i="15"/>
  <c r="R558" i="15"/>
  <c r="S558" i="15"/>
  <c r="B559" i="15"/>
  <c r="D559" i="15"/>
  <c r="E559" i="15"/>
  <c r="F559" i="15"/>
  <c r="G559" i="15"/>
  <c r="H559" i="15"/>
  <c r="I559" i="15"/>
  <c r="J559" i="15"/>
  <c r="K559" i="15"/>
  <c r="O559" i="15"/>
  <c r="P559" i="15"/>
  <c r="R559" i="15"/>
  <c r="S559" i="15"/>
  <c r="B560" i="15"/>
  <c r="D560" i="15"/>
  <c r="E560" i="15"/>
  <c r="F560" i="15"/>
  <c r="G560" i="15"/>
  <c r="H560" i="15"/>
  <c r="I560" i="15"/>
  <c r="J560" i="15"/>
  <c r="K560" i="15"/>
  <c r="O560" i="15"/>
  <c r="P560" i="15"/>
  <c r="R560" i="15"/>
  <c r="S560" i="15"/>
  <c r="B561" i="15"/>
  <c r="D561" i="15"/>
  <c r="E561" i="15"/>
  <c r="G561" i="15"/>
  <c r="H561" i="15"/>
  <c r="I561" i="15"/>
  <c r="J561" i="15"/>
  <c r="K561" i="15"/>
  <c r="O561" i="15"/>
  <c r="P561" i="15"/>
  <c r="R561" i="15"/>
  <c r="S561" i="15"/>
  <c r="B562" i="15"/>
  <c r="D562" i="15"/>
  <c r="E562" i="15"/>
  <c r="G562" i="15"/>
  <c r="H562" i="15"/>
  <c r="I562" i="15"/>
  <c r="J562" i="15"/>
  <c r="K562" i="15"/>
  <c r="P562" i="15"/>
  <c r="R562" i="15"/>
  <c r="S562" i="15"/>
  <c r="B563" i="15"/>
  <c r="D563" i="15"/>
  <c r="E563" i="15"/>
  <c r="F563" i="15"/>
  <c r="G563" i="15"/>
  <c r="H563" i="15"/>
  <c r="I563" i="15"/>
  <c r="J563" i="15"/>
  <c r="K563" i="15"/>
  <c r="P563" i="15"/>
  <c r="R563" i="15"/>
  <c r="S563" i="15"/>
  <c r="B564" i="15"/>
  <c r="D564" i="15"/>
  <c r="E564" i="15"/>
  <c r="G564" i="15"/>
  <c r="H564" i="15"/>
  <c r="I564" i="15"/>
  <c r="J564" i="15"/>
  <c r="K564" i="15"/>
  <c r="P564" i="15"/>
  <c r="R564" i="15"/>
  <c r="S564" i="15"/>
  <c r="B565" i="15"/>
  <c r="D565" i="15"/>
  <c r="E565" i="15"/>
  <c r="G565" i="15"/>
  <c r="H565" i="15"/>
  <c r="I565" i="15"/>
  <c r="J565" i="15"/>
  <c r="K565" i="15"/>
  <c r="O565" i="15"/>
  <c r="P565" i="15"/>
  <c r="R565" i="15"/>
  <c r="S565" i="15"/>
  <c r="B566" i="15"/>
  <c r="D566" i="15"/>
  <c r="E566" i="15"/>
  <c r="G566" i="15"/>
  <c r="H566" i="15"/>
  <c r="I566" i="15"/>
  <c r="J566" i="15"/>
  <c r="K566" i="15"/>
  <c r="O566" i="15"/>
  <c r="P566" i="15"/>
  <c r="R566" i="15"/>
  <c r="S566" i="15"/>
  <c r="B567" i="15"/>
  <c r="D567" i="15"/>
  <c r="E567" i="15"/>
  <c r="F567" i="15"/>
  <c r="G567" i="15"/>
  <c r="H567" i="15"/>
  <c r="I567" i="15"/>
  <c r="J567" i="15"/>
  <c r="K567" i="15"/>
  <c r="P567" i="15"/>
  <c r="R567" i="15"/>
  <c r="S567" i="15"/>
  <c r="B568" i="15"/>
  <c r="D568" i="15"/>
  <c r="E568" i="15"/>
  <c r="G568" i="15"/>
  <c r="H568" i="15"/>
  <c r="I568" i="15"/>
  <c r="J568" i="15"/>
  <c r="K568" i="15"/>
  <c r="O568" i="15"/>
  <c r="P568" i="15"/>
  <c r="R568" i="15"/>
  <c r="S568" i="15"/>
  <c r="B569" i="15"/>
  <c r="D569" i="15"/>
  <c r="E569" i="15"/>
  <c r="F569" i="15"/>
  <c r="G569" i="15"/>
  <c r="H569" i="15"/>
  <c r="I569" i="15"/>
  <c r="J569" i="15"/>
  <c r="K569" i="15"/>
  <c r="O569" i="15"/>
  <c r="P569" i="15"/>
  <c r="R569" i="15"/>
  <c r="S569" i="15"/>
  <c r="B570" i="15"/>
  <c r="D570" i="15"/>
  <c r="E570" i="15"/>
  <c r="G570" i="15"/>
  <c r="H570" i="15"/>
  <c r="I570" i="15"/>
  <c r="J570" i="15"/>
  <c r="K570" i="15"/>
  <c r="P570" i="15"/>
  <c r="R570" i="15"/>
  <c r="S570" i="15"/>
  <c r="B571" i="15"/>
  <c r="D571" i="15"/>
  <c r="E571" i="15"/>
  <c r="G571" i="15"/>
  <c r="H571" i="15"/>
  <c r="I571" i="15"/>
  <c r="J571" i="15"/>
  <c r="K571" i="15"/>
  <c r="P571" i="15"/>
  <c r="R571" i="15"/>
  <c r="S571" i="15"/>
  <c r="B572" i="15"/>
  <c r="D572" i="15"/>
  <c r="E572" i="15"/>
  <c r="G572" i="15"/>
  <c r="H572" i="15"/>
  <c r="I572" i="15"/>
  <c r="J572" i="15"/>
  <c r="K572" i="15"/>
  <c r="L572" i="15"/>
  <c r="P572" i="15"/>
  <c r="R572" i="15"/>
  <c r="S572" i="15"/>
  <c r="E573" i="15"/>
  <c r="G573" i="15"/>
  <c r="H573" i="15"/>
  <c r="I573" i="15"/>
  <c r="J573" i="15"/>
  <c r="K573" i="15"/>
  <c r="P573" i="15"/>
  <c r="B574" i="15"/>
  <c r="D574" i="15"/>
  <c r="E574" i="15"/>
  <c r="F574" i="15"/>
  <c r="G574" i="15"/>
  <c r="H574" i="15"/>
  <c r="I574" i="15"/>
  <c r="J574" i="15"/>
  <c r="K574" i="15"/>
  <c r="O574" i="15"/>
  <c r="P574" i="15"/>
  <c r="R574" i="15"/>
  <c r="S574" i="15"/>
  <c r="B575" i="15"/>
  <c r="D575" i="15"/>
  <c r="E575" i="15"/>
  <c r="F575" i="15"/>
  <c r="G575" i="15"/>
  <c r="H575" i="15"/>
  <c r="I575" i="15"/>
  <c r="J575" i="15"/>
  <c r="K575" i="15"/>
  <c r="O575" i="15"/>
  <c r="P575" i="15"/>
  <c r="R575" i="15"/>
  <c r="S575" i="15"/>
  <c r="B576" i="15"/>
  <c r="D576" i="15"/>
  <c r="E576" i="15"/>
  <c r="F576" i="15"/>
  <c r="G576" i="15"/>
  <c r="H576" i="15"/>
  <c r="I576" i="15"/>
  <c r="J576" i="15"/>
  <c r="K576" i="15"/>
  <c r="O576" i="15"/>
  <c r="P576" i="15"/>
  <c r="R576" i="15"/>
  <c r="S576" i="15"/>
  <c r="B577" i="15"/>
  <c r="C577" i="15"/>
  <c r="D577" i="15"/>
  <c r="E577" i="15"/>
  <c r="F577" i="15"/>
  <c r="G577" i="15"/>
  <c r="H577" i="15"/>
  <c r="I577" i="15"/>
  <c r="J577" i="15"/>
  <c r="K577" i="15"/>
  <c r="O577" i="15"/>
  <c r="P577" i="15"/>
  <c r="R577" i="15"/>
  <c r="S577" i="15"/>
  <c r="B578" i="15"/>
  <c r="C578" i="15"/>
  <c r="D578" i="15"/>
  <c r="E578" i="15"/>
  <c r="F578" i="15"/>
  <c r="G578" i="15"/>
  <c r="H578" i="15"/>
  <c r="I578" i="15"/>
  <c r="J578" i="15"/>
  <c r="K578" i="15"/>
  <c r="O578" i="15"/>
  <c r="P578" i="15"/>
  <c r="R578" i="15"/>
  <c r="S578" i="15"/>
  <c r="B579" i="15"/>
  <c r="D579" i="15"/>
  <c r="E579" i="15"/>
  <c r="F579" i="15"/>
  <c r="G579" i="15"/>
  <c r="H579" i="15"/>
  <c r="I579" i="15"/>
  <c r="J579" i="15"/>
  <c r="K579" i="15"/>
  <c r="O579" i="15"/>
  <c r="P579" i="15"/>
  <c r="R579" i="15"/>
  <c r="S579" i="15"/>
  <c r="B580" i="15"/>
  <c r="D580" i="15"/>
  <c r="E580" i="15"/>
  <c r="F580" i="15"/>
  <c r="G580" i="15"/>
  <c r="H580" i="15"/>
  <c r="I580" i="15"/>
  <c r="J580" i="15"/>
  <c r="K580" i="15"/>
  <c r="O580" i="15"/>
  <c r="P580" i="15"/>
  <c r="R580" i="15"/>
  <c r="S580" i="15"/>
  <c r="B581" i="15"/>
  <c r="C581" i="15"/>
  <c r="D581" i="15"/>
  <c r="E581" i="15"/>
  <c r="F581" i="15"/>
  <c r="G581" i="15"/>
  <c r="H581" i="15"/>
  <c r="I581" i="15"/>
  <c r="J581" i="15"/>
  <c r="K581" i="15"/>
  <c r="O581" i="15"/>
  <c r="P581" i="15"/>
  <c r="R581" i="15"/>
  <c r="S581" i="15"/>
  <c r="B582" i="15"/>
  <c r="D582" i="15"/>
  <c r="E582" i="15"/>
  <c r="F582" i="15"/>
  <c r="G582" i="15"/>
  <c r="H582" i="15"/>
  <c r="I582" i="15"/>
  <c r="J582" i="15"/>
  <c r="K582" i="15"/>
  <c r="P582" i="15"/>
  <c r="R582" i="15"/>
  <c r="S582" i="15"/>
  <c r="B583" i="15"/>
  <c r="C583" i="15"/>
  <c r="D583" i="15"/>
  <c r="E583" i="15"/>
  <c r="F583" i="15"/>
  <c r="G583" i="15"/>
  <c r="H583" i="15"/>
  <c r="I583" i="15"/>
  <c r="J583" i="15"/>
  <c r="K583" i="15"/>
  <c r="P583" i="15"/>
  <c r="R583" i="15"/>
  <c r="S583" i="15"/>
  <c r="B584" i="15"/>
  <c r="C584" i="15"/>
  <c r="D584" i="15"/>
  <c r="E584" i="15"/>
  <c r="F584" i="15"/>
  <c r="G584" i="15"/>
  <c r="H584" i="15"/>
  <c r="I584" i="15"/>
  <c r="J584" i="15"/>
  <c r="K584" i="15"/>
  <c r="P584" i="15"/>
  <c r="R584" i="15"/>
  <c r="S584" i="15"/>
  <c r="B585" i="15"/>
  <c r="C585" i="15"/>
  <c r="D585" i="15"/>
  <c r="E585" i="15"/>
  <c r="F585" i="15"/>
  <c r="G585" i="15"/>
  <c r="H585" i="15"/>
  <c r="I585" i="15"/>
  <c r="J585" i="15"/>
  <c r="K585" i="15"/>
  <c r="O585" i="15"/>
  <c r="P585" i="15"/>
  <c r="R585" i="15"/>
  <c r="S585" i="15"/>
  <c r="B586" i="15"/>
  <c r="C586" i="15"/>
  <c r="D586" i="15"/>
  <c r="E586" i="15"/>
  <c r="F586" i="15"/>
  <c r="G586" i="15"/>
  <c r="H586" i="15"/>
  <c r="I586" i="15"/>
  <c r="J586" i="15"/>
  <c r="K586" i="15"/>
  <c r="O586" i="15"/>
  <c r="P586" i="15"/>
  <c r="R586" i="15"/>
  <c r="S586" i="15"/>
  <c r="B587" i="15"/>
  <c r="C587" i="15"/>
  <c r="D587" i="15"/>
  <c r="E587" i="15"/>
  <c r="F587" i="15"/>
  <c r="G587" i="15"/>
  <c r="H587" i="15"/>
  <c r="I587" i="15"/>
  <c r="J587" i="15"/>
  <c r="K587" i="15"/>
  <c r="O587" i="15"/>
  <c r="P587" i="15"/>
  <c r="R587" i="15"/>
  <c r="S587" i="15"/>
  <c r="B588" i="15"/>
  <c r="C588" i="15"/>
  <c r="D588" i="15"/>
  <c r="E588" i="15"/>
  <c r="F588" i="15"/>
  <c r="G588" i="15"/>
  <c r="H588" i="15"/>
  <c r="I588" i="15"/>
  <c r="J588" i="15"/>
  <c r="K588" i="15"/>
  <c r="P588" i="15"/>
  <c r="R588" i="15"/>
  <c r="S588" i="15"/>
  <c r="B589" i="15"/>
  <c r="C589" i="15"/>
  <c r="D589" i="15"/>
  <c r="E589" i="15"/>
  <c r="F589" i="15"/>
  <c r="G589" i="15"/>
  <c r="H589" i="15"/>
  <c r="I589" i="15"/>
  <c r="J589" i="15"/>
  <c r="K589" i="15"/>
  <c r="O589" i="15"/>
  <c r="P589" i="15"/>
  <c r="R589" i="15"/>
  <c r="S589" i="15"/>
  <c r="B590" i="15"/>
  <c r="C590" i="15"/>
  <c r="D590" i="15"/>
  <c r="E590" i="15"/>
  <c r="F590" i="15"/>
  <c r="G590" i="15"/>
  <c r="H590" i="15"/>
  <c r="I590" i="15"/>
  <c r="J590" i="15"/>
  <c r="K590" i="15"/>
  <c r="O590" i="15"/>
  <c r="P590" i="15"/>
  <c r="R590" i="15"/>
  <c r="S590" i="15"/>
  <c r="B591" i="15"/>
  <c r="C591" i="15"/>
  <c r="D591" i="15"/>
  <c r="E591" i="15"/>
  <c r="F591" i="15"/>
  <c r="G591" i="15"/>
  <c r="H591" i="15"/>
  <c r="I591" i="15"/>
  <c r="J591" i="15"/>
  <c r="K591" i="15"/>
  <c r="P591" i="15"/>
  <c r="R591" i="15"/>
  <c r="S591" i="15"/>
  <c r="B592" i="15"/>
  <c r="C592" i="15"/>
  <c r="D592" i="15"/>
  <c r="E592" i="15"/>
  <c r="F592" i="15"/>
  <c r="G592" i="15"/>
  <c r="H592" i="15"/>
  <c r="I592" i="15"/>
  <c r="J592" i="15"/>
  <c r="K592" i="15"/>
  <c r="O592" i="15"/>
  <c r="P592" i="15"/>
  <c r="R592" i="15"/>
  <c r="S592" i="15"/>
  <c r="B593" i="15"/>
  <c r="D593" i="15"/>
  <c r="E593" i="15"/>
  <c r="G593" i="15"/>
  <c r="H593" i="15"/>
  <c r="I593" i="15"/>
  <c r="J593" i="15"/>
  <c r="K593" i="15"/>
  <c r="M593" i="15"/>
  <c r="P593" i="15"/>
  <c r="R593" i="15"/>
  <c r="S593" i="15"/>
  <c r="B594" i="15"/>
  <c r="C594" i="15"/>
  <c r="D594" i="15"/>
  <c r="E594" i="15"/>
  <c r="F594" i="15"/>
  <c r="G594" i="15"/>
  <c r="H594" i="15"/>
  <c r="I594" i="15"/>
  <c r="J594" i="15"/>
  <c r="K594" i="15"/>
  <c r="O594" i="15"/>
  <c r="P594" i="15"/>
  <c r="R594" i="15"/>
  <c r="S594" i="15"/>
  <c r="B595" i="15"/>
  <c r="C595" i="15"/>
  <c r="D595" i="15"/>
  <c r="E595" i="15"/>
  <c r="F595" i="15"/>
  <c r="G595" i="15"/>
  <c r="H595" i="15"/>
  <c r="I595" i="15"/>
  <c r="J595" i="15"/>
  <c r="K595" i="15"/>
  <c r="O595" i="15"/>
  <c r="P595" i="15"/>
  <c r="R595" i="15"/>
  <c r="S595" i="15"/>
  <c r="B596" i="15"/>
  <c r="D596" i="15"/>
  <c r="E596" i="15"/>
  <c r="F596" i="15"/>
  <c r="G596" i="15"/>
  <c r="H596" i="15"/>
  <c r="I596" i="15"/>
  <c r="J596" i="15"/>
  <c r="K596" i="15"/>
  <c r="O596" i="15"/>
  <c r="P596" i="15"/>
  <c r="R596" i="15"/>
  <c r="S596" i="15"/>
  <c r="B597" i="15"/>
  <c r="D597" i="15"/>
  <c r="E597" i="15"/>
  <c r="F597" i="15"/>
  <c r="G597" i="15"/>
  <c r="H597" i="15"/>
  <c r="I597" i="15"/>
  <c r="J597" i="15"/>
  <c r="K597" i="15"/>
  <c r="P597" i="15"/>
  <c r="R597" i="15"/>
  <c r="S597" i="15"/>
  <c r="B598" i="15"/>
  <c r="C598" i="15"/>
  <c r="D598" i="15"/>
  <c r="E598" i="15"/>
  <c r="F598" i="15"/>
  <c r="G598" i="15"/>
  <c r="H598" i="15"/>
  <c r="I598" i="15"/>
  <c r="J598" i="15"/>
  <c r="K598" i="15"/>
  <c r="O598" i="15"/>
  <c r="P598" i="15"/>
  <c r="R598" i="15"/>
  <c r="S598" i="15"/>
  <c r="B599" i="15"/>
  <c r="C599" i="15"/>
  <c r="D599" i="15"/>
  <c r="E599" i="15"/>
  <c r="F599" i="15"/>
  <c r="G599" i="15"/>
  <c r="H599" i="15"/>
  <c r="I599" i="15"/>
  <c r="J599" i="15"/>
  <c r="K599" i="15"/>
  <c r="O599" i="15"/>
  <c r="P599" i="15"/>
  <c r="R599" i="15"/>
  <c r="S599" i="15"/>
  <c r="B600" i="15"/>
  <c r="C600" i="15"/>
  <c r="D600" i="15"/>
  <c r="E600" i="15"/>
  <c r="F600" i="15"/>
  <c r="G600" i="15"/>
  <c r="H600" i="15"/>
  <c r="I600" i="15"/>
  <c r="J600" i="15"/>
  <c r="K600" i="15"/>
  <c r="O600" i="15"/>
  <c r="P600" i="15"/>
  <c r="R600" i="15"/>
  <c r="S600" i="15"/>
  <c r="B601" i="15"/>
  <c r="C601" i="15"/>
  <c r="D601" i="15"/>
  <c r="E601" i="15"/>
  <c r="F601" i="15"/>
  <c r="G601" i="15"/>
  <c r="H601" i="15"/>
  <c r="I601" i="15"/>
  <c r="J601" i="15"/>
  <c r="K601" i="15"/>
  <c r="P601" i="15"/>
  <c r="R601" i="15"/>
  <c r="S601" i="15"/>
  <c r="B602" i="15"/>
  <c r="D602" i="15"/>
  <c r="E602" i="15"/>
  <c r="F602" i="15"/>
  <c r="G602" i="15"/>
  <c r="H602" i="15"/>
  <c r="I602" i="15"/>
  <c r="J602" i="15"/>
  <c r="K602" i="15"/>
  <c r="O602" i="15"/>
  <c r="P602" i="15"/>
  <c r="R602" i="15"/>
  <c r="S602" i="15"/>
  <c r="B603" i="15"/>
  <c r="D603" i="15"/>
  <c r="E603" i="15"/>
  <c r="F603" i="15"/>
  <c r="G603" i="15"/>
  <c r="H603" i="15"/>
  <c r="I603" i="15"/>
  <c r="J603" i="15"/>
  <c r="K603" i="15"/>
  <c r="O603" i="15"/>
  <c r="P603" i="15"/>
  <c r="R603" i="15"/>
  <c r="S603" i="15"/>
  <c r="B604" i="15"/>
  <c r="D604" i="15"/>
  <c r="E604" i="15"/>
  <c r="F604" i="15"/>
  <c r="G604" i="15"/>
  <c r="H604" i="15"/>
  <c r="I604" i="15"/>
  <c r="J604" i="15"/>
  <c r="K604" i="15"/>
  <c r="P604" i="15"/>
  <c r="R604" i="15"/>
  <c r="S604" i="15"/>
  <c r="B605" i="15"/>
  <c r="D605" i="15"/>
  <c r="E605" i="15"/>
  <c r="F605" i="15"/>
  <c r="G605" i="15"/>
  <c r="H605" i="15"/>
  <c r="I605" i="15"/>
  <c r="J605" i="15"/>
  <c r="K605" i="15"/>
  <c r="P605" i="15"/>
  <c r="R605" i="15"/>
  <c r="S605" i="15"/>
  <c r="B606" i="15"/>
  <c r="D606" i="15"/>
  <c r="E606" i="15"/>
  <c r="F606" i="15"/>
  <c r="G606" i="15"/>
  <c r="H606" i="15"/>
  <c r="I606" i="15"/>
  <c r="J606" i="15"/>
  <c r="K606" i="15"/>
  <c r="O606" i="15"/>
  <c r="P606" i="15"/>
  <c r="R606" i="15"/>
  <c r="S606" i="15"/>
  <c r="B607" i="15"/>
  <c r="D607" i="15"/>
  <c r="E607" i="15"/>
  <c r="F607" i="15"/>
  <c r="G607" i="15"/>
  <c r="H607" i="15"/>
  <c r="I607" i="15"/>
  <c r="J607" i="15"/>
  <c r="K607" i="15"/>
  <c r="P607" i="15"/>
  <c r="R607" i="15"/>
  <c r="S607" i="15"/>
  <c r="B608" i="15"/>
  <c r="C608" i="15"/>
  <c r="D608" i="15"/>
  <c r="E608" i="15"/>
  <c r="F608" i="15"/>
  <c r="G608" i="15"/>
  <c r="H608" i="15"/>
  <c r="I608" i="15"/>
  <c r="J608" i="15"/>
  <c r="K608" i="15"/>
  <c r="O608" i="15"/>
  <c r="P608" i="15"/>
  <c r="R608" i="15"/>
  <c r="S608" i="15"/>
  <c r="B609" i="15"/>
  <c r="D609" i="15"/>
  <c r="E609" i="15"/>
  <c r="G609" i="15"/>
  <c r="H609" i="15"/>
  <c r="I609" i="15"/>
  <c r="J609" i="15"/>
  <c r="K609" i="15"/>
  <c r="P609" i="15"/>
  <c r="R609" i="15"/>
  <c r="S609" i="15"/>
  <c r="B610" i="15"/>
  <c r="C610" i="15"/>
  <c r="D610" i="15"/>
  <c r="E610" i="15"/>
  <c r="F610" i="15"/>
  <c r="G610" i="15"/>
  <c r="H610" i="15"/>
  <c r="I610" i="15"/>
  <c r="J610" i="15"/>
  <c r="K610" i="15"/>
  <c r="O610" i="15"/>
  <c r="P610" i="15"/>
  <c r="R610" i="15"/>
  <c r="S610" i="15"/>
  <c r="B611" i="15"/>
  <c r="D611" i="15"/>
  <c r="E611" i="15"/>
  <c r="G611" i="15"/>
  <c r="H611" i="15"/>
  <c r="I611" i="15"/>
  <c r="J611" i="15"/>
  <c r="K611" i="15"/>
  <c r="O611" i="15"/>
  <c r="P611" i="15"/>
  <c r="R611" i="15"/>
  <c r="S611" i="15"/>
  <c r="B612" i="15"/>
  <c r="C612" i="15"/>
  <c r="D612" i="15"/>
  <c r="E612" i="15"/>
  <c r="F612" i="15"/>
  <c r="G612" i="15"/>
  <c r="H612" i="15"/>
  <c r="I612" i="15"/>
  <c r="J612" i="15"/>
  <c r="K612" i="15"/>
  <c r="P612" i="15"/>
  <c r="R612" i="15"/>
  <c r="S612" i="15"/>
  <c r="B613" i="15"/>
  <c r="D613" i="15"/>
  <c r="E613" i="15"/>
  <c r="F613" i="15"/>
  <c r="G613" i="15"/>
  <c r="H613" i="15"/>
  <c r="I613" i="15"/>
  <c r="J613" i="15"/>
  <c r="K613" i="15"/>
  <c r="O613" i="15"/>
  <c r="P613" i="15"/>
  <c r="R613" i="15"/>
  <c r="S613" i="15"/>
  <c r="B614" i="15"/>
  <c r="C614" i="15"/>
  <c r="D614" i="15"/>
  <c r="E614" i="15"/>
  <c r="F614" i="15"/>
  <c r="G614" i="15"/>
  <c r="H614" i="15"/>
  <c r="I614" i="15"/>
  <c r="J614" i="15"/>
  <c r="K614" i="15"/>
  <c r="P614" i="15"/>
  <c r="R614" i="15"/>
  <c r="S614" i="15"/>
  <c r="B615" i="15"/>
  <c r="C615" i="15"/>
  <c r="D615" i="15"/>
  <c r="E615" i="15"/>
  <c r="F615" i="15"/>
  <c r="G615" i="15"/>
  <c r="H615" i="15"/>
  <c r="I615" i="15"/>
  <c r="J615" i="15"/>
  <c r="K615" i="15"/>
  <c r="O615" i="15"/>
  <c r="P615" i="15"/>
  <c r="R615" i="15"/>
  <c r="S615" i="15"/>
  <c r="B616" i="15"/>
  <c r="D616" i="15"/>
  <c r="E616" i="15"/>
  <c r="F616" i="15"/>
  <c r="G616" i="15"/>
  <c r="H616" i="15"/>
  <c r="I616" i="15"/>
  <c r="J616" i="15"/>
  <c r="K616" i="15"/>
  <c r="O616" i="15"/>
  <c r="P616" i="15"/>
  <c r="R616" i="15"/>
  <c r="S616" i="15"/>
  <c r="B617" i="15"/>
  <c r="D617" i="15"/>
  <c r="E617" i="15"/>
  <c r="F617" i="15"/>
  <c r="G617" i="15"/>
  <c r="H617" i="15"/>
  <c r="I617" i="15"/>
  <c r="J617" i="15"/>
  <c r="K617" i="15"/>
  <c r="O617" i="15"/>
  <c r="P617" i="15"/>
  <c r="R617" i="15"/>
  <c r="S617" i="15"/>
  <c r="B618" i="15"/>
  <c r="C618" i="15"/>
  <c r="D618" i="15"/>
  <c r="E618" i="15"/>
  <c r="F618" i="15"/>
  <c r="G618" i="15"/>
  <c r="H618" i="15"/>
  <c r="I618" i="15"/>
  <c r="J618" i="15"/>
  <c r="K618" i="15"/>
  <c r="P618" i="15"/>
  <c r="R618" i="15"/>
  <c r="S618" i="15"/>
  <c r="B619" i="15"/>
  <c r="D619" i="15"/>
  <c r="E619" i="15"/>
  <c r="F619" i="15"/>
  <c r="G619" i="15"/>
  <c r="H619" i="15"/>
  <c r="I619" i="15"/>
  <c r="J619" i="15"/>
  <c r="K619" i="15"/>
  <c r="O619" i="15"/>
  <c r="P619" i="15"/>
  <c r="R619" i="15"/>
  <c r="S619" i="15"/>
  <c r="B620" i="15"/>
  <c r="D620" i="15"/>
  <c r="E620" i="15"/>
  <c r="G620" i="15"/>
  <c r="H620" i="15"/>
  <c r="I620" i="15"/>
  <c r="J620" i="15"/>
  <c r="K620" i="15"/>
  <c r="L620" i="15"/>
  <c r="P620" i="15"/>
  <c r="R620" i="15"/>
  <c r="S620" i="15"/>
  <c r="B621" i="15"/>
  <c r="E621" i="15"/>
  <c r="G621" i="15"/>
  <c r="H621" i="15"/>
  <c r="I621" i="15"/>
  <c r="J621" i="15"/>
  <c r="K621" i="15"/>
  <c r="B622" i="15"/>
  <c r="D622" i="15"/>
  <c r="E622" i="15"/>
  <c r="G622" i="15"/>
  <c r="H622" i="15"/>
  <c r="I622" i="15"/>
  <c r="J622" i="15"/>
  <c r="K622" i="15"/>
  <c r="P622" i="15"/>
  <c r="R622" i="15"/>
  <c r="S622" i="15"/>
  <c r="B623" i="15"/>
  <c r="D623" i="15"/>
  <c r="E623" i="15"/>
  <c r="G623" i="15"/>
  <c r="H623" i="15"/>
  <c r="I623" i="15"/>
  <c r="J623" i="15"/>
  <c r="K623" i="15"/>
  <c r="O623" i="15"/>
  <c r="P623" i="15"/>
  <c r="R623" i="15"/>
  <c r="S623" i="15"/>
  <c r="L37" i="86" l="1"/>
  <c r="L34" i="86"/>
  <c r="Q34" i="86" l="1"/>
  <c r="Q658" i="15" s="1"/>
  <c r="L658" i="15"/>
  <c r="Q37" i="86"/>
  <c r="Q661" i="15" s="1"/>
  <c r="L661" i="15"/>
  <c r="M37" i="86"/>
  <c r="M34" i="86"/>
  <c r="N34" i="86" l="1"/>
  <c r="N658" i="15" s="1"/>
  <c r="M658" i="15"/>
  <c r="N37" i="86"/>
  <c r="N661" i="15" s="1"/>
  <c r="M661" i="15"/>
  <c r="O61" i="86" l="1"/>
  <c r="O685" i="15" s="1"/>
  <c r="O53" i="85"/>
  <c r="O563" i="15" s="1"/>
  <c r="O73" i="84"/>
  <c r="O56" i="80"/>
  <c r="O60" i="79"/>
  <c r="O67" i="75"/>
  <c r="P484" i="15"/>
  <c r="O119" i="86" l="1"/>
  <c r="O743" i="15" s="1"/>
  <c r="O120" i="86"/>
  <c r="O744" i="15" s="1"/>
  <c r="L120" i="86"/>
  <c r="L744" i="15" s="1"/>
  <c r="L119" i="86"/>
  <c r="O118" i="86"/>
  <c r="O742" i="15" s="1"/>
  <c r="L118" i="86"/>
  <c r="L742" i="15" s="1"/>
  <c r="O741" i="15"/>
  <c r="L117" i="86"/>
  <c r="L122" i="86"/>
  <c r="L121" i="86"/>
  <c r="O707" i="15"/>
  <c r="L83" i="86"/>
  <c r="L115" i="86"/>
  <c r="L114" i="86"/>
  <c r="L113" i="86"/>
  <c r="O112" i="86"/>
  <c r="O736" i="15" s="1"/>
  <c r="L112" i="86"/>
  <c r="L736" i="15" s="1"/>
  <c r="L111" i="86"/>
  <c r="O110" i="86"/>
  <c r="O734" i="15" s="1"/>
  <c r="L110" i="86"/>
  <c r="L109" i="86"/>
  <c r="L108" i="86"/>
  <c r="O107" i="86"/>
  <c r="O731" i="15" s="1"/>
  <c r="L107" i="86"/>
  <c r="L731" i="15" s="1"/>
  <c r="L106" i="86"/>
  <c r="O729" i="15"/>
  <c r="L105" i="86"/>
  <c r="L729" i="15" s="1"/>
  <c r="L104" i="86"/>
  <c r="O727" i="15"/>
  <c r="L103" i="86"/>
  <c r="O102" i="86"/>
  <c r="O726" i="15" s="1"/>
  <c r="L102" i="86"/>
  <c r="L101" i="86"/>
  <c r="L100" i="86"/>
  <c r="O99" i="86"/>
  <c r="O723" i="15" s="1"/>
  <c r="L99" i="86"/>
  <c r="L723" i="15" s="1"/>
  <c r="L98" i="86"/>
  <c r="L97" i="86"/>
  <c r="L96" i="86"/>
  <c r="O95" i="86"/>
  <c r="O719" i="15" s="1"/>
  <c r="L95" i="86"/>
  <c r="L719" i="15" s="1"/>
  <c r="L94" i="86"/>
  <c r="L93" i="86"/>
  <c r="L92" i="86"/>
  <c r="L716" i="15" s="1"/>
  <c r="L91" i="86"/>
  <c r="O90" i="86"/>
  <c r="O714" i="15" s="1"/>
  <c r="L90" i="86"/>
  <c r="L89" i="86"/>
  <c r="L88" i="86"/>
  <c r="O87" i="86"/>
  <c r="O711" i="15" s="1"/>
  <c r="L87" i="86"/>
  <c r="L711" i="15" s="1"/>
  <c r="L86" i="86"/>
  <c r="L85" i="86"/>
  <c r="L84" i="86"/>
  <c r="O82" i="86"/>
  <c r="O706" i="15" s="1"/>
  <c r="L82" i="86"/>
  <c r="L81" i="86"/>
  <c r="L80" i="86"/>
  <c r="L79" i="86"/>
  <c r="L78" i="86"/>
  <c r="L76" i="86"/>
  <c r="L75" i="86"/>
  <c r="Q78" i="86" l="1"/>
  <c r="Q702" i="15" s="1"/>
  <c r="L702" i="15"/>
  <c r="M82" i="86"/>
  <c r="L706" i="15"/>
  <c r="Q86" i="86"/>
  <c r="Q710" i="15" s="1"/>
  <c r="L710" i="15"/>
  <c r="Q89" i="86"/>
  <c r="Q713" i="15" s="1"/>
  <c r="L713" i="15"/>
  <c r="M102" i="86"/>
  <c r="L726" i="15"/>
  <c r="Q104" i="86"/>
  <c r="Q728" i="15" s="1"/>
  <c r="L728" i="15"/>
  <c r="M110" i="86"/>
  <c r="L734" i="15"/>
  <c r="M83" i="86"/>
  <c r="L707" i="15"/>
  <c r="M117" i="86"/>
  <c r="L741" i="15"/>
  <c r="M119" i="86"/>
  <c r="M743" i="15" s="1"/>
  <c r="L743" i="15"/>
  <c r="Q79" i="86"/>
  <c r="Q703" i="15" s="1"/>
  <c r="L703" i="15"/>
  <c r="M90" i="86"/>
  <c r="L714" i="15"/>
  <c r="Q93" i="86"/>
  <c r="Q717" i="15" s="1"/>
  <c r="L717" i="15"/>
  <c r="Q96" i="86"/>
  <c r="Q720" i="15" s="1"/>
  <c r="L720" i="15"/>
  <c r="Q113" i="86"/>
  <c r="Q737" i="15" s="1"/>
  <c r="L737" i="15"/>
  <c r="Q75" i="86"/>
  <c r="Q699" i="15" s="1"/>
  <c r="L699" i="15"/>
  <c r="Q80" i="86"/>
  <c r="Q704" i="15" s="1"/>
  <c r="L704" i="15"/>
  <c r="Q84" i="86"/>
  <c r="Q708" i="15" s="1"/>
  <c r="L708" i="15"/>
  <c r="Q94" i="86"/>
  <c r="Q718" i="15" s="1"/>
  <c r="L718" i="15"/>
  <c r="Q97" i="86"/>
  <c r="Q721" i="15" s="1"/>
  <c r="L721" i="15"/>
  <c r="M100" i="86"/>
  <c r="L724" i="15"/>
  <c r="M103" i="86"/>
  <c r="L727" i="15"/>
  <c r="M108" i="86"/>
  <c r="L732" i="15"/>
  <c r="Q111" i="86"/>
  <c r="Q735" i="15" s="1"/>
  <c r="L735" i="15"/>
  <c r="Q114" i="86"/>
  <c r="Q738" i="15" s="1"/>
  <c r="L738" i="15"/>
  <c r="M121" i="86"/>
  <c r="M745" i="15" s="1"/>
  <c r="L745" i="15"/>
  <c r="Q76" i="86"/>
  <c r="Q700" i="15" s="1"/>
  <c r="L700" i="15"/>
  <c r="Q81" i="86"/>
  <c r="Q705" i="15" s="1"/>
  <c r="L705" i="15"/>
  <c r="Q85" i="86"/>
  <c r="Q709" i="15" s="1"/>
  <c r="L709" i="15"/>
  <c r="Q88" i="86"/>
  <c r="Q712" i="15" s="1"/>
  <c r="L712" i="15"/>
  <c r="Q91" i="86"/>
  <c r="Q715" i="15" s="1"/>
  <c r="L715" i="15"/>
  <c r="Q98" i="86"/>
  <c r="Q722" i="15" s="1"/>
  <c r="L722" i="15"/>
  <c r="M101" i="86"/>
  <c r="L725" i="15"/>
  <c r="Q106" i="86"/>
  <c r="Q730" i="15" s="1"/>
  <c r="L730" i="15"/>
  <c r="M109" i="86"/>
  <c r="L733" i="15"/>
  <c r="Q115" i="86"/>
  <c r="Q739" i="15" s="1"/>
  <c r="L739" i="15"/>
  <c r="Q122" i="86"/>
  <c r="Q746" i="15" s="1"/>
  <c r="L746" i="15"/>
  <c r="Q120" i="86"/>
  <c r="Q744" i="15" s="1"/>
  <c r="M122" i="86"/>
  <c r="M118" i="86"/>
  <c r="M120" i="86"/>
  <c r="Q121" i="86"/>
  <c r="Q745" i="15" s="1"/>
  <c r="Q117" i="86"/>
  <c r="Q741" i="15" s="1"/>
  <c r="Q118" i="86"/>
  <c r="Q742" i="15" s="1"/>
  <c r="Q119" i="86"/>
  <c r="Q743" i="15" s="1"/>
  <c r="Q101" i="86"/>
  <c r="Q725" i="15" s="1"/>
  <c r="Q109" i="86"/>
  <c r="Q733" i="15" s="1"/>
  <c r="M111" i="86"/>
  <c r="M79" i="86"/>
  <c r="M76" i="86"/>
  <c r="M84" i="86"/>
  <c r="M85" i="86"/>
  <c r="M86" i="86"/>
  <c r="M87" i="86"/>
  <c r="M88" i="86"/>
  <c r="Q83" i="86"/>
  <c r="Q707" i="15" s="1"/>
  <c r="M81" i="86"/>
  <c r="M89" i="86"/>
  <c r="M75" i="86"/>
  <c r="M78" i="86"/>
  <c r="M80" i="86"/>
  <c r="Q87" i="86"/>
  <c r="Q711" i="15" s="1"/>
  <c r="Q90" i="86"/>
  <c r="Q714" i="15" s="1"/>
  <c r="Q92" i="86"/>
  <c r="Q716" i="15" s="1"/>
  <c r="Q100" i="86"/>
  <c r="Q724" i="15" s="1"/>
  <c r="Q108" i="86"/>
  <c r="Q732" i="15" s="1"/>
  <c r="Q112" i="86"/>
  <c r="Q736" i="15" s="1"/>
  <c r="Q82" i="86"/>
  <c r="Q706" i="15" s="1"/>
  <c r="Q103" i="86"/>
  <c r="Q727" i="15" s="1"/>
  <c r="M112" i="86"/>
  <c r="Q95" i="86"/>
  <c r="Q719" i="15" s="1"/>
  <c r="Q105" i="86"/>
  <c r="Q729" i="15" s="1"/>
  <c r="M91" i="86"/>
  <c r="N92" i="86"/>
  <c r="N716" i="15" s="1"/>
  <c r="M93" i="86"/>
  <c r="M94" i="86"/>
  <c r="M95" i="86"/>
  <c r="Q99" i="86"/>
  <c r="Q723" i="15" s="1"/>
  <c r="M104" i="86"/>
  <c r="M105" i="86"/>
  <c r="Q107" i="86"/>
  <c r="Q731" i="15" s="1"/>
  <c r="M113" i="86"/>
  <c r="M114" i="86"/>
  <c r="M115" i="86"/>
  <c r="M96" i="86"/>
  <c r="M97" i="86"/>
  <c r="M98" i="86"/>
  <c r="M99" i="86"/>
  <c r="Q102" i="86"/>
  <c r="Q726" i="15" s="1"/>
  <c r="M106" i="86"/>
  <c r="M107" i="86"/>
  <c r="Q110" i="86"/>
  <c r="Q734" i="15" s="1"/>
  <c r="N121" i="86" l="1"/>
  <c r="N745" i="15" s="1"/>
  <c r="N96" i="86"/>
  <c r="N720" i="15" s="1"/>
  <c r="M720" i="15"/>
  <c r="N95" i="86"/>
  <c r="N719" i="15" s="1"/>
  <c r="M719" i="15"/>
  <c r="N91" i="86"/>
  <c r="N715" i="15" s="1"/>
  <c r="M715" i="15"/>
  <c r="N80" i="86"/>
  <c r="N704" i="15" s="1"/>
  <c r="M704" i="15"/>
  <c r="N81" i="86"/>
  <c r="N705" i="15" s="1"/>
  <c r="M705" i="15"/>
  <c r="N86" i="86"/>
  <c r="N710" i="15" s="1"/>
  <c r="M710" i="15"/>
  <c r="N79" i="86"/>
  <c r="N703" i="15" s="1"/>
  <c r="M703" i="15"/>
  <c r="N122" i="86"/>
  <c r="N746" i="15" s="1"/>
  <c r="M746" i="15"/>
  <c r="N99" i="86"/>
  <c r="N723" i="15" s="1"/>
  <c r="M723" i="15"/>
  <c r="N115" i="86"/>
  <c r="N739" i="15" s="1"/>
  <c r="M739" i="15"/>
  <c r="N105" i="86"/>
  <c r="N729" i="15" s="1"/>
  <c r="M729" i="15"/>
  <c r="N94" i="86"/>
  <c r="N718" i="15" s="1"/>
  <c r="M718" i="15"/>
  <c r="N78" i="86"/>
  <c r="N702" i="15" s="1"/>
  <c r="M702" i="15"/>
  <c r="N85" i="86"/>
  <c r="N709" i="15" s="1"/>
  <c r="M709" i="15"/>
  <c r="N111" i="86"/>
  <c r="N735" i="15" s="1"/>
  <c r="M735" i="15"/>
  <c r="N103" i="86"/>
  <c r="N727" i="15" s="1"/>
  <c r="M727" i="15"/>
  <c r="N90" i="86"/>
  <c r="N714" i="15" s="1"/>
  <c r="M714" i="15"/>
  <c r="N83" i="86"/>
  <c r="N707" i="15" s="1"/>
  <c r="M707" i="15"/>
  <c r="N82" i="86"/>
  <c r="N706" i="15" s="1"/>
  <c r="M706" i="15"/>
  <c r="N107" i="86"/>
  <c r="N731" i="15" s="1"/>
  <c r="M731" i="15"/>
  <c r="N98" i="86"/>
  <c r="N722" i="15" s="1"/>
  <c r="M722" i="15"/>
  <c r="N114" i="86"/>
  <c r="N738" i="15" s="1"/>
  <c r="M738" i="15"/>
  <c r="N104" i="86"/>
  <c r="N728" i="15" s="1"/>
  <c r="M728" i="15"/>
  <c r="N93" i="86"/>
  <c r="N717" i="15" s="1"/>
  <c r="M717" i="15"/>
  <c r="N75" i="86"/>
  <c r="N699" i="15" s="1"/>
  <c r="M699" i="15"/>
  <c r="N88" i="86"/>
  <c r="N712" i="15" s="1"/>
  <c r="M712" i="15"/>
  <c r="N84" i="86"/>
  <c r="N708" i="15" s="1"/>
  <c r="M708" i="15"/>
  <c r="N120" i="86"/>
  <c r="N744" i="15" s="1"/>
  <c r="M744" i="15"/>
  <c r="N106" i="86"/>
  <c r="N730" i="15" s="1"/>
  <c r="M730" i="15"/>
  <c r="N97" i="86"/>
  <c r="N721" i="15" s="1"/>
  <c r="M721" i="15"/>
  <c r="N113" i="86"/>
  <c r="N737" i="15" s="1"/>
  <c r="M737" i="15"/>
  <c r="N112" i="86"/>
  <c r="N736" i="15" s="1"/>
  <c r="M736" i="15"/>
  <c r="N89" i="86"/>
  <c r="N713" i="15" s="1"/>
  <c r="M713" i="15"/>
  <c r="N87" i="86"/>
  <c r="N711" i="15" s="1"/>
  <c r="M711" i="15"/>
  <c r="N76" i="86"/>
  <c r="N700" i="15" s="1"/>
  <c r="M700" i="15"/>
  <c r="N119" i="86"/>
  <c r="N743" i="15" s="1"/>
  <c r="N118" i="86"/>
  <c r="N742" i="15" s="1"/>
  <c r="M742" i="15"/>
  <c r="N109" i="86"/>
  <c r="N733" i="15" s="1"/>
  <c r="M733" i="15"/>
  <c r="N101" i="86"/>
  <c r="N725" i="15" s="1"/>
  <c r="M725" i="15"/>
  <c r="N108" i="86"/>
  <c r="N732" i="15" s="1"/>
  <c r="M732" i="15"/>
  <c r="N100" i="86"/>
  <c r="N724" i="15" s="1"/>
  <c r="M724" i="15"/>
  <c r="N117" i="86"/>
  <c r="N741" i="15" s="1"/>
  <c r="M741" i="15"/>
  <c r="N110" i="86"/>
  <c r="N734" i="15" s="1"/>
  <c r="M734" i="15"/>
  <c r="N102" i="86"/>
  <c r="N726" i="15" s="1"/>
  <c r="M726" i="15"/>
  <c r="L24" i="86"/>
  <c r="O23" i="86"/>
  <c r="O647" i="15" s="1"/>
  <c r="L23" i="86"/>
  <c r="L647" i="15" s="1"/>
  <c r="L48" i="86"/>
  <c r="L672" i="15" s="1"/>
  <c r="Q24" i="86" l="1"/>
  <c r="Q648" i="15" s="1"/>
  <c r="L648" i="15"/>
  <c r="Q48" i="86"/>
  <c r="Q672" i="15" s="1"/>
  <c r="M48" i="86"/>
  <c r="Q23" i="86"/>
  <c r="Q647" i="15" s="1"/>
  <c r="M23" i="86"/>
  <c r="M24" i="86"/>
  <c r="L116" i="85"/>
  <c r="O593" i="15"/>
  <c r="U648" i="15" l="1"/>
  <c r="N48" i="86"/>
  <c r="N672" i="15" s="1"/>
  <c r="M672" i="15"/>
  <c r="N24" i="86"/>
  <c r="N648" i="15" s="1"/>
  <c r="M648" i="15"/>
  <c r="N23" i="86"/>
  <c r="N647" i="15" s="1"/>
  <c r="M647" i="15"/>
  <c r="Q116" i="85"/>
  <c r="Q626" i="15" s="1"/>
  <c r="L626" i="15"/>
  <c r="M116" i="85"/>
  <c r="N116" i="85" l="1"/>
  <c r="N626" i="15" s="1"/>
  <c r="M626" i="15"/>
  <c r="L142" i="86"/>
  <c r="L140" i="86"/>
  <c r="O63" i="86"/>
  <c r="O687" i="15" s="1"/>
  <c r="L63" i="86"/>
  <c r="L687" i="15" s="1"/>
  <c r="O62" i="86"/>
  <c r="O686" i="15" s="1"/>
  <c r="L62" i="86"/>
  <c r="L686" i="15" s="1"/>
  <c r="L61" i="86"/>
  <c r="O60" i="86"/>
  <c r="O684" i="15" s="1"/>
  <c r="L60" i="86"/>
  <c r="L59" i="86"/>
  <c r="L683" i="15" s="1"/>
  <c r="L58" i="86"/>
  <c r="L682" i="15" s="1"/>
  <c r="L57" i="86"/>
  <c r="L56" i="86"/>
  <c r="L680" i="15" s="1"/>
  <c r="O679" i="15"/>
  <c r="L55" i="86"/>
  <c r="L679" i="15" s="1"/>
  <c r="L54" i="86"/>
  <c r="O677" i="15"/>
  <c r="L53" i="86"/>
  <c r="O50" i="86"/>
  <c r="M50" i="86"/>
  <c r="L49" i="86"/>
  <c r="L673" i="15" s="1"/>
  <c r="O47" i="86"/>
  <c r="O671" i="15" s="1"/>
  <c r="L47" i="86"/>
  <c r="L671" i="15" s="1"/>
  <c r="O670" i="15"/>
  <c r="L46" i="86"/>
  <c r="L42" i="86"/>
  <c r="L41" i="86"/>
  <c r="L45" i="86"/>
  <c r="L44" i="86"/>
  <c r="L668" i="15" s="1"/>
  <c r="O39" i="86"/>
  <c r="O663" i="15" s="1"/>
  <c r="L39" i="86"/>
  <c r="L35" i="86"/>
  <c r="O31" i="86"/>
  <c r="O655" i="15" s="1"/>
  <c r="L31" i="86"/>
  <c r="L655" i="15" s="1"/>
  <c r="L30" i="86"/>
  <c r="L28" i="86"/>
  <c r="L652" i="15" s="1"/>
  <c r="L26" i="86"/>
  <c r="L650" i="15" s="1"/>
  <c r="L21" i="86"/>
  <c r="L645" i="15" s="1"/>
  <c r="Q18" i="86"/>
  <c r="Q642" i="15" s="1"/>
  <c r="M18" i="86"/>
  <c r="O644" i="15"/>
  <c r="L20" i="86"/>
  <c r="L644" i="15" s="1"/>
  <c r="Q142" i="86" l="1"/>
  <c r="Q766" i="15" s="1"/>
  <c r="L766" i="15"/>
  <c r="Q50" i="86"/>
  <c r="Q674" i="15" s="1"/>
  <c r="O674" i="15"/>
  <c r="M53" i="86"/>
  <c r="M677" i="15" s="1"/>
  <c r="L677" i="15"/>
  <c r="Q140" i="86"/>
  <c r="Q764" i="15" s="1"/>
  <c r="L764" i="15"/>
  <c r="M46" i="86"/>
  <c r="L670" i="15"/>
  <c r="M60" i="86"/>
  <c r="M684" i="15" s="1"/>
  <c r="L684" i="15"/>
  <c r="N18" i="86"/>
  <c r="N642" i="15" s="1"/>
  <c r="M642" i="15"/>
  <c r="Q35" i="86"/>
  <c r="Q659" i="15" s="1"/>
  <c r="L659" i="15"/>
  <c r="M45" i="86"/>
  <c r="L669" i="15"/>
  <c r="N50" i="86"/>
  <c r="N674" i="15" s="1"/>
  <c r="M674" i="15"/>
  <c r="Q54" i="86"/>
  <c r="Q678" i="15" s="1"/>
  <c r="L678" i="15"/>
  <c r="Q57" i="86"/>
  <c r="Q681" i="15" s="1"/>
  <c r="L681" i="15"/>
  <c r="M42" i="86"/>
  <c r="L666" i="15"/>
  <c r="Q30" i="86"/>
  <c r="Q654" i="15" s="1"/>
  <c r="L654" i="15"/>
  <c r="M39" i="86"/>
  <c r="M663" i="15" s="1"/>
  <c r="L663" i="15"/>
  <c r="M41" i="86"/>
  <c r="L665" i="15"/>
  <c r="M61" i="86"/>
  <c r="M685" i="15" s="1"/>
  <c r="L685" i="15"/>
  <c r="Q21" i="86"/>
  <c r="Q645" i="15" s="1"/>
  <c r="Q26" i="86"/>
  <c r="Q650" i="15" s="1"/>
  <c r="Q28" i="86"/>
  <c r="Q652" i="15" s="1"/>
  <c r="Q49" i="86"/>
  <c r="Q673" i="15" s="1"/>
  <c r="Q63" i="86"/>
  <c r="Q687" i="15" s="1"/>
  <c r="Q55" i="86"/>
  <c r="Q679" i="15" s="1"/>
  <c r="M30" i="86"/>
  <c r="M49" i="86"/>
  <c r="M140" i="86"/>
  <c r="M142" i="86"/>
  <c r="M55" i="86"/>
  <c r="M63" i="86"/>
  <c r="Q62" i="86"/>
  <c r="Q686" i="15" s="1"/>
  <c r="U686" i="15" s="1"/>
  <c r="Q47" i="86"/>
  <c r="Q671" i="15" s="1"/>
  <c r="M59" i="86"/>
  <c r="M62" i="86"/>
  <c r="M58" i="86"/>
  <c r="Q59" i="86"/>
  <c r="Q683" i="15" s="1"/>
  <c r="M54" i="86"/>
  <c r="M57" i="86"/>
  <c r="Q58" i="86"/>
  <c r="Q682" i="15" s="1"/>
  <c r="Q56" i="86"/>
  <c r="Q680" i="15" s="1"/>
  <c r="Q41" i="86"/>
  <c r="Q665" i="15" s="1"/>
  <c r="M56" i="86"/>
  <c r="Q60" i="86"/>
  <c r="Q684" i="15" s="1"/>
  <c r="Q53" i="86"/>
  <c r="Q677" i="15" s="1"/>
  <c r="Q61" i="86"/>
  <c r="Q685" i="15" s="1"/>
  <c r="Q31" i="86"/>
  <c r="Q655" i="15" s="1"/>
  <c r="Q45" i="86"/>
  <c r="Q669" i="15" s="1"/>
  <c r="Q42" i="86"/>
  <c r="Q666" i="15" s="1"/>
  <c r="M47" i="86"/>
  <c r="Q39" i="86"/>
  <c r="Q663" i="15" s="1"/>
  <c r="M35" i="86"/>
  <c r="M31" i="86"/>
  <c r="M44" i="86"/>
  <c r="Q46" i="86"/>
  <c r="Q670" i="15" s="1"/>
  <c r="Q44" i="86"/>
  <c r="Q668" i="15" s="1"/>
  <c r="M26" i="86"/>
  <c r="M28" i="86"/>
  <c r="M21" i="86"/>
  <c r="M20" i="86"/>
  <c r="Q20" i="86"/>
  <c r="Q644" i="15" s="1"/>
  <c r="N142" i="86" l="1"/>
  <c r="N766" i="15" s="1"/>
  <c r="M766" i="15"/>
  <c r="N53" i="86"/>
  <c r="N677" i="15" s="1"/>
  <c r="N60" i="86"/>
  <c r="N684" i="15" s="1"/>
  <c r="N39" i="86"/>
  <c r="N663" i="15" s="1"/>
  <c r="N61" i="86"/>
  <c r="N685" i="15" s="1"/>
  <c r="N26" i="86"/>
  <c r="N650" i="15" s="1"/>
  <c r="M650" i="15"/>
  <c r="N47" i="86"/>
  <c r="N671" i="15" s="1"/>
  <c r="M671" i="15"/>
  <c r="N20" i="86"/>
  <c r="N644" i="15" s="1"/>
  <c r="M644" i="15"/>
  <c r="N31" i="86"/>
  <c r="N655" i="15" s="1"/>
  <c r="M655" i="15"/>
  <c r="N58" i="86"/>
  <c r="N682" i="15" s="1"/>
  <c r="M682" i="15"/>
  <c r="N140" i="86"/>
  <c r="N764" i="15" s="1"/>
  <c r="M764" i="15"/>
  <c r="N41" i="86"/>
  <c r="N665" i="15" s="1"/>
  <c r="M665" i="15"/>
  <c r="N21" i="86"/>
  <c r="N645" i="15" s="1"/>
  <c r="M645" i="15"/>
  <c r="N35" i="86"/>
  <c r="N659" i="15" s="1"/>
  <c r="M659" i="15"/>
  <c r="N57" i="86"/>
  <c r="N681" i="15" s="1"/>
  <c r="M681" i="15"/>
  <c r="N62" i="86"/>
  <c r="N686" i="15" s="1"/>
  <c r="M686" i="15"/>
  <c r="N63" i="86"/>
  <c r="N687" i="15" s="1"/>
  <c r="M687" i="15"/>
  <c r="N49" i="86"/>
  <c r="N673" i="15" s="1"/>
  <c r="M673" i="15"/>
  <c r="N28" i="86"/>
  <c r="N652" i="15" s="1"/>
  <c r="M652" i="15"/>
  <c r="N44" i="86"/>
  <c r="N668" i="15" s="1"/>
  <c r="M668" i="15"/>
  <c r="N56" i="86"/>
  <c r="N680" i="15" s="1"/>
  <c r="M680" i="15"/>
  <c r="N54" i="86"/>
  <c r="N678" i="15" s="1"/>
  <c r="M678" i="15"/>
  <c r="N59" i="86"/>
  <c r="N683" i="15" s="1"/>
  <c r="M683" i="15"/>
  <c r="N55" i="86"/>
  <c r="N679" i="15" s="1"/>
  <c r="M679" i="15"/>
  <c r="N30" i="86"/>
  <c r="N654" i="15" s="1"/>
  <c r="M654" i="15"/>
  <c r="N42" i="86"/>
  <c r="N666" i="15" s="1"/>
  <c r="M666" i="15"/>
  <c r="N45" i="86"/>
  <c r="N669" i="15" s="1"/>
  <c r="M669" i="15"/>
  <c r="N46" i="86"/>
  <c r="N670" i="15" s="1"/>
  <c r="M670" i="15"/>
  <c r="L13" i="86"/>
  <c r="O12" i="86"/>
  <c r="O636" i="15" s="1"/>
  <c r="L12" i="86"/>
  <c r="L636" i="15" s="1"/>
  <c r="L11" i="86"/>
  <c r="L10" i="86"/>
  <c r="O9" i="86"/>
  <c r="O633" i="15" s="1"/>
  <c r="L9" i="86"/>
  <c r="O8" i="86"/>
  <c r="O632" i="15" s="1"/>
  <c r="K8" i="86"/>
  <c r="L7" i="86"/>
  <c r="L6" i="86"/>
  <c r="L5" i="86"/>
  <c r="L15" i="86"/>
  <c r="L639" i="15" s="1"/>
  <c r="O4" i="86"/>
  <c r="O628" i="15" s="1"/>
  <c r="L4" i="86"/>
  <c r="O3" i="86"/>
  <c r="O627" i="15" s="1"/>
  <c r="L3" i="86"/>
  <c r="L627" i="15" s="1"/>
  <c r="L8" i="86" l="1"/>
  <c r="L632" i="15" s="1"/>
  <c r="K632" i="15"/>
  <c r="Q13" i="86"/>
  <c r="Q637" i="15" s="1"/>
  <c r="L637" i="15"/>
  <c r="Q5" i="86"/>
  <c r="Q629" i="15" s="1"/>
  <c r="L629" i="15"/>
  <c r="Q11" i="86"/>
  <c r="Q635" i="15" s="1"/>
  <c r="L635" i="15"/>
  <c r="Q7" i="86"/>
  <c r="Q631" i="15" s="1"/>
  <c r="L631" i="15"/>
  <c r="M10" i="86"/>
  <c r="L634" i="15"/>
  <c r="M4" i="86"/>
  <c r="L628" i="15"/>
  <c r="Q6" i="86"/>
  <c r="Q630" i="15" s="1"/>
  <c r="L630" i="15"/>
  <c r="M9" i="86"/>
  <c r="L633" i="15"/>
  <c r="Q10" i="86"/>
  <c r="Q634" i="15" s="1"/>
  <c r="Q12" i="86"/>
  <c r="Q636" i="15" s="1"/>
  <c r="Q15" i="86"/>
  <c r="Q639" i="15" s="1"/>
  <c r="M15" i="86"/>
  <c r="M12" i="86"/>
  <c r="M11" i="86"/>
  <c r="M8" i="86"/>
  <c r="Q3" i="86"/>
  <c r="Q627" i="15" s="1"/>
  <c r="M5" i="86"/>
  <c r="M6" i="86"/>
  <c r="M7" i="86"/>
  <c r="M13" i="86"/>
  <c r="M3" i="86"/>
  <c r="Q4" i="86"/>
  <c r="Q628" i="15" s="1"/>
  <c r="Q9" i="86"/>
  <c r="Q633" i="15" s="1"/>
  <c r="Q8" i="86" l="1"/>
  <c r="Q632" i="15" s="1"/>
  <c r="N7" i="86"/>
  <c r="N631" i="15" s="1"/>
  <c r="M631" i="15"/>
  <c r="N15" i="86"/>
  <c r="N639" i="15" s="1"/>
  <c r="M639" i="15"/>
  <c r="N6" i="86"/>
  <c r="N630" i="15" s="1"/>
  <c r="M630" i="15"/>
  <c r="N8" i="86"/>
  <c r="N632" i="15" s="1"/>
  <c r="M632" i="15"/>
  <c r="N9" i="86"/>
  <c r="N633" i="15" s="1"/>
  <c r="M633" i="15"/>
  <c r="N4" i="86"/>
  <c r="N628" i="15" s="1"/>
  <c r="M628" i="15"/>
  <c r="N3" i="86"/>
  <c r="N627" i="15" s="1"/>
  <c r="M627" i="15"/>
  <c r="N5" i="86"/>
  <c r="N629" i="15" s="1"/>
  <c r="M629" i="15"/>
  <c r="N11" i="86"/>
  <c r="N635" i="15" s="1"/>
  <c r="M635" i="15"/>
  <c r="N13" i="86"/>
  <c r="N637" i="15" s="1"/>
  <c r="M637" i="15"/>
  <c r="N12" i="86"/>
  <c r="N636" i="15" s="1"/>
  <c r="M636" i="15"/>
  <c r="N10" i="86"/>
  <c r="N634" i="15" s="1"/>
  <c r="M634" i="15"/>
  <c r="O112" i="85"/>
  <c r="O622" i="15" s="1"/>
  <c r="L112" i="85"/>
  <c r="L113" i="85"/>
  <c r="M113" i="85" l="1"/>
  <c r="M623" i="15" s="1"/>
  <c r="L623" i="15"/>
  <c r="M112" i="85"/>
  <c r="L622" i="15"/>
  <c r="Q113" i="85"/>
  <c r="Q623" i="15" s="1"/>
  <c r="O110" i="85"/>
  <c r="O620" i="15" s="1"/>
  <c r="N113" i="85" l="1"/>
  <c r="N623" i="15" s="1"/>
  <c r="N112" i="85"/>
  <c r="N622" i="15" s="1"/>
  <c r="M622" i="15"/>
  <c r="Q112" i="85"/>
  <c r="Q622" i="15" s="1"/>
  <c r="L56" i="85" l="1"/>
  <c r="L566" i="15" s="1"/>
  <c r="O572" i="15"/>
  <c r="M56" i="85" l="1"/>
  <c r="Q56" i="85"/>
  <c r="Q566" i="15" s="1"/>
  <c r="N56" i="85" l="1"/>
  <c r="N566" i="15" s="1"/>
  <c r="M566" i="15"/>
  <c r="O26" i="75" l="1"/>
  <c r="L28" i="85" l="1"/>
  <c r="M28" i="85" l="1"/>
  <c r="L538" i="15"/>
  <c r="Q28" i="85"/>
  <c r="Q538" i="15" s="1"/>
  <c r="N28" i="85" l="1"/>
  <c r="N538" i="15" s="1"/>
  <c r="M538" i="15"/>
  <c r="O571" i="15"/>
  <c r="Q63" i="85"/>
  <c r="Q62" i="85"/>
  <c r="Q572" i="15" s="1"/>
  <c r="M62" i="85" l="1"/>
  <c r="N62" i="85" l="1"/>
  <c r="N572" i="15" s="1"/>
  <c r="M572" i="15"/>
  <c r="O570" i="15"/>
  <c r="O104" i="85" l="1"/>
  <c r="O614" i="15" s="1"/>
  <c r="O73" i="85"/>
  <c r="O583" i="15" s="1"/>
  <c r="O547" i="15" l="1"/>
  <c r="O33" i="85" l="1"/>
  <c r="O543" i="15" s="1"/>
  <c r="L60" i="85" l="1"/>
  <c r="L61" i="85"/>
  <c r="L571" i="15" s="1"/>
  <c r="B511" i="15"/>
  <c r="D511" i="15"/>
  <c r="E511" i="15"/>
  <c r="F511" i="15"/>
  <c r="G511" i="15"/>
  <c r="H511" i="15"/>
  <c r="I511" i="15"/>
  <c r="J511" i="15"/>
  <c r="K511" i="15"/>
  <c r="O511" i="15"/>
  <c r="P511" i="15"/>
  <c r="R511" i="15"/>
  <c r="S511" i="15"/>
  <c r="B512" i="15"/>
  <c r="D512" i="15"/>
  <c r="E512" i="15"/>
  <c r="G512" i="15"/>
  <c r="H512" i="15"/>
  <c r="I512" i="15"/>
  <c r="J512" i="15"/>
  <c r="K512" i="15"/>
  <c r="O512" i="15"/>
  <c r="P512" i="15"/>
  <c r="R512" i="15"/>
  <c r="S512" i="15"/>
  <c r="C244" i="15"/>
  <c r="M60" i="85" l="1"/>
  <c r="L570" i="15"/>
  <c r="M61" i="85"/>
  <c r="Q61" i="85"/>
  <c r="Q571" i="15" s="1"/>
  <c r="Q60" i="85"/>
  <c r="Q570" i="15" s="1"/>
  <c r="N61" i="85" l="1"/>
  <c r="N571" i="15" s="1"/>
  <c r="M571" i="15"/>
  <c r="N60" i="85"/>
  <c r="N570" i="15" s="1"/>
  <c r="M570" i="15"/>
  <c r="L50" i="85"/>
  <c r="L49" i="85"/>
  <c r="Q49" i="85" l="1"/>
  <c r="Q559" i="15" s="1"/>
  <c r="L559" i="15"/>
  <c r="M50" i="85"/>
  <c r="M560" i="15" s="1"/>
  <c r="L560" i="15"/>
  <c r="Q50" i="85"/>
  <c r="Q560" i="15" s="1"/>
  <c r="M49" i="85"/>
  <c r="N49" i="85" l="1"/>
  <c r="N559" i="15" s="1"/>
  <c r="M559" i="15"/>
  <c r="N50" i="85"/>
  <c r="N560" i="15" s="1"/>
  <c r="O48" i="75"/>
  <c r="Q48" i="75" s="1"/>
  <c r="O24" i="84"/>
  <c r="O30" i="80"/>
  <c r="O33" i="80"/>
  <c r="O116" i="80"/>
  <c r="O115" i="80"/>
  <c r="Q60" i="80" l="1"/>
  <c r="O64" i="79"/>
  <c r="O79" i="84"/>
  <c r="O74" i="84"/>
  <c r="O60" i="84"/>
  <c r="O77" i="84"/>
  <c r="O50" i="84"/>
  <c r="L139" i="84"/>
  <c r="O42" i="75"/>
  <c r="O126" i="84"/>
  <c r="O8" i="84"/>
  <c r="O7" i="80"/>
  <c r="O8" i="79"/>
  <c r="M139" i="84" l="1"/>
  <c r="L512" i="15"/>
  <c r="Q139" i="84"/>
  <c r="Q512" i="15" s="1"/>
  <c r="N139" i="84" l="1"/>
  <c r="N512" i="15" s="1"/>
  <c r="M512" i="15"/>
  <c r="O4" i="84"/>
  <c r="O377" i="15" s="1"/>
  <c r="B376" i="15"/>
  <c r="D376" i="15"/>
  <c r="E376" i="15"/>
  <c r="F376" i="15"/>
  <c r="G376" i="15"/>
  <c r="H376" i="15"/>
  <c r="I376" i="15"/>
  <c r="J376" i="15"/>
  <c r="K376" i="15"/>
  <c r="O376" i="15"/>
  <c r="P376" i="15"/>
  <c r="R376" i="15"/>
  <c r="S376" i="15"/>
  <c r="B377" i="15"/>
  <c r="D377" i="15"/>
  <c r="E377" i="15"/>
  <c r="F377" i="15"/>
  <c r="G377" i="15"/>
  <c r="H377" i="15"/>
  <c r="I377" i="15"/>
  <c r="J377" i="15"/>
  <c r="K377" i="15"/>
  <c r="P377" i="15"/>
  <c r="R377" i="15"/>
  <c r="S377" i="15"/>
  <c r="B378" i="15"/>
  <c r="D378" i="15"/>
  <c r="E378" i="15"/>
  <c r="F378" i="15"/>
  <c r="G378" i="15"/>
  <c r="H378" i="15"/>
  <c r="I378" i="15"/>
  <c r="J378" i="15"/>
  <c r="K378" i="15"/>
  <c r="P378" i="15"/>
  <c r="R378" i="15"/>
  <c r="S378" i="15"/>
  <c r="B379" i="15"/>
  <c r="D379" i="15"/>
  <c r="E379" i="15"/>
  <c r="G379" i="15"/>
  <c r="H379" i="15"/>
  <c r="I379" i="15"/>
  <c r="J379" i="15"/>
  <c r="K379" i="15"/>
  <c r="O379" i="15"/>
  <c r="P379" i="15"/>
  <c r="R379" i="15"/>
  <c r="S379" i="15"/>
  <c r="B380" i="15"/>
  <c r="D380" i="15"/>
  <c r="E380" i="15"/>
  <c r="G380" i="15"/>
  <c r="H380" i="15"/>
  <c r="I380" i="15"/>
  <c r="J380" i="15"/>
  <c r="K380" i="15"/>
  <c r="P380" i="15"/>
  <c r="R380" i="15"/>
  <c r="S380" i="15"/>
  <c r="B381" i="15"/>
  <c r="C381" i="15"/>
  <c r="D381" i="15"/>
  <c r="E381" i="15"/>
  <c r="G381" i="15"/>
  <c r="H381" i="15"/>
  <c r="I381" i="15"/>
  <c r="J381" i="15"/>
  <c r="K381" i="15"/>
  <c r="P381" i="15"/>
  <c r="R381" i="15"/>
  <c r="S381" i="15"/>
  <c r="B382" i="15"/>
  <c r="C382" i="15"/>
  <c r="D382" i="15"/>
  <c r="E382" i="15"/>
  <c r="G382" i="15"/>
  <c r="H382" i="15"/>
  <c r="I382" i="15"/>
  <c r="J382" i="15"/>
  <c r="K382" i="15"/>
  <c r="O382" i="15"/>
  <c r="P382" i="15"/>
  <c r="R382" i="15"/>
  <c r="S382" i="15"/>
  <c r="B383" i="15"/>
  <c r="D383" i="15"/>
  <c r="E383" i="15"/>
  <c r="F383" i="15"/>
  <c r="G383" i="15"/>
  <c r="H383" i="15"/>
  <c r="I383" i="15"/>
  <c r="J383" i="15"/>
  <c r="K383" i="15"/>
  <c r="O383" i="15"/>
  <c r="P383" i="15"/>
  <c r="R383" i="15"/>
  <c r="S383" i="15"/>
  <c r="B384" i="15"/>
  <c r="D384" i="15"/>
  <c r="E384" i="15"/>
  <c r="F384" i="15"/>
  <c r="G384" i="15"/>
  <c r="H384" i="15"/>
  <c r="I384" i="15"/>
  <c r="J384" i="15"/>
  <c r="K384" i="15"/>
  <c r="O384" i="15"/>
  <c r="P384" i="15"/>
  <c r="R384" i="15"/>
  <c r="S384" i="15"/>
  <c r="B385" i="15"/>
  <c r="D385" i="15"/>
  <c r="E385" i="15"/>
  <c r="F385" i="15"/>
  <c r="G385" i="15"/>
  <c r="H385" i="15"/>
  <c r="I385" i="15"/>
  <c r="J385" i="15"/>
  <c r="K385" i="15"/>
  <c r="O385" i="15"/>
  <c r="P385" i="15"/>
  <c r="R385" i="15"/>
  <c r="S385" i="15"/>
  <c r="B386" i="15"/>
  <c r="D386" i="15"/>
  <c r="E386" i="15"/>
  <c r="F386" i="15"/>
  <c r="G386" i="15"/>
  <c r="H386" i="15"/>
  <c r="I386" i="15"/>
  <c r="J386" i="15"/>
  <c r="P386" i="15"/>
  <c r="R386" i="15"/>
  <c r="S386" i="15"/>
  <c r="B387" i="15"/>
  <c r="D387" i="15"/>
  <c r="E387" i="15"/>
  <c r="F387" i="15"/>
  <c r="G387" i="15"/>
  <c r="H387" i="15"/>
  <c r="I387" i="15"/>
  <c r="J387" i="15"/>
  <c r="K387" i="15"/>
  <c r="P387" i="15"/>
  <c r="R387" i="15"/>
  <c r="S387" i="15"/>
  <c r="B388" i="15"/>
  <c r="D388" i="15"/>
  <c r="E388" i="15"/>
  <c r="F388" i="15"/>
  <c r="G388" i="15"/>
  <c r="H388" i="15"/>
  <c r="I388" i="15"/>
  <c r="J388" i="15"/>
  <c r="K388" i="15"/>
  <c r="O388" i="15"/>
  <c r="P388" i="15"/>
  <c r="R388" i="15"/>
  <c r="S388" i="15"/>
  <c r="B389" i="15"/>
  <c r="D389" i="15"/>
  <c r="E389" i="15"/>
  <c r="F389" i="15"/>
  <c r="G389" i="15"/>
  <c r="H389" i="15"/>
  <c r="I389" i="15"/>
  <c r="J389" i="15"/>
  <c r="K389" i="15"/>
  <c r="O389" i="15"/>
  <c r="P389" i="15"/>
  <c r="R389" i="15"/>
  <c r="S389" i="15"/>
  <c r="B390" i="15"/>
  <c r="D390" i="15"/>
  <c r="E390" i="15"/>
  <c r="F390" i="15"/>
  <c r="G390" i="15"/>
  <c r="H390" i="15"/>
  <c r="I390" i="15"/>
  <c r="J390" i="15"/>
  <c r="K390" i="15"/>
  <c r="P390" i="15"/>
  <c r="R390" i="15"/>
  <c r="S390" i="15"/>
  <c r="B391" i="15"/>
  <c r="C391" i="15"/>
  <c r="D391" i="15"/>
  <c r="E391" i="15"/>
  <c r="F391" i="15"/>
  <c r="G391" i="15"/>
  <c r="H391" i="15"/>
  <c r="I391" i="15"/>
  <c r="J391" i="15"/>
  <c r="K391" i="15"/>
  <c r="P391" i="15"/>
  <c r="R391" i="15"/>
  <c r="S391" i="15"/>
  <c r="B392" i="15"/>
  <c r="C392" i="15"/>
  <c r="D392" i="15"/>
  <c r="E392" i="15"/>
  <c r="F392" i="15"/>
  <c r="G392" i="15"/>
  <c r="H392" i="15"/>
  <c r="I392" i="15"/>
  <c r="J392" i="15"/>
  <c r="K392" i="15"/>
  <c r="P392" i="15"/>
  <c r="R392" i="15"/>
  <c r="S392" i="15"/>
  <c r="B393" i="15"/>
  <c r="C393" i="15"/>
  <c r="D393" i="15"/>
  <c r="E393" i="15"/>
  <c r="F393" i="15"/>
  <c r="G393" i="15"/>
  <c r="H393" i="15"/>
  <c r="I393" i="15"/>
  <c r="J393" i="15"/>
  <c r="K393" i="15"/>
  <c r="P393" i="15"/>
  <c r="R393" i="15"/>
  <c r="S393" i="15"/>
  <c r="B394" i="15"/>
  <c r="D394" i="15"/>
  <c r="E394" i="15"/>
  <c r="G394" i="15"/>
  <c r="H394" i="15"/>
  <c r="I394" i="15"/>
  <c r="J394" i="15"/>
  <c r="K394" i="15"/>
  <c r="L394" i="15"/>
  <c r="P394" i="15"/>
  <c r="R394" i="15"/>
  <c r="S394" i="15"/>
  <c r="B395" i="15"/>
  <c r="E395" i="15"/>
  <c r="G395" i="15"/>
  <c r="H395" i="15"/>
  <c r="I395" i="15"/>
  <c r="J395" i="15"/>
  <c r="K395" i="15"/>
  <c r="O395" i="15"/>
  <c r="P395" i="15"/>
  <c r="B396" i="15"/>
  <c r="E396" i="15"/>
  <c r="G396" i="15"/>
  <c r="H396" i="15"/>
  <c r="I396" i="15"/>
  <c r="J396" i="15"/>
  <c r="K396" i="15"/>
  <c r="O396" i="15"/>
  <c r="P396" i="15"/>
  <c r="B397" i="15"/>
  <c r="D397" i="15"/>
  <c r="E397" i="15"/>
  <c r="G397" i="15"/>
  <c r="H397" i="15"/>
  <c r="I397" i="15"/>
  <c r="J397" i="15"/>
  <c r="K397" i="15"/>
  <c r="O397" i="15"/>
  <c r="P397" i="15"/>
  <c r="R397" i="15"/>
  <c r="S397" i="15"/>
  <c r="B398" i="15"/>
  <c r="D398" i="15"/>
  <c r="E398" i="15"/>
  <c r="F398" i="15"/>
  <c r="G398" i="15"/>
  <c r="H398" i="15"/>
  <c r="I398" i="15"/>
  <c r="J398" i="15"/>
  <c r="K398" i="15"/>
  <c r="L398" i="15"/>
  <c r="O398" i="15"/>
  <c r="P398" i="15"/>
  <c r="R398" i="15"/>
  <c r="S398" i="15"/>
  <c r="E399" i="15"/>
  <c r="F399" i="15"/>
  <c r="G399" i="15"/>
  <c r="H399" i="15"/>
  <c r="I399" i="15"/>
  <c r="J399" i="15"/>
  <c r="K399" i="15"/>
  <c r="E400" i="15"/>
  <c r="F400" i="15"/>
  <c r="G400" i="15"/>
  <c r="H400" i="15"/>
  <c r="I400" i="15"/>
  <c r="J400" i="15"/>
  <c r="K400" i="15"/>
  <c r="B401" i="15"/>
  <c r="D401" i="15"/>
  <c r="E401" i="15"/>
  <c r="G401" i="15"/>
  <c r="H401" i="15"/>
  <c r="I401" i="15"/>
  <c r="J401" i="15"/>
  <c r="K401" i="15"/>
  <c r="O401" i="15"/>
  <c r="P401" i="15"/>
  <c r="R401" i="15"/>
  <c r="S401" i="15"/>
  <c r="B402" i="15"/>
  <c r="D402" i="15"/>
  <c r="E402" i="15"/>
  <c r="F402" i="15"/>
  <c r="G402" i="15"/>
  <c r="H402" i="15"/>
  <c r="I402" i="15"/>
  <c r="J402" i="15"/>
  <c r="K402" i="15"/>
  <c r="O402" i="15"/>
  <c r="P402" i="15"/>
  <c r="R402" i="15"/>
  <c r="S402" i="15"/>
  <c r="B403" i="15"/>
  <c r="D403" i="15"/>
  <c r="E403" i="15"/>
  <c r="F403" i="15"/>
  <c r="G403" i="15"/>
  <c r="H403" i="15"/>
  <c r="I403" i="15"/>
  <c r="J403" i="15"/>
  <c r="K403" i="15"/>
  <c r="O403" i="15"/>
  <c r="P403" i="15"/>
  <c r="R403" i="15"/>
  <c r="S403" i="15"/>
  <c r="B404" i="15"/>
  <c r="D404" i="15"/>
  <c r="E404" i="15"/>
  <c r="F404" i="15"/>
  <c r="G404" i="15"/>
  <c r="H404" i="15"/>
  <c r="I404" i="15"/>
  <c r="J404" i="15"/>
  <c r="K404" i="15"/>
  <c r="L404" i="15"/>
  <c r="O404" i="15"/>
  <c r="P404" i="15"/>
  <c r="R404" i="15"/>
  <c r="S404" i="15"/>
  <c r="B405" i="15"/>
  <c r="E405" i="15"/>
  <c r="F405" i="15"/>
  <c r="G405" i="15"/>
  <c r="H405" i="15"/>
  <c r="I405" i="15"/>
  <c r="J405" i="15"/>
  <c r="K405" i="15"/>
  <c r="B406" i="15"/>
  <c r="D406" i="15"/>
  <c r="E406" i="15"/>
  <c r="G406" i="15"/>
  <c r="H406" i="15"/>
  <c r="I406" i="15"/>
  <c r="J406" i="15"/>
  <c r="K406" i="15"/>
  <c r="P406" i="15"/>
  <c r="R406" i="15"/>
  <c r="S406" i="15"/>
  <c r="B407" i="15"/>
  <c r="D407" i="15"/>
  <c r="E407" i="15"/>
  <c r="G407" i="15"/>
  <c r="H407" i="15"/>
  <c r="I407" i="15"/>
  <c r="J407" i="15"/>
  <c r="K407" i="15"/>
  <c r="O407" i="15"/>
  <c r="P407" i="15"/>
  <c r="R407" i="15"/>
  <c r="S407" i="15"/>
  <c r="B408" i="15"/>
  <c r="D408" i="15"/>
  <c r="E408" i="15"/>
  <c r="F408" i="15"/>
  <c r="G408" i="15"/>
  <c r="H408" i="15"/>
  <c r="I408" i="15"/>
  <c r="J408" i="15"/>
  <c r="K408" i="15"/>
  <c r="O408" i="15"/>
  <c r="P408" i="15"/>
  <c r="R408" i="15"/>
  <c r="S408" i="15"/>
  <c r="B409" i="15"/>
  <c r="D409" i="15"/>
  <c r="E409" i="15"/>
  <c r="F409" i="15"/>
  <c r="G409" i="15"/>
  <c r="H409" i="15"/>
  <c r="I409" i="15"/>
  <c r="J409" i="15"/>
  <c r="K409" i="15"/>
  <c r="O409" i="15"/>
  <c r="P409" i="15"/>
  <c r="R409" i="15"/>
  <c r="S409" i="15"/>
  <c r="B410" i="15"/>
  <c r="D410" i="15"/>
  <c r="E410" i="15"/>
  <c r="F410" i="15"/>
  <c r="G410" i="15"/>
  <c r="H410" i="15"/>
  <c r="I410" i="15"/>
  <c r="J410" i="15"/>
  <c r="K410" i="15"/>
  <c r="O410" i="15"/>
  <c r="P410" i="15"/>
  <c r="R410" i="15"/>
  <c r="S410" i="15"/>
  <c r="B411" i="15"/>
  <c r="D411" i="15"/>
  <c r="E411" i="15"/>
  <c r="F411" i="15"/>
  <c r="G411" i="15"/>
  <c r="H411" i="15"/>
  <c r="I411" i="15"/>
  <c r="J411" i="15"/>
  <c r="K411" i="15"/>
  <c r="O411" i="15"/>
  <c r="P411" i="15"/>
  <c r="R411" i="15"/>
  <c r="S411" i="15"/>
  <c r="B412" i="15"/>
  <c r="D412" i="15"/>
  <c r="E412" i="15"/>
  <c r="G412" i="15"/>
  <c r="H412" i="15"/>
  <c r="I412" i="15"/>
  <c r="J412" i="15"/>
  <c r="K412" i="15"/>
  <c r="O412" i="15"/>
  <c r="P412" i="15"/>
  <c r="R412" i="15"/>
  <c r="S412" i="15"/>
  <c r="B413" i="15"/>
  <c r="D413" i="15"/>
  <c r="E413" i="15"/>
  <c r="G413" i="15"/>
  <c r="H413" i="15"/>
  <c r="I413" i="15"/>
  <c r="J413" i="15"/>
  <c r="K413" i="15"/>
  <c r="P413" i="15"/>
  <c r="R413" i="15"/>
  <c r="S413" i="15"/>
  <c r="B414" i="15"/>
  <c r="C414" i="15"/>
  <c r="D414" i="15"/>
  <c r="E414" i="15"/>
  <c r="F414" i="15"/>
  <c r="G414" i="15"/>
  <c r="H414" i="15"/>
  <c r="I414" i="15"/>
  <c r="J414" i="15"/>
  <c r="K414" i="15"/>
  <c r="P414" i="15"/>
  <c r="R414" i="15"/>
  <c r="S414" i="15"/>
  <c r="B415" i="15"/>
  <c r="C415" i="15"/>
  <c r="D415" i="15"/>
  <c r="E415" i="15"/>
  <c r="F415" i="15"/>
  <c r="G415" i="15"/>
  <c r="H415" i="15"/>
  <c r="I415" i="15"/>
  <c r="J415" i="15"/>
  <c r="K415" i="15"/>
  <c r="O415" i="15"/>
  <c r="P415" i="15"/>
  <c r="R415" i="15"/>
  <c r="S415" i="15"/>
  <c r="B416" i="15"/>
  <c r="D416" i="15"/>
  <c r="E416" i="15"/>
  <c r="F416" i="15"/>
  <c r="G416" i="15"/>
  <c r="H416" i="15"/>
  <c r="I416" i="15"/>
  <c r="J416" i="15"/>
  <c r="K416" i="15"/>
  <c r="P416" i="15"/>
  <c r="R416" i="15"/>
  <c r="S416" i="15"/>
  <c r="B417" i="15"/>
  <c r="D417" i="15"/>
  <c r="E417" i="15"/>
  <c r="F417" i="15"/>
  <c r="G417" i="15"/>
  <c r="H417" i="15"/>
  <c r="I417" i="15"/>
  <c r="J417" i="15"/>
  <c r="K417" i="15"/>
  <c r="O417" i="15"/>
  <c r="P417" i="15"/>
  <c r="R417" i="15"/>
  <c r="S417" i="15"/>
  <c r="B418" i="15"/>
  <c r="D418" i="15"/>
  <c r="E418" i="15"/>
  <c r="F418" i="15"/>
  <c r="G418" i="15"/>
  <c r="H418" i="15"/>
  <c r="I418" i="15"/>
  <c r="J418" i="15"/>
  <c r="K418" i="15"/>
  <c r="O418" i="15"/>
  <c r="P418" i="15"/>
  <c r="R418" i="15"/>
  <c r="S418" i="15"/>
  <c r="B419" i="15"/>
  <c r="D419" i="15"/>
  <c r="E419" i="15"/>
  <c r="G419" i="15"/>
  <c r="H419" i="15"/>
  <c r="I419" i="15"/>
  <c r="J419" i="15"/>
  <c r="K419" i="15"/>
  <c r="P419" i="15"/>
  <c r="R419" i="15"/>
  <c r="S419" i="15"/>
  <c r="B420" i="15"/>
  <c r="D420" i="15"/>
  <c r="E420" i="15"/>
  <c r="F420" i="15"/>
  <c r="G420" i="15"/>
  <c r="H420" i="15"/>
  <c r="I420" i="15"/>
  <c r="J420" i="15"/>
  <c r="K420" i="15"/>
  <c r="O420" i="15"/>
  <c r="P420" i="15"/>
  <c r="R420" i="15"/>
  <c r="S420" i="15"/>
  <c r="B421" i="15"/>
  <c r="D421" i="15"/>
  <c r="E421" i="15"/>
  <c r="F421" i="15"/>
  <c r="G421" i="15"/>
  <c r="H421" i="15"/>
  <c r="I421" i="15"/>
  <c r="J421" i="15"/>
  <c r="K421" i="15"/>
  <c r="O421" i="15"/>
  <c r="P421" i="15"/>
  <c r="R421" i="15"/>
  <c r="S421" i="15"/>
  <c r="B422" i="15"/>
  <c r="D422" i="15"/>
  <c r="E422" i="15"/>
  <c r="G422" i="15"/>
  <c r="H422" i="15"/>
  <c r="I422" i="15"/>
  <c r="J422" i="15"/>
  <c r="K422" i="15"/>
  <c r="P422" i="15"/>
  <c r="R422" i="15"/>
  <c r="S422" i="15"/>
  <c r="B423" i="15"/>
  <c r="D423" i="15"/>
  <c r="E423" i="15"/>
  <c r="G423" i="15"/>
  <c r="H423" i="15"/>
  <c r="I423" i="15"/>
  <c r="J423" i="15"/>
  <c r="K423" i="15"/>
  <c r="O423" i="15"/>
  <c r="P423" i="15"/>
  <c r="R423" i="15"/>
  <c r="S423" i="15"/>
  <c r="B424" i="15"/>
  <c r="D424" i="15"/>
  <c r="E424" i="15"/>
  <c r="G424" i="15"/>
  <c r="H424" i="15"/>
  <c r="I424" i="15"/>
  <c r="J424" i="15"/>
  <c r="K424" i="15"/>
  <c r="L424" i="15"/>
  <c r="P424" i="15"/>
  <c r="R424" i="15"/>
  <c r="S424" i="15"/>
  <c r="E425" i="15"/>
  <c r="G425" i="15"/>
  <c r="H425" i="15"/>
  <c r="I425" i="15"/>
  <c r="E426" i="15"/>
  <c r="G426" i="15"/>
  <c r="H426" i="15"/>
  <c r="I426" i="15"/>
  <c r="P426" i="15"/>
  <c r="E427" i="15"/>
  <c r="G427" i="15"/>
  <c r="H427" i="15"/>
  <c r="I427" i="15"/>
  <c r="E428" i="15"/>
  <c r="G428" i="15"/>
  <c r="H428" i="15"/>
  <c r="I428" i="15"/>
  <c r="P428" i="15"/>
  <c r="E429" i="15"/>
  <c r="G429" i="15"/>
  <c r="H429" i="15"/>
  <c r="I429" i="15"/>
  <c r="P429" i="15"/>
  <c r="B430" i="15"/>
  <c r="D430" i="15"/>
  <c r="E430" i="15"/>
  <c r="G430" i="15"/>
  <c r="H430" i="15"/>
  <c r="I430" i="15"/>
  <c r="J430" i="15"/>
  <c r="K430" i="15"/>
  <c r="L430" i="15"/>
  <c r="P430" i="15"/>
  <c r="R430" i="15"/>
  <c r="S430" i="15"/>
  <c r="E431" i="15"/>
  <c r="G431" i="15"/>
  <c r="H431" i="15"/>
  <c r="I431" i="15"/>
  <c r="J431" i="15"/>
  <c r="E432" i="15"/>
  <c r="G432" i="15"/>
  <c r="H432" i="15"/>
  <c r="I432" i="15"/>
  <c r="J432" i="15"/>
  <c r="B433" i="15"/>
  <c r="D433" i="15"/>
  <c r="E433" i="15"/>
  <c r="G433" i="15"/>
  <c r="H433" i="15"/>
  <c r="I433" i="15"/>
  <c r="J433" i="15"/>
  <c r="K433" i="15"/>
  <c r="O433" i="15"/>
  <c r="P433" i="15"/>
  <c r="R433" i="15"/>
  <c r="S433" i="15"/>
  <c r="B434" i="15"/>
  <c r="D434" i="15"/>
  <c r="E434" i="15"/>
  <c r="G434" i="15"/>
  <c r="H434" i="15"/>
  <c r="I434" i="15"/>
  <c r="J434" i="15"/>
  <c r="K434" i="15"/>
  <c r="P434" i="15"/>
  <c r="R434" i="15"/>
  <c r="S434" i="15"/>
  <c r="B435" i="15"/>
  <c r="C435" i="15"/>
  <c r="D435" i="15"/>
  <c r="E435" i="15"/>
  <c r="G435" i="15"/>
  <c r="H435" i="15"/>
  <c r="I435" i="15"/>
  <c r="J435" i="15"/>
  <c r="K435" i="15"/>
  <c r="O435" i="15"/>
  <c r="P435" i="15"/>
  <c r="R435" i="15"/>
  <c r="S435" i="15"/>
  <c r="B436" i="15"/>
  <c r="D436" i="15"/>
  <c r="E436" i="15"/>
  <c r="F436" i="15"/>
  <c r="G436" i="15"/>
  <c r="H436" i="15"/>
  <c r="I436" i="15"/>
  <c r="J436" i="15"/>
  <c r="K436" i="15"/>
  <c r="P436" i="15"/>
  <c r="R436" i="15"/>
  <c r="S436" i="15"/>
  <c r="B437" i="15"/>
  <c r="D437" i="15"/>
  <c r="E437" i="15"/>
  <c r="G437" i="15"/>
  <c r="H437" i="15"/>
  <c r="I437" i="15"/>
  <c r="J437" i="15"/>
  <c r="K437" i="15"/>
  <c r="L437" i="15"/>
  <c r="P437" i="15"/>
  <c r="R437" i="15"/>
  <c r="S437" i="15"/>
  <c r="B438" i="15"/>
  <c r="E438" i="15"/>
  <c r="G438" i="15"/>
  <c r="H438" i="15"/>
  <c r="I438" i="15"/>
  <c r="J438" i="15"/>
  <c r="K438" i="15"/>
  <c r="P438" i="15"/>
  <c r="B439" i="15"/>
  <c r="E439" i="15"/>
  <c r="G439" i="15"/>
  <c r="H439" i="15"/>
  <c r="I439" i="15"/>
  <c r="J439" i="15"/>
  <c r="K439" i="15"/>
  <c r="P439" i="15"/>
  <c r="B440" i="15"/>
  <c r="C440" i="15"/>
  <c r="D440" i="15"/>
  <c r="E440" i="15"/>
  <c r="F440" i="15"/>
  <c r="G440" i="15"/>
  <c r="H440" i="15"/>
  <c r="I440" i="15"/>
  <c r="J440" i="15"/>
  <c r="K440" i="15"/>
  <c r="P440" i="15"/>
  <c r="R440" i="15"/>
  <c r="S440" i="15"/>
  <c r="B441" i="15"/>
  <c r="D441" i="15"/>
  <c r="E441" i="15"/>
  <c r="F441" i="15"/>
  <c r="G441" i="15"/>
  <c r="H441" i="15"/>
  <c r="I441" i="15"/>
  <c r="J441" i="15"/>
  <c r="K441" i="15"/>
  <c r="O441" i="15"/>
  <c r="P441" i="15"/>
  <c r="R441" i="15"/>
  <c r="S441" i="15"/>
  <c r="B442" i="15"/>
  <c r="D442" i="15"/>
  <c r="E442" i="15"/>
  <c r="F442" i="15"/>
  <c r="G442" i="15"/>
  <c r="H442" i="15"/>
  <c r="I442" i="15"/>
  <c r="J442" i="15"/>
  <c r="K442" i="15"/>
  <c r="P442" i="15"/>
  <c r="R442" i="15"/>
  <c r="S442" i="15"/>
  <c r="B443" i="15"/>
  <c r="D443" i="15"/>
  <c r="E443" i="15"/>
  <c r="F443" i="15"/>
  <c r="G443" i="15"/>
  <c r="H443" i="15"/>
  <c r="I443" i="15"/>
  <c r="J443" i="15"/>
  <c r="K443" i="15"/>
  <c r="P443" i="15"/>
  <c r="R443" i="15"/>
  <c r="S443" i="15"/>
  <c r="B444" i="15"/>
  <c r="D444" i="15"/>
  <c r="E444" i="15"/>
  <c r="G444" i="15"/>
  <c r="H444" i="15"/>
  <c r="I444" i="15"/>
  <c r="J444" i="15"/>
  <c r="K444" i="15"/>
  <c r="O444" i="15"/>
  <c r="P444" i="15"/>
  <c r="R444" i="15"/>
  <c r="S444" i="15"/>
  <c r="B445" i="15"/>
  <c r="D445" i="15"/>
  <c r="E445" i="15"/>
  <c r="G445" i="15"/>
  <c r="H445" i="15"/>
  <c r="I445" i="15"/>
  <c r="J445" i="15"/>
  <c r="K445" i="15"/>
  <c r="P445" i="15"/>
  <c r="R445" i="15"/>
  <c r="S445" i="15"/>
  <c r="B446" i="15"/>
  <c r="D446" i="15"/>
  <c r="E446" i="15"/>
  <c r="F446" i="15"/>
  <c r="G446" i="15"/>
  <c r="H446" i="15"/>
  <c r="I446" i="15"/>
  <c r="J446" i="15"/>
  <c r="K446" i="15"/>
  <c r="P446" i="15"/>
  <c r="R446" i="15"/>
  <c r="S446" i="15"/>
  <c r="B447" i="15"/>
  <c r="D447" i="15"/>
  <c r="E447" i="15"/>
  <c r="G447" i="15"/>
  <c r="H447" i="15"/>
  <c r="I447" i="15"/>
  <c r="J447" i="15"/>
  <c r="K447" i="15"/>
  <c r="P447" i="15"/>
  <c r="R447" i="15"/>
  <c r="S447" i="15"/>
  <c r="B448" i="15"/>
  <c r="C448" i="15"/>
  <c r="D448" i="15"/>
  <c r="E448" i="15"/>
  <c r="F448" i="15"/>
  <c r="G448" i="15"/>
  <c r="H448" i="15"/>
  <c r="I448" i="15"/>
  <c r="J448" i="15"/>
  <c r="K448" i="15"/>
  <c r="O448" i="15"/>
  <c r="P448" i="15"/>
  <c r="R448" i="15"/>
  <c r="S448" i="15"/>
  <c r="B449" i="15"/>
  <c r="D449" i="15"/>
  <c r="E449" i="15"/>
  <c r="F449" i="15"/>
  <c r="G449" i="15"/>
  <c r="H449" i="15"/>
  <c r="I449" i="15"/>
  <c r="J449" i="15"/>
  <c r="K449" i="15"/>
  <c r="O449" i="15"/>
  <c r="P449" i="15"/>
  <c r="R449" i="15"/>
  <c r="S449" i="15"/>
  <c r="B450" i="15"/>
  <c r="D450" i="15"/>
  <c r="E450" i="15"/>
  <c r="F450" i="15"/>
  <c r="G450" i="15"/>
  <c r="H450" i="15"/>
  <c r="I450" i="15"/>
  <c r="J450" i="15"/>
  <c r="K450" i="15"/>
  <c r="P450" i="15"/>
  <c r="R450" i="15"/>
  <c r="S450" i="15"/>
  <c r="B451" i="15"/>
  <c r="D451" i="15"/>
  <c r="E451" i="15"/>
  <c r="G451" i="15"/>
  <c r="H451" i="15"/>
  <c r="I451" i="15"/>
  <c r="J451" i="15"/>
  <c r="K451" i="15"/>
  <c r="O451" i="15"/>
  <c r="P451" i="15"/>
  <c r="R451" i="15"/>
  <c r="S451" i="15"/>
  <c r="B452" i="15"/>
  <c r="D452" i="15"/>
  <c r="E452" i="15"/>
  <c r="G452" i="15"/>
  <c r="H452" i="15"/>
  <c r="I452" i="15"/>
  <c r="J452" i="15"/>
  <c r="K452" i="15"/>
  <c r="P452" i="15"/>
  <c r="R452" i="15"/>
  <c r="S452" i="15"/>
  <c r="B453" i="15"/>
  <c r="D453" i="15"/>
  <c r="E453" i="15"/>
  <c r="G453" i="15"/>
  <c r="H453" i="15"/>
  <c r="I453" i="15"/>
  <c r="J453" i="15"/>
  <c r="K453" i="15"/>
  <c r="O453" i="15"/>
  <c r="P453" i="15"/>
  <c r="R453" i="15"/>
  <c r="S453" i="15"/>
  <c r="B454" i="15"/>
  <c r="D454" i="15"/>
  <c r="E454" i="15"/>
  <c r="G454" i="15"/>
  <c r="H454" i="15"/>
  <c r="I454" i="15"/>
  <c r="J454" i="15"/>
  <c r="K454" i="15"/>
  <c r="O454" i="15"/>
  <c r="P454" i="15"/>
  <c r="R454" i="15"/>
  <c r="S454" i="15"/>
  <c r="B455" i="15"/>
  <c r="D455" i="15"/>
  <c r="E455" i="15"/>
  <c r="F455" i="15"/>
  <c r="G455" i="15"/>
  <c r="H455" i="15"/>
  <c r="I455" i="15"/>
  <c r="J455" i="15"/>
  <c r="K455" i="15"/>
  <c r="O455" i="15"/>
  <c r="P455" i="15"/>
  <c r="R455" i="15"/>
  <c r="S455" i="15"/>
  <c r="B456" i="15"/>
  <c r="D456" i="15"/>
  <c r="E456" i="15"/>
  <c r="F456" i="15"/>
  <c r="G456" i="15"/>
  <c r="H456" i="15"/>
  <c r="I456" i="15"/>
  <c r="J456" i="15"/>
  <c r="K456" i="15"/>
  <c r="O456" i="15"/>
  <c r="P456" i="15"/>
  <c r="R456" i="15"/>
  <c r="S456" i="15"/>
  <c r="B457" i="15"/>
  <c r="C457" i="15"/>
  <c r="D457" i="15"/>
  <c r="E457" i="15"/>
  <c r="F457" i="15"/>
  <c r="G457" i="15"/>
  <c r="H457" i="15"/>
  <c r="I457" i="15"/>
  <c r="J457" i="15"/>
  <c r="K457" i="15"/>
  <c r="O457" i="15"/>
  <c r="P457" i="15"/>
  <c r="R457" i="15"/>
  <c r="S457" i="15"/>
  <c r="B458" i="15"/>
  <c r="C458" i="15"/>
  <c r="D458" i="15"/>
  <c r="E458" i="15"/>
  <c r="F458" i="15"/>
  <c r="G458" i="15"/>
  <c r="H458" i="15"/>
  <c r="I458" i="15"/>
  <c r="J458" i="15"/>
  <c r="K458" i="15"/>
  <c r="O458" i="15"/>
  <c r="P458" i="15"/>
  <c r="R458" i="15"/>
  <c r="S458" i="15"/>
  <c r="B459" i="15"/>
  <c r="D459" i="15"/>
  <c r="E459" i="15"/>
  <c r="F459" i="15"/>
  <c r="G459" i="15"/>
  <c r="H459" i="15"/>
  <c r="I459" i="15"/>
  <c r="J459" i="15"/>
  <c r="K459" i="15"/>
  <c r="O459" i="15"/>
  <c r="P459" i="15"/>
  <c r="R459" i="15"/>
  <c r="S459" i="15"/>
  <c r="B460" i="15"/>
  <c r="D460" i="15"/>
  <c r="E460" i="15"/>
  <c r="F460" i="15"/>
  <c r="G460" i="15"/>
  <c r="H460" i="15"/>
  <c r="I460" i="15"/>
  <c r="J460" i="15"/>
  <c r="K460" i="15"/>
  <c r="O460" i="15"/>
  <c r="P460" i="15"/>
  <c r="R460" i="15"/>
  <c r="S460" i="15"/>
  <c r="B461" i="15"/>
  <c r="C461" i="15"/>
  <c r="D461" i="15"/>
  <c r="E461" i="15"/>
  <c r="F461" i="15"/>
  <c r="G461" i="15"/>
  <c r="H461" i="15"/>
  <c r="I461" i="15"/>
  <c r="J461" i="15"/>
  <c r="K461" i="15"/>
  <c r="O461" i="15"/>
  <c r="P461" i="15"/>
  <c r="R461" i="15"/>
  <c r="S461" i="15"/>
  <c r="B462" i="15"/>
  <c r="D462" i="15"/>
  <c r="E462" i="15"/>
  <c r="F462" i="15"/>
  <c r="G462" i="15"/>
  <c r="H462" i="15"/>
  <c r="I462" i="15"/>
  <c r="J462" i="15"/>
  <c r="K462" i="15"/>
  <c r="P462" i="15"/>
  <c r="R462" i="15"/>
  <c r="S462" i="15"/>
  <c r="B463" i="15"/>
  <c r="C463" i="15"/>
  <c r="D463" i="15"/>
  <c r="E463" i="15"/>
  <c r="F463" i="15"/>
  <c r="G463" i="15"/>
  <c r="H463" i="15"/>
  <c r="I463" i="15"/>
  <c r="J463" i="15"/>
  <c r="K463" i="15"/>
  <c r="P463" i="15"/>
  <c r="R463" i="15"/>
  <c r="S463" i="15"/>
  <c r="B464" i="15"/>
  <c r="C464" i="15"/>
  <c r="D464" i="15"/>
  <c r="E464" i="15"/>
  <c r="F464" i="15"/>
  <c r="G464" i="15"/>
  <c r="H464" i="15"/>
  <c r="I464" i="15"/>
  <c r="J464" i="15"/>
  <c r="K464" i="15"/>
  <c r="P464" i="15"/>
  <c r="R464" i="15"/>
  <c r="S464" i="15"/>
  <c r="B465" i="15"/>
  <c r="C465" i="15"/>
  <c r="D465" i="15"/>
  <c r="E465" i="15"/>
  <c r="F465" i="15"/>
  <c r="G465" i="15"/>
  <c r="H465" i="15"/>
  <c r="I465" i="15"/>
  <c r="J465" i="15"/>
  <c r="K465" i="15"/>
  <c r="O465" i="15"/>
  <c r="P465" i="15"/>
  <c r="R465" i="15"/>
  <c r="S465" i="15"/>
  <c r="B466" i="15"/>
  <c r="C466" i="15"/>
  <c r="D466" i="15"/>
  <c r="E466" i="15"/>
  <c r="F466" i="15"/>
  <c r="G466" i="15"/>
  <c r="H466" i="15"/>
  <c r="I466" i="15"/>
  <c r="J466" i="15"/>
  <c r="K466" i="15"/>
  <c r="O466" i="15"/>
  <c r="P466" i="15"/>
  <c r="R466" i="15"/>
  <c r="S466" i="15"/>
  <c r="B467" i="15"/>
  <c r="C467" i="15"/>
  <c r="D467" i="15"/>
  <c r="E467" i="15"/>
  <c r="F467" i="15"/>
  <c r="G467" i="15"/>
  <c r="H467" i="15"/>
  <c r="I467" i="15"/>
  <c r="J467" i="15"/>
  <c r="K467" i="15"/>
  <c r="O467" i="15"/>
  <c r="P467" i="15"/>
  <c r="R467" i="15"/>
  <c r="S467" i="15"/>
  <c r="B468" i="15"/>
  <c r="C468" i="15"/>
  <c r="D468" i="15"/>
  <c r="E468" i="15"/>
  <c r="F468" i="15"/>
  <c r="G468" i="15"/>
  <c r="H468" i="15"/>
  <c r="I468" i="15"/>
  <c r="J468" i="15"/>
  <c r="K468" i="15"/>
  <c r="O468" i="15"/>
  <c r="P468" i="15"/>
  <c r="R468" i="15"/>
  <c r="S468" i="15"/>
  <c r="B469" i="15"/>
  <c r="C469" i="15"/>
  <c r="D469" i="15"/>
  <c r="E469" i="15"/>
  <c r="F469" i="15"/>
  <c r="G469" i="15"/>
  <c r="H469" i="15"/>
  <c r="I469" i="15"/>
  <c r="J469" i="15"/>
  <c r="K469" i="15"/>
  <c r="P469" i="15"/>
  <c r="R469" i="15"/>
  <c r="S469" i="15"/>
  <c r="B470" i="15"/>
  <c r="C470" i="15"/>
  <c r="D470" i="15"/>
  <c r="E470" i="15"/>
  <c r="F470" i="15"/>
  <c r="G470" i="15"/>
  <c r="H470" i="15"/>
  <c r="I470" i="15"/>
  <c r="J470" i="15"/>
  <c r="K470" i="15"/>
  <c r="O470" i="15"/>
  <c r="P470" i="15"/>
  <c r="R470" i="15"/>
  <c r="S470" i="15"/>
  <c r="B471" i="15"/>
  <c r="C471" i="15"/>
  <c r="D471" i="15"/>
  <c r="E471" i="15"/>
  <c r="F471" i="15"/>
  <c r="G471" i="15"/>
  <c r="H471" i="15"/>
  <c r="I471" i="15"/>
  <c r="J471" i="15"/>
  <c r="K471" i="15"/>
  <c r="O471" i="15"/>
  <c r="P471" i="15"/>
  <c r="R471" i="15"/>
  <c r="S471" i="15"/>
  <c r="B472" i="15"/>
  <c r="C472" i="15"/>
  <c r="D472" i="15"/>
  <c r="E472" i="15"/>
  <c r="F472" i="15"/>
  <c r="G472" i="15"/>
  <c r="H472" i="15"/>
  <c r="I472" i="15"/>
  <c r="J472" i="15"/>
  <c r="K472" i="15"/>
  <c r="P472" i="15"/>
  <c r="R472" i="15"/>
  <c r="S472" i="15"/>
  <c r="B473" i="15"/>
  <c r="D473" i="15"/>
  <c r="E473" i="15"/>
  <c r="F473" i="15"/>
  <c r="G473" i="15"/>
  <c r="H473" i="15"/>
  <c r="I473" i="15"/>
  <c r="J473" i="15"/>
  <c r="K473" i="15"/>
  <c r="O473" i="15"/>
  <c r="P473" i="15"/>
  <c r="R473" i="15"/>
  <c r="S473" i="15"/>
  <c r="B474" i="15"/>
  <c r="D474" i="15"/>
  <c r="E474" i="15"/>
  <c r="G474" i="15"/>
  <c r="H474" i="15"/>
  <c r="I474" i="15"/>
  <c r="J474" i="15"/>
  <c r="K474" i="15"/>
  <c r="M474" i="15"/>
  <c r="P474" i="15"/>
  <c r="R474" i="15"/>
  <c r="S474" i="15"/>
  <c r="B475" i="15"/>
  <c r="C475" i="15"/>
  <c r="D475" i="15"/>
  <c r="E475" i="15"/>
  <c r="F475" i="15"/>
  <c r="G475" i="15"/>
  <c r="H475" i="15"/>
  <c r="I475" i="15"/>
  <c r="J475" i="15"/>
  <c r="K475" i="15"/>
  <c r="O475" i="15"/>
  <c r="P475" i="15"/>
  <c r="R475" i="15"/>
  <c r="S475" i="15"/>
  <c r="B476" i="15"/>
  <c r="C476" i="15"/>
  <c r="D476" i="15"/>
  <c r="E476" i="15"/>
  <c r="F476" i="15"/>
  <c r="G476" i="15"/>
  <c r="H476" i="15"/>
  <c r="I476" i="15"/>
  <c r="J476" i="15"/>
  <c r="K476" i="15"/>
  <c r="O476" i="15"/>
  <c r="P476" i="15"/>
  <c r="R476" i="15"/>
  <c r="S476" i="15"/>
  <c r="B477" i="15"/>
  <c r="C477" i="15"/>
  <c r="D477" i="15"/>
  <c r="E477" i="15"/>
  <c r="F477" i="15"/>
  <c r="G477" i="15"/>
  <c r="H477" i="15"/>
  <c r="I477" i="15"/>
  <c r="J477" i="15"/>
  <c r="K477" i="15"/>
  <c r="P477" i="15"/>
  <c r="R477" i="15"/>
  <c r="S477" i="15"/>
  <c r="B478" i="15"/>
  <c r="D478" i="15"/>
  <c r="E478" i="15"/>
  <c r="F478" i="15"/>
  <c r="G478" i="15"/>
  <c r="H478" i="15"/>
  <c r="I478" i="15"/>
  <c r="J478" i="15"/>
  <c r="K478" i="15"/>
  <c r="O478" i="15"/>
  <c r="P478" i="15"/>
  <c r="R478" i="15"/>
  <c r="S478" i="15"/>
  <c r="B479" i="15"/>
  <c r="D479" i="15"/>
  <c r="E479" i="15"/>
  <c r="F479" i="15"/>
  <c r="G479" i="15"/>
  <c r="H479" i="15"/>
  <c r="I479" i="15"/>
  <c r="J479" i="15"/>
  <c r="K479" i="15"/>
  <c r="P479" i="15"/>
  <c r="R479" i="15"/>
  <c r="S479" i="15"/>
  <c r="B480" i="15"/>
  <c r="C480" i="15"/>
  <c r="D480" i="15"/>
  <c r="E480" i="15"/>
  <c r="F480" i="15"/>
  <c r="G480" i="15"/>
  <c r="H480" i="15"/>
  <c r="I480" i="15"/>
  <c r="J480" i="15"/>
  <c r="K480" i="15"/>
  <c r="O480" i="15"/>
  <c r="P480" i="15"/>
  <c r="R480" i="15"/>
  <c r="S480" i="15"/>
  <c r="B481" i="15"/>
  <c r="C481" i="15"/>
  <c r="D481" i="15"/>
  <c r="E481" i="15"/>
  <c r="F481" i="15"/>
  <c r="G481" i="15"/>
  <c r="H481" i="15"/>
  <c r="I481" i="15"/>
  <c r="J481" i="15"/>
  <c r="K481" i="15"/>
  <c r="O481" i="15"/>
  <c r="P481" i="15"/>
  <c r="R481" i="15"/>
  <c r="S481" i="15"/>
  <c r="B482" i="15"/>
  <c r="C482" i="15"/>
  <c r="D482" i="15"/>
  <c r="E482" i="15"/>
  <c r="F482" i="15"/>
  <c r="G482" i="15"/>
  <c r="H482" i="15"/>
  <c r="I482" i="15"/>
  <c r="J482" i="15"/>
  <c r="K482" i="15"/>
  <c r="O482" i="15"/>
  <c r="P482" i="15"/>
  <c r="R482" i="15"/>
  <c r="S482" i="15"/>
  <c r="B483" i="15"/>
  <c r="C483" i="15"/>
  <c r="D483" i="15"/>
  <c r="E483" i="15"/>
  <c r="F483" i="15"/>
  <c r="G483" i="15"/>
  <c r="H483" i="15"/>
  <c r="I483" i="15"/>
  <c r="J483" i="15"/>
  <c r="K483" i="15"/>
  <c r="P483" i="15"/>
  <c r="R483" i="15"/>
  <c r="S483" i="15"/>
  <c r="B484" i="15"/>
  <c r="D484" i="15"/>
  <c r="E484" i="15"/>
  <c r="F484" i="15"/>
  <c r="G484" i="15"/>
  <c r="H484" i="15"/>
  <c r="I484" i="15"/>
  <c r="J484" i="15"/>
  <c r="K484" i="15"/>
  <c r="O484" i="15"/>
  <c r="R484" i="15"/>
  <c r="S484" i="15"/>
  <c r="B485" i="15"/>
  <c r="D485" i="15"/>
  <c r="E485" i="15"/>
  <c r="F485" i="15"/>
  <c r="G485" i="15"/>
  <c r="H485" i="15"/>
  <c r="I485" i="15"/>
  <c r="J485" i="15"/>
  <c r="K485" i="15"/>
  <c r="O485" i="15"/>
  <c r="P485" i="15"/>
  <c r="R485" i="15"/>
  <c r="S485" i="15"/>
  <c r="B486" i="15"/>
  <c r="D486" i="15"/>
  <c r="E486" i="15"/>
  <c r="F486" i="15"/>
  <c r="G486" i="15"/>
  <c r="H486" i="15"/>
  <c r="I486" i="15"/>
  <c r="J486" i="15"/>
  <c r="K486" i="15"/>
  <c r="P486" i="15"/>
  <c r="R486" i="15"/>
  <c r="S486" i="15"/>
  <c r="B487" i="15"/>
  <c r="D487" i="15"/>
  <c r="E487" i="15"/>
  <c r="F487" i="15"/>
  <c r="G487" i="15"/>
  <c r="H487" i="15"/>
  <c r="I487" i="15"/>
  <c r="J487" i="15"/>
  <c r="K487" i="15"/>
  <c r="P487" i="15"/>
  <c r="R487" i="15"/>
  <c r="S487" i="15"/>
  <c r="B488" i="15"/>
  <c r="D488" i="15"/>
  <c r="E488" i="15"/>
  <c r="F488" i="15"/>
  <c r="G488" i="15"/>
  <c r="H488" i="15"/>
  <c r="I488" i="15"/>
  <c r="J488" i="15"/>
  <c r="K488" i="15"/>
  <c r="O488" i="15"/>
  <c r="P488" i="15"/>
  <c r="R488" i="15"/>
  <c r="S488" i="15"/>
  <c r="B489" i="15"/>
  <c r="D489" i="15"/>
  <c r="E489" i="15"/>
  <c r="F489" i="15"/>
  <c r="G489" i="15"/>
  <c r="H489" i="15"/>
  <c r="I489" i="15"/>
  <c r="J489" i="15"/>
  <c r="K489" i="15"/>
  <c r="P489" i="15"/>
  <c r="R489" i="15"/>
  <c r="S489" i="15"/>
  <c r="B490" i="15"/>
  <c r="C490" i="15"/>
  <c r="D490" i="15"/>
  <c r="E490" i="15"/>
  <c r="F490" i="15"/>
  <c r="G490" i="15"/>
  <c r="H490" i="15"/>
  <c r="I490" i="15"/>
  <c r="J490" i="15"/>
  <c r="K490" i="15"/>
  <c r="O490" i="15"/>
  <c r="P490" i="15"/>
  <c r="R490" i="15"/>
  <c r="S490" i="15"/>
  <c r="B491" i="15"/>
  <c r="D491" i="15"/>
  <c r="E491" i="15"/>
  <c r="G491" i="15"/>
  <c r="H491" i="15"/>
  <c r="I491" i="15"/>
  <c r="J491" i="15"/>
  <c r="K491" i="15"/>
  <c r="P491" i="15"/>
  <c r="R491" i="15"/>
  <c r="S491" i="15"/>
  <c r="B492" i="15"/>
  <c r="C492" i="15"/>
  <c r="D492" i="15"/>
  <c r="E492" i="15"/>
  <c r="F492" i="15"/>
  <c r="G492" i="15"/>
  <c r="H492" i="15"/>
  <c r="I492" i="15"/>
  <c r="J492" i="15"/>
  <c r="K492" i="15"/>
  <c r="O492" i="15"/>
  <c r="P492" i="15"/>
  <c r="R492" i="15"/>
  <c r="S492" i="15"/>
  <c r="B493" i="15"/>
  <c r="D493" i="15"/>
  <c r="E493" i="15"/>
  <c r="G493" i="15"/>
  <c r="H493" i="15"/>
  <c r="I493" i="15"/>
  <c r="J493" i="15"/>
  <c r="K493" i="15"/>
  <c r="O493" i="15"/>
  <c r="P493" i="15"/>
  <c r="R493" i="15"/>
  <c r="S493" i="15"/>
  <c r="B494" i="15"/>
  <c r="D494" i="15"/>
  <c r="E494" i="15"/>
  <c r="F494" i="15"/>
  <c r="G494" i="15"/>
  <c r="H494" i="15"/>
  <c r="I494" i="15"/>
  <c r="J494" i="15"/>
  <c r="K494" i="15"/>
  <c r="O494" i="15"/>
  <c r="P494" i="15"/>
  <c r="R494" i="15"/>
  <c r="S494" i="15"/>
  <c r="B495" i="15"/>
  <c r="C495" i="15"/>
  <c r="D495" i="15"/>
  <c r="E495" i="15"/>
  <c r="F495" i="15"/>
  <c r="G495" i="15"/>
  <c r="H495" i="15"/>
  <c r="I495" i="15"/>
  <c r="J495" i="15"/>
  <c r="K495" i="15"/>
  <c r="P495" i="15"/>
  <c r="R495" i="15"/>
  <c r="S495" i="15"/>
  <c r="B496" i="15"/>
  <c r="C496" i="15"/>
  <c r="D496" i="15"/>
  <c r="E496" i="15"/>
  <c r="F496" i="15"/>
  <c r="G496" i="15"/>
  <c r="H496" i="15"/>
  <c r="I496" i="15"/>
  <c r="J496" i="15"/>
  <c r="K496" i="15"/>
  <c r="P496" i="15"/>
  <c r="R496" i="15"/>
  <c r="S496" i="15"/>
  <c r="B497" i="15"/>
  <c r="C497" i="15"/>
  <c r="D497" i="15"/>
  <c r="E497" i="15"/>
  <c r="F497" i="15"/>
  <c r="G497" i="15"/>
  <c r="H497" i="15"/>
  <c r="I497" i="15"/>
  <c r="J497" i="15"/>
  <c r="K497" i="15"/>
  <c r="O497" i="15"/>
  <c r="P497" i="15"/>
  <c r="R497" i="15"/>
  <c r="S497" i="15"/>
  <c r="B498" i="15"/>
  <c r="D498" i="15"/>
  <c r="E498" i="15"/>
  <c r="F498" i="15"/>
  <c r="G498" i="15"/>
  <c r="H498" i="15"/>
  <c r="I498" i="15"/>
  <c r="J498" i="15"/>
  <c r="K498" i="15"/>
  <c r="O498" i="15"/>
  <c r="P498" i="15"/>
  <c r="R498" i="15"/>
  <c r="S498" i="15"/>
  <c r="B499" i="15"/>
  <c r="C499" i="15"/>
  <c r="D499" i="15"/>
  <c r="E499" i="15"/>
  <c r="F499" i="15"/>
  <c r="G499" i="15"/>
  <c r="H499" i="15"/>
  <c r="I499" i="15"/>
  <c r="J499" i="15"/>
  <c r="K499" i="15"/>
  <c r="P499" i="15"/>
  <c r="R499" i="15"/>
  <c r="S499" i="15"/>
  <c r="B500" i="15"/>
  <c r="D500" i="15"/>
  <c r="E500" i="15"/>
  <c r="F500" i="15"/>
  <c r="G500" i="15"/>
  <c r="H500" i="15"/>
  <c r="I500" i="15"/>
  <c r="J500" i="15"/>
  <c r="K500" i="15"/>
  <c r="O500" i="15"/>
  <c r="P500" i="15"/>
  <c r="R500" i="15"/>
  <c r="S500" i="15"/>
  <c r="B501" i="15"/>
  <c r="D501" i="15"/>
  <c r="E501" i="15"/>
  <c r="F501" i="15"/>
  <c r="G501" i="15"/>
  <c r="H501" i="15"/>
  <c r="I501" i="15"/>
  <c r="J501" i="15"/>
  <c r="K501" i="15"/>
  <c r="O501" i="15"/>
  <c r="P501" i="15"/>
  <c r="R501" i="15"/>
  <c r="S501" i="15"/>
  <c r="B502" i="15"/>
  <c r="D502" i="15"/>
  <c r="E502" i="15"/>
  <c r="G502" i="15"/>
  <c r="H502" i="15"/>
  <c r="I502" i="15"/>
  <c r="J502" i="15"/>
  <c r="K502" i="15"/>
  <c r="L502" i="15"/>
  <c r="P502" i="15"/>
  <c r="R502" i="15"/>
  <c r="S502" i="15"/>
  <c r="B503" i="15"/>
  <c r="E503" i="15"/>
  <c r="G503" i="15"/>
  <c r="H503" i="15"/>
  <c r="I503" i="15"/>
  <c r="J503" i="15"/>
  <c r="K503" i="15"/>
  <c r="P503" i="15"/>
  <c r="B504" i="15"/>
  <c r="E504" i="15"/>
  <c r="G504" i="15"/>
  <c r="H504" i="15"/>
  <c r="I504" i="15"/>
  <c r="J504" i="15"/>
  <c r="K504" i="15"/>
  <c r="P504" i="15"/>
  <c r="B505" i="15"/>
  <c r="E505" i="15"/>
  <c r="G505" i="15"/>
  <c r="H505" i="15"/>
  <c r="I505" i="15"/>
  <c r="J505" i="15"/>
  <c r="K505" i="15"/>
  <c r="P505" i="15"/>
  <c r="B506" i="15"/>
  <c r="E506" i="15"/>
  <c r="G506" i="15"/>
  <c r="H506" i="15"/>
  <c r="I506" i="15"/>
  <c r="J506" i="15"/>
  <c r="K506" i="15"/>
  <c r="P506" i="15"/>
  <c r="B507" i="15"/>
  <c r="D507" i="15"/>
  <c r="E507" i="15"/>
  <c r="G507" i="15"/>
  <c r="H507" i="15"/>
  <c r="I507" i="15"/>
  <c r="J507" i="15"/>
  <c r="K507" i="15"/>
  <c r="O507" i="15"/>
  <c r="P507" i="15"/>
  <c r="R507" i="15"/>
  <c r="S507" i="15"/>
  <c r="B508" i="15"/>
  <c r="D508" i="15"/>
  <c r="E508" i="15"/>
  <c r="G508" i="15"/>
  <c r="H508" i="15"/>
  <c r="I508" i="15"/>
  <c r="J508" i="15"/>
  <c r="K508" i="15"/>
  <c r="O508" i="15"/>
  <c r="P508" i="15"/>
  <c r="R508" i="15"/>
  <c r="S508" i="15"/>
  <c r="B509" i="15"/>
  <c r="D509" i="15"/>
  <c r="E509" i="15"/>
  <c r="G509" i="15"/>
  <c r="H509" i="15"/>
  <c r="I509" i="15"/>
  <c r="J509" i="15"/>
  <c r="K509" i="15"/>
  <c r="O509" i="15"/>
  <c r="P509" i="15"/>
  <c r="R509" i="15"/>
  <c r="S509" i="15"/>
  <c r="B510" i="15"/>
  <c r="D510" i="15"/>
  <c r="E510" i="15"/>
  <c r="F510" i="15"/>
  <c r="G510" i="15"/>
  <c r="H510" i="15"/>
  <c r="I510" i="15"/>
  <c r="J510" i="15"/>
  <c r="K510" i="15"/>
  <c r="O510" i="15"/>
  <c r="P510" i="15"/>
  <c r="R510" i="15"/>
  <c r="S510" i="15"/>
  <c r="Q110" i="85" l="1"/>
  <c r="Q620" i="15" s="1"/>
  <c r="L39" i="85"/>
  <c r="Q39" i="85" l="1"/>
  <c r="Q549" i="15" s="1"/>
  <c r="L549" i="15"/>
  <c r="M39" i="85"/>
  <c r="M110" i="85"/>
  <c r="N110" i="85" l="1"/>
  <c r="N620" i="15" s="1"/>
  <c r="M620" i="15"/>
  <c r="N39" i="85"/>
  <c r="N549" i="15" s="1"/>
  <c r="M549" i="15"/>
  <c r="R234" i="15"/>
  <c r="O123" i="79" l="1"/>
  <c r="O105" i="80"/>
  <c r="O123" i="84"/>
  <c r="O496" i="15" s="1"/>
  <c r="O129" i="84" l="1"/>
  <c r="O502" i="15" s="1"/>
  <c r="O550" i="15" l="1"/>
  <c r="L40" i="85"/>
  <c r="L550" i="15" s="1"/>
  <c r="Q40" i="85" l="1"/>
  <c r="Q550" i="15" s="1"/>
  <c r="M40" i="85"/>
  <c r="N40" i="85" l="1"/>
  <c r="N550" i="15" s="1"/>
  <c r="M550" i="15"/>
  <c r="O452" i="15"/>
  <c r="O499" i="15" l="1"/>
  <c r="O618" i="15" l="1"/>
  <c r="L108" i="85"/>
  <c r="L618" i="15" s="1"/>
  <c r="L82" i="85"/>
  <c r="L106" i="85"/>
  <c r="L105" i="85"/>
  <c r="L104" i="85"/>
  <c r="O102" i="85"/>
  <c r="O612" i="15" s="1"/>
  <c r="L102" i="85"/>
  <c r="L103" i="85"/>
  <c r="L101" i="85"/>
  <c r="L100" i="85"/>
  <c r="O609" i="15"/>
  <c r="L99" i="85"/>
  <c r="L609" i="15" s="1"/>
  <c r="L98" i="85"/>
  <c r="O607" i="15"/>
  <c r="L97" i="85"/>
  <c r="L96" i="85"/>
  <c r="O605" i="15"/>
  <c r="L95" i="85"/>
  <c r="L605" i="15" s="1"/>
  <c r="O94" i="85"/>
  <c r="O604" i="15" s="1"/>
  <c r="L94" i="85"/>
  <c r="L93" i="85"/>
  <c r="L603" i="15" s="1"/>
  <c r="L92" i="85"/>
  <c r="O91" i="85"/>
  <c r="O601" i="15" s="1"/>
  <c r="L91" i="85"/>
  <c r="L90" i="85"/>
  <c r="L89" i="85"/>
  <c r="L599" i="15" s="1"/>
  <c r="L88" i="85"/>
  <c r="O87" i="85"/>
  <c r="O597" i="15" s="1"/>
  <c r="L87" i="85"/>
  <c r="L86" i="85"/>
  <c r="L85" i="85"/>
  <c r="L595" i="15" s="1"/>
  <c r="L84" i="85"/>
  <c r="L83" i="85"/>
  <c r="L107" i="85"/>
  <c r="O81" i="85"/>
  <c r="O591" i="15" s="1"/>
  <c r="L81" i="85"/>
  <c r="L80" i="85"/>
  <c r="L79" i="85"/>
  <c r="O78" i="85"/>
  <c r="O588" i="15" s="1"/>
  <c r="L78" i="85"/>
  <c r="L588" i="15" s="1"/>
  <c r="L77" i="85"/>
  <c r="L587" i="15" s="1"/>
  <c r="L76" i="85"/>
  <c r="L75" i="85"/>
  <c r="O74" i="85"/>
  <c r="O584" i="15" s="1"/>
  <c r="L74" i="85"/>
  <c r="L73" i="85"/>
  <c r="O72" i="85"/>
  <c r="O582" i="15" s="1"/>
  <c r="L72" i="85"/>
  <c r="L71" i="85"/>
  <c r="L70" i="85"/>
  <c r="L69" i="85"/>
  <c r="L68" i="85"/>
  <c r="L67" i="85"/>
  <c r="L66" i="85"/>
  <c r="L65" i="85"/>
  <c r="L41" i="85"/>
  <c r="O551" i="15"/>
  <c r="K165" i="86"/>
  <c r="K164" i="86"/>
  <c r="K163" i="86"/>
  <c r="K160" i="86"/>
  <c r="K159" i="86"/>
  <c r="D149" i="86"/>
  <c r="E8" i="40" s="1"/>
  <c r="L146" i="86"/>
  <c r="M146" i="86" s="1"/>
  <c r="L14" i="86"/>
  <c r="L43" i="86"/>
  <c r="L667" i="15" s="1"/>
  <c r="L33" i="86"/>
  <c r="L25" i="86"/>
  <c r="L22" i="86"/>
  <c r="L17" i="86"/>
  <c r="L16" i="86"/>
  <c r="O54" i="85"/>
  <c r="O564" i="15" s="1"/>
  <c r="L54" i="85"/>
  <c r="L564" i="15" s="1"/>
  <c r="L53" i="85"/>
  <c r="L563" i="15" s="1"/>
  <c r="O52" i="85"/>
  <c r="O562" i="15" s="1"/>
  <c r="L52" i="85"/>
  <c r="L562" i="15" s="1"/>
  <c r="L51" i="85"/>
  <c r="O558" i="15"/>
  <c r="L48" i="85"/>
  <c r="L558" i="15" s="1"/>
  <c r="O557" i="15"/>
  <c r="L47" i="85"/>
  <c r="L46" i="85"/>
  <c r="O45" i="85"/>
  <c r="O555" i="15" s="1"/>
  <c r="L45" i="85"/>
  <c r="O42" i="85"/>
  <c r="M42" i="85"/>
  <c r="L36" i="85"/>
  <c r="O38" i="85"/>
  <c r="O548" i="15" s="1"/>
  <c r="L38" i="85"/>
  <c r="L548" i="15" s="1"/>
  <c r="L37" i="85"/>
  <c r="L547" i="15" s="1"/>
  <c r="L34" i="85"/>
  <c r="L33" i="85"/>
  <c r="O32" i="85"/>
  <c r="O542" i="15" s="1"/>
  <c r="L32" i="85"/>
  <c r="L35" i="85"/>
  <c r="L31" i="85"/>
  <c r="L26" i="85"/>
  <c r="O27" i="85"/>
  <c r="O537" i="15" s="1"/>
  <c r="L27" i="85"/>
  <c r="L537" i="15" s="1"/>
  <c r="L24" i="85"/>
  <c r="L23" i="85"/>
  <c r="L21" i="85"/>
  <c r="O526" i="15"/>
  <c r="L16" i="85"/>
  <c r="L526" i="15" s="1"/>
  <c r="Q19" i="85"/>
  <c r="Q529" i="15" s="1"/>
  <c r="M19" i="85"/>
  <c r="L13" i="85"/>
  <c r="L12" i="85"/>
  <c r="O11" i="85"/>
  <c r="O521" i="15" s="1"/>
  <c r="L11" i="85"/>
  <c r="O10" i="85"/>
  <c r="O520" i="15" s="1"/>
  <c r="K10" i="85"/>
  <c r="L9" i="85"/>
  <c r="L8" i="85"/>
  <c r="L7" i="85"/>
  <c r="L6" i="85"/>
  <c r="O515" i="15"/>
  <c r="L5" i="85"/>
  <c r="L515" i="15" s="1"/>
  <c r="O4" i="85"/>
  <c r="O514" i="15" s="1"/>
  <c r="L4" i="85"/>
  <c r="L15" i="85"/>
  <c r="O3" i="85"/>
  <c r="O513" i="15" s="1"/>
  <c r="L3" i="85"/>
  <c r="L513" i="15" s="1"/>
  <c r="O524" i="15"/>
  <c r="L14" i="85"/>
  <c r="L524" i="15" s="1"/>
  <c r="L126" i="84"/>
  <c r="Q22" i="86" l="1"/>
  <c r="Q646" i="15" s="1"/>
  <c r="L646" i="15"/>
  <c r="M14" i="86"/>
  <c r="L638" i="15"/>
  <c r="Q16" i="86"/>
  <c r="Q640" i="15" s="1"/>
  <c r="L640" i="15"/>
  <c r="Q33" i="86"/>
  <c r="Q657" i="15" s="1"/>
  <c r="L657" i="15"/>
  <c r="Q17" i="86"/>
  <c r="Q641" i="15" s="1"/>
  <c r="L641" i="15"/>
  <c r="Q25" i="86"/>
  <c r="Q649" i="15" s="1"/>
  <c r="L649" i="15"/>
  <c r="Q42" i="85"/>
  <c r="Q552" i="15" s="1"/>
  <c r="O552" i="15"/>
  <c r="L10" i="85"/>
  <c r="L520" i="15" s="1"/>
  <c r="K520" i="15"/>
  <c r="M11" i="85"/>
  <c r="L521" i="15"/>
  <c r="Q46" i="85"/>
  <c r="Q556" i="15" s="1"/>
  <c r="L556" i="15"/>
  <c r="Q65" i="85"/>
  <c r="Q575" i="15" s="1"/>
  <c r="L575" i="15"/>
  <c r="M97" i="85"/>
  <c r="L607" i="15"/>
  <c r="Q106" i="85"/>
  <c r="Q616" i="15" s="1"/>
  <c r="L616" i="15"/>
  <c r="Q15" i="85"/>
  <c r="Q525" i="15" s="1"/>
  <c r="L525" i="15"/>
  <c r="Q9" i="85"/>
  <c r="Q519" i="15" s="1"/>
  <c r="L519" i="15"/>
  <c r="Q23" i="85"/>
  <c r="Q533" i="15" s="1"/>
  <c r="L533" i="15"/>
  <c r="Q26" i="85"/>
  <c r="Q536" i="15" s="1"/>
  <c r="L536" i="15"/>
  <c r="M47" i="85"/>
  <c r="M557" i="15" s="1"/>
  <c r="L557" i="15"/>
  <c r="Q51" i="85"/>
  <c r="Q561" i="15" s="1"/>
  <c r="L561" i="15"/>
  <c r="Q66" i="85"/>
  <c r="Q576" i="15" s="1"/>
  <c r="L576" i="15"/>
  <c r="Q70" i="85"/>
  <c r="Q580" i="15" s="1"/>
  <c r="L580" i="15"/>
  <c r="M73" i="85"/>
  <c r="M583" i="15" s="1"/>
  <c r="L583" i="15"/>
  <c r="M76" i="85"/>
  <c r="M586" i="15" s="1"/>
  <c r="L586" i="15"/>
  <c r="Q79" i="85"/>
  <c r="Q589" i="15" s="1"/>
  <c r="L589" i="15"/>
  <c r="Q107" i="85"/>
  <c r="Q617" i="15" s="1"/>
  <c r="L617" i="15"/>
  <c r="M86" i="85"/>
  <c r="M596" i="15" s="1"/>
  <c r="L596" i="15"/>
  <c r="M92" i="85"/>
  <c r="L602" i="15"/>
  <c r="M100" i="85"/>
  <c r="M610" i="15" s="1"/>
  <c r="L610" i="15"/>
  <c r="Q82" i="85"/>
  <c r="Q592" i="15" s="1"/>
  <c r="L592" i="15"/>
  <c r="Q8" i="85"/>
  <c r="Q518" i="15" s="1"/>
  <c r="L518" i="15"/>
  <c r="Q21" i="85"/>
  <c r="Q531" i="15" s="1"/>
  <c r="L531" i="15"/>
  <c r="Q75" i="85"/>
  <c r="Q585" i="15" s="1"/>
  <c r="L585" i="15"/>
  <c r="Q88" i="85"/>
  <c r="Q598" i="15" s="1"/>
  <c r="L598" i="15"/>
  <c r="M102" i="85"/>
  <c r="M612" i="15" s="1"/>
  <c r="L612" i="15"/>
  <c r="M4" i="85"/>
  <c r="L514" i="15"/>
  <c r="Q6" i="85"/>
  <c r="Q516" i="15" s="1"/>
  <c r="L516" i="15"/>
  <c r="Q12" i="85"/>
  <c r="Q522" i="15" s="1"/>
  <c r="L522" i="15"/>
  <c r="Q24" i="85"/>
  <c r="Q534" i="15" s="1"/>
  <c r="L534" i="15"/>
  <c r="M31" i="85"/>
  <c r="L541" i="15"/>
  <c r="M33" i="85"/>
  <c r="L543" i="15"/>
  <c r="M45" i="85"/>
  <c r="L555" i="15"/>
  <c r="Q67" i="85"/>
  <c r="Q577" i="15" s="1"/>
  <c r="L577" i="15"/>
  <c r="Q71" i="85"/>
  <c r="Q581" i="15" s="1"/>
  <c r="L581" i="15"/>
  <c r="M74" i="85"/>
  <c r="M584" i="15" s="1"/>
  <c r="L584" i="15"/>
  <c r="Q80" i="85"/>
  <c r="Q590" i="15" s="1"/>
  <c r="L590" i="15"/>
  <c r="N83" i="85"/>
  <c r="N593" i="15" s="1"/>
  <c r="L593" i="15"/>
  <c r="M87" i="85"/>
  <c r="M597" i="15" s="1"/>
  <c r="L597" i="15"/>
  <c r="Q90" i="85"/>
  <c r="Q600" i="15" s="1"/>
  <c r="L600" i="15"/>
  <c r="Q98" i="85"/>
  <c r="Q608" i="15" s="1"/>
  <c r="L608" i="15"/>
  <c r="M101" i="85"/>
  <c r="M611" i="15" s="1"/>
  <c r="L611" i="15"/>
  <c r="M104" i="85"/>
  <c r="M614" i="15" s="1"/>
  <c r="L614" i="15"/>
  <c r="N19" i="85"/>
  <c r="N529" i="15" s="1"/>
  <c r="M529" i="15"/>
  <c r="M32" i="85"/>
  <c r="L542" i="15"/>
  <c r="N42" i="85"/>
  <c r="N552" i="15" s="1"/>
  <c r="M552" i="15"/>
  <c r="Q69" i="85"/>
  <c r="Q579" i="15" s="1"/>
  <c r="L579" i="15"/>
  <c r="Q7" i="85"/>
  <c r="Q517" i="15" s="1"/>
  <c r="L517" i="15"/>
  <c r="Q13" i="85"/>
  <c r="Q523" i="15" s="1"/>
  <c r="L523" i="15"/>
  <c r="M35" i="85"/>
  <c r="L545" i="15"/>
  <c r="Q34" i="85"/>
  <c r="Q544" i="15" s="1"/>
  <c r="L544" i="15"/>
  <c r="Q36" i="85"/>
  <c r="Q546" i="15" s="1"/>
  <c r="L546" i="15"/>
  <c r="M41" i="85"/>
  <c r="L551" i="15"/>
  <c r="Q68" i="85"/>
  <c r="Q578" i="15" s="1"/>
  <c r="L578" i="15"/>
  <c r="M72" i="85"/>
  <c r="L582" i="15"/>
  <c r="M81" i="85"/>
  <c r="L591" i="15"/>
  <c r="Q84" i="85"/>
  <c r="Q594" i="15" s="1"/>
  <c r="L594" i="15"/>
  <c r="M91" i="85"/>
  <c r="M601" i="15" s="1"/>
  <c r="L601" i="15"/>
  <c r="M94" i="85"/>
  <c r="M604" i="15" s="1"/>
  <c r="L604" i="15"/>
  <c r="Q96" i="85"/>
  <c r="Q606" i="15" s="1"/>
  <c r="L606" i="15"/>
  <c r="M103" i="85"/>
  <c r="M613" i="15" s="1"/>
  <c r="L613" i="15"/>
  <c r="Q105" i="85"/>
  <c r="Q615" i="15" s="1"/>
  <c r="L615" i="15"/>
  <c r="Q27" i="85"/>
  <c r="Q537" i="15" s="1"/>
  <c r="M3" i="85"/>
  <c r="M53" i="85"/>
  <c r="M126" i="84"/>
  <c r="L499" i="15"/>
  <c r="Q108" i="85"/>
  <c r="Q618" i="15" s="1"/>
  <c r="Q93" i="85"/>
  <c r="Q603" i="15" s="1"/>
  <c r="Q95" i="85"/>
  <c r="Q605" i="15" s="1"/>
  <c r="M108" i="85"/>
  <c r="Q126" i="84"/>
  <c r="Q499" i="15" s="1"/>
  <c r="M75" i="85"/>
  <c r="M107" i="85"/>
  <c r="Q78" i="85"/>
  <c r="Q588" i="15" s="1"/>
  <c r="Q76" i="85"/>
  <c r="Q586" i="15" s="1"/>
  <c r="Q83" i="85"/>
  <c r="Q593" i="15" s="1"/>
  <c r="M98" i="85"/>
  <c r="M78" i="85"/>
  <c r="M90" i="85"/>
  <c r="M93" i="85"/>
  <c r="M77" i="85"/>
  <c r="M85" i="85"/>
  <c r="M89" i="85"/>
  <c r="M95" i="85"/>
  <c r="Q99" i="85"/>
  <c r="Q609" i="15" s="1"/>
  <c r="Q104" i="85"/>
  <c r="Q614" i="15" s="1"/>
  <c r="Q77" i="85"/>
  <c r="Q587" i="15" s="1"/>
  <c r="M84" i="85"/>
  <c r="Q85" i="85"/>
  <c r="Q595" i="15" s="1"/>
  <c r="M88" i="85"/>
  <c r="Q89" i="85"/>
  <c r="Q599" i="15" s="1"/>
  <c r="Q91" i="85"/>
  <c r="Q601" i="15" s="1"/>
  <c r="M99" i="85"/>
  <c r="Q72" i="85"/>
  <c r="Q582" i="15" s="1"/>
  <c r="Q81" i="85"/>
  <c r="Q591" i="15" s="1"/>
  <c r="Q92" i="85"/>
  <c r="Q602" i="15" s="1"/>
  <c r="Q97" i="85"/>
  <c r="Q607" i="15" s="1"/>
  <c r="Q41" i="85"/>
  <c r="Q551" i="15" s="1"/>
  <c r="M65" i="85"/>
  <c r="M66" i="85"/>
  <c r="M67" i="85"/>
  <c r="M68" i="85"/>
  <c r="M69" i="85"/>
  <c r="M70" i="85"/>
  <c r="M71" i="85"/>
  <c r="Q73" i="85"/>
  <c r="Q583" i="15" s="1"/>
  <c r="M79" i="85"/>
  <c r="M80" i="85"/>
  <c r="Q86" i="85"/>
  <c r="Q596" i="15" s="1"/>
  <c r="M96" i="85"/>
  <c r="Q100" i="85"/>
  <c r="Q610" i="15" s="1"/>
  <c r="Q101" i="85"/>
  <c r="Q611" i="15" s="1"/>
  <c r="Q103" i="85"/>
  <c r="Q613" i="15" s="1"/>
  <c r="M105" i="85"/>
  <c r="M106" i="85"/>
  <c r="M82" i="85"/>
  <c r="Q74" i="85"/>
  <c r="Q584" i="15" s="1"/>
  <c r="Q87" i="85"/>
  <c r="Q597" i="15" s="1"/>
  <c r="Q94" i="85"/>
  <c r="Q604" i="15" s="1"/>
  <c r="Q102" i="85"/>
  <c r="Q612" i="15" s="1"/>
  <c r="Q54" i="85"/>
  <c r="Q564" i="15" s="1"/>
  <c r="U564" i="15" s="1"/>
  <c r="Q47" i="85"/>
  <c r="Q557" i="15" s="1"/>
  <c r="Q37" i="85"/>
  <c r="Q547" i="15" s="1"/>
  <c r="M46" i="85"/>
  <c r="Q33" i="85"/>
  <c r="Q543" i="15" s="1"/>
  <c r="M54" i="85"/>
  <c r="M25" i="86"/>
  <c r="Q146" i="86"/>
  <c r="N146" i="86"/>
  <c r="Q14" i="86"/>
  <c r="Q638" i="15" s="1"/>
  <c r="O147" i="86"/>
  <c r="M17" i="86"/>
  <c r="L149" i="86"/>
  <c r="B8" i="40" s="1"/>
  <c r="K158" i="86"/>
  <c r="M22" i="86"/>
  <c r="L147" i="86"/>
  <c r="K162" i="86"/>
  <c r="M43" i="86"/>
  <c r="M16" i="86"/>
  <c r="M33" i="86"/>
  <c r="K161" i="86"/>
  <c r="Q43" i="86"/>
  <c r="Q667" i="15" s="1"/>
  <c r="Q48" i="85"/>
  <c r="Q558" i="15" s="1"/>
  <c r="M48" i="85"/>
  <c r="Q52" i="85"/>
  <c r="Q562" i="15" s="1"/>
  <c r="Q38" i="85"/>
  <c r="Q548" i="15" s="1"/>
  <c r="M36" i="85"/>
  <c r="Q45" i="85"/>
  <c r="Q555" i="15" s="1"/>
  <c r="M51" i="85"/>
  <c r="M52" i="85"/>
  <c r="Q53" i="85"/>
  <c r="Q563" i="15" s="1"/>
  <c r="M38" i="85"/>
  <c r="Q31" i="85"/>
  <c r="Q541" i="15" s="1"/>
  <c r="M37" i="85"/>
  <c r="M34" i="85"/>
  <c r="Q35" i="85"/>
  <c r="Q545" i="15" s="1"/>
  <c r="Q32" i="85"/>
  <c r="Q542" i="15" s="1"/>
  <c r="M27" i="85"/>
  <c r="M26" i="85"/>
  <c r="M24" i="85"/>
  <c r="Q16" i="85"/>
  <c r="Q526" i="15" s="1"/>
  <c r="M23" i="85"/>
  <c r="M16" i="85"/>
  <c r="M21" i="85"/>
  <c r="M15" i="85"/>
  <c r="Q11" i="85"/>
  <c r="Q521" i="15" s="1"/>
  <c r="Q4" i="85"/>
  <c r="Q514" i="15" s="1"/>
  <c r="Q5" i="85"/>
  <c r="Q515" i="15" s="1"/>
  <c r="Q14" i="85"/>
  <c r="Q524" i="15" s="1"/>
  <c r="M5" i="85"/>
  <c r="M12" i="85"/>
  <c r="M14" i="85"/>
  <c r="Q3" i="85"/>
  <c r="Q513" i="15" s="1"/>
  <c r="M6" i="85"/>
  <c r="M7" i="85"/>
  <c r="M8" i="85"/>
  <c r="M9" i="85"/>
  <c r="M13" i="85"/>
  <c r="N14" i="86" l="1"/>
  <c r="N638" i="15" s="1"/>
  <c r="M638" i="15"/>
  <c r="N33" i="86"/>
  <c r="N657" i="15" s="1"/>
  <c r="M657" i="15"/>
  <c r="N17" i="86"/>
  <c r="N641" i="15" s="1"/>
  <c r="M641" i="15"/>
  <c r="N16" i="86"/>
  <c r="N640" i="15" s="1"/>
  <c r="M640" i="15"/>
  <c r="N22" i="86"/>
  <c r="N646" i="15" s="1"/>
  <c r="M646" i="15"/>
  <c r="N25" i="86"/>
  <c r="N649" i="15" s="1"/>
  <c r="M649" i="15"/>
  <c r="N43" i="86"/>
  <c r="N667" i="15" s="1"/>
  <c r="M667" i="15"/>
  <c r="N102" i="85"/>
  <c r="N612" i="15" s="1"/>
  <c r="M10" i="85"/>
  <c r="M520" i="15" s="1"/>
  <c r="Q10" i="85"/>
  <c r="Q520" i="15" s="1"/>
  <c r="N86" i="85"/>
  <c r="N596" i="15" s="1"/>
  <c r="N100" i="85"/>
  <c r="N610" i="15" s="1"/>
  <c r="N104" i="85"/>
  <c r="N614" i="15" s="1"/>
  <c r="N87" i="85"/>
  <c r="N597" i="15" s="1"/>
  <c r="N76" i="85"/>
  <c r="N586" i="15" s="1"/>
  <c r="N47" i="85"/>
  <c r="N557" i="15" s="1"/>
  <c r="N73" i="85"/>
  <c r="N583" i="15" s="1"/>
  <c r="N94" i="85"/>
  <c r="N604" i="15" s="1"/>
  <c r="N91" i="85"/>
  <c r="N601" i="15" s="1"/>
  <c r="N103" i="85"/>
  <c r="N613" i="15" s="1"/>
  <c r="N74" i="85"/>
  <c r="N584" i="15" s="1"/>
  <c r="N101" i="85"/>
  <c r="N611" i="15" s="1"/>
  <c r="N13" i="85"/>
  <c r="N523" i="15" s="1"/>
  <c r="M523" i="15"/>
  <c r="N38" i="85"/>
  <c r="N548" i="15" s="1"/>
  <c r="M548" i="15"/>
  <c r="N48" i="85"/>
  <c r="N558" i="15" s="1"/>
  <c r="M558" i="15"/>
  <c r="N16" i="85"/>
  <c r="N526" i="15" s="1"/>
  <c r="M526" i="15"/>
  <c r="N36" i="85"/>
  <c r="N546" i="15" s="1"/>
  <c r="M546" i="15"/>
  <c r="N71" i="85"/>
  <c r="N581" i="15" s="1"/>
  <c r="M581" i="15"/>
  <c r="N85" i="85"/>
  <c r="N595" i="15" s="1"/>
  <c r="M595" i="15"/>
  <c r="N3" i="85"/>
  <c r="N513" i="15" s="1"/>
  <c r="M513" i="15"/>
  <c r="N14" i="85"/>
  <c r="N524" i="15" s="1"/>
  <c r="M524" i="15"/>
  <c r="N23" i="85"/>
  <c r="N533" i="15" s="1"/>
  <c r="M533" i="15"/>
  <c r="N37" i="85"/>
  <c r="N547" i="15" s="1"/>
  <c r="M547" i="15"/>
  <c r="N54" i="85"/>
  <c r="N564" i="15" s="1"/>
  <c r="M564" i="15"/>
  <c r="N105" i="85"/>
  <c r="N615" i="15" s="1"/>
  <c r="M615" i="15"/>
  <c r="N70" i="85"/>
  <c r="N580" i="15" s="1"/>
  <c r="M580" i="15"/>
  <c r="N84" i="85"/>
  <c r="N594" i="15" s="1"/>
  <c r="M594" i="15"/>
  <c r="N77" i="85"/>
  <c r="N587" i="15" s="1"/>
  <c r="M587" i="15"/>
  <c r="N78" i="85"/>
  <c r="N588" i="15" s="1"/>
  <c r="M588" i="15"/>
  <c r="N108" i="85"/>
  <c r="N618" i="15" s="1"/>
  <c r="M618" i="15"/>
  <c r="N81" i="85"/>
  <c r="N591" i="15" s="1"/>
  <c r="M591" i="15"/>
  <c r="N35" i="85"/>
  <c r="N545" i="15" s="1"/>
  <c r="M545" i="15"/>
  <c r="N33" i="85"/>
  <c r="N543" i="15" s="1"/>
  <c r="M543" i="15"/>
  <c r="N97" i="85"/>
  <c r="N607" i="15" s="1"/>
  <c r="M607" i="15"/>
  <c r="N6" i="85"/>
  <c r="N516" i="15" s="1"/>
  <c r="M516" i="15"/>
  <c r="N5" i="85"/>
  <c r="N515" i="15" s="1"/>
  <c r="M515" i="15"/>
  <c r="N21" i="85"/>
  <c r="N531" i="15" s="1"/>
  <c r="M531" i="15"/>
  <c r="N24" i="85"/>
  <c r="N534" i="15" s="1"/>
  <c r="M534" i="15"/>
  <c r="N46" i="85"/>
  <c r="N556" i="15" s="1"/>
  <c r="M556" i="15"/>
  <c r="N9" i="85"/>
  <c r="N519" i="15" s="1"/>
  <c r="M519" i="15"/>
  <c r="N26" i="85"/>
  <c r="N536" i="15" s="1"/>
  <c r="M536" i="15"/>
  <c r="N34" i="85"/>
  <c r="N544" i="15" s="1"/>
  <c r="M544" i="15"/>
  <c r="N106" i="85"/>
  <c r="N616" i="15" s="1"/>
  <c r="M616" i="15"/>
  <c r="N67" i="85"/>
  <c r="N577" i="15" s="1"/>
  <c r="M577" i="15"/>
  <c r="N99" i="85"/>
  <c r="N609" i="15" s="1"/>
  <c r="M609" i="15"/>
  <c r="N90" i="85"/>
  <c r="N600" i="15" s="1"/>
  <c r="M600" i="15"/>
  <c r="N8" i="85"/>
  <c r="N518" i="15" s="1"/>
  <c r="M518" i="15"/>
  <c r="N27" i="85"/>
  <c r="N537" i="15" s="1"/>
  <c r="M537" i="15"/>
  <c r="N52" i="85"/>
  <c r="N562" i="15" s="1"/>
  <c r="M562" i="15"/>
  <c r="N80" i="85"/>
  <c r="N590" i="15" s="1"/>
  <c r="M590" i="15"/>
  <c r="N66" i="85"/>
  <c r="N576" i="15" s="1"/>
  <c r="M576" i="15"/>
  <c r="N7" i="85"/>
  <c r="N517" i="15" s="1"/>
  <c r="M517" i="15"/>
  <c r="N12" i="85"/>
  <c r="N522" i="15" s="1"/>
  <c r="M522" i="15"/>
  <c r="N15" i="85"/>
  <c r="N525" i="15" s="1"/>
  <c r="M525" i="15"/>
  <c r="N51" i="85"/>
  <c r="N561" i="15" s="1"/>
  <c r="M561" i="15"/>
  <c r="N96" i="85"/>
  <c r="N606" i="15" s="1"/>
  <c r="M606" i="15"/>
  <c r="N79" i="85"/>
  <c r="N589" i="15" s="1"/>
  <c r="M589" i="15"/>
  <c r="N69" i="85"/>
  <c r="N579" i="15" s="1"/>
  <c r="M579" i="15"/>
  <c r="N65" i="85"/>
  <c r="N575" i="15" s="1"/>
  <c r="M575" i="15"/>
  <c r="N95" i="85"/>
  <c r="N605" i="15" s="1"/>
  <c r="M605" i="15"/>
  <c r="N98" i="85"/>
  <c r="N608" i="15" s="1"/>
  <c r="M608" i="15"/>
  <c r="N107" i="85"/>
  <c r="N617" i="15" s="1"/>
  <c r="M617" i="15"/>
  <c r="N82" i="85"/>
  <c r="N592" i="15" s="1"/>
  <c r="M592" i="15"/>
  <c r="N68" i="85"/>
  <c r="N578" i="15" s="1"/>
  <c r="M578" i="15"/>
  <c r="N88" i="85"/>
  <c r="N598" i="15" s="1"/>
  <c r="M598" i="15"/>
  <c r="N89" i="85"/>
  <c r="N599" i="15" s="1"/>
  <c r="M599" i="15"/>
  <c r="N93" i="85"/>
  <c r="N603" i="15" s="1"/>
  <c r="M603" i="15"/>
  <c r="N75" i="85"/>
  <c r="N585" i="15" s="1"/>
  <c r="M585" i="15"/>
  <c r="N53" i="85"/>
  <c r="N563" i="15" s="1"/>
  <c r="M563" i="15"/>
  <c r="N72" i="85"/>
  <c r="N582" i="15" s="1"/>
  <c r="M582" i="15"/>
  <c r="N41" i="85"/>
  <c r="N551" i="15" s="1"/>
  <c r="M551" i="15"/>
  <c r="N32" i="85"/>
  <c r="N542" i="15" s="1"/>
  <c r="M542" i="15"/>
  <c r="N45" i="85"/>
  <c r="N555" i="15" s="1"/>
  <c r="M555" i="15"/>
  <c r="N31" i="85"/>
  <c r="N541" i="15" s="1"/>
  <c r="M541" i="15"/>
  <c r="N4" i="85"/>
  <c r="N514" i="15" s="1"/>
  <c r="M514" i="15"/>
  <c r="N92" i="85"/>
  <c r="N602" i="15" s="1"/>
  <c r="M602" i="15"/>
  <c r="N11" i="85"/>
  <c r="N521" i="15" s="1"/>
  <c r="M521" i="15"/>
  <c r="N126" i="84"/>
  <c r="N499" i="15" s="1"/>
  <c r="M499" i="15"/>
  <c r="Q147" i="86"/>
  <c r="F8" i="40" s="1"/>
  <c r="K166" i="86"/>
  <c r="M147" i="86"/>
  <c r="M149" i="86"/>
  <c r="C8" i="40" s="1"/>
  <c r="N147" i="86" l="1"/>
  <c r="N10" i="85"/>
  <c r="N520" i="15" s="1"/>
  <c r="N149" i="86"/>
  <c r="D8" i="40" s="1"/>
  <c r="O567" i="15"/>
  <c r="L57" i="85"/>
  <c r="L567" i="15" s="1"/>
  <c r="Q57" i="85" l="1"/>
  <c r="Q567" i="15" s="1"/>
  <c r="M57" i="85"/>
  <c r="N57" i="85" l="1"/>
  <c r="N567" i="15" s="1"/>
  <c r="M567" i="15"/>
  <c r="L134" i="84"/>
  <c r="M133" i="84"/>
  <c r="N133" i="84" s="1"/>
  <c r="L135" i="84"/>
  <c r="Q135" i="84" l="1"/>
  <c r="Q508" i="15" s="1"/>
  <c r="L508" i="15"/>
  <c r="M134" i="84"/>
  <c r="M507" i="15" s="1"/>
  <c r="L507" i="15"/>
  <c r="M135" i="84"/>
  <c r="Q134" i="84"/>
  <c r="Q507" i="15" s="1"/>
  <c r="Q133" i="84"/>
  <c r="N134" i="84" l="1"/>
  <c r="N507" i="15" s="1"/>
  <c r="N135" i="84"/>
  <c r="N508" i="15" s="1"/>
  <c r="M508" i="15"/>
  <c r="O49" i="84"/>
  <c r="O422" i="15" s="1"/>
  <c r="O38" i="80"/>
  <c r="O44" i="79" l="1"/>
  <c r="O125" i="75"/>
  <c r="O113" i="84" l="1"/>
  <c r="O486" i="15" s="1"/>
  <c r="O95" i="80"/>
  <c r="O111" i="79"/>
  <c r="O116" i="75"/>
  <c r="L76" i="84" l="1"/>
  <c r="L449" i="15" s="1"/>
  <c r="Q76" i="84" l="1"/>
  <c r="Q449" i="15" s="1"/>
  <c r="M76" i="84"/>
  <c r="N76" i="84" l="1"/>
  <c r="N449" i="15" s="1"/>
  <c r="M449" i="15"/>
  <c r="O88" i="80" l="1"/>
  <c r="O104" i="79"/>
  <c r="O94" i="75"/>
  <c r="L80" i="84" l="1"/>
  <c r="L453" i="15" s="1"/>
  <c r="L81" i="84"/>
  <c r="L454" i="15" s="1"/>
  <c r="M81" i="84" l="1"/>
  <c r="Q81" i="84"/>
  <c r="Q454" i="15" s="1"/>
  <c r="M80" i="84"/>
  <c r="Q80" i="84"/>
  <c r="Q453" i="15" s="1"/>
  <c r="N80" i="84" l="1"/>
  <c r="N453" i="15" s="1"/>
  <c r="M453" i="15"/>
  <c r="N81" i="84"/>
  <c r="N454" i="15" s="1"/>
  <c r="M454" i="15"/>
  <c r="L48" i="84"/>
  <c r="M48" i="84" l="1"/>
  <c r="M421" i="15" s="1"/>
  <c r="L421" i="15"/>
  <c r="Q48" i="84"/>
  <c r="Q421" i="15" s="1"/>
  <c r="N48" i="84" l="1"/>
  <c r="N421" i="15" s="1"/>
  <c r="Q57" i="84"/>
  <c r="Q430" i="15" s="1"/>
  <c r="O430" i="15"/>
  <c r="F40" i="15"/>
  <c r="F162" i="15"/>
  <c r="O43" i="84"/>
  <c r="O416" i="15" s="1"/>
  <c r="L62" i="84" l="1"/>
  <c r="M62" i="84" l="1"/>
  <c r="M435" i="15" s="1"/>
  <c r="L435" i="15"/>
  <c r="Q62" i="84"/>
  <c r="Q435" i="15" s="1"/>
  <c r="N62" i="84" l="1"/>
  <c r="N435" i="15" s="1"/>
  <c r="L124" i="80"/>
  <c r="M124" i="80" s="1"/>
  <c r="N124" i="80" s="1"/>
  <c r="L125" i="80"/>
  <c r="M125" i="80" s="1"/>
  <c r="Q124" i="80" l="1"/>
  <c r="Q125" i="80"/>
  <c r="N125" i="80"/>
  <c r="O101" i="84" l="1"/>
  <c r="O474" i="15" s="1"/>
  <c r="O46" i="84" l="1"/>
  <c r="O419" i="15" s="1"/>
  <c r="L46" i="84"/>
  <c r="L419" i="15" s="1"/>
  <c r="Q46" i="84" l="1"/>
  <c r="Q419" i="15" s="1"/>
  <c r="M46" i="84"/>
  <c r="N46" i="84" l="1"/>
  <c r="N419" i="15" s="1"/>
  <c r="M419" i="15"/>
  <c r="M130" i="84" l="1"/>
  <c r="N130" i="84" s="1"/>
  <c r="L79" i="84"/>
  <c r="L452" i="15" s="1"/>
  <c r="L137" i="84"/>
  <c r="L78" i="84"/>
  <c r="L136" i="84"/>
  <c r="Q78" i="84" l="1"/>
  <c r="Q451" i="15" s="1"/>
  <c r="L451" i="15"/>
  <c r="Q137" i="84"/>
  <c r="Q510" i="15" s="1"/>
  <c r="L510" i="15"/>
  <c r="Q136" i="84"/>
  <c r="Q509" i="15" s="1"/>
  <c r="L509" i="15"/>
  <c r="M79" i="84"/>
  <c r="Q79" i="84"/>
  <c r="Q452" i="15" s="1"/>
  <c r="M78" i="84"/>
  <c r="M136" i="84"/>
  <c r="M137" i="84"/>
  <c r="Q130" i="84"/>
  <c r="N136" i="84" l="1"/>
  <c r="N509" i="15" s="1"/>
  <c r="M509" i="15"/>
  <c r="N78" i="84"/>
  <c r="N451" i="15" s="1"/>
  <c r="M451" i="15"/>
  <c r="N137" i="84"/>
  <c r="N510" i="15" s="1"/>
  <c r="M510" i="15"/>
  <c r="N79" i="84"/>
  <c r="N452" i="15" s="1"/>
  <c r="M452" i="15"/>
  <c r="B255" i="15"/>
  <c r="D255" i="15"/>
  <c r="E255" i="15"/>
  <c r="F255" i="15"/>
  <c r="G255" i="15"/>
  <c r="H255" i="15"/>
  <c r="I255" i="15"/>
  <c r="J255" i="15"/>
  <c r="K255" i="15"/>
  <c r="P255" i="15"/>
  <c r="R255" i="15"/>
  <c r="S255" i="15"/>
  <c r="B256" i="15"/>
  <c r="D256" i="15"/>
  <c r="E256" i="15"/>
  <c r="F256" i="15"/>
  <c r="G256" i="15"/>
  <c r="H256" i="15"/>
  <c r="I256" i="15"/>
  <c r="J256" i="15"/>
  <c r="K256" i="15"/>
  <c r="P256" i="15"/>
  <c r="R256" i="15"/>
  <c r="S256" i="15"/>
  <c r="B257" i="15"/>
  <c r="D257" i="15"/>
  <c r="E257" i="15"/>
  <c r="G257" i="15"/>
  <c r="H257" i="15"/>
  <c r="I257" i="15"/>
  <c r="J257" i="15"/>
  <c r="K257" i="15"/>
  <c r="O257" i="15"/>
  <c r="P257" i="15"/>
  <c r="R257" i="15"/>
  <c r="S257" i="15"/>
  <c r="B258" i="15"/>
  <c r="D258" i="15"/>
  <c r="E258" i="15"/>
  <c r="G258" i="15"/>
  <c r="H258" i="15"/>
  <c r="I258" i="15"/>
  <c r="J258" i="15"/>
  <c r="K258" i="15"/>
  <c r="P258" i="15"/>
  <c r="R258" i="15"/>
  <c r="S258" i="15"/>
  <c r="B259" i="15"/>
  <c r="C259" i="15"/>
  <c r="D259" i="15"/>
  <c r="E259" i="15"/>
  <c r="G259" i="15"/>
  <c r="H259" i="15"/>
  <c r="I259" i="15"/>
  <c r="J259" i="15"/>
  <c r="K259" i="15"/>
  <c r="P259" i="15"/>
  <c r="R259" i="15"/>
  <c r="S259" i="15"/>
  <c r="B260" i="15"/>
  <c r="C260" i="15"/>
  <c r="D260" i="15"/>
  <c r="E260" i="15"/>
  <c r="G260" i="15"/>
  <c r="H260" i="15"/>
  <c r="I260" i="15"/>
  <c r="J260" i="15"/>
  <c r="K260" i="15"/>
  <c r="O260" i="15"/>
  <c r="P260" i="15"/>
  <c r="R260" i="15"/>
  <c r="S260" i="15"/>
  <c r="B261" i="15"/>
  <c r="D261" i="15"/>
  <c r="E261" i="15"/>
  <c r="F261" i="15"/>
  <c r="G261" i="15"/>
  <c r="H261" i="15"/>
  <c r="I261" i="15"/>
  <c r="J261" i="15"/>
  <c r="K261" i="15"/>
  <c r="O261" i="15"/>
  <c r="P261" i="15"/>
  <c r="R261" i="15"/>
  <c r="S261" i="15"/>
  <c r="B262" i="15"/>
  <c r="D262" i="15"/>
  <c r="E262" i="15"/>
  <c r="F262" i="15"/>
  <c r="G262" i="15"/>
  <c r="H262" i="15"/>
  <c r="I262" i="15"/>
  <c r="J262" i="15"/>
  <c r="K262" i="15"/>
  <c r="O262" i="15"/>
  <c r="P262" i="15"/>
  <c r="R262" i="15"/>
  <c r="S262" i="15"/>
  <c r="B263" i="15"/>
  <c r="D263" i="15"/>
  <c r="E263" i="15"/>
  <c r="F263" i="15"/>
  <c r="G263" i="15"/>
  <c r="H263" i="15"/>
  <c r="I263" i="15"/>
  <c r="J263" i="15"/>
  <c r="K263" i="15"/>
  <c r="O263" i="15"/>
  <c r="P263" i="15"/>
  <c r="R263" i="15"/>
  <c r="S263" i="15"/>
  <c r="B264" i="15"/>
  <c r="D264" i="15"/>
  <c r="E264" i="15"/>
  <c r="F264" i="15"/>
  <c r="G264" i="15"/>
  <c r="H264" i="15"/>
  <c r="I264" i="15"/>
  <c r="J264" i="15"/>
  <c r="P264" i="15"/>
  <c r="R264" i="15"/>
  <c r="S264" i="15"/>
  <c r="B265" i="15"/>
  <c r="D265" i="15"/>
  <c r="E265" i="15"/>
  <c r="F265" i="15"/>
  <c r="G265" i="15"/>
  <c r="H265" i="15"/>
  <c r="I265" i="15"/>
  <c r="J265" i="15"/>
  <c r="K265" i="15"/>
  <c r="P265" i="15"/>
  <c r="R265" i="15"/>
  <c r="S265" i="15"/>
  <c r="B266" i="15"/>
  <c r="D266" i="15"/>
  <c r="E266" i="15"/>
  <c r="F266" i="15"/>
  <c r="G266" i="15"/>
  <c r="H266" i="15"/>
  <c r="I266" i="15"/>
  <c r="J266" i="15"/>
  <c r="K266" i="15"/>
  <c r="O266" i="15"/>
  <c r="P266" i="15"/>
  <c r="R266" i="15"/>
  <c r="S266" i="15"/>
  <c r="B267" i="15"/>
  <c r="D267" i="15"/>
  <c r="E267" i="15"/>
  <c r="F267" i="15"/>
  <c r="G267" i="15"/>
  <c r="H267" i="15"/>
  <c r="I267" i="15"/>
  <c r="J267" i="15"/>
  <c r="K267" i="15"/>
  <c r="O267" i="15"/>
  <c r="P267" i="15"/>
  <c r="R267" i="15"/>
  <c r="S267" i="15"/>
  <c r="B268" i="15"/>
  <c r="D268" i="15"/>
  <c r="E268" i="15"/>
  <c r="F268" i="15"/>
  <c r="G268" i="15"/>
  <c r="H268" i="15"/>
  <c r="I268" i="15"/>
  <c r="J268" i="15"/>
  <c r="K268" i="15"/>
  <c r="O268" i="15"/>
  <c r="P268" i="15"/>
  <c r="R268" i="15"/>
  <c r="S268" i="15"/>
  <c r="B269" i="15"/>
  <c r="D269" i="15"/>
  <c r="E269" i="15"/>
  <c r="G269" i="15"/>
  <c r="H269" i="15"/>
  <c r="I269" i="15"/>
  <c r="J269" i="15"/>
  <c r="K269" i="15"/>
  <c r="P269" i="15"/>
  <c r="R269" i="15"/>
  <c r="S269" i="15"/>
  <c r="B270" i="15"/>
  <c r="D270" i="15"/>
  <c r="E270" i="15"/>
  <c r="G270" i="15"/>
  <c r="H270" i="15"/>
  <c r="I270" i="15"/>
  <c r="J270" i="15"/>
  <c r="K270" i="15"/>
  <c r="O270" i="15"/>
  <c r="P270" i="15"/>
  <c r="R270" i="15"/>
  <c r="S270" i="15"/>
  <c r="B271" i="15"/>
  <c r="D271" i="15"/>
  <c r="E271" i="15"/>
  <c r="F271" i="15"/>
  <c r="G271" i="15"/>
  <c r="H271" i="15"/>
  <c r="I271" i="15"/>
  <c r="J271" i="15"/>
  <c r="K271" i="15"/>
  <c r="O271" i="15"/>
  <c r="P271" i="15"/>
  <c r="R271" i="15"/>
  <c r="S271" i="15"/>
  <c r="B272" i="15"/>
  <c r="D272" i="15"/>
  <c r="E272" i="15"/>
  <c r="G272" i="15"/>
  <c r="H272" i="15"/>
  <c r="I272" i="15"/>
  <c r="J272" i="15"/>
  <c r="K272" i="15"/>
  <c r="P272" i="15"/>
  <c r="R272" i="15"/>
  <c r="S272" i="15"/>
  <c r="B273" i="15"/>
  <c r="D273" i="15"/>
  <c r="E273" i="15"/>
  <c r="F273" i="15"/>
  <c r="G273" i="15"/>
  <c r="H273" i="15"/>
  <c r="I273" i="15"/>
  <c r="J273" i="15"/>
  <c r="K273" i="15"/>
  <c r="O273" i="15"/>
  <c r="P273" i="15"/>
  <c r="R273" i="15"/>
  <c r="S273" i="15"/>
  <c r="B274" i="15"/>
  <c r="D274" i="15"/>
  <c r="E274" i="15"/>
  <c r="F274" i="15"/>
  <c r="G274" i="15"/>
  <c r="H274" i="15"/>
  <c r="I274" i="15"/>
  <c r="J274" i="15"/>
  <c r="K274" i="15"/>
  <c r="O274" i="15"/>
  <c r="P274" i="15"/>
  <c r="R274" i="15"/>
  <c r="S274" i="15"/>
  <c r="B275" i="15"/>
  <c r="D275" i="15"/>
  <c r="E275" i="15"/>
  <c r="F275" i="15"/>
  <c r="G275" i="15"/>
  <c r="H275" i="15"/>
  <c r="I275" i="15"/>
  <c r="J275" i="15"/>
  <c r="K275" i="15"/>
  <c r="P275" i="15"/>
  <c r="R275" i="15"/>
  <c r="S275" i="15"/>
  <c r="B276" i="15"/>
  <c r="D276" i="15"/>
  <c r="E276" i="15"/>
  <c r="F276" i="15"/>
  <c r="G276" i="15"/>
  <c r="H276" i="15"/>
  <c r="I276" i="15"/>
  <c r="J276" i="15"/>
  <c r="K276" i="15"/>
  <c r="O276" i="15"/>
  <c r="P276" i="15"/>
  <c r="R276" i="15"/>
  <c r="S276" i="15"/>
  <c r="B277" i="15"/>
  <c r="D277" i="15"/>
  <c r="E277" i="15"/>
  <c r="G277" i="15"/>
  <c r="H277" i="15"/>
  <c r="I277" i="15"/>
  <c r="J277" i="15"/>
  <c r="K277" i="15"/>
  <c r="O277" i="15"/>
  <c r="P277" i="15"/>
  <c r="R277" i="15"/>
  <c r="S277" i="15"/>
  <c r="B278" i="15"/>
  <c r="D278" i="15"/>
  <c r="E278" i="15"/>
  <c r="F278" i="15"/>
  <c r="G278" i="15"/>
  <c r="H278" i="15"/>
  <c r="I278" i="15"/>
  <c r="J278" i="15"/>
  <c r="K278" i="15"/>
  <c r="O278" i="15"/>
  <c r="P278" i="15"/>
  <c r="R278" i="15"/>
  <c r="S278" i="15"/>
  <c r="B279" i="15"/>
  <c r="C279" i="15"/>
  <c r="D279" i="15"/>
  <c r="E279" i="15"/>
  <c r="F279" i="15"/>
  <c r="G279" i="15"/>
  <c r="H279" i="15"/>
  <c r="I279" i="15"/>
  <c r="J279" i="15"/>
  <c r="K279" i="15"/>
  <c r="P279" i="15"/>
  <c r="R279" i="15"/>
  <c r="S279" i="15"/>
  <c r="B280" i="15"/>
  <c r="C280" i="15"/>
  <c r="D280" i="15"/>
  <c r="E280" i="15"/>
  <c r="F280" i="15"/>
  <c r="G280" i="15"/>
  <c r="H280" i="15"/>
  <c r="I280" i="15"/>
  <c r="J280" i="15"/>
  <c r="K280" i="15"/>
  <c r="O280" i="15"/>
  <c r="P280" i="15"/>
  <c r="R280" i="15"/>
  <c r="S280" i="15"/>
  <c r="B281" i="15"/>
  <c r="D281" i="15"/>
  <c r="E281" i="15"/>
  <c r="G281" i="15"/>
  <c r="H281" i="15"/>
  <c r="I281" i="15"/>
  <c r="J281" i="15"/>
  <c r="K281" i="15"/>
  <c r="O281" i="15"/>
  <c r="P281" i="15"/>
  <c r="R281" i="15"/>
  <c r="S281" i="15"/>
  <c r="B282" i="15"/>
  <c r="D282" i="15"/>
  <c r="E282" i="15"/>
  <c r="G282" i="15"/>
  <c r="H282" i="15"/>
  <c r="I282" i="15"/>
  <c r="J282" i="15"/>
  <c r="K282" i="15"/>
  <c r="O282" i="15"/>
  <c r="P282" i="15"/>
  <c r="R282" i="15"/>
  <c r="S282" i="15"/>
  <c r="B283" i="15"/>
  <c r="D283" i="15"/>
  <c r="E283" i="15"/>
  <c r="G283" i="15"/>
  <c r="H283" i="15"/>
  <c r="I283" i="15"/>
  <c r="J283" i="15"/>
  <c r="K283" i="15"/>
  <c r="O283" i="15"/>
  <c r="P283" i="15"/>
  <c r="S283" i="15"/>
  <c r="B284" i="15"/>
  <c r="D284" i="15"/>
  <c r="E284" i="15"/>
  <c r="G284" i="15"/>
  <c r="H284" i="15"/>
  <c r="I284" i="15"/>
  <c r="J284" i="15"/>
  <c r="K284" i="15"/>
  <c r="O284" i="15"/>
  <c r="P284" i="15"/>
  <c r="R284" i="15"/>
  <c r="S284" i="15"/>
  <c r="B285" i="15"/>
  <c r="D285" i="15"/>
  <c r="E285" i="15"/>
  <c r="G285" i="15"/>
  <c r="H285" i="15"/>
  <c r="I285" i="15"/>
  <c r="J285" i="15"/>
  <c r="K285" i="15"/>
  <c r="P285" i="15"/>
  <c r="R285" i="15"/>
  <c r="S285" i="15"/>
  <c r="B286" i="15"/>
  <c r="D286" i="15"/>
  <c r="E286" i="15"/>
  <c r="F286" i="15"/>
  <c r="G286" i="15"/>
  <c r="H286" i="15"/>
  <c r="I286" i="15"/>
  <c r="J286" i="15"/>
  <c r="K286" i="15"/>
  <c r="O286" i="15"/>
  <c r="P286" i="15"/>
  <c r="R286" i="15"/>
  <c r="S286" i="15"/>
  <c r="B287" i="15"/>
  <c r="D287" i="15"/>
  <c r="E287" i="15"/>
  <c r="F287" i="15"/>
  <c r="G287" i="15"/>
  <c r="H287" i="15"/>
  <c r="I287" i="15"/>
  <c r="J287" i="15"/>
  <c r="K287" i="15"/>
  <c r="O287" i="15"/>
  <c r="P287" i="15"/>
  <c r="R287" i="15"/>
  <c r="S287" i="15"/>
  <c r="B288" i="15"/>
  <c r="D288" i="15"/>
  <c r="E288" i="15"/>
  <c r="G288" i="15"/>
  <c r="H288" i="15"/>
  <c r="I288" i="15"/>
  <c r="J288" i="15"/>
  <c r="K288" i="15"/>
  <c r="P288" i="15"/>
  <c r="R288" i="15"/>
  <c r="S288" i="15"/>
  <c r="B289" i="15"/>
  <c r="D289" i="15"/>
  <c r="E289" i="15"/>
  <c r="F289" i="15"/>
  <c r="G289" i="15"/>
  <c r="H289" i="15"/>
  <c r="I289" i="15"/>
  <c r="J289" i="15"/>
  <c r="K289" i="15"/>
  <c r="P289" i="15"/>
  <c r="R289" i="15"/>
  <c r="S289" i="15"/>
  <c r="B290" i="15"/>
  <c r="D290" i="15"/>
  <c r="E290" i="15"/>
  <c r="G290" i="15"/>
  <c r="H290" i="15"/>
  <c r="I290" i="15"/>
  <c r="J290" i="15"/>
  <c r="K290" i="15"/>
  <c r="O290" i="15"/>
  <c r="P290" i="15"/>
  <c r="R290" i="15"/>
  <c r="S290" i="15"/>
  <c r="B291" i="15"/>
  <c r="D291" i="15"/>
  <c r="E291" i="15"/>
  <c r="F291" i="15"/>
  <c r="G291" i="15"/>
  <c r="H291" i="15"/>
  <c r="I291" i="15"/>
  <c r="J291" i="15"/>
  <c r="K291" i="15"/>
  <c r="L291" i="15"/>
  <c r="P291" i="15"/>
  <c r="R291" i="15"/>
  <c r="S291" i="15"/>
  <c r="B292" i="15"/>
  <c r="E292" i="15"/>
  <c r="G292" i="15"/>
  <c r="H292" i="15"/>
  <c r="I292" i="15"/>
  <c r="J292" i="15"/>
  <c r="K292" i="15"/>
  <c r="P292" i="15"/>
  <c r="B293" i="15"/>
  <c r="D293" i="15"/>
  <c r="E293" i="15"/>
  <c r="G293" i="15"/>
  <c r="H293" i="15"/>
  <c r="I293" i="15"/>
  <c r="J293" i="15"/>
  <c r="K293" i="15"/>
  <c r="O293" i="15"/>
  <c r="P293" i="15"/>
  <c r="R293" i="15"/>
  <c r="S293" i="15"/>
  <c r="B294" i="15"/>
  <c r="D294" i="15"/>
  <c r="E294" i="15"/>
  <c r="G294" i="15"/>
  <c r="H294" i="15"/>
  <c r="I294" i="15"/>
  <c r="J294" i="15"/>
  <c r="K294" i="15"/>
  <c r="O294" i="15"/>
  <c r="P294" i="15"/>
  <c r="R294" i="15"/>
  <c r="S294" i="15"/>
  <c r="B295" i="15"/>
  <c r="D295" i="15"/>
  <c r="E295" i="15"/>
  <c r="F295" i="15"/>
  <c r="G295" i="15"/>
  <c r="H295" i="15"/>
  <c r="I295" i="15"/>
  <c r="J295" i="15"/>
  <c r="K295" i="15"/>
  <c r="O295" i="15"/>
  <c r="P295" i="15"/>
  <c r="R295" i="15"/>
  <c r="S295" i="15"/>
  <c r="B296" i="15"/>
  <c r="D296" i="15"/>
  <c r="E296" i="15"/>
  <c r="F296" i="15"/>
  <c r="G296" i="15"/>
  <c r="H296" i="15"/>
  <c r="I296" i="15"/>
  <c r="J296" i="15"/>
  <c r="K296" i="15"/>
  <c r="P296" i="15"/>
  <c r="R296" i="15"/>
  <c r="S296" i="15"/>
  <c r="B297" i="15"/>
  <c r="D297" i="15"/>
  <c r="E297" i="15"/>
  <c r="F297" i="15"/>
  <c r="G297" i="15"/>
  <c r="H297" i="15"/>
  <c r="I297" i="15"/>
  <c r="J297" i="15"/>
  <c r="K297" i="15"/>
  <c r="O297" i="15"/>
  <c r="P297" i="15"/>
  <c r="R297" i="15"/>
  <c r="S297" i="15"/>
  <c r="B298" i="15"/>
  <c r="D298" i="15"/>
  <c r="E298" i="15"/>
  <c r="F298" i="15"/>
  <c r="G298" i="15"/>
  <c r="H298" i="15"/>
  <c r="I298" i="15"/>
  <c r="J298" i="15"/>
  <c r="K298" i="15"/>
  <c r="P298" i="15"/>
  <c r="R298" i="15"/>
  <c r="S298" i="15"/>
  <c r="B299" i="15"/>
  <c r="D299" i="15"/>
  <c r="E299" i="15"/>
  <c r="G299" i="15"/>
  <c r="H299" i="15"/>
  <c r="I299" i="15"/>
  <c r="J299" i="15"/>
  <c r="K299" i="15"/>
  <c r="L299" i="15"/>
  <c r="P299" i="15"/>
  <c r="R299" i="15"/>
  <c r="S299" i="15"/>
  <c r="B300" i="15"/>
  <c r="E300" i="15"/>
  <c r="G300" i="15"/>
  <c r="H300" i="15"/>
  <c r="I300" i="15"/>
  <c r="J300" i="15"/>
  <c r="K300" i="15"/>
  <c r="P300" i="15"/>
  <c r="B301" i="15"/>
  <c r="E301" i="15"/>
  <c r="G301" i="15"/>
  <c r="H301" i="15"/>
  <c r="I301" i="15"/>
  <c r="J301" i="15"/>
  <c r="K301" i="15"/>
  <c r="P301" i="15"/>
  <c r="B302" i="15"/>
  <c r="C302" i="15"/>
  <c r="D302" i="15"/>
  <c r="E302" i="15"/>
  <c r="F302" i="15"/>
  <c r="G302" i="15"/>
  <c r="H302" i="15"/>
  <c r="I302" i="15"/>
  <c r="J302" i="15"/>
  <c r="K302" i="15"/>
  <c r="P302" i="15"/>
  <c r="R302" i="15"/>
  <c r="S302" i="15"/>
  <c r="B303" i="15"/>
  <c r="D303" i="15"/>
  <c r="E303" i="15"/>
  <c r="F303" i="15"/>
  <c r="G303" i="15"/>
  <c r="H303" i="15"/>
  <c r="I303" i="15"/>
  <c r="J303" i="15"/>
  <c r="K303" i="15"/>
  <c r="O303" i="15"/>
  <c r="P303" i="15"/>
  <c r="R303" i="15"/>
  <c r="S303" i="15"/>
  <c r="B304" i="15"/>
  <c r="D304" i="15"/>
  <c r="E304" i="15"/>
  <c r="F304" i="15"/>
  <c r="G304" i="15"/>
  <c r="H304" i="15"/>
  <c r="I304" i="15"/>
  <c r="J304" i="15"/>
  <c r="K304" i="15"/>
  <c r="P304" i="15"/>
  <c r="R304" i="15"/>
  <c r="S304" i="15"/>
  <c r="B305" i="15"/>
  <c r="D305" i="15"/>
  <c r="E305" i="15"/>
  <c r="F305" i="15"/>
  <c r="G305" i="15"/>
  <c r="H305" i="15"/>
  <c r="I305" i="15"/>
  <c r="J305" i="15"/>
  <c r="K305" i="15"/>
  <c r="P305" i="15"/>
  <c r="R305" i="15"/>
  <c r="S305" i="15"/>
  <c r="B306" i="15"/>
  <c r="D306" i="15"/>
  <c r="E306" i="15"/>
  <c r="G306" i="15"/>
  <c r="H306" i="15"/>
  <c r="I306" i="15"/>
  <c r="J306" i="15"/>
  <c r="K306" i="15"/>
  <c r="O306" i="15"/>
  <c r="P306" i="15"/>
  <c r="R306" i="15"/>
  <c r="S306" i="15"/>
  <c r="B307" i="15"/>
  <c r="D307" i="15"/>
  <c r="E307" i="15"/>
  <c r="G307" i="15"/>
  <c r="H307" i="15"/>
  <c r="I307" i="15"/>
  <c r="J307" i="15"/>
  <c r="K307" i="15"/>
  <c r="P307" i="15"/>
  <c r="R307" i="15"/>
  <c r="S307" i="15"/>
  <c r="B308" i="15"/>
  <c r="D308" i="15"/>
  <c r="E308" i="15"/>
  <c r="F308" i="15"/>
  <c r="G308" i="15"/>
  <c r="H308" i="15"/>
  <c r="I308" i="15"/>
  <c r="J308" i="15"/>
  <c r="K308" i="15"/>
  <c r="P308" i="15"/>
  <c r="R308" i="15"/>
  <c r="S308" i="15"/>
  <c r="B309" i="15"/>
  <c r="D309" i="15"/>
  <c r="E309" i="15"/>
  <c r="G309" i="15"/>
  <c r="H309" i="15"/>
  <c r="I309" i="15"/>
  <c r="J309" i="15"/>
  <c r="K309" i="15"/>
  <c r="P309" i="15"/>
  <c r="R309" i="15"/>
  <c r="S309" i="15"/>
  <c r="B310" i="15"/>
  <c r="C310" i="15"/>
  <c r="D310" i="15"/>
  <c r="E310" i="15"/>
  <c r="F310" i="15"/>
  <c r="G310" i="15"/>
  <c r="H310" i="15"/>
  <c r="I310" i="15"/>
  <c r="J310" i="15"/>
  <c r="K310" i="15"/>
  <c r="P310" i="15"/>
  <c r="R310" i="15"/>
  <c r="S310" i="15"/>
  <c r="B311" i="15"/>
  <c r="D311" i="15"/>
  <c r="E311" i="15"/>
  <c r="G311" i="15"/>
  <c r="H311" i="15"/>
  <c r="I311" i="15"/>
  <c r="J311" i="15"/>
  <c r="K311" i="15"/>
  <c r="O311" i="15"/>
  <c r="P311" i="15"/>
  <c r="R311" i="15"/>
  <c r="S311" i="15"/>
  <c r="B312" i="15"/>
  <c r="D312" i="15"/>
  <c r="E312" i="15"/>
  <c r="G312" i="15"/>
  <c r="H312" i="15"/>
  <c r="I312" i="15"/>
  <c r="J312" i="15"/>
  <c r="K312" i="15"/>
  <c r="O312" i="15"/>
  <c r="P312" i="15"/>
  <c r="R312" i="15"/>
  <c r="S312" i="15"/>
  <c r="B313" i="15"/>
  <c r="D313" i="15"/>
  <c r="E313" i="15"/>
  <c r="F313" i="15"/>
  <c r="G313" i="15"/>
  <c r="H313" i="15"/>
  <c r="I313" i="15"/>
  <c r="J313" i="15"/>
  <c r="K313" i="15"/>
  <c r="O313" i="15"/>
  <c r="P313" i="15"/>
  <c r="R313" i="15"/>
  <c r="S313" i="15"/>
  <c r="B314" i="15"/>
  <c r="D314" i="15"/>
  <c r="E314" i="15"/>
  <c r="G314" i="15"/>
  <c r="H314" i="15"/>
  <c r="I314" i="15"/>
  <c r="J314" i="15"/>
  <c r="K314" i="15"/>
  <c r="P314" i="15"/>
  <c r="R314" i="15"/>
  <c r="S314" i="15"/>
  <c r="B315" i="15"/>
  <c r="D315" i="15"/>
  <c r="E315" i="15"/>
  <c r="F315" i="15"/>
  <c r="G315" i="15"/>
  <c r="H315" i="15"/>
  <c r="I315" i="15"/>
  <c r="J315" i="15"/>
  <c r="K315" i="15"/>
  <c r="O315" i="15"/>
  <c r="P315" i="15"/>
  <c r="R315" i="15"/>
  <c r="S315" i="15"/>
  <c r="B316" i="15"/>
  <c r="D316" i="15"/>
  <c r="E316" i="15"/>
  <c r="F316" i="15"/>
  <c r="G316" i="15"/>
  <c r="H316" i="15"/>
  <c r="I316" i="15"/>
  <c r="J316" i="15"/>
  <c r="K316" i="15"/>
  <c r="O316" i="15"/>
  <c r="P316" i="15"/>
  <c r="R316" i="15"/>
  <c r="S316" i="15"/>
  <c r="B317" i="15"/>
  <c r="C317" i="15"/>
  <c r="D317" i="15"/>
  <c r="E317" i="15"/>
  <c r="F317" i="15"/>
  <c r="G317" i="15"/>
  <c r="H317" i="15"/>
  <c r="I317" i="15"/>
  <c r="J317" i="15"/>
  <c r="K317" i="15"/>
  <c r="O317" i="15"/>
  <c r="P317" i="15"/>
  <c r="R317" i="15"/>
  <c r="S317" i="15"/>
  <c r="B318" i="15"/>
  <c r="C318" i="15"/>
  <c r="D318" i="15"/>
  <c r="E318" i="15"/>
  <c r="F318" i="15"/>
  <c r="G318" i="15"/>
  <c r="H318" i="15"/>
  <c r="I318" i="15"/>
  <c r="J318" i="15"/>
  <c r="K318" i="15"/>
  <c r="O318" i="15"/>
  <c r="P318" i="15"/>
  <c r="R318" i="15"/>
  <c r="S318" i="15"/>
  <c r="B319" i="15"/>
  <c r="D319" i="15"/>
  <c r="E319" i="15"/>
  <c r="F319" i="15"/>
  <c r="G319" i="15"/>
  <c r="H319" i="15"/>
  <c r="I319" i="15"/>
  <c r="J319" i="15"/>
  <c r="K319" i="15"/>
  <c r="O319" i="15"/>
  <c r="P319" i="15"/>
  <c r="R319" i="15"/>
  <c r="S319" i="15"/>
  <c r="B320" i="15"/>
  <c r="D320" i="15"/>
  <c r="E320" i="15"/>
  <c r="F320" i="15"/>
  <c r="G320" i="15"/>
  <c r="H320" i="15"/>
  <c r="I320" i="15"/>
  <c r="J320" i="15"/>
  <c r="K320" i="15"/>
  <c r="O320" i="15"/>
  <c r="P320" i="15"/>
  <c r="R320" i="15"/>
  <c r="S320" i="15"/>
  <c r="B321" i="15"/>
  <c r="C321" i="15"/>
  <c r="D321" i="15"/>
  <c r="E321" i="15"/>
  <c r="F321" i="15"/>
  <c r="G321" i="15"/>
  <c r="H321" i="15"/>
  <c r="I321" i="15"/>
  <c r="J321" i="15"/>
  <c r="K321" i="15"/>
  <c r="O321" i="15"/>
  <c r="P321" i="15"/>
  <c r="R321" i="15"/>
  <c r="S321" i="15"/>
  <c r="B322" i="15"/>
  <c r="D322" i="15"/>
  <c r="E322" i="15"/>
  <c r="F322" i="15"/>
  <c r="G322" i="15"/>
  <c r="H322" i="15"/>
  <c r="I322" i="15"/>
  <c r="J322" i="15"/>
  <c r="K322" i="15"/>
  <c r="P322" i="15"/>
  <c r="R322" i="15"/>
  <c r="S322" i="15"/>
  <c r="B323" i="15"/>
  <c r="C323" i="15"/>
  <c r="D323" i="15"/>
  <c r="E323" i="15"/>
  <c r="F323" i="15"/>
  <c r="G323" i="15"/>
  <c r="H323" i="15"/>
  <c r="I323" i="15"/>
  <c r="J323" i="15"/>
  <c r="K323" i="15"/>
  <c r="P323" i="15"/>
  <c r="R323" i="15"/>
  <c r="S323" i="15"/>
  <c r="B324" i="15"/>
  <c r="C324" i="15"/>
  <c r="D324" i="15"/>
  <c r="E324" i="15"/>
  <c r="F324" i="15"/>
  <c r="G324" i="15"/>
  <c r="H324" i="15"/>
  <c r="I324" i="15"/>
  <c r="J324" i="15"/>
  <c r="K324" i="15"/>
  <c r="P324" i="15"/>
  <c r="R324" i="15"/>
  <c r="S324" i="15"/>
  <c r="B325" i="15"/>
  <c r="C325" i="15"/>
  <c r="D325" i="15"/>
  <c r="E325" i="15"/>
  <c r="F325" i="15"/>
  <c r="G325" i="15"/>
  <c r="H325" i="15"/>
  <c r="I325" i="15"/>
  <c r="J325" i="15"/>
  <c r="K325" i="15"/>
  <c r="O325" i="15"/>
  <c r="P325" i="15"/>
  <c r="R325" i="15"/>
  <c r="S325" i="15"/>
  <c r="B326" i="15"/>
  <c r="C326" i="15"/>
  <c r="D326" i="15"/>
  <c r="E326" i="15"/>
  <c r="F326" i="15"/>
  <c r="G326" i="15"/>
  <c r="H326" i="15"/>
  <c r="I326" i="15"/>
  <c r="J326" i="15"/>
  <c r="K326" i="15"/>
  <c r="O326" i="15"/>
  <c r="P326" i="15"/>
  <c r="R326" i="15"/>
  <c r="S326" i="15"/>
  <c r="B327" i="15"/>
  <c r="C327" i="15"/>
  <c r="D327" i="15"/>
  <c r="E327" i="15"/>
  <c r="F327" i="15"/>
  <c r="G327" i="15"/>
  <c r="H327" i="15"/>
  <c r="I327" i="15"/>
  <c r="J327" i="15"/>
  <c r="K327" i="15"/>
  <c r="O327" i="15"/>
  <c r="P327" i="15"/>
  <c r="R327" i="15"/>
  <c r="S327" i="15"/>
  <c r="B328" i="15"/>
  <c r="C328" i="15"/>
  <c r="D328" i="15"/>
  <c r="E328" i="15"/>
  <c r="F328" i="15"/>
  <c r="G328" i="15"/>
  <c r="H328" i="15"/>
  <c r="I328" i="15"/>
  <c r="J328" i="15"/>
  <c r="K328" i="15"/>
  <c r="O328" i="15"/>
  <c r="P328" i="15"/>
  <c r="R328" i="15"/>
  <c r="S328" i="15"/>
  <c r="B329" i="15"/>
  <c r="C329" i="15"/>
  <c r="D329" i="15"/>
  <c r="E329" i="15"/>
  <c r="F329" i="15"/>
  <c r="G329" i="15"/>
  <c r="H329" i="15"/>
  <c r="I329" i="15"/>
  <c r="J329" i="15"/>
  <c r="K329" i="15"/>
  <c r="P329" i="15"/>
  <c r="R329" i="15"/>
  <c r="S329" i="15"/>
  <c r="B330" i="15"/>
  <c r="C330" i="15"/>
  <c r="D330" i="15"/>
  <c r="E330" i="15"/>
  <c r="F330" i="15"/>
  <c r="G330" i="15"/>
  <c r="H330" i="15"/>
  <c r="I330" i="15"/>
  <c r="J330" i="15"/>
  <c r="K330" i="15"/>
  <c r="O330" i="15"/>
  <c r="P330" i="15"/>
  <c r="R330" i="15"/>
  <c r="S330" i="15"/>
  <c r="B331" i="15"/>
  <c r="C331" i="15"/>
  <c r="D331" i="15"/>
  <c r="E331" i="15"/>
  <c r="F331" i="15"/>
  <c r="G331" i="15"/>
  <c r="H331" i="15"/>
  <c r="I331" i="15"/>
  <c r="J331" i="15"/>
  <c r="K331" i="15"/>
  <c r="O331" i="15"/>
  <c r="P331" i="15"/>
  <c r="R331" i="15"/>
  <c r="S331" i="15"/>
  <c r="B332" i="15"/>
  <c r="C332" i="15"/>
  <c r="D332" i="15"/>
  <c r="E332" i="15"/>
  <c r="F332" i="15"/>
  <c r="G332" i="15"/>
  <c r="H332" i="15"/>
  <c r="I332" i="15"/>
  <c r="J332" i="15"/>
  <c r="K332" i="15"/>
  <c r="P332" i="15"/>
  <c r="R332" i="15"/>
  <c r="S332" i="15"/>
  <c r="B333" i="15"/>
  <c r="D333" i="15"/>
  <c r="E333" i="15"/>
  <c r="F333" i="15"/>
  <c r="G333" i="15"/>
  <c r="H333" i="15"/>
  <c r="I333" i="15"/>
  <c r="J333" i="15"/>
  <c r="K333" i="15"/>
  <c r="O333" i="15"/>
  <c r="P333" i="15"/>
  <c r="R333" i="15"/>
  <c r="S333" i="15"/>
  <c r="B334" i="15"/>
  <c r="D334" i="15"/>
  <c r="E334" i="15"/>
  <c r="G334" i="15"/>
  <c r="H334" i="15"/>
  <c r="I334" i="15"/>
  <c r="J334" i="15"/>
  <c r="K334" i="15"/>
  <c r="M334" i="15"/>
  <c r="P334" i="15"/>
  <c r="R334" i="15"/>
  <c r="S334" i="15"/>
  <c r="B335" i="15"/>
  <c r="C335" i="15"/>
  <c r="D335" i="15"/>
  <c r="E335" i="15"/>
  <c r="F335" i="15"/>
  <c r="G335" i="15"/>
  <c r="H335" i="15"/>
  <c r="I335" i="15"/>
  <c r="J335" i="15"/>
  <c r="K335" i="15"/>
  <c r="O335" i="15"/>
  <c r="P335" i="15"/>
  <c r="R335" i="15"/>
  <c r="S335" i="15"/>
  <c r="B336" i="15"/>
  <c r="C336" i="15"/>
  <c r="D336" i="15"/>
  <c r="E336" i="15"/>
  <c r="F336" i="15"/>
  <c r="G336" i="15"/>
  <c r="H336" i="15"/>
  <c r="I336" i="15"/>
  <c r="J336" i="15"/>
  <c r="K336" i="15"/>
  <c r="O336" i="15"/>
  <c r="P336" i="15"/>
  <c r="R336" i="15"/>
  <c r="S336" i="15"/>
  <c r="B337" i="15"/>
  <c r="C337" i="15"/>
  <c r="D337" i="15"/>
  <c r="E337" i="15"/>
  <c r="F337" i="15"/>
  <c r="G337" i="15"/>
  <c r="H337" i="15"/>
  <c r="I337" i="15"/>
  <c r="J337" i="15"/>
  <c r="K337" i="15"/>
  <c r="P337" i="15"/>
  <c r="R337" i="15"/>
  <c r="S337" i="15"/>
  <c r="B338" i="15"/>
  <c r="D338" i="15"/>
  <c r="E338" i="15"/>
  <c r="F338" i="15"/>
  <c r="G338" i="15"/>
  <c r="H338" i="15"/>
  <c r="I338" i="15"/>
  <c r="J338" i="15"/>
  <c r="K338" i="15"/>
  <c r="O338" i="15"/>
  <c r="P338" i="15"/>
  <c r="R338" i="15"/>
  <c r="S338" i="15"/>
  <c r="B339" i="15"/>
  <c r="D339" i="15"/>
  <c r="E339" i="15"/>
  <c r="F339" i="15"/>
  <c r="G339" i="15"/>
  <c r="H339" i="15"/>
  <c r="I339" i="15"/>
  <c r="J339" i="15"/>
  <c r="K339" i="15"/>
  <c r="P339" i="15"/>
  <c r="R339" i="15"/>
  <c r="S339" i="15"/>
  <c r="B340" i="15"/>
  <c r="C340" i="15"/>
  <c r="D340" i="15"/>
  <c r="E340" i="15"/>
  <c r="F340" i="15"/>
  <c r="G340" i="15"/>
  <c r="H340" i="15"/>
  <c r="I340" i="15"/>
  <c r="J340" i="15"/>
  <c r="K340" i="15"/>
  <c r="P340" i="15"/>
  <c r="R340" i="15"/>
  <c r="S340" i="15"/>
  <c r="B341" i="15"/>
  <c r="C341" i="15"/>
  <c r="D341" i="15"/>
  <c r="E341" i="15"/>
  <c r="F341" i="15"/>
  <c r="G341" i="15"/>
  <c r="H341" i="15"/>
  <c r="I341" i="15"/>
  <c r="J341" i="15"/>
  <c r="K341" i="15"/>
  <c r="O341" i="15"/>
  <c r="P341" i="15"/>
  <c r="R341" i="15"/>
  <c r="S341" i="15"/>
  <c r="B342" i="15"/>
  <c r="C342" i="15"/>
  <c r="D342" i="15"/>
  <c r="E342" i="15"/>
  <c r="F342" i="15"/>
  <c r="G342" i="15"/>
  <c r="H342" i="15"/>
  <c r="I342" i="15"/>
  <c r="J342" i="15"/>
  <c r="K342" i="15"/>
  <c r="O342" i="15"/>
  <c r="P342" i="15"/>
  <c r="R342" i="15"/>
  <c r="S342" i="15"/>
  <c r="B343" i="15"/>
  <c r="C343" i="15"/>
  <c r="D343" i="15"/>
  <c r="E343" i="15"/>
  <c r="F343" i="15"/>
  <c r="G343" i="15"/>
  <c r="H343" i="15"/>
  <c r="I343" i="15"/>
  <c r="J343" i="15"/>
  <c r="K343" i="15"/>
  <c r="O343" i="15"/>
  <c r="P343" i="15"/>
  <c r="R343" i="15"/>
  <c r="S343" i="15"/>
  <c r="B344" i="15"/>
  <c r="C344" i="15"/>
  <c r="D344" i="15"/>
  <c r="E344" i="15"/>
  <c r="F344" i="15"/>
  <c r="G344" i="15"/>
  <c r="H344" i="15"/>
  <c r="I344" i="15"/>
  <c r="J344" i="15"/>
  <c r="K344" i="15"/>
  <c r="P344" i="15"/>
  <c r="R344" i="15"/>
  <c r="S344" i="15"/>
  <c r="B345" i="15"/>
  <c r="D345" i="15"/>
  <c r="E345" i="15"/>
  <c r="F345" i="15"/>
  <c r="G345" i="15"/>
  <c r="H345" i="15"/>
  <c r="I345" i="15"/>
  <c r="J345" i="15"/>
  <c r="K345" i="15"/>
  <c r="P345" i="15"/>
  <c r="R345" i="15"/>
  <c r="S345" i="15"/>
  <c r="B346" i="15"/>
  <c r="D346" i="15"/>
  <c r="E346" i="15"/>
  <c r="F346" i="15"/>
  <c r="G346" i="15"/>
  <c r="H346" i="15"/>
  <c r="I346" i="15"/>
  <c r="J346" i="15"/>
  <c r="K346" i="15"/>
  <c r="P346" i="15"/>
  <c r="R346" i="15"/>
  <c r="S346" i="15"/>
  <c r="B347" i="15"/>
  <c r="D347" i="15"/>
  <c r="E347" i="15"/>
  <c r="F347" i="15"/>
  <c r="G347" i="15"/>
  <c r="H347" i="15"/>
  <c r="I347" i="15"/>
  <c r="J347" i="15"/>
  <c r="K347" i="15"/>
  <c r="P347" i="15"/>
  <c r="R347" i="15"/>
  <c r="S347" i="15"/>
  <c r="B348" i="15"/>
  <c r="D348" i="15"/>
  <c r="E348" i="15"/>
  <c r="F348" i="15"/>
  <c r="G348" i="15"/>
  <c r="H348" i="15"/>
  <c r="I348" i="15"/>
  <c r="J348" i="15"/>
  <c r="K348" i="15"/>
  <c r="P348" i="15"/>
  <c r="R348" i="15"/>
  <c r="S348" i="15"/>
  <c r="B349" i="15"/>
  <c r="D349" i="15"/>
  <c r="E349" i="15"/>
  <c r="F349" i="15"/>
  <c r="G349" i="15"/>
  <c r="H349" i="15"/>
  <c r="I349" i="15"/>
  <c r="J349" i="15"/>
  <c r="K349" i="15"/>
  <c r="O349" i="15"/>
  <c r="P349" i="15"/>
  <c r="R349" i="15"/>
  <c r="S349" i="15"/>
  <c r="B350" i="15"/>
  <c r="D350" i="15"/>
  <c r="E350" i="15"/>
  <c r="F350" i="15"/>
  <c r="G350" i="15"/>
  <c r="H350" i="15"/>
  <c r="I350" i="15"/>
  <c r="J350" i="15"/>
  <c r="K350" i="15"/>
  <c r="P350" i="15"/>
  <c r="R350" i="15"/>
  <c r="S350" i="15"/>
  <c r="B351" i="15"/>
  <c r="C351" i="15"/>
  <c r="D351" i="15"/>
  <c r="E351" i="15"/>
  <c r="F351" i="15"/>
  <c r="G351" i="15"/>
  <c r="H351" i="15"/>
  <c r="I351" i="15"/>
  <c r="J351" i="15"/>
  <c r="K351" i="15"/>
  <c r="O351" i="15"/>
  <c r="P351" i="15"/>
  <c r="R351" i="15"/>
  <c r="S351" i="15"/>
  <c r="B352" i="15"/>
  <c r="D352" i="15"/>
  <c r="E352" i="15"/>
  <c r="G352" i="15"/>
  <c r="H352" i="15"/>
  <c r="I352" i="15"/>
  <c r="J352" i="15"/>
  <c r="K352" i="15"/>
  <c r="P352" i="15"/>
  <c r="R352" i="15"/>
  <c r="S352" i="15"/>
  <c r="B353" i="15"/>
  <c r="C353" i="15"/>
  <c r="D353" i="15"/>
  <c r="E353" i="15"/>
  <c r="F353" i="15"/>
  <c r="G353" i="15"/>
  <c r="H353" i="15"/>
  <c r="I353" i="15"/>
  <c r="J353" i="15"/>
  <c r="K353" i="15"/>
  <c r="O353" i="15"/>
  <c r="P353" i="15"/>
  <c r="R353" i="15"/>
  <c r="S353" i="15"/>
  <c r="B354" i="15"/>
  <c r="D354" i="15"/>
  <c r="E354" i="15"/>
  <c r="G354" i="15"/>
  <c r="H354" i="15"/>
  <c r="I354" i="15"/>
  <c r="J354" i="15"/>
  <c r="K354" i="15"/>
  <c r="O354" i="15"/>
  <c r="P354" i="15"/>
  <c r="R354" i="15"/>
  <c r="S354" i="15"/>
  <c r="B355" i="15"/>
  <c r="D355" i="15"/>
  <c r="E355" i="15"/>
  <c r="F355" i="15"/>
  <c r="G355" i="15"/>
  <c r="H355" i="15"/>
  <c r="I355" i="15"/>
  <c r="J355" i="15"/>
  <c r="K355" i="15"/>
  <c r="O355" i="15"/>
  <c r="P355" i="15"/>
  <c r="R355" i="15"/>
  <c r="S355" i="15"/>
  <c r="B356" i="15"/>
  <c r="C356" i="15"/>
  <c r="D356" i="15"/>
  <c r="E356" i="15"/>
  <c r="F356" i="15"/>
  <c r="G356" i="15"/>
  <c r="H356" i="15"/>
  <c r="I356" i="15"/>
  <c r="J356" i="15"/>
  <c r="K356" i="15"/>
  <c r="P356" i="15"/>
  <c r="R356" i="15"/>
  <c r="S356" i="15"/>
  <c r="B357" i="15"/>
  <c r="C357" i="15"/>
  <c r="D357" i="15"/>
  <c r="E357" i="15"/>
  <c r="F357" i="15"/>
  <c r="G357" i="15"/>
  <c r="H357" i="15"/>
  <c r="I357" i="15"/>
  <c r="J357" i="15"/>
  <c r="K357" i="15"/>
  <c r="P357" i="15"/>
  <c r="R357" i="15"/>
  <c r="S357" i="15"/>
  <c r="B358" i="15"/>
  <c r="C358" i="15"/>
  <c r="D358" i="15"/>
  <c r="E358" i="15"/>
  <c r="F358" i="15"/>
  <c r="G358" i="15"/>
  <c r="H358" i="15"/>
  <c r="I358" i="15"/>
  <c r="J358" i="15"/>
  <c r="K358" i="15"/>
  <c r="P358" i="15"/>
  <c r="R358" i="15"/>
  <c r="S358" i="15"/>
  <c r="B359" i="15"/>
  <c r="C359" i="15"/>
  <c r="D359" i="15"/>
  <c r="E359" i="15"/>
  <c r="F359" i="15"/>
  <c r="G359" i="15"/>
  <c r="H359" i="15"/>
  <c r="I359" i="15"/>
  <c r="J359" i="15"/>
  <c r="K359" i="15"/>
  <c r="P359" i="15"/>
  <c r="R359" i="15"/>
  <c r="S359" i="15"/>
  <c r="B360" i="15"/>
  <c r="D360" i="15"/>
  <c r="E360" i="15"/>
  <c r="F360" i="15"/>
  <c r="G360" i="15"/>
  <c r="H360" i="15"/>
  <c r="I360" i="15"/>
  <c r="J360" i="15"/>
  <c r="K360" i="15"/>
  <c r="P360" i="15"/>
  <c r="R360" i="15"/>
  <c r="S360" i="15"/>
  <c r="B361" i="15"/>
  <c r="C361" i="15"/>
  <c r="D361" i="15"/>
  <c r="E361" i="15"/>
  <c r="F361" i="15"/>
  <c r="G361" i="15"/>
  <c r="H361" i="15"/>
  <c r="I361" i="15"/>
  <c r="J361" i="15"/>
  <c r="K361" i="15"/>
  <c r="P361" i="15"/>
  <c r="R361" i="15"/>
  <c r="S361" i="15"/>
  <c r="B362" i="15"/>
  <c r="C362" i="15"/>
  <c r="D362" i="15"/>
  <c r="E362" i="15"/>
  <c r="F362" i="15"/>
  <c r="G362" i="15"/>
  <c r="H362" i="15"/>
  <c r="I362" i="15"/>
  <c r="J362" i="15"/>
  <c r="K362" i="15"/>
  <c r="L362" i="15"/>
  <c r="P362" i="15"/>
  <c r="R362" i="15"/>
  <c r="S362" i="15"/>
  <c r="C363" i="15"/>
  <c r="E363" i="15"/>
  <c r="F363" i="15"/>
  <c r="G363" i="15"/>
  <c r="H363" i="15"/>
  <c r="I363" i="15"/>
  <c r="J363" i="15"/>
  <c r="K363" i="15"/>
  <c r="O363" i="15"/>
  <c r="P363" i="15"/>
  <c r="B364" i="15"/>
  <c r="D364" i="15"/>
  <c r="E364" i="15"/>
  <c r="G364" i="15"/>
  <c r="H364" i="15"/>
  <c r="I364" i="15"/>
  <c r="J364" i="15"/>
  <c r="K364" i="15"/>
  <c r="O364" i="15"/>
  <c r="P364" i="15"/>
  <c r="R364" i="15"/>
  <c r="S364" i="15"/>
  <c r="B365" i="15"/>
  <c r="C365" i="15"/>
  <c r="D365" i="15"/>
  <c r="E365" i="15"/>
  <c r="F365" i="15"/>
  <c r="G365" i="15"/>
  <c r="H365" i="15"/>
  <c r="I365" i="15"/>
  <c r="J365" i="15"/>
  <c r="K365" i="15"/>
  <c r="O365" i="15"/>
  <c r="P365" i="15"/>
  <c r="R365" i="15"/>
  <c r="S365" i="15"/>
  <c r="B366" i="15"/>
  <c r="D366" i="15"/>
  <c r="E366" i="15"/>
  <c r="F366" i="15"/>
  <c r="G366" i="15"/>
  <c r="H366" i="15"/>
  <c r="I366" i="15"/>
  <c r="J366" i="15"/>
  <c r="K366" i="15"/>
  <c r="O366" i="15"/>
  <c r="P366" i="15"/>
  <c r="R366" i="15"/>
  <c r="S366" i="15"/>
  <c r="B367" i="15"/>
  <c r="D367" i="15"/>
  <c r="E367" i="15"/>
  <c r="F367" i="15"/>
  <c r="G367" i="15"/>
  <c r="H367" i="15"/>
  <c r="I367" i="15"/>
  <c r="J367" i="15"/>
  <c r="K367" i="15"/>
  <c r="O367" i="15"/>
  <c r="P367" i="15"/>
  <c r="R367" i="15"/>
  <c r="S367" i="15"/>
  <c r="B368" i="15"/>
  <c r="D368" i="15"/>
  <c r="E368" i="15"/>
  <c r="F368" i="15"/>
  <c r="G368" i="15"/>
  <c r="H368" i="15"/>
  <c r="I368" i="15"/>
  <c r="J368" i="15"/>
  <c r="K368" i="15"/>
  <c r="O368" i="15"/>
  <c r="P368" i="15"/>
  <c r="R368" i="15"/>
  <c r="S368" i="15"/>
  <c r="B369" i="15"/>
  <c r="D369" i="15"/>
  <c r="E369" i="15"/>
  <c r="F369" i="15"/>
  <c r="G369" i="15"/>
  <c r="H369" i="15"/>
  <c r="I369" i="15"/>
  <c r="J369" i="15"/>
  <c r="K369" i="15"/>
  <c r="P369" i="15"/>
  <c r="R369" i="15"/>
  <c r="S369" i="15"/>
  <c r="B370" i="15"/>
  <c r="D370" i="15"/>
  <c r="E370" i="15"/>
  <c r="G370" i="15"/>
  <c r="H370" i="15"/>
  <c r="I370" i="15"/>
  <c r="J370" i="15"/>
  <c r="K370" i="15"/>
  <c r="O370" i="15"/>
  <c r="P370" i="15"/>
  <c r="R370" i="15"/>
  <c r="S370" i="15"/>
  <c r="B371" i="15"/>
  <c r="D371" i="15"/>
  <c r="E371" i="15"/>
  <c r="G371" i="15"/>
  <c r="H371" i="15"/>
  <c r="I371" i="15"/>
  <c r="J371" i="15"/>
  <c r="K371" i="15"/>
  <c r="L371" i="15"/>
  <c r="P371" i="15"/>
  <c r="R371" i="15"/>
  <c r="S371" i="15"/>
  <c r="B372" i="15"/>
  <c r="E372" i="15"/>
  <c r="G372" i="15"/>
  <c r="H372" i="15"/>
  <c r="I372" i="15"/>
  <c r="J372" i="15"/>
  <c r="K372" i="15"/>
  <c r="P372" i="15"/>
  <c r="B373" i="15"/>
  <c r="E373" i="15"/>
  <c r="G373" i="15"/>
  <c r="H373" i="15"/>
  <c r="I373" i="15"/>
  <c r="J373" i="15"/>
  <c r="K373" i="15"/>
  <c r="P373" i="15"/>
  <c r="B374" i="15"/>
  <c r="D374" i="15"/>
  <c r="E374" i="15"/>
  <c r="G374" i="15"/>
  <c r="H374" i="15"/>
  <c r="I374" i="15"/>
  <c r="J374" i="15"/>
  <c r="K374" i="15"/>
  <c r="O374" i="15"/>
  <c r="P374" i="15"/>
  <c r="R374" i="15"/>
  <c r="S374" i="15"/>
  <c r="B375" i="15"/>
  <c r="C375" i="15"/>
  <c r="D375" i="15"/>
  <c r="E375" i="15"/>
  <c r="F375" i="15"/>
  <c r="G375" i="15"/>
  <c r="H375" i="15"/>
  <c r="I375" i="15"/>
  <c r="J375" i="15"/>
  <c r="K375" i="15"/>
  <c r="P375" i="15"/>
  <c r="R375" i="15"/>
  <c r="S375" i="15"/>
  <c r="O123" i="80"/>
  <c r="O375" i="15" s="1"/>
  <c r="O51" i="84" l="1"/>
  <c r="O424" i="15" s="1"/>
  <c r="O110" i="80" l="1"/>
  <c r="O362" i="15" s="1"/>
  <c r="O107" i="80"/>
  <c r="O359" i="15" s="1"/>
  <c r="O61" i="84"/>
  <c r="O434" i="15" s="1"/>
  <c r="O62" i="80"/>
  <c r="O314" i="15" s="1"/>
  <c r="O45" i="79"/>
  <c r="Q31" i="84" l="1"/>
  <c r="Q404" i="15" s="1"/>
  <c r="M31" i="84" l="1"/>
  <c r="N31" i="84" l="1"/>
  <c r="N404" i="15" s="1"/>
  <c r="M404" i="15"/>
  <c r="F173" i="15"/>
  <c r="O48" i="79" l="1"/>
  <c r="O20" i="80"/>
  <c r="O272" i="15" s="1"/>
  <c r="O23" i="80"/>
  <c r="O275" i="15" s="1"/>
  <c r="O117" i="80"/>
  <c r="O369" i="15" s="1"/>
  <c r="O44" i="80"/>
  <c r="O296" i="15" s="1"/>
  <c r="O350" i="15"/>
  <c r="O119" i="80" l="1"/>
  <c r="O371" i="15" s="1"/>
  <c r="L30" i="84" l="1"/>
  <c r="L138" i="84"/>
  <c r="L511" i="15" s="1"/>
  <c r="M30" i="84" l="1"/>
  <c r="M403" i="15" s="1"/>
  <c r="L403" i="15"/>
  <c r="M138" i="84"/>
  <c r="Q138" i="84"/>
  <c r="Q511" i="15" s="1"/>
  <c r="Q30" i="84"/>
  <c r="Q403" i="15" s="1"/>
  <c r="N138" i="84" l="1"/>
  <c r="N511" i="15" s="1"/>
  <c r="M511" i="15"/>
  <c r="N30" i="84"/>
  <c r="N403" i="15" s="1"/>
  <c r="L39" i="84"/>
  <c r="O413" i="15"/>
  <c r="Q39" i="84" l="1"/>
  <c r="Q412" i="15" s="1"/>
  <c r="L412" i="15"/>
  <c r="M39" i="84"/>
  <c r="N39" i="84" l="1"/>
  <c r="N412" i="15" s="1"/>
  <c r="M412" i="15"/>
  <c r="O21" i="84"/>
  <c r="O394" i="15" s="1"/>
  <c r="L24" i="84" l="1"/>
  <c r="M25" i="84"/>
  <c r="N25" i="84" l="1"/>
  <c r="N398" i="15" s="1"/>
  <c r="M398" i="15"/>
  <c r="M24" i="84"/>
  <c r="L397" i="15"/>
  <c r="Q24" i="84"/>
  <c r="Q397" i="15" s="1"/>
  <c r="Q25" i="84"/>
  <c r="Q398" i="15" s="1"/>
  <c r="N24" i="84" l="1"/>
  <c r="N397" i="15" s="1"/>
  <c r="M397" i="15"/>
  <c r="O20" i="84"/>
  <c r="O393" i="15" s="1"/>
  <c r="Q21" i="84" l="1"/>
  <c r="Q394" i="15" s="1"/>
  <c r="M21" i="84" l="1"/>
  <c r="N21" i="84" l="1"/>
  <c r="N394" i="15" s="1"/>
  <c r="M394" i="15"/>
  <c r="P98" i="15"/>
  <c r="R47" i="15" l="1"/>
  <c r="O450" i="15" l="1"/>
  <c r="L77" i="84"/>
  <c r="L450" i="15" s="1"/>
  <c r="Q77" i="84" l="1"/>
  <c r="Q450" i="15" s="1"/>
  <c r="M77" i="84"/>
  <c r="L29" i="84"/>
  <c r="O37" i="80"/>
  <c r="O289" i="15" s="1"/>
  <c r="Q29" i="84" l="1"/>
  <c r="Q402" i="15" s="1"/>
  <c r="L402" i="15"/>
  <c r="N77" i="84"/>
  <c r="N450" i="15" s="1"/>
  <c r="M450" i="15"/>
  <c r="M29" i="84"/>
  <c r="N29" i="84" l="1"/>
  <c r="N402" i="15" s="1"/>
  <c r="M402" i="15"/>
  <c r="O90" i="84"/>
  <c r="O463" i="15" s="1"/>
  <c r="L124" i="84"/>
  <c r="L125" i="84"/>
  <c r="L123" i="84"/>
  <c r="L496" i="15" s="1"/>
  <c r="O122" i="84"/>
  <c r="O495" i="15" s="1"/>
  <c r="L122" i="84"/>
  <c r="L121" i="84"/>
  <c r="L120" i="84"/>
  <c r="L119" i="84"/>
  <c r="O118" i="84"/>
  <c r="O491" i="15" s="1"/>
  <c r="L118" i="84"/>
  <c r="L491" i="15" s="1"/>
  <c r="L117" i="84"/>
  <c r="O489" i="15"/>
  <c r="L116" i="84"/>
  <c r="L489" i="15" s="1"/>
  <c r="L115" i="84"/>
  <c r="O487" i="15"/>
  <c r="L114" i="84"/>
  <c r="L487" i="15" s="1"/>
  <c r="L113" i="84"/>
  <c r="L112" i="84"/>
  <c r="L485" i="15" s="1"/>
  <c r="L111" i="84"/>
  <c r="L484" i="15" s="1"/>
  <c r="O110" i="84"/>
  <c r="O483" i="15" s="1"/>
  <c r="L110" i="84"/>
  <c r="L109" i="84"/>
  <c r="L108" i="84"/>
  <c r="L107" i="84"/>
  <c r="O106" i="84"/>
  <c r="O479" i="15" s="1"/>
  <c r="L106" i="84"/>
  <c r="L479" i="15" s="1"/>
  <c r="L105" i="84"/>
  <c r="O104" i="84"/>
  <c r="O477" i="15" s="1"/>
  <c r="L104" i="84"/>
  <c r="L477" i="15" s="1"/>
  <c r="L103" i="84"/>
  <c r="L102" i="84"/>
  <c r="L101" i="84"/>
  <c r="L474" i="15" s="1"/>
  <c r="L100" i="84"/>
  <c r="O99" i="84"/>
  <c r="O472" i="15" s="1"/>
  <c r="L99" i="84"/>
  <c r="L472" i="15" s="1"/>
  <c r="L98" i="84"/>
  <c r="L97" i="84"/>
  <c r="O96" i="84"/>
  <c r="O469" i="15" s="1"/>
  <c r="L96" i="84"/>
  <c r="L95" i="84"/>
  <c r="L94" i="84"/>
  <c r="L93" i="84"/>
  <c r="L92" i="84"/>
  <c r="O91" i="84"/>
  <c r="O464" i="15" s="1"/>
  <c r="L91" i="84"/>
  <c r="L464" i="15" s="1"/>
  <c r="L90" i="84"/>
  <c r="L463" i="15" s="1"/>
  <c r="O89" i="84"/>
  <c r="O462" i="15" s="1"/>
  <c r="L89" i="84"/>
  <c r="L462" i="15" s="1"/>
  <c r="L88" i="84"/>
  <c r="L87" i="84"/>
  <c r="L86" i="84"/>
  <c r="L85" i="84"/>
  <c r="L84" i="84"/>
  <c r="L83" i="84"/>
  <c r="L82" i="84"/>
  <c r="O447" i="15"/>
  <c r="L74" i="84"/>
  <c r="O446" i="15"/>
  <c r="L73" i="84"/>
  <c r="O72" i="84"/>
  <c r="O445" i="15" s="1"/>
  <c r="L72" i="84"/>
  <c r="L445" i="15" s="1"/>
  <c r="L71" i="84"/>
  <c r="O443" i="15"/>
  <c r="L70" i="84"/>
  <c r="L443" i="15" s="1"/>
  <c r="O442" i="15"/>
  <c r="L69" i="84"/>
  <c r="L442" i="15" s="1"/>
  <c r="L68" i="84"/>
  <c r="O67" i="84"/>
  <c r="O440" i="15" s="1"/>
  <c r="L67" i="84"/>
  <c r="O64" i="84"/>
  <c r="M64" i="84"/>
  <c r="O63" i="84"/>
  <c r="O436" i="15" s="1"/>
  <c r="L63" i="84"/>
  <c r="L436" i="15" s="1"/>
  <c r="L61" i="84"/>
  <c r="L434" i="15" s="1"/>
  <c r="L49" i="84"/>
  <c r="L422" i="15" s="1"/>
  <c r="L47" i="84"/>
  <c r="L45" i="84"/>
  <c r="L44" i="84"/>
  <c r="L128" i="84"/>
  <c r="L127" i="84"/>
  <c r="L140" i="84"/>
  <c r="L75" i="84"/>
  <c r="L42" i="84"/>
  <c r="O41" i="84"/>
  <c r="O414" i="15" s="1"/>
  <c r="L41" i="84"/>
  <c r="L414" i="15" s="1"/>
  <c r="L38" i="84"/>
  <c r="L36" i="84"/>
  <c r="K138" i="85"/>
  <c r="K137" i="85"/>
  <c r="K136" i="85"/>
  <c r="K133" i="85"/>
  <c r="K132" i="85"/>
  <c r="D122" i="85"/>
  <c r="E7" i="40" s="1"/>
  <c r="L119" i="85"/>
  <c r="M119" i="85" s="1"/>
  <c r="N119" i="85" s="1"/>
  <c r="L118" i="85"/>
  <c r="M118" i="85" s="1"/>
  <c r="N118" i="85" s="1"/>
  <c r="L117" i="85"/>
  <c r="M117" i="85" s="1"/>
  <c r="N117" i="85" s="1"/>
  <c r="L25" i="85"/>
  <c r="L64" i="85"/>
  <c r="L55" i="85"/>
  <c r="L565" i="15" s="1"/>
  <c r="L59" i="85"/>
  <c r="L58" i="85"/>
  <c r="L109" i="85"/>
  <c r="L115" i="85"/>
  <c r="L29" i="85"/>
  <c r="L30" i="85"/>
  <c r="L540" i="15" s="1"/>
  <c r="L22" i="85"/>
  <c r="L18" i="85"/>
  <c r="L17" i="85"/>
  <c r="L527" i="15" s="1"/>
  <c r="O120" i="85"/>
  <c r="M115" i="85" l="1"/>
  <c r="L625" i="15"/>
  <c r="M58" i="85"/>
  <c r="L568" i="15"/>
  <c r="M25" i="85"/>
  <c r="L535" i="15"/>
  <c r="Q29" i="85"/>
  <c r="Q539" i="15" s="1"/>
  <c r="L539" i="15"/>
  <c r="M59" i="85"/>
  <c r="L569" i="15"/>
  <c r="M18" i="85"/>
  <c r="L528" i="15"/>
  <c r="M22" i="85"/>
  <c r="L532" i="15"/>
  <c r="M109" i="85"/>
  <c r="L619" i="15"/>
  <c r="M64" i="85"/>
  <c r="L574" i="15"/>
  <c r="M55" i="85"/>
  <c r="M30" i="85"/>
  <c r="Q30" i="85"/>
  <c r="Q540" i="15" s="1"/>
  <c r="M17" i="85"/>
  <c r="L120" i="85"/>
  <c r="B7" i="40" s="1"/>
  <c r="K131" i="85"/>
  <c r="M29" i="85"/>
  <c r="Q45" i="84"/>
  <c r="Q418" i="15" s="1"/>
  <c r="L418" i="15"/>
  <c r="M67" i="84"/>
  <c r="L440" i="15"/>
  <c r="M74" i="84"/>
  <c r="M447" i="15" s="1"/>
  <c r="L447" i="15"/>
  <c r="Q84" i="84"/>
  <c r="Q457" i="15" s="1"/>
  <c r="L457" i="15"/>
  <c r="M88" i="84"/>
  <c r="L461" i="15"/>
  <c r="M94" i="84"/>
  <c r="L467" i="15"/>
  <c r="Q97" i="84"/>
  <c r="Q470" i="15" s="1"/>
  <c r="L470" i="15"/>
  <c r="Q100" i="84"/>
  <c r="Q473" i="15" s="1"/>
  <c r="L473" i="15"/>
  <c r="M110" i="84"/>
  <c r="L483" i="15"/>
  <c r="M113" i="84"/>
  <c r="L486" i="15"/>
  <c r="M122" i="84"/>
  <c r="L495" i="15"/>
  <c r="M124" i="84"/>
  <c r="L497" i="15"/>
  <c r="Q127" i="84"/>
  <c r="Q500" i="15" s="1"/>
  <c r="L500" i="15"/>
  <c r="M47" i="84"/>
  <c r="M420" i="15" s="1"/>
  <c r="L420" i="15"/>
  <c r="M85" i="84"/>
  <c r="L458" i="15"/>
  <c r="M95" i="84"/>
  <c r="L468" i="15"/>
  <c r="M98" i="84"/>
  <c r="L471" i="15"/>
  <c r="Q107" i="84"/>
  <c r="Q480" i="15" s="1"/>
  <c r="L480" i="15"/>
  <c r="M119" i="84"/>
  <c r="L492" i="15"/>
  <c r="Q36" i="84"/>
  <c r="Q409" i="15" s="1"/>
  <c r="L409" i="15"/>
  <c r="Q42" i="84"/>
  <c r="Q415" i="15" s="1"/>
  <c r="L415" i="15"/>
  <c r="Q128" i="84"/>
  <c r="Q501" i="15" s="1"/>
  <c r="L501" i="15"/>
  <c r="N64" i="84"/>
  <c r="N437" i="15" s="1"/>
  <c r="M437" i="15"/>
  <c r="Q68" i="84"/>
  <c r="Q441" i="15" s="1"/>
  <c r="L441" i="15"/>
  <c r="M73" i="84"/>
  <c r="L446" i="15"/>
  <c r="Q82" i="84"/>
  <c r="Q455" i="15" s="1"/>
  <c r="L455" i="15"/>
  <c r="Q86" i="84"/>
  <c r="Q459" i="15" s="1"/>
  <c r="L459" i="15"/>
  <c r="M92" i="84"/>
  <c r="L465" i="15"/>
  <c r="M96" i="84"/>
  <c r="L469" i="15"/>
  <c r="Q102" i="84"/>
  <c r="Q475" i="15" s="1"/>
  <c r="L475" i="15"/>
  <c r="Q105" i="84"/>
  <c r="Q478" i="15" s="1"/>
  <c r="L478" i="15"/>
  <c r="Q108" i="84"/>
  <c r="Q481" i="15" s="1"/>
  <c r="L481" i="15"/>
  <c r="Q117" i="84"/>
  <c r="Q490" i="15" s="1"/>
  <c r="L490" i="15"/>
  <c r="M120" i="84"/>
  <c r="L493" i="15"/>
  <c r="Q38" i="84"/>
  <c r="Q411" i="15" s="1"/>
  <c r="L411" i="15"/>
  <c r="Q75" i="84"/>
  <c r="Q448" i="15" s="1"/>
  <c r="L448" i="15"/>
  <c r="Q44" i="84"/>
  <c r="Q417" i="15" s="1"/>
  <c r="L417" i="15"/>
  <c r="Q64" i="84"/>
  <c r="Q437" i="15" s="1"/>
  <c r="O437" i="15"/>
  <c r="Q71" i="84"/>
  <c r="Q444" i="15" s="1"/>
  <c r="L444" i="15"/>
  <c r="Q83" i="84"/>
  <c r="Q456" i="15" s="1"/>
  <c r="L456" i="15"/>
  <c r="Q87" i="84"/>
  <c r="Q460" i="15" s="1"/>
  <c r="L460" i="15"/>
  <c r="M93" i="84"/>
  <c r="L466" i="15"/>
  <c r="Q103" i="84"/>
  <c r="Q476" i="15" s="1"/>
  <c r="L476" i="15"/>
  <c r="Q109" i="84"/>
  <c r="Q482" i="15" s="1"/>
  <c r="L482" i="15"/>
  <c r="Q115" i="84"/>
  <c r="Q488" i="15" s="1"/>
  <c r="L488" i="15"/>
  <c r="M121" i="84"/>
  <c r="L494" i="15"/>
  <c r="Q125" i="84"/>
  <c r="Q498" i="15" s="1"/>
  <c r="L498" i="15"/>
  <c r="Q140" i="84"/>
  <c r="K135" i="85"/>
  <c r="Q114" i="84"/>
  <c r="Q487" i="15" s="1"/>
  <c r="Q101" i="84"/>
  <c r="Q474" i="15" s="1"/>
  <c r="Q124" i="84"/>
  <c r="Q497" i="15" s="1"/>
  <c r="Q49" i="84"/>
  <c r="Q422" i="15" s="1"/>
  <c r="Q99" i="84"/>
  <c r="Q472" i="15" s="1"/>
  <c r="Q85" i="84"/>
  <c r="Q458" i="15" s="1"/>
  <c r="M125" i="84"/>
  <c r="M84" i="84"/>
  <c r="Q88" i="84"/>
  <c r="Q461" i="15" s="1"/>
  <c r="Q95" i="84"/>
  <c r="Q468" i="15" s="1"/>
  <c r="M97" i="84"/>
  <c r="Q98" i="84"/>
  <c r="Q471" i="15" s="1"/>
  <c r="Q69" i="84"/>
  <c r="Q442" i="15" s="1"/>
  <c r="Q93" i="84"/>
  <c r="Q466" i="15" s="1"/>
  <c r="M108" i="84"/>
  <c r="M83" i="84"/>
  <c r="M87" i="84"/>
  <c r="M114" i="84"/>
  <c r="Q120" i="84"/>
  <c r="Q493" i="15" s="1"/>
  <c r="M82" i="84"/>
  <c r="M86" i="84"/>
  <c r="Q89" i="84"/>
  <c r="Q462" i="15" s="1"/>
  <c r="Q92" i="84"/>
  <c r="Q465" i="15" s="1"/>
  <c r="Q94" i="84"/>
  <c r="Q467" i="15" s="1"/>
  <c r="M99" i="84"/>
  <c r="M107" i="84"/>
  <c r="M109" i="84"/>
  <c r="Q123" i="84"/>
  <c r="Q496" i="15" s="1"/>
  <c r="M89" i="84"/>
  <c r="Q110" i="84"/>
  <c r="Q483" i="15" s="1"/>
  <c r="Q119" i="84"/>
  <c r="Q492" i="15" s="1"/>
  <c r="Q121" i="84"/>
  <c r="Q494" i="15" s="1"/>
  <c r="M123" i="84"/>
  <c r="Q90" i="84"/>
  <c r="Q463" i="15" s="1"/>
  <c r="Q104" i="84"/>
  <c r="Q477" i="15" s="1"/>
  <c r="M69" i="84"/>
  <c r="M90" i="84"/>
  <c r="Q91" i="84"/>
  <c r="Q464" i="15" s="1"/>
  <c r="M100" i="84"/>
  <c r="N101" i="84"/>
  <c r="N474" i="15" s="1"/>
  <c r="M102" i="84"/>
  <c r="M103" i="84"/>
  <c r="M104" i="84"/>
  <c r="Q106" i="84"/>
  <c r="Q479" i="15" s="1"/>
  <c r="M111" i="84"/>
  <c r="Q112" i="84"/>
  <c r="Q485" i="15" s="1"/>
  <c r="M115" i="84"/>
  <c r="M116" i="84"/>
  <c r="Q118" i="84"/>
  <c r="Q491" i="15" s="1"/>
  <c r="Q111" i="84"/>
  <c r="Q484" i="15" s="1"/>
  <c r="Q116" i="84"/>
  <c r="Q489" i="15" s="1"/>
  <c r="M91" i="84"/>
  <c r="Q96" i="84"/>
  <c r="Q469" i="15" s="1"/>
  <c r="M105" i="84"/>
  <c r="M106" i="84"/>
  <c r="M112" i="84"/>
  <c r="Q113" i="84"/>
  <c r="Q486" i="15" s="1"/>
  <c r="M117" i="84"/>
  <c r="M118" i="84"/>
  <c r="Q122" i="84"/>
  <c r="Q495" i="15" s="1"/>
  <c r="M68" i="84"/>
  <c r="Q74" i="84"/>
  <c r="Q447" i="15" s="1"/>
  <c r="U447" i="15" s="1"/>
  <c r="Q70" i="84"/>
  <c r="Q443" i="15" s="1"/>
  <c r="Q63" i="84"/>
  <c r="Q436" i="15" s="1"/>
  <c r="M70" i="84"/>
  <c r="Q72" i="84"/>
  <c r="Q445" i="15" s="1"/>
  <c r="Q61" i="84"/>
  <c r="Q434" i="15" s="1"/>
  <c r="M63" i="84"/>
  <c r="Q67" i="84"/>
  <c r="Q440" i="15" s="1"/>
  <c r="M71" i="84"/>
  <c r="M72" i="84"/>
  <c r="Q73" i="84"/>
  <c r="Q446" i="15" s="1"/>
  <c r="M61" i="84"/>
  <c r="M49" i="84"/>
  <c r="Q47" i="84"/>
  <c r="Q420" i="15" s="1"/>
  <c r="Q41" i="84"/>
  <c r="Q414" i="15" s="1"/>
  <c r="M44" i="84"/>
  <c r="M45" i="84"/>
  <c r="M41" i="84"/>
  <c r="M75" i="84"/>
  <c r="M140" i="84"/>
  <c r="N140" i="84" s="1"/>
  <c r="M127" i="84"/>
  <c r="M128" i="84"/>
  <c r="M42" i="84"/>
  <c r="M38" i="84"/>
  <c r="M36" i="84"/>
  <c r="L122" i="85"/>
  <c r="Q17" i="85"/>
  <c r="Q527" i="15" s="1"/>
  <c r="Q18" i="85"/>
  <c r="Q528" i="15" s="1"/>
  <c r="Q22" i="85"/>
  <c r="Q532" i="15" s="1"/>
  <c r="Q115" i="85"/>
  <c r="Q625" i="15" s="1"/>
  <c r="Q109" i="85"/>
  <c r="Q619" i="15" s="1"/>
  <c r="Q58" i="85"/>
  <c r="Q568" i="15" s="1"/>
  <c r="Q59" i="85"/>
  <c r="Q569" i="15" s="1"/>
  <c r="Q55" i="85"/>
  <c r="Q565" i="15" s="1"/>
  <c r="Q64" i="85"/>
  <c r="Q574" i="15" s="1"/>
  <c r="Q25" i="85"/>
  <c r="Q535" i="15" s="1"/>
  <c r="Q117" i="85"/>
  <c r="Q118" i="85"/>
  <c r="Q119" i="85"/>
  <c r="K134" i="85"/>
  <c r="N115" i="85" l="1"/>
  <c r="N625" i="15" s="1"/>
  <c r="M625" i="15"/>
  <c r="N29" i="85"/>
  <c r="N539" i="15" s="1"/>
  <c r="M539" i="15"/>
  <c r="N64" i="85"/>
  <c r="N574" i="15" s="1"/>
  <c r="M574" i="15"/>
  <c r="N22" i="85"/>
  <c r="N532" i="15" s="1"/>
  <c r="M532" i="15"/>
  <c r="N59" i="85"/>
  <c r="N569" i="15" s="1"/>
  <c r="M569" i="15"/>
  <c r="N25" i="85"/>
  <c r="N535" i="15" s="1"/>
  <c r="M535" i="15"/>
  <c r="N30" i="85"/>
  <c r="N540" i="15" s="1"/>
  <c r="M540" i="15"/>
  <c r="N17" i="85"/>
  <c r="N527" i="15" s="1"/>
  <c r="M527" i="15"/>
  <c r="N55" i="85"/>
  <c r="N565" i="15" s="1"/>
  <c r="M565" i="15"/>
  <c r="N109" i="85"/>
  <c r="N619" i="15" s="1"/>
  <c r="M619" i="15"/>
  <c r="N18" i="85"/>
  <c r="N528" i="15" s="1"/>
  <c r="M528" i="15"/>
  <c r="N58" i="85"/>
  <c r="N568" i="15" s="1"/>
  <c r="M568" i="15"/>
  <c r="N47" i="84"/>
  <c r="N420" i="15" s="1"/>
  <c r="N74" i="84"/>
  <c r="N447" i="15" s="1"/>
  <c r="N120" i="84"/>
  <c r="N493" i="15" s="1"/>
  <c r="M493" i="15"/>
  <c r="N92" i="84"/>
  <c r="N465" i="15" s="1"/>
  <c r="M465" i="15"/>
  <c r="N95" i="84"/>
  <c r="N468" i="15" s="1"/>
  <c r="M468" i="15"/>
  <c r="N124" i="84"/>
  <c r="N497" i="15" s="1"/>
  <c r="M497" i="15"/>
  <c r="N113" i="84"/>
  <c r="N486" i="15" s="1"/>
  <c r="M486" i="15"/>
  <c r="N94" i="84"/>
  <c r="N467" i="15" s="1"/>
  <c r="M467" i="15"/>
  <c r="N67" i="84"/>
  <c r="N440" i="15" s="1"/>
  <c r="M440" i="15"/>
  <c r="N112" i="84"/>
  <c r="N485" i="15" s="1"/>
  <c r="M485" i="15"/>
  <c r="N116" i="84"/>
  <c r="N489" i="15" s="1"/>
  <c r="M489" i="15"/>
  <c r="N83" i="84"/>
  <c r="N456" i="15" s="1"/>
  <c r="M456" i="15"/>
  <c r="N38" i="84"/>
  <c r="N411" i="15" s="1"/>
  <c r="M411" i="15"/>
  <c r="N71" i="84"/>
  <c r="N444" i="15" s="1"/>
  <c r="M444" i="15"/>
  <c r="N118" i="84"/>
  <c r="N491" i="15" s="1"/>
  <c r="M491" i="15"/>
  <c r="N106" i="84"/>
  <c r="N479" i="15" s="1"/>
  <c r="M479" i="15"/>
  <c r="N115" i="84"/>
  <c r="N488" i="15" s="1"/>
  <c r="M488" i="15"/>
  <c r="N104" i="84"/>
  <c r="N477" i="15" s="1"/>
  <c r="M477" i="15"/>
  <c r="N100" i="84"/>
  <c r="N473" i="15" s="1"/>
  <c r="M473" i="15"/>
  <c r="N109" i="84"/>
  <c r="N482" i="15" s="1"/>
  <c r="M482" i="15"/>
  <c r="N108" i="84"/>
  <c r="N481" i="15" s="1"/>
  <c r="M481" i="15"/>
  <c r="N97" i="84"/>
  <c r="N470" i="15" s="1"/>
  <c r="M470" i="15"/>
  <c r="N125" i="84"/>
  <c r="N498" i="15" s="1"/>
  <c r="M498" i="15"/>
  <c r="N121" i="84"/>
  <c r="N494" i="15" s="1"/>
  <c r="M494" i="15"/>
  <c r="N93" i="84"/>
  <c r="N466" i="15" s="1"/>
  <c r="M466" i="15"/>
  <c r="N42" i="84"/>
  <c r="N415" i="15" s="1"/>
  <c r="M415" i="15"/>
  <c r="N75" i="84"/>
  <c r="N448" i="15" s="1"/>
  <c r="M448" i="15"/>
  <c r="N61" i="84"/>
  <c r="N434" i="15" s="1"/>
  <c r="M434" i="15"/>
  <c r="N117" i="84"/>
  <c r="N490" i="15" s="1"/>
  <c r="M490" i="15"/>
  <c r="N105" i="84"/>
  <c r="N478" i="15" s="1"/>
  <c r="M478" i="15"/>
  <c r="N103" i="84"/>
  <c r="N476" i="15" s="1"/>
  <c r="M476" i="15"/>
  <c r="N107" i="84"/>
  <c r="N480" i="15" s="1"/>
  <c r="M480" i="15"/>
  <c r="N114" i="84"/>
  <c r="N487" i="15" s="1"/>
  <c r="M487" i="15"/>
  <c r="N36" i="84"/>
  <c r="N409" i="15" s="1"/>
  <c r="M409" i="15"/>
  <c r="N127" i="84"/>
  <c r="N500" i="15" s="1"/>
  <c r="M500" i="15"/>
  <c r="N45" i="84"/>
  <c r="N418" i="15" s="1"/>
  <c r="M418" i="15"/>
  <c r="N49" i="84"/>
  <c r="N422" i="15" s="1"/>
  <c r="M422" i="15"/>
  <c r="N72" i="84"/>
  <c r="N445" i="15" s="1"/>
  <c r="M445" i="15"/>
  <c r="N91" i="84"/>
  <c r="N464" i="15" s="1"/>
  <c r="M464" i="15"/>
  <c r="N69" i="84"/>
  <c r="N442" i="15" s="1"/>
  <c r="M442" i="15"/>
  <c r="N82" i="84"/>
  <c r="N455" i="15" s="1"/>
  <c r="M455" i="15"/>
  <c r="N84" i="84"/>
  <c r="N457" i="15" s="1"/>
  <c r="M457" i="15"/>
  <c r="N44" i="84"/>
  <c r="N417" i="15" s="1"/>
  <c r="M417" i="15"/>
  <c r="N128" i="84"/>
  <c r="N501" i="15" s="1"/>
  <c r="M501" i="15"/>
  <c r="N41" i="84"/>
  <c r="N414" i="15" s="1"/>
  <c r="M414" i="15"/>
  <c r="N63" i="84"/>
  <c r="N436" i="15" s="1"/>
  <c r="M436" i="15"/>
  <c r="N70" i="84"/>
  <c r="N443" i="15" s="1"/>
  <c r="M443" i="15"/>
  <c r="N68" i="84"/>
  <c r="N441" i="15" s="1"/>
  <c r="M441" i="15"/>
  <c r="N111" i="84"/>
  <c r="N484" i="15" s="1"/>
  <c r="M484" i="15"/>
  <c r="N102" i="84"/>
  <c r="N475" i="15" s="1"/>
  <c r="M475" i="15"/>
  <c r="N90" i="84"/>
  <c r="N463" i="15" s="1"/>
  <c r="M463" i="15"/>
  <c r="N123" i="84"/>
  <c r="N496" i="15" s="1"/>
  <c r="M496" i="15"/>
  <c r="N89" i="84"/>
  <c r="N462" i="15" s="1"/>
  <c r="M462" i="15"/>
  <c r="N99" i="84"/>
  <c r="N472" i="15" s="1"/>
  <c r="M472" i="15"/>
  <c r="N86" i="84"/>
  <c r="N459" i="15" s="1"/>
  <c r="M459" i="15"/>
  <c r="N87" i="84"/>
  <c r="N460" i="15" s="1"/>
  <c r="M460" i="15"/>
  <c r="N96" i="84"/>
  <c r="N469" i="15" s="1"/>
  <c r="M469" i="15"/>
  <c r="N73" i="84"/>
  <c r="N446" i="15" s="1"/>
  <c r="M446" i="15"/>
  <c r="N119" i="84"/>
  <c r="N492" i="15" s="1"/>
  <c r="M492" i="15"/>
  <c r="N98" i="84"/>
  <c r="N471" i="15" s="1"/>
  <c r="M471" i="15"/>
  <c r="N85" i="84"/>
  <c r="N458" i="15" s="1"/>
  <c r="M458" i="15"/>
  <c r="N122" i="84"/>
  <c r="N495" i="15" s="1"/>
  <c r="M495" i="15"/>
  <c r="N110" i="84"/>
  <c r="N483" i="15" s="1"/>
  <c r="M483" i="15"/>
  <c r="N88" i="84"/>
  <c r="N461" i="15" s="1"/>
  <c r="M461" i="15"/>
  <c r="M120" i="85"/>
  <c r="C7" i="40" s="1"/>
  <c r="M122" i="85"/>
  <c r="Q120" i="85"/>
  <c r="F7" i="40" s="1"/>
  <c r="K139" i="85"/>
  <c r="N122" i="85" l="1"/>
  <c r="N120" i="85"/>
  <c r="D7" i="40" s="1"/>
  <c r="L34" i="84"/>
  <c r="O33" i="84"/>
  <c r="O406" i="15" s="1"/>
  <c r="L33" i="84"/>
  <c r="L406" i="15" s="1"/>
  <c r="O392" i="15"/>
  <c r="L19" i="84"/>
  <c r="L392" i="15" s="1"/>
  <c r="O18" i="84"/>
  <c r="O391" i="15" s="1"/>
  <c r="L18" i="84"/>
  <c r="O17" i="84"/>
  <c r="O390" i="15" s="1"/>
  <c r="L17" i="84"/>
  <c r="L390" i="15" s="1"/>
  <c r="L16" i="84"/>
  <c r="L15" i="84"/>
  <c r="O14" i="84"/>
  <c r="O387" i="15" s="1"/>
  <c r="L14" i="84"/>
  <c r="O13" i="84"/>
  <c r="O386" i="15" s="1"/>
  <c r="K13" i="84"/>
  <c r="L12" i="84"/>
  <c r="L11" i="84"/>
  <c r="L10" i="84"/>
  <c r="L9" i="84"/>
  <c r="O381" i="15"/>
  <c r="L8" i="84"/>
  <c r="O7" i="84"/>
  <c r="O380" i="15" s="1"/>
  <c r="L7" i="84"/>
  <c r="L380" i="15" s="1"/>
  <c r="L6" i="84"/>
  <c r="O5" i="84"/>
  <c r="O378" i="15" s="1"/>
  <c r="L5" i="84"/>
  <c r="L378" i="15" s="1"/>
  <c r="L4" i="84"/>
  <c r="L377" i="15" s="1"/>
  <c r="Q6" i="84" l="1"/>
  <c r="Q379" i="15" s="1"/>
  <c r="L379" i="15"/>
  <c r="Q12" i="84"/>
  <c r="Q385" i="15" s="1"/>
  <c r="L385" i="15"/>
  <c r="Q9" i="84"/>
  <c r="Q382" i="15" s="1"/>
  <c r="L382" i="15"/>
  <c r="L13" i="84"/>
  <c r="L386" i="15" s="1"/>
  <c r="K386" i="15"/>
  <c r="Q15" i="84"/>
  <c r="Q388" i="15" s="1"/>
  <c r="L388" i="15"/>
  <c r="M18" i="84"/>
  <c r="L391" i="15"/>
  <c r="Q10" i="84"/>
  <c r="Q383" i="15" s="1"/>
  <c r="L383" i="15"/>
  <c r="Q16" i="84"/>
  <c r="Q389" i="15" s="1"/>
  <c r="L389" i="15"/>
  <c r="M8" i="84"/>
  <c r="M381" i="15" s="1"/>
  <c r="L381" i="15"/>
  <c r="Q11" i="84"/>
  <c r="Q384" i="15" s="1"/>
  <c r="L384" i="15"/>
  <c r="M14" i="84"/>
  <c r="L387" i="15"/>
  <c r="Q34" i="84"/>
  <c r="Q407" i="15" s="1"/>
  <c r="L407" i="15"/>
  <c r="O144" i="84"/>
  <c r="Q33" i="84"/>
  <c r="Q406" i="15" s="1"/>
  <c r="M33" i="84"/>
  <c r="M34" i="84"/>
  <c r="Q19" i="84"/>
  <c r="Q392" i="15" s="1"/>
  <c r="M19" i="84"/>
  <c r="Q7" i="84"/>
  <c r="Q380" i="15" s="1"/>
  <c r="M7" i="84"/>
  <c r="Q17" i="84"/>
  <c r="Q390" i="15" s="1"/>
  <c r="Q5" i="84"/>
  <c r="Q378" i="15" s="1"/>
  <c r="M17" i="84"/>
  <c r="Q18" i="84"/>
  <c r="Q391" i="15" s="1"/>
  <c r="M5" i="84"/>
  <c r="M6" i="84"/>
  <c r="Q14" i="84"/>
  <c r="Q387" i="15" s="1"/>
  <c r="M15" i="84"/>
  <c r="M388" i="15" s="1"/>
  <c r="M16" i="84"/>
  <c r="M4" i="84"/>
  <c r="M9" i="84"/>
  <c r="M10" i="84"/>
  <c r="M11" i="84"/>
  <c r="M12" i="84"/>
  <c r="Q8" i="84"/>
  <c r="Q381" i="15" s="1"/>
  <c r="Q4" i="84"/>
  <c r="Q377" i="15" s="1"/>
  <c r="M13" i="84" l="1"/>
  <c r="M386" i="15" s="1"/>
  <c r="N15" i="84"/>
  <c r="N388" i="15" s="1"/>
  <c r="N8" i="84"/>
  <c r="N381" i="15" s="1"/>
  <c r="Q13" i="84"/>
  <c r="Q386" i="15" s="1"/>
  <c r="N12" i="84"/>
  <c r="N385" i="15" s="1"/>
  <c r="M385" i="15"/>
  <c r="N5" i="84"/>
  <c r="N378" i="15" s="1"/>
  <c r="M378" i="15"/>
  <c r="N11" i="84"/>
  <c r="N384" i="15" s="1"/>
  <c r="M384" i="15"/>
  <c r="N4" i="84"/>
  <c r="N377" i="15" s="1"/>
  <c r="M377" i="15"/>
  <c r="N13" i="84"/>
  <c r="N386" i="15" s="1"/>
  <c r="N7" i="84"/>
  <c r="N380" i="15" s="1"/>
  <c r="M380" i="15"/>
  <c r="N34" i="84"/>
  <c r="N407" i="15" s="1"/>
  <c r="M407" i="15"/>
  <c r="N10" i="84"/>
  <c r="N383" i="15" s="1"/>
  <c r="M383" i="15"/>
  <c r="N17" i="84"/>
  <c r="N390" i="15" s="1"/>
  <c r="M390" i="15"/>
  <c r="N33" i="84"/>
  <c r="N406" i="15" s="1"/>
  <c r="M406" i="15"/>
  <c r="N18" i="84"/>
  <c r="N391" i="15" s="1"/>
  <c r="M391" i="15"/>
  <c r="N16" i="84"/>
  <c r="N389" i="15" s="1"/>
  <c r="M389" i="15"/>
  <c r="N9" i="84"/>
  <c r="N382" i="15" s="1"/>
  <c r="M382" i="15"/>
  <c r="N6" i="84"/>
  <c r="N379" i="15" s="1"/>
  <c r="M379" i="15"/>
  <c r="N19" i="84"/>
  <c r="N392" i="15" s="1"/>
  <c r="M392" i="15"/>
  <c r="N14" i="84"/>
  <c r="N387" i="15" s="1"/>
  <c r="M387" i="15"/>
  <c r="O126" i="79"/>
  <c r="O68" i="79" l="1"/>
  <c r="O34" i="79"/>
  <c r="L59" i="80" l="1"/>
  <c r="L311" i="15" s="1"/>
  <c r="M59" i="80" l="1"/>
  <c r="M311" i="15" s="1"/>
  <c r="N59" i="80" l="1"/>
  <c r="N311" i="15" s="1"/>
  <c r="O100" i="80" l="1"/>
  <c r="O352" i="15" s="1"/>
  <c r="O116" i="79"/>
  <c r="O57" i="80"/>
  <c r="O309" i="15" s="1"/>
  <c r="O61" i="79"/>
  <c r="O68" i="75"/>
  <c r="O3" i="80"/>
  <c r="O255" i="15" s="1"/>
  <c r="O4" i="79"/>
  <c r="O46" i="80"/>
  <c r="O298" i="15" s="1"/>
  <c r="O50" i="79"/>
  <c r="O57" i="75"/>
  <c r="O340" i="15"/>
  <c r="O72" i="80"/>
  <c r="O324" i="15" s="1"/>
  <c r="O89" i="79"/>
  <c r="O78" i="75"/>
  <c r="O348" i="15" l="1"/>
  <c r="L123" i="80" l="1"/>
  <c r="L44" i="80"/>
  <c r="L296" i="15" s="1"/>
  <c r="L45" i="80"/>
  <c r="L297" i="15" s="1"/>
  <c r="M123" i="80" l="1"/>
  <c r="M375" i="15" s="1"/>
  <c r="L375" i="15"/>
  <c r="M45" i="80"/>
  <c r="M297" i="15" s="1"/>
  <c r="M44" i="80"/>
  <c r="M296" i="15" s="1"/>
  <c r="Q123" i="80"/>
  <c r="Q375" i="15" s="1"/>
  <c r="Q44" i="80"/>
  <c r="Q296" i="15" s="1"/>
  <c r="Q45" i="80"/>
  <c r="Q297" i="15" s="1"/>
  <c r="N123" i="80" l="1"/>
  <c r="N375" i="15" s="1"/>
  <c r="N45" i="80"/>
  <c r="N297" i="15" s="1"/>
  <c r="N44" i="80"/>
  <c r="N296" i="15" s="1"/>
  <c r="O39" i="80"/>
  <c r="O291" i="15" s="1"/>
  <c r="M39" i="80"/>
  <c r="M291" i="15" s="1"/>
  <c r="L41" i="80"/>
  <c r="L293" i="15" s="1"/>
  <c r="L42" i="80"/>
  <c r="L294" i="15" s="1"/>
  <c r="Q39" i="80" l="1"/>
  <c r="Q291" i="15" s="1"/>
  <c r="M42" i="80"/>
  <c r="M294" i="15" s="1"/>
  <c r="M119" i="80"/>
  <c r="M371" i="15" s="1"/>
  <c r="M41" i="80"/>
  <c r="M293" i="15" s="1"/>
  <c r="Q41" i="80"/>
  <c r="Q293" i="15" s="1"/>
  <c r="Q42" i="80"/>
  <c r="Q294" i="15" s="1"/>
  <c r="Q119" i="80"/>
  <c r="Q371" i="15" s="1"/>
  <c r="N39" i="80"/>
  <c r="N291" i="15" s="1"/>
  <c r="Q40" i="80"/>
  <c r="N119" i="80" l="1"/>
  <c r="N371" i="15" s="1"/>
  <c r="N41" i="80"/>
  <c r="N293" i="15" s="1"/>
  <c r="N42" i="80"/>
  <c r="N294" i="15" s="1"/>
  <c r="R283" i="15"/>
  <c r="O35" i="75" l="1"/>
  <c r="L37" i="80" l="1"/>
  <c r="L289" i="15" s="1"/>
  <c r="M37" i="80" l="1"/>
  <c r="M289" i="15" s="1"/>
  <c r="Q37" i="80"/>
  <c r="Q289" i="15" s="1"/>
  <c r="N37" i="80" l="1"/>
  <c r="N289" i="15" s="1"/>
  <c r="O285" i="15"/>
  <c r="O123" i="75" l="1"/>
  <c r="D128" i="80" l="1"/>
  <c r="E5" i="40" s="1"/>
  <c r="O109" i="80"/>
  <c r="O361" i="15" s="1"/>
  <c r="O108" i="80" l="1"/>
  <c r="O360" i="15" s="1"/>
  <c r="L108" i="80"/>
  <c r="L360" i="15" s="1"/>
  <c r="L107" i="80"/>
  <c r="L359" i="15" s="1"/>
  <c r="O358" i="15"/>
  <c r="L106" i="80"/>
  <c r="L358" i="15" s="1"/>
  <c r="O80" i="80"/>
  <c r="O332" i="15" s="1"/>
  <c r="O357" i="15"/>
  <c r="O58" i="80"/>
  <c r="O310" i="15" s="1"/>
  <c r="L58" i="80"/>
  <c r="L310" i="15" s="1"/>
  <c r="M106" i="80" l="1"/>
  <c r="M358" i="15" s="1"/>
  <c r="Q108" i="80"/>
  <c r="Q360" i="15" s="1"/>
  <c r="M108" i="80"/>
  <c r="M360" i="15" s="1"/>
  <c r="Q106" i="80"/>
  <c r="Q358" i="15" s="1"/>
  <c r="Q107" i="80"/>
  <c r="Q359" i="15" s="1"/>
  <c r="M107" i="80"/>
  <c r="M359" i="15" s="1"/>
  <c r="Q58" i="80"/>
  <c r="Q310" i="15" s="1"/>
  <c r="M58" i="80"/>
  <c r="M310" i="15" s="1"/>
  <c r="N108" i="80" l="1"/>
  <c r="N360" i="15" s="1"/>
  <c r="N107" i="80"/>
  <c r="N359" i="15" s="1"/>
  <c r="N58" i="80"/>
  <c r="N310" i="15" s="1"/>
  <c r="N106" i="80"/>
  <c r="N358" i="15" s="1"/>
  <c r="L80" i="80"/>
  <c r="L332" i="15" s="1"/>
  <c r="L105" i="80"/>
  <c r="L357" i="15" s="1"/>
  <c r="O104" i="80"/>
  <c r="O356" i="15" s="1"/>
  <c r="L104" i="80"/>
  <c r="L356" i="15" s="1"/>
  <c r="L103" i="80"/>
  <c r="L355" i="15" s="1"/>
  <c r="L102" i="80"/>
  <c r="L354" i="15" s="1"/>
  <c r="L101" i="80"/>
  <c r="L353" i="15" s="1"/>
  <c r="L100" i="80"/>
  <c r="L352" i="15" s="1"/>
  <c r="L99" i="80"/>
  <c r="L351" i="15" s="1"/>
  <c r="L98" i="80"/>
  <c r="L350" i="15" s="1"/>
  <c r="L97" i="80"/>
  <c r="L349" i="15" s="1"/>
  <c r="L96" i="80"/>
  <c r="L348" i="15" s="1"/>
  <c r="O347" i="15"/>
  <c r="L95" i="80"/>
  <c r="L347" i="15" s="1"/>
  <c r="O346" i="15"/>
  <c r="L94" i="80"/>
  <c r="L346" i="15" s="1"/>
  <c r="O345" i="15"/>
  <c r="L93" i="80"/>
  <c r="L345" i="15" s="1"/>
  <c r="O92" i="80"/>
  <c r="O344" i="15" s="1"/>
  <c r="L92" i="80"/>
  <c r="L344" i="15" s="1"/>
  <c r="L91" i="80"/>
  <c r="L343" i="15" s="1"/>
  <c r="L90" i="80"/>
  <c r="L342" i="15" s="1"/>
  <c r="L89" i="80"/>
  <c r="L341" i="15" s="1"/>
  <c r="L88" i="80"/>
  <c r="L340" i="15" s="1"/>
  <c r="O87" i="80"/>
  <c r="O339" i="15" s="1"/>
  <c r="L87" i="80"/>
  <c r="L339" i="15" s="1"/>
  <c r="L86" i="80"/>
  <c r="L338" i="15" s="1"/>
  <c r="O85" i="80"/>
  <c r="O337" i="15" s="1"/>
  <c r="L85" i="80"/>
  <c r="L337" i="15" s="1"/>
  <c r="L84" i="80"/>
  <c r="L336" i="15" s="1"/>
  <c r="L83" i="80"/>
  <c r="L335" i="15" s="1"/>
  <c r="O82" i="80"/>
  <c r="O334" i="15" s="1"/>
  <c r="L82" i="80"/>
  <c r="L334" i="15" s="1"/>
  <c r="L81" i="80"/>
  <c r="L333" i="15" s="1"/>
  <c r="L79" i="80"/>
  <c r="L331" i="15" s="1"/>
  <c r="L78" i="80"/>
  <c r="L330" i="15" s="1"/>
  <c r="O77" i="80"/>
  <c r="O329" i="15" s="1"/>
  <c r="L77" i="80"/>
  <c r="L329" i="15" s="1"/>
  <c r="L76" i="80"/>
  <c r="L328" i="15" s="1"/>
  <c r="L75" i="80"/>
  <c r="L327" i="15" s="1"/>
  <c r="L74" i="80"/>
  <c r="L326" i="15" s="1"/>
  <c r="L73" i="80"/>
  <c r="L325" i="15" s="1"/>
  <c r="L72" i="80"/>
  <c r="L324" i="15" s="1"/>
  <c r="O71" i="80"/>
  <c r="O323" i="15" s="1"/>
  <c r="L71" i="80"/>
  <c r="L323" i="15" s="1"/>
  <c r="O70" i="80"/>
  <c r="O322" i="15" s="1"/>
  <c r="L70" i="80"/>
  <c r="L322" i="15" s="1"/>
  <c r="L69" i="80"/>
  <c r="L321" i="15" s="1"/>
  <c r="L68" i="80"/>
  <c r="L320" i="15" s="1"/>
  <c r="L67" i="80"/>
  <c r="L319" i="15" s="1"/>
  <c r="L66" i="80"/>
  <c r="L318" i="15" s="1"/>
  <c r="L65" i="80"/>
  <c r="L317" i="15" s="1"/>
  <c r="L64" i="80"/>
  <c r="L316" i="15" s="1"/>
  <c r="L63" i="80"/>
  <c r="L315" i="15" s="1"/>
  <c r="L57" i="80"/>
  <c r="L309" i="15" s="1"/>
  <c r="O308" i="15"/>
  <c r="L56" i="80"/>
  <c r="L308" i="15" s="1"/>
  <c r="O55" i="80"/>
  <c r="O307" i="15" s="1"/>
  <c r="L55" i="80"/>
  <c r="L307" i="15" s="1"/>
  <c r="L54" i="80"/>
  <c r="L306" i="15" s="1"/>
  <c r="O305" i="15"/>
  <c r="L53" i="80"/>
  <c r="L305" i="15" s="1"/>
  <c r="O304" i="15"/>
  <c r="L52" i="80"/>
  <c r="L304" i="15" s="1"/>
  <c r="L51" i="80"/>
  <c r="L303" i="15" s="1"/>
  <c r="O50" i="80"/>
  <c r="O302" i="15" s="1"/>
  <c r="L50" i="80"/>
  <c r="L302" i="15" s="1"/>
  <c r="O47" i="80"/>
  <c r="O299" i="15" s="1"/>
  <c r="M47" i="80"/>
  <c r="M299" i="15" s="1"/>
  <c r="L46" i="80"/>
  <c r="L298" i="15" s="1"/>
  <c r="L62" i="80"/>
  <c r="L314" i="15" s="1"/>
  <c r="L38" i="80"/>
  <c r="L290" i="15" s="1"/>
  <c r="O36" i="80"/>
  <c r="O288" i="15" s="1"/>
  <c r="L36" i="80"/>
  <c r="L288" i="15" s="1"/>
  <c r="L35" i="80"/>
  <c r="L287" i="15" s="1"/>
  <c r="L34" i="80"/>
  <c r="L286" i="15" s="1"/>
  <c r="L28" i="80"/>
  <c r="L280" i="15" s="1"/>
  <c r="O27" i="80"/>
  <c r="O279" i="15" s="1"/>
  <c r="L27" i="80"/>
  <c r="L279" i="15" s="1"/>
  <c r="L26" i="80"/>
  <c r="L278" i="15" s="1"/>
  <c r="L24" i="80"/>
  <c r="L276" i="15" s="1"/>
  <c r="L115" i="80"/>
  <c r="L367" i="15" s="1"/>
  <c r="L30" i="80"/>
  <c r="L282" i="15" s="1"/>
  <c r="Q47" i="80" l="1"/>
  <c r="Q299" i="15" s="1"/>
  <c r="Q28" i="80"/>
  <c r="Q280" i="15" s="1"/>
  <c r="M50" i="80"/>
  <c r="M302" i="15" s="1"/>
  <c r="M57" i="80"/>
  <c r="M309" i="15" s="1"/>
  <c r="M66" i="80"/>
  <c r="M318" i="15" s="1"/>
  <c r="Q72" i="80"/>
  <c r="Q324" i="15" s="1"/>
  <c r="Q76" i="80"/>
  <c r="Q328" i="15" s="1"/>
  <c r="Q79" i="80"/>
  <c r="Q331" i="15" s="1"/>
  <c r="Q83" i="80"/>
  <c r="Q335" i="15" s="1"/>
  <c r="Q86" i="80"/>
  <c r="Q338" i="15" s="1"/>
  <c r="Q89" i="80"/>
  <c r="Q341" i="15" s="1"/>
  <c r="Q97" i="80"/>
  <c r="Q349" i="15" s="1"/>
  <c r="M26" i="80"/>
  <c r="M278" i="15" s="1"/>
  <c r="M63" i="80"/>
  <c r="M315" i="15" s="1"/>
  <c r="Q73" i="80"/>
  <c r="Q325" i="15" s="1"/>
  <c r="Q81" i="80"/>
  <c r="Q333" i="15" s="1"/>
  <c r="M93" i="80"/>
  <c r="M345" i="15" s="1"/>
  <c r="M95" i="80"/>
  <c r="M347" i="15" s="1"/>
  <c r="Q101" i="80"/>
  <c r="Q353" i="15" s="1"/>
  <c r="Q24" i="80"/>
  <c r="Q276" i="15" s="1"/>
  <c r="Q34" i="80"/>
  <c r="Q286" i="15" s="1"/>
  <c r="M38" i="80"/>
  <c r="M290" i="15" s="1"/>
  <c r="M67" i="80"/>
  <c r="M319" i="15" s="1"/>
  <c r="M77" i="80"/>
  <c r="M329" i="15" s="1"/>
  <c r="Q84" i="80"/>
  <c r="Q336" i="15" s="1"/>
  <c r="Q90" i="80"/>
  <c r="Q342" i="15" s="1"/>
  <c r="Q35" i="80"/>
  <c r="Q287" i="15" s="1"/>
  <c r="N47" i="80"/>
  <c r="N299" i="15" s="1"/>
  <c r="Q51" i="80"/>
  <c r="Q303" i="15" s="1"/>
  <c r="M56" i="80"/>
  <c r="M308" i="15" s="1"/>
  <c r="M64" i="80"/>
  <c r="M316" i="15" s="1"/>
  <c r="M68" i="80"/>
  <c r="M320" i="15" s="1"/>
  <c r="M71" i="80"/>
  <c r="M323" i="15" s="1"/>
  <c r="M74" i="80"/>
  <c r="M326" i="15" s="1"/>
  <c r="M85" i="80"/>
  <c r="M337" i="15" s="1"/>
  <c r="Q91" i="80"/>
  <c r="Q343" i="15" s="1"/>
  <c r="Q102" i="80"/>
  <c r="Q354" i="15" s="1"/>
  <c r="M105" i="80"/>
  <c r="M357" i="15" s="1"/>
  <c r="Q54" i="80"/>
  <c r="Q306" i="15" s="1"/>
  <c r="M65" i="80"/>
  <c r="M317" i="15" s="1"/>
  <c r="M69" i="80"/>
  <c r="M321" i="15" s="1"/>
  <c r="Q75" i="80"/>
  <c r="Q327" i="15" s="1"/>
  <c r="Q78" i="80"/>
  <c r="Q330" i="15" s="1"/>
  <c r="M88" i="80"/>
  <c r="M340" i="15" s="1"/>
  <c r="M92" i="80"/>
  <c r="M344" i="15" s="1"/>
  <c r="Q96" i="80"/>
  <c r="Q348" i="15" s="1"/>
  <c r="Q99" i="80"/>
  <c r="Q351" i="15" s="1"/>
  <c r="Q103" i="80"/>
  <c r="Q355" i="15" s="1"/>
  <c r="M80" i="80"/>
  <c r="M332" i="15" s="1"/>
  <c r="Q98" i="80"/>
  <c r="Q350" i="15" s="1"/>
  <c r="M30" i="80"/>
  <c r="M282" i="15" s="1"/>
  <c r="Q30" i="80"/>
  <c r="Q282" i="15" s="1"/>
  <c r="M115" i="80"/>
  <c r="M367" i="15" s="1"/>
  <c r="Q115" i="80"/>
  <c r="Q367" i="15" s="1"/>
  <c r="Q52" i="80"/>
  <c r="Q304" i="15" s="1"/>
  <c r="Q74" i="80"/>
  <c r="Q326" i="15" s="1"/>
  <c r="Q70" i="80"/>
  <c r="Q322" i="15" s="1"/>
  <c r="Q69" i="80"/>
  <c r="Q321" i="15" s="1"/>
  <c r="M90" i="80"/>
  <c r="M342" i="15" s="1"/>
  <c r="M73" i="80"/>
  <c r="M325" i="15" s="1"/>
  <c r="Q82" i="80"/>
  <c r="Q334" i="15" s="1"/>
  <c r="Q63" i="80"/>
  <c r="Q315" i="15" s="1"/>
  <c r="Q65" i="80"/>
  <c r="Q317" i="15" s="1"/>
  <c r="Q67" i="80"/>
  <c r="Q319" i="15" s="1"/>
  <c r="M72" i="80"/>
  <c r="M324" i="15" s="1"/>
  <c r="M76" i="80"/>
  <c r="M328" i="15" s="1"/>
  <c r="M96" i="80"/>
  <c r="M348" i="15" s="1"/>
  <c r="M70" i="80"/>
  <c r="M322" i="15" s="1"/>
  <c r="M75" i="80"/>
  <c r="M327" i="15" s="1"/>
  <c r="M89" i="80"/>
  <c r="M341" i="15" s="1"/>
  <c r="M91" i="80"/>
  <c r="M343" i="15" s="1"/>
  <c r="M98" i="80"/>
  <c r="M350" i="15" s="1"/>
  <c r="Q64" i="80"/>
  <c r="Q316" i="15" s="1"/>
  <c r="Q66" i="80"/>
  <c r="Q318" i="15" s="1"/>
  <c r="Q68" i="80"/>
  <c r="Q320" i="15" s="1"/>
  <c r="Q77" i="80"/>
  <c r="Q329" i="15" s="1"/>
  <c r="Q92" i="80"/>
  <c r="Q344" i="15" s="1"/>
  <c r="M97" i="80"/>
  <c r="M349" i="15" s="1"/>
  <c r="Q80" i="80"/>
  <c r="Q332" i="15" s="1"/>
  <c r="Q110" i="80"/>
  <c r="Q362" i="15" s="1"/>
  <c r="M110" i="80"/>
  <c r="M362" i="15" s="1"/>
  <c r="Q85" i="80"/>
  <c r="Q337" i="15" s="1"/>
  <c r="Q93" i="80"/>
  <c r="Q345" i="15" s="1"/>
  <c r="Q100" i="80"/>
  <c r="Q352" i="15" s="1"/>
  <c r="M52" i="80"/>
  <c r="M304" i="15" s="1"/>
  <c r="M78" i="80"/>
  <c r="M330" i="15" s="1"/>
  <c r="N82" i="80"/>
  <c r="N334" i="15" s="1"/>
  <c r="M84" i="80"/>
  <c r="M336" i="15" s="1"/>
  <c r="M100" i="80"/>
  <c r="M352" i="15" s="1"/>
  <c r="Q104" i="80"/>
  <c r="Q356" i="15" s="1"/>
  <c r="M51" i="80"/>
  <c r="M303" i="15" s="1"/>
  <c r="Q71" i="80"/>
  <c r="Q323" i="15" s="1"/>
  <c r="M86" i="80"/>
  <c r="M338" i="15" s="1"/>
  <c r="M87" i="80"/>
  <c r="M339" i="15" s="1"/>
  <c r="Q88" i="80"/>
  <c r="Q340" i="15" s="1"/>
  <c r="M94" i="80"/>
  <c r="M346" i="15" s="1"/>
  <c r="Q95" i="80"/>
  <c r="Q347" i="15" s="1"/>
  <c r="M101" i="80"/>
  <c r="M353" i="15" s="1"/>
  <c r="M102" i="80"/>
  <c r="M354" i="15" s="1"/>
  <c r="M103" i="80"/>
  <c r="M355" i="15" s="1"/>
  <c r="M104" i="80"/>
  <c r="M356" i="15" s="1"/>
  <c r="Q105" i="80"/>
  <c r="Q357" i="15" s="1"/>
  <c r="M79" i="80"/>
  <c r="M331" i="15" s="1"/>
  <c r="M81" i="80"/>
  <c r="M333" i="15" s="1"/>
  <c r="M83" i="80"/>
  <c r="M335" i="15" s="1"/>
  <c r="Q87" i="80"/>
  <c r="Q339" i="15" s="1"/>
  <c r="Q94" i="80"/>
  <c r="Q346" i="15" s="1"/>
  <c r="M99" i="80"/>
  <c r="M351" i="15" s="1"/>
  <c r="Q57" i="80"/>
  <c r="Q309" i="15" s="1"/>
  <c r="U309" i="15" s="1"/>
  <c r="Q53" i="80"/>
  <c r="Q305" i="15" s="1"/>
  <c r="Q46" i="80"/>
  <c r="Q298" i="15" s="1"/>
  <c r="M53" i="80"/>
  <c r="M305" i="15" s="1"/>
  <c r="Q55" i="80"/>
  <c r="Q307" i="15" s="1"/>
  <c r="Q26" i="80"/>
  <c r="Q278" i="15" s="1"/>
  <c r="Q62" i="80"/>
  <c r="Q314" i="15" s="1"/>
  <c r="M46" i="80"/>
  <c r="M298" i="15" s="1"/>
  <c r="Q50" i="80"/>
  <c r="Q302" i="15" s="1"/>
  <c r="M54" i="80"/>
  <c r="M306" i="15" s="1"/>
  <c r="M55" i="80"/>
  <c r="M307" i="15" s="1"/>
  <c r="Q56" i="80"/>
  <c r="Q308" i="15" s="1"/>
  <c r="Q27" i="80"/>
  <c r="Q279" i="15" s="1"/>
  <c r="M62" i="80"/>
  <c r="M314" i="15" s="1"/>
  <c r="Q36" i="80"/>
  <c r="Q288" i="15" s="1"/>
  <c r="M27" i="80"/>
  <c r="M279" i="15" s="1"/>
  <c r="M34" i="80"/>
  <c r="M286" i="15" s="1"/>
  <c r="M35" i="80"/>
  <c r="M287" i="15" s="1"/>
  <c r="M36" i="80"/>
  <c r="M288" i="15" s="1"/>
  <c r="Q38" i="80"/>
  <c r="Q290" i="15" s="1"/>
  <c r="M28" i="80"/>
  <c r="M280" i="15" s="1"/>
  <c r="M24" i="80"/>
  <c r="M276" i="15" s="1"/>
  <c r="N93" i="80" l="1"/>
  <c r="N345" i="15" s="1"/>
  <c r="N35" i="80"/>
  <c r="N287" i="15" s="1"/>
  <c r="N54" i="80"/>
  <c r="N306" i="15" s="1"/>
  <c r="N53" i="80"/>
  <c r="N305" i="15" s="1"/>
  <c r="N81" i="80"/>
  <c r="N333" i="15" s="1"/>
  <c r="N94" i="80"/>
  <c r="N346" i="15" s="1"/>
  <c r="N97" i="80"/>
  <c r="N349" i="15" s="1"/>
  <c r="N76" i="80"/>
  <c r="N328" i="15" s="1"/>
  <c r="N36" i="80"/>
  <c r="N288" i="15" s="1"/>
  <c r="N55" i="80"/>
  <c r="N307" i="15" s="1"/>
  <c r="N79" i="80"/>
  <c r="N331" i="15" s="1"/>
  <c r="N102" i="80"/>
  <c r="N354" i="15" s="1"/>
  <c r="N85" i="80"/>
  <c r="N337" i="15" s="1"/>
  <c r="N100" i="80"/>
  <c r="N352" i="15" s="1"/>
  <c r="N52" i="80"/>
  <c r="N304" i="15" s="1"/>
  <c r="N110" i="80"/>
  <c r="N362" i="15" s="1"/>
  <c r="N75" i="80"/>
  <c r="N327" i="15" s="1"/>
  <c r="N72" i="80"/>
  <c r="N324" i="15" s="1"/>
  <c r="N115" i="80"/>
  <c r="N367" i="15" s="1"/>
  <c r="N84" i="80"/>
  <c r="N336" i="15" s="1"/>
  <c r="N98" i="80"/>
  <c r="N350" i="15" s="1"/>
  <c r="N73" i="80"/>
  <c r="N325" i="15" s="1"/>
  <c r="N80" i="80"/>
  <c r="N332" i="15" s="1"/>
  <c r="N92" i="80"/>
  <c r="N344" i="15" s="1"/>
  <c r="N69" i="80"/>
  <c r="N321" i="15" s="1"/>
  <c r="N71" i="80"/>
  <c r="N323" i="15" s="1"/>
  <c r="N64" i="80"/>
  <c r="N316" i="15" s="1"/>
  <c r="N67" i="80"/>
  <c r="N319" i="15" s="1"/>
  <c r="N26" i="80"/>
  <c r="N278" i="15" s="1"/>
  <c r="N66" i="80"/>
  <c r="N318" i="15" s="1"/>
  <c r="N50" i="80"/>
  <c r="N302" i="15" s="1"/>
  <c r="N62" i="80"/>
  <c r="N314" i="15" s="1"/>
  <c r="N28" i="80"/>
  <c r="N280" i="15" s="1"/>
  <c r="N34" i="80"/>
  <c r="N286" i="15" s="1"/>
  <c r="N83" i="80"/>
  <c r="N335" i="15" s="1"/>
  <c r="N104" i="80"/>
  <c r="N356" i="15" s="1"/>
  <c r="N87" i="80"/>
  <c r="N339" i="15" s="1"/>
  <c r="N51" i="80"/>
  <c r="N303" i="15" s="1"/>
  <c r="N91" i="80"/>
  <c r="N343" i="15" s="1"/>
  <c r="N96" i="80"/>
  <c r="N348" i="15" s="1"/>
  <c r="N90" i="80"/>
  <c r="N342" i="15" s="1"/>
  <c r="N30" i="80"/>
  <c r="N282" i="15" s="1"/>
  <c r="N24" i="80"/>
  <c r="N276" i="15" s="1"/>
  <c r="N101" i="80"/>
  <c r="N353" i="15" s="1"/>
  <c r="N70" i="80"/>
  <c r="N322" i="15" s="1"/>
  <c r="N27" i="80"/>
  <c r="N279" i="15" s="1"/>
  <c r="N46" i="80"/>
  <c r="N298" i="15" s="1"/>
  <c r="N99" i="80"/>
  <c r="N351" i="15" s="1"/>
  <c r="N103" i="80"/>
  <c r="N355" i="15" s="1"/>
  <c r="N86" i="80"/>
  <c r="N338" i="15" s="1"/>
  <c r="N78" i="80"/>
  <c r="N330" i="15" s="1"/>
  <c r="N89" i="80"/>
  <c r="N341" i="15" s="1"/>
  <c r="N88" i="80"/>
  <c r="N340" i="15" s="1"/>
  <c r="N65" i="80"/>
  <c r="N317" i="15" s="1"/>
  <c r="N105" i="80"/>
  <c r="N357" i="15" s="1"/>
  <c r="N74" i="80"/>
  <c r="N326" i="15" s="1"/>
  <c r="N68" i="80"/>
  <c r="N320" i="15" s="1"/>
  <c r="N56" i="80"/>
  <c r="N308" i="15" s="1"/>
  <c r="N77" i="80"/>
  <c r="N329" i="15" s="1"/>
  <c r="N38" i="80"/>
  <c r="N290" i="15" s="1"/>
  <c r="N95" i="80"/>
  <c r="N347" i="15" s="1"/>
  <c r="N63" i="80"/>
  <c r="N315" i="15" s="1"/>
  <c r="N57" i="80"/>
  <c r="N309" i="15" s="1"/>
  <c r="L61" i="80"/>
  <c r="L313" i="15" s="1"/>
  <c r="L122" i="80"/>
  <c r="L374" i="15" s="1"/>
  <c r="L22" i="80"/>
  <c r="L274" i="15" s="1"/>
  <c r="M61" i="80" l="1"/>
  <c r="M313" i="15" s="1"/>
  <c r="M22" i="80"/>
  <c r="M274" i="15" s="1"/>
  <c r="M122" i="80"/>
  <c r="N122" i="80" l="1"/>
  <c r="N374" i="15" s="1"/>
  <c r="M374" i="15"/>
  <c r="N61" i="80"/>
  <c r="N313" i="15" s="1"/>
  <c r="N22" i="80"/>
  <c r="N274" i="15" s="1"/>
  <c r="Q22" i="80"/>
  <c r="Q274" i="15" s="1"/>
  <c r="O88" i="79" l="1"/>
  <c r="O120" i="79" l="1"/>
  <c r="O124" i="75"/>
  <c r="O77" i="75"/>
  <c r="B254" i="15" l="1"/>
  <c r="D254" i="15"/>
  <c r="E254" i="15"/>
  <c r="G254" i="15"/>
  <c r="H254" i="15"/>
  <c r="I254" i="15"/>
  <c r="J254" i="15"/>
  <c r="K254" i="15"/>
  <c r="O254" i="15"/>
  <c r="P254" i="15"/>
  <c r="R254" i="15"/>
  <c r="S254" i="15"/>
  <c r="B126" i="15" l="1"/>
  <c r="D126" i="15"/>
  <c r="E126" i="15"/>
  <c r="F126" i="15"/>
  <c r="G126" i="15"/>
  <c r="H126" i="15"/>
  <c r="I126" i="15"/>
  <c r="J126" i="15"/>
  <c r="K126" i="15"/>
  <c r="O126" i="15"/>
  <c r="P126" i="15"/>
  <c r="R126" i="15"/>
  <c r="S126" i="15"/>
  <c r="B127" i="15"/>
  <c r="D127" i="15"/>
  <c r="E127" i="15"/>
  <c r="F127" i="15"/>
  <c r="G127" i="15"/>
  <c r="H127" i="15"/>
  <c r="I127" i="15"/>
  <c r="J127" i="15"/>
  <c r="K127" i="15"/>
  <c r="P127" i="15"/>
  <c r="R127" i="15"/>
  <c r="S127" i="15"/>
  <c r="B128" i="15"/>
  <c r="D128" i="15"/>
  <c r="E128" i="15"/>
  <c r="F128" i="15"/>
  <c r="G128" i="15"/>
  <c r="H128" i="15"/>
  <c r="I128" i="15"/>
  <c r="J128" i="15"/>
  <c r="K128" i="15"/>
  <c r="P128" i="15"/>
  <c r="R128" i="15"/>
  <c r="S128" i="15"/>
  <c r="B129" i="15"/>
  <c r="D129" i="15"/>
  <c r="E129" i="15"/>
  <c r="G129" i="15"/>
  <c r="H129" i="15"/>
  <c r="I129" i="15"/>
  <c r="J129" i="15"/>
  <c r="K129" i="15"/>
  <c r="O129" i="15"/>
  <c r="P129" i="15"/>
  <c r="R129" i="15"/>
  <c r="S129" i="15"/>
  <c r="B130" i="15"/>
  <c r="D130" i="15"/>
  <c r="E130" i="15"/>
  <c r="G130" i="15"/>
  <c r="H130" i="15"/>
  <c r="I130" i="15"/>
  <c r="J130" i="15"/>
  <c r="K130" i="15"/>
  <c r="P130" i="15"/>
  <c r="R130" i="15"/>
  <c r="S130" i="15"/>
  <c r="B131" i="15"/>
  <c r="C131" i="15"/>
  <c r="D131" i="15"/>
  <c r="E131" i="15"/>
  <c r="G131" i="15"/>
  <c r="H131" i="15"/>
  <c r="I131" i="15"/>
  <c r="J131" i="15"/>
  <c r="K131" i="15"/>
  <c r="P131" i="15"/>
  <c r="R131" i="15"/>
  <c r="S131" i="15"/>
  <c r="B132" i="15"/>
  <c r="C132" i="15"/>
  <c r="D132" i="15"/>
  <c r="E132" i="15"/>
  <c r="G132" i="15"/>
  <c r="H132" i="15"/>
  <c r="I132" i="15"/>
  <c r="J132" i="15"/>
  <c r="K132" i="15"/>
  <c r="O132" i="15"/>
  <c r="P132" i="15"/>
  <c r="R132" i="15"/>
  <c r="S132" i="15"/>
  <c r="B133" i="15"/>
  <c r="D133" i="15"/>
  <c r="E133" i="15"/>
  <c r="F133" i="15"/>
  <c r="G133" i="15"/>
  <c r="H133" i="15"/>
  <c r="I133" i="15"/>
  <c r="J133" i="15"/>
  <c r="K133" i="15"/>
  <c r="O133" i="15"/>
  <c r="P133" i="15"/>
  <c r="R133" i="15"/>
  <c r="S133" i="15"/>
  <c r="B134" i="15"/>
  <c r="D134" i="15"/>
  <c r="E134" i="15"/>
  <c r="F134" i="15"/>
  <c r="G134" i="15"/>
  <c r="H134" i="15"/>
  <c r="I134" i="15"/>
  <c r="J134" i="15"/>
  <c r="K134" i="15"/>
  <c r="O134" i="15"/>
  <c r="P134" i="15"/>
  <c r="R134" i="15"/>
  <c r="S134" i="15"/>
  <c r="B135" i="15"/>
  <c r="D135" i="15"/>
  <c r="E135" i="15"/>
  <c r="F135" i="15"/>
  <c r="G135" i="15"/>
  <c r="H135" i="15"/>
  <c r="I135" i="15"/>
  <c r="J135" i="15"/>
  <c r="K135" i="15"/>
  <c r="O135" i="15"/>
  <c r="P135" i="15"/>
  <c r="R135" i="15"/>
  <c r="S135" i="15"/>
  <c r="B136" i="15"/>
  <c r="D136" i="15"/>
  <c r="E136" i="15"/>
  <c r="F136" i="15"/>
  <c r="G136" i="15"/>
  <c r="H136" i="15"/>
  <c r="I136" i="15"/>
  <c r="J136" i="15"/>
  <c r="P136" i="15"/>
  <c r="R136" i="15"/>
  <c r="S136" i="15"/>
  <c r="B137" i="15"/>
  <c r="D137" i="15"/>
  <c r="E137" i="15"/>
  <c r="F137" i="15"/>
  <c r="G137" i="15"/>
  <c r="H137" i="15"/>
  <c r="I137" i="15"/>
  <c r="J137" i="15"/>
  <c r="K137" i="15"/>
  <c r="P137" i="15"/>
  <c r="R137" i="15"/>
  <c r="S137" i="15"/>
  <c r="B138" i="15"/>
  <c r="D138" i="15"/>
  <c r="E138" i="15"/>
  <c r="F138" i="15"/>
  <c r="G138" i="15"/>
  <c r="H138" i="15"/>
  <c r="I138" i="15"/>
  <c r="J138" i="15"/>
  <c r="K138" i="15"/>
  <c r="O138" i="15"/>
  <c r="P138" i="15"/>
  <c r="R138" i="15"/>
  <c r="S138" i="15"/>
  <c r="B139" i="15"/>
  <c r="D139" i="15"/>
  <c r="E139" i="15"/>
  <c r="F139" i="15"/>
  <c r="G139" i="15"/>
  <c r="H139" i="15"/>
  <c r="I139" i="15"/>
  <c r="J139" i="15"/>
  <c r="K139" i="15"/>
  <c r="O139" i="15"/>
  <c r="P139" i="15"/>
  <c r="R139" i="15"/>
  <c r="S139" i="15"/>
  <c r="B140" i="15"/>
  <c r="D140" i="15"/>
  <c r="E140" i="15"/>
  <c r="F140" i="15"/>
  <c r="G140" i="15"/>
  <c r="H140" i="15"/>
  <c r="I140" i="15"/>
  <c r="J140" i="15"/>
  <c r="K140" i="15"/>
  <c r="O140" i="15"/>
  <c r="P140" i="15"/>
  <c r="R140" i="15"/>
  <c r="S140" i="15"/>
  <c r="B141" i="15"/>
  <c r="D141" i="15"/>
  <c r="E141" i="15"/>
  <c r="G141" i="15"/>
  <c r="H141" i="15"/>
  <c r="I141" i="15"/>
  <c r="J141" i="15"/>
  <c r="K141" i="15"/>
  <c r="P141" i="15"/>
  <c r="R141" i="15"/>
  <c r="S141" i="15"/>
  <c r="B142" i="15"/>
  <c r="D142" i="15"/>
  <c r="E142" i="15"/>
  <c r="G142" i="15"/>
  <c r="H142" i="15"/>
  <c r="I142" i="15"/>
  <c r="J142" i="15"/>
  <c r="K142" i="15"/>
  <c r="O142" i="15"/>
  <c r="P142" i="15"/>
  <c r="R142" i="15"/>
  <c r="S142" i="15"/>
  <c r="B143" i="15"/>
  <c r="D143" i="15"/>
  <c r="E143" i="15"/>
  <c r="F143" i="15"/>
  <c r="G143" i="15"/>
  <c r="H143" i="15"/>
  <c r="I143" i="15"/>
  <c r="J143" i="15"/>
  <c r="K143" i="15"/>
  <c r="O143" i="15"/>
  <c r="P143" i="15"/>
  <c r="R143" i="15"/>
  <c r="S143" i="15"/>
  <c r="B144" i="15"/>
  <c r="C144" i="15"/>
  <c r="D144" i="15"/>
  <c r="E144" i="15"/>
  <c r="F144" i="15"/>
  <c r="G144" i="15"/>
  <c r="H144" i="15"/>
  <c r="I144" i="15"/>
  <c r="J144" i="15"/>
  <c r="K144" i="15"/>
  <c r="O144" i="15"/>
  <c r="P144" i="15"/>
  <c r="R144" i="15"/>
  <c r="S144" i="15"/>
  <c r="B145" i="15"/>
  <c r="D145" i="15"/>
  <c r="E145" i="15"/>
  <c r="F145" i="15"/>
  <c r="G145" i="15"/>
  <c r="H145" i="15"/>
  <c r="I145" i="15"/>
  <c r="J145" i="15"/>
  <c r="K145" i="15"/>
  <c r="M145" i="15"/>
  <c r="O145" i="15"/>
  <c r="P145" i="15"/>
  <c r="R145" i="15"/>
  <c r="S145" i="15"/>
  <c r="B146" i="15"/>
  <c r="D146" i="15"/>
  <c r="E146" i="15"/>
  <c r="F146" i="15"/>
  <c r="G146" i="15"/>
  <c r="H146" i="15"/>
  <c r="I146" i="15"/>
  <c r="J146" i="15"/>
  <c r="K146" i="15"/>
  <c r="O146" i="15"/>
  <c r="P146" i="15"/>
  <c r="R146" i="15"/>
  <c r="S146" i="15"/>
  <c r="B147" i="15"/>
  <c r="D147" i="15"/>
  <c r="E147" i="15"/>
  <c r="F147" i="15"/>
  <c r="G147" i="15"/>
  <c r="H147" i="15"/>
  <c r="I147" i="15"/>
  <c r="J147" i="15"/>
  <c r="K147" i="15"/>
  <c r="O147" i="15"/>
  <c r="P147" i="15"/>
  <c r="R147" i="15"/>
  <c r="S147" i="15"/>
  <c r="B148" i="15"/>
  <c r="D148" i="15"/>
  <c r="E148" i="15"/>
  <c r="G148" i="15"/>
  <c r="H148" i="15"/>
  <c r="I148" i="15"/>
  <c r="J148" i="15"/>
  <c r="K148" i="15"/>
  <c r="L148" i="15"/>
  <c r="O148" i="15"/>
  <c r="P148" i="15"/>
  <c r="R148" i="15"/>
  <c r="S148" i="15"/>
  <c r="E149" i="15"/>
  <c r="G149" i="15"/>
  <c r="H149" i="15"/>
  <c r="I149" i="15"/>
  <c r="J149" i="15"/>
  <c r="K149" i="15"/>
  <c r="E150" i="15"/>
  <c r="G150" i="15"/>
  <c r="H150" i="15"/>
  <c r="I150" i="15"/>
  <c r="J150" i="15"/>
  <c r="K150" i="15"/>
  <c r="E151" i="15"/>
  <c r="G151" i="15"/>
  <c r="H151" i="15"/>
  <c r="I151" i="15"/>
  <c r="J151" i="15"/>
  <c r="K151" i="15"/>
  <c r="B152" i="15"/>
  <c r="D152" i="15"/>
  <c r="E152" i="15"/>
  <c r="G152" i="15"/>
  <c r="H152" i="15"/>
  <c r="I152" i="15"/>
  <c r="J152" i="15"/>
  <c r="K152" i="15"/>
  <c r="O152" i="15"/>
  <c r="P152" i="15"/>
  <c r="R152" i="15"/>
  <c r="S152" i="15"/>
  <c r="B153" i="15"/>
  <c r="C153" i="15"/>
  <c r="D153" i="15"/>
  <c r="E153" i="15"/>
  <c r="F153" i="15"/>
  <c r="G153" i="15"/>
  <c r="H153" i="15"/>
  <c r="I153" i="15"/>
  <c r="J153" i="15"/>
  <c r="K153" i="15"/>
  <c r="P153" i="15"/>
  <c r="R153" i="15"/>
  <c r="S153" i="15"/>
  <c r="B154" i="15"/>
  <c r="D154" i="15"/>
  <c r="E154" i="15"/>
  <c r="F154" i="15"/>
  <c r="G154" i="15"/>
  <c r="H154" i="15"/>
  <c r="I154" i="15"/>
  <c r="J154" i="15"/>
  <c r="K154" i="15"/>
  <c r="O154" i="15"/>
  <c r="P154" i="15"/>
  <c r="R154" i="15"/>
  <c r="S154" i="15"/>
  <c r="B155" i="15"/>
  <c r="D155" i="15"/>
  <c r="E155" i="15"/>
  <c r="F155" i="15"/>
  <c r="G155" i="15"/>
  <c r="H155" i="15"/>
  <c r="I155" i="15"/>
  <c r="J155" i="15"/>
  <c r="K155" i="15"/>
  <c r="O155" i="15"/>
  <c r="P155" i="15"/>
  <c r="R155" i="15"/>
  <c r="S155" i="15"/>
  <c r="B156" i="15"/>
  <c r="D156" i="15"/>
  <c r="E156" i="15"/>
  <c r="G156" i="15"/>
  <c r="H156" i="15"/>
  <c r="I156" i="15"/>
  <c r="J156" i="15"/>
  <c r="K156" i="15"/>
  <c r="P156" i="15"/>
  <c r="R156" i="15"/>
  <c r="S156" i="15"/>
  <c r="B157" i="15"/>
  <c r="D157" i="15"/>
  <c r="E157" i="15"/>
  <c r="G157" i="15"/>
  <c r="H157" i="15"/>
  <c r="I157" i="15"/>
  <c r="J157" i="15"/>
  <c r="K157" i="15"/>
  <c r="O157" i="15"/>
  <c r="P157" i="15"/>
  <c r="R157" i="15"/>
  <c r="S157" i="15"/>
  <c r="B158" i="15"/>
  <c r="D158" i="15"/>
  <c r="E158" i="15"/>
  <c r="F158" i="15"/>
  <c r="G158" i="15"/>
  <c r="H158" i="15"/>
  <c r="I158" i="15"/>
  <c r="J158" i="15"/>
  <c r="K158" i="15"/>
  <c r="O158" i="15"/>
  <c r="P158" i="15"/>
  <c r="R158" i="15"/>
  <c r="S158" i="15"/>
  <c r="B159" i="15"/>
  <c r="D159" i="15"/>
  <c r="E159" i="15"/>
  <c r="F159" i="15"/>
  <c r="G159" i="15"/>
  <c r="H159" i="15"/>
  <c r="I159" i="15"/>
  <c r="J159" i="15"/>
  <c r="K159" i="15"/>
  <c r="O159" i="15"/>
  <c r="P159" i="15"/>
  <c r="R159" i="15"/>
  <c r="S159" i="15"/>
  <c r="B160" i="15"/>
  <c r="C160" i="15"/>
  <c r="D160" i="15"/>
  <c r="E160" i="15"/>
  <c r="F160" i="15"/>
  <c r="G160" i="15"/>
  <c r="H160" i="15"/>
  <c r="I160" i="15"/>
  <c r="J160" i="15"/>
  <c r="K160" i="15"/>
  <c r="P160" i="15"/>
  <c r="R160" i="15"/>
  <c r="S160" i="15"/>
  <c r="B161" i="15"/>
  <c r="C161" i="15"/>
  <c r="D161" i="15"/>
  <c r="E161" i="15"/>
  <c r="F161" i="15"/>
  <c r="G161" i="15"/>
  <c r="H161" i="15"/>
  <c r="I161" i="15"/>
  <c r="J161" i="15"/>
  <c r="K161" i="15"/>
  <c r="O161" i="15"/>
  <c r="P161" i="15"/>
  <c r="R161" i="15"/>
  <c r="S161" i="15"/>
  <c r="B162" i="15"/>
  <c r="D162" i="15"/>
  <c r="E162" i="15"/>
  <c r="G162" i="15"/>
  <c r="H162" i="15"/>
  <c r="I162" i="15"/>
  <c r="J162" i="15"/>
  <c r="K162" i="15"/>
  <c r="O162" i="15"/>
  <c r="P162" i="15"/>
  <c r="R162" i="15"/>
  <c r="S162" i="15"/>
  <c r="B163" i="15"/>
  <c r="D163" i="15"/>
  <c r="E163" i="15"/>
  <c r="F163" i="15"/>
  <c r="G163" i="15"/>
  <c r="H163" i="15"/>
  <c r="I163" i="15"/>
  <c r="J163" i="15"/>
  <c r="K163" i="15"/>
  <c r="O163" i="15"/>
  <c r="P163" i="15"/>
  <c r="R163" i="15"/>
  <c r="S163" i="15"/>
  <c r="B164" i="15"/>
  <c r="D164" i="15"/>
  <c r="E164" i="15"/>
  <c r="F164" i="15"/>
  <c r="G164" i="15"/>
  <c r="H164" i="15"/>
  <c r="I164" i="15"/>
  <c r="J164" i="15"/>
  <c r="K164" i="15"/>
  <c r="O164" i="15"/>
  <c r="P164" i="15"/>
  <c r="R164" i="15"/>
  <c r="S164" i="15"/>
  <c r="B165" i="15"/>
  <c r="D165" i="15"/>
  <c r="E165" i="15"/>
  <c r="F165" i="15"/>
  <c r="G165" i="15"/>
  <c r="H165" i="15"/>
  <c r="I165" i="15"/>
  <c r="J165" i="15"/>
  <c r="K165" i="15"/>
  <c r="O165" i="15"/>
  <c r="P165" i="15"/>
  <c r="R165" i="15"/>
  <c r="S165" i="15"/>
  <c r="B166" i="15"/>
  <c r="D166" i="15"/>
  <c r="E166" i="15"/>
  <c r="G166" i="15"/>
  <c r="H166" i="15"/>
  <c r="I166" i="15"/>
  <c r="J166" i="15"/>
  <c r="K166" i="15"/>
  <c r="P166" i="15"/>
  <c r="R166" i="15"/>
  <c r="S166" i="15"/>
  <c r="B167" i="15"/>
  <c r="D167" i="15"/>
  <c r="E167" i="15"/>
  <c r="G167" i="15"/>
  <c r="H167" i="15"/>
  <c r="I167" i="15"/>
  <c r="J167" i="15"/>
  <c r="K167" i="15"/>
  <c r="P167" i="15"/>
  <c r="R167" i="15"/>
  <c r="S167" i="15"/>
  <c r="B168" i="15"/>
  <c r="D168" i="15"/>
  <c r="E168" i="15"/>
  <c r="G168" i="15"/>
  <c r="H168" i="15"/>
  <c r="I168" i="15"/>
  <c r="J168" i="15"/>
  <c r="K168" i="15"/>
  <c r="P168" i="15"/>
  <c r="R168" i="15"/>
  <c r="S168" i="15"/>
  <c r="B169" i="15"/>
  <c r="C169" i="15"/>
  <c r="D169" i="15"/>
  <c r="E169" i="15"/>
  <c r="F169" i="15"/>
  <c r="G169" i="15"/>
  <c r="H169" i="15"/>
  <c r="I169" i="15"/>
  <c r="J169" i="15"/>
  <c r="K169" i="15"/>
  <c r="O169" i="15"/>
  <c r="P169" i="15"/>
  <c r="R169" i="15"/>
  <c r="S169" i="15"/>
  <c r="B170" i="15"/>
  <c r="C170" i="15"/>
  <c r="D170" i="15"/>
  <c r="E170" i="15"/>
  <c r="F170" i="15"/>
  <c r="G170" i="15"/>
  <c r="H170" i="15"/>
  <c r="I170" i="15"/>
  <c r="J170" i="15"/>
  <c r="K170" i="15"/>
  <c r="O170" i="15"/>
  <c r="P170" i="15"/>
  <c r="R170" i="15"/>
  <c r="S170" i="15"/>
  <c r="B171" i="15"/>
  <c r="D171" i="15"/>
  <c r="E171" i="15"/>
  <c r="G171" i="15"/>
  <c r="H171" i="15"/>
  <c r="I171" i="15"/>
  <c r="J171" i="15"/>
  <c r="K171" i="15"/>
  <c r="O171" i="15"/>
  <c r="P171" i="15"/>
  <c r="R171" i="15"/>
  <c r="S171" i="15"/>
  <c r="B172" i="15"/>
  <c r="D172" i="15"/>
  <c r="E172" i="15"/>
  <c r="G172" i="15"/>
  <c r="H172" i="15"/>
  <c r="I172" i="15"/>
  <c r="J172" i="15"/>
  <c r="K172" i="15"/>
  <c r="O172" i="15"/>
  <c r="P172" i="15"/>
  <c r="R172" i="15"/>
  <c r="S172" i="15"/>
  <c r="B173" i="15"/>
  <c r="D173" i="15"/>
  <c r="E173" i="15"/>
  <c r="G173" i="15"/>
  <c r="H173" i="15"/>
  <c r="I173" i="15"/>
  <c r="J173" i="15"/>
  <c r="K173" i="15"/>
  <c r="P173" i="15"/>
  <c r="R173" i="15"/>
  <c r="S173" i="15"/>
  <c r="B174" i="15"/>
  <c r="D174" i="15"/>
  <c r="E174" i="15"/>
  <c r="F174" i="15"/>
  <c r="G174" i="15"/>
  <c r="H174" i="15"/>
  <c r="I174" i="15"/>
  <c r="J174" i="15"/>
  <c r="K174" i="15"/>
  <c r="P174" i="15"/>
  <c r="R174" i="15"/>
  <c r="S174" i="15"/>
  <c r="B175" i="15"/>
  <c r="D175" i="15"/>
  <c r="E175" i="15"/>
  <c r="G175" i="15"/>
  <c r="H175" i="15"/>
  <c r="I175" i="15"/>
  <c r="J175" i="15"/>
  <c r="K175" i="15"/>
  <c r="L175" i="15"/>
  <c r="P175" i="15"/>
  <c r="R175" i="15"/>
  <c r="S175" i="15"/>
  <c r="B176" i="15"/>
  <c r="E176" i="15"/>
  <c r="G176" i="15"/>
  <c r="H176" i="15"/>
  <c r="I176" i="15"/>
  <c r="J176" i="15"/>
  <c r="K176" i="15"/>
  <c r="B177" i="15"/>
  <c r="E177" i="15"/>
  <c r="G177" i="15"/>
  <c r="H177" i="15"/>
  <c r="I177" i="15"/>
  <c r="J177" i="15"/>
  <c r="K177" i="15"/>
  <c r="P177" i="15"/>
  <c r="B178" i="15"/>
  <c r="C178" i="15"/>
  <c r="D178" i="15"/>
  <c r="E178" i="15"/>
  <c r="F178" i="15"/>
  <c r="G178" i="15"/>
  <c r="H178" i="15"/>
  <c r="I178" i="15"/>
  <c r="J178" i="15"/>
  <c r="K178" i="15"/>
  <c r="P178" i="15"/>
  <c r="R178" i="15"/>
  <c r="S178" i="15"/>
  <c r="B179" i="15"/>
  <c r="D179" i="15"/>
  <c r="E179" i="15"/>
  <c r="F179" i="15"/>
  <c r="G179" i="15"/>
  <c r="H179" i="15"/>
  <c r="I179" i="15"/>
  <c r="J179" i="15"/>
  <c r="K179" i="15"/>
  <c r="O179" i="15"/>
  <c r="P179" i="15"/>
  <c r="R179" i="15"/>
  <c r="S179" i="15"/>
  <c r="B180" i="15"/>
  <c r="D180" i="15"/>
  <c r="E180" i="15"/>
  <c r="F180" i="15"/>
  <c r="G180" i="15"/>
  <c r="H180" i="15"/>
  <c r="I180" i="15"/>
  <c r="J180" i="15"/>
  <c r="K180" i="15"/>
  <c r="P180" i="15"/>
  <c r="R180" i="15"/>
  <c r="S180" i="15"/>
  <c r="B181" i="15"/>
  <c r="D181" i="15"/>
  <c r="E181" i="15"/>
  <c r="F181" i="15"/>
  <c r="G181" i="15"/>
  <c r="H181" i="15"/>
  <c r="I181" i="15"/>
  <c r="J181" i="15"/>
  <c r="K181" i="15"/>
  <c r="P181" i="15"/>
  <c r="R181" i="15"/>
  <c r="S181" i="15"/>
  <c r="B182" i="15"/>
  <c r="D182" i="15"/>
  <c r="E182" i="15"/>
  <c r="G182" i="15"/>
  <c r="H182" i="15"/>
  <c r="I182" i="15"/>
  <c r="J182" i="15"/>
  <c r="K182" i="15"/>
  <c r="O182" i="15"/>
  <c r="P182" i="15"/>
  <c r="R182" i="15"/>
  <c r="S182" i="15"/>
  <c r="B183" i="15"/>
  <c r="D183" i="15"/>
  <c r="E183" i="15"/>
  <c r="G183" i="15"/>
  <c r="H183" i="15"/>
  <c r="I183" i="15"/>
  <c r="J183" i="15"/>
  <c r="K183" i="15"/>
  <c r="P183" i="15"/>
  <c r="R183" i="15"/>
  <c r="S183" i="15"/>
  <c r="B184" i="15"/>
  <c r="D184" i="15"/>
  <c r="E184" i="15"/>
  <c r="F184" i="15"/>
  <c r="G184" i="15"/>
  <c r="H184" i="15"/>
  <c r="I184" i="15"/>
  <c r="J184" i="15"/>
  <c r="K184" i="15"/>
  <c r="P184" i="15"/>
  <c r="R184" i="15"/>
  <c r="S184" i="15"/>
  <c r="B185" i="15"/>
  <c r="D185" i="15"/>
  <c r="E185" i="15"/>
  <c r="G185" i="15"/>
  <c r="H185" i="15"/>
  <c r="I185" i="15"/>
  <c r="J185" i="15"/>
  <c r="K185" i="15"/>
  <c r="P185" i="15"/>
  <c r="R185" i="15"/>
  <c r="S185" i="15"/>
  <c r="B186" i="15"/>
  <c r="D186" i="15"/>
  <c r="E186" i="15"/>
  <c r="G186" i="15"/>
  <c r="H186" i="15"/>
  <c r="I186" i="15"/>
  <c r="J186" i="15"/>
  <c r="K186" i="15"/>
  <c r="O186" i="15"/>
  <c r="P186" i="15"/>
  <c r="R186" i="15"/>
  <c r="S186" i="15"/>
  <c r="B187" i="15"/>
  <c r="D187" i="15"/>
  <c r="E187" i="15"/>
  <c r="F187" i="15"/>
  <c r="G187" i="15"/>
  <c r="H187" i="15"/>
  <c r="I187" i="15"/>
  <c r="J187" i="15"/>
  <c r="K187" i="15"/>
  <c r="O187" i="15"/>
  <c r="P187" i="15"/>
  <c r="R187" i="15"/>
  <c r="S187" i="15"/>
  <c r="B188" i="15"/>
  <c r="D188" i="15"/>
  <c r="E188" i="15"/>
  <c r="F188" i="15"/>
  <c r="G188" i="15"/>
  <c r="H188" i="15"/>
  <c r="I188" i="15"/>
  <c r="J188" i="15"/>
  <c r="K188" i="15"/>
  <c r="O188" i="15"/>
  <c r="P188" i="15"/>
  <c r="R188" i="15"/>
  <c r="S188" i="15"/>
  <c r="B189" i="15"/>
  <c r="D189" i="15"/>
  <c r="E189" i="15"/>
  <c r="F189" i="15"/>
  <c r="G189" i="15"/>
  <c r="H189" i="15"/>
  <c r="I189" i="15"/>
  <c r="J189" i="15"/>
  <c r="K189" i="15"/>
  <c r="O189" i="15"/>
  <c r="P189" i="15"/>
  <c r="R189" i="15"/>
  <c r="S189" i="15"/>
  <c r="B190" i="15"/>
  <c r="D190" i="15"/>
  <c r="E190" i="15"/>
  <c r="F190" i="15"/>
  <c r="G190" i="15"/>
  <c r="H190" i="15"/>
  <c r="I190" i="15"/>
  <c r="J190" i="15"/>
  <c r="K190" i="15"/>
  <c r="O190" i="15"/>
  <c r="P190" i="15"/>
  <c r="R190" i="15"/>
  <c r="S190" i="15"/>
  <c r="B191" i="15"/>
  <c r="D191" i="15"/>
  <c r="E191" i="15"/>
  <c r="F191" i="15"/>
  <c r="G191" i="15"/>
  <c r="H191" i="15"/>
  <c r="I191" i="15"/>
  <c r="J191" i="15"/>
  <c r="K191" i="15"/>
  <c r="O191" i="15"/>
  <c r="P191" i="15"/>
  <c r="R191" i="15"/>
  <c r="S191" i="15"/>
  <c r="B192" i="15"/>
  <c r="D192" i="15"/>
  <c r="E192" i="15"/>
  <c r="F192" i="15"/>
  <c r="G192" i="15"/>
  <c r="H192" i="15"/>
  <c r="I192" i="15"/>
  <c r="J192" i="15"/>
  <c r="K192" i="15"/>
  <c r="O192" i="15"/>
  <c r="P192" i="15"/>
  <c r="R192" i="15"/>
  <c r="S192" i="15"/>
  <c r="B193" i="15"/>
  <c r="D193" i="15"/>
  <c r="E193" i="15"/>
  <c r="F193" i="15"/>
  <c r="G193" i="15"/>
  <c r="H193" i="15"/>
  <c r="I193" i="15"/>
  <c r="J193" i="15"/>
  <c r="K193" i="15"/>
  <c r="O193" i="15"/>
  <c r="P193" i="15"/>
  <c r="R193" i="15"/>
  <c r="S193" i="15"/>
  <c r="B194" i="15"/>
  <c r="D194" i="15"/>
  <c r="E194" i="15"/>
  <c r="G194" i="15"/>
  <c r="H194" i="15"/>
  <c r="I194" i="15"/>
  <c r="J194" i="15"/>
  <c r="K194" i="15"/>
  <c r="L194" i="15"/>
  <c r="O194" i="15"/>
  <c r="P194" i="15"/>
  <c r="R194" i="15"/>
  <c r="S194" i="15"/>
  <c r="B195" i="15"/>
  <c r="E195" i="15"/>
  <c r="G195" i="15"/>
  <c r="H195" i="15"/>
  <c r="I195" i="15"/>
  <c r="J195" i="15"/>
  <c r="K195" i="15"/>
  <c r="P195" i="15"/>
  <c r="B196" i="15"/>
  <c r="E196" i="15"/>
  <c r="G196" i="15"/>
  <c r="H196" i="15"/>
  <c r="I196" i="15"/>
  <c r="J196" i="15"/>
  <c r="K196" i="15"/>
  <c r="P196" i="15"/>
  <c r="B197" i="15"/>
  <c r="E197" i="15"/>
  <c r="G197" i="15"/>
  <c r="H197" i="15"/>
  <c r="I197" i="15"/>
  <c r="J197" i="15"/>
  <c r="K197" i="15"/>
  <c r="P197" i="15"/>
  <c r="B198" i="15"/>
  <c r="E198" i="15"/>
  <c r="G198" i="15"/>
  <c r="H198" i="15"/>
  <c r="I198" i="15"/>
  <c r="J198" i="15"/>
  <c r="K198" i="15"/>
  <c r="P198" i="15"/>
  <c r="B199" i="15"/>
  <c r="E199" i="15"/>
  <c r="G199" i="15"/>
  <c r="H199" i="15"/>
  <c r="I199" i="15"/>
  <c r="J199" i="15"/>
  <c r="K199" i="15"/>
  <c r="P199" i="15"/>
  <c r="B200" i="15"/>
  <c r="E200" i="15"/>
  <c r="G200" i="15"/>
  <c r="H200" i="15"/>
  <c r="I200" i="15"/>
  <c r="J200" i="15"/>
  <c r="K200" i="15"/>
  <c r="P200" i="15"/>
  <c r="B201" i="15"/>
  <c r="E201" i="15"/>
  <c r="G201" i="15"/>
  <c r="H201" i="15"/>
  <c r="I201" i="15"/>
  <c r="J201" i="15"/>
  <c r="K201" i="15"/>
  <c r="P201" i="15"/>
  <c r="B202" i="15"/>
  <c r="D202" i="15"/>
  <c r="E202" i="15"/>
  <c r="F202" i="15"/>
  <c r="G202" i="15"/>
  <c r="H202" i="15"/>
  <c r="I202" i="15"/>
  <c r="J202" i="15"/>
  <c r="K202" i="15"/>
  <c r="O202" i="15"/>
  <c r="P202" i="15"/>
  <c r="R202" i="15"/>
  <c r="S202" i="15"/>
  <c r="B203" i="15"/>
  <c r="D203" i="15"/>
  <c r="E203" i="15"/>
  <c r="F203" i="15"/>
  <c r="G203" i="15"/>
  <c r="H203" i="15"/>
  <c r="I203" i="15"/>
  <c r="J203" i="15"/>
  <c r="K203" i="15"/>
  <c r="O203" i="15"/>
  <c r="P203" i="15"/>
  <c r="R203" i="15"/>
  <c r="S203" i="15"/>
  <c r="B204" i="15"/>
  <c r="C204" i="15"/>
  <c r="D204" i="15"/>
  <c r="E204" i="15"/>
  <c r="F204" i="15"/>
  <c r="G204" i="15"/>
  <c r="H204" i="15"/>
  <c r="I204" i="15"/>
  <c r="J204" i="15"/>
  <c r="K204" i="15"/>
  <c r="O204" i="15"/>
  <c r="P204" i="15"/>
  <c r="R204" i="15"/>
  <c r="S204" i="15"/>
  <c r="B205" i="15"/>
  <c r="C205" i="15"/>
  <c r="D205" i="15"/>
  <c r="E205" i="15"/>
  <c r="F205" i="15"/>
  <c r="G205" i="15"/>
  <c r="H205" i="15"/>
  <c r="I205" i="15"/>
  <c r="J205" i="15"/>
  <c r="K205" i="15"/>
  <c r="O205" i="15"/>
  <c r="P205" i="15"/>
  <c r="R205" i="15"/>
  <c r="S205" i="15"/>
  <c r="B206" i="15"/>
  <c r="D206" i="15"/>
  <c r="E206" i="15"/>
  <c r="F206" i="15"/>
  <c r="G206" i="15"/>
  <c r="H206" i="15"/>
  <c r="I206" i="15"/>
  <c r="J206" i="15"/>
  <c r="K206" i="15"/>
  <c r="O206" i="15"/>
  <c r="P206" i="15"/>
  <c r="R206" i="15"/>
  <c r="S206" i="15"/>
  <c r="B207" i="15"/>
  <c r="D207" i="15"/>
  <c r="E207" i="15"/>
  <c r="F207" i="15"/>
  <c r="G207" i="15"/>
  <c r="H207" i="15"/>
  <c r="I207" i="15"/>
  <c r="J207" i="15"/>
  <c r="K207" i="15"/>
  <c r="O207" i="15"/>
  <c r="P207" i="15"/>
  <c r="R207" i="15"/>
  <c r="S207" i="15"/>
  <c r="B208" i="15"/>
  <c r="D208" i="15"/>
  <c r="E208" i="15"/>
  <c r="F208" i="15"/>
  <c r="G208" i="15"/>
  <c r="H208" i="15"/>
  <c r="I208" i="15"/>
  <c r="J208" i="15"/>
  <c r="K208" i="15"/>
  <c r="P208" i="15"/>
  <c r="R208" i="15"/>
  <c r="S208" i="15"/>
  <c r="B209" i="15"/>
  <c r="C209" i="15"/>
  <c r="D209" i="15"/>
  <c r="E209" i="15"/>
  <c r="F209" i="15"/>
  <c r="G209" i="15"/>
  <c r="H209" i="15"/>
  <c r="I209" i="15"/>
  <c r="J209" i="15"/>
  <c r="K209" i="15"/>
  <c r="O209" i="15"/>
  <c r="P209" i="15"/>
  <c r="R209" i="15"/>
  <c r="S209" i="15"/>
  <c r="B210" i="15"/>
  <c r="D210" i="15"/>
  <c r="E210" i="15"/>
  <c r="F210" i="15"/>
  <c r="G210" i="15"/>
  <c r="H210" i="15"/>
  <c r="I210" i="15"/>
  <c r="J210" i="15"/>
  <c r="K210" i="15"/>
  <c r="P210" i="15"/>
  <c r="R210" i="15"/>
  <c r="S210" i="15"/>
  <c r="B211" i="15"/>
  <c r="C211" i="15"/>
  <c r="D211" i="15"/>
  <c r="E211" i="15"/>
  <c r="F211" i="15"/>
  <c r="G211" i="15"/>
  <c r="H211" i="15"/>
  <c r="I211" i="15"/>
  <c r="J211" i="15"/>
  <c r="P211" i="15"/>
  <c r="R211" i="15"/>
  <c r="S211" i="15"/>
  <c r="B212" i="15"/>
  <c r="C212" i="15"/>
  <c r="D212" i="15"/>
  <c r="E212" i="15"/>
  <c r="F212" i="15"/>
  <c r="G212" i="15"/>
  <c r="H212" i="15"/>
  <c r="I212" i="15"/>
  <c r="J212" i="15"/>
  <c r="K212" i="15"/>
  <c r="O212" i="15"/>
  <c r="P212" i="15"/>
  <c r="R212" i="15"/>
  <c r="S212" i="15"/>
  <c r="B213" i="15"/>
  <c r="C213" i="15"/>
  <c r="D213" i="15"/>
  <c r="E213" i="15"/>
  <c r="F213" i="15"/>
  <c r="G213" i="15"/>
  <c r="H213" i="15"/>
  <c r="I213" i="15"/>
  <c r="J213" i="15"/>
  <c r="K213" i="15"/>
  <c r="O213" i="15"/>
  <c r="P213" i="15"/>
  <c r="R213" i="15"/>
  <c r="S213" i="15"/>
  <c r="B214" i="15"/>
  <c r="C214" i="15"/>
  <c r="D214" i="15"/>
  <c r="E214" i="15"/>
  <c r="F214" i="15"/>
  <c r="G214" i="15"/>
  <c r="H214" i="15"/>
  <c r="I214" i="15"/>
  <c r="J214" i="15"/>
  <c r="K214" i="15"/>
  <c r="O214" i="15"/>
  <c r="P214" i="15"/>
  <c r="R214" i="15"/>
  <c r="S214" i="15"/>
  <c r="B215" i="15"/>
  <c r="C215" i="15"/>
  <c r="D215" i="15"/>
  <c r="E215" i="15"/>
  <c r="F215" i="15"/>
  <c r="G215" i="15"/>
  <c r="H215" i="15"/>
  <c r="I215" i="15"/>
  <c r="J215" i="15"/>
  <c r="K215" i="15"/>
  <c r="O215" i="15"/>
  <c r="P215" i="15"/>
  <c r="R215" i="15"/>
  <c r="S215" i="15"/>
  <c r="B216" i="15"/>
  <c r="C216" i="15"/>
  <c r="D216" i="15"/>
  <c r="E216" i="15"/>
  <c r="F216" i="15"/>
  <c r="G216" i="15"/>
  <c r="H216" i="15"/>
  <c r="I216" i="15"/>
  <c r="J216" i="15"/>
  <c r="K216" i="15"/>
  <c r="O216" i="15"/>
  <c r="P216" i="15"/>
  <c r="R216" i="15"/>
  <c r="S216" i="15"/>
  <c r="B217" i="15"/>
  <c r="C217" i="15"/>
  <c r="D217" i="15"/>
  <c r="E217" i="15"/>
  <c r="F217" i="15"/>
  <c r="G217" i="15"/>
  <c r="H217" i="15"/>
  <c r="I217" i="15"/>
  <c r="J217" i="15"/>
  <c r="K217" i="15"/>
  <c r="O217" i="15"/>
  <c r="P217" i="15"/>
  <c r="R217" i="15"/>
  <c r="S217" i="15"/>
  <c r="B218" i="15"/>
  <c r="C218" i="15"/>
  <c r="D218" i="15"/>
  <c r="E218" i="15"/>
  <c r="F218" i="15"/>
  <c r="G218" i="15"/>
  <c r="H218" i="15"/>
  <c r="I218" i="15"/>
  <c r="J218" i="15"/>
  <c r="K218" i="15"/>
  <c r="P218" i="15"/>
  <c r="R218" i="15"/>
  <c r="S218" i="15"/>
  <c r="B219" i="15"/>
  <c r="C219" i="15"/>
  <c r="D219" i="15"/>
  <c r="E219" i="15"/>
  <c r="F219" i="15"/>
  <c r="G219" i="15"/>
  <c r="H219" i="15"/>
  <c r="I219" i="15"/>
  <c r="J219" i="15"/>
  <c r="K219" i="15"/>
  <c r="O219" i="15"/>
  <c r="P219" i="15"/>
  <c r="R219" i="15"/>
  <c r="S219" i="15"/>
  <c r="B220" i="15"/>
  <c r="C220" i="15"/>
  <c r="D220" i="15"/>
  <c r="E220" i="15"/>
  <c r="F220" i="15"/>
  <c r="G220" i="15"/>
  <c r="H220" i="15"/>
  <c r="I220" i="15"/>
  <c r="J220" i="15"/>
  <c r="K220" i="15"/>
  <c r="O220" i="15"/>
  <c r="P220" i="15"/>
  <c r="R220" i="15"/>
  <c r="S220" i="15"/>
  <c r="B221" i="15"/>
  <c r="D221" i="15"/>
  <c r="E221" i="15"/>
  <c r="F221" i="15"/>
  <c r="G221" i="15"/>
  <c r="H221" i="15"/>
  <c r="I221" i="15"/>
  <c r="J221" i="15"/>
  <c r="K221" i="15"/>
  <c r="O221" i="15"/>
  <c r="P221" i="15"/>
  <c r="R221" i="15"/>
  <c r="S221" i="15"/>
  <c r="B222" i="15"/>
  <c r="D222" i="15"/>
  <c r="E222" i="15"/>
  <c r="G222" i="15"/>
  <c r="H222" i="15"/>
  <c r="I222" i="15"/>
  <c r="J222" i="15"/>
  <c r="K222" i="15"/>
  <c r="P222" i="15"/>
  <c r="R222" i="15"/>
  <c r="S222" i="15"/>
  <c r="B223" i="15"/>
  <c r="C223" i="15"/>
  <c r="D223" i="15"/>
  <c r="E223" i="15"/>
  <c r="F223" i="15"/>
  <c r="G223" i="15"/>
  <c r="H223" i="15"/>
  <c r="I223" i="15"/>
  <c r="J223" i="15"/>
  <c r="K223" i="15"/>
  <c r="O223" i="15"/>
  <c r="P223" i="15"/>
  <c r="R223" i="15"/>
  <c r="S223" i="15"/>
  <c r="B224" i="15"/>
  <c r="C224" i="15"/>
  <c r="D224" i="15"/>
  <c r="E224" i="15"/>
  <c r="F224" i="15"/>
  <c r="G224" i="15"/>
  <c r="H224" i="15"/>
  <c r="I224" i="15"/>
  <c r="J224" i="15"/>
  <c r="K224" i="15"/>
  <c r="O224" i="15"/>
  <c r="P224" i="15"/>
  <c r="R224" i="15"/>
  <c r="S224" i="15"/>
  <c r="B225" i="15"/>
  <c r="C225" i="15"/>
  <c r="D225" i="15"/>
  <c r="E225" i="15"/>
  <c r="F225" i="15"/>
  <c r="G225" i="15"/>
  <c r="H225" i="15"/>
  <c r="I225" i="15"/>
  <c r="J225" i="15"/>
  <c r="K225" i="15"/>
  <c r="P225" i="15"/>
  <c r="R225" i="15"/>
  <c r="S225" i="15"/>
  <c r="B226" i="15"/>
  <c r="D226" i="15"/>
  <c r="E226" i="15"/>
  <c r="F226" i="15"/>
  <c r="G226" i="15"/>
  <c r="H226" i="15"/>
  <c r="I226" i="15"/>
  <c r="J226" i="15"/>
  <c r="K226" i="15"/>
  <c r="O226" i="15"/>
  <c r="P226" i="15"/>
  <c r="R226" i="15"/>
  <c r="S226" i="15"/>
  <c r="B227" i="15"/>
  <c r="D227" i="15"/>
  <c r="E227" i="15"/>
  <c r="F227" i="15"/>
  <c r="G227" i="15"/>
  <c r="H227" i="15"/>
  <c r="I227" i="15"/>
  <c r="J227" i="15"/>
  <c r="K227" i="15"/>
  <c r="P227" i="15"/>
  <c r="R227" i="15"/>
  <c r="S227" i="15"/>
  <c r="B228" i="15"/>
  <c r="C228" i="15"/>
  <c r="D228" i="15"/>
  <c r="E228" i="15"/>
  <c r="F228" i="15"/>
  <c r="G228" i="15"/>
  <c r="H228" i="15"/>
  <c r="I228" i="15"/>
  <c r="J228" i="15"/>
  <c r="K228" i="15"/>
  <c r="P228" i="15"/>
  <c r="R228" i="15"/>
  <c r="S228" i="15"/>
  <c r="B229" i="15"/>
  <c r="C229" i="15"/>
  <c r="D229" i="15"/>
  <c r="E229" i="15"/>
  <c r="F229" i="15"/>
  <c r="G229" i="15"/>
  <c r="H229" i="15"/>
  <c r="I229" i="15"/>
  <c r="J229" i="15"/>
  <c r="K229" i="15"/>
  <c r="O229" i="15"/>
  <c r="P229" i="15"/>
  <c r="R229" i="15"/>
  <c r="S229" i="15"/>
  <c r="B230" i="15"/>
  <c r="C230" i="15"/>
  <c r="D230" i="15"/>
  <c r="E230" i="15"/>
  <c r="F230" i="15"/>
  <c r="G230" i="15"/>
  <c r="H230" i="15"/>
  <c r="I230" i="15"/>
  <c r="J230" i="15"/>
  <c r="K230" i="15"/>
  <c r="O230" i="15"/>
  <c r="P230" i="15"/>
  <c r="R230" i="15"/>
  <c r="S230" i="15"/>
  <c r="B231" i="15"/>
  <c r="C231" i="15"/>
  <c r="D231" i="15"/>
  <c r="E231" i="15"/>
  <c r="F231" i="15"/>
  <c r="G231" i="15"/>
  <c r="H231" i="15"/>
  <c r="I231" i="15"/>
  <c r="J231" i="15"/>
  <c r="K231" i="15"/>
  <c r="O231" i="15"/>
  <c r="P231" i="15"/>
  <c r="R231" i="15"/>
  <c r="S231" i="15"/>
  <c r="B232" i="15"/>
  <c r="C232" i="15"/>
  <c r="D232" i="15"/>
  <c r="E232" i="15"/>
  <c r="F232" i="15"/>
  <c r="G232" i="15"/>
  <c r="H232" i="15"/>
  <c r="I232" i="15"/>
  <c r="J232" i="15"/>
  <c r="K232" i="15"/>
  <c r="P232" i="15"/>
  <c r="R232" i="15"/>
  <c r="S232" i="15"/>
  <c r="B233" i="15"/>
  <c r="D233" i="15"/>
  <c r="E233" i="15"/>
  <c r="F233" i="15"/>
  <c r="G233" i="15"/>
  <c r="H233" i="15"/>
  <c r="I233" i="15"/>
  <c r="J233" i="15"/>
  <c r="K233" i="15"/>
  <c r="P233" i="15"/>
  <c r="R233" i="15"/>
  <c r="S233" i="15"/>
  <c r="B234" i="15"/>
  <c r="D234" i="15"/>
  <c r="E234" i="15"/>
  <c r="F234" i="15"/>
  <c r="G234" i="15"/>
  <c r="H234" i="15"/>
  <c r="I234" i="15"/>
  <c r="J234" i="15"/>
  <c r="K234" i="15"/>
  <c r="P234" i="15"/>
  <c r="S234" i="15"/>
  <c r="B235" i="15"/>
  <c r="D235" i="15"/>
  <c r="E235" i="15"/>
  <c r="F235" i="15"/>
  <c r="G235" i="15"/>
  <c r="H235" i="15"/>
  <c r="I235" i="15"/>
  <c r="J235" i="15"/>
  <c r="K235" i="15"/>
  <c r="P235" i="15"/>
  <c r="R235" i="15"/>
  <c r="S235" i="15"/>
  <c r="B236" i="15"/>
  <c r="D236" i="15"/>
  <c r="E236" i="15"/>
  <c r="F236" i="15"/>
  <c r="G236" i="15"/>
  <c r="H236" i="15"/>
  <c r="I236" i="15"/>
  <c r="J236" i="15"/>
  <c r="K236" i="15"/>
  <c r="O236" i="15"/>
  <c r="P236" i="15"/>
  <c r="R236" i="15"/>
  <c r="S236" i="15"/>
  <c r="B237" i="15"/>
  <c r="D237" i="15"/>
  <c r="E237" i="15"/>
  <c r="F237" i="15"/>
  <c r="G237" i="15"/>
  <c r="H237" i="15"/>
  <c r="I237" i="15"/>
  <c r="J237" i="15"/>
  <c r="K237" i="15"/>
  <c r="O237" i="15"/>
  <c r="P237" i="15"/>
  <c r="R237" i="15"/>
  <c r="S237" i="15"/>
  <c r="B238" i="15"/>
  <c r="D238" i="15"/>
  <c r="E238" i="15"/>
  <c r="F238" i="15"/>
  <c r="G238" i="15"/>
  <c r="H238" i="15"/>
  <c r="I238" i="15"/>
  <c r="J238" i="15"/>
  <c r="K238" i="15"/>
  <c r="P238" i="15"/>
  <c r="R238" i="15"/>
  <c r="S238" i="15"/>
  <c r="B239" i="15"/>
  <c r="C239" i="15"/>
  <c r="D239" i="15"/>
  <c r="E239" i="15"/>
  <c r="F239" i="15"/>
  <c r="G239" i="15"/>
  <c r="H239" i="15"/>
  <c r="I239" i="15"/>
  <c r="J239" i="15"/>
  <c r="K239" i="15"/>
  <c r="O239" i="15"/>
  <c r="P239" i="15"/>
  <c r="R239" i="15"/>
  <c r="S239" i="15"/>
  <c r="B240" i="15"/>
  <c r="D240" i="15"/>
  <c r="E240" i="15"/>
  <c r="G240" i="15"/>
  <c r="H240" i="15"/>
  <c r="I240" i="15"/>
  <c r="J240" i="15"/>
  <c r="K240" i="15"/>
  <c r="P240" i="15"/>
  <c r="R240" i="15"/>
  <c r="S240" i="15"/>
  <c r="B241" i="15"/>
  <c r="C241" i="15"/>
  <c r="D241" i="15"/>
  <c r="E241" i="15"/>
  <c r="F241" i="15"/>
  <c r="G241" i="15"/>
  <c r="H241" i="15"/>
  <c r="I241" i="15"/>
  <c r="J241" i="15"/>
  <c r="K241" i="15"/>
  <c r="O241" i="15"/>
  <c r="P241" i="15"/>
  <c r="R241" i="15"/>
  <c r="S241" i="15"/>
  <c r="B242" i="15"/>
  <c r="D242" i="15"/>
  <c r="E242" i="15"/>
  <c r="G242" i="15"/>
  <c r="H242" i="15"/>
  <c r="I242" i="15"/>
  <c r="J242" i="15"/>
  <c r="K242" i="15"/>
  <c r="P242" i="15"/>
  <c r="R242" i="15"/>
  <c r="S242" i="15"/>
  <c r="B243" i="15"/>
  <c r="D243" i="15"/>
  <c r="E243" i="15"/>
  <c r="F243" i="15"/>
  <c r="G243" i="15"/>
  <c r="H243" i="15"/>
  <c r="I243" i="15"/>
  <c r="J243" i="15"/>
  <c r="K243" i="15"/>
  <c r="O243" i="15"/>
  <c r="P243" i="15"/>
  <c r="R243" i="15"/>
  <c r="S243" i="15"/>
  <c r="B244" i="15"/>
  <c r="D244" i="15"/>
  <c r="E244" i="15"/>
  <c r="F244" i="15"/>
  <c r="G244" i="15"/>
  <c r="H244" i="15"/>
  <c r="I244" i="15"/>
  <c r="J244" i="15"/>
  <c r="K244" i="15"/>
  <c r="O244" i="15"/>
  <c r="P244" i="15"/>
  <c r="R244" i="15"/>
  <c r="S244" i="15"/>
  <c r="B245" i="15"/>
  <c r="C245" i="15"/>
  <c r="D245" i="15"/>
  <c r="E245" i="15"/>
  <c r="F245" i="15"/>
  <c r="G245" i="15"/>
  <c r="H245" i="15"/>
  <c r="I245" i="15"/>
  <c r="J245" i="15"/>
  <c r="K245" i="15"/>
  <c r="O245" i="15"/>
  <c r="P245" i="15"/>
  <c r="R245" i="15"/>
  <c r="S245" i="15"/>
  <c r="B246" i="15"/>
  <c r="D246" i="15"/>
  <c r="E246" i="15"/>
  <c r="F246" i="15"/>
  <c r="G246" i="15"/>
  <c r="H246" i="15"/>
  <c r="I246" i="15"/>
  <c r="J246" i="15"/>
  <c r="K246" i="15"/>
  <c r="O246" i="15"/>
  <c r="P246" i="15"/>
  <c r="R246" i="15"/>
  <c r="S246" i="15"/>
  <c r="B247" i="15"/>
  <c r="C247" i="15"/>
  <c r="D247" i="15"/>
  <c r="E247" i="15"/>
  <c r="F247" i="15"/>
  <c r="G247" i="15"/>
  <c r="H247" i="15"/>
  <c r="I247" i="15"/>
  <c r="J247" i="15"/>
  <c r="K247" i="15"/>
  <c r="P247" i="15"/>
  <c r="R247" i="15"/>
  <c r="S247" i="15"/>
  <c r="B248" i="15"/>
  <c r="C248" i="15"/>
  <c r="D248" i="15"/>
  <c r="E248" i="15"/>
  <c r="F248" i="15"/>
  <c r="G248" i="15"/>
  <c r="H248" i="15"/>
  <c r="I248" i="15"/>
  <c r="J248" i="15"/>
  <c r="K248" i="15"/>
  <c r="O248" i="15"/>
  <c r="P248" i="15"/>
  <c r="R248" i="15"/>
  <c r="S248" i="15"/>
  <c r="B249" i="15"/>
  <c r="C249" i="15"/>
  <c r="D249" i="15"/>
  <c r="E249" i="15"/>
  <c r="F249" i="15"/>
  <c r="G249" i="15"/>
  <c r="H249" i="15"/>
  <c r="I249" i="15"/>
  <c r="J249" i="15"/>
  <c r="K249" i="15"/>
  <c r="P249" i="15"/>
  <c r="R249" i="15"/>
  <c r="S249" i="15"/>
  <c r="B250" i="15"/>
  <c r="D250" i="15"/>
  <c r="E250" i="15"/>
  <c r="G250" i="15"/>
  <c r="H250" i="15"/>
  <c r="I250" i="15"/>
  <c r="J250" i="15"/>
  <c r="K250" i="15"/>
  <c r="O250" i="15"/>
  <c r="P250" i="15"/>
  <c r="R250" i="15"/>
  <c r="S250" i="15"/>
  <c r="B251" i="15"/>
  <c r="D251" i="15"/>
  <c r="E251" i="15"/>
  <c r="F251" i="15"/>
  <c r="G251" i="15"/>
  <c r="H251" i="15"/>
  <c r="I251" i="15"/>
  <c r="J251" i="15"/>
  <c r="K251" i="15"/>
  <c r="O251" i="15"/>
  <c r="P251" i="15"/>
  <c r="R251" i="15"/>
  <c r="S251" i="15"/>
  <c r="B252" i="15"/>
  <c r="C252" i="15"/>
  <c r="D252" i="15"/>
  <c r="E252" i="15"/>
  <c r="G252" i="15"/>
  <c r="H252" i="15"/>
  <c r="I252" i="15"/>
  <c r="J252" i="15"/>
  <c r="K252" i="15"/>
  <c r="O252" i="15"/>
  <c r="P252" i="15"/>
  <c r="R252" i="15"/>
  <c r="S252" i="15"/>
  <c r="B253" i="15"/>
  <c r="C253" i="15"/>
  <c r="D253" i="15"/>
  <c r="E253" i="15"/>
  <c r="F253" i="15"/>
  <c r="G253" i="15"/>
  <c r="H253" i="15"/>
  <c r="I253" i="15"/>
  <c r="J253" i="15"/>
  <c r="K253" i="15"/>
  <c r="P253" i="15"/>
  <c r="R253" i="15"/>
  <c r="S253" i="15"/>
  <c r="O94" i="79" l="1"/>
  <c r="O218" i="15" s="1"/>
  <c r="L20" i="80"/>
  <c r="L272" i="15" s="1"/>
  <c r="K158" i="84"/>
  <c r="K157" i="84"/>
  <c r="K153" i="84"/>
  <c r="K152" i="84"/>
  <c r="D144" i="84"/>
  <c r="E6" i="40" s="1"/>
  <c r="L141" i="84"/>
  <c r="L40" i="84"/>
  <c r="L28" i="84"/>
  <c r="Q129" i="84"/>
  <c r="Q502" i="15" s="1"/>
  <c r="L37" i="84"/>
  <c r="Q51" i="84"/>
  <c r="Q424" i="15" s="1"/>
  <c r="L50" i="84"/>
  <c r="L35" i="84"/>
  <c r="L408" i="15" s="1"/>
  <c r="L60" i="84"/>
  <c r="M57" i="84"/>
  <c r="L3" i="84"/>
  <c r="L43" i="84"/>
  <c r="L20" i="84"/>
  <c r="L109" i="80"/>
  <c r="L361" i="15" s="1"/>
  <c r="L112" i="80"/>
  <c r="L364" i="15" s="1"/>
  <c r="L113" i="80"/>
  <c r="L365" i="15" s="1"/>
  <c r="L21" i="80"/>
  <c r="L273" i="15" s="1"/>
  <c r="L18" i="80"/>
  <c r="L270" i="15" s="1"/>
  <c r="O17" i="80"/>
  <c r="O269" i="15" s="1"/>
  <c r="L17" i="80"/>
  <c r="L269" i="15" s="1"/>
  <c r="L16" i="80"/>
  <c r="L268" i="15" s="1"/>
  <c r="L15" i="80"/>
  <c r="L267" i="15" s="1"/>
  <c r="L14" i="80"/>
  <c r="L266" i="15" s="1"/>
  <c r="O13" i="80"/>
  <c r="O265" i="15" s="1"/>
  <c r="L13" i="80"/>
  <c r="L265" i="15" s="1"/>
  <c r="O12" i="80"/>
  <c r="O264" i="15" s="1"/>
  <c r="K12" i="80"/>
  <c r="K264" i="15" s="1"/>
  <c r="L11" i="80"/>
  <c r="L263" i="15" s="1"/>
  <c r="L10" i="80"/>
  <c r="L262" i="15" s="1"/>
  <c r="L9" i="80"/>
  <c r="L261" i="15" s="1"/>
  <c r="L8" i="80"/>
  <c r="L260" i="15" s="1"/>
  <c r="O259" i="15"/>
  <c r="L7" i="80"/>
  <c r="L259" i="15" s="1"/>
  <c r="O6" i="80"/>
  <c r="O258" i="15" s="1"/>
  <c r="L6" i="80"/>
  <c r="L258" i="15" s="1"/>
  <c r="L5" i="80"/>
  <c r="L257" i="15" s="1"/>
  <c r="O4" i="80"/>
  <c r="O256" i="15" s="1"/>
  <c r="L4" i="80"/>
  <c r="L256" i="15" s="1"/>
  <c r="L3" i="80"/>
  <c r="L255" i="15" s="1"/>
  <c r="O253" i="15"/>
  <c r="L129" i="79"/>
  <c r="L253" i="15" s="1"/>
  <c r="N57" i="84" l="1"/>
  <c r="N430" i="15" s="1"/>
  <c r="M430" i="15"/>
  <c r="Q40" i="84"/>
  <c r="Q413" i="15" s="1"/>
  <c r="L413" i="15"/>
  <c r="M20" i="84"/>
  <c r="L393" i="15"/>
  <c r="M60" i="84"/>
  <c r="L433" i="15"/>
  <c r="Q37" i="84"/>
  <c r="Q410" i="15" s="1"/>
  <c r="L410" i="15"/>
  <c r="M43" i="84"/>
  <c r="L416" i="15"/>
  <c r="M3" i="84"/>
  <c r="L376" i="15"/>
  <c r="Q50" i="84"/>
  <c r="Q423" i="15" s="1"/>
  <c r="L423" i="15"/>
  <c r="Q28" i="84"/>
  <c r="Q401" i="15" s="1"/>
  <c r="L401" i="15"/>
  <c r="L12" i="80"/>
  <c r="L264" i="15" s="1"/>
  <c r="M7" i="80"/>
  <c r="M259" i="15" s="1"/>
  <c r="Q10" i="80"/>
  <c r="Q262" i="15" s="1"/>
  <c r="Q16" i="80"/>
  <c r="Q268" i="15" s="1"/>
  <c r="Q21" i="80"/>
  <c r="Q273" i="15" s="1"/>
  <c r="Q5" i="80"/>
  <c r="Q257" i="15" s="1"/>
  <c r="M113" i="80"/>
  <c r="M365" i="15" s="1"/>
  <c r="M6" i="80"/>
  <c r="M258" i="15" s="1"/>
  <c r="Q8" i="80"/>
  <c r="Q260" i="15" s="1"/>
  <c r="Q14" i="80"/>
  <c r="Q266" i="15" s="1"/>
  <c r="M112" i="80"/>
  <c r="M364" i="15" s="1"/>
  <c r="Q20" i="80"/>
  <c r="Q272" i="15" s="1"/>
  <c r="Q11" i="80"/>
  <c r="Q263" i="15" s="1"/>
  <c r="Q9" i="80"/>
  <c r="Q261" i="15" s="1"/>
  <c r="Q15" i="80"/>
  <c r="Q267" i="15" s="1"/>
  <c r="Q18" i="80"/>
  <c r="Q270" i="15" s="1"/>
  <c r="M109" i="80"/>
  <c r="M361" i="15" s="1"/>
  <c r="M20" i="80"/>
  <c r="M272" i="15" s="1"/>
  <c r="Q129" i="79"/>
  <c r="Q253" i="15" s="1"/>
  <c r="Q3" i="84"/>
  <c r="Q376" i="15" s="1"/>
  <c r="Q20" i="84"/>
  <c r="Q393" i="15" s="1"/>
  <c r="Q43" i="84"/>
  <c r="Q416" i="15" s="1"/>
  <c r="Q60" i="84"/>
  <c r="Q433" i="15" s="1"/>
  <c r="M129" i="84"/>
  <c r="K154" i="84"/>
  <c r="L142" i="84"/>
  <c r="B6" i="40" s="1"/>
  <c r="G8" i="40" s="1"/>
  <c r="M51" i="84"/>
  <c r="K156" i="84"/>
  <c r="M132" i="84"/>
  <c r="N132" i="84" s="1"/>
  <c r="Q132" i="84"/>
  <c r="L144" i="84"/>
  <c r="O142" i="84"/>
  <c r="K151" i="84"/>
  <c r="M35" i="84"/>
  <c r="M50" i="84"/>
  <c r="M131" i="84"/>
  <c r="N131" i="84" s="1"/>
  <c r="Q131" i="84"/>
  <c r="M141" i="84"/>
  <c r="N141" i="84" s="1"/>
  <c r="Q141" i="84"/>
  <c r="M37" i="84"/>
  <c r="M40" i="84"/>
  <c r="K155" i="84"/>
  <c r="M28" i="84"/>
  <c r="Q112" i="80"/>
  <c r="Q364" i="15" s="1"/>
  <c r="Q17" i="80"/>
  <c r="Q269" i="15" s="1"/>
  <c r="Q113" i="80"/>
  <c r="Q365" i="15" s="1"/>
  <c r="Q109" i="80"/>
  <c r="Q361" i="15" s="1"/>
  <c r="M16" i="80"/>
  <c r="M268" i="15" s="1"/>
  <c r="M17" i="80"/>
  <c r="M269" i="15" s="1"/>
  <c r="M21" i="80"/>
  <c r="M273" i="15" s="1"/>
  <c r="Q4" i="80"/>
  <c r="Q256" i="15" s="1"/>
  <c r="M18" i="80"/>
  <c r="M270" i="15" s="1"/>
  <c r="M4" i="80"/>
  <c r="M256" i="15" s="1"/>
  <c r="M5" i="80"/>
  <c r="M257" i="15" s="1"/>
  <c r="Q13" i="80"/>
  <c r="Q265" i="15" s="1"/>
  <c r="Q6" i="80"/>
  <c r="Q258" i="15" s="1"/>
  <c r="M13" i="80"/>
  <c r="M265" i="15" s="1"/>
  <c r="Q7" i="80"/>
  <c r="Q259" i="15" s="1"/>
  <c r="Q3" i="80"/>
  <c r="Q255" i="15" s="1"/>
  <c r="M14" i="80"/>
  <c r="M266" i="15" s="1"/>
  <c r="M15" i="80"/>
  <c r="M267" i="15" s="1"/>
  <c r="M3" i="80"/>
  <c r="M255" i="15" s="1"/>
  <c r="M8" i="80"/>
  <c r="M260" i="15" s="1"/>
  <c r="M9" i="80"/>
  <c r="M261" i="15" s="1"/>
  <c r="M10" i="80"/>
  <c r="M262" i="15" s="1"/>
  <c r="M11" i="80"/>
  <c r="M263" i="15" s="1"/>
  <c r="M129" i="79"/>
  <c r="N43" i="84" l="1"/>
  <c r="N416" i="15" s="1"/>
  <c r="M416" i="15"/>
  <c r="N60" i="84"/>
  <c r="N433" i="15" s="1"/>
  <c r="M433" i="15"/>
  <c r="N35" i="84"/>
  <c r="N408" i="15" s="1"/>
  <c r="M408" i="15"/>
  <c r="N40" i="84"/>
  <c r="N413" i="15" s="1"/>
  <c r="M413" i="15"/>
  <c r="N129" i="84"/>
  <c r="N502" i="15" s="1"/>
  <c r="M502" i="15"/>
  <c r="N37" i="84"/>
  <c r="N410" i="15" s="1"/>
  <c r="M410" i="15"/>
  <c r="N28" i="84"/>
  <c r="N401" i="15" s="1"/>
  <c r="M401" i="15"/>
  <c r="N50" i="84"/>
  <c r="N423" i="15" s="1"/>
  <c r="M423" i="15"/>
  <c r="N51" i="84"/>
  <c r="N424" i="15" s="1"/>
  <c r="M424" i="15"/>
  <c r="N3" i="84"/>
  <c r="N376" i="15" s="1"/>
  <c r="M376" i="15"/>
  <c r="N20" i="84"/>
  <c r="N393" i="15" s="1"/>
  <c r="M393" i="15"/>
  <c r="M12" i="80"/>
  <c r="M264" i="15" s="1"/>
  <c r="Q12" i="80"/>
  <c r="Q264" i="15" s="1"/>
  <c r="N7" i="80"/>
  <c r="N259" i="15" s="1"/>
  <c r="N15" i="80"/>
  <c r="N267" i="15" s="1"/>
  <c r="N11" i="80"/>
  <c r="N263" i="15" s="1"/>
  <c r="N10" i="80"/>
  <c r="N262" i="15" s="1"/>
  <c r="N3" i="80"/>
  <c r="N255" i="15" s="1"/>
  <c r="N18" i="80"/>
  <c r="N270" i="15" s="1"/>
  <c r="N16" i="80"/>
  <c r="N268" i="15" s="1"/>
  <c r="N112" i="80"/>
  <c r="N364" i="15" s="1"/>
  <c r="N113" i="80"/>
  <c r="N365" i="15" s="1"/>
  <c r="N9" i="80"/>
  <c r="N261" i="15" s="1"/>
  <c r="N109" i="80"/>
  <c r="N361" i="15" s="1"/>
  <c r="N8" i="80"/>
  <c r="N260" i="15" s="1"/>
  <c r="N14" i="80"/>
  <c r="N266" i="15" s="1"/>
  <c r="N5" i="80"/>
  <c r="N257" i="15" s="1"/>
  <c r="N21" i="80"/>
  <c r="N273" i="15" s="1"/>
  <c r="N20" i="80"/>
  <c r="N272" i="15" s="1"/>
  <c r="N13" i="80"/>
  <c r="N265" i="15" s="1"/>
  <c r="N4" i="80"/>
  <c r="N256" i="15" s="1"/>
  <c r="N17" i="80"/>
  <c r="N269" i="15" s="1"/>
  <c r="N6" i="80"/>
  <c r="N258" i="15" s="1"/>
  <c r="N129" i="79"/>
  <c r="N253" i="15" s="1"/>
  <c r="M253" i="15"/>
  <c r="Q142" i="84"/>
  <c r="F6" i="40" s="1"/>
  <c r="K159" i="84"/>
  <c r="M144" i="84"/>
  <c r="M142" i="84"/>
  <c r="C6" i="40" s="1"/>
  <c r="N144" i="84" l="1"/>
  <c r="N142" i="84"/>
  <c r="D6" i="40" s="1"/>
  <c r="N12" i="80"/>
  <c r="N264" i="15" s="1"/>
  <c r="L118" i="80"/>
  <c r="L370" i="15" s="1"/>
  <c r="L29" i="80"/>
  <c r="L281" i="15" s="1"/>
  <c r="L116" i="80"/>
  <c r="L368" i="15" s="1"/>
  <c r="L23" i="80"/>
  <c r="L275" i="15" s="1"/>
  <c r="L31" i="80"/>
  <c r="L283" i="15" s="1"/>
  <c r="L117" i="80"/>
  <c r="L369" i="15" s="1"/>
  <c r="M23" i="80" l="1"/>
  <c r="M275" i="15" s="1"/>
  <c r="M29" i="80"/>
  <c r="M281" i="15" s="1"/>
  <c r="M31" i="80"/>
  <c r="M283" i="15" s="1"/>
  <c r="M118" i="80"/>
  <c r="M370" i="15" s="1"/>
  <c r="M117" i="80"/>
  <c r="M369" i="15" s="1"/>
  <c r="Q117" i="80"/>
  <c r="Q369" i="15" s="1"/>
  <c r="M116" i="80"/>
  <c r="M368" i="15" s="1"/>
  <c r="Q116" i="80"/>
  <c r="Q368" i="15" s="1"/>
  <c r="Q31" i="80"/>
  <c r="Q283" i="15" s="1"/>
  <c r="Q118" i="80"/>
  <c r="Q370" i="15" s="1"/>
  <c r="Q29" i="80"/>
  <c r="Q281" i="15" s="1"/>
  <c r="Q23" i="80"/>
  <c r="Q275" i="15" s="1"/>
  <c r="N29" i="80" l="1"/>
  <c r="N281" i="15" s="1"/>
  <c r="N116" i="80"/>
  <c r="N368" i="15" s="1"/>
  <c r="N118" i="80"/>
  <c r="N370" i="15" s="1"/>
  <c r="N117" i="80"/>
  <c r="N369" i="15" s="1"/>
  <c r="N31" i="80"/>
  <c r="N283" i="15" s="1"/>
  <c r="N23" i="80"/>
  <c r="N275" i="15" s="1"/>
  <c r="L127" i="79"/>
  <c r="Q127" i="79" l="1"/>
  <c r="Q251" i="15" s="1"/>
  <c r="L251" i="15"/>
  <c r="M127" i="79"/>
  <c r="N127" i="79" s="1"/>
  <c r="N251" i="15" l="1"/>
  <c r="M251" i="15"/>
  <c r="O247" i="15"/>
  <c r="O49" i="79" l="1"/>
  <c r="O173" i="15" s="1"/>
  <c r="L48" i="79"/>
  <c r="L49" i="79"/>
  <c r="M49" i="79" l="1"/>
  <c r="M173" i="15" s="1"/>
  <c r="L173" i="15"/>
  <c r="M48" i="79"/>
  <c r="L172" i="15"/>
  <c r="Q49" i="79"/>
  <c r="Q173" i="15" s="1"/>
  <c r="Q48" i="79"/>
  <c r="Q172" i="15" s="1"/>
  <c r="N49" i="79" l="1"/>
  <c r="N173" i="15" s="1"/>
  <c r="N48" i="79"/>
  <c r="N172" i="15" s="1"/>
  <c r="M172" i="15"/>
  <c r="O84" i="79"/>
  <c r="O208" i="15" s="1"/>
  <c r="O242" i="15" l="1"/>
  <c r="O168" i="15"/>
  <c r="O46" i="75"/>
  <c r="O240" i="15"/>
  <c r="O59" i="79"/>
  <c r="O183" i="15" s="1"/>
  <c r="O66" i="75"/>
  <c r="L128" i="79" l="1"/>
  <c r="M128" i="79" l="1"/>
  <c r="M252" i="15" s="1"/>
  <c r="L252" i="15"/>
  <c r="Q128" i="79"/>
  <c r="Q252" i="15" s="1"/>
  <c r="N128" i="79" l="1"/>
  <c r="N252" i="15" s="1"/>
  <c r="O125" i="79"/>
  <c r="O249" i="15" s="1"/>
  <c r="L125" i="79"/>
  <c r="M125" i="79" l="1"/>
  <c r="L249" i="15"/>
  <c r="Q125" i="79"/>
  <c r="Q249" i="15" s="1"/>
  <c r="L39" i="79"/>
  <c r="Q39" i="79" s="1"/>
  <c r="Q162" i="15" l="1"/>
  <c r="L162" i="15"/>
  <c r="N125" i="79"/>
  <c r="N249" i="15" s="1"/>
  <c r="M249" i="15"/>
  <c r="M39" i="79"/>
  <c r="N39" i="79" l="1"/>
  <c r="N162" i="15" s="1"/>
  <c r="M162" i="15"/>
  <c r="L79" i="79" l="1"/>
  <c r="L78" i="79"/>
  <c r="Q78" i="79" l="1"/>
  <c r="Q202" i="15" s="1"/>
  <c r="L202" i="15"/>
  <c r="Q79" i="79"/>
  <c r="Q203" i="15" s="1"/>
  <c r="L203" i="15"/>
  <c r="M78" i="79"/>
  <c r="M79" i="79"/>
  <c r="N79" i="79" l="1"/>
  <c r="N203" i="15" s="1"/>
  <c r="M203" i="15"/>
  <c r="N78" i="79"/>
  <c r="N202" i="15" s="1"/>
  <c r="M202" i="15"/>
  <c r="O233" i="15"/>
  <c r="O235" i="15"/>
  <c r="O22" i="75"/>
  <c r="O18" i="79"/>
  <c r="O141" i="15" s="1"/>
  <c r="L132" i="79" l="1"/>
  <c r="M132" i="79" s="1"/>
  <c r="N132" i="79" s="1"/>
  <c r="L126" i="79"/>
  <c r="M126" i="79" l="1"/>
  <c r="M250" i="15" s="1"/>
  <c r="L250" i="15"/>
  <c r="Q126" i="79"/>
  <c r="Q250" i="15" s="1"/>
  <c r="Q132" i="79"/>
  <c r="N126" i="79" l="1"/>
  <c r="N250" i="15" s="1"/>
  <c r="L94" i="79"/>
  <c r="L218" i="15" s="1"/>
  <c r="O14" i="79" l="1"/>
  <c r="O137" i="15" s="1"/>
  <c r="O13" i="79"/>
  <c r="O136" i="15" s="1"/>
  <c r="L35" i="79" l="1"/>
  <c r="M35" i="79" l="1"/>
  <c r="M158" i="15" s="1"/>
  <c r="L158" i="15"/>
  <c r="Q35" i="79"/>
  <c r="Q158" i="15" s="1"/>
  <c r="N35" i="79" l="1"/>
  <c r="N158" i="15" s="1"/>
  <c r="L124" i="79"/>
  <c r="L121" i="79"/>
  <c r="M121" i="79" l="1"/>
  <c r="M245" i="15" s="1"/>
  <c r="L245" i="15"/>
  <c r="Q124" i="79"/>
  <c r="Q248" i="15" s="1"/>
  <c r="L248" i="15"/>
  <c r="M124" i="79"/>
  <c r="Q121" i="79"/>
  <c r="Q245" i="15" s="1"/>
  <c r="N121" i="79" l="1"/>
  <c r="N245" i="15" s="1"/>
  <c r="N124" i="79"/>
  <c r="N248" i="15" s="1"/>
  <c r="M248" i="15"/>
  <c r="O30" i="79"/>
  <c r="O153" i="15" s="1"/>
  <c r="L107" i="79" l="1"/>
  <c r="L231" i="15" s="1"/>
  <c r="L120" i="79"/>
  <c r="L119" i="79"/>
  <c r="L118" i="79"/>
  <c r="L112" i="79"/>
  <c r="L111" i="79"/>
  <c r="L235" i="15" s="1"/>
  <c r="O114" i="79"/>
  <c r="O238" i="15" s="1"/>
  <c r="L114" i="79"/>
  <c r="L113" i="79"/>
  <c r="L117" i="79"/>
  <c r="L116" i="79"/>
  <c r="L115" i="79"/>
  <c r="O234" i="15"/>
  <c r="L110" i="79"/>
  <c r="L234" i="15" s="1"/>
  <c r="L109" i="79"/>
  <c r="O108" i="79"/>
  <c r="O232" i="15" s="1"/>
  <c r="L108" i="79"/>
  <c r="L232" i="15" s="1"/>
  <c r="L106" i="79"/>
  <c r="L105" i="79"/>
  <c r="O228" i="15"/>
  <c r="L104" i="79"/>
  <c r="L228" i="15" s="1"/>
  <c r="O103" i="79"/>
  <c r="O227" i="15" s="1"/>
  <c r="L103" i="79"/>
  <c r="L227" i="15" s="1"/>
  <c r="L102" i="79"/>
  <c r="O101" i="79"/>
  <c r="O225" i="15" s="1"/>
  <c r="L101" i="79"/>
  <c r="L100" i="79"/>
  <c r="L99" i="79"/>
  <c r="O98" i="79"/>
  <c r="O222" i="15" s="1"/>
  <c r="L98" i="79"/>
  <c r="L222" i="15" s="1"/>
  <c r="L97" i="79"/>
  <c r="L96" i="79"/>
  <c r="L95" i="79"/>
  <c r="Q94" i="79"/>
  <c r="Q218" i="15" s="1"/>
  <c r="M94" i="79"/>
  <c r="L93" i="79"/>
  <c r="L92" i="79"/>
  <c r="L91" i="79"/>
  <c r="L90" i="79"/>
  <c r="L89" i="79"/>
  <c r="L88" i="79"/>
  <c r="O87" i="79"/>
  <c r="O211" i="15" s="1"/>
  <c r="K87" i="79"/>
  <c r="O86" i="79"/>
  <c r="O210" i="15" s="1"/>
  <c r="L86" i="79"/>
  <c r="L210" i="15" s="1"/>
  <c r="L85" i="79"/>
  <c r="L84" i="79"/>
  <c r="L83" i="79"/>
  <c r="L82" i="79"/>
  <c r="L81" i="79"/>
  <c r="L80" i="79"/>
  <c r="O185" i="15"/>
  <c r="L61" i="79"/>
  <c r="L185" i="15" s="1"/>
  <c r="O184" i="15"/>
  <c r="L60" i="79"/>
  <c r="L59" i="79"/>
  <c r="L58" i="79"/>
  <c r="O181" i="15"/>
  <c r="L57" i="79"/>
  <c r="L181" i="15" s="1"/>
  <c r="O180" i="15"/>
  <c r="L56" i="79"/>
  <c r="L180" i="15" s="1"/>
  <c r="L55" i="79"/>
  <c r="O54" i="79"/>
  <c r="O178" i="15" s="1"/>
  <c r="L54" i="79"/>
  <c r="O51" i="79"/>
  <c r="M51" i="79"/>
  <c r="O174" i="15"/>
  <c r="L50" i="79"/>
  <c r="L174" i="15" s="1"/>
  <c r="O5" i="79"/>
  <c r="O128" i="15" s="1"/>
  <c r="M54" i="79" l="1"/>
  <c r="M178" i="15" s="1"/>
  <c r="L178" i="15"/>
  <c r="Q89" i="79"/>
  <c r="Q213" i="15" s="1"/>
  <c r="L213" i="15"/>
  <c r="Q96" i="79"/>
  <c r="Q220" i="15" s="1"/>
  <c r="L220" i="15"/>
  <c r="Q118" i="79"/>
  <c r="Q242" i="15" s="1"/>
  <c r="L242" i="15"/>
  <c r="M60" i="79"/>
  <c r="L184" i="15"/>
  <c r="Q80" i="79"/>
  <c r="Q204" i="15" s="1"/>
  <c r="L204" i="15"/>
  <c r="Q84" i="79"/>
  <c r="Q208" i="15" s="1"/>
  <c r="L208" i="15"/>
  <c r="L87" i="79"/>
  <c r="L211" i="15" s="1"/>
  <c r="K211" i="15"/>
  <c r="Q90" i="79"/>
  <c r="Q214" i="15" s="1"/>
  <c r="L214" i="15"/>
  <c r="N94" i="79"/>
  <c r="N218" i="15" s="1"/>
  <c r="M218" i="15"/>
  <c r="Q97" i="79"/>
  <c r="Q221" i="15" s="1"/>
  <c r="L221" i="15"/>
  <c r="Q100" i="79"/>
  <c r="Q224" i="15" s="1"/>
  <c r="L224" i="15"/>
  <c r="Q105" i="79"/>
  <c r="Q229" i="15" s="1"/>
  <c r="L229" i="15"/>
  <c r="M109" i="79"/>
  <c r="L233" i="15"/>
  <c r="Q116" i="79"/>
  <c r="Q240" i="15" s="1"/>
  <c r="L240" i="15"/>
  <c r="Q119" i="79"/>
  <c r="Q243" i="15" s="1"/>
  <c r="L243" i="15"/>
  <c r="Q59" i="79"/>
  <c r="Q183" i="15" s="1"/>
  <c r="L183" i="15"/>
  <c r="Q83" i="79"/>
  <c r="Q207" i="15" s="1"/>
  <c r="L207" i="15"/>
  <c r="Q93" i="79"/>
  <c r="Q217" i="15" s="1"/>
  <c r="L217" i="15"/>
  <c r="Q102" i="79"/>
  <c r="Q226" i="15" s="1"/>
  <c r="L226" i="15"/>
  <c r="Q115" i="79"/>
  <c r="Q239" i="15" s="1"/>
  <c r="L239" i="15"/>
  <c r="N51" i="79"/>
  <c r="N175" i="15" s="1"/>
  <c r="M175" i="15"/>
  <c r="Q55" i="79"/>
  <c r="Q179" i="15" s="1"/>
  <c r="L179" i="15"/>
  <c r="Q81" i="79"/>
  <c r="Q205" i="15" s="1"/>
  <c r="L205" i="15"/>
  <c r="Q85" i="79"/>
  <c r="Q209" i="15" s="1"/>
  <c r="L209" i="15"/>
  <c r="Q91" i="79"/>
  <c r="Q215" i="15" s="1"/>
  <c r="L215" i="15"/>
  <c r="M101" i="79"/>
  <c r="L225" i="15"/>
  <c r="Q106" i="79"/>
  <c r="Q230" i="15" s="1"/>
  <c r="L230" i="15"/>
  <c r="Q117" i="79"/>
  <c r="Q241" i="15" s="1"/>
  <c r="L241" i="15"/>
  <c r="Q120" i="79"/>
  <c r="Q244" i="15" s="1"/>
  <c r="L244" i="15"/>
  <c r="Q99" i="79"/>
  <c r="Q223" i="15" s="1"/>
  <c r="L223" i="15"/>
  <c r="M114" i="79"/>
  <c r="L238" i="15"/>
  <c r="Q51" i="79"/>
  <c r="Q175" i="15" s="1"/>
  <c r="O175" i="15"/>
  <c r="Q58" i="79"/>
  <c r="Q182" i="15" s="1"/>
  <c r="L182" i="15"/>
  <c r="Q82" i="79"/>
  <c r="Q206" i="15" s="1"/>
  <c r="L206" i="15"/>
  <c r="Q88" i="79"/>
  <c r="Q212" i="15" s="1"/>
  <c r="L212" i="15"/>
  <c r="Q92" i="79"/>
  <c r="Q216" i="15" s="1"/>
  <c r="L216" i="15"/>
  <c r="Q95" i="79"/>
  <c r="Q219" i="15" s="1"/>
  <c r="L219" i="15"/>
  <c r="Q113" i="79"/>
  <c r="Q237" i="15" s="1"/>
  <c r="L237" i="15"/>
  <c r="Q112" i="79"/>
  <c r="Q236" i="15" s="1"/>
  <c r="L236" i="15"/>
  <c r="Q107" i="79"/>
  <c r="Q231" i="15" s="1"/>
  <c r="Q111" i="79"/>
  <c r="Q235" i="15" s="1"/>
  <c r="M120" i="79"/>
  <c r="M107" i="79"/>
  <c r="M111" i="79"/>
  <c r="M118" i="79"/>
  <c r="M119" i="79"/>
  <c r="Q110" i="79"/>
  <c r="Q234" i="15" s="1"/>
  <c r="M113" i="79"/>
  <c r="M112" i="79"/>
  <c r="M102" i="79"/>
  <c r="Q103" i="79"/>
  <c r="Q227" i="15" s="1"/>
  <c r="Q114" i="79"/>
  <c r="Q238" i="15" s="1"/>
  <c r="M100" i="79"/>
  <c r="M99" i="79"/>
  <c r="Q101" i="79"/>
  <c r="Q225" i="15" s="1"/>
  <c r="Q98" i="79"/>
  <c r="Q222" i="15" s="1"/>
  <c r="M103" i="79"/>
  <c r="M117" i="79"/>
  <c r="M110" i="79"/>
  <c r="Q104" i="79"/>
  <c r="Q228" i="15" s="1"/>
  <c r="M104" i="79"/>
  <c r="Q108" i="79"/>
  <c r="Q232" i="15" s="1"/>
  <c r="M115" i="79"/>
  <c r="M116" i="79"/>
  <c r="M95" i="79"/>
  <c r="M96" i="79"/>
  <c r="M97" i="79"/>
  <c r="M105" i="79"/>
  <c r="M106" i="79"/>
  <c r="M108" i="79"/>
  <c r="Q109" i="79"/>
  <c r="Q233" i="15" s="1"/>
  <c r="Q50" i="79"/>
  <c r="Q174" i="15" s="1"/>
  <c r="M58" i="79"/>
  <c r="M59" i="79"/>
  <c r="Q86" i="79"/>
  <c r="Q210" i="15" s="1"/>
  <c r="M88" i="79"/>
  <c r="M89" i="79"/>
  <c r="M90" i="79"/>
  <c r="M91" i="79"/>
  <c r="M92" i="79"/>
  <c r="M93" i="79"/>
  <c r="M50" i="79"/>
  <c r="M80" i="79"/>
  <c r="M81" i="79"/>
  <c r="M82" i="79"/>
  <c r="M83" i="79"/>
  <c r="M84" i="79"/>
  <c r="M85" i="79"/>
  <c r="M86" i="79"/>
  <c r="Q61" i="79"/>
  <c r="Q185" i="15" s="1"/>
  <c r="U185" i="15" s="1"/>
  <c r="Q54" i="79"/>
  <c r="Q178" i="15" s="1"/>
  <c r="Q60" i="79"/>
  <c r="Q184" i="15" s="1"/>
  <c r="M61" i="79"/>
  <c r="M55" i="79"/>
  <c r="M56" i="79"/>
  <c r="Q57" i="79"/>
  <c r="Q181" i="15" s="1"/>
  <c r="Q56" i="79"/>
  <c r="Q180" i="15" s="1"/>
  <c r="M57" i="79"/>
  <c r="N54" i="79" l="1"/>
  <c r="N178" i="15" s="1"/>
  <c r="M87" i="79"/>
  <c r="M211" i="15" s="1"/>
  <c r="Q87" i="79"/>
  <c r="Q211" i="15" s="1"/>
  <c r="N92" i="79"/>
  <c r="N216" i="15" s="1"/>
  <c r="M216" i="15"/>
  <c r="N88" i="79"/>
  <c r="N212" i="15" s="1"/>
  <c r="M212" i="15"/>
  <c r="N97" i="79"/>
  <c r="N221" i="15" s="1"/>
  <c r="M221" i="15"/>
  <c r="N110" i="79"/>
  <c r="N234" i="15" s="1"/>
  <c r="M234" i="15"/>
  <c r="N57" i="79"/>
  <c r="N181" i="15" s="1"/>
  <c r="M181" i="15"/>
  <c r="N55" i="79"/>
  <c r="N179" i="15" s="1"/>
  <c r="M179" i="15"/>
  <c r="N84" i="79"/>
  <c r="N208" i="15" s="1"/>
  <c r="M208" i="15"/>
  <c r="N91" i="79"/>
  <c r="N215" i="15" s="1"/>
  <c r="M215" i="15"/>
  <c r="N102" i="79"/>
  <c r="N226" i="15" s="1"/>
  <c r="M226" i="15"/>
  <c r="N114" i="79"/>
  <c r="N238" i="15" s="1"/>
  <c r="M238" i="15"/>
  <c r="N109" i="79"/>
  <c r="N233" i="15" s="1"/>
  <c r="M233" i="15"/>
  <c r="N85" i="79"/>
  <c r="N209" i="15" s="1"/>
  <c r="M209" i="15"/>
  <c r="N115" i="79"/>
  <c r="N239" i="15" s="1"/>
  <c r="M239" i="15"/>
  <c r="N107" i="79"/>
  <c r="N231" i="15" s="1"/>
  <c r="M231" i="15"/>
  <c r="N80" i="79"/>
  <c r="N204" i="15" s="1"/>
  <c r="M204" i="15"/>
  <c r="N87" i="79"/>
  <c r="N211" i="15" s="1"/>
  <c r="N106" i="79"/>
  <c r="N230" i="15" s="1"/>
  <c r="M230" i="15"/>
  <c r="N96" i="79"/>
  <c r="N220" i="15" s="1"/>
  <c r="M220" i="15"/>
  <c r="N117" i="79"/>
  <c r="N241" i="15" s="1"/>
  <c r="M241" i="15"/>
  <c r="N99" i="79"/>
  <c r="N223" i="15" s="1"/>
  <c r="M223" i="15"/>
  <c r="N119" i="79"/>
  <c r="N243" i="15" s="1"/>
  <c r="M243" i="15"/>
  <c r="N120" i="79"/>
  <c r="N244" i="15" s="1"/>
  <c r="M244" i="15"/>
  <c r="N83" i="79"/>
  <c r="N207" i="15" s="1"/>
  <c r="M207" i="15"/>
  <c r="N50" i="79"/>
  <c r="N174" i="15" s="1"/>
  <c r="M174" i="15"/>
  <c r="N90" i="79"/>
  <c r="N214" i="15" s="1"/>
  <c r="M214" i="15"/>
  <c r="N59" i="79"/>
  <c r="N183" i="15" s="1"/>
  <c r="M183" i="15"/>
  <c r="N105" i="79"/>
  <c r="N229" i="15" s="1"/>
  <c r="M229" i="15"/>
  <c r="N95" i="79"/>
  <c r="N219" i="15" s="1"/>
  <c r="M219" i="15"/>
  <c r="N104" i="79"/>
  <c r="N228" i="15" s="1"/>
  <c r="M228" i="15"/>
  <c r="N103" i="79"/>
  <c r="N227" i="15" s="1"/>
  <c r="M227" i="15"/>
  <c r="N100" i="79"/>
  <c r="N224" i="15" s="1"/>
  <c r="M224" i="15"/>
  <c r="N112" i="79"/>
  <c r="N236" i="15" s="1"/>
  <c r="M236" i="15"/>
  <c r="N118" i="79"/>
  <c r="N242" i="15" s="1"/>
  <c r="M242" i="15"/>
  <c r="N56" i="79"/>
  <c r="N180" i="15" s="1"/>
  <c r="M180" i="15"/>
  <c r="N81" i="79"/>
  <c r="N205" i="15" s="1"/>
  <c r="M205" i="15"/>
  <c r="N108" i="79"/>
  <c r="N232" i="15" s="1"/>
  <c r="M232" i="15"/>
  <c r="N61" i="79"/>
  <c r="N185" i="15" s="1"/>
  <c r="M185" i="15"/>
  <c r="N86" i="79"/>
  <c r="N210" i="15" s="1"/>
  <c r="M210" i="15"/>
  <c r="N82" i="79"/>
  <c r="N206" i="15" s="1"/>
  <c r="M206" i="15"/>
  <c r="N93" i="79"/>
  <c r="N217" i="15" s="1"/>
  <c r="M217" i="15"/>
  <c r="N89" i="79"/>
  <c r="N213" i="15" s="1"/>
  <c r="M213" i="15"/>
  <c r="N58" i="79"/>
  <c r="N182" i="15" s="1"/>
  <c r="M182" i="15"/>
  <c r="N98" i="79"/>
  <c r="N222" i="15" s="1"/>
  <c r="M222" i="15"/>
  <c r="N116" i="79"/>
  <c r="N240" i="15" s="1"/>
  <c r="M240" i="15"/>
  <c r="N113" i="79"/>
  <c r="N237" i="15" s="1"/>
  <c r="M237" i="15"/>
  <c r="N111" i="79"/>
  <c r="N235" i="15" s="1"/>
  <c r="M235" i="15"/>
  <c r="N101" i="79"/>
  <c r="N225" i="15" s="1"/>
  <c r="M225" i="15"/>
  <c r="N60" i="79"/>
  <c r="M184" i="15"/>
  <c r="L68" i="79"/>
  <c r="L69" i="79"/>
  <c r="N184" i="15" l="1"/>
  <c r="M69" i="79"/>
  <c r="M193" i="15" s="1"/>
  <c r="L193" i="15"/>
  <c r="M68" i="79"/>
  <c r="M192" i="15" s="1"/>
  <c r="L192" i="15"/>
  <c r="Q68" i="79"/>
  <c r="Q192" i="15" s="1"/>
  <c r="Q69" i="79"/>
  <c r="Q193" i="15" s="1"/>
  <c r="N69" i="79" l="1"/>
  <c r="N193" i="15" s="1"/>
  <c r="N68" i="79"/>
  <c r="N192" i="15" s="1"/>
  <c r="M25" i="79"/>
  <c r="M148" i="15" s="1"/>
  <c r="M70" i="79"/>
  <c r="L32" i="79"/>
  <c r="L47" i="79"/>
  <c r="M32" i="79" l="1"/>
  <c r="L155" i="15"/>
  <c r="Q47" i="79"/>
  <c r="Q171" i="15" s="1"/>
  <c r="L171" i="15"/>
  <c r="N70" i="79"/>
  <c r="N194" i="15" s="1"/>
  <c r="M194" i="15"/>
  <c r="M47" i="79"/>
  <c r="Q25" i="79"/>
  <c r="Q148" i="15" s="1"/>
  <c r="N25" i="79"/>
  <c r="N148" i="15" s="1"/>
  <c r="Q32" i="79"/>
  <c r="Q155" i="15" s="1"/>
  <c r="Q70" i="79"/>
  <c r="Q194" i="15" s="1"/>
  <c r="N47" i="79" l="1"/>
  <c r="N171" i="15" s="1"/>
  <c r="M171" i="15"/>
  <c r="N32" i="79"/>
  <c r="N155" i="15" s="1"/>
  <c r="M155" i="15"/>
  <c r="L46" i="79"/>
  <c r="Q46" i="79" l="1"/>
  <c r="Q169" i="15" s="1"/>
  <c r="L169" i="15"/>
  <c r="M46" i="79"/>
  <c r="N46" i="79" l="1"/>
  <c r="N169" i="15" s="1"/>
  <c r="M169" i="15"/>
  <c r="B125" i="15"/>
  <c r="C125" i="15"/>
  <c r="D125" i="15"/>
  <c r="E125" i="15"/>
  <c r="F125" i="15"/>
  <c r="G125" i="15"/>
  <c r="H125" i="15"/>
  <c r="I125" i="15"/>
  <c r="J125" i="15"/>
  <c r="K125" i="15"/>
  <c r="P125" i="15"/>
  <c r="R125" i="15"/>
  <c r="S125" i="15"/>
  <c r="O126" i="75"/>
  <c r="O125" i="15" s="1"/>
  <c r="G34" i="15" l="1"/>
  <c r="C19" i="15"/>
  <c r="C113" i="15"/>
  <c r="C122" i="15"/>
  <c r="C123" i="15"/>
  <c r="B2" i="15"/>
  <c r="D2" i="15"/>
  <c r="E2" i="15"/>
  <c r="F2" i="15"/>
  <c r="G2" i="15"/>
  <c r="H2" i="15"/>
  <c r="I2" i="15"/>
  <c r="J2" i="15"/>
  <c r="K2" i="15"/>
  <c r="O2" i="15"/>
  <c r="P2" i="15"/>
  <c r="R2" i="15"/>
  <c r="S2" i="15"/>
  <c r="B3" i="15"/>
  <c r="D3" i="15"/>
  <c r="E3" i="15"/>
  <c r="F3" i="15"/>
  <c r="G3" i="15"/>
  <c r="H3" i="15"/>
  <c r="I3" i="15"/>
  <c r="J3" i="15"/>
  <c r="K3" i="15"/>
  <c r="O3" i="15"/>
  <c r="P3" i="15"/>
  <c r="R3" i="15"/>
  <c r="S3" i="15"/>
  <c r="B4" i="15"/>
  <c r="D4" i="15"/>
  <c r="E4" i="15"/>
  <c r="F4" i="15"/>
  <c r="G4" i="15"/>
  <c r="H4" i="15"/>
  <c r="I4" i="15"/>
  <c r="J4" i="15"/>
  <c r="K4" i="15"/>
  <c r="P4" i="15"/>
  <c r="R4" i="15"/>
  <c r="S4" i="15"/>
  <c r="B5" i="15"/>
  <c r="D5" i="15"/>
  <c r="E5" i="15"/>
  <c r="F5" i="15"/>
  <c r="G5" i="15"/>
  <c r="H5" i="15"/>
  <c r="I5" i="15"/>
  <c r="J5" i="15"/>
  <c r="K5" i="15"/>
  <c r="P5" i="15"/>
  <c r="R5" i="15"/>
  <c r="S5" i="15"/>
  <c r="B6" i="15"/>
  <c r="D6" i="15"/>
  <c r="E6" i="15"/>
  <c r="G6" i="15"/>
  <c r="H6" i="15"/>
  <c r="I6" i="15"/>
  <c r="J6" i="15"/>
  <c r="K6" i="15"/>
  <c r="O6" i="15"/>
  <c r="P6" i="15"/>
  <c r="R6" i="15"/>
  <c r="S6" i="15"/>
  <c r="B7" i="15"/>
  <c r="D7" i="15"/>
  <c r="E7" i="15"/>
  <c r="G7" i="15"/>
  <c r="H7" i="15"/>
  <c r="I7" i="15"/>
  <c r="J7" i="15"/>
  <c r="K7" i="15"/>
  <c r="P7" i="15"/>
  <c r="R7" i="15"/>
  <c r="S7" i="15"/>
  <c r="B8" i="15"/>
  <c r="C8" i="15"/>
  <c r="D8" i="15"/>
  <c r="E8" i="15"/>
  <c r="G8" i="15"/>
  <c r="H8" i="15"/>
  <c r="I8" i="15"/>
  <c r="J8" i="15"/>
  <c r="K8" i="15"/>
  <c r="P8" i="15"/>
  <c r="R8" i="15"/>
  <c r="S8" i="15"/>
  <c r="B9" i="15"/>
  <c r="C9" i="15"/>
  <c r="D9" i="15"/>
  <c r="E9" i="15"/>
  <c r="G9" i="15"/>
  <c r="H9" i="15"/>
  <c r="I9" i="15"/>
  <c r="J9" i="15"/>
  <c r="K9" i="15"/>
  <c r="O9" i="15"/>
  <c r="P9" i="15"/>
  <c r="R9" i="15"/>
  <c r="S9" i="15"/>
  <c r="B10" i="15"/>
  <c r="D10" i="15"/>
  <c r="E10" i="15"/>
  <c r="F10" i="15"/>
  <c r="G10" i="15"/>
  <c r="H10" i="15"/>
  <c r="I10" i="15"/>
  <c r="J10" i="15"/>
  <c r="K10" i="15"/>
  <c r="O10" i="15"/>
  <c r="P10" i="15"/>
  <c r="R10" i="15"/>
  <c r="S10" i="15"/>
  <c r="B11" i="15"/>
  <c r="D11" i="15"/>
  <c r="E11" i="15"/>
  <c r="F11" i="15"/>
  <c r="G11" i="15"/>
  <c r="H11" i="15"/>
  <c r="I11" i="15"/>
  <c r="J11" i="15"/>
  <c r="K11" i="15"/>
  <c r="O11" i="15"/>
  <c r="P11" i="15"/>
  <c r="R11" i="15"/>
  <c r="S11" i="15"/>
  <c r="B12" i="15"/>
  <c r="D12" i="15"/>
  <c r="E12" i="15"/>
  <c r="F12" i="15"/>
  <c r="G12" i="15"/>
  <c r="H12" i="15"/>
  <c r="I12" i="15"/>
  <c r="J12" i="15"/>
  <c r="P12" i="15"/>
  <c r="R12" i="15"/>
  <c r="S12" i="15"/>
  <c r="B13" i="15"/>
  <c r="D13" i="15"/>
  <c r="E13" i="15"/>
  <c r="F13" i="15"/>
  <c r="G13" i="15"/>
  <c r="H13" i="15"/>
  <c r="I13" i="15"/>
  <c r="J13" i="15"/>
  <c r="K13" i="15"/>
  <c r="P13" i="15"/>
  <c r="R13" i="15"/>
  <c r="S13" i="15"/>
  <c r="B14" i="15"/>
  <c r="D14" i="15"/>
  <c r="E14" i="15"/>
  <c r="F14" i="15"/>
  <c r="G14" i="15"/>
  <c r="H14" i="15"/>
  <c r="I14" i="15"/>
  <c r="J14" i="15"/>
  <c r="K14" i="15"/>
  <c r="O14" i="15"/>
  <c r="P14" i="15"/>
  <c r="R14" i="15"/>
  <c r="S14" i="15"/>
  <c r="B15" i="15"/>
  <c r="D15" i="15"/>
  <c r="E15" i="15"/>
  <c r="F15" i="15"/>
  <c r="G15" i="15"/>
  <c r="H15" i="15"/>
  <c r="I15" i="15"/>
  <c r="J15" i="15"/>
  <c r="K15" i="15"/>
  <c r="P15" i="15"/>
  <c r="R15" i="15"/>
  <c r="S15" i="15"/>
  <c r="B16" i="15"/>
  <c r="C16" i="15"/>
  <c r="D16" i="15"/>
  <c r="E16" i="15"/>
  <c r="F16" i="15"/>
  <c r="G16" i="15"/>
  <c r="H16" i="15"/>
  <c r="I16" i="15"/>
  <c r="J16" i="15"/>
  <c r="K16" i="15"/>
  <c r="P16" i="15"/>
  <c r="R16" i="15"/>
  <c r="S16" i="15"/>
  <c r="B17" i="15"/>
  <c r="C17" i="15"/>
  <c r="D17" i="15"/>
  <c r="E17" i="15"/>
  <c r="F17" i="15"/>
  <c r="G17" i="15"/>
  <c r="H17" i="15"/>
  <c r="I17" i="15"/>
  <c r="J17" i="15"/>
  <c r="K17" i="15"/>
  <c r="P17" i="15"/>
  <c r="R17" i="15"/>
  <c r="S17" i="15"/>
  <c r="B18" i="15"/>
  <c r="C18" i="15"/>
  <c r="D18" i="15"/>
  <c r="E18" i="15"/>
  <c r="F18" i="15"/>
  <c r="G18" i="15"/>
  <c r="H18" i="15"/>
  <c r="I18" i="15"/>
  <c r="J18" i="15"/>
  <c r="K18" i="15"/>
  <c r="P18" i="15"/>
  <c r="R18" i="15"/>
  <c r="S18" i="15"/>
  <c r="B19" i="15"/>
  <c r="D19" i="15"/>
  <c r="E19" i="15"/>
  <c r="G19" i="15"/>
  <c r="H19" i="15"/>
  <c r="I19" i="15"/>
  <c r="J19" i="15"/>
  <c r="K19" i="15"/>
  <c r="O19" i="15"/>
  <c r="R19" i="15"/>
  <c r="S19" i="15"/>
  <c r="B20" i="15"/>
  <c r="D20" i="15"/>
  <c r="E20" i="15"/>
  <c r="F20" i="15"/>
  <c r="G20" i="15"/>
  <c r="H20" i="15"/>
  <c r="I20" i="15"/>
  <c r="J20" i="15"/>
  <c r="K20" i="15"/>
  <c r="O20" i="15"/>
  <c r="P20" i="15"/>
  <c r="R20" i="15"/>
  <c r="S20" i="15"/>
  <c r="B21" i="15"/>
  <c r="D21" i="15"/>
  <c r="E21" i="15"/>
  <c r="G21" i="15"/>
  <c r="H21" i="15"/>
  <c r="I21" i="15"/>
  <c r="J21" i="15"/>
  <c r="K21" i="15"/>
  <c r="O21" i="15"/>
  <c r="P21" i="15"/>
  <c r="R21" i="15"/>
  <c r="S21" i="15"/>
  <c r="B22" i="15"/>
  <c r="D22" i="15"/>
  <c r="E22" i="15"/>
  <c r="G22" i="15"/>
  <c r="H22" i="15"/>
  <c r="I22" i="15"/>
  <c r="J22" i="15"/>
  <c r="K22" i="15"/>
  <c r="O22" i="15"/>
  <c r="P22" i="15"/>
  <c r="R22" i="15"/>
  <c r="S22" i="15"/>
  <c r="B23" i="15"/>
  <c r="D23" i="15"/>
  <c r="E23" i="15"/>
  <c r="F23" i="15"/>
  <c r="G23" i="15"/>
  <c r="H23" i="15"/>
  <c r="I23" i="15"/>
  <c r="J23" i="15"/>
  <c r="K23" i="15"/>
  <c r="O23" i="15"/>
  <c r="P23" i="15"/>
  <c r="R23" i="15"/>
  <c r="S23" i="15"/>
  <c r="B24" i="15"/>
  <c r="D24" i="15"/>
  <c r="E24" i="15"/>
  <c r="G24" i="15"/>
  <c r="H24" i="15"/>
  <c r="I24" i="15"/>
  <c r="J24" i="15"/>
  <c r="K24" i="15"/>
  <c r="O24" i="15"/>
  <c r="P24" i="15"/>
  <c r="R24" i="15"/>
  <c r="S24" i="15"/>
  <c r="B25" i="15"/>
  <c r="C25" i="15"/>
  <c r="D25" i="15"/>
  <c r="E25" i="15"/>
  <c r="F25" i="15"/>
  <c r="G25" i="15"/>
  <c r="H25" i="15"/>
  <c r="I25" i="15"/>
  <c r="J25" i="15"/>
  <c r="K25" i="15"/>
  <c r="O25" i="15"/>
  <c r="P25" i="15"/>
  <c r="R25" i="15"/>
  <c r="S25" i="15"/>
  <c r="B26" i="15"/>
  <c r="D26" i="15"/>
  <c r="E26" i="15"/>
  <c r="F26" i="15"/>
  <c r="G26" i="15"/>
  <c r="H26" i="15"/>
  <c r="I26" i="15"/>
  <c r="J26" i="15"/>
  <c r="K26" i="15"/>
  <c r="O26" i="15"/>
  <c r="P26" i="15"/>
  <c r="R26" i="15"/>
  <c r="S26" i="15"/>
  <c r="B27" i="15"/>
  <c r="D27" i="15"/>
  <c r="E27" i="15"/>
  <c r="F27" i="15"/>
  <c r="G27" i="15"/>
  <c r="H27" i="15"/>
  <c r="I27" i="15"/>
  <c r="J27" i="15"/>
  <c r="K27" i="15"/>
  <c r="O27" i="15"/>
  <c r="P27" i="15"/>
  <c r="R27" i="15"/>
  <c r="S27" i="15"/>
  <c r="B28" i="15"/>
  <c r="D28" i="15"/>
  <c r="E28" i="15"/>
  <c r="F28" i="15"/>
  <c r="G28" i="15"/>
  <c r="H28" i="15"/>
  <c r="I28" i="15"/>
  <c r="J28" i="15"/>
  <c r="K28" i="15"/>
  <c r="O28" i="15"/>
  <c r="P28" i="15"/>
  <c r="R28" i="15"/>
  <c r="S28" i="15"/>
  <c r="B29" i="15"/>
  <c r="D29" i="15"/>
  <c r="E29" i="15"/>
  <c r="F29" i="15"/>
  <c r="G29" i="15"/>
  <c r="H29" i="15"/>
  <c r="I29" i="15"/>
  <c r="J29" i="15"/>
  <c r="K29" i="15"/>
  <c r="O29" i="15"/>
  <c r="P29" i="15"/>
  <c r="R29" i="15"/>
  <c r="S29" i="15"/>
  <c r="B30" i="15"/>
  <c r="D30" i="15"/>
  <c r="E30" i="15"/>
  <c r="F30" i="15"/>
  <c r="G30" i="15"/>
  <c r="H30" i="15"/>
  <c r="I30" i="15"/>
  <c r="J30" i="15"/>
  <c r="K30" i="15"/>
  <c r="O30" i="15"/>
  <c r="P30" i="15"/>
  <c r="R30" i="15"/>
  <c r="S30" i="15"/>
  <c r="B31" i="15"/>
  <c r="C31" i="15"/>
  <c r="D31" i="15"/>
  <c r="E31" i="15"/>
  <c r="F31" i="15"/>
  <c r="G31" i="15"/>
  <c r="H31" i="15"/>
  <c r="I31" i="15"/>
  <c r="J31" i="15"/>
  <c r="K31" i="15"/>
  <c r="P31" i="15"/>
  <c r="R31" i="15"/>
  <c r="S31" i="15"/>
  <c r="B32" i="15"/>
  <c r="D32" i="15"/>
  <c r="E32" i="15"/>
  <c r="G32" i="15"/>
  <c r="H32" i="15"/>
  <c r="I32" i="15"/>
  <c r="J32" i="15"/>
  <c r="K32" i="15"/>
  <c r="O32" i="15"/>
  <c r="P32" i="15"/>
  <c r="R32" i="15"/>
  <c r="S32" i="15"/>
  <c r="B33" i="15"/>
  <c r="D33" i="15"/>
  <c r="E33" i="15"/>
  <c r="G33" i="15"/>
  <c r="H33" i="15"/>
  <c r="I33" i="15"/>
  <c r="J33" i="15"/>
  <c r="K33" i="15"/>
  <c r="O33" i="15"/>
  <c r="P33" i="15"/>
  <c r="R33" i="15"/>
  <c r="S33" i="15"/>
  <c r="B34" i="15"/>
  <c r="D34" i="15"/>
  <c r="E34" i="15"/>
  <c r="H34" i="15"/>
  <c r="I34" i="15"/>
  <c r="J34" i="15"/>
  <c r="K34" i="15"/>
  <c r="O34" i="15"/>
  <c r="P34" i="15"/>
  <c r="R34" i="15"/>
  <c r="S34" i="15"/>
  <c r="B35" i="15"/>
  <c r="D35" i="15"/>
  <c r="E35" i="15"/>
  <c r="G35" i="15"/>
  <c r="H35" i="15"/>
  <c r="I35" i="15"/>
  <c r="J35" i="15"/>
  <c r="K35" i="15"/>
  <c r="P35" i="15"/>
  <c r="R35" i="15"/>
  <c r="S35" i="15"/>
  <c r="B36" i="15"/>
  <c r="D36" i="15"/>
  <c r="E36" i="15"/>
  <c r="G36" i="15"/>
  <c r="H36" i="15"/>
  <c r="I36" i="15"/>
  <c r="J36" i="15"/>
  <c r="K36" i="15"/>
  <c r="O36" i="15"/>
  <c r="P36" i="15"/>
  <c r="R36" i="15"/>
  <c r="S36" i="15"/>
  <c r="B37" i="15"/>
  <c r="D37" i="15"/>
  <c r="E37" i="15"/>
  <c r="G37" i="15"/>
  <c r="H37" i="15"/>
  <c r="I37" i="15"/>
  <c r="J37" i="15"/>
  <c r="K37" i="15"/>
  <c r="O37" i="15"/>
  <c r="P37" i="15"/>
  <c r="R37" i="15"/>
  <c r="S37" i="15"/>
  <c r="B38" i="15"/>
  <c r="D38" i="15"/>
  <c r="E38" i="15"/>
  <c r="G38" i="15"/>
  <c r="H38" i="15"/>
  <c r="I38" i="15"/>
  <c r="J38" i="15"/>
  <c r="K38" i="15"/>
  <c r="P38" i="15"/>
  <c r="R38" i="15"/>
  <c r="S38" i="15"/>
  <c r="B39" i="15"/>
  <c r="D39" i="15"/>
  <c r="E39" i="15"/>
  <c r="G39" i="15"/>
  <c r="H39" i="15"/>
  <c r="I39" i="15"/>
  <c r="J39" i="15"/>
  <c r="K39" i="15"/>
  <c r="O39" i="15"/>
  <c r="P39" i="15"/>
  <c r="R39" i="15"/>
  <c r="S39" i="15"/>
  <c r="B40" i="15"/>
  <c r="D40" i="15"/>
  <c r="E40" i="15"/>
  <c r="G40" i="15"/>
  <c r="H40" i="15"/>
  <c r="I40" i="15"/>
  <c r="J40" i="15"/>
  <c r="K40" i="15"/>
  <c r="O40" i="15"/>
  <c r="P40" i="15"/>
  <c r="R40" i="15"/>
  <c r="S40" i="15"/>
  <c r="B41" i="15"/>
  <c r="D41" i="15"/>
  <c r="E41" i="15"/>
  <c r="G41" i="15"/>
  <c r="H41" i="15"/>
  <c r="I41" i="15"/>
  <c r="J41" i="15"/>
  <c r="K41" i="15"/>
  <c r="P41" i="15"/>
  <c r="R41" i="15"/>
  <c r="S41" i="15"/>
  <c r="B42" i="15"/>
  <c r="D42" i="15"/>
  <c r="E42" i="15"/>
  <c r="F42" i="15"/>
  <c r="G42" i="15"/>
  <c r="H42" i="15"/>
  <c r="I42" i="15"/>
  <c r="J42" i="15"/>
  <c r="K42" i="15"/>
  <c r="O42" i="15"/>
  <c r="P42" i="15"/>
  <c r="R42" i="15"/>
  <c r="S42" i="15"/>
  <c r="B43" i="15"/>
  <c r="D43" i="15"/>
  <c r="E43" i="15"/>
  <c r="F43" i="15"/>
  <c r="G43" i="15"/>
  <c r="H43" i="15"/>
  <c r="I43" i="15"/>
  <c r="J43" i="15"/>
  <c r="K43" i="15"/>
  <c r="O43" i="15"/>
  <c r="P43" i="15"/>
  <c r="R43" i="15"/>
  <c r="S43" i="15"/>
  <c r="B44" i="15"/>
  <c r="D44" i="15"/>
  <c r="E44" i="15"/>
  <c r="G44" i="15"/>
  <c r="H44" i="15"/>
  <c r="I44" i="15"/>
  <c r="J44" i="15"/>
  <c r="K44" i="15"/>
  <c r="P44" i="15"/>
  <c r="R44" i="15"/>
  <c r="S44" i="15"/>
  <c r="B45" i="15"/>
  <c r="D45" i="15"/>
  <c r="E45" i="15"/>
  <c r="G45" i="15"/>
  <c r="H45" i="15"/>
  <c r="I45" i="15"/>
  <c r="J45" i="15"/>
  <c r="K45" i="15"/>
  <c r="O45" i="15"/>
  <c r="P45" i="15"/>
  <c r="R45" i="15"/>
  <c r="S45" i="15"/>
  <c r="B46" i="15"/>
  <c r="D46" i="15"/>
  <c r="E46" i="15"/>
  <c r="G46" i="15"/>
  <c r="H46" i="15"/>
  <c r="I46" i="15"/>
  <c r="J46" i="15"/>
  <c r="K46" i="15"/>
  <c r="O46" i="15"/>
  <c r="P46" i="15"/>
  <c r="R46" i="15"/>
  <c r="S46" i="15"/>
  <c r="B47" i="15"/>
  <c r="D47" i="15"/>
  <c r="E47" i="15"/>
  <c r="G47" i="15"/>
  <c r="H47" i="15"/>
  <c r="I47" i="15"/>
  <c r="J47" i="15"/>
  <c r="K47" i="15"/>
  <c r="P47" i="15"/>
  <c r="S47" i="15"/>
  <c r="B48" i="15"/>
  <c r="D48" i="15"/>
  <c r="E48" i="15"/>
  <c r="G48" i="15"/>
  <c r="H48" i="15"/>
  <c r="I48" i="15"/>
  <c r="J48" i="15"/>
  <c r="K48" i="15"/>
  <c r="L48" i="15"/>
  <c r="P48" i="15"/>
  <c r="R48" i="15"/>
  <c r="S48" i="15"/>
  <c r="B49" i="15"/>
  <c r="E49" i="15"/>
  <c r="G49" i="15"/>
  <c r="H49" i="15"/>
  <c r="I49" i="15"/>
  <c r="J49" i="15"/>
  <c r="K49" i="15"/>
  <c r="B50" i="15"/>
  <c r="D50" i="15"/>
  <c r="E50" i="15"/>
  <c r="G50" i="15"/>
  <c r="H50" i="15"/>
  <c r="I50" i="15"/>
  <c r="J50" i="15"/>
  <c r="K50" i="15"/>
  <c r="P50" i="15"/>
  <c r="R50" i="15"/>
  <c r="S50" i="15"/>
  <c r="B51" i="15"/>
  <c r="D51" i="15"/>
  <c r="E51" i="15"/>
  <c r="G51" i="15"/>
  <c r="H51" i="15"/>
  <c r="I51" i="15"/>
  <c r="J51" i="15"/>
  <c r="K51" i="15"/>
  <c r="L51" i="15"/>
  <c r="P51" i="15"/>
  <c r="R51" i="15"/>
  <c r="S51" i="15"/>
  <c r="E52" i="15"/>
  <c r="G52" i="15"/>
  <c r="H52" i="15"/>
  <c r="I52" i="15"/>
  <c r="J52" i="15"/>
  <c r="K52" i="15"/>
  <c r="B53" i="15"/>
  <c r="D53" i="15"/>
  <c r="E53" i="15"/>
  <c r="F53" i="15"/>
  <c r="G53" i="15"/>
  <c r="H53" i="15"/>
  <c r="I53" i="15"/>
  <c r="J53" i="15"/>
  <c r="K53" i="15"/>
  <c r="L53" i="15"/>
  <c r="O53" i="15"/>
  <c r="P53" i="15"/>
  <c r="R53" i="15"/>
  <c r="S53" i="15"/>
  <c r="E54" i="15"/>
  <c r="G54" i="15"/>
  <c r="H54" i="15"/>
  <c r="I54" i="15"/>
  <c r="J54" i="15"/>
  <c r="K54" i="15"/>
  <c r="B55" i="15"/>
  <c r="D55" i="15"/>
  <c r="E55" i="15"/>
  <c r="G55" i="15"/>
  <c r="H55" i="15"/>
  <c r="I55" i="15"/>
  <c r="J55" i="15"/>
  <c r="K55" i="15"/>
  <c r="O55" i="15"/>
  <c r="P55" i="15"/>
  <c r="R55" i="15"/>
  <c r="S55" i="15"/>
  <c r="B56" i="15"/>
  <c r="D56" i="15"/>
  <c r="E56" i="15"/>
  <c r="F56" i="15"/>
  <c r="G56" i="15"/>
  <c r="H56" i="15"/>
  <c r="I56" i="15"/>
  <c r="J56" i="15"/>
  <c r="K56" i="15"/>
  <c r="P56" i="15"/>
  <c r="R56" i="15"/>
  <c r="S56" i="15"/>
  <c r="B57" i="15"/>
  <c r="D57" i="15"/>
  <c r="E57" i="15"/>
  <c r="G57" i="15"/>
  <c r="H57" i="15"/>
  <c r="I57" i="15"/>
  <c r="J57" i="15"/>
  <c r="K57" i="15"/>
  <c r="L57" i="15"/>
  <c r="P57" i="15"/>
  <c r="R57" i="15"/>
  <c r="S57" i="15"/>
  <c r="B58" i="15"/>
  <c r="E58" i="15"/>
  <c r="G58" i="15"/>
  <c r="H58" i="15"/>
  <c r="I58" i="15"/>
  <c r="J58" i="15"/>
  <c r="K58" i="15"/>
  <c r="B59" i="15"/>
  <c r="E59" i="15"/>
  <c r="G59" i="15"/>
  <c r="H59" i="15"/>
  <c r="I59" i="15"/>
  <c r="J59" i="15"/>
  <c r="K59" i="15"/>
  <c r="P59" i="15"/>
  <c r="B60" i="15"/>
  <c r="C60" i="15"/>
  <c r="D60" i="15"/>
  <c r="E60" i="15"/>
  <c r="F60" i="15"/>
  <c r="G60" i="15"/>
  <c r="H60" i="15"/>
  <c r="I60" i="15"/>
  <c r="J60" i="15"/>
  <c r="K60" i="15"/>
  <c r="P60" i="15"/>
  <c r="R60" i="15"/>
  <c r="S60" i="15"/>
  <c r="B61" i="15"/>
  <c r="D61" i="15"/>
  <c r="E61" i="15"/>
  <c r="F61" i="15"/>
  <c r="G61" i="15"/>
  <c r="H61" i="15"/>
  <c r="I61" i="15"/>
  <c r="J61" i="15"/>
  <c r="K61" i="15"/>
  <c r="O61" i="15"/>
  <c r="P61" i="15"/>
  <c r="R61" i="15"/>
  <c r="S61" i="15"/>
  <c r="B62" i="15"/>
  <c r="D62" i="15"/>
  <c r="E62" i="15"/>
  <c r="F62" i="15"/>
  <c r="G62" i="15"/>
  <c r="H62" i="15"/>
  <c r="I62" i="15"/>
  <c r="J62" i="15"/>
  <c r="K62" i="15"/>
  <c r="P62" i="15"/>
  <c r="R62" i="15"/>
  <c r="S62" i="15"/>
  <c r="B63" i="15"/>
  <c r="D63" i="15"/>
  <c r="E63" i="15"/>
  <c r="F63" i="15"/>
  <c r="G63" i="15"/>
  <c r="H63" i="15"/>
  <c r="I63" i="15"/>
  <c r="J63" i="15"/>
  <c r="K63" i="15"/>
  <c r="P63" i="15"/>
  <c r="R63" i="15"/>
  <c r="S63" i="15"/>
  <c r="B64" i="15"/>
  <c r="D64" i="15"/>
  <c r="E64" i="15"/>
  <c r="G64" i="15"/>
  <c r="H64" i="15"/>
  <c r="I64" i="15"/>
  <c r="J64" i="15"/>
  <c r="K64" i="15"/>
  <c r="O64" i="15"/>
  <c r="P64" i="15"/>
  <c r="R64" i="15"/>
  <c r="S64" i="15"/>
  <c r="B65" i="15"/>
  <c r="D65" i="15"/>
  <c r="E65" i="15"/>
  <c r="G65" i="15"/>
  <c r="H65" i="15"/>
  <c r="I65" i="15"/>
  <c r="J65" i="15"/>
  <c r="K65" i="15"/>
  <c r="O65" i="15"/>
  <c r="P65" i="15"/>
  <c r="R65" i="15"/>
  <c r="S65" i="15"/>
  <c r="B66" i="15"/>
  <c r="D66" i="15"/>
  <c r="E66" i="15"/>
  <c r="F66" i="15"/>
  <c r="G66" i="15"/>
  <c r="H66" i="15"/>
  <c r="I66" i="15"/>
  <c r="J66" i="15"/>
  <c r="K66" i="15"/>
  <c r="P66" i="15"/>
  <c r="R66" i="15"/>
  <c r="S66" i="15"/>
  <c r="B67" i="15"/>
  <c r="D67" i="15"/>
  <c r="E67" i="15"/>
  <c r="G67" i="15"/>
  <c r="H67" i="15"/>
  <c r="I67" i="15"/>
  <c r="J67" i="15"/>
  <c r="K67" i="15"/>
  <c r="P67" i="15"/>
  <c r="R67" i="15"/>
  <c r="S67" i="15"/>
  <c r="B68" i="15"/>
  <c r="C68" i="15"/>
  <c r="D68" i="15"/>
  <c r="E68" i="15"/>
  <c r="F68" i="15"/>
  <c r="G68" i="15"/>
  <c r="H68" i="15"/>
  <c r="I68" i="15"/>
  <c r="J68" i="15"/>
  <c r="K68" i="15"/>
  <c r="O68" i="15"/>
  <c r="P68" i="15"/>
  <c r="R68" i="15"/>
  <c r="S68" i="15"/>
  <c r="B69" i="15"/>
  <c r="C69" i="15"/>
  <c r="D69" i="15"/>
  <c r="E69" i="15"/>
  <c r="F69" i="15"/>
  <c r="G69" i="15"/>
  <c r="H69" i="15"/>
  <c r="I69" i="15"/>
  <c r="J69" i="15"/>
  <c r="K69" i="15"/>
  <c r="O69" i="15"/>
  <c r="P69" i="15"/>
  <c r="R69" i="15"/>
  <c r="S69" i="15"/>
  <c r="B70" i="15"/>
  <c r="D70" i="15"/>
  <c r="E70" i="15"/>
  <c r="F70" i="15"/>
  <c r="G70" i="15"/>
  <c r="H70" i="15"/>
  <c r="I70" i="15"/>
  <c r="J70" i="15"/>
  <c r="K70" i="15"/>
  <c r="O70" i="15"/>
  <c r="P70" i="15"/>
  <c r="R70" i="15"/>
  <c r="S70" i="15"/>
  <c r="B71" i="15"/>
  <c r="D71" i="15"/>
  <c r="E71" i="15"/>
  <c r="F71" i="15"/>
  <c r="G71" i="15"/>
  <c r="H71" i="15"/>
  <c r="I71" i="15"/>
  <c r="J71" i="15"/>
  <c r="K71" i="15"/>
  <c r="O71" i="15"/>
  <c r="P71" i="15"/>
  <c r="R71" i="15"/>
  <c r="S71" i="15"/>
  <c r="B72" i="15"/>
  <c r="D72" i="15"/>
  <c r="E72" i="15"/>
  <c r="F72" i="15"/>
  <c r="G72" i="15"/>
  <c r="H72" i="15"/>
  <c r="I72" i="15"/>
  <c r="J72" i="15"/>
  <c r="K72" i="15"/>
  <c r="O72" i="15"/>
  <c r="P72" i="15"/>
  <c r="R72" i="15"/>
  <c r="S72" i="15"/>
  <c r="B73" i="15"/>
  <c r="C73" i="15"/>
  <c r="D73" i="15"/>
  <c r="E73" i="15"/>
  <c r="F73" i="15"/>
  <c r="G73" i="15"/>
  <c r="H73" i="15"/>
  <c r="I73" i="15"/>
  <c r="J73" i="15"/>
  <c r="K73" i="15"/>
  <c r="O73" i="15"/>
  <c r="P73" i="15"/>
  <c r="R73" i="15"/>
  <c r="S73" i="15"/>
  <c r="B74" i="15"/>
  <c r="D74" i="15"/>
  <c r="E74" i="15"/>
  <c r="F74" i="15"/>
  <c r="G74" i="15"/>
  <c r="H74" i="15"/>
  <c r="I74" i="15"/>
  <c r="J74" i="15"/>
  <c r="K74" i="15"/>
  <c r="P74" i="15"/>
  <c r="R74" i="15"/>
  <c r="S74" i="15"/>
  <c r="B75" i="15"/>
  <c r="C75" i="15"/>
  <c r="D75" i="15"/>
  <c r="E75" i="15"/>
  <c r="F75" i="15"/>
  <c r="G75" i="15"/>
  <c r="H75" i="15"/>
  <c r="I75" i="15"/>
  <c r="J75" i="15"/>
  <c r="P75" i="15"/>
  <c r="R75" i="15"/>
  <c r="S75" i="15"/>
  <c r="B76" i="15"/>
  <c r="C76" i="15"/>
  <c r="D76" i="15"/>
  <c r="E76" i="15"/>
  <c r="F76" i="15"/>
  <c r="G76" i="15"/>
  <c r="H76" i="15"/>
  <c r="I76" i="15"/>
  <c r="J76" i="15"/>
  <c r="K76" i="15"/>
  <c r="O76" i="15"/>
  <c r="P76" i="15"/>
  <c r="R76" i="15"/>
  <c r="S76" i="15"/>
  <c r="B77" i="15"/>
  <c r="C77" i="15"/>
  <c r="D77" i="15"/>
  <c r="E77" i="15"/>
  <c r="F77" i="15"/>
  <c r="G77" i="15"/>
  <c r="H77" i="15"/>
  <c r="I77" i="15"/>
  <c r="J77" i="15"/>
  <c r="K77" i="15"/>
  <c r="O77" i="15"/>
  <c r="P77" i="15"/>
  <c r="R77" i="15"/>
  <c r="S77" i="15"/>
  <c r="B78" i="15"/>
  <c r="C78" i="15"/>
  <c r="D78" i="15"/>
  <c r="E78" i="15"/>
  <c r="F78" i="15"/>
  <c r="G78" i="15"/>
  <c r="H78" i="15"/>
  <c r="I78" i="15"/>
  <c r="J78" i="15"/>
  <c r="K78" i="15"/>
  <c r="O78" i="15"/>
  <c r="P78" i="15"/>
  <c r="R78" i="15"/>
  <c r="S78" i="15"/>
  <c r="B79" i="15"/>
  <c r="C79" i="15"/>
  <c r="D79" i="15"/>
  <c r="E79" i="15"/>
  <c r="F79" i="15"/>
  <c r="G79" i="15"/>
  <c r="H79" i="15"/>
  <c r="I79" i="15"/>
  <c r="J79" i="15"/>
  <c r="K79" i="15"/>
  <c r="O79" i="15"/>
  <c r="P79" i="15"/>
  <c r="R79" i="15"/>
  <c r="S79" i="15"/>
  <c r="B80" i="15"/>
  <c r="C80" i="15"/>
  <c r="D80" i="15"/>
  <c r="E80" i="15"/>
  <c r="F80" i="15"/>
  <c r="G80" i="15"/>
  <c r="H80" i="15"/>
  <c r="I80" i="15"/>
  <c r="J80" i="15"/>
  <c r="K80" i="15"/>
  <c r="O80" i="15"/>
  <c r="P80" i="15"/>
  <c r="R80" i="15"/>
  <c r="S80" i="15"/>
  <c r="B81" i="15"/>
  <c r="C81" i="15"/>
  <c r="D81" i="15"/>
  <c r="E81" i="15"/>
  <c r="F81" i="15"/>
  <c r="G81" i="15"/>
  <c r="H81" i="15"/>
  <c r="I81" i="15"/>
  <c r="J81" i="15"/>
  <c r="K81" i="15"/>
  <c r="O81" i="15"/>
  <c r="P81" i="15"/>
  <c r="R81" i="15"/>
  <c r="S81" i="15"/>
  <c r="B82" i="15"/>
  <c r="C82" i="15"/>
  <c r="D82" i="15"/>
  <c r="E82" i="15"/>
  <c r="F82" i="15"/>
  <c r="G82" i="15"/>
  <c r="H82" i="15"/>
  <c r="I82" i="15"/>
  <c r="J82" i="15"/>
  <c r="K82" i="15"/>
  <c r="L82" i="15"/>
  <c r="P82" i="15"/>
  <c r="R82" i="15"/>
  <c r="S82" i="15"/>
  <c r="B83" i="15"/>
  <c r="C83" i="15"/>
  <c r="E83" i="15"/>
  <c r="F83" i="15"/>
  <c r="G83" i="15"/>
  <c r="H83" i="15"/>
  <c r="I83" i="15"/>
  <c r="J83" i="15"/>
  <c r="K83" i="15"/>
  <c r="P83" i="15"/>
  <c r="B84" i="15"/>
  <c r="C84" i="15"/>
  <c r="D84" i="15"/>
  <c r="E84" i="15"/>
  <c r="F84" i="15"/>
  <c r="G84" i="15"/>
  <c r="H84" i="15"/>
  <c r="I84" i="15"/>
  <c r="J84" i="15"/>
  <c r="K84" i="15"/>
  <c r="O84" i="15"/>
  <c r="P84" i="15"/>
  <c r="R84" i="15"/>
  <c r="S84" i="15"/>
  <c r="B85" i="15"/>
  <c r="C85" i="15"/>
  <c r="D85" i="15"/>
  <c r="E85" i="15"/>
  <c r="F85" i="15"/>
  <c r="G85" i="15"/>
  <c r="H85" i="15"/>
  <c r="I85" i="15"/>
  <c r="J85" i="15"/>
  <c r="K85" i="15"/>
  <c r="O85" i="15"/>
  <c r="P85" i="15"/>
  <c r="R85" i="15"/>
  <c r="S85" i="15"/>
  <c r="B86" i="15"/>
  <c r="D86" i="15"/>
  <c r="E86" i="15"/>
  <c r="F86" i="15"/>
  <c r="G86" i="15"/>
  <c r="H86" i="15"/>
  <c r="I86" i="15"/>
  <c r="J86" i="15"/>
  <c r="K86" i="15"/>
  <c r="O86" i="15"/>
  <c r="P86" i="15"/>
  <c r="R86" i="15"/>
  <c r="S86" i="15"/>
  <c r="B87" i="15"/>
  <c r="D87" i="15"/>
  <c r="E87" i="15"/>
  <c r="G87" i="15"/>
  <c r="H87" i="15"/>
  <c r="I87" i="15"/>
  <c r="J87" i="15"/>
  <c r="K87" i="15"/>
  <c r="P87" i="15"/>
  <c r="R87" i="15"/>
  <c r="S87" i="15"/>
  <c r="B88" i="15"/>
  <c r="C88" i="15"/>
  <c r="D88" i="15"/>
  <c r="E88" i="15"/>
  <c r="F88" i="15"/>
  <c r="G88" i="15"/>
  <c r="H88" i="15"/>
  <c r="I88" i="15"/>
  <c r="J88" i="15"/>
  <c r="K88" i="15"/>
  <c r="O88" i="15"/>
  <c r="P88" i="15"/>
  <c r="R88" i="15"/>
  <c r="S88" i="15"/>
  <c r="B89" i="15"/>
  <c r="C89" i="15"/>
  <c r="D89" i="15"/>
  <c r="E89" i="15"/>
  <c r="F89" i="15"/>
  <c r="G89" i="15"/>
  <c r="H89" i="15"/>
  <c r="I89" i="15"/>
  <c r="J89" i="15"/>
  <c r="K89" i="15"/>
  <c r="O89" i="15"/>
  <c r="P89" i="15"/>
  <c r="R89" i="15"/>
  <c r="S89" i="15"/>
  <c r="B90" i="15"/>
  <c r="C90" i="15"/>
  <c r="D90" i="15"/>
  <c r="E90" i="15"/>
  <c r="F90" i="15"/>
  <c r="G90" i="15"/>
  <c r="H90" i="15"/>
  <c r="I90" i="15"/>
  <c r="J90" i="15"/>
  <c r="K90" i="15"/>
  <c r="P90" i="15"/>
  <c r="R90" i="15"/>
  <c r="S90" i="15"/>
  <c r="B91" i="15"/>
  <c r="D91" i="15"/>
  <c r="E91" i="15"/>
  <c r="F91" i="15"/>
  <c r="G91" i="15"/>
  <c r="H91" i="15"/>
  <c r="I91" i="15"/>
  <c r="J91" i="15"/>
  <c r="K91" i="15"/>
  <c r="O91" i="15"/>
  <c r="P91" i="15"/>
  <c r="R91" i="15"/>
  <c r="S91" i="15"/>
  <c r="B92" i="15"/>
  <c r="D92" i="15"/>
  <c r="E92" i="15"/>
  <c r="F92" i="15"/>
  <c r="G92" i="15"/>
  <c r="H92" i="15"/>
  <c r="I92" i="15"/>
  <c r="J92" i="15"/>
  <c r="K92" i="15"/>
  <c r="P92" i="15"/>
  <c r="R92" i="15"/>
  <c r="S92" i="15"/>
  <c r="B93" i="15"/>
  <c r="C93" i="15"/>
  <c r="D93" i="15"/>
  <c r="E93" i="15"/>
  <c r="F93" i="15"/>
  <c r="G93" i="15"/>
  <c r="H93" i="15"/>
  <c r="I93" i="15"/>
  <c r="J93" i="15"/>
  <c r="K93" i="15"/>
  <c r="P93" i="15"/>
  <c r="R93" i="15"/>
  <c r="S93" i="15"/>
  <c r="B94" i="15"/>
  <c r="C94" i="15"/>
  <c r="D94" i="15"/>
  <c r="E94" i="15"/>
  <c r="F94" i="15"/>
  <c r="G94" i="15"/>
  <c r="H94" i="15"/>
  <c r="I94" i="15"/>
  <c r="J94" i="15"/>
  <c r="K94" i="15"/>
  <c r="O94" i="15"/>
  <c r="P94" i="15"/>
  <c r="R94" i="15"/>
  <c r="S94" i="15"/>
  <c r="B95" i="15"/>
  <c r="C95" i="15"/>
  <c r="D95" i="15"/>
  <c r="E95" i="15"/>
  <c r="F95" i="15"/>
  <c r="G95" i="15"/>
  <c r="H95" i="15"/>
  <c r="I95" i="15"/>
  <c r="J95" i="15"/>
  <c r="K95" i="15"/>
  <c r="O95" i="15"/>
  <c r="P95" i="15"/>
  <c r="R95" i="15"/>
  <c r="S95" i="15"/>
  <c r="B96" i="15"/>
  <c r="C96" i="15"/>
  <c r="D96" i="15"/>
  <c r="E96" i="15"/>
  <c r="F96" i="15"/>
  <c r="G96" i="15"/>
  <c r="H96" i="15"/>
  <c r="I96" i="15"/>
  <c r="J96" i="15"/>
  <c r="K96" i="15"/>
  <c r="P96" i="15"/>
  <c r="R96" i="15"/>
  <c r="S96" i="15"/>
  <c r="B97" i="15"/>
  <c r="D97" i="15"/>
  <c r="E97" i="15"/>
  <c r="F97" i="15"/>
  <c r="G97" i="15"/>
  <c r="H97" i="15"/>
  <c r="I97" i="15"/>
  <c r="J97" i="15"/>
  <c r="K97" i="15"/>
  <c r="O97" i="15"/>
  <c r="P97" i="15"/>
  <c r="R97" i="15"/>
  <c r="S97" i="15"/>
  <c r="B98" i="15"/>
  <c r="D98" i="15"/>
  <c r="E98" i="15"/>
  <c r="F98" i="15"/>
  <c r="G98" i="15"/>
  <c r="H98" i="15"/>
  <c r="I98" i="15"/>
  <c r="J98" i="15"/>
  <c r="K98" i="15"/>
  <c r="O98" i="15"/>
  <c r="R98" i="15"/>
  <c r="S98" i="15"/>
  <c r="B99" i="15"/>
  <c r="C99" i="15"/>
  <c r="D99" i="15"/>
  <c r="E99" i="15"/>
  <c r="F99" i="15"/>
  <c r="G99" i="15"/>
  <c r="H99" i="15"/>
  <c r="I99" i="15"/>
  <c r="J99" i="15"/>
  <c r="K99" i="15"/>
  <c r="O99" i="15"/>
  <c r="P99" i="15"/>
  <c r="R99" i="15"/>
  <c r="S99" i="15"/>
  <c r="B100" i="15"/>
  <c r="D100" i="15"/>
  <c r="E100" i="15"/>
  <c r="G100" i="15"/>
  <c r="H100" i="15"/>
  <c r="I100" i="15"/>
  <c r="J100" i="15"/>
  <c r="K100" i="15"/>
  <c r="O100" i="15"/>
  <c r="P100" i="15"/>
  <c r="R100" i="15"/>
  <c r="S100" i="15"/>
  <c r="B101" i="15"/>
  <c r="C101" i="15"/>
  <c r="D101" i="15"/>
  <c r="E101" i="15"/>
  <c r="F101" i="15"/>
  <c r="G101" i="15"/>
  <c r="H101" i="15"/>
  <c r="I101" i="15"/>
  <c r="J101" i="15"/>
  <c r="K101" i="15"/>
  <c r="O101" i="15"/>
  <c r="P101" i="15"/>
  <c r="R101" i="15"/>
  <c r="S101" i="15"/>
  <c r="B102" i="15"/>
  <c r="C102" i="15"/>
  <c r="D102" i="15"/>
  <c r="E102" i="15"/>
  <c r="F102" i="15"/>
  <c r="G102" i="15"/>
  <c r="H102" i="15"/>
  <c r="I102" i="15"/>
  <c r="J102" i="15"/>
  <c r="K102" i="15"/>
  <c r="O102" i="15"/>
  <c r="P102" i="15"/>
  <c r="R102" i="15"/>
  <c r="S102" i="15"/>
  <c r="B103" i="15"/>
  <c r="C103" i="15"/>
  <c r="D103" i="15"/>
  <c r="E103" i="15"/>
  <c r="F103" i="15"/>
  <c r="G103" i="15"/>
  <c r="H103" i="15"/>
  <c r="I103" i="15"/>
  <c r="J103" i="15"/>
  <c r="K103" i="15"/>
  <c r="O103" i="15"/>
  <c r="P103" i="15"/>
  <c r="R103" i="15"/>
  <c r="S103" i="15"/>
  <c r="B104" i="15"/>
  <c r="C104" i="15"/>
  <c r="D104" i="15"/>
  <c r="E104" i="15"/>
  <c r="F104" i="15"/>
  <c r="G104" i="15"/>
  <c r="H104" i="15"/>
  <c r="I104" i="15"/>
  <c r="J104" i="15"/>
  <c r="K104" i="15"/>
  <c r="O104" i="15"/>
  <c r="P104" i="15"/>
  <c r="R104" i="15"/>
  <c r="S104" i="15"/>
  <c r="B105" i="15"/>
  <c r="D105" i="15"/>
  <c r="E105" i="15"/>
  <c r="G105" i="15"/>
  <c r="H105" i="15"/>
  <c r="I105" i="15"/>
  <c r="J105" i="15"/>
  <c r="K105" i="15"/>
  <c r="L105" i="15"/>
  <c r="P105" i="15"/>
  <c r="R105" i="15"/>
  <c r="S105" i="15"/>
  <c r="B106" i="15"/>
  <c r="E106" i="15"/>
  <c r="G106" i="15"/>
  <c r="H106" i="15"/>
  <c r="I106" i="15"/>
  <c r="J106" i="15"/>
  <c r="K106" i="15"/>
  <c r="P106" i="15"/>
  <c r="B107" i="15"/>
  <c r="E107" i="15"/>
  <c r="G107" i="15"/>
  <c r="H107" i="15"/>
  <c r="I107" i="15"/>
  <c r="J107" i="15"/>
  <c r="K107" i="15"/>
  <c r="P107" i="15"/>
  <c r="B108" i="15"/>
  <c r="E108" i="15"/>
  <c r="G108" i="15"/>
  <c r="H108" i="15"/>
  <c r="I108" i="15"/>
  <c r="J108" i="15"/>
  <c r="K108" i="15"/>
  <c r="P108" i="15"/>
  <c r="B109" i="15"/>
  <c r="D109" i="15"/>
  <c r="E109" i="15"/>
  <c r="G109" i="15"/>
  <c r="H109" i="15"/>
  <c r="I109" i="15"/>
  <c r="J109" i="15"/>
  <c r="K109" i="15"/>
  <c r="P109" i="15"/>
  <c r="R109" i="15"/>
  <c r="S109" i="15"/>
  <c r="B110" i="15"/>
  <c r="D110" i="15"/>
  <c r="E110" i="15"/>
  <c r="G110" i="15"/>
  <c r="H110" i="15"/>
  <c r="I110" i="15"/>
  <c r="J110" i="15"/>
  <c r="K110" i="15"/>
  <c r="O110" i="15"/>
  <c r="P110" i="15"/>
  <c r="R110" i="15"/>
  <c r="S110" i="15"/>
  <c r="B111" i="15"/>
  <c r="D111" i="15"/>
  <c r="E111" i="15"/>
  <c r="F111" i="15"/>
  <c r="G111" i="15"/>
  <c r="H111" i="15"/>
  <c r="I111" i="15"/>
  <c r="J111" i="15"/>
  <c r="K111" i="15"/>
  <c r="O111" i="15"/>
  <c r="P111" i="15"/>
  <c r="R111" i="15"/>
  <c r="S111" i="15"/>
  <c r="B112" i="15"/>
  <c r="D112" i="15"/>
  <c r="E112" i="15"/>
  <c r="F112" i="15"/>
  <c r="G112" i="15"/>
  <c r="H112" i="15"/>
  <c r="I112" i="15"/>
  <c r="J112" i="15"/>
  <c r="K112" i="15"/>
  <c r="P112" i="15"/>
  <c r="R112" i="15"/>
  <c r="S112" i="15"/>
  <c r="B113" i="15"/>
  <c r="D113" i="15"/>
  <c r="E113" i="15"/>
  <c r="F113" i="15"/>
  <c r="G113" i="15"/>
  <c r="H113" i="15"/>
  <c r="I113" i="15"/>
  <c r="J113" i="15"/>
  <c r="K113" i="15"/>
  <c r="O113" i="15"/>
  <c r="P113" i="15"/>
  <c r="R113" i="15"/>
  <c r="S113" i="15"/>
  <c r="B114" i="15"/>
  <c r="C114" i="15"/>
  <c r="D114" i="15"/>
  <c r="E114" i="15"/>
  <c r="F114" i="15"/>
  <c r="G114" i="15"/>
  <c r="H114" i="15"/>
  <c r="I114" i="15"/>
  <c r="J114" i="15"/>
  <c r="K114" i="15"/>
  <c r="O114" i="15"/>
  <c r="P114" i="15"/>
  <c r="R114" i="15"/>
  <c r="S114" i="15"/>
  <c r="B115" i="15"/>
  <c r="D115" i="15"/>
  <c r="E115" i="15"/>
  <c r="F115" i="15"/>
  <c r="G115" i="15"/>
  <c r="H115" i="15"/>
  <c r="I115" i="15"/>
  <c r="J115" i="15"/>
  <c r="K115" i="15"/>
  <c r="O115" i="15"/>
  <c r="P115" i="15"/>
  <c r="R115" i="15"/>
  <c r="S115" i="15"/>
  <c r="B116" i="15"/>
  <c r="D116" i="15"/>
  <c r="E116" i="15"/>
  <c r="F116" i="15"/>
  <c r="G116" i="15"/>
  <c r="H116" i="15"/>
  <c r="I116" i="15"/>
  <c r="J116" i="15"/>
  <c r="K116" i="15"/>
  <c r="O116" i="15"/>
  <c r="P116" i="15"/>
  <c r="R116" i="15"/>
  <c r="S116" i="15"/>
  <c r="B117" i="15"/>
  <c r="D117" i="15"/>
  <c r="E117" i="15"/>
  <c r="F117" i="15"/>
  <c r="G117" i="15"/>
  <c r="H117" i="15"/>
  <c r="I117" i="15"/>
  <c r="J117" i="15"/>
  <c r="K117" i="15"/>
  <c r="O117" i="15"/>
  <c r="P117" i="15"/>
  <c r="R117" i="15"/>
  <c r="S117" i="15"/>
  <c r="B118" i="15"/>
  <c r="D118" i="15"/>
  <c r="E118" i="15"/>
  <c r="F118" i="15"/>
  <c r="G118" i="15"/>
  <c r="H118" i="15"/>
  <c r="I118" i="15"/>
  <c r="J118" i="15"/>
  <c r="K118" i="15"/>
  <c r="O118" i="15"/>
  <c r="P118" i="15"/>
  <c r="R118" i="15"/>
  <c r="S118" i="15"/>
  <c r="B119" i="15"/>
  <c r="D119" i="15"/>
  <c r="E119" i="15"/>
  <c r="G119" i="15"/>
  <c r="H119" i="15"/>
  <c r="I119" i="15"/>
  <c r="J119" i="15"/>
  <c r="K119" i="15"/>
  <c r="O119" i="15"/>
  <c r="P119" i="15"/>
  <c r="R119" i="15"/>
  <c r="S119" i="15"/>
  <c r="B120" i="15"/>
  <c r="D120" i="15"/>
  <c r="E120" i="15"/>
  <c r="F120" i="15"/>
  <c r="G120" i="15"/>
  <c r="H120" i="15"/>
  <c r="I120" i="15"/>
  <c r="J120" i="15"/>
  <c r="K120" i="15"/>
  <c r="O120" i="15"/>
  <c r="P120" i="15"/>
  <c r="R120" i="15"/>
  <c r="S120" i="15"/>
  <c r="B121" i="15"/>
  <c r="C121" i="15"/>
  <c r="D121" i="15"/>
  <c r="E121" i="15"/>
  <c r="G121" i="15"/>
  <c r="H121" i="15"/>
  <c r="I121" i="15"/>
  <c r="J121" i="15"/>
  <c r="K121" i="15"/>
  <c r="O121" i="15"/>
  <c r="P121" i="15"/>
  <c r="R121" i="15"/>
  <c r="S121" i="15"/>
  <c r="B122" i="15"/>
  <c r="D122" i="15"/>
  <c r="E122" i="15"/>
  <c r="F122" i="15"/>
  <c r="G122" i="15"/>
  <c r="H122" i="15"/>
  <c r="I122" i="15"/>
  <c r="J122" i="15"/>
  <c r="K122" i="15"/>
  <c r="O122" i="15"/>
  <c r="P122" i="15"/>
  <c r="R122" i="15"/>
  <c r="S122" i="15"/>
  <c r="B123" i="15"/>
  <c r="D123" i="15"/>
  <c r="E123" i="15"/>
  <c r="F123" i="15"/>
  <c r="G123" i="15"/>
  <c r="H123" i="15"/>
  <c r="I123" i="15"/>
  <c r="J123" i="15"/>
  <c r="K123" i="15"/>
  <c r="O123" i="15"/>
  <c r="P123" i="15"/>
  <c r="R123" i="15"/>
  <c r="S123" i="15"/>
  <c r="B124" i="15"/>
  <c r="D124" i="15"/>
  <c r="E124" i="15"/>
  <c r="G124" i="15"/>
  <c r="H124" i="15"/>
  <c r="I124" i="15"/>
  <c r="J124" i="15"/>
  <c r="K124" i="15"/>
  <c r="O124" i="15"/>
  <c r="P124" i="15"/>
  <c r="R124" i="15"/>
  <c r="S124" i="15"/>
  <c r="F96" i="40" l="1"/>
  <c r="F176" i="40"/>
  <c r="E176" i="40"/>
  <c r="I96" i="40"/>
  <c r="D106" i="40"/>
  <c r="I135" i="40"/>
  <c r="G106" i="40"/>
  <c r="H181" i="40"/>
  <c r="G181" i="40"/>
  <c r="I106" i="40"/>
  <c r="F135" i="40"/>
  <c r="H110" i="40"/>
  <c r="E135" i="40"/>
  <c r="G110" i="40"/>
  <c r="G135" i="40"/>
  <c r="D181" i="40"/>
  <c r="I110" i="40"/>
  <c r="H96" i="40"/>
  <c r="I181" i="40"/>
  <c r="G96" i="40"/>
  <c r="F110" i="40"/>
  <c r="E110" i="40"/>
  <c r="G176" i="40"/>
  <c r="H176" i="40"/>
  <c r="D96" i="40"/>
  <c r="F181" i="40"/>
  <c r="F106" i="40"/>
  <c r="I176" i="40"/>
  <c r="H106" i="40"/>
  <c r="H135" i="40"/>
  <c r="J176" i="40"/>
  <c r="C176" i="40"/>
  <c r="D135" i="40"/>
  <c r="J135" i="40"/>
  <c r="C135" i="40"/>
  <c r="D176" i="40"/>
  <c r="J106" i="40"/>
  <c r="E181" i="40"/>
  <c r="C181" i="40"/>
  <c r="J181" i="40"/>
  <c r="C106" i="40"/>
  <c r="E106" i="40"/>
  <c r="J96" i="40"/>
  <c r="C96" i="40"/>
  <c r="J110" i="40"/>
  <c r="E96" i="40"/>
  <c r="D110" i="40"/>
  <c r="C110" i="40"/>
  <c r="E72" i="40"/>
  <c r="I72" i="40"/>
  <c r="G72" i="40"/>
  <c r="J72" i="40"/>
  <c r="D72" i="40"/>
  <c r="C72" i="40"/>
  <c r="F72" i="40"/>
  <c r="H72" i="40"/>
  <c r="C177" i="40"/>
  <c r="D177" i="40"/>
  <c r="G177" i="40"/>
  <c r="H177" i="40"/>
  <c r="E177" i="40"/>
  <c r="I177" i="40"/>
  <c r="J177" i="40"/>
  <c r="F177" i="40"/>
  <c r="C208" i="40"/>
  <c r="D208" i="40"/>
  <c r="E208" i="40"/>
  <c r="F208" i="40"/>
  <c r="I208" i="40"/>
  <c r="G208" i="40"/>
  <c r="H208" i="40"/>
  <c r="J208" i="40"/>
  <c r="H28" i="40"/>
  <c r="H29" i="40"/>
  <c r="H30" i="40"/>
  <c r="H32" i="40"/>
  <c r="G34" i="40"/>
  <c r="I209" i="40"/>
  <c r="D211" i="40"/>
  <c r="F37" i="40"/>
  <c r="E39" i="40"/>
  <c r="G41" i="40"/>
  <c r="I43" i="40"/>
  <c r="H212" i="40"/>
  <c r="J213" i="40"/>
  <c r="E215" i="40"/>
  <c r="G49" i="40"/>
  <c r="F216" i="40"/>
  <c r="I28" i="40"/>
  <c r="I31" i="40"/>
  <c r="E35" i="40"/>
  <c r="G36" i="40"/>
  <c r="I211" i="40"/>
  <c r="J39" i="40"/>
  <c r="E42" i="40"/>
  <c r="G44" i="40"/>
  <c r="I212" i="40"/>
  <c r="D214" i="40"/>
  <c r="F215" i="40"/>
  <c r="H49" i="40"/>
  <c r="D52" i="40"/>
  <c r="F54" i="40"/>
  <c r="E57" i="40"/>
  <c r="F30" i="40"/>
  <c r="I34" i="40"/>
  <c r="D36" i="40"/>
  <c r="F211" i="40"/>
  <c r="H37" i="40"/>
  <c r="I41" i="40"/>
  <c r="D44" i="40"/>
  <c r="J212" i="40"/>
  <c r="E214" i="40"/>
  <c r="G215" i="40"/>
  <c r="F50" i="40"/>
  <c r="E52" i="40"/>
  <c r="G54" i="40"/>
  <c r="I56" i="40"/>
  <c r="H59" i="40"/>
  <c r="G31" i="40"/>
  <c r="I33" i="40"/>
  <c r="D209" i="40"/>
  <c r="F210" i="40"/>
  <c r="I37" i="40"/>
  <c r="D39" i="40"/>
  <c r="F41" i="40"/>
  <c r="E44" i="40"/>
  <c r="H46" i="40"/>
  <c r="J214" i="40"/>
  <c r="E48" i="40"/>
  <c r="D51" i="40"/>
  <c r="F52" i="40"/>
  <c r="H54" i="40"/>
  <c r="G56" i="40"/>
  <c r="D31" i="40"/>
  <c r="D35" i="40"/>
  <c r="F36" i="40"/>
  <c r="H211" i="40"/>
  <c r="I39" i="40"/>
  <c r="D42" i="40"/>
  <c r="F44" i="40"/>
  <c r="E46" i="40"/>
  <c r="G214" i="40"/>
  <c r="I215" i="40"/>
  <c r="D50" i="40"/>
  <c r="E32" i="40"/>
  <c r="G33" i="40"/>
  <c r="I35" i="40"/>
  <c r="D210" i="40"/>
  <c r="G40" i="40"/>
  <c r="I42" i="40"/>
  <c r="D45" i="40"/>
  <c r="F46" i="40"/>
  <c r="H214" i="40"/>
  <c r="J215" i="40"/>
  <c r="I50" i="40"/>
  <c r="H52" i="40"/>
  <c r="G55" i="40"/>
  <c r="I57" i="40"/>
  <c r="F27" i="40"/>
  <c r="F29" i="40"/>
  <c r="F31" i="40"/>
  <c r="F35" i="40"/>
  <c r="H36" i="40"/>
  <c r="J211" i="40"/>
  <c r="G39" i="40"/>
  <c r="F42" i="40"/>
  <c r="H44" i="40"/>
  <c r="G46" i="40"/>
  <c r="I214" i="40"/>
  <c r="G51" i="40"/>
  <c r="I52" i="40"/>
  <c r="D55" i="40"/>
  <c r="F57" i="40"/>
  <c r="G29" i="40"/>
  <c r="G32" i="40"/>
  <c r="F34" i="40"/>
  <c r="H209" i="40"/>
  <c r="J210" i="40"/>
  <c r="H39" i="40"/>
  <c r="G42" i="40"/>
  <c r="F45" i="40"/>
  <c r="E213" i="40"/>
  <c r="G47" i="40"/>
  <c r="I48" i="40"/>
  <c r="H51" i="40"/>
  <c r="J52" i="40"/>
  <c r="E55" i="40"/>
  <c r="G57" i="40"/>
  <c r="I59" i="40"/>
  <c r="I58" i="40"/>
  <c r="F217" i="40"/>
  <c r="H63" i="40"/>
  <c r="D218" i="40"/>
  <c r="F219" i="40"/>
  <c r="H220" i="40"/>
  <c r="G71" i="40"/>
  <c r="I222" i="40"/>
  <c r="D73" i="40"/>
  <c r="F75" i="40"/>
  <c r="E78" i="40"/>
  <c r="H225" i="40"/>
  <c r="G82" i="40"/>
  <c r="D27" i="40"/>
  <c r="H31" i="40"/>
  <c r="H35" i="40"/>
  <c r="J36" i="40"/>
  <c r="D38" i="40"/>
  <c r="F40" i="40"/>
  <c r="H42" i="40"/>
  <c r="G45" i="40"/>
  <c r="I46" i="40"/>
  <c r="D47" i="40"/>
  <c r="F48" i="40"/>
  <c r="H50" i="40"/>
  <c r="I30" i="40"/>
  <c r="I32" i="40"/>
  <c r="D34" i="40"/>
  <c r="F209" i="40"/>
  <c r="H210" i="40"/>
  <c r="G37" i="40"/>
  <c r="I38" i="40"/>
  <c r="D41" i="40"/>
  <c r="F43" i="40"/>
  <c r="H45" i="40"/>
  <c r="E47" i="40"/>
  <c r="G48" i="40"/>
  <c r="F51" i="40"/>
  <c r="E53" i="40"/>
  <c r="F28" i="40"/>
  <c r="J31" i="40"/>
  <c r="H33" i="40"/>
  <c r="J35" i="40"/>
  <c r="E210" i="40"/>
  <c r="D40" i="40"/>
  <c r="J42" i="40"/>
  <c r="I45" i="40"/>
  <c r="D213" i="40"/>
  <c r="F47" i="40"/>
  <c r="H48" i="40"/>
  <c r="D216" i="40"/>
  <c r="F53" i="40"/>
  <c r="H55" i="40"/>
  <c r="J57" i="40"/>
  <c r="G27" i="40"/>
  <c r="J34" i="40"/>
  <c r="E36" i="40"/>
  <c r="G211" i="40"/>
  <c r="D43" i="40"/>
  <c r="G212" i="40"/>
  <c r="I213" i="40"/>
  <c r="D215" i="40"/>
  <c r="F49" i="40"/>
  <c r="E216" i="40"/>
  <c r="G53" i="40"/>
  <c r="I55" i="40"/>
  <c r="D58" i="40"/>
  <c r="F60" i="40"/>
  <c r="H60" i="40"/>
  <c r="J217" i="40"/>
  <c r="I64" i="40"/>
  <c r="H218" i="40"/>
  <c r="J219" i="40"/>
  <c r="E69" i="40"/>
  <c r="D221" i="40"/>
  <c r="F223" i="40"/>
  <c r="H73" i="40"/>
  <c r="G76" i="40"/>
  <c r="F79" i="40"/>
  <c r="E226" i="40"/>
  <c r="D83" i="40"/>
  <c r="F85" i="40"/>
  <c r="H27" i="40"/>
  <c r="D29" i="40"/>
  <c r="D30" i="40"/>
  <c r="F33" i="40"/>
  <c r="E209" i="40"/>
  <c r="G210" i="40"/>
  <c r="H38" i="40"/>
  <c r="E43" i="40"/>
  <c r="D212" i="40"/>
  <c r="F213" i="40"/>
  <c r="H47" i="40"/>
  <c r="I51" i="40"/>
  <c r="I27" i="40"/>
  <c r="I29" i="40"/>
  <c r="E31" i="40"/>
  <c r="H34" i="40"/>
  <c r="J209" i="40"/>
  <c r="E211" i="40"/>
  <c r="F39" i="40"/>
  <c r="H41" i="40"/>
  <c r="J43" i="40"/>
  <c r="E212" i="40"/>
  <c r="G213" i="40"/>
  <c r="I47" i="40"/>
  <c r="D49" i="40"/>
  <c r="G216" i="40"/>
  <c r="I53" i="40"/>
  <c r="H56" i="40"/>
  <c r="F32" i="40"/>
  <c r="E34" i="40"/>
  <c r="G209" i="40"/>
  <c r="I210" i="40"/>
  <c r="D37" i="40"/>
  <c r="F38" i="40"/>
  <c r="H40" i="40"/>
  <c r="G43" i="40"/>
  <c r="F212" i="40"/>
  <c r="H213" i="40"/>
  <c r="J47" i="40"/>
  <c r="I49" i="40"/>
  <c r="H216" i="40"/>
  <c r="J53" i="40"/>
  <c r="E56" i="40"/>
  <c r="G58" i="40"/>
  <c r="G28" i="40"/>
  <c r="G30" i="40"/>
  <c r="G35" i="40"/>
  <c r="I36" i="40"/>
  <c r="G38" i="40"/>
  <c r="I40" i="40"/>
  <c r="H43" i="40"/>
  <c r="F214" i="40"/>
  <c r="H215" i="40"/>
  <c r="G50" i="40"/>
  <c r="I216" i="40"/>
  <c r="D54" i="40"/>
  <c r="F56" i="40"/>
  <c r="H58" i="40"/>
  <c r="J216" i="40"/>
  <c r="D63" i="40"/>
  <c r="I67" i="40"/>
  <c r="F70" i="40"/>
  <c r="G224" i="40"/>
  <c r="F81" i="40"/>
  <c r="G89" i="40"/>
  <c r="I54" i="40"/>
  <c r="I60" i="40"/>
  <c r="H62" i="40"/>
  <c r="G65" i="40"/>
  <c r="I218" i="40"/>
  <c r="H68" i="40"/>
  <c r="E221" i="40"/>
  <c r="G223" i="40"/>
  <c r="F74" i="40"/>
  <c r="H76" i="40"/>
  <c r="G79" i="40"/>
  <c r="I225" i="40"/>
  <c r="D82" i="40"/>
  <c r="I87" i="40"/>
  <c r="D89" i="40"/>
  <c r="F91" i="40"/>
  <c r="H228" i="40"/>
  <c r="F59" i="40"/>
  <c r="I62" i="40"/>
  <c r="D65" i="40"/>
  <c r="J218" i="40"/>
  <c r="I68" i="40"/>
  <c r="D70" i="40"/>
  <c r="J221" i="40"/>
  <c r="E224" i="40"/>
  <c r="D75" i="40"/>
  <c r="F77" i="40"/>
  <c r="H79" i="40"/>
  <c r="G226" i="40"/>
  <c r="F83" i="40"/>
  <c r="E86" i="40"/>
  <c r="D227" i="40"/>
  <c r="F90" i="40"/>
  <c r="H92" i="40"/>
  <c r="G94" i="40"/>
  <c r="E58" i="40"/>
  <c r="E217" i="40"/>
  <c r="D64" i="40"/>
  <c r="G218" i="40"/>
  <c r="I219" i="40"/>
  <c r="H69" i="40"/>
  <c r="D222" i="40"/>
  <c r="F224" i="40"/>
  <c r="H74" i="40"/>
  <c r="I79" i="40"/>
  <c r="H226" i="40"/>
  <c r="D84" i="40"/>
  <c r="F86" i="40"/>
  <c r="H88" i="40"/>
  <c r="J89" i="40"/>
  <c r="E92" i="40"/>
  <c r="G93" i="40"/>
  <c r="I93" i="40"/>
  <c r="H229" i="40"/>
  <c r="H231" i="40"/>
  <c r="I98" i="40"/>
  <c r="H100" i="40"/>
  <c r="F65" i="40"/>
  <c r="G68" i="40"/>
  <c r="H221" i="40"/>
  <c r="E74" i="40"/>
  <c r="G80" i="40"/>
  <c r="H83" i="40"/>
  <c r="G86" i="40"/>
  <c r="I88" i="40"/>
  <c r="F92" i="40"/>
  <c r="D57" i="40"/>
  <c r="F61" i="40"/>
  <c r="D66" i="40"/>
  <c r="F67" i="40"/>
  <c r="E220" i="40"/>
  <c r="G70" i="40"/>
  <c r="I221" i="40"/>
  <c r="D224" i="40"/>
  <c r="J74" i="40"/>
  <c r="E77" i="40"/>
  <c r="D80" i="40"/>
  <c r="F226" i="40"/>
  <c r="H82" i="40"/>
  <c r="G85" i="40"/>
  <c r="F88" i="40"/>
  <c r="H89" i="40"/>
  <c r="D53" i="40"/>
  <c r="G61" i="40"/>
  <c r="F63" i="40"/>
  <c r="H65" i="40"/>
  <c r="F220" i="40"/>
  <c r="H70" i="40"/>
  <c r="G222" i="40"/>
  <c r="I224" i="40"/>
  <c r="H75" i="40"/>
  <c r="I80" i="40"/>
  <c r="D81" i="40"/>
  <c r="G84" i="40"/>
  <c r="H227" i="40"/>
  <c r="E228" i="40"/>
  <c r="D95" i="40"/>
  <c r="G59" i="40"/>
  <c r="I217" i="40"/>
  <c r="H64" i="40"/>
  <c r="D67" i="40"/>
  <c r="F68" i="40"/>
  <c r="I70" i="40"/>
  <c r="H222" i="40"/>
  <c r="J224" i="40"/>
  <c r="E75" i="40"/>
  <c r="G77" i="40"/>
  <c r="F80" i="40"/>
  <c r="I81" i="40"/>
  <c r="H84" i="40"/>
  <c r="E227" i="40"/>
  <c r="G90" i="40"/>
  <c r="I92" i="40"/>
  <c r="J94" i="40"/>
  <c r="D230" i="40"/>
  <c r="D97" i="40"/>
  <c r="F99" i="40"/>
  <c r="I61" i="40"/>
  <c r="G66" i="40"/>
  <c r="D220" i="40"/>
  <c r="E222" i="40"/>
  <c r="I74" i="40"/>
  <c r="D225" i="40"/>
  <c r="D87" i="40"/>
  <c r="F227" i="40"/>
  <c r="H90" i="40"/>
  <c r="J92" i="40"/>
  <c r="G217" i="40"/>
  <c r="I63" i="40"/>
  <c r="H66" i="40"/>
  <c r="I220" i="40"/>
  <c r="D71" i="40"/>
  <c r="F222" i="40"/>
  <c r="H224" i="40"/>
  <c r="G75" i="40"/>
  <c r="I77" i="40"/>
  <c r="H80" i="40"/>
  <c r="J226" i="40"/>
  <c r="I83" i="40"/>
  <c r="D86" i="40"/>
  <c r="E90" i="40"/>
  <c r="G92" i="40"/>
  <c r="F55" i="40"/>
  <c r="D217" i="40"/>
  <c r="I66" i="40"/>
  <c r="D219" i="40"/>
  <c r="J220" i="40"/>
  <c r="I71" i="40"/>
  <c r="D223" i="40"/>
  <c r="F73" i="40"/>
  <c r="G78" i="40"/>
  <c r="F225" i="40"/>
  <c r="H81" i="40"/>
  <c r="F87" i="40"/>
  <c r="E89" i="40"/>
  <c r="G91" i="40"/>
  <c r="I228" i="40"/>
  <c r="H53" i="40"/>
  <c r="G60" i="40"/>
  <c r="F62" i="40"/>
  <c r="I65" i="40"/>
  <c r="H67" i="40"/>
  <c r="G220" i="40"/>
  <c r="F71" i="40"/>
  <c r="E223" i="40"/>
  <c r="G73" i="40"/>
  <c r="D78" i="40"/>
  <c r="G225" i="40"/>
  <c r="F82" i="40"/>
  <c r="G87" i="40"/>
  <c r="I227" i="40"/>
  <c r="D91" i="40"/>
  <c r="F228" i="40"/>
  <c r="H94" i="40"/>
  <c r="H95" i="40"/>
  <c r="H230" i="40"/>
  <c r="H97" i="40"/>
  <c r="G232" i="40"/>
  <c r="I101" i="40"/>
  <c r="D234" i="40"/>
  <c r="F104" i="40"/>
  <c r="H235" i="40"/>
  <c r="G109" i="40"/>
  <c r="J113" i="40"/>
  <c r="E116" i="40"/>
  <c r="G118" i="40"/>
  <c r="F121" i="40"/>
  <c r="E124" i="40"/>
  <c r="G236" i="40"/>
  <c r="F127" i="40"/>
  <c r="G131" i="40"/>
  <c r="I240" i="40"/>
  <c r="I95" i="40"/>
  <c r="G62" i="40"/>
  <c r="E67" i="40"/>
  <c r="I69" i="40"/>
  <c r="J223" i="40"/>
  <c r="D77" i="40"/>
  <c r="I226" i="40"/>
  <c r="I84" i="40"/>
  <c r="H87" i="40"/>
  <c r="J227" i="40"/>
  <c r="E91" i="40"/>
  <c r="G52" i="40"/>
  <c r="D60" i="40"/>
  <c r="F64" i="40"/>
  <c r="E218" i="40"/>
  <c r="G219" i="40"/>
  <c r="F69" i="40"/>
  <c r="H71" i="40"/>
  <c r="J222" i="40"/>
  <c r="I73" i="40"/>
  <c r="D76" i="40"/>
  <c r="F78" i="40"/>
  <c r="E225" i="40"/>
  <c r="G81" i="40"/>
  <c r="F84" i="40"/>
  <c r="H86" i="40"/>
  <c r="G227" i="40"/>
  <c r="I90" i="40"/>
  <c r="D228" i="40"/>
  <c r="H57" i="40"/>
  <c r="H217" i="40"/>
  <c r="G64" i="40"/>
  <c r="F218" i="40"/>
  <c r="H219" i="40"/>
  <c r="G69" i="40"/>
  <c r="F221" i="40"/>
  <c r="H223" i="40"/>
  <c r="G74" i="40"/>
  <c r="I76" i="40"/>
  <c r="D79" i="40"/>
  <c r="J225" i="40"/>
  <c r="I82" i="40"/>
  <c r="H85" i="40"/>
  <c r="G88" i="40"/>
  <c r="I89" i="40"/>
  <c r="D92" i="40"/>
  <c r="F93" i="40"/>
  <c r="J55" i="40"/>
  <c r="H61" i="40"/>
  <c r="G63" i="40"/>
  <c r="F66" i="40"/>
  <c r="E219" i="40"/>
  <c r="D69" i="40"/>
  <c r="G221" i="40"/>
  <c r="I223" i="40"/>
  <c r="D74" i="40"/>
  <c r="F76" i="40"/>
  <c r="H78" i="40"/>
  <c r="D226" i="40"/>
  <c r="G83" i="40"/>
  <c r="I85" i="40"/>
  <c r="D88" i="40"/>
  <c r="F89" i="40"/>
  <c r="H91" i="40"/>
  <c r="J228" i="40"/>
  <c r="G228" i="40"/>
  <c r="D229" i="40"/>
  <c r="D231" i="40"/>
  <c r="E98" i="40"/>
  <c r="D100" i="40"/>
  <c r="F233" i="40"/>
  <c r="H234" i="40"/>
  <c r="I107" i="40"/>
  <c r="H111" i="40"/>
  <c r="G114" i="40"/>
  <c r="I116" i="40"/>
  <c r="D119" i="40"/>
  <c r="G122" i="40"/>
  <c r="I124" i="40"/>
  <c r="D237" i="40"/>
  <c r="G128" i="40"/>
  <c r="I130" i="40"/>
  <c r="D239" i="40"/>
  <c r="F132" i="40"/>
  <c r="E101" i="40"/>
  <c r="I103" i="40"/>
  <c r="J108" i="40"/>
  <c r="H115" i="40"/>
  <c r="I120" i="40"/>
  <c r="J125" i="40"/>
  <c r="H129" i="40"/>
  <c r="E240" i="40"/>
  <c r="I229" i="40"/>
  <c r="I231" i="40"/>
  <c r="G99" i="40"/>
  <c r="F101" i="40"/>
  <c r="E234" i="40"/>
  <c r="G104" i="40"/>
  <c r="I235" i="40"/>
  <c r="H109" i="40"/>
  <c r="G113" i="40"/>
  <c r="I115" i="40"/>
  <c r="H118" i="40"/>
  <c r="D122" i="40"/>
  <c r="F124" i="40"/>
  <c r="H236" i="40"/>
  <c r="G127" i="40"/>
  <c r="F130" i="40"/>
  <c r="F95" i="40"/>
  <c r="F230" i="40"/>
  <c r="F97" i="40"/>
  <c r="I232" i="40"/>
  <c r="H233" i="40"/>
  <c r="G103" i="40"/>
  <c r="F235" i="40"/>
  <c r="H108" i="40"/>
  <c r="G112" i="40"/>
  <c r="I114" i="40"/>
  <c r="H117" i="40"/>
  <c r="D121" i="40"/>
  <c r="F123" i="40"/>
  <c r="H125" i="40"/>
  <c r="J237" i="40"/>
  <c r="F129" i="40"/>
  <c r="G95" i="40"/>
  <c r="G97" i="40"/>
  <c r="F232" i="40"/>
  <c r="E233" i="40"/>
  <c r="D103" i="40"/>
  <c r="F105" i="40"/>
  <c r="E108" i="40"/>
  <c r="G111" i="40"/>
  <c r="I113" i="40"/>
  <c r="D116" i="40"/>
  <c r="F118" i="40"/>
  <c r="F122" i="40"/>
  <c r="H124" i="40"/>
  <c r="J233" i="40"/>
  <c r="G105" i="40"/>
  <c r="I112" i="40"/>
  <c r="F117" i="40"/>
  <c r="H237" i="40"/>
  <c r="F238" i="40"/>
  <c r="E94" i="40"/>
  <c r="E230" i="40"/>
  <c r="I97" i="40"/>
  <c r="D232" i="40"/>
  <c r="G233" i="40"/>
  <c r="I234" i="40"/>
  <c r="D105" i="40"/>
  <c r="F107" i="40"/>
  <c r="E111" i="40"/>
  <c r="D114" i="40"/>
  <c r="F116" i="40"/>
  <c r="I119" i="40"/>
  <c r="H122" i="40"/>
  <c r="J124" i="40"/>
  <c r="E237" i="40"/>
  <c r="D128" i="40"/>
  <c r="J95" i="40"/>
  <c r="J230" i="40"/>
  <c r="G98" i="40"/>
  <c r="F100" i="40"/>
  <c r="I102" i="40"/>
  <c r="J235" i="40"/>
  <c r="E109" i="40"/>
  <c r="D113" i="40"/>
  <c r="F115" i="40"/>
  <c r="I118" i="40"/>
  <c r="H121" i="40"/>
  <c r="E236" i="40"/>
  <c r="G126" i="40"/>
  <c r="G130" i="40"/>
  <c r="G229" i="40"/>
  <c r="D98" i="40"/>
  <c r="J232" i="40"/>
  <c r="I233" i="40"/>
  <c r="H103" i="40"/>
  <c r="G235" i="40"/>
  <c r="I108" i="40"/>
  <c r="D112" i="40"/>
  <c r="F114" i="40"/>
  <c r="H116" i="40"/>
  <c r="G119" i="40"/>
  <c r="J122" i="40"/>
  <c r="E125" i="40"/>
  <c r="G237" i="40"/>
  <c r="I127" i="40"/>
  <c r="E238" i="40"/>
  <c r="G239" i="40"/>
  <c r="F240" i="40"/>
  <c r="G241" i="40"/>
  <c r="F137" i="40"/>
  <c r="H139" i="40"/>
  <c r="J141" i="40"/>
  <c r="E143" i="40"/>
  <c r="D146" i="40"/>
  <c r="J148" i="40"/>
  <c r="E151" i="40"/>
  <c r="G153" i="40"/>
  <c r="J156" i="40"/>
  <c r="E158" i="40"/>
  <c r="G159" i="40"/>
  <c r="I161" i="40"/>
  <c r="H246" i="40"/>
  <c r="G164" i="40"/>
  <c r="I166" i="40"/>
  <c r="D167" i="40"/>
  <c r="F251" i="40"/>
  <c r="H252" i="40"/>
  <c r="G238" i="40"/>
  <c r="H241" i="40"/>
  <c r="G137" i="40"/>
  <c r="F140" i="40"/>
  <c r="H242" i="40"/>
  <c r="G144" i="40"/>
  <c r="I146" i="40"/>
  <c r="G102" i="40"/>
  <c r="D235" i="40"/>
  <c r="F113" i="40"/>
  <c r="H123" i="40"/>
  <c r="I126" i="40"/>
  <c r="J238" i="40"/>
  <c r="E95" i="40"/>
  <c r="I230" i="40"/>
  <c r="F98" i="40"/>
  <c r="H232" i="40"/>
  <c r="D102" i="40"/>
  <c r="F103" i="40"/>
  <c r="H105" i="40"/>
  <c r="G108" i="40"/>
  <c r="I111" i="40"/>
  <c r="H114" i="40"/>
  <c r="G117" i="40"/>
  <c r="F120" i="40"/>
  <c r="E123" i="40"/>
  <c r="G125" i="40"/>
  <c r="I237" i="40"/>
  <c r="H128" i="40"/>
  <c r="E93" i="40"/>
  <c r="F229" i="40"/>
  <c r="F231" i="40"/>
  <c r="H99" i="40"/>
  <c r="G101" i="40"/>
  <c r="F234" i="40"/>
  <c r="H104" i="40"/>
  <c r="G107" i="40"/>
  <c r="I109" i="40"/>
  <c r="H113" i="40"/>
  <c r="J115" i="40"/>
  <c r="F119" i="40"/>
  <c r="E122" i="40"/>
  <c r="G124" i="40"/>
  <c r="I236" i="40"/>
  <c r="H127" i="40"/>
  <c r="H93" i="40"/>
  <c r="G230" i="40"/>
  <c r="H98" i="40"/>
  <c r="G100" i="40"/>
  <c r="F102" i="40"/>
  <c r="D107" i="40"/>
  <c r="F109" i="40"/>
  <c r="H112" i="40"/>
  <c r="J114" i="40"/>
  <c r="H120" i="40"/>
  <c r="G123" i="40"/>
  <c r="I125" i="40"/>
  <c r="G129" i="40"/>
  <c r="I238" i="40"/>
  <c r="D238" i="40"/>
  <c r="D132" i="40"/>
  <c r="D134" i="40"/>
  <c r="J137" i="40"/>
  <c r="G242" i="40"/>
  <c r="I143" i="40"/>
  <c r="H146" i="40"/>
  <c r="G149" i="40"/>
  <c r="I151" i="40"/>
  <c r="D154" i="40"/>
  <c r="G157" i="40"/>
  <c r="I158" i="40"/>
  <c r="D160" i="40"/>
  <c r="F162" i="40"/>
  <c r="E247" i="40"/>
  <c r="D165" i="40"/>
  <c r="F248" i="40"/>
  <c r="H167" i="40"/>
  <c r="J251" i="40"/>
  <c r="E169" i="40"/>
  <c r="H131" i="40"/>
  <c r="D138" i="40"/>
  <c r="E142" i="40"/>
  <c r="D145" i="40"/>
  <c r="E150" i="40"/>
  <c r="G152" i="40"/>
  <c r="I154" i="40"/>
  <c r="H157" i="40"/>
  <c r="J158" i="40"/>
  <c r="E160" i="40"/>
  <c r="G162" i="40"/>
  <c r="I246" i="40"/>
  <c r="D164" i="40"/>
  <c r="F166" i="40"/>
  <c r="H249" i="40"/>
  <c r="J250" i="40"/>
  <c r="I131" i="40"/>
  <c r="D133" i="40"/>
  <c r="F134" i="40"/>
  <c r="H137" i="40"/>
  <c r="G140" i="40"/>
  <c r="F108" i="40"/>
  <c r="D115" i="40"/>
  <c r="H119" i="40"/>
  <c r="F125" i="40"/>
  <c r="D129" i="40"/>
  <c r="H239" i="40"/>
  <c r="E229" i="40"/>
  <c r="E231" i="40"/>
  <c r="J98" i="40"/>
  <c r="I100" i="40"/>
  <c r="H102" i="40"/>
  <c r="E235" i="40"/>
  <c r="D109" i="40"/>
  <c r="F112" i="40"/>
  <c r="E115" i="40"/>
  <c r="G121" i="40"/>
  <c r="I123" i="40"/>
  <c r="D236" i="40"/>
  <c r="F126" i="40"/>
  <c r="I129" i="40"/>
  <c r="F94" i="40"/>
  <c r="J229" i="40"/>
  <c r="J231" i="40"/>
  <c r="E232" i="40"/>
  <c r="D233" i="40"/>
  <c r="J234" i="40"/>
  <c r="I105" i="40"/>
  <c r="D108" i="40"/>
  <c r="F111" i="40"/>
  <c r="E114" i="40"/>
  <c r="D117" i="40"/>
  <c r="G120" i="40"/>
  <c r="I122" i="40"/>
  <c r="D125" i="40"/>
  <c r="F237" i="40"/>
  <c r="I128" i="40"/>
  <c r="I94" i="40"/>
  <c r="G231" i="40"/>
  <c r="I99" i="40"/>
  <c r="H101" i="40"/>
  <c r="G234" i="40"/>
  <c r="I104" i="40"/>
  <c r="H107" i="40"/>
  <c r="J109" i="40"/>
  <c r="E113" i="40"/>
  <c r="G115" i="40"/>
  <c r="I117" i="40"/>
  <c r="E121" i="40"/>
  <c r="F236" i="40"/>
  <c r="H126" i="40"/>
  <c r="D130" i="40"/>
  <c r="F131" i="40"/>
  <c r="E131" i="40"/>
  <c r="I132" i="40"/>
  <c r="H134" i="40"/>
  <c r="G138" i="40"/>
  <c r="I140" i="40"/>
  <c r="D142" i="40"/>
  <c r="F144" i="40"/>
  <c r="I147" i="40"/>
  <c r="F152" i="40"/>
  <c r="I155" i="40"/>
  <c r="D243" i="40"/>
  <c r="F244" i="40"/>
  <c r="H160" i="40"/>
  <c r="G245" i="40"/>
  <c r="I247" i="40"/>
  <c r="H165" i="40"/>
  <c r="J248" i="40"/>
  <c r="E250" i="40"/>
  <c r="G168" i="40"/>
  <c r="I169" i="40"/>
  <c r="I239" i="40"/>
  <c r="G133" i="40"/>
  <c r="I134" i="40"/>
  <c r="G141" i="40"/>
  <c r="F143" i="40"/>
  <c r="H145" i="40"/>
  <c r="J236" i="40"/>
  <c r="F239" i="40"/>
  <c r="F141" i="40"/>
  <c r="H150" i="40"/>
  <c r="J244" i="40"/>
  <c r="E166" i="40"/>
  <c r="F170" i="40"/>
  <c r="I139" i="40"/>
  <c r="G148" i="40"/>
  <c r="F151" i="40"/>
  <c r="E154" i="40"/>
  <c r="E243" i="40"/>
  <c r="D159" i="40"/>
  <c r="J161" i="40"/>
  <c r="F247" i="40"/>
  <c r="E165" i="40"/>
  <c r="D249" i="40"/>
  <c r="G251" i="40"/>
  <c r="H240" i="40"/>
  <c r="I241" i="40"/>
  <c r="E138" i="40"/>
  <c r="H141" i="40"/>
  <c r="G143" i="40"/>
  <c r="F146" i="40"/>
  <c r="H148" i="40"/>
  <c r="E153" i="40"/>
  <c r="H156" i="40"/>
  <c r="J243" i="40"/>
  <c r="E159" i="40"/>
  <c r="G161" i="40"/>
  <c r="I245" i="40"/>
  <c r="D163" i="40"/>
  <c r="J165" i="40"/>
  <c r="E249" i="40"/>
  <c r="D251" i="40"/>
  <c r="E239" i="40"/>
  <c r="I133" i="40"/>
  <c r="D136" i="40"/>
  <c r="F138" i="40"/>
  <c r="H140" i="40"/>
  <c r="J242" i="40"/>
  <c r="I144" i="40"/>
  <c r="D147" i="40"/>
  <c r="H151" i="40"/>
  <c r="G154" i="40"/>
  <c r="I156" i="40"/>
  <c r="D158" i="40"/>
  <c r="F159" i="40"/>
  <c r="H161" i="40"/>
  <c r="G246" i="40"/>
  <c r="F164" i="40"/>
  <c r="E248" i="40"/>
  <c r="G167" i="40"/>
  <c r="I251" i="40"/>
  <c r="F169" i="40"/>
  <c r="D171" i="40"/>
  <c r="F172" i="40"/>
  <c r="G169" i="40"/>
  <c r="F254" i="40"/>
  <c r="H173" i="40"/>
  <c r="G175" i="40"/>
  <c r="I257" i="40"/>
  <c r="H180" i="40"/>
  <c r="J258" i="40"/>
  <c r="E258" i="40"/>
  <c r="G170" i="40"/>
  <c r="G254" i="40"/>
  <c r="E256" i="40"/>
  <c r="I180" i="40"/>
  <c r="E255" i="40"/>
  <c r="F252" i="40"/>
  <c r="H254" i="40"/>
  <c r="I175" i="40"/>
  <c r="G182" i="40"/>
  <c r="E127" i="40"/>
  <c r="F133" i="40"/>
  <c r="H142" i="40"/>
  <c r="J152" i="40"/>
  <c r="E161" i="40"/>
  <c r="G249" i="40"/>
  <c r="G240" i="40"/>
  <c r="D242" i="40"/>
  <c r="D149" i="40"/>
  <c r="J151" i="40"/>
  <c r="F155" i="40"/>
  <c r="I243" i="40"/>
  <c r="H159" i="40"/>
  <c r="D245" i="40"/>
  <c r="J247" i="40"/>
  <c r="I165" i="40"/>
  <c r="E167" i="40"/>
  <c r="D168" i="40"/>
  <c r="G132" i="40"/>
  <c r="I138" i="40"/>
  <c r="E242" i="40"/>
  <c r="H144" i="40"/>
  <c r="J146" i="40"/>
  <c r="E149" i="40"/>
  <c r="G151" i="40"/>
  <c r="F154" i="40"/>
  <c r="G158" i="40"/>
  <c r="I159" i="40"/>
  <c r="D162" i="40"/>
  <c r="F246" i="40"/>
  <c r="H163" i="40"/>
  <c r="G166" i="40"/>
  <c r="I249" i="40"/>
  <c r="H251" i="40"/>
  <c r="D240" i="40"/>
  <c r="F241" i="40"/>
  <c r="H136" i="40"/>
  <c r="E141" i="40"/>
  <c r="G142" i="40"/>
  <c r="F145" i="40"/>
  <c r="H147" i="40"/>
  <c r="E152" i="40"/>
  <c r="D155" i="40"/>
  <c r="F157" i="40"/>
  <c r="H158" i="40"/>
  <c r="J159" i="40"/>
  <c r="I162" i="40"/>
  <c r="D247" i="40"/>
  <c r="G165" i="40"/>
  <c r="I248" i="40"/>
  <c r="D250" i="40"/>
  <c r="F168" i="40"/>
  <c r="D170" i="40"/>
  <c r="H171" i="40"/>
  <c r="G173" i="40"/>
  <c r="D253" i="40"/>
  <c r="J254" i="40"/>
  <c r="I174" i="40"/>
  <c r="D256" i="40"/>
  <c r="F178" i="40"/>
  <c r="E182" i="40"/>
  <c r="G256" i="40"/>
  <c r="E252" i="40"/>
  <c r="E253" i="40"/>
  <c r="D172" i="40"/>
  <c r="G255" i="40"/>
  <c r="I256" i="40"/>
  <c r="D179" i="40"/>
  <c r="F182" i="40"/>
  <c r="J180" i="40"/>
  <c r="F175" i="40"/>
  <c r="J253" i="40"/>
  <c r="E172" i="40"/>
  <c r="D255" i="40"/>
  <c r="F256" i="40"/>
  <c r="H178" i="40"/>
  <c r="H258" i="40"/>
  <c r="H257" i="40"/>
  <c r="C74" i="40"/>
  <c r="H172" i="40"/>
  <c r="F257" i="40"/>
  <c r="D257" i="40"/>
  <c r="G171" i="40"/>
  <c r="H255" i="40"/>
  <c r="I179" i="40"/>
  <c r="F179" i="40"/>
  <c r="H130" i="40"/>
  <c r="I136" i="40"/>
  <c r="G145" i="40"/>
  <c r="F156" i="40"/>
  <c r="D246" i="40"/>
  <c r="I250" i="40"/>
  <c r="D241" i="40"/>
  <c r="J143" i="40"/>
  <c r="H149" i="40"/>
  <c r="D153" i="40"/>
  <c r="G156" i="40"/>
  <c r="F158" i="40"/>
  <c r="I160" i="40"/>
  <c r="H245" i="40"/>
  <c r="G163" i="40"/>
  <c r="J166" i="40"/>
  <c r="I167" i="40"/>
  <c r="H238" i="40"/>
  <c r="H133" i="40"/>
  <c r="G136" i="40"/>
  <c r="F139" i="40"/>
  <c r="I242" i="40"/>
  <c r="E145" i="40"/>
  <c r="G147" i="40"/>
  <c r="I149" i="40"/>
  <c r="D152" i="40"/>
  <c r="G155" i="40"/>
  <c r="I157" i="40"/>
  <c r="D244" i="40"/>
  <c r="F160" i="40"/>
  <c r="H162" i="40"/>
  <c r="J246" i="40"/>
  <c r="I164" i="40"/>
  <c r="D248" i="40"/>
  <c r="F167" i="40"/>
  <c r="I168" i="40"/>
  <c r="J240" i="40"/>
  <c r="J241" i="40"/>
  <c r="E137" i="40"/>
  <c r="G139" i="40"/>
  <c r="I141" i="40"/>
  <c r="D143" i="40"/>
  <c r="E148" i="40"/>
  <c r="G150" i="40"/>
  <c r="I152" i="40"/>
  <c r="H155" i="40"/>
  <c r="E244" i="40"/>
  <c r="G160" i="40"/>
  <c r="F245" i="40"/>
  <c r="H247" i="40"/>
  <c r="D166" i="40"/>
  <c r="F249" i="40"/>
  <c r="H250" i="40"/>
  <c r="H168" i="40"/>
  <c r="I170" i="40"/>
  <c r="E254" i="40"/>
  <c r="D174" i="40"/>
  <c r="H253" i="40"/>
  <c r="G172" i="40"/>
  <c r="F255" i="40"/>
  <c r="H256" i="40"/>
  <c r="G179" i="40"/>
  <c r="I178" i="40"/>
  <c r="J252" i="40"/>
  <c r="I253" i="40"/>
  <c r="D175" i="40"/>
  <c r="H179" i="40"/>
  <c r="D258" i="40"/>
  <c r="I172" i="40"/>
  <c r="J256" i="40"/>
  <c r="H174" i="40"/>
  <c r="J131" i="40"/>
  <c r="D139" i="40"/>
  <c r="F148" i="40"/>
  <c r="H243" i="40"/>
  <c r="F163" i="40"/>
  <c r="D252" i="40"/>
  <c r="F136" i="40"/>
  <c r="E146" i="40"/>
  <c r="I150" i="40"/>
  <c r="H153" i="40"/>
  <c r="D157" i="40"/>
  <c r="G244" i="40"/>
  <c r="F161" i="40"/>
  <c r="E246" i="40"/>
  <c r="H164" i="40"/>
  <c r="G248" i="40"/>
  <c r="F250" i="40"/>
  <c r="J239" i="40"/>
  <c r="E241" i="40"/>
  <c r="D137" i="40"/>
  <c r="D141" i="40"/>
  <c r="F142" i="40"/>
  <c r="D148" i="40"/>
  <c r="F150" i="40"/>
  <c r="H152" i="40"/>
  <c r="D156" i="40"/>
  <c r="F243" i="40"/>
  <c r="H244" i="40"/>
  <c r="J160" i="40"/>
  <c r="E245" i="40"/>
  <c r="G247" i="40"/>
  <c r="F165" i="40"/>
  <c r="H248" i="40"/>
  <c r="G250" i="40"/>
  <c r="D131" i="40"/>
  <c r="H132" i="40"/>
  <c r="G134" i="40"/>
  <c r="I137" i="40"/>
  <c r="D140" i="40"/>
  <c r="F242" i="40"/>
  <c r="H143" i="40"/>
  <c r="G146" i="40"/>
  <c r="I148" i="40"/>
  <c r="D151" i="40"/>
  <c r="F153" i="40"/>
  <c r="E156" i="40"/>
  <c r="G243" i="40"/>
  <c r="I244" i="40"/>
  <c r="D161" i="40"/>
  <c r="J245" i="40"/>
  <c r="I163" i="40"/>
  <c r="H166" i="40"/>
  <c r="J249" i="40"/>
  <c r="E251" i="40"/>
  <c r="G252" i="40"/>
  <c r="G253" i="40"/>
  <c r="I254" i="40"/>
  <c r="I252" i="40"/>
  <c r="I171" i="40"/>
  <c r="D173" i="40"/>
  <c r="J255" i="40"/>
  <c r="E257" i="40"/>
  <c r="D180" i="40"/>
  <c r="F258" i="40"/>
  <c r="G180" i="40"/>
  <c r="H169" i="40"/>
  <c r="F171" i="40"/>
  <c r="I173" i="40"/>
  <c r="H175" i="40"/>
  <c r="J257" i="40"/>
  <c r="E180" i="40"/>
  <c r="G258" i="40"/>
  <c r="H182" i="40"/>
  <c r="H170" i="40"/>
  <c r="D254" i="40"/>
  <c r="F173" i="40"/>
  <c r="E175" i="40"/>
  <c r="G257" i="40"/>
  <c r="F180" i="40"/>
  <c r="I255" i="40"/>
  <c r="D182" i="40"/>
  <c r="F174" i="40"/>
  <c r="G178" i="40"/>
  <c r="D26" i="40"/>
  <c r="F253" i="40"/>
  <c r="G174" i="40"/>
  <c r="D178" i="40"/>
  <c r="J175" i="40"/>
  <c r="I258" i="40"/>
  <c r="E80" i="40"/>
  <c r="J80" i="40"/>
  <c r="D61" i="40"/>
  <c r="J93" i="40"/>
  <c r="D93" i="40"/>
  <c r="D111" i="40"/>
  <c r="J111" i="40"/>
  <c r="D68" i="40"/>
  <c r="G116" i="40"/>
  <c r="J116" i="40"/>
  <c r="E155" i="40"/>
  <c r="J155" i="40"/>
  <c r="D144" i="40"/>
  <c r="J139" i="40"/>
  <c r="J102" i="40"/>
  <c r="I44" i="40"/>
  <c r="E139" i="40"/>
  <c r="I142" i="40"/>
  <c r="E102" i="40"/>
  <c r="J142" i="40"/>
  <c r="J44" i="40"/>
  <c r="J79" i="40"/>
  <c r="E79" i="40"/>
  <c r="J49" i="40"/>
  <c r="E49" i="40"/>
  <c r="D127" i="40"/>
  <c r="J127" i="40"/>
  <c r="D59" i="40"/>
  <c r="E99" i="40"/>
  <c r="C92" i="40"/>
  <c r="C146" i="40"/>
  <c r="C47" i="40"/>
  <c r="C116" i="40"/>
  <c r="C44" i="40"/>
  <c r="C39" i="40"/>
  <c r="C109" i="40"/>
  <c r="C125" i="40"/>
  <c r="C49" i="40"/>
  <c r="C55" i="40"/>
  <c r="C127" i="40"/>
  <c r="C166" i="40"/>
  <c r="C233" i="40"/>
  <c r="C102" i="40"/>
  <c r="C35" i="40"/>
  <c r="C115" i="40"/>
  <c r="C114" i="40"/>
  <c r="C43" i="40"/>
  <c r="C142" i="40"/>
  <c r="C31" i="40"/>
  <c r="C217" i="40"/>
  <c r="K217" i="40" s="1"/>
  <c r="C158" i="40"/>
  <c r="C250" i="40"/>
  <c r="C219" i="40"/>
  <c r="K219" i="40" s="1"/>
  <c r="C111" i="40"/>
  <c r="C240" i="40"/>
  <c r="C152" i="40"/>
  <c r="C248" i="40"/>
  <c r="C225" i="40"/>
  <c r="C234" i="40"/>
  <c r="C226" i="40"/>
  <c r="K226" i="40" s="1"/>
  <c r="C159" i="40"/>
  <c r="C36" i="40"/>
  <c r="C253" i="40"/>
  <c r="C210" i="40"/>
  <c r="K210" i="40" s="1"/>
  <c r="C236" i="40"/>
  <c r="C242" i="40"/>
  <c r="C160" i="40"/>
  <c r="C215" i="40"/>
  <c r="K215" i="40" s="1"/>
  <c r="C223" i="40"/>
  <c r="C95" i="40"/>
  <c r="C156" i="40"/>
  <c r="C251" i="40"/>
  <c r="C213" i="40"/>
  <c r="K213" i="40" s="1"/>
  <c r="C131" i="40"/>
  <c r="C252" i="40"/>
  <c r="C227" i="40"/>
  <c r="C214" i="40"/>
  <c r="K214" i="40" s="1"/>
  <c r="C239" i="40"/>
  <c r="C246" i="40"/>
  <c r="C209" i="40"/>
  <c r="K209" i="40" s="1"/>
  <c r="C244" i="40"/>
  <c r="C52" i="40"/>
  <c r="C228" i="40"/>
  <c r="C257" i="40"/>
  <c r="C254" i="40"/>
  <c r="C218" i="40"/>
  <c r="K218" i="40" s="1"/>
  <c r="C235" i="40"/>
  <c r="C243" i="40"/>
  <c r="C255" i="40"/>
  <c r="C231" i="40"/>
  <c r="K231" i="40" s="1"/>
  <c r="C241" i="40"/>
  <c r="C165" i="40"/>
  <c r="C211" i="40"/>
  <c r="K211" i="40" s="1"/>
  <c r="C237" i="40"/>
  <c r="C247" i="40"/>
  <c r="C98" i="40"/>
  <c r="C108" i="40"/>
  <c r="C249" i="40"/>
  <c r="C221" i="40"/>
  <c r="K221" i="40" s="1"/>
  <c r="C113" i="40"/>
  <c r="C245" i="40"/>
  <c r="C258" i="40"/>
  <c r="C69" i="40"/>
  <c r="C151" i="40"/>
  <c r="C216" i="40"/>
  <c r="K216" i="40" s="1"/>
  <c r="C143" i="40"/>
  <c r="C137" i="40"/>
  <c r="C229" i="40"/>
  <c r="C141" i="40"/>
  <c r="C172" i="40"/>
  <c r="C232" i="40"/>
  <c r="C89" i="40"/>
  <c r="C167" i="40"/>
  <c r="C175" i="40"/>
  <c r="C220" i="40"/>
  <c r="C222" i="40"/>
  <c r="K222" i="40" s="1"/>
  <c r="C155" i="40"/>
  <c r="C148" i="40"/>
  <c r="C224" i="40"/>
  <c r="C57" i="40"/>
  <c r="C256" i="40"/>
  <c r="C238" i="40"/>
  <c r="C230" i="40"/>
  <c r="C34" i="40"/>
  <c r="C93" i="40"/>
  <c r="C139" i="40"/>
  <c r="C180" i="40"/>
  <c r="C53" i="40"/>
  <c r="C79" i="40"/>
  <c r="C80" i="40"/>
  <c r="C122" i="40"/>
  <c r="C161" i="40"/>
  <c r="D782" i="15"/>
  <c r="C212" i="40"/>
  <c r="K212" i="40" s="1"/>
  <c r="C42" i="40"/>
  <c r="K223" i="40" l="1"/>
  <c r="K228" i="40"/>
  <c r="K208" i="40"/>
  <c r="K230" i="40"/>
  <c r="K225" i="40"/>
  <c r="K248" i="40"/>
  <c r="K220" i="40"/>
  <c r="K239" i="40"/>
  <c r="K227" i="40"/>
  <c r="K237" i="40"/>
  <c r="K232" i="40"/>
  <c r="K233" i="40"/>
  <c r="K238" i="40"/>
  <c r="K234" i="40"/>
  <c r="K240" i="40"/>
  <c r="K255" i="40"/>
  <c r="K251" i="40"/>
  <c r="K258" i="40"/>
  <c r="K235" i="40"/>
  <c r="K254" i="40"/>
  <c r="K250" i="40"/>
  <c r="K229" i="40"/>
  <c r="K243" i="40"/>
  <c r="K244" i="40"/>
  <c r="K242" i="40"/>
  <c r="K247" i="40"/>
  <c r="K256" i="40"/>
  <c r="K236" i="40"/>
  <c r="K253" i="40"/>
  <c r="K245" i="40"/>
  <c r="K246" i="40"/>
  <c r="K252" i="40"/>
  <c r="K249" i="40"/>
  <c r="K257" i="40"/>
  <c r="K241" i="40"/>
  <c r="K224" i="40"/>
  <c r="O6" i="75" l="1"/>
  <c r="O5" i="15" s="1"/>
  <c r="O51" i="75" l="1"/>
  <c r="O50" i="15" s="1"/>
  <c r="O47" i="15"/>
  <c r="O110" i="75"/>
  <c r="O109" i="15" s="1"/>
  <c r="O49" i="75"/>
  <c r="O48" i="15" s="1"/>
  <c r="O36" i="75"/>
  <c r="O35" i="15" s="1"/>
  <c r="O97" i="75" l="1"/>
  <c r="O96" i="15" s="1"/>
  <c r="O18" i="75"/>
  <c r="O17" i="15" s="1"/>
  <c r="L67" i="79"/>
  <c r="L40" i="79"/>
  <c r="M40" i="79" l="1"/>
  <c r="L163" i="15"/>
  <c r="D62" i="40" s="1"/>
  <c r="M67" i="79"/>
  <c r="L191" i="15"/>
  <c r="Q40" i="79"/>
  <c r="Q163" i="15" s="1"/>
  <c r="Q67" i="79"/>
  <c r="Q191" i="15" s="1"/>
  <c r="N67" i="79" l="1"/>
  <c r="N191" i="15" s="1"/>
  <c r="M191" i="15"/>
  <c r="N40" i="79"/>
  <c r="M163" i="15"/>
  <c r="L41" i="75"/>
  <c r="N163" i="15" l="1"/>
  <c r="Q41" i="75"/>
  <c r="Q40" i="15" s="1"/>
  <c r="J77" i="40" s="1"/>
  <c r="L40" i="15"/>
  <c r="H77" i="40" s="1"/>
  <c r="M41" i="75"/>
  <c r="M40" i="15" s="1"/>
  <c r="C77" i="40" l="1"/>
  <c r="N41" i="75"/>
  <c r="N40" i="15" s="1"/>
  <c r="L123" i="79" l="1"/>
  <c r="M123" i="79" l="1"/>
  <c r="L247" i="15"/>
  <c r="E119" i="40" s="1"/>
  <c r="Q123" i="79"/>
  <c r="Q247" i="15" s="1"/>
  <c r="J119" i="40" s="1"/>
  <c r="C119" i="40" l="1"/>
  <c r="N123" i="79"/>
  <c r="N247" i="15" s="1"/>
  <c r="M247" i="15"/>
  <c r="L117" i="75"/>
  <c r="L116" i="15" s="1"/>
  <c r="L116" i="75"/>
  <c r="Q116" i="75" l="1"/>
  <c r="Q115" i="15" s="1"/>
  <c r="L115" i="15"/>
  <c r="M116" i="75"/>
  <c r="Q117" i="75"/>
  <c r="Q116" i="15" s="1"/>
  <c r="M117" i="75"/>
  <c r="N116" i="75" l="1"/>
  <c r="N115" i="15" s="1"/>
  <c r="M115" i="15"/>
  <c r="N117" i="75"/>
  <c r="N116" i="15" s="1"/>
  <c r="M116" i="15"/>
  <c r="L114" i="75"/>
  <c r="L122" i="75"/>
  <c r="L121" i="75"/>
  <c r="M121" i="75" l="1"/>
  <c r="L120" i="15"/>
  <c r="E164" i="40" s="1"/>
  <c r="M122" i="75"/>
  <c r="L121" i="15"/>
  <c r="F149" i="40" s="1"/>
  <c r="M114" i="75"/>
  <c r="L113" i="15"/>
  <c r="E88" i="40" s="1"/>
  <c r="Q121" i="75"/>
  <c r="Q120" i="15" s="1"/>
  <c r="J164" i="40" s="1"/>
  <c r="Q122" i="75"/>
  <c r="Q121" i="15" s="1"/>
  <c r="J149" i="40" s="1"/>
  <c r="Q114" i="75"/>
  <c r="Q113" i="15" s="1"/>
  <c r="J88" i="40" s="1"/>
  <c r="C149" i="40" l="1"/>
  <c r="C88" i="40"/>
  <c r="C164" i="40"/>
  <c r="N122" i="75"/>
  <c r="N121" i="15" s="1"/>
  <c r="M121" i="15"/>
  <c r="N114" i="75"/>
  <c r="N113" i="15" s="1"/>
  <c r="M113" i="15"/>
  <c r="N121" i="75"/>
  <c r="N120" i="15" s="1"/>
  <c r="M120" i="15"/>
  <c r="O14" i="75"/>
  <c r="O13" i="15" s="1"/>
  <c r="O13" i="75"/>
  <c r="O12" i="15" s="1"/>
  <c r="O9" i="75"/>
  <c r="O8" i="15" s="1"/>
  <c r="L64" i="79" l="1"/>
  <c r="L65" i="79"/>
  <c r="L66" i="79"/>
  <c r="M66" i="79" l="1"/>
  <c r="M190" i="15" s="1"/>
  <c r="L190" i="15"/>
  <c r="M65" i="79"/>
  <c r="M189" i="15" s="1"/>
  <c r="L189" i="15"/>
  <c r="M64" i="79"/>
  <c r="M188" i="15" s="1"/>
  <c r="L188" i="15"/>
  <c r="D118" i="40" s="1"/>
  <c r="Q66" i="79"/>
  <c r="Q190" i="15" s="1"/>
  <c r="Q65" i="79"/>
  <c r="Q189" i="15" s="1"/>
  <c r="N64" i="79"/>
  <c r="N188" i="15" s="1"/>
  <c r="Q64" i="79"/>
  <c r="Q188" i="15" s="1"/>
  <c r="N66" i="79" l="1"/>
  <c r="N190" i="15" s="1"/>
  <c r="N65" i="79"/>
  <c r="N189" i="15" s="1"/>
  <c r="L776" i="15"/>
  <c r="Q776" i="15" s="1"/>
  <c r="L777" i="15"/>
  <c r="Q777" i="15" s="1"/>
  <c r="L778" i="15"/>
  <c r="Q778" i="15" s="1"/>
  <c r="M777" i="15" l="1"/>
  <c r="N777" i="15" s="1"/>
  <c r="M776" i="15"/>
  <c r="N776" i="15" s="1"/>
  <c r="M778" i="15"/>
  <c r="N778" i="15" s="1"/>
  <c r="K142" i="80"/>
  <c r="K141" i="80"/>
  <c r="K140" i="80"/>
  <c r="K137" i="80"/>
  <c r="K136" i="80"/>
  <c r="L19" i="80"/>
  <c r="L271" i="15" s="1"/>
  <c r="L33" i="80"/>
  <c r="L285" i="15" s="1"/>
  <c r="L114" i="80"/>
  <c r="L366" i="15" s="1"/>
  <c r="L60" i="80"/>
  <c r="L312" i="15" s="1"/>
  <c r="D124" i="40" s="1"/>
  <c r="L43" i="80"/>
  <c r="L295" i="15" s="1"/>
  <c r="D85" i="40" s="1"/>
  <c r="L32" i="80"/>
  <c r="L25" i="80"/>
  <c r="L277" i="15" s="1"/>
  <c r="O33" i="79"/>
  <c r="O156" i="15" s="1"/>
  <c r="L33" i="79"/>
  <c r="L156" i="15" s="1"/>
  <c r="L63" i="79"/>
  <c r="L62" i="79"/>
  <c r="L120" i="75"/>
  <c r="L17" i="79"/>
  <c r="L23" i="79"/>
  <c r="L31" i="79"/>
  <c r="L41" i="79"/>
  <c r="L36" i="79"/>
  <c r="O43" i="79"/>
  <c r="O166" i="15" s="1"/>
  <c r="L43" i="79"/>
  <c r="L38" i="79"/>
  <c r="L45" i="79"/>
  <c r="L168" i="15" s="1"/>
  <c r="O167" i="15"/>
  <c r="L44" i="79"/>
  <c r="L42" i="79"/>
  <c r="O37" i="79"/>
  <c r="O160" i="15" s="1"/>
  <c r="L37" i="79"/>
  <c r="L160" i="15" s="1"/>
  <c r="L11" i="79"/>
  <c r="L19" i="79"/>
  <c r="L18" i="79"/>
  <c r="L141" i="15" s="1"/>
  <c r="L15" i="79"/>
  <c r="L14" i="79"/>
  <c r="K13" i="79"/>
  <c r="L12" i="79"/>
  <c r="L10" i="79"/>
  <c r="L9" i="79"/>
  <c r="O131" i="15"/>
  <c r="L8" i="79"/>
  <c r="L131" i="15" s="1"/>
  <c r="O7" i="79"/>
  <c r="O130" i="15" s="1"/>
  <c r="L7" i="79"/>
  <c r="L130" i="15" s="1"/>
  <c r="L6" i="79"/>
  <c r="L5" i="79"/>
  <c r="O127" i="15"/>
  <c r="L4" i="79"/>
  <c r="L16" i="79"/>
  <c r="L3" i="79"/>
  <c r="C124" i="40" l="1"/>
  <c r="L284" i="15"/>
  <c r="E61" i="40" s="1"/>
  <c r="M19" i="80"/>
  <c r="M271" i="15" s="1"/>
  <c r="Q33" i="80"/>
  <c r="Q285" i="15" s="1"/>
  <c r="L166" i="15"/>
  <c r="M16" i="79"/>
  <c r="L139" i="15"/>
  <c r="L13" i="79"/>
  <c r="L136" i="15" s="1"/>
  <c r="K136" i="15"/>
  <c r="M4" i="79"/>
  <c r="L127" i="15"/>
  <c r="Q9" i="79"/>
  <c r="Q132" i="15" s="1"/>
  <c r="L132" i="15"/>
  <c r="M14" i="79"/>
  <c r="M137" i="15" s="1"/>
  <c r="L137" i="15"/>
  <c r="Q11" i="79"/>
  <c r="Q134" i="15" s="1"/>
  <c r="L134" i="15"/>
  <c r="M44" i="79"/>
  <c r="L167" i="15"/>
  <c r="Q31" i="79"/>
  <c r="Q154" i="15" s="1"/>
  <c r="L154" i="15"/>
  <c r="Q62" i="79"/>
  <c r="Q186" i="15" s="1"/>
  <c r="J150" i="40" s="1"/>
  <c r="L186" i="15"/>
  <c r="D150" i="40" s="1"/>
  <c r="Q6" i="79"/>
  <c r="Q129" i="15" s="1"/>
  <c r="L129" i="15"/>
  <c r="Q19" i="79"/>
  <c r="Q142" i="15" s="1"/>
  <c r="L142" i="15"/>
  <c r="Q41" i="79"/>
  <c r="Q164" i="15" s="1"/>
  <c r="L164" i="15"/>
  <c r="Q10" i="79"/>
  <c r="Q133" i="15" s="1"/>
  <c r="L133" i="15"/>
  <c r="Q15" i="79"/>
  <c r="Q138" i="15" s="1"/>
  <c r="L138" i="15"/>
  <c r="Q23" i="79"/>
  <c r="Q146" i="15" s="1"/>
  <c r="L146" i="15"/>
  <c r="Q63" i="79"/>
  <c r="Q187" i="15" s="1"/>
  <c r="J99" i="40" s="1"/>
  <c r="L187" i="15"/>
  <c r="D99" i="40" s="1"/>
  <c r="Q42" i="79"/>
  <c r="Q165" i="15" s="1"/>
  <c r="L165" i="15"/>
  <c r="Q38" i="79"/>
  <c r="Q161" i="15" s="1"/>
  <c r="J129" i="40" s="1"/>
  <c r="L161" i="15"/>
  <c r="E129" i="40" s="1"/>
  <c r="M3" i="79"/>
  <c r="L126" i="15"/>
  <c r="Q5" i="79"/>
  <c r="Q128" i="15" s="1"/>
  <c r="L128" i="15"/>
  <c r="Q12" i="79"/>
  <c r="Q135" i="15" s="1"/>
  <c r="L135" i="15"/>
  <c r="Q36" i="79"/>
  <c r="Q159" i="15" s="1"/>
  <c r="L159" i="15"/>
  <c r="Q17" i="79"/>
  <c r="Q140" i="15" s="1"/>
  <c r="L140" i="15"/>
  <c r="M120" i="75"/>
  <c r="M119" i="15" s="1"/>
  <c r="L119" i="15"/>
  <c r="E144" i="40" s="1"/>
  <c r="Q33" i="79"/>
  <c r="Q156" i="15" s="1"/>
  <c r="U156" i="15" s="1"/>
  <c r="M62" i="79"/>
  <c r="M33" i="79"/>
  <c r="M63" i="79"/>
  <c r="M33" i="80"/>
  <c r="M285" i="15" s="1"/>
  <c r="N19" i="80"/>
  <c r="N271" i="15" s="1"/>
  <c r="L126" i="80"/>
  <c r="B5" i="40" s="1"/>
  <c r="Q32" i="80"/>
  <c r="Q284" i="15" s="1"/>
  <c r="J61" i="40" s="1"/>
  <c r="M32" i="80"/>
  <c r="M284" i="15" s="1"/>
  <c r="M60" i="80"/>
  <c r="M312" i="15" s="1"/>
  <c r="Q122" i="80"/>
  <c r="Q374" i="15" s="1"/>
  <c r="K135" i="80"/>
  <c r="K138" i="80"/>
  <c r="L128" i="80"/>
  <c r="Q25" i="80"/>
  <c r="Q277" i="15" s="1"/>
  <c r="M25" i="80"/>
  <c r="M277" i="15" s="1"/>
  <c r="Q43" i="80"/>
  <c r="Q295" i="15" s="1"/>
  <c r="M43" i="80"/>
  <c r="M295" i="15" s="1"/>
  <c r="Q61" i="80"/>
  <c r="Q313" i="15" s="1"/>
  <c r="Q114" i="80"/>
  <c r="Q366" i="15" s="1"/>
  <c r="M114" i="80"/>
  <c r="M366" i="15" s="1"/>
  <c r="K139" i="80"/>
  <c r="O126" i="80"/>
  <c r="Q120" i="75"/>
  <c r="Q119" i="15" s="1"/>
  <c r="J144" i="40" s="1"/>
  <c r="M17" i="79"/>
  <c r="Q45" i="79"/>
  <c r="Q168" i="15" s="1"/>
  <c r="M23" i="79"/>
  <c r="Q43" i="79"/>
  <c r="Q166" i="15" s="1"/>
  <c r="M31" i="79"/>
  <c r="M41" i="79"/>
  <c r="M36" i="79"/>
  <c r="M43" i="79"/>
  <c r="M38" i="79"/>
  <c r="M45" i="79"/>
  <c r="Q44" i="79"/>
  <c r="Q167" i="15" s="1"/>
  <c r="Q37" i="79"/>
  <c r="Q160" i="15" s="1"/>
  <c r="M37" i="79"/>
  <c r="M42" i="79"/>
  <c r="Q18" i="79"/>
  <c r="Q141" i="15" s="1"/>
  <c r="M11" i="79"/>
  <c r="Q8" i="79"/>
  <c r="Q131" i="15" s="1"/>
  <c r="M19" i="79"/>
  <c r="M18" i="79"/>
  <c r="M6" i="79"/>
  <c r="Q7" i="79"/>
  <c r="Q130" i="15" s="1"/>
  <c r="M5" i="79"/>
  <c r="M7" i="79"/>
  <c r="Q14" i="79"/>
  <c r="Q137" i="15" s="1"/>
  <c r="Q3" i="79"/>
  <c r="Q126" i="15" s="1"/>
  <c r="Q16" i="79"/>
  <c r="Q139" i="15" s="1"/>
  <c r="M8" i="79"/>
  <c r="M15" i="79"/>
  <c r="Q4" i="79"/>
  <c r="Q127" i="15" s="1"/>
  <c r="M9" i="79"/>
  <c r="M10" i="79"/>
  <c r="M12" i="79"/>
  <c r="L48" i="75"/>
  <c r="C61" i="40" l="1"/>
  <c r="C150" i="40"/>
  <c r="C129" i="40"/>
  <c r="C99" i="40"/>
  <c r="C144" i="40"/>
  <c r="N25" i="80"/>
  <c r="N277" i="15" s="1"/>
  <c r="N43" i="80"/>
  <c r="N295" i="15" s="1"/>
  <c r="N60" i="80"/>
  <c r="N312" i="15" s="1"/>
  <c r="N32" i="80"/>
  <c r="N284" i="15" s="1"/>
  <c r="N33" i="80"/>
  <c r="N285" i="15" s="1"/>
  <c r="N114" i="80"/>
  <c r="N366" i="15" s="1"/>
  <c r="N14" i="79"/>
  <c r="N137" i="15" s="1"/>
  <c r="N120" i="75"/>
  <c r="N119" i="15" s="1"/>
  <c r="Q13" i="79"/>
  <c r="Q136" i="15" s="1"/>
  <c r="M13" i="79"/>
  <c r="N13" i="79" s="1"/>
  <c r="N136" i="15" s="1"/>
  <c r="N12" i="79"/>
  <c r="N135" i="15" s="1"/>
  <c r="M135" i="15"/>
  <c r="N15" i="79"/>
  <c r="M138" i="15"/>
  <c r="N7" i="79"/>
  <c r="N130" i="15" s="1"/>
  <c r="M130" i="15"/>
  <c r="N18" i="79"/>
  <c r="N141" i="15" s="1"/>
  <c r="M141" i="15"/>
  <c r="N36" i="79"/>
  <c r="N159" i="15" s="1"/>
  <c r="M159" i="15"/>
  <c r="N23" i="79"/>
  <c r="N146" i="15" s="1"/>
  <c r="M146" i="15"/>
  <c r="N62" i="79"/>
  <c r="N186" i="15" s="1"/>
  <c r="M186" i="15"/>
  <c r="N6" i="79"/>
  <c r="N129" i="15" s="1"/>
  <c r="M129" i="15"/>
  <c r="N11" i="79"/>
  <c r="N134" i="15" s="1"/>
  <c r="M134" i="15"/>
  <c r="N43" i="79"/>
  <c r="N166" i="15" s="1"/>
  <c r="M166" i="15"/>
  <c r="N33" i="79"/>
  <c r="N156" i="15" s="1"/>
  <c r="M156" i="15"/>
  <c r="N10" i="79"/>
  <c r="N133" i="15" s="1"/>
  <c r="M133" i="15"/>
  <c r="N5" i="79"/>
  <c r="N128" i="15" s="1"/>
  <c r="M128" i="15"/>
  <c r="N19" i="79"/>
  <c r="N142" i="15" s="1"/>
  <c r="M142" i="15"/>
  <c r="N42" i="79"/>
  <c r="N165" i="15" s="1"/>
  <c r="M165" i="15"/>
  <c r="N45" i="79"/>
  <c r="N168" i="15" s="1"/>
  <c r="M168" i="15"/>
  <c r="N41" i="79"/>
  <c r="N164" i="15" s="1"/>
  <c r="M164" i="15"/>
  <c r="N9" i="79"/>
  <c r="N132" i="15" s="1"/>
  <c r="M132" i="15"/>
  <c r="N8" i="79"/>
  <c r="N131" i="15" s="1"/>
  <c r="M131" i="15"/>
  <c r="N37" i="79"/>
  <c r="N160" i="15" s="1"/>
  <c r="M160" i="15"/>
  <c r="N38" i="79"/>
  <c r="N161" i="15" s="1"/>
  <c r="M161" i="15"/>
  <c r="N31" i="79"/>
  <c r="N154" i="15" s="1"/>
  <c r="M154" i="15"/>
  <c r="N17" i="79"/>
  <c r="N140" i="15" s="1"/>
  <c r="M140" i="15"/>
  <c r="N63" i="79"/>
  <c r="N187" i="15" s="1"/>
  <c r="M187" i="15"/>
  <c r="N3" i="79"/>
  <c r="M126" i="15"/>
  <c r="N44" i="79"/>
  <c r="N167" i="15" s="1"/>
  <c r="M167" i="15"/>
  <c r="N4" i="79"/>
  <c r="N127" i="15" s="1"/>
  <c r="M127" i="15"/>
  <c r="N16" i="79"/>
  <c r="N139" i="15" s="1"/>
  <c r="M139" i="15"/>
  <c r="Q47" i="15"/>
  <c r="J56" i="40" s="1"/>
  <c r="L47" i="15"/>
  <c r="D56" i="40" s="1"/>
  <c r="K143" i="80"/>
  <c r="Q126" i="80"/>
  <c r="F5" i="40" s="1"/>
  <c r="M126" i="80"/>
  <c r="C5" i="40" s="1"/>
  <c r="M128" i="80"/>
  <c r="M48" i="75"/>
  <c r="C56" i="40" l="1"/>
  <c r="N138" i="15"/>
  <c r="N126" i="15"/>
  <c r="M136" i="15"/>
  <c r="N48" i="75"/>
  <c r="N47" i="15" s="1"/>
  <c r="M47" i="15"/>
  <c r="N128" i="80"/>
  <c r="N126" i="80"/>
  <c r="D5" i="40" s="1"/>
  <c r="O106" i="75" l="1"/>
  <c r="O105" i="15" s="1"/>
  <c r="O41" i="15" l="1"/>
  <c r="L85" i="75" l="1"/>
  <c r="M85" i="75" l="1"/>
  <c r="M84" i="15" s="1"/>
  <c r="L84" i="15"/>
  <c r="Q85" i="75"/>
  <c r="Q84" i="15" s="1"/>
  <c r="N85" i="75" l="1"/>
  <c r="N84" i="15" s="1"/>
  <c r="K149" i="79"/>
  <c r="K148" i="79"/>
  <c r="D136" i="79"/>
  <c r="E4" i="40" s="1"/>
  <c r="L133" i="79"/>
  <c r="M133" i="79" s="1"/>
  <c r="L131" i="79"/>
  <c r="L122" i="79"/>
  <c r="L246" i="15" s="1"/>
  <c r="E103" i="40" s="1"/>
  <c r="L20" i="79"/>
  <c r="L34" i="79"/>
  <c r="L130" i="79"/>
  <c r="L29" i="79"/>
  <c r="L152" i="15" s="1"/>
  <c r="E63" i="40" s="1"/>
  <c r="L30" i="79"/>
  <c r="L21" i="79"/>
  <c r="L24" i="79"/>
  <c r="L22" i="79"/>
  <c r="C63" i="40" l="1"/>
  <c r="C103" i="40"/>
  <c r="L143" i="15"/>
  <c r="L136" i="79"/>
  <c r="Q130" i="79"/>
  <c r="Q254" i="15" s="1"/>
  <c r="J169" i="40" s="1"/>
  <c r="L254" i="15"/>
  <c r="D169" i="40" s="1"/>
  <c r="Q22" i="79"/>
  <c r="Q145" i="15" s="1"/>
  <c r="L145" i="15"/>
  <c r="M24" i="79"/>
  <c r="L147" i="15"/>
  <c r="Q21" i="79"/>
  <c r="Q144" i="15" s="1"/>
  <c r="J58" i="40" s="1"/>
  <c r="L144" i="15"/>
  <c r="F58" i="40" s="1"/>
  <c r="Q131" i="79"/>
  <c r="Q170" i="15" s="1"/>
  <c r="J67" i="40" s="1"/>
  <c r="L170" i="15"/>
  <c r="G67" i="40" s="1"/>
  <c r="M30" i="79"/>
  <c r="L153" i="15"/>
  <c r="E132" i="40" s="1"/>
  <c r="M34" i="79"/>
  <c r="M157" i="15" s="1"/>
  <c r="L157" i="15"/>
  <c r="D28" i="40" s="1"/>
  <c r="K144" i="79"/>
  <c r="K145" i="79"/>
  <c r="Q24" i="79"/>
  <c r="Q147" i="15" s="1"/>
  <c r="Q30" i="79"/>
  <c r="Q153" i="15" s="1"/>
  <c r="J132" i="40" s="1"/>
  <c r="M130" i="79"/>
  <c r="M131" i="79"/>
  <c r="N22" i="79"/>
  <c r="N145" i="15" s="1"/>
  <c r="M21" i="79"/>
  <c r="Q29" i="79"/>
  <c r="Q152" i="15" s="1"/>
  <c r="J63" i="40" s="1"/>
  <c r="M29" i="79"/>
  <c r="Q122" i="79"/>
  <c r="Q246" i="15" s="1"/>
  <c r="J103" i="40" s="1"/>
  <c r="M122" i="79"/>
  <c r="K147" i="79"/>
  <c r="M20" i="79"/>
  <c r="K143" i="79"/>
  <c r="L134" i="79"/>
  <c r="B4" i="40" s="1"/>
  <c r="O134" i="79"/>
  <c r="K142" i="79"/>
  <c r="N133" i="79"/>
  <c r="K146" i="79"/>
  <c r="Q34" i="79"/>
  <c r="Q157" i="15" s="1"/>
  <c r="Q133" i="79"/>
  <c r="C67" i="40" l="1"/>
  <c r="C169" i="40"/>
  <c r="N34" i="79"/>
  <c r="N157" i="15" s="1"/>
  <c r="C132" i="40"/>
  <c r="C58" i="40"/>
  <c r="N130" i="79"/>
  <c r="N254" i="15" s="1"/>
  <c r="M254" i="15"/>
  <c r="N30" i="79"/>
  <c r="N153" i="15" s="1"/>
  <c r="M153" i="15"/>
  <c r="N122" i="79"/>
  <c r="N246" i="15" s="1"/>
  <c r="M246" i="15"/>
  <c r="N21" i="79"/>
  <c r="M144" i="15"/>
  <c r="N20" i="79"/>
  <c r="M143" i="15"/>
  <c r="N29" i="79"/>
  <c r="N152" i="15" s="1"/>
  <c r="M152" i="15"/>
  <c r="N131" i="79"/>
  <c r="N170" i="15" s="1"/>
  <c r="M170" i="15"/>
  <c r="N24" i="79"/>
  <c r="N147" i="15" s="1"/>
  <c r="M147" i="15"/>
  <c r="Q134" i="79"/>
  <c r="F4" i="40" s="1"/>
  <c r="M134" i="79"/>
  <c r="C4" i="40" s="1"/>
  <c r="M136" i="79"/>
  <c r="K150" i="79"/>
  <c r="N136" i="79" l="1"/>
  <c r="N144" i="15"/>
  <c r="N143" i="15"/>
  <c r="N134" i="79"/>
  <c r="D4" i="40" s="1"/>
  <c r="M54" i="75"/>
  <c r="O38" i="15"/>
  <c r="L111" i="75"/>
  <c r="L110" i="15" s="1"/>
  <c r="D123" i="40" s="1"/>
  <c r="L47" i="75"/>
  <c r="L46" i="15" s="1"/>
  <c r="D46" i="40" s="1"/>
  <c r="L110" i="75"/>
  <c r="L109" i="15" s="1"/>
  <c r="D33" i="40" s="1"/>
  <c r="C46" i="40" l="1"/>
  <c r="C123" i="40"/>
  <c r="N54" i="75"/>
  <c r="M53" i="15"/>
  <c r="M110" i="75"/>
  <c r="Q110" i="75"/>
  <c r="Q109" i="15" s="1"/>
  <c r="M111" i="75"/>
  <c r="Q111" i="75"/>
  <c r="Q110" i="15" s="1"/>
  <c r="J123" i="40" s="1"/>
  <c r="M47" i="75"/>
  <c r="Q47" i="75"/>
  <c r="Q46" i="15" s="1"/>
  <c r="J46" i="40" s="1"/>
  <c r="Q54" i="75"/>
  <c r="Q53" i="15" s="1"/>
  <c r="N53" i="15" l="1"/>
  <c r="N47" i="75"/>
  <c r="N46" i="15" s="1"/>
  <c r="M46" i="15"/>
  <c r="N110" i="75"/>
  <c r="N109" i="15" s="1"/>
  <c r="M109" i="15"/>
  <c r="N111" i="75"/>
  <c r="N110" i="15" s="1"/>
  <c r="M110" i="15"/>
  <c r="O75" i="75"/>
  <c r="O74" i="15" s="1"/>
  <c r="O93" i="75"/>
  <c r="O92" i="15" s="1"/>
  <c r="O113" i="75"/>
  <c r="O112" i="15" s="1"/>
  <c r="O83" i="75"/>
  <c r="O82" i="15" s="1"/>
  <c r="O32" i="75"/>
  <c r="O31" i="15" s="1"/>
  <c r="O63" i="15" l="1"/>
  <c r="L26" i="75" l="1"/>
  <c r="L105" i="75"/>
  <c r="L86" i="75"/>
  <c r="M105" i="75" l="1"/>
  <c r="M104" i="15" s="1"/>
  <c r="L104" i="15"/>
  <c r="E147" i="40" s="1"/>
  <c r="M86" i="75"/>
  <c r="M85" i="15" s="1"/>
  <c r="L85" i="15"/>
  <c r="M26" i="75"/>
  <c r="M25" i="15" s="1"/>
  <c r="L25" i="15"/>
  <c r="E85" i="40" s="1"/>
  <c r="Q26" i="75"/>
  <c r="Q25" i="15" s="1"/>
  <c r="J85" i="40" s="1"/>
  <c r="Q105" i="75"/>
  <c r="Q104" i="15" s="1"/>
  <c r="Q86" i="75"/>
  <c r="Q85" i="15" s="1"/>
  <c r="C85" i="40" l="1"/>
  <c r="N26" i="75"/>
  <c r="N25" i="15" s="1"/>
  <c r="N105" i="75"/>
  <c r="N104" i="15" s="1"/>
  <c r="N86" i="75"/>
  <c r="N85" i="15" s="1"/>
  <c r="M49" i="75"/>
  <c r="N49" i="75" l="1"/>
  <c r="N48" i="15" s="1"/>
  <c r="M48" i="15"/>
  <c r="Q49" i="75"/>
  <c r="Q48" i="15" s="1"/>
  <c r="J69" i="40" s="1"/>
  <c r="L36" i="75" l="1"/>
  <c r="O52" i="75"/>
  <c r="M52" i="75"/>
  <c r="L51" i="75"/>
  <c r="L50" i="15" s="1"/>
  <c r="D101" i="40" s="1"/>
  <c r="C101" i="40" l="1"/>
  <c r="Q52" i="75"/>
  <c r="Q51" i="15" s="1"/>
  <c r="O51" i="15"/>
  <c r="N52" i="75"/>
  <c r="N51" i="15" s="1"/>
  <c r="M51" i="15"/>
  <c r="Q36" i="75"/>
  <c r="Q35" i="15" s="1"/>
  <c r="L35" i="15"/>
  <c r="Q51" i="75"/>
  <c r="Q50" i="15" s="1"/>
  <c r="M51" i="75"/>
  <c r="M36" i="75"/>
  <c r="J101" i="40" l="1"/>
  <c r="N36" i="75"/>
  <c r="N35" i="15" s="1"/>
  <c r="M35" i="15"/>
  <c r="N51" i="75"/>
  <c r="N50" i="15" s="1"/>
  <c r="M50" i="15"/>
  <c r="L104" i="75"/>
  <c r="L103" i="15" s="1"/>
  <c r="F147" i="40" s="1"/>
  <c r="L82" i="75"/>
  <c r="L100" i="75"/>
  <c r="L99" i="15" s="1"/>
  <c r="E170" i="40" s="1"/>
  <c r="L103" i="75"/>
  <c r="M106" i="75"/>
  <c r="M105" i="15" s="1"/>
  <c r="L33" i="75"/>
  <c r="L34" i="75"/>
  <c r="C170" i="40" l="1"/>
  <c r="C147" i="40"/>
  <c r="M103" i="75"/>
  <c r="M102" i="15" s="1"/>
  <c r="L102" i="15"/>
  <c r="E117" i="40" s="1"/>
  <c r="M34" i="75"/>
  <c r="M33" i="15" s="1"/>
  <c r="L33" i="15"/>
  <c r="M33" i="75"/>
  <c r="L32" i="15"/>
  <c r="M82" i="75"/>
  <c r="M81" i="15" s="1"/>
  <c r="L81" i="15"/>
  <c r="M104" i="75"/>
  <c r="Q104" i="75"/>
  <c r="Q103" i="15" s="1"/>
  <c r="J147" i="40" s="1"/>
  <c r="M100" i="75"/>
  <c r="M83" i="75"/>
  <c r="Q103" i="75"/>
  <c r="Q102" i="15" s="1"/>
  <c r="J117" i="40" s="1"/>
  <c r="Q100" i="75"/>
  <c r="Q99" i="15" s="1"/>
  <c r="J170" i="40" s="1"/>
  <c r="Q83" i="75"/>
  <c r="Q82" i="15" s="1"/>
  <c r="Q82" i="75"/>
  <c r="Q81" i="15" s="1"/>
  <c r="Q33" i="75"/>
  <c r="Q32" i="15" s="1"/>
  <c r="Q34" i="75"/>
  <c r="Q33" i="15" s="1"/>
  <c r="Q106" i="75"/>
  <c r="Q105" i="15" s="1"/>
  <c r="J167" i="40" s="1"/>
  <c r="N106" i="75"/>
  <c r="N105" i="15" s="1"/>
  <c r="D90" i="40" l="1"/>
  <c r="J90" i="40"/>
  <c r="C117" i="40"/>
  <c r="C90" i="40"/>
  <c r="N103" i="75"/>
  <c r="N102" i="15" s="1"/>
  <c r="N34" i="75"/>
  <c r="N33" i="15" s="1"/>
  <c r="N82" i="75"/>
  <c r="N81" i="15" s="1"/>
  <c r="N100" i="75"/>
  <c r="N99" i="15" s="1"/>
  <c r="M99" i="15"/>
  <c r="N83" i="75"/>
  <c r="N82" i="15" s="1"/>
  <c r="M82" i="15"/>
  <c r="N104" i="75"/>
  <c r="N103" i="15" s="1"/>
  <c r="M103" i="15"/>
  <c r="N33" i="75"/>
  <c r="N32" i="15" s="1"/>
  <c r="M32" i="15"/>
  <c r="L64" i="75"/>
  <c r="L63" i="15" s="1"/>
  <c r="Q64" i="75" l="1"/>
  <c r="Q63" i="15" s="1"/>
  <c r="M64" i="75"/>
  <c r="L97" i="75"/>
  <c r="L96" i="75"/>
  <c r="L95" i="15" s="1"/>
  <c r="L95" i="75"/>
  <c r="O93" i="15"/>
  <c r="L94" i="75"/>
  <c r="L93" i="75"/>
  <c r="L92" i="15" s="1"/>
  <c r="E66" i="40" s="1"/>
  <c r="L92" i="75"/>
  <c r="O91" i="75"/>
  <c r="O90" i="15" s="1"/>
  <c r="L91" i="75"/>
  <c r="L90" i="75"/>
  <c r="L89" i="75"/>
  <c r="O88" i="75"/>
  <c r="O87" i="15" s="1"/>
  <c r="L88" i="75"/>
  <c r="L87" i="15" s="1"/>
  <c r="L87" i="75"/>
  <c r="L81" i="75"/>
  <c r="L80" i="75"/>
  <c r="L79" i="75"/>
  <c r="L101" i="75"/>
  <c r="L78" i="75"/>
  <c r="L99" i="75"/>
  <c r="L98" i="75"/>
  <c r="L77" i="75"/>
  <c r="O76" i="75"/>
  <c r="O75" i="15" s="1"/>
  <c r="K76" i="75"/>
  <c r="L75" i="75"/>
  <c r="L74" i="15" s="1"/>
  <c r="E118" i="40" s="1"/>
  <c r="L74" i="75"/>
  <c r="L73" i="75"/>
  <c r="L72" i="75"/>
  <c r="L71" i="75"/>
  <c r="L70" i="75"/>
  <c r="L69" i="75"/>
  <c r="L119" i="75"/>
  <c r="L118" i="75"/>
  <c r="O66" i="15"/>
  <c r="L67" i="75"/>
  <c r="L66" i="15" s="1"/>
  <c r="L66" i="75"/>
  <c r="L65" i="75"/>
  <c r="O67" i="15"/>
  <c r="L68" i="75"/>
  <c r="O62" i="15"/>
  <c r="L63" i="75"/>
  <c r="L62" i="15" s="1"/>
  <c r="L62" i="75"/>
  <c r="O61" i="75"/>
  <c r="O60" i="15" s="1"/>
  <c r="L61" i="75"/>
  <c r="O58" i="75"/>
  <c r="M58" i="75"/>
  <c r="O56" i="15"/>
  <c r="L57" i="75"/>
  <c r="L46" i="75"/>
  <c r="L45" i="15" s="1"/>
  <c r="E112" i="40" s="1"/>
  <c r="L125" i="75"/>
  <c r="O45" i="75"/>
  <c r="O44" i="15" s="1"/>
  <c r="L45" i="75"/>
  <c r="L44" i="15" s="1"/>
  <c r="H154" i="40" s="1"/>
  <c r="L44" i="75"/>
  <c r="L43" i="75"/>
  <c r="L32" i="75"/>
  <c r="L31" i="75"/>
  <c r="L113" i="75"/>
  <c r="L112" i="15" s="1"/>
  <c r="E62" i="40" s="1"/>
  <c r="L112" i="75"/>
  <c r="L29" i="75"/>
  <c r="L27" i="75"/>
  <c r="L127" i="75"/>
  <c r="Q127" i="75" s="1"/>
  <c r="L39" i="75"/>
  <c r="L38" i="75"/>
  <c r="C29" i="40" l="1"/>
  <c r="E29" i="40"/>
  <c r="C27" i="40"/>
  <c r="E27" i="40"/>
  <c r="C66" i="40"/>
  <c r="C62" i="40"/>
  <c r="C112" i="40"/>
  <c r="C118" i="40"/>
  <c r="C154" i="40"/>
  <c r="Q58" i="75"/>
  <c r="Q57" i="15" s="1"/>
  <c r="J172" i="40" s="1"/>
  <c r="O57" i="15"/>
  <c r="L76" i="75"/>
  <c r="L75" i="15" s="1"/>
  <c r="E105" i="40" s="1"/>
  <c r="K75" i="15"/>
  <c r="Q44" i="75"/>
  <c r="Q43" i="15" s="1"/>
  <c r="J136" i="40" s="1"/>
  <c r="L43" i="15"/>
  <c r="E136" i="40" s="1"/>
  <c r="N58" i="75"/>
  <c r="N57" i="15" s="1"/>
  <c r="M57" i="15"/>
  <c r="Q62" i="75"/>
  <c r="Q61" i="15" s="1"/>
  <c r="L61" i="15"/>
  <c r="E97" i="40" s="1"/>
  <c r="Q70" i="75"/>
  <c r="Q69" i="15" s="1"/>
  <c r="L69" i="15"/>
  <c r="Q74" i="75"/>
  <c r="Q73" i="15" s="1"/>
  <c r="J40" i="40" s="1"/>
  <c r="L73" i="15"/>
  <c r="E40" i="40" s="1"/>
  <c r="Q77" i="75"/>
  <c r="Q76" i="15" s="1"/>
  <c r="J71" i="40" s="1"/>
  <c r="L76" i="15"/>
  <c r="E71" i="40" s="1"/>
  <c r="M101" i="75"/>
  <c r="L100" i="15"/>
  <c r="E68" i="40" s="1"/>
  <c r="M87" i="75"/>
  <c r="L86" i="15"/>
  <c r="E107" i="40" s="1"/>
  <c r="Q90" i="75"/>
  <c r="Q89" i="15" s="1"/>
  <c r="J84" i="40" s="1"/>
  <c r="L89" i="15"/>
  <c r="E84" i="40" s="1"/>
  <c r="Q65" i="75"/>
  <c r="Q64" i="15" s="1"/>
  <c r="J59" i="40" s="1"/>
  <c r="L64" i="15"/>
  <c r="E59" i="40" s="1"/>
  <c r="Q118" i="75"/>
  <c r="Q117" i="15" s="1"/>
  <c r="J78" i="40" s="1"/>
  <c r="L117" i="15"/>
  <c r="I78" i="40" s="1"/>
  <c r="Q71" i="75"/>
  <c r="Q70" i="15" s="1"/>
  <c r="L70" i="15"/>
  <c r="Q98" i="75"/>
  <c r="Q97" i="15" s="1"/>
  <c r="L97" i="15"/>
  <c r="M79" i="75"/>
  <c r="L78" i="15"/>
  <c r="M91" i="75"/>
  <c r="M90" i="15" s="1"/>
  <c r="L90" i="15"/>
  <c r="E157" i="40" s="1"/>
  <c r="M94" i="75"/>
  <c r="L93" i="15"/>
  <c r="E134" i="40" s="1"/>
  <c r="M97" i="75"/>
  <c r="M96" i="15" s="1"/>
  <c r="L96" i="15"/>
  <c r="Q27" i="75"/>
  <c r="Q26" i="15" s="1"/>
  <c r="J153" i="40" s="1"/>
  <c r="L26" i="15"/>
  <c r="I153" i="40" s="1"/>
  <c r="Q38" i="75"/>
  <c r="Q37" i="15" s="1"/>
  <c r="L37" i="15"/>
  <c r="Q29" i="75"/>
  <c r="Q28" i="15" s="1"/>
  <c r="J121" i="40" s="1"/>
  <c r="L28" i="15"/>
  <c r="I121" i="40" s="1"/>
  <c r="Q32" i="75"/>
  <c r="Q31" i="15" s="1"/>
  <c r="J65" i="40" s="1"/>
  <c r="L31" i="15"/>
  <c r="E65" i="40" s="1"/>
  <c r="M57" i="75"/>
  <c r="L56" i="15"/>
  <c r="E64" i="40" s="1"/>
  <c r="M61" i="75"/>
  <c r="L60" i="15"/>
  <c r="E128" i="40" s="1"/>
  <c r="Q66" i="75"/>
  <c r="Q65" i="15" s="1"/>
  <c r="J60" i="40" s="1"/>
  <c r="L65" i="15"/>
  <c r="E60" i="40" s="1"/>
  <c r="Q119" i="75"/>
  <c r="Q118" i="15" s="1"/>
  <c r="J86" i="40" s="1"/>
  <c r="L118" i="15"/>
  <c r="I86" i="40" s="1"/>
  <c r="Q72" i="75"/>
  <c r="Q71" i="15" s="1"/>
  <c r="L71" i="15"/>
  <c r="Q99" i="75"/>
  <c r="Q98" i="15" s="1"/>
  <c r="L98" i="15"/>
  <c r="M80" i="75"/>
  <c r="L79" i="15"/>
  <c r="N64" i="75"/>
  <c r="N63" i="15" s="1"/>
  <c r="M63" i="15"/>
  <c r="Q31" i="75"/>
  <c r="Q30" i="15" s="1"/>
  <c r="J75" i="40" s="1"/>
  <c r="L30" i="15"/>
  <c r="I75" i="40" s="1"/>
  <c r="Q39" i="75"/>
  <c r="Q38" i="15" s="1"/>
  <c r="L38" i="15"/>
  <c r="M112" i="75"/>
  <c r="L111" i="15"/>
  <c r="E51" i="40" s="1"/>
  <c r="M43" i="75"/>
  <c r="L42" i="15"/>
  <c r="I91" i="40" s="1"/>
  <c r="M125" i="75"/>
  <c r="L124" i="15"/>
  <c r="E82" i="40" s="1"/>
  <c r="M68" i="75"/>
  <c r="L67" i="15"/>
  <c r="Q69" i="75"/>
  <c r="Q68" i="15" s="1"/>
  <c r="J73" i="40" s="1"/>
  <c r="L68" i="15"/>
  <c r="E73" i="40" s="1"/>
  <c r="Q73" i="75"/>
  <c r="Q72" i="15" s="1"/>
  <c r="L72" i="15"/>
  <c r="M78" i="75"/>
  <c r="L77" i="15"/>
  <c r="E38" i="40" s="1"/>
  <c r="M81" i="75"/>
  <c r="L80" i="15"/>
  <c r="Q89" i="75"/>
  <c r="Q88" i="15" s="1"/>
  <c r="J81" i="40" s="1"/>
  <c r="L88" i="15"/>
  <c r="E81" i="40" s="1"/>
  <c r="Q92" i="75"/>
  <c r="Q91" i="15" s="1"/>
  <c r="J30" i="40" s="1"/>
  <c r="L91" i="15"/>
  <c r="M95" i="75"/>
  <c r="L94" i="15"/>
  <c r="E179" i="40" s="1"/>
  <c r="M98" i="75"/>
  <c r="Q88" i="75"/>
  <c r="Q87" i="15" s="1"/>
  <c r="J29" i="40" s="1"/>
  <c r="Q96" i="75"/>
  <c r="Q95" i="15" s="1"/>
  <c r="Q81" i="75"/>
  <c r="Q80" i="15" s="1"/>
  <c r="Q95" i="75"/>
  <c r="Q94" i="15" s="1"/>
  <c r="J179" i="40" s="1"/>
  <c r="Q78" i="75"/>
  <c r="Q77" i="15" s="1"/>
  <c r="J38" i="40" s="1"/>
  <c r="Q79" i="75"/>
  <c r="Q78" i="15" s="1"/>
  <c r="Q80" i="75"/>
  <c r="Q79" i="15" s="1"/>
  <c r="Q87" i="75"/>
  <c r="Q86" i="15" s="1"/>
  <c r="J107" i="40" s="1"/>
  <c r="M96" i="75"/>
  <c r="Q101" i="75"/>
  <c r="Q100" i="15" s="1"/>
  <c r="J68" i="40" s="1"/>
  <c r="M66" i="75"/>
  <c r="M77" i="75"/>
  <c r="M90" i="75"/>
  <c r="Q93" i="75"/>
  <c r="Q92" i="15" s="1"/>
  <c r="J66" i="40" s="1"/>
  <c r="Q67" i="75"/>
  <c r="Q66" i="15" s="1"/>
  <c r="J27" i="40" s="1"/>
  <c r="M119" i="75"/>
  <c r="M71" i="75"/>
  <c r="M73" i="75"/>
  <c r="M74" i="75"/>
  <c r="M75" i="75"/>
  <c r="M99" i="75"/>
  <c r="M92" i="75"/>
  <c r="M93" i="75"/>
  <c r="Q94" i="75"/>
  <c r="Q93" i="15" s="1"/>
  <c r="J134" i="40" s="1"/>
  <c r="Q91" i="75"/>
  <c r="Q90" i="15" s="1"/>
  <c r="J157" i="40" s="1"/>
  <c r="Q97" i="75"/>
  <c r="Q96" i="15" s="1"/>
  <c r="Q75" i="75"/>
  <c r="Q74" i="15" s="1"/>
  <c r="J118" i="40" s="1"/>
  <c r="M89" i="75"/>
  <c r="M118" i="75"/>
  <c r="M69" i="75"/>
  <c r="M70" i="75"/>
  <c r="M72" i="75"/>
  <c r="Q61" i="75"/>
  <c r="Q60" i="15" s="1"/>
  <c r="M65" i="75"/>
  <c r="M67" i="75"/>
  <c r="Q63" i="75"/>
  <c r="Q62" i="15" s="1"/>
  <c r="Q46" i="75"/>
  <c r="Q45" i="15" s="1"/>
  <c r="J112" i="40" s="1"/>
  <c r="Q57" i="75"/>
  <c r="Q56" i="15" s="1"/>
  <c r="J64" i="40" s="1"/>
  <c r="M62" i="75"/>
  <c r="M63" i="75"/>
  <c r="Q68" i="75"/>
  <c r="Q67" i="15" s="1"/>
  <c r="M46" i="75"/>
  <c r="Q43" i="75"/>
  <c r="Q42" i="15" s="1"/>
  <c r="J91" i="40" s="1"/>
  <c r="Q125" i="75"/>
  <c r="Q124" i="15" s="1"/>
  <c r="J82" i="40" s="1"/>
  <c r="Q113" i="75"/>
  <c r="Q112" i="15" s="1"/>
  <c r="J62" i="40" s="1"/>
  <c r="Q45" i="75"/>
  <c r="Q44" i="15" s="1"/>
  <c r="J154" i="40" s="1"/>
  <c r="M44" i="75"/>
  <c r="M45" i="75"/>
  <c r="M113" i="75"/>
  <c r="M31" i="75"/>
  <c r="M32" i="75"/>
  <c r="Q112" i="75"/>
  <c r="Q111" i="15" s="1"/>
  <c r="J51" i="40" s="1"/>
  <c r="M27" i="75"/>
  <c r="M29" i="75"/>
  <c r="M127" i="75"/>
  <c r="N127" i="75" s="1"/>
  <c r="M38" i="75"/>
  <c r="M39" i="75"/>
  <c r="J28" i="40" l="1"/>
  <c r="U67" i="15"/>
  <c r="J97" i="40"/>
  <c r="E33" i="40"/>
  <c r="J33" i="40"/>
  <c r="C30" i="40"/>
  <c r="E30" i="40"/>
  <c r="C28" i="40"/>
  <c r="E28" i="40"/>
  <c r="E126" i="40"/>
  <c r="Q76" i="75"/>
  <c r="Q75" i="15" s="1"/>
  <c r="J105" i="40" s="1"/>
  <c r="N97" i="75"/>
  <c r="N96" i="15" s="1"/>
  <c r="N91" i="75"/>
  <c r="N90" i="15" s="1"/>
  <c r="C179" i="40"/>
  <c r="C81" i="40"/>
  <c r="C38" i="40"/>
  <c r="C73" i="40"/>
  <c r="C82" i="40"/>
  <c r="C51" i="40"/>
  <c r="C75" i="40"/>
  <c r="C60" i="40"/>
  <c r="C64" i="40"/>
  <c r="C121" i="40"/>
  <c r="C153" i="40"/>
  <c r="C134" i="40"/>
  <c r="C33" i="40"/>
  <c r="C59" i="40"/>
  <c r="C107" i="40"/>
  <c r="C71" i="40"/>
  <c r="C105" i="40"/>
  <c r="C91" i="40"/>
  <c r="C86" i="40"/>
  <c r="C65" i="40"/>
  <c r="C157" i="40"/>
  <c r="C78" i="40"/>
  <c r="C84" i="40"/>
  <c r="C68" i="40"/>
  <c r="C40" i="40"/>
  <c r="C97" i="40"/>
  <c r="C136" i="40"/>
  <c r="M76" i="75"/>
  <c r="M75" i="15" s="1"/>
  <c r="N44" i="75"/>
  <c r="N43" i="15" s="1"/>
  <c r="M43" i="15"/>
  <c r="N71" i="75"/>
  <c r="N70" i="15" s="1"/>
  <c r="M70" i="15"/>
  <c r="N98" i="75"/>
  <c r="N97" i="15" s="1"/>
  <c r="M97" i="15"/>
  <c r="N68" i="75"/>
  <c r="N67" i="15" s="1"/>
  <c r="M67" i="15"/>
  <c r="N43" i="75"/>
  <c r="N42" i="15" s="1"/>
  <c r="M42" i="15"/>
  <c r="N29" i="75"/>
  <c r="N28" i="15" s="1"/>
  <c r="M28" i="15"/>
  <c r="N31" i="75"/>
  <c r="N30" i="15" s="1"/>
  <c r="M30" i="15"/>
  <c r="N46" i="75"/>
  <c r="N45" i="15" s="1"/>
  <c r="M45" i="15"/>
  <c r="N65" i="75"/>
  <c r="N64" i="15" s="1"/>
  <c r="M64" i="15"/>
  <c r="N69" i="75"/>
  <c r="N68" i="15" s="1"/>
  <c r="M68" i="15"/>
  <c r="N93" i="75"/>
  <c r="N92" i="15" s="1"/>
  <c r="M92" i="15"/>
  <c r="N75" i="75"/>
  <c r="N74" i="15" s="1"/>
  <c r="M74" i="15"/>
  <c r="N119" i="75"/>
  <c r="N118" i="15" s="1"/>
  <c r="M118" i="15"/>
  <c r="N77" i="75"/>
  <c r="N76" i="15" s="1"/>
  <c r="M76" i="15"/>
  <c r="N67" i="75"/>
  <c r="N66" i="15" s="1"/>
  <c r="M66" i="15"/>
  <c r="N70" i="75"/>
  <c r="N69" i="15" s="1"/>
  <c r="M69" i="15"/>
  <c r="N99" i="75"/>
  <c r="N98" i="15" s="1"/>
  <c r="M98" i="15"/>
  <c r="N27" i="75"/>
  <c r="N26" i="15" s="1"/>
  <c r="M26" i="15"/>
  <c r="N118" i="75"/>
  <c r="N117" i="15" s="1"/>
  <c r="M117" i="15"/>
  <c r="N92" i="75"/>
  <c r="N91" i="15" s="1"/>
  <c r="M91" i="15"/>
  <c r="N66" i="75"/>
  <c r="N65" i="15" s="1"/>
  <c r="M65" i="15"/>
  <c r="N96" i="75"/>
  <c r="N95" i="15" s="1"/>
  <c r="M95" i="15"/>
  <c r="N95" i="75"/>
  <c r="N94" i="15" s="1"/>
  <c r="M94" i="15"/>
  <c r="N78" i="75"/>
  <c r="N77" i="15" s="1"/>
  <c r="M77" i="15"/>
  <c r="N125" i="75"/>
  <c r="M124" i="15"/>
  <c r="N112" i="75"/>
  <c r="M111" i="15"/>
  <c r="N80" i="75"/>
  <c r="N79" i="15" s="1"/>
  <c r="M79" i="15"/>
  <c r="N57" i="75"/>
  <c r="N56" i="15" s="1"/>
  <c r="M56" i="15"/>
  <c r="N94" i="75"/>
  <c r="N93" i="15" s="1"/>
  <c r="M93" i="15"/>
  <c r="N79" i="75"/>
  <c r="N78" i="15" s="1"/>
  <c r="M78" i="15"/>
  <c r="N87" i="75"/>
  <c r="N86" i="15" s="1"/>
  <c r="M86" i="15"/>
  <c r="N32" i="75"/>
  <c r="N31" i="15" s="1"/>
  <c r="M31" i="15"/>
  <c r="N62" i="75"/>
  <c r="N61" i="15" s="1"/>
  <c r="M61" i="15"/>
  <c r="N90" i="75"/>
  <c r="N89" i="15" s="1"/>
  <c r="M89" i="15"/>
  <c r="N81" i="75"/>
  <c r="N80" i="15" s="1"/>
  <c r="M80" i="15"/>
  <c r="N39" i="75"/>
  <c r="N38" i="15" s="1"/>
  <c r="M38" i="15"/>
  <c r="N113" i="75"/>
  <c r="N112" i="15" s="1"/>
  <c r="M112" i="15"/>
  <c r="N74" i="75"/>
  <c r="N73" i="15" s="1"/>
  <c r="M73" i="15"/>
  <c r="N38" i="75"/>
  <c r="N37" i="15" s="1"/>
  <c r="M37" i="15"/>
  <c r="N45" i="75"/>
  <c r="N44" i="15" s="1"/>
  <c r="M44" i="15"/>
  <c r="N63" i="75"/>
  <c r="N62" i="15" s="1"/>
  <c r="M62" i="15"/>
  <c r="N72" i="75"/>
  <c r="N71" i="15" s="1"/>
  <c r="M71" i="15"/>
  <c r="N89" i="75"/>
  <c r="N88" i="15" s="1"/>
  <c r="M88" i="15"/>
  <c r="N73" i="75"/>
  <c r="N72" i="15" s="1"/>
  <c r="M72" i="15"/>
  <c r="N88" i="75"/>
  <c r="N87" i="15" s="1"/>
  <c r="M87" i="15"/>
  <c r="N61" i="75"/>
  <c r="N60" i="15" s="1"/>
  <c r="M60" i="15"/>
  <c r="N101" i="75"/>
  <c r="N100" i="15" s="1"/>
  <c r="M100" i="15"/>
  <c r="O19" i="75"/>
  <c r="O18" i="15" s="1"/>
  <c r="L19" i="75"/>
  <c r="L18" i="15" s="1"/>
  <c r="E133" i="40" s="1"/>
  <c r="N124" i="15" l="1"/>
  <c r="P142" i="75"/>
  <c r="N76" i="75"/>
  <c r="N75" i="15" s="1"/>
  <c r="C133" i="40"/>
  <c r="N111" i="15"/>
  <c r="Q19" i="75"/>
  <c r="Q18" i="15" s="1"/>
  <c r="J133" i="40" s="1"/>
  <c r="M19" i="75"/>
  <c r="L18" i="75"/>
  <c r="L17" i="15" s="1"/>
  <c r="O17" i="75"/>
  <c r="O16" i="15" s="1"/>
  <c r="L17" i="75"/>
  <c r="O16" i="75"/>
  <c r="O15" i="15" s="1"/>
  <c r="L16" i="75"/>
  <c r="L15" i="15" s="1"/>
  <c r="E54" i="40" s="1"/>
  <c r="L30" i="75"/>
  <c r="L24" i="75"/>
  <c r="L23" i="15" s="1"/>
  <c r="E140" i="40" s="1"/>
  <c r="L25" i="75"/>
  <c r="L24" i="15" s="1"/>
  <c r="L35" i="75"/>
  <c r="L34" i="15" s="1"/>
  <c r="D126" i="40" s="1"/>
  <c r="L42" i="75"/>
  <c r="L41" i="15" s="1"/>
  <c r="D104" i="40" s="1"/>
  <c r="L21" i="75"/>
  <c r="C140" i="40" l="1"/>
  <c r="C126" i="40"/>
  <c r="C54" i="40"/>
  <c r="Q30" i="75"/>
  <c r="Q29" i="15" s="1"/>
  <c r="L29" i="15"/>
  <c r="D120" i="40" s="1"/>
  <c r="N19" i="75"/>
  <c r="N18" i="15" s="1"/>
  <c r="M18" i="15"/>
  <c r="M21" i="75"/>
  <c r="M20" i="15" s="1"/>
  <c r="L20" i="15"/>
  <c r="I145" i="40" s="1"/>
  <c r="M17" i="75"/>
  <c r="L16" i="15"/>
  <c r="E83" i="40" s="1"/>
  <c r="M42" i="75"/>
  <c r="Q42" i="75"/>
  <c r="Q41" i="15" s="1"/>
  <c r="M35" i="75"/>
  <c r="Q35" i="75"/>
  <c r="Q34" i="15" s="1"/>
  <c r="J126" i="40" s="1"/>
  <c r="M25" i="75"/>
  <c r="Q25" i="75"/>
  <c r="Q24" i="15" s="1"/>
  <c r="M24" i="75"/>
  <c r="Q24" i="75"/>
  <c r="Q23" i="15" s="1"/>
  <c r="J140" i="40" s="1"/>
  <c r="Q18" i="75"/>
  <c r="Q17" i="15" s="1"/>
  <c r="M18" i="75"/>
  <c r="M16" i="75"/>
  <c r="Q17" i="75"/>
  <c r="Q16" i="15" s="1"/>
  <c r="J83" i="40" s="1"/>
  <c r="Q16" i="75"/>
  <c r="Q15" i="15" s="1"/>
  <c r="J54" i="40" s="1"/>
  <c r="M30" i="75"/>
  <c r="C83" i="40" l="1"/>
  <c r="C145" i="40"/>
  <c r="N21" i="75"/>
  <c r="N20" i="15" s="1"/>
  <c r="N16" i="75"/>
  <c r="N15" i="15" s="1"/>
  <c r="M15" i="15"/>
  <c r="N24" i="75"/>
  <c r="N23" i="15" s="1"/>
  <c r="M23" i="15"/>
  <c r="N35" i="75"/>
  <c r="N34" i="15" s="1"/>
  <c r="M34" i="15"/>
  <c r="N17" i="75"/>
  <c r="N16" i="15" s="1"/>
  <c r="M16" i="15"/>
  <c r="N30" i="75"/>
  <c r="N29" i="15" s="1"/>
  <c r="M29" i="15"/>
  <c r="N18" i="75"/>
  <c r="N17" i="15" s="1"/>
  <c r="M17" i="15"/>
  <c r="N25" i="75"/>
  <c r="N24" i="15" s="1"/>
  <c r="M24" i="15"/>
  <c r="N42" i="75"/>
  <c r="N41" i="15" s="1"/>
  <c r="M41" i="15"/>
  <c r="L23" i="75"/>
  <c r="L22" i="75"/>
  <c r="L21" i="15" s="1"/>
  <c r="E104" i="40" s="1"/>
  <c r="Q21" i="75"/>
  <c r="Q20" i="15" s="1"/>
  <c r="J145" i="40" s="1"/>
  <c r="L12" i="75"/>
  <c r="L11" i="75"/>
  <c r="L10" i="75"/>
  <c r="L9" i="75"/>
  <c r="O8" i="75"/>
  <c r="O7" i="15" s="1"/>
  <c r="L8" i="75"/>
  <c r="L7" i="15" s="1"/>
  <c r="E174" i="40" s="1"/>
  <c r="L7" i="75"/>
  <c r="L6" i="75"/>
  <c r="L15" i="75"/>
  <c r="O5" i="75"/>
  <c r="O4" i="15" s="1"/>
  <c r="O782" i="15" s="1"/>
  <c r="L5" i="75"/>
  <c r="L14" i="75"/>
  <c r="K13" i="75"/>
  <c r="L4" i="75"/>
  <c r="L3" i="75"/>
  <c r="C104" i="40" l="1"/>
  <c r="C174" i="40"/>
  <c r="L13" i="75"/>
  <c r="L12" i="15" s="1"/>
  <c r="E163" i="40" s="1"/>
  <c r="K12" i="15"/>
  <c r="M14" i="75"/>
  <c r="M13" i="15" s="1"/>
  <c r="L13" i="15"/>
  <c r="E171" i="40" s="1"/>
  <c r="Q6" i="75"/>
  <c r="Q5" i="15" s="1"/>
  <c r="J162" i="40" s="1"/>
  <c r="L5" i="15"/>
  <c r="E162" i="40" s="1"/>
  <c r="M9" i="75"/>
  <c r="M8" i="15" s="1"/>
  <c r="L8" i="15"/>
  <c r="E178" i="40" s="1"/>
  <c r="M5" i="75"/>
  <c r="L4" i="15"/>
  <c r="E41" i="40" s="1"/>
  <c r="M10" i="75"/>
  <c r="L9" i="15"/>
  <c r="E173" i="40" s="1"/>
  <c r="Q7" i="75"/>
  <c r="Q6" i="15" s="1"/>
  <c r="L6" i="15"/>
  <c r="C26" i="40" s="1"/>
  <c r="Q4" i="75"/>
  <c r="Q3" i="15" s="1"/>
  <c r="J45" i="40" s="1"/>
  <c r="L3" i="15"/>
  <c r="E45" i="40" s="1"/>
  <c r="Q11" i="75"/>
  <c r="Q10" i="15" s="1"/>
  <c r="J70" i="40" s="1"/>
  <c r="L10" i="15"/>
  <c r="E70" i="40" s="1"/>
  <c r="Q3" i="75"/>
  <c r="Q2" i="15" s="1"/>
  <c r="J182" i="40" s="1"/>
  <c r="L2" i="15"/>
  <c r="I182" i="40" s="1"/>
  <c r="Q15" i="75"/>
  <c r="Q14" i="15" s="1"/>
  <c r="J100" i="40" s="1"/>
  <c r="L14" i="15"/>
  <c r="E100" i="40" s="1"/>
  <c r="Q12" i="75"/>
  <c r="Q11" i="15" s="1"/>
  <c r="J50" i="40" s="1"/>
  <c r="L11" i="15"/>
  <c r="E50" i="40" s="1"/>
  <c r="Q23" i="75"/>
  <c r="Q22" i="15" s="1"/>
  <c r="J120" i="40" s="1"/>
  <c r="L22" i="15"/>
  <c r="E120" i="40" s="1"/>
  <c r="Q22" i="75"/>
  <c r="Q21" i="15" s="1"/>
  <c r="J104" i="40" s="1"/>
  <c r="Q10" i="75"/>
  <c r="Q9" i="15" s="1"/>
  <c r="J173" i="40" s="1"/>
  <c r="M22" i="75"/>
  <c r="M12" i="75"/>
  <c r="M8" i="75"/>
  <c r="M11" i="75"/>
  <c r="Q5" i="75"/>
  <c r="Q4" i="15" s="1"/>
  <c r="J41" i="40" s="1"/>
  <c r="M7" i="75"/>
  <c r="Q14" i="75"/>
  <c r="Q13" i="15" s="1"/>
  <c r="J171" i="40" s="1"/>
  <c r="M3" i="75"/>
  <c r="M4" i="75"/>
  <c r="M15" i="75"/>
  <c r="M6" i="75"/>
  <c r="Q8" i="75"/>
  <c r="Q7" i="15" s="1"/>
  <c r="J174" i="40" s="1"/>
  <c r="M23" i="75"/>
  <c r="Q9" i="75"/>
  <c r="Q8" i="15" s="1"/>
  <c r="J178" i="40" s="1"/>
  <c r="Q13" i="75" l="1"/>
  <c r="Q12" i="15" s="1"/>
  <c r="J163" i="40" s="1"/>
  <c r="M13" i="75"/>
  <c r="N13" i="75" s="1"/>
  <c r="N12" i="15" s="1"/>
  <c r="C120" i="40"/>
  <c r="C100" i="40"/>
  <c r="C70" i="40"/>
  <c r="C162" i="40"/>
  <c r="C163" i="40"/>
  <c r="C50" i="40"/>
  <c r="C182" i="40"/>
  <c r="C45" i="40"/>
  <c r="C173" i="40"/>
  <c r="C178" i="40"/>
  <c r="C171" i="40"/>
  <c r="N9" i="75"/>
  <c r="N8" i="15" s="1"/>
  <c r="N14" i="75"/>
  <c r="N13" i="15" s="1"/>
  <c r="K3" i="40"/>
  <c r="C41" i="40"/>
  <c r="N15" i="75"/>
  <c r="N14" i="15" s="1"/>
  <c r="M14" i="15"/>
  <c r="N7" i="75"/>
  <c r="N6" i="15" s="1"/>
  <c r="M6" i="15"/>
  <c r="N12" i="75"/>
  <c r="N11" i="15" s="1"/>
  <c r="M11" i="15"/>
  <c r="N22" i="75"/>
  <c r="N21" i="15" s="1"/>
  <c r="M21" i="15"/>
  <c r="N5" i="75"/>
  <c r="N4" i="15" s="1"/>
  <c r="M4" i="15"/>
  <c r="N4" i="75"/>
  <c r="N3" i="15" s="1"/>
  <c r="M3" i="15"/>
  <c r="N3" i="75"/>
  <c r="N2" i="15" s="1"/>
  <c r="M2" i="15"/>
  <c r="N11" i="75"/>
  <c r="N10" i="15" s="1"/>
  <c r="M10" i="15"/>
  <c r="N23" i="75"/>
  <c r="N22" i="15" s="1"/>
  <c r="M22" i="15"/>
  <c r="N6" i="75"/>
  <c r="N5" i="15" s="1"/>
  <c r="M5" i="15"/>
  <c r="N8" i="75"/>
  <c r="N7" i="15" s="1"/>
  <c r="M7" i="15"/>
  <c r="N10" i="75"/>
  <c r="N9" i="15" s="1"/>
  <c r="M9" i="15"/>
  <c r="L779" i="15"/>
  <c r="M12" i="15" l="1"/>
  <c r="Q779" i="15"/>
  <c r="M779" i="15"/>
  <c r="N779" i="15" s="1"/>
  <c r="L28" i="75" l="1"/>
  <c r="M28" i="75" l="1"/>
  <c r="M27" i="15" s="1"/>
  <c r="L27" i="15"/>
  <c r="D94" i="40" s="1"/>
  <c r="C94" i="40" l="1"/>
  <c r="N28" i="75"/>
  <c r="N27" i="15" s="1"/>
  <c r="L20" i="75"/>
  <c r="L124" i="75"/>
  <c r="L123" i="15" s="1"/>
  <c r="E168" i="40" s="1"/>
  <c r="L123" i="75"/>
  <c r="L122" i="15" s="1"/>
  <c r="E37" i="40" s="1"/>
  <c r="C37" i="40" l="1"/>
  <c r="C168" i="40"/>
  <c r="L19" i="15"/>
  <c r="E76" i="40" s="1"/>
  <c r="Q123" i="75"/>
  <c r="Q122" i="15" s="1"/>
  <c r="J37" i="40" s="1"/>
  <c r="M124" i="75"/>
  <c r="Q124" i="75"/>
  <c r="Q123" i="15" s="1"/>
  <c r="J168" i="40" s="1"/>
  <c r="M20" i="75"/>
  <c r="Q20" i="75"/>
  <c r="Q19" i="15" s="1"/>
  <c r="J76" i="40" s="1"/>
  <c r="M123" i="75"/>
  <c r="C76" i="40" l="1"/>
  <c r="N124" i="75"/>
  <c r="N123" i="15" s="1"/>
  <c r="M123" i="15"/>
  <c r="N123" i="75"/>
  <c r="M122" i="15"/>
  <c r="N20" i="75"/>
  <c r="N19" i="15" s="1"/>
  <c r="M19" i="15"/>
  <c r="K147" i="75"/>
  <c r="K146" i="75"/>
  <c r="K142" i="75"/>
  <c r="D131" i="75"/>
  <c r="E3" i="40" s="1"/>
  <c r="L128" i="75"/>
  <c r="M128" i="75" s="1"/>
  <c r="L102" i="75"/>
  <c r="L37" i="75"/>
  <c r="L40" i="75"/>
  <c r="L39" i="15" s="1"/>
  <c r="D32" i="40" s="1"/>
  <c r="O129" i="75"/>
  <c r="L115" i="75"/>
  <c r="L126" i="75"/>
  <c r="L56" i="75"/>
  <c r="K140" i="75" l="1"/>
  <c r="C32" i="40"/>
  <c r="N122" i="15"/>
  <c r="Q126" i="75"/>
  <c r="Q125" i="15" s="1"/>
  <c r="J130" i="40" s="1"/>
  <c r="L125" i="15"/>
  <c r="E130" i="40" s="1"/>
  <c r="M37" i="75"/>
  <c r="M36" i="15" s="1"/>
  <c r="L36" i="15"/>
  <c r="D48" i="40" s="1"/>
  <c r="D25" i="40" s="1"/>
  <c r="Q115" i="75"/>
  <c r="Q114" i="15" s="1"/>
  <c r="J128" i="40" s="1"/>
  <c r="L114" i="15"/>
  <c r="F128" i="40" s="1"/>
  <c r="M102" i="75"/>
  <c r="M101" i="15" s="1"/>
  <c r="L101" i="15"/>
  <c r="E87" i="40" s="1"/>
  <c r="Q56" i="75"/>
  <c r="Q55" i="15" s="1"/>
  <c r="J138" i="40" s="1"/>
  <c r="L55" i="15"/>
  <c r="H138" i="40" s="1"/>
  <c r="K141" i="75"/>
  <c r="K144" i="75"/>
  <c r="M40" i="75"/>
  <c r="Q40" i="75"/>
  <c r="Q39" i="15" s="1"/>
  <c r="J32" i="40" s="1"/>
  <c r="Q102" i="75"/>
  <c r="Q101" i="15" s="1"/>
  <c r="J87" i="40" s="1"/>
  <c r="Q37" i="75"/>
  <c r="Q36" i="15" s="1"/>
  <c r="J48" i="40" s="1"/>
  <c r="Q128" i="75"/>
  <c r="K143" i="75"/>
  <c r="L131" i="75"/>
  <c r="L129" i="75"/>
  <c r="B3" i="40" s="1"/>
  <c r="G5" i="40" s="1"/>
  <c r="M126" i="75"/>
  <c r="M115" i="75"/>
  <c r="K145" i="75"/>
  <c r="M56" i="75"/>
  <c r="N128" i="75"/>
  <c r="L782" i="15" l="1"/>
  <c r="M15" i="40"/>
  <c r="Q782" i="15"/>
  <c r="C87" i="40"/>
  <c r="C48" i="40"/>
  <c r="C138" i="40"/>
  <c r="C128" i="40"/>
  <c r="C130" i="40"/>
  <c r="N102" i="75"/>
  <c r="N101" i="15" s="1"/>
  <c r="M14" i="40"/>
  <c r="N37" i="75"/>
  <c r="N126" i="75"/>
  <c r="N125" i="15" s="1"/>
  <c r="M125" i="15"/>
  <c r="N115" i="75"/>
  <c r="N114" i="15" s="1"/>
  <c r="M114" i="15"/>
  <c r="N56" i="75"/>
  <c r="N55" i="15" s="1"/>
  <c r="M55" i="15"/>
  <c r="N40" i="75"/>
  <c r="N39" i="15" s="1"/>
  <c r="M39" i="15"/>
  <c r="M129" i="75"/>
  <c r="C3" i="40" s="1"/>
  <c r="M131" i="75"/>
  <c r="Q129" i="75"/>
  <c r="F3" i="40" s="1"/>
  <c r="K148" i="75"/>
  <c r="N131" i="75" l="1"/>
  <c r="N36" i="15"/>
  <c r="N782" i="15" s="1"/>
  <c r="N129" i="75"/>
  <c r="D3" i="40" s="1"/>
  <c r="N8" i="40" l="1"/>
  <c r="O3" i="40" l="1"/>
  <c r="F26" i="40" l="1"/>
  <c r="G26" i="40"/>
  <c r="H26" i="40"/>
  <c r="I26" i="40"/>
  <c r="G25" i="40" l="1"/>
  <c r="L8" i="40" l="1"/>
  <c r="H25" i="40" l="1"/>
  <c r="L18" i="40"/>
  <c r="L7" i="40"/>
  <c r="I25" i="40" l="1"/>
  <c r="O780" i="15" l="1"/>
  <c r="J26" i="40"/>
  <c r="E26" i="40" l="1"/>
  <c r="M9" i="40" l="1"/>
  <c r="C184" i="40"/>
  <c r="E25" i="40" l="1"/>
  <c r="L780" i="15" l="1"/>
  <c r="Q780" i="15"/>
  <c r="F25" i="40"/>
  <c r="M782" i="15"/>
  <c r="M780" i="15" l="1"/>
  <c r="N780" i="15" l="1"/>
  <c r="K14" i="40"/>
  <c r="N14" i="40" l="1"/>
  <c r="O14" i="40"/>
  <c r="L15" i="40"/>
  <c r="O15" i="40"/>
  <c r="L16" i="40"/>
  <c r="O16" i="40"/>
  <c r="L17" i="40"/>
  <c r="M17" i="40"/>
  <c r="N17" i="40"/>
  <c r="N18" i="40"/>
  <c r="O18" i="40"/>
  <c r="M19" i="40"/>
  <c r="N19" i="40"/>
  <c r="O19" i="40"/>
  <c r="K17" i="40"/>
  <c r="K19" i="40"/>
  <c r="N3" i="40"/>
  <c r="L4" i="40"/>
  <c r="O4" i="40"/>
  <c r="L5" i="40"/>
  <c r="O5" i="40"/>
  <c r="L6" i="40"/>
  <c r="M6" i="40"/>
  <c r="N6" i="40"/>
  <c r="N7" i="40"/>
  <c r="O7" i="40"/>
  <c r="M8" i="40"/>
  <c r="O8" i="40"/>
  <c r="K8" i="40"/>
  <c r="K6" i="40"/>
  <c r="N5" i="40" l="1"/>
  <c r="M3" i="40" l="1"/>
  <c r="M4" i="40"/>
  <c r="K4" i="40"/>
  <c r="M7" i="40"/>
  <c r="O6" i="40"/>
  <c r="L3" i="40"/>
  <c r="M5" i="40"/>
  <c r="N15" i="40"/>
  <c r="N4" i="40"/>
  <c r="K16" i="40"/>
  <c r="K5" i="40"/>
  <c r="K7" i="40"/>
  <c r="N16" i="40"/>
  <c r="K18" i="40" l="1"/>
  <c r="M16" i="40"/>
  <c r="M18" i="40"/>
  <c r="L14" i="40"/>
  <c r="K15" i="40"/>
  <c r="O17" i="40"/>
  <c r="L19" i="40"/>
  <c r="K22" i="40" l="1"/>
  <c r="K11" i="40"/>
  <c r="L11" i="40"/>
  <c r="B15" i="40" l="1"/>
  <c r="F15" i="40" l="1"/>
  <c r="P3" i="40" l="1"/>
  <c r="N11" i="40"/>
  <c r="O11" i="40"/>
  <c r="P6" i="40" l="1"/>
  <c r="P5" i="40"/>
  <c r="P4" i="40"/>
  <c r="N22" i="40"/>
  <c r="P8" i="40" l="1"/>
  <c r="P7" i="40"/>
  <c r="L22" i="40" l="1"/>
  <c r="O22" i="40" l="1"/>
  <c r="P19" i="40" l="1"/>
  <c r="P16" i="40"/>
  <c r="P17" i="40"/>
  <c r="P15" i="40"/>
  <c r="P18" i="40" l="1"/>
  <c r="P14" i="40"/>
  <c r="E15" i="40" l="1"/>
  <c r="E20" i="40" s="1"/>
  <c r="C15" i="40" l="1"/>
  <c r="D15" i="40" l="1"/>
  <c r="C20" i="40" l="1"/>
  <c r="M20" i="40" l="1"/>
  <c r="P20" i="40" s="1"/>
  <c r="J184" i="40"/>
  <c r="P9" i="40"/>
  <c r="M10" i="40" l="1"/>
  <c r="P10" i="40" s="1"/>
  <c r="D20" i="40"/>
  <c r="C183" i="40"/>
  <c r="B20" i="40"/>
  <c r="A135" i="40" l="1"/>
  <c r="A181" i="40"/>
  <c r="A96" i="40"/>
  <c r="A97" i="40"/>
  <c r="A95" i="40"/>
  <c r="A110" i="40"/>
  <c r="A109" i="40"/>
  <c r="A111" i="40"/>
  <c r="A178" i="40"/>
  <c r="A176" i="40"/>
  <c r="A175" i="40"/>
  <c r="A177" i="40"/>
  <c r="A106" i="40"/>
  <c r="A107" i="40"/>
  <c r="A105" i="40"/>
  <c r="A72" i="40"/>
  <c r="A79" i="40"/>
  <c r="A77" i="40"/>
  <c r="A70" i="40"/>
  <c r="A78" i="40"/>
  <c r="A75" i="40"/>
  <c r="A73" i="40"/>
  <c r="A71" i="40"/>
  <c r="A76" i="40"/>
  <c r="A174" i="40"/>
  <c r="A179" i="40"/>
  <c r="A113" i="40"/>
  <c r="A112" i="40"/>
  <c r="A118" i="40"/>
  <c r="A116" i="40"/>
  <c r="A120" i="40"/>
  <c r="A119" i="40"/>
  <c r="A114" i="40"/>
  <c r="A115" i="40"/>
  <c r="A117" i="40"/>
  <c r="A32" i="40"/>
  <c r="A87" i="40"/>
  <c r="A88" i="40"/>
  <c r="A83" i="40"/>
  <c r="A149" i="40"/>
  <c r="A145" i="40"/>
  <c r="A124" i="40"/>
  <c r="A26" i="40"/>
  <c r="A129" i="40"/>
  <c r="A50" i="40"/>
  <c r="A134" i="40"/>
  <c r="A156" i="40"/>
  <c r="A65" i="40"/>
  <c r="A47" i="40"/>
  <c r="A59" i="40"/>
  <c r="A131" i="40"/>
  <c r="A30" i="40"/>
  <c r="A92" i="40"/>
  <c r="A168" i="40"/>
  <c r="A160" i="40"/>
  <c r="A68" i="40"/>
  <c r="A172" i="40"/>
  <c r="A38" i="40"/>
  <c r="A167" i="40"/>
  <c r="A140" i="40"/>
  <c r="A94" i="40"/>
  <c r="A40" i="40"/>
  <c r="A69" i="40"/>
  <c r="A55" i="40"/>
  <c r="A82" i="40"/>
  <c r="A39" i="40"/>
  <c r="A60" i="40"/>
  <c r="A125" i="40"/>
  <c r="A36" i="40"/>
  <c r="A128" i="40"/>
  <c r="A67" i="40"/>
  <c r="A43" i="40"/>
  <c r="A141" i="40"/>
  <c r="A152" i="40"/>
  <c r="A100" i="40"/>
  <c r="A44" i="40"/>
  <c r="A166" i="40"/>
  <c r="A182" i="40"/>
  <c r="A51" i="40"/>
  <c r="A155" i="40"/>
  <c r="A84" i="40"/>
  <c r="A34" i="40"/>
  <c r="A33" i="40"/>
  <c r="A80" i="40"/>
  <c r="A163" i="40"/>
  <c r="A29" i="40"/>
  <c r="A52" i="40"/>
  <c r="A27" i="40"/>
  <c r="A146" i="40"/>
  <c r="A93" i="40"/>
  <c r="A81" i="40"/>
  <c r="A127" i="40"/>
  <c r="A171" i="40"/>
  <c r="A157" i="40"/>
  <c r="A137" i="40"/>
  <c r="A28" i="40"/>
  <c r="A42" i="40"/>
  <c r="A49" i="40"/>
  <c r="A139" i="40"/>
  <c r="A138" i="40"/>
  <c r="A45" i="40"/>
  <c r="A86" i="40"/>
  <c r="A57" i="40"/>
  <c r="A136" i="40"/>
  <c r="A143" i="40"/>
  <c r="A64" i="40"/>
  <c r="A142" i="40"/>
  <c r="A41" i="40"/>
  <c r="A91" i="40"/>
  <c r="A108" i="40"/>
  <c r="A153" i="40"/>
  <c r="A162" i="40"/>
  <c r="A58" i="40"/>
  <c r="A35" i="40"/>
  <c r="A85" i="40"/>
  <c r="A154" i="40"/>
  <c r="A66" i="40"/>
  <c r="A102" i="40"/>
  <c r="A147" i="40"/>
  <c r="A130" i="40"/>
  <c r="A121" i="40"/>
  <c r="A132" i="40"/>
  <c r="A180" i="40"/>
  <c r="A62" i="40"/>
  <c r="A170" i="40"/>
  <c r="A165" i="40"/>
  <c r="A46" i="40"/>
  <c r="A123" i="40"/>
  <c r="A158" i="40"/>
  <c r="A101" i="40"/>
  <c r="A90" i="40"/>
  <c r="A159" i="40"/>
  <c r="A37" i="40"/>
  <c r="A126" i="40"/>
  <c r="A133" i="40"/>
  <c r="A54" i="40"/>
  <c r="A104" i="40"/>
  <c r="A164" i="40"/>
  <c r="C25" i="40"/>
  <c r="S25" i="40" s="1"/>
  <c r="A173" i="40"/>
  <c r="A56" i="40"/>
  <c r="A31" i="40"/>
  <c r="A99" i="40"/>
  <c r="A89" i="40"/>
  <c r="A63" i="40"/>
  <c r="A122" i="40"/>
  <c r="A169" i="40"/>
  <c r="A48" i="40"/>
  <c r="A150" i="40"/>
  <c r="A98" i="40"/>
  <c r="A61" i="40"/>
  <c r="A148" i="40"/>
  <c r="A144" i="40"/>
  <c r="A53" i="40"/>
  <c r="A103" i="40"/>
  <c r="A161" i="40"/>
  <c r="M11" i="40"/>
  <c r="P11" i="40" s="1"/>
  <c r="S3" i="40" s="1"/>
  <c r="M21" i="40"/>
  <c r="P21" i="40" s="1"/>
  <c r="J183" i="40"/>
  <c r="F20" i="40"/>
  <c r="R3" i="40" l="1"/>
  <c r="M22" i="40"/>
  <c r="P22" i="40" s="1"/>
  <c r="P23" i="40" s="1"/>
  <c r="J25" i="40"/>
  <c r="K25" i="40" s="1"/>
  <c r="R25" i="40"/>
  <c r="S14" i="40" l="1"/>
  <c r="R14" i="4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mjkim</author>
  </authors>
  <commentList>
    <comment ref="B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SM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</text>
    </comment>
    <comment ref="G1" authorId="0" shapeId="0" xr:uid="{00000000-0006-0000-0100-000002000000}">
      <text>
        <r>
          <rPr>
            <b/>
            <sz val="9"/>
            <color indexed="81"/>
            <rFont val="돋움"/>
            <family val="3"/>
            <charset val="129"/>
          </rPr>
          <t xml:space="preserve">상품
</t>
        </r>
        <r>
          <rPr>
            <b/>
            <sz val="9"/>
            <color indexed="81"/>
            <rFont val="Tahoma"/>
            <family val="2"/>
          </rPr>
          <t xml:space="preserve">MA
MAPAC
WSU
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기술지원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 xml:space="preserve">임대료
</t>
        </r>
      </text>
    </comment>
    <comment ref="H1" authorId="0" shapeId="0" xr:uid="{00000000-0006-0000-0100-000003000000}">
      <text>
        <r>
          <rPr>
            <b/>
            <sz val="9"/>
            <color indexed="81"/>
            <rFont val="돋움"/>
            <family val="3"/>
            <charset val="129"/>
          </rPr>
          <t>월간-IKTS
월간-레노버
BID-레노버
월간
분기
연간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mjkim</author>
  </authors>
  <commentList>
    <comment ref="B2" authorId="0" shapeId="0" xr:uid="{A84033DF-1A37-44AA-A90B-F8AC779B32D9}">
      <text>
        <r>
          <rPr>
            <b/>
            <sz val="9"/>
            <color indexed="81"/>
            <rFont val="Tahoma"/>
            <family val="2"/>
          </rPr>
          <t>SM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</text>
    </comment>
    <comment ref="G2" authorId="0" shapeId="0" xr:uid="{60C0DF65-4802-4B8C-82A9-00E2736E6331}">
      <text>
        <r>
          <rPr>
            <b/>
            <sz val="9"/>
            <color indexed="81"/>
            <rFont val="돋움"/>
            <family val="3"/>
            <charset val="129"/>
          </rPr>
          <t xml:space="preserve">상품
</t>
        </r>
        <r>
          <rPr>
            <b/>
            <sz val="9"/>
            <color indexed="81"/>
            <rFont val="Tahoma"/>
            <family val="2"/>
          </rPr>
          <t xml:space="preserve">MA
MAPAC
WSU
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기술지원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 xml:space="preserve">임대료
</t>
        </r>
      </text>
    </comment>
    <comment ref="H2" authorId="0" shapeId="0" xr:uid="{8BEEF6F7-7DCC-4DD3-A923-8FAD1FBB6729}">
      <text>
        <r>
          <rPr>
            <b/>
            <sz val="9"/>
            <color indexed="81"/>
            <rFont val="돋움"/>
            <family val="3"/>
            <charset val="129"/>
          </rPr>
          <t>월간-IKTS
월간-레노버
BID-레노버
월간
분기
연간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mjkim</author>
  </authors>
  <commentList>
    <comment ref="B2" authorId="0" shapeId="0" xr:uid="{9CDFC283-017F-4F59-976C-83D92738DB0E}">
      <text>
        <r>
          <rPr>
            <b/>
            <sz val="9"/>
            <color indexed="81"/>
            <rFont val="Tahoma"/>
            <family val="2"/>
          </rPr>
          <t>SM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</text>
    </comment>
    <comment ref="G2" authorId="0" shapeId="0" xr:uid="{3E981267-BA54-47CB-B192-FAA488E918E9}">
      <text>
        <r>
          <rPr>
            <b/>
            <sz val="9"/>
            <color indexed="81"/>
            <rFont val="돋움"/>
            <family val="3"/>
            <charset val="129"/>
          </rPr>
          <t xml:space="preserve">상품
</t>
        </r>
        <r>
          <rPr>
            <b/>
            <sz val="9"/>
            <color indexed="81"/>
            <rFont val="Tahoma"/>
            <family val="2"/>
          </rPr>
          <t xml:space="preserve">MA
MAPAC
WSU
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기술지원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 xml:space="preserve">임대료
</t>
        </r>
      </text>
    </comment>
    <comment ref="H2" authorId="0" shapeId="0" xr:uid="{004FF02E-7DEC-4016-9A71-57FF1E9100FE}">
      <text>
        <r>
          <rPr>
            <b/>
            <sz val="9"/>
            <color indexed="81"/>
            <rFont val="돋움"/>
            <family val="3"/>
            <charset val="129"/>
          </rPr>
          <t>월간-IKTS
월간-레노버
BID-레노버
월간
분기
연간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mjkim</author>
  </authors>
  <commentList>
    <comment ref="B2" authorId="0" shapeId="0" xr:uid="{1F10D8F1-671B-4129-9AD4-E7ACA6D3E66D}">
      <text>
        <r>
          <rPr>
            <b/>
            <sz val="9"/>
            <color indexed="81"/>
            <rFont val="Tahoma"/>
            <family val="2"/>
          </rPr>
          <t>SM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</text>
    </comment>
    <comment ref="G2" authorId="0" shapeId="0" xr:uid="{2777E280-4A78-4C9D-B5D1-5A64BD8D8B69}">
      <text>
        <r>
          <rPr>
            <b/>
            <sz val="9"/>
            <color indexed="81"/>
            <rFont val="돋움"/>
            <family val="3"/>
            <charset val="129"/>
          </rPr>
          <t xml:space="preserve">상품
</t>
        </r>
        <r>
          <rPr>
            <b/>
            <sz val="9"/>
            <color indexed="81"/>
            <rFont val="Tahoma"/>
            <family val="2"/>
          </rPr>
          <t xml:space="preserve">MA
MAPAC
WSU
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기술지원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 xml:space="preserve">임대료
</t>
        </r>
      </text>
    </comment>
    <comment ref="H2" authorId="0" shapeId="0" xr:uid="{74D037F2-C573-4427-A164-9DC582E5A792}">
      <text>
        <r>
          <rPr>
            <b/>
            <sz val="9"/>
            <color indexed="81"/>
            <rFont val="돋움"/>
            <family val="3"/>
            <charset val="129"/>
          </rPr>
          <t>월간-IKTS
월간-레노버
BID-레노버
월간
분기
연간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mjkim</author>
  </authors>
  <commentList>
    <comment ref="B2" authorId="0" shapeId="0" xr:uid="{35015586-F548-414D-B7C1-606B529E5533}">
      <text>
        <r>
          <rPr>
            <b/>
            <sz val="9"/>
            <color indexed="81"/>
            <rFont val="Tahoma"/>
            <family val="2"/>
          </rPr>
          <t>SM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</text>
    </comment>
    <comment ref="G2" authorId="0" shapeId="0" xr:uid="{5C1DD89C-343D-4473-94FF-CB62AE294206}">
      <text>
        <r>
          <rPr>
            <b/>
            <sz val="9"/>
            <color indexed="81"/>
            <rFont val="돋움"/>
            <family val="3"/>
            <charset val="129"/>
          </rPr>
          <t xml:space="preserve">상품
</t>
        </r>
        <r>
          <rPr>
            <b/>
            <sz val="9"/>
            <color indexed="81"/>
            <rFont val="Tahoma"/>
            <family val="2"/>
          </rPr>
          <t xml:space="preserve">MA
MAPAC
WSU
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기술지원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 xml:space="preserve">임대료
</t>
        </r>
      </text>
    </comment>
    <comment ref="H2" authorId="0" shapeId="0" xr:uid="{96DE7D21-AA14-4A75-AB9F-E74EE04BB540}">
      <text>
        <r>
          <rPr>
            <b/>
            <sz val="9"/>
            <color indexed="81"/>
            <rFont val="돋움"/>
            <family val="3"/>
            <charset val="129"/>
          </rPr>
          <t>월간-IKTS
월간-레노버
BID-레노버
월간
분기
연간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mjkim</author>
  </authors>
  <commentList>
    <comment ref="B2" authorId="0" shapeId="0" xr:uid="{CDB97DDA-7682-488C-9617-7F353BA23100}">
      <text>
        <r>
          <rPr>
            <b/>
            <sz val="9"/>
            <color indexed="81"/>
            <rFont val="Tahoma"/>
            <family val="2"/>
          </rPr>
          <t>SM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</text>
    </comment>
    <comment ref="G2" authorId="0" shapeId="0" xr:uid="{82DBF00A-D8E8-4952-8CC4-CBB92C8BAB0F}">
      <text>
        <r>
          <rPr>
            <b/>
            <sz val="9"/>
            <color indexed="81"/>
            <rFont val="돋움"/>
            <family val="3"/>
            <charset val="129"/>
          </rPr>
          <t xml:space="preserve">상품
</t>
        </r>
        <r>
          <rPr>
            <b/>
            <sz val="9"/>
            <color indexed="81"/>
            <rFont val="Tahoma"/>
            <family val="2"/>
          </rPr>
          <t xml:space="preserve">MA
MAPAC
WSU
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기술지원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 xml:space="preserve">임대료
</t>
        </r>
      </text>
    </comment>
    <comment ref="H2" authorId="0" shapeId="0" xr:uid="{ABA306C1-3FA0-4F95-93FA-DD32A6C1A05D}">
      <text>
        <r>
          <rPr>
            <b/>
            <sz val="9"/>
            <color indexed="81"/>
            <rFont val="돋움"/>
            <family val="3"/>
            <charset val="129"/>
          </rPr>
          <t>월간-IKTS
월간-레노버
BID-레노버
월간
분기
연간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mjkim</author>
  </authors>
  <commentList>
    <comment ref="B2" authorId="0" shapeId="0" xr:uid="{5DBD6003-EEAD-4548-9CDB-9C404C7DDAFE}">
      <text>
        <r>
          <rPr>
            <b/>
            <sz val="9"/>
            <color indexed="81"/>
            <rFont val="Tahoma"/>
            <family val="2"/>
          </rPr>
          <t>SM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</text>
    </comment>
    <comment ref="G2" authorId="0" shapeId="0" xr:uid="{D59A4FA7-48B0-4442-AF2E-20287ACD1E8D}">
      <text>
        <r>
          <rPr>
            <b/>
            <sz val="9"/>
            <color indexed="81"/>
            <rFont val="돋움"/>
            <family val="3"/>
            <charset val="129"/>
          </rPr>
          <t xml:space="preserve">상품
</t>
        </r>
        <r>
          <rPr>
            <b/>
            <sz val="9"/>
            <color indexed="81"/>
            <rFont val="Tahoma"/>
            <family val="2"/>
          </rPr>
          <t xml:space="preserve">MA
MAPAC
WSU
</t>
        </r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기술지원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 xml:space="preserve">임대료
</t>
        </r>
      </text>
    </comment>
    <comment ref="H2" authorId="0" shapeId="0" xr:uid="{0C94C4D4-931C-4E90-8B79-00F14EDEDDDC}">
      <text>
        <r>
          <rPr>
            <b/>
            <sz val="9"/>
            <color indexed="81"/>
            <rFont val="돋움"/>
            <family val="3"/>
            <charset val="129"/>
          </rPr>
          <t>월간-IKTS
월간-레노버
BID-레노버
월간
분기
연간</t>
        </r>
      </text>
    </comment>
  </commentList>
</comments>
</file>

<file path=xl/sharedStrings.xml><?xml version="1.0" encoding="utf-8"?>
<sst xmlns="http://schemas.openxmlformats.org/spreadsheetml/2006/main" count="8691" uniqueCount="2215">
  <si>
    <t>구분</t>
    <phoneticPr fontId="9" type="noConversion"/>
  </si>
  <si>
    <t>삼표</t>
    <phoneticPr fontId="9" type="noConversion"/>
  </si>
  <si>
    <t>투아이시스</t>
    <phoneticPr fontId="9" type="noConversion"/>
  </si>
  <si>
    <t>에즈웰 청주지점</t>
    <phoneticPr fontId="9" type="noConversion"/>
  </si>
  <si>
    <t>엔콤</t>
    <phoneticPr fontId="9" type="noConversion"/>
  </si>
  <si>
    <t>서비스링크</t>
    <phoneticPr fontId="9" type="noConversion"/>
  </si>
  <si>
    <t>디에이치정보기술</t>
    <phoneticPr fontId="9" type="noConversion"/>
  </si>
  <si>
    <t>비씨엠정보통신</t>
    <phoneticPr fontId="9" type="noConversion"/>
  </si>
  <si>
    <t>입금일</t>
    <phoneticPr fontId="9" type="noConversion"/>
  </si>
  <si>
    <t>세연아이넷</t>
    <phoneticPr fontId="9" type="noConversion"/>
  </si>
  <si>
    <t>WSU</t>
    <phoneticPr fontId="9" type="noConversion"/>
  </si>
  <si>
    <t>수량</t>
    <phoneticPr fontId="9" type="noConversion"/>
  </si>
  <si>
    <t>비고</t>
    <phoneticPr fontId="9" type="noConversion"/>
  </si>
  <si>
    <t>END-USER</t>
    <phoneticPr fontId="9" type="noConversion"/>
  </si>
  <si>
    <t>아이티비</t>
    <phoneticPr fontId="9" type="noConversion"/>
  </si>
  <si>
    <t>상품</t>
    <phoneticPr fontId="9" type="noConversion"/>
  </si>
  <si>
    <t>MA</t>
    <phoneticPr fontId="9" type="noConversion"/>
  </si>
  <si>
    <t>날짜</t>
    <phoneticPr fontId="9" type="noConversion"/>
  </si>
  <si>
    <t>매출처</t>
    <phoneticPr fontId="9" type="noConversion"/>
  </si>
  <si>
    <t>거래내용</t>
    <phoneticPr fontId="9" type="noConversion"/>
  </si>
  <si>
    <t>단가</t>
    <phoneticPr fontId="9" type="noConversion"/>
  </si>
  <si>
    <t>공급가액</t>
    <phoneticPr fontId="9" type="noConversion"/>
  </si>
  <si>
    <t>GP</t>
    <phoneticPr fontId="9" type="noConversion"/>
  </si>
  <si>
    <t>부가세</t>
    <phoneticPr fontId="9" type="noConversion"/>
  </si>
  <si>
    <t>MA : 청구구분
상품 : PN</t>
    <phoneticPr fontId="9" type="noConversion"/>
  </si>
  <si>
    <t>공급가합계</t>
    <phoneticPr fontId="9" type="noConversion"/>
  </si>
  <si>
    <t>품의코드</t>
    <phoneticPr fontId="9" type="noConversion"/>
  </si>
  <si>
    <t>Vendor 코드</t>
    <phoneticPr fontId="9" type="noConversion"/>
  </si>
  <si>
    <t>매입거래처</t>
    <phoneticPr fontId="9" type="noConversion"/>
  </si>
  <si>
    <t>MAPAC</t>
    <phoneticPr fontId="9" type="noConversion"/>
  </si>
  <si>
    <t>.</t>
    <phoneticPr fontId="9" type="noConversion"/>
  </si>
  <si>
    <t>영업
담당자</t>
    <phoneticPr fontId="9" type="noConversion"/>
  </si>
  <si>
    <t>월 소계</t>
    <phoneticPr fontId="9" type="noConversion"/>
  </si>
  <si>
    <t>대신네트웍스</t>
    <phoneticPr fontId="9" type="noConversion"/>
  </si>
  <si>
    <t>건물임대</t>
    <phoneticPr fontId="9" type="noConversion"/>
  </si>
  <si>
    <t>장비임대</t>
    <phoneticPr fontId="9" type="noConversion"/>
  </si>
  <si>
    <t>건물매매</t>
    <phoneticPr fontId="9" type="noConversion"/>
  </si>
  <si>
    <t>중앙유통단지관리운영회</t>
    <phoneticPr fontId="9" type="noConversion"/>
  </si>
  <si>
    <t>티에스씨인포</t>
    <phoneticPr fontId="9" type="noConversion"/>
  </si>
  <si>
    <t>디에이치솔루션</t>
    <phoneticPr fontId="9" type="noConversion"/>
  </si>
  <si>
    <t>삼정펄프</t>
    <phoneticPr fontId="9" type="noConversion"/>
  </si>
  <si>
    <t>씨원시스템</t>
    <phoneticPr fontId="9" type="noConversion"/>
  </si>
  <si>
    <t>1월</t>
    <phoneticPr fontId="9" type="noConversion"/>
  </si>
  <si>
    <t>2월</t>
  </si>
  <si>
    <t>3월</t>
  </si>
  <si>
    <t>4월</t>
  </si>
  <si>
    <t>5월</t>
  </si>
  <si>
    <t>6월</t>
  </si>
  <si>
    <t>8월</t>
  </si>
  <si>
    <t>9월</t>
  </si>
  <si>
    <t>10월</t>
  </si>
  <si>
    <t>11월</t>
  </si>
  <si>
    <t>12월</t>
  </si>
  <si>
    <t>나우테크</t>
    <phoneticPr fontId="9" type="noConversion"/>
  </si>
  <si>
    <t>엠씨앤파트너</t>
    <phoneticPr fontId="9" type="noConversion"/>
  </si>
  <si>
    <t>다올시스</t>
    <phoneticPr fontId="9" type="noConversion"/>
  </si>
  <si>
    <t>필터링합</t>
    <phoneticPr fontId="9" type="noConversion"/>
  </si>
  <si>
    <t>7월</t>
    <phoneticPr fontId="9" type="noConversion"/>
  </si>
  <si>
    <t>계산서합</t>
    <phoneticPr fontId="9" type="noConversion"/>
  </si>
  <si>
    <t>연매출</t>
    <phoneticPr fontId="9" type="noConversion"/>
  </si>
  <si>
    <t>카드/현금</t>
    <phoneticPr fontId="9" type="noConversion"/>
  </si>
  <si>
    <t>[월별매출]</t>
    <phoneticPr fontId="9" type="noConversion"/>
  </si>
  <si>
    <t>필터링계</t>
    <phoneticPr fontId="9" type="noConversion"/>
  </si>
  <si>
    <t>합계</t>
    <phoneticPr fontId="9" type="noConversion"/>
  </si>
  <si>
    <t>건수</t>
    <phoneticPr fontId="9" type="noConversion"/>
  </si>
  <si>
    <t>수출</t>
    <phoneticPr fontId="9" type="noConversion"/>
  </si>
  <si>
    <t>이룸에스앤앤</t>
    <phoneticPr fontId="9" type="noConversion"/>
  </si>
  <si>
    <t>인코어</t>
    <phoneticPr fontId="9" type="noConversion"/>
  </si>
  <si>
    <t>현대종합금속</t>
    <phoneticPr fontId="9" type="noConversion"/>
  </si>
  <si>
    <t>우리에스아이티</t>
    <phoneticPr fontId="9" type="noConversion"/>
  </si>
  <si>
    <t>지비에쓰시스템</t>
    <phoneticPr fontId="9" type="noConversion"/>
  </si>
  <si>
    <t>제이엔테크놀러지</t>
    <phoneticPr fontId="9" type="noConversion"/>
  </si>
  <si>
    <t>와이젠정보기술</t>
    <phoneticPr fontId="9" type="noConversion"/>
  </si>
  <si>
    <t>Rank</t>
    <phoneticPr fontId="9" type="noConversion"/>
  </si>
  <si>
    <t>알앤에스이</t>
    <phoneticPr fontId="9" type="noConversion"/>
  </si>
  <si>
    <t>도담솔루션</t>
    <phoneticPr fontId="9" type="noConversion"/>
  </si>
  <si>
    <t>어보브반도체</t>
    <phoneticPr fontId="9" type="noConversion"/>
  </si>
  <si>
    <t>매입액</t>
    <phoneticPr fontId="9" type="noConversion"/>
  </si>
  <si>
    <t>페타데이타</t>
    <phoneticPr fontId="9" type="noConversion"/>
  </si>
  <si>
    <t>캄어스</t>
    <phoneticPr fontId="9" type="noConversion"/>
  </si>
  <si>
    <t>월간-레노버</t>
    <phoneticPr fontId="9" type="noConversion"/>
  </si>
  <si>
    <t>월간</t>
    <phoneticPr fontId="9" type="noConversion"/>
  </si>
  <si>
    <t>한일전기</t>
    <phoneticPr fontId="9" type="noConversion"/>
  </si>
  <si>
    <t>심플키</t>
    <phoneticPr fontId="9" type="noConversion"/>
  </si>
  <si>
    <t>한국산업은행</t>
    <phoneticPr fontId="9" type="noConversion"/>
  </si>
  <si>
    <t>연간-레노버</t>
    <phoneticPr fontId="9" type="noConversion"/>
  </si>
  <si>
    <t>스마트에프앤디</t>
    <phoneticPr fontId="9" type="noConversion"/>
  </si>
  <si>
    <t>동행시네마</t>
    <phoneticPr fontId="9" type="noConversion"/>
  </si>
  <si>
    <t>아이비에스아이티</t>
    <phoneticPr fontId="9" type="noConversion"/>
  </si>
  <si>
    <t>서버</t>
    <phoneticPr fontId="9" type="noConversion"/>
  </si>
  <si>
    <t>이너엔</t>
    <phoneticPr fontId="9" type="noConversion"/>
  </si>
  <si>
    <t>이레정보시스템즈</t>
    <phoneticPr fontId="9" type="noConversion"/>
  </si>
  <si>
    <t>케이엠디엠</t>
    <phoneticPr fontId="9" type="noConversion"/>
  </si>
  <si>
    <t>티제이팜</t>
    <phoneticPr fontId="9" type="noConversion"/>
  </si>
  <si>
    <t>지엔콤</t>
    <phoneticPr fontId="9" type="noConversion"/>
  </si>
  <si>
    <t>아이커머</t>
    <phoneticPr fontId="9" type="noConversion"/>
  </si>
  <si>
    <t>스팩스</t>
    <phoneticPr fontId="9" type="noConversion"/>
  </si>
  <si>
    <t>쿠팡</t>
    <phoneticPr fontId="9" type="noConversion"/>
  </si>
  <si>
    <t>지노스</t>
    <phoneticPr fontId="9" type="noConversion"/>
  </si>
  <si>
    <t>항목별소계</t>
    <phoneticPr fontId="9" type="noConversion"/>
  </si>
  <si>
    <t>오류체크</t>
    <phoneticPr fontId="9" type="noConversion"/>
  </si>
  <si>
    <t>[업체별 매출]</t>
    <phoneticPr fontId="9" type="noConversion"/>
  </si>
  <si>
    <t>[개인별 GP]</t>
    <phoneticPr fontId="9" type="noConversion"/>
  </si>
  <si>
    <t>[개인별 매출]</t>
    <phoneticPr fontId="9" type="noConversion"/>
  </si>
  <si>
    <t>개인별 GP계</t>
    <phoneticPr fontId="9" type="noConversion"/>
  </si>
  <si>
    <t>개인별 매출계</t>
    <phoneticPr fontId="9" type="noConversion"/>
  </si>
  <si>
    <t>딥노이드</t>
    <phoneticPr fontId="9" type="noConversion"/>
  </si>
  <si>
    <t>조선해운</t>
    <phoneticPr fontId="9" type="noConversion"/>
  </si>
  <si>
    <t>에이치알이앤아이</t>
    <phoneticPr fontId="9" type="noConversion"/>
  </si>
  <si>
    <t>티에스라인시스템</t>
    <phoneticPr fontId="9" type="noConversion"/>
  </si>
  <si>
    <t>데이타메트렉스</t>
    <phoneticPr fontId="9" type="noConversion"/>
  </si>
  <si>
    <t>GP</t>
    <phoneticPr fontId="9" type="noConversion"/>
  </si>
  <si>
    <t>IK-22022</t>
    <phoneticPr fontId="9" type="noConversion"/>
  </si>
  <si>
    <t>S</t>
    <phoneticPr fontId="9" type="noConversion"/>
  </si>
  <si>
    <t>임대료</t>
    <phoneticPr fontId="9" type="noConversion"/>
  </si>
  <si>
    <t>X</t>
    <phoneticPr fontId="9" type="noConversion"/>
  </si>
  <si>
    <t>중국광대은행</t>
    <phoneticPr fontId="9" type="noConversion"/>
  </si>
  <si>
    <t>완료(1/16)</t>
    <phoneticPr fontId="9" type="noConversion"/>
  </si>
  <si>
    <t>에이치인포</t>
    <phoneticPr fontId="9" type="noConversion"/>
  </si>
  <si>
    <t>삼성중공업</t>
    <phoneticPr fontId="9" type="noConversion"/>
  </si>
  <si>
    <t>SM-20023</t>
    <phoneticPr fontId="9" type="noConversion"/>
  </si>
  <si>
    <t>꼬망스</t>
    <phoneticPr fontId="9" type="noConversion"/>
  </si>
  <si>
    <t>성원제강</t>
    <phoneticPr fontId="9" type="noConversion"/>
  </si>
  <si>
    <t>문배철강</t>
    <phoneticPr fontId="9" type="noConversion"/>
  </si>
  <si>
    <t>전북도시가스</t>
    <phoneticPr fontId="9" type="noConversion"/>
  </si>
  <si>
    <t>호원대학교</t>
    <phoneticPr fontId="9" type="noConversion"/>
  </si>
  <si>
    <t>두원정공</t>
    <phoneticPr fontId="9" type="noConversion"/>
  </si>
  <si>
    <t>도시바일렉트로닉스</t>
    <phoneticPr fontId="9" type="noConversion"/>
  </si>
  <si>
    <t>SBS</t>
    <phoneticPr fontId="9" type="noConversion"/>
  </si>
  <si>
    <t>SM</t>
    <phoneticPr fontId="9" type="noConversion"/>
  </si>
  <si>
    <t>스마트로</t>
    <phoneticPr fontId="9" type="noConversion"/>
  </si>
  <si>
    <t>전주교육대학교</t>
    <phoneticPr fontId="9" type="noConversion"/>
  </si>
  <si>
    <t>청주시청</t>
    <phoneticPr fontId="9" type="noConversion"/>
  </si>
  <si>
    <t>키오시아</t>
    <phoneticPr fontId="9" type="noConversion"/>
  </si>
  <si>
    <t>SM-21021</t>
    <phoneticPr fontId="9" type="noConversion"/>
  </si>
  <si>
    <t>묵동</t>
    <phoneticPr fontId="9" type="noConversion"/>
  </si>
  <si>
    <t>한국소비자보호원</t>
    <phoneticPr fontId="9" type="noConversion"/>
  </si>
  <si>
    <t>와이케이케이코리아</t>
    <phoneticPr fontId="9" type="noConversion"/>
  </si>
  <si>
    <t>월간-IBM</t>
    <phoneticPr fontId="9" type="noConversion"/>
  </si>
  <si>
    <t>IBM(1/2)</t>
    <phoneticPr fontId="9" type="noConversion"/>
  </si>
  <si>
    <t>엘지생활건강</t>
    <phoneticPr fontId="9" type="noConversion"/>
  </si>
  <si>
    <t>디에스피</t>
    <phoneticPr fontId="9" type="noConversion"/>
  </si>
  <si>
    <t>기술지원</t>
    <phoneticPr fontId="9" type="noConversion"/>
  </si>
  <si>
    <t>001GR493</t>
  </si>
  <si>
    <t>완료(1/31)</t>
    <phoneticPr fontId="9" type="noConversion"/>
  </si>
  <si>
    <t>에이치인포</t>
    <phoneticPr fontId="9" type="noConversion"/>
  </si>
  <si>
    <t>IK-22025</t>
    <phoneticPr fontId="9" type="noConversion"/>
  </si>
  <si>
    <t>레노버(1/31)</t>
    <phoneticPr fontId="9" type="noConversion"/>
  </si>
  <si>
    <t>완료(2/10)</t>
    <phoneticPr fontId="9" type="noConversion"/>
  </si>
  <si>
    <t>이비웨이브(1/2)</t>
    <phoneticPr fontId="9" type="noConversion"/>
  </si>
  <si>
    <t>국립기상과학원</t>
    <phoneticPr fontId="9" type="noConversion"/>
  </si>
  <si>
    <t>레노버(2/28)</t>
    <phoneticPr fontId="9" type="noConversion"/>
  </si>
  <si>
    <t>한미약품</t>
    <phoneticPr fontId="9" type="noConversion"/>
  </si>
  <si>
    <t>노트북</t>
    <phoneticPr fontId="9" type="noConversion"/>
  </si>
  <si>
    <t>서울디자인재단</t>
    <phoneticPr fontId="9" type="noConversion"/>
  </si>
  <si>
    <t>완료(2/24)</t>
    <phoneticPr fontId="9" type="noConversion"/>
  </si>
  <si>
    <t>완료(2/25)</t>
    <phoneticPr fontId="9" type="noConversion"/>
  </si>
  <si>
    <t>인코어</t>
  </si>
  <si>
    <t>티에스씨인포</t>
  </si>
  <si>
    <t>디에스피</t>
    <phoneticPr fontId="9" type="noConversion"/>
  </si>
  <si>
    <t>서버임대</t>
    <phoneticPr fontId="9" type="noConversion"/>
  </si>
  <si>
    <t>유알피</t>
    <phoneticPr fontId="9" type="noConversion"/>
  </si>
  <si>
    <t>동원프라스틱</t>
    <phoneticPr fontId="9" type="noConversion"/>
  </si>
  <si>
    <t>에실로코리아</t>
    <phoneticPr fontId="9" type="noConversion"/>
  </si>
  <si>
    <t>본사</t>
    <phoneticPr fontId="9" type="noConversion"/>
  </si>
  <si>
    <t>압구정</t>
    <phoneticPr fontId="9" type="noConversion"/>
  </si>
  <si>
    <t>택스홈앤아웃</t>
    <phoneticPr fontId="9" type="noConversion"/>
  </si>
  <si>
    <t>2월 유지정비료 - 1/12회</t>
    <phoneticPr fontId="9" type="noConversion"/>
  </si>
  <si>
    <t>이비인프라</t>
    <phoneticPr fontId="9" type="noConversion"/>
  </si>
  <si>
    <t>69Y2926</t>
  </si>
  <si>
    <t>Controller Battery for DS3512/DS3524</t>
  </si>
  <si>
    <t>재고</t>
    <phoneticPr fontId="9" type="noConversion"/>
  </si>
  <si>
    <t>SM-23012</t>
    <phoneticPr fontId="9" type="noConversion"/>
  </si>
  <si>
    <t>SM-23013</t>
    <phoneticPr fontId="9" type="noConversion"/>
  </si>
  <si>
    <t>SM-23015</t>
    <phoneticPr fontId="9" type="noConversion"/>
  </si>
  <si>
    <t>SM-23016</t>
    <phoneticPr fontId="9" type="noConversion"/>
  </si>
  <si>
    <t>이앤피정보기술</t>
    <phoneticPr fontId="9" type="noConversion"/>
  </si>
  <si>
    <t>용진일렉콤</t>
    <phoneticPr fontId="9" type="noConversion"/>
  </si>
  <si>
    <t>동원프라스틱</t>
    <phoneticPr fontId="9" type="noConversion"/>
  </si>
  <si>
    <t>에실로코리아</t>
    <phoneticPr fontId="9" type="noConversion"/>
  </si>
  <si>
    <t>이앤피정보기술</t>
    <phoneticPr fontId="9" type="noConversion"/>
  </si>
  <si>
    <t>택스홈앤아웃</t>
    <phoneticPr fontId="9" type="noConversion"/>
  </si>
  <si>
    <t>카드/현금</t>
    <phoneticPr fontId="9" type="noConversion"/>
  </si>
  <si>
    <t>세이디에스</t>
    <phoneticPr fontId="9" type="noConversion"/>
  </si>
  <si>
    <t>기술지원</t>
  </si>
  <si>
    <t>디에이치라이팅 2공장</t>
    <phoneticPr fontId="9" type="noConversion"/>
  </si>
  <si>
    <t>IK-22023</t>
    <phoneticPr fontId="9" type="noConversion"/>
  </si>
  <si>
    <t>IK-22021</t>
    <phoneticPr fontId="9" type="noConversion"/>
  </si>
  <si>
    <t>X3550M4 V2 BOARD</t>
  </si>
  <si>
    <t>포항</t>
    <phoneticPr fontId="9" type="noConversion"/>
  </si>
  <si>
    <t>SB-23012</t>
    <phoneticPr fontId="9" type="noConversion"/>
  </si>
  <si>
    <t>SM-23017</t>
    <phoneticPr fontId="9" type="noConversion"/>
  </si>
  <si>
    <t>이녹스(패션그룹형지)</t>
    <phoneticPr fontId="9" type="noConversion"/>
  </si>
  <si>
    <t>46M0918</t>
  </si>
  <si>
    <t>ZEKV4M</t>
  </si>
  <si>
    <t>월간-IBM</t>
  </si>
  <si>
    <t>SB-23037
SB-23043</t>
    <phoneticPr fontId="9" type="noConversion"/>
  </si>
  <si>
    <t>아이티앤</t>
    <phoneticPr fontId="9" type="noConversion"/>
  </si>
  <si>
    <t>이비즈테크</t>
    <phoneticPr fontId="9" type="noConversion"/>
  </si>
  <si>
    <t>초록우산어린이재단</t>
    <phoneticPr fontId="9" type="noConversion"/>
  </si>
  <si>
    <t>이비즈테크</t>
    <phoneticPr fontId="9" type="noConversion"/>
  </si>
  <si>
    <t>한우리아이티</t>
    <phoneticPr fontId="9" type="noConversion"/>
  </si>
  <si>
    <t>유니와이드</t>
    <phoneticPr fontId="9" type="noConversion"/>
  </si>
  <si>
    <t>롯데컬처웍스</t>
    <phoneticPr fontId="9" type="noConversion"/>
  </si>
  <si>
    <t>오류차</t>
    <phoneticPr fontId="9" type="noConversion"/>
  </si>
  <si>
    <t>두원공조</t>
    <phoneticPr fontId="9" type="noConversion"/>
  </si>
  <si>
    <t>SM-23025</t>
  </si>
  <si>
    <t>지인아이티</t>
    <phoneticPr fontId="9" type="noConversion"/>
  </si>
  <si>
    <t>이올테크</t>
    <phoneticPr fontId="9" type="noConversion"/>
  </si>
  <si>
    <t>유더블유에스</t>
    <phoneticPr fontId="9" type="noConversion"/>
  </si>
  <si>
    <t>신세계아이앤씨</t>
    <phoneticPr fontId="9" type="noConversion"/>
  </si>
  <si>
    <t>SB-23053</t>
  </si>
  <si>
    <t>교세라커넥터프로덕츠코리아</t>
    <phoneticPr fontId="9" type="noConversion"/>
  </si>
  <si>
    <t>조립PC</t>
  </si>
  <si>
    <t>SM-23023</t>
    <phoneticPr fontId="9" type="noConversion"/>
  </si>
  <si>
    <t>IK-23016</t>
    <phoneticPr fontId="9" type="noConversion"/>
  </si>
  <si>
    <t>유더블유에스</t>
    <phoneticPr fontId="9" type="noConversion"/>
  </si>
  <si>
    <t>인터클러스터시스템</t>
  </si>
  <si>
    <t>에이스기계</t>
    <phoneticPr fontId="9" type="noConversion"/>
  </si>
  <si>
    <t>Z41QIW</t>
    <phoneticPr fontId="9" type="noConversion"/>
  </si>
  <si>
    <t>ZKFUER</t>
    <phoneticPr fontId="9" type="noConversion"/>
  </si>
  <si>
    <t>수익율</t>
    <phoneticPr fontId="9" type="noConversion"/>
  </si>
  <si>
    <t>SM-23031</t>
    <phoneticPr fontId="9" type="noConversion"/>
  </si>
  <si>
    <t>대한변협법학전문대학원평가위원회</t>
    <phoneticPr fontId="9" type="noConversion"/>
  </si>
  <si>
    <t>태성</t>
    <phoneticPr fontId="9" type="noConversion"/>
  </si>
  <si>
    <t>대유에이텍</t>
    <phoneticPr fontId="9" type="noConversion"/>
  </si>
  <si>
    <t>12월 유지정비료 - 4/12회</t>
    <phoneticPr fontId="9" type="noConversion"/>
  </si>
  <si>
    <t>윤성</t>
    <phoneticPr fontId="9" type="noConversion"/>
  </si>
  <si>
    <t>온더레벨</t>
    <phoneticPr fontId="9" type="noConversion"/>
  </si>
  <si>
    <t>1월 유지정비료 - 1/12회</t>
    <phoneticPr fontId="9" type="noConversion"/>
  </si>
  <si>
    <t>VPN 서비스/ 1월임대료 - 1/12회</t>
    <phoneticPr fontId="9" type="noConversion"/>
  </si>
  <si>
    <t>분기(1~3월) 유지정비료 - 3/4회</t>
    <phoneticPr fontId="9" type="noConversion"/>
  </si>
  <si>
    <t>완료(1/9)</t>
    <phoneticPr fontId="9" type="noConversion"/>
  </si>
  <si>
    <t>1월 유지정비료 - 9/12회</t>
    <phoneticPr fontId="9" type="noConversion"/>
  </si>
  <si>
    <t>1월 유지정비료 - 5/12회</t>
    <phoneticPr fontId="9" type="noConversion"/>
  </si>
  <si>
    <t>1월 유지정비료 - 6/12회</t>
    <phoneticPr fontId="9" type="noConversion"/>
  </si>
  <si>
    <t>1월 유지정비료 - 7/12회</t>
    <phoneticPr fontId="9" type="noConversion"/>
  </si>
  <si>
    <t>1월 유지정비료 - 2/12회</t>
    <phoneticPr fontId="9" type="noConversion"/>
  </si>
  <si>
    <t>1월 유지정비료 - 11/12회</t>
    <phoneticPr fontId="9" type="noConversion"/>
  </si>
  <si>
    <t>1월 유지정비료 - 8/12회</t>
    <phoneticPr fontId="9" type="noConversion"/>
  </si>
  <si>
    <t>1월 유지정비료 - 10/12회</t>
    <phoneticPr fontId="9" type="noConversion"/>
  </si>
  <si>
    <t>한미사이언스</t>
    <phoneticPr fontId="9" type="noConversion"/>
  </si>
  <si>
    <t>1월 유지정비료 - 10/13회</t>
    <phoneticPr fontId="9" type="noConversion"/>
  </si>
  <si>
    <t>완료(1/17)</t>
    <phoneticPr fontId="9" type="noConversion"/>
  </si>
  <si>
    <t>태권도진흥재단</t>
    <phoneticPr fontId="9" type="noConversion"/>
  </si>
  <si>
    <t>한국시니어티브이</t>
    <phoneticPr fontId="9" type="noConversion"/>
  </si>
  <si>
    <t>비온시이노베이터</t>
    <phoneticPr fontId="9" type="noConversion"/>
  </si>
  <si>
    <t>국립농업과학원</t>
    <phoneticPr fontId="9" type="noConversion"/>
  </si>
  <si>
    <t>[HW] 1월 유지정비료 - 1/12회</t>
    <phoneticPr fontId="9" type="noConversion"/>
  </si>
  <si>
    <t>BAT서울</t>
    <phoneticPr fontId="9" type="noConversion"/>
  </si>
  <si>
    <t>BAT사천</t>
    <phoneticPr fontId="9" type="noConversion"/>
  </si>
  <si>
    <t>VPN 서비스/ 2월임대료 - 2/12회</t>
    <phoneticPr fontId="9" type="noConversion"/>
  </si>
  <si>
    <t>2월 유지정비료 - 2/12회</t>
    <phoneticPr fontId="9" type="noConversion"/>
  </si>
  <si>
    <t>SB-24011</t>
    <phoneticPr fontId="9" type="noConversion"/>
  </si>
  <si>
    <t>2월 유지정비료 - 10/12회</t>
    <phoneticPr fontId="9" type="noConversion"/>
  </si>
  <si>
    <t>2월 유지정비료 - 8/12회</t>
    <phoneticPr fontId="9" type="noConversion"/>
  </si>
  <si>
    <t>2월 유지정비료 - 9/12회</t>
    <phoneticPr fontId="9" type="noConversion"/>
  </si>
  <si>
    <t>2월 유지정비료 - 11/12회</t>
    <phoneticPr fontId="9" type="noConversion"/>
  </si>
  <si>
    <t>2월 유지정비료 - 11/13회</t>
    <phoneticPr fontId="9" type="noConversion"/>
  </si>
  <si>
    <t>IK-24002</t>
    <phoneticPr fontId="9" type="noConversion"/>
  </si>
  <si>
    <t>SM-24007</t>
    <phoneticPr fontId="9" type="noConversion"/>
  </si>
  <si>
    <t>케이정보기술</t>
    <phoneticPr fontId="9" type="noConversion"/>
  </si>
  <si>
    <t>하이엔드택스 강남지점</t>
    <phoneticPr fontId="9" type="noConversion"/>
  </si>
  <si>
    <t>에스케이네트웍스서비스</t>
    <phoneticPr fontId="9" type="noConversion"/>
  </si>
  <si>
    <t>시스젠</t>
    <phoneticPr fontId="9" type="noConversion"/>
  </si>
  <si>
    <t>교보문고</t>
    <phoneticPr fontId="9" type="noConversion"/>
  </si>
  <si>
    <t>홈닥터</t>
    <phoneticPr fontId="9" type="noConversion"/>
  </si>
  <si>
    <t>호계214~216호</t>
    <phoneticPr fontId="9" type="noConversion"/>
  </si>
  <si>
    <t>광명자이 1812호</t>
    <phoneticPr fontId="9" type="noConversion"/>
  </si>
  <si>
    <t>광명자이 1811호</t>
    <phoneticPr fontId="9" type="noConversion"/>
  </si>
  <si>
    <t>광명자이 1810호</t>
    <phoneticPr fontId="9" type="noConversion"/>
  </si>
  <si>
    <t>가양아너비즈 402~404호</t>
    <phoneticPr fontId="9" type="noConversion"/>
  </si>
  <si>
    <t>엘림넷</t>
    <phoneticPr fontId="9" type="noConversion"/>
  </si>
  <si>
    <t>인피니테크</t>
    <phoneticPr fontId="9" type="noConversion"/>
  </si>
  <si>
    <t>알에스아이티</t>
    <phoneticPr fontId="9" type="noConversion"/>
  </si>
  <si>
    <t>고영홀딩스</t>
    <phoneticPr fontId="9" type="noConversion"/>
  </si>
  <si>
    <t>한국정보기술</t>
    <phoneticPr fontId="9" type="noConversion"/>
  </si>
  <si>
    <t>유니원아이앤씨</t>
    <phoneticPr fontId="9" type="noConversion"/>
  </si>
  <si>
    <t>한국컴패션</t>
    <phoneticPr fontId="9" type="noConversion"/>
  </si>
  <si>
    <t>Z2XAQY
ZDSTPH</t>
    <phoneticPr fontId="9" type="noConversion"/>
  </si>
  <si>
    <t>디에이치라이팅</t>
    <phoneticPr fontId="9" type="noConversion"/>
  </si>
  <si>
    <t>대한산업보건협회</t>
    <phoneticPr fontId="9" type="noConversion"/>
  </si>
  <si>
    <t>IK-24005</t>
    <phoneticPr fontId="9" type="noConversion"/>
  </si>
  <si>
    <t>ZCX01Z</t>
    <phoneticPr fontId="9" type="noConversion"/>
  </si>
  <si>
    <t>ZGTHWJ</t>
  </si>
  <si>
    <t>시스템본</t>
    <phoneticPr fontId="9" type="noConversion"/>
  </si>
  <si>
    <t>엘지유플러스</t>
    <phoneticPr fontId="9" type="noConversion"/>
  </si>
  <si>
    <t>추후?</t>
    <phoneticPr fontId="9" type="noConversion"/>
  </si>
  <si>
    <t>IK-24006</t>
    <phoneticPr fontId="9" type="noConversion"/>
  </si>
  <si>
    <t>리더스시스템즈</t>
    <phoneticPr fontId="9" type="noConversion"/>
  </si>
  <si>
    <t>SB-24027</t>
    <phoneticPr fontId="9" type="noConversion"/>
  </si>
  <si>
    <t>SM-24012</t>
    <phoneticPr fontId="9" type="noConversion"/>
  </si>
  <si>
    <t>LI-24003</t>
    <phoneticPr fontId="9" type="noConversion"/>
  </si>
  <si>
    <t>SB-24028</t>
    <phoneticPr fontId="9" type="noConversion"/>
  </si>
  <si>
    <t>SM-24011</t>
    <phoneticPr fontId="9" type="noConversion"/>
  </si>
  <si>
    <t>ZE7QNO</t>
    <phoneticPr fontId="9" type="noConversion"/>
  </si>
  <si>
    <t>나라정보</t>
    <phoneticPr fontId="9" type="noConversion"/>
  </si>
  <si>
    <t>부국철강</t>
    <phoneticPr fontId="9" type="noConversion"/>
  </si>
  <si>
    <t>비티엔투어</t>
    <phoneticPr fontId="9" type="noConversion"/>
  </si>
  <si>
    <t>비즈윈</t>
    <phoneticPr fontId="9" type="noConversion"/>
  </si>
  <si>
    <t>롯데하이마트</t>
    <phoneticPr fontId="9" type="noConversion"/>
  </si>
  <si>
    <t>SB-24031</t>
    <phoneticPr fontId="9" type="noConversion"/>
  </si>
  <si>
    <t>SM-24014</t>
    <phoneticPr fontId="9" type="noConversion"/>
  </si>
  <si>
    <t>SM-24013</t>
    <phoneticPr fontId="9" type="noConversion"/>
  </si>
  <si>
    <t>SB-24036</t>
    <phoneticPr fontId="9" type="noConversion"/>
  </si>
  <si>
    <t>ZKZDVZ</t>
    <phoneticPr fontId="9" type="noConversion"/>
  </si>
  <si>
    <t>Z5PURB</t>
  </si>
  <si>
    <t>휴맥스네트웍스</t>
    <phoneticPr fontId="9" type="noConversion"/>
  </si>
  <si>
    <t>씨케이명차</t>
    <phoneticPr fontId="9" type="noConversion"/>
  </si>
  <si>
    <t>한강레미콘</t>
    <phoneticPr fontId="9" type="noConversion"/>
  </si>
  <si>
    <t>Z11I89</t>
  </si>
  <si>
    <t>알티캐스트</t>
    <phoneticPr fontId="9" type="noConversion"/>
  </si>
  <si>
    <t>한국메탈</t>
    <phoneticPr fontId="9" type="noConversion"/>
  </si>
  <si>
    <t>LI-24004</t>
    <phoneticPr fontId="9" type="noConversion"/>
  </si>
  <si>
    <t>불국토</t>
    <phoneticPr fontId="9" type="noConversion"/>
  </si>
  <si>
    <t>세원정공(폴라리스세원)</t>
    <phoneticPr fontId="9" type="noConversion"/>
  </si>
  <si>
    <t>티시스</t>
    <phoneticPr fontId="9" type="noConversion"/>
  </si>
  <si>
    <t>서비스기술지원 (3차)</t>
  </si>
  <si>
    <t>서비스기술지원 (4차)</t>
  </si>
  <si>
    <t>HMM(에이치엠엠)</t>
    <phoneticPr fontId="9" type="noConversion"/>
  </si>
  <si>
    <t>IK-24008</t>
    <phoneticPr fontId="9" type="noConversion"/>
  </si>
  <si>
    <t>ZZGBBZ</t>
  </si>
  <si>
    <t>Z4ACEZ</t>
  </si>
  <si>
    <t>ZBJK3I</t>
  </si>
  <si>
    <t>IK-24007</t>
    <phoneticPr fontId="9" type="noConversion"/>
  </si>
  <si>
    <t>LI-24007</t>
    <phoneticPr fontId="9" type="noConversion"/>
  </si>
  <si>
    <t>보해양조</t>
    <phoneticPr fontId="9" type="noConversion"/>
  </si>
  <si>
    <t>LI-24006</t>
    <phoneticPr fontId="9" type="noConversion"/>
  </si>
  <si>
    <t>ZNHTN1</t>
  </si>
  <si>
    <t>LI-24005</t>
    <phoneticPr fontId="9" type="noConversion"/>
  </si>
  <si>
    <t>SB-24009</t>
    <phoneticPr fontId="9" type="noConversion"/>
  </si>
  <si>
    <t>SM-23026</t>
    <phoneticPr fontId="9" type="noConversion"/>
  </si>
  <si>
    <t>SM-23020</t>
    <phoneticPr fontId="9" type="noConversion"/>
  </si>
  <si>
    <t>SB-22053</t>
    <phoneticPr fontId="9" type="noConversion"/>
  </si>
  <si>
    <t>ZZNUMY</t>
    <phoneticPr fontId="9" type="noConversion"/>
  </si>
  <si>
    <t>Z0PYQC</t>
    <phoneticPr fontId="9" type="noConversion"/>
  </si>
  <si>
    <t>SB-24034</t>
    <phoneticPr fontId="9" type="noConversion"/>
  </si>
  <si>
    <t>SB-24040</t>
    <phoneticPr fontId="9" type="noConversion"/>
  </si>
  <si>
    <t>SB-24039</t>
    <phoneticPr fontId="9" type="noConversion"/>
  </si>
  <si>
    <t>플럭시티</t>
    <phoneticPr fontId="9" type="noConversion"/>
  </si>
  <si>
    <t>한화손해사정</t>
    <phoneticPr fontId="9" type="noConversion"/>
  </si>
  <si>
    <t>SB-24041</t>
    <phoneticPr fontId="9" type="noConversion"/>
  </si>
  <si>
    <t>ZTME0P</t>
  </si>
  <si>
    <t>C24009</t>
    <phoneticPr fontId="9" type="noConversion"/>
  </si>
  <si>
    <t>ZSWUX2</t>
    <phoneticPr fontId="9" type="noConversion"/>
  </si>
  <si>
    <t>LX홀딩스</t>
    <phoneticPr fontId="9" type="noConversion"/>
  </si>
  <si>
    <t>SB-24042</t>
    <phoneticPr fontId="9" type="noConversion"/>
  </si>
  <si>
    <t>SB-24044</t>
    <phoneticPr fontId="9" type="noConversion"/>
  </si>
  <si>
    <t>HPE DL360Gen10 Plus</t>
  </si>
  <si>
    <t>SB-24046</t>
  </si>
  <si>
    <t>Z8LTG0</t>
  </si>
  <si>
    <t>웰컴저축은행</t>
    <phoneticPr fontId="9" type="noConversion"/>
  </si>
  <si>
    <t>상품</t>
  </si>
  <si>
    <t>티엔플러스</t>
    <phoneticPr fontId="9" type="noConversion"/>
  </si>
  <si>
    <t>지엘정보통신</t>
    <phoneticPr fontId="9" type="noConversion"/>
  </si>
  <si>
    <t>아이티엔</t>
    <phoneticPr fontId="9" type="noConversion"/>
  </si>
  <si>
    <t>익스피다이터스코리아</t>
  </si>
  <si>
    <t>유플러스아이티</t>
    <phoneticPr fontId="9" type="noConversion"/>
  </si>
  <si>
    <t>SL-23035</t>
    <phoneticPr fontId="9" type="noConversion"/>
  </si>
  <si>
    <t>OK데이터시스템</t>
    <phoneticPr fontId="9" type="noConversion"/>
  </si>
  <si>
    <t>티비씨</t>
    <phoneticPr fontId="9" type="noConversion"/>
  </si>
  <si>
    <t>세연시스템즈</t>
  </si>
  <si>
    <t>ZUIU6G</t>
    <phoneticPr fontId="9" type="noConversion"/>
  </si>
  <si>
    <t>SB-24052</t>
    <phoneticPr fontId="9" type="noConversion"/>
  </si>
  <si>
    <t>SM-24021</t>
    <phoneticPr fontId="9" type="noConversion"/>
  </si>
  <si>
    <t>왕길토건</t>
    <phoneticPr fontId="9" type="noConversion"/>
  </si>
  <si>
    <t>검단미플존 317호</t>
    <phoneticPr fontId="9" type="noConversion"/>
  </si>
  <si>
    <t>순환</t>
    <phoneticPr fontId="9" type="noConversion"/>
  </si>
  <si>
    <t>검단미플존 318호</t>
    <phoneticPr fontId="9" type="noConversion"/>
  </si>
  <si>
    <t>SM-24020</t>
    <phoneticPr fontId="9" type="noConversion"/>
  </si>
  <si>
    <t>다우데이타</t>
    <phoneticPr fontId="9" type="noConversion"/>
  </si>
  <si>
    <t>장형기업</t>
    <phoneticPr fontId="9" type="noConversion"/>
  </si>
  <si>
    <t>검단미플존 316호</t>
    <phoneticPr fontId="9" type="noConversion"/>
  </si>
  <si>
    <t>ZBQCP7</t>
    <phoneticPr fontId="9" type="noConversion"/>
  </si>
  <si>
    <t>3월말</t>
    <phoneticPr fontId="9" type="noConversion"/>
  </si>
  <si>
    <t>매사</t>
    <phoneticPr fontId="9" type="noConversion"/>
  </si>
  <si>
    <t>매사</t>
    <phoneticPr fontId="9" type="noConversion"/>
  </si>
  <si>
    <t>포이스트</t>
    <phoneticPr fontId="9" type="noConversion"/>
  </si>
  <si>
    <t>아이지리더스</t>
    <phoneticPr fontId="9" type="noConversion"/>
  </si>
  <si>
    <t>포스코</t>
    <phoneticPr fontId="9" type="noConversion"/>
  </si>
  <si>
    <t>SB-24055
SB-24056</t>
    <phoneticPr fontId="9" type="noConversion"/>
  </si>
  <si>
    <t>ZP1BPN
ZAXJCH</t>
    <phoneticPr fontId="9" type="noConversion"/>
  </si>
  <si>
    <t>2월말</t>
    <phoneticPr fontId="9" type="noConversion"/>
  </si>
  <si>
    <t>연희아이티</t>
    <phoneticPr fontId="9" type="noConversion"/>
  </si>
  <si>
    <t>Y241127-02</t>
  </si>
  <si>
    <t>서버</t>
    <phoneticPr fontId="9" type="noConversion"/>
  </si>
  <si>
    <t>맥북프로</t>
  </si>
  <si>
    <t>Monitor</t>
  </si>
  <si>
    <t>Y241210-01</t>
    <phoneticPr fontId="9" type="noConversion"/>
  </si>
  <si>
    <t>HP P24h G5 FHD IPS 75</t>
  </si>
  <si>
    <t>워크스테이션</t>
    <phoneticPr fontId="9" type="noConversion"/>
  </si>
  <si>
    <t>모니터</t>
    <phoneticPr fontId="9" type="noConversion"/>
  </si>
  <si>
    <t>컴퓨존(12/10)</t>
    <phoneticPr fontId="9" type="noConversion"/>
  </si>
  <si>
    <t>레드텍</t>
    <phoneticPr fontId="9" type="noConversion"/>
  </si>
  <si>
    <t>대한상공회의소</t>
    <phoneticPr fontId="9" type="noConversion"/>
  </si>
  <si>
    <t>IK-24011</t>
    <phoneticPr fontId="9" type="noConversion"/>
  </si>
  <si>
    <t>SM-24024</t>
    <phoneticPr fontId="9" type="noConversion"/>
  </si>
  <si>
    <t>IK-24013</t>
    <phoneticPr fontId="9" type="noConversion"/>
  </si>
  <si>
    <t>HP Z1 G9 Workstation</t>
    <phoneticPr fontId="9" type="noConversion"/>
  </si>
  <si>
    <t>S</t>
    <phoneticPr fontId="9" type="noConversion"/>
  </si>
  <si>
    <t>전산장비 이전, 시스템 마이그레이션 (1차)</t>
  </si>
  <si>
    <t>전산장비 이전, 시스템 마이그레이션 (2차)</t>
  </si>
  <si>
    <t>전산장비 이전, 시스템 마이그레이션 (3차)</t>
  </si>
  <si>
    <t>전산장비 이전, 시스템 마이그레이션 (4차)</t>
  </si>
  <si>
    <t>우물단</t>
  </si>
  <si>
    <t>레드텍</t>
    <phoneticPr fontId="9" type="noConversion"/>
  </si>
  <si>
    <t>Y241223-01</t>
    <phoneticPr fontId="9" type="noConversion"/>
  </si>
  <si>
    <t>스마트에프앤디</t>
    <phoneticPr fontId="9" type="noConversion"/>
  </si>
  <si>
    <t>연간유지정비료(25.01.04~26.01.03)</t>
    <phoneticPr fontId="9" type="noConversion"/>
  </si>
  <si>
    <t>퓨처젠</t>
    <phoneticPr fontId="9" type="noConversion"/>
  </si>
  <si>
    <t>소프트아이텍</t>
    <phoneticPr fontId="9" type="noConversion"/>
  </si>
  <si>
    <t>단가</t>
  </si>
  <si>
    <t>공급가액</t>
  </si>
  <si>
    <t>부가세</t>
  </si>
  <si>
    <t>공급가합계</t>
  </si>
  <si>
    <t>시스나인</t>
    <phoneticPr fontId="9" type="noConversion"/>
  </si>
  <si>
    <t>12월(12.5~25.1.4) 임대료 - 11/24회</t>
    <phoneticPr fontId="9" type="noConversion"/>
  </si>
  <si>
    <t>1월 유지정비료 - 12/12회</t>
    <phoneticPr fontId="9" type="noConversion"/>
  </si>
  <si>
    <t>1월 유지정비료 - 9/36회</t>
    <phoneticPr fontId="9" type="noConversion"/>
  </si>
  <si>
    <t>1월 유지정비료 - 3/12회</t>
    <phoneticPr fontId="9" type="noConversion"/>
  </si>
  <si>
    <r>
      <t>VPN 서비스 1월임대료 - 1/</t>
    </r>
    <r>
      <rPr>
        <sz val="9"/>
        <rFont val="맑은 고딕"/>
        <family val="3"/>
        <charset val="129"/>
        <scheme val="minor"/>
      </rPr>
      <t>12회 280,000</t>
    </r>
    <r>
      <rPr>
        <sz val="9"/>
        <color theme="1"/>
        <rFont val="맑은 고딕"/>
        <family val="3"/>
        <charset val="129"/>
        <scheme val="minor"/>
      </rPr>
      <t xml:space="preserve">
+ 보안스위치 1월 2대*120,000</t>
    </r>
    <phoneticPr fontId="9" type="noConversion"/>
  </si>
  <si>
    <t>분기(1~3월) 유지정비료 - 9/12회</t>
    <phoneticPr fontId="9" type="noConversion"/>
  </si>
  <si>
    <t>1~11월 유지정비료</t>
    <phoneticPr fontId="9" type="noConversion"/>
  </si>
  <si>
    <t>ZDSNDX</t>
    <phoneticPr fontId="9" type="noConversion"/>
  </si>
  <si>
    <t>M3 Pro 11코어 / 14코어 GPU / 512GB / 18GB / 실버</t>
    <phoneticPr fontId="9" type="noConversion"/>
  </si>
  <si>
    <t>완료(1/2)</t>
    <phoneticPr fontId="9" type="noConversion"/>
  </si>
  <si>
    <t>Y250102-01</t>
    <phoneticPr fontId="9" type="noConversion"/>
  </si>
  <si>
    <t>M3 Pro 11코어 / 14코어 GPU / 512GB / 18GB / 블랙</t>
  </si>
  <si>
    <t>쿠팡(12/30법카)</t>
    <phoneticPr fontId="9" type="noConversion"/>
  </si>
  <si>
    <t>BOARD SYSTEM Maintenance 1월분 - 4/12회</t>
    <phoneticPr fontId="9" type="noConversion"/>
  </si>
  <si>
    <t>1월 임대료 (12.13~1.12)</t>
    <phoneticPr fontId="9" type="noConversion"/>
  </si>
  <si>
    <t>12월 임대료(24/12/12~25/1/10) - 3/10회</t>
    <phoneticPr fontId="9" type="noConversion"/>
  </si>
  <si>
    <t>1월 임대료(24/12/20~25/1/19) - 3/9회</t>
    <phoneticPr fontId="9" type="noConversion"/>
  </si>
  <si>
    <t>12월 유지정비료 - 12/24회</t>
    <phoneticPr fontId="9" type="noConversion"/>
  </si>
  <si>
    <t>1월 임대료(12.26~1.25) 3/12회</t>
    <phoneticPr fontId="9" type="noConversion"/>
  </si>
  <si>
    <t>서버임대 SR650 2식 - 16/36회</t>
    <phoneticPr fontId="9" type="noConversion"/>
  </si>
  <si>
    <t>1월 임대료 - 7/12회</t>
    <phoneticPr fontId="9" type="noConversion"/>
  </si>
  <si>
    <t>1월 유지정비료 - 25/37회</t>
    <phoneticPr fontId="9" type="noConversion"/>
  </si>
  <si>
    <t>1월 유지정비료 - 22/36회</t>
    <phoneticPr fontId="9" type="noConversion"/>
  </si>
  <si>
    <t>1월 유지정비료 - 12/36회</t>
    <phoneticPr fontId="9" type="noConversion"/>
  </si>
  <si>
    <t>H241230-01</t>
  </si>
  <si>
    <t>32P0730</t>
  </si>
  <si>
    <t>73GB 10K U320 SCSI</t>
  </si>
  <si>
    <t>티에스씨인포</t>
    <phoneticPr fontId="9" type="noConversion"/>
  </si>
  <si>
    <t>1월 유지정비료 - 1/12회</t>
    <phoneticPr fontId="9" type="noConversion"/>
  </si>
  <si>
    <t>SB-24063</t>
  </si>
  <si>
    <t>ZIR05U</t>
  </si>
  <si>
    <t>SB-24064</t>
  </si>
  <si>
    <t>ZOTN1N</t>
  </si>
  <si>
    <t>SM-25001</t>
    <phoneticPr fontId="9" type="noConversion"/>
  </si>
  <si>
    <t>SB-25001</t>
  </si>
  <si>
    <t>ZXRZHC</t>
  </si>
  <si>
    <t>퓨처젠</t>
    <phoneticPr fontId="9" type="noConversion"/>
  </si>
  <si>
    <t>HB저축은행</t>
    <phoneticPr fontId="9" type="noConversion"/>
  </si>
  <si>
    <t>삼표 DB세이퍼 유지보수 - 1월(6/12회)</t>
    <phoneticPr fontId="9" type="noConversion"/>
  </si>
  <si>
    <t>1월 유지정비료 - 23/46회</t>
    <phoneticPr fontId="9" type="noConversion"/>
  </si>
  <si>
    <t>(HW) 1월 유지정비료 - 8/12회</t>
    <phoneticPr fontId="9" type="noConversion"/>
  </si>
  <si>
    <t>1월 유지정비료 - 9/24회</t>
    <phoneticPr fontId="9" type="noConversion"/>
  </si>
  <si>
    <t>1월 유지정비료 - 9/32회</t>
    <phoneticPr fontId="9" type="noConversion"/>
  </si>
  <si>
    <t>1월 유지정비료 - 10/21회</t>
    <phoneticPr fontId="9" type="noConversion"/>
  </si>
  <si>
    <t>1월 유지정비료 - 4/15회</t>
    <phoneticPr fontId="9" type="noConversion"/>
  </si>
  <si>
    <t>1월 임대료 - 3/8회</t>
    <phoneticPr fontId="9" type="noConversion"/>
  </si>
  <si>
    <t>SL-24050</t>
    <phoneticPr fontId="9" type="noConversion"/>
  </si>
  <si>
    <t>SB-24066</t>
    <phoneticPr fontId="9" type="noConversion"/>
  </si>
  <si>
    <t>올릭스파마</t>
    <phoneticPr fontId="9" type="noConversion"/>
  </si>
  <si>
    <t>MAPAC</t>
    <phoneticPr fontId="9" type="noConversion"/>
  </si>
  <si>
    <t>연간-레노버</t>
    <phoneticPr fontId="9" type="noConversion"/>
  </si>
  <si>
    <t>연간유지정비료(25.01.01~25.12.31)</t>
    <phoneticPr fontId="9" type="noConversion"/>
  </si>
  <si>
    <t>SL-25001</t>
  </si>
  <si>
    <t>SM_C24021</t>
  </si>
  <si>
    <t>레노버(1/2)</t>
    <phoneticPr fontId="9" type="noConversion"/>
  </si>
  <si>
    <t>대구텍</t>
    <phoneticPr fontId="9" type="noConversion"/>
  </si>
  <si>
    <t>월간-IBM</t>
    <phoneticPr fontId="9" type="noConversion"/>
  </si>
  <si>
    <t>1월 유지정비료 - 1/6회</t>
    <phoneticPr fontId="9" type="noConversion"/>
  </si>
  <si>
    <t>IK-24012</t>
    <phoneticPr fontId="9" type="noConversion"/>
  </si>
  <si>
    <t>IBM(1/6)</t>
    <phoneticPr fontId="9" type="noConversion"/>
  </si>
  <si>
    <t>여신 30일견적됨, 확인필요</t>
    <phoneticPr fontId="9" type="noConversion"/>
  </si>
  <si>
    <t>Y250107-01</t>
    <phoneticPr fontId="9" type="noConversion"/>
  </si>
  <si>
    <t>LG 27MR400</t>
  </si>
  <si>
    <t>컴퓨존(1/7)</t>
    <phoneticPr fontId="9" type="noConversion"/>
  </si>
  <si>
    <t>이원(E1)컨테이너터미널 #1</t>
    <phoneticPr fontId="9" type="noConversion"/>
  </si>
  <si>
    <t>이원(E1)컨테이너터미널 #2</t>
    <phoneticPr fontId="9" type="noConversion"/>
  </si>
  <si>
    <t>H250102-01</t>
  </si>
  <si>
    <t>H250106-01</t>
  </si>
  <si>
    <t>H250106-02</t>
  </si>
  <si>
    <t>01AF542</t>
  </si>
  <si>
    <t>Processor VRM 2B4E For 8231-E1C, E1D, E2D, 8268-E1D, 8246-L1C</t>
  </si>
  <si>
    <t>1KPX8</t>
  </si>
  <si>
    <t>DELL R740 SYSTEM BOARD = JMK61</t>
  </si>
  <si>
    <t>아이엠티에스아이</t>
  </si>
  <si>
    <t>SB-24061</t>
    <phoneticPr fontId="9" type="noConversion"/>
  </si>
  <si>
    <t>SW 연간유지정비료(25.01.01~25.12.31)</t>
    <phoneticPr fontId="9" type="noConversion"/>
  </si>
  <si>
    <t>SL-24028</t>
  </si>
  <si>
    <t>SB-24065</t>
  </si>
  <si>
    <t>ZDFIN7</t>
  </si>
  <si>
    <t>안산시청</t>
    <phoneticPr fontId="9" type="noConversion"/>
  </si>
  <si>
    <t>CGV통합</t>
    <phoneticPr fontId="9" type="noConversion"/>
  </si>
  <si>
    <t>안국약품</t>
    <phoneticPr fontId="9" type="noConversion"/>
  </si>
  <si>
    <t>이비웨이브(24/12/30)</t>
    <phoneticPr fontId="9" type="noConversion"/>
  </si>
  <si>
    <t>매출정리</t>
    <phoneticPr fontId="9" type="noConversion"/>
  </si>
  <si>
    <t>S</t>
    <phoneticPr fontId="9" type="noConversion"/>
  </si>
  <si>
    <t>노트북</t>
    <phoneticPr fontId="9" type="noConversion"/>
  </si>
  <si>
    <t>엘지 노트북 납품 외</t>
    <phoneticPr fontId="9" type="noConversion"/>
  </si>
  <si>
    <t>연간</t>
    <phoneticPr fontId="9" type="noConversion"/>
  </si>
  <si>
    <t>(24/12/26)</t>
    <phoneticPr fontId="9" type="noConversion"/>
  </si>
  <si>
    <t>평택</t>
    <phoneticPr fontId="9" type="noConversion"/>
  </si>
  <si>
    <t>상품</t>
    <phoneticPr fontId="9" type="noConversion"/>
  </si>
  <si>
    <t>완료(1/13)</t>
    <phoneticPr fontId="9" type="noConversion"/>
  </si>
  <si>
    <t>TAHXA0178</t>
    <phoneticPr fontId="9" type="noConversion"/>
  </si>
  <si>
    <t>연간-레노버</t>
    <phoneticPr fontId="9" type="noConversion"/>
  </si>
  <si>
    <t>시스나인(1/2)연간 1,440,000(1/12회)</t>
    <phoneticPr fontId="9" type="noConversion"/>
  </si>
  <si>
    <t>SB-24063</t>
    <phoneticPr fontId="9" type="noConversion"/>
  </si>
  <si>
    <t>H250110-01</t>
  </si>
  <si>
    <t>H250113-01</t>
  </si>
  <si>
    <t>H250114-01</t>
  </si>
  <si>
    <t>061XPF</t>
  </si>
  <si>
    <t>DELL 146GB 15K 6G SFF SAS HDD</t>
  </si>
  <si>
    <t>44X3212</t>
  </si>
  <si>
    <t>IBM V7000 Storage 600GB 10K 2.5inch HDD 44X3212/90Y7652</t>
  </si>
  <si>
    <t>4XG7A38077</t>
  </si>
  <si>
    <t>SR650 Intel Xeon Gold 6246R 16C 205W 3.4GHz Processor with FAN</t>
  </si>
  <si>
    <t>Y250113-01</t>
    <phoneticPr fontId="9" type="noConversion"/>
  </si>
  <si>
    <t>Y250114-01</t>
  </si>
  <si>
    <t>Y250114-02</t>
  </si>
  <si>
    <t>HPE Server 엔지니어기술지원(OS 백업 및 복원작업)</t>
  </si>
  <si>
    <t>자재비</t>
  </si>
  <si>
    <t>2TB 2.5" SATA SSD  외</t>
  </si>
  <si>
    <t>소모품</t>
    <phoneticPr fontId="9" type="noConversion"/>
  </si>
  <si>
    <t>로지텍 K120 NEW+ 마우스 M90 세트 외</t>
    <phoneticPr fontId="9" type="noConversion"/>
  </si>
  <si>
    <t>SM</t>
    <phoneticPr fontId="9" type="noConversion"/>
  </si>
  <si>
    <t>아이티앤</t>
    <phoneticPr fontId="9" type="noConversion"/>
  </si>
  <si>
    <t>매출정리</t>
    <phoneticPr fontId="9" type="noConversion"/>
  </si>
  <si>
    <t>상품</t>
    <phoneticPr fontId="9" type="noConversion"/>
  </si>
  <si>
    <t>완료(1/15)</t>
    <phoneticPr fontId="9" type="noConversion"/>
  </si>
  <si>
    <t>Y250115-01</t>
    <phoneticPr fontId="9" type="noConversion"/>
  </si>
  <si>
    <t>솔튼병원</t>
    <phoneticPr fontId="9" type="noConversion"/>
  </si>
  <si>
    <t>System Board for X3650M5</t>
    <phoneticPr fontId="9" type="noConversion"/>
  </si>
  <si>
    <t xml:space="preserve">Server  기술지원 (On-Site) / 일과시간 지원 </t>
    <phoneticPr fontId="9" type="noConversion"/>
  </si>
  <si>
    <t>기술지원</t>
    <phoneticPr fontId="9" type="noConversion"/>
  </si>
  <si>
    <t>Board</t>
    <phoneticPr fontId="9" type="noConversion"/>
  </si>
  <si>
    <t>CABLE</t>
    <phoneticPr fontId="9" type="noConversion"/>
  </si>
  <si>
    <t>LC-LC OM3, 멀티 광점퍼코드 15M 30개 외</t>
    <phoneticPr fontId="9" type="noConversion"/>
  </si>
  <si>
    <t>54C33</t>
  </si>
  <si>
    <t>Y250116-01</t>
    <phoneticPr fontId="9" type="noConversion"/>
  </si>
  <si>
    <t>HPE DL360Gen10</t>
    <phoneticPr fontId="9" type="noConversion"/>
  </si>
  <si>
    <r>
      <t xml:space="preserve">레노버(1/1) 6,750,000 </t>
    </r>
    <r>
      <rPr>
        <sz val="9"/>
        <color rgb="FF9C0006"/>
        <rFont val="맑은 고딕"/>
        <family val="3"/>
        <charset val="129"/>
        <scheme val="minor"/>
      </rPr>
      <t>시스나인(1/2) 100중 50</t>
    </r>
    <phoneticPr fontId="9" type="noConversion"/>
  </si>
  <si>
    <t>아이엠티에스아이</t>
    <phoneticPr fontId="9" type="noConversion"/>
  </si>
  <si>
    <t>H250117-02</t>
    <phoneticPr fontId="9" type="noConversion"/>
  </si>
  <si>
    <t>00V7590</t>
    <phoneticPr fontId="9" type="noConversion"/>
  </si>
  <si>
    <t>IBM LTO6 TAPE 2.5/6.25TB [라벨포함]</t>
    <phoneticPr fontId="9" type="noConversion"/>
  </si>
  <si>
    <t>스토리지케이투(1/7)</t>
    <phoneticPr fontId="9" type="noConversion"/>
  </si>
  <si>
    <t>Y250117-01</t>
    <phoneticPr fontId="9" type="noConversion"/>
  </si>
  <si>
    <t>OS</t>
  </si>
  <si>
    <t xml:space="preserve">Windows Server 2022 Standard (DSP/16core/64bit/CAL미포함16 core) </t>
  </si>
  <si>
    <t>컴퓨존(1/17)</t>
    <phoneticPr fontId="9" type="noConversion"/>
  </si>
  <si>
    <t>H250115-01</t>
    <phoneticPr fontId="9" type="noConversion"/>
  </si>
  <si>
    <t>H250116-01</t>
    <phoneticPr fontId="9" type="noConversion"/>
  </si>
  <si>
    <t>우리에스아이티</t>
    <phoneticPr fontId="9" type="noConversion"/>
  </si>
  <si>
    <t>AJ763A</t>
  </si>
  <si>
    <t>HPE 82E 8Gb 2-port PCIe Fibre Channel HBA</t>
  </si>
  <si>
    <t>765873-001</t>
  </si>
  <si>
    <t>2TB 7.2K 12G SAS 2.5inch Enterprise Hard Drive</t>
  </si>
  <si>
    <t>SK실트론</t>
    <phoneticPr fontId="9" type="noConversion"/>
  </si>
  <si>
    <t>H250117-01</t>
    <phoneticPr fontId="9" type="noConversion"/>
  </si>
  <si>
    <t>상품</t>
    <phoneticPr fontId="9" type="noConversion"/>
  </si>
  <si>
    <t>CPU</t>
  </si>
  <si>
    <t>E5-2470V2 10Core 2.4GHz 외</t>
    <phoneticPr fontId="9" type="noConversion"/>
  </si>
  <si>
    <t>넷매니아</t>
    <phoneticPr fontId="9" type="noConversion"/>
  </si>
  <si>
    <t>POWER</t>
    <phoneticPr fontId="9" type="noConversion"/>
  </si>
  <si>
    <t>POWER SUPPLY for DELL ME4024</t>
    <phoneticPr fontId="9" type="noConversion"/>
  </si>
  <si>
    <t>완료(1/18)</t>
    <phoneticPr fontId="9" type="noConversion"/>
  </si>
  <si>
    <t>H250118-01</t>
    <phoneticPr fontId="9" type="noConversion"/>
  </si>
  <si>
    <t>1월(1.5~2.4) 임대료 - 12/24회</t>
    <phoneticPr fontId="9" type="noConversion"/>
  </si>
  <si>
    <t>2월 유지정비료 - 18/35회</t>
    <phoneticPr fontId="9" type="noConversion"/>
  </si>
  <si>
    <t>2월 유지정비료 - 10/36회</t>
    <phoneticPr fontId="9" type="noConversion"/>
  </si>
  <si>
    <t>2월 유지정비료 - 2/6회</t>
    <phoneticPr fontId="9" type="noConversion"/>
  </si>
  <si>
    <t>2월 유지정비료 - 4/12회</t>
    <phoneticPr fontId="9" type="noConversion"/>
  </si>
  <si>
    <r>
      <t>VPN 서비스 2월임대료 - 2/</t>
    </r>
    <r>
      <rPr>
        <sz val="9"/>
        <rFont val="맑은 고딕"/>
        <family val="3"/>
        <charset val="129"/>
        <scheme val="minor"/>
      </rPr>
      <t>12회 280,000</t>
    </r>
    <r>
      <rPr>
        <sz val="9"/>
        <color theme="1"/>
        <rFont val="맑은 고딕"/>
        <family val="3"/>
        <charset val="129"/>
        <scheme val="minor"/>
      </rPr>
      <t xml:space="preserve">
+ 보안스위치 2월 2대*120,000</t>
    </r>
    <phoneticPr fontId="9" type="noConversion"/>
  </si>
  <si>
    <t>4월말</t>
    <phoneticPr fontId="9" type="noConversion"/>
  </si>
  <si>
    <t>BOARD SYSTEM Maintenance 2월분 - 5/12회</t>
    <phoneticPr fontId="9" type="noConversion"/>
  </si>
  <si>
    <t>1월 유지정비료 - 13/36회</t>
    <phoneticPr fontId="9" type="noConversion"/>
  </si>
  <si>
    <t>1월 유지정비료 - 13/24회</t>
    <phoneticPr fontId="9" type="noConversion"/>
  </si>
  <si>
    <t>서버임대 SR650 2식 - 17/36회</t>
    <phoneticPr fontId="9" type="noConversion"/>
  </si>
  <si>
    <t>2월 임대료(25/1/20~25/2/19) - 4/9회</t>
    <phoneticPr fontId="9" type="noConversion"/>
  </si>
  <si>
    <t>2월 임대료(1.26~2.25) 4/12회</t>
    <phoneticPr fontId="9" type="noConversion"/>
  </si>
  <si>
    <t>1월 임대료(25/1/11~2/10) - 4/10회</t>
    <phoneticPr fontId="9" type="noConversion"/>
  </si>
  <si>
    <t>2월 임대료 (1.13~2.12)-1/24회</t>
    <phoneticPr fontId="9" type="noConversion"/>
  </si>
  <si>
    <t>2월 임대료 - 4/8회</t>
    <phoneticPr fontId="9" type="noConversion"/>
  </si>
  <si>
    <t>PSK</t>
    <phoneticPr fontId="9" type="noConversion"/>
  </si>
  <si>
    <t>인정보시스템</t>
    <phoneticPr fontId="9" type="noConversion"/>
  </si>
  <si>
    <t>인정보시스템</t>
    <phoneticPr fontId="9" type="noConversion"/>
  </si>
  <si>
    <t>Lenovo ThinkSystem SR250v2</t>
  </si>
  <si>
    <t>Y250123-01</t>
    <phoneticPr fontId="9" type="noConversion"/>
  </si>
  <si>
    <t>서버</t>
    <phoneticPr fontId="9" type="noConversion"/>
  </si>
  <si>
    <r>
      <t xml:space="preserve">IBM(1/2) 316,682
</t>
    </r>
    <r>
      <rPr>
        <sz val="9"/>
        <color rgb="FF9C0006"/>
        <rFont val="맑은 고딕"/>
        <family val="3"/>
        <charset val="129"/>
        <scheme val="minor"/>
      </rPr>
      <t>시스나인(1/2) 연간 1,200,000(1/12회)</t>
    </r>
    <phoneticPr fontId="9" type="noConversion"/>
  </si>
  <si>
    <t>엘림넷(1/10) 213,400   (1/10) 155,200</t>
    <phoneticPr fontId="9" type="noConversion"/>
  </si>
  <si>
    <t>엘림넷(1/10) 145,500 (1/10) 77,600</t>
    <phoneticPr fontId="9" type="noConversion"/>
  </si>
  <si>
    <t>레노버(24/7/8)연간 (7/12회) 485,440
IBM(1/1) 80,160</t>
    <phoneticPr fontId="9" type="noConversion"/>
  </si>
  <si>
    <r>
      <t xml:space="preserve">신세계(1/22) 600,000
</t>
    </r>
    <r>
      <rPr>
        <sz val="9"/>
        <color rgb="FF9C0006"/>
        <rFont val="맑은 고딕"/>
        <family val="3"/>
        <charset val="129"/>
        <scheme val="minor"/>
      </rPr>
      <t>지엘정보(12/27) 반기 1,250,000(6/6회)
시스나인(1/2) 1,750,000(1/7회)</t>
    </r>
    <phoneticPr fontId="9" type="noConversion"/>
  </si>
  <si>
    <t>IBM(5/3)연간 5,423,462(9/12회)
IBM(1/2) 3,239,404</t>
    <phoneticPr fontId="9" type="noConversion"/>
  </si>
  <si>
    <t>D250121-02</t>
    <phoneticPr fontId="9" type="noConversion"/>
  </si>
  <si>
    <t>위퍼스트(1/20)</t>
    <phoneticPr fontId="9" type="noConversion"/>
  </si>
  <si>
    <t>HW 유지정비료(25.01.09~25.07.31)</t>
    <phoneticPr fontId="9" type="noConversion"/>
  </si>
  <si>
    <t>완료(1/24)</t>
    <phoneticPr fontId="9" type="noConversion"/>
  </si>
  <si>
    <t>에스엔에이(1/21)</t>
    <phoneticPr fontId="9" type="noConversion"/>
  </si>
  <si>
    <t>이즈파크</t>
    <phoneticPr fontId="9" type="noConversion"/>
  </si>
  <si>
    <t>장비임대</t>
    <phoneticPr fontId="9" type="noConversion"/>
  </si>
  <si>
    <t>Dell R730</t>
    <phoneticPr fontId="9" type="noConversion"/>
  </si>
  <si>
    <t>법률DB 개발서버임대(2025.01.06~2025.05.29)</t>
    <phoneticPr fontId="9" type="noConversion"/>
  </si>
  <si>
    <t>SM_C25001</t>
    <phoneticPr fontId="9" type="noConversion"/>
  </si>
  <si>
    <t>농림수산업자신용보증기금</t>
    <phoneticPr fontId="9" type="noConversion"/>
  </si>
  <si>
    <t>MAPAC</t>
    <phoneticPr fontId="9" type="noConversion"/>
  </si>
  <si>
    <t>연간-레노버</t>
    <phoneticPr fontId="9" type="noConversion"/>
  </si>
  <si>
    <t>연간유지정비료(25.01.01~12.31)</t>
    <phoneticPr fontId="9" type="noConversion"/>
  </si>
  <si>
    <t>SM_C25002</t>
  </si>
  <si>
    <t>삼성전자</t>
  </si>
  <si>
    <t>SM_C25003</t>
  </si>
  <si>
    <t>연간유지정비료(24.11.7~25.11.6)</t>
    <phoneticPr fontId="9" type="noConversion"/>
  </si>
  <si>
    <t>연간유지정비료 1Y</t>
    <phoneticPr fontId="9" type="noConversion"/>
  </si>
  <si>
    <t>SBS</t>
    <phoneticPr fontId="9" type="noConversion"/>
  </si>
  <si>
    <t>페타데이타</t>
    <phoneticPr fontId="9" type="noConversion"/>
  </si>
  <si>
    <t>제이플러스솔루션</t>
    <phoneticPr fontId="9" type="noConversion"/>
  </si>
  <si>
    <t>스마트로</t>
    <phoneticPr fontId="9" type="noConversion"/>
  </si>
  <si>
    <t>완료(1/24)</t>
    <phoneticPr fontId="9" type="noConversion"/>
  </si>
  <si>
    <t>완료(25/1/24)</t>
    <phoneticPr fontId="9" type="noConversion"/>
  </si>
  <si>
    <t>Y240830-03</t>
    <phoneticPr fontId="9" type="noConversion"/>
  </si>
  <si>
    <t>완료(25/1/31)</t>
    <phoneticPr fontId="9" type="noConversion"/>
  </si>
  <si>
    <t>스마트웨어</t>
    <phoneticPr fontId="9" type="noConversion"/>
  </si>
  <si>
    <t>스마트웨어</t>
    <phoneticPr fontId="9" type="noConversion"/>
  </si>
  <si>
    <t>연간유지정비료(25.01.01~26.05.29)</t>
    <phoneticPr fontId="9" type="noConversion"/>
  </si>
  <si>
    <t>완료132,000(1/3)
220,000(2/3)</t>
    <phoneticPr fontId="9" type="noConversion"/>
  </si>
  <si>
    <t>완료(2/3)</t>
    <phoneticPr fontId="9" type="noConversion"/>
  </si>
  <si>
    <t>완료(2/3)</t>
    <phoneticPr fontId="9" type="noConversion"/>
  </si>
  <si>
    <t>Y250124-01</t>
  </si>
  <si>
    <t>90Y8878(USED)</t>
  </si>
  <si>
    <t>300G 10K 6GB SAS 2.5</t>
  </si>
  <si>
    <t>Y250203-01</t>
    <phoneticPr fontId="9" type="noConversion"/>
  </si>
  <si>
    <t>컴퓨존(2/3)</t>
    <phoneticPr fontId="9" type="noConversion"/>
  </si>
  <si>
    <t>레노버(1/31) 245,700 (1/31) 45,600</t>
    <phoneticPr fontId="9" type="noConversion"/>
  </si>
  <si>
    <t>ZVVVON</t>
  </si>
  <si>
    <r>
      <rPr>
        <sz val="9"/>
        <color rgb="FF9C0006"/>
        <rFont val="맑은 고딕"/>
        <family val="3"/>
        <charset val="129"/>
        <scheme val="minor"/>
      </rPr>
      <t>레노버(1/31) 시스나인(1/2) 연500,000(1/12회)</t>
    </r>
    <phoneticPr fontId="9" type="noConversion"/>
  </si>
  <si>
    <t>레노버(1/31) 11,892,500</t>
    <phoneticPr fontId="9" type="noConversion"/>
  </si>
  <si>
    <t>레노버(1/31)1,981,200
레노버(1/31) 655,500</t>
    <phoneticPr fontId="9" type="noConversion"/>
  </si>
  <si>
    <t>알앤에스(1/24) 495만원 중</t>
    <phoneticPr fontId="9" type="noConversion"/>
  </si>
  <si>
    <r>
      <t xml:space="preserve">알앤에스(1/24) 495만원 중 </t>
    </r>
    <r>
      <rPr>
        <sz val="9"/>
        <color rgb="FF9C0006"/>
        <rFont val="맑은 고딕"/>
        <family val="3"/>
        <charset val="129"/>
        <scheme val="minor"/>
      </rPr>
      <t>시스나인(1/2) 연 2,400,000(1/12회)</t>
    </r>
    <phoneticPr fontId="9" type="noConversion"/>
  </si>
  <si>
    <t>레노버(1/23)</t>
    <phoneticPr fontId="9" type="noConversion"/>
  </si>
  <si>
    <t>IBM(2/3)</t>
    <phoneticPr fontId="9" type="noConversion"/>
  </si>
  <si>
    <t>쿠팡(12/6법카) 2,160,909
우림퀵(1/31) 18,000</t>
    <phoneticPr fontId="9" type="noConversion"/>
  </si>
  <si>
    <t>컴퓨존(1/14) 
우림퀵(1/31) 120,000*2회</t>
    <phoneticPr fontId="9" type="noConversion"/>
  </si>
  <si>
    <t>위퍼스트(1/14) 우림퀵(1/31) 7,000*2회</t>
    <phoneticPr fontId="9" type="noConversion"/>
  </si>
  <si>
    <t>씨플랫폼(12/27) 7*4677000
우림퀵(1/31) 40,000</t>
    <phoneticPr fontId="9" type="noConversion"/>
  </si>
  <si>
    <t>Y250124-02</t>
    <phoneticPr fontId="9" type="noConversion"/>
  </si>
  <si>
    <t>IBM(1/2) IBM(1/31) 8,384</t>
    <phoneticPr fontId="9" type="noConversion"/>
  </si>
  <si>
    <t>1월 유지정비료 - 17/36회</t>
    <phoneticPr fontId="9" type="noConversion"/>
  </si>
  <si>
    <t>제이엔테크놀러지</t>
    <phoneticPr fontId="9" type="noConversion"/>
  </si>
  <si>
    <t>이비웨이브(1/6)</t>
    <phoneticPr fontId="9" type="noConversion"/>
  </si>
  <si>
    <t>이비웨이브(1/16)</t>
    <phoneticPr fontId="9" type="noConversion"/>
  </si>
  <si>
    <t>이비웨이브(1/10)</t>
    <phoneticPr fontId="9" type="noConversion"/>
  </si>
  <si>
    <t>이비웨이브(1/13)</t>
    <phoneticPr fontId="9" type="noConversion"/>
  </si>
  <si>
    <t>이비웨이브(1/15)</t>
    <phoneticPr fontId="9" type="noConversion"/>
  </si>
  <si>
    <t>네이버</t>
    <phoneticPr fontId="9" type="noConversion"/>
  </si>
  <si>
    <t>2월(2.5~2.6) 임대료 - 최종</t>
    <phoneticPr fontId="9" type="noConversion"/>
  </si>
  <si>
    <t>보증금에서공제(2/7)</t>
    <phoneticPr fontId="9" type="noConversion"/>
  </si>
  <si>
    <t>SL-25004</t>
    <phoneticPr fontId="9" type="noConversion"/>
  </si>
  <si>
    <t>나일소프트</t>
    <phoneticPr fontId="9" type="noConversion"/>
  </si>
  <si>
    <t>SB-25010</t>
  </si>
  <si>
    <t>ZCXAPZ</t>
  </si>
  <si>
    <t>(24.4.19~25.01.31) 유지정비료 - 1~10/21회</t>
    <phoneticPr fontId="9" type="noConversion"/>
  </si>
  <si>
    <t>레노버 4월(2/5) 72,240
5월~25년1월(2/5) 180,600*9</t>
    <phoneticPr fontId="9" type="noConversion"/>
  </si>
  <si>
    <t>SB-25007</t>
    <phoneticPr fontId="9" type="noConversion"/>
  </si>
  <si>
    <t>SB-25006</t>
  </si>
  <si>
    <t>(부품)1월 유지정비료 - 1/12회</t>
    <phoneticPr fontId="9" type="noConversion"/>
  </si>
  <si>
    <t>SL-25002</t>
    <phoneticPr fontId="9" type="noConversion"/>
  </si>
  <si>
    <t>SB-25008</t>
    <phoneticPr fontId="9" type="noConversion"/>
  </si>
  <si>
    <t>SB-25005</t>
  </si>
  <si>
    <t>ZSUEIX</t>
  </si>
  <si>
    <t>SB-25004</t>
  </si>
  <si>
    <t>ZDCPQK</t>
  </si>
  <si>
    <t>SM-25003</t>
    <phoneticPr fontId="9" type="noConversion"/>
  </si>
  <si>
    <t>ZZ6BIS</t>
    <phoneticPr fontId="9" type="noConversion"/>
  </si>
  <si>
    <t>SL-25003</t>
  </si>
  <si>
    <t>경기도보건환경연구원</t>
    <phoneticPr fontId="9" type="noConversion"/>
  </si>
  <si>
    <t>씨원시스템</t>
    <phoneticPr fontId="9" type="noConversion"/>
  </si>
  <si>
    <t>연간유지정비료(2025.02.23~2026.02.22)</t>
    <phoneticPr fontId="9" type="noConversion"/>
  </si>
  <si>
    <t>레노버(2/3)</t>
    <phoneticPr fontId="9" type="noConversion"/>
  </si>
  <si>
    <t>대상정보</t>
    <phoneticPr fontId="9" type="noConversion"/>
  </si>
  <si>
    <t>연간유지정비료(24.05.25~26.03.31)</t>
    <phoneticPr fontId="9" type="noConversion"/>
  </si>
  <si>
    <t>TAHXA0200</t>
  </si>
  <si>
    <t>SL-25005</t>
  </si>
  <si>
    <t>레노버(2/5)</t>
    <phoneticPr fontId="9" type="noConversion"/>
  </si>
  <si>
    <t>대우정보(메타넷디지털)</t>
    <phoneticPr fontId="9" type="noConversion"/>
  </si>
  <si>
    <t>LG전자 노트북 15U50S-G.AP7TL 외</t>
    <phoneticPr fontId="9" type="noConversion"/>
  </si>
  <si>
    <t>상품</t>
    <phoneticPr fontId="9" type="noConversion"/>
  </si>
  <si>
    <t>노트북</t>
    <phoneticPr fontId="9" type="noConversion"/>
  </si>
  <si>
    <t>서울</t>
    <phoneticPr fontId="9" type="noConversion"/>
  </si>
  <si>
    <t>H250123-01</t>
  </si>
  <si>
    <t>H250203-01</t>
  </si>
  <si>
    <t>H250204-01</t>
  </si>
  <si>
    <t>H250206-01</t>
  </si>
  <si>
    <t>H250206-02</t>
  </si>
  <si>
    <t>H250206-03</t>
  </si>
  <si>
    <t>H250207-01</t>
  </si>
  <si>
    <t>H250210-01</t>
  </si>
  <si>
    <t xml:space="preserve">00AJ122 </t>
  </si>
  <si>
    <t>85Y6185</t>
  </si>
  <si>
    <t>IBM 300-GB 15K 2.5 SAS</t>
  </si>
  <si>
    <t>80P3162</t>
  </si>
  <si>
    <t>73GB U320 15K 80Pin SCSI Hard Drive</t>
  </si>
  <si>
    <t>CGV계양 OS 재설치</t>
  </si>
  <si>
    <t>SERVERAID M5014 RAID CONTROLLER</t>
  </si>
  <si>
    <t>46M0854</t>
  </si>
  <si>
    <t>SERVERAID M5025 SAS/SATA CONTROLLER</t>
  </si>
  <si>
    <t>81Y4451</t>
  </si>
  <si>
    <t>IBM Serveraid M5000 Battery Kit</t>
  </si>
  <si>
    <t>01LJ786</t>
  </si>
  <si>
    <t>IBM 900GB 10K RPM 12Gbps 2.5" SAS HDD</t>
  </si>
  <si>
    <t>1P7DP</t>
  </si>
  <si>
    <t>2TB 7.2K 6G SAS 3.5inch Hard Drive</t>
  </si>
  <si>
    <t>CGV계양</t>
    <phoneticPr fontId="9" type="noConversion"/>
  </si>
  <si>
    <t>SM</t>
    <phoneticPr fontId="9" type="noConversion"/>
  </si>
  <si>
    <t>Y250210-01</t>
    <phoneticPr fontId="9" type="noConversion"/>
  </si>
  <si>
    <t>00WF701</t>
  </si>
  <si>
    <t>1.2TB 10K 12G SAS 2.5inch Hard Drive</t>
  </si>
  <si>
    <t>Y250211-01</t>
    <phoneticPr fontId="9" type="noConversion"/>
  </si>
  <si>
    <t>삼성전자 갤럭시탭 A9 플러스 Wifi 64GB 그라파이트</t>
  </si>
  <si>
    <t>아이패드 10세대 Wifi 64GB 실버</t>
  </si>
  <si>
    <t>Tab P12 QHD 8GB / 128GB 스톰그레이</t>
  </si>
  <si>
    <t>아이뮤즈 뮤패드 K10 PLUS 태블릿PC RAM 4GB Wifi 64GB</t>
  </si>
  <si>
    <t>탭북</t>
    <phoneticPr fontId="9" type="noConversion"/>
  </si>
  <si>
    <t>쿠팡(2/10법카)</t>
    <phoneticPr fontId="9" type="noConversion"/>
  </si>
  <si>
    <t>IBM(2/3) 1,123,962 (2/3) 259,896</t>
    <phoneticPr fontId="9" type="noConversion"/>
  </si>
  <si>
    <r>
      <t xml:space="preserve">IBM(2/3) 316,682
</t>
    </r>
    <r>
      <rPr>
        <sz val="9"/>
        <color rgb="FF9C0006"/>
        <rFont val="맑은 고딕"/>
        <family val="3"/>
        <charset val="129"/>
        <scheme val="minor"/>
      </rPr>
      <t>시스나인(1/2) 연간 1,200,000(2/12회)</t>
    </r>
    <phoneticPr fontId="9" type="noConversion"/>
  </si>
  <si>
    <t>2월 유지정비료 - 6/12회</t>
    <phoneticPr fontId="9" type="noConversion"/>
  </si>
  <si>
    <t>2월 유지정비료 - 7/12회</t>
    <phoneticPr fontId="9" type="noConversion"/>
  </si>
  <si>
    <t>2월 유지정비료 - 3/12회</t>
    <phoneticPr fontId="9" type="noConversion"/>
  </si>
  <si>
    <t>2월 유지정비료 - 12/12회</t>
    <phoneticPr fontId="9" type="noConversion"/>
  </si>
  <si>
    <t>레노버(24/7/8)연간 (8/12회) 485,440
IBM(2/3) 80,160</t>
    <phoneticPr fontId="9" type="noConversion"/>
  </si>
  <si>
    <t>2월 유지정비료 - 26/37회</t>
    <phoneticPr fontId="9" type="noConversion"/>
  </si>
  <si>
    <t>2월 유지정비료 - 23/36회</t>
    <phoneticPr fontId="9" type="noConversion"/>
  </si>
  <si>
    <t>삼표 DB세이퍼 유지보수 - 2월(7/12회)</t>
    <phoneticPr fontId="9" type="noConversion"/>
  </si>
  <si>
    <t>2월 유지정비료 - 11/21회</t>
    <phoneticPr fontId="9" type="noConversion"/>
  </si>
  <si>
    <t>[HW] 2월 유지정비료 - 2/12회</t>
    <phoneticPr fontId="9" type="noConversion"/>
  </si>
  <si>
    <t>2월 유지정비료 - 5/15회</t>
    <phoneticPr fontId="9" type="noConversion"/>
  </si>
  <si>
    <t>2월 유지정비료 - 10/32회</t>
    <phoneticPr fontId="9" type="noConversion"/>
  </si>
  <si>
    <t>2월 유지정비료 - 10/24회</t>
    <phoneticPr fontId="9" type="noConversion"/>
  </si>
  <si>
    <t>(HW) 2월 유지정비료 - 9/12회</t>
    <phoneticPr fontId="9" type="noConversion"/>
  </si>
  <si>
    <t>2월 유지정비료 - 24/46회</t>
    <phoneticPr fontId="9" type="noConversion"/>
  </si>
  <si>
    <t>HW 1월 유지정비료 - 20/21회</t>
    <phoneticPr fontId="9" type="noConversion"/>
  </si>
  <si>
    <t>ZXFJNS</t>
    <phoneticPr fontId="9" type="noConversion"/>
  </si>
  <si>
    <t>ZTGLCD</t>
    <phoneticPr fontId="9" type="noConversion"/>
  </si>
  <si>
    <t>ZTAHJK</t>
    <phoneticPr fontId="9" type="noConversion"/>
  </si>
  <si>
    <t xml:space="preserve"> ZROHA2</t>
    <phoneticPr fontId="9" type="noConversion"/>
  </si>
  <si>
    <t>7월(6.30~7.30) 임대료</t>
    <phoneticPr fontId="9" type="noConversion"/>
  </si>
  <si>
    <t>2월(1.31~2.27) 임대료</t>
    <phoneticPr fontId="9" type="noConversion"/>
  </si>
  <si>
    <t>이룸에스앤앤</t>
    <phoneticPr fontId="9" type="noConversion"/>
  </si>
  <si>
    <t>코리아미카사</t>
    <phoneticPr fontId="9" type="noConversion"/>
  </si>
  <si>
    <t>연간유지정비료(24.1.20~26.1.19)</t>
    <phoneticPr fontId="9" type="noConversion"/>
  </si>
  <si>
    <t>ZJREZL</t>
    <phoneticPr fontId="9" type="noConversion"/>
  </si>
  <si>
    <t>다올시스</t>
    <phoneticPr fontId="9" type="noConversion"/>
  </si>
  <si>
    <t>대동도어</t>
    <phoneticPr fontId="9" type="noConversion"/>
  </si>
  <si>
    <t>SB-25009</t>
  </si>
  <si>
    <t>ZPXA6W</t>
  </si>
  <si>
    <t>연간유지정비료(25.02.11~26.02.10)</t>
    <phoneticPr fontId="9" type="noConversion"/>
  </si>
  <si>
    <t>지인아이티</t>
    <phoneticPr fontId="9" type="noConversion"/>
  </si>
  <si>
    <t>연간유지정비료(25.02.14~26.02.13)</t>
    <phoneticPr fontId="9" type="noConversion"/>
  </si>
  <si>
    <t>레노버(2/11)</t>
    <phoneticPr fontId="9" type="noConversion"/>
  </si>
  <si>
    <t>SM_C24006</t>
    <phoneticPr fontId="9" type="noConversion"/>
  </si>
  <si>
    <t>SM_C24007</t>
    <phoneticPr fontId="9" type="noConversion"/>
  </si>
  <si>
    <t>WSU</t>
    <phoneticPr fontId="9" type="noConversion"/>
  </si>
  <si>
    <t>5Y WSU</t>
    <phoneticPr fontId="9" type="noConversion"/>
  </si>
  <si>
    <t>완료(2/11)</t>
    <phoneticPr fontId="9" type="noConversion"/>
  </si>
  <si>
    <t>품의X</t>
    <phoneticPr fontId="9" type="noConversion"/>
  </si>
  <si>
    <t>블루포트</t>
    <phoneticPr fontId="9" type="noConversion"/>
  </si>
  <si>
    <t>블루포트</t>
    <phoneticPr fontId="9" type="noConversion"/>
  </si>
  <si>
    <t>Windows Server 2022 OS설치 및 드라이버 설치 기술지원료</t>
    <phoneticPr fontId="9" type="noConversion"/>
  </si>
  <si>
    <t>기술지원</t>
    <phoneticPr fontId="9" type="noConversion"/>
  </si>
  <si>
    <t>완료(2/12)</t>
    <phoneticPr fontId="9" type="noConversion"/>
  </si>
  <si>
    <t>D250121-01</t>
    <phoneticPr fontId="9" type="noConversion"/>
  </si>
  <si>
    <t>H250211-01</t>
  </si>
  <si>
    <t>H250212-01</t>
  </si>
  <si>
    <t>H250213-02</t>
  </si>
  <si>
    <t>01KR355</t>
  </si>
  <si>
    <t>Lenovo 32GB PC4-23400V DDR4-2933 2RX4 ECC RDIMM Server Memory</t>
  </si>
  <si>
    <t>USB Blocker</t>
  </si>
  <si>
    <t>[LINDY] 보안 커텍터, 추가구매용 USB 블록, LINDY-40460 10개 [레드/5 SET] / LINDY-40463 [오렌지/21 SET]</t>
  </si>
  <si>
    <t>컴퓨존(1/13)</t>
    <phoneticPr fontId="9" type="noConversion"/>
  </si>
  <si>
    <t>H250214-01</t>
    <phoneticPr fontId="9" type="noConversion"/>
  </si>
  <si>
    <t>00YK025</t>
  </si>
  <si>
    <t xml:space="preserve">ThinkSystem 2.5" 1TB 7.2K SATA 6Gb Hot Swap 512n HDD </t>
    <phoneticPr fontId="9" type="noConversion"/>
  </si>
  <si>
    <t>준아이앤씨</t>
    <phoneticPr fontId="9" type="noConversion"/>
  </si>
  <si>
    <t>흥국화재</t>
    <phoneticPr fontId="9" type="noConversion"/>
  </si>
  <si>
    <t>엘림넷(2/10) 213,400 (2/10) 155,200</t>
    <phoneticPr fontId="9" type="noConversion"/>
  </si>
  <si>
    <t>엘림넷(2/10) 145,500 (2/10) 77,600</t>
    <phoneticPr fontId="9" type="noConversion"/>
  </si>
  <si>
    <t>2월 유지정비료 - 21/21회</t>
    <phoneticPr fontId="9" type="noConversion"/>
  </si>
  <si>
    <t xml:space="preserve">[HW] 2월 유지정비료 - 2/12회 </t>
    <phoneticPr fontId="9" type="noConversion"/>
  </si>
  <si>
    <t>(부품) 2월 유지정비료 - 2/12회</t>
    <phoneticPr fontId="9" type="noConversion"/>
  </si>
  <si>
    <t>시스나인(1/2)연간 1,440,000(2/12회)</t>
    <phoneticPr fontId="9" type="noConversion"/>
  </si>
  <si>
    <t>IBM(5/3)연간 5,423,462(10/12회)
IBM(2/3) 3,239,404</t>
    <phoneticPr fontId="9" type="noConversion"/>
  </si>
  <si>
    <t>완료(2/14)</t>
    <phoneticPr fontId="9" type="noConversion"/>
  </si>
  <si>
    <t>월간</t>
    <phoneticPr fontId="9" type="noConversion"/>
  </si>
  <si>
    <t>SB-25011</t>
    <phoneticPr fontId="9" type="noConversion"/>
  </si>
  <si>
    <t>완료(2/10)선입금</t>
    <phoneticPr fontId="9" type="noConversion"/>
  </si>
  <si>
    <t>00YG670</t>
  </si>
  <si>
    <t>Lenovo 6TB 7.2K SAS 3.5" HDD For DS4200[Used]</t>
  </si>
  <si>
    <t>D250217-01</t>
    <phoneticPr fontId="9" type="noConversion"/>
  </si>
  <si>
    <t>상품</t>
    <phoneticPr fontId="9" type="noConversion"/>
  </si>
  <si>
    <t>SL-25007</t>
    <phoneticPr fontId="9" type="noConversion"/>
  </si>
  <si>
    <t>SL-25008</t>
    <phoneticPr fontId="9" type="noConversion"/>
  </si>
  <si>
    <t>IBM(12/1) 691,781
에스엔에이(12/31) 300,000
키미데이타(12/31) 70,000
코오롱베니트(10/31) 1,000,000연간(4/12회)
더파트(12/31) 810,000
DCSS(24/12/31) 352,900
시스나인(11/1) 분기5,000 000(3/3회)</t>
    <phoneticPr fontId="9" type="noConversion"/>
  </si>
  <si>
    <t>2월 임대료 - 8/12회</t>
    <phoneticPr fontId="9" type="noConversion"/>
  </si>
  <si>
    <t>3월(2.28~3.30) 임대료</t>
    <phoneticPr fontId="9" type="noConversion"/>
  </si>
  <si>
    <t>카드/현금</t>
  </si>
  <si>
    <t>완료(2/17)</t>
    <phoneticPr fontId="9" type="noConversion"/>
  </si>
  <si>
    <t>세연시스템즈</t>
    <phoneticPr fontId="9" type="noConversion"/>
  </si>
  <si>
    <t>엘지생활건강 청주공장</t>
    <phoneticPr fontId="9" type="noConversion"/>
  </si>
  <si>
    <t>LG AI</t>
    <phoneticPr fontId="9" type="noConversion"/>
  </si>
  <si>
    <t>1~2월 유지정비료 - 1,2/12회</t>
    <phoneticPr fontId="9" type="noConversion"/>
  </si>
  <si>
    <t>25.02.01~27.03.31 유지정비료</t>
    <phoneticPr fontId="9" type="noConversion"/>
  </si>
  <si>
    <t>Y250218-01</t>
    <phoneticPr fontId="9" type="noConversion"/>
  </si>
  <si>
    <t>경기도학교안전공제회</t>
    <phoneticPr fontId="9" type="noConversion"/>
  </si>
  <si>
    <t>완료(2/18)</t>
    <phoneticPr fontId="9" type="noConversion"/>
  </si>
  <si>
    <t>1,2월 유지정비료 - 1,2/12회</t>
    <phoneticPr fontId="9" type="noConversion"/>
  </si>
  <si>
    <t>한림대병원</t>
    <phoneticPr fontId="9" type="noConversion"/>
  </si>
  <si>
    <t>아이비엠(2/3)</t>
    <phoneticPr fontId="9" type="noConversion"/>
  </si>
  <si>
    <t>IBM(1/2) 142,800   277,600</t>
    <phoneticPr fontId="9" type="noConversion"/>
  </si>
  <si>
    <t>IBM(2/3) 142,800   (2/1)277,600</t>
    <phoneticPr fontId="9" type="noConversion"/>
  </si>
  <si>
    <t>레노버(12/31)511,500 
시스나인(25/1/2) 연간3,400,000(12/12회)</t>
    <phoneticPr fontId="9" type="noConversion"/>
  </si>
  <si>
    <t>HW 연간유지정비료(2025.04.01~2026.05.31)</t>
    <phoneticPr fontId="9" type="noConversion"/>
  </si>
  <si>
    <t>현성솔루션(1/31) 840,000</t>
    <phoneticPr fontId="9" type="noConversion"/>
  </si>
  <si>
    <t>현성솔루션(1/31) 595,000</t>
    <phoneticPr fontId="9" type="noConversion"/>
  </si>
  <si>
    <t>완료(2/19)</t>
    <phoneticPr fontId="9" type="noConversion"/>
  </si>
  <si>
    <t>레노버(2/19)</t>
    <phoneticPr fontId="9" type="noConversion"/>
  </si>
  <si>
    <t>애플코리아</t>
    <phoneticPr fontId="9" type="noConversion"/>
  </si>
  <si>
    <t>완료(2/20)</t>
    <phoneticPr fontId="9" type="noConversion"/>
  </si>
  <si>
    <t>완료(2/24)</t>
    <phoneticPr fontId="9" type="noConversion"/>
  </si>
  <si>
    <t>H250219-01</t>
  </si>
  <si>
    <t>500GB 7.2K 6G NL SAS 2.5inch Hard Drive 1/21 지원</t>
  </si>
  <si>
    <t xml:space="preserve">293048-B21 </t>
  </si>
  <si>
    <t>60x38mm Hot-Plug Fan Proliant DL380G4</t>
  </si>
  <si>
    <t>우리에스아이티</t>
    <phoneticPr fontId="9" type="noConversion"/>
  </si>
  <si>
    <t>SM</t>
    <phoneticPr fontId="9" type="noConversion"/>
  </si>
  <si>
    <t>이메일 보안 및 호스팅 1월 - 6/12회</t>
    <phoneticPr fontId="9" type="noConversion"/>
  </si>
  <si>
    <t>이메일 보안 및 호스팅 2월 - 7/12회</t>
    <phoneticPr fontId="9" type="noConversion"/>
  </si>
  <si>
    <t>Y250221-01</t>
    <phoneticPr fontId="9" type="noConversion"/>
  </si>
  <si>
    <t>LG헬로비전</t>
    <phoneticPr fontId="9" type="noConversion"/>
  </si>
  <si>
    <t>삼표매입</t>
    <phoneticPr fontId="9" type="noConversion"/>
  </si>
  <si>
    <t>광명시청</t>
    <phoneticPr fontId="9" type="noConversion"/>
  </si>
  <si>
    <t>한국경영혁신중소기업협회</t>
    <phoneticPr fontId="9" type="noConversion"/>
  </si>
  <si>
    <t>은평구청</t>
    <phoneticPr fontId="9" type="noConversion"/>
  </si>
  <si>
    <t>D250224-01</t>
    <phoneticPr fontId="9" type="noConversion"/>
  </si>
  <si>
    <t>01LJ207</t>
  </si>
  <si>
    <t>IBM 32GB DDR4 DIMM For Elastic Storage System</t>
  </si>
  <si>
    <t>리더스시스템즈</t>
    <phoneticPr fontId="9" type="noConversion"/>
  </si>
  <si>
    <t>ZL9ADS</t>
  </si>
  <si>
    <t>SM-25005</t>
    <phoneticPr fontId="9" type="noConversion"/>
  </si>
  <si>
    <t>SM-25004</t>
    <phoneticPr fontId="9" type="noConversion"/>
  </si>
  <si>
    <t>SM-25006</t>
    <phoneticPr fontId="9" type="noConversion"/>
  </si>
  <si>
    <t>SB-25013</t>
    <phoneticPr fontId="9" type="noConversion"/>
  </si>
  <si>
    <t>나우테크</t>
    <phoneticPr fontId="9" type="noConversion"/>
  </si>
  <si>
    <t>레노버(2/21)</t>
    <phoneticPr fontId="9" type="noConversion"/>
  </si>
  <si>
    <t>SM_C25008</t>
    <phoneticPr fontId="9" type="noConversion"/>
  </si>
  <si>
    <t>연간유지정비료(25.02.26~26.02.25)</t>
    <phoneticPr fontId="9" type="noConversion"/>
  </si>
  <si>
    <t>연간</t>
    <phoneticPr fontId="9" type="noConversion"/>
  </si>
  <si>
    <t>IZEX Solution 유지보수(25.03.01~26.02.28)</t>
    <phoneticPr fontId="9" type="noConversion"/>
  </si>
  <si>
    <t>아이젝스(3/31)</t>
    <phoneticPr fontId="9" type="noConversion"/>
  </si>
  <si>
    <t>완료(2/27)</t>
    <phoneticPr fontId="9" type="noConversion"/>
  </si>
  <si>
    <t>H250227-03</t>
    <phoneticPr fontId="9" type="noConversion"/>
  </si>
  <si>
    <t>[LINDY] 보안 커텍터, 추가구매용 USB 블록, [레드/20 SET] / [오렌지/17 SET]/ [블루/3 SET]</t>
  </si>
  <si>
    <t>상품</t>
    <phoneticPr fontId="9" type="noConversion"/>
  </si>
  <si>
    <t>LI-24009</t>
    <phoneticPr fontId="9" type="noConversion"/>
  </si>
  <si>
    <t>ZMDFL5</t>
    <phoneticPr fontId="9" type="noConversion"/>
  </si>
  <si>
    <t>프레이저플레이스호텔</t>
    <phoneticPr fontId="9" type="noConversion"/>
  </si>
  <si>
    <t>IBM 분기 (25.2~25.04) 유지정비료 -(3/4)회</t>
    <phoneticPr fontId="9" type="noConversion"/>
  </si>
  <si>
    <t>3월 유지정비료 - 12/13회</t>
    <phoneticPr fontId="9" type="noConversion"/>
  </si>
  <si>
    <t>3월 유지정비료 - 19/35회</t>
    <phoneticPr fontId="9" type="noConversion"/>
  </si>
  <si>
    <t>3월 유지정비료 - 11/12회</t>
    <phoneticPr fontId="9" type="noConversion"/>
  </si>
  <si>
    <t>3월 유지정비료 - 11/36회</t>
    <phoneticPr fontId="9" type="noConversion"/>
  </si>
  <si>
    <t>3월 유지정비료 - 10/12회</t>
    <phoneticPr fontId="9" type="noConversion"/>
  </si>
  <si>
    <t>3월 유지정비료 - 9/12회</t>
    <phoneticPr fontId="9" type="noConversion"/>
  </si>
  <si>
    <t>3월 유지정비료 - 3/6회</t>
    <phoneticPr fontId="9" type="noConversion"/>
  </si>
  <si>
    <t>3월 유지정비료 - 5/12회</t>
    <phoneticPr fontId="9" type="noConversion"/>
  </si>
  <si>
    <r>
      <t>VPN 서비스 3월임대료 - 3/</t>
    </r>
    <r>
      <rPr>
        <sz val="9"/>
        <rFont val="맑은 고딕"/>
        <family val="3"/>
        <charset val="129"/>
        <scheme val="minor"/>
      </rPr>
      <t>12회 280,000</t>
    </r>
    <r>
      <rPr>
        <sz val="9"/>
        <color theme="1"/>
        <rFont val="맑은 고딕"/>
        <family val="3"/>
        <charset val="129"/>
        <scheme val="minor"/>
      </rPr>
      <t xml:space="preserve">
+ 보안스위치 3월 2대*120,000</t>
    </r>
    <phoneticPr fontId="9" type="noConversion"/>
  </si>
  <si>
    <t>VPN 서비스 3월임대료 - 3/12회</t>
    <phoneticPr fontId="9" type="noConversion"/>
  </si>
  <si>
    <t>3월 유지정비료 - 3/12회</t>
    <phoneticPr fontId="9" type="noConversion"/>
  </si>
  <si>
    <t>3월 유지정비료 - 2/12회</t>
    <phoneticPr fontId="9" type="noConversion"/>
  </si>
  <si>
    <t>5월말</t>
    <phoneticPr fontId="9" type="noConversion"/>
  </si>
  <si>
    <t>엘림넷(3/10) 213,400 (3/10) 155,200</t>
    <phoneticPr fontId="9" type="noConversion"/>
  </si>
  <si>
    <t>엘림넷(3/10) 145,500 (3/10) 77,600</t>
    <phoneticPr fontId="9" type="noConversion"/>
  </si>
  <si>
    <t>3월 임대료 - 5/8회</t>
    <phoneticPr fontId="9" type="noConversion"/>
  </si>
  <si>
    <t>BOARD SYSTEM Maintenance 3월분 - 6/12회</t>
    <phoneticPr fontId="9" type="noConversion"/>
  </si>
  <si>
    <t>완료(2/28)</t>
    <phoneticPr fontId="9" type="noConversion"/>
  </si>
  <si>
    <t>포테크</t>
    <phoneticPr fontId="9" type="noConversion"/>
  </si>
  <si>
    <t>H250227-02</t>
    <phoneticPr fontId="9" type="noConversion"/>
  </si>
  <si>
    <t>785410-001</t>
  </si>
  <si>
    <t>HP 300GB 12G SAS 10K 2.5 SC ENT HDD</t>
  </si>
  <si>
    <t>상품</t>
    <phoneticPr fontId="9" type="noConversion"/>
  </si>
  <si>
    <t>시스나인(2/28)</t>
    <phoneticPr fontId="9" type="noConversion"/>
  </si>
  <si>
    <t>레노버(1/31) 243,000
시스나인(2/28) 1,100,000(1/6회)</t>
    <phoneticPr fontId="9" type="noConversion"/>
  </si>
  <si>
    <t>DCSS(2/28)</t>
    <phoneticPr fontId="9" type="noConversion"/>
  </si>
  <si>
    <t>완료(2/28)</t>
    <phoneticPr fontId="9" type="noConversion"/>
  </si>
  <si>
    <r>
      <t xml:space="preserve">레노버(2/28) 3,709,756
</t>
    </r>
    <r>
      <rPr>
        <sz val="9"/>
        <color rgb="FF9C0006"/>
        <rFont val="맑은 고딕"/>
        <family val="3"/>
        <charset val="129"/>
        <scheme val="minor"/>
      </rPr>
      <t>시스나인(25/2/28) 10,560,000 (9/12회)</t>
    </r>
    <phoneticPr fontId="9" type="noConversion"/>
  </si>
  <si>
    <t>Y250226-01</t>
    <phoneticPr fontId="9" type="noConversion"/>
  </si>
  <si>
    <t>스마트웨어</t>
    <phoneticPr fontId="9" type="noConversion"/>
  </si>
  <si>
    <t>3월 임대료 (2.13~3.12)-2/24회</t>
    <phoneticPr fontId="9" type="noConversion"/>
  </si>
  <si>
    <t>레노버(2/28) 245,700 (2/28) 45,600</t>
    <phoneticPr fontId="9" type="noConversion"/>
  </si>
  <si>
    <r>
      <t xml:space="preserve">레노버(2/28) 
</t>
    </r>
    <r>
      <rPr>
        <sz val="9"/>
        <color rgb="FF9C0006"/>
        <rFont val="맑은 고딕"/>
        <family val="3"/>
        <charset val="129"/>
        <scheme val="minor"/>
      </rPr>
      <t>시스나인(1/2) 연500,000(2/12회)</t>
    </r>
    <phoneticPr fontId="9" type="noConversion"/>
  </si>
  <si>
    <t>레노버(2/28)1,981,200
레노버(2/28) 655,500</t>
    <phoneticPr fontId="9" type="noConversion"/>
  </si>
  <si>
    <t>알앤에스(2/24) 495만원 중</t>
    <phoneticPr fontId="9" type="noConversion"/>
  </si>
  <si>
    <r>
      <t xml:space="preserve">알앤에스(2/24) 495만원 중 
</t>
    </r>
    <r>
      <rPr>
        <sz val="9"/>
        <color rgb="FF9C0006"/>
        <rFont val="맑은 고딕"/>
        <family val="3"/>
        <charset val="129"/>
        <scheme val="minor"/>
      </rPr>
      <t>시스나인(1/2) 연 2,400,000(2/12회)</t>
    </r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</si>
  <si>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레노버(2/28) 243,000
시스나인(2/28) 1,100,000(2/6회)</t>
    </r>
    <phoneticPr fontId="9" type="noConversion"/>
  </si>
  <si>
    <r>
      <t>레노버</t>
    </r>
    <r>
      <rPr>
        <sz val="9"/>
        <color rgb="FF9C0006"/>
        <rFont val="맑은 고딕"/>
        <family val="3"/>
        <charset val="129"/>
        <scheme val="minor"/>
      </rPr>
      <t>(2/17) 496,800 (2/28)496,800</t>
    </r>
    <phoneticPr fontId="9" type="noConversion"/>
  </si>
  <si>
    <t>완료(3/4)</t>
    <phoneticPr fontId="9" type="noConversion"/>
  </si>
  <si>
    <t>완료(3/4)</t>
    <phoneticPr fontId="9" type="noConversion"/>
  </si>
  <si>
    <t>우림퀵(1/31) 35,000 40,000</t>
    <phoneticPr fontId="9" type="noConversion"/>
  </si>
  <si>
    <t>Y250305-01</t>
  </si>
  <si>
    <t>Y250305-02</t>
  </si>
  <si>
    <t>MSI 노트북 충전기 20V 7.5A 150W (4.5X3.0mm) 전원 어댑터 ADP-150CH D</t>
  </si>
  <si>
    <t>식품안전정보원</t>
    <phoneticPr fontId="9" type="noConversion"/>
  </si>
  <si>
    <t>어댑터</t>
    <phoneticPr fontId="9" type="noConversion"/>
  </si>
  <si>
    <t>11번가(3/5법카)</t>
    <phoneticPr fontId="9" type="noConversion"/>
  </si>
  <si>
    <t>3월 임대료(25/2/20~25/3/19) - 5/9회</t>
    <phoneticPr fontId="9" type="noConversion"/>
  </si>
  <si>
    <t>2월 유지정비료 - 14/24회</t>
    <phoneticPr fontId="9" type="noConversion"/>
  </si>
  <si>
    <t>2월 유지정비료 - 14/36회</t>
    <phoneticPr fontId="9" type="noConversion"/>
  </si>
  <si>
    <t>3월 임대료(2.26~3.25) 5/12회</t>
    <phoneticPr fontId="9" type="noConversion"/>
  </si>
  <si>
    <t>3월 유지정비료 - 12/12회</t>
    <phoneticPr fontId="9" type="noConversion"/>
  </si>
  <si>
    <t>서버임대 SR650 2식 - 18/36회</t>
    <phoneticPr fontId="9" type="noConversion"/>
  </si>
  <si>
    <t>3월 유지정비료 - 7/12회</t>
    <phoneticPr fontId="9" type="noConversion"/>
  </si>
  <si>
    <t>3월 유지정비료 - 8/12회</t>
    <phoneticPr fontId="9" type="noConversion"/>
  </si>
  <si>
    <t>이메일 보안 및 호스팅 3월 - 8/12회</t>
    <phoneticPr fontId="9" type="noConversion"/>
  </si>
  <si>
    <t>3월 유지정비료 - 4/12회</t>
    <phoneticPr fontId="9" type="noConversion"/>
  </si>
  <si>
    <t>3월 유지정비료 - 1/12회</t>
    <phoneticPr fontId="9" type="noConversion"/>
  </si>
  <si>
    <t>완료(3/5)</t>
    <phoneticPr fontId="9" type="noConversion"/>
  </si>
  <si>
    <t>SL-23009</t>
    <phoneticPr fontId="9" type="noConversion"/>
  </si>
  <si>
    <t>ZI1HRR</t>
  </si>
  <si>
    <t>동두천드림파워</t>
    <phoneticPr fontId="9" type="noConversion"/>
  </si>
  <si>
    <t>분기 (25.1~25.3) 유지정비료 - 7/12회</t>
    <phoneticPr fontId="9" type="noConversion"/>
  </si>
  <si>
    <t>3월 임대료 - 9/12회</t>
    <phoneticPr fontId="9" type="noConversion"/>
  </si>
  <si>
    <t>3월 유지정비료 - 27/37회</t>
    <phoneticPr fontId="9" type="noConversion"/>
  </si>
  <si>
    <t>3월 유지정비료 - 24/36회</t>
    <phoneticPr fontId="9" type="noConversion"/>
  </si>
  <si>
    <t>삼표 DB세이퍼 유지보수 - 3월(8/12회)</t>
    <phoneticPr fontId="9" type="noConversion"/>
  </si>
  <si>
    <t>3월 유지정비료 - 25/46회</t>
    <phoneticPr fontId="9" type="noConversion"/>
  </si>
  <si>
    <t>(HW) 3월 유지정비료 - 10/12회</t>
    <phoneticPr fontId="9" type="noConversion"/>
  </si>
  <si>
    <t>3월 유지정비료 - 11/24회</t>
    <phoneticPr fontId="9" type="noConversion"/>
  </si>
  <si>
    <t>3월 유지정비료 - 11/32회</t>
    <phoneticPr fontId="9" type="noConversion"/>
  </si>
  <si>
    <t>3월 유지정비료 - 12/21회</t>
    <phoneticPr fontId="9" type="noConversion"/>
  </si>
  <si>
    <t>시스나인(1/2)연간 1,440,000(3/12회)</t>
    <phoneticPr fontId="9" type="noConversion"/>
  </si>
  <si>
    <t>3월 유지정비료 - 6/15회</t>
    <phoneticPr fontId="9" type="noConversion"/>
  </si>
  <si>
    <t xml:space="preserve">[HW] 3월 유지정비료 - 3/12회 </t>
    <phoneticPr fontId="9" type="noConversion"/>
  </si>
  <si>
    <t>(부품) 3월 유지정비료 - 3/12회</t>
    <phoneticPr fontId="9" type="noConversion"/>
  </si>
  <si>
    <t>SL-23014</t>
    <phoneticPr fontId="9" type="noConversion"/>
  </si>
  <si>
    <t>ZHUDGM</t>
    <phoneticPr fontId="9" type="noConversion"/>
  </si>
  <si>
    <t>한국항공우주산업#1</t>
    <phoneticPr fontId="9" type="noConversion"/>
  </si>
  <si>
    <t>분기-레노버</t>
    <phoneticPr fontId="9" type="noConversion"/>
  </si>
  <si>
    <t>SB-23016</t>
    <phoneticPr fontId="9" type="noConversion"/>
  </si>
  <si>
    <t>ZGUKWA</t>
    <phoneticPr fontId="9" type="noConversion"/>
  </si>
  <si>
    <t>한국항공우주산업#2</t>
    <phoneticPr fontId="9" type="noConversion"/>
  </si>
  <si>
    <t>분기</t>
    <phoneticPr fontId="9" type="noConversion"/>
  </si>
  <si>
    <t>현대하이카손해사정</t>
    <phoneticPr fontId="9" type="noConversion"/>
  </si>
  <si>
    <t>2025년 e-HR서버 1분기 유지보수 1/4회</t>
    <phoneticPr fontId="9" type="noConversion"/>
  </si>
  <si>
    <t>한국항공 RPA부문 - Lenovo HX5520 유지보수(25.1~25.3) 유지정비료 - 9/11회</t>
    <phoneticPr fontId="9" type="noConversion"/>
  </si>
  <si>
    <t>SM-25008</t>
    <phoneticPr fontId="9" type="noConversion"/>
  </si>
  <si>
    <t>SM-25009</t>
    <phoneticPr fontId="9" type="noConversion"/>
  </si>
  <si>
    <t>SM-25007</t>
    <phoneticPr fontId="9" type="noConversion"/>
  </si>
  <si>
    <t>SM-25010</t>
    <phoneticPr fontId="9" type="noConversion"/>
  </si>
  <si>
    <t>SM-25011</t>
    <phoneticPr fontId="9" type="noConversion"/>
  </si>
  <si>
    <t>SB-25014</t>
  </si>
  <si>
    <t>SB-25014</t>
    <phoneticPr fontId="9" type="noConversion"/>
  </si>
  <si>
    <t>ZAVPY3</t>
  </si>
  <si>
    <t>SM-25002</t>
    <phoneticPr fontId="9" type="noConversion"/>
  </si>
  <si>
    <t>Y250306-01</t>
    <phoneticPr fontId="9" type="noConversion"/>
  </si>
  <si>
    <t>조립PC</t>
    <phoneticPr fontId="9" type="noConversion"/>
  </si>
  <si>
    <t>SL-25009</t>
    <phoneticPr fontId="9" type="noConversion"/>
  </si>
  <si>
    <t>IBM(3/3)</t>
    <phoneticPr fontId="9" type="noConversion"/>
  </si>
  <si>
    <t>투아이시스</t>
    <phoneticPr fontId="9" type="noConversion"/>
  </si>
  <si>
    <t>연간유지정비료(25.03.01~26.02.28)</t>
    <phoneticPr fontId="9" type="noConversion"/>
  </si>
  <si>
    <t>IK-25001</t>
    <phoneticPr fontId="9" type="noConversion"/>
  </si>
  <si>
    <t>IBM(5/3)연간 5,423,462(11/12회)
IBM(3/4) 3,239,404</t>
    <phoneticPr fontId="9" type="noConversion"/>
  </si>
  <si>
    <t>IBM(3/4)</t>
    <phoneticPr fontId="9" type="noConversion"/>
  </si>
  <si>
    <t>IBM(3/4) 1,123,962 (3/4) 259,896</t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</si>
  <si>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레노버(24/7/8)연간 (9/12회) 485,440
IBM(3/4) 80,160</t>
    </r>
    <phoneticPr fontId="9" type="noConversion"/>
  </si>
  <si>
    <r>
      <t xml:space="preserve">IBM </t>
    </r>
    <r>
      <rPr>
        <sz val="9"/>
        <color rgb="FF9C0006"/>
        <rFont val="맑은 고딕"/>
        <family val="3"/>
        <charset val="129"/>
        <scheme val="minor"/>
      </rPr>
      <t>(1/1)309,047 (2/3)(3/1)</t>
    </r>
    <phoneticPr fontId="9" type="noConversion"/>
  </si>
  <si>
    <t>IBM(3/4) 142,800   (3/1)277,600</t>
    <phoneticPr fontId="9" type="noConversion"/>
  </si>
  <si>
    <t>인천국제공항공사</t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</si>
  <si>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위퍼스트(1/22) 90,000
이비웨이브(1/20) 6*40,000
SM</t>
    </r>
    <phoneticPr fontId="9" type="noConversion"/>
  </si>
  <si>
    <t>이비웨이브(2/10)</t>
    <phoneticPr fontId="9" type="noConversion"/>
  </si>
  <si>
    <t>이비웨이브(2/19)</t>
    <phoneticPr fontId="9" type="noConversion"/>
  </si>
  <si>
    <t>이비웨이브(1/23) 240,000</t>
    <phoneticPr fontId="9" type="noConversion"/>
  </si>
  <si>
    <t>이비웨이브(2/3) 120,000</t>
    <phoneticPr fontId="9" type="noConversion"/>
  </si>
  <si>
    <t>이비웨이브(2/6) 60,000</t>
    <phoneticPr fontId="9" type="noConversion"/>
  </si>
  <si>
    <t>이비웨이브(2/6) 120,000</t>
    <phoneticPr fontId="9" type="noConversion"/>
  </si>
  <si>
    <t>이비웨이브(2/6) 200,000</t>
    <phoneticPr fontId="9" type="noConversion"/>
  </si>
  <si>
    <t>이비웨이브(2/7) 150,000</t>
    <phoneticPr fontId="9" type="noConversion"/>
  </si>
  <si>
    <t>이비웨이브(2/11) 150,000</t>
    <phoneticPr fontId="9" type="noConversion"/>
  </si>
  <si>
    <t>이비웨이브(2/12) 190,000</t>
    <phoneticPr fontId="9" type="noConversion"/>
  </si>
  <si>
    <t>이비웨이브(2/27)</t>
    <phoneticPr fontId="9" type="noConversion"/>
  </si>
  <si>
    <t>완료(3/6)</t>
    <phoneticPr fontId="9" type="noConversion"/>
  </si>
  <si>
    <t>완료(3/7)</t>
    <phoneticPr fontId="9" type="noConversion"/>
  </si>
  <si>
    <t>제이원아이티시스템</t>
    <phoneticPr fontId="9" type="noConversion"/>
  </si>
  <si>
    <t>스토리지 1일 기술지원료</t>
  </si>
  <si>
    <t>완료(3/10)</t>
    <phoneticPr fontId="9" type="noConversion"/>
  </si>
  <si>
    <t>D250305-01</t>
    <phoneticPr fontId="9" type="noConversion"/>
  </si>
  <si>
    <t>완료(3/11)</t>
    <phoneticPr fontId="9" type="noConversion"/>
  </si>
  <si>
    <t>한림대학교</t>
    <phoneticPr fontId="9" type="noConversion"/>
  </si>
  <si>
    <t>국회방송</t>
    <phoneticPr fontId="9" type="noConversion"/>
  </si>
  <si>
    <t>연간유지정비료(24.10.29~25.12.31)</t>
    <phoneticPr fontId="9" type="noConversion"/>
  </si>
  <si>
    <t>명지병원</t>
    <phoneticPr fontId="9" type="noConversion"/>
  </si>
  <si>
    <t>1분기 유지정비료 - 1/4회</t>
    <phoneticPr fontId="9" type="noConversion"/>
  </si>
  <si>
    <t>완료(3/12)</t>
    <phoneticPr fontId="9" type="noConversion"/>
  </si>
  <si>
    <t>[LG전자] 슬림타워 데스크탑 Z80LV.AP47B3E</t>
  </si>
  <si>
    <t>LG PC</t>
    <phoneticPr fontId="9" type="noConversion"/>
  </si>
  <si>
    <t>완료(3/13)</t>
    <phoneticPr fontId="9" type="noConversion"/>
  </si>
  <si>
    <t>테이아인포(3/14)</t>
    <phoneticPr fontId="9" type="noConversion"/>
  </si>
  <si>
    <t>Y250310-01</t>
  </si>
  <si>
    <t>Y250311-01</t>
  </si>
  <si>
    <t>다래파크텍</t>
    <phoneticPr fontId="9" type="noConversion"/>
  </si>
  <si>
    <t>온종합병원</t>
    <phoneticPr fontId="9" type="noConversion"/>
  </si>
  <si>
    <t>서버</t>
    <phoneticPr fontId="9" type="noConversion"/>
  </si>
  <si>
    <t>Lenovo ThinkSystem SR250v2</t>
    <phoneticPr fontId="9" type="noConversion"/>
  </si>
  <si>
    <t>7ZT7A00482</t>
  </si>
  <si>
    <t>ThinkSystem Broadcom 5720 1GbE RJ45 2-Port PCIe Ethernet Adapter</t>
  </si>
  <si>
    <t>H250310</t>
    <phoneticPr fontId="9" type="noConversion"/>
  </si>
  <si>
    <t>완료(3/14)</t>
    <phoneticPr fontId="9" type="noConversion"/>
  </si>
  <si>
    <t>완료(3/17)</t>
    <phoneticPr fontId="9" type="noConversion"/>
  </si>
  <si>
    <t>완료(3/18)</t>
    <phoneticPr fontId="9" type="noConversion"/>
  </si>
  <si>
    <t>H250318-02</t>
    <phoneticPr fontId="9" type="noConversion"/>
  </si>
  <si>
    <t>SB-25015</t>
  </si>
  <si>
    <t>ZBLJQA</t>
  </si>
  <si>
    <t>Y250319-01</t>
    <phoneticPr fontId="9" type="noConversion"/>
  </si>
  <si>
    <t>HPE Aruba Switch Renewal(25.03.01 ~ 26.02.28)</t>
    <phoneticPr fontId="9" type="noConversion"/>
  </si>
  <si>
    <t>리뉴얼</t>
    <phoneticPr fontId="9" type="noConversion"/>
  </si>
  <si>
    <t xml:space="preserve">조립PC </t>
  </si>
  <si>
    <t>H250304-01</t>
  </si>
  <si>
    <t>H250311-01</t>
  </si>
  <si>
    <t>870794-001</t>
  </si>
  <si>
    <t>600GB 15K 12G SAS 2.5inch Enterprise Hard Drive</t>
  </si>
  <si>
    <t>42D0752</t>
  </si>
  <si>
    <t>IBM 500GB 7200 NL SATA 2.5'' SFF Slim-HS HDD</t>
  </si>
  <si>
    <t>한국정보기술</t>
  </si>
  <si>
    <t>아이티엔</t>
  </si>
  <si>
    <t>H250313-01</t>
  </si>
  <si>
    <t>H250313-02</t>
  </si>
  <si>
    <t>42D0767</t>
  </si>
  <si>
    <t>2TB 7.2K 6Gbps NL SAS 3.5" HS HDD</t>
  </si>
  <si>
    <t>기술료</t>
  </si>
  <si>
    <t>MIGRATION 엔지니어 지원 기술료</t>
    <phoneticPr fontId="9" type="noConversion"/>
  </si>
  <si>
    <t>SM</t>
    <phoneticPr fontId="9" type="noConversion"/>
  </si>
  <si>
    <t>CGV대학로</t>
    <phoneticPr fontId="9" type="noConversion"/>
  </si>
  <si>
    <t>상품</t>
    <phoneticPr fontId="9" type="noConversion"/>
  </si>
  <si>
    <t>대한건설기계안전관리원</t>
    <phoneticPr fontId="9" type="noConversion"/>
  </si>
  <si>
    <t>Lenovo SR630v2</t>
    <phoneticPr fontId="9" type="noConversion"/>
  </si>
  <si>
    <t>시너지온</t>
    <phoneticPr fontId="9" type="noConversion"/>
  </si>
  <si>
    <t>완료(3/20)</t>
    <phoneticPr fontId="9" type="noConversion"/>
  </si>
  <si>
    <t>TAHXA0203</t>
    <phoneticPr fontId="9" type="noConversion"/>
  </si>
  <si>
    <t>ZLXVVE</t>
    <phoneticPr fontId="9" type="noConversion"/>
  </si>
  <si>
    <t>HW 3월 유지정비료 - 1/12회</t>
    <phoneticPr fontId="9" type="noConversion"/>
  </si>
  <si>
    <t>SW 연간유지정비료(25.03.01~26.02.28)</t>
    <phoneticPr fontId="9" type="noConversion"/>
  </si>
  <si>
    <t>레노버(3/4) 11,840,700</t>
    <phoneticPr fontId="9" type="noConversion"/>
  </si>
  <si>
    <t>Y250319-02</t>
    <phoneticPr fontId="9" type="noConversion"/>
  </si>
  <si>
    <t>상품</t>
    <phoneticPr fontId="9" type="noConversion"/>
  </si>
  <si>
    <t>커넥터</t>
    <phoneticPr fontId="9" type="noConversion"/>
  </si>
  <si>
    <t>보안키, 커넥터</t>
    <phoneticPr fontId="9" type="noConversion"/>
  </si>
  <si>
    <t>H250321-02</t>
    <phoneticPr fontId="9" type="noConversion"/>
  </si>
  <si>
    <t>H250321-01</t>
    <phoneticPr fontId="9" type="noConversion"/>
  </si>
  <si>
    <t>OS 설치 기술지원</t>
  </si>
  <si>
    <t>CGV용산아이파크몰</t>
    <phoneticPr fontId="9" type="noConversion"/>
  </si>
  <si>
    <t>SM</t>
    <phoneticPr fontId="9" type="noConversion"/>
  </si>
  <si>
    <t>완료(3/21)</t>
    <phoneticPr fontId="9" type="noConversion"/>
  </si>
  <si>
    <t>H250324-02</t>
    <phoneticPr fontId="9" type="noConversion"/>
  </si>
  <si>
    <t>상품</t>
    <phoneticPr fontId="9" type="noConversion"/>
  </si>
  <si>
    <t>이전</t>
    <phoneticPr fontId="9" type="noConversion"/>
  </si>
  <si>
    <t>X3650M5 서버 1식, 이전</t>
    <phoneticPr fontId="9" type="noConversion"/>
  </si>
  <si>
    <t>SM</t>
    <phoneticPr fontId="9" type="noConversion"/>
  </si>
  <si>
    <t>레노버(1/31)
시스나인(25/3/4) 2,160,000(2/6회)</t>
    <phoneticPr fontId="9" type="noConversion"/>
  </si>
  <si>
    <t>레노버(2/28)
시스나인(25/3/4) 2,160,000(3/6회)</t>
    <phoneticPr fontId="9" type="noConversion"/>
  </si>
  <si>
    <t>시스나인(25/3/4) 연간 1,800,000 (5/12회)</t>
    <phoneticPr fontId="9" type="noConversion"/>
  </si>
  <si>
    <t>시스나인(25/3/4) 연간 1,800,000(6/12회)</t>
    <phoneticPr fontId="9" type="noConversion"/>
  </si>
  <si>
    <t>시스나인(25/3/4) 연간 1,800,000(7/12회)</t>
    <phoneticPr fontId="9" type="noConversion"/>
  </si>
  <si>
    <t>시스나인(25/3/4) 4,800,000 1/6회</t>
    <phoneticPr fontId="9" type="noConversion"/>
  </si>
  <si>
    <t>시스나인(25/3/4) 4,800,000 2/6회</t>
    <phoneticPr fontId="9" type="noConversion"/>
  </si>
  <si>
    <t>시스나인(25/3/4) 4,800,000 3/6회</t>
    <phoneticPr fontId="9" type="noConversion"/>
  </si>
  <si>
    <t>시스나인(25/3/4) 분기 1,500,000 1/3회</t>
    <phoneticPr fontId="9" type="noConversion"/>
  </si>
  <si>
    <t>시스나인(25/3/4) 분기 1,500,000 (2/3회)</t>
    <phoneticPr fontId="9" type="noConversion"/>
  </si>
  <si>
    <t>시스나인(25/3/4) 분기 1,500,000 (3/3회)</t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</si>
  <si>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프라테르(2/28) 672,000
트리거(2/28) 700,000
현성솔루션(2/28) 100,000
유니와이드(2/28) 290,000
시스나인(25/3/4) 반기 6,000,000 (2/6회)</t>
    </r>
    <phoneticPr fontId="9" type="noConversion"/>
  </si>
  <si>
    <t>쿠팡(3/10법카) 285,455
컴퓨존(3/14)
시스나인(3/4) 330,000</t>
    <phoneticPr fontId="9" type="noConversion"/>
  </si>
  <si>
    <t>Y250324-01</t>
    <phoneticPr fontId="9" type="noConversion"/>
  </si>
  <si>
    <t>에이치에스티</t>
    <phoneticPr fontId="9" type="noConversion"/>
  </si>
  <si>
    <t>월간</t>
    <phoneticPr fontId="9" type="noConversion"/>
  </si>
  <si>
    <t>Storwize V3700 원격 정기점검 - 1/10회</t>
    <phoneticPr fontId="9" type="noConversion"/>
  </si>
  <si>
    <t>완료(3/24)</t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</si>
  <si>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레노버 월 58,800(1/31)(2/28)(3/31)</t>
    </r>
    <phoneticPr fontId="9" type="noConversion"/>
  </si>
  <si>
    <r>
      <t xml:space="preserve">레노버 </t>
    </r>
    <r>
      <rPr>
        <sz val="9"/>
        <color rgb="FF9C0006"/>
        <rFont val="맑은 고딕"/>
        <family val="3"/>
        <charset val="129"/>
        <scheme val="minor"/>
      </rPr>
      <t>(1/31) 1,706,400 (2/28)(3/31)  
시스나인(7/1) 연간 1,000,000 (8~10/12회)</t>
    </r>
    <phoneticPr fontId="9" type="noConversion"/>
  </si>
  <si>
    <t>현성솔루션(2/28) 840,000</t>
    <phoneticPr fontId="9" type="noConversion"/>
  </si>
  <si>
    <t>현성솔루션(2/28) 595,000</t>
    <phoneticPr fontId="9" type="noConversion"/>
  </si>
  <si>
    <t>롯데이노베이트(롯데정보통신)</t>
    <phoneticPr fontId="9" type="noConversion"/>
  </si>
  <si>
    <t>매출취소</t>
    <phoneticPr fontId="9" type="noConversion"/>
  </si>
  <si>
    <t>DELL Controller Battery FS8600(중고) 
- 매출취소(3/25수정발행)</t>
    <phoneticPr fontId="9" type="noConversion"/>
  </si>
  <si>
    <t>위퍼스트</t>
    <phoneticPr fontId="9" type="noConversion"/>
  </si>
  <si>
    <t>H250117-01</t>
    <phoneticPr fontId="9" type="noConversion"/>
  </si>
  <si>
    <t>DELL Controller Battery FS8600(중고)</t>
  </si>
  <si>
    <t>(수정1/21)DELL Controller Battery FS8600(중고) -반품</t>
    <phoneticPr fontId="9" type="noConversion"/>
  </si>
  <si>
    <t>완료(3/25)</t>
    <phoneticPr fontId="9" type="noConversion"/>
  </si>
  <si>
    <t>완료(3/26)</t>
    <phoneticPr fontId="9" type="noConversion"/>
  </si>
  <si>
    <t>평택</t>
    <phoneticPr fontId="9" type="noConversion"/>
  </si>
  <si>
    <t>모니터</t>
    <phoneticPr fontId="9" type="noConversion"/>
  </si>
  <si>
    <t>삼성전자 24인치 모니터 LF24T452FQKXKR</t>
    <phoneticPr fontId="9" type="noConversion"/>
  </si>
  <si>
    <t>4월 유지정비료 - 13/13회</t>
    <phoneticPr fontId="9" type="noConversion"/>
  </si>
  <si>
    <t>4월 유지정비료 - 20/35회</t>
    <phoneticPr fontId="9" type="noConversion"/>
  </si>
  <si>
    <t>4월 유지정비료 - 12/12회</t>
    <phoneticPr fontId="9" type="noConversion"/>
  </si>
  <si>
    <t>4월 유지정비료 - 12/36회</t>
    <phoneticPr fontId="9" type="noConversion"/>
  </si>
  <si>
    <t>4월 유지정비료 - 11/12회</t>
    <phoneticPr fontId="9" type="noConversion"/>
  </si>
  <si>
    <t>4월 유지정비료 - 10/12회</t>
    <phoneticPr fontId="9" type="noConversion"/>
  </si>
  <si>
    <t>4월 유지정비료 - 4/6회</t>
    <phoneticPr fontId="9" type="noConversion"/>
  </si>
  <si>
    <t>4월 유지정비료 - 6/12회</t>
    <phoneticPr fontId="9" type="noConversion"/>
  </si>
  <si>
    <r>
      <t>VPN 서비스 4월임대료 - 4/</t>
    </r>
    <r>
      <rPr>
        <sz val="9"/>
        <rFont val="맑은 고딕"/>
        <family val="3"/>
        <charset val="129"/>
        <scheme val="minor"/>
      </rPr>
      <t>12회 280,000</t>
    </r>
    <r>
      <rPr>
        <sz val="9"/>
        <color theme="1"/>
        <rFont val="맑은 고딕"/>
        <family val="3"/>
        <charset val="129"/>
        <scheme val="minor"/>
      </rPr>
      <t xml:space="preserve">
+ 보안스위치 4월 2대*120,000</t>
    </r>
    <phoneticPr fontId="9" type="noConversion"/>
  </si>
  <si>
    <t>엘림넷(4/10) 213,400 (4/10) 155,200</t>
    <phoneticPr fontId="9" type="noConversion"/>
  </si>
  <si>
    <t>VPN 서비스 4월임대료 - 4/12회</t>
    <phoneticPr fontId="9" type="noConversion"/>
  </si>
  <si>
    <t>엘림넷(4/10) 145,500 (4/10) 77,600</t>
    <phoneticPr fontId="9" type="noConversion"/>
  </si>
  <si>
    <t>4월 유지정비료 - 4/12회</t>
    <phoneticPr fontId="9" type="noConversion"/>
  </si>
  <si>
    <t>4월 유지정비료 - 3/12회</t>
    <phoneticPr fontId="9" type="noConversion"/>
  </si>
  <si>
    <t>분기(4~6월) 유지정비료 - 10/12회</t>
    <phoneticPr fontId="9" type="noConversion"/>
  </si>
  <si>
    <t>분기(4~5월) 유지정비료 - 4/4회</t>
    <phoneticPr fontId="9" type="noConversion"/>
  </si>
  <si>
    <t>BOARD SYSTEM Maintenance 4월분 - 7/12회</t>
    <phoneticPr fontId="9" type="noConversion"/>
  </si>
  <si>
    <t>4월 임대료 (3.13~4.12) - 3/24회</t>
    <phoneticPr fontId="9" type="noConversion"/>
  </si>
  <si>
    <t>3월 유지정비료 - 15/24회</t>
    <phoneticPr fontId="9" type="noConversion"/>
  </si>
  <si>
    <t>3월 유지정비료 - 15/36회</t>
    <phoneticPr fontId="9" type="noConversion"/>
  </si>
  <si>
    <t>4월 임대료(3.26~4.25) 6/12회</t>
    <phoneticPr fontId="9" type="noConversion"/>
  </si>
  <si>
    <t>4월 유지정비료 - 2/12회</t>
    <phoneticPr fontId="9" type="noConversion"/>
  </si>
  <si>
    <t>4월 유지정비료 - 8/12회</t>
    <phoneticPr fontId="9" type="noConversion"/>
  </si>
  <si>
    <t>4월 유지정비료 - 9/12회</t>
    <phoneticPr fontId="9" type="noConversion"/>
  </si>
  <si>
    <t>이메일 보안 및 호스팅 4월 - 9/12회</t>
    <phoneticPr fontId="9" type="noConversion"/>
  </si>
  <si>
    <t>4월 유지정비료 - 5/12회</t>
    <phoneticPr fontId="9" type="noConversion"/>
  </si>
  <si>
    <t>시스나인(25/3/4) 연간 1,800,000(8/12회)</t>
    <phoneticPr fontId="9" type="noConversion"/>
  </si>
  <si>
    <t>4월 임대료 - 10/12회</t>
    <phoneticPr fontId="9" type="noConversion"/>
  </si>
  <si>
    <t>5월(4.30~5.30) 임대료</t>
    <phoneticPr fontId="9" type="noConversion"/>
  </si>
  <si>
    <t>4월 유지정비료 - 28/37회</t>
    <phoneticPr fontId="9" type="noConversion"/>
  </si>
  <si>
    <t>4월 유지정비료 - 25/36회</t>
    <phoneticPr fontId="9" type="noConversion"/>
  </si>
  <si>
    <t>삼표 DB세이퍼 유지보수 - 4월(9/12회)</t>
    <phoneticPr fontId="9" type="noConversion"/>
  </si>
  <si>
    <t>4월 유지정비료 - 26/46회</t>
    <phoneticPr fontId="9" type="noConversion"/>
  </si>
  <si>
    <t>(HW) 4월 유지정비료 - 11/12회</t>
    <phoneticPr fontId="9" type="noConversion"/>
  </si>
  <si>
    <t>4월 유지정비료 - 12/24회</t>
    <phoneticPr fontId="9" type="noConversion"/>
  </si>
  <si>
    <t>4월 유지정비료 - 12/32회</t>
    <phoneticPr fontId="9" type="noConversion"/>
  </si>
  <si>
    <t>4월 유지정비료 - 13/21회</t>
    <phoneticPr fontId="9" type="noConversion"/>
  </si>
  <si>
    <t>4월 유지정비료 - 7/15회</t>
    <phoneticPr fontId="9" type="noConversion"/>
  </si>
  <si>
    <t xml:space="preserve">[HW] 4월 유지정비료 - 4/12회 </t>
    <phoneticPr fontId="9" type="noConversion"/>
  </si>
  <si>
    <t>(부품) 4월 유지정비료 - 4/12회</t>
    <phoneticPr fontId="9" type="noConversion"/>
  </si>
  <si>
    <t>HW 4월 유지정비료 - 2/12회</t>
    <phoneticPr fontId="9" type="noConversion"/>
  </si>
  <si>
    <t>Storwize V3700 원격 정기점검 - 2/10회</t>
    <phoneticPr fontId="9" type="noConversion"/>
  </si>
  <si>
    <t>시스나인(1/2)연간 1,440,000(4/12회)</t>
    <phoneticPr fontId="9" type="noConversion"/>
  </si>
  <si>
    <t>4월 유지정비료 - 1/29회</t>
    <phoneticPr fontId="9" type="noConversion"/>
  </si>
  <si>
    <t>케이엠디엠</t>
    <phoneticPr fontId="9" type="noConversion"/>
  </si>
  <si>
    <t>탑텍</t>
    <phoneticPr fontId="9" type="noConversion"/>
  </si>
  <si>
    <t>연간유지정비료(25.04.01~26.03.31)</t>
    <phoneticPr fontId="9" type="noConversion"/>
  </si>
  <si>
    <t>SKB</t>
    <phoneticPr fontId="9" type="noConversion"/>
  </si>
  <si>
    <t>월간-DCSS</t>
    <phoneticPr fontId="9" type="noConversion"/>
  </si>
  <si>
    <t>레노버 월 10,869,600(3/6)(3/6)(3/31)</t>
    <phoneticPr fontId="9" type="noConversion"/>
  </si>
  <si>
    <t>완료(3/28)</t>
    <phoneticPr fontId="9" type="noConversion"/>
  </si>
  <si>
    <t>완료(3/28) 418,000
(2/27) 132,000</t>
    <phoneticPr fontId="9" type="noConversion"/>
  </si>
  <si>
    <t>4월(3.31~4.29) 임대료</t>
    <phoneticPr fontId="9" type="noConversion"/>
  </si>
  <si>
    <t>환불(3/31)</t>
    <phoneticPr fontId="9" type="noConversion"/>
  </si>
  <si>
    <t>완료(3/31)</t>
    <phoneticPr fontId="9" type="noConversion"/>
  </si>
  <si>
    <t>H250331-01</t>
    <phoneticPr fontId="9" type="noConversion"/>
  </si>
  <si>
    <t>USB 블록</t>
  </si>
  <si>
    <t>[LINDY] 보안 커텍터, 추가구매용 USB 블록 [화이트/10개]</t>
  </si>
  <si>
    <t>컴퓨존(3/31)</t>
    <phoneticPr fontId="9" type="noConversion"/>
  </si>
  <si>
    <t>BAT사천</t>
  </si>
  <si>
    <t>분기(4~6월) 유지정비료 - 9/12회</t>
    <phoneticPr fontId="9" type="noConversion"/>
  </si>
  <si>
    <t>S</t>
    <phoneticPr fontId="9" type="noConversion"/>
  </si>
  <si>
    <t>서울</t>
    <phoneticPr fontId="9" type="noConversion"/>
  </si>
  <si>
    <t>상품</t>
    <phoneticPr fontId="9" type="noConversion"/>
  </si>
  <si>
    <t>스위치</t>
    <phoneticPr fontId="9" type="noConversion"/>
  </si>
  <si>
    <t>HPE Networking Instant On Switch 1930-48G 외</t>
    <phoneticPr fontId="9" type="noConversion"/>
  </si>
  <si>
    <t>S26361-F3781-E515</t>
  </si>
  <si>
    <t>동행시네마</t>
    <phoneticPr fontId="9" type="noConversion"/>
  </si>
  <si>
    <t>안동CGV</t>
    <phoneticPr fontId="9" type="noConversion"/>
  </si>
  <si>
    <t>연간유지정비료(25.03.27~26.03.26)</t>
    <phoneticPr fontId="9" type="noConversion"/>
  </si>
  <si>
    <t>완료(4/1)</t>
    <phoneticPr fontId="9" type="noConversion"/>
  </si>
  <si>
    <t>H250401-01</t>
  </si>
  <si>
    <t>H250401-02</t>
  </si>
  <si>
    <t>H250401-03</t>
  </si>
  <si>
    <t>엘림넷</t>
  </si>
  <si>
    <t>설치 기술지원</t>
  </si>
  <si>
    <t>42D0786</t>
  </si>
  <si>
    <t>IBM 2TB 7200 RPM SATA 3.5" HDD</t>
  </si>
  <si>
    <t>8GB DDR3-1600 RDIMM PC3L-12800R Single Rank x4 Module</t>
  </si>
  <si>
    <t>상품</t>
    <phoneticPr fontId="9" type="noConversion"/>
  </si>
  <si>
    <t>에스엔에이(3/25) 120,000</t>
    <phoneticPr fontId="9" type="noConversion"/>
  </si>
  <si>
    <t>위퍼스트(3/25) 3*170,000</t>
    <phoneticPr fontId="9" type="noConversion"/>
  </si>
  <si>
    <t>Y250318-01</t>
    <phoneticPr fontId="9" type="noConversion"/>
  </si>
  <si>
    <t>조립PC</t>
    <phoneticPr fontId="9" type="noConversion"/>
  </si>
  <si>
    <t>리드피플</t>
    <phoneticPr fontId="9" type="noConversion"/>
  </si>
  <si>
    <t xml:space="preserve">조립PC </t>
    <phoneticPr fontId="9" type="noConversion"/>
  </si>
  <si>
    <t>완료(4/2)</t>
    <phoneticPr fontId="9" type="noConversion"/>
  </si>
  <si>
    <t>D250402-02</t>
    <phoneticPr fontId="9" type="noConversion"/>
  </si>
  <si>
    <t>D250402-01</t>
    <phoneticPr fontId="9" type="noConversion"/>
  </si>
  <si>
    <t>동원프라스틱</t>
    <phoneticPr fontId="9" type="noConversion"/>
  </si>
  <si>
    <t>알약</t>
  </si>
  <si>
    <t>알약 서버 5.1 / 2025.05.01 ~ 2026.04.30</t>
  </si>
  <si>
    <t>평택</t>
    <phoneticPr fontId="9" type="noConversion"/>
  </si>
  <si>
    <t>[LG전자] 슬림타워 데스크탑 Z80LV.AR45B2E</t>
  </si>
  <si>
    <t>LG Slim PC</t>
  </si>
  <si>
    <t>삼성 모니터</t>
  </si>
  <si>
    <t>삼성전자 24인치 모니터 LF24T452FQKXKR</t>
  </si>
  <si>
    <t>한글2024</t>
  </si>
  <si>
    <t>한글 2024 패키지</t>
  </si>
  <si>
    <t>우리에스아이티</t>
    <phoneticPr fontId="9" type="noConversion"/>
  </si>
  <si>
    <t>상품</t>
    <phoneticPr fontId="9" type="noConversion"/>
  </si>
  <si>
    <t>43X0805</t>
  </si>
  <si>
    <t>01AC578</t>
  </si>
  <si>
    <t>Controller for V7000G2</t>
  </si>
  <si>
    <t>H250328-01</t>
  </si>
  <si>
    <t>H250328-02</t>
  </si>
  <si>
    <t>에스엔에이(3/28) 300,000</t>
    <phoneticPr fontId="9" type="noConversion"/>
  </si>
  <si>
    <t>H250324-03</t>
    <phoneticPr fontId="9" type="noConversion"/>
  </si>
  <si>
    <t>IBM 300GB 15K 3.5IN SAS HDD</t>
  </si>
  <si>
    <t>완료(4/3)</t>
    <phoneticPr fontId="9" type="noConversion"/>
  </si>
  <si>
    <t>4월 임대료 - 1/24회</t>
    <phoneticPr fontId="9" type="noConversion"/>
  </si>
  <si>
    <t>D250327-01</t>
    <phoneticPr fontId="9" type="noConversion"/>
  </si>
  <si>
    <t>컴퓨존(3/27)</t>
    <phoneticPr fontId="9" type="noConversion"/>
  </si>
  <si>
    <t>IK-25002</t>
    <phoneticPr fontId="9" type="noConversion"/>
  </si>
  <si>
    <t>IK-24014</t>
    <phoneticPr fontId="9" type="noConversion"/>
  </si>
  <si>
    <t>SM-25007</t>
    <phoneticPr fontId="9" type="noConversion"/>
  </si>
  <si>
    <t>묵동</t>
    <phoneticPr fontId="9" type="noConversion"/>
  </si>
  <si>
    <t>순환</t>
    <phoneticPr fontId="9" type="noConversion"/>
  </si>
  <si>
    <t>3월 임대료(25/3/20~25/3/31)</t>
    <phoneticPr fontId="9" type="noConversion"/>
  </si>
  <si>
    <t>4월 유지정비료 - 1/12회</t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</si>
  <si>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IBM(3/3) 316,682
시스나인(1/2) 연간 1,200,000(3/12회)</t>
    </r>
    <phoneticPr fontId="9" type="noConversion"/>
  </si>
  <si>
    <t>레노버(3/31)</t>
    <phoneticPr fontId="9" type="noConversion"/>
  </si>
  <si>
    <t>티에스씨인포 (3/31) 300,000</t>
    <phoneticPr fontId="9" type="noConversion"/>
  </si>
  <si>
    <t>현성솔루션(3/31) 840,000</t>
    <phoneticPr fontId="9" type="noConversion"/>
  </si>
  <si>
    <t>현성솔루션(3/31) 595,000</t>
    <phoneticPr fontId="9" type="noConversion"/>
  </si>
  <si>
    <r>
      <t>레노버 월 115,8</t>
    </r>
    <r>
      <rPr>
        <sz val="9"/>
        <color rgb="FF9C0006"/>
        <rFont val="맑은 고딕"/>
        <family val="3"/>
        <charset val="129"/>
        <scheme val="minor"/>
      </rPr>
      <t>00 (1/31)(2/28)(3/31)</t>
    </r>
    <phoneticPr fontId="9" type="noConversion"/>
  </si>
  <si>
    <t>레노버(3/31)1,981,200
레노버(3/31) 655,500</t>
    <phoneticPr fontId="9" type="noConversion"/>
  </si>
  <si>
    <t>알앤에스(3/27) 495만원 중</t>
    <phoneticPr fontId="9" type="noConversion"/>
  </si>
  <si>
    <t>DCSS(3/31)</t>
    <phoneticPr fontId="9" type="noConversion"/>
  </si>
  <si>
    <t>레노버(3/31) 243,000
시스나인(2/28) 1,100,000(3/6회)</t>
    <phoneticPr fontId="9" type="noConversion"/>
  </si>
  <si>
    <t>DCSS(2/28/)(3/31) 월66,000</t>
    <phoneticPr fontId="9" type="noConversion"/>
  </si>
  <si>
    <t>레노버(3/31) 405,600</t>
    <phoneticPr fontId="9" type="noConversion"/>
  </si>
  <si>
    <t>IBM(4/1) 1,123,962 (4/1) 259,896</t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</si>
  <si>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IBM(4/1) 316,682
시스나인(1/2) 연간 1,200,000(4/12회)</t>
    </r>
    <phoneticPr fontId="9" type="noConversion"/>
  </si>
  <si>
    <t>IBM(4/1)</t>
    <phoneticPr fontId="9" type="noConversion"/>
  </si>
  <si>
    <t>Y250403-01</t>
    <phoneticPr fontId="9" type="noConversion"/>
  </si>
  <si>
    <t>컴퓨존(4/3)</t>
    <phoneticPr fontId="9" type="noConversion"/>
  </si>
  <si>
    <t>Y250403-02</t>
    <phoneticPr fontId="9" type="noConversion"/>
  </si>
  <si>
    <t>POWER</t>
  </si>
  <si>
    <t>[마이크로닉스] Classic II 1050W 80PLUS GOLD 230V EU 풀모듈러</t>
  </si>
  <si>
    <t>키보드+마우스</t>
  </si>
  <si>
    <t>[로지텍] 유선 데스크탑 합본, 키보드 K120 NEW + 마우스 M90</t>
  </si>
  <si>
    <t>케이블</t>
  </si>
  <si>
    <t xml:space="preserve">NEXT-2247CHPD UHD4K Type C to HDMI2.0 미러링 케이블 </t>
  </si>
  <si>
    <t>허브</t>
  </si>
  <si>
    <t xml:space="preserve">Thinkway core d34dex 7-in1 Multi-port Hub </t>
  </si>
  <si>
    <t>무선 키보드 + 마우스</t>
  </si>
  <si>
    <t>LKM500 화이트</t>
  </si>
  <si>
    <t>아답터</t>
  </si>
  <si>
    <t>ipTIME 아답터, 100~230V / 9V 0.8A</t>
  </si>
  <si>
    <t>쿠팡(4/4법카) 235,455</t>
    <phoneticPr fontId="9" type="noConversion"/>
  </si>
  <si>
    <t>쿠팡(4/7법카) 367,273</t>
    <phoneticPr fontId="9" type="noConversion"/>
  </si>
  <si>
    <t>컴퓨존(4/3) 1,106,309</t>
    <phoneticPr fontId="9" type="noConversion"/>
  </si>
  <si>
    <t>완료(4/7)</t>
    <phoneticPr fontId="9" type="noConversion"/>
  </si>
  <si>
    <t>레노버(4/4)</t>
    <phoneticPr fontId="9" type="noConversion"/>
  </si>
  <si>
    <t>완료(4/8)</t>
    <phoneticPr fontId="9" type="noConversion"/>
  </si>
  <si>
    <t>MA</t>
    <phoneticPr fontId="9" type="noConversion"/>
  </si>
  <si>
    <t>연간</t>
    <phoneticPr fontId="9" type="noConversion"/>
  </si>
  <si>
    <t>KBS</t>
    <phoneticPr fontId="9" type="noConversion"/>
  </si>
  <si>
    <t>연간(25.01.01~12.31)유지정비료 1/2회</t>
    <phoneticPr fontId="9" type="noConversion"/>
  </si>
  <si>
    <t>Y250409-01</t>
    <phoneticPr fontId="9" type="noConversion"/>
  </si>
  <si>
    <t xml:space="preserve">Dell PE R730XD </t>
  </si>
  <si>
    <t>현성솔루션</t>
    <phoneticPr fontId="9" type="noConversion"/>
  </si>
  <si>
    <t>서버</t>
    <phoneticPr fontId="9" type="noConversion"/>
  </si>
  <si>
    <t xml:space="preserve">
TAHXA0208</t>
    <phoneticPr fontId="9" type="noConversion"/>
  </si>
  <si>
    <t>이비웨이브(3/12) 8*70000</t>
    <phoneticPr fontId="9" type="noConversion"/>
  </si>
  <si>
    <t>이비웨이브(3/6)</t>
    <phoneticPr fontId="9" type="noConversion"/>
  </si>
  <si>
    <t>이비웨이브(3/4)</t>
    <phoneticPr fontId="9" type="noConversion"/>
  </si>
  <si>
    <t>이비웨이브(3/11) 250,000</t>
    <phoneticPr fontId="9" type="noConversion"/>
  </si>
  <si>
    <t>이비웨이브(3/28) 1,150,000</t>
    <phoneticPr fontId="9" type="noConversion"/>
  </si>
  <si>
    <t>이비웨이브(3/24)</t>
    <phoneticPr fontId="9" type="noConversion"/>
  </si>
  <si>
    <t>완료(4/9)</t>
    <phoneticPr fontId="9" type="noConversion"/>
  </si>
  <si>
    <r>
      <t xml:space="preserve">레노버(3/31) 3,709,756
</t>
    </r>
    <r>
      <rPr>
        <sz val="9"/>
        <color rgb="FF9C0006"/>
        <rFont val="맑은 고딕"/>
        <family val="3"/>
        <charset val="129"/>
        <scheme val="minor"/>
      </rPr>
      <t>시스나인(25/2/28) 10,560,000 (10/12회)</t>
    </r>
    <phoneticPr fontId="9" type="noConversion"/>
  </si>
  <si>
    <r>
      <t xml:space="preserve">레노버(3/31) 604,800
</t>
    </r>
    <r>
      <rPr>
        <sz val="9"/>
        <color rgb="FF9C0006"/>
        <rFont val="맑은 고딕"/>
        <family val="3"/>
        <charset val="129"/>
        <scheme val="minor"/>
      </rPr>
      <t>시스나인(25/3/4) 2,160,000(4/6회)</t>
    </r>
    <phoneticPr fontId="9" type="noConversion"/>
  </si>
  <si>
    <r>
      <t xml:space="preserve">레노버(3/31) 289,800
</t>
    </r>
    <r>
      <rPr>
        <sz val="9"/>
        <color rgb="FF9C0006"/>
        <rFont val="맑은 고딕"/>
        <family val="3"/>
        <charset val="129"/>
        <scheme val="minor"/>
      </rPr>
      <t>시스나인(1/2) 연500,000(3/12회)</t>
    </r>
    <phoneticPr fontId="9" type="noConversion"/>
  </si>
  <si>
    <r>
      <t xml:space="preserve">레노버(11/30) 310,500
</t>
    </r>
    <r>
      <rPr>
        <sz val="9"/>
        <color rgb="FF9C0006"/>
        <rFont val="맑은 고딕"/>
        <family val="3"/>
        <charset val="129"/>
        <scheme val="minor"/>
      </rPr>
      <t>IBM(12/1) 305,280</t>
    </r>
    <phoneticPr fontId="9" type="noConversion"/>
  </si>
  <si>
    <r>
      <t xml:space="preserve">레노버(12/31) 310,500
</t>
    </r>
    <r>
      <rPr>
        <sz val="9"/>
        <color rgb="FF9C0006"/>
        <rFont val="맑은 고딕"/>
        <family val="3"/>
        <charset val="129"/>
        <scheme val="minor"/>
      </rPr>
      <t>IBM(2/3) 305,280</t>
    </r>
    <phoneticPr fontId="9" type="noConversion"/>
  </si>
  <si>
    <r>
      <t xml:space="preserve">레노버(1/31) 310,500
</t>
    </r>
    <r>
      <rPr>
        <sz val="9"/>
        <color rgb="FF9C0006"/>
        <rFont val="맑은 고딕"/>
        <family val="3"/>
        <charset val="129"/>
        <scheme val="minor"/>
      </rPr>
      <t>IBM(3/4) 305,280</t>
    </r>
    <phoneticPr fontId="9" type="noConversion"/>
  </si>
  <si>
    <t>H250404-01</t>
  </si>
  <si>
    <t>H250409-01</t>
  </si>
  <si>
    <t>H250410-01</t>
  </si>
  <si>
    <t>00E9961</t>
  </si>
  <si>
    <t>IBM 1.2TB 10K SAS 6G</t>
  </si>
  <si>
    <t xml:space="preserve">44V3454 </t>
  </si>
  <si>
    <t>Fan for P6 550/P750</t>
  </si>
  <si>
    <t>VXRail 라이선스</t>
  </si>
  <si>
    <t>VXRail Software(Vmware) 라이선스</t>
  </si>
  <si>
    <t>디지알코리아(4/10)</t>
    <phoneticPr fontId="9" type="noConversion"/>
  </si>
  <si>
    <t>완료(4/10)</t>
    <phoneticPr fontId="9" type="noConversion"/>
  </si>
  <si>
    <t>완료(4/11)</t>
    <phoneticPr fontId="9" type="noConversion"/>
  </si>
  <si>
    <t>Y250407-01</t>
    <phoneticPr fontId="9" type="noConversion"/>
  </si>
  <si>
    <t>300GB 10K 6GB SAS 2.5</t>
  </si>
  <si>
    <t>서버임대 SR650 2식 - 19/36회</t>
    <phoneticPr fontId="9" type="noConversion"/>
  </si>
  <si>
    <t>레노버(24/7/8)연간 (10/12회) 485,440
IBM(4/1) 80,160</t>
    <phoneticPr fontId="9" type="noConversion"/>
  </si>
  <si>
    <t>IBM(4/1) 142,800 (4/1)277,600</t>
    <phoneticPr fontId="9" type="noConversion"/>
  </si>
  <si>
    <t>IBM(5/3)연간 5,423,462(12/12회)
IBM(4/1) 3,239,414</t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</si>
  <si>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레노버(2/28) 310,500
IBM(4/1) 305,280</t>
    </r>
    <phoneticPr fontId="9" type="noConversion"/>
  </si>
  <si>
    <t>H250218-01</t>
    <phoneticPr fontId="9" type="noConversion"/>
  </si>
  <si>
    <t>완료(4/14)</t>
    <phoneticPr fontId="9" type="noConversion"/>
  </si>
  <si>
    <t>ZZLYH2</t>
    <phoneticPr fontId="9" type="noConversion"/>
  </si>
  <si>
    <t>익스피다이터스코리아</t>
    <phoneticPr fontId="9" type="noConversion"/>
  </si>
  <si>
    <t>4월 유지정비료 - 1/36회</t>
    <phoneticPr fontId="9" type="noConversion"/>
  </si>
  <si>
    <t>레노버(4/30)</t>
    <phoneticPr fontId="9" type="noConversion"/>
  </si>
  <si>
    <t>Y250317-01</t>
    <phoneticPr fontId="9" type="noConversion"/>
  </si>
  <si>
    <t>우리들아이티</t>
    <phoneticPr fontId="9" type="noConversion"/>
  </si>
  <si>
    <t>서버임대</t>
    <phoneticPr fontId="9" type="noConversion"/>
  </si>
  <si>
    <t>안산코리아서키트</t>
    <phoneticPr fontId="9" type="noConversion"/>
  </si>
  <si>
    <t>HPE DL380Gen9 외 서버 임대(25.2.21~25.3.20)</t>
    <phoneticPr fontId="9" type="noConversion"/>
  </si>
  <si>
    <t>완료(4/15)</t>
    <phoneticPr fontId="9" type="noConversion"/>
  </si>
  <si>
    <t>완료(4/16)</t>
    <phoneticPr fontId="9" type="noConversion"/>
  </si>
  <si>
    <t>H250421-01</t>
    <phoneticPr fontId="9" type="noConversion"/>
  </si>
  <si>
    <t>케이엠디엠</t>
    <phoneticPr fontId="9" type="noConversion"/>
  </si>
  <si>
    <t>장비임대</t>
    <phoneticPr fontId="9" type="noConversion"/>
  </si>
  <si>
    <t>서버임대</t>
    <phoneticPr fontId="9" type="noConversion"/>
  </si>
  <si>
    <t xml:space="preserve">HP DL380G10 Server </t>
    <phoneticPr fontId="9" type="noConversion"/>
  </si>
  <si>
    <t>Y250414-01</t>
  </si>
  <si>
    <t>샌디스크 USB C타입 울트라 듀얼 Drive Go DDC3 + 고리줄 64GB</t>
  </si>
  <si>
    <t>샌디스크 USB C타입 울트라 듀얼 Drive Go DDC3 + 고리줄 128GB</t>
  </si>
  <si>
    <t>네임택</t>
  </si>
  <si>
    <t>열쇠 총기함 열쇠고리 이름표 네임택 usb 주기표 50개</t>
  </si>
  <si>
    <t>USB 메모리</t>
    <phoneticPr fontId="9" type="noConversion"/>
  </si>
  <si>
    <t>건국대병원</t>
    <phoneticPr fontId="9" type="noConversion"/>
  </si>
  <si>
    <t>월간</t>
    <phoneticPr fontId="9" type="noConversion"/>
  </si>
  <si>
    <t>Y250418-01</t>
  </si>
  <si>
    <t>Y250421-01</t>
  </si>
  <si>
    <t>42D0633(USED)</t>
  </si>
  <si>
    <t>146G 10K 6GB SAS 2.5</t>
  </si>
  <si>
    <t xml:space="preserve">90Y8872 </t>
  </si>
  <si>
    <t>600GB 10K 6G SAS 2.5inch Hard Drive</t>
  </si>
  <si>
    <t>아이티비</t>
  </si>
  <si>
    <t>완료(4/21)</t>
    <phoneticPr fontId="9" type="noConversion"/>
  </si>
  <si>
    <t>레노버(1/31) 494,903
시스나인(25/3/4) 1,200,00(7/9회)</t>
    <phoneticPr fontId="9" type="noConversion"/>
  </si>
  <si>
    <t>레노버(2/28) 494,903
시스나인(25/3/4) 1,200,00(8/9회)</t>
    <phoneticPr fontId="9" type="noConversion"/>
  </si>
  <si>
    <t>레노버() 494,903
시스나인(25/3/4) 1,200,00(9/9회)</t>
    <phoneticPr fontId="9" type="noConversion"/>
  </si>
  <si>
    <t>H250421-02</t>
  </si>
  <si>
    <t>H250421-03</t>
  </si>
  <si>
    <t>90Y8954</t>
  </si>
  <si>
    <t>500GB 7.2K 6G SAS 2.5inch Hard Drive</t>
  </si>
  <si>
    <t>42D0678</t>
  </si>
  <si>
    <t>146GB 15K 6G SAS 2.5inch Hard Drive</t>
  </si>
  <si>
    <t>SB-25018</t>
  </si>
  <si>
    <t>ZTMJAV</t>
  </si>
  <si>
    <t>IK-25002</t>
    <phoneticPr fontId="9" type="noConversion"/>
  </si>
  <si>
    <t>SM-25014</t>
    <phoneticPr fontId="9" type="noConversion"/>
  </si>
  <si>
    <t>SB-25016</t>
    <phoneticPr fontId="9" type="noConversion"/>
  </si>
  <si>
    <t>SB-25020</t>
    <phoneticPr fontId="9" type="noConversion"/>
  </si>
  <si>
    <t>SM-25015</t>
    <phoneticPr fontId="9" type="noConversion"/>
  </si>
  <si>
    <t>SM-25016</t>
    <phoneticPr fontId="9" type="noConversion"/>
  </si>
  <si>
    <t>SB-25017</t>
    <phoneticPr fontId="9" type="noConversion"/>
  </si>
  <si>
    <t>SB-25019</t>
    <phoneticPr fontId="9" type="noConversion"/>
  </si>
  <si>
    <t>상품</t>
    <phoneticPr fontId="9" type="noConversion"/>
  </si>
  <si>
    <t>완료(4/23)</t>
    <phoneticPr fontId="9" type="noConversion"/>
  </si>
  <si>
    <t>Y250424-01</t>
    <phoneticPr fontId="9" type="noConversion"/>
  </si>
  <si>
    <t>RH00004</t>
  </si>
  <si>
    <t>Red Hat Enterprise Linux Server, Standard (Physical or Virtual Nodes)</t>
  </si>
  <si>
    <t>D250418-01</t>
    <phoneticPr fontId="9" type="noConversion"/>
  </si>
  <si>
    <t>00TKYT</t>
  </si>
  <si>
    <t>Dell 2U 슬라이딩 레일킷</t>
  </si>
  <si>
    <t>현성솔루션</t>
    <phoneticPr fontId="9" type="noConversion"/>
  </si>
  <si>
    <t>상품</t>
    <phoneticPr fontId="9" type="noConversion"/>
  </si>
  <si>
    <t>Y250424-02</t>
    <phoneticPr fontId="9" type="noConversion"/>
  </si>
  <si>
    <t>Lenovo SR650v3 Server (2U) 외</t>
    <phoneticPr fontId="9" type="noConversion"/>
  </si>
  <si>
    <t>서버</t>
    <phoneticPr fontId="9" type="noConversion"/>
  </si>
  <si>
    <t>D250424-01</t>
    <phoneticPr fontId="9" type="noConversion"/>
  </si>
  <si>
    <t>조립PC</t>
    <phoneticPr fontId="9" type="noConversion"/>
  </si>
  <si>
    <t xml:space="preserve">조립PC </t>
    <phoneticPr fontId="9" type="noConversion"/>
  </si>
  <si>
    <t>완료(4/24)</t>
    <phoneticPr fontId="9" type="noConversion"/>
  </si>
  <si>
    <t>시스나인(4/25) 1,000,000 (1/3회)</t>
    <phoneticPr fontId="9" type="noConversion"/>
  </si>
  <si>
    <t>DCSS(3/31) 376,200
시스나인(4/25) 1,000,000(3/3회)</t>
    <phoneticPr fontId="9" type="noConversion"/>
  </si>
  <si>
    <t>DCSS(2/28) 376,200
시스나인(4/25) 1,000,000(2/3회)</t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</si>
  <si>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레노버(2/28)511,500 
시스나인(4/25) 연간3,400,000(2/12회)</t>
    </r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</si>
  <si>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레노버(3/31)511,500 
시스나인(4/25) 연간3,400,000(3/12회)</t>
    </r>
    <phoneticPr fontId="9" type="noConversion"/>
  </si>
  <si>
    <t>시스나인(4/25) 2,000,000(1/4회)</t>
    <phoneticPr fontId="9" type="noConversion"/>
  </si>
  <si>
    <t>시스나인(4/25) 2,000,000(2/4회)</t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</si>
  <si>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IBM(1/1) 691,781
에스엔에이(1/31) 300,000
키미데이타(1/31) 70,000
코오롱베니트(10/31) 1,000,000연간(5/12회)
더파트(1/31) 810,000
DCSS(1/31) 352,900
시스나인(4/25) 분기5,000 000(1/3회)</t>
    </r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</si>
  <si>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IBM(2/3) 691,781
에스엔에이(2/28) 300,000
키미데이타(2/28) 70,000
코오롱베니트(10/31) 1,000,000연간(6/12회)
더파트(2/28) 810,000
DCSS(2/28) 352,900
시스나인(4/25) 분기5,000 000(2/3회)</t>
    </r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</si>
  <si>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IBM(3/3) 691,781
에스엔에이(3/31) 300,000
키미데이타(3/31) 70,000
코오롱베니트(10/31) 1,000,000연간(7/12회)
더파트(3/31) 810,000
DCSS(3/31) 352,900
시스나인(4/25) 분기5,000 000(3/3회)</t>
    </r>
    <phoneticPr fontId="9" type="noConversion"/>
  </si>
  <si>
    <t>완료(4/25)</t>
    <phoneticPr fontId="9" type="noConversion"/>
  </si>
  <si>
    <t>시스나인(4/25) 2,000,000(3/4회)
제이에스(4/25) 150,000</t>
    <phoneticPr fontId="9" type="noConversion"/>
  </si>
  <si>
    <t>H250422-02</t>
  </si>
  <si>
    <t>H250423-01</t>
  </si>
  <si>
    <t>RDX Media</t>
  </si>
  <si>
    <t>Tandberg 4TB media for RDX</t>
  </si>
  <si>
    <t>01LJ743</t>
  </si>
  <si>
    <t>V7000 Gen2+ Node Canister 624/AF</t>
  </si>
  <si>
    <t>836220-B21</t>
  </si>
  <si>
    <t>HPE 16GB (1x16GB) Dual Rank x4 DDR4-2400 CAS-17-17-17 Registered Memory Kit</t>
  </si>
  <si>
    <t>다올시스</t>
    <phoneticPr fontId="9" type="noConversion"/>
  </si>
  <si>
    <t>티에스씨인포</t>
    <phoneticPr fontId="9" type="noConversion"/>
  </si>
  <si>
    <t>H250422-01</t>
    <phoneticPr fontId="9" type="noConversion"/>
  </si>
  <si>
    <t>상품</t>
    <phoneticPr fontId="9" type="noConversion"/>
  </si>
  <si>
    <t>Y250428-01</t>
    <phoneticPr fontId="9" type="noConversion"/>
  </si>
  <si>
    <t>Lenovo SR630v2</t>
  </si>
  <si>
    <t>광명시청</t>
    <phoneticPr fontId="9" type="noConversion"/>
  </si>
  <si>
    <t>서버</t>
    <phoneticPr fontId="9" type="noConversion"/>
  </si>
  <si>
    <t>LX세미콘</t>
    <phoneticPr fontId="9" type="noConversion"/>
  </si>
  <si>
    <t>2~4월 유지정비료 - 1~3/47회차</t>
    <phoneticPr fontId="9" type="noConversion"/>
  </si>
  <si>
    <t>5월 유지정비료 - 1/12회</t>
    <phoneticPr fontId="9" type="noConversion"/>
  </si>
  <si>
    <t>5월 유지정비료 - 21/35회</t>
    <phoneticPr fontId="9" type="noConversion"/>
  </si>
  <si>
    <t>5월 유지정비료 - 13/36회</t>
    <phoneticPr fontId="9" type="noConversion"/>
  </si>
  <si>
    <t>5월 유지정비료 - 12/12회</t>
    <phoneticPr fontId="9" type="noConversion"/>
  </si>
  <si>
    <t>5월 유지정비료 - 11/12회</t>
    <phoneticPr fontId="9" type="noConversion"/>
  </si>
  <si>
    <t>5월 유지정비료 - 5/6회(최종-중도해지)</t>
    <phoneticPr fontId="9" type="noConversion"/>
  </si>
  <si>
    <t>5월 유지정비료 - 7/12회</t>
    <phoneticPr fontId="9" type="noConversion"/>
  </si>
  <si>
    <r>
      <t>VPN 서비스 5월임대료 - 5/</t>
    </r>
    <r>
      <rPr>
        <sz val="9"/>
        <rFont val="맑은 고딕"/>
        <family val="3"/>
        <charset val="129"/>
        <scheme val="minor"/>
      </rPr>
      <t>12회 280,000</t>
    </r>
    <r>
      <rPr>
        <sz val="9"/>
        <color theme="1"/>
        <rFont val="맑은 고딕"/>
        <family val="3"/>
        <charset val="129"/>
        <scheme val="minor"/>
      </rPr>
      <t xml:space="preserve">
+ 보안스위치 5월 2대*120,000</t>
    </r>
    <phoneticPr fontId="9" type="noConversion"/>
  </si>
  <si>
    <t>엘림넷(5/10) 213,400 (5/10) 155,200</t>
    <phoneticPr fontId="9" type="noConversion"/>
  </si>
  <si>
    <t>엘림넷(5/10) 145,500 (5/10) 77,600</t>
    <phoneticPr fontId="9" type="noConversion"/>
  </si>
  <si>
    <t>VPN 서비스 5월임대료 - 5/12회</t>
    <phoneticPr fontId="9" type="noConversion"/>
  </si>
  <si>
    <t>5월 유지정비료 - 5/12회</t>
    <phoneticPr fontId="9" type="noConversion"/>
  </si>
  <si>
    <t>5월 유지정비료 - 4/12회</t>
    <phoneticPr fontId="9" type="noConversion"/>
  </si>
  <si>
    <t>5월 임대료 - 2/24회</t>
    <phoneticPr fontId="9" type="noConversion"/>
  </si>
  <si>
    <t>BOARD SYSTEM Maintenance 5월분 - 8/12회</t>
    <phoneticPr fontId="9" type="noConversion"/>
  </si>
  <si>
    <t>5월 임대료 (4.13~5.12) - 4/24회</t>
    <phoneticPr fontId="9" type="noConversion"/>
  </si>
  <si>
    <t>4월 유지정비료 - 16/24회</t>
    <phoneticPr fontId="9" type="noConversion"/>
  </si>
  <si>
    <t>4월 유지정비료 - 16/36회</t>
    <phoneticPr fontId="9" type="noConversion"/>
  </si>
  <si>
    <t>5월 임대료(4.26~5.25) 7/12회</t>
    <phoneticPr fontId="9" type="noConversion"/>
  </si>
  <si>
    <t>5월 유지정비료 - 2/12회</t>
    <phoneticPr fontId="9" type="noConversion"/>
  </si>
  <si>
    <t>서버임대 SR650 2식 - 20/36회</t>
    <phoneticPr fontId="9" type="noConversion"/>
  </si>
  <si>
    <t>5월 유지정비료 - 3/12회</t>
    <phoneticPr fontId="9" type="noConversion"/>
  </si>
  <si>
    <t>5월 유지정비료 - 2/29회</t>
    <phoneticPr fontId="9" type="noConversion"/>
  </si>
  <si>
    <t>5월 유지정비료 - 9/12회</t>
    <phoneticPr fontId="9" type="noConversion"/>
  </si>
  <si>
    <t>시스나인(25/3/4) 연간 1,800,000(9/12회)</t>
    <phoneticPr fontId="9" type="noConversion"/>
  </si>
  <si>
    <t>5월 유지정비료 - 10/12회</t>
    <phoneticPr fontId="9" type="noConversion"/>
  </si>
  <si>
    <t>이메일 보안 및 호스팅 5월 - 10/12회</t>
    <phoneticPr fontId="9" type="noConversion"/>
  </si>
  <si>
    <t>IBM(5/1)</t>
    <phoneticPr fontId="9" type="noConversion"/>
  </si>
  <si>
    <t>5월 유지정비료 - 6/12회</t>
    <phoneticPr fontId="9" type="noConversion"/>
  </si>
  <si>
    <t>IBM(5/1) 142,800 (5/1)277,600</t>
    <phoneticPr fontId="9" type="noConversion"/>
  </si>
  <si>
    <t>시스나인(4/25) 분기 1,500,000 (2/3회)</t>
    <phoneticPr fontId="9" type="noConversion"/>
  </si>
  <si>
    <t>5월 유지정비료 - 2/36회</t>
    <phoneticPr fontId="9" type="noConversion"/>
  </si>
  <si>
    <t>5월 임대료 - 11/12회</t>
    <phoneticPr fontId="9" type="noConversion"/>
  </si>
  <si>
    <t>6월(5.31~6.29) 임대료</t>
    <phoneticPr fontId="9" type="noConversion"/>
  </si>
  <si>
    <t>5월 유지정비료 - 4/47회차</t>
    <phoneticPr fontId="9" type="noConversion"/>
  </si>
  <si>
    <t>5월 유지정비료 - 29/37회</t>
    <phoneticPr fontId="9" type="noConversion"/>
  </si>
  <si>
    <t>5월 유지정비료 - 26/36회</t>
    <phoneticPr fontId="9" type="noConversion"/>
  </si>
  <si>
    <t>삼표 DB세이퍼 유지보수 - 5월(10/12회)</t>
    <phoneticPr fontId="9" type="noConversion"/>
  </si>
  <si>
    <t>5월 유지정비료 - 27/46회</t>
    <phoneticPr fontId="9" type="noConversion"/>
  </si>
  <si>
    <t>(HW) 5월 유지정비료 - 12/12회</t>
    <phoneticPr fontId="9" type="noConversion"/>
  </si>
  <si>
    <t>5월 유지정비료 - 13/24회</t>
    <phoneticPr fontId="9" type="noConversion"/>
  </si>
  <si>
    <t>5월 유지정비료 - 13/32회</t>
    <phoneticPr fontId="9" type="noConversion"/>
  </si>
  <si>
    <t>5월 유지정비료 - 14/21회</t>
    <phoneticPr fontId="9" type="noConversion"/>
  </si>
  <si>
    <t>5월 유지정비료 - 8/15회</t>
    <phoneticPr fontId="9" type="noConversion"/>
  </si>
  <si>
    <t xml:space="preserve">[HW] 5월 유지정비료 - 5/12회 </t>
    <phoneticPr fontId="9" type="noConversion"/>
  </si>
  <si>
    <t>(부품) 5월 유지정비료 - 5/12회</t>
    <phoneticPr fontId="9" type="noConversion"/>
  </si>
  <si>
    <t>HW 5월 유지정비료 - 3/12회</t>
    <phoneticPr fontId="9" type="noConversion"/>
  </si>
  <si>
    <t>Storwize V3700 원격 정기점검 - 3/10회</t>
    <phoneticPr fontId="9" type="noConversion"/>
  </si>
  <si>
    <t>IBM 분기 (25.5~25.07) 유지정비료 -(4/4)회</t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</si>
  <si>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레노버(3/31) 8,742,600
시스나인(1/2) 2,400,000 (1/2회)</t>
    </r>
    <phoneticPr fontId="9" type="noConversion"/>
  </si>
  <si>
    <t>완료(4/28)</t>
    <phoneticPr fontId="9" type="noConversion"/>
  </si>
  <si>
    <t>완료(4/29)</t>
    <phoneticPr fontId="9" type="noConversion"/>
  </si>
  <si>
    <t>완료(4/30)</t>
    <phoneticPr fontId="9" type="noConversion"/>
  </si>
  <si>
    <t>시스게이트</t>
    <phoneticPr fontId="9" type="noConversion"/>
  </si>
  <si>
    <t>한국도로공사</t>
    <phoneticPr fontId="9" type="noConversion"/>
  </si>
  <si>
    <t>MA</t>
    <phoneticPr fontId="9" type="noConversion"/>
  </si>
  <si>
    <t>1분기 유지정비료 - 1/8회</t>
    <phoneticPr fontId="9" type="noConversion"/>
  </si>
  <si>
    <t>DCSS(4/30)</t>
    <phoneticPr fontId="9" type="noConversion"/>
  </si>
  <si>
    <t>DCSS 월 14,000(4/30~)</t>
    <phoneticPr fontId="9" type="noConversion"/>
  </si>
  <si>
    <t>완료(4/30)</t>
    <phoneticPr fontId="9" type="noConversion"/>
  </si>
  <si>
    <t>서울</t>
    <phoneticPr fontId="9" type="noConversion"/>
  </si>
  <si>
    <t>MA</t>
    <phoneticPr fontId="9" type="noConversion"/>
  </si>
  <si>
    <t>연간</t>
    <phoneticPr fontId="9" type="noConversion"/>
  </si>
  <si>
    <t>FMS 유지보수 (25.05.01~26.04.30)</t>
    <phoneticPr fontId="9" type="noConversion"/>
  </si>
  <si>
    <t>항온항습기 유지보수 (25.05.01~26.04.30)</t>
    <phoneticPr fontId="9" type="noConversion"/>
  </si>
  <si>
    <t>완료(5/7)</t>
    <phoneticPr fontId="9" type="noConversion"/>
  </si>
  <si>
    <t>H250306-01</t>
    <phoneticPr fontId="9" type="noConversion"/>
  </si>
  <si>
    <t>Y250429-01</t>
    <phoneticPr fontId="9" type="noConversion"/>
  </si>
  <si>
    <t>재고</t>
    <phoneticPr fontId="9" type="noConversion"/>
  </si>
  <si>
    <t xml:space="preserve">42D0417 </t>
  </si>
  <si>
    <t>IBM 300GB 15K 4Gb FC Hard Drive</t>
  </si>
  <si>
    <t>알앤에스정보(4/28)</t>
    <phoneticPr fontId="9" type="noConversion"/>
  </si>
  <si>
    <t>완료(5/2)</t>
    <phoneticPr fontId="9" type="noConversion"/>
  </si>
  <si>
    <t>시스나인(25/3/4) 4,800,000 4/6회
이비웨이브(4/28) Board 250,000
이비웨이브(4/28) Power 60,000*2</t>
    <phoneticPr fontId="9" type="noConversion"/>
  </si>
  <si>
    <t>ZJYUVJ</t>
    <phoneticPr fontId="9" type="noConversion"/>
  </si>
  <si>
    <t>씨플랫폼(4/30)</t>
    <phoneticPr fontId="9" type="noConversion"/>
  </si>
  <si>
    <t>IBM(1/2) 11,623,397
IBM APS(1/27) 연 7,859,914 (1/12회)
시스나인 (1/2) 분기8,000,000 (1/3회)
==총 14,945,056 중 10,500,000</t>
    <phoneticPr fontId="9" type="noConversion"/>
  </si>
  <si>
    <t>IBM(1/2) 11,623,397
IBM APS(1/27) 연 7,859,914 (1/12회)
시스나인 (1/2) 분기8,000,000 (1/3회)
==총 14,945,056 중 4,445,056</t>
    <phoneticPr fontId="9" type="noConversion"/>
  </si>
  <si>
    <t>IBM(2/3) 11,623,397
DCSS(2/28) 292,200
IBM APS(1/27) 연 7,859,914 (2/12회)
시스나인 (1/2) 분기8,000,000 (2/3회)
==총 15,237,257 중 10,800,000</t>
    <phoneticPr fontId="9" type="noConversion"/>
  </si>
  <si>
    <t>IBM(2/3) 11,623,397
DCSS(2/28) 292,200
IBM APS(1/27) 연 7,859,914 (2/12회)
시스나인 (1/2) 분기8,000,000 (2/3회)
==총 15,237,257 중 4,437,257</t>
    <phoneticPr fontId="9" type="noConversion"/>
  </si>
  <si>
    <t>IBM(3/4) 11,623,397
DCSS(3/31) 292,200
IBM APS(1/27) 연 7,859,914 (3/12회)
시스나인 (1/2) 분기8,000,000 (3/3회)
==총 15237,257 중 4,437,257</t>
    <phoneticPr fontId="9" type="noConversion"/>
  </si>
  <si>
    <t>IBM(3/4) 11,623,397
DCSS(3/31) 292,200
IBM APS(1/27) 연 7,859,914 (2/12회)
시스나인 (1/2) 분기8,000,000 (2/3회)
==총 15,237,257 중 10,800,000</t>
    <phoneticPr fontId="9" type="noConversion"/>
  </si>
  <si>
    <t>IBM(4/1) 11,623,397
DCSS(4/30) 292,200
IBM APS(1/27) 연 7,859,914 (4/12회)
시스나인 (4/25) 분기8,000,000 (1/3회)
==총 15237,257 중 4,437,257</t>
    <phoneticPr fontId="9" type="noConversion"/>
  </si>
  <si>
    <t>IBM(4/1) 11,623,397
DCSS(4/30) 292,200
IBM APS(1/27) 연 7,859,914 (4/12회)
시스나인 (4/25) 분기8,000,000 (1/3회)
==총 15237,257 중 10,800,000</t>
    <phoneticPr fontId="9" type="noConversion"/>
  </si>
  <si>
    <t>티에스씨인포 (4/30) 300,000</t>
    <phoneticPr fontId="9" type="noConversion"/>
  </si>
  <si>
    <t xml:space="preserve">제이에스정보(4/25) </t>
    <phoneticPr fontId="9" type="noConversion"/>
  </si>
  <si>
    <r>
      <t xml:space="preserve">제이에스정보(4/25) 150,000
</t>
    </r>
    <r>
      <rPr>
        <sz val="9"/>
        <color rgb="FF9C0006"/>
        <rFont val="맑은 고딕"/>
        <family val="3"/>
        <charset val="129"/>
        <scheme val="minor"/>
      </rPr>
      <t>시스나인(4/25) 2,000,000(4/4회)</t>
    </r>
    <phoneticPr fontId="9" type="noConversion"/>
  </si>
  <si>
    <t>현성솔루션(4/30) 840,000</t>
    <phoneticPr fontId="9" type="noConversion"/>
  </si>
  <si>
    <t>현성솔루션(4/30) 595,000</t>
    <phoneticPr fontId="9" type="noConversion"/>
  </si>
  <si>
    <r>
      <t xml:space="preserve">레노버(4/30) 4,859,056
</t>
    </r>
    <r>
      <rPr>
        <sz val="9"/>
        <color rgb="FF9C0006"/>
        <rFont val="맑은 고딕"/>
        <family val="3"/>
        <charset val="129"/>
        <scheme val="minor"/>
      </rPr>
      <t>시스나인(25/2/28) 10,560,000 (11/12회)</t>
    </r>
    <phoneticPr fontId="9" type="noConversion"/>
  </si>
  <si>
    <r>
      <t xml:space="preserve">레노버(4/30) 
</t>
    </r>
    <r>
      <rPr>
        <sz val="9"/>
        <color rgb="FF9C0006"/>
        <rFont val="맑은 고딕"/>
        <family val="3"/>
        <charset val="129"/>
        <scheme val="minor"/>
      </rPr>
      <t>시스나인(1/2) 연500,000(4/12회)</t>
    </r>
    <phoneticPr fontId="9" type="noConversion"/>
  </si>
  <si>
    <r>
      <t xml:space="preserve">레노버(4/30)
</t>
    </r>
    <r>
      <rPr>
        <sz val="9"/>
        <color rgb="FF9C0006"/>
        <rFont val="맑은 고딕"/>
        <family val="3"/>
        <charset val="129"/>
        <scheme val="minor"/>
      </rPr>
      <t>시스나인(25/3/4) 2,160,000(5/6회)</t>
    </r>
    <phoneticPr fontId="9" type="noConversion"/>
  </si>
  <si>
    <t>레노버(4/30)1,981,200
레노버(4/30) 655,500</t>
    <phoneticPr fontId="9" type="noConversion"/>
  </si>
  <si>
    <t>알앤에스(4/28) 495만원 중</t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</si>
  <si>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프라테르(4/30) 672,000
트리거(4/30) 700,000
현성솔루션(4/30) 100,000
유니와이드(4/30) 290,000
시스나인(25/3/4) 반기 6,000,000 (4/6회)</t>
    </r>
    <phoneticPr fontId="9" type="noConversion"/>
  </si>
  <si>
    <r>
      <t xml:space="preserve">레노버(4/30) 243,000
</t>
    </r>
    <r>
      <rPr>
        <sz val="9"/>
        <color rgb="FF9C0006"/>
        <rFont val="맑은 고딕"/>
        <family val="3"/>
        <charset val="129"/>
        <scheme val="minor"/>
      </rPr>
      <t>시스나인(2/28) 1,100,000(4/6회)</t>
    </r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</si>
  <si>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레노버2월(4/28) 777,840 3월(4/28)1,111,200 4월(4/30)</t>
    </r>
    <phoneticPr fontId="9" type="noConversion"/>
  </si>
  <si>
    <t>이비웨이브(4/4) 340,000*2</t>
    <phoneticPr fontId="9" type="noConversion"/>
  </si>
  <si>
    <t>이비웨이브(4/9) 360,000</t>
    <phoneticPr fontId="9" type="noConversion"/>
  </si>
  <si>
    <t>이비웨이브(4/21) 120,000</t>
    <phoneticPr fontId="9" type="noConversion"/>
  </si>
  <si>
    <t>이비웨이브(4/21) 100,000</t>
    <phoneticPr fontId="9" type="noConversion"/>
  </si>
  <si>
    <t>이비웨이브(4/22) 1,200,000</t>
    <phoneticPr fontId="9" type="noConversion"/>
  </si>
  <si>
    <t>S</t>
    <phoneticPr fontId="9" type="noConversion"/>
  </si>
  <si>
    <t>인테그리틱스</t>
    <phoneticPr fontId="9" type="noConversion"/>
  </si>
  <si>
    <t>임대료(25/4/8~5/7) - 1/12회</t>
    <phoneticPr fontId="9" type="noConversion"/>
  </si>
  <si>
    <t xml:space="preserve">Synology RS1221RP+ 8TB x8 </t>
  </si>
  <si>
    <t>컴퓨존(5/8)</t>
    <phoneticPr fontId="9" type="noConversion"/>
  </si>
  <si>
    <t>삼표매입, 우림퀵(4/30) 12,000</t>
    <phoneticPr fontId="9" type="noConversion"/>
  </si>
  <si>
    <t>이비웨이브(4/17) 우림퀵(4/30) 30,000</t>
    <phoneticPr fontId="9" type="noConversion"/>
  </si>
  <si>
    <t>재고, 우림퀵(4/30) 8,000</t>
    <phoneticPr fontId="9" type="noConversion"/>
  </si>
  <si>
    <t>시스나인(4/25) 분기 1,500,000 (1/3회)
우림퀵(4/30) 35,000</t>
    <phoneticPr fontId="9" type="noConversion"/>
  </si>
  <si>
    <r>
      <t xml:space="preserve">에실로매각건
</t>
    </r>
    <r>
      <rPr>
        <sz val="9"/>
        <rFont val="맑은 고딕"/>
        <family val="3"/>
        <charset val="129"/>
        <scheme val="major"/>
      </rPr>
      <t>컴퓨존(4/9) 1,714,418
컴퓨존(4/29) 272,836
우림퀵(4/30) 25,000
우림퀵(4/30) 15,000</t>
    </r>
    <phoneticPr fontId="9" type="noConversion"/>
  </si>
  <si>
    <t>컴퓨존(1/22)
우림퀵(2/28) 45,000  45,000   55,000</t>
    <phoneticPr fontId="9" type="noConversion"/>
  </si>
  <si>
    <t>이룸에스앤앤(2/21)
우림퀵(2/28) 20,000</t>
    <phoneticPr fontId="9" type="noConversion"/>
  </si>
  <si>
    <t>이룸에스앤앤(2/21)
우림퀵(2/28) 25,000</t>
    <phoneticPr fontId="9" type="noConversion"/>
  </si>
  <si>
    <t>위퍼스트(2/20) 우림퀵(2/28) 25,000</t>
    <phoneticPr fontId="9" type="noConversion"/>
  </si>
  <si>
    <t>재고
우림퀵(2/28) 35,000   40,000   25,000</t>
    <phoneticPr fontId="9" type="noConversion"/>
  </si>
  <si>
    <t>매입(1/16)취소-반납을 매출로처리</t>
    <phoneticPr fontId="9" type="noConversion"/>
  </si>
  <si>
    <t>이룸에스앤앤(2/21) 우림퀵(3/31)20,000</t>
    <phoneticPr fontId="9" type="noConversion"/>
  </si>
  <si>
    <t>컴퓨존(3/5) 3,161,791
리더스시스템즈(3/6) 3,714,000
우림퀵(3/31)</t>
    <phoneticPr fontId="9" type="noConversion"/>
  </si>
  <si>
    <t>컴퓨존(3/6) 우림퀵(3/31) 30,000</t>
    <phoneticPr fontId="9" type="noConversion"/>
  </si>
  <si>
    <t>컴퓨존(3/18) 우림퀵(3/31)25,000</t>
    <phoneticPr fontId="9" type="noConversion"/>
  </si>
  <si>
    <t>위퍼스트(1/16)-매출취소반납
우림퀵(1/31) 12,000
우림퀵(2/28) 반품 12,000
우림퀵(3/31) 반품 10,000</t>
    <phoneticPr fontId="9" type="noConversion"/>
  </si>
  <si>
    <t>삼표매입
우림퀵(4/30) 12,000</t>
    <phoneticPr fontId="9" type="noConversion"/>
  </si>
  <si>
    <t>컴퓨존(4/3) 우림퀵(4/30) 30,000</t>
    <phoneticPr fontId="9" type="noConversion"/>
  </si>
  <si>
    <t>H250507-01</t>
    <phoneticPr fontId="9" type="noConversion"/>
  </si>
  <si>
    <t>00Y2683</t>
  </si>
  <si>
    <t>Storwize v7000 Gen 1 600GB 10K SAS Hard Disk 85Y5864 00L4521</t>
  </si>
  <si>
    <t>H250430-01</t>
    <phoneticPr fontId="9" type="noConversion"/>
  </si>
  <si>
    <t>우리에스아이티</t>
    <phoneticPr fontId="9" type="noConversion"/>
  </si>
  <si>
    <t>상품</t>
    <phoneticPr fontId="9" type="noConversion"/>
  </si>
  <si>
    <t>43W9715</t>
  </si>
  <si>
    <t>750GB 7.2K SATA 3.5inch Hard Drive</t>
  </si>
  <si>
    <t>완료(5/9)</t>
    <phoneticPr fontId="9" type="noConversion"/>
  </si>
  <si>
    <t>조광피혁</t>
    <phoneticPr fontId="9" type="noConversion"/>
  </si>
  <si>
    <t>월간-DCSS</t>
    <phoneticPr fontId="9" type="noConversion"/>
  </si>
  <si>
    <t>완료(5/12)</t>
    <phoneticPr fontId="9" type="noConversion"/>
  </si>
  <si>
    <t>X3650M5 임대 (Xeon E5-2640v3 2.6GHz 8C x2 / 128GB Memory / 600GB SAS x4 / Power x2)(25/3/2~4/1)</t>
    <phoneticPr fontId="9" type="noConversion"/>
  </si>
  <si>
    <t>X3650M5 임대 (Xeon E5-2640v3 2.6GHz 8C x2 / 128GB Memory / 600GB SAS x4 / Power x2)
(4월1일~4월30일)</t>
    <phoneticPr fontId="9" type="noConversion"/>
  </si>
  <si>
    <t>X3650M5 임대 (Xeon E5-2640v3 2.6GHz 8C x2 / 128GB Memory / 600GB SAS x4 / Power x2)(24/12/2~25/1/1)</t>
    <phoneticPr fontId="9" type="noConversion"/>
  </si>
  <si>
    <t>X3650M5 임대 (Xeon E5-2640v3 2.6GHz 8C x2 / 128GB Memory / 600GB SAS x4 / Power x2)(25/1/2~25/2/1)</t>
    <phoneticPr fontId="9" type="noConversion"/>
  </si>
  <si>
    <t>X3650M5 임대 (Xeon E5-2640v3 2.6GHz 8C x2 / 128GB Memory / 600GB SAS x4 / Power x2)
(25/2/2~25/3/1)</t>
    <phoneticPr fontId="9" type="noConversion"/>
  </si>
  <si>
    <t>x3650M5 임대 (Xeon E5-2699v4)
(2025.03.01~3.31)</t>
    <phoneticPr fontId="9" type="noConversion"/>
  </si>
  <si>
    <t>SB-25023</t>
  </si>
  <si>
    <t>ZKGVNQ</t>
  </si>
  <si>
    <t>SB-25022</t>
  </si>
  <si>
    <t>ZGHZZL</t>
  </si>
  <si>
    <t>SB-25007</t>
  </si>
  <si>
    <t>ZROHA2</t>
  </si>
  <si>
    <t>ZQIURA</t>
    <phoneticPr fontId="9" type="noConversion"/>
  </si>
  <si>
    <t>IBM(5/2) 1,123,962 (5/2) 259,896</t>
    <phoneticPr fontId="9" type="noConversion"/>
  </si>
  <si>
    <t>IBM(5/2) 316,682
시스나인(1/2) 연간 1,200,000(5/12회)</t>
    <phoneticPr fontId="9" type="noConversion"/>
  </si>
  <si>
    <t>IBM(5/2)</t>
    <phoneticPr fontId="9" type="noConversion"/>
  </si>
  <si>
    <t>Y250507-01</t>
    <phoneticPr fontId="9" type="noConversion"/>
  </si>
  <si>
    <t>Y250508-01</t>
    <phoneticPr fontId="9" type="noConversion"/>
  </si>
  <si>
    <t>스토리지</t>
    <phoneticPr fontId="9" type="noConversion"/>
  </si>
  <si>
    <t>완료(5/14)</t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</si>
  <si>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레노버(24/7/8)연간 (11/12회) 485,440
IBM(5/1) 80,160</t>
    </r>
    <phoneticPr fontId="9" type="noConversion"/>
  </si>
  <si>
    <t>이비웨이브(4/30)</t>
    <phoneticPr fontId="9" type="noConversion"/>
  </si>
  <si>
    <t>완료(5/15)</t>
    <phoneticPr fontId="9" type="noConversion"/>
  </si>
  <si>
    <t>서울</t>
    <phoneticPr fontId="9" type="noConversion"/>
  </si>
  <si>
    <t>상품</t>
    <phoneticPr fontId="9" type="noConversion"/>
  </si>
  <si>
    <t>PC</t>
    <phoneticPr fontId="9" type="noConversion"/>
  </si>
  <si>
    <t>LG Slim PC</t>
    <phoneticPr fontId="9" type="noConversion"/>
  </si>
  <si>
    <t>디씨에스에스테크놀로지스코리아</t>
    <phoneticPr fontId="9" type="noConversion"/>
  </si>
  <si>
    <t>디씨에스에스테크놀로지스코리아</t>
    <phoneticPr fontId="9" type="noConversion"/>
  </si>
  <si>
    <t>기술지원</t>
    <phoneticPr fontId="9" type="noConversion"/>
  </si>
  <si>
    <t>R450 설치 기술지원</t>
    <phoneticPr fontId="9" type="noConversion"/>
  </si>
  <si>
    <t>SM</t>
    <phoneticPr fontId="9" type="noConversion"/>
  </si>
  <si>
    <t>H250512-01</t>
    <phoneticPr fontId="9" type="noConversion"/>
  </si>
  <si>
    <t>Y250516-01</t>
  </si>
  <si>
    <t>Y250516-02</t>
  </si>
  <si>
    <t>4ZC7A08699</t>
  </si>
  <si>
    <t>ThinkSystem 16GB TruDDR4 2666MHz(2Rx8, 1.2V) UDIMM</t>
  </si>
  <si>
    <t xml:space="preserve">ThinkSystem SR650 V3 </t>
  </si>
  <si>
    <t>서버</t>
    <phoneticPr fontId="9" type="noConversion"/>
  </si>
  <si>
    <t>광명시청 UPIS서버</t>
    <phoneticPr fontId="9" type="noConversion"/>
  </si>
  <si>
    <t>완료(5/16)</t>
    <phoneticPr fontId="9" type="noConversion"/>
  </si>
  <si>
    <t>Y250516-04</t>
    <phoneticPr fontId="9" type="noConversion"/>
  </si>
  <si>
    <t>조립PC</t>
    <phoneticPr fontId="9" type="noConversion"/>
  </si>
  <si>
    <t>영동문구센타</t>
    <phoneticPr fontId="9" type="noConversion"/>
  </si>
  <si>
    <t>H250520-01</t>
    <phoneticPr fontId="9" type="noConversion"/>
  </si>
  <si>
    <t>00YK014</t>
    <phoneticPr fontId="9" type="noConversion"/>
  </si>
  <si>
    <t xml:space="preserve">ThinkSystem SFF 600GB 10K SAS 12G Hot Swap 512n </t>
    <phoneticPr fontId="9" type="noConversion"/>
  </si>
  <si>
    <t>완료(5/20)</t>
    <phoneticPr fontId="9" type="noConversion"/>
  </si>
  <si>
    <t>해군부대</t>
    <phoneticPr fontId="9" type="noConversion"/>
  </si>
  <si>
    <t>완료(5/22)</t>
    <phoneticPr fontId="9" type="noConversion"/>
  </si>
  <si>
    <t>Y250522-01</t>
    <phoneticPr fontId="9" type="noConversion"/>
  </si>
  <si>
    <t>QW972A(USED)</t>
  </si>
  <si>
    <t>HPE SN1000Q 16Gb 2-port PCIe Fibre Channel Host Bus Adapter</t>
  </si>
  <si>
    <t>FC Cable</t>
  </si>
  <si>
    <t>Om3 LC/LC Multi 5M</t>
  </si>
  <si>
    <t>컴퓨존(5/22) 42,270</t>
    <phoneticPr fontId="9" type="noConversion"/>
  </si>
  <si>
    <t>H250507-02</t>
  </si>
  <si>
    <t>00YK039</t>
  </si>
  <si>
    <t>티에스씨인포</t>
    <phoneticPr fontId="9" type="noConversion"/>
  </si>
  <si>
    <t>H250508-02</t>
  </si>
  <si>
    <t>H250513-01</t>
  </si>
  <si>
    <t>H250514-01</t>
  </si>
  <si>
    <t>872772-001</t>
  </si>
  <si>
    <t xml:space="preserve"> 4TB 7.2K 6G SATA 3.5inch SC DS Hard Drive</t>
  </si>
  <si>
    <t>529FG</t>
  </si>
  <si>
    <t>D250521-01</t>
    <phoneticPr fontId="9" type="noConversion"/>
  </si>
  <si>
    <t>컴퓨존(5/22) 2,543,655
조이젠(5/21) 405,636</t>
    <phoneticPr fontId="9" type="noConversion"/>
  </si>
  <si>
    <t>조립PC</t>
    <phoneticPr fontId="9" type="noConversion"/>
  </si>
  <si>
    <t>Y250523-01</t>
    <phoneticPr fontId="9" type="noConversion"/>
  </si>
  <si>
    <t>다담리테일</t>
    <phoneticPr fontId="9" type="noConversion"/>
  </si>
  <si>
    <t>서버</t>
    <phoneticPr fontId="9" type="noConversion"/>
  </si>
  <si>
    <t>완료(5/23)</t>
    <phoneticPr fontId="9" type="noConversion"/>
  </si>
  <si>
    <t>Dell 4-TB 6G 7.2K 3.5 SAS (ST4000NM0023) for R520</t>
    <phoneticPr fontId="9" type="noConversion"/>
  </si>
  <si>
    <t>S250526</t>
    <phoneticPr fontId="9" type="noConversion"/>
  </si>
  <si>
    <t>상품</t>
    <phoneticPr fontId="9" type="noConversion"/>
  </si>
  <si>
    <t>SAP AP HA 및 OS 구성 기술지원 LSITC</t>
  </si>
  <si>
    <t>EMC unity380 기술지원</t>
  </si>
  <si>
    <t>테아이인포(5/23) 400,000</t>
    <phoneticPr fontId="9" type="noConversion"/>
  </si>
  <si>
    <t>D250526-01</t>
  </si>
  <si>
    <t>Board[Used]</t>
  </si>
  <si>
    <t>Gigabyte Z390 UD</t>
  </si>
  <si>
    <t>네이버(5/26)법카</t>
    <phoneticPr fontId="9" type="noConversion"/>
  </si>
  <si>
    <t>완료(5/26)</t>
    <phoneticPr fontId="9" type="noConversion"/>
  </si>
  <si>
    <t>00Y5765</t>
  </si>
  <si>
    <t>IBM 1.2TB 10K SFF HDD</t>
  </si>
  <si>
    <t xml:space="preserve">제이에스정보(5/26) </t>
    <phoneticPr fontId="9" type="noConversion"/>
  </si>
  <si>
    <t>SB-25021</t>
  </si>
  <si>
    <t>ZNUFRU</t>
  </si>
  <si>
    <t>티시스</t>
    <phoneticPr fontId="9" type="noConversion"/>
  </si>
  <si>
    <t>심플키</t>
    <phoneticPr fontId="9" type="noConversion"/>
  </si>
  <si>
    <t>6월 유지정비료 - 1/12회</t>
    <phoneticPr fontId="9" type="noConversion"/>
  </si>
  <si>
    <t>6월 유지정비료 - 22/35회</t>
    <phoneticPr fontId="9" type="noConversion"/>
  </si>
  <si>
    <t>6월 유지정비료 - 14/36회</t>
    <phoneticPr fontId="9" type="noConversion"/>
  </si>
  <si>
    <t>6월 유지정비료 - 12/12회</t>
    <phoneticPr fontId="9" type="noConversion"/>
  </si>
  <si>
    <t>6월 유지정비료 - 8/12회</t>
    <phoneticPr fontId="9" type="noConversion"/>
  </si>
  <si>
    <r>
      <t>VPN 서비스 6월임대료 - 6/</t>
    </r>
    <r>
      <rPr>
        <sz val="9"/>
        <rFont val="맑은 고딕"/>
        <family val="3"/>
        <charset val="129"/>
        <scheme val="minor"/>
      </rPr>
      <t>12회 280,000</t>
    </r>
    <r>
      <rPr>
        <sz val="9"/>
        <color theme="1"/>
        <rFont val="맑은 고딕"/>
        <family val="3"/>
        <charset val="129"/>
        <scheme val="minor"/>
      </rPr>
      <t xml:space="preserve">
+ 보안스위치 6월 2대*120,000</t>
    </r>
    <phoneticPr fontId="9" type="noConversion"/>
  </si>
  <si>
    <t>VPN 서비스 6월임대료 - 6/12회</t>
    <phoneticPr fontId="9" type="noConversion"/>
  </si>
  <si>
    <t>6월 유지정비료 - 6/12회</t>
    <phoneticPr fontId="9" type="noConversion"/>
  </si>
  <si>
    <t>6월 유지정비료 - 5/12회</t>
    <phoneticPr fontId="9" type="noConversion"/>
  </si>
  <si>
    <t>6월 유지정비료 - 2/12회</t>
    <phoneticPr fontId="9" type="noConversion"/>
  </si>
  <si>
    <t>시스나인(25/3/4) 4,800,000 6/6회</t>
    <phoneticPr fontId="9" type="noConversion"/>
  </si>
  <si>
    <t>엘림넷(6/10) 145,500 (6/10) 77,600</t>
    <phoneticPr fontId="9" type="noConversion"/>
  </si>
  <si>
    <t>엘림넷(6/10) 213,400 (6/10) 155,200</t>
    <phoneticPr fontId="9" type="noConversion"/>
  </si>
  <si>
    <t>레노버(1/31) 171,600
IBM(1/1) 436,400
에스엔에이(1/15) 200,000
시스나인(25/3/4) 연간 6,000,000 8/12회</t>
    <phoneticPr fontId="9" type="noConversion"/>
  </si>
  <si>
    <t>레노버(2/28) 171,600
에스엔에이(2/15) 200,000
IBM(2/3) 436,400
시스나인(25/3/4) 연간 6,000,000 9/12회</t>
    <phoneticPr fontId="9" type="noConversion"/>
  </si>
  <si>
    <r>
      <t xml:space="preserve">레노버(3/31) 171,600
에스엔에이(3/15) 200,000
</t>
    </r>
    <r>
      <rPr>
        <sz val="9"/>
        <color rgb="FF9C0006"/>
        <rFont val="맑은 고딕"/>
        <family val="3"/>
        <charset val="129"/>
        <scheme val="minor"/>
      </rPr>
      <t>IBM(3/1) 436,400
시스나인(25/3/4) 연간 6,000,000 10/12회</t>
    </r>
    <phoneticPr fontId="9" type="noConversion"/>
  </si>
  <si>
    <r>
      <t xml:space="preserve">레노버(4/30) 171,600
에스엔에이(4/15) 200,000
</t>
    </r>
    <r>
      <rPr>
        <sz val="9"/>
        <color rgb="FF9C0006"/>
        <rFont val="맑은 고딕"/>
        <family val="3"/>
        <charset val="129"/>
        <scheme val="minor"/>
      </rPr>
      <t>IBM(4/1) 436,400
시스나인(25/3/4) 연간 6,000,000 11/12회</t>
    </r>
    <phoneticPr fontId="9" type="noConversion"/>
  </si>
  <si>
    <t>BOARD SYSTEM Maintenance 6월분 - 9/12회</t>
    <phoneticPr fontId="9" type="noConversion"/>
  </si>
  <si>
    <t>6월 임대료 - 3/24회</t>
    <phoneticPr fontId="9" type="noConversion"/>
  </si>
  <si>
    <t>6월 임대료 (5.13~6.12) - 5/24회</t>
    <phoneticPr fontId="9" type="noConversion"/>
  </si>
  <si>
    <t>5월 유지정비료 - 17/36회</t>
    <phoneticPr fontId="9" type="noConversion"/>
  </si>
  <si>
    <t>5월 유지정비료 - 17/24회</t>
    <phoneticPr fontId="9" type="noConversion"/>
  </si>
  <si>
    <t>6월 임대료(5.26~6.25) 8/12회</t>
    <phoneticPr fontId="9" type="noConversion"/>
  </si>
  <si>
    <t>서버임대 SR650 2식 - 21/36회</t>
    <phoneticPr fontId="9" type="noConversion"/>
  </si>
  <si>
    <t>6월 유지정비료 - 4/12회</t>
    <phoneticPr fontId="9" type="noConversion"/>
  </si>
  <si>
    <t>6월 유지정비료 - 3/12회</t>
    <phoneticPr fontId="9" type="noConversion"/>
  </si>
  <si>
    <t>6월 유지정비료 - 3/36회</t>
    <phoneticPr fontId="9" type="noConversion"/>
  </si>
  <si>
    <t>6월 유지정비료 - 10/12회</t>
    <phoneticPr fontId="9" type="noConversion"/>
  </si>
  <si>
    <t>6월 유지정비료 - 11/12회</t>
    <phoneticPr fontId="9" type="noConversion"/>
  </si>
  <si>
    <t>이메일 보안 및 호스팅 6월 - 11/12회</t>
    <phoneticPr fontId="9" type="noConversion"/>
  </si>
  <si>
    <t>6월 유지정비료 - 7/12회</t>
    <phoneticPr fontId="9" type="noConversion"/>
  </si>
  <si>
    <t>시스나인(4/25) 분기 1,500,000 (3/3회)</t>
    <phoneticPr fontId="9" type="noConversion"/>
  </si>
  <si>
    <t>분기 (25.4~25.6) 유지정비료 - 8/12회</t>
    <phoneticPr fontId="9" type="noConversion"/>
  </si>
  <si>
    <t>SM-25021</t>
  </si>
  <si>
    <t>SM-25023</t>
  </si>
  <si>
    <t>시스나인(1/2)연간 1,440,000(5/12회)</t>
    <phoneticPr fontId="9" type="noConversion"/>
  </si>
  <si>
    <t>HCN</t>
    <phoneticPr fontId="9" type="noConversion"/>
  </si>
  <si>
    <t>MacBook Pro 16인치 전원 어댑터 외</t>
  </si>
  <si>
    <t>H250527-01</t>
  </si>
  <si>
    <t>43W9720</t>
  </si>
  <si>
    <t>IBM 750GB 7.2K SATA II E-DDM HDD</t>
  </si>
  <si>
    <t>00YK024</t>
  </si>
  <si>
    <t xml:space="preserve">ThinkSystem 2.5in 2TB 7.2K SAS 12Gb Hot Swap </t>
  </si>
  <si>
    <t>티에스씨인포</t>
    <phoneticPr fontId="9" type="noConversion"/>
  </si>
  <si>
    <t>6월 임대료 - 12/12회</t>
    <phoneticPr fontId="9" type="noConversion"/>
  </si>
  <si>
    <t>6월 유지정비료 - 30/38회</t>
    <phoneticPr fontId="9" type="noConversion"/>
  </si>
  <si>
    <t>6월 유지정비료 - 27/36회</t>
    <phoneticPr fontId="9" type="noConversion"/>
  </si>
  <si>
    <t>삼표 DB세이퍼 유지보수 - 6월(11/12회)</t>
    <phoneticPr fontId="9" type="noConversion"/>
  </si>
  <si>
    <t>6월 유지정비료 - 28/46회</t>
    <phoneticPr fontId="9" type="noConversion"/>
  </si>
  <si>
    <t>6월 유지정비료 - 5/47회차</t>
    <phoneticPr fontId="9" type="noConversion"/>
  </si>
  <si>
    <t>6월 유지정비료 - 14/24회</t>
    <phoneticPr fontId="9" type="noConversion"/>
  </si>
  <si>
    <t>6월 유지정비료 - 14/32회</t>
    <phoneticPr fontId="9" type="noConversion"/>
  </si>
  <si>
    <t>6월 유지정비료 - 15/21회</t>
    <phoneticPr fontId="9" type="noConversion"/>
  </si>
  <si>
    <t>시스나인(1/2)연간 1,440,000(6/12회)</t>
    <phoneticPr fontId="9" type="noConversion"/>
  </si>
  <si>
    <t>6월 유지정비료 - 9/15회</t>
    <phoneticPr fontId="9" type="noConversion"/>
  </si>
  <si>
    <t xml:space="preserve">[HW] 6월 유지정비료 - 6/12회 </t>
    <phoneticPr fontId="9" type="noConversion"/>
  </si>
  <si>
    <t>(부품) 6월 유지정비료 - 6/12회</t>
    <phoneticPr fontId="9" type="noConversion"/>
  </si>
  <si>
    <t>Storwize V3700 원격 정기점검 - 4/10회</t>
    <phoneticPr fontId="9" type="noConversion"/>
  </si>
  <si>
    <t>한국항공 RPA부문 - Lenovo HX5520 유지보수(25.4~25.6) 유지정비료 - 10/11회</t>
    <phoneticPr fontId="9" type="noConversion"/>
  </si>
  <si>
    <t>2025년 e-HR서버 2분기 유지보수 2/4회</t>
    <phoneticPr fontId="9" type="noConversion"/>
  </si>
  <si>
    <t>2분기 유지정비료 - 2/4회</t>
    <phoneticPr fontId="9" type="noConversion"/>
  </si>
  <si>
    <t>완료(5/28)</t>
    <phoneticPr fontId="9" type="noConversion"/>
  </si>
  <si>
    <r>
      <t xml:space="preserve">시스나인(4/25) 반기 600,000 (3/6회)
</t>
    </r>
    <r>
      <rPr>
        <sz val="9"/>
        <color rgb="FF9C0006"/>
        <rFont val="맑은 고딕"/>
        <family val="3"/>
        <charset val="129"/>
        <scheme val="minor"/>
      </rPr>
      <t>DCSS(2/28) 20,600</t>
    </r>
    <phoneticPr fontId="9" type="noConversion"/>
  </si>
  <si>
    <r>
      <t xml:space="preserve">시스나인(4/25) 반기 600,000 (2/6회)
</t>
    </r>
    <r>
      <rPr>
        <sz val="9"/>
        <color rgb="FF9C0006"/>
        <rFont val="맑은 고딕"/>
        <family val="3"/>
        <charset val="129"/>
        <scheme val="minor"/>
      </rPr>
      <t>DCSS(1/31) 20,600</t>
    </r>
    <phoneticPr fontId="9" type="noConversion"/>
  </si>
  <si>
    <t>시스나인(4/25) 반기 600,000 (5/6회)
DCSS(4/30) 20,600</t>
    <phoneticPr fontId="9" type="noConversion"/>
  </si>
  <si>
    <r>
      <t xml:space="preserve">시스나인(4/25) 반기 600,000 (4/6회)
</t>
    </r>
    <r>
      <rPr>
        <sz val="9"/>
        <color rgb="FF9C0006"/>
        <rFont val="맑은 고딕"/>
        <family val="3"/>
        <charset val="129"/>
        <scheme val="minor"/>
      </rPr>
      <t>DCSS(3/31) 20,600</t>
    </r>
    <phoneticPr fontId="9" type="noConversion"/>
  </si>
  <si>
    <t>DCSS (5/31)</t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</si>
  <si>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시스나인(4/25) 연간 600,000 (6/6회)
DCSS(5/31) 20,600</t>
    </r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</si>
  <si>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IBM(5/2) 11,623,397
DCSS(5/31) 292,200
IBM APS(1/27) 연 7,859,914 (5/12회)
시스나인 (4/25) 분기8,000,000 (2/3회)
==총 15237,257 중 4,437,257</t>
    </r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</si>
  <si>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IBM(5/2) 11,623,397
DCSS(5/31) 292,200
IBM APS(1/27) 연 7,859,914 (5/12회)
시스나인 (4/25) 분기8,000,000 (2/3회)
==총 15237,257 중 10,800,000</t>
    </r>
    <phoneticPr fontId="9" type="noConversion"/>
  </si>
  <si>
    <t>임대료(25/5/8~6/7) - 2/12회</t>
    <phoneticPr fontId="9" type="noConversion"/>
  </si>
  <si>
    <t>임대료(25/6/8~7/7) - 3/12회</t>
    <phoneticPr fontId="9" type="noConversion"/>
  </si>
  <si>
    <t>완료(5/29)</t>
    <phoneticPr fontId="9" type="noConversion"/>
  </si>
  <si>
    <t>완료(5/30)</t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</si>
  <si>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IBM(5/2) 2,884,612
키미데이타(5/30) 연간 1,680,000 (1/12회)</t>
    </r>
    <phoneticPr fontId="9" type="noConversion"/>
  </si>
  <si>
    <t>레노버(5/31)</t>
    <phoneticPr fontId="9" type="noConversion"/>
  </si>
  <si>
    <r>
      <t xml:space="preserve">레노버(5/31) 4,875,031
</t>
    </r>
    <r>
      <rPr>
        <sz val="9"/>
        <color rgb="FF9C0006"/>
        <rFont val="맑은 고딕"/>
        <family val="3"/>
        <charset val="129"/>
        <scheme val="minor"/>
      </rPr>
      <t>시스나인(25/2/28) 10,560,000 (12/12회)</t>
    </r>
    <phoneticPr fontId="9" type="noConversion"/>
  </si>
  <si>
    <t>ZKGVNQ</t>
    <phoneticPr fontId="9" type="noConversion"/>
  </si>
  <si>
    <t>레노버(5/31)1,981,200
레노버(5/31) 655,500</t>
    <phoneticPr fontId="9" type="noConversion"/>
  </si>
  <si>
    <r>
      <t xml:space="preserve">레노버(5/31) 243,000
</t>
    </r>
    <r>
      <rPr>
        <sz val="9"/>
        <color rgb="FF9C0006"/>
        <rFont val="맑은 고딕"/>
        <family val="3"/>
        <charset val="129"/>
        <scheme val="minor"/>
      </rPr>
      <t>시스나인(2/28) 1,100,000(5/6회)</t>
    </r>
    <phoneticPr fontId="9" type="noConversion"/>
  </si>
  <si>
    <r>
      <t xml:space="preserve">레노버(5/31)
</t>
    </r>
    <r>
      <rPr>
        <sz val="9"/>
        <color rgb="FF9C0006"/>
        <rFont val="맑은 고딕"/>
        <family val="3"/>
        <charset val="129"/>
        <scheme val="minor"/>
      </rPr>
      <t>시스나인(25/3/4) 2,160,000(6/6회)</t>
    </r>
    <phoneticPr fontId="9" type="noConversion"/>
  </si>
  <si>
    <r>
      <t xml:space="preserve">레노버(5/31) 
</t>
    </r>
    <r>
      <rPr>
        <sz val="9"/>
        <color rgb="FF9C0006"/>
        <rFont val="맑은 고딕"/>
        <family val="3"/>
        <charset val="129"/>
        <scheme val="minor"/>
      </rPr>
      <t>시스나인(1/2) 연500,000(5/12회)</t>
    </r>
    <phoneticPr fontId="9" type="noConversion"/>
  </si>
  <si>
    <r>
      <t xml:space="preserve">티에스씨인포 (5/30) 300,000
</t>
    </r>
    <r>
      <rPr>
        <sz val="9"/>
        <color rgb="FF9C0006"/>
        <rFont val="맑은 고딕"/>
        <family val="3"/>
        <charset val="129"/>
        <scheme val="minor"/>
      </rPr>
      <t>아이비엠(5/12) 291,532</t>
    </r>
    <phoneticPr fontId="9" type="noConversion"/>
  </si>
  <si>
    <t>현성솔루션(5/30) 840,000</t>
    <phoneticPr fontId="9" type="noConversion"/>
  </si>
  <si>
    <t>현성솔루션(5/30) 595,000</t>
    <phoneticPr fontId="9" type="noConversion"/>
  </si>
  <si>
    <t>에오스(5/30) 13,270,000</t>
    <phoneticPr fontId="9" type="noConversion"/>
  </si>
  <si>
    <r>
      <t>레노버 1,706,400 (4/30</t>
    </r>
    <r>
      <rPr>
        <sz val="9"/>
        <color rgb="FF9C0006"/>
        <rFont val="맑은 고딕"/>
        <family val="3"/>
        <charset val="129"/>
        <scheme val="minor"/>
      </rPr>
      <t>)(5/31)
시스나인(7/1) 연간 1,000,000 (11~12/12회)</t>
    </r>
    <phoneticPr fontId="9" type="noConversion"/>
  </si>
  <si>
    <t>완료(6/2)</t>
    <phoneticPr fontId="9" type="noConversion"/>
  </si>
  <si>
    <t>완료(6/2)</t>
    <phoneticPr fontId="9" type="noConversion"/>
  </si>
  <si>
    <t>완료(6/4)</t>
    <phoneticPr fontId="9" type="noConversion"/>
  </si>
  <si>
    <t>S</t>
    <phoneticPr fontId="9" type="noConversion"/>
  </si>
  <si>
    <t>평택</t>
    <phoneticPr fontId="9" type="noConversion"/>
  </si>
  <si>
    <t>상품</t>
    <phoneticPr fontId="9" type="noConversion"/>
  </si>
  <si>
    <t>기술지원</t>
    <phoneticPr fontId="9" type="noConversion"/>
  </si>
  <si>
    <t xml:space="preserve">AhnLab V3 EPP OS 업그레이드 작업 </t>
    <phoneticPr fontId="9" type="noConversion"/>
  </si>
  <si>
    <t>어보브반도체</t>
    <phoneticPr fontId="9" type="noConversion"/>
  </si>
  <si>
    <t>월간-레노버</t>
    <phoneticPr fontId="9" type="noConversion"/>
  </si>
  <si>
    <t>연간유지정비료(25.06.19~26.06.18)</t>
    <phoneticPr fontId="9" type="noConversion"/>
  </si>
  <si>
    <t>Y250528-01</t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</si>
  <si>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IBM 309,047 (4/1)(5/1)(6/2)</t>
    </r>
    <phoneticPr fontId="9" type="noConversion"/>
  </si>
  <si>
    <t>씨플랫폼(5/30)</t>
    <phoneticPr fontId="9" type="noConversion"/>
  </si>
  <si>
    <t>알앤에스(5/27) 495만원 중</t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</si>
  <si>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프라테르(5/30) 672,000
트리거(5/31) 700,000
현성솔루션(5/30) 100,000
유니와이드(5/30) 290,000
시스나인(25/3/4) 반기 6,000,000 (5/6회)</t>
    </r>
    <phoneticPr fontId="9" type="noConversion"/>
  </si>
  <si>
    <t>IBM(6/2) 1,123,962 (6/2) 259,896</t>
    <phoneticPr fontId="9" type="noConversion"/>
  </si>
  <si>
    <t>완료(6/6)</t>
    <phoneticPr fontId="9" type="noConversion"/>
  </si>
  <si>
    <t>완료(6/5)</t>
    <phoneticPr fontId="9" type="noConversion"/>
  </si>
  <si>
    <t>H250528-01</t>
    <phoneticPr fontId="9" type="noConversion"/>
  </si>
  <si>
    <t>완료(6/9)</t>
    <phoneticPr fontId="9" type="noConversion"/>
  </si>
  <si>
    <t>MA</t>
    <phoneticPr fontId="9" type="noConversion"/>
  </si>
  <si>
    <t>한림성심대학교</t>
    <phoneticPr fontId="9" type="noConversion"/>
  </si>
  <si>
    <t>SW연간유지정비료 (25.03.01~26.02.28)</t>
    <phoneticPr fontId="9" type="noConversion"/>
  </si>
  <si>
    <t>HW 3~5월 유지정비료 1~3/12회</t>
    <phoneticPr fontId="9" type="noConversion"/>
  </si>
  <si>
    <t>월간-레노버</t>
    <phoneticPr fontId="9" type="noConversion"/>
  </si>
  <si>
    <t>MAPAC</t>
    <phoneticPr fontId="9" type="noConversion"/>
  </si>
  <si>
    <t>연간-레노버</t>
    <phoneticPr fontId="9" type="noConversion"/>
  </si>
  <si>
    <t>완료(6/10)</t>
    <phoneticPr fontId="9" type="noConversion"/>
  </si>
  <si>
    <t>D250610-02</t>
    <phoneticPr fontId="9" type="noConversion"/>
  </si>
  <si>
    <t>법률DB 개발서버임대(2025.05.30~2025.06.30)</t>
    <phoneticPr fontId="9" type="noConversion"/>
  </si>
  <si>
    <t>Lenovo 00yk039 2tb 7.2k Rpm Sata 6gbps 512n 3.5-inch Internal Hot-swap Hard Disk Drive</t>
    <phoneticPr fontId="9" type="noConversion"/>
  </si>
  <si>
    <t>예금보험공사</t>
    <phoneticPr fontId="9" type="noConversion"/>
  </si>
  <si>
    <t>완료(6/11)</t>
    <phoneticPr fontId="9" type="noConversion"/>
  </si>
  <si>
    <t>Y250610-01</t>
  </si>
  <si>
    <t>Y250610-02</t>
  </si>
  <si>
    <t>Rocky Linux 설치지원 / 서버12대</t>
  </si>
  <si>
    <t>HP StorageWorks 8/24 San Switch</t>
  </si>
  <si>
    <t>기술지원</t>
    <phoneticPr fontId="9" type="noConversion"/>
  </si>
  <si>
    <t>스위치</t>
    <phoneticPr fontId="9" type="noConversion"/>
  </si>
  <si>
    <t>SM</t>
    <phoneticPr fontId="9" type="noConversion"/>
  </si>
  <si>
    <t>재고</t>
    <phoneticPr fontId="9" type="noConversion"/>
  </si>
  <si>
    <t>H250528-03</t>
  </si>
  <si>
    <t>H250609-01</t>
  </si>
  <si>
    <t>H250609-02</t>
  </si>
  <si>
    <t>622217-001</t>
  </si>
  <si>
    <t>SYSTEM BOARD for DL380PG8</t>
  </si>
  <si>
    <t>870792-001</t>
  </si>
  <si>
    <t>HP 300GB SAS 12G 15K SFF HDD for G8-G10</t>
  </si>
  <si>
    <t>우리에스아이티</t>
    <phoneticPr fontId="9" type="noConversion"/>
  </si>
  <si>
    <t>D250610-01</t>
    <phoneticPr fontId="9" type="noConversion"/>
  </si>
  <si>
    <t>NC360T</t>
  </si>
  <si>
    <t>PCI Dual Port 1Gbps Server Adapter</t>
  </si>
  <si>
    <t>SB-25026</t>
  </si>
  <si>
    <t>ZUZMVP</t>
  </si>
  <si>
    <t>HW 6월 유지정비료 4/12회</t>
    <phoneticPr fontId="9" type="noConversion"/>
  </si>
  <si>
    <t>Y250612-01</t>
    <phoneticPr fontId="9" type="noConversion"/>
  </si>
  <si>
    <t>서버</t>
    <phoneticPr fontId="9" type="noConversion"/>
  </si>
  <si>
    <t>Lenovo ThinkSystem SR250v3</t>
    <phoneticPr fontId="9" type="noConversion"/>
  </si>
  <si>
    <t>경북소방본부</t>
    <phoneticPr fontId="9" type="noConversion"/>
  </si>
  <si>
    <t>케이엠디엠</t>
    <phoneticPr fontId="9" type="noConversion"/>
  </si>
  <si>
    <t>연간유지정비료(25.06.01~26.05.31)</t>
    <phoneticPr fontId="9" type="noConversion"/>
  </si>
  <si>
    <t>SM-25025</t>
    <phoneticPr fontId="9" type="noConversion"/>
  </si>
  <si>
    <t>상품</t>
    <phoneticPr fontId="9" type="noConversion"/>
  </si>
  <si>
    <t>HDD</t>
  </si>
  <si>
    <t>HP 73GB SCSI HS HDD</t>
  </si>
  <si>
    <t>H250612</t>
  </si>
  <si>
    <t>RWR8F</t>
  </si>
  <si>
    <t>DELL 2.4TB SFF SAS 10K 12G HDD For G14,15 (USED)</t>
  </si>
  <si>
    <t>Windows Server 2025 Standard COEM -16core</t>
  </si>
  <si>
    <t>CAL</t>
  </si>
  <si>
    <t>Windows Server 2025 5USER CAL</t>
  </si>
  <si>
    <t>MRYN3KH/A</t>
  </si>
  <si>
    <t>2024 맥북에어 15 M3 (8C CPU 10C GPU)/8GB/512GB 스페이스 그레이</t>
  </si>
  <si>
    <t>H250612-02</t>
  </si>
  <si>
    <t>H250612-03</t>
  </si>
  <si>
    <t>H250612-04</t>
  </si>
  <si>
    <t>IBM 300GB 15K RPM 2.5" SAS 6Gbps SFF HDD</t>
  </si>
  <si>
    <t>엠씨앤파트너</t>
    <phoneticPr fontId="9" type="noConversion"/>
  </si>
  <si>
    <t>HDD</t>
    <phoneticPr fontId="9" type="noConversion"/>
  </si>
  <si>
    <t>Y250613-01</t>
    <phoneticPr fontId="9" type="noConversion"/>
  </si>
  <si>
    <t>H250613-01</t>
    <phoneticPr fontId="9" type="noConversion"/>
  </si>
  <si>
    <t>403781-001</t>
  </si>
  <si>
    <t xml:space="preserve">DL380G5 1000W POWER SUPPLY </t>
  </si>
  <si>
    <t>완료(6/13)</t>
    <phoneticPr fontId="9" type="noConversion"/>
  </si>
  <si>
    <r>
      <t xml:space="preserve">레노버(5/31)511,500 
</t>
    </r>
    <r>
      <rPr>
        <sz val="9"/>
        <color rgb="FF9C0006"/>
        <rFont val="맑은 고딕"/>
        <family val="3"/>
        <charset val="129"/>
        <scheme val="minor"/>
      </rPr>
      <t>시스나인(4/25) 연간3,400,000(5/12회)</t>
    </r>
    <phoneticPr fontId="9" type="noConversion"/>
  </si>
  <si>
    <t>Y250616-01</t>
    <phoneticPr fontId="9" type="noConversion"/>
  </si>
  <si>
    <t>Red Plus WD120EFBX - 68B0EN0</t>
  </si>
  <si>
    <t>Y250616-02</t>
    <phoneticPr fontId="9" type="noConversion"/>
  </si>
  <si>
    <t>아남항공</t>
    <phoneticPr fontId="9" type="noConversion"/>
  </si>
  <si>
    <t>ThinkSystem SR250 V3</t>
    <phoneticPr fontId="9" type="noConversion"/>
  </si>
  <si>
    <t>다보스병원</t>
    <phoneticPr fontId="9" type="noConversion"/>
  </si>
  <si>
    <t>서울중구청</t>
    <phoneticPr fontId="9" type="noConversion"/>
  </si>
  <si>
    <t>소모품</t>
    <phoneticPr fontId="9" type="noConversion"/>
  </si>
  <si>
    <t>완료(6/16)</t>
    <phoneticPr fontId="9" type="noConversion"/>
  </si>
  <si>
    <t>완료(6/17)</t>
    <phoneticPr fontId="9" type="noConversion"/>
  </si>
  <si>
    <t>오상자이엘</t>
    <phoneticPr fontId="9" type="noConversion"/>
  </si>
  <si>
    <t>상품</t>
    <phoneticPr fontId="9" type="noConversion"/>
  </si>
  <si>
    <t>기술지원</t>
    <phoneticPr fontId="9" type="noConversion"/>
  </si>
  <si>
    <t>V3700 기술지원</t>
    <phoneticPr fontId="9" type="noConversion"/>
  </si>
  <si>
    <t>H250618-01</t>
    <phoneticPr fontId="9" type="noConversion"/>
  </si>
  <si>
    <t>기술지원</t>
    <phoneticPr fontId="9" type="noConversion"/>
  </si>
  <si>
    <t>서비스기술지원</t>
    <phoneticPr fontId="9" type="noConversion"/>
  </si>
  <si>
    <t>H250618</t>
    <phoneticPr fontId="9" type="noConversion"/>
  </si>
  <si>
    <t>DB2 WAS 성능진단 기술지원
202502.17~06.16</t>
    <phoneticPr fontId="9" type="noConversion"/>
  </si>
  <si>
    <t>완료(6/19)</t>
    <phoneticPr fontId="9" type="noConversion"/>
  </si>
  <si>
    <t>Y250620-01</t>
    <phoneticPr fontId="9" type="noConversion"/>
  </si>
  <si>
    <t>완료(6/20)</t>
    <phoneticPr fontId="9" type="noConversion"/>
  </si>
  <si>
    <t>D250619-01</t>
    <phoneticPr fontId="9" type="noConversion"/>
  </si>
  <si>
    <t>832514-B21</t>
  </si>
  <si>
    <t>HPE 1TB 7.2K SFF SC HDD</t>
  </si>
  <si>
    <t>6월 유지정비료 - 3/29회</t>
    <phoneticPr fontId="9" type="noConversion"/>
  </si>
  <si>
    <t>완료(6/23)</t>
    <phoneticPr fontId="9" type="noConversion"/>
  </si>
  <si>
    <t>완료(6/24)</t>
    <phoneticPr fontId="9" type="noConversion"/>
  </si>
  <si>
    <t>H250618-02</t>
  </si>
  <si>
    <t>H250619-01</t>
  </si>
  <si>
    <t>H250620-01</t>
  </si>
  <si>
    <t>H250623-02</t>
  </si>
  <si>
    <t>H250623-03</t>
  </si>
  <si>
    <t>H250623-04</t>
  </si>
  <si>
    <t>H250623-05</t>
  </si>
  <si>
    <t>00W2671</t>
  </si>
  <si>
    <t xml:space="preserve">System Board for X3650M4 </t>
  </si>
  <si>
    <t>00E0806</t>
  </si>
  <si>
    <t>8Gb 2Port PCI-E 4X Fiber Channel Adapter(Emulex)</t>
  </si>
  <si>
    <t>OS 설치 엔지니어 지원</t>
  </si>
  <si>
    <t>SATA 1TB 6GB 7.2K 3.5인치 for R530</t>
  </si>
  <si>
    <t>IBM 146GB 6Gb/s SAS</t>
  </si>
  <si>
    <t>90Y8573</t>
  </si>
  <si>
    <t>IBM 2TB 6Gb/s SAS</t>
  </si>
  <si>
    <t>81Y9691</t>
  </si>
  <si>
    <t>IBM 1TB 6Gb/s SAS</t>
  </si>
  <si>
    <t>42D0708</t>
  </si>
  <si>
    <t>IBM 500GB 6Gb/s SAS</t>
  </si>
  <si>
    <t>인피니테크</t>
  </si>
  <si>
    <t>H250625-02</t>
  </si>
  <si>
    <t>H250625-03</t>
    <phoneticPr fontId="9" type="noConversion"/>
  </si>
  <si>
    <t>CABLE</t>
  </si>
  <si>
    <t>CAT.6 UTP LAN CABLE 5M 그레이</t>
  </si>
  <si>
    <t>CAT.6 UTP LAN CABLE 15M 그레이</t>
  </si>
  <si>
    <t>LC-LC / OM1 / 1G / 15M</t>
  </si>
  <si>
    <t>컴퓨존(6/24) 82,982</t>
    <phoneticPr fontId="9" type="noConversion"/>
  </si>
  <si>
    <t>D250624-01</t>
    <phoneticPr fontId="9" type="noConversion"/>
  </si>
  <si>
    <t>NVIDIA</t>
  </si>
  <si>
    <t>RTX 4000 Ada Generation 20GB</t>
  </si>
  <si>
    <t>Y250618-01</t>
    <phoneticPr fontId="9" type="noConversion"/>
  </si>
  <si>
    <t>HCN</t>
    <phoneticPr fontId="9" type="noConversion"/>
  </si>
  <si>
    <t>X3550M4 System Board</t>
    <phoneticPr fontId="9" type="noConversion"/>
  </si>
  <si>
    <t>Board</t>
    <phoneticPr fontId="9" type="noConversion"/>
  </si>
  <si>
    <t>H250610-01</t>
    <phoneticPr fontId="9" type="noConversion"/>
  </si>
  <si>
    <t>H250612-01</t>
    <phoneticPr fontId="9" type="noConversion"/>
  </si>
  <si>
    <t>H250623-01</t>
    <phoneticPr fontId="9" type="noConversion"/>
  </si>
  <si>
    <t>H250625-01</t>
    <phoneticPr fontId="9" type="noConversion"/>
  </si>
  <si>
    <t>센텀시티</t>
    <phoneticPr fontId="9" type="noConversion"/>
  </si>
  <si>
    <t>서버메이트디지털(6/20)</t>
    <phoneticPr fontId="9" type="noConversion"/>
  </si>
  <si>
    <t>완료(6/26)</t>
    <phoneticPr fontId="9" type="noConversion"/>
  </si>
  <si>
    <t>완료(6/25)</t>
    <phoneticPr fontId="9" type="noConversion"/>
  </si>
  <si>
    <t>H250612-05</t>
    <phoneticPr fontId="9" type="noConversion"/>
  </si>
  <si>
    <t>RAID</t>
  </si>
  <si>
    <t>Dell R750 PERC H755 12Gb/s PCI-E 4.0 X8 SAS Front Mounting Raid Controller with 8GB NV Cache</t>
  </si>
  <si>
    <t>월간-DCSS</t>
    <phoneticPr fontId="9" type="noConversion"/>
  </si>
  <si>
    <t>HW 6월 유지정비료 - 4/12회</t>
    <phoneticPr fontId="9" type="noConversion"/>
  </si>
  <si>
    <t>ThinkSystem SR630 V2  3대외</t>
    <phoneticPr fontId="9" type="noConversion"/>
  </si>
  <si>
    <t>완료(6/27)</t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</si>
  <si>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신세계(2/18) 600,000
지엘정보(6/27) 반기 1,250,000(1/6회)
시스나인(1/2) 1,750,000(2/7회)</t>
    </r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</si>
  <si>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신세계(3/11) 600,000
지엘정보(6/27) 반기 1,250,000(2/6회)
시스나인(1/2) 1,750,000(3/7회)</t>
    </r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</si>
  <si>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신세계(4/21) 600,000
지엘정보(6/27) 반기 1,250,000(3/6회)
시스나인(1/2) 1,750,000(4/7회)</t>
    </r>
    <phoneticPr fontId="9" type="noConversion"/>
  </si>
  <si>
    <t>이비웨이브(5/13)</t>
    <phoneticPr fontId="9" type="noConversion"/>
  </si>
  <si>
    <t>이비웨이브(5/14)</t>
    <phoneticPr fontId="9" type="noConversion"/>
  </si>
  <si>
    <t>이비웨이브(5/7)220,000 이비웨이브(5/8) 260,000
이비웨이브(5/21) 170,000</t>
    <phoneticPr fontId="9" type="noConversion"/>
  </si>
  <si>
    <t>ZUZMVP</t>
    <phoneticPr fontId="9" type="noConversion"/>
  </si>
  <si>
    <t>레노버(6/10) 390,300*3</t>
    <phoneticPr fontId="9" type="noConversion"/>
  </si>
  <si>
    <t>TAHXA0197</t>
    <phoneticPr fontId="9" type="noConversion"/>
  </si>
  <si>
    <t>레노버(6/10)</t>
    <phoneticPr fontId="9" type="noConversion"/>
  </si>
  <si>
    <r>
      <t xml:space="preserve">IBM(6/2) 316,682
</t>
    </r>
    <r>
      <rPr>
        <sz val="9"/>
        <color rgb="FF9C0006"/>
        <rFont val="맑은 고딕"/>
        <family val="3"/>
        <charset val="129"/>
        <scheme val="minor"/>
      </rPr>
      <t>시스나인(1/2) 연간 1,200,000(6/12회)</t>
    </r>
    <phoneticPr fontId="9" type="noConversion"/>
  </si>
  <si>
    <t>IBM(6/2)</t>
    <phoneticPr fontId="9" type="noConversion"/>
  </si>
  <si>
    <t>이올테크(6/20)</t>
    <phoneticPr fontId="9" type="noConversion"/>
  </si>
  <si>
    <t xml:space="preserve">제이에스정보(6/25) </t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</si>
  <si>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IBM(6/2) 2,884,612
키미데이타(5/30) 연간 1,680,000 (2/12회)</t>
    </r>
    <phoneticPr fontId="9" type="noConversion"/>
  </si>
  <si>
    <t>알앤에스(6/25) 495만원 중</t>
    <phoneticPr fontId="9" type="noConversion"/>
  </si>
  <si>
    <t>SL-25010</t>
  </si>
  <si>
    <t xml:space="preserve"> ZOGVD9</t>
  </si>
  <si>
    <t>SB-25025</t>
    <phoneticPr fontId="9" type="noConversion"/>
  </si>
  <si>
    <t>D250626-01</t>
    <phoneticPr fontId="9" type="noConversion"/>
  </si>
  <si>
    <t>컴퓨존(6/26)</t>
    <phoneticPr fontId="9" type="noConversion"/>
  </si>
  <si>
    <t>완료(6/30)</t>
    <phoneticPr fontId="9" type="noConversion"/>
  </si>
  <si>
    <t>디에이치라이팅 2공장</t>
  </si>
  <si>
    <t>H250626-01</t>
    <phoneticPr fontId="9" type="noConversion"/>
  </si>
  <si>
    <t>01DE973</t>
  </si>
  <si>
    <t>ThinkSystem 16GB TruDDR4 DDR4-2666MHzz (2Rx8 1.2V) RDIMM</t>
  </si>
  <si>
    <t>H250625-04</t>
    <phoneticPr fontId="9" type="noConversion"/>
  </si>
  <si>
    <t>00YK012</t>
  </si>
  <si>
    <t>900GB 15K 12G SAS 2.5inch Hard Drive</t>
  </si>
  <si>
    <t>서버</t>
    <phoneticPr fontId="9" type="noConversion"/>
  </si>
  <si>
    <t>NIPA SaaS전환과제를 위한 서버 및 스토리지 렌탈 
(6월~12월)</t>
    <phoneticPr fontId="9" type="noConversion"/>
  </si>
  <si>
    <t>DCSS(4/30)(5/31)(6/30) 월66,000</t>
    <phoneticPr fontId="9" type="noConversion"/>
  </si>
  <si>
    <t>DCSS(6/30)</t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</si>
  <si>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IBM(6/2) 11,623,397
DCSS(6/30) 292,200
IBM APS(1/27) 연 7,859,914 (6/12회)
시스나인 (4/25) 분기8,000,000 (3/3회)
==총 15237,257 중 4,437,257</t>
    </r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</si>
  <si>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IBM(6/2) 11,623,397
DCSS(6/30) 292,200
IBM APS(1/27) 연 7,859,914 (6/12회)
시스나인 (4/25) 분기8,000,000 (3/3회)
==총 15237,257 중 10,800,000</t>
    </r>
    <phoneticPr fontId="9" type="noConversion"/>
  </si>
  <si>
    <t>DCSS (6/30)</t>
    <phoneticPr fontId="9" type="noConversion"/>
  </si>
  <si>
    <t>DCSS(6/30~) 월 14,000</t>
    <phoneticPr fontId="9" type="noConversion"/>
  </si>
  <si>
    <t>티에스씨인포 (6/30) 300,000
IBM(6/2) 451,875</t>
    <phoneticPr fontId="9" type="noConversion"/>
  </si>
  <si>
    <t>현성솔루션(6/30) 840,000</t>
    <phoneticPr fontId="9" type="noConversion"/>
  </si>
  <si>
    <t>현성솔루션(6/30) 595,000</t>
    <phoneticPr fontId="9" type="noConversion"/>
  </si>
  <si>
    <r>
      <t xml:space="preserve">신세계(6/30) 600,000
</t>
    </r>
    <r>
      <rPr>
        <sz val="9"/>
        <color rgb="FF9C0006"/>
        <rFont val="맑은 고딕"/>
        <family val="3"/>
        <charset val="129"/>
        <scheme val="minor"/>
      </rPr>
      <t>지엘정보(6/27) 반기 1,250,000(5/6회)
시스나인(1/2) 1,750,000(6/7회)</t>
    </r>
    <phoneticPr fontId="9" type="noConversion"/>
  </si>
  <si>
    <t>에스엔에이(6/10)</t>
    <phoneticPr fontId="9" type="noConversion"/>
  </si>
  <si>
    <t>컴퓨존(6/12) 1,562,727</t>
    <phoneticPr fontId="9" type="noConversion"/>
  </si>
  <si>
    <t>레노버(6/30)</t>
    <phoneticPr fontId="9" type="noConversion"/>
  </si>
  <si>
    <t xml:space="preserve">레노버 (6/30) 1,086,600 </t>
    <phoneticPr fontId="9" type="noConversion"/>
  </si>
  <si>
    <t>레노버(6/30)1,981,200
레노버(6/30) 655,500</t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</si>
  <si>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프라테르(6/30) 672,000
트리거(6/30) 700,000
현성솔루션(6/30) 100,000
유니와이드(6/30) 290,000
시스나인(25/3/4) 반기 6,000,000 (6/6회)</t>
    </r>
    <phoneticPr fontId="9" type="noConversion"/>
  </si>
  <si>
    <r>
      <t xml:space="preserve">레노버(6/30) 243,000
</t>
    </r>
    <r>
      <rPr>
        <sz val="9"/>
        <color rgb="FF9C0006"/>
        <rFont val="맑은 고딕"/>
        <family val="3"/>
        <charset val="129"/>
        <scheme val="minor"/>
      </rPr>
      <t>시스나인(2/28) 1,100,000(6/6회)</t>
    </r>
    <phoneticPr fontId="9" type="noConversion"/>
  </si>
  <si>
    <r>
      <t xml:space="preserve">레노버(6/30) 8,742,600
</t>
    </r>
    <r>
      <rPr>
        <sz val="9"/>
        <color rgb="FF9C0006"/>
        <rFont val="맑은 고딕"/>
        <family val="3"/>
        <charset val="129"/>
        <scheme val="minor"/>
      </rPr>
      <t>시스나인(1/2) 2,400,000 (2/2회)</t>
    </r>
    <phoneticPr fontId="9" type="noConversion"/>
  </si>
  <si>
    <t>레노버 월 10,869,600 (4/30)(5/31)(6/30)</t>
    <phoneticPr fontId="9" type="noConversion"/>
  </si>
  <si>
    <t>완료(7/1)</t>
    <phoneticPr fontId="9" type="noConversion"/>
  </si>
  <si>
    <t>완료(7/1)</t>
    <phoneticPr fontId="9" type="noConversion"/>
  </si>
  <si>
    <t>에이제이아이씨티</t>
  </si>
  <si>
    <t>에이제이아이씨티</t>
    <phoneticPr fontId="9" type="noConversion"/>
  </si>
  <si>
    <t>MA</t>
    <phoneticPr fontId="9" type="noConversion"/>
  </si>
  <si>
    <t>6월 유지정비료 -1/19회</t>
    <phoneticPr fontId="9" type="noConversion"/>
  </si>
  <si>
    <t>SK UPP(울산시 남항)</t>
    <phoneticPr fontId="9" type="noConversion"/>
  </si>
  <si>
    <t>재고, 우림퀵(6/30) 12,000</t>
    <phoneticPr fontId="9" type="noConversion"/>
  </si>
  <si>
    <t>컴퓨존(6/16) 우림퀵(6/30) 21,000</t>
    <phoneticPr fontId="9" type="noConversion"/>
  </si>
  <si>
    <t>네이버(6/19법카) 우림퀵(6/30) 12,000</t>
    <phoneticPr fontId="9" type="noConversion"/>
  </si>
  <si>
    <t>컴퓨존(6/20) 우림퀵(6/30) 15,000</t>
    <phoneticPr fontId="9" type="noConversion"/>
  </si>
  <si>
    <t>컴퓨존(6/23) 17,981 우림퀵(6/30) 45,000</t>
    <phoneticPr fontId="9" type="noConversion"/>
  </si>
  <si>
    <t>시스나인(25/3/4) 4,800,000 5/6회
재고 146G*2개 
우림퀵(5/31) 13,000</t>
    <phoneticPr fontId="9" type="noConversion"/>
  </si>
  <si>
    <t>이비웨이브(4/29) 우림퀵(5/31)18,000</t>
    <phoneticPr fontId="9" type="noConversion"/>
  </si>
  <si>
    <t>컴퓨존(4/28) 2,875,364
조이젠(4/28) 1,364,973
리더스시스템즈(4/28) 6,099,000
우림퀵(5/31) 65,000</t>
    <phoneticPr fontId="9" type="noConversion"/>
  </si>
  <si>
    <t>삼표매입 우림퀵(5/31) 12,000</t>
    <phoneticPr fontId="9" type="noConversion"/>
  </si>
  <si>
    <t>이룸에스앤앤(3/24) 우림퀵(5/31)20,000</t>
    <phoneticPr fontId="9" type="noConversion"/>
  </si>
  <si>
    <t>리더스시스템즈(6/25) 로젠택배(6/30) 3,800</t>
    <phoneticPr fontId="9" type="noConversion"/>
  </si>
  <si>
    <t>애플스토어(5/26법카) 로젠택배(5/31) 3,800</t>
    <phoneticPr fontId="9" type="noConversion"/>
  </si>
  <si>
    <t>이비웨이브(5/22) 3*180,000 로젠택배(5/31) 3,800</t>
    <phoneticPr fontId="9" type="noConversion"/>
  </si>
  <si>
    <t>위퍼스트(6/13) 6*240,000 로젠택배(5/31) 3,800</t>
    <phoneticPr fontId="9" type="noConversion"/>
  </si>
  <si>
    <t>위퍼스트(5/15) 8*120,000
우림퀵(5/31) 30,000 로젠택배(5/31) 3,800</t>
    <phoneticPr fontId="9" type="noConversion"/>
  </si>
  <si>
    <t>이비웨이브(4/23) 로젠택배(4/30) 3,800</t>
    <phoneticPr fontId="9" type="noConversion"/>
  </si>
  <si>
    <t>스토리지케이투(4/22) 로젠택배(4/30) 3,800</t>
    <phoneticPr fontId="9" type="noConversion"/>
  </si>
  <si>
    <t>이비웨이브(4/16) 로젠택배(4/30) 6,000</t>
    <phoneticPr fontId="9" type="noConversion"/>
  </si>
  <si>
    <r>
      <t>네이버(4/14) 582.727 네이버(4/14) 9,545</t>
    </r>
    <r>
      <rPr>
        <sz val="9"/>
        <color rgb="FF9C0006"/>
        <rFont val="맑은 고딕"/>
        <family val="2"/>
        <charset val="129"/>
        <scheme val="minor"/>
      </rPr>
      <t xml:space="preserve"> 
로젠택배(4/30) 3,800</t>
    </r>
    <phoneticPr fontId="9" type="noConversion"/>
  </si>
  <si>
    <t>컴퓨존(4/2) 1,611,000 네이버
(4/7법카)704,545 로젠택배(4/30) 3,800</t>
    <phoneticPr fontId="9" type="noConversion"/>
  </si>
  <si>
    <t>DCSS(2/28) 로젠택배(2/28) 3,800</t>
    <phoneticPr fontId="9" type="noConversion"/>
  </si>
  <si>
    <t>컴퓨존(2/27) 로젠택배(3/31) 3,800</t>
    <phoneticPr fontId="9" type="noConversion"/>
  </si>
  <si>
    <t>컴퓨존(3/21) 로젠택배(3/31) 3,800</t>
    <phoneticPr fontId="9" type="noConversion"/>
  </si>
  <si>
    <t>이룸에스앤앤(3/24) 로젠택배(3/31)3,800</t>
    <phoneticPr fontId="9" type="noConversion"/>
  </si>
  <si>
    <r>
      <t>이비웨이브(3/1) 로젠택배</t>
    </r>
    <r>
      <rPr>
        <sz val="9"/>
        <color rgb="FF9C0006"/>
        <rFont val="맑은 고딕"/>
        <family val="3"/>
        <charset val="129"/>
        <scheme val="minor"/>
      </rPr>
      <t>(2/28) 3,800</t>
    </r>
    <phoneticPr fontId="9" type="noConversion"/>
  </si>
  <si>
    <t>재고 로젠택배(2/28)3,800</t>
    <phoneticPr fontId="9" type="noConversion"/>
  </si>
  <si>
    <t>완료(7/2)</t>
    <phoneticPr fontId="9" type="noConversion"/>
  </si>
  <si>
    <t>완료(7/3)</t>
    <phoneticPr fontId="9" type="noConversion"/>
  </si>
  <si>
    <t>완료(7/4)</t>
    <phoneticPr fontId="9" type="noConversion"/>
  </si>
  <si>
    <t>이비웨이브(6/9)</t>
    <phoneticPr fontId="9" type="noConversion"/>
  </si>
  <si>
    <t>이비웨이브(5/28)</t>
    <phoneticPr fontId="9" type="noConversion"/>
  </si>
  <si>
    <t>이비웨이브(5/27) 250,000 로젠택배(6/30) 3,800</t>
    <phoneticPr fontId="9" type="noConversion"/>
  </si>
  <si>
    <t>이비웨이브(5/28) 220,000</t>
    <phoneticPr fontId="9" type="noConversion"/>
  </si>
  <si>
    <t>이비웨이브(6/9) 130,000</t>
    <phoneticPr fontId="9" type="noConversion"/>
  </si>
  <si>
    <r>
      <t xml:space="preserve">이비웨이브(6/26) 200,000 </t>
    </r>
    <r>
      <rPr>
        <sz val="9"/>
        <color rgb="FF9C0006"/>
        <rFont val="맑은 고딕"/>
        <family val="3"/>
        <charset val="129"/>
        <scheme val="minor"/>
      </rPr>
      <t>우림퀵(6/30) 25,000</t>
    </r>
    <phoneticPr fontId="9" type="noConversion"/>
  </si>
  <si>
    <t>시스나인(3/4) 연간 1,800,000(10/12회) 이비웨이브 배터리(6/10) 120,000</t>
    <phoneticPr fontId="9" type="noConversion"/>
  </si>
  <si>
    <t>이비웨이브(6/13)</t>
    <phoneticPr fontId="9" type="noConversion"/>
  </si>
  <si>
    <t>이비웨이브(6/19)</t>
    <phoneticPr fontId="9" type="noConversion"/>
  </si>
  <si>
    <t>이비웨이브(6/18)</t>
    <phoneticPr fontId="9" type="noConversion"/>
  </si>
  <si>
    <t>이비웨이브(6/20)</t>
    <phoneticPr fontId="9" type="noConversion"/>
  </si>
  <si>
    <t>이비웨이브(6/23) 150,000</t>
    <phoneticPr fontId="9" type="noConversion"/>
  </si>
  <si>
    <t>이비웨이브(6/23) 100,000</t>
    <phoneticPr fontId="9" type="noConversion"/>
  </si>
  <si>
    <t>이비웨이브(6/23) 200,000</t>
    <phoneticPr fontId="9" type="noConversion"/>
  </si>
  <si>
    <t>이비웨이브(6/23) 120,000</t>
    <phoneticPr fontId="9" type="noConversion"/>
  </si>
  <si>
    <t>이비웨이브(6/25)</t>
    <phoneticPr fontId="9" type="noConversion"/>
  </si>
  <si>
    <t>요다정보기술(6/30) 1,000,000</t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</si>
  <si>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레노버(6/30) 
시스나인(1/2) 연500,000(6/12회)</t>
    </r>
    <phoneticPr fontId="9" type="noConversion"/>
  </si>
  <si>
    <t>트리거정보기술</t>
    <phoneticPr fontId="9" type="noConversion"/>
  </si>
  <si>
    <t>완료(7/7)</t>
    <phoneticPr fontId="9" type="noConversion"/>
  </si>
  <si>
    <t>완료(7/9)</t>
    <phoneticPr fontId="9" type="noConversion"/>
  </si>
  <si>
    <t>완료(7/8)</t>
    <phoneticPr fontId="9" type="noConversion"/>
  </si>
  <si>
    <t>레노버(5/9) 14,657,510(18건)</t>
    <phoneticPr fontId="9" type="noConversion"/>
  </si>
  <si>
    <t>완료(7/10)</t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</si>
  <si>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DCSS(4/30) 376,200
시스나인(7/1) 1,000,000(1/3회)</t>
    </r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</si>
  <si>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DCSS(5/31) 376,200
시스나인(7/1) 1,000,000(2/3회)</t>
    </r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</si>
  <si>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DCSS(6/30) 376,200
시스나인(7/1) 1,000,000(3/3회)</t>
    </r>
    <phoneticPr fontId="9" type="noConversion"/>
  </si>
  <si>
    <t>IBM(2/13) 2,421,068(1/2회)
시스나인(3/4) 1400중 600(1/3회)</t>
    <phoneticPr fontId="9" type="noConversion"/>
  </si>
  <si>
    <t>IBM(2/13) 2,421,068(2/2회)
시스나인(3/4) 1400중 600(2/3회)</t>
    <phoneticPr fontId="9" type="noConversion"/>
  </si>
  <si>
    <t>IBM(3/4)
시스나인(3/4) 1400중 600(3/3회)</t>
    <phoneticPr fontId="9" type="noConversion"/>
  </si>
  <si>
    <t>시스나인(7/1) 1400중 800(1/3회)</t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</si>
  <si>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IBM(4/1) 1,210,534
시스나인(7/1) 1400중 600(1/3회)</t>
    </r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</si>
  <si>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IBM(5/2) 1,210,534
시스나인(7/1) 1400중 600(2/3회)</t>
    </r>
    <phoneticPr fontId="9" type="noConversion"/>
  </si>
  <si>
    <t>시스나인(7/1) 1400중 800(2/3회)</t>
    <phoneticPr fontId="9" type="noConversion"/>
  </si>
  <si>
    <t>IBM(6/2) 1,210,534
시스나인(7/1) 1400중 600(3/3회)</t>
    <phoneticPr fontId="9" type="noConversion"/>
  </si>
  <si>
    <t>시스나인(7/5)</t>
    <phoneticPr fontId="9" type="noConversion"/>
  </si>
  <si>
    <t xml:space="preserve">시스나인(7/6) </t>
    <phoneticPr fontId="9" type="noConversion"/>
  </si>
  <si>
    <t>SM-25029</t>
    <phoneticPr fontId="9" type="noConversion"/>
  </si>
  <si>
    <t>완료(7/15)</t>
    <phoneticPr fontId="9" type="noConversion"/>
  </si>
  <si>
    <t>완료(7/17)</t>
    <phoneticPr fontId="9" type="noConversion"/>
  </si>
  <si>
    <t>완료(7/21)</t>
    <phoneticPr fontId="9" type="noConversion"/>
  </si>
  <si>
    <t>완료(7/23)</t>
    <phoneticPr fontId="9" type="noConversion"/>
  </si>
  <si>
    <r>
      <t xml:space="preserve">삼표매입 </t>
    </r>
    <r>
      <rPr>
        <sz val="9"/>
        <color rgb="FF9C0006"/>
        <rFont val="맑은 고딕"/>
        <family val="3"/>
        <charset val="129"/>
        <scheme val="minor"/>
      </rPr>
      <t>우림퀵(1/31) 20,000</t>
    </r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</si>
  <si>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레노버 월 58,800(4/30)(5/31)(6/30)</t>
    </r>
    <phoneticPr fontId="9" type="noConversion"/>
  </si>
  <si>
    <t>시스나인(7/1) 1400중 800(2/3회)
이비웨이브(5/14) Cable 70,000</t>
    <phoneticPr fontId="9" type="noConversion"/>
  </si>
  <si>
    <t>신세계(5/26) 600,000
지엘정보(6/27) 반기 1,250,000(4/6회)
시스나인(1/2) 1,750,000(5/7회)</t>
    <phoneticPr fontId="9" type="noConversion"/>
  </si>
  <si>
    <t>완료(7/24)</t>
    <phoneticPr fontId="9" type="noConversion"/>
  </si>
  <si>
    <t>완료(7/25)</t>
    <phoneticPr fontId="9" type="noConversion"/>
  </si>
  <si>
    <t>완료(7/28)</t>
    <phoneticPr fontId="9" type="noConversion"/>
  </si>
  <si>
    <t>완료(7/29)</t>
    <phoneticPr fontId="9" type="noConversion"/>
  </si>
  <si>
    <t>완료(7/30)</t>
    <phoneticPr fontId="9" type="noConversion"/>
  </si>
  <si>
    <t>완료(7/31)</t>
    <phoneticPr fontId="9" type="noConversion"/>
  </si>
  <si>
    <t>707,903회생채권 / 337,097미입금</t>
    <phoneticPr fontId="9" type="noConversion"/>
  </si>
  <si>
    <t>ZL0WLO</t>
    <phoneticPr fontId="9" type="noConversion"/>
  </si>
  <si>
    <t>21세기소프트(6/18) 2*1,300,000</t>
    <phoneticPr fontId="9" type="noConversion"/>
  </si>
  <si>
    <t>21세기소프트(6/18) 350,000</t>
    <phoneticPr fontId="9" type="noConversion"/>
  </si>
  <si>
    <t>마누메디텍</t>
    <phoneticPr fontId="9" type="noConversion"/>
  </si>
  <si>
    <t>유닉스엔지니어링</t>
    <phoneticPr fontId="9" type="noConversion"/>
  </si>
  <si>
    <t>완료(8/6)</t>
    <phoneticPr fontId="9" type="noConversion"/>
  </si>
  <si>
    <t>Y250630-03</t>
    <phoneticPr fontId="9" type="noConversion"/>
  </si>
  <si>
    <r>
      <t xml:space="preserve">알앤에스(4/28) 495만원 중 
</t>
    </r>
    <r>
      <rPr>
        <sz val="9"/>
        <color rgb="FF9C0006"/>
        <rFont val="맑은 고딕"/>
        <family val="3"/>
        <charset val="129"/>
        <scheme val="minor"/>
      </rPr>
      <t>시스나인(1/2) 연 2,400,000(4/12회)
김재협(8/7) 2/6회</t>
    </r>
    <r>
      <rPr>
        <sz val="9"/>
        <color rgb="FF9C0006"/>
        <rFont val="맑은 고딕"/>
        <family val="2"/>
        <charset val="129"/>
        <scheme val="minor"/>
      </rPr>
      <t xml:space="preserve">
로젠택배(4/30) 6,000</t>
    </r>
    <phoneticPr fontId="9" type="noConversion"/>
  </si>
  <si>
    <r>
      <t xml:space="preserve">알앤에스(3/27) 495만원 중 
</t>
    </r>
    <r>
      <rPr>
        <sz val="9"/>
        <color rgb="FF9C0006"/>
        <rFont val="맑은 고딕"/>
        <family val="3"/>
        <charset val="129"/>
        <scheme val="minor"/>
      </rPr>
      <t>시스나인(1/2) 연 2,400,000(3/12회)
김재협(8/7) 1/6회
로젠택배(3/31) 3,800</t>
    </r>
    <phoneticPr fontId="9" type="noConversion"/>
  </si>
  <si>
    <r>
      <t xml:space="preserve">알앤에스(5/27) 495만원 중 
</t>
    </r>
    <r>
      <rPr>
        <sz val="9"/>
        <color rgb="FF9C0006"/>
        <rFont val="맑은 고딕"/>
        <family val="3"/>
        <charset val="129"/>
        <scheme val="minor"/>
      </rPr>
      <t>B/D 로젠택배(별도착불) 6,000(6/5)
김재협(8/7) 3/6회
시스나인(1/2) 연 2,400,000(5/12회)</t>
    </r>
    <phoneticPr fontId="9" type="noConversion"/>
  </si>
  <si>
    <r>
      <t xml:space="preserve">알앤에스(6/25) 495만원 중 
</t>
    </r>
    <r>
      <rPr>
        <sz val="9"/>
        <color rgb="FF9C0006"/>
        <rFont val="맑은 고딕"/>
        <family val="3"/>
        <charset val="129"/>
        <scheme val="minor"/>
      </rPr>
      <t>시스나인(1/2) 연 2,400,000(6/12회)</t>
    </r>
    <r>
      <rPr>
        <sz val="9"/>
        <color rgb="FF9C0006"/>
        <rFont val="맑은 고딕"/>
        <family val="2"/>
        <charset val="129"/>
        <scheme val="minor"/>
      </rPr>
      <t xml:space="preserve">
김재협(8/7) 4/6회</t>
    </r>
    <phoneticPr fontId="9" type="noConversion"/>
  </si>
  <si>
    <t>완료(8/11)</t>
    <phoneticPr fontId="9" type="noConversion"/>
  </si>
  <si>
    <t>완료(8/13)</t>
    <phoneticPr fontId="9" type="noConversion"/>
  </si>
  <si>
    <t>위포</t>
    <phoneticPr fontId="9" type="noConversion"/>
  </si>
  <si>
    <t>S</t>
    <phoneticPr fontId="9" type="noConversion"/>
  </si>
  <si>
    <r>
      <t xml:space="preserve">레노버 </t>
    </r>
    <r>
      <rPr>
        <sz val="9"/>
        <color rgb="FF9C0006"/>
        <rFont val="맑은 고딕"/>
        <family val="3"/>
        <charset val="129"/>
        <scheme val="minor"/>
      </rPr>
      <t>(1/31)71,720
97,800 (2/28)(3/31)(4/30)(5/31)(6/30)(7/31)</t>
    </r>
    <phoneticPr fontId="9" type="noConversion"/>
  </si>
  <si>
    <t>완료-보증금공제</t>
    <phoneticPr fontId="9" type="noConversion"/>
  </si>
  <si>
    <t>보증금반제(25/8/31)</t>
    <phoneticPr fontId="9" type="noConversion"/>
  </si>
  <si>
    <t>완료(8/28)</t>
    <phoneticPr fontId="9" type="noConversion"/>
  </si>
  <si>
    <t>완료(8/29)</t>
    <phoneticPr fontId="9" type="noConversion"/>
  </si>
  <si>
    <t>엘에스메카피온</t>
    <phoneticPr fontId="9" type="noConversion"/>
  </si>
  <si>
    <t>완료(9/10)</t>
    <phoneticPr fontId="9" type="noConversion"/>
  </si>
  <si>
    <t>아이위스</t>
    <phoneticPr fontId="9" type="noConversion"/>
  </si>
  <si>
    <t>제이에스정보시스템</t>
    <phoneticPr fontId="9" type="noConversion"/>
  </si>
  <si>
    <t>완료(9/22)</t>
    <phoneticPr fontId="9" type="noConversion"/>
  </si>
  <si>
    <t>완료(9/30)</t>
    <phoneticPr fontId="9" type="noConversion"/>
  </si>
  <si>
    <t>완료(10/1)</t>
    <phoneticPr fontId="9" type="noConversion"/>
  </si>
  <si>
    <t>알엠에스케이알(7/16) 600,000
위퍼스트(7/14) 4,300,000
컴퓨존(7/10) 3,684,273
이비웨이브(7/11) 1,560,000
우림퀵(7/31) 35,000
우림퀵(9/30) 12,000 장애교체</t>
    <phoneticPr fontId="9" type="noConversion"/>
  </si>
  <si>
    <t>디앤에이치인터내셔널</t>
    <phoneticPr fontId="9" type="noConversion"/>
  </si>
  <si>
    <t>데코비전</t>
    <phoneticPr fontId="9" type="noConversion"/>
  </si>
  <si>
    <t>디엠씨</t>
    <phoneticPr fontId="9" type="noConversion"/>
  </si>
  <si>
    <t>오오씨아이</t>
    <phoneticPr fontId="9" type="noConversion"/>
  </si>
  <si>
    <t>SM_C25018</t>
    <phoneticPr fontId="9" type="noConversion"/>
  </si>
  <si>
    <r>
      <t xml:space="preserve">시스나인(10/1) 반기 600,000 (1/6회)
</t>
    </r>
    <r>
      <rPr>
        <sz val="9"/>
        <color rgb="FF9C0006"/>
        <rFont val="맑은 고딕"/>
        <family val="3"/>
        <charset val="129"/>
        <scheme val="minor"/>
      </rPr>
      <t>DCSS(6/30) 20,600</t>
    </r>
    <phoneticPr fontId="9" type="noConversion"/>
  </si>
  <si>
    <t>레노버(6/30) 5,338,296
시스나인(10/15) 24,600,000 (1/12회)</t>
    <phoneticPr fontId="9" type="noConversion"/>
  </si>
  <si>
    <t>레노버(3/31)
시스나인(10/15) (1/3회)</t>
    <phoneticPr fontId="9" type="noConversion"/>
  </si>
  <si>
    <t>레노버(6/30)
시스나인(10/15) (2/3회)</t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</si>
  <si>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레노버(9/16) 1,166,400
시스나인(10/15) 5,500,000</t>
    </r>
    <phoneticPr fontId="9" type="noConversion"/>
  </si>
  <si>
    <t>다원씨앤에스(2/25) 200,000
DCSS(2/28) 80,000
시스나인(1/2) 2,100,000(1/3회)</t>
    <phoneticPr fontId="9" type="noConversion"/>
  </si>
  <si>
    <t>다원씨앤에스(3/25) 200,000
DCSS(3/31) 80,000
시스나인(1/2) 2,100,000(2/3회)</t>
    <phoneticPr fontId="9" type="noConversion"/>
  </si>
  <si>
    <t>다원씨앤에스(4/25) 200,000
DCSS(4/30) 80,000
시스나인(1/2) 2,100,000(3/3회)</t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</si>
  <si>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다원씨앤에스(5/25) 200,000
DCSS(5/31) 80,000
시스나인(4/25) 2,100,000(1/3회)</t>
    </r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</si>
  <si>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다원씨앤에스(6/25) 200,000
DCSS(6/30) 80,000
시스나인(4/25) 2,100,000(2/3회)</t>
    </r>
    <phoneticPr fontId="9" type="noConversion"/>
  </si>
  <si>
    <t>레노버(1/31)511,500 
시스나인(4/25) 연간3,400,000(1/12회)</t>
    <phoneticPr fontId="9" type="noConversion"/>
  </si>
  <si>
    <r>
      <t xml:space="preserve">레노버(4/30)511,500 
</t>
    </r>
    <r>
      <rPr>
        <sz val="9"/>
        <color rgb="FF9C0006"/>
        <rFont val="맑은 고딕"/>
        <family val="3"/>
        <charset val="129"/>
        <scheme val="minor"/>
      </rPr>
      <t>시스나인(4/25) 연간3,400,000(4/12회)</t>
    </r>
    <phoneticPr fontId="9" type="noConversion"/>
  </si>
  <si>
    <t>프라테르(3/31) 672,000
트리거(3/31) 700,000
현성솔루션(3/31) 100,000
유니와이드(3/31) 290,000
시스나인(25/3/4) 반기 6,000,000 (3/6회)</t>
    <phoneticPr fontId="9" type="noConversion"/>
  </si>
  <si>
    <t>IBM(6/2) 142,800 (6/1)277,600</t>
    <phoneticPr fontId="9" type="noConversion"/>
  </si>
  <si>
    <r>
      <t>레노버 월 115,8</t>
    </r>
    <r>
      <rPr>
        <sz val="9"/>
        <color rgb="FF9C0006"/>
        <rFont val="맑은 고딕"/>
        <family val="3"/>
        <charset val="129"/>
        <scheme val="minor"/>
      </rPr>
      <t>00 (4/30)(5/31)(6/30)</t>
    </r>
    <phoneticPr fontId="9" type="noConversion"/>
  </si>
  <si>
    <t>레노버(24/7/8)연간 (12/12회) 485,440
IBM(6/2) 80,163</t>
    <phoneticPr fontId="9" type="noConversion"/>
  </si>
  <si>
    <r>
      <rPr>
        <sz val="9"/>
        <rFont val="맑은 고딕"/>
        <family val="3"/>
        <charset val="129"/>
        <scheme val="minor"/>
      </rPr>
      <t xml:space="preserve">다원씨앤에스(1/25) 200,000
IBM(1/1) 288,000
DCSS (2/28) 80,000
</t>
    </r>
    <r>
      <rPr>
        <sz val="9"/>
        <color rgb="FF9C0006"/>
        <rFont val="맑은 고딕"/>
        <family val="3"/>
        <charset val="129"/>
        <scheme val="minor"/>
      </rPr>
      <t>시스나인() 2,100,000(3/3회)</t>
    </r>
    <phoneticPr fontId="9" type="noConversion"/>
  </si>
  <si>
    <t>레노버(2/28) 99,600 (3/31~) 월 149,400
(26.2) 49,800</t>
    <phoneticPr fontId="9" type="noConversion"/>
  </si>
  <si>
    <r>
      <t xml:space="preserve">IBM 총 33,750,000 </t>
    </r>
    <r>
      <rPr>
        <sz val="9"/>
        <rFont val="맑은 고딕"/>
        <family val="3"/>
        <charset val="129"/>
        <scheme val="major"/>
      </rPr>
      <t>월 2,812,500 (1/2)(2/3)(3/4)(4/1)(5/1)(6/2)(7/1)(8/1)
(9/1)(10/1)</t>
    </r>
    <r>
      <rPr>
        <sz val="9"/>
        <color rgb="FFFF0000"/>
        <rFont val="맑은 고딕"/>
        <family val="3"/>
        <charset val="129"/>
        <scheme val="major"/>
      </rPr>
      <t>(11/1)(1/21)</t>
    </r>
    <r>
      <rPr>
        <sz val="9"/>
        <rFont val="맑은 고딕"/>
        <family val="3"/>
        <charset val="129"/>
        <scheme val="major"/>
      </rPr>
      <t xml:space="preserve">
레노버 17,010,000 월 1,417,500 (1/31)(2/28)(3/31)(4/30)(5/31)(6/30)(7/31)(8/31)(9/30)(10/31)</t>
    </r>
    <r>
      <rPr>
        <sz val="9"/>
        <color rgb="FFFF0000"/>
        <rFont val="맑은 고딕"/>
        <family val="3"/>
        <charset val="129"/>
        <scheme val="major"/>
      </rPr>
      <t>(11/30)(12/31)</t>
    </r>
    <r>
      <rPr>
        <sz val="9"/>
        <rFont val="맑은 고딕"/>
        <family val="3"/>
        <charset val="129"/>
        <scheme val="major"/>
      </rPr>
      <t xml:space="preserve">
코오롱베니트(1/31) 680,000
에티버스(1/31) 8,454,000
에티버스(6/30) 6,730,000
시스나인(2/28) 18,000,000</t>
    </r>
    <phoneticPr fontId="9" type="noConversion"/>
  </si>
  <si>
    <r>
      <t>레노버</t>
    </r>
    <r>
      <rPr>
        <sz val="9"/>
        <rFont val="맑은 고딕"/>
        <family val="3"/>
        <charset val="129"/>
        <scheme val="major"/>
      </rPr>
      <t>(1/31)89,910 
월 99,900 (2/28)(3/31)(4/30)(5/31)</t>
    </r>
    <r>
      <rPr>
        <sz val="9"/>
        <color rgb="FFC00000"/>
        <rFont val="맑은 고딕"/>
        <family val="3"/>
        <charset val="129"/>
        <scheme val="major"/>
      </rPr>
      <t xml:space="preserve">
</t>
    </r>
    <r>
      <rPr>
        <sz val="9"/>
        <rFont val="맑은 고딕"/>
        <family val="3"/>
        <charset val="129"/>
        <scheme val="major"/>
      </rPr>
      <t>(6/30)(7/31)(8/31)(9/30)(10/31)</t>
    </r>
    <r>
      <rPr>
        <sz val="9"/>
        <color rgb="FFC00000"/>
        <rFont val="맑은 고딕"/>
        <family val="3"/>
        <charset val="129"/>
        <scheme val="major"/>
      </rPr>
      <t>(11/30)(12/31)(26/1/  )</t>
    </r>
    <phoneticPr fontId="9" type="noConversion"/>
  </si>
  <si>
    <r>
      <t>레노버</t>
    </r>
    <r>
      <rPr>
        <sz val="9"/>
        <rFont val="맑은 고딕"/>
        <family val="3"/>
        <charset val="129"/>
        <scheme val="minor"/>
      </rPr>
      <t xml:space="preserve"> 98,100(1/31)(2/28)(3/31)(4/30)</t>
    </r>
    <r>
      <rPr>
        <sz val="9"/>
        <color rgb="FF9C0006"/>
        <rFont val="맑은 고딕"/>
        <family val="2"/>
        <charset val="129"/>
        <scheme val="minor"/>
      </rPr>
      <t xml:space="preserve">
</t>
    </r>
    <r>
      <rPr>
        <sz val="9"/>
        <rFont val="맑은 고딕"/>
        <family val="3"/>
        <charset val="129"/>
        <scheme val="minor"/>
      </rPr>
      <t>(5/31)(6/30)(7/31)(8/31)(9/30)(10/31)</t>
    </r>
    <r>
      <rPr>
        <sz val="9"/>
        <color rgb="FF9C0006"/>
        <rFont val="맑은 고딕"/>
        <family val="2"/>
        <charset val="129"/>
        <scheme val="minor"/>
      </rPr>
      <t>(11/30)</t>
    </r>
    <phoneticPr fontId="9" type="noConversion"/>
  </si>
  <si>
    <r>
      <t>레노버</t>
    </r>
    <r>
      <rPr>
        <sz val="9"/>
        <rFont val="맑은 고딕"/>
        <family val="3"/>
        <charset val="129"/>
        <scheme val="major"/>
      </rPr>
      <t xml:space="preserve"> 1,892,400(1/31)(2/28)(3/31)
1,897,430(4/30)(5/31)
2,043,630(6/30)(7/31)</t>
    </r>
    <r>
      <rPr>
        <sz val="9"/>
        <color rgb="FFC00000"/>
        <rFont val="맑은 고딕"/>
        <family val="3"/>
        <charset val="129"/>
        <scheme val="major"/>
      </rPr>
      <t xml:space="preserve">
</t>
    </r>
    <r>
      <rPr>
        <sz val="9"/>
        <rFont val="맑은 고딕"/>
        <family val="3"/>
        <charset val="129"/>
        <scheme val="major"/>
      </rPr>
      <t>(8/31)(9/30)(10/31)</t>
    </r>
    <r>
      <rPr>
        <sz val="9"/>
        <color rgb="FFC00000"/>
        <rFont val="맑은 고딕"/>
        <family val="3"/>
        <charset val="129"/>
        <scheme val="major"/>
      </rPr>
      <t>(11/30)(12/31)(26/1/31)(2/28)(3/31)(4/30)(5/  )</t>
    </r>
    <r>
      <rPr>
        <sz val="9"/>
        <rFont val="맑은 고딕"/>
        <family val="3"/>
        <charset val="129"/>
        <scheme val="major"/>
      </rPr>
      <t xml:space="preserve">
레노버(2/24)6,169,600</t>
    </r>
    <phoneticPr fontId="9" type="noConversion"/>
  </si>
  <si>
    <r>
      <t xml:space="preserve">레노버 월 65,700
</t>
    </r>
    <r>
      <rPr>
        <sz val="9"/>
        <rFont val="맑은 고딕"/>
        <family val="3"/>
        <charset val="129"/>
        <scheme val="major"/>
      </rPr>
      <t>24.01 (2/10) 24,090
24.2~25.1 (25/2/10) 65,700*12</t>
    </r>
    <r>
      <rPr>
        <sz val="9"/>
        <color rgb="FFC00000"/>
        <rFont val="맑은 고딕"/>
        <family val="3"/>
        <charset val="129"/>
        <scheme val="major"/>
      </rPr>
      <t xml:space="preserve">
</t>
    </r>
    <r>
      <rPr>
        <sz val="9"/>
        <rFont val="맑은 고딕"/>
        <family val="3"/>
        <charset val="129"/>
        <scheme val="major"/>
      </rPr>
      <t>(2/28)(3/31)(4/30)(5/31)(6/30)(7/31)(8/31)(9/30)(10/31)</t>
    </r>
    <r>
      <rPr>
        <sz val="9"/>
        <color rgb="FFC00000"/>
        <rFont val="맑은 고딕"/>
        <family val="3"/>
        <charset val="129"/>
        <scheme val="major"/>
      </rPr>
      <t>(11/30)(12/31)(26/1/ )</t>
    </r>
    <phoneticPr fontId="9" type="noConversion"/>
  </si>
  <si>
    <r>
      <t xml:space="preserve">IBM 월 70,422*26 (25.02~27.01)
</t>
    </r>
    <r>
      <rPr>
        <sz val="9"/>
        <rFont val="맑은 고딕"/>
        <family val="3"/>
        <charset val="129"/>
        <scheme val="minor"/>
      </rPr>
      <t>(2/3)(3/4)(4/1)(5/1)(6/2)(7/1)(8/1)(9/1)(10/1)</t>
    </r>
    <r>
      <rPr>
        <sz val="9"/>
        <color rgb="FFC00000"/>
        <rFont val="맑은 고딕"/>
        <family val="3"/>
        <charset val="129"/>
        <scheme val="minor"/>
      </rPr>
      <t>(11/1)(12/1)(26/1/1)(2/1)(3/1)(4/1)(5/1)(6/1)(7/1)(8/1)(9/1)(10/1)(11/1)(12/1)(27/1/1)</t>
    </r>
    <r>
      <rPr>
        <sz val="9"/>
        <color rgb="FF9C0006"/>
        <rFont val="맑은 고딕"/>
        <family val="2"/>
        <charset val="129"/>
        <scheme val="minor"/>
      </rPr>
      <t xml:space="preserve">
월 73,255*2 (27.2~3) (2/1)(3/1)</t>
    </r>
    <phoneticPr fontId="9" type="noConversion"/>
  </si>
  <si>
    <r>
      <t xml:space="preserve">IBM </t>
    </r>
    <r>
      <rPr>
        <sz val="9"/>
        <rFont val="맑은 고딕"/>
        <family val="3"/>
        <charset val="129"/>
        <scheme val="major"/>
      </rPr>
      <t>(3/3) 93,445 (4/1)(5/1)(6/2)(7/1)(8/1)(9/1)(10/1</t>
    </r>
    <r>
      <rPr>
        <sz val="9"/>
        <color rgb="FFC00000"/>
        <rFont val="맑은 고딕"/>
        <family val="3"/>
        <charset val="129"/>
        <scheme val="major"/>
      </rPr>
      <t>)(11/1)(12/1)(26/1/1)(2/1)</t>
    </r>
    <phoneticPr fontId="9" type="noConversion"/>
  </si>
  <si>
    <r>
      <t xml:space="preserve">레노버 </t>
    </r>
    <r>
      <rPr>
        <sz val="9"/>
        <rFont val="맑은 고딕"/>
        <family val="3"/>
        <charset val="129"/>
        <scheme val="major"/>
      </rPr>
      <t>10월(3/12) 77,840 
월 1,167,600 11월(3/12)12월(3/12)
1월(3/12)2월(3/12)
(3/31)(4/30)(5/31)(6/30)(7/31)(8/31)(9/30)(10/31</t>
    </r>
    <r>
      <rPr>
        <sz val="9"/>
        <color rgb="FFC00000"/>
        <rFont val="맑은 고딕"/>
        <family val="3"/>
        <charset val="129"/>
        <scheme val="major"/>
      </rPr>
      <t>)(11/30)(12/31)</t>
    </r>
    <phoneticPr fontId="9" type="noConversion"/>
  </si>
  <si>
    <r>
      <t>레노버HW(1~3월) 420,000*3(4/11)
(4/30)(5/31)(6/30)(7/31)(8/31)(9/30)(10/31)</t>
    </r>
    <r>
      <rPr>
        <sz val="9"/>
        <color rgb="FFC00000"/>
        <rFont val="맑은 고딕"/>
        <family val="3"/>
        <charset val="129"/>
        <scheme val="major"/>
      </rPr>
      <t>(11/30)(12/31)</t>
    </r>
    <r>
      <rPr>
        <sz val="9"/>
        <rFont val="맑은 고딕"/>
        <family val="3"/>
        <charset val="129"/>
        <scheme val="major"/>
      </rPr>
      <t xml:space="preserve">
레노버SW 16,300,800(4/9)</t>
    </r>
    <phoneticPr fontId="9" type="noConversion"/>
  </si>
  <si>
    <r>
      <rPr>
        <sz val="9"/>
        <rFont val="맑은 고딕"/>
        <family val="3"/>
        <charset val="129"/>
        <scheme val="major"/>
      </rPr>
      <t>레노버 월 51,300
(4/2) 6,840 (4/30)51,300</t>
    </r>
    <r>
      <rPr>
        <sz val="9"/>
        <color rgb="FFC00000"/>
        <rFont val="맑은 고딕"/>
        <family val="3"/>
        <charset val="129"/>
        <scheme val="major"/>
      </rPr>
      <t xml:space="preserve">
</t>
    </r>
    <r>
      <rPr>
        <sz val="9"/>
        <rFont val="맑은 고딕"/>
        <family val="3"/>
        <charset val="129"/>
        <scheme val="major"/>
      </rPr>
      <t>(5/31)(6/30)(7/31)(8/31)(9/30)(10/31)</t>
    </r>
    <r>
      <rPr>
        <sz val="9"/>
        <color rgb="FFC00000"/>
        <rFont val="맑은 고딕"/>
        <family val="3"/>
        <charset val="129"/>
        <scheme val="major"/>
      </rPr>
      <t>(11/30)(12/31)(26/1/31)(2/28)(3/ )</t>
    </r>
    <phoneticPr fontId="9" type="noConversion"/>
  </si>
  <si>
    <t>프라테르(1/31) 644,700
프라테르(2/28) 27,300
트리거(2/28) 700,000
현성솔루션(1/31) 100,000
유니와이드(2/28) 290,000
시스나인(25/3/4) 반기 6,000,000 (1/6회)</t>
    <phoneticPr fontId="9" type="noConversion"/>
  </si>
  <si>
    <t>레노버(1/31) 3,017,539
시스나인(25/2/28) 10,560,000 (8/12회)</t>
    <phoneticPr fontId="9" type="noConversion"/>
  </si>
  <si>
    <r>
      <t>레노버 월 475,200</t>
    </r>
    <r>
      <rPr>
        <sz val="9"/>
        <rFont val="맑은 고딕"/>
        <family val="3"/>
        <charset val="129"/>
        <scheme val="major"/>
      </rPr>
      <t xml:space="preserve"> (25/4/30) </t>
    </r>
    <r>
      <rPr>
        <sz val="9"/>
        <color rgb="FFC00000"/>
        <rFont val="맑은 고딕"/>
        <family val="3"/>
        <charset val="129"/>
        <scheme val="major"/>
      </rPr>
      <t xml:space="preserve"> 
</t>
    </r>
    <r>
      <rPr>
        <sz val="9"/>
        <rFont val="맑은 고딕"/>
        <family val="3"/>
        <charset val="129"/>
        <scheme val="major"/>
      </rPr>
      <t>(5/31)(6/30)(7/31)(8/31)(10/1)</t>
    </r>
    <r>
      <rPr>
        <sz val="9"/>
        <color rgb="FFC00000"/>
        <rFont val="맑은 고딕"/>
        <family val="3"/>
        <charset val="129"/>
        <scheme val="major"/>
      </rPr>
      <t>(11/1)(12/1)(26/1/1)(2/1)(3/1)(4/1)(5/1)</t>
    </r>
    <phoneticPr fontId="9" type="noConversion"/>
  </si>
  <si>
    <r>
      <t xml:space="preserve">레노버 
</t>
    </r>
    <r>
      <rPr>
        <sz val="9"/>
        <color rgb="FF9C0006"/>
        <rFont val="맑은 고딕"/>
        <family val="3"/>
        <charset val="129"/>
        <scheme val="minor"/>
      </rPr>
      <t>11월(1/24) 170,160 12월(1/24)212,700 
월212,700
(1/31)(2/28)(3/31)(4/30)(5/31)(6/30)(7/31)(8/31)(9/30)(10/31)(11/  )</t>
    </r>
    <phoneticPr fontId="9" type="noConversion"/>
  </si>
  <si>
    <t>IBM 월 95,200 (5/2)(6/2)(7/1)
시스나인(7/1)반기 1,000,000 2/2회
이비웨이브(7/30) 300G 120,000</t>
    <phoneticPr fontId="9" type="noConversion"/>
  </si>
  <si>
    <t>IBM 월 95,200(2/3)(3/4)(4/1)
시스나인(7/1)반기 1,000,000 1/2회</t>
    <phoneticPr fontId="9" type="noConversion"/>
  </si>
  <si>
    <r>
      <t xml:space="preserve">레노버(5/31) 171,600
</t>
    </r>
    <r>
      <rPr>
        <sz val="9"/>
        <color rgb="FF9C0006"/>
        <rFont val="맑은 고딕"/>
        <family val="3"/>
        <charset val="129"/>
        <scheme val="minor"/>
      </rPr>
      <t>IBM(5/1) 436,400
에스엔에이(5/15) 200,000
시스나인(25/3/4) 연간 6,000,000 12/12회</t>
    </r>
    <phoneticPr fontId="9" type="noConversion"/>
  </si>
  <si>
    <t>IBM(6/4) 449,492
에스엔에이(6/15) 200,000
시스나인(10/1) 반기 3,000,000 1/6회</t>
    <phoneticPr fontId="9" type="noConversion"/>
  </si>
  <si>
    <t>솔향</t>
    <phoneticPr fontId="9" type="noConversion"/>
  </si>
  <si>
    <t>IK-25003</t>
    <phoneticPr fontId="9" type="noConversion"/>
  </si>
  <si>
    <t>2월 임대료(25/2/11~3/10) - 5/10회</t>
    <phoneticPr fontId="9" type="noConversion"/>
  </si>
  <si>
    <t>3월 임대료(3/11~4/10) - 6/10회</t>
    <phoneticPr fontId="9" type="noConversion"/>
  </si>
  <si>
    <t>4월 임대료 (4/12~5/11) - 7/10회</t>
    <phoneticPr fontId="9" type="noConversion"/>
  </si>
  <si>
    <t>5월 임대료 (5/12~6/11) - 8/10회</t>
    <phoneticPr fontId="9" type="noConversion"/>
  </si>
  <si>
    <t>완료</t>
    <phoneticPr fontId="9" type="noConversion"/>
  </si>
  <si>
    <t>컴퓨존(5/16) 4,297,682
법카(5/16) 135,818</t>
    <phoneticPr fontId="9" type="noConversion"/>
  </si>
  <si>
    <t>한국항공HW유지보수-Lenovo부문 백라인계약
(25.1~25.3) 유지보수 - 6/9회</t>
    <phoneticPr fontId="9" type="noConversion"/>
  </si>
  <si>
    <t>한국항공HW유지보수-Lenovo부문 백라인계약
(25.4~25.6) 유지보수 - 7/9회</t>
    <phoneticPr fontId="9" type="noConversion"/>
  </si>
  <si>
    <r>
      <t xml:space="preserve">트루스케일 2대 15,800,000
SR250내 2.4T 2*100,000 
</t>
    </r>
    <r>
      <rPr>
        <sz val="9"/>
        <color rgb="FF9C0006"/>
        <rFont val="맑은 고딕"/>
        <family val="3"/>
        <charset val="129"/>
        <scheme val="minor"/>
      </rPr>
      <t>이룸에스앤앤(9/5) 2*364,000
========= 총 16,728,000 (16/36회)
이올테크(1/20) 370,000
시스나인(24/9/2) 연 1,000,000(4/12회)</t>
    </r>
    <phoneticPr fontId="9" type="noConversion"/>
  </si>
  <si>
    <r>
      <t xml:space="preserve">트루스케일 2대 15,800,000
SR250내 2.4T 2*100,000 
</t>
    </r>
    <r>
      <rPr>
        <sz val="9"/>
        <color rgb="FF9C0006"/>
        <rFont val="맑은 고딕"/>
        <family val="3"/>
        <charset val="129"/>
        <scheme val="minor"/>
      </rPr>
      <t>이룸에스앤앤(9/5) 2*364,000
========= 총 16,728,000 (17/36회)
이올테크(2/20) 370,000
시스나인(24/9/2) 연 1,000,000(5/12회)</t>
    </r>
    <phoneticPr fontId="9" type="noConversion"/>
  </si>
  <si>
    <r>
      <t xml:space="preserve">트루스케일 2대 15,800,000
SR250내 2.4T 2*100,000 
</t>
    </r>
    <r>
      <rPr>
        <sz val="9"/>
        <color rgb="FF9C0006"/>
        <rFont val="맑은 고딕"/>
        <family val="3"/>
        <charset val="129"/>
        <scheme val="minor"/>
      </rPr>
      <t>이룸에스앤앤(9/5) 2*364,000
========= 총 16,728,000 (18/36회)
이올테크(3/20) 370,000
시스나인(24/9/2) 연 1,000,000(6/12회)</t>
    </r>
    <phoneticPr fontId="9" type="noConversion"/>
  </si>
  <si>
    <r>
      <t xml:space="preserve">트루스케일 2대 15,800,000
SR250내 2.4T 2*100,000 
</t>
    </r>
    <r>
      <rPr>
        <sz val="9"/>
        <color rgb="FF9C0006"/>
        <rFont val="맑은 고딕"/>
        <family val="3"/>
        <charset val="129"/>
        <scheme val="minor"/>
      </rPr>
      <t>이룸에스앤앤(9/5) 2*364,000
========= 총 16,728,000 (19/36회)
이올테크(4/20) 370,000
시스나인(24/9/2) 연 1,000,000(7/12회)</t>
    </r>
    <phoneticPr fontId="9" type="noConversion"/>
  </si>
  <si>
    <r>
      <t xml:space="preserve">트루스케일 2대 15,800,000
SR250내 2.4T 2*100,000 
</t>
    </r>
    <r>
      <rPr>
        <sz val="9"/>
        <color rgb="FF9C0006"/>
        <rFont val="맑은 고딕"/>
        <family val="3"/>
        <charset val="129"/>
        <scheme val="minor"/>
      </rPr>
      <t>이룸에스앤앤(9/5) 2*364,000
========= 총 16,728,000 (20/36회)
이올테크(5/20) 370,000
시스나인(249/2) 연 1,000,000(8/12회)</t>
    </r>
    <phoneticPr fontId="9" type="noConversion"/>
  </si>
  <si>
    <r>
      <t xml:space="preserve">트루스케일 2대 15,800,000
SR250내 2.4T 2*100,000 
</t>
    </r>
    <r>
      <rPr>
        <sz val="9"/>
        <color rgb="FF9C0006"/>
        <rFont val="맑은 고딕"/>
        <family val="3"/>
        <charset val="129"/>
        <scheme val="minor"/>
      </rPr>
      <t>이룸에스앤앤(9/5) 2*364,000
========= 총 16,728,000 (21/36회)
이올테크(6/20) 370,000
시스나인(24/9/2) 연 1,000,000(9/12회)</t>
    </r>
    <phoneticPr fontId="9" type="noConversion"/>
  </si>
  <si>
    <t>한화에어로스페이스</t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</si>
  <si>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제이에스정보(5/26) 150,000
디에스티아이(6/30) 100,000
시스나인(11/3) 4,000,000(1/8)</t>
    </r>
    <phoneticPr fontId="9" type="noConversion"/>
  </si>
  <si>
    <t>제이에스정보(6/25) 150,000
디에스티아이(6/30) 100,000
시스나인(11/3) 4,000,000(2/8)</t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</si>
  <si>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IBM(1/2) 133,875
DCSS (1/31) 70,180</t>
    </r>
    <r>
      <rPr>
        <sz val="9"/>
        <color rgb="FF9C0006"/>
        <rFont val="맑은 고딕"/>
        <family val="2"/>
        <charset val="129"/>
        <scheme val="minor"/>
      </rPr>
      <t xml:space="preserve">
시스나인(11/3) 1,000,000 (2/12)</t>
    </r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</si>
  <si>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IBM(2/3) 133,875
DCSS (2/28) 70,180</t>
    </r>
    <r>
      <rPr>
        <sz val="9"/>
        <color rgb="FF9C0006"/>
        <rFont val="맑은 고딕"/>
        <family val="2"/>
        <charset val="129"/>
        <scheme val="minor"/>
      </rPr>
      <t xml:space="preserve">
시스나인(11/3) 1,000,000 (3/12)</t>
    </r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</si>
  <si>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IBM(3/4) 133,875
DCSS (3/31) 70,180</t>
    </r>
    <r>
      <rPr>
        <sz val="9"/>
        <color rgb="FF9C0006"/>
        <rFont val="맑은 고딕"/>
        <family val="2"/>
        <charset val="129"/>
        <scheme val="minor"/>
      </rPr>
      <t xml:space="preserve">
시스나인(11/3) 1,000,000 (4/12)</t>
    </r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</si>
  <si>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IBM(4/1) 133,875
DCSS (4/30) 70,180</t>
    </r>
    <r>
      <rPr>
        <sz val="9"/>
        <color rgb="FF9C0006"/>
        <rFont val="맑은 고딕"/>
        <family val="2"/>
        <charset val="129"/>
        <scheme val="minor"/>
      </rPr>
      <t xml:space="preserve">
시스나인(11/3) 1,000,000 (5/12)</t>
    </r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</si>
  <si>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IBM(5/1) 133,875
DCSS (5/31) 70,180</t>
    </r>
    <r>
      <rPr>
        <sz val="9"/>
        <color rgb="FF9C0006"/>
        <rFont val="맑은 고딕"/>
        <family val="2"/>
        <charset val="129"/>
        <scheme val="minor"/>
      </rPr>
      <t xml:space="preserve">
시스나인(11/3) 1,000,000 (6/12)</t>
    </r>
    <phoneticPr fontId="9" type="noConversion"/>
  </si>
  <si>
    <r>
      <t xml:space="preserve">IBM(1/2) 79,196
</t>
    </r>
    <r>
      <rPr>
        <sz val="9"/>
        <color rgb="FF9C0006"/>
        <rFont val="맑은 고딕"/>
        <family val="3"/>
        <charset val="129"/>
        <scheme val="minor"/>
      </rPr>
      <t>시스나인(11/3) 4,200,000 (1/12회)</t>
    </r>
    <phoneticPr fontId="9" type="noConversion"/>
  </si>
  <si>
    <t>IBM(2/3) 79,496
시스나인(11/3) 4,200,000 (2/12회)</t>
    <phoneticPr fontId="9" type="noConversion"/>
  </si>
  <si>
    <r>
      <t xml:space="preserve">IBM(3/4) 79,496
</t>
    </r>
    <r>
      <rPr>
        <sz val="9"/>
        <color rgb="FF9C0006"/>
        <rFont val="맑은 고딕"/>
        <family val="3"/>
        <charset val="129"/>
        <scheme val="minor"/>
      </rPr>
      <t>시스나인(11/3) 4,200,000 (3/12회)</t>
    </r>
    <phoneticPr fontId="9" type="noConversion"/>
  </si>
  <si>
    <t>IBM(4/1) 79,496
시스나인(11/3) 4,200,000 (4/12회)</t>
    <phoneticPr fontId="9" type="noConversion"/>
  </si>
  <si>
    <t>IBM(5/1) 79,496
시스나인(11/3) 4,200,000 (5/12회)</t>
    <phoneticPr fontId="9" type="noConversion"/>
  </si>
  <si>
    <t>IBM(6/2) 79,496 추가(6/2) 74,124
레노버(6/30) 55,980
시스나인(11/3) 4,200,000 (6/12회)</t>
    <phoneticPr fontId="9" type="noConversion"/>
  </si>
  <si>
    <r>
      <t>IBM(6/2) 133,875
DCSS (6/30) 70,180</t>
    </r>
    <r>
      <rPr>
        <sz val="9"/>
        <color rgb="FF9C0006"/>
        <rFont val="맑은 고딕"/>
        <family val="2"/>
        <charset val="129"/>
        <scheme val="minor"/>
      </rPr>
      <t xml:space="preserve">
시스나인(11/3) 1,000,000 (7/12)</t>
    </r>
    <phoneticPr fontId="9" type="noConversion"/>
  </si>
  <si>
    <r>
      <rPr>
        <sz val="9"/>
        <color rgb="FF9C0006"/>
        <rFont val="맑은 고딕"/>
        <family val="3"/>
        <charset val="129"/>
        <scheme val="minor"/>
      </rPr>
      <t>DCSS(7/25) 997,000
시스나인(11/3) 25년분 1,750,000(1/7회)</t>
    </r>
    <phoneticPr fontId="9" type="noConversion"/>
  </si>
  <si>
    <t>IBM(5/2) 691,781
에스엔에이(4/30) 300,000
키미데이타(4/30) 70,000
코오롱베니트(10/31) 1,000,000연간(8/12회)
더파트(4/30) 810,000
DCSS(4/30) 352,900
시스나인(11/3) 7,000,000 (1/5)</t>
    <phoneticPr fontId="9" type="noConversion"/>
  </si>
  <si>
    <t>IBM(5/2) 691,781
에스엔에이(5/31) 300,000
키미데이타(5/30) 70,000
코오롱베니트(10/31) 1,000,000연간(9/12회)
더파트(5/30) 810,000
DCSS(5/30) 352,900
시스나인(11/3) 7,000,000 (2/5)</t>
    <phoneticPr fontId="9" type="noConversion"/>
  </si>
  <si>
    <t>소프트피플코리아</t>
    <phoneticPr fontId="9" type="noConversion"/>
  </si>
  <si>
    <t>완료</t>
    <phoneticPr fontId="9" type="noConversion"/>
  </si>
  <si>
    <t>엔씨씨</t>
    <phoneticPr fontId="9" type="noConversion"/>
  </si>
  <si>
    <t>한땀소프트</t>
    <phoneticPr fontId="9" type="noConversion"/>
  </si>
  <si>
    <t>엠와이오</t>
    <phoneticPr fontId="9" type="noConversion"/>
  </si>
  <si>
    <t>아이티유</t>
    <phoneticPr fontId="9" type="noConversion"/>
  </si>
  <si>
    <t>이레정보시스템</t>
    <phoneticPr fontId="9" type="noConversion"/>
  </si>
  <si>
    <t>호룡</t>
    <phoneticPr fontId="9" type="noConversion"/>
  </si>
  <si>
    <t>컴퓨존(1/13) 195,273 쿠팡(1/13법카)20,182
네이버(1/13법카)23,182
로젠택배(1/31) 6,000</t>
    <phoneticPr fontId="9" type="noConversion"/>
  </si>
  <si>
    <t>이지훈</t>
  </si>
  <si>
    <t>이예지</t>
  </si>
  <si>
    <t>홍승민</t>
  </si>
  <si>
    <t>정지우</t>
  </si>
  <si>
    <t>천범석</t>
  </si>
  <si>
    <t>상품</t>
    <phoneticPr fontId="9" type="noConversion"/>
  </si>
  <si>
    <t>MA</t>
    <phoneticPr fontId="9" type="noConversion"/>
  </si>
  <si>
    <t>건물임대</t>
    <phoneticPr fontId="9" type="noConversion"/>
  </si>
  <si>
    <t>가나병원</t>
  </si>
  <si>
    <t>일원병원</t>
  </si>
  <si>
    <t>고영</t>
  </si>
  <si>
    <t>서부컨테이너터미널</t>
  </si>
  <si>
    <t>다솜테크</t>
  </si>
  <si>
    <t>레노버(2/27)(2/28) 1,515,000
다솜테크(1/24)(2/28) 250,000
시스나인 반기(2/28) 2,500,000(1,2/6회)</t>
  </si>
  <si>
    <t>레노버(3/31) 1,515,000
다솜테크(3/31) 250,000
DCSS(3/31) 391,000
시스나인 반기(2/28) 2,500,000(3/6회)</t>
  </si>
  <si>
    <t>다솜테크(3/31) 6,000,000 
씨플랫폼(5/1) 1,000,000
우림퀵(4/30) 40,000</t>
  </si>
  <si>
    <t>레노버(4/30) 1,515,000
다솜테크(4/30) 250,000
DCSS(4/30) 391,000
시스나인 반기(2/28) 2,500,000(4/6회)</t>
  </si>
  <si>
    <t>이룸에스앤앤(5/14) 3,860,000
SSD 480G*2 재고
다솜테크(5/29) 1,395,000
우림퀵(5/31) 20,000</t>
  </si>
  <si>
    <t>레노버(5/31) 1,515,000
다솜테크(5/30) 250,000
DCSS(5/31) 391,000
시스나인 반기(2/28) 2,500,000(5/6회)</t>
  </si>
  <si>
    <t>다솜테크(7/31)</t>
  </si>
  <si>
    <t>다솜테크(6/30)</t>
  </si>
  <si>
    <t>다솜테크(6/30) 우림퀵(6/30) 20,000</t>
  </si>
  <si>
    <t>레노버(6/30) 1,515,000
다솜테크(6/30) 250,000
DCSS(6/30) 391,000
시스나인 반기(2/28) 2,500,000(6/6회)</t>
  </si>
  <si>
    <t>다올앤씨</t>
  </si>
  <si>
    <t>파워시스</t>
  </si>
  <si>
    <t>라온전자</t>
  </si>
  <si>
    <t>온더플레이스</t>
  </si>
  <si>
    <t>로스비브이</t>
  </si>
  <si>
    <t>로인아이티</t>
  </si>
  <si>
    <t>중앙아이티</t>
  </si>
  <si>
    <t>반정보시스템</t>
  </si>
  <si>
    <t>바른시스템</t>
  </si>
  <si>
    <t>종교방송</t>
  </si>
  <si>
    <t>브리토바코</t>
  </si>
  <si>
    <t>사이컴테크</t>
  </si>
  <si>
    <t>인표산업</t>
  </si>
  <si>
    <t>인표산업 안양공장</t>
  </si>
  <si>
    <t>인표정보</t>
  </si>
  <si>
    <t>수원정보</t>
  </si>
  <si>
    <t>솔리드시스템</t>
  </si>
  <si>
    <t>동아건설</t>
  </si>
  <si>
    <t>영화시스템</t>
  </si>
  <si>
    <t>지티아이앤씨</t>
  </si>
  <si>
    <t>아이리스</t>
  </si>
  <si>
    <t>아이엘씨</t>
  </si>
  <si>
    <t>로보츠</t>
  </si>
  <si>
    <t>로보츠(1/5)</t>
  </si>
  <si>
    <t>로보츠(1/9)</t>
  </si>
  <si>
    <t>로보츠(1/14)</t>
  </si>
  <si>
    <t>로보츠(2/5)</t>
  </si>
  <si>
    <t>로보츠(2/10)</t>
  </si>
  <si>
    <t>로보츠(3/5)</t>
  </si>
  <si>
    <t>로보츠(3/17)</t>
  </si>
  <si>
    <t>로보츠(3/26)</t>
  </si>
  <si>
    <t>로보츠(4/1)</t>
  </si>
  <si>
    <t>로보츠(4/3)</t>
  </si>
  <si>
    <t>로보츠(4/7)</t>
  </si>
  <si>
    <t>로보츠(5/7)</t>
  </si>
  <si>
    <t>로보츠(5/16)</t>
  </si>
  <si>
    <t>로보츠(6/5)</t>
  </si>
  <si>
    <t>에스엔유정보기술</t>
  </si>
  <si>
    <t>코드정보</t>
  </si>
  <si>
    <t>제이원캐피탈</t>
  </si>
  <si>
    <t>에이큐씨앤씨</t>
  </si>
  <si>
    <t>성대의료원</t>
  </si>
  <si>
    <t>온더보드</t>
  </si>
  <si>
    <t>에이비씨한국</t>
  </si>
  <si>
    <t>더블포인트</t>
  </si>
  <si>
    <t>유티모스트</t>
  </si>
  <si>
    <t>이룸정보</t>
  </si>
  <si>
    <t>대륭상선</t>
  </si>
  <si>
    <t>제트컨버터</t>
  </si>
  <si>
    <t>중소기업은행</t>
  </si>
  <si>
    <t>케이아이티</t>
  </si>
  <si>
    <t>케이씨비</t>
  </si>
  <si>
    <t>투데이시스템</t>
  </si>
  <si>
    <t>시스나인(3/4) 1400중 800(1/3회)
투데이시스템(8/30) 1,000,00(1/3)</t>
  </si>
  <si>
    <t>시스나인(3/4) 1400중 800(2/3회)
투데이시스템(8/30) 1,000,00(2/3)</t>
  </si>
  <si>
    <t>시스나인(3/4) 1400중 800(3/3회)
투데이시스템(8/30) 1,000,00(3/3)</t>
  </si>
  <si>
    <t>한국도자기협회</t>
  </si>
  <si>
    <t>한국디지털방송</t>
  </si>
  <si>
    <t>해종합건축사사무소</t>
  </si>
  <si>
    <t>다솜(5/29) 5,780,000
이룸에스앤앤(4/14) 8,600,000
아이티스톤(5/30) 2,400,000
운반비(5/31) 35,000
재고, 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</si>
</sst>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0">
    <numFmt numFmtId="7" formatCode="&quot;₩&quot;#,##0.00;\-&quot;₩&quot;#,##0.00"/>
    <numFmt numFmtId="41" formatCode="_-* #,##0_-;\-* #,##0_-;_-* &quot;-&quot;_-;_-@_-"/>
    <numFmt numFmtId="43" formatCode="_-* #,##0.00_-;\-* #,##0.00_-;_-* &quot;-&quot;??_-;_-@_-"/>
    <numFmt numFmtId="176" formatCode="_(* #,##0_);_(* \(#,##0\);_(* &quot;-&quot;_);_(@_)"/>
    <numFmt numFmtId="177" formatCode="#,##0_ ;[Red]\-#,##0\ "/>
    <numFmt numFmtId="178" formatCode="#,##0_ "/>
    <numFmt numFmtId="179" formatCode="mm&quot;월&quot;\ dd&quot;일&quot;"/>
    <numFmt numFmtId="180" formatCode="m&quot;월&quot;\ d&quot;일&quot;;@"/>
    <numFmt numFmtId="181" formatCode="#,##0_);[Red]\(#,##0\)"/>
    <numFmt numFmtId="182" formatCode="yy/mm/dd"/>
    <numFmt numFmtId="183" formatCode="0_);[Red]\(0\)"/>
    <numFmt numFmtId="184" formatCode="0.00000%"/>
    <numFmt numFmtId="185" formatCode="#,##0.0000"/>
    <numFmt numFmtId="186" formatCode="#"/>
    <numFmt numFmtId="187" formatCode="0.0%"/>
    <numFmt numFmtId="188" formatCode="_(* #,##0.0_);_(* \(#,##0.0\);_(* &quot;-&quot;?_);_(@_)"/>
    <numFmt numFmtId="189" formatCode="0.00;[Red]0.00"/>
    <numFmt numFmtId="190" formatCode="0.0;[Red]0.0"/>
    <numFmt numFmtId="191" formatCode="_(* #,##0.00000_);_(* \(#,##0.00000\);_(* &quot;-&quot;??_);_(@_)"/>
    <numFmt numFmtId="192" formatCode="_(&quot;$&quot;* #,##0.0_);_(&quot;$&quot;* \(#,##0.0\);_(&quot;$&quot;* &quot;-&quot;_);_(@_)"/>
    <numFmt numFmtId="193" formatCode="_ * #,##0_ ;_ * \-#,##0_ ;_ * &quot;-&quot;_ ;_ @_ "/>
    <numFmt numFmtId="194" formatCode="_ * #,##0.00_ ;_ * \-#,##0.00_ ;_ * &quot;-&quot;??_ ;_ @_ "/>
    <numFmt numFmtId="195" formatCode="####"/>
    <numFmt numFmtId="196" formatCode="\,##"/>
    <numFmt numFmtId="197" formatCode="#.00"/>
    <numFmt numFmtId="198" formatCode="##"/>
    <numFmt numFmtId="199" formatCode="###,###,"/>
    <numFmt numFmtId="200" formatCode="_(&quot;$&quot;* #,##0_);_(&quot;$&quot;* \(#,##0\);_(&quot;$&quot;* &quot;-&quot;_);_(@_)"/>
    <numFmt numFmtId="201" formatCode="_(&quot;$&quot;* #,##0.00_);_(&quot;$&quot;* \(#,##0.00\);_(&quot;$&quot;* &quot;-&quot;??_);_(@_)"/>
    <numFmt numFmtId="202" formatCode="_-* #,##0\ &quot;F&quot;_-;\-* #,##0\ &quot;F&quot;_-;_-* &quot;-&quot;\ &quot;F&quot;_-;_-@_-"/>
    <numFmt numFmtId="203" formatCode="_-* #,##0.00\ &quot;F&quot;_-;\-* #,##0.00\ &quot;F&quot;_-;_-* &quot;-&quot;??\ &quot;F&quot;_-;_-@_-"/>
    <numFmt numFmtId="204" formatCode="_-* #,##0.00_-;&quot;₩&quot;\-* #,##0.00_-;_-* &quot;-&quot;??_-;_-@_-"/>
    <numFmt numFmtId="205" formatCode="#,###.0,,\ \ ;\(#,###.0,,\)\ \ "/>
    <numFmt numFmtId="206" formatCode="###"/>
    <numFmt numFmtId="207" formatCode="_-* #,##0.0_-;\-* #,##0.0_-;_-* &quot;-&quot;??_-;_-@_-"/>
    <numFmt numFmtId="208" formatCode="_ &quot;₩&quot;* #,##0.0000000_ ;_ &quot;₩&quot;* &quot;₩&quot;\-#,##0.0000000_ ;_ &quot;₩&quot;* &quot;-&quot;??_ ;_ @_ "/>
    <numFmt numFmtId="209" formatCode="&quot;$&quot;#,##0_);\(&quot;$&quot;#,##0\)"/>
    <numFmt numFmtId="210" formatCode="#,##0,_);[Red]\(#,##0,\);&quot;-  &quot;"/>
    <numFmt numFmtId="211" formatCode="#,##0.0,_);[Red]\(#,##0.0,\);&quot;-  &quot;"/>
    <numFmt numFmtId="212" formatCode="#,###,\ \ ;\(#,###,\)\ \ "/>
    <numFmt numFmtId="213" formatCode="_ * #,##0.000000_ ;_ * &quot;₩&quot;\-#,##0.000000_ ;_ * &quot;-&quot;??_ ;_ @_ "/>
    <numFmt numFmtId="214" formatCode="#,##0.0"/>
    <numFmt numFmtId="215" formatCode="0.0"/>
    <numFmt numFmtId="216" formatCode="#,##0;[Red]&quot;-&quot;#,##0"/>
    <numFmt numFmtId="217" formatCode="#,##0.00;[Red]&quot;-&quot;#,##0.00"/>
    <numFmt numFmtId="218" formatCode="#,##0.00;&quot;-&quot;#,##0.00"/>
    <numFmt numFmtId="219" formatCode="#&quot;₩&quot;&quot;₩&quot;&quot;₩&quot;\ ?/?"/>
    <numFmt numFmtId="220" formatCode="#,##0;\(#,##0\)"/>
    <numFmt numFmtId="221" formatCode="#,##0.00000;[Red]\-#,##0.00000"/>
    <numFmt numFmtId="222" formatCode="#,##0.0000000;[Red]\-#,##0.0000000"/>
    <numFmt numFmtId="223" formatCode="0.0%;[Red]&quot;△&quot;0.0%"/>
    <numFmt numFmtId="224" formatCode="_-* #,##0&quot;₩&quot;\ _D_M_-;&quot;₩&quot;\-* #,##0&quot;₩&quot;\ _D_M_-;_-* &quot;-&quot;&quot;₩&quot;\ _D_M_-;_-@_-"/>
    <numFmt numFmtId="225" formatCode="* #,##0.0"/>
    <numFmt numFmtId="226" formatCode="#,##0.00000"/>
    <numFmt numFmtId="227" formatCode="_ * #,##0_ ;_ * &quot;₩&quot;\-#,##0_ ;_ * &quot;-&quot;??_ ;_ @_ "/>
    <numFmt numFmtId="228" formatCode="0.00000000"/>
    <numFmt numFmtId="229" formatCode="#,##0;[Red]&quot;△&quot;#,##0"/>
    <numFmt numFmtId="230" formatCode="_ &quot;₩&quot;* #,##0_ ;_ &quot;₩&quot;* \-#,##0_ ;_ &quot;₩&quot;* &quot;-&quot;_ ;_ @_ "/>
    <numFmt numFmtId="231" formatCode="_ &quot;₩&quot;* #,##0.00_ ;_ &quot;₩&quot;* \-#,##0.00_ ;_ &quot;₩&quot;* &quot;-&quot;??_ ;_ @_ "/>
    <numFmt numFmtId="232" formatCode="_-* #,##0\ &quot;DM&quot;_-;\-* #,##0\ &quot;DM&quot;_-;_-* &quot;-&quot;\ &quot;DM&quot;_-;_-@_-"/>
    <numFmt numFmtId="233" formatCode="_-* #,##0.00\ &quot;DM&quot;_-;\-* #,##0.00\ &quot;DM&quot;_-;_-* &quot;-&quot;??\ &quot;DM&quot;_-;_-@_-"/>
    <numFmt numFmtId="234" formatCode="m\o\n\th\ d\,\ yyyy"/>
    <numFmt numFmtId="235" formatCode="&quot;₩&quot;#,##0;&quot;₩&quot;\-#,##0"/>
    <numFmt numFmtId="236" formatCode="&quot;₩&quot;#,##0.00\ ;\(&quot;₩&quot;#,##0.00\)"/>
    <numFmt numFmtId="237" formatCode="_ * #,##0.00_ ;_ * &quot;₩&quot;&quot;₩&quot;&quot;₩&quot;\-#,##0.00_ ;_ * &quot;-&quot;??_ ;_ @_ "/>
    <numFmt numFmtId="238" formatCode="&quot;₩&quot;#,##0;[Red]&quot;₩&quot;&quot;₩&quot;&quot;₩&quot;&quot;₩&quot;&quot;₩&quot;&quot;₩&quot;&quot;₩&quot;&quot;₩&quot;&quot;₩&quot;&quot;₩&quot;&quot;₩&quot;\-#,##0"/>
    <numFmt numFmtId="239" formatCode="&quot;₩&quot;#,##0.00;[Red]&quot;₩&quot;&quot;₩&quot;&quot;₩&quot;&quot;₩&quot;&quot;₩&quot;&quot;₩&quot;&quot;₩&quot;&quot;₩&quot;&quot;₩&quot;&quot;₩&quot;&quot;₩&quot;\-#,##0.00"/>
    <numFmt numFmtId="240" formatCode="_ * #,##0_ ;_ * &quot;₩&quot;&quot;₩&quot;&quot;₩&quot;&quot;₩&quot;\-#,##0_ ;_ * &quot;-&quot;_ ;_ @_ "/>
    <numFmt numFmtId="241" formatCode="_ * #,##0_ ;_ * &quot;₩&quot;&quot;₩&quot;&quot;₩&quot;\-#,##0_ ;_ * &quot;-&quot;_ ;_ @_ "/>
    <numFmt numFmtId="242" formatCode="#.##,"/>
  </numFmts>
  <fonts count="190">
    <font>
      <sz val="9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u/>
      <sz val="11"/>
      <color indexed="12"/>
      <name val="돋움"/>
      <family val="3"/>
      <charset val="129"/>
    </font>
    <font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sz val="10"/>
      <name val="Helv"/>
      <family val="2"/>
    </font>
    <font>
      <sz val="9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9"/>
      <color rgb="FF9C0006"/>
      <name val="맑은 고딕"/>
      <family val="2"/>
      <charset val="129"/>
      <scheme val="minor"/>
    </font>
    <font>
      <sz val="9"/>
      <color rgb="FF9C0006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name val="돋움"/>
      <family val="3"/>
      <charset val="129"/>
    </font>
    <font>
      <sz val="9"/>
      <color rgb="FFC00000"/>
      <name val="맑은 고딕"/>
      <family val="3"/>
      <charset val="129"/>
      <scheme val="major"/>
    </font>
    <font>
      <sz val="9"/>
      <color rgb="FFC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color rgb="FF0000FF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Helv"/>
    </font>
    <font>
      <sz val="12"/>
      <color rgb="FF000000"/>
      <name val="바탕체"/>
      <family val="1"/>
      <charset val="129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Geneva"/>
    </font>
    <font>
      <sz val="10"/>
      <color rgb="FF0000FF"/>
      <name val="Courier"/>
    </font>
    <font>
      <sz val="12"/>
      <color rgb="FF000000"/>
      <name val="Times New Roman"/>
      <family val="1"/>
    </font>
    <font>
      <sz val="8"/>
      <color rgb="FF0000FF"/>
      <name val="Univers (E1)"/>
    </font>
    <font>
      <sz val="11"/>
      <color rgb="FF9BBB59"/>
      <name val="Courier"/>
    </font>
    <font>
      <sz val="12"/>
      <color rgb="FF000000"/>
      <name val="宋体"/>
      <family val="3"/>
      <charset val="129"/>
    </font>
    <font>
      <sz val="10"/>
      <color rgb="FF000000"/>
      <name val="돋움체"/>
      <family val="3"/>
      <charset val="129"/>
    </font>
    <font>
      <sz val="10"/>
      <color rgb="FF9BBB59"/>
      <name val="Courier"/>
    </font>
    <font>
      <sz val="10"/>
      <color rgb="FF0000FF"/>
      <name val="Arial"/>
      <family val="2"/>
    </font>
    <font>
      <b/>
      <sz val="10"/>
      <color rgb="FF000000"/>
      <name val="Helv"/>
    </font>
    <font>
      <sz val="1"/>
      <color rgb="FF000000"/>
      <name val="Courier"/>
    </font>
    <font>
      <sz val="10"/>
      <color rgb="FF000000"/>
      <name val="MS Sans Serif"/>
    </font>
    <font>
      <b/>
      <sz val="12"/>
      <color rgb="FF000000"/>
      <name val="Helv"/>
    </font>
    <font>
      <u/>
      <sz val="8"/>
      <color rgb="FF0000FF"/>
      <name val="Times New Roman"/>
      <family val="1"/>
    </font>
    <font>
      <sz val="10"/>
      <color rgb="FFFF00FF"/>
      <name val="Arial"/>
      <family val="2"/>
    </font>
    <font>
      <b/>
      <sz val="11"/>
      <color rgb="FF000000"/>
      <name val="Helv"/>
    </font>
    <font>
      <b/>
      <sz val="12"/>
      <color rgb="FF000000"/>
      <name val="MS Sans Serif"/>
    </font>
    <font>
      <sz val="10"/>
      <color rgb="FFFF0000"/>
      <name val="Arial"/>
      <family val="2"/>
    </font>
    <font>
      <sz val="8"/>
      <color rgb="FF000000"/>
      <name val="Arial MT"/>
    </font>
    <font>
      <b/>
      <i/>
      <sz val="10"/>
      <color rgb="FFFF0000"/>
      <name val="Arial"/>
      <family val="2"/>
    </font>
    <font>
      <b/>
      <sz val="14"/>
      <color rgb="FF000000"/>
      <name val="Arial"/>
      <family val="2"/>
    </font>
    <font>
      <sz val="8"/>
      <color rgb="FF0000FF"/>
      <name val="Arial MT"/>
    </font>
    <font>
      <sz val="9"/>
      <color rgb="FF000000"/>
      <name val="굴림"/>
      <family val="3"/>
      <charset val="129"/>
    </font>
    <font>
      <sz val="9"/>
      <color rgb="FF000000"/>
      <name val="맑은 고딕"/>
      <family val="3"/>
      <charset val="129"/>
    </font>
    <font>
      <sz val="9"/>
      <color rgb="FFFFFFFF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9"/>
      <color rgb="FFFF9900"/>
      <name val="맑은 고딕"/>
      <family val="3"/>
      <charset val="129"/>
    </font>
    <font>
      <sz val="9"/>
      <color rgb="FF800080"/>
      <name val="맑은 고딕"/>
      <family val="3"/>
      <charset val="129"/>
    </font>
    <font>
      <sz val="9"/>
      <color rgb="FF993300"/>
      <name val="맑은 고딕"/>
      <family val="3"/>
      <charset val="129"/>
    </font>
    <font>
      <i/>
      <sz val="9"/>
      <color rgb="FF80808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color rgb="FFFF99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333399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sz val="9"/>
      <color rgb="FF008000"/>
      <name val="맑은 고딕"/>
      <family val="3"/>
      <charset val="129"/>
    </font>
    <font>
      <b/>
      <sz val="9"/>
      <color rgb="FF333333"/>
      <name val="맑은 고딕"/>
      <family val="3"/>
      <charset val="129"/>
    </font>
    <font>
      <u/>
      <sz val="10"/>
      <color rgb="FF0000FF"/>
      <name val="Arial"/>
      <family val="2"/>
    </font>
    <font>
      <u/>
      <sz val="11"/>
      <color theme="10"/>
      <name val="맑은 고딕"/>
      <family val="3"/>
      <charset val="129"/>
    </font>
    <font>
      <sz val="10"/>
      <name val="Arial"/>
      <family val="2"/>
    </font>
    <font>
      <sz val="9"/>
      <color rgb="FFFF0000"/>
      <name val="맑은 고딕"/>
      <family val="3"/>
      <charset val="129"/>
      <scheme val="major"/>
    </font>
    <font>
      <sz val="10"/>
      <color indexed="64"/>
      <name val="맑은 고딕"/>
      <family val="3"/>
      <charset val="129"/>
      <scheme val="minor"/>
    </font>
    <font>
      <sz val="10"/>
      <name val="돋움"/>
      <family val="3"/>
      <charset val="129"/>
    </font>
    <font>
      <u/>
      <sz val="11"/>
      <color indexed="36"/>
      <name val="돋움"/>
      <family val="3"/>
      <charset val="129"/>
    </font>
    <font>
      <sz val="11"/>
      <name val="ＭＳ ゴシック"/>
      <family val="3"/>
    </font>
    <font>
      <sz val="12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name val="ＭＳ ゴシック"/>
      <family val="3"/>
      <charset val="128"/>
    </font>
    <font>
      <sz val="11"/>
      <name val="ＭＳ ゴシック"/>
      <family val="3"/>
      <charset val="255"/>
    </font>
    <font>
      <sz val="12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2"/>
      <name val="Times New Roman"/>
      <family val="1"/>
    </font>
    <font>
      <sz val="10"/>
      <name val="Geneva"/>
      <family val="2"/>
    </font>
    <font>
      <sz val="9"/>
      <name val="굴림체"/>
      <family val="3"/>
      <charset val="129"/>
    </font>
    <font>
      <b/>
      <sz val="12"/>
      <name val="바탕체"/>
      <family val="1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b/>
      <sz val="11"/>
      <name val="돋움체"/>
      <family val="3"/>
      <charset val="129"/>
    </font>
    <font>
      <sz val="14"/>
      <name val="뼻뮝"/>
      <family val="3"/>
      <charset val="129"/>
    </font>
    <font>
      <sz val="11"/>
      <name val="뼻뮝"/>
      <family val="3"/>
      <charset val="129"/>
    </font>
    <font>
      <sz val="12"/>
      <name val="뼻뮝"/>
      <family val="3"/>
      <charset val="129"/>
    </font>
    <font>
      <sz val="12"/>
      <name val="宋?"/>
      <family val="3"/>
      <charset val="129"/>
    </font>
    <font>
      <sz val="10"/>
      <name val="명조"/>
      <family val="3"/>
      <charset val="129"/>
    </font>
    <font>
      <u/>
      <sz val="11"/>
      <color indexed="36"/>
      <name val="μ¸¿o"/>
      <family val="3"/>
      <charset val="129"/>
    </font>
    <font>
      <sz val="11"/>
      <name val="Verdana"/>
      <family val="2"/>
    </font>
    <font>
      <sz val="12"/>
      <name val="¨IoUAAA¡§u"/>
      <family val="1"/>
      <charset val="129"/>
    </font>
    <font>
      <sz val="12"/>
      <name val="ⓒoUAAA¨u"/>
      <family val="1"/>
      <charset val="129"/>
    </font>
    <font>
      <sz val="11"/>
      <name val="µ¸¿ò"/>
      <family val="3"/>
    </font>
    <font>
      <sz val="10"/>
      <name val="MS Sans Serif"/>
      <family val="2"/>
    </font>
    <font>
      <sz val="8"/>
      <name val="Times New Roman"/>
      <family val="1"/>
    </font>
    <font>
      <b/>
      <sz val="10"/>
      <name val="MS Sans Serif"/>
      <family val="2"/>
    </font>
    <font>
      <sz val="10"/>
      <name val="±¼¸²A¼"/>
      <family val="3"/>
      <charset val="129"/>
    </font>
    <font>
      <sz val="10"/>
      <name val="Courier"/>
      <family val="3"/>
    </font>
    <font>
      <b/>
      <sz val="10"/>
      <name val="Helv"/>
      <family val="2"/>
    </font>
    <font>
      <b/>
      <sz val="12"/>
      <name val="Arial"/>
      <family val="2"/>
    </font>
    <font>
      <sz val="10"/>
      <color indexed="8"/>
      <name val="Impact"/>
      <family val="2"/>
    </font>
    <font>
      <sz val="1"/>
      <color indexed="8"/>
      <name val="Courier"/>
      <family val="3"/>
    </font>
    <font>
      <sz val="10"/>
      <color indexed="24"/>
      <name val="Arial"/>
      <family val="2"/>
    </font>
    <font>
      <sz val="10"/>
      <name val="MS Serif"/>
      <family val="1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sz val="11"/>
      <name val="CG Omega"/>
      <family val="2"/>
    </font>
    <font>
      <sz val="12"/>
      <name val="Courier New"/>
      <family val="3"/>
    </font>
    <font>
      <b/>
      <sz val="11"/>
      <name val="Helv"/>
      <family val="2"/>
    </font>
    <font>
      <sz val="12"/>
      <name val="돋움체"/>
      <family val="3"/>
      <charset val="129"/>
    </font>
    <font>
      <sz val="10"/>
      <color indexed="8"/>
      <name val="MS Sans Serif"/>
      <family val="2"/>
    </font>
    <font>
      <sz val="12"/>
      <color indexed="8"/>
      <name val="Times New Roman"/>
      <family val="1"/>
    </font>
    <font>
      <sz val="12"/>
      <color indexed="9"/>
      <name val="Arial"/>
      <family val="2"/>
    </font>
    <font>
      <sz val="24"/>
      <name val="Courier New"/>
      <family val="3"/>
    </font>
    <font>
      <sz val="9"/>
      <color indexed="8"/>
      <name val="맑은 고딕"/>
      <family val="3"/>
      <charset val="129"/>
    </font>
    <font>
      <sz val="10"/>
      <name val="돋움체"/>
      <family val="3"/>
      <charset val="129"/>
    </font>
    <font>
      <b/>
      <sz val="10"/>
      <name val="Arial"/>
      <family val="2"/>
    </font>
    <font>
      <sz val="10"/>
      <color indexed="12"/>
      <name val="Courier"/>
      <family val="3"/>
    </font>
    <font>
      <sz val="8"/>
      <color indexed="12"/>
      <name val="Univers (E1)"/>
      <family val="2"/>
    </font>
    <font>
      <sz val="11"/>
      <color indexed="72"/>
      <name val="Courier"/>
      <family val="3"/>
    </font>
    <font>
      <sz val="10"/>
      <color indexed="72"/>
      <name val="Courier"/>
      <family val="3"/>
    </font>
    <font>
      <sz val="10"/>
      <color indexed="12"/>
      <name val="Arial"/>
      <family val="2"/>
    </font>
    <font>
      <u/>
      <sz val="8"/>
      <color indexed="12"/>
      <name val="Times New Roman"/>
      <family val="1"/>
    </font>
    <font>
      <sz val="10"/>
      <color indexed="14"/>
      <name val="Arial"/>
      <family val="2"/>
    </font>
    <font>
      <b/>
      <sz val="12"/>
      <name val="MS Sans Serif"/>
      <family val="2"/>
    </font>
    <font>
      <sz val="10"/>
      <color indexed="10"/>
      <name val="Arial"/>
      <family val="2"/>
    </font>
    <font>
      <sz val="8"/>
      <name val="Arial MT"/>
      <family val="2"/>
    </font>
    <font>
      <b/>
      <i/>
      <sz val="10"/>
      <color indexed="10"/>
      <name val="Arial"/>
      <family val="2"/>
    </font>
    <font>
      <sz val="8"/>
      <color indexed="12"/>
      <name val="Arial MT"/>
      <family val="2"/>
    </font>
    <font>
      <sz val="9"/>
      <name val="굴림"/>
      <family val="3"/>
      <charset val="129"/>
    </font>
    <font>
      <sz val="9"/>
      <color indexed="9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9"/>
      <color indexed="52"/>
      <name val="맑은 고딕"/>
      <family val="3"/>
      <charset val="129"/>
    </font>
    <font>
      <sz val="9"/>
      <color indexed="20"/>
      <name val="맑은 고딕"/>
      <family val="3"/>
      <charset val="129"/>
    </font>
    <font>
      <sz val="9"/>
      <color indexed="60"/>
      <name val="맑은 고딕"/>
      <family val="3"/>
      <charset val="129"/>
    </font>
    <font>
      <i/>
      <sz val="9"/>
      <color indexed="23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2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sz val="9"/>
      <color indexed="17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sz val="11"/>
      <name val="돋움"/>
      <family val="3"/>
    </font>
    <font>
      <u/>
      <sz val="10"/>
      <color indexed="12"/>
      <name val="Arial"/>
      <family val="2"/>
    </font>
  </fonts>
  <fills count="7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CCFF"/>
        <bgColor rgb="FFFFFFFF"/>
      </patternFill>
    </fill>
    <fill>
      <patternFill patternType="solid">
        <fgColor rgb="FFFF99CC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FF8080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FFCC00"/>
        <bgColor rgb="FFFFFFFF"/>
      </patternFill>
    </fill>
    <fill>
      <patternFill patternType="solid">
        <fgColor rgb="FF0066CC"/>
        <bgColor rgb="FFFFFFFF"/>
      </patternFill>
    </fill>
    <fill>
      <patternFill patternType="solid">
        <fgColor rgb="FF800080"/>
        <bgColor rgb="FFFFFFFF"/>
      </patternFill>
    </fill>
    <fill>
      <patternFill patternType="solid">
        <fgColor rgb="FF33CCCC"/>
        <bgColor rgb="FFFFFFFF"/>
      </patternFill>
    </fill>
    <fill>
      <patternFill patternType="solid">
        <fgColor rgb="FFFF990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333399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339966"/>
        <bgColor rgb="FFFFFFFF"/>
      </patternFill>
    </fill>
    <fill>
      <patternFill patternType="solid">
        <fgColor rgb="FFFF6600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969696"/>
        <bgColor rgb="FFFFFFFF"/>
      </patternFill>
    </fill>
    <fill>
      <patternFill patternType="solid">
        <fgColor rgb="FFD4D4D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9"/>
        <bgColor indexed="64"/>
      </patternFill>
    </fill>
    <fill>
      <patternFill patternType="gray0625">
        <bgColor indexed="34"/>
      </patternFill>
    </fill>
  </fills>
  <borders count="7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17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9" fillId="0" borderId="0"/>
    <xf numFmtId="0" fontId="30" fillId="0" borderId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5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43" fillId="0" borderId="0"/>
    <xf numFmtId="0" fontId="43" fillId="0" borderId="0"/>
    <xf numFmtId="0" fontId="47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0" fillId="0" borderId="0"/>
    <xf numFmtId="0" fontId="43" fillId="0" borderId="0"/>
    <xf numFmtId="0" fontId="43" fillId="0" borderId="0"/>
    <xf numFmtId="0" fontId="40" fillId="0" borderId="0"/>
    <xf numFmtId="0" fontId="47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1" fillId="0" borderId="0"/>
    <xf numFmtId="0" fontId="47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0" fillId="0" borderId="0"/>
    <xf numFmtId="0" fontId="40" fillId="0" borderId="0"/>
    <xf numFmtId="0" fontId="47" fillId="0" borderId="0"/>
    <xf numFmtId="0" fontId="4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9" fillId="0" borderId="0" applyNumberFormat="0" applyFill="0" applyBorder="0" applyAlignment="0" applyProtection="0"/>
    <xf numFmtId="37" fontId="48" fillId="0" borderId="0" applyFont="0" applyFill="0" applyBorder="0" applyAlignment="0" applyProtection="0">
      <protection locked="0"/>
    </xf>
    <xf numFmtId="0" fontId="49" fillId="0" borderId="0"/>
    <xf numFmtId="4" fontId="50" fillId="0" borderId="0" applyFont="0" applyFill="0" applyBorder="0" applyAlignment="0" applyProtection="0"/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185" fontId="50" fillId="0" borderId="0" applyFont="0" applyFill="0" applyBorder="0" applyAlignment="0" applyProtection="0"/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43" fillId="0" borderId="0" quotePrefix="1">
      <alignment horizontal="justify" vertical="justify"/>
      <protection hidden="1"/>
    </xf>
    <xf numFmtId="3" fontId="55" fillId="0" borderId="0" applyNumberFormat="0" applyFill="0" applyBorder="0" applyAlignment="0" applyProtection="0"/>
    <xf numFmtId="0" fontId="43" fillId="0" borderId="0" applyFill="0" applyBorder="0" applyAlignment="0"/>
    <xf numFmtId="0" fontId="43" fillId="0" borderId="0" applyFill="0" applyBorder="0" applyAlignment="0"/>
    <xf numFmtId="188" fontId="43" fillId="0" borderId="0" applyFill="0" applyBorder="0" applyAlignment="0"/>
    <xf numFmtId="189" fontId="43" fillId="0" borderId="0" applyFill="0" applyBorder="0" applyAlignment="0"/>
    <xf numFmtId="190" fontId="43" fillId="0" borderId="0" applyFill="0" applyBorder="0" applyAlignment="0"/>
    <xf numFmtId="0" fontId="43" fillId="0" borderId="0" applyFill="0" applyBorder="0" applyAlignment="0"/>
    <xf numFmtId="191" fontId="43" fillId="0" borderId="0" applyFill="0" applyBorder="0" applyAlignment="0"/>
    <xf numFmtId="0" fontId="43" fillId="0" borderId="0" applyFill="0" applyBorder="0" applyAlignment="0"/>
    <xf numFmtId="3" fontId="55" fillId="0" borderId="0" applyNumberFormat="0" applyFill="0" applyBorder="0" applyAlignment="0" applyProtection="0"/>
    <xf numFmtId="0" fontId="56" fillId="0" borderId="0"/>
    <xf numFmtId="4" fontId="57" fillId="0" borderId="0">
      <protection locked="0"/>
    </xf>
    <xf numFmtId="192" fontId="43" fillId="0" borderId="0"/>
    <xf numFmtId="192" fontId="43" fillId="0" borderId="0"/>
    <xf numFmtId="192" fontId="43" fillId="0" borderId="0"/>
    <xf numFmtId="192" fontId="43" fillId="0" borderId="0"/>
    <xf numFmtId="192" fontId="43" fillId="0" borderId="0"/>
    <xf numFmtId="192" fontId="43" fillId="0" borderId="0"/>
    <xf numFmtId="192" fontId="43" fillId="0" borderId="0"/>
    <xf numFmtId="192" fontId="43" fillId="0" borderId="0"/>
    <xf numFmtId="41" fontId="38" fillId="0" borderId="0" applyFont="0" applyFill="0" applyBorder="0" applyAlignment="0" applyProtection="0">
      <alignment vertical="center"/>
    </xf>
    <xf numFmtId="193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193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94" fontId="43" fillId="0" borderId="0" applyFont="0" applyFill="0" applyBorder="0" applyAlignment="0" applyProtection="0"/>
    <xf numFmtId="195" fontId="43" fillId="0" borderId="0">
      <protection locked="0"/>
    </xf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96" fontId="43" fillId="0" borderId="0">
      <protection locked="0"/>
    </xf>
    <xf numFmtId="14" fontId="43" fillId="0" borderId="0" applyFill="0" applyBorder="0" applyAlignment="0"/>
    <xf numFmtId="38" fontId="58" fillId="0" borderId="33">
      <alignment vertical="center"/>
    </xf>
    <xf numFmtId="17" fontId="40" fillId="0" borderId="0" applyNumberFormat="0" applyFont="0" applyFill="0" applyBorder="0" applyAlignment="0" applyProtection="0">
      <alignment horizontal="right"/>
    </xf>
    <xf numFmtId="0" fontId="55" fillId="0" borderId="0" applyFill="0" applyBorder="0" applyAlignment="0"/>
    <xf numFmtId="0" fontId="55" fillId="0" borderId="0" applyFill="0" applyBorder="0" applyAlignment="0"/>
    <xf numFmtId="0" fontId="55" fillId="0" borderId="0" applyFill="0" applyBorder="0" applyAlignment="0"/>
    <xf numFmtId="191" fontId="43" fillId="0" borderId="0" applyFill="0" applyBorder="0" applyAlignment="0"/>
    <xf numFmtId="0" fontId="55" fillId="0" borderId="0" applyFill="0" applyBorder="0" applyAlignment="0"/>
    <xf numFmtId="3" fontId="43" fillId="0" borderId="0" applyFill="0" applyBorder="0" applyAlignment="0" applyProtection="0"/>
    <xf numFmtId="197" fontId="57" fillId="0" borderId="0">
      <protection locked="0"/>
    </xf>
    <xf numFmtId="38" fontId="42" fillId="32" borderId="0" applyNumberFormat="0" applyBorder="0" applyAlignment="0" applyProtection="0"/>
    <xf numFmtId="0" fontId="59" fillId="0" borderId="0">
      <alignment horizontal="left"/>
    </xf>
    <xf numFmtId="0" fontId="45" fillId="0" borderId="34" applyNumberFormat="0" applyAlignment="0" applyProtection="0">
      <alignment horizontal="left" vertical="center"/>
    </xf>
    <xf numFmtId="0" fontId="45" fillId="0" borderId="35">
      <alignment horizontal="left" vertical="center"/>
    </xf>
    <xf numFmtId="198" fontId="43" fillId="0" borderId="0">
      <protection locked="0"/>
    </xf>
    <xf numFmtId="198" fontId="43" fillId="0" borderId="0"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10" fontId="42" fillId="33" borderId="36" applyNumberFormat="0" applyBorder="0" applyAlignment="0" applyProtection="0"/>
    <xf numFmtId="0" fontId="47" fillId="0" borderId="0"/>
    <xf numFmtId="199" fontId="39" fillId="0" borderId="0" applyFont="0" applyFill="0" applyBorder="0" applyAlignment="0" applyProtection="0"/>
    <xf numFmtId="178" fontId="39" fillId="0" borderId="0" applyFont="0" applyFill="0" applyBorder="0" applyAlignment="0" applyProtection="0"/>
    <xf numFmtId="0" fontId="61" fillId="0" borderId="0" applyFill="0" applyBorder="0" applyAlignment="0"/>
    <xf numFmtId="0" fontId="61" fillId="0" borderId="0" applyFill="0" applyBorder="0" applyAlignment="0"/>
    <xf numFmtId="0" fontId="61" fillId="0" borderId="0" applyFill="0" applyBorder="0" applyAlignment="0"/>
    <xf numFmtId="191" fontId="43" fillId="0" borderId="0" applyFill="0" applyBorder="0" applyAlignment="0"/>
    <xf numFmtId="0" fontId="61" fillId="0" borderId="0" applyFill="0" applyBorder="0" applyAlignment="0"/>
    <xf numFmtId="0" fontId="62" fillId="0" borderId="37"/>
    <xf numFmtId="202" fontId="43" fillId="0" borderId="0" applyFont="0" applyFill="0" applyBorder="0" applyAlignment="0" applyProtection="0"/>
    <xf numFmtId="203" fontId="43" fillId="0" borderId="0" applyFont="0" applyFill="0" applyBorder="0" applyAlignment="0" applyProtection="0"/>
    <xf numFmtId="204" fontId="41" fillId="0" borderId="0"/>
    <xf numFmtId="0" fontId="40" fillId="0" borderId="0"/>
    <xf numFmtId="0" fontId="58" fillId="0" borderId="0"/>
    <xf numFmtId="0" fontId="58" fillId="0" borderId="0"/>
    <xf numFmtId="0" fontId="10" fillId="0" borderId="0">
      <alignment vertical="center"/>
    </xf>
    <xf numFmtId="0" fontId="10" fillId="0" borderId="0">
      <alignment vertical="center"/>
    </xf>
    <xf numFmtId="0" fontId="43" fillId="0" borderId="0"/>
    <xf numFmtId="205" fontId="46" fillId="0" borderId="38" applyFont="0" applyFill="0" applyBorder="0" applyAlignment="0">
      <alignment horizontal="left"/>
    </xf>
    <xf numFmtId="0" fontId="63" fillId="0" borderId="0"/>
    <xf numFmtId="187" fontId="43" fillId="0" borderId="0" applyFont="0" applyFill="0" applyBorder="0" applyAlignment="0" applyProtection="0"/>
    <xf numFmtId="206" fontId="43" fillId="0" borderId="0">
      <protection locked="0"/>
    </xf>
    <xf numFmtId="190" fontId="43" fillId="0" borderId="0" applyFont="0" applyFill="0" applyBorder="0" applyAlignment="0" applyProtection="0"/>
    <xf numFmtId="207" fontId="43" fillId="0" borderId="0" applyFont="0" applyFill="0" applyBorder="0" applyAlignment="0" applyProtection="0"/>
    <xf numFmtId="10" fontId="43" fillId="0" borderId="0" applyFont="0" applyFill="0" applyBorder="0" applyAlignment="0" applyProtection="0"/>
    <xf numFmtId="208" fontId="39" fillId="0" borderId="0" applyFont="0" applyFill="0" applyBorder="0" applyAlignment="0" applyProtection="0"/>
    <xf numFmtId="0" fontId="64" fillId="0" borderId="0" applyFill="0" applyBorder="0" applyAlignment="0"/>
    <xf numFmtId="0" fontId="64" fillId="0" borderId="0" applyFill="0" applyBorder="0" applyAlignment="0"/>
    <xf numFmtId="0" fontId="64" fillId="0" borderId="0" applyFill="0" applyBorder="0" applyAlignment="0"/>
    <xf numFmtId="191" fontId="43" fillId="0" borderId="0" applyFill="0" applyBorder="0" applyAlignment="0"/>
    <xf numFmtId="0" fontId="64" fillId="0" borderId="0" applyFill="0" applyBorder="0" applyAlignment="0"/>
    <xf numFmtId="209" fontId="40" fillId="0" borderId="0">
      <alignment horizontal="right"/>
    </xf>
    <xf numFmtId="9" fontId="58" fillId="0" borderId="0" applyFont="0" applyFill="0" applyProtection="0"/>
    <xf numFmtId="37" fontId="65" fillId="0" borderId="0" applyNumberFormat="0" applyFill="0" applyBorder="0" applyAlignment="0"/>
    <xf numFmtId="0" fontId="58" fillId="0" borderId="0" applyNumberFormat="0" applyFont="0" applyFill="0" applyBorder="0" applyAlignment="0" applyProtection="0">
      <alignment horizontal="left"/>
    </xf>
    <xf numFmtId="3" fontId="66" fillId="0" borderId="39" applyNumberFormat="0" applyFill="0" applyBorder="0" applyAlignment="0" applyProtection="0"/>
    <xf numFmtId="0" fontId="58" fillId="0" borderId="0"/>
    <xf numFmtId="0" fontId="40" fillId="0" borderId="0"/>
    <xf numFmtId="0" fontId="62" fillId="0" borderId="0"/>
    <xf numFmtId="49" fontId="43" fillId="0" borderId="0" applyFill="0" applyBorder="0" applyAlignment="0"/>
    <xf numFmtId="210" fontId="43" fillId="0" borderId="0" applyFill="0" applyBorder="0" applyAlignment="0"/>
    <xf numFmtId="211" fontId="43" fillId="0" borderId="0" applyFill="0" applyBorder="0" applyAlignment="0"/>
    <xf numFmtId="198" fontId="43" fillId="0" borderId="40">
      <protection locked="0"/>
    </xf>
    <xf numFmtId="37" fontId="67" fillId="0" borderId="41" applyNumberFormat="0" applyFill="0" applyBorder="0">
      <alignment horizontal="left" vertical="center"/>
    </xf>
    <xf numFmtId="212" fontId="43" fillId="0" borderId="0">
      <alignment horizontal="right"/>
    </xf>
    <xf numFmtId="37" fontId="68" fillId="0" borderId="0" applyNumberFormat="0" applyFill="0" applyBorder="0" applyAlignment="0" applyProtection="0"/>
    <xf numFmtId="213" fontId="39" fillId="0" borderId="0" applyFont="0" applyFill="0" applyBorder="0" applyAlignment="0" applyProtection="0"/>
    <xf numFmtId="214" fontId="39" fillId="0" borderId="0" applyFont="0" applyFill="0" applyBorder="0" applyAlignment="0" applyProtection="0"/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0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32" borderId="42" applyNumberFormat="0" applyAlignment="0" applyProtection="0">
      <alignment vertical="center"/>
    </xf>
    <xf numFmtId="0" fontId="73" fillId="32" borderId="42" applyNumberFormat="0" applyAlignment="0" applyProtection="0">
      <alignment vertical="center"/>
    </xf>
    <xf numFmtId="0" fontId="73" fillId="32" borderId="42" applyNumberFormat="0" applyAlignment="0" applyProtection="0">
      <alignment vertical="center"/>
    </xf>
    <xf numFmtId="0" fontId="73" fillId="32" borderId="42" applyNumberFormat="0" applyAlignment="0" applyProtection="0">
      <alignment vertical="center"/>
    </xf>
    <xf numFmtId="0" fontId="73" fillId="32" borderId="42" applyNumberFormat="0" applyAlignment="0" applyProtection="0">
      <alignment vertical="center"/>
    </xf>
    <xf numFmtId="0" fontId="73" fillId="32" borderId="42" applyNumberFormat="0" applyAlignment="0" applyProtection="0">
      <alignment vertical="center"/>
    </xf>
    <xf numFmtId="0" fontId="73" fillId="32" borderId="42" applyNumberFormat="0" applyAlignment="0" applyProtection="0">
      <alignment vertical="center"/>
    </xf>
    <xf numFmtId="0" fontId="73" fillId="32" borderId="42" applyNumberFormat="0" applyAlignment="0" applyProtection="0">
      <alignment vertical="center"/>
    </xf>
    <xf numFmtId="0" fontId="73" fillId="32" borderId="42" applyNumberFormat="0" applyAlignment="0" applyProtection="0">
      <alignment vertical="center"/>
    </xf>
    <xf numFmtId="0" fontId="73" fillId="32" borderId="42" applyNumberFormat="0" applyAlignment="0" applyProtection="0">
      <alignment vertical="center"/>
    </xf>
    <xf numFmtId="0" fontId="73" fillId="32" borderId="42" applyNumberFormat="0" applyAlignment="0" applyProtection="0">
      <alignment vertical="center"/>
    </xf>
    <xf numFmtId="0" fontId="73" fillId="32" borderId="42" applyNumberFormat="0" applyAlignment="0" applyProtection="0">
      <alignment vertical="center"/>
    </xf>
    <xf numFmtId="0" fontId="73" fillId="32" borderId="42" applyNumberFormat="0" applyAlignment="0" applyProtection="0">
      <alignment vertical="center"/>
    </xf>
    <xf numFmtId="0" fontId="73" fillId="32" borderId="42" applyNumberFormat="0" applyAlignment="0" applyProtection="0">
      <alignment vertical="center"/>
    </xf>
    <xf numFmtId="0" fontId="73" fillId="32" borderId="42" applyNumberFormat="0" applyAlignment="0" applyProtection="0">
      <alignment vertical="center"/>
    </xf>
    <xf numFmtId="0" fontId="73" fillId="32" borderId="42" applyNumberFormat="0" applyAlignment="0" applyProtection="0">
      <alignment vertical="center"/>
    </xf>
    <xf numFmtId="0" fontId="73" fillId="32" borderId="42" applyNumberFormat="0" applyAlignment="0" applyProtection="0">
      <alignment vertical="center"/>
    </xf>
    <xf numFmtId="0" fontId="73" fillId="32" borderId="42" applyNumberFormat="0" applyAlignment="0" applyProtection="0">
      <alignment vertical="center"/>
    </xf>
    <xf numFmtId="0" fontId="73" fillId="32" borderId="42" applyNumberFormat="0" applyAlignment="0" applyProtection="0">
      <alignment vertical="center"/>
    </xf>
    <xf numFmtId="0" fontId="73" fillId="32" borderId="42" applyNumberFormat="0" applyAlignment="0" applyProtection="0">
      <alignment vertical="center"/>
    </xf>
    <xf numFmtId="0" fontId="73" fillId="32" borderId="42" applyNumberFormat="0" applyAlignment="0" applyProtection="0">
      <alignment vertical="center"/>
    </xf>
    <xf numFmtId="0" fontId="73" fillId="32" borderId="42" applyNumberFormat="0" applyAlignment="0" applyProtection="0">
      <alignment vertical="center"/>
    </xf>
    <xf numFmtId="0" fontId="73" fillId="32" borderId="42" applyNumberFormat="0" applyAlignment="0" applyProtection="0">
      <alignment vertical="center"/>
    </xf>
    <xf numFmtId="0" fontId="73" fillId="32" borderId="42" applyNumberFormat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39" fillId="33" borderId="43" applyNumberFormat="0" applyFont="0" applyAlignment="0" applyProtection="0">
      <alignment vertical="center"/>
    </xf>
    <xf numFmtId="0" fontId="39" fillId="33" borderId="43" applyNumberFormat="0" applyFont="0" applyAlignment="0" applyProtection="0">
      <alignment vertical="center"/>
    </xf>
    <xf numFmtId="0" fontId="39" fillId="33" borderId="43" applyNumberFormat="0" applyFont="0" applyAlignment="0" applyProtection="0">
      <alignment vertical="center"/>
    </xf>
    <xf numFmtId="0" fontId="39" fillId="33" borderId="43" applyNumberFormat="0" applyFont="0" applyAlignment="0" applyProtection="0">
      <alignment vertical="center"/>
    </xf>
    <xf numFmtId="0" fontId="39" fillId="33" borderId="43" applyNumberFormat="0" applyFont="0" applyAlignment="0" applyProtection="0">
      <alignment vertical="center"/>
    </xf>
    <xf numFmtId="0" fontId="39" fillId="33" borderId="43" applyNumberFormat="0" applyFont="0" applyAlignment="0" applyProtection="0">
      <alignment vertical="center"/>
    </xf>
    <xf numFmtId="0" fontId="39" fillId="33" borderId="43" applyNumberFormat="0" applyFont="0" applyAlignment="0" applyProtection="0">
      <alignment vertical="center"/>
    </xf>
    <xf numFmtId="0" fontId="39" fillId="33" borderId="43" applyNumberFormat="0" applyFont="0" applyAlignment="0" applyProtection="0">
      <alignment vertical="center"/>
    </xf>
    <xf numFmtId="0" fontId="39" fillId="33" borderId="43" applyNumberFormat="0" applyFont="0" applyAlignment="0" applyProtection="0">
      <alignment vertical="center"/>
    </xf>
    <xf numFmtId="0" fontId="39" fillId="33" borderId="43" applyNumberFormat="0" applyFont="0" applyAlignment="0" applyProtection="0">
      <alignment vertical="center"/>
    </xf>
    <xf numFmtId="0" fontId="39" fillId="33" borderId="43" applyNumberFormat="0" applyFont="0" applyAlignment="0" applyProtection="0">
      <alignment vertical="center"/>
    </xf>
    <xf numFmtId="0" fontId="39" fillId="33" borderId="43" applyNumberFormat="0" applyFont="0" applyAlignment="0" applyProtection="0">
      <alignment vertical="center"/>
    </xf>
    <xf numFmtId="0" fontId="39" fillId="33" borderId="43" applyNumberFormat="0" applyFont="0" applyAlignment="0" applyProtection="0">
      <alignment vertical="center"/>
    </xf>
    <xf numFmtId="0" fontId="39" fillId="33" borderId="43" applyNumberFormat="0" applyFont="0" applyAlignment="0" applyProtection="0">
      <alignment vertical="center"/>
    </xf>
    <xf numFmtId="0" fontId="39" fillId="33" borderId="43" applyNumberFormat="0" applyFont="0" applyAlignment="0" applyProtection="0">
      <alignment vertical="center"/>
    </xf>
    <xf numFmtId="0" fontId="39" fillId="33" borderId="43" applyNumberFormat="0" applyFont="0" applyAlignment="0" applyProtection="0">
      <alignment vertical="center"/>
    </xf>
    <xf numFmtId="0" fontId="39" fillId="33" borderId="43" applyNumberFormat="0" applyFont="0" applyAlignment="0" applyProtection="0">
      <alignment vertical="center"/>
    </xf>
    <xf numFmtId="0" fontId="39" fillId="33" borderId="43" applyNumberFormat="0" applyFont="0" applyAlignment="0" applyProtection="0">
      <alignment vertical="center"/>
    </xf>
    <xf numFmtId="0" fontId="39" fillId="33" borderId="43" applyNumberFormat="0" applyFont="0" applyAlignment="0" applyProtection="0">
      <alignment vertical="center"/>
    </xf>
    <xf numFmtId="0" fontId="39" fillId="33" borderId="43" applyNumberFormat="0" applyFont="0" applyAlignment="0" applyProtection="0">
      <alignment vertical="center"/>
    </xf>
    <xf numFmtId="0" fontId="39" fillId="33" borderId="43" applyNumberFormat="0" applyFont="0" applyAlignment="0" applyProtection="0">
      <alignment vertical="center"/>
    </xf>
    <xf numFmtId="0" fontId="39" fillId="33" borderId="43" applyNumberFormat="0" applyFont="0" applyAlignment="0" applyProtection="0">
      <alignment vertical="center"/>
    </xf>
    <xf numFmtId="0" fontId="39" fillId="33" borderId="43" applyNumberFormat="0" applyFont="0" applyAlignment="0" applyProtection="0">
      <alignment vertical="center"/>
    </xf>
    <xf numFmtId="0" fontId="39" fillId="33" borderId="43" applyNumberFormat="0" applyFont="0" applyAlignment="0" applyProtection="0">
      <alignment vertical="center"/>
    </xf>
    <xf numFmtId="186" fontId="51" fillId="0" borderId="0">
      <protection locked="0"/>
    </xf>
    <xf numFmtId="9" fontId="39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52" fillId="0" borderId="0"/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39" borderId="44" applyNumberFormat="0" applyAlignment="0" applyProtection="0">
      <alignment vertical="center"/>
    </xf>
    <xf numFmtId="0" fontId="77" fillId="39" borderId="44" applyNumberFormat="0" applyAlignment="0" applyProtection="0">
      <alignment vertical="center"/>
    </xf>
    <xf numFmtId="0" fontId="77" fillId="39" borderId="44" applyNumberFormat="0" applyAlignment="0" applyProtection="0">
      <alignment vertical="center"/>
    </xf>
    <xf numFmtId="0" fontId="77" fillId="39" borderId="44" applyNumberFormat="0" applyAlignment="0" applyProtection="0">
      <alignment vertical="center"/>
    </xf>
    <xf numFmtId="0" fontId="77" fillId="39" borderId="44" applyNumberFormat="0" applyAlignment="0" applyProtection="0">
      <alignment vertical="center"/>
    </xf>
    <xf numFmtId="0" fontId="77" fillId="39" borderId="44" applyNumberFormat="0" applyAlignment="0" applyProtection="0">
      <alignment vertical="center"/>
    </xf>
    <xf numFmtId="0" fontId="77" fillId="39" borderId="44" applyNumberFormat="0" applyAlignment="0" applyProtection="0">
      <alignment vertical="center"/>
    </xf>
    <xf numFmtId="0" fontId="77" fillId="39" borderId="44" applyNumberFormat="0" applyAlignment="0" applyProtection="0">
      <alignment vertical="center"/>
    </xf>
    <xf numFmtId="0" fontId="77" fillId="39" borderId="44" applyNumberFormat="0" applyAlignment="0" applyProtection="0">
      <alignment vertical="center"/>
    </xf>
    <xf numFmtId="0" fontId="77" fillId="39" borderId="44" applyNumberFormat="0" applyAlignment="0" applyProtection="0">
      <alignment vertical="center"/>
    </xf>
    <xf numFmtId="0" fontId="77" fillId="39" borderId="44" applyNumberFormat="0" applyAlignment="0" applyProtection="0">
      <alignment vertical="center"/>
    </xf>
    <xf numFmtId="0" fontId="77" fillId="39" borderId="44" applyNumberFormat="0" applyAlignment="0" applyProtection="0">
      <alignment vertical="center"/>
    </xf>
    <xf numFmtId="0" fontId="77" fillId="39" borderId="44" applyNumberFormat="0" applyAlignment="0" applyProtection="0">
      <alignment vertical="center"/>
    </xf>
    <xf numFmtId="0" fontId="77" fillId="39" borderId="44" applyNumberFormat="0" applyAlignment="0" applyProtection="0">
      <alignment vertical="center"/>
    </xf>
    <xf numFmtId="0" fontId="77" fillId="39" borderId="44" applyNumberFormat="0" applyAlignment="0" applyProtection="0">
      <alignment vertical="center"/>
    </xf>
    <xf numFmtId="0" fontId="77" fillId="39" borderId="44" applyNumberFormat="0" applyAlignment="0" applyProtection="0">
      <alignment vertical="center"/>
    </xf>
    <xf numFmtId="0" fontId="77" fillId="39" borderId="44" applyNumberFormat="0" applyAlignment="0" applyProtection="0">
      <alignment vertical="center"/>
    </xf>
    <xf numFmtId="0" fontId="77" fillId="39" borderId="44" applyNumberFormat="0" applyAlignment="0" applyProtection="0">
      <alignment vertical="center"/>
    </xf>
    <xf numFmtId="0" fontId="77" fillId="39" borderId="44" applyNumberFormat="0" applyAlignment="0" applyProtection="0">
      <alignment vertical="center"/>
    </xf>
    <xf numFmtId="0" fontId="77" fillId="39" borderId="44" applyNumberFormat="0" applyAlignment="0" applyProtection="0">
      <alignment vertical="center"/>
    </xf>
    <xf numFmtId="0" fontId="77" fillId="39" borderId="44" applyNumberFormat="0" applyAlignment="0" applyProtection="0">
      <alignment vertical="center"/>
    </xf>
    <xf numFmtId="0" fontId="77" fillId="39" borderId="44" applyNumberFormat="0" applyAlignment="0" applyProtection="0">
      <alignment vertical="center"/>
    </xf>
    <xf numFmtId="0" fontId="77" fillId="39" borderId="44" applyNumberFormat="0" applyAlignment="0" applyProtection="0">
      <alignment vertical="center"/>
    </xf>
    <xf numFmtId="0" fontId="77" fillId="39" borderId="44" applyNumberFormat="0" applyAlignment="0" applyProtection="0">
      <alignment vertical="center"/>
    </xf>
    <xf numFmtId="186" fontId="51" fillId="0" borderId="0">
      <protection locked="0"/>
    </xf>
    <xf numFmtId="186" fontId="51" fillId="0" borderId="0">
      <protection locked="0"/>
    </xf>
    <xf numFmtId="41" fontId="10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193" fontId="38" fillId="0" borderId="0" applyFont="0" applyFill="0" applyBorder="0" applyAlignment="0" applyProtection="0">
      <alignment vertical="center"/>
    </xf>
    <xf numFmtId="193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53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187" fontId="39" fillId="0" borderId="0" applyFont="0" applyFill="0" applyBorder="0" applyAlignment="0" applyProtection="0"/>
    <xf numFmtId="187" fontId="39" fillId="0" borderId="0" applyFont="0" applyFill="0" applyBorder="0" applyAlignment="0" applyProtection="0"/>
    <xf numFmtId="187" fontId="39" fillId="0" borderId="0" applyFont="0" applyFill="0" applyBorder="0" applyAlignment="0" applyProtection="0"/>
    <xf numFmtId="187" fontId="39" fillId="0" borderId="0" applyFont="0" applyFill="0" applyBorder="0" applyAlignment="0" applyProtection="0"/>
    <xf numFmtId="187" fontId="39" fillId="0" borderId="0" applyFont="0" applyFill="0" applyBorder="0" applyAlignment="0" applyProtection="0"/>
    <xf numFmtId="187" fontId="39" fillId="0" borderId="0" applyFont="0" applyFill="0" applyBorder="0" applyAlignment="0" applyProtection="0"/>
    <xf numFmtId="0" fontId="40" fillId="0" borderId="0"/>
    <xf numFmtId="0" fontId="78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>
      <alignment vertical="center"/>
    </xf>
    <xf numFmtId="0" fontId="78" fillId="0" borderId="45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44" fillId="0" borderId="0"/>
    <xf numFmtId="0" fontId="80" fillId="23" borderId="42" applyNumberFormat="0" applyAlignment="0" applyProtection="0">
      <alignment vertical="center"/>
    </xf>
    <xf numFmtId="0" fontId="80" fillId="23" borderId="42" applyNumberFormat="0" applyAlignment="0" applyProtection="0">
      <alignment vertical="center"/>
    </xf>
    <xf numFmtId="0" fontId="80" fillId="23" borderId="42" applyNumberFormat="0" applyAlignment="0" applyProtection="0">
      <alignment vertical="center"/>
    </xf>
    <xf numFmtId="0" fontId="80" fillId="23" borderId="42" applyNumberFormat="0" applyAlignment="0" applyProtection="0">
      <alignment vertical="center"/>
    </xf>
    <xf numFmtId="0" fontId="80" fillId="23" borderId="42" applyNumberFormat="0" applyAlignment="0" applyProtection="0">
      <alignment vertical="center"/>
    </xf>
    <xf numFmtId="0" fontId="80" fillId="23" borderId="42" applyNumberFormat="0" applyAlignment="0" applyProtection="0">
      <alignment vertical="center"/>
    </xf>
    <xf numFmtId="0" fontId="80" fillId="23" borderId="42" applyNumberFormat="0" applyAlignment="0" applyProtection="0">
      <alignment vertical="center"/>
    </xf>
    <xf numFmtId="0" fontId="80" fillId="23" borderId="42" applyNumberFormat="0" applyAlignment="0" applyProtection="0">
      <alignment vertical="center"/>
    </xf>
    <xf numFmtId="0" fontId="80" fillId="23" borderId="42" applyNumberFormat="0" applyAlignment="0" applyProtection="0">
      <alignment vertical="center"/>
    </xf>
    <xf numFmtId="0" fontId="80" fillId="23" borderId="42" applyNumberFormat="0" applyAlignment="0" applyProtection="0">
      <alignment vertical="center"/>
    </xf>
    <xf numFmtId="0" fontId="80" fillId="23" borderId="42" applyNumberFormat="0" applyAlignment="0" applyProtection="0">
      <alignment vertical="center"/>
    </xf>
    <xf numFmtId="0" fontId="80" fillId="23" borderId="42" applyNumberFormat="0" applyAlignment="0" applyProtection="0">
      <alignment vertical="center"/>
    </xf>
    <xf numFmtId="0" fontId="80" fillId="23" borderId="42" applyNumberFormat="0" applyAlignment="0" applyProtection="0">
      <alignment vertical="center"/>
    </xf>
    <xf numFmtId="0" fontId="80" fillId="23" borderId="42" applyNumberFormat="0" applyAlignment="0" applyProtection="0">
      <alignment vertical="center"/>
    </xf>
    <xf numFmtId="0" fontId="80" fillId="23" borderId="42" applyNumberFormat="0" applyAlignment="0" applyProtection="0">
      <alignment vertical="center"/>
    </xf>
    <xf numFmtId="0" fontId="80" fillId="23" borderId="42" applyNumberFormat="0" applyAlignment="0" applyProtection="0">
      <alignment vertical="center"/>
    </xf>
    <xf numFmtId="0" fontId="80" fillId="23" borderId="42" applyNumberFormat="0" applyAlignment="0" applyProtection="0">
      <alignment vertical="center"/>
    </xf>
    <xf numFmtId="0" fontId="80" fillId="23" borderId="42" applyNumberFormat="0" applyAlignment="0" applyProtection="0">
      <alignment vertical="center"/>
    </xf>
    <xf numFmtId="0" fontId="80" fillId="23" borderId="42" applyNumberFormat="0" applyAlignment="0" applyProtection="0">
      <alignment vertical="center"/>
    </xf>
    <xf numFmtId="0" fontId="80" fillId="23" borderId="42" applyNumberFormat="0" applyAlignment="0" applyProtection="0">
      <alignment vertical="center"/>
    </xf>
    <xf numFmtId="0" fontId="80" fillId="23" borderId="42" applyNumberFormat="0" applyAlignment="0" applyProtection="0">
      <alignment vertical="center"/>
    </xf>
    <xf numFmtId="0" fontId="80" fillId="23" borderId="42" applyNumberFormat="0" applyAlignment="0" applyProtection="0">
      <alignment vertical="center"/>
    </xf>
    <xf numFmtId="0" fontId="80" fillId="23" borderId="42" applyNumberFormat="0" applyAlignment="0" applyProtection="0">
      <alignment vertical="center"/>
    </xf>
    <xf numFmtId="0" fontId="80" fillId="23" borderId="42" applyNumberFormat="0" applyAlignment="0" applyProtection="0">
      <alignment vertical="center"/>
    </xf>
    <xf numFmtId="0" fontId="82" fillId="0" borderId="47" applyNumberFormat="0" applyFill="0" applyAlignment="0" applyProtection="0">
      <alignment vertical="center"/>
    </xf>
    <xf numFmtId="0" fontId="82" fillId="0" borderId="47" applyNumberFormat="0" applyFill="0" applyAlignment="0" applyProtection="0">
      <alignment vertical="center"/>
    </xf>
    <xf numFmtId="0" fontId="82" fillId="0" borderId="47" applyNumberFormat="0" applyFill="0" applyAlignment="0" applyProtection="0">
      <alignment vertical="center"/>
    </xf>
    <xf numFmtId="0" fontId="82" fillId="0" borderId="47" applyNumberFormat="0" applyFill="0" applyAlignment="0" applyProtection="0">
      <alignment vertical="center"/>
    </xf>
    <xf numFmtId="0" fontId="82" fillId="0" borderId="47" applyNumberFormat="0" applyFill="0" applyAlignment="0" applyProtection="0">
      <alignment vertical="center"/>
    </xf>
    <xf numFmtId="0" fontId="82" fillId="0" borderId="47" applyNumberFormat="0" applyFill="0" applyAlignment="0" applyProtection="0">
      <alignment vertical="center"/>
    </xf>
    <xf numFmtId="0" fontId="82" fillId="0" borderId="47" applyNumberFormat="0" applyFill="0" applyAlignment="0" applyProtection="0">
      <alignment vertical="center"/>
    </xf>
    <xf numFmtId="0" fontId="82" fillId="0" borderId="47" applyNumberFormat="0" applyFill="0" applyAlignment="0" applyProtection="0">
      <alignment vertical="center"/>
    </xf>
    <xf numFmtId="0" fontId="82" fillId="0" borderId="47" applyNumberFormat="0" applyFill="0" applyAlignment="0" applyProtection="0">
      <alignment vertical="center"/>
    </xf>
    <xf numFmtId="0" fontId="82" fillId="0" borderId="47" applyNumberFormat="0" applyFill="0" applyAlignment="0" applyProtection="0">
      <alignment vertical="center"/>
    </xf>
    <xf numFmtId="0" fontId="82" fillId="0" borderId="47" applyNumberFormat="0" applyFill="0" applyAlignment="0" applyProtection="0">
      <alignment vertical="center"/>
    </xf>
    <xf numFmtId="0" fontId="82" fillId="0" borderId="47" applyNumberFormat="0" applyFill="0" applyAlignment="0" applyProtection="0">
      <alignment vertical="center"/>
    </xf>
    <xf numFmtId="0" fontId="82" fillId="0" borderId="47" applyNumberFormat="0" applyFill="0" applyAlignment="0" applyProtection="0">
      <alignment vertical="center"/>
    </xf>
    <xf numFmtId="0" fontId="82" fillId="0" borderId="47" applyNumberFormat="0" applyFill="0" applyAlignment="0" applyProtection="0">
      <alignment vertical="center"/>
    </xf>
    <xf numFmtId="0" fontId="82" fillId="0" borderId="47" applyNumberFormat="0" applyFill="0" applyAlignment="0" applyProtection="0">
      <alignment vertical="center"/>
    </xf>
    <xf numFmtId="0" fontId="82" fillId="0" borderId="47" applyNumberFormat="0" applyFill="0" applyAlignment="0" applyProtection="0">
      <alignment vertical="center"/>
    </xf>
    <xf numFmtId="0" fontId="82" fillId="0" borderId="47" applyNumberFormat="0" applyFill="0" applyAlignment="0" applyProtection="0">
      <alignment vertical="center"/>
    </xf>
    <xf numFmtId="0" fontId="82" fillId="0" borderId="47" applyNumberFormat="0" applyFill="0" applyAlignment="0" applyProtection="0">
      <alignment vertical="center"/>
    </xf>
    <xf numFmtId="0" fontId="82" fillId="0" borderId="47" applyNumberFormat="0" applyFill="0" applyAlignment="0" applyProtection="0">
      <alignment vertical="center"/>
    </xf>
    <xf numFmtId="0" fontId="82" fillId="0" borderId="47" applyNumberFormat="0" applyFill="0" applyAlignment="0" applyProtection="0">
      <alignment vertical="center"/>
    </xf>
    <xf numFmtId="0" fontId="82" fillId="0" borderId="47" applyNumberFormat="0" applyFill="0" applyAlignment="0" applyProtection="0">
      <alignment vertical="center"/>
    </xf>
    <xf numFmtId="0" fontId="82" fillId="0" borderId="47" applyNumberFormat="0" applyFill="0" applyAlignment="0" applyProtection="0">
      <alignment vertical="center"/>
    </xf>
    <xf numFmtId="0" fontId="82" fillId="0" borderId="47" applyNumberFormat="0" applyFill="0" applyAlignment="0" applyProtection="0">
      <alignment vertical="center"/>
    </xf>
    <xf numFmtId="0" fontId="82" fillId="0" borderId="47" applyNumberFormat="0" applyFill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3" fillId="0" borderId="48" applyNumberFormat="0" applyFill="0" applyAlignment="0" applyProtection="0">
      <alignment vertical="center"/>
    </xf>
    <xf numFmtId="0" fontId="83" fillId="0" borderId="48" applyNumberFormat="0" applyFill="0" applyAlignment="0" applyProtection="0">
      <alignment vertical="center"/>
    </xf>
    <xf numFmtId="0" fontId="83" fillId="0" borderId="48" applyNumberFormat="0" applyFill="0" applyAlignment="0" applyProtection="0">
      <alignment vertical="center"/>
    </xf>
    <xf numFmtId="0" fontId="83" fillId="0" borderId="48" applyNumberFormat="0" applyFill="0" applyAlignment="0" applyProtection="0">
      <alignment vertical="center"/>
    </xf>
    <xf numFmtId="0" fontId="83" fillId="0" borderId="48" applyNumberFormat="0" applyFill="0" applyAlignment="0" applyProtection="0">
      <alignment vertical="center"/>
    </xf>
    <xf numFmtId="0" fontId="83" fillId="0" borderId="48" applyNumberFormat="0" applyFill="0" applyAlignment="0" applyProtection="0">
      <alignment vertical="center"/>
    </xf>
    <xf numFmtId="0" fontId="83" fillId="0" borderId="48" applyNumberFormat="0" applyFill="0" applyAlignment="0" applyProtection="0">
      <alignment vertical="center"/>
    </xf>
    <xf numFmtId="0" fontId="83" fillId="0" borderId="48" applyNumberFormat="0" applyFill="0" applyAlignment="0" applyProtection="0">
      <alignment vertical="center"/>
    </xf>
    <xf numFmtId="0" fontId="83" fillId="0" borderId="48" applyNumberFormat="0" applyFill="0" applyAlignment="0" applyProtection="0">
      <alignment vertical="center"/>
    </xf>
    <xf numFmtId="0" fontId="83" fillId="0" borderId="48" applyNumberFormat="0" applyFill="0" applyAlignment="0" applyProtection="0">
      <alignment vertical="center"/>
    </xf>
    <xf numFmtId="0" fontId="83" fillId="0" borderId="48" applyNumberFormat="0" applyFill="0" applyAlignment="0" applyProtection="0">
      <alignment vertical="center"/>
    </xf>
    <xf numFmtId="0" fontId="83" fillId="0" borderId="48" applyNumberFormat="0" applyFill="0" applyAlignment="0" applyProtection="0">
      <alignment vertical="center"/>
    </xf>
    <xf numFmtId="0" fontId="83" fillId="0" borderId="48" applyNumberFormat="0" applyFill="0" applyAlignment="0" applyProtection="0">
      <alignment vertical="center"/>
    </xf>
    <xf numFmtId="0" fontId="83" fillId="0" borderId="48" applyNumberFormat="0" applyFill="0" applyAlignment="0" applyProtection="0">
      <alignment vertical="center"/>
    </xf>
    <xf numFmtId="0" fontId="83" fillId="0" borderId="48" applyNumberFormat="0" applyFill="0" applyAlignment="0" applyProtection="0">
      <alignment vertical="center"/>
    </xf>
    <xf numFmtId="0" fontId="83" fillId="0" borderId="48" applyNumberFormat="0" applyFill="0" applyAlignment="0" applyProtection="0">
      <alignment vertical="center"/>
    </xf>
    <xf numFmtId="0" fontId="83" fillId="0" borderId="48" applyNumberFormat="0" applyFill="0" applyAlignment="0" applyProtection="0">
      <alignment vertical="center"/>
    </xf>
    <xf numFmtId="0" fontId="83" fillId="0" borderId="48" applyNumberFormat="0" applyFill="0" applyAlignment="0" applyProtection="0">
      <alignment vertical="center"/>
    </xf>
    <xf numFmtId="0" fontId="83" fillId="0" borderId="48" applyNumberFormat="0" applyFill="0" applyAlignment="0" applyProtection="0">
      <alignment vertical="center"/>
    </xf>
    <xf numFmtId="0" fontId="83" fillId="0" borderId="48" applyNumberFormat="0" applyFill="0" applyAlignment="0" applyProtection="0">
      <alignment vertical="center"/>
    </xf>
    <xf numFmtId="0" fontId="83" fillId="0" borderId="48" applyNumberFormat="0" applyFill="0" applyAlignment="0" applyProtection="0">
      <alignment vertical="center"/>
    </xf>
    <xf numFmtId="0" fontId="83" fillId="0" borderId="48" applyNumberFormat="0" applyFill="0" applyAlignment="0" applyProtection="0">
      <alignment vertical="center"/>
    </xf>
    <xf numFmtId="0" fontId="83" fillId="0" borderId="48" applyNumberFormat="0" applyFill="0" applyAlignment="0" applyProtection="0">
      <alignment vertical="center"/>
    </xf>
    <xf numFmtId="0" fontId="83" fillId="0" borderId="48" applyNumberFormat="0" applyFill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4" fillId="0" borderId="49" applyNumberFormat="0" applyFill="0" applyAlignment="0" applyProtection="0">
      <alignment vertical="center"/>
    </xf>
    <xf numFmtId="0" fontId="84" fillId="0" borderId="49" applyNumberFormat="0" applyFill="0" applyAlignment="0" applyProtection="0">
      <alignment vertical="center"/>
    </xf>
    <xf numFmtId="0" fontId="84" fillId="0" borderId="49" applyNumberFormat="0" applyFill="0" applyAlignment="0" applyProtection="0">
      <alignment vertical="center"/>
    </xf>
    <xf numFmtId="0" fontId="84" fillId="0" borderId="49" applyNumberFormat="0" applyFill="0" applyAlignment="0" applyProtection="0">
      <alignment vertical="center"/>
    </xf>
    <xf numFmtId="0" fontId="84" fillId="0" borderId="49" applyNumberFormat="0" applyFill="0" applyAlignment="0" applyProtection="0">
      <alignment vertical="center"/>
    </xf>
    <xf numFmtId="0" fontId="84" fillId="0" borderId="49" applyNumberFormat="0" applyFill="0" applyAlignment="0" applyProtection="0">
      <alignment vertical="center"/>
    </xf>
    <xf numFmtId="0" fontId="84" fillId="0" borderId="49" applyNumberFormat="0" applyFill="0" applyAlignment="0" applyProtection="0">
      <alignment vertical="center"/>
    </xf>
    <xf numFmtId="0" fontId="84" fillId="0" borderId="49" applyNumberFormat="0" applyFill="0" applyAlignment="0" applyProtection="0">
      <alignment vertical="center"/>
    </xf>
    <xf numFmtId="0" fontId="84" fillId="0" borderId="49" applyNumberFormat="0" applyFill="0" applyAlignment="0" applyProtection="0">
      <alignment vertical="center"/>
    </xf>
    <xf numFmtId="0" fontId="84" fillId="0" borderId="49" applyNumberFormat="0" applyFill="0" applyAlignment="0" applyProtection="0">
      <alignment vertical="center"/>
    </xf>
    <xf numFmtId="0" fontId="84" fillId="0" borderId="49" applyNumberFormat="0" applyFill="0" applyAlignment="0" applyProtection="0">
      <alignment vertical="center"/>
    </xf>
    <xf numFmtId="0" fontId="84" fillId="0" borderId="49" applyNumberFormat="0" applyFill="0" applyAlignment="0" applyProtection="0">
      <alignment vertical="center"/>
    </xf>
    <xf numFmtId="0" fontId="84" fillId="0" borderId="49" applyNumberFormat="0" applyFill="0" applyAlignment="0" applyProtection="0">
      <alignment vertical="center"/>
    </xf>
    <xf numFmtId="0" fontId="84" fillId="0" borderId="49" applyNumberFormat="0" applyFill="0" applyAlignment="0" applyProtection="0">
      <alignment vertical="center"/>
    </xf>
    <xf numFmtId="0" fontId="84" fillId="0" borderId="49" applyNumberFormat="0" applyFill="0" applyAlignment="0" applyProtection="0">
      <alignment vertical="center"/>
    </xf>
    <xf numFmtId="0" fontId="84" fillId="0" borderId="49" applyNumberFormat="0" applyFill="0" applyAlignment="0" applyProtection="0">
      <alignment vertical="center"/>
    </xf>
    <xf numFmtId="0" fontId="84" fillId="0" borderId="49" applyNumberFormat="0" applyFill="0" applyAlignment="0" applyProtection="0">
      <alignment vertical="center"/>
    </xf>
    <xf numFmtId="0" fontId="84" fillId="0" borderId="49" applyNumberFormat="0" applyFill="0" applyAlignment="0" applyProtection="0">
      <alignment vertical="center"/>
    </xf>
    <xf numFmtId="0" fontId="84" fillId="0" borderId="49" applyNumberFormat="0" applyFill="0" applyAlignment="0" applyProtection="0">
      <alignment vertical="center"/>
    </xf>
    <xf numFmtId="0" fontId="84" fillId="0" borderId="49" applyNumberFormat="0" applyFill="0" applyAlignment="0" applyProtection="0">
      <alignment vertical="center"/>
    </xf>
    <xf numFmtId="0" fontId="84" fillId="0" borderId="49" applyNumberFormat="0" applyFill="0" applyAlignment="0" applyProtection="0">
      <alignment vertical="center"/>
    </xf>
    <xf numFmtId="0" fontId="84" fillId="0" borderId="49" applyNumberFormat="0" applyFill="0" applyAlignment="0" applyProtection="0">
      <alignment vertical="center"/>
    </xf>
    <xf numFmtId="0" fontId="84" fillId="0" borderId="49" applyNumberFormat="0" applyFill="0" applyAlignment="0" applyProtection="0">
      <alignment vertical="center"/>
    </xf>
    <xf numFmtId="0" fontId="84" fillId="0" borderId="49" applyNumberFormat="0" applyFill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43" fontId="43" fillId="0" borderId="0" applyFont="0" applyFill="0" applyBorder="0" applyAlignment="0" applyProtection="0"/>
    <xf numFmtId="0" fontId="86" fillId="32" borderId="50" applyNumberFormat="0" applyAlignment="0" applyProtection="0">
      <alignment vertical="center"/>
    </xf>
    <xf numFmtId="0" fontId="86" fillId="32" borderId="50" applyNumberFormat="0" applyAlignment="0" applyProtection="0">
      <alignment vertical="center"/>
    </xf>
    <xf numFmtId="0" fontId="86" fillId="32" borderId="50" applyNumberFormat="0" applyAlignment="0" applyProtection="0">
      <alignment vertical="center"/>
    </xf>
    <xf numFmtId="0" fontId="86" fillId="32" borderId="50" applyNumberFormat="0" applyAlignment="0" applyProtection="0">
      <alignment vertical="center"/>
    </xf>
    <xf numFmtId="0" fontId="86" fillId="32" borderId="50" applyNumberFormat="0" applyAlignment="0" applyProtection="0">
      <alignment vertical="center"/>
    </xf>
    <xf numFmtId="0" fontId="86" fillId="32" borderId="50" applyNumberFormat="0" applyAlignment="0" applyProtection="0">
      <alignment vertical="center"/>
    </xf>
    <xf numFmtId="0" fontId="86" fillId="32" borderId="50" applyNumberFormat="0" applyAlignment="0" applyProtection="0">
      <alignment vertical="center"/>
    </xf>
    <xf numFmtId="0" fontId="86" fillId="32" borderId="50" applyNumberFormat="0" applyAlignment="0" applyProtection="0">
      <alignment vertical="center"/>
    </xf>
    <xf numFmtId="0" fontId="86" fillId="32" borderId="50" applyNumberFormat="0" applyAlignment="0" applyProtection="0">
      <alignment vertical="center"/>
    </xf>
    <xf numFmtId="0" fontId="86" fillId="32" borderId="50" applyNumberFormat="0" applyAlignment="0" applyProtection="0">
      <alignment vertical="center"/>
    </xf>
    <xf numFmtId="0" fontId="86" fillId="32" borderId="50" applyNumberFormat="0" applyAlignment="0" applyProtection="0">
      <alignment vertical="center"/>
    </xf>
    <xf numFmtId="0" fontId="86" fillId="32" borderId="50" applyNumberFormat="0" applyAlignment="0" applyProtection="0">
      <alignment vertical="center"/>
    </xf>
    <xf numFmtId="0" fontId="86" fillId="32" borderId="50" applyNumberFormat="0" applyAlignment="0" applyProtection="0">
      <alignment vertical="center"/>
    </xf>
    <xf numFmtId="0" fontId="86" fillId="32" borderId="50" applyNumberFormat="0" applyAlignment="0" applyProtection="0">
      <alignment vertical="center"/>
    </xf>
    <xf numFmtId="0" fontId="86" fillId="32" borderId="50" applyNumberFormat="0" applyAlignment="0" applyProtection="0">
      <alignment vertical="center"/>
    </xf>
    <xf numFmtId="0" fontId="86" fillId="32" borderId="50" applyNumberFormat="0" applyAlignment="0" applyProtection="0">
      <alignment vertical="center"/>
    </xf>
    <xf numFmtId="0" fontId="86" fillId="32" borderId="50" applyNumberFormat="0" applyAlignment="0" applyProtection="0">
      <alignment vertical="center"/>
    </xf>
    <xf numFmtId="0" fontId="86" fillId="32" borderId="50" applyNumberFormat="0" applyAlignment="0" applyProtection="0">
      <alignment vertical="center"/>
    </xf>
    <xf numFmtId="0" fontId="86" fillId="32" borderId="50" applyNumberFormat="0" applyAlignment="0" applyProtection="0">
      <alignment vertical="center"/>
    </xf>
    <xf numFmtId="0" fontId="86" fillId="32" borderId="50" applyNumberFormat="0" applyAlignment="0" applyProtection="0">
      <alignment vertical="center"/>
    </xf>
    <xf numFmtId="0" fontId="86" fillId="32" borderId="50" applyNumberFormat="0" applyAlignment="0" applyProtection="0">
      <alignment vertical="center"/>
    </xf>
    <xf numFmtId="0" fontId="86" fillId="32" borderId="50" applyNumberFormat="0" applyAlignment="0" applyProtection="0">
      <alignment vertical="center"/>
    </xf>
    <xf numFmtId="0" fontId="86" fillId="32" borderId="50" applyNumberFormat="0" applyAlignment="0" applyProtection="0">
      <alignment vertical="center"/>
    </xf>
    <xf numFmtId="0" fontId="86" fillId="32" borderId="50" applyNumberFormat="0" applyAlignment="0" applyProtection="0">
      <alignment vertical="center"/>
    </xf>
    <xf numFmtId="186" fontId="51" fillId="0" borderId="0">
      <protection locked="0"/>
    </xf>
    <xf numFmtId="186" fontId="51" fillId="0" borderId="0">
      <protection locked="0"/>
    </xf>
    <xf numFmtId="186" fontId="54" fillId="0" borderId="0">
      <protection locked="0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39" fillId="0" borderId="0">
      <alignment vertical="center"/>
    </xf>
    <xf numFmtId="0" fontId="43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9" fillId="0" borderId="0"/>
    <xf numFmtId="0" fontId="3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38" fillId="0" borderId="0">
      <alignment vertical="center"/>
    </xf>
    <xf numFmtId="0" fontId="38" fillId="0" borderId="0">
      <alignment vertical="center"/>
    </xf>
    <xf numFmtId="0" fontId="39" fillId="0" borderId="0"/>
    <xf numFmtId="0" fontId="69" fillId="0" borderId="0"/>
    <xf numFmtId="0" fontId="53" fillId="0" borderId="0">
      <alignment vertical="center"/>
    </xf>
    <xf numFmtId="0" fontId="69" fillId="0" borderId="0"/>
    <xf numFmtId="0" fontId="10" fillId="0" borderId="0"/>
    <xf numFmtId="0" fontId="39" fillId="0" borderId="0"/>
    <xf numFmtId="0" fontId="39" fillId="0" borderId="0"/>
    <xf numFmtId="0" fontId="69" fillId="0" borderId="0"/>
    <xf numFmtId="0" fontId="69" fillId="0" borderId="0"/>
    <xf numFmtId="0" fontId="88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0" fontId="10" fillId="0" borderId="0">
      <alignment vertical="center"/>
    </xf>
    <xf numFmtId="0" fontId="89" fillId="0" borderId="0"/>
    <xf numFmtId="0" fontId="3" fillId="6" borderId="0" applyNumberFormat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6" borderId="0" applyNumberFormat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30" fillId="0" borderId="0"/>
    <xf numFmtId="0" fontId="89" fillId="0" borderId="0"/>
    <xf numFmtId="0" fontId="94" fillId="0" borderId="0"/>
    <xf numFmtId="0" fontId="94" fillId="0" borderId="0"/>
    <xf numFmtId="0" fontId="19" fillId="0" borderId="0"/>
    <xf numFmtId="0" fontId="94" fillId="0" borderId="0"/>
    <xf numFmtId="0" fontId="89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19" fillId="0" borderId="0"/>
    <xf numFmtId="0" fontId="89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41" fontId="30" fillId="0" borderId="0" applyFont="0" applyFill="0" applyBorder="0" applyAlignment="0" applyProtection="0"/>
    <xf numFmtId="0" fontId="30" fillId="0" borderId="0"/>
    <xf numFmtId="0" fontId="117" fillId="0" borderId="0"/>
    <xf numFmtId="0" fontId="95" fillId="0" borderId="0"/>
    <xf numFmtId="0" fontId="95" fillId="0" borderId="0"/>
    <xf numFmtId="0" fontId="19" fillId="0" borderId="0"/>
    <xf numFmtId="0" fontId="113" fillId="0" borderId="0"/>
    <xf numFmtId="0" fontId="89" fillId="0" borderId="0"/>
    <xf numFmtId="0" fontId="89" fillId="0" borderId="0"/>
    <xf numFmtId="0" fontId="89" fillId="0" borderId="0"/>
    <xf numFmtId="0" fontId="113" fillId="0" borderId="0"/>
    <xf numFmtId="0" fontId="89" fillId="0" borderId="0"/>
    <xf numFmtId="0" fontId="89" fillId="0" borderId="0"/>
    <xf numFmtId="0" fontId="30" fillId="0" borderId="0"/>
    <xf numFmtId="0" fontId="30" fillId="0" borderId="0"/>
    <xf numFmtId="0" fontId="89" fillId="0" borderId="0"/>
    <xf numFmtId="0" fontId="89" fillId="0" borderId="0"/>
    <xf numFmtId="0" fontId="118" fillId="0" borderId="0" applyFont="0" applyFill="0" applyBorder="0" applyAlignment="0" applyProtection="0"/>
    <xf numFmtId="0" fontId="19" fillId="0" borderId="0"/>
    <xf numFmtId="0" fontId="19" fillId="0" borderId="0"/>
    <xf numFmtId="0" fontId="95" fillId="0" borderId="0"/>
    <xf numFmtId="0" fontId="89" fillId="0" borderId="0"/>
    <xf numFmtId="0" fontId="113" fillId="0" borderId="0"/>
    <xf numFmtId="0" fontId="19" fillId="0" borderId="0"/>
    <xf numFmtId="0" fontId="113" fillId="0" borderId="0"/>
    <xf numFmtId="0" fontId="113" fillId="0" borderId="0"/>
    <xf numFmtId="0" fontId="95" fillId="0" borderId="0"/>
    <xf numFmtId="0" fontId="19" fillId="0" borderId="0"/>
    <xf numFmtId="0" fontId="113" fillId="0" borderId="0"/>
    <xf numFmtId="0" fontId="19" fillId="0" borderId="0"/>
    <xf numFmtId="0" fontId="89" fillId="0" borderId="0"/>
    <xf numFmtId="0" fontId="19" fillId="0" borderId="0"/>
    <xf numFmtId="0" fontId="113" fillId="0" borderId="0"/>
    <xf numFmtId="0" fontId="89" fillId="0" borderId="0"/>
    <xf numFmtId="0" fontId="89" fillId="0" borderId="0"/>
    <xf numFmtId="0" fontId="30" fillId="0" borderId="0"/>
    <xf numFmtId="0" fontId="89" fillId="0" borderId="62" quotePrefix="1">
      <alignment horizontal="justify" vertical="justify" textRotation="127" wrapText="1" justifyLastLine="1"/>
      <protection hidden="1"/>
    </xf>
    <xf numFmtId="0" fontId="89" fillId="0" borderId="62" quotePrefix="1">
      <alignment horizontal="justify" vertical="justify" textRotation="127" wrapText="1" justifyLastLine="1"/>
      <protection hidden="1"/>
    </xf>
    <xf numFmtId="0" fontId="89" fillId="0" borderId="0"/>
    <xf numFmtId="0" fontId="89" fillId="0" borderId="0"/>
    <xf numFmtId="0" fontId="89" fillId="0" borderId="0"/>
    <xf numFmtId="0" fontId="19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89" fillId="0" borderId="62" quotePrefix="1">
      <alignment horizontal="justify" vertical="justify" textRotation="127" wrapText="1" justifyLastLine="1"/>
      <protection hidden="1"/>
    </xf>
    <xf numFmtId="0" fontId="19" fillId="0" borderId="0"/>
    <xf numFmtId="0" fontId="1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9" fillId="0" borderId="62" quotePrefix="1">
      <alignment horizontal="justify" vertical="justify" textRotation="127" wrapText="1" justifyLastLine="1"/>
      <protection hidden="1"/>
    </xf>
    <xf numFmtId="0" fontId="89" fillId="0" borderId="0"/>
    <xf numFmtId="0" fontId="89" fillId="0" borderId="0"/>
    <xf numFmtId="0" fontId="19" fillId="0" borderId="0"/>
    <xf numFmtId="0" fontId="89" fillId="0" borderId="0"/>
    <xf numFmtId="0" fontId="19" fillId="0" borderId="0"/>
    <xf numFmtId="0" fontId="89" fillId="0" borderId="0"/>
    <xf numFmtId="0" fontId="89" fillId="0" borderId="62" quotePrefix="1">
      <alignment horizontal="justify" vertical="justify" textRotation="127" wrapText="1" justifyLastLine="1"/>
      <protection hidden="1"/>
    </xf>
    <xf numFmtId="0" fontId="89" fillId="0" borderId="62" quotePrefix="1">
      <alignment horizontal="justify" vertical="justify" textRotation="127" wrapText="1" justifyLastLine="1"/>
      <protection hidden="1"/>
    </xf>
    <xf numFmtId="0" fontId="89" fillId="0" borderId="62" quotePrefix="1">
      <alignment horizontal="justify" vertical="justify" textRotation="127" wrapText="1" justifyLastLine="1"/>
      <protection hidden="1"/>
    </xf>
    <xf numFmtId="0" fontId="89" fillId="0" borderId="62" quotePrefix="1">
      <alignment horizontal="justify" vertical="justify" textRotation="127" wrapText="1" justifyLastLine="1"/>
      <protection hidden="1"/>
    </xf>
    <xf numFmtId="0" fontId="89" fillId="0" borderId="62" quotePrefix="1">
      <alignment horizontal="justify" vertical="justify" textRotation="127" wrapText="1" justifyLastLine="1"/>
      <protection hidden="1"/>
    </xf>
    <xf numFmtId="0" fontId="89" fillId="0" borderId="62" quotePrefix="1">
      <alignment horizontal="justify" vertical="justify" textRotation="127" wrapText="1" justifyLastLine="1"/>
      <protection hidden="1"/>
    </xf>
    <xf numFmtId="0" fontId="89" fillId="0" borderId="62" quotePrefix="1">
      <alignment horizontal="justify" vertical="justify" textRotation="127" wrapText="1" justifyLastLine="1"/>
      <protection hidden="1"/>
    </xf>
    <xf numFmtId="0" fontId="89" fillId="0" borderId="62" quotePrefix="1">
      <alignment horizontal="justify" vertical="justify" textRotation="127" wrapText="1" justifyLastLine="1"/>
      <protection hidden="1"/>
    </xf>
    <xf numFmtId="0" fontId="89" fillId="0" borderId="62" quotePrefix="1">
      <alignment horizontal="justify" vertical="justify" textRotation="127" wrapText="1" justifyLastLine="1"/>
      <protection hidden="1"/>
    </xf>
    <xf numFmtId="0" fontId="95" fillId="0" borderId="0"/>
    <xf numFmtId="0" fontId="19" fillId="0" borderId="0"/>
    <xf numFmtId="0" fontId="89" fillId="0" borderId="0"/>
    <xf numFmtId="0" fontId="19" fillId="0" borderId="0"/>
    <xf numFmtId="0" fontId="1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3" fillId="0" borderId="0"/>
    <xf numFmtId="0" fontId="19" fillId="0" borderId="0"/>
    <xf numFmtId="0" fontId="113" fillId="0" borderId="0"/>
    <xf numFmtId="0" fontId="89" fillId="0" borderId="0"/>
    <xf numFmtId="0" fontId="114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13" fillId="0" borderId="0"/>
    <xf numFmtId="0" fontId="95" fillId="0" borderId="0"/>
    <xf numFmtId="0" fontId="19" fillId="0" borderId="0"/>
    <xf numFmtId="0" fontId="19" fillId="0" borderId="0"/>
    <xf numFmtId="0" fontId="119" fillId="0" borderId="0"/>
    <xf numFmtId="0" fontId="19" fillId="0" borderId="0"/>
    <xf numFmtId="0" fontId="89" fillId="0" borderId="0"/>
    <xf numFmtId="0" fontId="95" fillId="0" borderId="0"/>
    <xf numFmtId="0" fontId="19" fillId="0" borderId="0"/>
    <xf numFmtId="0" fontId="89" fillId="0" borderId="0"/>
    <xf numFmtId="0" fontId="95" fillId="0" borderId="0"/>
    <xf numFmtId="0" fontId="89" fillId="0" borderId="0"/>
    <xf numFmtId="0" fontId="89" fillId="0" borderId="0"/>
    <xf numFmtId="0" fontId="95" fillId="0" borderId="0"/>
    <xf numFmtId="0" fontId="89" fillId="0" borderId="0"/>
    <xf numFmtId="0" fontId="19" fillId="0" borderId="0"/>
    <xf numFmtId="0" fontId="19" fillId="0" borderId="0"/>
    <xf numFmtId="0" fontId="89" fillId="0" borderId="0"/>
    <xf numFmtId="0" fontId="19" fillId="0" borderId="0"/>
    <xf numFmtId="0" fontId="95" fillId="0" borderId="0"/>
    <xf numFmtId="0" fontId="89" fillId="0" borderId="0"/>
    <xf numFmtId="0" fontId="19" fillId="0" borderId="0"/>
    <xf numFmtId="0" fontId="95" fillId="0" borderId="0"/>
    <xf numFmtId="0" fontId="19" fillId="0" borderId="0"/>
    <xf numFmtId="0" fontId="8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9" fillId="0" borderId="62" quotePrefix="1">
      <alignment horizontal="justify" vertical="justify" textRotation="127" wrapText="1" justifyLastLine="1"/>
      <protection hidden="1"/>
    </xf>
    <xf numFmtId="0" fontId="89" fillId="0" borderId="0"/>
    <xf numFmtId="0" fontId="19" fillId="0" borderId="0"/>
    <xf numFmtId="0" fontId="119" fillId="0" borderId="0"/>
    <xf numFmtId="0" fontId="30" fillId="0" borderId="0" applyNumberFormat="0" applyFill="0" applyBorder="0" applyAlignment="0" applyProtection="0"/>
    <xf numFmtId="0" fontId="30" fillId="0" borderId="0"/>
    <xf numFmtId="0" fontId="121" fillId="64" borderId="63" applyNumberFormat="0" applyFill="0" applyBorder="0">
      <alignment horizontal="center" vertical="center"/>
    </xf>
    <xf numFmtId="193" fontId="122" fillId="0" borderId="0" applyFont="0" applyFill="0" applyBorder="0" applyAlignment="0" applyProtection="0"/>
    <xf numFmtId="0" fontId="96" fillId="41" borderId="0" applyNumberFormat="0" applyBorder="0" applyAlignment="0" applyProtection="0">
      <alignment vertical="center"/>
    </xf>
    <xf numFmtId="0" fontId="96" fillId="42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4" borderId="0" applyNumberFormat="0" applyBorder="0" applyAlignment="0" applyProtection="0">
      <alignment vertical="center"/>
    </xf>
    <xf numFmtId="0" fontId="96" fillId="45" borderId="0" applyNumberFormat="0" applyBorder="0" applyAlignment="0" applyProtection="0">
      <alignment vertical="center"/>
    </xf>
    <xf numFmtId="0" fontId="96" fillId="46" borderId="0" applyNumberFormat="0" applyBorder="0" applyAlignment="0" applyProtection="0">
      <alignment vertical="center"/>
    </xf>
    <xf numFmtId="0" fontId="96" fillId="47" borderId="0" applyNumberFormat="0" applyBorder="0" applyAlignment="0" applyProtection="0">
      <alignment vertical="center"/>
    </xf>
    <xf numFmtId="0" fontId="96" fillId="48" borderId="0" applyNumberFormat="0" applyBorder="0" applyAlignment="0" applyProtection="0">
      <alignment vertical="center"/>
    </xf>
    <xf numFmtId="0" fontId="96" fillId="49" borderId="0" applyNumberFormat="0" applyBorder="0" applyAlignment="0" applyProtection="0">
      <alignment vertical="center"/>
    </xf>
    <xf numFmtId="0" fontId="96" fillId="44" borderId="0" applyNumberFormat="0" applyBorder="0" applyAlignment="0" applyProtection="0">
      <alignment vertical="center"/>
    </xf>
    <xf numFmtId="0" fontId="96" fillId="47" borderId="0" applyNumberFormat="0" applyBorder="0" applyAlignment="0" applyProtection="0">
      <alignment vertical="center"/>
    </xf>
    <xf numFmtId="0" fontId="96" fillId="50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0" fontId="19" fillId="0" borderId="0">
      <protection locked="0"/>
    </xf>
    <xf numFmtId="193" fontId="134" fillId="0" borderId="0" applyFont="0" applyFill="0" applyBorder="0" applyAlignment="0" applyProtection="0"/>
    <xf numFmtId="194" fontId="134" fillId="0" borderId="0" applyFont="0" applyFill="0" applyBorder="0" applyAlignment="0" applyProtection="0"/>
    <xf numFmtId="193" fontId="135" fillId="0" borderId="0" applyFont="0" applyFill="0" applyBorder="0" applyAlignment="0" applyProtection="0"/>
    <xf numFmtId="194" fontId="135" fillId="0" borderId="0" applyFont="0" applyFill="0" applyBorder="0" applyAlignment="0" applyProtection="0"/>
    <xf numFmtId="216" fontId="30" fillId="0" borderId="0" applyFont="0" applyFill="0" applyBorder="0" applyAlignment="0" applyProtection="0"/>
    <xf numFmtId="230" fontId="136" fillId="0" borderId="0" applyFont="0" applyFill="0" applyBorder="0" applyAlignment="0" applyProtection="0"/>
    <xf numFmtId="217" fontId="30" fillId="0" borderId="0" applyFont="0" applyFill="0" applyBorder="0" applyAlignment="0" applyProtection="0"/>
    <xf numFmtId="231" fontId="136" fillId="0" borderId="0" applyFont="0" applyFill="0" applyBorder="0" applyAlignment="0" applyProtection="0"/>
    <xf numFmtId="230" fontId="135" fillId="0" borderId="0" applyFont="0" applyFill="0" applyBorder="0" applyAlignment="0" applyProtection="0"/>
    <xf numFmtId="231" fontId="135" fillId="0" borderId="0" applyFont="0" applyFill="0" applyBorder="0" applyAlignment="0" applyProtection="0"/>
    <xf numFmtId="230" fontId="134" fillId="0" borderId="0" applyFont="0" applyFill="0" applyBorder="0" applyAlignment="0" applyProtection="0"/>
    <xf numFmtId="231" fontId="134" fillId="0" borderId="0" applyFont="0" applyFill="0" applyBorder="0" applyAlignment="0" applyProtection="0"/>
    <xf numFmtId="0" fontId="137" fillId="0" borderId="0"/>
    <xf numFmtId="0" fontId="138" fillId="0" borderId="0">
      <alignment horizontal="center" wrapText="1"/>
      <protection locked="0"/>
    </xf>
    <xf numFmtId="218" fontId="30" fillId="0" borderId="0" applyFont="0" applyFill="0" applyBorder="0" applyAlignment="0" applyProtection="0"/>
    <xf numFmtId="193" fontId="136" fillId="0" borderId="0" applyFont="0" applyFill="0" applyBorder="0" applyAlignment="0" applyProtection="0"/>
    <xf numFmtId="219" fontId="30" fillId="0" borderId="0" applyFont="0" applyFill="0" applyBorder="0" applyAlignment="0" applyProtection="0"/>
    <xf numFmtId="194" fontId="136" fillId="0" borderId="0" applyFont="0" applyFill="0" applyBorder="0" applyAlignment="0" applyProtection="0"/>
    <xf numFmtId="209" fontId="139" fillId="0" borderId="51" applyAlignment="0" applyProtection="0"/>
    <xf numFmtId="0" fontId="89" fillId="0" borderId="0"/>
    <xf numFmtId="0" fontId="89" fillId="0" borderId="0"/>
    <xf numFmtId="0" fontId="140" fillId="0" borderId="0"/>
    <xf numFmtId="0" fontId="141" fillId="0" borderId="0" applyFill="0"/>
    <xf numFmtId="0" fontId="30" fillId="0" borderId="0" applyFill="0" applyBorder="0" applyAlignment="0"/>
    <xf numFmtId="224" fontId="30" fillId="0" borderId="0" applyFill="0" applyBorder="0" applyAlignment="0"/>
    <xf numFmtId="225" fontId="30" fillId="0" borderId="0" applyFill="0" applyBorder="0" applyAlignment="0"/>
    <xf numFmtId="226" fontId="30" fillId="0" borderId="0" applyFill="0" applyBorder="0" applyAlignment="0"/>
    <xf numFmtId="227" fontId="30" fillId="0" borderId="0" applyFill="0" applyBorder="0" applyAlignment="0"/>
    <xf numFmtId="223" fontId="30" fillId="0" borderId="0" applyFill="0" applyBorder="0" applyAlignment="0"/>
    <xf numFmtId="228" fontId="30" fillId="0" borderId="0" applyFill="0" applyBorder="0" applyAlignment="0"/>
    <xf numFmtId="224" fontId="30" fillId="0" borderId="0" applyFill="0" applyBorder="0" applyAlignment="0"/>
    <xf numFmtId="0" fontId="142" fillId="0" borderId="0"/>
    <xf numFmtId="0" fontId="144" fillId="63" borderId="64">
      <alignment horizontal="center" wrapText="1"/>
    </xf>
    <xf numFmtId="193" fontId="122" fillId="0" borderId="0" applyFont="0" applyFill="0" applyBorder="0" applyAlignment="0" applyProtection="0"/>
    <xf numFmtId="192" fontId="89" fillId="0" borderId="0"/>
    <xf numFmtId="192" fontId="89" fillId="0" borderId="0"/>
    <xf numFmtId="192" fontId="89" fillId="0" borderId="0"/>
    <xf numFmtId="192" fontId="89" fillId="0" borderId="0"/>
    <xf numFmtId="192" fontId="89" fillId="0" borderId="0"/>
    <xf numFmtId="192" fontId="89" fillId="0" borderId="0"/>
    <xf numFmtId="192" fontId="89" fillId="0" borderId="0"/>
    <xf numFmtId="192" fontId="89" fillId="0" borderId="0"/>
    <xf numFmtId="223" fontId="30" fillId="0" borderId="0" applyFont="0" applyFill="0" applyBorder="0" applyAlignment="0" applyProtection="0"/>
    <xf numFmtId="220" fontId="117" fillId="0" borderId="0"/>
    <xf numFmtId="3" fontId="146" fillId="0" borderId="0" applyFont="0" applyFill="0" applyBorder="0" applyAlignment="0" applyProtection="0"/>
    <xf numFmtId="0" fontId="147" fillId="0" borderId="0" applyNumberFormat="0" applyAlignment="0">
      <alignment horizontal="left"/>
    </xf>
    <xf numFmtId="0" fontId="118" fillId="0" borderId="0" applyFont="0" applyFill="0" applyBorder="0" applyAlignment="0" applyProtection="0"/>
    <xf numFmtId="224" fontId="30" fillId="0" borderId="0" applyFont="0" applyFill="0" applyBorder="0" applyAlignment="0" applyProtection="0"/>
    <xf numFmtId="221" fontId="89" fillId="0" borderId="0"/>
    <xf numFmtId="196" fontId="89" fillId="0" borderId="0">
      <protection locked="0"/>
    </xf>
    <xf numFmtId="14" fontId="148" fillId="0" borderId="0" applyFill="0" applyBorder="0" applyAlignment="0"/>
    <xf numFmtId="234" fontId="145" fillId="0" borderId="0">
      <protection locked="0"/>
    </xf>
    <xf numFmtId="38" fontId="137" fillId="0" borderId="65">
      <alignment vertical="center"/>
    </xf>
    <xf numFmtId="238" fontId="30" fillId="0" borderId="0" applyFont="0" applyFill="0" applyBorder="0" applyAlignment="0" applyProtection="0"/>
    <xf numFmtId="239" fontId="30" fillId="0" borderId="0" applyFont="0" applyFill="0" applyBorder="0" applyAlignment="0" applyProtection="0"/>
    <xf numFmtId="17" fontId="19" fillId="0" borderId="0" applyNumberFormat="0" applyFont="0" applyFill="0" applyBorder="0" applyAlignment="0" applyProtection="0">
      <alignment horizontal="right"/>
    </xf>
    <xf numFmtId="222" fontId="89" fillId="0" borderId="0"/>
    <xf numFmtId="223" fontId="30" fillId="0" borderId="0" applyFill="0" applyBorder="0" applyAlignment="0"/>
    <xf numFmtId="224" fontId="30" fillId="0" borderId="0" applyFill="0" applyBorder="0" applyAlignment="0"/>
    <xf numFmtId="223" fontId="30" fillId="0" borderId="0" applyFill="0" applyBorder="0" applyAlignment="0"/>
    <xf numFmtId="228" fontId="30" fillId="0" borderId="0" applyFill="0" applyBorder="0" applyAlignment="0"/>
    <xf numFmtId="224" fontId="30" fillId="0" borderId="0" applyFill="0" applyBorder="0" applyAlignment="0"/>
    <xf numFmtId="0" fontId="149" fillId="0" borderId="0" applyNumberFormat="0" applyAlignment="0">
      <alignment horizontal="left"/>
    </xf>
    <xf numFmtId="0" fontId="145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197" fontId="145" fillId="0" borderId="0">
      <protection locked="0"/>
    </xf>
    <xf numFmtId="38" fontId="150" fillId="65" borderId="0" applyNumberFormat="0" applyBorder="0" applyAlignment="0" applyProtection="0"/>
    <xf numFmtId="0" fontId="151" fillId="0" borderId="0">
      <alignment horizontal="left"/>
    </xf>
    <xf numFmtId="0" fontId="143" fillId="0" borderId="22" applyNumberFormat="0" applyAlignment="0" applyProtection="0">
      <alignment horizontal="left" vertical="center"/>
    </xf>
    <xf numFmtId="0" fontId="143" fillId="0" borderId="31">
      <alignment horizontal="left" vertical="center"/>
    </xf>
    <xf numFmtId="198" fontId="89" fillId="0" borderId="0">
      <protection locked="0"/>
    </xf>
    <xf numFmtId="198" fontId="89" fillId="0" borderId="0">
      <protection locked="0"/>
    </xf>
    <xf numFmtId="10" fontId="150" fillId="63" borderId="61" applyNumberFormat="0" applyBorder="0" applyAlignment="0" applyProtection="0"/>
    <xf numFmtId="240" fontId="89" fillId="66" borderId="0"/>
    <xf numFmtId="0" fontId="120" fillId="0" borderId="0"/>
    <xf numFmtId="2" fontId="152" fillId="0" borderId="0" applyFont="0" applyFill="0" applyBorder="0" applyAlignment="0"/>
    <xf numFmtId="223" fontId="30" fillId="0" borderId="0" applyFill="0" applyBorder="0" applyAlignment="0"/>
    <xf numFmtId="224" fontId="30" fillId="0" borderId="0" applyFill="0" applyBorder="0" applyAlignment="0"/>
    <xf numFmtId="223" fontId="30" fillId="0" borderId="0" applyFill="0" applyBorder="0" applyAlignment="0"/>
    <xf numFmtId="228" fontId="30" fillId="0" borderId="0" applyFill="0" applyBorder="0" applyAlignment="0"/>
    <xf numFmtId="224" fontId="30" fillId="0" borderId="0" applyFill="0" applyBorder="0" applyAlignment="0"/>
    <xf numFmtId="240" fontId="89" fillId="67" borderId="0"/>
    <xf numFmtId="0" fontId="153" fillId="0" borderId="61" applyFill="0" applyBorder="0" applyProtection="0">
      <alignment vertical="center"/>
    </xf>
    <xf numFmtId="38" fontId="137" fillId="0" borderId="0" applyFont="0" applyFill="0" applyBorder="0" applyAlignment="0" applyProtection="0"/>
    <xf numFmtId="40" fontId="137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154" fillId="0" borderId="66"/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241" fontId="89" fillId="0" borderId="0" applyFont="0" applyFill="0" applyBorder="0" applyAlignment="0" applyProtection="0"/>
    <xf numFmtId="237" fontId="89" fillId="0" borderId="0" applyFont="0" applyFill="0" applyBorder="0" applyAlignment="0" applyProtection="0"/>
    <xf numFmtId="193" fontId="122" fillId="0" borderId="0" applyFont="0" applyFill="0" applyBorder="0" applyAlignment="0" applyProtection="0"/>
    <xf numFmtId="0" fontId="153" fillId="68" borderId="61" applyNumberFormat="0" applyFont="0" applyBorder="0" applyAlignment="0" applyProtection="0">
      <alignment vertical="center"/>
    </xf>
    <xf numFmtId="0" fontId="155" fillId="0" borderId="67" applyNumberFormat="0" applyFont="0" applyBorder="0" applyProtection="0">
      <alignment horizontal="center" vertical="center"/>
    </xf>
    <xf numFmtId="7" fontId="30" fillId="0" borderId="0"/>
    <xf numFmtId="204" fontId="95" fillId="0" borderId="0"/>
    <xf numFmtId="204" fontId="95" fillId="0" borderId="0"/>
    <xf numFmtId="204" fontId="95" fillId="0" borderId="0"/>
    <xf numFmtId="242" fontId="30" fillId="0" borderId="0"/>
    <xf numFmtId="0" fontId="156" fillId="0" borderId="0"/>
    <xf numFmtId="0" fontId="150" fillId="69" borderId="0" applyFill="0" applyBorder="0" applyProtection="0">
      <alignment horizontal="center"/>
    </xf>
    <xf numFmtId="0" fontId="157" fillId="70" borderId="0"/>
    <xf numFmtId="227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0" fontId="89" fillId="0" borderId="0" applyFont="0" applyFill="0" applyBorder="0" applyAlignment="0" applyProtection="0"/>
    <xf numFmtId="223" fontId="30" fillId="0" borderId="0" applyFill="0" applyBorder="0" applyAlignment="0"/>
    <xf numFmtId="224" fontId="30" fillId="0" borderId="0" applyFill="0" applyBorder="0" applyAlignment="0"/>
    <xf numFmtId="223" fontId="30" fillId="0" borderId="0" applyFill="0" applyBorder="0" applyAlignment="0"/>
    <xf numFmtId="228" fontId="30" fillId="0" borderId="0" applyFill="0" applyBorder="0" applyAlignment="0"/>
    <xf numFmtId="224" fontId="30" fillId="0" borderId="0" applyFill="0" applyBorder="0" applyAlignment="0"/>
    <xf numFmtId="209" fontId="19" fillId="0" borderId="0">
      <alignment horizontal="right"/>
    </xf>
    <xf numFmtId="0" fontId="158" fillId="0" borderId="21" applyNumberFormat="0" applyBorder="0" applyAlignment="0"/>
    <xf numFmtId="0" fontId="159" fillId="0" borderId="61" applyProtection="0">
      <alignment vertical="center"/>
    </xf>
    <xf numFmtId="0" fontId="89" fillId="0" borderId="0"/>
    <xf numFmtId="0" fontId="19" fillId="0" borderId="0"/>
    <xf numFmtId="0" fontId="154" fillId="0" borderId="0"/>
    <xf numFmtId="49" fontId="148" fillId="0" borderId="0" applyFill="0" applyBorder="0" applyAlignment="0"/>
    <xf numFmtId="208" fontId="30" fillId="0" borderId="0" applyFill="0" applyBorder="0" applyAlignment="0"/>
    <xf numFmtId="229" fontId="30" fillId="0" borderId="0" applyFill="0" applyBorder="0" applyAlignment="0"/>
    <xf numFmtId="198" fontId="89" fillId="0" borderId="68">
      <protection locked="0"/>
    </xf>
    <xf numFmtId="232" fontId="89" fillId="0" borderId="0" applyFont="0" applyFill="0" applyBorder="0" applyAlignment="0" applyProtection="0"/>
    <xf numFmtId="233" fontId="89" fillId="0" borderId="0" applyFont="0" applyFill="0" applyBorder="0" applyAlignment="0" applyProtection="0"/>
    <xf numFmtId="0" fontId="97" fillId="55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59" borderId="52" applyNumberFormat="0" applyAlignment="0" applyProtection="0">
      <alignment vertical="center"/>
    </xf>
    <xf numFmtId="2" fontId="123" fillId="0" borderId="0" applyFont="0" applyFill="0" applyBorder="0" applyAlignment="0" applyProtection="0"/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00" fillId="42" borderId="0" applyNumberFormat="0" applyBorder="0" applyAlignment="0" applyProtection="0">
      <alignment vertical="center"/>
    </xf>
    <xf numFmtId="0" fontId="126" fillId="0" borderId="31"/>
    <xf numFmtId="0" fontId="123" fillId="0" borderId="0" applyFont="0" applyFill="0" applyBorder="0" applyAlignment="0" applyProtection="0"/>
    <xf numFmtId="0" fontId="123" fillId="0" borderId="0" applyFont="0" applyFill="0" applyBorder="0" applyAlignment="0" applyProtection="0"/>
    <xf numFmtId="0" fontId="93" fillId="0" borderId="0" applyNumberFormat="0" applyFill="0" applyBorder="0" applyAlignment="0" applyProtection="0">
      <alignment vertical="top"/>
      <protection locked="0"/>
    </xf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0" fontId="127" fillId="0" borderId="0" applyFont="0" applyFill="0" applyBorder="0" applyAlignment="0" applyProtection="0"/>
    <xf numFmtId="43" fontId="89" fillId="0" borderId="0" applyFont="0" applyFill="0" applyBorder="0" applyAlignment="0" applyProtection="0"/>
    <xf numFmtId="38" fontId="127" fillId="0" borderId="0" applyFont="0" applyFill="0" applyBorder="0" applyAlignment="0" applyProtection="0"/>
    <xf numFmtId="0" fontId="30" fillId="0" borderId="66" applyAlignment="0">
      <alignment horizontal="center"/>
    </xf>
    <xf numFmtId="0" fontId="30" fillId="60" borderId="53" applyNumberFormat="0" applyFont="0" applyAlignment="0" applyProtection="0">
      <alignment vertical="center"/>
    </xf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128" fillId="0" borderId="0" applyFont="0" applyFill="0" applyBorder="0" applyAlignment="0" applyProtection="0"/>
    <xf numFmtId="9" fontId="116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115" fillId="0" borderId="0" applyFont="0" applyFill="0" applyBorder="0" applyAlignment="0" applyProtection="0">
      <alignment vertical="center"/>
    </xf>
    <xf numFmtId="0" fontId="101" fillId="61" borderId="0" applyNumberFormat="0" applyBorder="0" applyAlignment="0" applyProtection="0">
      <alignment vertical="center"/>
    </xf>
    <xf numFmtId="0" fontId="126" fillId="71" borderId="31" applyAlignment="0">
      <alignment horizontal="center"/>
    </xf>
    <xf numFmtId="0" fontId="129" fillId="0" borderId="0"/>
    <xf numFmtId="0" fontId="130" fillId="0" borderId="0"/>
    <xf numFmtId="0" fontId="102" fillId="0" borderId="0" applyNumberFormat="0" applyFill="0" applyBorder="0" applyAlignment="0" applyProtection="0">
      <alignment vertical="center"/>
    </xf>
    <xf numFmtId="0" fontId="103" fillId="62" borderId="54" applyNumberFormat="0" applyAlignment="0" applyProtection="0">
      <alignment vertical="center"/>
    </xf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92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116" fillId="0" borderId="0" applyFont="0" applyFill="0" applyBorder="0" applyAlignment="0" applyProtection="0">
      <alignment vertical="center"/>
    </xf>
    <xf numFmtId="0" fontId="89" fillId="0" borderId="0"/>
    <xf numFmtId="0" fontId="89" fillId="0" borderId="0"/>
    <xf numFmtId="0" fontId="30" fillId="0" borderId="29"/>
    <xf numFmtId="0" fontId="131" fillId="0" borderId="69"/>
    <xf numFmtId="0" fontId="131" fillId="0" borderId="69"/>
    <xf numFmtId="0" fontId="120" fillId="0" borderId="0"/>
    <xf numFmtId="0" fontId="104" fillId="0" borderId="55" applyNumberFormat="0" applyFill="0" applyAlignment="0" applyProtection="0">
      <alignment vertical="center"/>
    </xf>
    <xf numFmtId="0" fontId="132" fillId="0" borderId="0" applyNumberFormat="0" applyFill="0" applyBorder="0" applyAlignment="0" applyProtection="0">
      <alignment vertical="top"/>
      <protection locked="0"/>
    </xf>
    <xf numFmtId="0" fontId="105" fillId="0" borderId="56" applyNumberFormat="0" applyFill="0" applyAlignment="0" applyProtection="0">
      <alignment vertical="center"/>
    </xf>
    <xf numFmtId="0" fontId="106" fillId="46" borderId="52" applyNumberFormat="0" applyAlignment="0" applyProtection="0">
      <alignment vertical="center"/>
    </xf>
    <xf numFmtId="4" fontId="123" fillId="0" borderId="0" applyFont="0" applyFill="0" applyBorder="0" applyAlignment="0" applyProtection="0"/>
    <xf numFmtId="3" fontId="123" fillId="0" borderId="0" applyFont="0" applyFill="0" applyBorder="0" applyAlignment="0" applyProtection="0"/>
    <xf numFmtId="0" fontId="108" fillId="0" borderId="57" applyNumberFormat="0" applyFill="0" applyAlignment="0" applyProtection="0">
      <alignment vertical="center"/>
    </xf>
    <xf numFmtId="0" fontId="109" fillId="0" borderId="58" applyNumberFormat="0" applyFill="0" applyAlignment="0" applyProtection="0">
      <alignment vertical="center"/>
    </xf>
    <xf numFmtId="0" fontId="110" fillId="0" borderId="59" applyNumberFormat="0" applyFill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11" fillId="43" borderId="0" applyNumberFormat="0" applyBorder="0" applyAlignment="0" applyProtection="0">
      <alignment vertical="center"/>
    </xf>
    <xf numFmtId="0" fontId="95" fillId="0" borderId="0"/>
    <xf numFmtId="0" fontId="112" fillId="59" borderId="60" applyNumberFormat="0" applyAlignment="0" applyProtection="0">
      <alignment vertical="center"/>
    </xf>
    <xf numFmtId="215" fontId="30" fillId="0" borderId="0" applyFont="0" applyFill="0" applyBorder="0" applyAlignment="0" applyProtection="0"/>
    <xf numFmtId="0" fontId="95" fillId="0" borderId="0" applyFont="0" applyFill="0" applyBorder="0" applyAlignment="0" applyProtection="0"/>
    <xf numFmtId="201" fontId="89" fillId="0" borderId="0" applyFont="0" applyFill="0" applyBorder="0" applyAlignment="0" applyProtection="0"/>
    <xf numFmtId="200" fontId="89" fillId="0" borderId="0" applyFont="0" applyFill="0" applyBorder="0" applyAlignment="0" applyProtection="0"/>
    <xf numFmtId="10" fontId="123" fillId="0" borderId="0" applyFont="0" applyFill="0" applyBorder="0" applyAlignment="0" applyProtection="0"/>
    <xf numFmtId="0" fontId="30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30" fillId="0" borderId="0">
      <alignment vertical="center"/>
    </xf>
    <xf numFmtId="0" fontId="115" fillId="0" borderId="0"/>
    <xf numFmtId="0" fontId="30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23" fillId="0" borderId="70" applyNumberFormat="0" applyFont="0" applyFill="0" applyAlignment="0" applyProtection="0"/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236" fontId="123" fillId="0" borderId="0" applyFont="0" applyFill="0" applyBorder="0" applyAlignment="0" applyProtection="0"/>
    <xf numFmtId="235" fontId="123" fillId="0" borderId="0" applyFont="0" applyFill="0" applyBorder="0" applyAlignment="0" applyProtection="0"/>
    <xf numFmtId="0" fontId="94" fillId="0" borderId="0"/>
    <xf numFmtId="0" fontId="94" fillId="0" borderId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7" fontId="30" fillId="0" borderId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92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116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0" fontId="30" fillId="0" borderId="0"/>
    <xf numFmtId="0" fontId="1" fillId="0" borderId="0">
      <alignment vertical="center"/>
    </xf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0" fontId="10" fillId="0" borderId="0">
      <alignment vertical="center"/>
    </xf>
    <xf numFmtId="41" fontId="30" fillId="0" borderId="0" applyFont="0" applyFill="0" applyBorder="0" applyAlignment="0" applyProtection="0"/>
    <xf numFmtId="0" fontId="96" fillId="0" borderId="0">
      <alignment vertical="center"/>
    </xf>
    <xf numFmtId="0" fontId="161" fillId="0" borderId="0">
      <alignment vertical="center"/>
    </xf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0" fontId="30" fillId="0" borderId="0"/>
    <xf numFmtId="0" fontId="88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>
      <alignment vertical="center"/>
    </xf>
    <xf numFmtId="0" fontId="89" fillId="0" borderId="0"/>
    <xf numFmtId="0" fontId="89" fillId="0" borderId="0"/>
    <xf numFmtId="0" fontId="120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19" fillId="0" borderId="0"/>
    <xf numFmtId="0" fontId="89" fillId="0" borderId="0"/>
    <xf numFmtId="0" fontId="89" fillId="0" borderId="0"/>
    <xf numFmtId="0" fontId="19" fillId="0" borderId="0"/>
    <xf numFmtId="0" fontId="1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5" fillId="0" borderId="0"/>
    <xf numFmtId="0" fontId="1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9" fillId="0" borderId="0"/>
    <xf numFmtId="0" fontId="19" fillId="0" borderId="0"/>
    <xf numFmtId="0" fontId="120" fillId="0" borderId="0"/>
    <xf numFmtId="0" fontId="95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37" fontId="163" fillId="0" borderId="0" applyFont="0" applyFill="0" applyBorder="0" applyAlignment="0" applyProtection="0">
      <protection locked="0"/>
    </xf>
    <xf numFmtId="0" fontId="119" fillId="0" borderId="0"/>
    <xf numFmtId="4" fontId="164" fillId="0" borderId="0" applyFont="0" applyFill="0" applyBorder="0" applyAlignment="0" applyProtection="0"/>
    <xf numFmtId="0" fontId="160" fillId="41" borderId="0" applyNumberFormat="0" applyBorder="0" applyAlignment="0" applyProtection="0">
      <alignment vertical="center"/>
    </xf>
    <xf numFmtId="0" fontId="160" fillId="41" borderId="0" applyNumberFormat="0" applyBorder="0" applyAlignment="0" applyProtection="0">
      <alignment vertical="center"/>
    </xf>
    <xf numFmtId="0" fontId="160" fillId="41" borderId="0" applyNumberFormat="0" applyBorder="0" applyAlignment="0" applyProtection="0">
      <alignment vertical="center"/>
    </xf>
    <xf numFmtId="0" fontId="160" fillId="41" borderId="0" applyNumberFormat="0" applyBorder="0" applyAlignment="0" applyProtection="0">
      <alignment vertical="center"/>
    </xf>
    <xf numFmtId="0" fontId="160" fillId="41" borderId="0" applyNumberFormat="0" applyBorder="0" applyAlignment="0" applyProtection="0">
      <alignment vertical="center"/>
    </xf>
    <xf numFmtId="0" fontId="160" fillId="41" borderId="0" applyNumberFormat="0" applyBorder="0" applyAlignment="0" applyProtection="0">
      <alignment vertical="center"/>
    </xf>
    <xf numFmtId="0" fontId="160" fillId="41" borderId="0" applyNumberFormat="0" applyBorder="0" applyAlignment="0" applyProtection="0">
      <alignment vertical="center"/>
    </xf>
    <xf numFmtId="0" fontId="160" fillId="41" borderId="0" applyNumberFormat="0" applyBorder="0" applyAlignment="0" applyProtection="0">
      <alignment vertical="center"/>
    </xf>
    <xf numFmtId="0" fontId="160" fillId="41" borderId="0" applyNumberFormat="0" applyBorder="0" applyAlignment="0" applyProtection="0">
      <alignment vertical="center"/>
    </xf>
    <xf numFmtId="0" fontId="160" fillId="41" borderId="0" applyNumberFormat="0" applyBorder="0" applyAlignment="0" applyProtection="0">
      <alignment vertical="center"/>
    </xf>
    <xf numFmtId="0" fontId="160" fillId="41" borderId="0" applyNumberFormat="0" applyBorder="0" applyAlignment="0" applyProtection="0">
      <alignment vertical="center"/>
    </xf>
    <xf numFmtId="0" fontId="160" fillId="41" borderId="0" applyNumberFormat="0" applyBorder="0" applyAlignment="0" applyProtection="0">
      <alignment vertical="center"/>
    </xf>
    <xf numFmtId="0" fontId="160" fillId="41" borderId="0" applyNumberFormat="0" applyBorder="0" applyAlignment="0" applyProtection="0">
      <alignment vertical="center"/>
    </xf>
    <xf numFmtId="0" fontId="160" fillId="41" borderId="0" applyNumberFormat="0" applyBorder="0" applyAlignment="0" applyProtection="0">
      <alignment vertical="center"/>
    </xf>
    <xf numFmtId="0" fontId="160" fillId="41" borderId="0" applyNumberFormat="0" applyBorder="0" applyAlignment="0" applyProtection="0">
      <alignment vertical="center"/>
    </xf>
    <xf numFmtId="0" fontId="160" fillId="41" borderId="0" applyNumberFormat="0" applyBorder="0" applyAlignment="0" applyProtection="0">
      <alignment vertical="center"/>
    </xf>
    <xf numFmtId="0" fontId="160" fillId="41" borderId="0" applyNumberFormat="0" applyBorder="0" applyAlignment="0" applyProtection="0">
      <alignment vertical="center"/>
    </xf>
    <xf numFmtId="0" fontId="160" fillId="41" borderId="0" applyNumberFormat="0" applyBorder="0" applyAlignment="0" applyProtection="0">
      <alignment vertical="center"/>
    </xf>
    <xf numFmtId="0" fontId="160" fillId="41" borderId="0" applyNumberFormat="0" applyBorder="0" applyAlignment="0" applyProtection="0">
      <alignment vertical="center"/>
    </xf>
    <xf numFmtId="0" fontId="160" fillId="41" borderId="0" applyNumberFormat="0" applyBorder="0" applyAlignment="0" applyProtection="0">
      <alignment vertical="center"/>
    </xf>
    <xf numFmtId="0" fontId="160" fillId="41" borderId="0" applyNumberFormat="0" applyBorder="0" applyAlignment="0" applyProtection="0">
      <alignment vertical="center"/>
    </xf>
    <xf numFmtId="0" fontId="160" fillId="41" borderId="0" applyNumberFormat="0" applyBorder="0" applyAlignment="0" applyProtection="0">
      <alignment vertical="center"/>
    </xf>
    <xf numFmtId="0" fontId="160" fillId="41" borderId="0" applyNumberFormat="0" applyBorder="0" applyAlignment="0" applyProtection="0">
      <alignment vertical="center"/>
    </xf>
    <xf numFmtId="0" fontId="160" fillId="41" borderId="0" applyNumberFormat="0" applyBorder="0" applyAlignment="0" applyProtection="0">
      <alignment vertical="center"/>
    </xf>
    <xf numFmtId="0" fontId="160" fillId="42" borderId="0" applyNumberFormat="0" applyBorder="0" applyAlignment="0" applyProtection="0">
      <alignment vertical="center"/>
    </xf>
    <xf numFmtId="0" fontId="160" fillId="42" borderId="0" applyNumberFormat="0" applyBorder="0" applyAlignment="0" applyProtection="0">
      <alignment vertical="center"/>
    </xf>
    <xf numFmtId="0" fontId="160" fillId="42" borderId="0" applyNumberFormat="0" applyBorder="0" applyAlignment="0" applyProtection="0">
      <alignment vertical="center"/>
    </xf>
    <xf numFmtId="0" fontId="160" fillId="42" borderId="0" applyNumberFormat="0" applyBorder="0" applyAlignment="0" applyProtection="0">
      <alignment vertical="center"/>
    </xf>
    <xf numFmtId="0" fontId="160" fillId="42" borderId="0" applyNumberFormat="0" applyBorder="0" applyAlignment="0" applyProtection="0">
      <alignment vertical="center"/>
    </xf>
    <xf numFmtId="0" fontId="160" fillId="42" borderId="0" applyNumberFormat="0" applyBorder="0" applyAlignment="0" applyProtection="0">
      <alignment vertical="center"/>
    </xf>
    <xf numFmtId="0" fontId="160" fillId="42" borderId="0" applyNumberFormat="0" applyBorder="0" applyAlignment="0" applyProtection="0">
      <alignment vertical="center"/>
    </xf>
    <xf numFmtId="0" fontId="160" fillId="42" borderId="0" applyNumberFormat="0" applyBorder="0" applyAlignment="0" applyProtection="0">
      <alignment vertical="center"/>
    </xf>
    <xf numFmtId="0" fontId="160" fillId="42" borderId="0" applyNumberFormat="0" applyBorder="0" applyAlignment="0" applyProtection="0">
      <alignment vertical="center"/>
    </xf>
    <xf numFmtId="0" fontId="160" fillId="42" borderId="0" applyNumberFormat="0" applyBorder="0" applyAlignment="0" applyProtection="0">
      <alignment vertical="center"/>
    </xf>
    <xf numFmtId="0" fontId="160" fillId="42" borderId="0" applyNumberFormat="0" applyBorder="0" applyAlignment="0" applyProtection="0">
      <alignment vertical="center"/>
    </xf>
    <xf numFmtId="0" fontId="160" fillId="42" borderId="0" applyNumberFormat="0" applyBorder="0" applyAlignment="0" applyProtection="0">
      <alignment vertical="center"/>
    </xf>
    <xf numFmtId="0" fontId="160" fillId="42" borderId="0" applyNumberFormat="0" applyBorder="0" applyAlignment="0" applyProtection="0">
      <alignment vertical="center"/>
    </xf>
    <xf numFmtId="0" fontId="160" fillId="42" borderId="0" applyNumberFormat="0" applyBorder="0" applyAlignment="0" applyProtection="0">
      <alignment vertical="center"/>
    </xf>
    <xf numFmtId="0" fontId="160" fillId="42" borderId="0" applyNumberFormat="0" applyBorder="0" applyAlignment="0" applyProtection="0">
      <alignment vertical="center"/>
    </xf>
    <xf numFmtId="0" fontId="160" fillId="42" borderId="0" applyNumberFormat="0" applyBorder="0" applyAlignment="0" applyProtection="0">
      <alignment vertical="center"/>
    </xf>
    <xf numFmtId="0" fontId="160" fillId="42" borderId="0" applyNumberFormat="0" applyBorder="0" applyAlignment="0" applyProtection="0">
      <alignment vertical="center"/>
    </xf>
    <xf numFmtId="0" fontId="160" fillId="42" borderId="0" applyNumberFormat="0" applyBorder="0" applyAlignment="0" applyProtection="0">
      <alignment vertical="center"/>
    </xf>
    <xf numFmtId="0" fontId="160" fillId="42" borderId="0" applyNumberFormat="0" applyBorder="0" applyAlignment="0" applyProtection="0">
      <alignment vertical="center"/>
    </xf>
    <xf numFmtId="0" fontId="160" fillId="42" borderId="0" applyNumberFormat="0" applyBorder="0" applyAlignment="0" applyProtection="0">
      <alignment vertical="center"/>
    </xf>
    <xf numFmtId="0" fontId="160" fillId="42" borderId="0" applyNumberFormat="0" applyBorder="0" applyAlignment="0" applyProtection="0">
      <alignment vertical="center"/>
    </xf>
    <xf numFmtId="0" fontId="160" fillId="42" borderId="0" applyNumberFormat="0" applyBorder="0" applyAlignment="0" applyProtection="0">
      <alignment vertical="center"/>
    </xf>
    <xf numFmtId="0" fontId="160" fillId="42" borderId="0" applyNumberFormat="0" applyBorder="0" applyAlignment="0" applyProtection="0">
      <alignment vertical="center"/>
    </xf>
    <xf numFmtId="0" fontId="160" fillId="42" borderId="0" applyNumberFormat="0" applyBorder="0" applyAlignment="0" applyProtection="0">
      <alignment vertical="center"/>
    </xf>
    <xf numFmtId="0" fontId="160" fillId="43" borderId="0" applyNumberFormat="0" applyBorder="0" applyAlignment="0" applyProtection="0">
      <alignment vertical="center"/>
    </xf>
    <xf numFmtId="0" fontId="160" fillId="43" borderId="0" applyNumberFormat="0" applyBorder="0" applyAlignment="0" applyProtection="0">
      <alignment vertical="center"/>
    </xf>
    <xf numFmtId="0" fontId="160" fillId="43" borderId="0" applyNumberFormat="0" applyBorder="0" applyAlignment="0" applyProtection="0">
      <alignment vertical="center"/>
    </xf>
    <xf numFmtId="0" fontId="160" fillId="43" borderId="0" applyNumberFormat="0" applyBorder="0" applyAlignment="0" applyProtection="0">
      <alignment vertical="center"/>
    </xf>
    <xf numFmtId="0" fontId="160" fillId="43" borderId="0" applyNumberFormat="0" applyBorder="0" applyAlignment="0" applyProtection="0">
      <alignment vertical="center"/>
    </xf>
    <xf numFmtId="0" fontId="160" fillId="43" borderId="0" applyNumberFormat="0" applyBorder="0" applyAlignment="0" applyProtection="0">
      <alignment vertical="center"/>
    </xf>
    <xf numFmtId="0" fontId="160" fillId="43" borderId="0" applyNumberFormat="0" applyBorder="0" applyAlignment="0" applyProtection="0">
      <alignment vertical="center"/>
    </xf>
    <xf numFmtId="0" fontId="160" fillId="43" borderId="0" applyNumberFormat="0" applyBorder="0" applyAlignment="0" applyProtection="0">
      <alignment vertical="center"/>
    </xf>
    <xf numFmtId="0" fontId="160" fillId="43" borderId="0" applyNumberFormat="0" applyBorder="0" applyAlignment="0" applyProtection="0">
      <alignment vertical="center"/>
    </xf>
    <xf numFmtId="0" fontId="160" fillId="43" borderId="0" applyNumberFormat="0" applyBorder="0" applyAlignment="0" applyProtection="0">
      <alignment vertical="center"/>
    </xf>
    <xf numFmtId="0" fontId="160" fillId="43" borderId="0" applyNumberFormat="0" applyBorder="0" applyAlignment="0" applyProtection="0">
      <alignment vertical="center"/>
    </xf>
    <xf numFmtId="0" fontId="160" fillId="43" borderId="0" applyNumberFormat="0" applyBorder="0" applyAlignment="0" applyProtection="0">
      <alignment vertical="center"/>
    </xf>
    <xf numFmtId="0" fontId="160" fillId="43" borderId="0" applyNumberFormat="0" applyBorder="0" applyAlignment="0" applyProtection="0">
      <alignment vertical="center"/>
    </xf>
    <xf numFmtId="0" fontId="160" fillId="43" borderId="0" applyNumberFormat="0" applyBorder="0" applyAlignment="0" applyProtection="0">
      <alignment vertical="center"/>
    </xf>
    <xf numFmtId="0" fontId="160" fillId="43" borderId="0" applyNumberFormat="0" applyBorder="0" applyAlignment="0" applyProtection="0">
      <alignment vertical="center"/>
    </xf>
    <xf numFmtId="0" fontId="160" fillId="43" borderId="0" applyNumberFormat="0" applyBorder="0" applyAlignment="0" applyProtection="0">
      <alignment vertical="center"/>
    </xf>
    <xf numFmtId="0" fontId="160" fillId="43" borderId="0" applyNumberFormat="0" applyBorder="0" applyAlignment="0" applyProtection="0">
      <alignment vertical="center"/>
    </xf>
    <xf numFmtId="0" fontId="160" fillId="43" borderId="0" applyNumberFormat="0" applyBorder="0" applyAlignment="0" applyProtection="0">
      <alignment vertical="center"/>
    </xf>
    <xf numFmtId="0" fontId="160" fillId="43" borderId="0" applyNumberFormat="0" applyBorder="0" applyAlignment="0" applyProtection="0">
      <alignment vertical="center"/>
    </xf>
    <xf numFmtId="0" fontId="160" fillId="43" borderId="0" applyNumberFormat="0" applyBorder="0" applyAlignment="0" applyProtection="0">
      <alignment vertical="center"/>
    </xf>
    <xf numFmtId="0" fontId="160" fillId="43" borderId="0" applyNumberFormat="0" applyBorder="0" applyAlignment="0" applyProtection="0">
      <alignment vertical="center"/>
    </xf>
    <xf numFmtId="0" fontId="160" fillId="43" borderId="0" applyNumberFormat="0" applyBorder="0" applyAlignment="0" applyProtection="0">
      <alignment vertical="center"/>
    </xf>
    <xf numFmtId="0" fontId="160" fillId="43" borderId="0" applyNumberFormat="0" applyBorder="0" applyAlignment="0" applyProtection="0">
      <alignment vertical="center"/>
    </xf>
    <xf numFmtId="0" fontId="160" fillId="43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5" borderId="0" applyNumberFormat="0" applyBorder="0" applyAlignment="0" applyProtection="0">
      <alignment vertical="center"/>
    </xf>
    <xf numFmtId="0" fontId="160" fillId="45" borderId="0" applyNumberFormat="0" applyBorder="0" applyAlignment="0" applyProtection="0">
      <alignment vertical="center"/>
    </xf>
    <xf numFmtId="0" fontId="160" fillId="45" borderId="0" applyNumberFormat="0" applyBorder="0" applyAlignment="0" applyProtection="0">
      <alignment vertical="center"/>
    </xf>
    <xf numFmtId="0" fontId="160" fillId="45" borderId="0" applyNumberFormat="0" applyBorder="0" applyAlignment="0" applyProtection="0">
      <alignment vertical="center"/>
    </xf>
    <xf numFmtId="0" fontId="160" fillId="45" borderId="0" applyNumberFormat="0" applyBorder="0" applyAlignment="0" applyProtection="0">
      <alignment vertical="center"/>
    </xf>
    <xf numFmtId="0" fontId="160" fillId="45" borderId="0" applyNumberFormat="0" applyBorder="0" applyAlignment="0" applyProtection="0">
      <alignment vertical="center"/>
    </xf>
    <xf numFmtId="0" fontId="160" fillId="45" borderId="0" applyNumberFormat="0" applyBorder="0" applyAlignment="0" applyProtection="0">
      <alignment vertical="center"/>
    </xf>
    <xf numFmtId="0" fontId="160" fillId="45" borderId="0" applyNumberFormat="0" applyBorder="0" applyAlignment="0" applyProtection="0">
      <alignment vertical="center"/>
    </xf>
    <xf numFmtId="0" fontId="160" fillId="45" borderId="0" applyNumberFormat="0" applyBorder="0" applyAlignment="0" applyProtection="0">
      <alignment vertical="center"/>
    </xf>
    <xf numFmtId="0" fontId="160" fillId="45" borderId="0" applyNumberFormat="0" applyBorder="0" applyAlignment="0" applyProtection="0">
      <alignment vertical="center"/>
    </xf>
    <xf numFmtId="0" fontId="160" fillId="45" borderId="0" applyNumberFormat="0" applyBorder="0" applyAlignment="0" applyProtection="0">
      <alignment vertical="center"/>
    </xf>
    <xf numFmtId="0" fontId="160" fillId="45" borderId="0" applyNumberFormat="0" applyBorder="0" applyAlignment="0" applyProtection="0">
      <alignment vertical="center"/>
    </xf>
    <xf numFmtId="0" fontId="160" fillId="45" borderId="0" applyNumberFormat="0" applyBorder="0" applyAlignment="0" applyProtection="0">
      <alignment vertical="center"/>
    </xf>
    <xf numFmtId="0" fontId="160" fillId="45" borderId="0" applyNumberFormat="0" applyBorder="0" applyAlignment="0" applyProtection="0">
      <alignment vertical="center"/>
    </xf>
    <xf numFmtId="0" fontId="160" fillId="45" borderId="0" applyNumberFormat="0" applyBorder="0" applyAlignment="0" applyProtection="0">
      <alignment vertical="center"/>
    </xf>
    <xf numFmtId="0" fontId="160" fillId="45" borderId="0" applyNumberFormat="0" applyBorder="0" applyAlignment="0" applyProtection="0">
      <alignment vertical="center"/>
    </xf>
    <xf numFmtId="0" fontId="160" fillId="45" borderId="0" applyNumberFormat="0" applyBorder="0" applyAlignment="0" applyProtection="0">
      <alignment vertical="center"/>
    </xf>
    <xf numFmtId="0" fontId="160" fillId="45" borderId="0" applyNumberFormat="0" applyBorder="0" applyAlignment="0" applyProtection="0">
      <alignment vertical="center"/>
    </xf>
    <xf numFmtId="0" fontId="160" fillId="45" borderId="0" applyNumberFormat="0" applyBorder="0" applyAlignment="0" applyProtection="0">
      <alignment vertical="center"/>
    </xf>
    <xf numFmtId="0" fontId="160" fillId="45" borderId="0" applyNumberFormat="0" applyBorder="0" applyAlignment="0" applyProtection="0">
      <alignment vertical="center"/>
    </xf>
    <xf numFmtId="0" fontId="160" fillId="45" borderId="0" applyNumberFormat="0" applyBorder="0" applyAlignment="0" applyProtection="0">
      <alignment vertical="center"/>
    </xf>
    <xf numFmtId="0" fontId="160" fillId="45" borderId="0" applyNumberFormat="0" applyBorder="0" applyAlignment="0" applyProtection="0">
      <alignment vertical="center"/>
    </xf>
    <xf numFmtId="0" fontId="160" fillId="45" borderId="0" applyNumberFormat="0" applyBorder="0" applyAlignment="0" applyProtection="0">
      <alignment vertical="center"/>
    </xf>
    <xf numFmtId="0" fontId="160" fillId="45" borderId="0" applyNumberFormat="0" applyBorder="0" applyAlignment="0" applyProtection="0">
      <alignment vertical="center"/>
    </xf>
    <xf numFmtId="0" fontId="160" fillId="46" borderId="0" applyNumberFormat="0" applyBorder="0" applyAlignment="0" applyProtection="0">
      <alignment vertical="center"/>
    </xf>
    <xf numFmtId="0" fontId="160" fillId="46" borderId="0" applyNumberFormat="0" applyBorder="0" applyAlignment="0" applyProtection="0">
      <alignment vertical="center"/>
    </xf>
    <xf numFmtId="0" fontId="160" fillId="46" borderId="0" applyNumberFormat="0" applyBorder="0" applyAlignment="0" applyProtection="0">
      <alignment vertical="center"/>
    </xf>
    <xf numFmtId="0" fontId="160" fillId="46" borderId="0" applyNumberFormat="0" applyBorder="0" applyAlignment="0" applyProtection="0">
      <alignment vertical="center"/>
    </xf>
    <xf numFmtId="0" fontId="160" fillId="46" borderId="0" applyNumberFormat="0" applyBorder="0" applyAlignment="0" applyProtection="0">
      <alignment vertical="center"/>
    </xf>
    <xf numFmtId="0" fontId="160" fillId="46" borderId="0" applyNumberFormat="0" applyBorder="0" applyAlignment="0" applyProtection="0">
      <alignment vertical="center"/>
    </xf>
    <xf numFmtId="0" fontId="160" fillId="46" borderId="0" applyNumberFormat="0" applyBorder="0" applyAlignment="0" applyProtection="0">
      <alignment vertical="center"/>
    </xf>
    <xf numFmtId="0" fontId="160" fillId="46" borderId="0" applyNumberFormat="0" applyBorder="0" applyAlignment="0" applyProtection="0">
      <alignment vertical="center"/>
    </xf>
    <xf numFmtId="0" fontId="160" fillId="46" borderId="0" applyNumberFormat="0" applyBorder="0" applyAlignment="0" applyProtection="0">
      <alignment vertical="center"/>
    </xf>
    <xf numFmtId="0" fontId="160" fillId="46" borderId="0" applyNumberFormat="0" applyBorder="0" applyAlignment="0" applyProtection="0">
      <alignment vertical="center"/>
    </xf>
    <xf numFmtId="0" fontId="160" fillId="46" borderId="0" applyNumberFormat="0" applyBorder="0" applyAlignment="0" applyProtection="0">
      <alignment vertical="center"/>
    </xf>
    <xf numFmtId="0" fontId="160" fillId="46" borderId="0" applyNumberFormat="0" applyBorder="0" applyAlignment="0" applyProtection="0">
      <alignment vertical="center"/>
    </xf>
    <xf numFmtId="0" fontId="160" fillId="46" borderId="0" applyNumberFormat="0" applyBorder="0" applyAlignment="0" applyProtection="0">
      <alignment vertical="center"/>
    </xf>
    <xf numFmtId="0" fontId="160" fillId="46" borderId="0" applyNumberFormat="0" applyBorder="0" applyAlignment="0" applyProtection="0">
      <alignment vertical="center"/>
    </xf>
    <xf numFmtId="0" fontId="160" fillId="46" borderId="0" applyNumberFormat="0" applyBorder="0" applyAlignment="0" applyProtection="0">
      <alignment vertical="center"/>
    </xf>
    <xf numFmtId="0" fontId="160" fillId="46" borderId="0" applyNumberFormat="0" applyBorder="0" applyAlignment="0" applyProtection="0">
      <alignment vertical="center"/>
    </xf>
    <xf numFmtId="0" fontId="160" fillId="46" borderId="0" applyNumberFormat="0" applyBorder="0" applyAlignment="0" applyProtection="0">
      <alignment vertical="center"/>
    </xf>
    <xf numFmtId="0" fontId="160" fillId="46" borderId="0" applyNumberFormat="0" applyBorder="0" applyAlignment="0" applyProtection="0">
      <alignment vertical="center"/>
    </xf>
    <xf numFmtId="0" fontId="160" fillId="46" borderId="0" applyNumberFormat="0" applyBorder="0" applyAlignment="0" applyProtection="0">
      <alignment vertical="center"/>
    </xf>
    <xf numFmtId="0" fontId="160" fillId="46" borderId="0" applyNumberFormat="0" applyBorder="0" applyAlignment="0" applyProtection="0">
      <alignment vertical="center"/>
    </xf>
    <xf numFmtId="0" fontId="160" fillId="46" borderId="0" applyNumberFormat="0" applyBorder="0" applyAlignment="0" applyProtection="0">
      <alignment vertical="center"/>
    </xf>
    <xf numFmtId="0" fontId="160" fillId="46" borderId="0" applyNumberFormat="0" applyBorder="0" applyAlignment="0" applyProtection="0">
      <alignment vertical="center"/>
    </xf>
    <xf numFmtId="0" fontId="160" fillId="46" borderId="0" applyNumberFormat="0" applyBorder="0" applyAlignment="0" applyProtection="0">
      <alignment vertical="center"/>
    </xf>
    <xf numFmtId="0" fontId="160" fillId="46" borderId="0" applyNumberFormat="0" applyBorder="0" applyAlignment="0" applyProtection="0">
      <alignment vertical="center"/>
    </xf>
    <xf numFmtId="185" fontId="164" fillId="0" borderId="0" applyFont="0" applyFill="0" applyBorder="0" applyAlignment="0" applyProtection="0"/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8" borderId="0" applyNumberFormat="0" applyBorder="0" applyAlignment="0" applyProtection="0">
      <alignment vertical="center"/>
    </xf>
    <xf numFmtId="0" fontId="160" fillId="48" borderId="0" applyNumberFormat="0" applyBorder="0" applyAlignment="0" applyProtection="0">
      <alignment vertical="center"/>
    </xf>
    <xf numFmtId="0" fontId="160" fillId="48" borderId="0" applyNumberFormat="0" applyBorder="0" applyAlignment="0" applyProtection="0">
      <alignment vertical="center"/>
    </xf>
    <xf numFmtId="0" fontId="160" fillId="48" borderId="0" applyNumberFormat="0" applyBorder="0" applyAlignment="0" applyProtection="0">
      <alignment vertical="center"/>
    </xf>
    <xf numFmtId="0" fontId="160" fillId="48" borderId="0" applyNumberFormat="0" applyBorder="0" applyAlignment="0" applyProtection="0">
      <alignment vertical="center"/>
    </xf>
    <xf numFmtId="0" fontId="160" fillId="48" borderId="0" applyNumberFormat="0" applyBorder="0" applyAlignment="0" applyProtection="0">
      <alignment vertical="center"/>
    </xf>
    <xf numFmtId="0" fontId="160" fillId="48" borderId="0" applyNumberFormat="0" applyBorder="0" applyAlignment="0" applyProtection="0">
      <alignment vertical="center"/>
    </xf>
    <xf numFmtId="0" fontId="160" fillId="48" borderId="0" applyNumberFormat="0" applyBorder="0" applyAlignment="0" applyProtection="0">
      <alignment vertical="center"/>
    </xf>
    <xf numFmtId="0" fontId="160" fillId="48" borderId="0" applyNumberFormat="0" applyBorder="0" applyAlignment="0" applyProtection="0">
      <alignment vertical="center"/>
    </xf>
    <xf numFmtId="0" fontId="160" fillId="48" borderId="0" applyNumberFormat="0" applyBorder="0" applyAlignment="0" applyProtection="0">
      <alignment vertical="center"/>
    </xf>
    <xf numFmtId="0" fontId="160" fillId="48" borderId="0" applyNumberFormat="0" applyBorder="0" applyAlignment="0" applyProtection="0">
      <alignment vertical="center"/>
    </xf>
    <xf numFmtId="0" fontId="160" fillId="48" borderId="0" applyNumberFormat="0" applyBorder="0" applyAlignment="0" applyProtection="0">
      <alignment vertical="center"/>
    </xf>
    <xf numFmtId="0" fontId="160" fillId="48" borderId="0" applyNumberFormat="0" applyBorder="0" applyAlignment="0" applyProtection="0">
      <alignment vertical="center"/>
    </xf>
    <xf numFmtId="0" fontId="160" fillId="48" borderId="0" applyNumberFormat="0" applyBorder="0" applyAlignment="0" applyProtection="0">
      <alignment vertical="center"/>
    </xf>
    <xf numFmtId="0" fontId="160" fillId="48" borderId="0" applyNumberFormat="0" applyBorder="0" applyAlignment="0" applyProtection="0">
      <alignment vertical="center"/>
    </xf>
    <xf numFmtId="0" fontId="160" fillId="48" borderId="0" applyNumberFormat="0" applyBorder="0" applyAlignment="0" applyProtection="0">
      <alignment vertical="center"/>
    </xf>
    <xf numFmtId="0" fontId="160" fillId="48" borderId="0" applyNumberFormat="0" applyBorder="0" applyAlignment="0" applyProtection="0">
      <alignment vertical="center"/>
    </xf>
    <xf numFmtId="0" fontId="160" fillId="48" borderId="0" applyNumberFormat="0" applyBorder="0" applyAlignment="0" applyProtection="0">
      <alignment vertical="center"/>
    </xf>
    <xf numFmtId="0" fontId="160" fillId="48" borderId="0" applyNumberFormat="0" applyBorder="0" applyAlignment="0" applyProtection="0">
      <alignment vertical="center"/>
    </xf>
    <xf numFmtId="0" fontId="160" fillId="48" borderId="0" applyNumberFormat="0" applyBorder="0" applyAlignment="0" applyProtection="0">
      <alignment vertical="center"/>
    </xf>
    <xf numFmtId="0" fontId="160" fillId="48" borderId="0" applyNumberFormat="0" applyBorder="0" applyAlignment="0" applyProtection="0">
      <alignment vertical="center"/>
    </xf>
    <xf numFmtId="0" fontId="160" fillId="48" borderId="0" applyNumberFormat="0" applyBorder="0" applyAlignment="0" applyProtection="0">
      <alignment vertical="center"/>
    </xf>
    <xf numFmtId="0" fontId="160" fillId="48" borderId="0" applyNumberFormat="0" applyBorder="0" applyAlignment="0" applyProtection="0">
      <alignment vertical="center"/>
    </xf>
    <xf numFmtId="0" fontId="160" fillId="48" borderId="0" applyNumberFormat="0" applyBorder="0" applyAlignment="0" applyProtection="0">
      <alignment vertical="center"/>
    </xf>
    <xf numFmtId="0" fontId="160" fillId="49" borderId="0" applyNumberFormat="0" applyBorder="0" applyAlignment="0" applyProtection="0">
      <alignment vertical="center"/>
    </xf>
    <xf numFmtId="0" fontId="160" fillId="49" borderId="0" applyNumberFormat="0" applyBorder="0" applyAlignment="0" applyProtection="0">
      <alignment vertical="center"/>
    </xf>
    <xf numFmtId="0" fontId="160" fillId="49" borderId="0" applyNumberFormat="0" applyBorder="0" applyAlignment="0" applyProtection="0">
      <alignment vertical="center"/>
    </xf>
    <xf numFmtId="0" fontId="160" fillId="49" borderId="0" applyNumberFormat="0" applyBorder="0" applyAlignment="0" applyProtection="0">
      <alignment vertical="center"/>
    </xf>
    <xf numFmtId="0" fontId="160" fillId="49" borderId="0" applyNumberFormat="0" applyBorder="0" applyAlignment="0" applyProtection="0">
      <alignment vertical="center"/>
    </xf>
    <xf numFmtId="0" fontId="160" fillId="49" borderId="0" applyNumberFormat="0" applyBorder="0" applyAlignment="0" applyProtection="0">
      <alignment vertical="center"/>
    </xf>
    <xf numFmtId="0" fontId="160" fillId="49" borderId="0" applyNumberFormat="0" applyBorder="0" applyAlignment="0" applyProtection="0">
      <alignment vertical="center"/>
    </xf>
    <xf numFmtId="0" fontId="160" fillId="49" borderId="0" applyNumberFormat="0" applyBorder="0" applyAlignment="0" applyProtection="0">
      <alignment vertical="center"/>
    </xf>
    <xf numFmtId="0" fontId="160" fillId="49" borderId="0" applyNumberFormat="0" applyBorder="0" applyAlignment="0" applyProtection="0">
      <alignment vertical="center"/>
    </xf>
    <xf numFmtId="0" fontId="160" fillId="49" borderId="0" applyNumberFormat="0" applyBorder="0" applyAlignment="0" applyProtection="0">
      <alignment vertical="center"/>
    </xf>
    <xf numFmtId="0" fontId="160" fillId="49" borderId="0" applyNumberFormat="0" applyBorder="0" applyAlignment="0" applyProtection="0">
      <alignment vertical="center"/>
    </xf>
    <xf numFmtId="0" fontId="160" fillId="49" borderId="0" applyNumberFormat="0" applyBorder="0" applyAlignment="0" applyProtection="0">
      <alignment vertical="center"/>
    </xf>
    <xf numFmtId="0" fontId="160" fillId="49" borderId="0" applyNumberFormat="0" applyBorder="0" applyAlignment="0" applyProtection="0">
      <alignment vertical="center"/>
    </xf>
    <xf numFmtId="0" fontId="160" fillId="49" borderId="0" applyNumberFormat="0" applyBorder="0" applyAlignment="0" applyProtection="0">
      <alignment vertical="center"/>
    </xf>
    <xf numFmtId="0" fontId="160" fillId="49" borderId="0" applyNumberFormat="0" applyBorder="0" applyAlignment="0" applyProtection="0">
      <alignment vertical="center"/>
    </xf>
    <xf numFmtId="0" fontId="160" fillId="49" borderId="0" applyNumberFormat="0" applyBorder="0" applyAlignment="0" applyProtection="0">
      <alignment vertical="center"/>
    </xf>
    <xf numFmtId="0" fontId="160" fillId="49" borderId="0" applyNumberFormat="0" applyBorder="0" applyAlignment="0" applyProtection="0">
      <alignment vertical="center"/>
    </xf>
    <xf numFmtId="0" fontId="160" fillId="49" borderId="0" applyNumberFormat="0" applyBorder="0" applyAlignment="0" applyProtection="0">
      <alignment vertical="center"/>
    </xf>
    <xf numFmtId="0" fontId="160" fillId="49" borderId="0" applyNumberFormat="0" applyBorder="0" applyAlignment="0" applyProtection="0">
      <alignment vertical="center"/>
    </xf>
    <xf numFmtId="0" fontId="160" fillId="49" borderId="0" applyNumberFormat="0" applyBorder="0" applyAlignment="0" applyProtection="0">
      <alignment vertical="center"/>
    </xf>
    <xf numFmtId="0" fontId="160" fillId="49" borderId="0" applyNumberFormat="0" applyBorder="0" applyAlignment="0" applyProtection="0">
      <alignment vertical="center"/>
    </xf>
    <xf numFmtId="0" fontId="160" fillId="49" borderId="0" applyNumberFormat="0" applyBorder="0" applyAlignment="0" applyProtection="0">
      <alignment vertical="center"/>
    </xf>
    <xf numFmtId="0" fontId="160" fillId="49" borderId="0" applyNumberFormat="0" applyBorder="0" applyAlignment="0" applyProtection="0">
      <alignment vertical="center"/>
    </xf>
    <xf numFmtId="0" fontId="160" fillId="49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4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47" borderId="0" applyNumberFormat="0" applyBorder="0" applyAlignment="0" applyProtection="0">
      <alignment vertical="center"/>
    </xf>
    <xf numFmtId="0" fontId="160" fillId="50" borderId="0" applyNumberFormat="0" applyBorder="0" applyAlignment="0" applyProtection="0">
      <alignment vertical="center"/>
    </xf>
    <xf numFmtId="0" fontId="160" fillId="50" borderId="0" applyNumberFormat="0" applyBorder="0" applyAlignment="0" applyProtection="0">
      <alignment vertical="center"/>
    </xf>
    <xf numFmtId="0" fontId="160" fillId="50" borderId="0" applyNumberFormat="0" applyBorder="0" applyAlignment="0" applyProtection="0">
      <alignment vertical="center"/>
    </xf>
    <xf numFmtId="0" fontId="160" fillId="50" borderId="0" applyNumberFormat="0" applyBorder="0" applyAlignment="0" applyProtection="0">
      <alignment vertical="center"/>
    </xf>
    <xf numFmtId="0" fontId="160" fillId="50" borderId="0" applyNumberFormat="0" applyBorder="0" applyAlignment="0" applyProtection="0">
      <alignment vertical="center"/>
    </xf>
    <xf numFmtId="0" fontId="160" fillId="50" borderId="0" applyNumberFormat="0" applyBorder="0" applyAlignment="0" applyProtection="0">
      <alignment vertical="center"/>
    </xf>
    <xf numFmtId="0" fontId="160" fillId="50" borderId="0" applyNumberFormat="0" applyBorder="0" applyAlignment="0" applyProtection="0">
      <alignment vertical="center"/>
    </xf>
    <xf numFmtId="0" fontId="160" fillId="50" borderId="0" applyNumberFormat="0" applyBorder="0" applyAlignment="0" applyProtection="0">
      <alignment vertical="center"/>
    </xf>
    <xf numFmtId="0" fontId="160" fillId="50" borderId="0" applyNumberFormat="0" applyBorder="0" applyAlignment="0" applyProtection="0">
      <alignment vertical="center"/>
    </xf>
    <xf numFmtId="0" fontId="160" fillId="50" borderId="0" applyNumberFormat="0" applyBorder="0" applyAlignment="0" applyProtection="0">
      <alignment vertical="center"/>
    </xf>
    <xf numFmtId="0" fontId="160" fillId="50" borderId="0" applyNumberFormat="0" applyBorder="0" applyAlignment="0" applyProtection="0">
      <alignment vertical="center"/>
    </xf>
    <xf numFmtId="0" fontId="160" fillId="50" borderId="0" applyNumberFormat="0" applyBorder="0" applyAlignment="0" applyProtection="0">
      <alignment vertical="center"/>
    </xf>
    <xf numFmtId="0" fontId="160" fillId="50" borderId="0" applyNumberFormat="0" applyBorder="0" applyAlignment="0" applyProtection="0">
      <alignment vertical="center"/>
    </xf>
    <xf numFmtId="0" fontId="160" fillId="50" borderId="0" applyNumberFormat="0" applyBorder="0" applyAlignment="0" applyProtection="0">
      <alignment vertical="center"/>
    </xf>
    <xf numFmtId="0" fontId="160" fillId="50" borderId="0" applyNumberFormat="0" applyBorder="0" applyAlignment="0" applyProtection="0">
      <alignment vertical="center"/>
    </xf>
    <xf numFmtId="0" fontId="160" fillId="50" borderId="0" applyNumberFormat="0" applyBorder="0" applyAlignment="0" applyProtection="0">
      <alignment vertical="center"/>
    </xf>
    <xf numFmtId="0" fontId="160" fillId="50" borderId="0" applyNumberFormat="0" applyBorder="0" applyAlignment="0" applyProtection="0">
      <alignment vertical="center"/>
    </xf>
    <xf numFmtId="0" fontId="160" fillId="50" borderId="0" applyNumberFormat="0" applyBorder="0" applyAlignment="0" applyProtection="0">
      <alignment vertical="center"/>
    </xf>
    <xf numFmtId="0" fontId="160" fillId="50" borderId="0" applyNumberFormat="0" applyBorder="0" applyAlignment="0" applyProtection="0">
      <alignment vertical="center"/>
    </xf>
    <xf numFmtId="0" fontId="160" fillId="50" borderId="0" applyNumberFormat="0" applyBorder="0" applyAlignment="0" applyProtection="0">
      <alignment vertical="center"/>
    </xf>
    <xf numFmtId="0" fontId="160" fillId="50" borderId="0" applyNumberFormat="0" applyBorder="0" applyAlignment="0" applyProtection="0">
      <alignment vertical="center"/>
    </xf>
    <xf numFmtId="0" fontId="160" fillId="50" borderId="0" applyNumberFormat="0" applyBorder="0" applyAlignment="0" applyProtection="0">
      <alignment vertical="center"/>
    </xf>
    <xf numFmtId="0" fontId="160" fillId="50" borderId="0" applyNumberFormat="0" applyBorder="0" applyAlignment="0" applyProtection="0">
      <alignment vertical="center"/>
    </xf>
    <xf numFmtId="0" fontId="160" fillId="50" borderId="0" applyNumberFormat="0" applyBorder="0" applyAlignment="0" applyProtection="0">
      <alignment vertical="center"/>
    </xf>
    <xf numFmtId="0" fontId="176" fillId="51" borderId="0" applyNumberFormat="0" applyBorder="0" applyAlignment="0" applyProtection="0">
      <alignment vertical="center"/>
    </xf>
    <xf numFmtId="0" fontId="176" fillId="51" borderId="0" applyNumberFormat="0" applyBorder="0" applyAlignment="0" applyProtection="0">
      <alignment vertical="center"/>
    </xf>
    <xf numFmtId="0" fontId="176" fillId="51" borderId="0" applyNumberFormat="0" applyBorder="0" applyAlignment="0" applyProtection="0">
      <alignment vertical="center"/>
    </xf>
    <xf numFmtId="0" fontId="176" fillId="51" borderId="0" applyNumberFormat="0" applyBorder="0" applyAlignment="0" applyProtection="0">
      <alignment vertical="center"/>
    </xf>
    <xf numFmtId="0" fontId="176" fillId="51" borderId="0" applyNumberFormat="0" applyBorder="0" applyAlignment="0" applyProtection="0">
      <alignment vertical="center"/>
    </xf>
    <xf numFmtId="0" fontId="176" fillId="51" borderId="0" applyNumberFormat="0" applyBorder="0" applyAlignment="0" applyProtection="0">
      <alignment vertical="center"/>
    </xf>
    <xf numFmtId="0" fontId="176" fillId="51" borderId="0" applyNumberFormat="0" applyBorder="0" applyAlignment="0" applyProtection="0">
      <alignment vertical="center"/>
    </xf>
    <xf numFmtId="0" fontId="176" fillId="51" borderId="0" applyNumberFormat="0" applyBorder="0" applyAlignment="0" applyProtection="0">
      <alignment vertical="center"/>
    </xf>
    <xf numFmtId="0" fontId="176" fillId="51" borderId="0" applyNumberFormat="0" applyBorder="0" applyAlignment="0" applyProtection="0">
      <alignment vertical="center"/>
    </xf>
    <xf numFmtId="0" fontId="176" fillId="51" borderId="0" applyNumberFormat="0" applyBorder="0" applyAlignment="0" applyProtection="0">
      <alignment vertical="center"/>
    </xf>
    <xf numFmtId="0" fontId="176" fillId="51" borderId="0" applyNumberFormat="0" applyBorder="0" applyAlignment="0" applyProtection="0">
      <alignment vertical="center"/>
    </xf>
    <xf numFmtId="0" fontId="176" fillId="51" borderId="0" applyNumberFormat="0" applyBorder="0" applyAlignment="0" applyProtection="0">
      <alignment vertical="center"/>
    </xf>
    <xf numFmtId="0" fontId="176" fillId="51" borderId="0" applyNumberFormat="0" applyBorder="0" applyAlignment="0" applyProtection="0">
      <alignment vertical="center"/>
    </xf>
    <xf numFmtId="0" fontId="176" fillId="51" borderId="0" applyNumberFormat="0" applyBorder="0" applyAlignment="0" applyProtection="0">
      <alignment vertical="center"/>
    </xf>
    <xf numFmtId="0" fontId="176" fillId="51" borderId="0" applyNumberFormat="0" applyBorder="0" applyAlignment="0" applyProtection="0">
      <alignment vertical="center"/>
    </xf>
    <xf numFmtId="0" fontId="176" fillId="51" borderId="0" applyNumberFormat="0" applyBorder="0" applyAlignment="0" applyProtection="0">
      <alignment vertical="center"/>
    </xf>
    <xf numFmtId="0" fontId="176" fillId="51" borderId="0" applyNumberFormat="0" applyBorder="0" applyAlignment="0" applyProtection="0">
      <alignment vertical="center"/>
    </xf>
    <xf numFmtId="0" fontId="176" fillId="51" borderId="0" applyNumberFormat="0" applyBorder="0" applyAlignment="0" applyProtection="0">
      <alignment vertical="center"/>
    </xf>
    <xf numFmtId="0" fontId="176" fillId="51" borderId="0" applyNumberFormat="0" applyBorder="0" applyAlignment="0" applyProtection="0">
      <alignment vertical="center"/>
    </xf>
    <xf numFmtId="0" fontId="176" fillId="51" borderId="0" applyNumberFormat="0" applyBorder="0" applyAlignment="0" applyProtection="0">
      <alignment vertical="center"/>
    </xf>
    <xf numFmtId="0" fontId="176" fillId="51" borderId="0" applyNumberFormat="0" applyBorder="0" applyAlignment="0" applyProtection="0">
      <alignment vertical="center"/>
    </xf>
    <xf numFmtId="0" fontId="176" fillId="51" borderId="0" applyNumberFormat="0" applyBorder="0" applyAlignment="0" applyProtection="0">
      <alignment vertical="center"/>
    </xf>
    <xf numFmtId="0" fontId="176" fillId="51" borderId="0" applyNumberFormat="0" applyBorder="0" applyAlignment="0" applyProtection="0">
      <alignment vertical="center"/>
    </xf>
    <xf numFmtId="0" fontId="176" fillId="51" borderId="0" applyNumberFormat="0" applyBorder="0" applyAlignment="0" applyProtection="0">
      <alignment vertical="center"/>
    </xf>
    <xf numFmtId="0" fontId="176" fillId="48" borderId="0" applyNumberFormat="0" applyBorder="0" applyAlignment="0" applyProtection="0">
      <alignment vertical="center"/>
    </xf>
    <xf numFmtId="0" fontId="176" fillId="48" borderId="0" applyNumberFormat="0" applyBorder="0" applyAlignment="0" applyProtection="0">
      <alignment vertical="center"/>
    </xf>
    <xf numFmtId="0" fontId="176" fillId="48" borderId="0" applyNumberFormat="0" applyBorder="0" applyAlignment="0" applyProtection="0">
      <alignment vertical="center"/>
    </xf>
    <xf numFmtId="0" fontId="176" fillId="48" borderId="0" applyNumberFormat="0" applyBorder="0" applyAlignment="0" applyProtection="0">
      <alignment vertical="center"/>
    </xf>
    <xf numFmtId="0" fontId="176" fillId="48" borderId="0" applyNumberFormat="0" applyBorder="0" applyAlignment="0" applyProtection="0">
      <alignment vertical="center"/>
    </xf>
    <xf numFmtId="0" fontId="176" fillId="48" borderId="0" applyNumberFormat="0" applyBorder="0" applyAlignment="0" applyProtection="0">
      <alignment vertical="center"/>
    </xf>
    <xf numFmtId="0" fontId="176" fillId="48" borderId="0" applyNumberFormat="0" applyBorder="0" applyAlignment="0" applyProtection="0">
      <alignment vertical="center"/>
    </xf>
    <xf numFmtId="0" fontId="176" fillId="48" borderId="0" applyNumberFormat="0" applyBorder="0" applyAlignment="0" applyProtection="0">
      <alignment vertical="center"/>
    </xf>
    <xf numFmtId="0" fontId="176" fillId="48" borderId="0" applyNumberFormat="0" applyBorder="0" applyAlignment="0" applyProtection="0">
      <alignment vertical="center"/>
    </xf>
    <xf numFmtId="0" fontId="176" fillId="48" borderId="0" applyNumberFormat="0" applyBorder="0" applyAlignment="0" applyProtection="0">
      <alignment vertical="center"/>
    </xf>
    <xf numFmtId="0" fontId="176" fillId="48" borderId="0" applyNumberFormat="0" applyBorder="0" applyAlignment="0" applyProtection="0">
      <alignment vertical="center"/>
    </xf>
    <xf numFmtId="0" fontId="176" fillId="48" borderId="0" applyNumberFormat="0" applyBorder="0" applyAlignment="0" applyProtection="0">
      <alignment vertical="center"/>
    </xf>
    <xf numFmtId="0" fontId="176" fillId="48" borderId="0" applyNumberFormat="0" applyBorder="0" applyAlignment="0" applyProtection="0">
      <alignment vertical="center"/>
    </xf>
    <xf numFmtId="0" fontId="176" fillId="48" borderId="0" applyNumberFormat="0" applyBorder="0" applyAlignment="0" applyProtection="0">
      <alignment vertical="center"/>
    </xf>
    <xf numFmtId="0" fontId="176" fillId="48" borderId="0" applyNumberFormat="0" applyBorder="0" applyAlignment="0" applyProtection="0">
      <alignment vertical="center"/>
    </xf>
    <xf numFmtId="0" fontId="176" fillId="48" borderId="0" applyNumberFormat="0" applyBorder="0" applyAlignment="0" applyProtection="0">
      <alignment vertical="center"/>
    </xf>
    <xf numFmtId="0" fontId="176" fillId="48" borderId="0" applyNumberFormat="0" applyBorder="0" applyAlignment="0" applyProtection="0">
      <alignment vertical="center"/>
    </xf>
    <xf numFmtId="0" fontId="176" fillId="48" borderId="0" applyNumberFormat="0" applyBorder="0" applyAlignment="0" applyProtection="0">
      <alignment vertical="center"/>
    </xf>
    <xf numFmtId="0" fontId="176" fillId="48" borderId="0" applyNumberFormat="0" applyBorder="0" applyAlignment="0" applyProtection="0">
      <alignment vertical="center"/>
    </xf>
    <xf numFmtId="0" fontId="176" fillId="48" borderId="0" applyNumberFormat="0" applyBorder="0" applyAlignment="0" applyProtection="0">
      <alignment vertical="center"/>
    </xf>
    <xf numFmtId="0" fontId="176" fillId="48" borderId="0" applyNumberFormat="0" applyBorder="0" applyAlignment="0" applyProtection="0">
      <alignment vertical="center"/>
    </xf>
    <xf numFmtId="0" fontId="176" fillId="48" borderId="0" applyNumberFormat="0" applyBorder="0" applyAlignment="0" applyProtection="0">
      <alignment vertical="center"/>
    </xf>
    <xf numFmtId="0" fontId="176" fillId="48" borderId="0" applyNumberFormat="0" applyBorder="0" applyAlignment="0" applyProtection="0">
      <alignment vertical="center"/>
    </xf>
    <xf numFmtId="0" fontId="176" fillId="48" borderId="0" applyNumberFormat="0" applyBorder="0" applyAlignment="0" applyProtection="0">
      <alignment vertical="center"/>
    </xf>
    <xf numFmtId="0" fontId="176" fillId="49" borderId="0" applyNumberFormat="0" applyBorder="0" applyAlignment="0" applyProtection="0">
      <alignment vertical="center"/>
    </xf>
    <xf numFmtId="0" fontId="176" fillId="49" borderId="0" applyNumberFormat="0" applyBorder="0" applyAlignment="0" applyProtection="0">
      <alignment vertical="center"/>
    </xf>
    <xf numFmtId="0" fontId="176" fillId="49" borderId="0" applyNumberFormat="0" applyBorder="0" applyAlignment="0" applyProtection="0">
      <alignment vertical="center"/>
    </xf>
    <xf numFmtId="0" fontId="176" fillId="49" borderId="0" applyNumberFormat="0" applyBorder="0" applyAlignment="0" applyProtection="0">
      <alignment vertical="center"/>
    </xf>
    <xf numFmtId="0" fontId="176" fillId="49" borderId="0" applyNumberFormat="0" applyBorder="0" applyAlignment="0" applyProtection="0">
      <alignment vertical="center"/>
    </xf>
    <xf numFmtId="0" fontId="176" fillId="49" borderId="0" applyNumberFormat="0" applyBorder="0" applyAlignment="0" applyProtection="0">
      <alignment vertical="center"/>
    </xf>
    <xf numFmtId="0" fontId="176" fillId="49" borderId="0" applyNumberFormat="0" applyBorder="0" applyAlignment="0" applyProtection="0">
      <alignment vertical="center"/>
    </xf>
    <xf numFmtId="0" fontId="176" fillId="49" borderId="0" applyNumberFormat="0" applyBorder="0" applyAlignment="0" applyProtection="0">
      <alignment vertical="center"/>
    </xf>
    <xf numFmtId="0" fontId="176" fillId="49" borderId="0" applyNumberFormat="0" applyBorder="0" applyAlignment="0" applyProtection="0">
      <alignment vertical="center"/>
    </xf>
    <xf numFmtId="0" fontId="176" fillId="49" borderId="0" applyNumberFormat="0" applyBorder="0" applyAlignment="0" applyProtection="0">
      <alignment vertical="center"/>
    </xf>
    <xf numFmtId="0" fontId="176" fillId="49" borderId="0" applyNumberFormat="0" applyBorder="0" applyAlignment="0" applyProtection="0">
      <alignment vertical="center"/>
    </xf>
    <xf numFmtId="0" fontId="176" fillId="49" borderId="0" applyNumberFormat="0" applyBorder="0" applyAlignment="0" applyProtection="0">
      <alignment vertical="center"/>
    </xf>
    <xf numFmtId="0" fontId="176" fillId="49" borderId="0" applyNumberFormat="0" applyBorder="0" applyAlignment="0" applyProtection="0">
      <alignment vertical="center"/>
    </xf>
    <xf numFmtId="0" fontId="176" fillId="49" borderId="0" applyNumberFormat="0" applyBorder="0" applyAlignment="0" applyProtection="0">
      <alignment vertical="center"/>
    </xf>
    <xf numFmtId="0" fontId="176" fillId="49" borderId="0" applyNumberFormat="0" applyBorder="0" applyAlignment="0" applyProtection="0">
      <alignment vertical="center"/>
    </xf>
    <xf numFmtId="0" fontId="176" fillId="49" borderId="0" applyNumberFormat="0" applyBorder="0" applyAlignment="0" applyProtection="0">
      <alignment vertical="center"/>
    </xf>
    <xf numFmtId="0" fontId="176" fillId="49" borderId="0" applyNumberFormat="0" applyBorder="0" applyAlignment="0" applyProtection="0">
      <alignment vertical="center"/>
    </xf>
    <xf numFmtId="0" fontId="176" fillId="49" borderId="0" applyNumberFormat="0" applyBorder="0" applyAlignment="0" applyProtection="0">
      <alignment vertical="center"/>
    </xf>
    <xf numFmtId="0" fontId="176" fillId="49" borderId="0" applyNumberFormat="0" applyBorder="0" applyAlignment="0" applyProtection="0">
      <alignment vertical="center"/>
    </xf>
    <xf numFmtId="0" fontId="176" fillId="49" borderId="0" applyNumberFormat="0" applyBorder="0" applyAlignment="0" applyProtection="0">
      <alignment vertical="center"/>
    </xf>
    <xf numFmtId="0" fontId="176" fillId="49" borderId="0" applyNumberFormat="0" applyBorder="0" applyAlignment="0" applyProtection="0">
      <alignment vertical="center"/>
    </xf>
    <xf numFmtId="0" fontId="176" fillId="49" borderId="0" applyNumberFormat="0" applyBorder="0" applyAlignment="0" applyProtection="0">
      <alignment vertical="center"/>
    </xf>
    <xf numFmtId="0" fontId="176" fillId="49" borderId="0" applyNumberFormat="0" applyBorder="0" applyAlignment="0" applyProtection="0">
      <alignment vertical="center"/>
    </xf>
    <xf numFmtId="0" fontId="176" fillId="49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4" borderId="0" applyNumberFormat="0" applyBorder="0" applyAlignment="0" applyProtection="0">
      <alignment vertical="center"/>
    </xf>
    <xf numFmtId="0" fontId="176" fillId="54" borderId="0" applyNumberFormat="0" applyBorder="0" applyAlignment="0" applyProtection="0">
      <alignment vertical="center"/>
    </xf>
    <xf numFmtId="0" fontId="176" fillId="54" borderId="0" applyNumberFormat="0" applyBorder="0" applyAlignment="0" applyProtection="0">
      <alignment vertical="center"/>
    </xf>
    <xf numFmtId="0" fontId="176" fillId="54" borderId="0" applyNumberFormat="0" applyBorder="0" applyAlignment="0" applyProtection="0">
      <alignment vertical="center"/>
    </xf>
    <xf numFmtId="0" fontId="176" fillId="54" borderId="0" applyNumberFormat="0" applyBorder="0" applyAlignment="0" applyProtection="0">
      <alignment vertical="center"/>
    </xf>
    <xf numFmtId="0" fontId="176" fillId="54" borderId="0" applyNumberFormat="0" applyBorder="0" applyAlignment="0" applyProtection="0">
      <alignment vertical="center"/>
    </xf>
    <xf numFmtId="0" fontId="176" fillId="54" borderId="0" applyNumberFormat="0" applyBorder="0" applyAlignment="0" applyProtection="0">
      <alignment vertical="center"/>
    </xf>
    <xf numFmtId="0" fontId="176" fillId="54" borderId="0" applyNumberFormat="0" applyBorder="0" applyAlignment="0" applyProtection="0">
      <alignment vertical="center"/>
    </xf>
    <xf numFmtId="0" fontId="176" fillId="54" borderId="0" applyNumberFormat="0" applyBorder="0" applyAlignment="0" applyProtection="0">
      <alignment vertical="center"/>
    </xf>
    <xf numFmtId="0" fontId="176" fillId="54" borderId="0" applyNumberFormat="0" applyBorder="0" applyAlignment="0" applyProtection="0">
      <alignment vertical="center"/>
    </xf>
    <xf numFmtId="0" fontId="176" fillId="54" borderId="0" applyNumberFormat="0" applyBorder="0" applyAlignment="0" applyProtection="0">
      <alignment vertical="center"/>
    </xf>
    <xf numFmtId="0" fontId="176" fillId="54" borderId="0" applyNumberFormat="0" applyBorder="0" applyAlignment="0" applyProtection="0">
      <alignment vertical="center"/>
    </xf>
    <xf numFmtId="0" fontId="176" fillId="54" borderId="0" applyNumberFormat="0" applyBorder="0" applyAlignment="0" applyProtection="0">
      <alignment vertical="center"/>
    </xf>
    <xf numFmtId="0" fontId="176" fillId="54" borderId="0" applyNumberFormat="0" applyBorder="0" applyAlignment="0" applyProtection="0">
      <alignment vertical="center"/>
    </xf>
    <xf numFmtId="0" fontId="176" fillId="54" borderId="0" applyNumberFormat="0" applyBorder="0" applyAlignment="0" applyProtection="0">
      <alignment vertical="center"/>
    </xf>
    <xf numFmtId="0" fontId="176" fillId="54" borderId="0" applyNumberFormat="0" applyBorder="0" applyAlignment="0" applyProtection="0">
      <alignment vertical="center"/>
    </xf>
    <xf numFmtId="0" fontId="176" fillId="54" borderId="0" applyNumberFormat="0" applyBorder="0" applyAlignment="0" applyProtection="0">
      <alignment vertical="center"/>
    </xf>
    <xf numFmtId="0" fontId="176" fillId="54" borderId="0" applyNumberFormat="0" applyBorder="0" applyAlignment="0" applyProtection="0">
      <alignment vertical="center"/>
    </xf>
    <xf numFmtId="0" fontId="176" fillId="54" borderId="0" applyNumberFormat="0" applyBorder="0" applyAlignment="0" applyProtection="0">
      <alignment vertical="center"/>
    </xf>
    <xf numFmtId="0" fontId="176" fillId="54" borderId="0" applyNumberFormat="0" applyBorder="0" applyAlignment="0" applyProtection="0">
      <alignment vertical="center"/>
    </xf>
    <xf numFmtId="0" fontId="176" fillId="54" borderId="0" applyNumberFormat="0" applyBorder="0" applyAlignment="0" applyProtection="0">
      <alignment vertical="center"/>
    </xf>
    <xf numFmtId="0" fontId="176" fillId="54" borderId="0" applyNumberFormat="0" applyBorder="0" applyAlignment="0" applyProtection="0">
      <alignment vertical="center"/>
    </xf>
    <xf numFmtId="0" fontId="176" fillId="54" borderId="0" applyNumberFormat="0" applyBorder="0" applyAlignment="0" applyProtection="0">
      <alignment vertical="center"/>
    </xf>
    <xf numFmtId="0" fontId="176" fillId="54" borderId="0" applyNumberFormat="0" applyBorder="0" applyAlignment="0" applyProtection="0">
      <alignment vertical="center"/>
    </xf>
    <xf numFmtId="0" fontId="89" fillId="0" borderId="62" quotePrefix="1">
      <alignment horizontal="justify" vertical="justify" textRotation="127" wrapText="1" justifyLastLine="1"/>
      <protection hidden="1"/>
    </xf>
    <xf numFmtId="3" fontId="167" fillId="0" borderId="0" applyNumberFormat="0" applyFill="0" applyBorder="0" applyAlignment="0" applyProtection="0"/>
    <xf numFmtId="0" fontId="148" fillId="0" borderId="0" applyFill="0" applyBorder="0" applyAlignment="0"/>
    <xf numFmtId="0" fontId="148" fillId="0" borderId="0" applyFill="0" applyBorder="0" applyAlignment="0"/>
    <xf numFmtId="188" fontId="89" fillId="0" borderId="0" applyFill="0" applyBorder="0" applyAlignment="0"/>
    <xf numFmtId="189" fontId="89" fillId="0" borderId="0" applyFill="0" applyBorder="0" applyAlignment="0"/>
    <xf numFmtId="190" fontId="89" fillId="0" borderId="0" applyFill="0" applyBorder="0" applyAlignment="0"/>
    <xf numFmtId="0" fontId="148" fillId="0" borderId="0" applyFill="0" applyBorder="0" applyAlignment="0"/>
    <xf numFmtId="191" fontId="89" fillId="0" borderId="0" applyFill="0" applyBorder="0" applyAlignment="0"/>
    <xf numFmtId="0" fontId="148" fillId="0" borderId="0" applyFill="0" applyBorder="0" applyAlignment="0"/>
    <xf numFmtId="4" fontId="145" fillId="0" borderId="0">
      <protection locked="0"/>
    </xf>
    <xf numFmtId="41" fontId="96" fillId="0" borderId="0" applyFont="0" applyFill="0" applyBorder="0" applyAlignment="0" applyProtection="0">
      <alignment vertical="center"/>
    </xf>
    <xf numFmtId="193" fontId="96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0" fontId="89" fillId="0" borderId="0" applyFont="0" applyFill="0" applyBorder="0" applyAlignment="0" applyProtection="0"/>
    <xf numFmtId="195" fontId="89" fillId="0" borderId="0">
      <protection locked="0"/>
    </xf>
    <xf numFmtId="0" fontId="89" fillId="0" borderId="0" applyFont="0" applyFill="0" applyBorder="0" applyAlignment="0" applyProtection="0"/>
    <xf numFmtId="0" fontId="167" fillId="0" borderId="0" applyFill="0" applyBorder="0" applyAlignment="0"/>
    <xf numFmtId="0" fontId="167" fillId="0" borderId="0" applyFill="0" applyBorder="0" applyAlignment="0"/>
    <xf numFmtId="0" fontId="167" fillId="0" borderId="0" applyFill="0" applyBorder="0" applyAlignment="0"/>
    <xf numFmtId="191" fontId="89" fillId="0" borderId="0" applyFill="0" applyBorder="0" applyAlignment="0"/>
    <xf numFmtId="0" fontId="167" fillId="0" borderId="0" applyFill="0" applyBorder="0" applyAlignment="0"/>
    <xf numFmtId="3" fontId="89" fillId="0" borderId="0" applyFill="0" applyBorder="0" applyAlignment="0" applyProtection="0"/>
    <xf numFmtId="0" fontId="143" fillId="0" borderId="31">
      <alignment horizontal="left" vertical="center"/>
    </xf>
    <xf numFmtId="0" fontId="168" fillId="0" borderId="0" applyNumberFormat="0" applyFill="0" applyBorder="0" applyAlignment="0" applyProtection="0">
      <alignment vertical="top"/>
      <protection locked="0"/>
    </xf>
    <xf numFmtId="10" fontId="150" fillId="63" borderId="61" applyNumberFormat="0" applyBorder="0" applyAlignment="0" applyProtection="0"/>
    <xf numFmtId="0" fontId="169" fillId="0" borderId="0" applyFill="0" applyBorder="0" applyAlignment="0"/>
    <xf numFmtId="0" fontId="169" fillId="0" borderId="0" applyFill="0" applyBorder="0" applyAlignment="0"/>
    <xf numFmtId="0" fontId="169" fillId="0" borderId="0" applyFill="0" applyBorder="0" applyAlignment="0"/>
    <xf numFmtId="191" fontId="89" fillId="0" borderId="0" applyFill="0" applyBorder="0" applyAlignment="0"/>
    <xf numFmtId="0" fontId="169" fillId="0" borderId="0" applyFill="0" applyBorder="0" applyAlignment="0"/>
    <xf numFmtId="0" fontId="19" fillId="0" borderId="0"/>
    <xf numFmtId="0" fontId="156" fillId="0" borderId="0"/>
    <xf numFmtId="205" fontId="162" fillId="0" borderId="71" applyFont="0" applyFill="0" applyBorder="0" applyAlignment="0">
      <alignment horizontal="left" indent="1"/>
    </xf>
    <xf numFmtId="0" fontId="170" fillId="0" borderId="0"/>
    <xf numFmtId="187" fontId="89" fillId="0" borderId="0" applyFont="0" applyFill="0" applyBorder="0" applyAlignment="0" applyProtection="0"/>
    <xf numFmtId="206" fontId="89" fillId="0" borderId="0">
      <protection locked="0"/>
    </xf>
    <xf numFmtId="190" fontId="89" fillId="0" borderId="0" applyFont="0" applyFill="0" applyBorder="0" applyAlignment="0" applyProtection="0"/>
    <xf numFmtId="207" fontId="89" fillId="0" borderId="0" applyFont="0" applyFill="0" applyBorder="0" applyAlignment="0" applyProtection="0"/>
    <xf numFmtId="0" fontId="171" fillId="0" borderId="0" applyFill="0" applyBorder="0" applyAlignment="0"/>
    <xf numFmtId="0" fontId="171" fillId="0" borderId="0" applyFill="0" applyBorder="0" applyAlignment="0"/>
    <xf numFmtId="0" fontId="171" fillId="0" borderId="0" applyFill="0" applyBorder="0" applyAlignment="0"/>
    <xf numFmtId="191" fontId="89" fillId="0" borderId="0" applyFill="0" applyBorder="0" applyAlignment="0"/>
    <xf numFmtId="0" fontId="171" fillId="0" borderId="0" applyFill="0" applyBorder="0" applyAlignment="0"/>
    <xf numFmtId="37" fontId="172" fillId="0" borderId="0" applyNumberFormat="0" applyFill="0" applyBorder="0" applyAlignment="0"/>
    <xf numFmtId="0" fontId="137" fillId="0" borderId="0" applyNumberFormat="0" applyFont="0" applyFill="0" applyBorder="0" applyAlignment="0" applyProtection="0">
      <alignment horizontal="left"/>
    </xf>
    <xf numFmtId="3" fontId="173" fillId="0" borderId="23" applyNumberFormat="0" applyFill="0" applyBorder="0" applyAlignment="0" applyProtection="0"/>
    <xf numFmtId="210" fontId="89" fillId="0" borderId="0" applyFill="0" applyBorder="0" applyAlignment="0"/>
    <xf numFmtId="211" fontId="89" fillId="0" borderId="0" applyFill="0" applyBorder="0" applyAlignment="0"/>
    <xf numFmtId="212" fontId="89" fillId="0" borderId="0">
      <alignment horizontal="right"/>
    </xf>
    <xf numFmtId="37" fontId="174" fillId="0" borderId="0" applyNumberFormat="0" applyFill="0" applyBorder="0" applyAlignment="0" applyProtection="0"/>
    <xf numFmtId="0" fontId="176" fillId="55" borderId="0" applyNumberFormat="0" applyBorder="0" applyAlignment="0" applyProtection="0">
      <alignment vertical="center"/>
    </xf>
    <xf numFmtId="0" fontId="176" fillId="55" borderId="0" applyNumberFormat="0" applyBorder="0" applyAlignment="0" applyProtection="0">
      <alignment vertical="center"/>
    </xf>
    <xf numFmtId="0" fontId="176" fillId="55" borderId="0" applyNumberFormat="0" applyBorder="0" applyAlignment="0" applyProtection="0">
      <alignment vertical="center"/>
    </xf>
    <xf numFmtId="0" fontId="176" fillId="55" borderId="0" applyNumberFormat="0" applyBorder="0" applyAlignment="0" applyProtection="0">
      <alignment vertical="center"/>
    </xf>
    <xf numFmtId="0" fontId="176" fillId="55" borderId="0" applyNumberFormat="0" applyBorder="0" applyAlignment="0" applyProtection="0">
      <alignment vertical="center"/>
    </xf>
    <xf numFmtId="0" fontId="176" fillId="55" borderId="0" applyNumberFormat="0" applyBorder="0" applyAlignment="0" applyProtection="0">
      <alignment vertical="center"/>
    </xf>
    <xf numFmtId="0" fontId="176" fillId="55" borderId="0" applyNumberFormat="0" applyBorder="0" applyAlignment="0" applyProtection="0">
      <alignment vertical="center"/>
    </xf>
    <xf numFmtId="0" fontId="176" fillId="55" borderId="0" applyNumberFormat="0" applyBorder="0" applyAlignment="0" applyProtection="0">
      <alignment vertical="center"/>
    </xf>
    <xf numFmtId="0" fontId="176" fillId="55" borderId="0" applyNumberFormat="0" applyBorder="0" applyAlignment="0" applyProtection="0">
      <alignment vertical="center"/>
    </xf>
    <xf numFmtId="0" fontId="176" fillId="55" borderId="0" applyNumberFormat="0" applyBorder="0" applyAlignment="0" applyProtection="0">
      <alignment vertical="center"/>
    </xf>
    <xf numFmtId="0" fontId="176" fillId="55" borderId="0" applyNumberFormat="0" applyBorder="0" applyAlignment="0" applyProtection="0">
      <alignment vertical="center"/>
    </xf>
    <xf numFmtId="0" fontId="176" fillId="55" borderId="0" applyNumberFormat="0" applyBorder="0" applyAlignment="0" applyProtection="0">
      <alignment vertical="center"/>
    </xf>
    <xf numFmtId="0" fontId="176" fillId="55" borderId="0" applyNumberFormat="0" applyBorder="0" applyAlignment="0" applyProtection="0">
      <alignment vertical="center"/>
    </xf>
    <xf numFmtId="0" fontId="176" fillId="55" borderId="0" applyNumberFormat="0" applyBorder="0" applyAlignment="0" applyProtection="0">
      <alignment vertical="center"/>
    </xf>
    <xf numFmtId="0" fontId="176" fillId="55" borderId="0" applyNumberFormat="0" applyBorder="0" applyAlignment="0" applyProtection="0">
      <alignment vertical="center"/>
    </xf>
    <xf numFmtId="0" fontId="176" fillId="55" borderId="0" applyNumberFormat="0" applyBorder="0" applyAlignment="0" applyProtection="0">
      <alignment vertical="center"/>
    </xf>
    <xf numFmtId="0" fontId="176" fillId="55" borderId="0" applyNumberFormat="0" applyBorder="0" applyAlignment="0" applyProtection="0">
      <alignment vertical="center"/>
    </xf>
    <xf numFmtId="0" fontId="176" fillId="55" borderId="0" applyNumberFormat="0" applyBorder="0" applyAlignment="0" applyProtection="0">
      <alignment vertical="center"/>
    </xf>
    <xf numFmtId="0" fontId="176" fillId="55" borderId="0" applyNumberFormat="0" applyBorder="0" applyAlignment="0" applyProtection="0">
      <alignment vertical="center"/>
    </xf>
    <xf numFmtId="0" fontId="176" fillId="55" borderId="0" applyNumberFormat="0" applyBorder="0" applyAlignment="0" applyProtection="0">
      <alignment vertical="center"/>
    </xf>
    <xf numFmtId="0" fontId="176" fillId="55" borderId="0" applyNumberFormat="0" applyBorder="0" applyAlignment="0" applyProtection="0">
      <alignment vertical="center"/>
    </xf>
    <xf numFmtId="0" fontId="176" fillId="55" borderId="0" applyNumberFormat="0" applyBorder="0" applyAlignment="0" applyProtection="0">
      <alignment vertical="center"/>
    </xf>
    <xf numFmtId="0" fontId="176" fillId="55" borderId="0" applyNumberFormat="0" applyBorder="0" applyAlignment="0" applyProtection="0">
      <alignment vertical="center"/>
    </xf>
    <xf numFmtId="0" fontId="176" fillId="55" borderId="0" applyNumberFormat="0" applyBorder="0" applyAlignment="0" applyProtection="0">
      <alignment vertical="center"/>
    </xf>
    <xf numFmtId="0" fontId="176" fillId="56" borderId="0" applyNumberFormat="0" applyBorder="0" applyAlignment="0" applyProtection="0">
      <alignment vertical="center"/>
    </xf>
    <xf numFmtId="0" fontId="176" fillId="56" borderId="0" applyNumberFormat="0" applyBorder="0" applyAlignment="0" applyProtection="0">
      <alignment vertical="center"/>
    </xf>
    <xf numFmtId="0" fontId="176" fillId="56" borderId="0" applyNumberFormat="0" applyBorder="0" applyAlignment="0" applyProtection="0">
      <alignment vertical="center"/>
    </xf>
    <xf numFmtId="0" fontId="176" fillId="56" borderId="0" applyNumberFormat="0" applyBorder="0" applyAlignment="0" applyProtection="0">
      <alignment vertical="center"/>
    </xf>
    <xf numFmtId="0" fontId="176" fillId="56" borderId="0" applyNumberFormat="0" applyBorder="0" applyAlignment="0" applyProtection="0">
      <alignment vertical="center"/>
    </xf>
    <xf numFmtId="0" fontId="176" fillId="56" borderId="0" applyNumberFormat="0" applyBorder="0" applyAlignment="0" applyProtection="0">
      <alignment vertical="center"/>
    </xf>
    <xf numFmtId="0" fontId="176" fillId="56" borderId="0" applyNumberFormat="0" applyBorder="0" applyAlignment="0" applyProtection="0">
      <alignment vertical="center"/>
    </xf>
    <xf numFmtId="0" fontId="176" fillId="56" borderId="0" applyNumberFormat="0" applyBorder="0" applyAlignment="0" applyProtection="0">
      <alignment vertical="center"/>
    </xf>
    <xf numFmtId="0" fontId="176" fillId="56" borderId="0" applyNumberFormat="0" applyBorder="0" applyAlignment="0" applyProtection="0">
      <alignment vertical="center"/>
    </xf>
    <xf numFmtId="0" fontId="176" fillId="56" borderId="0" applyNumberFormat="0" applyBorder="0" applyAlignment="0" applyProtection="0">
      <alignment vertical="center"/>
    </xf>
    <xf numFmtId="0" fontId="176" fillId="56" borderId="0" applyNumberFormat="0" applyBorder="0" applyAlignment="0" applyProtection="0">
      <alignment vertical="center"/>
    </xf>
    <xf numFmtId="0" fontId="176" fillId="56" borderId="0" applyNumberFormat="0" applyBorder="0" applyAlignment="0" applyProtection="0">
      <alignment vertical="center"/>
    </xf>
    <xf numFmtId="0" fontId="176" fillId="56" borderId="0" applyNumberFormat="0" applyBorder="0" applyAlignment="0" applyProtection="0">
      <alignment vertical="center"/>
    </xf>
    <xf numFmtId="0" fontId="176" fillId="56" borderId="0" applyNumberFormat="0" applyBorder="0" applyAlignment="0" applyProtection="0">
      <alignment vertical="center"/>
    </xf>
    <xf numFmtId="0" fontId="176" fillId="56" borderId="0" applyNumberFormat="0" applyBorder="0" applyAlignment="0" applyProtection="0">
      <alignment vertical="center"/>
    </xf>
    <xf numFmtId="0" fontId="176" fillId="56" borderId="0" applyNumberFormat="0" applyBorder="0" applyAlignment="0" applyProtection="0">
      <alignment vertical="center"/>
    </xf>
    <xf numFmtId="0" fontId="176" fillId="56" borderId="0" applyNumberFormat="0" applyBorder="0" applyAlignment="0" applyProtection="0">
      <alignment vertical="center"/>
    </xf>
    <xf numFmtId="0" fontId="176" fillId="56" borderId="0" applyNumberFormat="0" applyBorder="0" applyAlignment="0" applyProtection="0">
      <alignment vertical="center"/>
    </xf>
    <xf numFmtId="0" fontId="176" fillId="56" borderId="0" applyNumberFormat="0" applyBorder="0" applyAlignment="0" applyProtection="0">
      <alignment vertical="center"/>
    </xf>
    <xf numFmtId="0" fontId="176" fillId="56" borderId="0" applyNumberFormat="0" applyBorder="0" applyAlignment="0" applyProtection="0">
      <alignment vertical="center"/>
    </xf>
    <xf numFmtId="0" fontId="176" fillId="56" borderId="0" applyNumberFormat="0" applyBorder="0" applyAlignment="0" applyProtection="0">
      <alignment vertical="center"/>
    </xf>
    <xf numFmtId="0" fontId="176" fillId="56" borderId="0" applyNumberFormat="0" applyBorder="0" applyAlignment="0" applyProtection="0">
      <alignment vertical="center"/>
    </xf>
    <xf numFmtId="0" fontId="176" fillId="56" borderId="0" applyNumberFormat="0" applyBorder="0" applyAlignment="0" applyProtection="0">
      <alignment vertical="center"/>
    </xf>
    <xf numFmtId="0" fontId="176" fillId="56" borderId="0" applyNumberFormat="0" applyBorder="0" applyAlignment="0" applyProtection="0">
      <alignment vertical="center"/>
    </xf>
    <xf numFmtId="0" fontId="176" fillId="57" borderId="0" applyNumberFormat="0" applyBorder="0" applyAlignment="0" applyProtection="0">
      <alignment vertical="center"/>
    </xf>
    <xf numFmtId="0" fontId="176" fillId="57" borderId="0" applyNumberFormat="0" applyBorder="0" applyAlignment="0" applyProtection="0">
      <alignment vertical="center"/>
    </xf>
    <xf numFmtId="0" fontId="176" fillId="57" borderId="0" applyNumberFormat="0" applyBorder="0" applyAlignment="0" applyProtection="0">
      <alignment vertical="center"/>
    </xf>
    <xf numFmtId="0" fontId="176" fillId="57" borderId="0" applyNumberFormat="0" applyBorder="0" applyAlignment="0" applyProtection="0">
      <alignment vertical="center"/>
    </xf>
    <xf numFmtId="0" fontId="176" fillId="57" borderId="0" applyNumberFormat="0" applyBorder="0" applyAlignment="0" applyProtection="0">
      <alignment vertical="center"/>
    </xf>
    <xf numFmtId="0" fontId="176" fillId="57" borderId="0" applyNumberFormat="0" applyBorder="0" applyAlignment="0" applyProtection="0">
      <alignment vertical="center"/>
    </xf>
    <xf numFmtId="0" fontId="176" fillId="57" borderId="0" applyNumberFormat="0" applyBorder="0" applyAlignment="0" applyProtection="0">
      <alignment vertical="center"/>
    </xf>
    <xf numFmtId="0" fontId="176" fillId="57" borderId="0" applyNumberFormat="0" applyBorder="0" applyAlignment="0" applyProtection="0">
      <alignment vertical="center"/>
    </xf>
    <xf numFmtId="0" fontId="176" fillId="57" borderId="0" applyNumberFormat="0" applyBorder="0" applyAlignment="0" applyProtection="0">
      <alignment vertical="center"/>
    </xf>
    <xf numFmtId="0" fontId="176" fillId="57" borderId="0" applyNumberFormat="0" applyBorder="0" applyAlignment="0" applyProtection="0">
      <alignment vertical="center"/>
    </xf>
    <xf numFmtId="0" fontId="176" fillId="57" borderId="0" applyNumberFormat="0" applyBorder="0" applyAlignment="0" applyProtection="0">
      <alignment vertical="center"/>
    </xf>
    <xf numFmtId="0" fontId="176" fillId="57" borderId="0" applyNumberFormat="0" applyBorder="0" applyAlignment="0" applyProtection="0">
      <alignment vertical="center"/>
    </xf>
    <xf numFmtId="0" fontId="176" fillId="57" borderId="0" applyNumberFormat="0" applyBorder="0" applyAlignment="0" applyProtection="0">
      <alignment vertical="center"/>
    </xf>
    <xf numFmtId="0" fontId="176" fillId="57" borderId="0" applyNumberFormat="0" applyBorder="0" applyAlignment="0" applyProtection="0">
      <alignment vertical="center"/>
    </xf>
    <xf numFmtId="0" fontId="176" fillId="57" borderId="0" applyNumberFormat="0" applyBorder="0" applyAlignment="0" applyProtection="0">
      <alignment vertical="center"/>
    </xf>
    <xf numFmtId="0" fontId="176" fillId="57" borderId="0" applyNumberFormat="0" applyBorder="0" applyAlignment="0" applyProtection="0">
      <alignment vertical="center"/>
    </xf>
    <xf numFmtId="0" fontId="176" fillId="57" borderId="0" applyNumberFormat="0" applyBorder="0" applyAlignment="0" applyProtection="0">
      <alignment vertical="center"/>
    </xf>
    <xf numFmtId="0" fontId="176" fillId="57" borderId="0" applyNumberFormat="0" applyBorder="0" applyAlignment="0" applyProtection="0">
      <alignment vertical="center"/>
    </xf>
    <xf numFmtId="0" fontId="176" fillId="57" borderId="0" applyNumberFormat="0" applyBorder="0" applyAlignment="0" applyProtection="0">
      <alignment vertical="center"/>
    </xf>
    <xf numFmtId="0" fontId="176" fillId="57" borderId="0" applyNumberFormat="0" applyBorder="0" applyAlignment="0" applyProtection="0">
      <alignment vertical="center"/>
    </xf>
    <xf numFmtId="0" fontId="176" fillId="57" borderId="0" applyNumberFormat="0" applyBorder="0" applyAlignment="0" applyProtection="0">
      <alignment vertical="center"/>
    </xf>
    <xf numFmtId="0" fontId="176" fillId="57" borderId="0" applyNumberFormat="0" applyBorder="0" applyAlignment="0" applyProtection="0">
      <alignment vertical="center"/>
    </xf>
    <xf numFmtId="0" fontId="176" fillId="57" borderId="0" applyNumberFormat="0" applyBorder="0" applyAlignment="0" applyProtection="0">
      <alignment vertical="center"/>
    </xf>
    <xf numFmtId="0" fontId="176" fillId="57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2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3" borderId="0" applyNumberFormat="0" applyBorder="0" applyAlignment="0" applyProtection="0">
      <alignment vertical="center"/>
    </xf>
    <xf numFmtId="0" fontId="176" fillId="58" borderId="0" applyNumberFormat="0" applyBorder="0" applyAlignment="0" applyProtection="0">
      <alignment vertical="center"/>
    </xf>
    <xf numFmtId="0" fontId="176" fillId="58" borderId="0" applyNumberFormat="0" applyBorder="0" applyAlignment="0" applyProtection="0">
      <alignment vertical="center"/>
    </xf>
    <xf numFmtId="0" fontId="176" fillId="58" borderId="0" applyNumberFormat="0" applyBorder="0" applyAlignment="0" applyProtection="0">
      <alignment vertical="center"/>
    </xf>
    <xf numFmtId="0" fontId="176" fillId="58" borderId="0" applyNumberFormat="0" applyBorder="0" applyAlignment="0" applyProtection="0">
      <alignment vertical="center"/>
    </xf>
    <xf numFmtId="0" fontId="176" fillId="58" borderId="0" applyNumberFormat="0" applyBorder="0" applyAlignment="0" applyProtection="0">
      <alignment vertical="center"/>
    </xf>
    <xf numFmtId="0" fontId="176" fillId="58" borderId="0" applyNumberFormat="0" applyBorder="0" applyAlignment="0" applyProtection="0">
      <alignment vertical="center"/>
    </xf>
    <xf numFmtId="0" fontId="176" fillId="58" borderId="0" applyNumberFormat="0" applyBorder="0" applyAlignment="0" applyProtection="0">
      <alignment vertical="center"/>
    </xf>
    <xf numFmtId="0" fontId="176" fillId="58" borderId="0" applyNumberFormat="0" applyBorder="0" applyAlignment="0" applyProtection="0">
      <alignment vertical="center"/>
    </xf>
    <xf numFmtId="0" fontId="176" fillId="58" borderId="0" applyNumberFormat="0" applyBorder="0" applyAlignment="0" applyProtection="0">
      <alignment vertical="center"/>
    </xf>
    <xf numFmtId="0" fontId="176" fillId="58" borderId="0" applyNumberFormat="0" applyBorder="0" applyAlignment="0" applyProtection="0">
      <alignment vertical="center"/>
    </xf>
    <xf numFmtId="0" fontId="176" fillId="58" borderId="0" applyNumberFormat="0" applyBorder="0" applyAlignment="0" applyProtection="0">
      <alignment vertical="center"/>
    </xf>
    <xf numFmtId="0" fontId="176" fillId="58" borderId="0" applyNumberFormat="0" applyBorder="0" applyAlignment="0" applyProtection="0">
      <alignment vertical="center"/>
    </xf>
    <xf numFmtId="0" fontId="176" fillId="58" borderId="0" applyNumberFormat="0" applyBorder="0" applyAlignment="0" applyProtection="0">
      <alignment vertical="center"/>
    </xf>
    <xf numFmtId="0" fontId="176" fillId="58" borderId="0" applyNumberFormat="0" applyBorder="0" applyAlignment="0" applyProtection="0">
      <alignment vertical="center"/>
    </xf>
    <xf numFmtId="0" fontId="176" fillId="58" borderId="0" applyNumberFormat="0" applyBorder="0" applyAlignment="0" applyProtection="0">
      <alignment vertical="center"/>
    </xf>
    <xf numFmtId="0" fontId="176" fillId="58" borderId="0" applyNumberFormat="0" applyBorder="0" applyAlignment="0" applyProtection="0">
      <alignment vertical="center"/>
    </xf>
    <xf numFmtId="0" fontId="176" fillId="58" borderId="0" applyNumberFormat="0" applyBorder="0" applyAlignment="0" applyProtection="0">
      <alignment vertical="center"/>
    </xf>
    <xf numFmtId="0" fontId="176" fillId="58" borderId="0" applyNumberFormat="0" applyBorder="0" applyAlignment="0" applyProtection="0">
      <alignment vertical="center"/>
    </xf>
    <xf numFmtId="0" fontId="176" fillId="58" borderId="0" applyNumberFormat="0" applyBorder="0" applyAlignment="0" applyProtection="0">
      <alignment vertical="center"/>
    </xf>
    <xf numFmtId="0" fontId="176" fillId="58" borderId="0" applyNumberFormat="0" applyBorder="0" applyAlignment="0" applyProtection="0">
      <alignment vertical="center"/>
    </xf>
    <xf numFmtId="0" fontId="176" fillId="58" borderId="0" applyNumberFormat="0" applyBorder="0" applyAlignment="0" applyProtection="0">
      <alignment vertical="center"/>
    </xf>
    <xf numFmtId="0" fontId="176" fillId="58" borderId="0" applyNumberFormat="0" applyBorder="0" applyAlignment="0" applyProtection="0">
      <alignment vertical="center"/>
    </xf>
    <xf numFmtId="0" fontId="176" fillId="58" borderId="0" applyNumberFormat="0" applyBorder="0" applyAlignment="0" applyProtection="0">
      <alignment vertical="center"/>
    </xf>
    <xf numFmtId="0" fontId="176" fillId="58" borderId="0" applyNumberFormat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8" fillId="59" borderId="52" applyNumberFormat="0" applyAlignment="0" applyProtection="0">
      <alignment vertical="center"/>
    </xf>
    <xf numFmtId="0" fontId="178" fillId="59" borderId="52" applyNumberFormat="0" applyAlignment="0" applyProtection="0">
      <alignment vertical="center"/>
    </xf>
    <xf numFmtId="0" fontId="178" fillId="59" borderId="52" applyNumberFormat="0" applyAlignment="0" applyProtection="0">
      <alignment vertical="center"/>
    </xf>
    <xf numFmtId="0" fontId="178" fillId="59" borderId="52" applyNumberFormat="0" applyAlignment="0" applyProtection="0">
      <alignment vertical="center"/>
    </xf>
    <xf numFmtId="0" fontId="178" fillId="59" borderId="52" applyNumberFormat="0" applyAlignment="0" applyProtection="0">
      <alignment vertical="center"/>
    </xf>
    <xf numFmtId="0" fontId="178" fillId="59" borderId="52" applyNumberFormat="0" applyAlignment="0" applyProtection="0">
      <alignment vertical="center"/>
    </xf>
    <xf numFmtId="0" fontId="178" fillId="59" borderId="52" applyNumberFormat="0" applyAlignment="0" applyProtection="0">
      <alignment vertical="center"/>
    </xf>
    <xf numFmtId="0" fontId="178" fillId="59" borderId="52" applyNumberFormat="0" applyAlignment="0" applyProtection="0">
      <alignment vertical="center"/>
    </xf>
    <xf numFmtId="0" fontId="178" fillId="59" borderId="52" applyNumberFormat="0" applyAlignment="0" applyProtection="0">
      <alignment vertical="center"/>
    </xf>
    <xf numFmtId="0" fontId="178" fillId="59" borderId="52" applyNumberFormat="0" applyAlignment="0" applyProtection="0">
      <alignment vertical="center"/>
    </xf>
    <xf numFmtId="0" fontId="178" fillId="59" borderId="52" applyNumberFormat="0" applyAlignment="0" applyProtection="0">
      <alignment vertical="center"/>
    </xf>
    <xf numFmtId="0" fontId="178" fillId="59" borderId="52" applyNumberFormat="0" applyAlignment="0" applyProtection="0">
      <alignment vertical="center"/>
    </xf>
    <xf numFmtId="0" fontId="178" fillId="59" borderId="52" applyNumberFormat="0" applyAlignment="0" applyProtection="0">
      <alignment vertical="center"/>
    </xf>
    <xf numFmtId="0" fontId="178" fillId="59" borderId="52" applyNumberFormat="0" applyAlignment="0" applyProtection="0">
      <alignment vertical="center"/>
    </xf>
    <xf numFmtId="0" fontId="178" fillId="59" borderId="52" applyNumberFormat="0" applyAlignment="0" applyProtection="0">
      <alignment vertical="center"/>
    </xf>
    <xf numFmtId="0" fontId="178" fillId="59" borderId="52" applyNumberFormat="0" applyAlignment="0" applyProtection="0">
      <alignment vertical="center"/>
    </xf>
    <xf numFmtId="0" fontId="178" fillId="59" borderId="52" applyNumberFormat="0" applyAlignment="0" applyProtection="0">
      <alignment vertical="center"/>
    </xf>
    <xf numFmtId="0" fontId="178" fillId="59" borderId="52" applyNumberFormat="0" applyAlignment="0" applyProtection="0">
      <alignment vertical="center"/>
    </xf>
    <xf numFmtId="0" fontId="178" fillId="59" borderId="52" applyNumberFormat="0" applyAlignment="0" applyProtection="0">
      <alignment vertical="center"/>
    </xf>
    <xf numFmtId="0" fontId="178" fillId="59" borderId="52" applyNumberFormat="0" applyAlignment="0" applyProtection="0">
      <alignment vertical="center"/>
    </xf>
    <xf numFmtId="0" fontId="178" fillId="59" borderId="52" applyNumberFormat="0" applyAlignment="0" applyProtection="0">
      <alignment vertical="center"/>
    </xf>
    <xf numFmtId="0" fontId="178" fillId="59" borderId="52" applyNumberFormat="0" applyAlignment="0" applyProtection="0">
      <alignment vertical="center"/>
    </xf>
    <xf numFmtId="0" fontId="178" fillId="59" borderId="52" applyNumberFormat="0" applyAlignment="0" applyProtection="0">
      <alignment vertical="center"/>
    </xf>
    <xf numFmtId="0" fontId="178" fillId="59" borderId="52" applyNumberFormat="0" applyAlignment="0" applyProtection="0">
      <alignment vertical="center"/>
    </xf>
    <xf numFmtId="0" fontId="179" fillId="42" borderId="0" applyNumberFormat="0" applyBorder="0" applyAlignment="0" applyProtection="0">
      <alignment vertical="center"/>
    </xf>
    <xf numFmtId="0" fontId="179" fillId="42" borderId="0" applyNumberFormat="0" applyBorder="0" applyAlignment="0" applyProtection="0">
      <alignment vertical="center"/>
    </xf>
    <xf numFmtId="0" fontId="179" fillId="42" borderId="0" applyNumberFormat="0" applyBorder="0" applyAlignment="0" applyProtection="0">
      <alignment vertical="center"/>
    </xf>
    <xf numFmtId="0" fontId="179" fillId="42" borderId="0" applyNumberFormat="0" applyBorder="0" applyAlignment="0" applyProtection="0">
      <alignment vertical="center"/>
    </xf>
    <xf numFmtId="0" fontId="179" fillId="42" borderId="0" applyNumberFormat="0" applyBorder="0" applyAlignment="0" applyProtection="0">
      <alignment vertical="center"/>
    </xf>
    <xf numFmtId="0" fontId="179" fillId="42" borderId="0" applyNumberFormat="0" applyBorder="0" applyAlignment="0" applyProtection="0">
      <alignment vertical="center"/>
    </xf>
    <xf numFmtId="0" fontId="179" fillId="42" borderId="0" applyNumberFormat="0" applyBorder="0" applyAlignment="0" applyProtection="0">
      <alignment vertical="center"/>
    </xf>
    <xf numFmtId="0" fontId="179" fillId="42" borderId="0" applyNumberFormat="0" applyBorder="0" applyAlignment="0" applyProtection="0">
      <alignment vertical="center"/>
    </xf>
    <xf numFmtId="0" fontId="179" fillId="42" borderId="0" applyNumberFormat="0" applyBorder="0" applyAlignment="0" applyProtection="0">
      <alignment vertical="center"/>
    </xf>
    <xf numFmtId="0" fontId="179" fillId="42" borderId="0" applyNumberFormat="0" applyBorder="0" applyAlignment="0" applyProtection="0">
      <alignment vertical="center"/>
    </xf>
    <xf numFmtId="0" fontId="179" fillId="42" borderId="0" applyNumberFormat="0" applyBorder="0" applyAlignment="0" applyProtection="0">
      <alignment vertical="center"/>
    </xf>
    <xf numFmtId="0" fontId="179" fillId="42" borderId="0" applyNumberFormat="0" applyBorder="0" applyAlignment="0" applyProtection="0">
      <alignment vertical="center"/>
    </xf>
    <xf numFmtId="0" fontId="179" fillId="42" borderId="0" applyNumberFormat="0" applyBorder="0" applyAlignment="0" applyProtection="0">
      <alignment vertical="center"/>
    </xf>
    <xf numFmtId="0" fontId="179" fillId="42" borderId="0" applyNumberFormat="0" applyBorder="0" applyAlignment="0" applyProtection="0">
      <alignment vertical="center"/>
    </xf>
    <xf numFmtId="0" fontId="179" fillId="42" borderId="0" applyNumberFormat="0" applyBorder="0" applyAlignment="0" applyProtection="0">
      <alignment vertical="center"/>
    </xf>
    <xf numFmtId="0" fontId="179" fillId="42" borderId="0" applyNumberFormat="0" applyBorder="0" applyAlignment="0" applyProtection="0">
      <alignment vertical="center"/>
    </xf>
    <xf numFmtId="0" fontId="179" fillId="42" borderId="0" applyNumberFormat="0" applyBorder="0" applyAlignment="0" applyProtection="0">
      <alignment vertical="center"/>
    </xf>
    <xf numFmtId="0" fontId="179" fillId="42" borderId="0" applyNumberFormat="0" applyBorder="0" applyAlignment="0" applyProtection="0">
      <alignment vertical="center"/>
    </xf>
    <xf numFmtId="0" fontId="179" fillId="42" borderId="0" applyNumberFormat="0" applyBorder="0" applyAlignment="0" applyProtection="0">
      <alignment vertical="center"/>
    </xf>
    <xf numFmtId="0" fontId="179" fillId="42" borderId="0" applyNumberFormat="0" applyBorder="0" applyAlignment="0" applyProtection="0">
      <alignment vertical="center"/>
    </xf>
    <xf numFmtId="0" fontId="179" fillId="42" borderId="0" applyNumberFormat="0" applyBorder="0" applyAlignment="0" applyProtection="0">
      <alignment vertical="center"/>
    </xf>
    <xf numFmtId="0" fontId="179" fillId="42" borderId="0" applyNumberFormat="0" applyBorder="0" applyAlignment="0" applyProtection="0">
      <alignment vertical="center"/>
    </xf>
    <xf numFmtId="0" fontId="179" fillId="42" borderId="0" applyNumberFormat="0" applyBorder="0" applyAlignment="0" applyProtection="0">
      <alignment vertical="center"/>
    </xf>
    <xf numFmtId="0" fontId="179" fillId="42" borderId="0" applyNumberFormat="0" applyBorder="0" applyAlignment="0" applyProtection="0">
      <alignment vertical="center"/>
    </xf>
    <xf numFmtId="0" fontId="30" fillId="60" borderId="53" applyNumberFormat="0" applyFont="0" applyAlignment="0" applyProtection="0">
      <alignment vertical="center"/>
    </xf>
    <xf numFmtId="0" fontId="30" fillId="60" borderId="53" applyNumberFormat="0" applyFont="0" applyAlignment="0" applyProtection="0">
      <alignment vertical="center"/>
    </xf>
    <xf numFmtId="0" fontId="30" fillId="60" borderId="53" applyNumberFormat="0" applyFont="0" applyAlignment="0" applyProtection="0">
      <alignment vertical="center"/>
    </xf>
    <xf numFmtId="0" fontId="30" fillId="60" borderId="53" applyNumberFormat="0" applyFont="0" applyAlignment="0" applyProtection="0">
      <alignment vertical="center"/>
    </xf>
    <xf numFmtId="0" fontId="30" fillId="60" borderId="53" applyNumberFormat="0" applyFont="0" applyAlignment="0" applyProtection="0">
      <alignment vertical="center"/>
    </xf>
    <xf numFmtId="0" fontId="30" fillId="60" borderId="53" applyNumberFormat="0" applyFont="0" applyAlignment="0" applyProtection="0">
      <alignment vertical="center"/>
    </xf>
    <xf numFmtId="0" fontId="30" fillId="60" borderId="53" applyNumberFormat="0" applyFont="0" applyAlignment="0" applyProtection="0">
      <alignment vertical="center"/>
    </xf>
    <xf numFmtId="0" fontId="30" fillId="60" borderId="53" applyNumberFormat="0" applyFont="0" applyAlignment="0" applyProtection="0">
      <alignment vertical="center"/>
    </xf>
    <xf numFmtId="0" fontId="30" fillId="60" borderId="53" applyNumberFormat="0" applyFont="0" applyAlignment="0" applyProtection="0">
      <alignment vertical="center"/>
    </xf>
    <xf numFmtId="0" fontId="30" fillId="60" borderId="53" applyNumberFormat="0" applyFont="0" applyAlignment="0" applyProtection="0">
      <alignment vertical="center"/>
    </xf>
    <xf numFmtId="0" fontId="30" fillId="60" borderId="53" applyNumberFormat="0" applyFont="0" applyAlignment="0" applyProtection="0">
      <alignment vertical="center"/>
    </xf>
    <xf numFmtId="0" fontId="30" fillId="60" borderId="53" applyNumberFormat="0" applyFont="0" applyAlignment="0" applyProtection="0">
      <alignment vertical="center"/>
    </xf>
    <xf numFmtId="0" fontId="30" fillId="60" borderId="53" applyNumberFormat="0" applyFont="0" applyAlignment="0" applyProtection="0">
      <alignment vertical="center"/>
    </xf>
    <xf numFmtId="0" fontId="30" fillId="60" borderId="53" applyNumberFormat="0" applyFont="0" applyAlignment="0" applyProtection="0">
      <alignment vertical="center"/>
    </xf>
    <xf numFmtId="0" fontId="30" fillId="60" borderId="53" applyNumberFormat="0" applyFont="0" applyAlignment="0" applyProtection="0">
      <alignment vertical="center"/>
    </xf>
    <xf numFmtId="0" fontId="30" fillId="60" borderId="53" applyNumberFormat="0" applyFont="0" applyAlignment="0" applyProtection="0">
      <alignment vertical="center"/>
    </xf>
    <xf numFmtId="0" fontId="30" fillId="60" borderId="53" applyNumberFormat="0" applyFont="0" applyAlignment="0" applyProtection="0">
      <alignment vertical="center"/>
    </xf>
    <xf numFmtId="0" fontId="30" fillId="60" borderId="53" applyNumberFormat="0" applyFont="0" applyAlignment="0" applyProtection="0">
      <alignment vertical="center"/>
    </xf>
    <xf numFmtId="0" fontId="30" fillId="60" borderId="53" applyNumberFormat="0" applyFont="0" applyAlignment="0" applyProtection="0">
      <alignment vertical="center"/>
    </xf>
    <xf numFmtId="0" fontId="30" fillId="60" borderId="53" applyNumberFormat="0" applyFont="0" applyAlignment="0" applyProtection="0">
      <alignment vertical="center"/>
    </xf>
    <xf numFmtId="0" fontId="30" fillId="60" borderId="53" applyNumberFormat="0" applyFont="0" applyAlignment="0" applyProtection="0">
      <alignment vertical="center"/>
    </xf>
    <xf numFmtId="0" fontId="30" fillId="60" borderId="53" applyNumberFormat="0" applyFont="0" applyAlignment="0" applyProtection="0">
      <alignment vertical="center"/>
    </xf>
    <xf numFmtId="0" fontId="30" fillId="60" borderId="53" applyNumberFormat="0" applyFont="0" applyAlignment="0" applyProtection="0">
      <alignment vertical="center"/>
    </xf>
    <xf numFmtId="0" fontId="30" fillId="60" borderId="53" applyNumberFormat="0" applyFont="0" applyAlignment="0" applyProtection="0">
      <alignment vertical="center"/>
    </xf>
    <xf numFmtId="186" fontId="165" fillId="0" borderId="0">
      <protection locked="0"/>
    </xf>
    <xf numFmtId="9" fontId="30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>
      <alignment vertical="center"/>
    </xf>
    <xf numFmtId="0" fontId="180" fillId="61" borderId="0" applyNumberFormat="0" applyBorder="0" applyAlignment="0" applyProtection="0">
      <alignment vertical="center"/>
    </xf>
    <xf numFmtId="0" fontId="180" fillId="61" borderId="0" applyNumberFormat="0" applyBorder="0" applyAlignment="0" applyProtection="0">
      <alignment vertical="center"/>
    </xf>
    <xf numFmtId="0" fontId="180" fillId="61" borderId="0" applyNumberFormat="0" applyBorder="0" applyAlignment="0" applyProtection="0">
      <alignment vertical="center"/>
    </xf>
    <xf numFmtId="0" fontId="180" fillId="61" borderId="0" applyNumberFormat="0" applyBorder="0" applyAlignment="0" applyProtection="0">
      <alignment vertical="center"/>
    </xf>
    <xf numFmtId="0" fontId="180" fillId="61" borderId="0" applyNumberFormat="0" applyBorder="0" applyAlignment="0" applyProtection="0">
      <alignment vertical="center"/>
    </xf>
    <xf numFmtId="0" fontId="180" fillId="61" borderId="0" applyNumberFormat="0" applyBorder="0" applyAlignment="0" applyProtection="0">
      <alignment vertical="center"/>
    </xf>
    <xf numFmtId="0" fontId="180" fillId="61" borderId="0" applyNumberFormat="0" applyBorder="0" applyAlignment="0" applyProtection="0">
      <alignment vertical="center"/>
    </xf>
    <xf numFmtId="0" fontId="180" fillId="61" borderId="0" applyNumberFormat="0" applyBorder="0" applyAlignment="0" applyProtection="0">
      <alignment vertical="center"/>
    </xf>
    <xf numFmtId="0" fontId="180" fillId="61" borderId="0" applyNumberFormat="0" applyBorder="0" applyAlignment="0" applyProtection="0">
      <alignment vertical="center"/>
    </xf>
    <xf numFmtId="0" fontId="180" fillId="61" borderId="0" applyNumberFormat="0" applyBorder="0" applyAlignment="0" applyProtection="0">
      <alignment vertical="center"/>
    </xf>
    <xf numFmtId="0" fontId="180" fillId="61" borderId="0" applyNumberFormat="0" applyBorder="0" applyAlignment="0" applyProtection="0">
      <alignment vertical="center"/>
    </xf>
    <xf numFmtId="0" fontId="180" fillId="61" borderId="0" applyNumberFormat="0" applyBorder="0" applyAlignment="0" applyProtection="0">
      <alignment vertical="center"/>
    </xf>
    <xf numFmtId="0" fontId="180" fillId="61" borderId="0" applyNumberFormat="0" applyBorder="0" applyAlignment="0" applyProtection="0">
      <alignment vertical="center"/>
    </xf>
    <xf numFmtId="0" fontId="180" fillId="61" borderId="0" applyNumberFormat="0" applyBorder="0" applyAlignment="0" applyProtection="0">
      <alignment vertical="center"/>
    </xf>
    <xf numFmtId="0" fontId="180" fillId="61" borderId="0" applyNumberFormat="0" applyBorder="0" applyAlignment="0" applyProtection="0">
      <alignment vertical="center"/>
    </xf>
    <xf numFmtId="0" fontId="180" fillId="61" borderId="0" applyNumberFormat="0" applyBorder="0" applyAlignment="0" applyProtection="0">
      <alignment vertical="center"/>
    </xf>
    <xf numFmtId="0" fontId="180" fillId="61" borderId="0" applyNumberFormat="0" applyBorder="0" applyAlignment="0" applyProtection="0">
      <alignment vertical="center"/>
    </xf>
    <xf numFmtId="0" fontId="180" fillId="61" borderId="0" applyNumberFormat="0" applyBorder="0" applyAlignment="0" applyProtection="0">
      <alignment vertical="center"/>
    </xf>
    <xf numFmtId="0" fontId="180" fillId="61" borderId="0" applyNumberFormat="0" applyBorder="0" applyAlignment="0" applyProtection="0">
      <alignment vertical="center"/>
    </xf>
    <xf numFmtId="0" fontId="180" fillId="61" borderId="0" applyNumberFormat="0" applyBorder="0" applyAlignment="0" applyProtection="0">
      <alignment vertical="center"/>
    </xf>
    <xf numFmtId="0" fontId="180" fillId="61" borderId="0" applyNumberFormat="0" applyBorder="0" applyAlignment="0" applyProtection="0">
      <alignment vertical="center"/>
    </xf>
    <xf numFmtId="0" fontId="180" fillId="61" borderId="0" applyNumberFormat="0" applyBorder="0" applyAlignment="0" applyProtection="0">
      <alignment vertical="center"/>
    </xf>
    <xf numFmtId="0" fontId="180" fillId="61" borderId="0" applyNumberFormat="0" applyBorder="0" applyAlignment="0" applyProtection="0">
      <alignment vertical="center"/>
    </xf>
    <xf numFmtId="0" fontId="180" fillId="61" borderId="0" applyNumberFormat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2" fillId="62" borderId="54" applyNumberFormat="0" applyAlignment="0" applyProtection="0">
      <alignment vertical="center"/>
    </xf>
    <xf numFmtId="0" fontId="182" fillId="62" borderId="54" applyNumberFormat="0" applyAlignment="0" applyProtection="0">
      <alignment vertical="center"/>
    </xf>
    <xf numFmtId="0" fontId="182" fillId="62" borderId="54" applyNumberFormat="0" applyAlignment="0" applyProtection="0">
      <alignment vertical="center"/>
    </xf>
    <xf numFmtId="0" fontId="182" fillId="62" borderId="54" applyNumberFormat="0" applyAlignment="0" applyProtection="0">
      <alignment vertical="center"/>
    </xf>
    <xf numFmtId="0" fontId="182" fillId="62" borderId="54" applyNumberFormat="0" applyAlignment="0" applyProtection="0">
      <alignment vertical="center"/>
    </xf>
    <xf numFmtId="0" fontId="182" fillId="62" borderId="54" applyNumberFormat="0" applyAlignment="0" applyProtection="0">
      <alignment vertical="center"/>
    </xf>
    <xf numFmtId="0" fontId="182" fillId="62" borderId="54" applyNumberFormat="0" applyAlignment="0" applyProtection="0">
      <alignment vertical="center"/>
    </xf>
    <xf numFmtId="0" fontId="182" fillId="62" borderId="54" applyNumberFormat="0" applyAlignment="0" applyProtection="0">
      <alignment vertical="center"/>
    </xf>
    <xf numFmtId="0" fontId="182" fillId="62" borderId="54" applyNumberFormat="0" applyAlignment="0" applyProtection="0">
      <alignment vertical="center"/>
    </xf>
    <xf numFmtId="0" fontId="182" fillId="62" borderId="54" applyNumberFormat="0" applyAlignment="0" applyProtection="0">
      <alignment vertical="center"/>
    </xf>
    <xf numFmtId="0" fontId="182" fillId="62" borderId="54" applyNumberFormat="0" applyAlignment="0" applyProtection="0">
      <alignment vertical="center"/>
    </xf>
    <xf numFmtId="0" fontId="182" fillId="62" borderId="54" applyNumberFormat="0" applyAlignment="0" applyProtection="0">
      <alignment vertical="center"/>
    </xf>
    <xf numFmtId="0" fontId="182" fillId="62" borderId="54" applyNumberFormat="0" applyAlignment="0" applyProtection="0">
      <alignment vertical="center"/>
    </xf>
    <xf numFmtId="0" fontId="182" fillId="62" borderId="54" applyNumberFormat="0" applyAlignment="0" applyProtection="0">
      <alignment vertical="center"/>
    </xf>
    <xf numFmtId="0" fontId="182" fillId="62" borderId="54" applyNumberFormat="0" applyAlignment="0" applyProtection="0">
      <alignment vertical="center"/>
    </xf>
    <xf numFmtId="0" fontId="182" fillId="62" borderId="54" applyNumberFormat="0" applyAlignment="0" applyProtection="0">
      <alignment vertical="center"/>
    </xf>
    <xf numFmtId="0" fontId="182" fillId="62" borderId="54" applyNumberFormat="0" applyAlignment="0" applyProtection="0">
      <alignment vertical="center"/>
    </xf>
    <xf numFmtId="0" fontId="182" fillId="62" borderId="54" applyNumberFormat="0" applyAlignment="0" applyProtection="0">
      <alignment vertical="center"/>
    </xf>
    <xf numFmtId="0" fontId="182" fillId="62" borderId="54" applyNumberFormat="0" applyAlignment="0" applyProtection="0">
      <alignment vertical="center"/>
    </xf>
    <xf numFmtId="0" fontId="182" fillId="62" borderId="54" applyNumberFormat="0" applyAlignment="0" applyProtection="0">
      <alignment vertical="center"/>
    </xf>
    <xf numFmtId="0" fontId="182" fillId="62" borderId="54" applyNumberFormat="0" applyAlignment="0" applyProtection="0">
      <alignment vertical="center"/>
    </xf>
    <xf numFmtId="0" fontId="182" fillId="62" borderId="54" applyNumberFormat="0" applyAlignment="0" applyProtection="0">
      <alignment vertical="center"/>
    </xf>
    <xf numFmtId="0" fontId="182" fillId="62" borderId="54" applyNumberFormat="0" applyAlignment="0" applyProtection="0">
      <alignment vertical="center"/>
    </xf>
    <xf numFmtId="0" fontId="182" fillId="62" borderId="54" applyNumberFormat="0" applyAlignment="0" applyProtection="0">
      <alignment vertical="center"/>
    </xf>
    <xf numFmtId="186" fontId="165" fillId="0" borderId="0">
      <protection locked="0"/>
    </xf>
    <xf numFmtId="186" fontId="165" fillId="0" borderId="0">
      <protection locked="0"/>
    </xf>
    <xf numFmtId="41" fontId="10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88" fillId="0" borderId="0" applyFont="0" applyFill="0" applyBorder="0" applyAlignment="0" applyProtection="0">
      <alignment vertical="center"/>
    </xf>
    <xf numFmtId="41" fontId="188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96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193" fontId="96" fillId="0" borderId="0" applyFont="0" applyFill="0" applyBorder="0" applyAlignment="0" applyProtection="0">
      <alignment vertical="center"/>
    </xf>
    <xf numFmtId="193" fontId="96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6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96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187" fontId="30" fillId="0" borderId="0" applyFont="0" applyFill="0" applyBorder="0" applyAlignment="0" applyProtection="0"/>
    <xf numFmtId="187" fontId="30" fillId="0" borderId="0" applyFont="0" applyFill="0" applyBorder="0" applyAlignment="0" applyProtection="0"/>
    <xf numFmtId="187" fontId="30" fillId="0" borderId="0" applyFont="0" applyFill="0" applyBorder="0" applyAlignment="0" applyProtection="0"/>
    <xf numFmtId="187" fontId="30" fillId="0" borderId="0" applyFont="0" applyFill="0" applyBorder="0" applyAlignment="0" applyProtection="0"/>
    <xf numFmtId="187" fontId="30" fillId="0" borderId="0" applyFont="0" applyFill="0" applyBorder="0" applyAlignment="0" applyProtection="0"/>
    <xf numFmtId="187" fontId="30" fillId="0" borderId="0" applyFont="0" applyFill="0" applyBorder="0" applyAlignment="0" applyProtection="0"/>
    <xf numFmtId="0" fontId="183" fillId="0" borderId="55" applyNumberFormat="0" applyFill="0" applyAlignment="0" applyProtection="0">
      <alignment vertical="center"/>
    </xf>
    <xf numFmtId="0" fontId="183" fillId="0" borderId="55" applyNumberFormat="0" applyFill="0" applyAlignment="0" applyProtection="0">
      <alignment vertical="center"/>
    </xf>
    <xf numFmtId="0" fontId="183" fillId="0" borderId="55" applyNumberFormat="0" applyFill="0" applyAlignment="0" applyProtection="0">
      <alignment vertical="center"/>
    </xf>
    <xf numFmtId="0" fontId="183" fillId="0" borderId="55" applyNumberFormat="0" applyFill="0" applyAlignment="0" applyProtection="0">
      <alignment vertical="center"/>
    </xf>
    <xf numFmtId="0" fontId="183" fillId="0" borderId="55" applyNumberFormat="0" applyFill="0" applyAlignment="0" applyProtection="0">
      <alignment vertical="center"/>
    </xf>
    <xf numFmtId="0" fontId="183" fillId="0" borderId="55" applyNumberFormat="0" applyFill="0" applyAlignment="0" applyProtection="0">
      <alignment vertical="center"/>
    </xf>
    <xf numFmtId="0" fontId="183" fillId="0" borderId="55" applyNumberFormat="0" applyFill="0" applyAlignment="0" applyProtection="0">
      <alignment vertical="center"/>
    </xf>
    <xf numFmtId="0" fontId="183" fillId="0" borderId="55" applyNumberFormat="0" applyFill="0" applyAlignment="0" applyProtection="0">
      <alignment vertical="center"/>
    </xf>
    <xf numFmtId="0" fontId="183" fillId="0" borderId="55" applyNumberFormat="0" applyFill="0" applyAlignment="0" applyProtection="0">
      <alignment vertical="center"/>
    </xf>
    <xf numFmtId="0" fontId="183" fillId="0" borderId="55" applyNumberFormat="0" applyFill="0" applyAlignment="0" applyProtection="0">
      <alignment vertical="center"/>
    </xf>
    <xf numFmtId="0" fontId="183" fillId="0" borderId="55" applyNumberFormat="0" applyFill="0" applyAlignment="0" applyProtection="0">
      <alignment vertical="center"/>
    </xf>
    <xf numFmtId="0" fontId="183" fillId="0" borderId="55" applyNumberFormat="0" applyFill="0" applyAlignment="0" applyProtection="0">
      <alignment vertical="center"/>
    </xf>
    <xf numFmtId="0" fontId="183" fillId="0" borderId="55" applyNumberFormat="0" applyFill="0" applyAlignment="0" applyProtection="0">
      <alignment vertical="center"/>
    </xf>
    <xf numFmtId="0" fontId="183" fillId="0" borderId="55" applyNumberFormat="0" applyFill="0" applyAlignment="0" applyProtection="0">
      <alignment vertical="center"/>
    </xf>
    <xf numFmtId="0" fontId="183" fillId="0" borderId="55" applyNumberFormat="0" applyFill="0" applyAlignment="0" applyProtection="0">
      <alignment vertical="center"/>
    </xf>
    <xf numFmtId="0" fontId="183" fillId="0" borderId="55" applyNumberFormat="0" applyFill="0" applyAlignment="0" applyProtection="0">
      <alignment vertical="center"/>
    </xf>
    <xf numFmtId="0" fontId="183" fillId="0" borderId="55" applyNumberFormat="0" applyFill="0" applyAlignment="0" applyProtection="0">
      <alignment vertical="center"/>
    </xf>
    <xf numFmtId="0" fontId="183" fillId="0" borderId="55" applyNumberFormat="0" applyFill="0" applyAlignment="0" applyProtection="0">
      <alignment vertical="center"/>
    </xf>
    <xf numFmtId="0" fontId="183" fillId="0" borderId="55" applyNumberFormat="0" applyFill="0" applyAlignment="0" applyProtection="0">
      <alignment vertical="center"/>
    </xf>
    <xf numFmtId="0" fontId="183" fillId="0" borderId="55" applyNumberFormat="0" applyFill="0" applyAlignment="0" applyProtection="0">
      <alignment vertical="center"/>
    </xf>
    <xf numFmtId="0" fontId="183" fillId="0" borderId="55" applyNumberFormat="0" applyFill="0" applyAlignment="0" applyProtection="0">
      <alignment vertical="center"/>
    </xf>
    <xf numFmtId="0" fontId="183" fillId="0" borderId="55" applyNumberFormat="0" applyFill="0" applyAlignment="0" applyProtection="0">
      <alignment vertical="center"/>
    </xf>
    <xf numFmtId="0" fontId="183" fillId="0" borderId="55" applyNumberFormat="0" applyFill="0" applyAlignment="0" applyProtection="0">
      <alignment vertical="center"/>
    </xf>
    <xf numFmtId="0" fontId="183" fillId="0" borderId="55" applyNumberFormat="0" applyFill="0" applyAlignment="0" applyProtection="0">
      <alignment vertical="center"/>
    </xf>
    <xf numFmtId="0" fontId="184" fillId="0" borderId="56" applyNumberFormat="0" applyFill="0" applyAlignment="0" applyProtection="0">
      <alignment vertical="center"/>
    </xf>
    <xf numFmtId="0" fontId="184" fillId="0" borderId="56" applyNumberFormat="0" applyFill="0" applyAlignment="0" applyProtection="0">
      <alignment vertical="center"/>
    </xf>
    <xf numFmtId="0" fontId="184" fillId="0" borderId="56" applyNumberFormat="0" applyFill="0" applyAlignment="0" applyProtection="0">
      <alignment vertical="center"/>
    </xf>
    <xf numFmtId="0" fontId="184" fillId="0" borderId="56" applyNumberFormat="0" applyFill="0" applyAlignment="0" applyProtection="0">
      <alignment vertical="center"/>
    </xf>
    <xf numFmtId="0" fontId="184" fillId="0" borderId="56" applyNumberFormat="0" applyFill="0" applyAlignment="0" applyProtection="0">
      <alignment vertical="center"/>
    </xf>
    <xf numFmtId="0" fontId="184" fillId="0" borderId="56" applyNumberFormat="0" applyFill="0" applyAlignment="0" applyProtection="0">
      <alignment vertical="center"/>
    </xf>
    <xf numFmtId="0" fontId="184" fillId="0" borderId="56" applyNumberFormat="0" applyFill="0" applyAlignment="0" applyProtection="0">
      <alignment vertical="center"/>
    </xf>
    <xf numFmtId="0" fontId="184" fillId="0" borderId="56" applyNumberFormat="0" applyFill="0" applyAlignment="0" applyProtection="0">
      <alignment vertical="center"/>
    </xf>
    <xf numFmtId="0" fontId="184" fillId="0" borderId="56" applyNumberFormat="0" applyFill="0" applyAlignment="0" applyProtection="0">
      <alignment vertical="center"/>
    </xf>
    <xf numFmtId="0" fontId="184" fillId="0" borderId="56" applyNumberFormat="0" applyFill="0" applyAlignment="0" applyProtection="0">
      <alignment vertical="center"/>
    </xf>
    <xf numFmtId="0" fontId="184" fillId="0" borderId="56" applyNumberFormat="0" applyFill="0" applyAlignment="0" applyProtection="0">
      <alignment vertical="center"/>
    </xf>
    <xf numFmtId="0" fontId="184" fillId="0" borderId="56" applyNumberFormat="0" applyFill="0" applyAlignment="0" applyProtection="0">
      <alignment vertical="center"/>
    </xf>
    <xf numFmtId="0" fontId="184" fillId="0" borderId="56" applyNumberFormat="0" applyFill="0" applyAlignment="0" applyProtection="0">
      <alignment vertical="center"/>
    </xf>
    <xf numFmtId="0" fontId="184" fillId="0" borderId="56" applyNumberFormat="0" applyFill="0" applyAlignment="0" applyProtection="0">
      <alignment vertical="center"/>
    </xf>
    <xf numFmtId="0" fontId="184" fillId="0" borderId="56" applyNumberFormat="0" applyFill="0" applyAlignment="0" applyProtection="0">
      <alignment vertical="center"/>
    </xf>
    <xf numFmtId="0" fontId="184" fillId="0" borderId="56" applyNumberFormat="0" applyFill="0" applyAlignment="0" applyProtection="0">
      <alignment vertical="center"/>
    </xf>
    <xf numFmtId="0" fontId="184" fillId="0" borderId="56" applyNumberFormat="0" applyFill="0" applyAlignment="0" applyProtection="0">
      <alignment vertical="center"/>
    </xf>
    <xf numFmtId="0" fontId="184" fillId="0" borderId="56" applyNumberFormat="0" applyFill="0" applyAlignment="0" applyProtection="0">
      <alignment vertical="center"/>
    </xf>
    <xf numFmtId="0" fontId="184" fillId="0" borderId="56" applyNumberFormat="0" applyFill="0" applyAlignment="0" applyProtection="0">
      <alignment vertical="center"/>
    </xf>
    <xf numFmtId="0" fontId="184" fillId="0" borderId="56" applyNumberFormat="0" applyFill="0" applyAlignment="0" applyProtection="0">
      <alignment vertical="center"/>
    </xf>
    <xf numFmtId="0" fontId="184" fillId="0" borderId="56" applyNumberFormat="0" applyFill="0" applyAlignment="0" applyProtection="0">
      <alignment vertical="center"/>
    </xf>
    <xf numFmtId="0" fontId="184" fillId="0" borderId="56" applyNumberFormat="0" applyFill="0" applyAlignment="0" applyProtection="0">
      <alignment vertical="center"/>
    </xf>
    <xf numFmtId="0" fontId="184" fillId="0" borderId="56" applyNumberFormat="0" applyFill="0" applyAlignment="0" applyProtection="0">
      <alignment vertical="center"/>
    </xf>
    <xf numFmtId="0" fontId="184" fillId="0" borderId="56" applyNumberFormat="0" applyFill="0" applyAlignment="0" applyProtection="0">
      <alignment vertical="center"/>
    </xf>
    <xf numFmtId="0" fontId="185" fillId="46" borderId="52" applyNumberFormat="0" applyAlignment="0" applyProtection="0">
      <alignment vertical="center"/>
    </xf>
    <xf numFmtId="0" fontId="185" fillId="46" borderId="52" applyNumberFormat="0" applyAlignment="0" applyProtection="0">
      <alignment vertical="center"/>
    </xf>
    <xf numFmtId="0" fontId="185" fillId="46" borderId="52" applyNumberFormat="0" applyAlignment="0" applyProtection="0">
      <alignment vertical="center"/>
    </xf>
    <xf numFmtId="0" fontId="185" fillId="46" borderId="52" applyNumberFormat="0" applyAlignment="0" applyProtection="0">
      <alignment vertical="center"/>
    </xf>
    <xf numFmtId="0" fontId="185" fillId="46" borderId="52" applyNumberFormat="0" applyAlignment="0" applyProtection="0">
      <alignment vertical="center"/>
    </xf>
    <xf numFmtId="0" fontId="185" fillId="46" borderId="52" applyNumberFormat="0" applyAlignment="0" applyProtection="0">
      <alignment vertical="center"/>
    </xf>
    <xf numFmtId="0" fontId="185" fillId="46" borderId="52" applyNumberFormat="0" applyAlignment="0" applyProtection="0">
      <alignment vertical="center"/>
    </xf>
    <xf numFmtId="0" fontId="185" fillId="46" borderId="52" applyNumberFormat="0" applyAlignment="0" applyProtection="0">
      <alignment vertical="center"/>
    </xf>
    <xf numFmtId="0" fontId="185" fillId="46" borderId="52" applyNumberFormat="0" applyAlignment="0" applyProtection="0">
      <alignment vertical="center"/>
    </xf>
    <xf numFmtId="0" fontId="185" fillId="46" borderId="52" applyNumberFormat="0" applyAlignment="0" applyProtection="0">
      <alignment vertical="center"/>
    </xf>
    <xf numFmtId="0" fontId="185" fillId="46" borderId="52" applyNumberFormat="0" applyAlignment="0" applyProtection="0">
      <alignment vertical="center"/>
    </xf>
    <xf numFmtId="0" fontId="185" fillId="46" borderId="52" applyNumberFormat="0" applyAlignment="0" applyProtection="0">
      <alignment vertical="center"/>
    </xf>
    <xf numFmtId="0" fontId="185" fillId="46" borderId="52" applyNumberFormat="0" applyAlignment="0" applyProtection="0">
      <alignment vertical="center"/>
    </xf>
    <xf numFmtId="0" fontId="185" fillId="46" borderId="52" applyNumberFormat="0" applyAlignment="0" applyProtection="0">
      <alignment vertical="center"/>
    </xf>
    <xf numFmtId="0" fontId="185" fillId="46" borderId="52" applyNumberFormat="0" applyAlignment="0" applyProtection="0">
      <alignment vertical="center"/>
    </xf>
    <xf numFmtId="0" fontId="185" fillId="46" borderId="52" applyNumberFormat="0" applyAlignment="0" applyProtection="0">
      <alignment vertical="center"/>
    </xf>
    <xf numFmtId="0" fontId="185" fillId="46" borderId="52" applyNumberFormat="0" applyAlignment="0" applyProtection="0">
      <alignment vertical="center"/>
    </xf>
    <xf numFmtId="0" fontId="185" fillId="46" borderId="52" applyNumberFormat="0" applyAlignment="0" applyProtection="0">
      <alignment vertical="center"/>
    </xf>
    <xf numFmtId="0" fontId="185" fillId="46" borderId="52" applyNumberFormat="0" applyAlignment="0" applyProtection="0">
      <alignment vertical="center"/>
    </xf>
    <xf numFmtId="0" fontId="185" fillId="46" borderId="52" applyNumberFormat="0" applyAlignment="0" applyProtection="0">
      <alignment vertical="center"/>
    </xf>
    <xf numFmtId="0" fontId="185" fillId="46" borderId="52" applyNumberFormat="0" applyAlignment="0" applyProtection="0">
      <alignment vertical="center"/>
    </xf>
    <xf numFmtId="0" fontId="185" fillId="46" borderId="52" applyNumberFormat="0" applyAlignment="0" applyProtection="0">
      <alignment vertical="center"/>
    </xf>
    <xf numFmtId="0" fontId="185" fillId="46" borderId="52" applyNumberFormat="0" applyAlignment="0" applyProtection="0">
      <alignment vertical="center"/>
    </xf>
    <xf numFmtId="0" fontId="185" fillId="46" borderId="52" applyNumberFormat="0" applyAlignment="0" applyProtection="0">
      <alignment vertical="center"/>
    </xf>
    <xf numFmtId="0" fontId="108" fillId="0" borderId="57" applyNumberFormat="0" applyFill="0" applyAlignment="0" applyProtection="0">
      <alignment vertical="center"/>
    </xf>
    <xf numFmtId="0" fontId="108" fillId="0" borderId="57" applyNumberFormat="0" applyFill="0" applyAlignment="0" applyProtection="0">
      <alignment vertical="center"/>
    </xf>
    <xf numFmtId="0" fontId="108" fillId="0" borderId="57" applyNumberFormat="0" applyFill="0" applyAlignment="0" applyProtection="0">
      <alignment vertical="center"/>
    </xf>
    <xf numFmtId="0" fontId="108" fillId="0" borderId="57" applyNumberFormat="0" applyFill="0" applyAlignment="0" applyProtection="0">
      <alignment vertical="center"/>
    </xf>
    <xf numFmtId="0" fontId="108" fillId="0" borderId="57" applyNumberFormat="0" applyFill="0" applyAlignment="0" applyProtection="0">
      <alignment vertical="center"/>
    </xf>
    <xf numFmtId="0" fontId="108" fillId="0" borderId="57" applyNumberFormat="0" applyFill="0" applyAlignment="0" applyProtection="0">
      <alignment vertical="center"/>
    </xf>
    <xf numFmtId="0" fontId="108" fillId="0" borderId="57" applyNumberFormat="0" applyFill="0" applyAlignment="0" applyProtection="0">
      <alignment vertical="center"/>
    </xf>
    <xf numFmtId="0" fontId="108" fillId="0" borderId="57" applyNumberFormat="0" applyFill="0" applyAlignment="0" applyProtection="0">
      <alignment vertical="center"/>
    </xf>
    <xf numFmtId="0" fontId="108" fillId="0" borderId="57" applyNumberFormat="0" applyFill="0" applyAlignment="0" applyProtection="0">
      <alignment vertical="center"/>
    </xf>
    <xf numFmtId="0" fontId="108" fillId="0" borderId="57" applyNumberFormat="0" applyFill="0" applyAlignment="0" applyProtection="0">
      <alignment vertical="center"/>
    </xf>
    <xf numFmtId="0" fontId="108" fillId="0" borderId="57" applyNumberFormat="0" applyFill="0" applyAlignment="0" applyProtection="0">
      <alignment vertical="center"/>
    </xf>
    <xf numFmtId="0" fontId="108" fillId="0" borderId="57" applyNumberFormat="0" applyFill="0" applyAlignment="0" applyProtection="0">
      <alignment vertical="center"/>
    </xf>
    <xf numFmtId="0" fontId="108" fillId="0" borderId="57" applyNumberFormat="0" applyFill="0" applyAlignment="0" applyProtection="0">
      <alignment vertical="center"/>
    </xf>
    <xf numFmtId="0" fontId="108" fillId="0" borderId="57" applyNumberFormat="0" applyFill="0" applyAlignment="0" applyProtection="0">
      <alignment vertical="center"/>
    </xf>
    <xf numFmtId="0" fontId="108" fillId="0" borderId="57" applyNumberFormat="0" applyFill="0" applyAlignment="0" applyProtection="0">
      <alignment vertical="center"/>
    </xf>
    <xf numFmtId="0" fontId="108" fillId="0" borderId="57" applyNumberFormat="0" applyFill="0" applyAlignment="0" applyProtection="0">
      <alignment vertical="center"/>
    </xf>
    <xf numFmtId="0" fontId="108" fillId="0" borderId="57" applyNumberFormat="0" applyFill="0" applyAlignment="0" applyProtection="0">
      <alignment vertical="center"/>
    </xf>
    <xf numFmtId="0" fontId="108" fillId="0" borderId="57" applyNumberFormat="0" applyFill="0" applyAlignment="0" applyProtection="0">
      <alignment vertical="center"/>
    </xf>
    <xf numFmtId="0" fontId="108" fillId="0" borderId="57" applyNumberFormat="0" applyFill="0" applyAlignment="0" applyProtection="0">
      <alignment vertical="center"/>
    </xf>
    <xf numFmtId="0" fontId="108" fillId="0" borderId="57" applyNumberFormat="0" applyFill="0" applyAlignment="0" applyProtection="0">
      <alignment vertical="center"/>
    </xf>
    <xf numFmtId="0" fontId="108" fillId="0" borderId="57" applyNumberFormat="0" applyFill="0" applyAlignment="0" applyProtection="0">
      <alignment vertical="center"/>
    </xf>
    <xf numFmtId="0" fontId="108" fillId="0" borderId="57" applyNumberFormat="0" applyFill="0" applyAlignment="0" applyProtection="0">
      <alignment vertical="center"/>
    </xf>
    <xf numFmtId="0" fontId="108" fillId="0" borderId="57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9" fillId="0" borderId="58" applyNumberFormat="0" applyFill="0" applyAlignment="0" applyProtection="0">
      <alignment vertical="center"/>
    </xf>
    <xf numFmtId="0" fontId="109" fillId="0" borderId="58" applyNumberFormat="0" applyFill="0" applyAlignment="0" applyProtection="0">
      <alignment vertical="center"/>
    </xf>
    <xf numFmtId="0" fontId="109" fillId="0" borderId="58" applyNumberFormat="0" applyFill="0" applyAlignment="0" applyProtection="0">
      <alignment vertical="center"/>
    </xf>
    <xf numFmtId="0" fontId="109" fillId="0" borderId="58" applyNumberFormat="0" applyFill="0" applyAlignment="0" applyProtection="0">
      <alignment vertical="center"/>
    </xf>
    <xf numFmtId="0" fontId="109" fillId="0" borderId="58" applyNumberFormat="0" applyFill="0" applyAlignment="0" applyProtection="0">
      <alignment vertical="center"/>
    </xf>
    <xf numFmtId="0" fontId="109" fillId="0" borderId="58" applyNumberFormat="0" applyFill="0" applyAlignment="0" applyProtection="0">
      <alignment vertical="center"/>
    </xf>
    <xf numFmtId="0" fontId="109" fillId="0" borderId="58" applyNumberFormat="0" applyFill="0" applyAlignment="0" applyProtection="0">
      <alignment vertical="center"/>
    </xf>
    <xf numFmtId="0" fontId="109" fillId="0" borderId="58" applyNumberFormat="0" applyFill="0" applyAlignment="0" applyProtection="0">
      <alignment vertical="center"/>
    </xf>
    <xf numFmtId="0" fontId="109" fillId="0" borderId="58" applyNumberFormat="0" applyFill="0" applyAlignment="0" applyProtection="0">
      <alignment vertical="center"/>
    </xf>
    <xf numFmtId="0" fontId="109" fillId="0" borderId="58" applyNumberFormat="0" applyFill="0" applyAlignment="0" applyProtection="0">
      <alignment vertical="center"/>
    </xf>
    <xf numFmtId="0" fontId="109" fillId="0" borderId="58" applyNumberFormat="0" applyFill="0" applyAlignment="0" applyProtection="0">
      <alignment vertical="center"/>
    </xf>
    <xf numFmtId="0" fontId="109" fillId="0" borderId="58" applyNumberFormat="0" applyFill="0" applyAlignment="0" applyProtection="0">
      <alignment vertical="center"/>
    </xf>
    <xf numFmtId="0" fontId="109" fillId="0" borderId="58" applyNumberFormat="0" applyFill="0" applyAlignment="0" applyProtection="0">
      <alignment vertical="center"/>
    </xf>
    <xf numFmtId="0" fontId="109" fillId="0" borderId="58" applyNumberFormat="0" applyFill="0" applyAlignment="0" applyProtection="0">
      <alignment vertical="center"/>
    </xf>
    <xf numFmtId="0" fontId="109" fillId="0" borderId="58" applyNumberFormat="0" applyFill="0" applyAlignment="0" applyProtection="0">
      <alignment vertical="center"/>
    </xf>
    <xf numFmtId="0" fontId="109" fillId="0" borderId="58" applyNumberFormat="0" applyFill="0" applyAlignment="0" applyProtection="0">
      <alignment vertical="center"/>
    </xf>
    <xf numFmtId="0" fontId="109" fillId="0" borderId="58" applyNumberFormat="0" applyFill="0" applyAlignment="0" applyProtection="0">
      <alignment vertical="center"/>
    </xf>
    <xf numFmtId="0" fontId="109" fillId="0" borderId="58" applyNumberFormat="0" applyFill="0" applyAlignment="0" applyProtection="0">
      <alignment vertical="center"/>
    </xf>
    <xf numFmtId="0" fontId="109" fillId="0" borderId="58" applyNumberFormat="0" applyFill="0" applyAlignment="0" applyProtection="0">
      <alignment vertical="center"/>
    </xf>
    <xf numFmtId="0" fontId="109" fillId="0" borderId="58" applyNumberFormat="0" applyFill="0" applyAlignment="0" applyProtection="0">
      <alignment vertical="center"/>
    </xf>
    <xf numFmtId="0" fontId="109" fillId="0" borderId="58" applyNumberFormat="0" applyFill="0" applyAlignment="0" applyProtection="0">
      <alignment vertical="center"/>
    </xf>
    <xf numFmtId="0" fontId="109" fillId="0" borderId="58" applyNumberFormat="0" applyFill="0" applyAlignment="0" applyProtection="0">
      <alignment vertical="center"/>
    </xf>
    <xf numFmtId="0" fontId="109" fillId="0" borderId="58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10" fillId="0" borderId="59" applyNumberFormat="0" applyFill="0" applyAlignment="0" applyProtection="0">
      <alignment vertical="center"/>
    </xf>
    <xf numFmtId="0" fontId="110" fillId="0" borderId="59" applyNumberFormat="0" applyFill="0" applyAlignment="0" applyProtection="0">
      <alignment vertical="center"/>
    </xf>
    <xf numFmtId="0" fontId="110" fillId="0" borderId="59" applyNumberFormat="0" applyFill="0" applyAlignment="0" applyProtection="0">
      <alignment vertical="center"/>
    </xf>
    <xf numFmtId="0" fontId="110" fillId="0" borderId="59" applyNumberFormat="0" applyFill="0" applyAlignment="0" applyProtection="0">
      <alignment vertical="center"/>
    </xf>
    <xf numFmtId="0" fontId="110" fillId="0" borderId="59" applyNumberFormat="0" applyFill="0" applyAlignment="0" applyProtection="0">
      <alignment vertical="center"/>
    </xf>
    <xf numFmtId="0" fontId="110" fillId="0" borderId="59" applyNumberFormat="0" applyFill="0" applyAlignment="0" applyProtection="0">
      <alignment vertical="center"/>
    </xf>
    <xf numFmtId="0" fontId="110" fillId="0" borderId="59" applyNumberFormat="0" applyFill="0" applyAlignment="0" applyProtection="0">
      <alignment vertical="center"/>
    </xf>
    <xf numFmtId="0" fontId="110" fillId="0" borderId="59" applyNumberFormat="0" applyFill="0" applyAlignment="0" applyProtection="0">
      <alignment vertical="center"/>
    </xf>
    <xf numFmtId="0" fontId="110" fillId="0" borderId="59" applyNumberFormat="0" applyFill="0" applyAlignment="0" applyProtection="0">
      <alignment vertical="center"/>
    </xf>
    <xf numFmtId="0" fontId="110" fillId="0" borderId="59" applyNumberFormat="0" applyFill="0" applyAlignment="0" applyProtection="0">
      <alignment vertical="center"/>
    </xf>
    <xf numFmtId="0" fontId="110" fillId="0" borderId="59" applyNumberFormat="0" applyFill="0" applyAlignment="0" applyProtection="0">
      <alignment vertical="center"/>
    </xf>
    <xf numFmtId="0" fontId="110" fillId="0" borderId="59" applyNumberFormat="0" applyFill="0" applyAlignment="0" applyProtection="0">
      <alignment vertical="center"/>
    </xf>
    <xf numFmtId="0" fontId="110" fillId="0" borderId="59" applyNumberFormat="0" applyFill="0" applyAlignment="0" applyProtection="0">
      <alignment vertical="center"/>
    </xf>
    <xf numFmtId="0" fontId="110" fillId="0" borderId="59" applyNumberFormat="0" applyFill="0" applyAlignment="0" applyProtection="0">
      <alignment vertical="center"/>
    </xf>
    <xf numFmtId="0" fontId="110" fillId="0" borderId="59" applyNumberFormat="0" applyFill="0" applyAlignment="0" applyProtection="0">
      <alignment vertical="center"/>
    </xf>
    <xf numFmtId="0" fontId="110" fillId="0" borderId="59" applyNumberFormat="0" applyFill="0" applyAlignment="0" applyProtection="0">
      <alignment vertical="center"/>
    </xf>
    <xf numFmtId="0" fontId="110" fillId="0" borderId="59" applyNumberFormat="0" applyFill="0" applyAlignment="0" applyProtection="0">
      <alignment vertical="center"/>
    </xf>
    <xf numFmtId="0" fontId="110" fillId="0" borderId="59" applyNumberFormat="0" applyFill="0" applyAlignment="0" applyProtection="0">
      <alignment vertical="center"/>
    </xf>
    <xf numFmtId="0" fontId="110" fillId="0" borderId="59" applyNumberFormat="0" applyFill="0" applyAlignment="0" applyProtection="0">
      <alignment vertical="center"/>
    </xf>
    <xf numFmtId="0" fontId="110" fillId="0" borderId="59" applyNumberFormat="0" applyFill="0" applyAlignment="0" applyProtection="0">
      <alignment vertical="center"/>
    </xf>
    <xf numFmtId="0" fontId="110" fillId="0" borderId="59" applyNumberFormat="0" applyFill="0" applyAlignment="0" applyProtection="0">
      <alignment vertical="center"/>
    </xf>
    <xf numFmtId="0" fontId="110" fillId="0" borderId="59" applyNumberFormat="0" applyFill="0" applyAlignment="0" applyProtection="0">
      <alignment vertical="center"/>
    </xf>
    <xf numFmtId="0" fontId="110" fillId="0" borderId="59" applyNumberFormat="0" applyFill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86" fillId="43" borderId="0" applyNumberFormat="0" applyBorder="0" applyAlignment="0" applyProtection="0">
      <alignment vertical="center"/>
    </xf>
    <xf numFmtId="0" fontId="186" fillId="43" borderId="0" applyNumberFormat="0" applyBorder="0" applyAlignment="0" applyProtection="0">
      <alignment vertical="center"/>
    </xf>
    <xf numFmtId="0" fontId="186" fillId="43" borderId="0" applyNumberFormat="0" applyBorder="0" applyAlignment="0" applyProtection="0">
      <alignment vertical="center"/>
    </xf>
    <xf numFmtId="0" fontId="186" fillId="43" borderId="0" applyNumberFormat="0" applyBorder="0" applyAlignment="0" applyProtection="0">
      <alignment vertical="center"/>
    </xf>
    <xf numFmtId="0" fontId="186" fillId="43" borderId="0" applyNumberFormat="0" applyBorder="0" applyAlignment="0" applyProtection="0">
      <alignment vertical="center"/>
    </xf>
    <xf numFmtId="0" fontId="186" fillId="43" borderId="0" applyNumberFormat="0" applyBorder="0" applyAlignment="0" applyProtection="0">
      <alignment vertical="center"/>
    </xf>
    <xf numFmtId="0" fontId="186" fillId="43" borderId="0" applyNumberFormat="0" applyBorder="0" applyAlignment="0" applyProtection="0">
      <alignment vertical="center"/>
    </xf>
    <xf numFmtId="0" fontId="186" fillId="43" borderId="0" applyNumberFormat="0" applyBorder="0" applyAlignment="0" applyProtection="0">
      <alignment vertical="center"/>
    </xf>
    <xf numFmtId="0" fontId="186" fillId="43" borderId="0" applyNumberFormat="0" applyBorder="0" applyAlignment="0" applyProtection="0">
      <alignment vertical="center"/>
    </xf>
    <xf numFmtId="0" fontId="186" fillId="43" borderId="0" applyNumberFormat="0" applyBorder="0" applyAlignment="0" applyProtection="0">
      <alignment vertical="center"/>
    </xf>
    <xf numFmtId="0" fontId="186" fillId="43" borderId="0" applyNumberFormat="0" applyBorder="0" applyAlignment="0" applyProtection="0">
      <alignment vertical="center"/>
    </xf>
    <xf numFmtId="0" fontId="186" fillId="43" borderId="0" applyNumberFormat="0" applyBorder="0" applyAlignment="0" applyProtection="0">
      <alignment vertical="center"/>
    </xf>
    <xf numFmtId="0" fontId="186" fillId="43" borderId="0" applyNumberFormat="0" applyBorder="0" applyAlignment="0" applyProtection="0">
      <alignment vertical="center"/>
    </xf>
    <xf numFmtId="0" fontId="186" fillId="43" borderId="0" applyNumberFormat="0" applyBorder="0" applyAlignment="0" applyProtection="0">
      <alignment vertical="center"/>
    </xf>
    <xf numFmtId="0" fontId="186" fillId="43" borderId="0" applyNumberFormat="0" applyBorder="0" applyAlignment="0" applyProtection="0">
      <alignment vertical="center"/>
    </xf>
    <xf numFmtId="0" fontId="186" fillId="43" borderId="0" applyNumberFormat="0" applyBorder="0" applyAlignment="0" applyProtection="0">
      <alignment vertical="center"/>
    </xf>
    <xf numFmtId="0" fontId="186" fillId="43" borderId="0" applyNumberFormat="0" applyBorder="0" applyAlignment="0" applyProtection="0">
      <alignment vertical="center"/>
    </xf>
    <xf numFmtId="0" fontId="186" fillId="43" borderId="0" applyNumberFormat="0" applyBorder="0" applyAlignment="0" applyProtection="0">
      <alignment vertical="center"/>
    </xf>
    <xf numFmtId="0" fontId="186" fillId="43" borderId="0" applyNumberFormat="0" applyBorder="0" applyAlignment="0" applyProtection="0">
      <alignment vertical="center"/>
    </xf>
    <xf numFmtId="0" fontId="186" fillId="43" borderId="0" applyNumberFormat="0" applyBorder="0" applyAlignment="0" applyProtection="0">
      <alignment vertical="center"/>
    </xf>
    <xf numFmtId="0" fontId="186" fillId="43" borderId="0" applyNumberFormat="0" applyBorder="0" applyAlignment="0" applyProtection="0">
      <alignment vertical="center"/>
    </xf>
    <xf numFmtId="0" fontId="186" fillId="43" borderId="0" applyNumberFormat="0" applyBorder="0" applyAlignment="0" applyProtection="0">
      <alignment vertical="center"/>
    </xf>
    <xf numFmtId="0" fontId="186" fillId="43" borderId="0" applyNumberFormat="0" applyBorder="0" applyAlignment="0" applyProtection="0">
      <alignment vertical="center"/>
    </xf>
    <xf numFmtId="0" fontId="186" fillId="43" borderId="0" applyNumberFormat="0" applyBorder="0" applyAlignment="0" applyProtection="0">
      <alignment vertical="center"/>
    </xf>
    <xf numFmtId="0" fontId="187" fillId="59" borderId="60" applyNumberFormat="0" applyAlignment="0" applyProtection="0">
      <alignment vertical="center"/>
    </xf>
    <xf numFmtId="0" fontId="187" fillId="59" borderId="60" applyNumberFormat="0" applyAlignment="0" applyProtection="0">
      <alignment vertical="center"/>
    </xf>
    <xf numFmtId="0" fontId="187" fillId="59" borderId="60" applyNumberFormat="0" applyAlignment="0" applyProtection="0">
      <alignment vertical="center"/>
    </xf>
    <xf numFmtId="0" fontId="187" fillId="59" borderId="60" applyNumberFormat="0" applyAlignment="0" applyProtection="0">
      <alignment vertical="center"/>
    </xf>
    <xf numFmtId="0" fontId="187" fillId="59" borderId="60" applyNumberFormat="0" applyAlignment="0" applyProtection="0">
      <alignment vertical="center"/>
    </xf>
    <xf numFmtId="0" fontId="187" fillId="59" borderId="60" applyNumberFormat="0" applyAlignment="0" applyProtection="0">
      <alignment vertical="center"/>
    </xf>
    <xf numFmtId="0" fontId="187" fillId="59" borderId="60" applyNumberFormat="0" applyAlignment="0" applyProtection="0">
      <alignment vertical="center"/>
    </xf>
    <xf numFmtId="0" fontId="187" fillId="59" borderId="60" applyNumberFormat="0" applyAlignment="0" applyProtection="0">
      <alignment vertical="center"/>
    </xf>
    <xf numFmtId="0" fontId="187" fillId="59" borderId="60" applyNumberFormat="0" applyAlignment="0" applyProtection="0">
      <alignment vertical="center"/>
    </xf>
    <xf numFmtId="0" fontId="187" fillId="59" borderId="60" applyNumberFormat="0" applyAlignment="0" applyProtection="0">
      <alignment vertical="center"/>
    </xf>
    <xf numFmtId="0" fontId="187" fillId="59" borderId="60" applyNumberFormat="0" applyAlignment="0" applyProtection="0">
      <alignment vertical="center"/>
    </xf>
    <xf numFmtId="0" fontId="187" fillId="59" borderId="60" applyNumberFormat="0" applyAlignment="0" applyProtection="0">
      <alignment vertical="center"/>
    </xf>
    <xf numFmtId="0" fontId="187" fillId="59" borderId="60" applyNumberFormat="0" applyAlignment="0" applyProtection="0">
      <alignment vertical="center"/>
    </xf>
    <xf numFmtId="0" fontId="187" fillId="59" borderId="60" applyNumberFormat="0" applyAlignment="0" applyProtection="0">
      <alignment vertical="center"/>
    </xf>
    <xf numFmtId="0" fontId="187" fillId="59" borderId="60" applyNumberFormat="0" applyAlignment="0" applyProtection="0">
      <alignment vertical="center"/>
    </xf>
    <xf numFmtId="0" fontId="187" fillId="59" borderId="60" applyNumberFormat="0" applyAlignment="0" applyProtection="0">
      <alignment vertical="center"/>
    </xf>
    <xf numFmtId="0" fontId="187" fillId="59" borderId="60" applyNumberFormat="0" applyAlignment="0" applyProtection="0">
      <alignment vertical="center"/>
    </xf>
    <xf numFmtId="0" fontId="187" fillId="59" borderId="60" applyNumberFormat="0" applyAlignment="0" applyProtection="0">
      <alignment vertical="center"/>
    </xf>
    <xf numFmtId="0" fontId="187" fillId="59" borderId="60" applyNumberFormat="0" applyAlignment="0" applyProtection="0">
      <alignment vertical="center"/>
    </xf>
    <xf numFmtId="0" fontId="187" fillId="59" borderId="60" applyNumberFormat="0" applyAlignment="0" applyProtection="0">
      <alignment vertical="center"/>
    </xf>
    <xf numFmtId="0" fontId="187" fillId="59" borderId="60" applyNumberFormat="0" applyAlignment="0" applyProtection="0">
      <alignment vertical="center"/>
    </xf>
    <xf numFmtId="0" fontId="187" fillId="59" borderId="60" applyNumberFormat="0" applyAlignment="0" applyProtection="0">
      <alignment vertical="center"/>
    </xf>
    <xf numFmtId="0" fontId="187" fillId="59" borderId="60" applyNumberFormat="0" applyAlignment="0" applyProtection="0">
      <alignment vertical="center"/>
    </xf>
    <xf numFmtId="0" fontId="187" fillId="59" borderId="60" applyNumberFormat="0" applyAlignment="0" applyProtection="0">
      <alignment vertical="center"/>
    </xf>
    <xf numFmtId="186" fontId="165" fillId="0" borderId="0">
      <protection locked="0"/>
    </xf>
    <xf numFmtId="186" fontId="165" fillId="0" borderId="0">
      <protection locked="0"/>
    </xf>
    <xf numFmtId="186" fontId="166" fillId="0" borderId="0">
      <protection locked="0"/>
    </xf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30" fillId="0" borderId="0">
      <alignment vertical="center"/>
    </xf>
    <xf numFmtId="0" fontId="8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75" fillId="0" borderId="0"/>
    <xf numFmtId="0" fontId="30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175" fillId="0" borderId="0"/>
    <xf numFmtId="0" fontId="96" fillId="0" borderId="0">
      <alignment vertical="center"/>
    </xf>
    <xf numFmtId="0" fontId="30" fillId="0" borderId="0"/>
    <xf numFmtId="0" fontId="175" fillId="0" borderId="0"/>
    <xf numFmtId="0" fontId="175" fillId="0" borderId="0"/>
    <xf numFmtId="0" fontId="30" fillId="0" borderId="0"/>
    <xf numFmtId="0" fontId="30" fillId="0" borderId="0"/>
    <xf numFmtId="0" fontId="175" fillId="0" borderId="0"/>
    <xf numFmtId="0" fontId="175" fillId="0" borderId="0"/>
    <xf numFmtId="0" fontId="189" fillId="0" borderId="0" applyNumberFormat="0" applyFill="0" applyBorder="0" applyAlignment="0" applyProtection="0">
      <alignment vertical="top"/>
      <protection locked="0"/>
    </xf>
    <xf numFmtId="41" fontId="96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175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0" fontId="143" fillId="0" borderId="31">
      <alignment horizontal="left" vertical="center"/>
    </xf>
    <xf numFmtId="10" fontId="150" fillId="63" borderId="61" applyNumberFormat="0" applyBorder="0" applyAlignment="0" applyProtection="0"/>
  </cellStyleXfs>
  <cellXfs count="273">
    <xf numFmtId="0" fontId="0" fillId="0" borderId="0" xfId="0">
      <alignment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7" fillId="0" borderId="2" xfId="0" applyFont="1" applyBorder="1" applyAlignment="1">
      <alignment horizontal="left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17" fillId="8" borderId="9" xfId="0" applyFont="1" applyFill="1" applyBorder="1" applyAlignment="1">
      <alignment horizontal="center" vertical="center" wrapText="1"/>
    </xf>
    <xf numFmtId="0" fontId="26" fillId="0" borderId="0" xfId="0" applyFont="1">
      <alignment vertical="center"/>
    </xf>
    <xf numFmtId="0" fontId="17" fillId="8" borderId="14" xfId="0" applyFont="1" applyFill="1" applyBorder="1" applyAlignment="1">
      <alignment horizontal="center" vertical="center" wrapText="1"/>
    </xf>
    <xf numFmtId="177" fontId="14" fillId="10" borderId="15" xfId="3" applyNumberFormat="1" applyFont="1" applyFill="1" applyBorder="1" applyAlignment="1">
      <alignment horizontal="center" vertical="center" wrapText="1"/>
    </xf>
    <xf numFmtId="14" fontId="12" fillId="0" borderId="1" xfId="5" applyNumberFormat="1" applyFont="1" applyFill="1" applyBorder="1" applyAlignment="1">
      <alignment horizontal="center" vertical="center" wrapText="1"/>
    </xf>
    <xf numFmtId="0" fontId="17" fillId="8" borderId="18" xfId="0" applyFont="1" applyFill="1" applyBorder="1" applyAlignment="1">
      <alignment horizontal="center" vertical="center" wrapText="1"/>
    </xf>
    <xf numFmtId="0" fontId="17" fillId="11" borderId="11" xfId="0" applyFont="1" applyFill="1" applyBorder="1" applyAlignment="1">
      <alignment horizontal="center" vertical="center" wrapText="1"/>
    </xf>
    <xf numFmtId="0" fontId="17" fillId="11" borderId="12" xfId="0" applyFont="1" applyFill="1" applyBorder="1" applyAlignment="1">
      <alignment horizontal="center" vertical="center" wrapText="1"/>
    </xf>
    <xf numFmtId="178" fontId="0" fillId="0" borderId="0" xfId="0" applyNumberForma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11" fillId="0" borderId="1" xfId="5" applyNumberFormat="1" applyFont="1" applyFill="1" applyBorder="1" applyAlignment="1">
      <alignment horizontal="center" vertical="center" wrapText="1"/>
    </xf>
    <xf numFmtId="176" fontId="0" fillId="0" borderId="0" xfId="1" applyFont="1">
      <alignment vertical="center"/>
    </xf>
    <xf numFmtId="178" fontId="13" fillId="12" borderId="15" xfId="0" applyNumberFormat="1" applyFont="1" applyFill="1" applyBorder="1" applyAlignment="1">
      <alignment horizontal="center" vertical="center" wrapText="1"/>
    </xf>
    <xf numFmtId="177" fontId="17" fillId="0" borderId="1" xfId="1" applyNumberFormat="1" applyFont="1" applyFill="1" applyBorder="1" applyAlignment="1">
      <alignment vertical="center" wrapText="1"/>
    </xf>
    <xf numFmtId="177" fontId="17" fillId="8" borderId="1" xfId="1" applyNumberFormat="1" applyFont="1" applyFill="1" applyBorder="1" applyAlignment="1">
      <alignment vertical="center" wrapText="1"/>
    </xf>
    <xf numFmtId="176" fontId="0" fillId="0" borderId="0" xfId="0" applyNumberFormat="1">
      <alignment vertical="center"/>
    </xf>
    <xf numFmtId="177" fontId="17" fillId="0" borderId="2" xfId="0" applyNumberFormat="1" applyFont="1" applyBorder="1" applyAlignment="1">
      <alignment horizontal="center" vertical="center" wrapText="1"/>
    </xf>
    <xf numFmtId="177" fontId="12" fillId="0" borderId="1" xfId="8" applyNumberFormat="1" applyFont="1" applyFill="1" applyBorder="1" applyAlignment="1">
      <alignment horizontal="center" vertical="center" wrapText="1"/>
    </xf>
    <xf numFmtId="177" fontId="13" fillId="11" borderId="10" xfId="0" applyNumberFormat="1" applyFont="1" applyFill="1" applyBorder="1" applyAlignment="1">
      <alignment vertical="center" wrapText="1"/>
    </xf>
    <xf numFmtId="177" fontId="17" fillId="0" borderId="1" xfId="1" applyNumberFormat="1" applyFont="1" applyFill="1" applyBorder="1" applyAlignment="1">
      <alignment horizontal="right" vertical="center" wrapText="1"/>
    </xf>
    <xf numFmtId="177" fontId="17" fillId="0" borderId="2" xfId="1" applyNumberFormat="1" applyFont="1" applyFill="1" applyBorder="1" applyAlignment="1">
      <alignment horizontal="right" vertical="center" wrapText="1"/>
    </xf>
    <xf numFmtId="177" fontId="17" fillId="0" borderId="1" xfId="1" applyNumberFormat="1" applyFont="1" applyBorder="1" applyAlignment="1">
      <alignment horizontal="right" vertical="center" wrapText="1"/>
    </xf>
    <xf numFmtId="177" fontId="18" fillId="0" borderId="1" xfId="1" applyNumberFormat="1" applyFont="1" applyFill="1" applyBorder="1" applyAlignment="1">
      <alignment horizontal="right" vertical="center" wrapText="1"/>
    </xf>
    <xf numFmtId="176" fontId="22" fillId="0" borderId="0" xfId="1" applyFont="1">
      <alignment vertical="center"/>
    </xf>
    <xf numFmtId="0" fontId="22" fillId="0" borderId="0" xfId="0" applyFont="1">
      <alignment vertical="center"/>
    </xf>
    <xf numFmtId="177" fontId="18" fillId="0" borderId="2" xfId="3" applyNumberFormat="1" applyFont="1" applyFill="1" applyBorder="1" applyAlignment="1">
      <alignment horizontal="center" vertical="center" wrapText="1"/>
    </xf>
    <xf numFmtId="177" fontId="27" fillId="3" borderId="1" xfId="3" applyNumberFormat="1" applyBorder="1" applyAlignment="1">
      <alignment horizontal="right" vertical="center" wrapText="1"/>
    </xf>
    <xf numFmtId="177" fontId="17" fillId="0" borderId="2" xfId="3" applyNumberFormat="1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177" fontId="17" fillId="13" borderId="1" xfId="1" applyNumberFormat="1" applyFont="1" applyFill="1" applyBorder="1" applyAlignment="1">
      <alignment horizontal="right" vertical="center" wrapText="1"/>
    </xf>
    <xf numFmtId="177" fontId="17" fillId="13" borderId="2" xfId="1" applyNumberFormat="1" applyFont="1" applyFill="1" applyBorder="1" applyAlignment="1">
      <alignment horizontal="right" vertical="center" wrapText="1"/>
    </xf>
    <xf numFmtId="177" fontId="31" fillId="13" borderId="1" xfId="0" applyNumberFormat="1" applyFont="1" applyFill="1" applyBorder="1" applyAlignment="1">
      <alignment horizontal="right" vertical="center" wrapText="1"/>
    </xf>
    <xf numFmtId="177" fontId="17" fillId="13" borderId="1" xfId="1" applyNumberFormat="1" applyFont="1" applyFill="1" applyBorder="1" applyAlignment="1">
      <alignment vertical="center" wrapText="1"/>
    </xf>
    <xf numFmtId="0" fontId="17" fillId="13" borderId="2" xfId="0" applyFont="1" applyFill="1" applyBorder="1" applyAlignment="1">
      <alignment horizontal="center" vertical="center" wrapText="1"/>
    </xf>
    <xf numFmtId="0" fontId="17" fillId="13" borderId="14" xfId="0" applyFont="1" applyFill="1" applyBorder="1" applyAlignment="1">
      <alignment horizontal="center" vertical="center" wrapText="1"/>
    </xf>
    <xf numFmtId="14" fontId="11" fillId="13" borderId="1" xfId="5" applyNumberFormat="1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center" wrapText="1"/>
    </xf>
    <xf numFmtId="182" fontId="17" fillId="9" borderId="2" xfId="0" applyNumberFormat="1" applyFont="1" applyFill="1" applyBorder="1" applyAlignment="1">
      <alignment horizontal="center" vertical="center" wrapText="1"/>
    </xf>
    <xf numFmtId="182" fontId="17" fillId="13" borderId="2" xfId="0" applyNumberFormat="1" applyFont="1" applyFill="1" applyBorder="1" applyAlignment="1">
      <alignment horizontal="center" vertical="center" wrapText="1"/>
    </xf>
    <xf numFmtId="177" fontId="0" fillId="0" borderId="0" xfId="0" applyNumberFormat="1">
      <alignment vertical="center"/>
    </xf>
    <xf numFmtId="177" fontId="18" fillId="0" borderId="2" xfId="1" applyNumberFormat="1" applyFont="1" applyFill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181" fontId="17" fillId="0" borderId="1" xfId="1" applyNumberFormat="1" applyFont="1" applyFill="1" applyBorder="1" applyAlignment="1">
      <alignment horizontal="right" vertical="center" wrapText="1"/>
    </xf>
    <xf numFmtId="181" fontId="17" fillId="0" borderId="2" xfId="1" applyNumberFormat="1" applyFont="1" applyFill="1" applyBorder="1" applyAlignment="1">
      <alignment horizontal="right" vertical="center" wrapText="1"/>
    </xf>
    <xf numFmtId="181" fontId="27" fillId="3" borderId="1" xfId="3" applyNumberFormat="1" applyBorder="1" applyAlignment="1">
      <alignment horizontal="right" vertical="center" wrapText="1"/>
    </xf>
    <xf numFmtId="181" fontId="17" fillId="0" borderId="2" xfId="0" applyNumberFormat="1" applyFont="1" applyBorder="1" applyAlignment="1">
      <alignment horizontal="center" vertical="center" wrapText="1"/>
    </xf>
    <xf numFmtId="181" fontId="27" fillId="0" borderId="1" xfId="3" applyNumberFormat="1" applyFill="1" applyBorder="1" applyAlignment="1">
      <alignment horizontal="right" vertical="center" wrapText="1"/>
    </xf>
    <xf numFmtId="176" fontId="25" fillId="12" borderId="0" xfId="1" applyFont="1" applyFill="1" applyAlignment="1">
      <alignment horizontal="center" vertical="center"/>
    </xf>
    <xf numFmtId="0" fontId="25" fillId="12" borderId="0" xfId="0" applyFont="1" applyFill="1" applyAlignment="1">
      <alignment horizontal="center" vertical="center"/>
    </xf>
    <xf numFmtId="0" fontId="25" fillId="12" borderId="0" xfId="0" applyFont="1" applyFill="1">
      <alignment vertical="center"/>
    </xf>
    <xf numFmtId="176" fontId="25" fillId="12" borderId="23" xfId="1" applyFont="1" applyFill="1" applyBorder="1" applyAlignment="1">
      <alignment horizontal="center" vertical="center"/>
    </xf>
    <xf numFmtId="176" fontId="25" fillId="12" borderId="23" xfId="1" applyFont="1" applyFill="1" applyBorder="1" applyAlignment="1">
      <alignment horizontal="right" vertical="center"/>
    </xf>
    <xf numFmtId="0" fontId="33" fillId="12" borderId="0" xfId="0" applyFont="1" applyFill="1">
      <alignment vertical="center"/>
    </xf>
    <xf numFmtId="177" fontId="0" fillId="0" borderId="23" xfId="1" applyNumberFormat="1" applyFont="1" applyBorder="1">
      <alignment vertical="center"/>
    </xf>
    <xf numFmtId="177" fontId="0" fillId="0" borderId="0" xfId="1" applyNumberFormat="1" applyFont="1">
      <alignment vertical="center"/>
    </xf>
    <xf numFmtId="0" fontId="12" fillId="0" borderId="0" xfId="0" applyFont="1" applyAlignment="1"/>
    <xf numFmtId="0" fontId="35" fillId="0" borderId="0" xfId="0" applyFont="1" applyAlignment="1"/>
    <xf numFmtId="0" fontId="12" fillId="0" borderId="0" xfId="0" applyFont="1">
      <alignment vertical="center"/>
    </xf>
    <xf numFmtId="177" fontId="27" fillId="0" borderId="1" xfId="3" applyNumberFormat="1" applyFill="1" applyBorder="1" applyAlignment="1">
      <alignment horizontal="right" vertical="center" wrapText="1"/>
    </xf>
    <xf numFmtId="177" fontId="17" fillId="0" borderId="2" xfId="1" applyNumberFormat="1" applyFont="1" applyBorder="1" applyAlignment="1">
      <alignment horizontal="right" vertical="center" wrapText="1"/>
    </xf>
    <xf numFmtId="182" fontId="17" fillId="0" borderId="2" xfId="0" applyNumberFormat="1" applyFont="1" applyBorder="1" applyAlignment="1">
      <alignment horizontal="center" vertical="center" wrapText="1"/>
    </xf>
    <xf numFmtId="177" fontId="17" fillId="0" borderId="2" xfId="1" applyNumberFormat="1" applyFont="1" applyFill="1" applyBorder="1" applyAlignment="1">
      <alignment horizontal="center" vertical="center" wrapText="1"/>
    </xf>
    <xf numFmtId="0" fontId="17" fillId="0" borderId="2" xfId="0" applyFont="1" applyBorder="1" applyAlignment="1">
      <alignment vertical="center" wrapText="1"/>
    </xf>
    <xf numFmtId="177" fontId="12" fillId="0" borderId="1" xfId="1" applyNumberFormat="1" applyFont="1" applyFill="1" applyBorder="1" applyAlignment="1">
      <alignment horizontal="center" vertical="center" wrapText="1"/>
    </xf>
    <xf numFmtId="181" fontId="27" fillId="3" borderId="2" xfId="3" applyNumberFormat="1" applyBorder="1" applyAlignment="1">
      <alignment horizontal="right" vertical="center" wrapText="1"/>
    </xf>
    <xf numFmtId="177" fontId="17" fillId="0" borderId="1" xfId="1" applyNumberFormat="1" applyFont="1" applyFill="1" applyBorder="1" applyAlignment="1">
      <alignment horizontal="center" vertical="center" wrapText="1"/>
    </xf>
    <xf numFmtId="177" fontId="12" fillId="0" borderId="2" xfId="1" applyNumberFormat="1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177" fontId="18" fillId="0" borderId="2" xfId="1" applyNumberFormat="1" applyFont="1" applyFill="1" applyBorder="1" applyAlignment="1">
      <alignment horizontal="center" vertical="center" wrapText="1"/>
    </xf>
    <xf numFmtId="181" fontId="27" fillId="0" borderId="2" xfId="3" applyNumberFormat="1" applyFill="1" applyBorder="1" applyAlignment="1">
      <alignment horizontal="right" vertical="center" wrapText="1"/>
    </xf>
    <xf numFmtId="14" fontId="12" fillId="17" borderId="1" xfId="5" applyNumberFormat="1" applyFont="1" applyFill="1" applyBorder="1" applyAlignment="1">
      <alignment horizontal="center" vertical="center" wrapText="1"/>
    </xf>
    <xf numFmtId="177" fontId="12" fillId="17" borderId="1" xfId="8" applyNumberFormat="1" applyFont="1" applyFill="1" applyBorder="1" applyAlignment="1">
      <alignment horizontal="center" vertical="center" wrapText="1"/>
    </xf>
    <xf numFmtId="177" fontId="17" fillId="17" borderId="1" xfId="1" applyNumberFormat="1" applyFont="1" applyFill="1" applyBorder="1" applyAlignment="1">
      <alignment horizontal="right" vertical="center" wrapText="1"/>
    </xf>
    <xf numFmtId="177" fontId="17" fillId="17" borderId="2" xfId="1" applyNumberFormat="1" applyFont="1" applyFill="1" applyBorder="1" applyAlignment="1">
      <alignment horizontal="right" vertical="center" wrapText="1"/>
    </xf>
    <xf numFmtId="177" fontId="27" fillId="3" borderId="2" xfId="3" applyNumberFormat="1" applyBorder="1" applyAlignment="1">
      <alignment horizontal="right" vertical="center" wrapText="1"/>
    </xf>
    <xf numFmtId="0" fontId="17" fillId="0" borderId="4" xfId="0" applyFont="1" applyBorder="1" applyAlignment="1">
      <alignment horizontal="center" vertical="center" wrapText="1"/>
    </xf>
    <xf numFmtId="181" fontId="27" fillId="13" borderId="1" xfId="3" applyNumberFormat="1" applyFill="1" applyBorder="1" applyAlignment="1">
      <alignment horizontal="right" vertical="center" wrapText="1"/>
    </xf>
    <xf numFmtId="0" fontId="17" fillId="13" borderId="5" xfId="0" applyFont="1" applyFill="1" applyBorder="1" applyAlignment="1">
      <alignment horizontal="center" vertical="center" wrapText="1"/>
    </xf>
    <xf numFmtId="14" fontId="0" fillId="0" borderId="1" xfId="5" applyNumberFormat="1" applyFont="1" applyFill="1" applyBorder="1" applyAlignment="1">
      <alignment horizontal="center" vertical="center" wrapText="1"/>
    </xf>
    <xf numFmtId="0" fontId="25" fillId="14" borderId="24" xfId="0" applyFont="1" applyFill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76" fontId="0" fillId="0" borderId="27" xfId="0" applyNumberFormat="1" applyBorder="1">
      <alignment vertical="center"/>
    </xf>
    <xf numFmtId="0" fontId="25" fillId="15" borderId="24" xfId="0" applyFont="1" applyFill="1" applyBorder="1" applyAlignment="1">
      <alignment horizontal="center" vertical="center"/>
    </xf>
    <xf numFmtId="176" fontId="25" fillId="12" borderId="24" xfId="1" applyFont="1" applyFill="1" applyBorder="1" applyAlignment="1">
      <alignment horizontal="center" vertical="center"/>
    </xf>
    <xf numFmtId="0" fontId="0" fillId="0" borderId="28" xfId="0" applyBorder="1">
      <alignment vertical="center"/>
    </xf>
    <xf numFmtId="177" fontId="0" fillId="0" borderId="0" xfId="1" applyNumberFormat="1" applyFont="1" applyBorder="1">
      <alignment vertical="center"/>
    </xf>
    <xf numFmtId="177" fontId="25" fillId="0" borderId="23" xfId="0" applyNumberFormat="1" applyFont="1" applyBorder="1">
      <alignment vertical="center"/>
    </xf>
    <xf numFmtId="177" fontId="25" fillId="0" borderId="0" xfId="1" applyNumberFormat="1" applyFont="1" applyBorder="1">
      <alignment vertical="center"/>
    </xf>
    <xf numFmtId="177" fontId="25" fillId="0" borderId="0" xfId="0" applyNumberFormat="1" applyFont="1">
      <alignment vertical="center"/>
    </xf>
    <xf numFmtId="0" fontId="33" fillId="14" borderId="30" xfId="0" applyFont="1" applyFill="1" applyBorder="1">
      <alignment vertical="center"/>
    </xf>
    <xf numFmtId="0" fontId="25" fillId="14" borderId="31" xfId="0" applyFont="1" applyFill="1" applyBorder="1" applyAlignment="1">
      <alignment horizontal="center" vertical="center"/>
    </xf>
    <xf numFmtId="0" fontId="25" fillId="14" borderId="32" xfId="0" applyFont="1" applyFill="1" applyBorder="1" applyAlignment="1">
      <alignment horizontal="center" vertical="center"/>
    </xf>
    <xf numFmtId="0" fontId="25" fillId="14" borderId="30" xfId="0" applyFont="1" applyFill="1" applyBorder="1">
      <alignment vertical="center"/>
    </xf>
    <xf numFmtId="177" fontId="25" fillId="14" borderId="31" xfId="0" applyNumberFormat="1" applyFont="1" applyFill="1" applyBorder="1">
      <alignment vertical="center"/>
    </xf>
    <xf numFmtId="177" fontId="25" fillId="14" borderId="32" xfId="0" applyNumberFormat="1" applyFont="1" applyFill="1" applyBorder="1">
      <alignment vertical="center"/>
    </xf>
    <xf numFmtId="0" fontId="33" fillId="15" borderId="30" xfId="0" applyFont="1" applyFill="1" applyBorder="1">
      <alignment vertical="center"/>
    </xf>
    <xf numFmtId="0" fontId="25" fillId="15" borderId="31" xfId="0" applyFont="1" applyFill="1" applyBorder="1" applyAlignment="1">
      <alignment horizontal="center" vertical="center"/>
    </xf>
    <xf numFmtId="0" fontId="25" fillId="15" borderId="32" xfId="0" applyFont="1" applyFill="1" applyBorder="1" applyAlignment="1">
      <alignment horizontal="center" vertical="center"/>
    </xf>
    <xf numFmtId="0" fontId="25" fillId="15" borderId="30" xfId="0" applyFont="1" applyFill="1" applyBorder="1">
      <alignment vertical="center"/>
    </xf>
    <xf numFmtId="177" fontId="25" fillId="15" borderId="31" xfId="0" applyNumberFormat="1" applyFont="1" applyFill="1" applyBorder="1">
      <alignment vertical="center"/>
    </xf>
    <xf numFmtId="177" fontId="25" fillId="15" borderId="32" xfId="0" applyNumberFormat="1" applyFont="1" applyFill="1" applyBorder="1">
      <alignment vertical="center"/>
    </xf>
    <xf numFmtId="0" fontId="21" fillId="0" borderId="28" xfId="0" applyFont="1" applyBorder="1">
      <alignment vertical="center"/>
    </xf>
    <xf numFmtId="176" fontId="0" fillId="0" borderId="0" xfId="1" applyFont="1" applyBorder="1">
      <alignment vertical="center"/>
    </xf>
    <xf numFmtId="176" fontId="0" fillId="0" borderId="23" xfId="1" applyFont="1" applyBorder="1">
      <alignment vertical="center"/>
    </xf>
    <xf numFmtId="176" fontId="25" fillId="9" borderId="29" xfId="1" applyFont="1" applyFill="1" applyBorder="1">
      <alignment vertical="center"/>
    </xf>
    <xf numFmtId="176" fontId="25" fillId="9" borderId="27" xfId="1" applyFont="1" applyFill="1" applyBorder="1">
      <alignment vertical="center"/>
    </xf>
    <xf numFmtId="0" fontId="34" fillId="9" borderId="26" xfId="0" applyFont="1" applyFill="1" applyBorder="1" applyAlignment="1">
      <alignment horizontal="center" vertical="center"/>
    </xf>
    <xf numFmtId="0" fontId="33" fillId="9" borderId="30" xfId="0" applyFont="1" applyFill="1" applyBorder="1" applyAlignment="1">
      <alignment horizontal="center" vertical="center"/>
    </xf>
    <xf numFmtId="0" fontId="25" fillId="9" borderId="31" xfId="0" applyFont="1" applyFill="1" applyBorder="1" applyAlignment="1">
      <alignment horizontal="center" vertical="center"/>
    </xf>
    <xf numFmtId="0" fontId="25" fillId="9" borderId="32" xfId="0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0" fontId="0" fillId="0" borderId="0" xfId="19" applyNumberFormat="1" applyFont="1">
      <alignment vertical="center"/>
    </xf>
    <xf numFmtId="176" fontId="0" fillId="0" borderId="27" xfId="1" applyFont="1" applyBorder="1">
      <alignment vertical="center"/>
    </xf>
    <xf numFmtId="0" fontId="37" fillId="0" borderId="0" xfId="0" applyFont="1">
      <alignment vertical="center"/>
    </xf>
    <xf numFmtId="0" fontId="35" fillId="0" borderId="0" xfId="0" applyFont="1">
      <alignment vertical="center"/>
    </xf>
    <xf numFmtId="10" fontId="25" fillId="0" borderId="0" xfId="19" applyNumberFormat="1" applyFont="1">
      <alignment vertical="center"/>
    </xf>
    <xf numFmtId="0" fontId="0" fillId="0" borderId="0" xfId="0" applyAlignment="1">
      <alignment vertical="center" shrinkToFit="1"/>
    </xf>
    <xf numFmtId="176" fontId="0" fillId="0" borderId="0" xfId="1" applyFont="1" applyAlignment="1">
      <alignment vertical="center" shrinkToFit="1"/>
    </xf>
    <xf numFmtId="177" fontId="12" fillId="0" borderId="1" xfId="8" applyNumberFormat="1" applyFont="1" applyFill="1" applyBorder="1" applyAlignment="1">
      <alignment horizontal="right" vertical="center" wrapText="1"/>
    </xf>
    <xf numFmtId="177" fontId="13" fillId="10" borderId="7" xfId="0" applyNumberFormat="1" applyFont="1" applyFill="1" applyBorder="1" applyAlignment="1">
      <alignment horizontal="center" vertical="center" wrapText="1"/>
    </xf>
    <xf numFmtId="180" fontId="13" fillId="10" borderId="7" xfId="0" applyNumberFormat="1" applyFont="1" applyFill="1" applyBorder="1" applyAlignment="1">
      <alignment horizontal="center" vertical="center" wrapText="1"/>
    </xf>
    <xf numFmtId="0" fontId="13" fillId="10" borderId="8" xfId="0" applyFont="1" applyFill="1" applyBorder="1" applyAlignment="1">
      <alignment horizontal="center" vertical="center" wrapText="1"/>
    </xf>
    <xf numFmtId="177" fontId="31" fillId="8" borderId="1" xfId="0" applyNumberFormat="1" applyFont="1" applyFill="1" applyBorder="1" applyAlignment="1">
      <alignment horizontal="right" vertical="center" wrapText="1"/>
    </xf>
    <xf numFmtId="0" fontId="17" fillId="13" borderId="18" xfId="0" applyFont="1" applyFill="1" applyBorder="1" applyAlignment="1">
      <alignment horizontal="center" vertical="center" wrapText="1"/>
    </xf>
    <xf numFmtId="0" fontId="18" fillId="0" borderId="0" xfId="0" applyFont="1" applyAlignment="1"/>
    <xf numFmtId="41" fontId="0" fillId="0" borderId="0" xfId="0" applyNumberFormat="1">
      <alignment vertical="center"/>
    </xf>
    <xf numFmtId="176" fontId="25" fillId="12" borderId="0" xfId="1" applyFont="1" applyFill="1" applyBorder="1" applyAlignment="1">
      <alignment horizontal="right" vertical="center"/>
    </xf>
    <xf numFmtId="176" fontId="25" fillId="12" borderId="0" xfId="1" applyFont="1" applyFill="1" applyBorder="1" applyAlignment="1">
      <alignment horizontal="center" vertical="center"/>
    </xf>
    <xf numFmtId="176" fontId="25" fillId="12" borderId="0" xfId="0" applyNumberFormat="1" applyFont="1" applyFill="1" applyAlignment="1">
      <alignment horizontal="center" vertical="center"/>
    </xf>
    <xf numFmtId="10" fontId="25" fillId="12" borderId="0" xfId="19" applyNumberFormat="1" applyFont="1" applyFill="1" applyBorder="1" applyAlignment="1">
      <alignment horizontal="right" vertical="center"/>
    </xf>
    <xf numFmtId="0" fontId="13" fillId="10" borderId="7" xfId="3" applyFont="1" applyFill="1" applyBorder="1" applyAlignment="1">
      <alignment horizontal="center" vertical="center" wrapText="1"/>
    </xf>
    <xf numFmtId="14" fontId="13" fillId="10" borderId="6" xfId="0" applyNumberFormat="1" applyFont="1" applyFill="1" applyBorder="1" applyAlignment="1">
      <alignment horizontal="center" vertical="center" wrapText="1"/>
    </xf>
    <xf numFmtId="14" fontId="13" fillId="10" borderId="7" xfId="0" applyNumberFormat="1" applyFont="1" applyFill="1" applyBorder="1" applyAlignment="1">
      <alignment horizontal="center" vertical="center" shrinkToFit="1"/>
    </xf>
    <xf numFmtId="14" fontId="25" fillId="10" borderId="7" xfId="5" applyNumberFormat="1" applyFont="1" applyFill="1" applyBorder="1" applyAlignment="1">
      <alignment horizontal="center" vertical="center" wrapText="1"/>
    </xf>
    <xf numFmtId="0" fontId="14" fillId="12" borderId="7" xfId="3" applyFont="1" applyFill="1" applyBorder="1" applyAlignment="1">
      <alignment horizontal="center" vertical="center" wrapText="1"/>
    </xf>
    <xf numFmtId="0" fontId="13" fillId="12" borderId="7" xfId="3" applyFont="1" applyFill="1" applyBorder="1" applyAlignment="1">
      <alignment horizontal="center" vertical="center" wrapText="1"/>
    </xf>
    <xf numFmtId="14" fontId="25" fillId="12" borderId="7" xfId="5" applyNumberFormat="1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 wrapText="1"/>
    </xf>
    <xf numFmtId="0" fontId="13" fillId="10" borderId="7" xfId="0" applyFont="1" applyFill="1" applyBorder="1" applyAlignment="1">
      <alignment horizontal="center" vertical="center" wrapText="1"/>
    </xf>
    <xf numFmtId="0" fontId="13" fillId="10" borderId="6" xfId="0" applyFont="1" applyFill="1" applyBorder="1" applyAlignment="1">
      <alignment horizontal="center" vertical="center" wrapText="1"/>
    </xf>
    <xf numFmtId="0" fontId="13" fillId="10" borderId="7" xfId="0" applyFont="1" applyFill="1" applyBorder="1" applyAlignment="1">
      <alignment horizontal="center" vertical="center" shrinkToFit="1"/>
    </xf>
    <xf numFmtId="0" fontId="13" fillId="0" borderId="1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13" borderId="16" xfId="0" applyFont="1" applyFill="1" applyBorder="1" applyAlignment="1">
      <alignment horizontal="center" vertical="center" wrapText="1"/>
    </xf>
    <xf numFmtId="0" fontId="13" fillId="13" borderId="17" xfId="0" applyFont="1" applyFill="1" applyBorder="1" applyAlignment="1">
      <alignment horizontal="center" vertical="center" wrapText="1"/>
    </xf>
    <xf numFmtId="0" fontId="0" fillId="0" borderId="0" xfId="1" applyNumberFormat="1" applyFont="1">
      <alignment vertical="center"/>
    </xf>
    <xf numFmtId="0" fontId="17" fillId="0" borderId="1" xfId="2" applyNumberFormat="1" applyFont="1" applyFill="1" applyBorder="1" applyAlignment="1">
      <alignment horizontal="center" vertical="center" wrapText="1"/>
    </xf>
    <xf numFmtId="0" fontId="36" fillId="0" borderId="0" xfId="1" applyNumberFormat="1" applyFont="1">
      <alignment vertical="center"/>
    </xf>
    <xf numFmtId="0" fontId="14" fillId="10" borderId="7" xfId="3" applyNumberFormat="1" applyFont="1" applyFill="1" applyBorder="1" applyAlignment="1">
      <alignment horizontal="center" vertical="center" wrapText="1"/>
    </xf>
    <xf numFmtId="0" fontId="13" fillId="10" borderId="7" xfId="3" applyNumberFormat="1" applyFont="1" applyFill="1" applyBorder="1" applyAlignment="1">
      <alignment horizontal="center" vertical="center" wrapText="1"/>
    </xf>
    <xf numFmtId="0" fontId="18" fillId="0" borderId="2" xfId="3" applyNumberFormat="1" applyFont="1" applyFill="1" applyBorder="1" applyAlignment="1">
      <alignment horizontal="center" vertical="center" wrapText="1"/>
    </xf>
    <xf numFmtId="0" fontId="12" fillId="0" borderId="2" xfId="8" applyNumberFormat="1" applyFont="1" applyFill="1" applyBorder="1" applyAlignment="1">
      <alignment vertical="center" wrapText="1"/>
    </xf>
    <xf numFmtId="0" fontId="12" fillId="0" borderId="1" xfId="8" applyNumberFormat="1" applyFont="1" applyFill="1" applyBorder="1" applyAlignment="1">
      <alignment vertical="center" wrapText="1"/>
    </xf>
    <xf numFmtId="0" fontId="17" fillId="0" borderId="2" xfId="3" applyNumberFormat="1" applyFont="1" applyFill="1" applyBorder="1" applyAlignment="1">
      <alignment vertical="center" wrapText="1"/>
    </xf>
    <xf numFmtId="0" fontId="18" fillId="0" borderId="4" xfId="3" applyNumberFormat="1" applyFont="1" applyFill="1" applyBorder="1" applyAlignment="1">
      <alignment horizontal="center" vertical="center" wrapText="1"/>
    </xf>
    <xf numFmtId="0" fontId="18" fillId="0" borderId="2" xfId="3" applyNumberFormat="1" applyFont="1" applyFill="1" applyBorder="1" applyAlignment="1">
      <alignment vertical="center" wrapText="1"/>
    </xf>
    <xf numFmtId="0" fontId="18" fillId="17" borderId="2" xfId="3" applyNumberFormat="1" applyFont="1" applyFill="1" applyBorder="1" applyAlignment="1">
      <alignment horizontal="center" vertical="center" wrapText="1"/>
    </xf>
    <xf numFmtId="0" fontId="12" fillId="17" borderId="1" xfId="8" applyNumberFormat="1" applyFont="1" applyFill="1" applyBorder="1" applyAlignment="1">
      <alignment vertical="center" wrapText="1"/>
    </xf>
    <xf numFmtId="0" fontId="12" fillId="0" borderId="2" xfId="4" applyNumberFormat="1" applyFont="1" applyFill="1" applyBorder="1" applyAlignment="1">
      <alignment horizontal="left" vertical="center" wrapText="1"/>
    </xf>
    <xf numFmtId="0" fontId="27" fillId="3" borderId="2" xfId="3" applyNumberFormat="1" applyBorder="1" applyAlignment="1">
      <alignment vertical="center" wrapText="1"/>
    </xf>
    <xf numFmtId="0" fontId="27" fillId="3" borderId="1" xfId="3" applyNumberFormat="1" applyBorder="1" applyAlignment="1">
      <alignment vertical="center" wrapText="1"/>
    </xf>
    <xf numFmtId="0" fontId="28" fillId="3" borderId="1" xfId="3" applyNumberFormat="1" applyFont="1" applyBorder="1" applyAlignment="1">
      <alignment vertical="center" wrapText="1"/>
    </xf>
    <xf numFmtId="0" fontId="31" fillId="8" borderId="1" xfId="0" applyFont="1" applyFill="1" applyBorder="1" applyAlignment="1">
      <alignment vertical="center" wrapText="1"/>
    </xf>
    <xf numFmtId="0" fontId="28" fillId="0" borderId="1" xfId="3" applyNumberFormat="1" applyFont="1" applyFill="1" applyBorder="1" applyAlignment="1">
      <alignment vertical="center" wrapText="1"/>
    </xf>
    <xf numFmtId="0" fontId="31" fillId="13" borderId="1" xfId="0" applyFont="1" applyFill="1" applyBorder="1" applyAlignment="1">
      <alignment vertical="center" wrapText="1"/>
    </xf>
    <xf numFmtId="0" fontId="32" fillId="0" borderId="1" xfId="3" applyNumberFormat="1" applyFont="1" applyFill="1" applyBorder="1" applyAlignment="1">
      <alignment vertical="center" wrapText="1"/>
    </xf>
    <xf numFmtId="0" fontId="13" fillId="11" borderId="10" xfId="0" applyFont="1" applyFill="1" applyBorder="1" applyAlignment="1">
      <alignment vertical="center" wrapText="1"/>
    </xf>
    <xf numFmtId="0" fontId="0" fillId="0" borderId="0" xfId="19" applyNumberFormat="1" applyFont="1">
      <alignment vertical="center"/>
    </xf>
    <xf numFmtId="181" fontId="18" fillId="0" borderId="2" xfId="3" applyNumberFormat="1" applyFont="1" applyFill="1" applyBorder="1" applyAlignment="1">
      <alignment horizontal="center" vertical="center" wrapText="1"/>
    </xf>
    <xf numFmtId="181" fontId="18" fillId="0" borderId="1" xfId="1" applyNumberFormat="1" applyFont="1" applyFill="1" applyBorder="1" applyAlignment="1">
      <alignment horizontal="right" vertical="center" wrapText="1"/>
    </xf>
    <xf numFmtId="181" fontId="17" fillId="8" borderId="1" xfId="1" applyNumberFormat="1" applyFont="1" applyFill="1" applyBorder="1" applyAlignment="1">
      <alignment vertical="center" wrapText="1"/>
    </xf>
    <xf numFmtId="181" fontId="17" fillId="0" borderId="1" xfId="0" applyNumberFormat="1" applyFont="1" applyBorder="1" applyAlignment="1">
      <alignment vertical="center" wrapText="1"/>
    </xf>
    <xf numFmtId="181" fontId="17" fillId="0" borderId="1" xfId="1" applyNumberFormat="1" applyFont="1" applyFill="1" applyBorder="1" applyAlignment="1">
      <alignment vertical="center" wrapText="1"/>
    </xf>
    <xf numFmtId="181" fontId="17" fillId="13" borderId="1" xfId="1" applyNumberFormat="1" applyFont="1" applyFill="1" applyBorder="1" applyAlignment="1">
      <alignment vertical="center" wrapText="1"/>
    </xf>
    <xf numFmtId="177" fontId="0" fillId="0" borderId="0" xfId="0" applyNumberFormat="1" applyAlignment="1">
      <alignment vertical="center" wrapText="1"/>
    </xf>
    <xf numFmtId="177" fontId="13" fillId="10" borderId="7" xfId="3" applyNumberFormat="1" applyFont="1" applyFill="1" applyBorder="1" applyAlignment="1">
      <alignment horizontal="center" vertical="center" wrapText="1"/>
    </xf>
    <xf numFmtId="177" fontId="0" fillId="0" borderId="0" xfId="1" applyNumberFormat="1" applyFont="1" applyFill="1">
      <alignment vertical="center"/>
    </xf>
    <xf numFmtId="177" fontId="0" fillId="0" borderId="0" xfId="19" applyNumberFormat="1" applyFont="1">
      <alignment vertical="center"/>
    </xf>
    <xf numFmtId="0" fontId="18" fillId="0" borderId="2" xfId="3" applyNumberFormat="1" applyFont="1" applyFill="1" applyBorder="1" applyAlignment="1">
      <alignment horizontal="center" vertical="center" shrinkToFit="1"/>
    </xf>
    <xf numFmtId="177" fontId="0" fillId="0" borderId="0" xfId="0" applyNumberFormat="1" applyAlignment="1">
      <alignment vertical="center" shrinkToFit="1"/>
    </xf>
    <xf numFmtId="177" fontId="0" fillId="0" borderId="0" xfId="1" applyNumberFormat="1" applyFont="1" applyAlignment="1">
      <alignment vertical="center" shrinkToFit="1"/>
    </xf>
    <xf numFmtId="0" fontId="17" fillId="9" borderId="2" xfId="0" applyFont="1" applyFill="1" applyBorder="1" applyAlignment="1">
      <alignment horizontal="center" vertical="center" wrapText="1"/>
    </xf>
    <xf numFmtId="0" fontId="27" fillId="0" borderId="1" xfId="3" applyNumberFormat="1" applyFill="1" applyBorder="1" applyAlignment="1">
      <alignment vertical="center" wrapText="1"/>
    </xf>
    <xf numFmtId="177" fontId="25" fillId="10" borderId="7" xfId="5" applyNumberFormat="1" applyFont="1" applyFill="1" applyBorder="1" applyAlignment="1">
      <alignment horizontal="center" vertical="center" wrapText="1"/>
    </xf>
    <xf numFmtId="177" fontId="14" fillId="10" borderId="7" xfId="3" applyNumberFormat="1" applyFont="1" applyFill="1" applyBorder="1" applyAlignment="1">
      <alignment horizontal="center" vertical="center" wrapText="1"/>
    </xf>
    <xf numFmtId="183" fontId="0" fillId="0" borderId="0" xfId="0" applyNumberFormat="1" applyAlignment="1">
      <alignment horizontal="center" vertical="center"/>
    </xf>
    <xf numFmtId="0" fontId="27" fillId="3" borderId="1" xfId="3" applyBorder="1" applyAlignment="1">
      <alignment vertical="center" wrapText="1"/>
    </xf>
    <xf numFmtId="0" fontId="13" fillId="16" borderId="16" xfId="0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shrinkToFit="1"/>
    </xf>
    <xf numFmtId="0" fontId="13" fillId="0" borderId="3" xfId="0" applyFont="1" applyBorder="1" applyAlignment="1">
      <alignment horizontal="center" vertical="center" shrinkToFit="1"/>
    </xf>
    <xf numFmtId="0" fontId="13" fillId="13" borderId="3" xfId="0" applyFont="1" applyFill="1" applyBorder="1" applyAlignment="1">
      <alignment horizontal="center" vertical="center" shrinkToFit="1"/>
    </xf>
    <xf numFmtId="179" fontId="17" fillId="0" borderId="2" xfId="0" applyNumberFormat="1" applyFont="1" applyBorder="1" applyAlignment="1">
      <alignment horizontal="center" vertical="center" wrapText="1"/>
    </xf>
    <xf numFmtId="0" fontId="4" fillId="0" borderId="0" xfId="0" applyFont="1">
      <alignment vertical="center"/>
    </xf>
    <xf numFmtId="177" fontId="12" fillId="0" borderId="0" xfId="1" applyNumberFormat="1" applyFont="1" applyBorder="1">
      <alignment vertical="center"/>
    </xf>
    <xf numFmtId="0" fontId="12" fillId="0" borderId="28" xfId="0" applyFont="1" applyBorder="1">
      <alignment vertical="center"/>
    </xf>
    <xf numFmtId="177" fontId="12" fillId="0" borderId="0" xfId="0" applyNumberFormat="1" applyFont="1">
      <alignment vertical="center"/>
    </xf>
    <xf numFmtId="0" fontId="16" fillId="0" borderId="2" xfId="7" applyBorder="1" applyAlignment="1" applyProtection="1">
      <alignment horizontal="center" vertical="center" wrapText="1"/>
    </xf>
    <xf numFmtId="0" fontId="13" fillId="0" borderId="3" xfId="0" applyFont="1" applyBorder="1" applyAlignment="1">
      <alignment horizontal="center" vertical="center" wrapText="1" shrinkToFit="1"/>
    </xf>
    <xf numFmtId="177" fontId="22" fillId="0" borderId="0" xfId="1" applyNumberFormat="1" applyFont="1">
      <alignment vertical="center"/>
    </xf>
    <xf numFmtId="177" fontId="17" fillId="0" borderId="2" xfId="1" applyNumberFormat="1" applyFont="1" applyBorder="1" applyAlignment="1">
      <alignment horizontal="center" vertical="center" wrapText="1"/>
    </xf>
    <xf numFmtId="177" fontId="17" fillId="0" borderId="1" xfId="1" applyNumberFormat="1" applyFont="1" applyBorder="1" applyAlignment="1">
      <alignment horizontal="center" vertical="center" wrapText="1"/>
    </xf>
    <xf numFmtId="14" fontId="0" fillId="13" borderId="1" xfId="5" applyNumberFormat="1" applyFont="1" applyFill="1" applyBorder="1" applyAlignment="1">
      <alignment horizontal="center" vertical="center" wrapText="1"/>
    </xf>
    <xf numFmtId="179" fontId="17" fillId="9" borderId="2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shrinkToFit="1"/>
    </xf>
    <xf numFmtId="0" fontId="17" fillId="0" borderId="2" xfId="0" applyFont="1" applyBorder="1" applyAlignment="1">
      <alignment horizontal="center" vertical="center" shrinkToFit="1"/>
    </xf>
    <xf numFmtId="0" fontId="20" fillId="17" borderId="1" xfId="0" applyFont="1" applyFill="1" applyBorder="1" applyAlignment="1">
      <alignment horizontal="center" vertical="center" shrinkToFit="1"/>
    </xf>
    <xf numFmtId="0" fontId="18" fillId="17" borderId="2" xfId="3" applyNumberFormat="1" applyFont="1" applyFill="1" applyBorder="1" applyAlignment="1">
      <alignment horizontal="center" vertical="center" shrinkToFit="1"/>
    </xf>
    <xf numFmtId="0" fontId="17" fillId="17" borderId="1" xfId="0" applyFont="1" applyFill="1" applyBorder="1" applyAlignment="1">
      <alignment horizontal="center" vertical="center" shrinkToFit="1"/>
    </xf>
    <xf numFmtId="0" fontId="17" fillId="13" borderId="1" xfId="0" applyFont="1" applyFill="1" applyBorder="1" applyAlignment="1">
      <alignment horizontal="center" vertical="center" shrinkToFit="1"/>
    </xf>
    <xf numFmtId="0" fontId="17" fillId="13" borderId="2" xfId="0" applyFont="1" applyFill="1" applyBorder="1" applyAlignment="1">
      <alignment horizontal="center" vertical="center" shrinkToFit="1"/>
    </xf>
    <xf numFmtId="0" fontId="17" fillId="0" borderId="1" xfId="2" applyNumberFormat="1" applyFont="1" applyFill="1" applyBorder="1" applyAlignment="1">
      <alignment horizontal="center" vertical="center" shrinkToFit="1"/>
    </xf>
    <xf numFmtId="0" fontId="0" fillId="0" borderId="0" xfId="0" quotePrefix="1">
      <alignment vertical="center"/>
    </xf>
    <xf numFmtId="0" fontId="27" fillId="3" borderId="2" xfId="3" applyNumberFormat="1" applyBorder="1" applyAlignment="1">
      <alignment horizontal="left" vertical="center" wrapText="1"/>
    </xf>
    <xf numFmtId="14" fontId="11" fillId="0" borderId="1" xfId="1384" applyNumberFormat="1" applyFont="1" applyFill="1" applyBorder="1" applyAlignment="1">
      <alignment horizontal="center" vertical="center" wrapText="1"/>
    </xf>
    <xf numFmtId="177" fontId="17" fillId="0" borderId="1" xfId="1385" applyNumberFormat="1" applyFont="1" applyFill="1" applyBorder="1" applyAlignment="1">
      <alignment horizontal="right" vertical="center" wrapText="1"/>
    </xf>
    <xf numFmtId="177" fontId="17" fillId="0" borderId="2" xfId="1385" applyNumberFormat="1" applyFont="1" applyFill="1" applyBorder="1" applyAlignment="1">
      <alignment horizontal="right" vertical="center" wrapText="1"/>
    </xf>
    <xf numFmtId="177" fontId="17" fillId="8" borderId="1" xfId="1385" applyNumberFormat="1" applyFont="1" applyFill="1" applyBorder="1" applyAlignment="1">
      <alignment vertical="center" wrapText="1"/>
    </xf>
    <xf numFmtId="0" fontId="27" fillId="3" borderId="0" xfId="3" applyAlignment="1"/>
    <xf numFmtId="0" fontId="28" fillId="3" borderId="0" xfId="3" applyFont="1" applyAlignment="1">
      <alignment vertical="center"/>
    </xf>
    <xf numFmtId="0" fontId="13" fillId="0" borderId="17" xfId="0" applyFont="1" applyBorder="1" applyAlignment="1">
      <alignment horizontal="center" vertical="center" wrapText="1" shrinkToFit="1"/>
    </xf>
    <xf numFmtId="0" fontId="27" fillId="0" borderId="1" xfId="3" applyFill="1" applyBorder="1" applyAlignment="1">
      <alignment vertical="center" wrapText="1"/>
    </xf>
    <xf numFmtId="177" fontId="31" fillId="0" borderId="1" xfId="0" applyNumberFormat="1" applyFont="1" applyBorder="1" applyAlignment="1">
      <alignment horizontal="right" vertical="center" wrapText="1"/>
    </xf>
    <xf numFmtId="0" fontId="31" fillId="0" borderId="1" xfId="0" applyFont="1" applyBorder="1" applyAlignment="1">
      <alignment vertical="center" wrapText="1"/>
    </xf>
    <xf numFmtId="187" fontId="0" fillId="0" borderId="0" xfId="19" applyNumberFormat="1" applyFont="1">
      <alignment vertical="center"/>
    </xf>
    <xf numFmtId="0" fontId="0" fillId="0" borderId="26" xfId="0" applyBorder="1">
      <alignment vertical="center"/>
    </xf>
    <xf numFmtId="177" fontId="0" fillId="0" borderId="29" xfId="1" applyNumberFormat="1" applyFont="1" applyBorder="1">
      <alignment vertical="center"/>
    </xf>
    <xf numFmtId="177" fontId="25" fillId="0" borderId="27" xfId="0" applyNumberFormat="1" applyFont="1" applyBorder="1">
      <alignment vertical="center"/>
    </xf>
    <xf numFmtId="0" fontId="28" fillId="3" borderId="1" xfId="3" applyFont="1" applyBorder="1" applyAlignment="1">
      <alignment vertical="center" wrapText="1"/>
    </xf>
    <xf numFmtId="0" fontId="32" fillId="0" borderId="2" xfId="3" applyNumberFormat="1" applyFont="1" applyFill="1" applyBorder="1" applyAlignment="1">
      <alignment vertical="center" wrapText="1"/>
    </xf>
    <xf numFmtId="0" fontId="27" fillId="13" borderId="1" xfId="3" applyNumberFormat="1" applyFill="1" applyBorder="1" applyAlignment="1">
      <alignment vertical="center" wrapText="1"/>
    </xf>
    <xf numFmtId="176" fontId="27" fillId="3" borderId="0" xfId="1" applyFont="1" applyFill="1" applyAlignment="1">
      <alignment vertical="center"/>
    </xf>
    <xf numFmtId="178" fontId="27" fillId="3" borderId="1" xfId="3" applyNumberFormat="1" applyBorder="1" applyAlignment="1">
      <alignment vertical="center" wrapText="1"/>
    </xf>
    <xf numFmtId="177" fontId="18" fillId="0" borderId="0" xfId="0" applyNumberFormat="1" applyFont="1">
      <alignment vertical="center"/>
    </xf>
    <xf numFmtId="0" fontId="18" fillId="0" borderId="0" xfId="0" applyFont="1">
      <alignment vertical="center"/>
    </xf>
    <xf numFmtId="0" fontId="90" fillId="9" borderId="2" xfId="0" applyFont="1" applyFill="1" applyBorder="1" applyAlignment="1">
      <alignment horizontal="center" vertical="center" wrapText="1"/>
    </xf>
    <xf numFmtId="14" fontId="11" fillId="40" borderId="1" xfId="5" applyNumberFormat="1" applyFont="1" applyFill="1" applyBorder="1" applyAlignment="1">
      <alignment horizontal="center" vertical="center" wrapText="1"/>
    </xf>
    <xf numFmtId="0" fontId="28" fillId="3" borderId="0" xfId="3" applyFont="1" applyAlignment="1"/>
    <xf numFmtId="177" fontId="27" fillId="3" borderId="1" xfId="3" applyNumberFormat="1" applyBorder="1" applyAlignment="1">
      <alignment vertical="center" wrapText="1"/>
    </xf>
    <xf numFmtId="177" fontId="17" fillId="13" borderId="2" xfId="0" applyNumberFormat="1" applyFont="1" applyFill="1" applyBorder="1" applyAlignment="1">
      <alignment horizontal="center" vertical="center" wrapText="1"/>
    </xf>
    <xf numFmtId="0" fontId="27" fillId="3" borderId="0" xfId="3" applyAlignment="1">
      <alignment vertical="center"/>
    </xf>
    <xf numFmtId="0" fontId="13" fillId="13" borderId="17" xfId="0" applyFont="1" applyFill="1" applyBorder="1" applyAlignment="1">
      <alignment horizontal="center" vertical="center" wrapText="1" shrinkToFit="1"/>
    </xf>
    <xf numFmtId="182" fontId="0" fillId="0" borderId="0" xfId="0" applyNumberFormat="1">
      <alignment vertical="center"/>
    </xf>
    <xf numFmtId="182" fontId="13" fillId="10" borderId="7" xfId="0" applyNumberFormat="1" applyFont="1" applyFill="1" applyBorder="1" applyAlignment="1">
      <alignment horizontal="center" vertical="center" wrapText="1"/>
    </xf>
    <xf numFmtId="182" fontId="31" fillId="9" borderId="2" xfId="0" applyNumberFormat="1" applyFont="1" applyFill="1" applyBorder="1" applyAlignment="1">
      <alignment horizontal="center" vertical="center" wrapText="1"/>
    </xf>
    <xf numFmtId="179" fontId="31" fillId="9" borderId="2" xfId="0" applyNumberFormat="1" applyFont="1" applyFill="1" applyBorder="1" applyAlignment="1">
      <alignment horizontal="center" vertical="center" wrapText="1"/>
    </xf>
    <xf numFmtId="0" fontId="27" fillId="3" borderId="44" xfId="3" applyBorder="1" applyAlignment="1">
      <alignment vertical="center" wrapText="1"/>
    </xf>
    <xf numFmtId="0" fontId="28" fillId="3" borderId="0" xfId="3" applyFont="1" applyAlignment="1">
      <alignment vertical="center" wrapText="1"/>
    </xf>
    <xf numFmtId="0" fontId="28" fillId="3" borderId="2" xfId="3" applyNumberFormat="1" applyFont="1" applyBorder="1" applyAlignment="1">
      <alignment horizontal="left" vertical="center" wrapText="1"/>
    </xf>
    <xf numFmtId="0" fontId="28" fillId="3" borderId="2" xfId="3" applyNumberFormat="1" applyFont="1" applyBorder="1" applyAlignment="1">
      <alignment vertical="center" wrapText="1"/>
    </xf>
    <xf numFmtId="0" fontId="21" fillId="0" borderId="24" xfId="0" applyFont="1" applyBorder="1" applyAlignment="1">
      <alignment horizontal="center" vertical="center"/>
    </xf>
    <xf numFmtId="176" fontId="0" fillId="0" borderId="51" xfId="1" applyFont="1" applyBorder="1">
      <alignment vertical="center"/>
    </xf>
    <xf numFmtId="176" fontId="0" fillId="0" borderId="25" xfId="1" applyFont="1" applyBorder="1">
      <alignment vertical="center"/>
    </xf>
    <xf numFmtId="0" fontId="21" fillId="0" borderId="26" xfId="0" applyFont="1" applyBorder="1" applyAlignment="1">
      <alignment horizontal="center" vertical="center"/>
    </xf>
    <xf numFmtId="176" fontId="0" fillId="0" borderId="29" xfId="1" applyFont="1" applyBorder="1">
      <alignment vertical="center"/>
    </xf>
    <xf numFmtId="0" fontId="17" fillId="8" borderId="1" xfId="0" applyFont="1" applyFill="1" applyBorder="1" applyAlignment="1">
      <alignment vertical="center" wrapText="1"/>
    </xf>
    <xf numFmtId="182" fontId="31" fillId="0" borderId="2" xfId="0" applyNumberFormat="1" applyFont="1" applyBorder="1" applyAlignment="1">
      <alignment horizontal="center" vertical="center" wrapText="1"/>
    </xf>
    <xf numFmtId="14" fontId="17" fillId="0" borderId="2" xfId="0" applyNumberFormat="1" applyFont="1" applyBorder="1" applyAlignment="1">
      <alignment horizontal="center" vertical="center" wrapText="1"/>
    </xf>
    <xf numFmtId="0" fontId="91" fillId="0" borderId="0" xfId="0" applyFont="1">
      <alignment vertical="center"/>
    </xf>
    <xf numFmtId="14" fontId="13" fillId="11" borderId="19" xfId="0" applyNumberFormat="1" applyFont="1" applyFill="1" applyBorder="1" applyAlignment="1">
      <alignment horizontal="center" vertical="center" wrapText="1"/>
    </xf>
    <xf numFmtId="14" fontId="13" fillId="11" borderId="20" xfId="0" applyNumberFormat="1" applyFont="1" applyFill="1" applyBorder="1" applyAlignment="1">
      <alignment horizontal="center" vertical="center" wrapText="1"/>
    </xf>
    <xf numFmtId="14" fontId="13" fillId="11" borderId="13" xfId="0" applyNumberFormat="1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</cellXfs>
  <cellStyles count="3175">
    <cellStyle name="_x0014_&quot;_x0003__x0003__x000c_?_x0008__x0014_4_x0001_" xfId="1411" xr:uid="{9E2F9475-84B0-440D-ADC7-085B0FD35FFD}"/>
    <cellStyle name="%" xfId="1392" xr:uid="{AB3EE430-6BC6-4349-89F7-712D96F0E3AE}"/>
    <cellStyle name="??&amp;O?&amp;H?_x0008__x000f__x0007_?_x0007__x0001__x0001_" xfId="1412" xr:uid="{E85CCCE3-878A-42A6-BF7A-21E82E5E72C1}"/>
    <cellStyle name="??&amp;O?&amp;H?_x0008_??_x0007__x0001__x0001_" xfId="1413" xr:uid="{A3359AC0-A82E-48F2-8843-E89BE1E73CB0}"/>
    <cellStyle name="_(2)2005 LEADs" xfId="1414" xr:uid="{71BE21F5-E439-40EF-9718-CEB1888B3B96}"/>
    <cellStyle name="_~0200250" xfId="1393" xr:uid="{46CC72C0-1223-4828-9D3D-B80243F1F0A3}"/>
    <cellStyle name="_~0200250 2" xfId="1415" xr:uid="{59E7C04C-C675-4C5A-ACE5-99ADD546F1E8}"/>
    <cellStyle name="_~3162717" xfId="1416" xr:uid="{C148D7B3-1776-4EF2-89AB-296A1F339406}"/>
    <cellStyle name="_~4054860" xfId="1417" xr:uid="{C2984BAC-C479-4E79-9163-6B1D80C42644}"/>
    <cellStyle name="_~4411132" xfId="1418" xr:uid="{4ACFC888-067F-44AF-9ED4-8691799A576B}"/>
    <cellStyle name="_~7896263" xfId="1394" xr:uid="{064FBC9A-82DA-4D56-91F0-730306E1718D}"/>
    <cellStyle name="_~7896263 2" xfId="1419" xr:uid="{3CA656E6-3074-4A03-8B1E-48E527362281}"/>
    <cellStyle name="_~9547985" xfId="1420" xr:uid="{75AB14BA-CAC8-49B7-BDAC-33052D5B5D73}"/>
    <cellStyle name="_040107 NW장비현황_본사_과천(DMZ)" xfId="1421" xr:uid="{2FC784A4-A398-4C53-97D0-75AC85022D30}"/>
    <cellStyle name="_0509cycle AP Prelim Cost Tape" xfId="1422" xr:uid="{7D75C8F0-906E-4272-9263-46715F6266BC}"/>
    <cellStyle name="_0512cycle AP MSMT&amp;ECON INPUT final1209(니꼴2006-12-12AM0800)" xfId="1423" xr:uid="{8D330A67-42C5-4DC8-B816-6286D4AC54BC}"/>
    <cellStyle name="_0702 TC BMC Assmot.(20070122)" xfId="1424" xr:uid="{2785B1BB-6946-428A-A685-344A64B7CFC4}"/>
    <cellStyle name="_10-22구매신청서" xfId="1425" xr:uid="{997187F7-8B04-4C0E-9306-270CB2E35881}"/>
    <cellStyle name="_1027_웹스피어_Sametime_Quickplace가격" xfId="1426" xr:uid="{2095C91F-9E66-44C1-8E2F-298388CCCB82}"/>
    <cellStyle name="_10월1일 재고리스트" xfId="20" xr:uid="{6C488F8C-1A08-4CB1-9F3F-7A2725495C82}"/>
    <cellStyle name="_10월1일 재고리스트 2" xfId="1832" xr:uid="{52AC4905-4D4D-467A-AAF6-3CE008CC5977}"/>
    <cellStyle name="_10월8일 재고리스트" xfId="21" xr:uid="{2A7DA610-C285-499D-8DDA-15301D378547}"/>
    <cellStyle name="_10월8일 재고리스트 2" xfId="1833" xr:uid="{ACDFC960-2B5E-4F58-BD51-F147F76429B8}"/>
    <cellStyle name="_1H05 Quota_061204" xfId="22" xr:uid="{1ACCA3C2-8EE6-4691-BA95-F108F2E2D180}"/>
    <cellStyle name="_1H05 Quota_061204 2" xfId="1834" xr:uid="{521D73BC-175C-4B87-A88B-D33A26D4EAF5}"/>
    <cellStyle name="_2004 8 NT PL LGIBM 향 (2004 7 30 기준)" xfId="1427" xr:uid="{E8814DFD-9FA9-4142-9D35-EDB068CAC29B}"/>
    <cellStyle name="_20040330-미쉔주-NW견적서" xfId="1428" xr:uid="{63DDE45D-0DA8-4811-9BF2-79664AEDD2AB}"/>
    <cellStyle name="_20040413_견적_V480_280_조영호과장" xfId="1429" xr:uid="{2D040C54-EBFA-42EC-814A-3575D353FD65}"/>
    <cellStyle name="_20040615-굿모닝컴퓨터1" xfId="1430" xr:uid="{AD657035-F3AF-4E6F-94A6-E3FB2D93422C}"/>
    <cellStyle name="_2005 gp test-Pricing-Premium-Final" xfId="1395" xr:uid="{8D13F0B9-ABEF-4B86-9C32-CEBA0070F6A8}"/>
    <cellStyle name="_2006 Labor rate" xfId="1396" xr:uid="{F5729ED3-0B36-4714-876D-90668B7FEF34}"/>
    <cellStyle name="_2006 Labor rate 2" xfId="1431" xr:uid="{7F7A7194-9D8F-4486-8C97-705A0B9AD86F}"/>
    <cellStyle name="_2007 2Q GTS RSC Data 0622-0" xfId="1397" xr:uid="{C0E6265C-7A96-4324-9DE6-D1DBC1AA9161}"/>
    <cellStyle name="_2008_svc0123(sklee)_1" xfId="1432" xr:uid="{B42A354D-5285-44CE-9CA9-6DF4362B8F3B}"/>
    <cellStyle name="_2009 gp test-Pricing-Premium-CFO-Approval" xfId="1398" xr:uid="{BE65D4B5-34B4-4DB9-A2A8-3CCADCCE3248}"/>
    <cellStyle name="_2009 gp test-Pricing-Premium-CFO-Approval 2" xfId="1433" xr:uid="{CA52C954-2808-4B69-902E-774EDF78D536}"/>
    <cellStyle name="_2009 gp test-Pricing-Premium-CFO-Approval_tape cost수정" xfId="1399" xr:uid="{468385ED-E8A3-4FF5-B9FB-124AF88B662C}"/>
    <cellStyle name="_2009 gp test-Pricing-Premium-CFO-Approval_tape cost수정 2" xfId="1434" xr:uid="{8BA50C0E-EFED-4297-96BE-D41FE501E9A6}"/>
    <cellStyle name="_203025(인성정보-대전)" xfId="1435" xr:uid="{AFB9C8CE-6A34-47CA-9019-48AA90E2D476}"/>
    <cellStyle name="_2월 예상 PL 2006년 2월 07일" xfId="1436" xr:uid="{5FCA3AF4-75D4-40ED-83A0-C82285764C47}"/>
    <cellStyle name="_4Q SMB Road&amp;Key1013 Dist" xfId="1437" xr:uid="{772AFA51-5199-4FE2-9298-3AD38DD8FAF7}"/>
    <cellStyle name="_4월 Line-Up 20060327작업중(검증)-2" xfId="1438" xr:uid="{00D40F66-7F59-4F94-83BB-A56861434FDD}"/>
    <cellStyle name="_7월 23일 재고리스트" xfId="23" xr:uid="{82D6A5B9-5ECE-46B0-A30F-7ACC8F7C3AEA}"/>
    <cellStyle name="_7월 23일 재고리스트 2" xfId="1835" xr:uid="{37DE2E8A-7B2D-4DEB-985F-1529258E3F4A}"/>
    <cellStyle name="_7월 31일 재고리스트" xfId="24" xr:uid="{5B78A6BB-E201-403D-987A-72D9D285AEF6}"/>
    <cellStyle name="_7월 31일 재고리스트 2" xfId="1836" xr:uid="{94BD201F-21E4-4A78-9DEE-447F976D96AD}"/>
    <cellStyle name="_7월 9일 재고리스트" xfId="25" xr:uid="{24EAEB6F-9065-4124-95D8-FCE18349E5A4}"/>
    <cellStyle name="_7월 9일 재고리스트 2" xfId="1837" xr:uid="{986E5D63-F848-4FB2-834F-2250498B681D}"/>
    <cellStyle name="_8월 13일 재고리스트" xfId="26" xr:uid="{7F2E2647-51F4-45BA-89E5-06B2603C66FE}"/>
    <cellStyle name="_8월 13일 재고리스트 2" xfId="1838" xr:uid="{35EE6627-333A-44A0-B409-46F9D07C19A8}"/>
    <cellStyle name="_8월 20일 재고리스트" xfId="27" xr:uid="{8C117529-5EDD-4547-B889-ADAD410287A3}"/>
    <cellStyle name="_8월 20일 재고리스트 2" xfId="1839" xr:uid="{C54CC7D3-5860-48C1-B2EA-E407249D40BC}"/>
    <cellStyle name="_8월 27일 재고리스트" xfId="28" xr:uid="{7D27376D-33D8-4321-BD67-40A067C2FFE7}"/>
    <cellStyle name="_8월 27일 재고리스트 2" xfId="1840" xr:uid="{F0695712-B7CD-4995-90A9-1201AF8F1754}"/>
    <cellStyle name="_8월 Commercial 가격표_수정xls" xfId="1439" xr:uid="{9A3CD192-F675-4E86-891C-7A3977A40169}"/>
    <cellStyle name="_8월13일 주간업무" xfId="29" xr:uid="{339C07DD-CD05-4E7F-9D3E-0A2BF3818C27}"/>
    <cellStyle name="_8월13일 주간업무 2" xfId="1841" xr:uid="{3036ABC0-4407-4F5D-B196-2B9805468153}"/>
    <cellStyle name="_9월10일 재고리스트" xfId="30" xr:uid="{D0361CF6-6162-4EBB-8125-FE7A01BCA48D}"/>
    <cellStyle name="_9월10일 재고리스트 2" xfId="1842" xr:uid="{1078EB00-6B98-4BE6-AC6B-58E1685D4E9C}"/>
    <cellStyle name="_9월17일 재고리스트" xfId="31" xr:uid="{75D067EA-0063-4C59-90D7-188EB671F094}"/>
    <cellStyle name="_9월17일 재고리스트 2" xfId="1843" xr:uid="{1B8B69DE-EE94-4048-B3BB-796FB6ADE5F0}"/>
    <cellStyle name="_9월3일 주간업무" xfId="32" xr:uid="{A0CFE045-10D0-4FD2-8030-0FCD244D197D}"/>
    <cellStyle name="_9월3일 주간업무 2" xfId="1844" xr:uid="{906E6E53-92FA-4E5D-8DC6-591AFC0167BC}"/>
    <cellStyle name="_Account Total" xfId="1440" xr:uid="{A6EC5CAD-42E4-4C6E-89C8-9C7CAAAC94C9}"/>
    <cellStyle name="_Add" xfId="1400" xr:uid="{8DFDE7D8-F287-4DA1-B9BE-EC9C6C1133F3}"/>
    <cellStyle name="_Add 2" xfId="1441" xr:uid="{68D22707-1881-4413-8285-3E72E295B096}"/>
    <cellStyle name="_AP_Weekly" xfId="33" xr:uid="{467DFF84-7A70-477E-BB36-5F9BF70985E1}"/>
    <cellStyle name="_AP_Weekly 2" xfId="1845" xr:uid="{13363DE4-FC77-499A-938F-610D4876DF01}"/>
    <cellStyle name="_Ap1x_SGVN-2002_04-Tracy" xfId="34" xr:uid="{6C99654B-BE20-4ABD-91D5-C14C089D4875}"/>
    <cellStyle name="_Ap1x_SGVN-2002_04-Tracy 2" xfId="1846" xr:uid="{8112F4B3-D049-4FAC-BF1C-1335CE4BE3D1}"/>
    <cellStyle name="_Ap1x_SGVN-2002_04-Tracy_Book1" xfId="35" xr:uid="{D65841B2-2882-4089-BC89-3AE378DE7CCC}"/>
    <cellStyle name="_Ap1x_SGVN-2002_04-Tracy_Book1 2" xfId="1847" xr:uid="{037CD17C-B070-4811-89CF-83136EDBA6B0}"/>
    <cellStyle name="_Ap1x_SGVN-2002_04-Tracy_Book3" xfId="36" xr:uid="{82C1731F-756B-4201-8B88-4E89A93A5708}"/>
    <cellStyle name="_Ap1x_SGVN-2002_04-Tracy_Book3 2" xfId="1848" xr:uid="{E55C9A55-8695-41E6-A295-C28C6140C3E8}"/>
    <cellStyle name="_Ap1x_SGVN-2002_04-Tracy_FY05 1H CS Quota Deployment Exercise" xfId="37" xr:uid="{B5D7EB83-4BFC-45F6-B212-C996B23D7C0C}"/>
    <cellStyle name="_Ap1x_SGVN-2002_04-Tracy_FY05 1H CS Quota Deployment Exercise 2" xfId="1849" xr:uid="{B488889D-0DBD-407D-99A6-39D55A3ED1B8}"/>
    <cellStyle name="_Ap1x_SGVN-2002_04-Tracy_Korea give Q106 DPFR Computation template(2)" xfId="38" xr:uid="{1C36B1C8-B8D6-43E6-880D-33EFFDE2B7F9}"/>
    <cellStyle name="_Ap1x_SGVN-2002_04-Tracy_Korea give Q106 DPFR Computation template(2) 2" xfId="1850" xr:uid="{21A4594C-5F52-4DCC-A364-4E92ED4F0D7C}"/>
    <cellStyle name="_Ap1x_SGVN-2002_04-Tracy_Korea give Q405 DPFR Template " xfId="39" xr:uid="{4D735F04-BE2A-4DAF-8184-B4FB13CE938E}"/>
    <cellStyle name="_Ap1x_SGVN-2002_04-Tracy_Korea give Q405 DPFR Template  2" xfId="1851" xr:uid="{988976CF-1699-4618-AE6A-A974406953BB}"/>
    <cellStyle name="_Ap1x_SGVN-2002_04-Tracy_Korea give Q405 DPFR Template(use BO data) " xfId="40" xr:uid="{29A009AE-53CF-4FAD-99A4-4A4720B2A033}"/>
    <cellStyle name="_Ap1x_SGVN-2002_04-Tracy_Korea give Q405 DPFR Template(use BO data)  2" xfId="1852" xr:uid="{C5EBF92E-9ACF-4EAC-883B-93BD967A2CFF}"/>
    <cellStyle name="_Ap1x_SGVN-2002_04-Tracy_KR Q106 DPFR Computation (13feb06)" xfId="41" xr:uid="{D1F4D692-D93A-4BA2-8DBE-775EA9C1E502}"/>
    <cellStyle name="_Ap1x_SGVN-2002_04-Tracy_KR Q106 DPFR Computation (13feb06) 2" xfId="1853" xr:uid="{D6F29A7E-C458-4529-90F7-C38AC68E75DC}"/>
    <cellStyle name="_Ap1x_SGVN-2002_04-Tracy_Q106 DPFR Template_Korea(5)(实验版本)" xfId="42" xr:uid="{47D98A14-0A6D-40E1-955F-A0F1EC73A311}"/>
    <cellStyle name="_Ap1x_SGVN-2002_04-Tracy_Q106 DPFR Template_Korea(5)(实验版本) 2" xfId="1854" xr:uid="{B56D0596-74DA-4834-8481-0A096F932C2C}"/>
    <cellStyle name="_Ap1x_SGVN-2002_04-Tracy_Q405 DPFR Computation(Final last)  " xfId="43" xr:uid="{6626D49B-35F3-4200-9003-32A12EAEE98C}"/>
    <cellStyle name="_Ap1x_SGVN-2002_04-Tracy_Q405 DPFR Computation(Final last)   2" xfId="1855" xr:uid="{9B487853-92A3-4BBD-82B2-584206C66499}"/>
    <cellStyle name="_Ap1x_SGVN-2002_04-Tracy_Q405 DPFR Computation_v4 (3) final last " xfId="44" xr:uid="{7F4FC305-A71E-4BAF-B73C-FCAB2D946554}"/>
    <cellStyle name="_Ap1x_SGVN-2002_04-Tracy_Q405 DPFR Computation_v4 (3) final last  2" xfId="1856" xr:uid="{7E51A79D-DEB6-4FBF-BF18-3F055B47A9DA}"/>
    <cellStyle name="_Ap1x_SGVN-2002_04-Tracy_Q405 DPFR Template_Korno bulk orderingea (2)" xfId="45" xr:uid="{55F96D43-6678-4FEC-AF53-B05EF8C3DA74}"/>
    <cellStyle name="_Ap1x_SGVN-2002_04-Tracy_Q405 DPFR Template_Korno bulk orderingea (2) 2" xfId="1857" xr:uid="{CEA985DC-4CC4-43BF-9160-FE790ACF5DC3}"/>
    <cellStyle name="_Ap1x_SGVN-2002_04-Tracy_Q405 DPFR Template_Korno bulk orderingea (3)" xfId="46" xr:uid="{08B508A0-AC38-4607-9233-1C0199FA6426}"/>
    <cellStyle name="_Ap1x_SGVN-2002_04-Tracy_Q405 DPFR Template_Korno bulk orderingea (3) 2" xfId="1858" xr:uid="{CDE90BA4-4096-43F5-A38C-6E9EAF8FF9D4}"/>
    <cellStyle name="_Ap1x_SGVN-2002_04-Tracy_Q405 DPFR Template_Korno bulk orderingea (4)" xfId="47" xr:uid="{BBBE39A4-D4E3-45A3-B574-CA5AB8E645E4}"/>
    <cellStyle name="_Ap1x_SGVN-2002_04-Tracy_Q405 DPFR Template_Korno bulk orderingea (4) 2" xfId="1859" xr:uid="{A1235A70-CACC-4E31-8E54-7072AEA76E14}"/>
    <cellStyle name="_Ap1x_SGVN-2002_04-Tracy_Taiwan1" xfId="48" xr:uid="{8F3D494E-BCB8-453E-9166-98884AA7CC9E}"/>
    <cellStyle name="_Ap1x_SGVN-2002_04-Tracy_Taiwan1 2" xfId="1860" xr:uid="{B14557B0-0C65-45F1-AB59-22A8815D0DD0}"/>
    <cellStyle name="_Ap1x_SGVN-2002_04-Tracy_복KR Q106 DPFR Computation(13feb06AP)_DL_HJ" xfId="49" xr:uid="{A17808CA-14DB-4334-B405-7F01683065FC}"/>
    <cellStyle name="_Ap1x_SGVN-2002_04-Tracy_복KR Q106 DPFR Computation(13feb06AP)_DL_HJ 2" xfId="1861" xr:uid="{EBBFB077-698E-48C7-B5F4-2702EB1D2100}"/>
    <cellStyle name="_APJ_SPO_Perf_Report_151205" xfId="50" xr:uid="{4E952D63-197B-4B2E-8A3F-84DBFC0A445B}"/>
    <cellStyle name="_APJ_SPO_Perf_Report_151205 2" xfId="1862" xr:uid="{A168D5CE-A039-4673-90AC-431355876555}"/>
    <cellStyle name="_APJ_SPO_Perf_Report_151205_Book1" xfId="51" xr:uid="{65E46BAD-EE57-4964-8646-B0B9BA005664}"/>
    <cellStyle name="_APJ_SPO_Perf_Report_151205_Book1 2" xfId="1863" xr:uid="{E14DD6F0-D205-4056-99D4-09D2A2EE7082}"/>
    <cellStyle name="_APJ_SPO_Perf_Report_151205_Book3" xfId="52" xr:uid="{EBA0F0AF-DA88-4790-AFA5-3339E42BD19D}"/>
    <cellStyle name="_APJ_SPO_Perf_Report_151205_Book3 2" xfId="1864" xr:uid="{5A02AA3C-1743-4E1B-A1EC-AEC15211968A}"/>
    <cellStyle name="_APJ_SPO_Perf_Report_151205_Korea give Q106 DPFR Computation template(2)" xfId="53" xr:uid="{6644496E-71FC-49FF-BDA3-33E27C7AAE75}"/>
    <cellStyle name="_APJ_SPO_Perf_Report_151205_Korea give Q106 DPFR Computation template(2) 2" xfId="1865" xr:uid="{390CD291-A456-424E-917D-5FB2651B089A}"/>
    <cellStyle name="_APJ_SPO_Perf_Report_151205_Korea give Q405 DPFR Template " xfId="54" xr:uid="{4B544615-B644-414D-90A9-2B5B9D345202}"/>
    <cellStyle name="_APJ_SPO_Perf_Report_151205_Korea give Q405 DPFR Template  2" xfId="1866" xr:uid="{1D4F9733-6093-4332-AECF-79C311A72C9B}"/>
    <cellStyle name="_APJ_SPO_Perf_Report_151205_Korea give Q405 DPFR Template(use BO data) " xfId="55" xr:uid="{DEDE47DE-D8F0-4D2D-A207-2EAB77051CED}"/>
    <cellStyle name="_APJ_SPO_Perf_Report_151205_Korea give Q405 DPFR Template(use BO data)  2" xfId="1867" xr:uid="{3F35F609-C450-4C25-81E5-3C8BF6239E4F}"/>
    <cellStyle name="_APJ_SPO_Perf_Report_151205_KR Q106 DPFR Computation (13feb06)" xfId="56" xr:uid="{870F9F90-A30A-43BE-A755-BB120B397C42}"/>
    <cellStyle name="_APJ_SPO_Perf_Report_151205_KR Q106 DPFR Computation (13feb06) 2" xfId="1868" xr:uid="{C3E1EECA-4005-4604-92EE-5A62393D0F0A}"/>
    <cellStyle name="_APJ_SPO_Perf_Report_151205_Q106 DPFR Template_Korea(5)(实验版本)" xfId="57" xr:uid="{F279B793-124E-4705-8EF3-3DB8A105FC07}"/>
    <cellStyle name="_APJ_SPO_Perf_Report_151205_Q106 DPFR Template_Korea(5)(实验版本) 2" xfId="1869" xr:uid="{90359C0C-04BB-4E54-A61D-9CAE5EC79DE9}"/>
    <cellStyle name="_APJ_SPO_Perf_Report_151205_Q405 DPFR Computation(Final last)  " xfId="58" xr:uid="{B782C005-A801-4134-ADF7-3792BEFA0BF9}"/>
    <cellStyle name="_APJ_SPO_Perf_Report_151205_Q405 DPFR Computation(Final last)   2" xfId="1870" xr:uid="{62AB1BDE-DC22-4A47-BB01-5E3D787BC076}"/>
    <cellStyle name="_APJ_SPO_Perf_Report_151205_Q405 DPFR Computation_v4 (3) final last " xfId="59" xr:uid="{6731E562-9422-4E18-9C7D-800A5383F7DC}"/>
    <cellStyle name="_APJ_SPO_Perf_Report_151205_Q405 DPFR Computation_v4 (3) final last  2" xfId="1871" xr:uid="{32F79761-9B48-46BD-B1CD-53402B48BD0C}"/>
    <cellStyle name="_APJ_SPO_Perf_Report_151205_Q405 DPFR Template_Korno bulk orderingea (2)" xfId="60" xr:uid="{4FF59954-C3E3-4168-BF41-FA07DA3434D3}"/>
    <cellStyle name="_APJ_SPO_Perf_Report_151205_Q405 DPFR Template_Korno bulk orderingea (2) 2" xfId="1872" xr:uid="{7E21BDB2-B330-46A9-B926-E3989EF63A4E}"/>
    <cellStyle name="_APJ_SPO_Perf_Report_151205_Q405 DPFR Template_Korno bulk orderingea (3)" xfId="61" xr:uid="{3DBF103D-5F4E-42E2-85AD-2E30A2168AE0}"/>
    <cellStyle name="_APJ_SPO_Perf_Report_151205_Q405 DPFR Template_Korno bulk orderingea (3) 2" xfId="1873" xr:uid="{5D28C1A2-D1D8-40AD-9D87-1358CFA3B3D2}"/>
    <cellStyle name="_APJ_SPO_Perf_Report_151205_Q405 DPFR Template_Korno bulk orderingea (4)" xfId="62" xr:uid="{EFB1DDE5-B633-44E5-BF04-251370C592EC}"/>
    <cellStyle name="_APJ_SPO_Perf_Report_151205_Q405 DPFR Template_Korno bulk orderingea (4) 2" xfId="1874" xr:uid="{3D49CFAC-0C73-4195-AE08-D271CC58C66B}"/>
    <cellStyle name="_APJ_SPO_Perf_Report_151205_복KR Q106 DPFR Computation(13feb06AP)_DL_HJ" xfId="63" xr:uid="{8960DFB0-5156-448B-8345-00A3F076C234}"/>
    <cellStyle name="_APJ_SPO_Perf_Report_151205_복KR Q106 DPFR Computation(13feb06AP)_DL_HJ 2" xfId="1875" xr:uid="{771AF2CA-05B5-404D-86D6-FEC3CFD10541}"/>
    <cellStyle name="_biz case" xfId="1442" xr:uid="{CC6443AA-3292-4DF1-B176-E8EC60C698A4}"/>
    <cellStyle name="_biz case1" xfId="1443" xr:uid="{A7D20907-BA21-4CAE-B9D9-A244CB209493}"/>
    <cellStyle name="_BMC Making FileForMar20060413" xfId="1444" xr:uid="{6D1AB05F-8CCD-472B-AAA1-4249823583AD}"/>
    <cellStyle name="_Book1" xfId="1445" xr:uid="{57C275A2-738F-4550-8410-399FF82CA333}"/>
    <cellStyle name="_Book13" xfId="1446" xr:uid="{8B8DA0D7-D614-4195-9D71-91261C14F23C}"/>
    <cellStyle name="_CIES_TSM(코리아 e플래폼070207)" xfId="1447" xr:uid="{6E58F3EB-6D01-4DEB-A420-8EB9B1042F6C}"/>
    <cellStyle name="_CIES_TSM견적_070209" xfId="1448" xr:uid="{E3BD0CCD-CC5C-4C8E-9480-DF59AA59A4F2}"/>
    <cellStyle name="_Columbus BMC (20051109)" xfId="1449" xr:uid="{539651C7-6F89-4082-B97E-8B9F5DBF0936}"/>
    <cellStyle name="_Comm-Ent Quota and Booking Rules" xfId="64" xr:uid="{6BDDD325-AF7C-4305-8320-B04B03F90F9F}"/>
    <cellStyle name="_Comm-Ent Quota and Booking Rules 2" xfId="1876" xr:uid="{2679D8B1-4AF0-44F8-8185-6D07146D4475}"/>
    <cellStyle name="_CPQRC_Storage_Dec05" xfId="1450" xr:uid="{73764B27-F977-4A8F-BC46-533A4DC7264F}"/>
    <cellStyle name="_DJ06112801_국제컴퓨터서비스(김일석과장님_Office)" xfId="1451" xr:uid="{60B92DFD-BB36-487D-ACE8-A0D735B8C26F}"/>
    <cellStyle name="_DJ06121502_국제컴퓨터(김일석과장님_Win Svr)(1)" xfId="1452" xr:uid="{1E97A84A-E45B-449A-87C6-561D17E7B262}"/>
    <cellStyle name="_DJ07010802_국제컴퓨터서비스_박준남과장님_바이러스체이서갱신외(1)" xfId="1453" xr:uid="{9FF956AE-1FDF-46D4-88E9-5752B8B69396}"/>
    <cellStyle name="_DUNET (LGIBM SPEC)" xfId="1454" xr:uid="{25E13A53-1C76-4BBA-89F9-EE4F7271792B}"/>
    <cellStyle name="_Eclipse approval" xfId="1455" xr:uid="{294F0EFA-13FD-40C6-8805-B3387F0FF243}"/>
    <cellStyle name="_eclipse-1110" xfId="1456" xr:uid="{7CEE1409-8741-4E24-AEB8-D0F347C4BF7E}"/>
    <cellStyle name="_FCST TTL" xfId="1457" xr:uid="{7F426427-211E-4626-9780-A348F380CEB2}"/>
    <cellStyle name="_FIN 재고관리" xfId="65" xr:uid="{ABF753F6-9306-4CD6-B756-F6085451AF82}"/>
    <cellStyle name="_FIN 재고관리 2" xfId="1877" xr:uid="{18D21FFE-DE08-4651-9125-23EA88B85C62}"/>
    <cellStyle name="_FY05 1X Weekly Stock Report(as of Aug 28)" xfId="1458" xr:uid="{5395C5C0-190E-44BE-880B-812D12DF4CF2}"/>
    <cellStyle name="_FY05 1X Weekly Stock Report(as of Dec.12)" xfId="1459" xr:uid="{FB8E0191-8242-4CB2-B899-C9ECBED9E767}"/>
    <cellStyle name="_FY05 1X Weekly Stock Report(as of Dec.19)" xfId="1460" xr:uid="{7865D8FA-1073-48B3-97BE-FB14A6339BD6}"/>
    <cellStyle name="_FY05 1X Weekly Stock Report(as of Feb 13)" xfId="1461" xr:uid="{B298D74C-CC92-405E-850C-B638BA952F6D}"/>
    <cellStyle name="_FY05 1X Weekly Stock Report(as of Nov.30)" xfId="1462" xr:uid="{C1AD0A81-52D3-46A6-82EE-C6C55A7164B0}"/>
    <cellStyle name="_FY05 1X Weekly Stock Report(as of Sep 18)" xfId="1463" xr:uid="{48E426AB-F251-4BE4-B82C-A62C6A117EFB}"/>
    <cellStyle name="_fy051H quota_v3" xfId="1464" xr:uid="{C78D6E39-F760-41A0-BCF0-18BF93D3B241}"/>
    <cellStyle name="_FY05'2H ISS WOS(0812)1" xfId="1465" xr:uid="{6A578173-E333-474B-8BE4-927627362EB0}"/>
    <cellStyle name="_FY05'2H ISS WOS(0821)1 (2)" xfId="1466" xr:uid="{09270957-31A6-4538-93B1-21270318E46D}"/>
    <cellStyle name="_FY06 1X Weekly Stock Report(as of Dec 18)" xfId="1467" xr:uid="{6B18EF46-B376-46EA-8429-503881394098}"/>
    <cellStyle name="_FY06 1X Weekly Stock Status Report(as of Apr 30) (2)" xfId="1468" xr:uid="{59A31206-D0A3-438C-838D-8BD96A5D3B2C}"/>
    <cellStyle name="_FY06 1X Weekly Stock Status Report(as of Feb.5)1" xfId="1469" xr:uid="{8C7EF394-B8B5-4FFD-9463-5DE7DD77FCF5}"/>
    <cellStyle name="_FY06 1X Weekly Stock Status Report(as of Jan 29)" xfId="1470" xr:uid="{4A5B8590-8B3B-4FA3-B6D0-ACFEE1C91988}"/>
    <cellStyle name="_GM fcst OCT06" xfId="1471" xr:uid="{01535A41-A2E2-4085-AC61-3B4369C427D2}"/>
    <cellStyle name="_H_타업체 견적서 레노버코리아 050817" xfId="1472" xr:uid="{2A2D37CD-FD96-4A63-9FD7-62E1A6635440}"/>
    <cellStyle name="_Initial Project Report PRT" xfId="1473" xr:uid="{F1D05440-DC38-44F1-8122-F413B6956231}"/>
    <cellStyle name="_inventory-Dec5_04" xfId="1474" xr:uid="{BC21CAE3-909D-4A73-A599-CDAD9D493387}"/>
    <cellStyle name="_IPR" xfId="1475" xr:uid="{14833475-79BF-4312-8ADA-92C856ABFB1D}"/>
    <cellStyle name="_IPR NWE SHEET 200411" xfId="1476" xr:uid="{E3FEC83B-642D-4FC1-91B2-7999A2E1314F}"/>
    <cellStyle name="_LEADs Model summary on 20051004 " xfId="1477" xr:uid="{ED61142B-8FA2-41A7-8723-3D648D99AEBB}"/>
    <cellStyle name="_Log Book 0930" xfId="1478" xr:uid="{9EF582AC-6C4D-4FC5-82FF-458B5AFC669D}"/>
    <cellStyle name="_Log Book_050805" xfId="1479" xr:uid="{061AF8B9-FC4D-4E59-B010-382C23D49CF9}"/>
    <cellStyle name="_Log Book_050822" xfId="1480" xr:uid="{A49CE236-0B0D-495C-978B-569BADD8A4D7}"/>
    <cellStyle name="_Log Book_050905" xfId="1481" xr:uid="{E242CEF5-856F-4418-B57F-BC34524D8E48}"/>
    <cellStyle name="_Log Book_050906" xfId="1482" xr:uid="{AEE5E54C-E2D9-4676-8246-87496DF56022}"/>
    <cellStyle name="_Log Book_050930" xfId="1483" xr:uid="{1621059B-7E26-4864-98CD-B1A3D9F668C2}"/>
    <cellStyle name="_Log Book_051107" xfId="1484" xr:uid="{4192BC8C-DA75-4DCE-9257-974A8F3620BE}"/>
    <cellStyle name="_Log Book_060301" xfId="1485" xr:uid="{57C9BAE0-2240-4EB2-BF8B-AE6A1D35AC24}"/>
    <cellStyle name="_Log Book_060601" xfId="1486" xr:uid="{2A1FA623-6B3F-4674-B870-C99FB46F2154}"/>
    <cellStyle name="_LTO Tape 수의계약 2004년11월18일(타업체견적포함)" xfId="1487" xr:uid="{C89923E2-36B6-4341-9D06-5A4BD5269BF1}"/>
    <cellStyle name="_manual Adjustments" xfId="66" xr:uid="{CAB61D4B-82AD-4269-A115-26B23B20233E}"/>
    <cellStyle name="_manual Adjustments 2" xfId="1878" xr:uid="{5B63C48C-14EA-4449-8DC8-897D093F3EBF}"/>
    <cellStyle name="_manual Adjustments_Book1" xfId="67" xr:uid="{AA792E89-4375-449D-9810-7E608535F530}"/>
    <cellStyle name="_manual Adjustments_Book1 2" xfId="1879" xr:uid="{BB60017D-C641-4653-8F63-CA00D320758E}"/>
    <cellStyle name="_manual Adjustments_Book3" xfId="68" xr:uid="{EE21E707-793B-433D-8637-81C9B27AFC90}"/>
    <cellStyle name="_manual Adjustments_Book3 2" xfId="1880" xr:uid="{85A9CB3A-CACD-4362-A773-BEA5BAE6D436}"/>
    <cellStyle name="_manual Adjustments_Korea give Q106 DPFR Computation template(2)" xfId="69" xr:uid="{99334AE2-D65A-4CA5-885B-32E76BFBBA4E}"/>
    <cellStyle name="_manual Adjustments_Korea give Q106 DPFR Computation template(2) 2" xfId="1881" xr:uid="{76202C2B-FD22-4485-AAB2-EC62CEF3DF86}"/>
    <cellStyle name="_manual Adjustments_Korea give Q405 DPFR Template " xfId="70" xr:uid="{3C70CA0D-D19F-41F4-9B4D-C4AB9977C2B5}"/>
    <cellStyle name="_manual Adjustments_Korea give Q405 DPFR Template  2" xfId="1882" xr:uid="{DF6E3E96-D566-4893-AC5A-B75B252DF785}"/>
    <cellStyle name="_manual Adjustments_Korea give Q405 DPFR Template(use BO data) " xfId="71" xr:uid="{D2D57E42-C92B-486F-9E64-D8C9CD968D48}"/>
    <cellStyle name="_manual Adjustments_Korea give Q405 DPFR Template(use BO data)  2" xfId="1883" xr:uid="{6E60250D-7686-4FDE-9DF3-4E5A9FDFE1A3}"/>
    <cellStyle name="_manual Adjustments_KR Q106 DPFR Computation (13feb06)" xfId="72" xr:uid="{0A838282-94BC-4EF9-B043-52ED1FB93E32}"/>
    <cellStyle name="_manual Adjustments_KR Q106 DPFR Computation (13feb06) 2" xfId="1884" xr:uid="{87A70A75-CDE8-4A21-99A5-9601F8D90EE6}"/>
    <cellStyle name="_manual Adjustments_Q106 DPFR Template_Korea(5)(实验版本)" xfId="73" xr:uid="{825DD1F4-3545-43BE-9312-3EF52F8B55DF}"/>
    <cellStyle name="_manual Adjustments_Q106 DPFR Template_Korea(5)(实验版本) 2" xfId="1885" xr:uid="{861D2FF0-989B-47A7-B65A-19830FD6B001}"/>
    <cellStyle name="_manual Adjustments_Q405 DPFR Computation(Final last)  " xfId="74" xr:uid="{9933DF52-B6AF-4374-8792-A2BE5B5A328C}"/>
    <cellStyle name="_manual Adjustments_Q405 DPFR Computation(Final last)   2" xfId="1886" xr:uid="{E7B4B6BA-74D9-4705-AF7B-2544BFEE3D9B}"/>
    <cellStyle name="_manual Adjustments_Q405 DPFR Computation_v4 (3) final last " xfId="75" xr:uid="{2853D3C7-C851-4859-99C2-E699DCCC114E}"/>
    <cellStyle name="_manual Adjustments_Q405 DPFR Computation_v4 (3) final last  2" xfId="1887" xr:uid="{0B49E2CC-2FAC-4A3E-B548-B69BD7995C26}"/>
    <cellStyle name="_manual Adjustments_Q405 DPFR Template_Korno bulk orderingea (2)" xfId="76" xr:uid="{B95C1C8C-E71E-4FAC-A5E4-B10E08AE1A06}"/>
    <cellStyle name="_manual Adjustments_Q405 DPFR Template_Korno bulk orderingea (2) 2" xfId="1888" xr:uid="{B76F4BD1-42D4-4E7D-931D-C0362EF5C59D}"/>
    <cellStyle name="_manual Adjustments_Q405 DPFR Template_Korno bulk orderingea (3)" xfId="77" xr:uid="{0ECBCCB1-5C5F-4BDF-842C-6A330015D09D}"/>
    <cellStyle name="_manual Adjustments_Q405 DPFR Template_Korno bulk orderingea (3) 2" xfId="1889" xr:uid="{AE87A02E-AB14-405D-824C-EBDCE6EC4B7E}"/>
    <cellStyle name="_manual Adjustments_Q405 DPFR Template_Korno bulk orderingea (4)" xfId="78" xr:uid="{FD96A6C4-01EF-4A84-8393-8F354A8453EC}"/>
    <cellStyle name="_manual Adjustments_Q405 DPFR Template_Korno bulk orderingea (4) 2" xfId="1890" xr:uid="{5B67E61D-4A97-4EF3-9028-86EA4063A461}"/>
    <cellStyle name="_manual Adjustments_복KR Q106 DPFR Computation(13feb06AP)_DL_HJ" xfId="79" xr:uid="{EA8FC82B-2D03-47E0-9BAC-5B3159142F0B}"/>
    <cellStyle name="_manual Adjustments_복KR Q106 DPFR Computation(13feb06AP)_DL_HJ 2" xfId="1891" xr:uid="{B677A99A-F9B2-4F24-99E3-123C15718A8A}"/>
    <cellStyle name="_new_FY05 1X Weekly Stock Report(as of July 31)" xfId="1488" xr:uid="{C17ABE7E-3A8B-49F9-9BB3-F19ABA500572}"/>
    <cellStyle name="_NFQ020419_1(유경화)" xfId="80" xr:uid="{463AB4B9-3AFA-4966-A492-81A8D4BD6E78}"/>
    <cellStyle name="_NFQ020419_1(유경화) 2" xfId="1892" xr:uid="{AC9AFB54-D234-4D3D-882B-545CFD490EE2}"/>
    <cellStyle name="_POR Model Sheet (Korea 만) 061222" xfId="1489" xr:uid="{7A16AA59-60F0-4A50-8788-44B83A9E8B91}"/>
    <cellStyle name="_Price for ICOS-020419" xfId="1490" xr:uid="{65FCBBEB-9815-412F-B6F7-1B009DD43D1C}"/>
    <cellStyle name="_Pricing for KSP (1223)" xfId="1491" xr:uid="{331366D5-995D-44CF-8102-CE78B5D710E9}"/>
    <cellStyle name="_ProCurve Quick Reference Card - December 2005" xfId="1492" xr:uid="{A5C2C530-6752-4023-BEAA-21D0E12EAC88}"/>
    <cellStyle name="_ProCurve Quick Reference Card - January 2006" xfId="1493" xr:uid="{534A35DD-A56B-419E-A929-27FCE27CD3AB}"/>
    <cellStyle name="_ProCurve Quick Reference Card - July 1 2005" xfId="1494" xr:uid="{A19A9665-1D64-4296-9BE5-014FFE5C7B14}"/>
    <cellStyle name="_ProCurve Quick Reference Card - July 1 2005_Book1" xfId="1495" xr:uid="{55A061B5-0B2E-4463-902C-A8E6B0F8B22F}"/>
    <cellStyle name="_ProCurve Quick Reference Card - July 1 2005_HP_Care_Pack_Aug05" xfId="1496" xr:uid="{53A22DF7-1B27-44E3-9509-3B48AE2AF51C}"/>
    <cellStyle name="_ProCurve Quick Reference Card - July 1 2005_HP_Care_Pack_July05" xfId="1497" xr:uid="{8F7480BE-3A75-4E32-AB42-7C311FBB36EB}"/>
    <cellStyle name="_ProCurve Quick Reference Card - October 1  2005" xfId="1498" xr:uid="{645E93A3-147B-40B6-8EB2-2C74F8D45AB0}"/>
    <cellStyle name="_ProCurve Quick Reference Card - October 2005 v2" xfId="1499" xr:uid="{2D6C02CC-626A-49CE-9BC8-12265BA00E70}"/>
    <cellStyle name="_PSG inventory_14.Dec" xfId="1500" xr:uid="{E948E6AA-6CA1-4CCA-9367-28E2F920BBE5}"/>
    <cellStyle name="_PSG inventory_23.Dec" xfId="1501" xr:uid="{E25B1538-77EB-4F3B-B221-EEB70751BEA8}"/>
    <cellStyle name="_PSG inventory_28.Dec" xfId="1502" xr:uid="{65619FA7-F616-4F5D-8050-68EBF5E96F25}"/>
    <cellStyle name="_psg stock" xfId="1503" xr:uid="{A51549AF-3680-46FE-8242-ED5A1B9F29BA}"/>
    <cellStyle name="_Quota" xfId="81" xr:uid="{93DC8F3E-5F57-49D2-891D-6EEF6F5C8F54}"/>
    <cellStyle name="_Quota 2" xfId="1893" xr:uid="{01684F62-5EA3-4760-A72F-EC2517B0BBB6}"/>
    <cellStyle name="_Quota_1" xfId="82" xr:uid="{20DD6BF5-E4A7-4D63-A7E8-35365CCE7C74}"/>
    <cellStyle name="_Quota_1 2" xfId="1894" xr:uid="{114B92AF-7A33-4767-A2C5-1B674FEBE440}"/>
    <cellStyle name="_QUOTA_COMM_ENT_1H05_FINAL (2)" xfId="83" xr:uid="{E5C251FD-5AA8-4B88-98EF-4A821C17E58E}"/>
    <cellStyle name="_QUOTA_COMM_ENT_1H05_FINAL (2) 2" xfId="1895" xr:uid="{CC3B625E-3620-4A74-8494-40F3EA3540C0}"/>
    <cellStyle name="_R8_CPQRC Storage 7-29-05" xfId="1504" xr:uid="{1DF50625-A199-414C-86B8-A85243F8BA9E}"/>
    <cellStyle name="_Raw" xfId="84" xr:uid="{B4A12873-0F85-4E91-880E-C3A78C2C8E30}"/>
    <cellStyle name="_Raw 2" xfId="1896" xr:uid="{820E6F9E-65D2-41C7-8C29-0D7528CC8A2D}"/>
    <cellStyle name="_RAW Data" xfId="85" xr:uid="{D4AE6D20-D4F5-4A3E-B4DB-4EE052F5A148}"/>
    <cellStyle name="_RAW Data 2" xfId="1897" xr:uid="{CFD91B92-D504-413E-82EF-747879D1087A}"/>
    <cellStyle name="_Revenue_goal" xfId="86" xr:uid="{FC0ACED9-FECE-468C-8BD8-2AA5D816FA5E}"/>
    <cellStyle name="_Revenue_goal 2" xfId="1898" xr:uid="{BFBD44FF-1B66-43D1-ADA2-5A360E61F049}"/>
    <cellStyle name="_Revenue_goal_Book1" xfId="87" xr:uid="{F5AA6F0F-030C-46FF-8EDC-68E17EDB2135}"/>
    <cellStyle name="_Revenue_goal_Book1 2" xfId="1899" xr:uid="{645ACF37-C37B-4664-BD72-13C39CA6AFB7}"/>
    <cellStyle name="_Revenue_goal_Book3" xfId="88" xr:uid="{30786CE0-2DE3-47C4-9E87-B5C68DE9F56F}"/>
    <cellStyle name="_Revenue_goal_Book3 2" xfId="1900" xr:uid="{C0DCA306-E803-416C-8623-533290ED2C46}"/>
    <cellStyle name="_Revenue_goal_FY05 1H CS Quota Deployment Exercise" xfId="89" xr:uid="{94DC998B-3EE5-46F6-9CAA-2BC725E21073}"/>
    <cellStyle name="_Revenue_goal_FY05 1H CS Quota Deployment Exercise 2" xfId="1901" xr:uid="{85539889-DAF5-469B-BBDF-3CD25BA55AB7}"/>
    <cellStyle name="_Revenue_goal_Korea give Q106 DPFR Computation template(2)" xfId="90" xr:uid="{27E01042-5C86-4614-9F0A-4EA8446DC305}"/>
    <cellStyle name="_Revenue_goal_Korea give Q106 DPFR Computation template(2) 2" xfId="1902" xr:uid="{CBFE5683-17D4-45D3-A9BA-61A4FBFCA195}"/>
    <cellStyle name="_Revenue_goal_Korea give Q405 DPFR Template " xfId="91" xr:uid="{8E2BF58E-137A-49F3-8030-90A204DBDFFE}"/>
    <cellStyle name="_Revenue_goal_Korea give Q405 DPFR Template  2" xfId="1903" xr:uid="{F266AA2D-F328-4E8B-AF43-C931768A4266}"/>
    <cellStyle name="_Revenue_goal_Korea give Q405 DPFR Template(use BO data) " xfId="92" xr:uid="{40EDD40E-4DEC-4DF5-B06D-8C7816B52F7E}"/>
    <cellStyle name="_Revenue_goal_Korea give Q405 DPFR Template(use BO data)  2" xfId="1904" xr:uid="{10096958-25EC-412C-8643-C2635DED47AD}"/>
    <cellStyle name="_Revenue_goal_KR Q106 DPFR Computation (13feb06)" xfId="93" xr:uid="{E3D48ABC-EB00-466C-8F5F-2C88EAB8436D}"/>
    <cellStyle name="_Revenue_goal_KR Q106 DPFR Computation (13feb06) 2" xfId="1905" xr:uid="{DCAD0F44-1F7F-4F53-A861-E7A91A9F6169}"/>
    <cellStyle name="_Revenue_goal_Q106 DPFR Template_Korea(5)(实验版本)" xfId="94" xr:uid="{FE70A22E-E41B-451D-AC37-6146BE2C4922}"/>
    <cellStyle name="_Revenue_goal_Q106 DPFR Template_Korea(5)(实验版本) 2" xfId="1906" xr:uid="{ED372369-D4F1-4B67-BC43-9ADC82F7C713}"/>
    <cellStyle name="_Revenue_goal_Q405 DPFR Computation(Final last)  " xfId="95" xr:uid="{7F272932-64C0-44E4-848C-8D4CAEC10450}"/>
    <cellStyle name="_Revenue_goal_Q405 DPFR Computation(Final last)   2" xfId="1907" xr:uid="{C319CF2B-114E-41C5-AD52-B4BC93D873E4}"/>
    <cellStyle name="_Revenue_goal_Q405 DPFR Computation_v4 (3) final last " xfId="96" xr:uid="{8D5632C9-B5B5-4ECD-9A39-EEEAB7C75D04}"/>
    <cellStyle name="_Revenue_goal_Q405 DPFR Computation_v4 (3) final last  2" xfId="1908" xr:uid="{4E8CCEE3-AEB3-4633-9B39-F4D6DDF61357}"/>
    <cellStyle name="_Revenue_goal_Q405 DPFR Template_Korno bulk orderingea (2)" xfId="97" xr:uid="{4AE975A0-3F9F-4915-8FB8-327DC7800AD5}"/>
    <cellStyle name="_Revenue_goal_Q405 DPFR Template_Korno bulk orderingea (2) 2" xfId="1909" xr:uid="{4D6F8AE3-BE06-4995-8273-69CCC128DC20}"/>
    <cellStyle name="_Revenue_goal_Q405 DPFR Template_Korno bulk orderingea (3)" xfId="98" xr:uid="{53AC11D1-8F79-4F20-A80E-31C2E281DF9B}"/>
    <cellStyle name="_Revenue_goal_Q405 DPFR Template_Korno bulk orderingea (3) 2" xfId="1910" xr:uid="{F81AFB66-A0F3-4E66-B461-795E82D9114E}"/>
    <cellStyle name="_Revenue_goal_Q405 DPFR Template_Korno bulk orderingea (4)" xfId="99" xr:uid="{FF7FAFE8-8D6F-4A39-9AD1-946FBAC1F7E1}"/>
    <cellStyle name="_Revenue_goal_Q405 DPFR Template_Korno bulk orderingea (4) 2" xfId="1911" xr:uid="{61C714E7-4084-40E4-88E3-04BD264E419D}"/>
    <cellStyle name="_Revenue_goal_Taiwan1" xfId="100" xr:uid="{3B3ACD7F-7306-4CB1-A4DE-E9BD8A1CDC16}"/>
    <cellStyle name="_Revenue_goal_Taiwan1 2" xfId="1912" xr:uid="{A94DCF59-642B-48BC-989B-C41D99BAD8B1}"/>
    <cellStyle name="_Revenue_goal_복KR Q106 DPFR Computation(13feb06AP)_DL_HJ" xfId="101" xr:uid="{C8D77552-BB3C-4AA9-96A3-D6545D886938}"/>
    <cellStyle name="_Revenue_goal_복KR Q106 DPFR Computation(13feb06AP)_DL_HJ 2" xfId="1913" xr:uid="{F7543FDB-2B0E-4C38-892E-B14D8D32A279}"/>
    <cellStyle name="_Roadmap(1010)" xfId="1505" xr:uid="{E1D38993-CCB2-4768-9792-71B511AF8F6F}"/>
    <cellStyle name="_Server" xfId="1506" xr:uid="{9F3E32CA-34AD-4C90-AE17-89A5103A4C7E}"/>
    <cellStyle name="_SGBU Partners List - OSRM" xfId="102" xr:uid="{8AF7F1EB-151F-4021-B7E3-ED413C0BE066}"/>
    <cellStyle name="_SGBU Partners List - OSRM 2" xfId="1914" xr:uid="{0CE97030-16F8-4353-91C0-EE4528FEB81D}"/>
    <cellStyle name="_Sheet6" xfId="1401" xr:uid="{0A0311C0-6CED-40C0-B028-F5DFA0B16759}"/>
    <cellStyle name="_Sheet6 2" xfId="1507" xr:uid="{61B1AFEE-888F-41D6-BB1E-EACE6C451291}"/>
    <cellStyle name="_SK_BizCase(10082002)_1차" xfId="1508" xr:uid="{4806473C-425C-49B5-A440-83E521BE4658}"/>
    <cellStyle name="_SPO 30Oct (2)" xfId="103" xr:uid="{5798A363-CAEA-4310-9318-F7603C52B51E}"/>
    <cellStyle name="_SPO 30Oct (2) 2" xfId="1915" xr:uid="{DABDE621-8201-4520-8AC5-EA00F09740A3}"/>
    <cellStyle name="_SPO Q4" xfId="104" xr:uid="{B8C730C5-32C9-4E50-A6F8-165F47EE9583}"/>
    <cellStyle name="_SPO Q4 2" xfId="1916" xr:uid="{7C9DB61F-171E-4280-BF36-37C3B10FEAE8}"/>
    <cellStyle name="_SPO Q4_Book1" xfId="105" xr:uid="{42C8B22F-97A0-4B80-90A9-B8635400B910}"/>
    <cellStyle name="_SPO Q4_Book1 2" xfId="1917" xr:uid="{53750A84-C416-4A43-80F0-4F63FD52B0AC}"/>
    <cellStyle name="_SPO Q4_Book3" xfId="106" xr:uid="{4CEFAD88-BA14-4AF0-BF92-5EAFF0B0ED83}"/>
    <cellStyle name="_SPO Q4_Book3 2" xfId="1918" xr:uid="{49176912-929D-47A7-B65B-C96581841824}"/>
    <cellStyle name="_SPO Q4_Korea give Q106 DPFR Computation template(2)" xfId="107" xr:uid="{E9B097B6-E7F1-4E5E-B86B-CA46D032857D}"/>
    <cellStyle name="_SPO Q4_Korea give Q106 DPFR Computation template(2) 2" xfId="1919" xr:uid="{4737A8D7-2C7E-4139-9736-893EAE54A4E9}"/>
    <cellStyle name="_SPO Q4_Korea give Q405 DPFR Template " xfId="108" xr:uid="{ADFDAF2C-CAE2-4E35-B16A-09634E811BAC}"/>
    <cellStyle name="_SPO Q4_Korea give Q405 DPFR Template  2" xfId="1920" xr:uid="{C028AC8F-06C8-49AB-BC48-06ED8DAD4774}"/>
    <cellStyle name="_SPO Q4_Korea give Q405 DPFR Template(use BO data) " xfId="109" xr:uid="{04138279-B915-4A4C-9833-DE3AEEE051BB}"/>
    <cellStyle name="_SPO Q4_Korea give Q405 DPFR Template(use BO data)  2" xfId="1921" xr:uid="{49894925-5BA4-4170-8696-A71B713CD584}"/>
    <cellStyle name="_SPO Q4_KR Q106 DPFR Computation (13feb06)" xfId="110" xr:uid="{796E54EB-E1C8-44F8-8BD5-14E819EFF33C}"/>
    <cellStyle name="_SPO Q4_KR Q106 DPFR Computation (13feb06) 2" xfId="1922" xr:uid="{04BE2252-7F62-4A6E-8D41-618548F366DD}"/>
    <cellStyle name="_SPO Q4_Q106 DPFR Template_Korea(5)(实验版本)" xfId="111" xr:uid="{C61639A2-B94C-4DC7-AE79-B39AB7ABF9FA}"/>
    <cellStyle name="_SPO Q4_Q106 DPFR Template_Korea(5)(实验版本) 2" xfId="1923" xr:uid="{A00E53DF-1AF1-4345-91A2-328464D91AC6}"/>
    <cellStyle name="_SPO Q4_Q405 DPFR Computation(Final last)  " xfId="112" xr:uid="{41526D02-617E-4D09-8251-5538680A40D3}"/>
    <cellStyle name="_SPO Q4_Q405 DPFR Computation(Final last)   2" xfId="1924" xr:uid="{59924A43-ECC6-42C4-843F-BA0867B3CA68}"/>
    <cellStyle name="_SPO Q4_Q405 DPFR Computation_v4 (3) final last " xfId="113" xr:uid="{13E352D2-4AA2-4826-BE5E-109C871C98EE}"/>
    <cellStyle name="_SPO Q4_Q405 DPFR Computation_v4 (3) final last  2" xfId="1925" xr:uid="{B9073D2A-0124-4F34-A170-AC2C542770F9}"/>
    <cellStyle name="_SPO Q4_Q405 DPFR Template_Korno bulk orderingea (2)" xfId="114" xr:uid="{323DC373-F938-4316-8570-C609CFFEB085}"/>
    <cellStyle name="_SPO Q4_Q405 DPFR Template_Korno bulk orderingea (2) 2" xfId="1926" xr:uid="{3BBE5C78-36AC-4777-A5A7-A1BB3E93ABB3}"/>
    <cellStyle name="_SPO Q4_Q405 DPFR Template_Korno bulk orderingea (3)" xfId="115" xr:uid="{6CE21F32-26DB-49C2-912F-C37E8A420876}"/>
    <cellStyle name="_SPO Q4_Q405 DPFR Template_Korno bulk orderingea (3) 2" xfId="1927" xr:uid="{AF71049D-437E-4DA4-8D1D-CEB82E8417D6}"/>
    <cellStyle name="_SPO Q4_Q405 DPFR Template_Korno bulk orderingea (4)" xfId="116" xr:uid="{1F5854FF-BF58-4EE4-A803-3786AAE76E69}"/>
    <cellStyle name="_SPO Q4_Q405 DPFR Template_Korno bulk orderingea (4) 2" xfId="1928" xr:uid="{C58F1A8B-392D-4119-9E62-9CCFF8E51DA4}"/>
    <cellStyle name="_SPO Q4_복KR Q106 DPFR Computation(13feb06AP)_DL_HJ" xfId="117" xr:uid="{5EBB1223-E928-4B09-9EAE-5F4409635017}"/>
    <cellStyle name="_SPO Q4_복KR Q106 DPFR Computation(13feb06AP)_DL_HJ 2" xfId="1929" xr:uid="{095A1887-AED0-4CA1-9FFD-DCB148FE4D7C}"/>
    <cellStyle name="_SPO REPORTING FORMAT 2H05 (2)" xfId="118" xr:uid="{1329FE8F-BD29-4492-BA88-BF2C24EB5AA6}"/>
    <cellStyle name="_SPO REPORTING FORMAT 2H05 (2) 2" xfId="1930" xr:uid="{252814B5-2B20-4446-98D8-36F0F950B96A}"/>
    <cellStyle name="_SPO review FY05-1H-1220 (3)" xfId="119" xr:uid="{FE0EC46C-ECFC-4C76-998C-C6639CDB16B4}"/>
    <cellStyle name="_SPO review FY05-1H-1220 (3) 2" xfId="1931" xr:uid="{EBA9937F-1795-46DA-A6AD-7A28ECAF5FF1}"/>
    <cellStyle name="_spo_total_daily20050713 2" xfId="120" xr:uid="{79A9F4C4-2B5A-4DB2-AE30-252F46CD7FB7}"/>
    <cellStyle name="_spo_total_daily20050713 2 2" xfId="1932" xr:uid="{6E770256-AF7F-4CEE-8B1A-EEDB11E1F379}"/>
    <cellStyle name="_SW Brand_20090130" xfId="1402" xr:uid="{DEDB76E1-06E5-49D1-AF0D-9796EC3AEDF3}"/>
    <cellStyle name="_SW Brand_20090130 2" xfId="1509" xr:uid="{EEA1FBCC-7054-48C6-814C-0A51EF1BECF5}"/>
    <cellStyle name="_SW Brand_20090130 2 2" xfId="1782" xr:uid="{2904AA79-9C3F-4D85-A078-7A9FCB2D1E56}"/>
    <cellStyle name="_SW Brand_20090130 3" xfId="1781" xr:uid="{275D310D-7BDC-4F5C-B3FB-C6AAE4F7F654}"/>
    <cellStyle name="_System x Warranty Information 2008-12-19 " xfId="1403" xr:uid="{4ACBB2ED-2D57-41DF-A398-911CA5E1B11F}"/>
    <cellStyle name="_TEL_LIST2009.01,05" xfId="1510" xr:uid="{9C94B8BB-191E-41B5-8BB5-CCE44E7053C5}"/>
    <cellStyle name="_ThinkCentre Models 09-07-2005" xfId="1511" xr:uid="{650F4A41-CDCE-49EF-99FD-5F2979617D3A}"/>
    <cellStyle name="_Tower Automotive_TC&amp;TV_1024" xfId="1512" xr:uid="{6F897F5E-2274-484F-9B32-34A405D6D7E7}"/>
    <cellStyle name="_Weekly GTS Util 0622" xfId="1404" xr:uid="{C4233638-38B9-4229-93AE-9747B4D5352B}"/>
    <cellStyle name="_X_List정리(2009.05.07)_master" xfId="1513" xr:uid="{A6D18080-CDE5-49AA-AE82-1557FE84FF9A}"/>
    <cellStyle name="_YR2008 Labor Rate" xfId="1405" xr:uid="{48546687-44CF-4C35-99B4-D7722834CB0D}"/>
    <cellStyle name="_YR2009 Labor Rate_SY" xfId="1406" xr:uid="{AFC40877-38D2-4655-AEF4-E9BB9911A290}"/>
    <cellStyle name="_YR2009 Labor Rate_SY_v3" xfId="1407" xr:uid="{F1794E84-A188-431B-8C5E-76B7BE78BF75}"/>
    <cellStyle name="_YR2009 Labor Rate_SY_v5" xfId="1408" xr:uid="{C81BEAC2-F48B-4CEF-BA2B-B8EA4CEB590F}"/>
    <cellStyle name="_z_ibm_sam file_icos_2007 080104_1" xfId="1514" xr:uid="{4EA6F37D-DCAE-4FBB-86A6-43650EE6257D}"/>
    <cellStyle name="_견적_국제컴퓨터 서비스 한국타이어 _(061122)(1)" xfId="1515" xr:uid="{FE54AE25-7410-4ACE-91EB-4DC521A6D079}"/>
    <cellStyle name="_견적서" xfId="1516" xr:uid="{03A88DF5-0E32-46EC-95A5-8B47376C0370}"/>
    <cellStyle name="_견적서(발송용-rp7410-원본)-20030318" xfId="1517" xr:uid="{C1EC2482-29EE-44C7-9E4E-04236E156F2B}"/>
    <cellStyle name="_경기고속 메모리견적서_BCM(1)" xfId="1518" xr:uid="{7620A5D8-EB59-4640-A2AB-64FB33214AD1}"/>
    <cellStyle name="_고객사 제출 견전석 Sample(작업용)" xfId="121" xr:uid="{D317B192-A7DE-43D3-8892-F908E9DD1879}"/>
    <cellStyle name="_고객사 제출 견전석 Sample(작업용) 2" xfId="1933" xr:uid="{0BC35410-D38C-457E-9E9E-5E45E08750EE}"/>
    <cellStyle name="_국제 구매주문서빈양식" xfId="1519" xr:uid="{9B42629D-BB16-4939-B880-AD35C314C816}"/>
    <cellStyle name="_국제(다임러) X60 070510(1)" xfId="1520" xr:uid="{97E370BC-57A0-4037-A986-3FA8B0BE579E}"/>
    <cellStyle name="_국제_디아지오 AS400 MES 서비스견적_20060727(1)" xfId="1521" xr:uid="{7C1368B3-DF9A-4ED0-A264-DFAEE986D5B5}"/>
    <cellStyle name="_네트웍유지보수-마산대학20050425" xfId="1522" xr:uid="{59A24406-44BC-4EA9-B532-DFF0C8B8C379}"/>
    <cellStyle name="_농심(서인철팀장님)-ML570외_X3.0-20040527" xfId="1523" xr:uid="{7A080930-0860-4620-A8A7-5939FF445DFB}"/>
    <cellStyle name="_다우데이타 WIN SVR DSP 061215" xfId="1524" xr:uid="{1D5782B1-FEFC-4E3B-8A67-082C6A09725F}"/>
    <cellStyle name="_대갑견적" xfId="1525" xr:uid="{BCF41B68-70B9-459C-8FCB-4EA17B32FDE1}"/>
    <cellStyle name="_대갑견적1" xfId="1526" xr:uid="{7DDEE833-F6F0-4970-AA3C-685A8C02DF30}"/>
    <cellStyle name="_대구산업정보대방송설비견적(0409)" xfId="1527" xr:uid="{A005AD48-79C6-4C38-8603-052EAA109061}"/>
    <cellStyle name="_대우정밀 A50 49대 050530 레노버발주서" xfId="1528" xr:uid="{A7ECFA20-4DEB-4AB6-B6BC-F090EC24964F}"/>
    <cellStyle name="_대우정밀(5-23 최종가)" xfId="1529" xr:uid="{C5BAF8C5-61DE-48AF-BE04-798E66DAD7C2}"/>
    <cellStyle name="_동강병원" xfId="1530" xr:uid="{790C5709-6E8D-4B69-B13D-4CCDD2D4F534}"/>
    <cellStyle name="_마산대학ES45외(20050421)" xfId="1531" xr:uid="{79D90BF0-EA27-4945-A7C3-F0283E4454A6}"/>
    <cellStyle name="_민맥정보_데이콤_정리용_060330_조완(내부용)" xfId="122" xr:uid="{F75E4099-B85E-4FF3-90E9-F0DC7E7B0195}"/>
    <cellStyle name="_민맥정보_데이콤_정리용_060330_조완(내부용) 2" xfId="1934" xr:uid="{69D94E7A-1695-4E95-A88A-865545B1E25F}"/>
    <cellStyle name="_민맥정보_데이콤-웹하드_060612_조완 (2)" xfId="123" xr:uid="{61AF5F1A-D9C3-440A-9EEC-0D088B2293B7}"/>
    <cellStyle name="_민맥정보_데이콤-웹하드_060612_조완 (2) 2" xfId="1935" xr:uid="{E276E0B4-CCB8-4247-9896-8D303A43DF21}"/>
    <cellStyle name="_발주서-공백" xfId="1532" xr:uid="{57815D38-09CF-43F3-8216-4F823468DA0F}"/>
    <cellStyle name="_보고_09506_동의서접수고객_Master_followup_wmk" xfId="1533" xr:uid="{4A57D621-00E4-453B-87C8-4FCAE12A5BEA}"/>
    <cellStyle name="_보고정보-비교견적서" xfId="1534" xr:uid="{99BE67C4-5CF9-4D92-BB53-370C26304414}"/>
    <cellStyle name="_부경대" xfId="1535" xr:uid="{9C58D1B8-5B0A-4BE6-8DA6-0FA1AD05B0EA}"/>
    <cellStyle name="_서울시설관리공단_소프트웨어_견적_060213" xfId="1536" xr:uid="{257FF4CC-3352-4419-BB83-BF5D4261DB87}"/>
    <cellStyle name="_안건IT" xfId="1537" xr:uid="{7FEC6B97-5C08-4C0C-A271-151A33CAB61A}"/>
    <cellStyle name="_업무 일정표-10월" xfId="124" xr:uid="{468C2C39-9267-493E-8201-37A04B3DD40F}"/>
    <cellStyle name="_업무 일정표-10월 2" xfId="1936" xr:uid="{E336E657-94FB-4967-91F1-C56602FF5B41}"/>
    <cellStyle name="_외부 발주서" xfId="1538" xr:uid="{C56A41F5-1271-4015-8669-780F9A98C7F7}"/>
    <cellStyle name="_유니웰_TSM견적_7207c" xfId="1539" xr:uid="{B10E8C38-0B8E-4C33-9EBB-6143E36B46A2}"/>
    <cellStyle name="_유니웰_TSM견적_7207d" xfId="1540" xr:uid="{109F3BAB-D923-4FF3-8F00-EFC101D1E166}"/>
    <cellStyle name="_이익초안0603(작업용)" xfId="125" xr:uid="{24FAFBE3-EB40-4C13-9CC9-2725C3DCF2C7}"/>
    <cellStyle name="_이익초안0603(작업용) 2" xfId="1937" xr:uid="{90886FF7-DBBB-491F-9F35-D21A5A7991F9}"/>
    <cellStyle name="_인포허브" xfId="1541" xr:uid="{0D264722-F5F6-450C-B851-F78B8A4E50D4}"/>
    <cellStyle name="_코리아링크" xfId="1542" xr:uid="{2D0E028B-71E6-4A69-82FB-D71FF4F392D1}"/>
    <cellStyle name="_코오롱" xfId="1543" xr:uid="{8F205C4E-2A2E-4842-8458-2C138D23B8B0}"/>
    <cellStyle name="_클러스터_한국지질자원연구원_050907" xfId="1544" xr:uid="{89FC4374-0C05-448D-80FB-5689356B98E5}"/>
    <cellStyle name="_클레임 요청한딜 1018" xfId="1545" xr:uid="{AFE75791-20B8-4F75-B4F5-B2A7B49682F6}"/>
    <cellStyle name="_타사 견적서 레노버코리아 060407" xfId="1546" xr:uid="{708B68FA-EEF4-4B4D-A651-8FAD5AF623E8}"/>
    <cellStyle name="_포스택_DL580G3외 (02.14)_syspaq" xfId="1547" xr:uid="{CD48B237-B21D-4D8F-8541-B13EFED0AE8C}"/>
    <cellStyle name="¤@?e_TEST-1 " xfId="1548" xr:uid="{CCA3EBA2-655F-485E-944D-82C096FF33C7}"/>
    <cellStyle name="=C:\WINNT\SYSTEM32\COMMAND.COM" xfId="126" xr:uid="{3B38FCA9-BAB6-4292-8456-D340EF6428BB}"/>
    <cellStyle name="=C:\WINNT\SYSTEM32\COMMAND.COM 2" xfId="1549" xr:uid="{560EE877-3285-449B-B6C1-52CCF477A6B7}"/>
    <cellStyle name="0 decimals" xfId="127" xr:uid="{508FFD2D-A653-4839-B115-6B30B95BFF77}"/>
    <cellStyle name="0 decimals 2" xfId="1938" xr:uid="{FCC2E42C-2844-417C-ACA6-3FA4ADB5EB99}"/>
    <cellStyle name="0,0_x000d__x000a_NA_x000d__x000a_" xfId="128" xr:uid="{02639220-403B-47A8-850C-58FB55BFD687}"/>
    <cellStyle name="0,0_x000d__x000a_NA_x000d__x000a_ 2" xfId="1939" xr:uid="{4024F3A6-FEA8-45E1-982C-E01E984F171D}"/>
    <cellStyle name="0,0_x000d__x000a_NA_x000d__x000a_ 3" xfId="1550" xr:uid="{9BC60C23-E858-4B97-B5D9-DE2F8BC29787}"/>
    <cellStyle name="1" xfId="1551" xr:uid="{F1204B19-DA31-49E0-969B-7152408D4943}"/>
    <cellStyle name="1월" xfId="1552" xr:uid="{9ABCC719-7FFC-4FF7-B3F5-9430B99F5A1E}"/>
    <cellStyle name="2 decimals" xfId="129" xr:uid="{7A54199B-E451-439F-B8A7-ADFF393C0639}"/>
    <cellStyle name="2 decimals 2" xfId="1940" xr:uid="{1B8E1E42-EDBC-4A25-B376-4397144C1AA3}"/>
    <cellStyle name="20% - 강조색1" xfId="4" builtinId="30"/>
    <cellStyle name="20% - 강조색1 10" xfId="130" xr:uid="{E1976D03-72BD-4DE6-84E5-9FFFF7C0719F}"/>
    <cellStyle name="20% - 강조색1 10 2" xfId="1941" xr:uid="{0B39648B-4E4D-4D07-B610-2657B0F2F675}"/>
    <cellStyle name="20% - 강조색1 11" xfId="131" xr:uid="{6E9D771B-1AF2-430D-9B69-719613661730}"/>
    <cellStyle name="20% - 강조색1 11 2" xfId="1942" xr:uid="{B4F66203-1999-4D64-9347-4E1D527BC434}"/>
    <cellStyle name="20% - 강조색1 12" xfId="132" xr:uid="{85E4D4C7-35B2-4226-8DCB-8D6833C6F03D}"/>
    <cellStyle name="20% - 강조색1 12 2" xfId="1943" xr:uid="{55872171-266D-4145-B06E-41703C7FD78C}"/>
    <cellStyle name="20% - 강조색1 13" xfId="133" xr:uid="{8DF78C3B-B5D4-43F8-B4DD-1B3914A67BF7}"/>
    <cellStyle name="20% - 강조색1 13 2" xfId="1944" xr:uid="{9B78397F-2085-4735-9DFB-E5BA2A09BAD1}"/>
    <cellStyle name="20% - 강조색1 14" xfId="134" xr:uid="{30343045-15A2-4C5A-B846-277905CD3CE2}"/>
    <cellStyle name="20% - 강조색1 14 2" xfId="1945" xr:uid="{CA46DFE7-CE58-4BD6-AD39-5FA5D51D6AB9}"/>
    <cellStyle name="20% - 강조색1 15" xfId="135" xr:uid="{482060F9-FAFA-4C7D-9370-484706AC6B0F}"/>
    <cellStyle name="20% - 강조색1 15 2" xfId="1946" xr:uid="{B10D9885-983A-45DE-8BBE-C68FA0562C3C}"/>
    <cellStyle name="20% - 강조색1 16" xfId="136" xr:uid="{3345CD6B-B570-4DDC-83AD-2F0A2F64E5F3}"/>
    <cellStyle name="20% - 강조색1 16 2" xfId="1947" xr:uid="{16D2FD0B-74C1-47E2-B776-D2E6C1B26BB5}"/>
    <cellStyle name="20% - 강조색1 17" xfId="137" xr:uid="{1811EE0D-E605-4523-BB3C-3926DB2D6986}"/>
    <cellStyle name="20% - 강조색1 17 2" xfId="1948" xr:uid="{CD07BD9C-029C-478B-A56D-04A4CFBD937D}"/>
    <cellStyle name="20% - 강조색1 18" xfId="138" xr:uid="{07F0C243-803A-4F55-BBD1-1ED918AD49D8}"/>
    <cellStyle name="20% - 강조색1 18 2" xfId="1949" xr:uid="{F6A343A1-3B33-4BC8-AB0F-B8D55ACB31CB}"/>
    <cellStyle name="20% - 강조색1 19" xfId="139" xr:uid="{F50DE865-CE12-45D2-A2B4-B753BE7A5C56}"/>
    <cellStyle name="20% - 강조색1 19 2" xfId="1950" xr:uid="{0F32BA8E-5344-4405-95BC-EA7E7666C027}"/>
    <cellStyle name="20% - 강조색1 2" xfId="8" xr:uid="{00000000-0005-0000-0000-000001000000}"/>
    <cellStyle name="20% - 강조색1 2 2" xfId="140" xr:uid="{FD27D41C-43C7-4168-AEA0-36347B6750BF}"/>
    <cellStyle name="20% - 강조색1 2 2 2" xfId="1951" xr:uid="{01AC5DBA-88DE-42EF-9A71-3F3757AF750C}"/>
    <cellStyle name="20% - 강조색1 2 3" xfId="1553" xr:uid="{DD517C6B-F8E9-40DB-AFF7-DA7D4F6C91EC}"/>
    <cellStyle name="20% - 강조색1 20" xfId="141" xr:uid="{7AED80D7-5288-4457-92FA-BE03C35956CE}"/>
    <cellStyle name="20% - 강조색1 20 2" xfId="1952" xr:uid="{AB0DA7E2-A791-46E1-94F2-9504949095B8}"/>
    <cellStyle name="20% - 강조색1 21" xfId="142" xr:uid="{17D20B93-3B7D-4D4E-8D2C-564E7AC00CCB}"/>
    <cellStyle name="20% - 강조색1 21 2" xfId="1953" xr:uid="{76D64E06-8E18-4007-94D1-839B29C104ED}"/>
    <cellStyle name="20% - 강조색1 22" xfId="143" xr:uid="{BDC4E084-99B0-4F76-BB9D-10DFA2282644}"/>
    <cellStyle name="20% - 강조색1 22 2" xfId="1954" xr:uid="{0EADD5D4-D7CF-4114-97F8-0BAF9363A89D}"/>
    <cellStyle name="20% - 강조색1 23" xfId="144" xr:uid="{ADA286AA-163F-43B0-B150-F4D5B29F0FED}"/>
    <cellStyle name="20% - 강조색1 23 2" xfId="1955" xr:uid="{FA60FF94-0F01-46B1-8423-6CB6AAB5CD30}"/>
    <cellStyle name="20% - 강조색1 24" xfId="145" xr:uid="{745E30DB-4665-44DF-B6DF-073962627C27}"/>
    <cellStyle name="20% - 강조색1 24 2" xfId="1956" xr:uid="{0BE27208-84A7-46F3-8726-8509046E5D77}"/>
    <cellStyle name="20% - 강조색1 25" xfId="146" xr:uid="{EE4D2571-19F0-40E9-8EC0-893A1C5C3494}"/>
    <cellStyle name="20% - 강조색1 25 2" xfId="1957" xr:uid="{664A0D46-70DE-4CA7-9388-A4A7FF9B0992}"/>
    <cellStyle name="20% - 강조색1 3" xfId="16" xr:uid="{00000000-0005-0000-0000-000002000000}"/>
    <cellStyle name="20% - 강조색1 3 2" xfId="147" xr:uid="{DA9C5E26-CA47-4E1C-8096-B0B7C288F948}"/>
    <cellStyle name="20% - 강조색1 3 3" xfId="1958" xr:uid="{FF5078E4-0473-40AE-8E74-1E421E3AF8AD}"/>
    <cellStyle name="20% - 강조색1 4" xfId="148" xr:uid="{A632BBB9-2A66-465A-A924-717D227E9BF7}"/>
    <cellStyle name="20% - 강조색1 4 2" xfId="1959" xr:uid="{BC9E9059-0EA7-4216-BEA5-3D24946DA063}"/>
    <cellStyle name="20% - 강조색1 5" xfId="149" xr:uid="{48AFFDB9-A135-40B8-B70A-BE55CDB2674A}"/>
    <cellStyle name="20% - 강조색1 5 2" xfId="1960" xr:uid="{8B61E4B3-F8C5-4E19-9A9E-D6594B2FA513}"/>
    <cellStyle name="20% - 강조색1 6" xfId="150" xr:uid="{D49022C1-8530-4FB9-9143-7EC9F1FCC1A6}"/>
    <cellStyle name="20% - 강조색1 6 2" xfId="1961" xr:uid="{A4218635-2C67-4331-BBD8-694692AE1972}"/>
    <cellStyle name="20% - 강조색1 7" xfId="151" xr:uid="{4076ED23-1BD2-435D-9443-89A4762C19CF}"/>
    <cellStyle name="20% - 강조색1 7 2" xfId="1962" xr:uid="{21C301F9-6DAF-43F9-9F71-2EF488B6A47F}"/>
    <cellStyle name="20% - 강조색1 8" xfId="152" xr:uid="{30A88B4D-199F-4E5E-A350-8795E3A30C17}"/>
    <cellStyle name="20% - 강조색1 8 2" xfId="1963" xr:uid="{338C374C-EEA5-403F-8C13-5F8079464264}"/>
    <cellStyle name="20% - 강조색1 9" xfId="153" xr:uid="{4029132B-8C18-457B-83B7-74F37B8DCB49}"/>
    <cellStyle name="20% - 강조색1 9 2" xfId="1964" xr:uid="{BEFB2264-CE62-4A76-A6E3-95B980B8BFCB}"/>
    <cellStyle name="20% - 강조색2 10" xfId="154" xr:uid="{FB76C39D-5064-4677-930D-F0A8513A51B4}"/>
    <cellStyle name="20% - 강조색2 10 2" xfId="1965" xr:uid="{CCCAAD80-25B8-4EE6-A42E-1F3168E0EF20}"/>
    <cellStyle name="20% - 강조색2 11" xfId="155" xr:uid="{4221D40A-225C-40EF-9559-8A71DDB54290}"/>
    <cellStyle name="20% - 강조색2 11 2" xfId="1966" xr:uid="{1C1BCA3B-5DF8-49A0-95FB-73EAE94B9690}"/>
    <cellStyle name="20% - 강조색2 12" xfId="156" xr:uid="{A30357DE-CE1B-4FB2-9271-B692685C3BA8}"/>
    <cellStyle name="20% - 강조색2 12 2" xfId="1967" xr:uid="{A32A028D-ADAE-4520-9953-9831007586B8}"/>
    <cellStyle name="20% - 강조색2 13" xfId="157" xr:uid="{62A62305-1986-4A56-A524-7A5B4162D34A}"/>
    <cellStyle name="20% - 강조색2 13 2" xfId="1968" xr:uid="{75ED0715-45A3-4399-91AC-95E2ED9A4473}"/>
    <cellStyle name="20% - 강조색2 14" xfId="158" xr:uid="{E5BCD287-C2DD-4E02-AC06-0FBAF7C42A05}"/>
    <cellStyle name="20% - 강조색2 14 2" xfId="1969" xr:uid="{5F8C9682-9ADC-49FD-85F7-C34BB785EBEF}"/>
    <cellStyle name="20% - 강조색2 15" xfId="159" xr:uid="{F6CA8D92-BE8A-40A2-AB57-778E63A4248B}"/>
    <cellStyle name="20% - 강조색2 15 2" xfId="1970" xr:uid="{D12FDB42-132E-456B-9934-55342B771A37}"/>
    <cellStyle name="20% - 강조색2 16" xfId="160" xr:uid="{297FBBA8-CFE6-4DBA-898B-522EB6590C43}"/>
    <cellStyle name="20% - 강조색2 16 2" xfId="1971" xr:uid="{83B9ABD9-9849-4AB1-BBC4-2836E62D8858}"/>
    <cellStyle name="20% - 강조색2 17" xfId="161" xr:uid="{E26B3713-E74F-42A4-A124-2E83493C8AB0}"/>
    <cellStyle name="20% - 강조색2 17 2" xfId="1972" xr:uid="{5373BD93-77C3-40BE-87FA-7FD36EEC2F7E}"/>
    <cellStyle name="20% - 강조색2 18" xfId="162" xr:uid="{887EF33D-7EA3-45DC-A4EA-AB5450855117}"/>
    <cellStyle name="20% - 강조색2 18 2" xfId="1973" xr:uid="{6F06D2FA-7660-4C1E-B09E-156D5775AAE7}"/>
    <cellStyle name="20% - 강조색2 19" xfId="163" xr:uid="{00A0E9B7-0603-4A3F-9E19-D86081D21561}"/>
    <cellStyle name="20% - 강조색2 19 2" xfId="1974" xr:uid="{83EA4602-9525-48D2-AADC-D38413798214}"/>
    <cellStyle name="20% - 강조색2 2" xfId="164" xr:uid="{D1949D49-53A7-44DD-8364-52EB894E7630}"/>
    <cellStyle name="20% - 강조색2 2 2" xfId="1975" xr:uid="{0AEF13B3-17E9-458C-AA30-CE36418C4C52}"/>
    <cellStyle name="20% - 강조색2 2 3" xfId="1554" xr:uid="{F3C71843-0296-418D-B347-559BDB1FBDEE}"/>
    <cellStyle name="20% - 강조색2 20" xfId="165" xr:uid="{239C0187-FDDF-40A5-8B9E-268F56C6624E}"/>
    <cellStyle name="20% - 강조색2 20 2" xfId="1976" xr:uid="{A9A0B344-7A44-4AC0-9D37-AC0C5AF87143}"/>
    <cellStyle name="20% - 강조색2 21" xfId="166" xr:uid="{51667208-8153-4D21-9989-3494A1540D1E}"/>
    <cellStyle name="20% - 강조색2 21 2" xfId="1977" xr:uid="{D7EBBE29-C12C-4321-8776-8AF30AD5C1F0}"/>
    <cellStyle name="20% - 강조색2 22" xfId="167" xr:uid="{6112C974-A44D-4832-86E0-DF5E7C7084AC}"/>
    <cellStyle name="20% - 강조색2 22 2" xfId="1978" xr:uid="{036A81D8-F45B-4270-85B6-69132672696D}"/>
    <cellStyle name="20% - 강조색2 23" xfId="168" xr:uid="{FC228585-5CE9-49D6-A92A-9A19980A3C7F}"/>
    <cellStyle name="20% - 강조색2 23 2" xfId="1979" xr:uid="{BB8D5A26-1C19-47FB-8143-BB2534905A1D}"/>
    <cellStyle name="20% - 강조색2 24" xfId="169" xr:uid="{D28B850C-2BCB-4054-B004-003DDF49FC4D}"/>
    <cellStyle name="20% - 강조색2 24 2" xfId="1980" xr:uid="{5035B21B-CF1F-43E4-87A8-72954AC4AC51}"/>
    <cellStyle name="20% - 강조색2 25" xfId="170" xr:uid="{FB649705-8B22-4436-9CCD-BF6322F2DBA8}"/>
    <cellStyle name="20% - 강조색2 25 2" xfId="1981" xr:uid="{C9518D56-45B6-45BB-84F0-F3AC7EF4C523}"/>
    <cellStyle name="20% - 강조색2 3" xfId="171" xr:uid="{C90D56EE-D839-4BEE-8C64-3599FAE23AB1}"/>
    <cellStyle name="20% - 강조색2 3 2" xfId="1982" xr:uid="{D590C0B9-927F-4CB7-8C19-69C808B98754}"/>
    <cellStyle name="20% - 강조색2 4" xfId="172" xr:uid="{4CBDA2BD-35FD-4DCE-9610-149A44ADE448}"/>
    <cellStyle name="20% - 강조색2 4 2" xfId="1983" xr:uid="{0345AB3F-E67E-4835-A0D7-432398D42E69}"/>
    <cellStyle name="20% - 강조색2 5" xfId="173" xr:uid="{30F5A7B8-8F8D-4446-B5AB-D1285A074602}"/>
    <cellStyle name="20% - 강조색2 5 2" xfId="1984" xr:uid="{05007852-55FF-4A74-91F1-19E6475B6E0F}"/>
    <cellStyle name="20% - 강조색2 6" xfId="174" xr:uid="{E13ACBEB-BE1E-4F13-A0A7-EEC1710E3D00}"/>
    <cellStyle name="20% - 강조색2 6 2" xfId="1985" xr:uid="{7CCEB221-DCDA-4717-AB2F-95516EE268A6}"/>
    <cellStyle name="20% - 강조색2 7" xfId="175" xr:uid="{F8381AD0-20B3-4BDA-9414-BCB1B9C450E0}"/>
    <cellStyle name="20% - 강조색2 7 2" xfId="1986" xr:uid="{9646D676-9DD7-435B-A1CB-47CD12010F52}"/>
    <cellStyle name="20% - 강조색2 8" xfId="176" xr:uid="{781AAA29-05C7-458A-9056-2DFC7968821B}"/>
    <cellStyle name="20% - 강조색2 8 2" xfId="1987" xr:uid="{F48A28A5-73F3-41AD-ACBC-5CEFA6276550}"/>
    <cellStyle name="20% - 강조색2 9" xfId="177" xr:uid="{7D876AFB-D7BA-441D-A7C2-CD73E86A4F00}"/>
    <cellStyle name="20% - 강조색2 9 2" xfId="1988" xr:uid="{6084238F-0DF0-4B09-8F4E-27427B92A1C9}"/>
    <cellStyle name="20% - 강조색3 10" xfId="178" xr:uid="{15B099AC-7679-4196-ADC6-5BE14BA130A0}"/>
    <cellStyle name="20% - 강조색3 10 2" xfId="1989" xr:uid="{A50A99E5-1EA0-4A27-B260-AEF54067B5FB}"/>
    <cellStyle name="20% - 강조색3 11" xfId="179" xr:uid="{CAA9F843-C3E8-43A1-91A6-C2F726B31A10}"/>
    <cellStyle name="20% - 강조색3 11 2" xfId="1990" xr:uid="{22BE80D3-D4E4-468A-9C17-14A8D22ABC9B}"/>
    <cellStyle name="20% - 강조색3 12" xfId="180" xr:uid="{18B250DB-9911-4A5B-8F45-7402B585476A}"/>
    <cellStyle name="20% - 강조색3 12 2" xfId="1991" xr:uid="{D54F7F29-00EF-41F1-BC42-D1D765B325C6}"/>
    <cellStyle name="20% - 강조색3 13" xfId="181" xr:uid="{EAC08699-2EF5-4FBF-8DAF-568E760F3017}"/>
    <cellStyle name="20% - 강조색3 13 2" xfId="1992" xr:uid="{3E806E55-590E-4F98-B270-CA1FD7C4886F}"/>
    <cellStyle name="20% - 강조색3 14" xfId="182" xr:uid="{9571BFCD-CE88-48B7-BD04-23023A259E40}"/>
    <cellStyle name="20% - 강조색3 14 2" xfId="1993" xr:uid="{BE7D5093-B25D-4836-8AB9-7F03BE0B2E63}"/>
    <cellStyle name="20% - 강조색3 15" xfId="183" xr:uid="{F0DCA050-7407-4E24-A0F3-9CB68648A429}"/>
    <cellStyle name="20% - 강조색3 15 2" xfId="1994" xr:uid="{555AB4BC-BB6B-4637-807F-166397B935AA}"/>
    <cellStyle name="20% - 강조색3 16" xfId="184" xr:uid="{E909D6C0-D23B-41BD-9CCE-F19DB3CCB7DB}"/>
    <cellStyle name="20% - 강조색3 16 2" xfId="1995" xr:uid="{CC4A63B9-7810-4A07-904E-5D2F3150F8DB}"/>
    <cellStyle name="20% - 강조색3 17" xfId="185" xr:uid="{1A075446-1380-4A26-B340-5E415755438C}"/>
    <cellStyle name="20% - 강조색3 17 2" xfId="1996" xr:uid="{DA4A8A89-8CE2-443D-8AA9-88B2B91B220C}"/>
    <cellStyle name="20% - 강조색3 18" xfId="186" xr:uid="{DBE4AA82-418D-46E0-80DB-6DDEC300BDE6}"/>
    <cellStyle name="20% - 강조색3 18 2" xfId="1997" xr:uid="{1520A872-3648-4709-9ED3-A50FB124265C}"/>
    <cellStyle name="20% - 강조색3 19" xfId="187" xr:uid="{3F08401E-9EB2-4EE9-B8CB-37F75E141733}"/>
    <cellStyle name="20% - 강조색3 19 2" xfId="1998" xr:uid="{80FEA170-22DE-471E-94D7-DA9555AC0B18}"/>
    <cellStyle name="20% - 강조색3 2" xfId="188" xr:uid="{4BB6DAC4-1173-43A2-94A1-AE6D7B6C116A}"/>
    <cellStyle name="20% - 강조색3 2 2" xfId="1999" xr:uid="{6ACB4812-7444-453F-8B7B-71753601839A}"/>
    <cellStyle name="20% - 강조색3 2 3" xfId="1555" xr:uid="{0DFA588B-7948-4AC9-B79B-52ECCB76D328}"/>
    <cellStyle name="20% - 강조색3 20" xfId="189" xr:uid="{3444F2AA-1286-4C8A-9D34-D30E7B8F4EFA}"/>
    <cellStyle name="20% - 강조색3 20 2" xfId="2000" xr:uid="{B84C8465-7717-4BF7-A344-0C9E2E643410}"/>
    <cellStyle name="20% - 강조색3 21" xfId="190" xr:uid="{AE684D16-7765-4AF9-A39E-EA4D15C8E1CB}"/>
    <cellStyle name="20% - 강조색3 21 2" xfId="2001" xr:uid="{E718BAD9-1D3A-46A3-BD82-99312C51A34B}"/>
    <cellStyle name="20% - 강조색3 22" xfId="191" xr:uid="{4442FE46-18FA-4A1B-8C0C-D700EF464264}"/>
    <cellStyle name="20% - 강조색3 22 2" xfId="2002" xr:uid="{07BF5877-1B20-43D1-8F87-5A9A522AD15C}"/>
    <cellStyle name="20% - 강조색3 23" xfId="192" xr:uid="{D884D99A-EAAC-4E0B-B80B-B0EE18E989D6}"/>
    <cellStyle name="20% - 강조색3 23 2" xfId="2003" xr:uid="{9DE08647-0476-4AA9-AD00-B042E73548A8}"/>
    <cellStyle name="20% - 강조색3 24" xfId="193" xr:uid="{4828E05A-9C37-458D-9F29-9C6F8310F917}"/>
    <cellStyle name="20% - 강조색3 24 2" xfId="2004" xr:uid="{4E4EE5B1-52E8-4E1E-8877-7F4A23E8EE93}"/>
    <cellStyle name="20% - 강조색3 25" xfId="194" xr:uid="{A3F69711-187B-4817-8673-F4FAB1B1D479}"/>
    <cellStyle name="20% - 강조색3 25 2" xfId="2005" xr:uid="{71479501-2921-4525-9E0D-D9DAB044807D}"/>
    <cellStyle name="20% - 강조색3 3" xfId="195" xr:uid="{8D2453EE-B19C-4077-9465-056ADD6021F8}"/>
    <cellStyle name="20% - 강조색3 3 2" xfId="2006" xr:uid="{269B10AE-FAF0-48F7-81B7-DB08F14DC957}"/>
    <cellStyle name="20% - 강조색3 4" xfId="196" xr:uid="{48054241-4C4D-4E8B-9CF0-37DB240FB8A5}"/>
    <cellStyle name="20% - 강조색3 4 2" xfId="2007" xr:uid="{05EA320A-210E-403F-8AFE-C8A839962AFA}"/>
    <cellStyle name="20% - 강조색3 5" xfId="197" xr:uid="{DF31EA83-F9AC-49FA-82CD-D4EAA0D9FCBA}"/>
    <cellStyle name="20% - 강조색3 5 2" xfId="2008" xr:uid="{0E7032F6-FD30-4B9F-A55A-A0D8500048CD}"/>
    <cellStyle name="20% - 강조색3 6" xfId="198" xr:uid="{A1473E9F-DAF3-49BD-A3BC-C099EAD03BA2}"/>
    <cellStyle name="20% - 강조색3 6 2" xfId="2009" xr:uid="{B582DFD2-86F4-4C14-AEAC-834754D7560F}"/>
    <cellStyle name="20% - 강조색3 7" xfId="199" xr:uid="{31B73280-9EF7-40F7-92B2-D5F647C3D3B7}"/>
    <cellStyle name="20% - 강조색3 7 2" xfId="2010" xr:uid="{B15EEEDB-51BF-40E3-B915-FBFADD950851}"/>
    <cellStyle name="20% - 강조색3 8" xfId="200" xr:uid="{CDA046F6-B643-4957-B0BF-15EB2BA39E84}"/>
    <cellStyle name="20% - 강조색3 8 2" xfId="2011" xr:uid="{7EBDD1D9-2002-42E2-85DA-117DA8ACC6E6}"/>
    <cellStyle name="20% - 강조색3 9" xfId="201" xr:uid="{928A49E6-197A-4F68-98B5-508FC642F100}"/>
    <cellStyle name="20% - 강조색3 9 2" xfId="2012" xr:uid="{BADAD4AF-356B-4026-96DB-4E9F63E0C696}"/>
    <cellStyle name="20% - 강조색4 10" xfId="202" xr:uid="{F1E78ECA-2579-4ADF-BBB1-CFED70F200F2}"/>
    <cellStyle name="20% - 강조색4 10 2" xfId="2013" xr:uid="{634ED68F-8A61-4CE8-8542-8DCFA802B9A1}"/>
    <cellStyle name="20% - 강조색4 11" xfId="203" xr:uid="{B1F2D8CF-A0E4-4E4B-8EF2-33119E3684E4}"/>
    <cellStyle name="20% - 강조색4 11 2" xfId="2014" xr:uid="{CFB4E3BF-2A14-4510-9A11-16039E851E65}"/>
    <cellStyle name="20% - 강조색4 12" xfId="204" xr:uid="{3A81434C-218D-478C-9850-8C29201ECBC6}"/>
    <cellStyle name="20% - 강조색4 12 2" xfId="2015" xr:uid="{5DDD4406-C995-4DE7-B70D-CA577490D228}"/>
    <cellStyle name="20% - 강조색4 13" xfId="205" xr:uid="{278513A2-87DB-463A-8817-31A3AE4ACCCD}"/>
    <cellStyle name="20% - 강조색4 13 2" xfId="2016" xr:uid="{F940C16A-4B46-43CF-B177-EB69E5B0FDC2}"/>
    <cellStyle name="20% - 강조색4 14" xfId="206" xr:uid="{5BA536A0-7B22-49BA-8C93-5ACE7EB85311}"/>
    <cellStyle name="20% - 강조색4 14 2" xfId="2017" xr:uid="{E5AE224E-EE0E-44C9-9935-4B7ADE718FBB}"/>
    <cellStyle name="20% - 강조색4 15" xfId="207" xr:uid="{C4EBFABF-98ED-421E-8E2B-97A80E897CE1}"/>
    <cellStyle name="20% - 강조색4 15 2" xfId="2018" xr:uid="{90121B74-0135-49BF-A830-54B7B4D8F2B6}"/>
    <cellStyle name="20% - 강조색4 16" xfId="208" xr:uid="{724ECEE5-388C-47C4-A784-9E3DF7FF6E23}"/>
    <cellStyle name="20% - 강조색4 16 2" xfId="2019" xr:uid="{3B278FAA-24A3-45A2-92BB-066697F4C3FE}"/>
    <cellStyle name="20% - 강조색4 17" xfId="209" xr:uid="{0A42E274-DB30-460C-A71C-F2DAA284F33A}"/>
    <cellStyle name="20% - 강조색4 17 2" xfId="2020" xr:uid="{01D0CD33-5348-4FCD-AA2C-2F0F83B3BC2A}"/>
    <cellStyle name="20% - 강조색4 18" xfId="210" xr:uid="{DB24082A-25BC-4840-AB61-38CCB8FF34A6}"/>
    <cellStyle name="20% - 강조색4 18 2" xfId="2021" xr:uid="{1E923196-8F40-4362-B074-21FFB9ACA2F5}"/>
    <cellStyle name="20% - 강조색4 19" xfId="211" xr:uid="{B878CD1D-11A8-49CD-845A-A30DB81EE005}"/>
    <cellStyle name="20% - 강조색4 19 2" xfId="2022" xr:uid="{96B8169E-29DB-489A-9FD5-215F9D4510C6}"/>
    <cellStyle name="20% - 강조색4 2" xfId="212" xr:uid="{E01FFEEF-FFEA-4DC5-A4A4-5A97E0EA1B18}"/>
    <cellStyle name="20% - 강조색4 2 2" xfId="2023" xr:uid="{1C9FA505-812C-4927-AF73-F9EA23A8BC3D}"/>
    <cellStyle name="20% - 강조색4 2 3" xfId="1556" xr:uid="{D14192D2-402B-418B-9A1E-94A1A46FEF1F}"/>
    <cellStyle name="20% - 강조색4 20" xfId="213" xr:uid="{F002D8F9-4677-4133-895E-3D8B3482814A}"/>
    <cellStyle name="20% - 강조색4 20 2" xfId="2024" xr:uid="{74F557B5-77E4-435F-9CE9-4154D0B9C3AF}"/>
    <cellStyle name="20% - 강조색4 21" xfId="214" xr:uid="{8EE549D3-E325-46F9-A5B9-0DC81AFEE133}"/>
    <cellStyle name="20% - 강조색4 21 2" xfId="2025" xr:uid="{FEFE24C4-07F1-4909-9670-DF4C971B6CBC}"/>
    <cellStyle name="20% - 강조색4 22" xfId="215" xr:uid="{24431145-042F-4857-B7F9-007FC16F56CD}"/>
    <cellStyle name="20% - 강조색4 22 2" xfId="2026" xr:uid="{02EE8C0F-F9A9-4538-9535-DBC65A4B69B4}"/>
    <cellStyle name="20% - 강조색4 23" xfId="216" xr:uid="{448C0AF5-933E-4D64-8D7F-D7C4F9A1B400}"/>
    <cellStyle name="20% - 강조색4 23 2" xfId="2027" xr:uid="{AE44344E-402B-459A-8C65-62E8A0087D4E}"/>
    <cellStyle name="20% - 강조색4 24" xfId="217" xr:uid="{9F5C4E2A-7B95-4F2D-8716-4426BD9DB09C}"/>
    <cellStyle name="20% - 강조색4 24 2" xfId="2028" xr:uid="{A033C458-03E7-4D38-8061-5761BE421092}"/>
    <cellStyle name="20% - 강조색4 25" xfId="218" xr:uid="{A633ABF9-4018-43BF-851B-ABD7C900FAA8}"/>
    <cellStyle name="20% - 강조색4 25 2" xfId="2029" xr:uid="{97C9A4B5-9B5F-4E6E-AC47-CBA3843124E0}"/>
    <cellStyle name="20% - 강조색4 3" xfId="219" xr:uid="{EEA19A67-CF4C-4F6F-A1D0-FC144F588A42}"/>
    <cellStyle name="20% - 강조색4 3 2" xfId="2030" xr:uid="{6811A3BE-9764-4A16-88F1-3A37D78B975E}"/>
    <cellStyle name="20% - 강조색4 4" xfId="220" xr:uid="{C0D83F86-26FF-4A1B-A936-559FF88CD0D8}"/>
    <cellStyle name="20% - 강조색4 4 2" xfId="2031" xr:uid="{3E47552F-24DB-41AD-AE5C-333EE9DC539D}"/>
    <cellStyle name="20% - 강조색4 5" xfId="221" xr:uid="{FE109D9B-7EC5-4218-8ECC-5BD2EEDF8F66}"/>
    <cellStyle name="20% - 강조색4 5 2" xfId="2032" xr:uid="{6C6A2CF1-7105-4B7D-88C7-15DE38E2DF1F}"/>
    <cellStyle name="20% - 강조색4 6" xfId="222" xr:uid="{598EE33D-86F5-4C5B-8215-F38953EAB9A8}"/>
    <cellStyle name="20% - 강조색4 6 2" xfId="2033" xr:uid="{E1C9771E-728F-4381-B848-0969B39D1803}"/>
    <cellStyle name="20% - 강조색4 7" xfId="223" xr:uid="{E5A5E650-355F-4F1F-A9D8-5D106320B294}"/>
    <cellStyle name="20% - 강조색4 7 2" xfId="2034" xr:uid="{ABE8BBE6-6905-4665-B917-243B91039149}"/>
    <cellStyle name="20% - 강조색4 8" xfId="224" xr:uid="{480401F7-056B-4496-BAAE-B3EC8CCEEB2F}"/>
    <cellStyle name="20% - 강조색4 8 2" xfId="2035" xr:uid="{A0967AEE-0D56-4708-AED6-8502107DC62F}"/>
    <cellStyle name="20% - 강조색4 9" xfId="225" xr:uid="{A2888AF2-C3F8-4FD0-B099-B79D717A976B}"/>
    <cellStyle name="20% - 강조색4 9 2" xfId="2036" xr:uid="{F89214B8-9C37-404C-976A-FCFF9C29934D}"/>
    <cellStyle name="20% - 강조색5 10" xfId="226" xr:uid="{0C132A12-63F5-4849-8977-2636747B4FF4}"/>
    <cellStyle name="20% - 강조색5 10 2" xfId="2037" xr:uid="{C738BBAF-7300-4665-88FF-770943E2EE12}"/>
    <cellStyle name="20% - 강조색5 11" xfId="227" xr:uid="{23300290-0EED-4419-8763-2995DB9C7820}"/>
    <cellStyle name="20% - 강조색5 11 2" xfId="2038" xr:uid="{52BBC3DA-C1D2-4763-B3FD-89B139ACF26A}"/>
    <cellStyle name="20% - 강조색5 12" xfId="228" xr:uid="{6B6A18CF-BB68-4EF0-940B-9D26EA4E9BC1}"/>
    <cellStyle name="20% - 강조색5 12 2" xfId="2039" xr:uid="{A9224022-BC0C-4486-B60A-69189AA72979}"/>
    <cellStyle name="20% - 강조색5 13" xfId="229" xr:uid="{FFC3E936-7EB2-49E8-A02E-36396CFACC4E}"/>
    <cellStyle name="20% - 강조색5 13 2" xfId="2040" xr:uid="{26F350EB-06D1-4E6F-AB78-BBA617AEB374}"/>
    <cellStyle name="20% - 강조색5 14" xfId="230" xr:uid="{24DE5B06-E2E1-4200-973C-08334EF44F87}"/>
    <cellStyle name="20% - 강조색5 14 2" xfId="2041" xr:uid="{8A326508-B0E5-4AC3-AC83-2C0E7D612C61}"/>
    <cellStyle name="20% - 강조색5 15" xfId="231" xr:uid="{2A9E4518-A877-4EE7-924D-44BF94B1ACD6}"/>
    <cellStyle name="20% - 강조색5 15 2" xfId="2042" xr:uid="{DB321B01-55EB-4333-9224-CB1332DE9AC1}"/>
    <cellStyle name="20% - 강조색5 16" xfId="232" xr:uid="{E4873E63-2AFF-4D09-8804-96AB5711CFF2}"/>
    <cellStyle name="20% - 강조색5 16 2" xfId="2043" xr:uid="{8ED11A32-C9D8-491D-8FCB-8CE7EF079AD3}"/>
    <cellStyle name="20% - 강조색5 17" xfId="233" xr:uid="{4EE339FD-CA1C-494B-A71E-CCE17DE2823F}"/>
    <cellStyle name="20% - 강조색5 17 2" xfId="2044" xr:uid="{7A2A40A2-AEBD-4F86-A7F6-BC316E6EF0E7}"/>
    <cellStyle name="20% - 강조색5 18" xfId="234" xr:uid="{F24685E3-C023-4F5B-94C1-12DB8E68DAEA}"/>
    <cellStyle name="20% - 강조색5 18 2" xfId="2045" xr:uid="{1EE90599-AB7E-4B46-8B57-E7DB94C20078}"/>
    <cellStyle name="20% - 강조색5 19" xfId="235" xr:uid="{9B4372ED-EC98-41F8-87DA-69D38B462FA4}"/>
    <cellStyle name="20% - 강조색5 19 2" xfId="2046" xr:uid="{33AE727E-9240-4C31-A7B7-86FDFC0440FE}"/>
    <cellStyle name="20% - 강조색5 2" xfId="236" xr:uid="{494F1A5C-BC13-46FD-8454-BE262236906F}"/>
    <cellStyle name="20% - 강조색5 2 2" xfId="2047" xr:uid="{4C2FF6D0-56B9-4026-B0E2-34CCE5DB5CDC}"/>
    <cellStyle name="20% - 강조색5 2 3" xfId="1557" xr:uid="{8C097490-1723-4A25-A1AC-7DB1AA394377}"/>
    <cellStyle name="20% - 강조색5 20" xfId="237" xr:uid="{9997C940-A7B5-4A34-B7DD-0F1EFA96B066}"/>
    <cellStyle name="20% - 강조색5 20 2" xfId="2048" xr:uid="{5857BB45-DC73-4BEB-8BA8-B5501D7AE1E2}"/>
    <cellStyle name="20% - 강조색5 21" xfId="238" xr:uid="{7F203060-57C2-458C-AE58-CF1D13991C0C}"/>
    <cellStyle name="20% - 강조색5 21 2" xfId="2049" xr:uid="{70F5833D-3D68-4DCE-96BE-A536AB4B5E8F}"/>
    <cellStyle name="20% - 강조색5 22" xfId="239" xr:uid="{D8358927-406C-49A8-AA73-FE28F44E043B}"/>
    <cellStyle name="20% - 강조색5 22 2" xfId="2050" xr:uid="{EE112055-C9DB-4140-A27C-3F4A9AC1500B}"/>
    <cellStyle name="20% - 강조색5 23" xfId="240" xr:uid="{3C59D05E-392F-48BC-818D-FEBCAE9C6587}"/>
    <cellStyle name="20% - 강조색5 23 2" xfId="2051" xr:uid="{5C5FD8C3-6618-4F47-BFB2-4FA09D45A560}"/>
    <cellStyle name="20% - 강조색5 24" xfId="241" xr:uid="{6D91B843-98B2-4CF2-A277-8A70401401E5}"/>
    <cellStyle name="20% - 강조색5 24 2" xfId="2052" xr:uid="{45C26224-7CF5-42B7-9C89-66932DBC8CA4}"/>
    <cellStyle name="20% - 강조색5 25" xfId="242" xr:uid="{8C04F02A-F92A-4C3D-B192-A910158EFED0}"/>
    <cellStyle name="20% - 강조색5 25 2" xfId="2053" xr:uid="{5C2E3668-CE1F-48F0-A24A-572B0EA61BFE}"/>
    <cellStyle name="20% - 강조색5 3" xfId="243" xr:uid="{779D2CCF-7751-4292-A530-A8A3DBFD2197}"/>
    <cellStyle name="20% - 강조색5 3 2" xfId="2054" xr:uid="{BC22F911-31FD-47AC-9F89-61D3F5B0452E}"/>
    <cellStyle name="20% - 강조색5 4" xfId="244" xr:uid="{587BCA14-1208-44FA-AE14-E8EA5583F99F}"/>
    <cellStyle name="20% - 강조색5 4 2" xfId="2055" xr:uid="{DFC7A10C-4A79-4B0A-97E4-BADBEFDD80CD}"/>
    <cellStyle name="20% - 강조색5 5" xfId="245" xr:uid="{83492D44-616A-4336-A930-ACD6C88AE263}"/>
    <cellStyle name="20% - 강조색5 5 2" xfId="2056" xr:uid="{E1FAEED4-C8B7-447E-9A1B-032D8BB07B84}"/>
    <cellStyle name="20% - 강조색5 6" xfId="246" xr:uid="{07E3216F-6E22-4B16-8D4C-99BF024EDA38}"/>
    <cellStyle name="20% - 강조색5 6 2" xfId="2057" xr:uid="{40F6C7F6-9BFC-4C90-BC74-C562711388AC}"/>
    <cellStyle name="20% - 강조색5 7" xfId="247" xr:uid="{A87C30CC-D9DD-46B3-AD1D-A0B707EFA5FC}"/>
    <cellStyle name="20% - 강조색5 7 2" xfId="2058" xr:uid="{25531F59-7B7D-4233-B115-B18EBEA278EF}"/>
    <cellStyle name="20% - 강조색5 8" xfId="248" xr:uid="{DE2945BA-4BF9-4018-BD19-94EE9D8D27C1}"/>
    <cellStyle name="20% - 강조색5 8 2" xfId="2059" xr:uid="{087C8122-44E2-4CE2-9CD2-3694CFA29071}"/>
    <cellStyle name="20% - 강조색5 9" xfId="249" xr:uid="{FE08B419-FA47-4CE7-A164-BC2B6B4329F3}"/>
    <cellStyle name="20% - 강조색5 9 2" xfId="2060" xr:uid="{71E38C8A-3982-4C38-9D41-EE8E4E4E8E49}"/>
    <cellStyle name="20% - 강조색6 10" xfId="250" xr:uid="{2F96A68A-AB28-4F9F-ACEF-BBD709475064}"/>
    <cellStyle name="20% - 강조색6 10 2" xfId="2061" xr:uid="{5AF5D93B-EC9D-48D5-8E92-348F7EBFC626}"/>
    <cellStyle name="20% - 강조색6 11" xfId="251" xr:uid="{21B4828D-44FA-4E7B-B8D0-CF3A767D7A38}"/>
    <cellStyle name="20% - 강조색6 11 2" xfId="2062" xr:uid="{0DDA7EA3-215C-40D3-A7CD-FDD090F6F2D8}"/>
    <cellStyle name="20% - 강조색6 12" xfId="252" xr:uid="{9D0F7C53-A412-46DA-9C09-0F401438856C}"/>
    <cellStyle name="20% - 강조색6 12 2" xfId="2063" xr:uid="{576C6358-5B3E-42CE-9560-362B902FC826}"/>
    <cellStyle name="20% - 강조색6 13" xfId="253" xr:uid="{6EB7AB39-AC41-4F16-81AD-1DBD7D149024}"/>
    <cellStyle name="20% - 강조색6 13 2" xfId="2064" xr:uid="{C1B634D2-7314-45E7-9F68-70B428DF33F5}"/>
    <cellStyle name="20% - 강조색6 14" xfId="254" xr:uid="{83E1E15B-6B7F-468F-8D8B-4292AF128AD7}"/>
    <cellStyle name="20% - 강조색6 14 2" xfId="2065" xr:uid="{0D07D450-3608-4227-BFCB-7110817E1AD9}"/>
    <cellStyle name="20% - 강조색6 15" xfId="255" xr:uid="{7F49E9A6-4C82-40DA-9AE6-A2DC60955653}"/>
    <cellStyle name="20% - 강조색6 15 2" xfId="2066" xr:uid="{2ECEAB02-E1B4-43BD-802F-9BC9C4B214BA}"/>
    <cellStyle name="20% - 강조색6 16" xfId="256" xr:uid="{09B74D44-E157-400A-976B-F7174862D10B}"/>
    <cellStyle name="20% - 강조색6 16 2" xfId="2067" xr:uid="{6F7A38DB-3355-4B05-BF65-DEAFD6A29760}"/>
    <cellStyle name="20% - 강조색6 17" xfId="257" xr:uid="{5A316621-5F72-4D76-91C5-15A9A6C5B662}"/>
    <cellStyle name="20% - 강조색6 17 2" xfId="2068" xr:uid="{A86FB4BC-0E32-4270-8A8F-1FF9DCCC2C95}"/>
    <cellStyle name="20% - 강조색6 18" xfId="258" xr:uid="{0A8EF551-7D4C-4853-A315-8189D9695673}"/>
    <cellStyle name="20% - 강조색6 18 2" xfId="2069" xr:uid="{69B48087-38C2-4155-9AC6-7B55B36AB4F7}"/>
    <cellStyle name="20% - 강조색6 19" xfId="259" xr:uid="{1D3BBA2B-AE6A-45E6-ADB9-327B68D23A3E}"/>
    <cellStyle name="20% - 강조색6 19 2" xfId="2070" xr:uid="{1AB4614E-B32A-4EF9-9AE5-38FDD4E5AAE3}"/>
    <cellStyle name="20% - 강조색6 2" xfId="260" xr:uid="{AC54C0BD-F08D-47FE-83B0-DC8BE020C0E4}"/>
    <cellStyle name="20% - 강조색6 2 2" xfId="2071" xr:uid="{8C02A022-117F-4179-A4CA-FAF7A71A9CF1}"/>
    <cellStyle name="20% - 강조색6 2 3" xfId="1558" xr:uid="{C0A21DEB-41BD-408D-A823-37281FEF044D}"/>
    <cellStyle name="20% - 강조색6 20" xfId="261" xr:uid="{144B2276-0BBA-4E3E-BFD3-682B45F283E9}"/>
    <cellStyle name="20% - 강조색6 20 2" xfId="2072" xr:uid="{EEBAC95D-9DB2-4FA3-8942-558FD95A1166}"/>
    <cellStyle name="20% - 강조색6 21" xfId="262" xr:uid="{AD650949-4A6B-4609-A29C-BB6E7222E99C}"/>
    <cellStyle name="20% - 강조색6 21 2" xfId="2073" xr:uid="{79313609-4871-416E-953A-054F3BFFB7B0}"/>
    <cellStyle name="20% - 강조색6 22" xfId="263" xr:uid="{C9C7920D-D784-48AF-8F5F-DD0A3B77ABAF}"/>
    <cellStyle name="20% - 강조색6 22 2" xfId="2074" xr:uid="{65102E71-8434-4D35-B0EC-3E2AAC26C35B}"/>
    <cellStyle name="20% - 강조색6 23" xfId="264" xr:uid="{5FD1A9A9-2FC0-4BAE-9688-834BC566D492}"/>
    <cellStyle name="20% - 강조색6 23 2" xfId="2075" xr:uid="{631AB86B-2326-47F8-90F3-87FB6BB9ECAB}"/>
    <cellStyle name="20% - 강조색6 24" xfId="265" xr:uid="{CF127B6C-F952-4C60-AB21-5DD4ACE14897}"/>
    <cellStyle name="20% - 강조색6 24 2" xfId="2076" xr:uid="{3314EF7C-3C96-4EE0-A25A-2E8065DA088E}"/>
    <cellStyle name="20% - 강조색6 25" xfId="266" xr:uid="{90EDB8B6-2A5A-4F9A-B965-1E6C412E54D8}"/>
    <cellStyle name="20% - 강조색6 25 2" xfId="2077" xr:uid="{DD42F240-E453-4A02-8205-E91771DF63C7}"/>
    <cellStyle name="20% - 강조색6 3" xfId="267" xr:uid="{43AB7605-A978-4515-A8DE-1F0861C65DFC}"/>
    <cellStyle name="20% - 강조색6 3 2" xfId="2078" xr:uid="{DF987A99-F558-41A4-8B5C-766C4141E32B}"/>
    <cellStyle name="20% - 강조색6 4" xfId="268" xr:uid="{9720A5AB-B9D1-456B-8815-137E2C8A466D}"/>
    <cellStyle name="20% - 강조색6 4 2" xfId="2079" xr:uid="{3F9DD7D5-3C40-4F9D-965F-E8DFE536D7DF}"/>
    <cellStyle name="20% - 강조색6 5" xfId="269" xr:uid="{95840543-B620-4959-B048-FBC3E40AF928}"/>
    <cellStyle name="20% - 강조색6 5 2" xfId="2080" xr:uid="{6371C5AE-1C8C-435F-9748-55B8262D2A98}"/>
    <cellStyle name="20% - 강조색6 6" xfId="270" xr:uid="{B9188433-2E32-4B1E-A6B3-7B6AC2BFD64C}"/>
    <cellStyle name="20% - 강조색6 6 2" xfId="2081" xr:uid="{4FDFC21C-855B-4FA5-A21E-4614A173A6DE}"/>
    <cellStyle name="20% - 강조색6 7" xfId="271" xr:uid="{2FDD846B-A651-4DF6-895B-8F77FEC4353E}"/>
    <cellStyle name="20% - 강조색6 7 2" xfId="2082" xr:uid="{2120500F-A36C-43F7-A3C3-0DC8C2CD6A06}"/>
    <cellStyle name="20% - 강조색6 8" xfId="272" xr:uid="{90F12E32-218A-4FB2-9321-C1886DBED8FB}"/>
    <cellStyle name="20% - 강조색6 8 2" xfId="2083" xr:uid="{02708F2E-12CE-4634-89A6-700F350B900E}"/>
    <cellStyle name="20% - 강조색6 9" xfId="273" xr:uid="{23C8D0DA-3D45-4589-B4D8-1B5A8F89FE15}"/>
    <cellStyle name="20% - 강조색6 9 2" xfId="2084" xr:uid="{3446D2C4-34CA-4EFE-8421-0C81B9F28838}"/>
    <cellStyle name="4 decimals" xfId="274" xr:uid="{DF752DF4-AEC1-4310-8656-F95F50BF0BD8}"/>
    <cellStyle name="4 decimals 2" xfId="2085" xr:uid="{B9DDA264-15A2-4A5C-B9A5-770B95233AC6}"/>
    <cellStyle name="40% - 강조색1 10" xfId="275" xr:uid="{B80D1E70-AA55-4AA8-B44A-EE238BC8DB91}"/>
    <cellStyle name="40% - 강조색1 10 2" xfId="2086" xr:uid="{9803A013-FE4A-45DB-A097-515EC7A0793C}"/>
    <cellStyle name="40% - 강조색1 11" xfId="276" xr:uid="{4A29EEBB-A36F-4012-A016-2F9F295E60C8}"/>
    <cellStyle name="40% - 강조색1 11 2" xfId="2087" xr:uid="{674A23D4-4A40-40DC-8E68-46D35A2A2814}"/>
    <cellStyle name="40% - 강조색1 12" xfId="277" xr:uid="{9FEEC6DB-6500-4878-BD90-6428A3564917}"/>
    <cellStyle name="40% - 강조색1 12 2" xfId="2088" xr:uid="{A963B42D-C5B4-42ED-AD4D-F5031C530F18}"/>
    <cellStyle name="40% - 강조색1 13" xfId="278" xr:uid="{9B60A02A-45E4-4960-9DB7-8258202E2E43}"/>
    <cellStyle name="40% - 강조색1 13 2" xfId="2089" xr:uid="{5A2B2174-11EC-45BD-BBC1-679EBC95B0B5}"/>
    <cellStyle name="40% - 강조색1 14" xfId="279" xr:uid="{3E093875-EB04-42E2-B087-E8CB7EAC2768}"/>
    <cellStyle name="40% - 강조색1 14 2" xfId="2090" xr:uid="{F93695FD-3722-44B0-9BC0-AE3503CC08D4}"/>
    <cellStyle name="40% - 강조색1 15" xfId="280" xr:uid="{F03735DD-841B-4C0C-A6CF-E631A4D0AC96}"/>
    <cellStyle name="40% - 강조색1 15 2" xfId="2091" xr:uid="{DE549FF0-54C9-44A9-AF30-F2041D200F9B}"/>
    <cellStyle name="40% - 강조색1 16" xfId="281" xr:uid="{75BB085B-F0F7-420C-99CB-C16676C28FAA}"/>
    <cellStyle name="40% - 강조색1 16 2" xfId="2092" xr:uid="{43A693A6-B2FA-41CE-BE0B-1FC6E9061BD8}"/>
    <cellStyle name="40% - 강조색1 17" xfId="282" xr:uid="{34FA979E-0ADB-4967-836D-0D94D739C382}"/>
    <cellStyle name="40% - 강조색1 17 2" xfId="2093" xr:uid="{86F25448-BEFD-4554-ADAD-84ADF2FAC4F8}"/>
    <cellStyle name="40% - 강조색1 18" xfId="283" xr:uid="{1D8587FE-7D58-42FD-BFED-AEBBC158C3DA}"/>
    <cellStyle name="40% - 강조색1 18 2" xfId="2094" xr:uid="{0994FE9A-7ACA-49DD-A49B-C8280708D90D}"/>
    <cellStyle name="40% - 강조색1 19" xfId="284" xr:uid="{2E262D45-E8B8-410A-8D78-613AEBF0BA10}"/>
    <cellStyle name="40% - 강조색1 19 2" xfId="2095" xr:uid="{E06E33EC-57A5-42E1-8B11-5ABEDA4C13B6}"/>
    <cellStyle name="40% - 강조색1 2" xfId="285" xr:uid="{63020F72-3990-4357-84EB-62F02EB1EC12}"/>
    <cellStyle name="40% - 강조색1 2 2" xfId="2096" xr:uid="{50A3D0B3-34C9-4711-A0D3-BE4BF1A5C4E2}"/>
    <cellStyle name="40% - 강조색1 2 3" xfId="1559" xr:uid="{45AC8FFE-04C4-4504-9E0E-DD2A9793C409}"/>
    <cellStyle name="40% - 강조색1 20" xfId="286" xr:uid="{3009E4B0-3441-4053-8ABC-37CF21238965}"/>
    <cellStyle name="40% - 강조색1 20 2" xfId="2097" xr:uid="{3008506A-293A-483B-91E4-080ED64756B6}"/>
    <cellStyle name="40% - 강조색1 21" xfId="287" xr:uid="{94EF0AC7-2AED-41EE-B005-FA395E257058}"/>
    <cellStyle name="40% - 강조색1 21 2" xfId="2098" xr:uid="{DB7C85A3-2D1E-4007-8C8F-71FF5280029E}"/>
    <cellStyle name="40% - 강조색1 22" xfId="288" xr:uid="{078B8B87-C452-4464-A8F3-562AE95E66BB}"/>
    <cellStyle name="40% - 강조색1 22 2" xfId="2099" xr:uid="{ECC0FE3E-4E38-4014-A778-266FA8A8B3B2}"/>
    <cellStyle name="40% - 강조색1 23" xfId="289" xr:uid="{D53751A1-D225-4F2D-B948-AECF00754677}"/>
    <cellStyle name="40% - 강조색1 23 2" xfId="2100" xr:uid="{6FB23B88-0945-4D12-9BA4-4DCEF0A6EF0F}"/>
    <cellStyle name="40% - 강조색1 24" xfId="290" xr:uid="{9CEB48F6-D5E7-478E-9FC0-F62F6C7118C6}"/>
    <cellStyle name="40% - 강조색1 24 2" xfId="2101" xr:uid="{4AD1BB9C-6666-4D73-8724-64EFF25DAFD0}"/>
    <cellStyle name="40% - 강조색1 25" xfId="291" xr:uid="{280A427C-5384-41F8-9152-52E319980536}"/>
    <cellStyle name="40% - 강조색1 25 2" xfId="2102" xr:uid="{C1F8C5E0-0590-4111-8B52-94ABEE53BC7C}"/>
    <cellStyle name="40% - 강조색1 3" xfId="292" xr:uid="{70DB26F5-9C15-415C-884A-9ABE4953BB86}"/>
    <cellStyle name="40% - 강조색1 3 2" xfId="2103" xr:uid="{4E7F137C-22B9-431F-B22A-4F6A2D619F9E}"/>
    <cellStyle name="40% - 강조색1 4" xfId="293" xr:uid="{298C10FB-5892-4D08-A1B1-8F3504660B5F}"/>
    <cellStyle name="40% - 강조색1 4 2" xfId="2104" xr:uid="{2827ADB5-BA2A-4E66-9642-E11B2D8D1697}"/>
    <cellStyle name="40% - 강조색1 5" xfId="294" xr:uid="{F67D475D-994A-4F29-9DF6-CA1563A46ED4}"/>
    <cellStyle name="40% - 강조색1 5 2" xfId="2105" xr:uid="{4538B96C-DB09-4C4F-BE64-0C522527DE4E}"/>
    <cellStyle name="40% - 강조색1 6" xfId="295" xr:uid="{3E6876BD-63FC-41E4-98E9-C98BFEC74B54}"/>
    <cellStyle name="40% - 강조색1 6 2" xfId="2106" xr:uid="{A5FC190C-7394-4B70-8BF1-605FF96777E0}"/>
    <cellStyle name="40% - 강조색1 7" xfId="296" xr:uid="{DB5A873A-84CD-4147-9877-E5FD4828574E}"/>
    <cellStyle name="40% - 강조색1 7 2" xfId="2107" xr:uid="{0F25F82F-C5BA-4F63-BCC6-5489A4E502C9}"/>
    <cellStyle name="40% - 강조색1 8" xfId="297" xr:uid="{6BB978CA-82B0-4961-B4B9-2E7E631171B9}"/>
    <cellStyle name="40% - 강조색1 8 2" xfId="2108" xr:uid="{C7AAA54F-DA8D-4338-9BFD-440FF6951C42}"/>
    <cellStyle name="40% - 강조색1 9" xfId="298" xr:uid="{6904B5F4-C553-4F21-82E7-7DC4F127BD55}"/>
    <cellStyle name="40% - 강조색1 9 2" xfId="2109" xr:uid="{C894DCEA-5C64-4C94-A526-3C6B84563F48}"/>
    <cellStyle name="40% - 강조색2 10" xfId="299" xr:uid="{93711AD0-9CBC-48B9-9312-F40F77525BF2}"/>
    <cellStyle name="40% - 강조색2 10 2" xfId="2110" xr:uid="{DF812378-0208-43AC-A41A-4330D10159FE}"/>
    <cellStyle name="40% - 강조색2 11" xfId="300" xr:uid="{D6B863CA-170F-47A3-86F7-3270305C6024}"/>
    <cellStyle name="40% - 강조색2 11 2" xfId="2111" xr:uid="{D6AE46B7-4546-4408-8166-1A78C74D570B}"/>
    <cellStyle name="40% - 강조색2 12" xfId="301" xr:uid="{884FD354-720B-45ED-8394-B3D8C4BDB889}"/>
    <cellStyle name="40% - 강조색2 12 2" xfId="2112" xr:uid="{A3E2E47E-2C84-4F7C-943A-3FBEB784C3D1}"/>
    <cellStyle name="40% - 강조색2 13" xfId="302" xr:uid="{A0A2E3F2-250D-46A9-86BE-FDB2051E94C7}"/>
    <cellStyle name="40% - 강조색2 13 2" xfId="2113" xr:uid="{7E733141-9833-4C1B-BD7A-4AF4870F180E}"/>
    <cellStyle name="40% - 강조색2 14" xfId="303" xr:uid="{8AE0D118-707B-4F61-B48C-61D310738928}"/>
    <cellStyle name="40% - 강조색2 14 2" xfId="2114" xr:uid="{ACBE9F3E-AD82-443B-9965-CA8AA9B16D39}"/>
    <cellStyle name="40% - 강조색2 15" xfId="304" xr:uid="{A4C14B38-04C4-418C-817A-11C95FFCE3EE}"/>
    <cellStyle name="40% - 강조색2 15 2" xfId="2115" xr:uid="{EFC65B53-FB90-45D5-A8DE-E5555C169A1F}"/>
    <cellStyle name="40% - 강조색2 16" xfId="305" xr:uid="{9BFAF29A-F783-45E2-BD3C-7BA9BE22C9A5}"/>
    <cellStyle name="40% - 강조색2 16 2" xfId="2116" xr:uid="{231CB39E-93B6-4928-AF42-A515D5548421}"/>
    <cellStyle name="40% - 강조색2 17" xfId="306" xr:uid="{4315C78B-7D5D-4B3F-A156-64D3C87268AD}"/>
    <cellStyle name="40% - 강조색2 17 2" xfId="2117" xr:uid="{60E0D8BD-F9F3-4D4D-A475-95E243B22515}"/>
    <cellStyle name="40% - 강조색2 18" xfId="307" xr:uid="{17A397BA-576D-406A-8113-5AC313551583}"/>
    <cellStyle name="40% - 강조색2 18 2" xfId="2118" xr:uid="{E5F61AF0-4FEA-4C40-B11F-7BC3EEDD895F}"/>
    <cellStyle name="40% - 강조색2 19" xfId="308" xr:uid="{A96FAF8A-900F-4C67-9E54-B9528C31170A}"/>
    <cellStyle name="40% - 강조색2 19 2" xfId="2119" xr:uid="{480392A9-89CF-4EC9-9F8F-7E156D2E24BC}"/>
    <cellStyle name="40% - 강조색2 2" xfId="15" xr:uid="{00000000-0005-0000-0000-000005000000}"/>
    <cellStyle name="40% - 강조색2 2 2" xfId="309" xr:uid="{30A00BE5-C86D-43A5-8783-F4FAB5F5F37E}"/>
    <cellStyle name="40% - 강조색2 2 2 2" xfId="2120" xr:uid="{BBEC1BE0-0E1B-4A62-B575-6314B4A75D52}"/>
    <cellStyle name="40% - 강조색2 2 3" xfId="1560" xr:uid="{06D02190-08C3-4EFA-AA93-7241560F6DF7}"/>
    <cellStyle name="40% - 강조색2 20" xfId="310" xr:uid="{9D376A2C-6743-42D3-8058-94304EDD1E00}"/>
    <cellStyle name="40% - 강조색2 20 2" xfId="2121" xr:uid="{E016249B-9D83-490B-A475-B9F7CE6948F9}"/>
    <cellStyle name="40% - 강조색2 21" xfId="311" xr:uid="{4ED11522-8E87-4309-AE01-20AC946ACD48}"/>
    <cellStyle name="40% - 강조색2 21 2" xfId="2122" xr:uid="{15A376FA-8BA6-4AEB-9406-B4459149C637}"/>
    <cellStyle name="40% - 강조색2 22" xfId="312" xr:uid="{65570C12-1AC9-419B-881C-7B01369F8F46}"/>
    <cellStyle name="40% - 강조색2 22 2" xfId="2123" xr:uid="{09C752EC-2005-43ED-9215-7AC06CF268E5}"/>
    <cellStyle name="40% - 강조색2 23" xfId="313" xr:uid="{83D32034-5C76-403E-B103-D6A895D3877A}"/>
    <cellStyle name="40% - 강조색2 23 2" xfId="2124" xr:uid="{39558BF1-3AA0-4441-BD9D-C5B0F858270F}"/>
    <cellStyle name="40% - 강조색2 24" xfId="314" xr:uid="{D373405D-4F53-4A83-8168-A687A5273C78}"/>
    <cellStyle name="40% - 강조색2 24 2" xfId="2125" xr:uid="{02092AED-C76D-4233-AF26-5131E02639E8}"/>
    <cellStyle name="40% - 강조색2 25" xfId="315" xr:uid="{E892A27D-04B4-4ABC-85D0-F2EE6309BB46}"/>
    <cellStyle name="40% - 강조색2 25 2" xfId="2126" xr:uid="{D1E62803-6FF3-4815-8974-4EAF3C8B8C38}"/>
    <cellStyle name="40% - 강조색2 3" xfId="316" xr:uid="{9A66ABB0-6DB1-40F5-A1CB-AC24E875AC72}"/>
    <cellStyle name="40% - 강조색2 3 2" xfId="2127" xr:uid="{80994AC4-A087-4BE7-A343-0013E8430A5C}"/>
    <cellStyle name="40% - 강조색2 4" xfId="317" xr:uid="{A3AD7369-41DB-4724-93A5-18B631D78ABF}"/>
    <cellStyle name="40% - 강조색2 4 2" xfId="2128" xr:uid="{F8C71B49-3D84-4CE4-A995-B5EDC0C001AE}"/>
    <cellStyle name="40% - 강조색2 5" xfId="318" xr:uid="{437A8264-E29E-463F-AC5C-390507BC9CF5}"/>
    <cellStyle name="40% - 강조색2 5 2" xfId="2129" xr:uid="{2743688B-4343-46B9-9757-D64AA4999BCE}"/>
    <cellStyle name="40% - 강조색2 6" xfId="319" xr:uid="{A4748397-7897-4258-B0DA-2BABDA33C629}"/>
    <cellStyle name="40% - 강조색2 6 2" xfId="2130" xr:uid="{AF70A116-37F8-42CC-9898-412DC6312A10}"/>
    <cellStyle name="40% - 강조색2 7" xfId="320" xr:uid="{CC1B9AC9-610D-4AFC-9122-6C9D01BF1728}"/>
    <cellStyle name="40% - 강조색2 7 2" xfId="2131" xr:uid="{4093C215-FF1B-46A8-8592-7FF42D71D15F}"/>
    <cellStyle name="40% - 강조색2 8" xfId="321" xr:uid="{B1AA2BB3-F04C-4975-A7B8-AC0CE29D891A}"/>
    <cellStyle name="40% - 강조색2 8 2" xfId="2132" xr:uid="{AEAE623A-A0F1-4D71-B633-9CA23EB864F7}"/>
    <cellStyle name="40% - 강조색2 9" xfId="322" xr:uid="{097920BB-5084-4CAC-AC21-59200A87E5B5}"/>
    <cellStyle name="40% - 강조색2 9 2" xfId="2133" xr:uid="{B1983B75-D39F-40E9-BA83-949F359B8141}"/>
    <cellStyle name="40% - 강조색3 10" xfId="323" xr:uid="{FFBE20ED-CC3B-4D46-8BE6-729A84F900D2}"/>
    <cellStyle name="40% - 강조색3 10 2" xfId="2134" xr:uid="{598260EF-56EE-4EB8-8CBF-9E910F2BF026}"/>
    <cellStyle name="40% - 강조색3 11" xfId="324" xr:uid="{C9E9AB0E-AFAE-45F6-A9D3-7E1F97B8317F}"/>
    <cellStyle name="40% - 강조색3 11 2" xfId="2135" xr:uid="{691FAD7D-6B0F-41FB-92C6-002D90F3EEB4}"/>
    <cellStyle name="40% - 강조색3 12" xfId="325" xr:uid="{2A222519-8AD0-4E1E-9AAB-7235193CDE33}"/>
    <cellStyle name="40% - 강조색3 12 2" xfId="2136" xr:uid="{61830655-BCD7-4E32-B8E9-F76ED6EE878C}"/>
    <cellStyle name="40% - 강조색3 13" xfId="326" xr:uid="{1E3D9486-14EB-4128-AE7D-E03573A15A9B}"/>
    <cellStyle name="40% - 강조색3 13 2" xfId="2137" xr:uid="{8DFC886C-DBF1-481D-926B-FCFEC98D647F}"/>
    <cellStyle name="40% - 강조색3 14" xfId="327" xr:uid="{B6764E48-9B9C-46C5-9AF7-5E2F1F82AD65}"/>
    <cellStyle name="40% - 강조색3 14 2" xfId="2138" xr:uid="{35EC2BD5-3BD3-4FAB-A1B2-A2B422556272}"/>
    <cellStyle name="40% - 강조색3 15" xfId="328" xr:uid="{6EDF496A-6077-4DBD-8E75-DBBCFB633713}"/>
    <cellStyle name="40% - 강조색3 15 2" xfId="2139" xr:uid="{DA22BF94-C92D-4014-8965-1FDCAB00A65A}"/>
    <cellStyle name="40% - 강조색3 16" xfId="329" xr:uid="{06AEFEB6-B932-48FB-809C-236B0F49CC26}"/>
    <cellStyle name="40% - 강조색3 16 2" xfId="2140" xr:uid="{48BB88D5-7E6C-4F10-8DBA-6C071FCED03C}"/>
    <cellStyle name="40% - 강조색3 17" xfId="330" xr:uid="{202CF6D8-CA53-403C-8C5B-0DEA737B673E}"/>
    <cellStyle name="40% - 강조색3 17 2" xfId="2141" xr:uid="{B00E9354-6032-46EB-BF17-54E90C68233A}"/>
    <cellStyle name="40% - 강조색3 18" xfId="331" xr:uid="{5798797C-7F16-441F-A29C-5D4601068CD9}"/>
    <cellStyle name="40% - 강조색3 18 2" xfId="2142" xr:uid="{EFBEB565-EBE2-4F57-B48C-8284B1CFC92E}"/>
    <cellStyle name="40% - 강조색3 19" xfId="332" xr:uid="{FC517770-79EB-45D1-B5A4-7EC50A5C39F7}"/>
    <cellStyle name="40% - 강조색3 19 2" xfId="2143" xr:uid="{77D515EE-098E-4A8E-A37D-FA01BA4398BA}"/>
    <cellStyle name="40% - 강조색3 2" xfId="333" xr:uid="{C38040B3-3505-4AE9-9234-BB2E3DD0AC6F}"/>
    <cellStyle name="40% - 강조색3 2 2" xfId="2144" xr:uid="{D2DD9A04-928B-4032-8ECC-7DA198590A6F}"/>
    <cellStyle name="40% - 강조색3 2 3" xfId="1561" xr:uid="{7D4F70BB-0549-4DBE-A495-3D9ADCBE2880}"/>
    <cellStyle name="40% - 강조색3 20" xfId="334" xr:uid="{1BD1D8EF-2EC5-4841-A11C-C88DF506C1BB}"/>
    <cellStyle name="40% - 강조색3 20 2" xfId="2145" xr:uid="{A4BE61D4-0E68-41BE-ACE3-1E65076DB15F}"/>
    <cellStyle name="40% - 강조색3 21" xfId="335" xr:uid="{50E31E1F-6865-4712-8C02-A22674FA23A8}"/>
    <cellStyle name="40% - 강조색3 21 2" xfId="2146" xr:uid="{3A7CD642-DE75-44B9-9E23-7222AF285604}"/>
    <cellStyle name="40% - 강조색3 22" xfId="336" xr:uid="{4178602C-2821-4D13-817B-440262797563}"/>
    <cellStyle name="40% - 강조색3 22 2" xfId="2147" xr:uid="{DBC1B827-4B52-44F0-97B0-3C0CC7FBE20C}"/>
    <cellStyle name="40% - 강조색3 23" xfId="337" xr:uid="{783702C3-CEFD-432F-9AF3-1E8A310DA557}"/>
    <cellStyle name="40% - 강조색3 23 2" xfId="2148" xr:uid="{F5AB3065-586B-449A-85DD-0D8CE9DFE7A3}"/>
    <cellStyle name="40% - 강조색3 24" xfId="338" xr:uid="{035CCCEE-22F0-4200-A23E-DEBF443870F9}"/>
    <cellStyle name="40% - 강조색3 24 2" xfId="2149" xr:uid="{016802D9-BB63-44F8-9541-EF23941BE892}"/>
    <cellStyle name="40% - 강조색3 25" xfId="339" xr:uid="{AB34E9BF-FA56-4D78-A771-294BC2703F9C}"/>
    <cellStyle name="40% - 강조색3 25 2" xfId="2150" xr:uid="{D31A6D15-45E9-4686-9927-B41C1280D045}"/>
    <cellStyle name="40% - 강조색3 3" xfId="340" xr:uid="{4E2FB2C9-47C5-4D8D-92FC-0D82124AC2C9}"/>
    <cellStyle name="40% - 강조색3 3 2" xfId="2151" xr:uid="{4310BC3C-F32F-4317-AEF5-0EB3D08D736B}"/>
    <cellStyle name="40% - 강조색3 4" xfId="341" xr:uid="{7293CBA3-DC1E-4A6A-BE60-9557BA20C888}"/>
    <cellStyle name="40% - 강조색3 4 2" xfId="2152" xr:uid="{3534AD57-FD9A-4BFC-9C60-49C074F4E329}"/>
    <cellStyle name="40% - 강조색3 5" xfId="342" xr:uid="{9EE3C519-5847-41E5-B890-723A3E577B88}"/>
    <cellStyle name="40% - 강조색3 5 2" xfId="2153" xr:uid="{34FBFC04-509F-4D59-9FB2-AF50187B465C}"/>
    <cellStyle name="40% - 강조색3 6" xfId="343" xr:uid="{2F3FC94C-8A8C-4A05-8A88-84B401F44562}"/>
    <cellStyle name="40% - 강조색3 6 2" xfId="2154" xr:uid="{740A4D2B-A7C1-451A-957F-57B17B2A3EE5}"/>
    <cellStyle name="40% - 강조색3 7" xfId="344" xr:uid="{2558DDDA-C166-4969-A1E8-6043CA81DC52}"/>
    <cellStyle name="40% - 강조색3 7 2" xfId="2155" xr:uid="{EE4E1B1C-07C2-4EBC-9797-05AB1C50237D}"/>
    <cellStyle name="40% - 강조색3 8" xfId="345" xr:uid="{F57CE8F2-064A-475D-97CC-A3FCF2D50CA8}"/>
    <cellStyle name="40% - 강조색3 8 2" xfId="2156" xr:uid="{E6899BCF-9C1E-4E76-93DF-799A824960E6}"/>
    <cellStyle name="40% - 강조색3 9" xfId="346" xr:uid="{E96022DB-CDA8-47BD-AA35-998977F31DE9}"/>
    <cellStyle name="40% - 강조색3 9 2" xfId="2157" xr:uid="{2127240A-6012-4EB6-9768-685339F29FE1}"/>
    <cellStyle name="40% - 강조색4" xfId="5" builtinId="43"/>
    <cellStyle name="40% - 강조색4 10" xfId="347" xr:uid="{C458CADB-579B-49C4-AE7A-52F1003EC2C5}"/>
    <cellStyle name="40% - 강조색4 10 2" xfId="2158" xr:uid="{F86CE426-C246-461F-9EE6-982D18E161D0}"/>
    <cellStyle name="40% - 강조색4 11" xfId="348" xr:uid="{797CD0D3-8941-4793-B3D0-A2EFE27909E9}"/>
    <cellStyle name="40% - 강조색4 11 2" xfId="2159" xr:uid="{22D3272B-E3A6-433C-B68A-17E45CB1A832}"/>
    <cellStyle name="40% - 강조색4 12" xfId="349" xr:uid="{F7CA868F-F027-4C03-9AB6-4B3EAA1156A1}"/>
    <cellStyle name="40% - 강조색4 12 2" xfId="2160" xr:uid="{1E0104D4-1598-4E1A-BFA3-60A25A12058D}"/>
    <cellStyle name="40% - 강조색4 13" xfId="350" xr:uid="{EB6E1FB3-9D81-4671-A9E2-7AF34C38916E}"/>
    <cellStyle name="40% - 강조색4 13 2" xfId="2161" xr:uid="{F80B71B5-224A-451B-A939-CE6E5B84D548}"/>
    <cellStyle name="40% - 강조색4 14" xfId="351" xr:uid="{FEDD89BC-FA21-46C5-A198-52BF12BB07DB}"/>
    <cellStyle name="40% - 강조색4 14 2" xfId="2162" xr:uid="{DFD13510-85A5-405E-AFF9-38B3882CE154}"/>
    <cellStyle name="40% - 강조색4 15" xfId="352" xr:uid="{49A60749-8234-4FDE-963D-075A72B6A870}"/>
    <cellStyle name="40% - 강조색4 15 2" xfId="2163" xr:uid="{B3926287-94A8-4BF0-B1B1-A0CFF5F1BAA8}"/>
    <cellStyle name="40% - 강조색4 16" xfId="353" xr:uid="{E6C6E816-9847-4D44-B671-8D604B4B561F}"/>
    <cellStyle name="40% - 강조색4 16 2" xfId="2164" xr:uid="{91F2C517-B8EC-44A5-82D2-F1D00D366672}"/>
    <cellStyle name="40% - 강조색4 17" xfId="354" xr:uid="{F034B749-446B-49DB-BD9D-A93CD8D65F79}"/>
    <cellStyle name="40% - 강조색4 17 2" xfId="2165" xr:uid="{3F717D7F-FE1C-4F3F-BCB4-0A9A3926C7F1}"/>
    <cellStyle name="40% - 강조색4 18" xfId="355" xr:uid="{CBAB3325-C1D5-4253-BC08-2F449A90127D}"/>
    <cellStyle name="40% - 강조색4 18 2" xfId="2166" xr:uid="{E943C5A7-CEDD-4657-B9DE-3031D3C882F2}"/>
    <cellStyle name="40% - 강조색4 19" xfId="356" xr:uid="{EAA56FFA-B34F-4FAD-92A6-34D00E6639E7}"/>
    <cellStyle name="40% - 강조색4 19 2" xfId="2167" xr:uid="{7E3ED4C6-A948-4E5A-8300-D1D7CAAD3D3E}"/>
    <cellStyle name="40% - 강조색4 2" xfId="357" xr:uid="{A970EDE9-FCAE-4382-AECB-61CB8670BC5E}"/>
    <cellStyle name="40% - 강조색4 2 2" xfId="1387" xr:uid="{2D49F0FB-FB59-4C32-8FDF-F41ACADD2352}"/>
    <cellStyle name="40% - 강조색4 2 2 2" xfId="2168" xr:uid="{4D007F44-0ABE-4464-8B6A-7D653DA959D4}"/>
    <cellStyle name="40% - 강조색4 2 3" xfId="1562" xr:uid="{48017CC5-507B-4876-8060-AE404DC993F5}"/>
    <cellStyle name="40% - 강조색4 20" xfId="358" xr:uid="{C31CD846-A404-450B-9AD6-31C3117C015E}"/>
    <cellStyle name="40% - 강조색4 20 2" xfId="2169" xr:uid="{3F3147A6-3387-441A-A781-8A6A8F7881DD}"/>
    <cellStyle name="40% - 강조색4 21" xfId="359" xr:uid="{1B0E5A09-44EC-4001-8110-1B5371AEFA9E}"/>
    <cellStyle name="40% - 강조색4 21 2" xfId="2170" xr:uid="{D1A7FE3E-1B2F-44F6-B124-6F96A84D2E61}"/>
    <cellStyle name="40% - 강조색4 22" xfId="360" xr:uid="{066D3CA4-9560-4C20-937A-409BEE48673F}"/>
    <cellStyle name="40% - 강조색4 22 2" xfId="2171" xr:uid="{337AD63E-DABA-4095-BB74-7C13A54ED33F}"/>
    <cellStyle name="40% - 강조색4 23" xfId="361" xr:uid="{A94E1C99-10E2-431A-8A5F-6CB4CD0476C6}"/>
    <cellStyle name="40% - 강조색4 23 2" xfId="2172" xr:uid="{3D7F0A0B-C554-4BA1-9D98-1250823FCC28}"/>
    <cellStyle name="40% - 강조색4 24" xfId="362" xr:uid="{757368A5-B4C9-4713-8520-A2BAAEBEA5F7}"/>
    <cellStyle name="40% - 강조색4 24 2" xfId="2173" xr:uid="{6D6D8486-72E3-478B-87C1-B51247D07035}"/>
    <cellStyle name="40% - 강조색4 25" xfId="363" xr:uid="{B446DDEF-C731-4E45-98F9-72ED29FF968E}"/>
    <cellStyle name="40% - 강조색4 25 2" xfId="2174" xr:uid="{7706EF21-E095-4A2A-AA2A-C00138544D27}"/>
    <cellStyle name="40% - 강조색4 26" xfId="1384" xr:uid="{5CB23F1E-EFF2-4B4C-BFC1-900C4DAB67BB}"/>
    <cellStyle name="40% - 강조색4 26 2" xfId="1389" xr:uid="{1BA8E4D4-CC5A-4EA4-84D8-56083407AE81}"/>
    <cellStyle name="40% - 강조색4 3" xfId="364" xr:uid="{0E6CB51F-5381-42A9-8AC1-2715ED677643}"/>
    <cellStyle name="40% - 강조색4 3 2" xfId="2175" xr:uid="{1DBBB121-5CA0-4CC8-93AF-259468D46390}"/>
    <cellStyle name="40% - 강조색4 4" xfId="365" xr:uid="{CCDEE91A-B40D-4B90-A4D9-631ED064ADB1}"/>
    <cellStyle name="40% - 강조색4 4 2" xfId="2176" xr:uid="{2DD30356-D48B-407C-BCED-5A4B9D754EB9}"/>
    <cellStyle name="40% - 강조색4 5" xfId="366" xr:uid="{55DA53B4-0B17-4859-B888-2B93B6E2CB5C}"/>
    <cellStyle name="40% - 강조색4 5 2" xfId="2177" xr:uid="{115C1802-139E-468E-B913-A34319A11823}"/>
    <cellStyle name="40% - 강조색4 6" xfId="367" xr:uid="{79A40194-089F-42B4-9EE5-C50CB633CD07}"/>
    <cellStyle name="40% - 강조색4 6 2" xfId="2178" xr:uid="{3EF3DDA7-32DB-47CA-AF94-11BD6551CB81}"/>
    <cellStyle name="40% - 강조색4 7" xfId="368" xr:uid="{B4D30F66-C8F4-4CFB-81D6-DF1866DA0790}"/>
    <cellStyle name="40% - 강조색4 7 2" xfId="2179" xr:uid="{5A9CA1E2-6E94-4EFE-8996-77852409A7B2}"/>
    <cellStyle name="40% - 강조색4 8" xfId="369" xr:uid="{EB1B5EF6-520F-444F-ABB1-4A8D8794A571}"/>
    <cellStyle name="40% - 강조색4 8 2" xfId="2180" xr:uid="{9239BF81-088C-41FD-A77E-A057F9C4B713}"/>
    <cellStyle name="40% - 강조색4 9" xfId="370" xr:uid="{E4CECFDB-4279-47DF-98CC-13FC75D6473F}"/>
    <cellStyle name="40% - 강조색4 9 2" xfId="2181" xr:uid="{CF6C775B-A70F-4561-9310-DB00D73E75EB}"/>
    <cellStyle name="40% - 강조색5 10" xfId="371" xr:uid="{BCCA9B7C-7416-4283-BDB4-A5901D89536F}"/>
    <cellStyle name="40% - 강조색5 10 2" xfId="2182" xr:uid="{4E7CCB7F-C011-40E4-9E8A-97928A775D33}"/>
    <cellStyle name="40% - 강조색5 11" xfId="372" xr:uid="{09AA9316-49AA-4369-AAD4-64FB2F4F9874}"/>
    <cellStyle name="40% - 강조색5 11 2" xfId="2183" xr:uid="{17991171-2722-4372-A9F7-BC2A09D18D56}"/>
    <cellStyle name="40% - 강조색5 12" xfId="373" xr:uid="{47AD15B6-C3DD-46A7-BBB3-AE6CF1B37D8A}"/>
    <cellStyle name="40% - 강조색5 12 2" xfId="2184" xr:uid="{C70B4D10-4F3F-4A7A-A679-49AF36977663}"/>
    <cellStyle name="40% - 강조색5 13" xfId="374" xr:uid="{F41AE9CA-B178-4F19-9DFC-B9D58E9EC885}"/>
    <cellStyle name="40% - 강조색5 13 2" xfId="2185" xr:uid="{3D27E30F-AB00-490B-91B6-0A0EA40F94E1}"/>
    <cellStyle name="40% - 강조색5 14" xfId="375" xr:uid="{2DD6ED5F-21A7-4FEE-B0DF-E2D519857F8C}"/>
    <cellStyle name="40% - 강조색5 14 2" xfId="2186" xr:uid="{5B077500-0DE0-4734-BF5C-B183A29A3193}"/>
    <cellStyle name="40% - 강조색5 15" xfId="376" xr:uid="{BA5FC90F-AC81-4E5C-A416-C3B99B13EF9A}"/>
    <cellStyle name="40% - 강조색5 15 2" xfId="2187" xr:uid="{726052BB-7498-439C-A667-63CAA5840852}"/>
    <cellStyle name="40% - 강조색5 16" xfId="377" xr:uid="{76C93ACE-C03D-4F30-BA7F-7D4145FD5E2B}"/>
    <cellStyle name="40% - 강조색5 16 2" xfId="2188" xr:uid="{F8EE7864-19F3-4099-93F6-BE04172ACE22}"/>
    <cellStyle name="40% - 강조색5 17" xfId="378" xr:uid="{CF1002B5-F0D4-44B7-8A2E-585E1D09DE3D}"/>
    <cellStyle name="40% - 강조색5 17 2" xfId="2189" xr:uid="{DEE152E6-4049-47AA-A930-6CB4FBFDD8FD}"/>
    <cellStyle name="40% - 강조색5 18" xfId="379" xr:uid="{5F611157-5B94-4814-BA10-BAFDDCAAD704}"/>
    <cellStyle name="40% - 강조색5 18 2" xfId="2190" xr:uid="{8ABFB554-C238-42E3-AEAB-1E5484595C61}"/>
    <cellStyle name="40% - 강조색5 19" xfId="380" xr:uid="{DE010C26-2D89-4FFF-BD96-7F8B8190DA37}"/>
    <cellStyle name="40% - 강조색5 19 2" xfId="2191" xr:uid="{A35F48EC-D700-4148-B2DA-601954577BC5}"/>
    <cellStyle name="40% - 강조색5 2" xfId="381" xr:uid="{EF3A4EF4-ABBA-4A65-8EB4-80A7446D6732}"/>
    <cellStyle name="40% - 강조색5 2 2" xfId="2192" xr:uid="{F5473359-F078-49F5-80D2-D52CD0817E0F}"/>
    <cellStyle name="40% - 강조색5 2 3" xfId="1563" xr:uid="{D4A28FEA-E953-4851-A418-AE87E52A94BF}"/>
    <cellStyle name="40% - 강조색5 20" xfId="382" xr:uid="{0962603A-68B1-4317-AF4D-0EB4398C25A0}"/>
    <cellStyle name="40% - 강조색5 20 2" xfId="2193" xr:uid="{FEA23143-12C1-4871-9E19-498DE8B7859A}"/>
    <cellStyle name="40% - 강조색5 21" xfId="383" xr:uid="{ED7191A8-2AE1-4892-9200-64351B6E413E}"/>
    <cellStyle name="40% - 강조색5 21 2" xfId="2194" xr:uid="{C69B1A8E-DEE6-45CF-96D5-91B174610A0D}"/>
    <cellStyle name="40% - 강조색5 22" xfId="384" xr:uid="{BACCCAA7-2BCE-4592-AF4A-EA87AA746731}"/>
    <cellStyle name="40% - 강조색5 22 2" xfId="2195" xr:uid="{CD248012-5EF3-4BEB-97AC-BBA02638175A}"/>
    <cellStyle name="40% - 강조색5 23" xfId="385" xr:uid="{F0173A5A-5ECD-4AB4-A9CC-1C6B1FB731E9}"/>
    <cellStyle name="40% - 강조색5 23 2" xfId="2196" xr:uid="{EA9A1528-C235-45CF-A453-18773A134FCD}"/>
    <cellStyle name="40% - 강조색5 24" xfId="386" xr:uid="{0443C487-B3D4-4A57-8B5B-F1BEA1838BEE}"/>
    <cellStyle name="40% - 강조색5 24 2" xfId="2197" xr:uid="{1D703295-829F-42F9-87CE-9FDDA65BD4EA}"/>
    <cellStyle name="40% - 강조색5 25" xfId="387" xr:uid="{804F2535-4B6E-47A5-A6D7-7AC24797C83E}"/>
    <cellStyle name="40% - 강조색5 25 2" xfId="2198" xr:uid="{32357ED6-82F9-4B4A-BCC8-7D245CE38EE7}"/>
    <cellStyle name="40% - 강조색5 3" xfId="388" xr:uid="{10E4AA41-0F6B-48BA-8668-55D0B08F102D}"/>
    <cellStyle name="40% - 강조색5 3 2" xfId="2199" xr:uid="{DDE6F088-906D-4D3A-95BD-82A5D45E06AC}"/>
    <cellStyle name="40% - 강조색5 4" xfId="389" xr:uid="{606E4C2A-A114-4B89-B581-AF2335331F0C}"/>
    <cellStyle name="40% - 강조색5 4 2" xfId="2200" xr:uid="{42C15724-80D1-4700-9B1B-C1E9E72FD76E}"/>
    <cellStyle name="40% - 강조색5 5" xfId="390" xr:uid="{B96BED67-5488-4301-A87D-F3676DD7018E}"/>
    <cellStyle name="40% - 강조색5 5 2" xfId="2201" xr:uid="{9FF4C088-61D8-433E-9085-8661A73EC4AE}"/>
    <cellStyle name="40% - 강조색5 6" xfId="391" xr:uid="{9863F64B-8DC9-4488-AEE4-EC2DB7C36CA0}"/>
    <cellStyle name="40% - 강조색5 6 2" xfId="2202" xr:uid="{7A68FF8A-6BB5-455F-B40A-682B3B474B13}"/>
    <cellStyle name="40% - 강조색5 7" xfId="392" xr:uid="{91107884-5358-47B4-9EE2-3207D54B477B}"/>
    <cellStyle name="40% - 강조색5 7 2" xfId="2203" xr:uid="{3415D744-0863-41AA-997E-83C1C09CC7AD}"/>
    <cellStyle name="40% - 강조색5 8" xfId="393" xr:uid="{12647A6B-E645-4115-A7D2-D0E6DE34F023}"/>
    <cellStyle name="40% - 강조색5 8 2" xfId="2204" xr:uid="{A81BC2B8-0A53-4544-A084-3A0D0124723E}"/>
    <cellStyle name="40% - 강조색5 9" xfId="394" xr:uid="{723F4C7E-637C-41F3-8197-63D06B2AB133}"/>
    <cellStyle name="40% - 강조색5 9 2" xfId="2205" xr:uid="{CFE689BD-3924-4BEA-80E7-001E4195646D}"/>
    <cellStyle name="40% - 강조색6 10" xfId="395" xr:uid="{207F547E-CD03-44E7-86A9-C7D9333B4C18}"/>
    <cellStyle name="40% - 강조색6 10 2" xfId="2206" xr:uid="{70E79D48-DA22-4CD4-8C8C-C40DD8634A2F}"/>
    <cellStyle name="40% - 강조색6 11" xfId="396" xr:uid="{345BA265-2BBA-4FE7-9F6A-6B9DF33CEB78}"/>
    <cellStyle name="40% - 강조색6 11 2" xfId="2207" xr:uid="{F1A3AF33-C731-4BAB-8308-9DA7CB4664E2}"/>
    <cellStyle name="40% - 강조색6 12" xfId="397" xr:uid="{ABF6032A-375E-4185-8472-E48694DFEB0B}"/>
    <cellStyle name="40% - 강조색6 12 2" xfId="2208" xr:uid="{A9A1B036-1503-4E1D-8EEA-24215DF7B95B}"/>
    <cellStyle name="40% - 강조색6 13" xfId="398" xr:uid="{0631C9D6-D5DC-4762-9DFE-00CB4D085D08}"/>
    <cellStyle name="40% - 강조색6 13 2" xfId="2209" xr:uid="{E1214C06-6879-486D-A259-32E1AEF4267E}"/>
    <cellStyle name="40% - 강조색6 14" xfId="399" xr:uid="{EAC401E9-5894-40E5-8EF9-6B8364224F41}"/>
    <cellStyle name="40% - 강조색6 14 2" xfId="2210" xr:uid="{0905576B-A416-4B84-9649-F1934A269915}"/>
    <cellStyle name="40% - 강조색6 15" xfId="400" xr:uid="{DFFB9ECA-C915-4EC8-A6BA-8DF8ABD9485D}"/>
    <cellStyle name="40% - 강조색6 15 2" xfId="2211" xr:uid="{7BF7C2A3-A108-49D7-87DD-1F184F9779A5}"/>
    <cellStyle name="40% - 강조색6 16" xfId="401" xr:uid="{2A2F1392-7C32-453C-98DB-3C5AFC1BD733}"/>
    <cellStyle name="40% - 강조색6 16 2" xfId="2212" xr:uid="{532DB083-EC24-4C8C-863E-E36E6ADD0AEA}"/>
    <cellStyle name="40% - 강조색6 17" xfId="402" xr:uid="{AB06C629-2EC0-447D-A811-F40DBF0A2F27}"/>
    <cellStyle name="40% - 강조색6 17 2" xfId="2213" xr:uid="{9A1EA291-2B6E-4871-ADE9-C03048BD483E}"/>
    <cellStyle name="40% - 강조색6 18" xfId="403" xr:uid="{88A4DBDD-CE91-443A-9A39-0B2F6F5386C5}"/>
    <cellStyle name="40% - 강조색6 18 2" xfId="2214" xr:uid="{37DBD042-4066-4502-A437-ACEC861E3728}"/>
    <cellStyle name="40% - 강조색6 19" xfId="404" xr:uid="{E3C31B43-1115-439C-B52D-0B1CC8E0396A}"/>
    <cellStyle name="40% - 강조색6 19 2" xfId="2215" xr:uid="{DE0CC53F-05B9-4983-87BC-152C774F1C22}"/>
    <cellStyle name="40% - 강조색6 2" xfId="14" xr:uid="{00000000-0005-0000-0000-000008000000}"/>
    <cellStyle name="40% - 강조색6 2 2" xfId="405" xr:uid="{A0D86A70-624C-4F1D-B64A-C87D4726347D}"/>
    <cellStyle name="40% - 강조색6 2 2 2" xfId="2216" xr:uid="{8F55A2D1-9384-4156-A583-5FB342239311}"/>
    <cellStyle name="40% - 강조색6 2 3" xfId="1564" xr:uid="{1D93C152-1240-4D6A-A9BD-8891C0A0B6FF}"/>
    <cellStyle name="40% - 강조색6 20" xfId="406" xr:uid="{322A1127-9B82-47DF-AA7A-B8EB86770ABA}"/>
    <cellStyle name="40% - 강조색6 20 2" xfId="2217" xr:uid="{546E05B9-5139-4F85-A2EC-C8BDE4C7A2A3}"/>
    <cellStyle name="40% - 강조색6 21" xfId="407" xr:uid="{3E15FE1E-BC8C-48A9-B7A0-8260333C4C60}"/>
    <cellStyle name="40% - 강조색6 21 2" xfId="2218" xr:uid="{D2FDFF4C-983A-4F26-AF1C-CA3461B2678C}"/>
    <cellStyle name="40% - 강조색6 22" xfId="408" xr:uid="{582D61F3-C518-4868-9333-AB1B31429321}"/>
    <cellStyle name="40% - 강조색6 22 2" xfId="2219" xr:uid="{8D442258-C175-4C75-A4A4-BB4D44DF437F}"/>
    <cellStyle name="40% - 강조색6 23" xfId="409" xr:uid="{037C467E-17A0-4D5C-89F6-CBF0AD57656C}"/>
    <cellStyle name="40% - 강조색6 23 2" xfId="2220" xr:uid="{5029A9F2-69A7-49A6-9582-B167E339BBB1}"/>
    <cellStyle name="40% - 강조색6 24" xfId="410" xr:uid="{77F4519D-0204-4900-8C07-85593D5C876E}"/>
    <cellStyle name="40% - 강조색6 24 2" xfId="2221" xr:uid="{72F779F7-5231-4633-BBE7-7BB4788078C0}"/>
    <cellStyle name="40% - 강조색6 25" xfId="411" xr:uid="{662CB922-94C0-4FB6-A947-CE0B89728FFF}"/>
    <cellStyle name="40% - 강조색6 25 2" xfId="2222" xr:uid="{C51D0270-38EC-43BB-BBC3-C484C7BEB445}"/>
    <cellStyle name="40% - 강조색6 3" xfId="412" xr:uid="{CD9CF11E-700F-4E4B-B5B2-C9A6AA138C39}"/>
    <cellStyle name="40% - 강조색6 3 2" xfId="2223" xr:uid="{1CAFF65B-797A-45F5-A0FF-A7DCA0B24926}"/>
    <cellStyle name="40% - 강조색6 4" xfId="413" xr:uid="{5A5F2FFB-09FD-4C8F-B353-A2C1ADCFA829}"/>
    <cellStyle name="40% - 강조색6 4 2" xfId="2224" xr:uid="{52564AF8-F49A-4487-8B72-953530E3F19B}"/>
    <cellStyle name="40% - 강조색6 5" xfId="414" xr:uid="{C6428FAC-AF28-4936-8A9B-2806773E33AB}"/>
    <cellStyle name="40% - 강조색6 5 2" xfId="2225" xr:uid="{32CFFE4F-4F9D-4CF0-9F2C-DC93AD2C5843}"/>
    <cellStyle name="40% - 강조색6 6" xfId="415" xr:uid="{011D1FB2-27F4-47AB-9E57-9271DEEC6C6C}"/>
    <cellStyle name="40% - 강조색6 6 2" xfId="2226" xr:uid="{D3EA503F-A7EB-4414-99A6-31F9CE67E75C}"/>
    <cellStyle name="40% - 강조색6 7" xfId="416" xr:uid="{A1F0027D-26E5-49D3-8B62-8E51D2A24081}"/>
    <cellStyle name="40% - 강조색6 7 2" xfId="2227" xr:uid="{869F833F-4B72-459C-8DB0-FF99E3329A5A}"/>
    <cellStyle name="40% - 강조색6 8" xfId="417" xr:uid="{6468CB54-A255-4EC4-B948-831D844CD141}"/>
    <cellStyle name="40% - 강조색6 8 2" xfId="2228" xr:uid="{4968A26C-F942-4617-85BF-567246E371A6}"/>
    <cellStyle name="40% - 강조색6 9" xfId="418" xr:uid="{4404C8A1-EFE2-4967-A917-3AB736E1D668}"/>
    <cellStyle name="40% - 강조색6 9 2" xfId="2229" xr:uid="{CBC95485-0716-4A28-BA2C-6AE2EB01644F}"/>
    <cellStyle name="60% - 강조색1 10" xfId="419" xr:uid="{8F2E84A1-28CF-4E10-B404-25008DA8B66F}"/>
    <cellStyle name="60% - 강조색1 10 2" xfId="2230" xr:uid="{D2B66E1B-8FEC-4727-BBC2-32C2799B45F2}"/>
    <cellStyle name="60% - 강조색1 11" xfId="420" xr:uid="{42B0F702-9D5D-4FB0-8280-596016F54C27}"/>
    <cellStyle name="60% - 강조색1 11 2" xfId="2231" xr:uid="{CF344494-AAD9-48A2-A364-B3A9E6C3FACD}"/>
    <cellStyle name="60% - 강조색1 12" xfId="421" xr:uid="{4CF2C88A-5DF2-4F7D-AB00-253806CAA9A2}"/>
    <cellStyle name="60% - 강조색1 12 2" xfId="2232" xr:uid="{A4F8A7D4-A9EF-485D-BADA-B4E59C6954C8}"/>
    <cellStyle name="60% - 강조색1 13" xfId="422" xr:uid="{D99A9EF8-8D70-43C2-8059-68FB6D507A3A}"/>
    <cellStyle name="60% - 강조색1 13 2" xfId="2233" xr:uid="{E85C9876-B6B5-4E2C-8B01-14D17CFD66CF}"/>
    <cellStyle name="60% - 강조색1 14" xfId="423" xr:uid="{32F95E32-73C5-4488-9DEA-80514411A814}"/>
    <cellStyle name="60% - 강조색1 14 2" xfId="2234" xr:uid="{A3A7AA24-78CF-4096-A525-8ED3E7E10A76}"/>
    <cellStyle name="60% - 강조색1 15" xfId="424" xr:uid="{58E28464-4079-4618-8CB8-9FD63002261F}"/>
    <cellStyle name="60% - 강조색1 15 2" xfId="2235" xr:uid="{199ED960-594F-41E9-8E0D-A532BA97F67E}"/>
    <cellStyle name="60% - 강조색1 16" xfId="425" xr:uid="{8B0458D8-59F6-4D1B-8575-8685D08D1B84}"/>
    <cellStyle name="60% - 강조색1 16 2" xfId="2236" xr:uid="{5E94AA8D-865C-4B19-AA1E-22A0A4267F40}"/>
    <cellStyle name="60% - 강조색1 17" xfId="426" xr:uid="{F5809A56-46FC-44EE-A381-0DC191D6A24A}"/>
    <cellStyle name="60% - 강조색1 17 2" xfId="2237" xr:uid="{A513CF9B-D37E-4CB4-9C44-CA122BC469E4}"/>
    <cellStyle name="60% - 강조색1 18" xfId="427" xr:uid="{85F4F6AD-67BA-42E0-8D8F-E418053129FC}"/>
    <cellStyle name="60% - 강조색1 18 2" xfId="2238" xr:uid="{C2E7C8D6-F654-4EE2-AA20-453CE3A279BA}"/>
    <cellStyle name="60% - 강조색1 19" xfId="428" xr:uid="{54D03F7A-2F63-4DCE-B83A-F83DA556AB8A}"/>
    <cellStyle name="60% - 강조색1 19 2" xfId="2239" xr:uid="{BEC24CC7-E0FC-4E6E-84F3-0AF6B1894A24}"/>
    <cellStyle name="60% - 강조색1 2" xfId="429" xr:uid="{6FC4514F-8EB7-4D94-B6EB-10BC7FA886CF}"/>
    <cellStyle name="60% - 강조색1 2 2" xfId="2240" xr:uid="{E8C7CF4D-CD0F-442A-B43C-33A77793671B}"/>
    <cellStyle name="60% - 강조색1 2 3" xfId="1565" xr:uid="{6F6D2A42-097E-490D-9743-FC95C416FBEF}"/>
    <cellStyle name="60% - 강조색1 20" xfId="430" xr:uid="{ED873EF7-EADA-467F-AB02-15BA347EB08D}"/>
    <cellStyle name="60% - 강조색1 20 2" xfId="2241" xr:uid="{4048D217-ACEB-49FC-92D8-E359B161008E}"/>
    <cellStyle name="60% - 강조색1 21" xfId="431" xr:uid="{19797E91-D76C-44CF-B601-D30EC6DC0560}"/>
    <cellStyle name="60% - 강조색1 21 2" xfId="2242" xr:uid="{7C453075-385F-40AD-B78A-0C3C72550283}"/>
    <cellStyle name="60% - 강조색1 22" xfId="432" xr:uid="{8EFC1F7B-22E5-40D2-B221-A9510E9C2818}"/>
    <cellStyle name="60% - 강조색1 22 2" xfId="2243" xr:uid="{4412B301-5598-4AFD-AA9D-FE775E466ABE}"/>
    <cellStyle name="60% - 강조색1 23" xfId="433" xr:uid="{1CCAD1E0-A354-4309-82EF-2795577629C3}"/>
    <cellStyle name="60% - 강조색1 23 2" xfId="2244" xr:uid="{B0AEE65D-06C1-4DBA-9564-9DDBEB2B4730}"/>
    <cellStyle name="60% - 강조색1 24" xfId="434" xr:uid="{E1E8B315-15A7-4509-A83E-1D8AA29D1785}"/>
    <cellStyle name="60% - 강조색1 24 2" xfId="2245" xr:uid="{2C513B6E-A788-4A08-AB24-FB25CDEF538F}"/>
    <cellStyle name="60% - 강조색1 25" xfId="435" xr:uid="{98FAAE9E-21DC-4838-8F68-E7ACAE5DEC82}"/>
    <cellStyle name="60% - 강조색1 25 2" xfId="2246" xr:uid="{CA636BB4-B4DB-4193-B893-7D6238F8B483}"/>
    <cellStyle name="60% - 강조색1 3" xfId="436" xr:uid="{5EF4C2A2-99B4-4E39-81F9-CEE62B4A25C7}"/>
    <cellStyle name="60% - 강조색1 3 2" xfId="2247" xr:uid="{EFC48FF2-7861-48BD-B42A-99BD19DF4F8A}"/>
    <cellStyle name="60% - 강조색1 4" xfId="437" xr:uid="{DCCFCBE9-A3BC-4C67-BEFF-0241D6AB4D4D}"/>
    <cellStyle name="60% - 강조색1 4 2" xfId="2248" xr:uid="{6EF9C14F-D192-44C9-94F9-EE65A666FFD6}"/>
    <cellStyle name="60% - 강조색1 5" xfId="438" xr:uid="{E342B69E-1537-45FD-B21A-06C5CD036D50}"/>
    <cellStyle name="60% - 강조색1 5 2" xfId="2249" xr:uid="{9C0AA1FD-E668-477B-9D49-0F7BD7F3E68F}"/>
    <cellStyle name="60% - 강조색1 6" xfId="439" xr:uid="{242E217E-1417-4D37-BD06-1B8EA04FA8A9}"/>
    <cellStyle name="60% - 강조색1 6 2" xfId="2250" xr:uid="{258F8770-F97A-4C01-BD67-E937B1BD604F}"/>
    <cellStyle name="60% - 강조색1 7" xfId="440" xr:uid="{7A454952-7B92-4FBC-BB8E-884D813204B3}"/>
    <cellStyle name="60% - 강조색1 7 2" xfId="2251" xr:uid="{34B1244E-1B95-4E56-A51C-3DF82B1914C1}"/>
    <cellStyle name="60% - 강조색1 8" xfId="441" xr:uid="{275354C3-4021-4C2D-A837-2420DD3E731D}"/>
    <cellStyle name="60% - 강조색1 8 2" xfId="2252" xr:uid="{CB67064B-9981-4BE3-BDFA-9F5D3E4735D3}"/>
    <cellStyle name="60% - 강조색1 9" xfId="442" xr:uid="{488B6EE1-A83E-426F-A0FD-4608DB497A33}"/>
    <cellStyle name="60% - 강조색1 9 2" xfId="2253" xr:uid="{1AB5479D-0AE5-4BA3-AC61-C95F32A18AE1}"/>
    <cellStyle name="60% - 강조색2 10" xfId="443" xr:uid="{52EEA3E7-D2EA-4712-9F5B-975C53531261}"/>
    <cellStyle name="60% - 강조색2 10 2" xfId="2254" xr:uid="{80B971B9-6AAE-40A2-87AD-26B573E9C0A9}"/>
    <cellStyle name="60% - 강조색2 11" xfId="444" xr:uid="{AC199655-3E3F-46CD-8D6C-7AAFF131B5B1}"/>
    <cellStyle name="60% - 강조색2 11 2" xfId="2255" xr:uid="{8D68FE8A-B6E6-432E-8B4A-E9DB020062D8}"/>
    <cellStyle name="60% - 강조색2 12" xfId="445" xr:uid="{7621217F-C843-4FC0-A98B-0A8A857C6557}"/>
    <cellStyle name="60% - 강조색2 12 2" xfId="2256" xr:uid="{ADE3B062-D100-4719-80EB-E2F953A84628}"/>
    <cellStyle name="60% - 강조색2 13" xfId="446" xr:uid="{3AA756AF-12E3-4D83-9541-3E55FDDD44A2}"/>
    <cellStyle name="60% - 강조색2 13 2" xfId="2257" xr:uid="{2F4CC797-BD1D-48BF-B00E-462D35660A9D}"/>
    <cellStyle name="60% - 강조색2 14" xfId="447" xr:uid="{250B3DCB-2837-459E-A0AD-64D17821CB88}"/>
    <cellStyle name="60% - 강조색2 14 2" xfId="2258" xr:uid="{8110EB90-8F14-4F42-B588-32C61E850AFA}"/>
    <cellStyle name="60% - 강조색2 15" xfId="448" xr:uid="{0AF1D5C8-088A-459C-A568-31278E826CDE}"/>
    <cellStyle name="60% - 강조색2 15 2" xfId="2259" xr:uid="{0F95B477-3BE1-4107-B5EE-6E29AF644B2C}"/>
    <cellStyle name="60% - 강조색2 16" xfId="449" xr:uid="{81418F23-FE76-4458-AE83-5C9C6D01B116}"/>
    <cellStyle name="60% - 강조색2 16 2" xfId="2260" xr:uid="{976E7A3E-6255-4146-BCE0-4AAB97C63EA0}"/>
    <cellStyle name="60% - 강조색2 17" xfId="450" xr:uid="{E02B2DD5-590D-46E2-AABB-0988F78C1532}"/>
    <cellStyle name="60% - 강조색2 17 2" xfId="2261" xr:uid="{9137B574-2BE6-4469-B681-58222CF35E1F}"/>
    <cellStyle name="60% - 강조색2 18" xfId="451" xr:uid="{A3EB9A6A-8632-4736-9D13-F77E8A69E93F}"/>
    <cellStyle name="60% - 강조색2 18 2" xfId="2262" xr:uid="{96D4D7CE-6E9D-4CFC-A297-D1164EB9790A}"/>
    <cellStyle name="60% - 강조색2 19" xfId="452" xr:uid="{E7B0F8AC-65FA-4EC4-B3BF-5339B61F212C}"/>
    <cellStyle name="60% - 강조색2 19 2" xfId="2263" xr:uid="{CC74CD9F-BB71-4615-A552-19CE23EBEDE8}"/>
    <cellStyle name="60% - 강조색2 2" xfId="453" xr:uid="{84B4BC76-B4D9-4563-9878-EEBD6E2500D5}"/>
    <cellStyle name="60% - 강조색2 2 2" xfId="2264" xr:uid="{1535209E-D4B1-466B-8DCD-62F74B46F7C1}"/>
    <cellStyle name="60% - 강조색2 2 3" xfId="1566" xr:uid="{66783F5D-2AC9-444F-A24A-0DDBFBA30B83}"/>
    <cellStyle name="60% - 강조색2 20" xfId="454" xr:uid="{61CDFB77-079B-48C6-9779-F92A1E8C9E0F}"/>
    <cellStyle name="60% - 강조색2 20 2" xfId="2265" xr:uid="{83726C20-4B62-43EC-91DC-419E53E1B842}"/>
    <cellStyle name="60% - 강조색2 21" xfId="455" xr:uid="{3D172569-A370-4238-A7F4-C799C23B1937}"/>
    <cellStyle name="60% - 강조색2 21 2" xfId="2266" xr:uid="{892B7E62-5284-4EA0-A387-9FB4B974154E}"/>
    <cellStyle name="60% - 강조색2 22" xfId="456" xr:uid="{5153488A-0114-4E79-BB76-B19E2DF59D74}"/>
    <cellStyle name="60% - 강조색2 22 2" xfId="2267" xr:uid="{9B075AA8-6BF9-4F31-8FF1-7662A87CEA33}"/>
    <cellStyle name="60% - 강조색2 23" xfId="457" xr:uid="{887A57C6-F4FD-450B-AE30-F3E906B7823E}"/>
    <cellStyle name="60% - 강조색2 23 2" xfId="2268" xr:uid="{FF213DFD-B3DD-43DC-B945-F36EC67B0AEC}"/>
    <cellStyle name="60% - 강조색2 24" xfId="458" xr:uid="{A8C0010A-A807-46D3-8CBE-66E522BB344D}"/>
    <cellStyle name="60% - 강조색2 24 2" xfId="2269" xr:uid="{045776BD-F3D9-4E40-93DE-1CC53190A723}"/>
    <cellStyle name="60% - 강조색2 25" xfId="459" xr:uid="{BEACD180-B43B-4725-9E23-A6B38555285E}"/>
    <cellStyle name="60% - 강조색2 25 2" xfId="2270" xr:uid="{0D43D043-E8DC-4BE4-95FB-E7741FA60D69}"/>
    <cellStyle name="60% - 강조색2 3" xfId="460" xr:uid="{186F6C42-E96A-4857-8A84-587CD2B651CE}"/>
    <cellStyle name="60% - 강조색2 3 2" xfId="2271" xr:uid="{0AD30B37-8055-40F0-8BCB-323DBA9F6A21}"/>
    <cellStyle name="60% - 강조색2 4" xfId="461" xr:uid="{AD0A7A79-B83A-441C-A9F8-3706943EE3EB}"/>
    <cellStyle name="60% - 강조색2 4 2" xfId="2272" xr:uid="{4C847805-1658-4152-9349-60481BDEE807}"/>
    <cellStyle name="60% - 강조색2 5" xfId="462" xr:uid="{BDB94091-DB47-499A-81FA-5BA29FBA1B3B}"/>
    <cellStyle name="60% - 강조색2 5 2" xfId="2273" xr:uid="{F3C4BCD1-2D05-4671-ABD4-92AFB94FB670}"/>
    <cellStyle name="60% - 강조색2 6" xfId="463" xr:uid="{D17A1EE7-73DF-4BC3-AF4F-4E0C7F7FE349}"/>
    <cellStyle name="60% - 강조색2 6 2" xfId="2274" xr:uid="{805C850D-9A1A-44B3-85B7-7EF52A1F857D}"/>
    <cellStyle name="60% - 강조색2 7" xfId="464" xr:uid="{2A884612-E81A-47AA-B539-478639588E43}"/>
    <cellStyle name="60% - 강조색2 7 2" xfId="2275" xr:uid="{41B04CD6-E26C-44B2-A921-132924BC40C5}"/>
    <cellStyle name="60% - 강조색2 8" xfId="465" xr:uid="{15E8F1AE-DA85-4D92-A0AB-0C42B197FDCF}"/>
    <cellStyle name="60% - 강조색2 8 2" xfId="2276" xr:uid="{1B75B065-3C58-44B1-9FDD-EB1CD02D2C34}"/>
    <cellStyle name="60% - 강조색2 9" xfId="466" xr:uid="{45414AAF-A36D-4A8D-B7FB-DF1C4B5E10A6}"/>
    <cellStyle name="60% - 강조색2 9 2" xfId="2277" xr:uid="{C37AAD89-707A-443B-B523-5A2870A420B6}"/>
    <cellStyle name="60% - 강조색3 10" xfId="467" xr:uid="{315D0B37-90A1-4D1D-80D8-B2F13A1B8A39}"/>
    <cellStyle name="60% - 강조색3 10 2" xfId="2278" xr:uid="{171E2E4A-9F47-43A1-8999-9102EF486516}"/>
    <cellStyle name="60% - 강조색3 11" xfId="468" xr:uid="{2225DE2B-B290-419E-9B7E-FAE930F5FD0A}"/>
    <cellStyle name="60% - 강조색3 11 2" xfId="2279" xr:uid="{FA6F5D89-1474-4C1F-BB5A-DF8E780ADFEF}"/>
    <cellStyle name="60% - 강조색3 12" xfId="469" xr:uid="{778C435B-BE08-4B03-9385-83C8DB5E07ED}"/>
    <cellStyle name="60% - 강조색3 12 2" xfId="2280" xr:uid="{84E61AF5-0326-4EB0-9C1E-A6F22E2A7B33}"/>
    <cellStyle name="60% - 강조색3 13" xfId="470" xr:uid="{51443E74-14A8-4CF6-B0F5-582E2427B7B1}"/>
    <cellStyle name="60% - 강조색3 13 2" xfId="2281" xr:uid="{6C57E0A7-E489-4EED-B1C0-D7E6866ABD67}"/>
    <cellStyle name="60% - 강조색3 14" xfId="471" xr:uid="{4A4EF7C1-BADE-42CC-9CE7-4E6DE54A3F7F}"/>
    <cellStyle name="60% - 강조색3 14 2" xfId="2282" xr:uid="{D8007623-6C39-4EBF-B776-F9FB3BB4E748}"/>
    <cellStyle name="60% - 강조색3 15" xfId="472" xr:uid="{B06CA57F-6B6D-4DF1-88AF-15902F945DF2}"/>
    <cellStyle name="60% - 강조색3 15 2" xfId="2283" xr:uid="{1B46B494-E2A5-4882-A783-C14714495916}"/>
    <cellStyle name="60% - 강조색3 16" xfId="473" xr:uid="{917CE326-AA87-461F-A9CC-95E0FF836EFA}"/>
    <cellStyle name="60% - 강조색3 16 2" xfId="2284" xr:uid="{E99E9204-A6E7-48DE-898B-769CC6621D2C}"/>
    <cellStyle name="60% - 강조색3 17" xfId="474" xr:uid="{785A8D05-A288-44EC-8C9F-37A0415510EC}"/>
    <cellStyle name="60% - 강조색3 17 2" xfId="2285" xr:uid="{6A5DE288-6440-451C-8C0B-D9D27CCF2B43}"/>
    <cellStyle name="60% - 강조색3 18" xfId="475" xr:uid="{3D27A865-2033-4B6D-B5E2-85A10431ACFA}"/>
    <cellStyle name="60% - 강조색3 18 2" xfId="2286" xr:uid="{50B27BFF-9D9A-4346-A3CD-3C741E5EA98F}"/>
    <cellStyle name="60% - 강조색3 19" xfId="476" xr:uid="{704DD01F-7180-4E92-B7CE-0CD85CB04A8C}"/>
    <cellStyle name="60% - 강조색3 19 2" xfId="2287" xr:uid="{B9A2DA04-6A8B-4213-93CD-CF983AE1AF08}"/>
    <cellStyle name="60% - 강조색3 2" xfId="477" xr:uid="{734C3C01-AE03-46FE-9556-6713511F5782}"/>
    <cellStyle name="60% - 강조색3 2 2" xfId="2288" xr:uid="{FD4EA5FE-4C3C-49F1-B713-8A9AA7113F29}"/>
    <cellStyle name="60% - 강조색3 2 3" xfId="1567" xr:uid="{B2BCDDDF-E4E0-49DF-8AD2-64ACCAF04AA2}"/>
    <cellStyle name="60% - 강조색3 20" xfId="478" xr:uid="{FCCD50A2-00D4-4DAD-B9C1-708AFB7ECB70}"/>
    <cellStyle name="60% - 강조색3 20 2" xfId="2289" xr:uid="{F0315876-A0E9-4A2A-9AA8-6C0AAA682434}"/>
    <cellStyle name="60% - 강조색3 21" xfId="479" xr:uid="{B02BFEAF-600B-426F-B818-91ED759FAF46}"/>
    <cellStyle name="60% - 강조색3 21 2" xfId="2290" xr:uid="{74806B52-A931-4E02-9912-6958A7EC0BBC}"/>
    <cellStyle name="60% - 강조색3 22" xfId="480" xr:uid="{39CBFD07-8868-4E50-A4DD-E5F4D31E55F5}"/>
    <cellStyle name="60% - 강조색3 22 2" xfId="2291" xr:uid="{C700ECDC-007A-4A24-940E-0A58A338E51C}"/>
    <cellStyle name="60% - 강조색3 23" xfId="481" xr:uid="{9C3F62C7-DEDB-49F3-BD0B-1A7D8D3C2629}"/>
    <cellStyle name="60% - 강조색3 23 2" xfId="2292" xr:uid="{4F6912F4-9A03-48A5-9696-BD66FEDC2DC6}"/>
    <cellStyle name="60% - 강조색3 24" xfId="482" xr:uid="{A318CDBA-BEA7-43A5-BB61-81D8F3149763}"/>
    <cellStyle name="60% - 강조색3 24 2" xfId="2293" xr:uid="{DE15C025-CBFA-4A97-8203-7FED874C5583}"/>
    <cellStyle name="60% - 강조색3 25" xfId="483" xr:uid="{D0FDB4DE-BF51-4E99-8160-142BC13A3BC5}"/>
    <cellStyle name="60% - 강조색3 25 2" xfId="2294" xr:uid="{9BFD43E2-781B-451E-BEA7-7DE0E1349700}"/>
    <cellStyle name="60% - 강조색3 3" xfId="484" xr:uid="{EFCCE465-018A-4CF5-8506-78D58A3792EC}"/>
    <cellStyle name="60% - 강조색3 3 2" xfId="2295" xr:uid="{2363E5C0-B65B-4663-9498-B2F7481A52EC}"/>
    <cellStyle name="60% - 강조색3 4" xfId="485" xr:uid="{9790D6EA-CEA0-40A7-B20A-6A0AA667F346}"/>
    <cellStyle name="60% - 강조색3 4 2" xfId="2296" xr:uid="{2D0EBED0-E3FB-41DC-95F7-C7CE4D061A11}"/>
    <cellStyle name="60% - 강조색3 5" xfId="486" xr:uid="{A819482B-71F2-41B6-B961-6DB0DE15692D}"/>
    <cellStyle name="60% - 강조색3 5 2" xfId="2297" xr:uid="{645A4E91-9C28-4861-967F-17BFD436A653}"/>
    <cellStyle name="60% - 강조색3 6" xfId="487" xr:uid="{8F0C07DE-1D50-46D9-B256-912A0BEDC146}"/>
    <cellStyle name="60% - 강조색3 6 2" xfId="2298" xr:uid="{4DA41C3B-9662-4800-BE5A-198E317E2082}"/>
    <cellStyle name="60% - 강조색3 7" xfId="488" xr:uid="{35EC080E-0BAB-4B71-95C3-CDE2BEC5B2D7}"/>
    <cellStyle name="60% - 강조색3 7 2" xfId="2299" xr:uid="{B3FFFF9E-43C3-4D69-9439-D5A89FFBCEB4}"/>
    <cellStyle name="60% - 강조색3 8" xfId="489" xr:uid="{57EC6A7B-AE99-4B47-BA60-43EC1D9697B7}"/>
    <cellStyle name="60% - 강조색3 8 2" xfId="2300" xr:uid="{6E8EA58D-12D5-438C-9ADE-4AAF1E64B46C}"/>
    <cellStyle name="60% - 강조색3 9" xfId="490" xr:uid="{C87CDC43-D496-4C1D-968D-FAB784FB6C89}"/>
    <cellStyle name="60% - 강조색3 9 2" xfId="2301" xr:uid="{50D5082B-83AB-497C-9B18-6D6AFC96A83B}"/>
    <cellStyle name="60% - 강조색4 10" xfId="491" xr:uid="{0DFA85D8-8B6F-4C09-A348-C27FCD7E9C11}"/>
    <cellStyle name="60% - 강조색4 10 2" xfId="2302" xr:uid="{3E20E3CD-55B3-458F-8D4A-FE8CDB651903}"/>
    <cellStyle name="60% - 강조색4 11" xfId="492" xr:uid="{ACDF375D-E7B9-422F-A8EF-0A13A4B2CA2F}"/>
    <cellStyle name="60% - 강조색4 11 2" xfId="2303" xr:uid="{D8F7832D-15AB-4ADC-9BCA-4E9D8F2DF05C}"/>
    <cellStyle name="60% - 강조색4 12" xfId="493" xr:uid="{26E2123C-BEF4-4139-8BE7-47573CD41AF5}"/>
    <cellStyle name="60% - 강조색4 12 2" xfId="2304" xr:uid="{3F2B82AF-9C62-4955-98D6-FDC7CD42F125}"/>
    <cellStyle name="60% - 강조색4 13" xfId="494" xr:uid="{9C12F0B7-8C61-484E-A2A5-7AE25122EDFF}"/>
    <cellStyle name="60% - 강조색4 13 2" xfId="2305" xr:uid="{9952CFA0-6680-489F-85A9-2CE0C3442938}"/>
    <cellStyle name="60% - 강조색4 14" xfId="495" xr:uid="{93CEB5EE-6277-4064-A832-12939E78D4BC}"/>
    <cellStyle name="60% - 강조색4 14 2" xfId="2306" xr:uid="{252A078E-169C-4C6C-9BDC-4757C45E6624}"/>
    <cellStyle name="60% - 강조색4 15" xfId="496" xr:uid="{B76A8DC7-6DDB-4857-8BD0-3240D5469E30}"/>
    <cellStyle name="60% - 강조색4 15 2" xfId="2307" xr:uid="{47F0527A-A507-45E6-9F29-E9D14D70D78F}"/>
    <cellStyle name="60% - 강조색4 16" xfId="497" xr:uid="{C0B6A7EC-987A-48BF-868F-B5E80A144970}"/>
    <cellStyle name="60% - 강조색4 16 2" xfId="2308" xr:uid="{C3FAFC54-292F-446C-890B-D8ABF0FA8316}"/>
    <cellStyle name="60% - 강조색4 17" xfId="498" xr:uid="{68AE0781-0F31-4EF4-9B08-6071601C561F}"/>
    <cellStyle name="60% - 강조색4 17 2" xfId="2309" xr:uid="{47917E75-349E-4005-A3D5-69AEFE6CC1B5}"/>
    <cellStyle name="60% - 강조색4 18" xfId="499" xr:uid="{0F31E881-DDBF-4742-B1AB-7FB0DC9846FD}"/>
    <cellStyle name="60% - 강조색4 18 2" xfId="2310" xr:uid="{DB8CFDC4-222A-4FD1-8C41-7CA8D243B6E3}"/>
    <cellStyle name="60% - 강조색4 19" xfId="500" xr:uid="{7C3A62B1-A5A4-4BF7-AE70-6753D25337A8}"/>
    <cellStyle name="60% - 강조색4 19 2" xfId="2311" xr:uid="{7B01BFDE-1056-4389-8CAC-D615D762D375}"/>
    <cellStyle name="60% - 강조색4 2" xfId="501" xr:uid="{2FFEF4F2-5CA9-4F6F-BCD1-C382ECE56792}"/>
    <cellStyle name="60% - 강조색4 2 2" xfId="2312" xr:uid="{BAA20C02-D270-416F-BE93-21B613EF713E}"/>
    <cellStyle name="60% - 강조색4 2 3" xfId="1568" xr:uid="{773BCAA8-59E8-4703-B55F-8CCDE3C7273C}"/>
    <cellStyle name="60% - 강조색4 20" xfId="502" xr:uid="{08E4EEF8-485A-495A-81D8-8A3C749905F9}"/>
    <cellStyle name="60% - 강조색4 20 2" xfId="2313" xr:uid="{762DFC8F-8205-4566-A30F-0A23C1550F8A}"/>
    <cellStyle name="60% - 강조색4 21" xfId="503" xr:uid="{D83723F0-6217-4CBD-8407-F6831AF49A4D}"/>
    <cellStyle name="60% - 강조색4 21 2" xfId="2314" xr:uid="{25F97DF6-A12E-447E-A986-63449D5BBC1A}"/>
    <cellStyle name="60% - 강조색4 22" xfId="504" xr:uid="{17AC05F2-50BC-4C90-8202-C0F827850F1E}"/>
    <cellStyle name="60% - 강조색4 22 2" xfId="2315" xr:uid="{884D9146-D1BC-4E4A-A985-4FC6345483BC}"/>
    <cellStyle name="60% - 강조색4 23" xfId="505" xr:uid="{1BE555B3-6328-4CC1-8BA6-3A52704B8E5A}"/>
    <cellStyle name="60% - 강조색4 23 2" xfId="2316" xr:uid="{8D0E0946-8297-431F-846A-84C9615C8B7E}"/>
    <cellStyle name="60% - 강조색4 24" xfId="506" xr:uid="{72514E48-FB19-48A6-A740-C37801B0C560}"/>
    <cellStyle name="60% - 강조색4 24 2" xfId="2317" xr:uid="{1473C0D0-6EBD-47CA-ACEC-53E21FC7ADA5}"/>
    <cellStyle name="60% - 강조색4 25" xfId="507" xr:uid="{FC2F00F8-80C9-4CE9-A31A-C7DA7BC91729}"/>
    <cellStyle name="60% - 강조색4 25 2" xfId="2318" xr:uid="{0282321C-0170-4414-AA49-DCEB92A8606F}"/>
    <cellStyle name="60% - 강조색4 3" xfId="508" xr:uid="{1ECA04F8-0A1D-44B1-B9F5-00163E88FD92}"/>
    <cellStyle name="60% - 강조색4 3 2" xfId="2319" xr:uid="{BD1D9DBD-5D20-4F6D-A3B7-6B1D6D944EA7}"/>
    <cellStyle name="60% - 강조색4 4" xfId="509" xr:uid="{349AD280-28D3-4B3A-B72B-DF95412FFB23}"/>
    <cellStyle name="60% - 강조색4 4 2" xfId="2320" xr:uid="{897452EE-1EAB-4626-BB09-54632851EAB0}"/>
    <cellStyle name="60% - 강조색4 5" xfId="510" xr:uid="{6C18C5B3-C5C5-403E-8EF5-092D8FEDC8EF}"/>
    <cellStyle name="60% - 강조색4 5 2" xfId="2321" xr:uid="{8B91CB18-80F9-4C6C-8F67-A4A624490B2D}"/>
    <cellStyle name="60% - 강조색4 6" xfId="511" xr:uid="{0C53B094-03F9-46B7-AB16-2C9B19B3F6F3}"/>
    <cellStyle name="60% - 강조색4 6 2" xfId="2322" xr:uid="{EA51DBFC-5FF7-4514-B4A8-3AC2532FACD8}"/>
    <cellStyle name="60% - 강조색4 7" xfId="512" xr:uid="{B0B0D120-F584-4265-BBC6-B159DDE7C42A}"/>
    <cellStyle name="60% - 강조색4 7 2" xfId="2323" xr:uid="{0715C409-E1AC-4A50-A80B-08562D17762D}"/>
    <cellStyle name="60% - 강조색4 8" xfId="513" xr:uid="{80503269-77F7-4F32-B588-C7E5B8A47BD1}"/>
    <cellStyle name="60% - 강조색4 8 2" xfId="2324" xr:uid="{6B47526B-38D7-44AF-9C7C-C5011E413761}"/>
    <cellStyle name="60% - 강조색4 9" xfId="514" xr:uid="{D211225B-EC76-4884-AA28-C15E700568CC}"/>
    <cellStyle name="60% - 강조색4 9 2" xfId="2325" xr:uid="{292F70BA-556D-4631-A536-1D9D5C1B124B}"/>
    <cellStyle name="60% - 강조색5 10" xfId="515" xr:uid="{407A93F5-342E-4FCB-A445-2C62894BA050}"/>
    <cellStyle name="60% - 강조색5 10 2" xfId="2326" xr:uid="{0BB9B0BD-4704-4E42-BF88-4A4544AAEFA9}"/>
    <cellStyle name="60% - 강조색5 11" xfId="516" xr:uid="{17DA89D9-CFDE-4451-828E-965BBB67FF5E}"/>
    <cellStyle name="60% - 강조색5 11 2" xfId="2327" xr:uid="{F96903C1-296D-4689-BF2C-F79A9B16B638}"/>
    <cellStyle name="60% - 강조색5 12" xfId="517" xr:uid="{1441C1C6-DD7A-4CAF-9C06-AABD4434DBA4}"/>
    <cellStyle name="60% - 강조색5 12 2" xfId="2328" xr:uid="{2FEC8FB1-F751-40D4-87B0-91D00227642B}"/>
    <cellStyle name="60% - 강조색5 13" xfId="518" xr:uid="{D7F31A79-17C2-41F8-982F-30A713621018}"/>
    <cellStyle name="60% - 강조색5 13 2" xfId="2329" xr:uid="{BB953AF0-231F-482E-A0A6-7FB70AAC9E32}"/>
    <cellStyle name="60% - 강조색5 14" xfId="519" xr:uid="{1843A6E1-901E-43F8-BD86-5EB91771BC9B}"/>
    <cellStyle name="60% - 강조색5 14 2" xfId="2330" xr:uid="{7F99FBBD-154C-4D86-A57B-422095F82D44}"/>
    <cellStyle name="60% - 강조색5 15" xfId="520" xr:uid="{CAE0ECA8-B776-41F1-AC69-D86EB1CDA4D4}"/>
    <cellStyle name="60% - 강조색5 15 2" xfId="2331" xr:uid="{C4407223-285C-4384-9FD3-53FA157821E3}"/>
    <cellStyle name="60% - 강조색5 16" xfId="521" xr:uid="{5DC530AE-84BE-4B21-898D-EE4614FC81C4}"/>
    <cellStyle name="60% - 강조색5 16 2" xfId="2332" xr:uid="{95A0BF32-E423-48C1-92D1-05B4010C634D}"/>
    <cellStyle name="60% - 강조색5 17" xfId="522" xr:uid="{7551F34D-28A4-40DD-A304-B57B56651E8B}"/>
    <cellStyle name="60% - 강조색5 17 2" xfId="2333" xr:uid="{944F2DBD-4450-4134-90A3-6DA9B2B5B59D}"/>
    <cellStyle name="60% - 강조색5 18" xfId="523" xr:uid="{7D0B620E-A707-4C3E-B55B-D00E6405DC65}"/>
    <cellStyle name="60% - 강조색5 18 2" xfId="2334" xr:uid="{F7C82C68-05CF-43A9-AA4A-79658AE19D2A}"/>
    <cellStyle name="60% - 강조색5 19" xfId="524" xr:uid="{E47D4D99-E6F5-481E-B652-E8A7BF53393B}"/>
    <cellStyle name="60% - 강조색5 19 2" xfId="2335" xr:uid="{9922FD7E-31B2-4207-8942-CEE2A968AC5A}"/>
    <cellStyle name="60% - 강조색5 2" xfId="525" xr:uid="{722516B1-8601-413B-969D-1A0074CDFFCE}"/>
    <cellStyle name="60% - 강조색5 2 2" xfId="2336" xr:uid="{4C81F7A1-6204-4718-8AD5-745D18769835}"/>
    <cellStyle name="60% - 강조색5 2 3" xfId="1569" xr:uid="{2544E7BB-6860-4A3A-A939-947241013425}"/>
    <cellStyle name="60% - 강조색5 20" xfId="526" xr:uid="{004E6F31-19B8-495B-BE0A-A86220C07FE5}"/>
    <cellStyle name="60% - 강조색5 20 2" xfId="2337" xr:uid="{54AE8686-4D62-4003-BF32-6D26A0D166A0}"/>
    <cellStyle name="60% - 강조색5 21" xfId="527" xr:uid="{C39B54AD-DAF8-4F41-919B-DE27F259A641}"/>
    <cellStyle name="60% - 강조색5 21 2" xfId="2338" xr:uid="{8ED2C6B6-09A1-4783-809D-F1DEA79D7C15}"/>
    <cellStyle name="60% - 강조색5 22" xfId="528" xr:uid="{F5CC7506-865A-4701-9BE5-C596DEADE173}"/>
    <cellStyle name="60% - 강조색5 22 2" xfId="2339" xr:uid="{148CA6E5-EDE5-4AFE-B5F8-0F4EAD41507B}"/>
    <cellStyle name="60% - 강조색5 23" xfId="529" xr:uid="{30C0A99A-CD05-48AA-92A4-4FCE56D11DDB}"/>
    <cellStyle name="60% - 강조색5 23 2" xfId="2340" xr:uid="{7B88E347-3D32-4899-BE87-F1001DFC73CE}"/>
    <cellStyle name="60% - 강조색5 24" xfId="530" xr:uid="{A93406D0-D20C-43EB-9B73-9B80D7AF3D96}"/>
    <cellStyle name="60% - 강조색5 24 2" xfId="2341" xr:uid="{C248EEE4-17A0-45B9-8DA3-7144C0EFA7E5}"/>
    <cellStyle name="60% - 강조색5 25" xfId="531" xr:uid="{EE426198-6A2F-45B7-86A6-2973A1FF1A89}"/>
    <cellStyle name="60% - 강조색5 25 2" xfId="2342" xr:uid="{29138757-F3CE-4E74-BC07-D2CA63236DCD}"/>
    <cellStyle name="60% - 강조색5 3" xfId="532" xr:uid="{C3731C74-C01C-4728-8959-9A96AD95EEB7}"/>
    <cellStyle name="60% - 강조색5 3 2" xfId="2343" xr:uid="{956F8E93-3D12-4283-A0CE-3F16C65ABFE7}"/>
    <cellStyle name="60% - 강조색5 4" xfId="533" xr:uid="{8A882DCD-48E2-4ABC-B4A6-1D12A7D79E03}"/>
    <cellStyle name="60% - 강조색5 4 2" xfId="2344" xr:uid="{C300B37D-72C5-44E2-8FC4-9A20CE53897F}"/>
    <cellStyle name="60% - 강조색5 5" xfId="534" xr:uid="{9D683777-4FA4-4DD4-A10C-1270AD7829A9}"/>
    <cellStyle name="60% - 강조색5 5 2" xfId="2345" xr:uid="{03022D6F-5DE4-458C-A2FD-2E9009307DAE}"/>
    <cellStyle name="60% - 강조색5 6" xfId="535" xr:uid="{6B4F65D4-9133-4B27-8D1F-794FBFAFDBC1}"/>
    <cellStyle name="60% - 강조색5 6 2" xfId="2346" xr:uid="{9DCB5D8F-7F7F-4FC6-8CD7-1333ED1AEAB9}"/>
    <cellStyle name="60% - 강조색5 7" xfId="536" xr:uid="{058A3BF4-9AB5-4949-9577-B78705F7BFBE}"/>
    <cellStyle name="60% - 강조색5 7 2" xfId="2347" xr:uid="{748154D4-1021-4E47-85FB-21CBE7087DE9}"/>
    <cellStyle name="60% - 강조색5 8" xfId="537" xr:uid="{EECA0A77-96CC-4583-9588-85984D8C5906}"/>
    <cellStyle name="60% - 강조색5 8 2" xfId="2348" xr:uid="{C5A46147-F8B9-4F69-BC4B-98CE071FD7E3}"/>
    <cellStyle name="60% - 강조색5 9" xfId="538" xr:uid="{214BC6F1-7EEB-4A06-BE65-D21A87759189}"/>
    <cellStyle name="60% - 강조색5 9 2" xfId="2349" xr:uid="{95389724-68F5-49E5-BB3A-30BD44DA452F}"/>
    <cellStyle name="60% - 강조색6 10" xfId="539" xr:uid="{7B470E84-D805-4DE1-9C76-2A263F5E95A4}"/>
    <cellStyle name="60% - 강조색6 10 2" xfId="2350" xr:uid="{DEEA5BC0-1CA2-4E47-91AE-C0C7BF12946A}"/>
    <cellStyle name="60% - 강조색6 11" xfId="540" xr:uid="{C6BA4ACD-1172-4F33-9E03-4094EE53057D}"/>
    <cellStyle name="60% - 강조색6 11 2" xfId="2351" xr:uid="{6EC4E3DB-11D2-4F87-9998-EB7F5273D024}"/>
    <cellStyle name="60% - 강조색6 12" xfId="541" xr:uid="{DAFB1D38-3982-4F27-BCB5-2FDE8F2AD485}"/>
    <cellStyle name="60% - 강조색6 12 2" xfId="2352" xr:uid="{0355D7DE-69EF-48B6-8498-57E19CD312C1}"/>
    <cellStyle name="60% - 강조색6 13" xfId="542" xr:uid="{18E49148-E7E4-41F9-80C1-3303822702F1}"/>
    <cellStyle name="60% - 강조색6 13 2" xfId="2353" xr:uid="{87E75D54-5736-49FF-A125-50046EF34AD3}"/>
    <cellStyle name="60% - 강조색6 14" xfId="543" xr:uid="{71A26D2B-846C-4048-A4AA-4B14B600E971}"/>
    <cellStyle name="60% - 강조색6 14 2" xfId="2354" xr:uid="{7999E27A-1A7B-40D5-BDE4-7E9BADAEC38E}"/>
    <cellStyle name="60% - 강조색6 15" xfId="544" xr:uid="{66601D1A-07EB-4CF7-AE7A-C4A9278CD10B}"/>
    <cellStyle name="60% - 강조색6 15 2" xfId="2355" xr:uid="{A6FD1994-1282-426F-A23C-32A389D15B03}"/>
    <cellStyle name="60% - 강조색6 16" xfId="545" xr:uid="{1E6D915C-0638-499D-86CB-A01307910C66}"/>
    <cellStyle name="60% - 강조색6 16 2" xfId="2356" xr:uid="{E84CDEEB-4940-4DBE-B9DD-484E202D6BFB}"/>
    <cellStyle name="60% - 강조색6 17" xfId="546" xr:uid="{CA9E8E17-704F-41E6-8A7D-6DED04CCDB75}"/>
    <cellStyle name="60% - 강조색6 17 2" xfId="2357" xr:uid="{1C80E04E-349C-461A-BDC7-1C0D91436229}"/>
    <cellStyle name="60% - 강조색6 18" xfId="547" xr:uid="{542A5504-1F89-4D05-BF41-07DA1C3A0EA1}"/>
    <cellStyle name="60% - 강조색6 18 2" xfId="2358" xr:uid="{159677A2-A76A-490B-A9EF-2600D60F47E0}"/>
    <cellStyle name="60% - 강조색6 19" xfId="548" xr:uid="{6CC09A0C-0F79-40BB-9936-9BDA99E887B2}"/>
    <cellStyle name="60% - 강조색6 19 2" xfId="2359" xr:uid="{EBF2A881-4FFF-49BC-818E-58CDCA2029C0}"/>
    <cellStyle name="60% - 강조색6 2" xfId="549" xr:uid="{456264D4-0A41-455E-9045-B6CB3F7CE921}"/>
    <cellStyle name="60% - 강조색6 2 2" xfId="2360" xr:uid="{BBC001F2-3271-48A9-9D23-365FF122B074}"/>
    <cellStyle name="60% - 강조색6 2 3" xfId="1570" xr:uid="{EA819271-FA3C-4277-BD9A-B4467C6CDD91}"/>
    <cellStyle name="60% - 강조색6 20" xfId="550" xr:uid="{5126F1D7-C80C-4BFC-BD01-500383920EB6}"/>
    <cellStyle name="60% - 강조색6 20 2" xfId="2361" xr:uid="{E602241B-B571-486F-9A79-71363A4C71B9}"/>
    <cellStyle name="60% - 강조색6 21" xfId="551" xr:uid="{913DFB27-65D3-4FC5-9D9E-C682DD70AC46}"/>
    <cellStyle name="60% - 강조색6 21 2" xfId="2362" xr:uid="{EC414601-167A-4F9C-938E-EAA06DE73174}"/>
    <cellStyle name="60% - 강조색6 22" xfId="552" xr:uid="{DD13CE6C-505E-4BE5-9FD7-4247770AEC48}"/>
    <cellStyle name="60% - 강조색6 22 2" xfId="2363" xr:uid="{68B0C2BE-FCC9-46A2-84C1-FDD710E37607}"/>
    <cellStyle name="60% - 강조색6 23" xfId="553" xr:uid="{40A2F6C3-82ED-4C6C-BD49-309A2FD9095D}"/>
    <cellStyle name="60% - 강조색6 23 2" xfId="2364" xr:uid="{3505DF02-4999-4E47-826F-7CB938FA7216}"/>
    <cellStyle name="60% - 강조색6 24" xfId="554" xr:uid="{20C4B5FE-FA7D-4346-A853-CF13F4E4A081}"/>
    <cellStyle name="60% - 강조색6 24 2" xfId="2365" xr:uid="{173926FE-62B4-4D6D-800A-9BEE70565127}"/>
    <cellStyle name="60% - 강조색6 25" xfId="555" xr:uid="{2C73C0F6-621F-4F19-BAB3-DBBC04C46A83}"/>
    <cellStyle name="60% - 강조색6 25 2" xfId="2366" xr:uid="{61411871-287B-44D3-9741-C1B87B9F0A38}"/>
    <cellStyle name="60% - 강조색6 3" xfId="556" xr:uid="{54ABAEBE-C8D3-4482-84D4-A7D19A01CA95}"/>
    <cellStyle name="60% - 강조색6 3 2" xfId="2367" xr:uid="{B40C2271-9246-453F-9265-7B5979A506EB}"/>
    <cellStyle name="60% - 강조색6 4" xfId="557" xr:uid="{33AD5F53-21C5-4A45-8F1B-483F1BA6DA35}"/>
    <cellStyle name="60% - 강조색6 4 2" xfId="2368" xr:uid="{27AF8283-1A3A-4E59-AE78-6263D835E5E6}"/>
    <cellStyle name="60% - 강조색6 5" xfId="558" xr:uid="{0CB6D9F3-03C4-4E8C-BBFA-0DD441D3D362}"/>
    <cellStyle name="60% - 강조색6 5 2" xfId="2369" xr:uid="{67A64DDD-6643-41D8-ADD2-B6344F1E0F5B}"/>
    <cellStyle name="60% - 강조색6 6" xfId="559" xr:uid="{C27883F2-6EBE-4017-AEC2-A8BB8FA9E99B}"/>
    <cellStyle name="60% - 강조색6 6 2" xfId="2370" xr:uid="{E04A8A2D-6157-47D6-8E71-70AE42AD63A4}"/>
    <cellStyle name="60% - 강조색6 7" xfId="560" xr:uid="{BDFD6682-3017-4E00-81BC-FC4E2871BDB6}"/>
    <cellStyle name="60% - 강조색6 7 2" xfId="2371" xr:uid="{965B4823-05DB-42B0-BDAD-949DF6F411D3}"/>
    <cellStyle name="60% - 강조색6 8" xfId="561" xr:uid="{011DB849-0FBA-4F64-A617-14B052180D80}"/>
    <cellStyle name="60% - 강조색6 8 2" xfId="2372" xr:uid="{4329345D-A2E5-469F-A038-20607309F90C}"/>
    <cellStyle name="60% - 강조색6 9" xfId="562" xr:uid="{30C1AA9E-C8CB-445C-9D1A-35F6338B2FCE}"/>
    <cellStyle name="60% - 강조색6 9 2" xfId="2373" xr:uid="{24FB04F5-0014-4DEF-AE99-9C01AFF46C15}"/>
    <cellStyle name="6mal" xfId="1571" xr:uid="{B22FD477-A6B2-4BFC-88EB-28D9BD600906}"/>
    <cellStyle name="A¡§¡ⓒ¡E¡þ¡EO [0]_SP ¨Io￠R¨¡¡Ii¡E?¨Io￠R￠? ¡E?UAO " xfId="1572" xr:uid="{E2C11423-7996-4EF4-A39F-5316CB1B4451}"/>
    <cellStyle name="A¡§¡ⓒ¡E¡þ¡EO_SP ¨Io￠R¨¡¡Ii¡E?¨Io￠R￠? ¡E?UAO " xfId="1573" xr:uid="{1A2A7328-B99E-49BE-83CC-3E6FAAA597E6}"/>
    <cellStyle name="A¨­￠￢￠O [0]_SP ⓒo¡Æ￥i￠?ⓒo¡¿ ￠?UAO " xfId="1574" xr:uid="{E04404C3-2B95-40E6-B416-A25D7E02D248}"/>
    <cellStyle name="A¨­￠￢￠O_SP ⓒo¡Æ￥i￠?ⓒo¡¿ ￠?UAO " xfId="1575" xr:uid="{DEA27475-C9C4-4307-B500-E7B1CE3F8CD9}"/>
    <cellStyle name="AeE­ [0]_¸AAa" xfId="1576" xr:uid="{08ED07B8-E784-4870-9302-9C1E79B9C341}"/>
    <cellStyle name="ÅëÈ­ [0]_laroux" xfId="1577" xr:uid="{EA22E211-7B01-42C3-B380-B9FBBF770FA5}"/>
    <cellStyle name="AeE­_¸AAa" xfId="1578" xr:uid="{0A8B62A9-2E95-4C10-B50A-3A5AA4C35209}"/>
    <cellStyle name="ÅëÈ­_laroux" xfId="1579" xr:uid="{C3BE8AAE-E988-4D0B-B52B-9927D8F17A3B}"/>
    <cellStyle name="AeE¡ⓒ [0]_SP ⓒo¡Æ￥i￠?ⓒo¡¿ ￠?UAO " xfId="1580" xr:uid="{97CC87B9-DEB9-459E-8620-3F160B175958}"/>
    <cellStyle name="AeE¡ⓒ_SP ⓒo¡Æ￥i￠?ⓒo¡¿ ￠?UAO " xfId="1581" xr:uid="{D53F0928-A563-4D3C-8A9D-357EFFE21574}"/>
    <cellStyle name="AeE￠R¨I [0]_SP ¨Io￠R¨¡¡Ii¡E?¨Io￠R￠? ¡E?UAO " xfId="1582" xr:uid="{C1528225-709B-43A7-9AE8-877E7FD39899}"/>
    <cellStyle name="AeE￠R¨I_SP ¨Io￠R¨¡¡Ii¡E?¨Io￠R￠? ¡E?UAO " xfId="1583" xr:uid="{AEF3896D-F761-4E64-AE14-49F6A0EFBECD}"/>
    <cellStyle name="ALIGNMENT" xfId="1584" xr:uid="{B32F88FE-74F4-42E5-9023-B944DF8118E1}"/>
    <cellStyle name="args.style" xfId="1585" xr:uid="{0DF47EB5-6E42-49A3-AD36-FDF1FCF67B50}"/>
    <cellStyle name="AÞ¸¶ [0]_¸AAa" xfId="1586" xr:uid="{7450B291-4AB2-4C32-983F-50DD27FC1C66}"/>
    <cellStyle name="ÄÞ¸¶ [0]_laroux" xfId="1587" xr:uid="{8FB74A49-F5D7-483F-A012-4494C84FC991}"/>
    <cellStyle name="AÞ¸¶_¸AAa" xfId="1588" xr:uid="{15009F14-F6B6-46C8-A69D-90DB2DCC30C7}"/>
    <cellStyle name="ÄÞ¸¶_laroux" xfId="1589" xr:uid="{136F4AFA-8D90-4BD0-9FA6-FE47AECB2818}"/>
    <cellStyle name="Border" xfId="1590" xr:uid="{146F5DE5-D6C5-4401-85A4-5E2FAA3DFA85}"/>
    <cellStyle name="C:\Data\MS\Excel" xfId="563" xr:uid="{7B7973C1-8CE6-415D-BDE0-01F1A6E887E3}"/>
    <cellStyle name="C:\Data\MS\Excel 2" xfId="2374" xr:uid="{F002A77E-2397-43E6-9B53-EBB8E6D381CA}"/>
    <cellStyle name="C¡IA¨ª_¨uOAIA¡AAI ￠?ⓒªAI " xfId="1591" xr:uid="{44410BBB-0B2A-4F9B-A363-5E40487003C4}"/>
    <cellStyle name="C￠RIA¡§¨￡_¡§uOAIA￠RAAI ¡E?¨I¨￡AI " xfId="1592" xr:uid="{CC4D353A-71A7-4102-8138-06B76125BE08}"/>
    <cellStyle name="C￥AØ_(A¤º¸ºI¹R)¿uº°AI¿ø°eE¹" xfId="1593" xr:uid="{2B8803BA-8060-4B66-8082-8ECA4800BE09}"/>
    <cellStyle name="Ç¥ÁØ_laroux" xfId="1594" xr:uid="{D7E5D8C1-E8C6-4D3C-B59F-6DCDCC255B98}"/>
    <cellStyle name="Calc" xfId="564" xr:uid="{F9A0993A-A676-422F-8E57-4ED97481D196}"/>
    <cellStyle name="Calc 2" xfId="2375" xr:uid="{1092A3F4-094A-4ECD-ACBC-330D4227A4FB}"/>
    <cellStyle name="Calc Currency (0)" xfId="565" xr:uid="{535DD289-471B-4A64-AC73-AD4799D94B2F}"/>
    <cellStyle name="Calc Currency (0) 2" xfId="2376" xr:uid="{8E18E6A3-FF40-476F-A476-DA01005094D4}"/>
    <cellStyle name="Calc Currency (0) 3" xfId="1595" xr:uid="{96B741DF-80E4-4A1F-8F51-C2B6C924ED82}"/>
    <cellStyle name="Calc Currency (2)" xfId="566" xr:uid="{1DF21A82-5258-45FE-935C-EA933233758B}"/>
    <cellStyle name="Calc Currency (2) 2" xfId="2377" xr:uid="{DD96E405-69AA-46D9-87B9-2AA42B78E109}"/>
    <cellStyle name="Calc Currency (2) 3" xfId="1596" xr:uid="{DDCFD787-3C43-4FB9-AEA5-43201663E07F}"/>
    <cellStyle name="Calc Percent (0)" xfId="567" xr:uid="{32CDE5A2-BA23-423B-A583-1472634F620A}"/>
    <cellStyle name="Calc Percent (0) 2" xfId="2378" xr:uid="{BE78251B-5390-4BF0-BA9B-C4E747560B34}"/>
    <cellStyle name="Calc Percent (0) 3" xfId="1597" xr:uid="{AD65B52D-12A5-453B-A30E-510D49931D37}"/>
    <cellStyle name="Calc Percent (1)" xfId="568" xr:uid="{B0A04EBB-D2E7-471A-BCA1-DD6B6C0E1017}"/>
    <cellStyle name="Calc Percent (1) 2" xfId="2379" xr:uid="{4EC2C252-B14F-4DF5-8D43-B7E7AD49CBEC}"/>
    <cellStyle name="Calc Percent (1) 3" xfId="1598" xr:uid="{D47AE7BA-0D9B-4AB8-9A0B-4A68C8AA0CEE}"/>
    <cellStyle name="Calc Percent (2)" xfId="569" xr:uid="{17146CA3-7011-48F1-8239-6D96364F11EB}"/>
    <cellStyle name="Calc Percent (2) 2" xfId="2380" xr:uid="{416CF425-DA0C-4A77-8C34-66144D5FCBFB}"/>
    <cellStyle name="Calc Percent (2) 3" xfId="1599" xr:uid="{8CCE2035-0C1E-4CE2-933B-4551BAD04583}"/>
    <cellStyle name="Calc Units (0)" xfId="570" xr:uid="{D5276619-DFE4-4AC3-9832-45F8B75CBCA8}"/>
    <cellStyle name="Calc Units (0) 2" xfId="2381" xr:uid="{D260A449-892F-4C25-8499-E8B02E54ED52}"/>
    <cellStyle name="Calc Units (0) 3" xfId="1600" xr:uid="{FEF181A1-FF22-495B-8049-F001A4EB7C70}"/>
    <cellStyle name="Calc Units (1)" xfId="571" xr:uid="{868C65A1-0A3D-4DB3-9F37-1FC7C6729260}"/>
    <cellStyle name="Calc Units (1) 2" xfId="2382" xr:uid="{29EAC2F6-BC35-48B5-8C04-FFB71D83A777}"/>
    <cellStyle name="Calc Units (1) 3" xfId="1601" xr:uid="{02E53E5E-196D-4935-B3B3-5BE0D614EB17}"/>
    <cellStyle name="Calc Units (2)" xfId="572" xr:uid="{D1914598-4F92-4AC2-A338-7E0E05B4D6A5}"/>
    <cellStyle name="Calc Units (2) 2" xfId="2383" xr:uid="{C47A53FE-C326-44BA-BE76-A3CD3054AF89}"/>
    <cellStyle name="Calc Units (2) 3" xfId="1602" xr:uid="{5DF71ECF-EA4B-43C6-B707-F3D1A5D795A4}"/>
    <cellStyle name="Calc_Book1" xfId="573" xr:uid="{70F2223C-FB5B-4555-9D5E-FEDAB0E98069}"/>
    <cellStyle name="category" xfId="574" xr:uid="{876EB1AF-604E-4A98-8678-0239C4BA9F48}"/>
    <cellStyle name="category 2" xfId="1603" xr:uid="{9D22AEC1-316C-4770-83DB-33BCB6CBBC30}"/>
    <cellStyle name="Column Heading" xfId="1604" xr:uid="{753691DE-3012-497F-9E2D-4B63BB3BC1A7}"/>
    <cellStyle name="columns_array" xfId="1605" xr:uid="{42C88763-4261-44B8-B9F7-509885CBEA3D}"/>
    <cellStyle name="Comma" xfId="575" xr:uid="{386E3CF2-D8CC-432D-A90F-F728EB955B44}"/>
    <cellStyle name="Comma  - Style1" xfId="576" xr:uid="{2FB2578F-D19A-4CFD-8260-F03C81C38F15}"/>
    <cellStyle name="Comma  - Style1 2" xfId="1606" xr:uid="{430960EF-68C9-462A-A0E6-C7FDADB96CFC}"/>
    <cellStyle name="Comma  - Style2" xfId="577" xr:uid="{10CB275C-5AEA-404D-969C-5C174BD98466}"/>
    <cellStyle name="Comma  - Style2 2" xfId="1607" xr:uid="{CB8D825B-69A0-47CD-A430-4F586E82CABE}"/>
    <cellStyle name="Comma  - Style3" xfId="578" xr:uid="{E3064591-A125-4F09-BA03-C494EAA530DB}"/>
    <cellStyle name="Comma  - Style3 2" xfId="1608" xr:uid="{C4A3B8CD-292B-4B04-B9EF-6C7AAFBA9CF5}"/>
    <cellStyle name="Comma  - Style4" xfId="579" xr:uid="{A9BCD8AE-6C50-48FC-9D99-7AE7F07A0588}"/>
    <cellStyle name="Comma  - Style4 2" xfId="1609" xr:uid="{2FC4C67B-82B4-4393-B855-D8DF4DFAD435}"/>
    <cellStyle name="Comma  - Style5" xfId="580" xr:uid="{709AF062-689C-49B6-8CEE-A41AC1490F29}"/>
    <cellStyle name="Comma  - Style5 2" xfId="1610" xr:uid="{468BFB05-F941-4F58-8FBD-25018FFDABB0}"/>
    <cellStyle name="Comma  - Style6" xfId="581" xr:uid="{23621DEA-26DB-484E-B476-EA4477C3AAD4}"/>
    <cellStyle name="Comma  - Style6 2" xfId="1611" xr:uid="{38A6306F-B233-423D-BE7C-DD3A903E72B9}"/>
    <cellStyle name="Comma  - Style7" xfId="582" xr:uid="{AA74DAD4-CC9A-47F5-8D84-891FE91964B3}"/>
    <cellStyle name="Comma  - Style7 2" xfId="1612" xr:uid="{783ED4B4-3AD5-436A-9EBF-A2558F8959C8}"/>
    <cellStyle name="Comma  - Style8" xfId="583" xr:uid="{72073881-0B2F-4F55-8977-621DD155525B}"/>
    <cellStyle name="Comma  - Style8 2" xfId="1613" xr:uid="{EBF38881-B145-4E6D-800D-8338B235BB52}"/>
    <cellStyle name="Comma [0] 4" xfId="584" xr:uid="{7417E5FC-B26F-4A7A-8199-2AEA552BD54C}"/>
    <cellStyle name="Comma [0] 4 2" xfId="585" xr:uid="{870C64E0-07EF-4D37-AB5E-2CEC2A8A2AE4}"/>
    <cellStyle name="Comma [0] 4 2 2" xfId="2386" xr:uid="{F8FE0B34-9BD0-41AF-9855-F94E43271D0F}"/>
    <cellStyle name="Comma [0] 4 3" xfId="586" xr:uid="{A4FD0222-E613-43C9-99DA-BA18DCA6D2E7}"/>
    <cellStyle name="Comma [0] 4 3 2" xfId="2387" xr:uid="{DF565300-4F90-4C65-B8EB-0284127AFB00}"/>
    <cellStyle name="Comma [0] 4 4" xfId="3132" xr:uid="{E3494733-C918-4650-B1A0-F0B394EA4433}"/>
    <cellStyle name="Comma [0] 4 5" xfId="2385" xr:uid="{A2A8E48F-A06C-4006-BB3B-244B5C041654}"/>
    <cellStyle name="Comma [0]_ SG&amp;A Bridge " xfId="587" xr:uid="{FEE16D20-5F3F-49A5-9CC9-266D38CFDF33}"/>
    <cellStyle name="Comma [00]" xfId="588" xr:uid="{BF0923E6-9E39-49C9-AB9E-1225F0CF10FC}"/>
    <cellStyle name="Comma [00] 2" xfId="2388" xr:uid="{25D1593D-C969-4980-AC27-A6F8934B20BA}"/>
    <cellStyle name="Comma [00] 3" xfId="1614" xr:uid="{81D71D60-C1C0-4A57-BCCB-F97C96955240}"/>
    <cellStyle name="Comma 2" xfId="2384" xr:uid="{25626553-58D4-458C-90F1-A2B56178AD4E}"/>
    <cellStyle name="comma zerodec" xfId="1615" xr:uid="{FBFA81A6-C489-482A-B2E2-FC7AE671F460}"/>
    <cellStyle name="Comma_ SG&amp;A Bridge " xfId="589" xr:uid="{EAB494E3-6AF2-4251-9B63-1370421AF17B}"/>
    <cellStyle name="Comma0" xfId="1616" xr:uid="{63361F19-AD3B-4312-9845-F16EAEC794B5}"/>
    <cellStyle name="Copied" xfId="1617" xr:uid="{C85D4575-3FEB-470C-B2C1-3C3ECCD139AF}"/>
    <cellStyle name="Curren?_x0012_퐀_x0017_?" xfId="1618" xr:uid="{876934C6-E99E-46AD-9DD1-6DB60E189717}"/>
    <cellStyle name="Currency" xfId="590" xr:uid="{E73348FA-8D48-4487-88C1-6EE7D053358E}"/>
    <cellStyle name="Currency [0]_ SG&amp;A Bridge " xfId="591" xr:uid="{A2EA1A0F-65E5-4B0F-B391-20DF6B3E6C35}"/>
    <cellStyle name="Currency [00]" xfId="592" xr:uid="{06AC868C-FF3A-4974-A3E9-7C3A472C7F52}"/>
    <cellStyle name="Currency [00] 2" xfId="2390" xr:uid="{9054DB4E-B543-4E01-8498-9132EA7A7F92}"/>
    <cellStyle name="Currency [00] 3" xfId="1619" xr:uid="{0D18BD8A-8A00-4E8C-8291-6B54EE021553}"/>
    <cellStyle name="Currency 2" xfId="2389" xr:uid="{2CC974C0-D33B-4DE9-BF45-736F8185D7EB}"/>
    <cellStyle name="Currency_ SG&amp;A Bridge " xfId="593" xr:uid="{126A15EF-C68B-4D6C-B637-95C54E0987BB}"/>
    <cellStyle name="Currency1" xfId="1620" xr:uid="{80725C19-CBA0-49A6-AC7D-CDEC333AB09A}"/>
    <cellStyle name="Date" xfId="594" xr:uid="{9D543B36-42E6-4D6D-A6D2-1CF5C79FD057}"/>
    <cellStyle name="Date 2" xfId="1621" xr:uid="{6FF9F138-3E58-4EF0-B961-46319DFF4AED}"/>
    <cellStyle name="Date Short" xfId="595" xr:uid="{0FFE642F-5FE2-492D-B6F8-D810419F7003}"/>
    <cellStyle name="Date Short 2" xfId="1622" xr:uid="{E30D1D88-2C33-436D-A716-337302B0A510}"/>
    <cellStyle name="Date_04011월~12월_DT_MPS_1025" xfId="1623" xr:uid="{3B5DDC02-5C51-44CD-9BA0-4E718E695C45}"/>
    <cellStyle name="DELTA" xfId="596" xr:uid="{726004E8-C1D9-448C-8623-873F9AA589B4}"/>
    <cellStyle name="DELTA 2" xfId="1624" xr:uid="{7C415151-4898-4BED-A2D1-095C61EF7B07}"/>
    <cellStyle name="Dezimal [0]_Actual vs. Prior" xfId="1625" xr:uid="{00FBA35E-05E4-4F85-889A-A016C713CF48}"/>
    <cellStyle name="Dezimal_Actual vs. Prior" xfId="1626" xr:uid="{7A8AC46E-E62D-42AE-9BE4-F910E9F4C457}"/>
    <cellStyle name="discount" xfId="597" xr:uid="{B7DD38C4-4FB8-44B4-A07B-BAC21CE3E499}"/>
    <cellStyle name="discount 2" xfId="1627" xr:uid="{18BD6C77-CC50-4F1D-8990-3A5DA8AC7C47}"/>
    <cellStyle name="Dollar (zero dec)" xfId="1628" xr:uid="{28F62696-6214-4505-9DB6-F32FBFC40C2B}"/>
    <cellStyle name="Enter Currency (0)" xfId="598" xr:uid="{A0CC66D6-F118-4D03-88EE-6A5733B2346B}"/>
    <cellStyle name="Enter Currency (0) 2" xfId="2391" xr:uid="{E2512FCF-6A1A-4D51-A1AE-7A202B6A3F2E}"/>
    <cellStyle name="Enter Currency (0) 3" xfId="1629" xr:uid="{DE0B2197-1AD4-42B8-8CE5-3FA75E4A9BBC}"/>
    <cellStyle name="Enter Currency (2)" xfId="599" xr:uid="{774EFD4C-A644-458B-B8EE-2C6C9E2D406B}"/>
    <cellStyle name="Enter Currency (2) 2" xfId="2392" xr:uid="{0FC9BE76-F841-4B50-9FBA-43AC0EA84783}"/>
    <cellStyle name="Enter Currency (2) 3" xfId="1630" xr:uid="{3D9B2E52-8BB3-43B9-AAE5-02AAC0D0E122}"/>
    <cellStyle name="Enter Units (0)" xfId="600" xr:uid="{C6C26E2A-C763-4175-8579-35907E97F997}"/>
    <cellStyle name="Enter Units (0) 2" xfId="2393" xr:uid="{14912917-D5E7-4C72-8893-F3A08A06E144}"/>
    <cellStyle name="Enter Units (0) 3" xfId="1631" xr:uid="{E1E32F26-7440-440D-B54F-FA84230FC6C0}"/>
    <cellStyle name="Enter Units (1)" xfId="601" xr:uid="{1865632C-054B-4C88-A683-E8303C8B3142}"/>
    <cellStyle name="Enter Units (1) 2" xfId="2394" xr:uid="{253DC083-D396-4247-9A95-9BFC6420487D}"/>
    <cellStyle name="Enter Units (1) 3" xfId="1632" xr:uid="{3982E0B0-C70A-4A9D-93D8-A59C135BAF75}"/>
    <cellStyle name="Enter Units (2)" xfId="602" xr:uid="{70FCFA53-30DF-4184-A7AD-833AC42791DE}"/>
    <cellStyle name="Enter Units (2) 2" xfId="2395" xr:uid="{A1FBC93D-0509-4042-9983-9A54AE721667}"/>
    <cellStyle name="Enter Units (2) 3" xfId="1633" xr:uid="{6FCFFA6A-4966-4775-9BFC-1BBD910F90E4}"/>
    <cellStyle name="Entered" xfId="1634" xr:uid="{D35F5F49-3EF4-44FD-B3AB-93574F3A80F3}"/>
    <cellStyle name="F2" xfId="1635" xr:uid="{A2090833-6127-4467-AA55-B86159EEF86D}"/>
    <cellStyle name="F3" xfId="1636" xr:uid="{F7125E6A-2991-44C7-B41D-A61C0F3DE866}"/>
    <cellStyle name="F4" xfId="1637" xr:uid="{7C1C86C8-5010-40DC-ACA5-96A5F6F78D2B}"/>
    <cellStyle name="F5" xfId="1638" xr:uid="{67DF469E-9B4F-45D1-8AF7-3374FFAADAC5}"/>
    <cellStyle name="F6" xfId="1639" xr:uid="{DBCFDE90-8A57-4D88-96EC-B0CB276AD4A9}"/>
    <cellStyle name="F7" xfId="1640" xr:uid="{F210DD5B-05A7-49F5-9B00-B6579447BEA1}"/>
    <cellStyle name="F8" xfId="1641" xr:uid="{4582C816-C529-47FD-B8D5-D7E5F71B371A}"/>
    <cellStyle name="First" xfId="603" xr:uid="{24FC90DA-066C-442E-982A-B976B48F354E}"/>
    <cellStyle name="First 2" xfId="2396" xr:uid="{C0A17E28-70AA-4F9F-B2E7-B85DF4FF61B3}"/>
    <cellStyle name="Fixed" xfId="604" xr:uid="{8481733D-5278-4CCF-B640-692D41D1A143}"/>
    <cellStyle name="Fixed 2" xfId="1642" xr:uid="{2BF5A34D-E1A4-48D5-90BE-ADD9EC4BB826}"/>
    <cellStyle name="Grey" xfId="605" xr:uid="{1EA2D5AC-3C86-4AF5-A269-DE4CB9CCE4FC}"/>
    <cellStyle name="Grey 2" xfId="1643" xr:uid="{6402CCAE-18BE-437C-9F47-EAB9E9C782A2}"/>
    <cellStyle name="HEADER" xfId="606" xr:uid="{27CA5717-C808-4E94-9AC8-BCEB8C1DB349}"/>
    <cellStyle name="HEADER 2" xfId="1644" xr:uid="{07228042-13CE-4C8F-9340-12DC27252E14}"/>
    <cellStyle name="Header1" xfId="607" xr:uid="{C90D0AB2-77E8-4938-8E27-5808A2E0FF3D}"/>
    <cellStyle name="Header1 2" xfId="1645" xr:uid="{E47DC309-2F32-42D6-A140-0C7D2BD62AF0}"/>
    <cellStyle name="Header2" xfId="608" xr:uid="{ED6370D7-9CBA-4FA4-855B-9BB3D6ABFE61}"/>
    <cellStyle name="Header2 2" xfId="2397" xr:uid="{0090EDFA-C90E-4020-9C34-2BB93A25B33F}"/>
    <cellStyle name="Header2 3" xfId="3173" xr:uid="{0590A712-4A20-4012-8683-2734A3678C57}"/>
    <cellStyle name="Header2 4" xfId="1646" xr:uid="{D0266062-585B-4053-B41A-13E461DB9114}"/>
    <cellStyle name="Heading1" xfId="609" xr:uid="{AC8A9DA4-A826-4ADA-A36A-F0E4017539C9}"/>
    <cellStyle name="Heading1 2" xfId="1647" xr:uid="{F1353211-1B92-47D5-A0FA-20257B21486B}"/>
    <cellStyle name="Heading2" xfId="610" xr:uid="{564392C8-D0E1-4387-B202-DBEA5BBFCC79}"/>
    <cellStyle name="Heading2 2" xfId="1648" xr:uid="{28C674C2-CD57-4769-BFCB-358A0ACFA772}"/>
    <cellStyle name="Hyperlink" xfId="611" xr:uid="{22119D66-1722-4777-AEDD-F63EB58CAB37}"/>
    <cellStyle name="Hyperlink 2" xfId="2398" xr:uid="{41020D34-9B6C-457F-A083-FCAEEA01504A}"/>
    <cellStyle name="Input [yellow]" xfId="612" xr:uid="{EE37CC46-BF93-4BCA-81E2-0C3E5C15E0C2}"/>
    <cellStyle name="Input [yellow] 2" xfId="2399" xr:uid="{FD90FC73-5972-44C5-87B6-83828EFBC598}"/>
    <cellStyle name="Input [yellow] 3" xfId="3174" xr:uid="{F9E3345D-3822-4091-AEA6-02F3893012D4}"/>
    <cellStyle name="Input [yellow] 4" xfId="1649" xr:uid="{0BF2F854-717D-42B6-81FC-0FACC202462C}"/>
    <cellStyle name="Input Cells" xfId="1650" xr:uid="{10311DE6-5B31-47EF-846E-8145299D0AE3}"/>
    <cellStyle name="Jun" xfId="613" xr:uid="{8C33674A-BE51-4231-9898-8C09E4F4A28F}"/>
    <cellStyle name="Jun 2" xfId="1651" xr:uid="{7F206C82-4676-4698-ACC2-039E84134380}"/>
    <cellStyle name="Komma [0]_BINV" xfId="614" xr:uid="{92391D75-2AE2-4D79-93B9-213631BD4CBA}"/>
    <cellStyle name="Komma_BINV" xfId="615" xr:uid="{7DB439BA-4BF4-4A8F-B4A9-FAB8C51D02CF}"/>
    <cellStyle name="Less than 5" xfId="1652" xr:uid="{BE733A0A-AD88-4379-9AB2-91AB4B34E5BA}"/>
    <cellStyle name="Link Currency (0)" xfId="616" xr:uid="{459F65EB-970E-4551-AA4A-79B9D816F018}"/>
    <cellStyle name="Link Currency (0) 2" xfId="2400" xr:uid="{6E61402D-65DD-420C-B4C9-1DC8FFA492D5}"/>
    <cellStyle name="Link Currency (0) 3" xfId="1653" xr:uid="{20418002-930A-4190-95C0-EAB89BC17CB6}"/>
    <cellStyle name="Link Currency (2)" xfId="617" xr:uid="{08FC116D-5CA5-480F-9F98-5ED83BB4578E}"/>
    <cellStyle name="Link Currency (2) 2" xfId="2401" xr:uid="{F35DD8F4-FB97-439C-BE80-6B9B8378AB6C}"/>
    <cellStyle name="Link Currency (2) 3" xfId="1654" xr:uid="{99647BDD-FFCF-4AD3-BB76-A6395F9C99BD}"/>
    <cellStyle name="Link Units (0)" xfId="618" xr:uid="{C2E64B53-2AFF-46BA-A8A8-A1A3C4DBBD7C}"/>
    <cellStyle name="Link Units (0) 2" xfId="2402" xr:uid="{7B3122DF-88B4-4813-95ED-B2168D6DDDCC}"/>
    <cellStyle name="Link Units (0) 3" xfId="1655" xr:uid="{F4BA6640-0933-4231-AE9F-552EAF618BE3}"/>
    <cellStyle name="Link Units (1)" xfId="619" xr:uid="{FF66EA63-2FEA-4931-A932-5FC013F14EE5}"/>
    <cellStyle name="Link Units (1) 2" xfId="2403" xr:uid="{B021148E-D9DA-4CB7-AFEB-BF2604269A27}"/>
    <cellStyle name="Link Units (1) 3" xfId="1656" xr:uid="{258BD594-1931-4097-8BA4-9E3BA297FDA7}"/>
    <cellStyle name="Link Units (2)" xfId="620" xr:uid="{30AD3F0F-337C-42E5-9712-A0755D169995}"/>
    <cellStyle name="Link Units (2) 2" xfId="2404" xr:uid="{35770307-FC3D-4E7C-975E-F2B708A8A951}"/>
    <cellStyle name="Link Units (2) 3" xfId="1657" xr:uid="{C0ACCB6D-9CE0-450D-B2F5-499F6149DB75}"/>
    <cellStyle name="Linked Cells" xfId="1658" xr:uid="{025E8CCA-22D8-406B-B882-995EE47FA7C3}"/>
    <cellStyle name="LongDesc" xfId="1659" xr:uid="{A61BEDD9-44EF-441A-89D0-C72DACD387B8}"/>
    <cellStyle name="Millares [0]_96 Risk" xfId="1660" xr:uid="{1C0258E4-1D08-483B-9C80-64A1AC226F18}"/>
    <cellStyle name="Millares_96 Risk" xfId="1661" xr:uid="{4F14BC45-6077-412F-AD10-5738FECC845E}"/>
    <cellStyle name="Milliers [0]_!!!GO" xfId="1662" xr:uid="{D8FE5BDF-B41B-4229-8D7E-EC41697224CB}"/>
    <cellStyle name="Milliers_!!!GO" xfId="1663" xr:uid="{2F0DC905-B29B-4121-833D-E3DE73FD76A8}"/>
    <cellStyle name="Model" xfId="621" xr:uid="{5B81F03B-46A9-42FA-A681-49FCBB2746FF}"/>
    <cellStyle name="Model 2" xfId="1664" xr:uid="{14976BCA-E173-4D13-BA76-7657408AC611}"/>
    <cellStyle name="Mon?aire [0]_!!!GO" xfId="1665" xr:uid="{5E52EDA8-4782-4085-AC52-7454567E9254}"/>
    <cellStyle name="Mon?aire_!!!GO" xfId="1666" xr:uid="{3D5D9980-5C71-4C6E-9999-F313BD8FAD82}"/>
    <cellStyle name="Moneda [0]_96 Risk" xfId="1667" xr:uid="{DF4B01DB-EC39-4BF4-8192-5DD42573149A}"/>
    <cellStyle name="Moneda_96 Risk" xfId="1668" xr:uid="{9AA3C96E-2DEB-4BC8-8267-C35104956FA6}"/>
    <cellStyle name="Monétaire [0]_EDYAN" xfId="622" xr:uid="{2D9C7F80-AC20-4BB6-B87E-C36BAF6185FA}"/>
    <cellStyle name="Monétaire_EDYAN" xfId="623" xr:uid="{1C894C92-1B5A-41A8-82A2-9D62F1E9790B}"/>
    <cellStyle name="MS Proofing Tools" xfId="1669" xr:uid="{D018D8D1-6AF8-4BE9-A947-EE8FC875A7AC}"/>
    <cellStyle name="New" xfId="1670" xr:uid="{AD457F03-6F05-4BD9-9E4B-DED88DB682BC}"/>
    <cellStyle name="nohs" xfId="1671" xr:uid="{F789B256-2BAF-4D11-8836-270F74AFAA56}"/>
    <cellStyle name="Normal - Style1" xfId="624" xr:uid="{51435E10-934D-41D6-A595-CDCF22E2B18C}"/>
    <cellStyle name="Normal - Style1 2" xfId="1673" xr:uid="{B98BDAE3-4259-4A5B-B1C8-949810199850}"/>
    <cellStyle name="Normal - Style1 3" xfId="1674" xr:uid="{13B89ECB-4C03-4983-9EA6-BC9A95C05CEA}"/>
    <cellStyle name="Normal - Style1 4" xfId="1675" xr:uid="{DA5A230B-8947-48BE-8E0E-E630CE25AB1F}"/>
    <cellStyle name="Normal - Style1 5" xfId="1789" xr:uid="{BDA8C58B-B753-40FB-830E-DA7423BEBB5D}"/>
    <cellStyle name="Normal - Style1 6" xfId="1672" xr:uid="{8CFCD39C-D5F8-4FF6-AE38-9C7BB8C8B070}"/>
    <cellStyle name="Normal - Style1_____Sanofi-Aventis(__)_(ID)_20081020(1)" xfId="1676" xr:uid="{6E159000-3F16-4390-8A4D-55DCB2157039}"/>
    <cellStyle name="Normal 1" xfId="625" xr:uid="{BDF7C742-4722-4A59-A466-F45B5DF5D7BB}"/>
    <cellStyle name="Normal 1 2" xfId="2405" xr:uid="{6D7BB764-3569-404B-A17C-9E6D36E0B8EE}"/>
    <cellStyle name="Normal 2" xfId="626" xr:uid="{72301D50-9312-4B2C-B1D5-5A68440AD102}"/>
    <cellStyle name="Normal 2 2" xfId="1677" xr:uid="{35FABDC7-DDEE-468C-86A8-DF690A4AA33E}"/>
    <cellStyle name="Normal 2 3" xfId="627" xr:uid="{4B2A22F7-3AF9-4698-A6C2-30302B624100}"/>
    <cellStyle name="Normal 2 3 2" xfId="2406" xr:uid="{37B1AC6A-89A4-4ECB-A1F8-8417B0EFC574}"/>
    <cellStyle name="Normal 2_Compatibility Matrix" xfId="1383" xr:uid="{4A63E5DF-3FF9-455F-9200-2196CFD11556}"/>
    <cellStyle name="Normal 4" xfId="628" xr:uid="{22072509-DDF8-48D6-AFDD-BDBA5E004DCB}"/>
    <cellStyle name="Normal 4 18" xfId="629" xr:uid="{26258785-2380-48A3-A80C-3B119BC11CED}"/>
    <cellStyle name="Normal_ SG&amp;A Bridge " xfId="630" xr:uid="{E0204872-6167-4172-B3F2-9C2A4F958E1B}"/>
    <cellStyle name="Numk" xfId="631" xr:uid="{88687215-12DD-4A89-A84B-1DD8400E3350}"/>
    <cellStyle name="Numk 2" xfId="2407" xr:uid="{53AC2071-F39F-4416-BAB6-3A40680A069F}"/>
    <cellStyle name="NWS" xfId="632" xr:uid="{58E4F0B9-439C-4774-96E7-099D9C5767FA}"/>
    <cellStyle name="NWS 2" xfId="2408" xr:uid="{2B90B9F6-237E-4652-B7C9-520EDDCEF9BC}"/>
    <cellStyle name="OneDecPer" xfId="633" xr:uid="{BF910E76-7A2C-4F83-BD34-05C656DD5B5C}"/>
    <cellStyle name="OneDecPer 2" xfId="2409" xr:uid="{B7AC68D4-6DEF-4DCA-BC0B-4F8122FD9AF8}"/>
    <cellStyle name="p/n" xfId="1678" xr:uid="{2F243017-0048-4381-A600-39187348CF6D}"/>
    <cellStyle name="paint" xfId="1679" xr:uid="{E54D3F83-9E84-4F11-8BE2-B044BD1B21A0}"/>
    <cellStyle name="Percent" xfId="634" xr:uid="{CA19F347-7E45-4546-9373-029CA4B25762}"/>
    <cellStyle name="Percent [0]" xfId="635" xr:uid="{A82E5B9B-3258-47EC-A6C8-9FCE0524D337}"/>
    <cellStyle name="Percent [0] 2" xfId="2411" xr:uid="{C6338D4B-3B2B-40EE-B8B0-9D757E8C65D6}"/>
    <cellStyle name="Percent [0] 3" xfId="1680" xr:uid="{11F0A607-08D4-4DF8-8BC3-0CBF71ABF1FC}"/>
    <cellStyle name="Percent [00]" xfId="636" xr:uid="{B436BAEC-F689-47B8-B2EC-E990D2CF09F4}"/>
    <cellStyle name="Percent [00] 2" xfId="2412" xr:uid="{93392CCE-6823-4863-8209-9907F6454638}"/>
    <cellStyle name="Percent [00] 3" xfId="1681" xr:uid="{9D34930E-95D6-4566-9DB5-76B7EC4AAF3D}"/>
    <cellStyle name="Percent [2]" xfId="637" xr:uid="{31A4BFB4-B304-480A-B832-A0C187F74B8D}"/>
    <cellStyle name="Percent [2] 2" xfId="1682" xr:uid="{A1D06D7B-B5DA-4B53-944A-51C4AFF244E0}"/>
    <cellStyle name="Percent 2" xfId="2410" xr:uid="{EC50070F-B5AA-4AE5-BF4E-71662CB66235}"/>
    <cellStyle name="Percent_#6 Temps &amp; Contractors" xfId="638" xr:uid="{ADEA025E-BAE1-4DAF-92E6-AC67CB6B367A}"/>
    <cellStyle name="PrePop Currency (0)" xfId="639" xr:uid="{1E01762D-2D1F-44D8-9EE2-1D1FFF9C15CC}"/>
    <cellStyle name="PrePop Currency (0) 2" xfId="2413" xr:uid="{0EB6E3DB-2191-45CA-A9D0-750C4974944E}"/>
    <cellStyle name="PrePop Currency (0) 3" xfId="1683" xr:uid="{0DD90F62-04FB-40A0-A01D-0DCF737AB16B}"/>
    <cellStyle name="PrePop Currency (2)" xfId="640" xr:uid="{789A93F8-A089-459A-91E7-85D6EF261A5F}"/>
    <cellStyle name="PrePop Currency (2) 2" xfId="2414" xr:uid="{6BA3DC31-399F-4FF8-BF09-8DBD369CC36C}"/>
    <cellStyle name="PrePop Currency (2) 3" xfId="1684" xr:uid="{E9A7BFA6-8678-49DB-9DF2-6ECFEEE594D9}"/>
    <cellStyle name="PrePop Units (0)" xfId="641" xr:uid="{581802D5-0592-4A43-BCD1-756DAFF4A131}"/>
    <cellStyle name="PrePop Units (0) 2" xfId="2415" xr:uid="{11A5006F-7C4A-4B29-8F68-176A3949DEF1}"/>
    <cellStyle name="PrePop Units (0) 3" xfId="1685" xr:uid="{58E821F3-5CCC-43F4-8C5A-0173EEDB1964}"/>
    <cellStyle name="PrePop Units (1)" xfId="642" xr:uid="{2C2F789D-06DA-4746-B55C-5356A213403E}"/>
    <cellStyle name="PrePop Units (1) 2" xfId="2416" xr:uid="{C7E5C638-6275-453D-A289-A9FF8B2BE7BF}"/>
    <cellStyle name="PrePop Units (1) 3" xfId="1686" xr:uid="{F1E2C12D-98FE-4090-AA3A-9106991EEC4A}"/>
    <cellStyle name="PrePop Units (2)" xfId="643" xr:uid="{741D39DA-5C89-41A3-B0C1-D694824FB13C}"/>
    <cellStyle name="PrePop Units (2) 2" xfId="2417" xr:uid="{C7A03169-1CCD-494F-8803-A3E1B7B8D2C8}"/>
    <cellStyle name="PrePop Units (2) 3" xfId="1687" xr:uid="{7F35E10B-4CD1-4423-B831-696ACF950433}"/>
    <cellStyle name="Prices" xfId="644" xr:uid="{C71ADC9F-1CF6-45A6-A587-9488B731D721}"/>
    <cellStyle name="Prices 2" xfId="1688" xr:uid="{DE4F88E6-E778-4DE0-BE46-01C832F62649}"/>
    <cellStyle name="Procent_BINV" xfId="645" xr:uid="{3A3078DE-B0FA-486C-8ECA-7C78DA8F37DF}"/>
    <cellStyle name="Product" xfId="1689" xr:uid="{611ACA6B-332D-436B-99F9-4578E2FD70EA}"/>
    <cellStyle name="protected" xfId="646" xr:uid="{E0AFD4EE-C2AA-4F23-9071-818F220D16C1}"/>
    <cellStyle name="protected 2" xfId="2418" xr:uid="{DAEFDF57-ED68-46E2-8081-68C154CEDF72}"/>
    <cellStyle name="PSChar" xfId="647" xr:uid="{4B2C5B70-96F9-4C8A-A11F-0676F4B4B867}"/>
    <cellStyle name="PSChar 2" xfId="2419" xr:uid="{A7C42942-D010-4254-AF41-8C1EF213F180}"/>
    <cellStyle name="red" xfId="648" xr:uid="{9492A55B-D01F-454B-9DC7-CF395BB1035A}"/>
    <cellStyle name="red 2" xfId="2420" xr:uid="{97D30EB8-5507-49BD-BFF7-17541382E490}"/>
    <cellStyle name="Released" xfId="1690" xr:uid="{0491A0F9-239C-4735-A008-8C180092FD78}"/>
    <cellStyle name="Standaard_BINV" xfId="649" xr:uid="{21BA0E99-124E-45BB-8C9E-6769D0E7C94D}"/>
    <cellStyle name="Standard_laroux" xfId="1691" xr:uid="{2DA60184-7130-46D6-98D2-EEEE7BF115A6}"/>
    <cellStyle name="Style 1" xfId="650" xr:uid="{9867E01F-4EDF-4940-B9EE-BFB546FF53CF}"/>
    <cellStyle name="Style 1 2" xfId="1692" xr:uid="{06C52AEA-A8EA-4E6D-9887-A7F080BACD7C}"/>
    <cellStyle name="subhead" xfId="651" xr:uid="{C3CEB396-104F-4A41-AB52-EB0624128313}"/>
    <cellStyle name="subhead 2" xfId="1693" xr:uid="{6C1DE0BC-2339-4F3C-9162-8B1925CBE191}"/>
    <cellStyle name="Text Indent A" xfId="652" xr:uid="{E1816700-726A-4F38-90EB-BB82B93A4085}"/>
    <cellStyle name="Text Indent A 2" xfId="1694" xr:uid="{95C2DB69-7431-4D96-BB94-3ABECAFF0FAA}"/>
    <cellStyle name="Text Indent B" xfId="653" xr:uid="{1B2E144C-E297-4D8A-8081-E3DEA76F86A6}"/>
    <cellStyle name="Text Indent B 2" xfId="2421" xr:uid="{9975FC79-476B-4CDB-AA52-99D3411F41D4}"/>
    <cellStyle name="Text Indent B 3" xfId="1695" xr:uid="{85EF6110-8303-422F-955C-6CCB38C79393}"/>
    <cellStyle name="Text Indent C" xfId="654" xr:uid="{2631FA7A-90B4-4602-A450-5941804AF1FB}"/>
    <cellStyle name="Text Indent C 2" xfId="2422" xr:uid="{EC0209A4-974B-4560-A2C8-D06D8096C8C7}"/>
    <cellStyle name="Text Indent C 3" xfId="1696" xr:uid="{BED3FA96-CD4F-42A8-A35C-2BB9F30D080C}"/>
    <cellStyle name="Total" xfId="655" xr:uid="{F95885CA-A1A4-4CB8-80A7-3FBE80A0B6D7}"/>
    <cellStyle name="Total 2" xfId="1697" xr:uid="{A5D8FFE9-8AD2-4F41-B6C1-ED1493CC23B3}"/>
    <cellStyle name="Trend_title1" xfId="656" xr:uid="{4771A6A6-9D18-4600-B071-E68542C4DB59}"/>
    <cellStyle name="Try1" xfId="657" xr:uid="{9313016F-D32C-4384-A7E4-2D838F53308D}"/>
    <cellStyle name="Try1 2" xfId="2423" xr:uid="{546402A3-C1CB-4DF7-8312-2A2A78077053}"/>
    <cellStyle name="unprotected" xfId="658" xr:uid="{963489B0-037A-48B0-9A38-CB43CCD9B507}"/>
    <cellStyle name="unprotected 2" xfId="2424" xr:uid="{A29B9A08-E473-4965-A034-6FD9504CED9F}"/>
    <cellStyle name="Valuta [0]_BINV" xfId="659" xr:uid="{36F56BC9-FECC-4BFA-BF27-AA4422D1DE2C}"/>
    <cellStyle name="Valuta_BINV" xfId="660" xr:uid="{63505082-6405-4569-9162-603FC747EDD2}"/>
    <cellStyle name="W?rung [0]_laroux" xfId="1698" xr:uid="{C98AC7E1-A94A-4C77-AB1B-22B33422C609}"/>
    <cellStyle name="W?rung_laroux" xfId="1699" xr:uid="{C5AC5DFB-C962-471B-AB7D-407705B6BB00}"/>
    <cellStyle name="강조색1 10" xfId="661" xr:uid="{1F9561E0-99C0-498D-8E09-CE737B571D7A}"/>
    <cellStyle name="강조색1 10 2" xfId="2425" xr:uid="{2454A0A2-415A-4205-A931-287575E54E90}"/>
    <cellStyle name="강조색1 11" xfId="662" xr:uid="{10019A6E-EAE3-4F88-BF27-C0E1DDA7D2E4}"/>
    <cellStyle name="강조색1 11 2" xfId="2426" xr:uid="{0C95E80C-E7CE-4FBB-B4A5-7FB1F7C7152C}"/>
    <cellStyle name="강조색1 12" xfId="663" xr:uid="{5AEE7B5A-DF5B-4BB7-AD39-F6E07297EDED}"/>
    <cellStyle name="강조색1 12 2" xfId="2427" xr:uid="{9F70CE90-4604-49AB-B631-643FAC0C775F}"/>
    <cellStyle name="강조색1 13" xfId="664" xr:uid="{0CFA6359-533E-47AA-BCD0-609D10B85B11}"/>
    <cellStyle name="강조색1 13 2" xfId="2428" xr:uid="{3144C6B2-A104-4243-8A86-5BF027CFDDD6}"/>
    <cellStyle name="강조색1 14" xfId="665" xr:uid="{BFBBFB23-049E-4FC2-B2A3-929452304C4B}"/>
    <cellStyle name="강조색1 14 2" xfId="2429" xr:uid="{91DE668A-6B4F-47EF-B319-A4E80DD0C9AD}"/>
    <cellStyle name="강조색1 15" xfId="666" xr:uid="{8A89D989-FAC5-4A61-86E6-C06E6E9CB893}"/>
    <cellStyle name="강조색1 15 2" xfId="2430" xr:uid="{719360B9-BB71-450B-B60A-16B03104C291}"/>
    <cellStyle name="강조색1 16" xfId="667" xr:uid="{C4572A9D-63F8-49B2-A6D4-92514E607288}"/>
    <cellStyle name="강조색1 16 2" xfId="2431" xr:uid="{6D65B0AA-C897-47FC-83B4-9B31B15D49E7}"/>
    <cellStyle name="강조색1 17" xfId="668" xr:uid="{B6BD82C9-2307-4DAC-AD69-DAD50349DFE0}"/>
    <cellStyle name="강조색1 17 2" xfId="2432" xr:uid="{20E94D57-9511-47F5-9DB8-67CD45BDF50E}"/>
    <cellStyle name="강조색1 18" xfId="669" xr:uid="{B88D4A9B-6945-4908-A945-6EF780827C1D}"/>
    <cellStyle name="강조색1 18 2" xfId="2433" xr:uid="{8416B0D2-E0DD-40DB-9C36-A417A6E5BAA7}"/>
    <cellStyle name="강조색1 19" xfId="670" xr:uid="{05FF9701-E758-41E3-9419-1122E52C4AAE}"/>
    <cellStyle name="강조색1 19 2" xfId="2434" xr:uid="{2A569801-43A6-45AF-85CE-2EE593462A40}"/>
    <cellStyle name="강조색1 2" xfId="671" xr:uid="{3E0DD255-57AA-41E3-8C2F-4E9C14A5E083}"/>
    <cellStyle name="강조색1 2 2" xfId="2435" xr:uid="{3EC17EE0-80B6-4CD7-82E1-9159CB347AFF}"/>
    <cellStyle name="강조색1 2 3" xfId="1700" xr:uid="{632EE37E-54D4-45CB-B896-7E90897E8890}"/>
    <cellStyle name="강조색1 20" xfId="672" xr:uid="{378E4525-62DF-430E-B102-809DB1059141}"/>
    <cellStyle name="강조색1 20 2" xfId="2436" xr:uid="{99451DA3-0887-4D13-B8B7-6880DB239E7F}"/>
    <cellStyle name="강조색1 21" xfId="673" xr:uid="{20C1F5B0-22D2-454F-8810-BE984595EC12}"/>
    <cellStyle name="강조색1 21 2" xfId="2437" xr:uid="{5F65885D-1B62-45A9-8B3B-899F416AA866}"/>
    <cellStyle name="강조색1 22" xfId="674" xr:uid="{41104DEB-A332-4075-8D6F-28613A0F265A}"/>
    <cellStyle name="강조색1 22 2" xfId="2438" xr:uid="{FD27C922-530C-47FE-A278-6953D63A6BE8}"/>
    <cellStyle name="강조색1 23" xfId="675" xr:uid="{B6F1903D-DCFA-498F-8EEA-69FAE54A8207}"/>
    <cellStyle name="강조색1 23 2" xfId="2439" xr:uid="{75ED3C2A-95F0-4856-8887-D19160685269}"/>
    <cellStyle name="강조색1 24" xfId="676" xr:uid="{74BF5086-55FD-4A88-864C-5A5B414C33C5}"/>
    <cellStyle name="강조색1 24 2" xfId="2440" xr:uid="{8C65663E-D4B0-4487-AF9C-CCF03795258E}"/>
    <cellStyle name="강조색1 25" xfId="677" xr:uid="{356B3D3D-6359-4FA2-85EA-E5ACA5B30564}"/>
    <cellStyle name="강조색1 25 2" xfId="2441" xr:uid="{42CF03F6-9B57-4F6C-BC42-9B2CE3853BA4}"/>
    <cellStyle name="강조색1 3" xfId="678" xr:uid="{FC08C481-F986-4105-8130-C8E7BA26034B}"/>
    <cellStyle name="강조색1 3 2" xfId="2442" xr:uid="{25CB667B-7145-4F6A-BC17-CE1E2F5CF8C1}"/>
    <cellStyle name="강조색1 4" xfId="679" xr:uid="{0745D5A3-E068-47CD-B43C-7EF60A83D2C3}"/>
    <cellStyle name="강조색1 4 2" xfId="2443" xr:uid="{9B2CC02A-17F3-403D-8B19-67EF38E1FF0E}"/>
    <cellStyle name="강조색1 5" xfId="680" xr:uid="{D0FD04A7-F4D2-4A3F-B91A-07D3ED637357}"/>
    <cellStyle name="강조색1 5 2" xfId="2444" xr:uid="{1589BECF-F10F-4B23-A2B9-A2630D91C19E}"/>
    <cellStyle name="강조색1 6" xfId="681" xr:uid="{3D22283F-B2C7-481F-8239-BAE259F103F2}"/>
    <cellStyle name="강조색1 6 2" xfId="2445" xr:uid="{E721FFDA-53D6-4A5C-9F05-54990D34F370}"/>
    <cellStyle name="강조색1 7" xfId="682" xr:uid="{12DA28C3-8A3D-44AD-B14F-CC12CFA3B4AA}"/>
    <cellStyle name="강조색1 7 2" xfId="2446" xr:uid="{E9CA1B1F-BBB2-4C06-8967-8C6C1B12EFC1}"/>
    <cellStyle name="강조색1 8" xfId="683" xr:uid="{CB4F0909-86EF-4A4A-842B-57431A46D1D1}"/>
    <cellStyle name="강조색1 8 2" xfId="2447" xr:uid="{DE1D5322-EF64-4F32-B7E7-494935F36BD7}"/>
    <cellStyle name="강조색1 9" xfId="684" xr:uid="{A0C3770A-11D5-47E2-B1F2-DB04E725EBE1}"/>
    <cellStyle name="강조색1 9 2" xfId="2448" xr:uid="{17412CBB-8D11-4709-8B90-369D22DFEA27}"/>
    <cellStyle name="강조색2 10" xfId="685" xr:uid="{2F6E6342-D307-4E5B-9949-4BBBA18F20FF}"/>
    <cellStyle name="강조색2 10 2" xfId="2449" xr:uid="{56EDD0F7-C373-49EF-9B4D-A29C8BB8AACC}"/>
    <cellStyle name="강조색2 11" xfId="686" xr:uid="{8BAAA98F-7D32-4AC1-8083-AA8E2CE800A2}"/>
    <cellStyle name="강조색2 11 2" xfId="2450" xr:uid="{AAB42FD4-F870-4866-A6E8-5FC7ABFF26F7}"/>
    <cellStyle name="강조색2 12" xfId="687" xr:uid="{C405179D-20F8-4F9A-B6B6-3F8B93857080}"/>
    <cellStyle name="강조색2 12 2" xfId="2451" xr:uid="{D2026EC3-66F3-42A3-9C11-6CA1C0734059}"/>
    <cellStyle name="강조색2 13" xfId="688" xr:uid="{7DC387BB-715D-4055-BA7D-F43EEBA9A00B}"/>
    <cellStyle name="강조색2 13 2" xfId="2452" xr:uid="{81D97E30-9C28-49F4-A3F1-1B5652B0B6BB}"/>
    <cellStyle name="강조색2 14" xfId="689" xr:uid="{9BB2260B-386B-4CAF-8DB1-61D783D99588}"/>
    <cellStyle name="강조색2 14 2" xfId="2453" xr:uid="{42B51342-01D8-4291-B81D-4DB6CE178D56}"/>
    <cellStyle name="강조색2 15" xfId="690" xr:uid="{93EAAD92-261E-4638-8112-F911D53191B3}"/>
    <cellStyle name="강조색2 15 2" xfId="2454" xr:uid="{5417A5B6-477B-4199-BB45-66B59D28F643}"/>
    <cellStyle name="강조색2 16" xfId="691" xr:uid="{0310F3F0-EBD8-4B40-9CE6-407648F7A518}"/>
    <cellStyle name="강조색2 16 2" xfId="2455" xr:uid="{FE4273B3-8822-4E0B-A9EA-4B419F645738}"/>
    <cellStyle name="강조색2 17" xfId="692" xr:uid="{40C8B6A4-9D6D-46C2-8298-92469A516A97}"/>
    <cellStyle name="강조색2 17 2" xfId="2456" xr:uid="{5F3DED43-0AC6-4640-963A-8B77B4B59EA9}"/>
    <cellStyle name="강조색2 18" xfId="693" xr:uid="{C75693DF-34BB-4B57-BA57-54CA02900558}"/>
    <cellStyle name="강조색2 18 2" xfId="2457" xr:uid="{73F18A7F-3A0F-4D48-9711-C719BB836747}"/>
    <cellStyle name="강조색2 19" xfId="694" xr:uid="{4BAAA0BC-ADEC-4191-AC2E-3298DFB317FF}"/>
    <cellStyle name="강조색2 19 2" xfId="2458" xr:uid="{9C3CD877-848A-446C-B0DE-963C0BBA304B}"/>
    <cellStyle name="강조색2 2" xfId="695" xr:uid="{D99E6EE8-704C-4067-BD0D-36EC87BBB6BB}"/>
    <cellStyle name="강조색2 2 2" xfId="2459" xr:uid="{B617EF75-B33F-4886-A6F4-D099F20D6324}"/>
    <cellStyle name="강조색2 2 3" xfId="1701" xr:uid="{4D0DB640-DC75-40D4-B094-36C5D3DDA05F}"/>
    <cellStyle name="강조색2 20" xfId="696" xr:uid="{90CA3A0D-0438-4039-B4B8-646DE3359A15}"/>
    <cellStyle name="강조색2 20 2" xfId="2460" xr:uid="{15C579DE-B50D-4CFC-B2F2-DFD0C0666BB9}"/>
    <cellStyle name="강조색2 21" xfId="697" xr:uid="{E4B134AB-B153-4F07-9561-514A7CC5C700}"/>
    <cellStyle name="강조색2 21 2" xfId="2461" xr:uid="{3A12BD70-B2D1-4F3D-885C-9A3BD0E49375}"/>
    <cellStyle name="강조색2 22" xfId="698" xr:uid="{884CE10C-8EB5-491A-9B77-E8A46DAEB6B1}"/>
    <cellStyle name="강조색2 22 2" xfId="2462" xr:uid="{40597673-8D58-4E71-A63C-D7285D7F89DF}"/>
    <cellStyle name="강조색2 23" xfId="699" xr:uid="{AB1D1BC3-5C0D-4BCA-ADB5-68A4C27C6707}"/>
    <cellStyle name="강조색2 23 2" xfId="2463" xr:uid="{5DB236E8-554D-4E60-A725-7EADEA5470B6}"/>
    <cellStyle name="강조색2 24" xfId="700" xr:uid="{675A15C9-1B94-43D9-B363-18B10FF218A4}"/>
    <cellStyle name="강조색2 24 2" xfId="2464" xr:uid="{EB7F09BD-363D-43DC-B7A9-F515A12C6C5C}"/>
    <cellStyle name="강조색2 25" xfId="701" xr:uid="{D052DBB5-C8D5-48FA-8CC1-88DBD31D3F41}"/>
    <cellStyle name="강조색2 25 2" xfId="2465" xr:uid="{D6D51EFB-4792-45CF-B563-EE10303A73E4}"/>
    <cellStyle name="강조색2 3" xfId="702" xr:uid="{BD329BBD-5CFE-4CF3-B4F8-5288C7FCFB2A}"/>
    <cellStyle name="강조색2 3 2" xfId="2466" xr:uid="{409CFC6F-22F4-4F9D-9A23-62BE6BAAED1F}"/>
    <cellStyle name="강조색2 4" xfId="703" xr:uid="{D7AC24F7-4832-4E68-A754-29DA0C30931C}"/>
    <cellStyle name="강조색2 4 2" xfId="2467" xr:uid="{462B31DA-5C7F-423D-9917-676AB9EDA8C2}"/>
    <cellStyle name="강조색2 5" xfId="704" xr:uid="{1D97036E-A0A7-49F8-9206-2BD990BA6EDD}"/>
    <cellStyle name="강조색2 5 2" xfId="2468" xr:uid="{B58A1F76-856A-4A3F-89BA-D8E5DB54B4F3}"/>
    <cellStyle name="강조색2 6" xfId="705" xr:uid="{CE8654D9-F070-439D-89DF-761DCB422C36}"/>
    <cellStyle name="강조색2 6 2" xfId="2469" xr:uid="{1B87C66F-5AD9-4B61-A738-7FF9DD7D2C98}"/>
    <cellStyle name="강조색2 7" xfId="706" xr:uid="{BA4D15D8-F239-46CC-86EA-4165B8F80038}"/>
    <cellStyle name="강조색2 7 2" xfId="2470" xr:uid="{59BAB4D4-9D39-4911-90C3-47EE4BCA6728}"/>
    <cellStyle name="강조색2 8" xfId="707" xr:uid="{33F83CF4-97B7-49BC-A059-491CC9E997D8}"/>
    <cellStyle name="강조색2 8 2" xfId="2471" xr:uid="{56ED5E46-D690-4824-8C84-59C79EEC3270}"/>
    <cellStyle name="강조색2 9" xfId="708" xr:uid="{54F0878B-DD24-437C-B09F-3B0933FEAF6C}"/>
    <cellStyle name="강조색2 9 2" xfId="2472" xr:uid="{E88DCE09-88CF-4E26-83EA-DB2321A00B25}"/>
    <cellStyle name="강조색3 10" xfId="709" xr:uid="{BBC9CE2F-A27E-43EF-9C2E-6DAC7C35D502}"/>
    <cellStyle name="강조색3 10 2" xfId="2473" xr:uid="{54602F72-1EDA-4C43-B6B0-77AB3432B8DF}"/>
    <cellStyle name="강조색3 11" xfId="710" xr:uid="{F3C5E817-A6BA-4C50-A78E-F09A3CC31608}"/>
    <cellStyle name="강조색3 11 2" xfId="2474" xr:uid="{34450988-4305-424F-A64F-9E501E1225BF}"/>
    <cellStyle name="강조색3 12" xfId="711" xr:uid="{078ABF3A-9583-4C2A-9B09-6C1F477335FC}"/>
    <cellStyle name="강조색3 12 2" xfId="2475" xr:uid="{17E85A92-C7BA-4C01-A924-3D8482D9F992}"/>
    <cellStyle name="강조색3 13" xfId="712" xr:uid="{2DCDAC7B-5B0C-44E1-9BA0-A1C7D4F6205B}"/>
    <cellStyle name="강조색3 13 2" xfId="2476" xr:uid="{FC079D3D-00C3-429E-9E38-2FF964B3B74B}"/>
    <cellStyle name="강조색3 14" xfId="713" xr:uid="{175ABDE3-4FB1-4CAB-A8D7-B9734A5586E9}"/>
    <cellStyle name="강조색3 14 2" xfId="2477" xr:uid="{1B05ECAF-8031-422C-8A92-FE266815D2E3}"/>
    <cellStyle name="강조색3 15" xfId="714" xr:uid="{DC22E1C9-71D2-4380-ABCD-4B3700C8CE73}"/>
    <cellStyle name="강조색3 15 2" xfId="2478" xr:uid="{37E91BE7-7C77-4FBE-A58C-0A67F0B247D8}"/>
    <cellStyle name="강조색3 16" xfId="715" xr:uid="{41C58C04-E751-4B32-91C5-B2D824C2A512}"/>
    <cellStyle name="강조색3 16 2" xfId="2479" xr:uid="{77690308-1602-44BB-ACBB-72E226F193B4}"/>
    <cellStyle name="강조색3 17" xfId="716" xr:uid="{49D49006-78BE-445F-B1A2-D49C413BBE6C}"/>
    <cellStyle name="강조색3 17 2" xfId="2480" xr:uid="{AC32B150-12E0-492C-B2FD-B61B3A286F6B}"/>
    <cellStyle name="강조색3 18" xfId="717" xr:uid="{04D9A0CB-EEDD-4871-BCEB-B247AA625A96}"/>
    <cellStyle name="강조색3 18 2" xfId="2481" xr:uid="{5CBCABDA-2E44-42C1-90DF-79459B6E927A}"/>
    <cellStyle name="강조색3 19" xfId="718" xr:uid="{7A14FA6B-6792-486C-AE16-4265FC679F50}"/>
    <cellStyle name="강조색3 19 2" xfId="2482" xr:uid="{53205C2B-5971-4527-94EF-2928ECB9ABB3}"/>
    <cellStyle name="강조색3 2" xfId="719" xr:uid="{23C144DD-B67E-4AEA-9FB9-237DE9EB5B50}"/>
    <cellStyle name="강조색3 2 2" xfId="2483" xr:uid="{DBF4B0DF-B939-4BE0-A4DD-BB93DC7D71C0}"/>
    <cellStyle name="강조색3 2 3" xfId="1702" xr:uid="{06450F3F-4F99-4A0A-AB43-E49A96BE10F9}"/>
    <cellStyle name="강조색3 20" xfId="720" xr:uid="{58D78D9B-019B-4E57-9C92-6A92B5148E76}"/>
    <cellStyle name="강조색3 20 2" xfId="2484" xr:uid="{2096689C-5725-480A-BCAF-D2BE9B82ADBB}"/>
    <cellStyle name="강조색3 21" xfId="721" xr:uid="{E40B170E-32FD-4349-B8EC-2DAE98C9910D}"/>
    <cellStyle name="강조색3 21 2" xfId="2485" xr:uid="{694E7BE5-B0A9-44D1-B352-0E2322F86C85}"/>
    <cellStyle name="강조색3 22" xfId="722" xr:uid="{18CB4E82-E907-4B91-9BDC-29CC437AB752}"/>
    <cellStyle name="강조색3 22 2" xfId="2486" xr:uid="{D7FD1F55-B646-4D57-9CF7-36323E0AE170}"/>
    <cellStyle name="강조색3 23" xfId="723" xr:uid="{D23436F7-FC23-4A28-B2A5-4EB6128C3C4B}"/>
    <cellStyle name="강조색3 23 2" xfId="2487" xr:uid="{432D1F2C-A0F5-4109-B04B-C20B542BF9FF}"/>
    <cellStyle name="강조색3 24" xfId="724" xr:uid="{66B2AF22-735C-4BC6-81D2-8110F8EB654C}"/>
    <cellStyle name="강조색3 24 2" xfId="2488" xr:uid="{3668E3D8-F409-46B0-958A-4E85BA70FA94}"/>
    <cellStyle name="강조색3 25" xfId="725" xr:uid="{C27B2428-CAD7-47BD-936F-C16C10DF21CC}"/>
    <cellStyle name="강조색3 25 2" xfId="2489" xr:uid="{89B0000B-43E4-4812-ACC3-86774BBE8303}"/>
    <cellStyle name="강조색3 3" xfId="726" xr:uid="{60F33ACE-EFF5-45F8-8221-F328F5B93B4B}"/>
    <cellStyle name="강조색3 3 2" xfId="2490" xr:uid="{30E1D87E-EF09-490D-A4EA-34B1E1A45CB5}"/>
    <cellStyle name="강조색3 4" xfId="727" xr:uid="{7B9F8C2D-AE82-4BA8-B5CF-36B921DB5E22}"/>
    <cellStyle name="강조색3 4 2" xfId="2491" xr:uid="{611D5C7A-E86B-407B-A2B9-B919EE7ACC73}"/>
    <cellStyle name="강조색3 5" xfId="728" xr:uid="{1408B3E8-9617-47D2-9925-FF365D811814}"/>
    <cellStyle name="강조색3 5 2" xfId="2492" xr:uid="{C722D210-9CF1-46B8-A5DB-EB49EB8DA9B4}"/>
    <cellStyle name="강조색3 6" xfId="729" xr:uid="{65918126-0D4E-46FD-A64E-C2976F456D9F}"/>
    <cellStyle name="강조색3 6 2" xfId="2493" xr:uid="{B201AB5C-C5B6-41DD-B3D1-CFEA5E87A7FE}"/>
    <cellStyle name="강조색3 7" xfId="730" xr:uid="{D819EF67-2A7E-4365-8BDB-734CE8DE7B88}"/>
    <cellStyle name="강조색3 7 2" xfId="2494" xr:uid="{19B1E4D5-32FB-4EAC-B3B1-1E98F7C2C8F3}"/>
    <cellStyle name="강조색3 8" xfId="731" xr:uid="{50114A6E-A2D6-4F3F-9D5F-B22E41418E99}"/>
    <cellStyle name="강조색3 8 2" xfId="2495" xr:uid="{C9D76546-879C-4ECA-88C1-40FF7E5931EA}"/>
    <cellStyle name="강조색3 9" xfId="732" xr:uid="{00C0AF07-2FB1-4A04-A27F-956DD057636F}"/>
    <cellStyle name="강조색3 9 2" xfId="2496" xr:uid="{52866D5D-D70C-4C3E-9F51-F57AA2B40ACE}"/>
    <cellStyle name="강조색4 10" xfId="733" xr:uid="{4063BFB0-9BCF-437C-B71F-D4339E0330B3}"/>
    <cellStyle name="강조색4 10 2" xfId="2497" xr:uid="{A835529A-B0CE-4E98-8F5A-B895410DDA4C}"/>
    <cellStyle name="강조색4 11" xfId="734" xr:uid="{537A4107-F5CD-4DE6-B9FB-30A964172870}"/>
    <cellStyle name="강조색4 11 2" xfId="2498" xr:uid="{125CDA06-31B6-46D9-B996-8FBBB9956E1A}"/>
    <cellStyle name="강조색4 12" xfId="735" xr:uid="{60AC4519-2516-4AF6-8086-7AB9E8EC5A78}"/>
    <cellStyle name="강조색4 12 2" xfId="2499" xr:uid="{3EB183EA-39C7-4D0F-A8B2-0A3BA09302BB}"/>
    <cellStyle name="강조색4 13" xfId="736" xr:uid="{9C73B524-CC7A-4214-8386-F6CA43A40621}"/>
    <cellStyle name="강조색4 13 2" xfId="2500" xr:uid="{9D1FFE0B-873E-41CB-AC77-FCD06A4C72AF}"/>
    <cellStyle name="강조색4 14" xfId="737" xr:uid="{BD656FFC-6F1B-4A4B-B3E4-ED8CDAD82187}"/>
    <cellStyle name="강조색4 14 2" xfId="2501" xr:uid="{B9AA0B09-8120-44C2-AD62-612B8A47450A}"/>
    <cellStyle name="강조색4 15" xfId="738" xr:uid="{89C5C5EC-06E9-4484-937D-B0B1F0D4436B}"/>
    <cellStyle name="강조색4 15 2" xfId="2502" xr:uid="{8EA299A3-A414-4BAB-9160-D500F9547D14}"/>
    <cellStyle name="강조색4 16" xfId="739" xr:uid="{10B9ED52-58A8-4470-A4B5-87C31BE57B34}"/>
    <cellStyle name="강조색4 16 2" xfId="2503" xr:uid="{1CD80A28-BB9C-4853-96B0-A865DA221C42}"/>
    <cellStyle name="강조색4 17" xfId="740" xr:uid="{25A92AE2-E028-47FB-AF39-C3A8EF69816D}"/>
    <cellStyle name="강조색4 17 2" xfId="2504" xr:uid="{06DD86E0-0D46-423D-9425-262271550C15}"/>
    <cellStyle name="강조색4 18" xfId="741" xr:uid="{5B58BEF4-CBE7-44DA-BB34-D04DB4143D2C}"/>
    <cellStyle name="강조색4 18 2" xfId="2505" xr:uid="{672BA12A-D838-4C75-924D-6A764AA6F2B2}"/>
    <cellStyle name="강조색4 19" xfId="742" xr:uid="{F15D0806-C269-448A-9806-AAA321A493EA}"/>
    <cellStyle name="강조색4 19 2" xfId="2506" xr:uid="{CC802FA1-94F2-4584-9D51-A144FE53A620}"/>
    <cellStyle name="강조색4 2" xfId="743" xr:uid="{93747953-1763-4D27-81DC-79BCBDBE745B}"/>
    <cellStyle name="강조색4 2 2" xfId="2507" xr:uid="{B5C60501-921E-486E-AE42-DE2CC60BD219}"/>
    <cellStyle name="강조색4 2 3" xfId="1703" xr:uid="{EF319E6C-88DE-4B7D-9B45-E92A08B9B7B2}"/>
    <cellStyle name="강조색4 20" xfId="744" xr:uid="{E71043C1-F256-4A8F-922E-BA493FD98CD5}"/>
    <cellStyle name="강조색4 20 2" xfId="2508" xr:uid="{5E46337F-2C34-4EF2-8C47-2B0192131514}"/>
    <cellStyle name="강조색4 21" xfId="745" xr:uid="{05B664E3-C150-4510-8B6E-89F49E105508}"/>
    <cellStyle name="강조색4 21 2" xfId="2509" xr:uid="{950411F1-2496-4A74-BF4A-EF2FA29222D2}"/>
    <cellStyle name="강조색4 22" xfId="746" xr:uid="{2FA66110-AF5C-4549-A009-AC9C6722F7FA}"/>
    <cellStyle name="강조색4 22 2" xfId="2510" xr:uid="{6DB76E99-69FB-4BD0-A8A7-B94E8D64C4A2}"/>
    <cellStyle name="강조색4 23" xfId="747" xr:uid="{82702635-3FB4-4202-8427-A7B033FFAA0C}"/>
    <cellStyle name="강조색4 23 2" xfId="2511" xr:uid="{23B2B6C5-A210-4CCE-B92D-C36E43B8D2FD}"/>
    <cellStyle name="강조색4 24" xfId="748" xr:uid="{59F9A3B2-9A21-41DF-8C78-C6197E1E8B6B}"/>
    <cellStyle name="강조색4 24 2" xfId="2512" xr:uid="{0F2DF349-129B-4D76-872C-DDCBD97D7E51}"/>
    <cellStyle name="강조색4 25" xfId="749" xr:uid="{B58D8673-8936-4568-BE17-EBBA342555B3}"/>
    <cellStyle name="강조색4 25 2" xfId="2513" xr:uid="{756B6513-6ABE-4643-9C28-E25539ECCFB2}"/>
    <cellStyle name="강조색4 3" xfId="750" xr:uid="{37F00015-5F42-4271-A290-3B650AF4BEFB}"/>
    <cellStyle name="강조색4 3 2" xfId="2514" xr:uid="{58D6D287-1743-4304-BF6B-15405F456DCA}"/>
    <cellStyle name="강조색4 4" xfId="751" xr:uid="{7A96CCBF-73AA-4D84-950B-8608875099DE}"/>
    <cellStyle name="강조색4 4 2" xfId="2515" xr:uid="{F57C8A9E-CB86-49D2-B2D1-373FC63D8DA5}"/>
    <cellStyle name="강조색4 5" xfId="752" xr:uid="{B6BE728B-9EC8-44C0-95C8-561156D1AAEF}"/>
    <cellStyle name="강조색4 5 2" xfId="2516" xr:uid="{8295FDC4-33EF-4B1D-9DA4-134F938F5DE7}"/>
    <cellStyle name="강조색4 6" xfId="753" xr:uid="{A9966A71-CB3D-41B2-8497-BFDABB078D15}"/>
    <cellStyle name="강조색4 6 2" xfId="2517" xr:uid="{C3D06550-0E46-4F14-B394-DD801427AC8D}"/>
    <cellStyle name="강조색4 7" xfId="754" xr:uid="{A8FD3308-13DB-49D4-BDDC-B9A4F19B4032}"/>
    <cellStyle name="강조색4 7 2" xfId="2518" xr:uid="{95F361F2-EADE-4906-9564-5F4721AE1FFB}"/>
    <cellStyle name="강조색4 8" xfId="755" xr:uid="{69AD161A-5FF4-4200-9298-BEB5CD2F8913}"/>
    <cellStyle name="강조색4 8 2" xfId="2519" xr:uid="{C73335D3-24CC-485E-B6C6-71FABDAF2F82}"/>
    <cellStyle name="강조색4 9" xfId="756" xr:uid="{41E5A5B5-B1CA-42CC-A2C7-B4FE6C51717D}"/>
    <cellStyle name="강조색4 9 2" xfId="2520" xr:uid="{0B4014DA-F6A1-4F19-ABA0-21D919E9B03D}"/>
    <cellStyle name="강조색5 10" xfId="757" xr:uid="{FD481B5A-2371-43F8-B07F-09CBCB0D9628}"/>
    <cellStyle name="강조색5 10 2" xfId="2521" xr:uid="{FB5E02EB-C409-4519-80F1-935A90F2281E}"/>
    <cellStyle name="강조색5 11" xfId="758" xr:uid="{7BAAA73C-AB5B-4D69-82C8-0ADBA3E1F1BD}"/>
    <cellStyle name="강조색5 11 2" xfId="2522" xr:uid="{188DE782-A9CA-4381-A9FD-0C2EBF27036A}"/>
    <cellStyle name="강조색5 12" xfId="759" xr:uid="{BC789985-A52D-48B6-AF15-46BB2328809F}"/>
    <cellStyle name="강조색5 12 2" xfId="2523" xr:uid="{CA76DCAD-8FDB-47C8-AF2C-BC160BA08807}"/>
    <cellStyle name="강조색5 13" xfId="760" xr:uid="{DED9B61C-135E-4988-B683-A3F5B48C0200}"/>
    <cellStyle name="강조색5 13 2" xfId="2524" xr:uid="{28ECFFB0-CB21-490D-BDD3-6902969307D6}"/>
    <cellStyle name="강조색5 14" xfId="761" xr:uid="{ECDD8720-09F3-457F-AD68-0DEE32A69520}"/>
    <cellStyle name="강조색5 14 2" xfId="2525" xr:uid="{44D89411-EC2D-4853-B4EA-50B46DF3A4C8}"/>
    <cellStyle name="강조색5 15" xfId="762" xr:uid="{D1A6E878-E1D9-4432-9052-971BC2DF8850}"/>
    <cellStyle name="강조색5 15 2" xfId="2526" xr:uid="{3F1823EA-6801-4F03-A5F6-E7588AB87E4B}"/>
    <cellStyle name="강조색5 16" xfId="763" xr:uid="{121C14E6-012D-424B-8C05-9843FA299DF0}"/>
    <cellStyle name="강조색5 16 2" xfId="2527" xr:uid="{A672B435-342A-481C-B6F4-9BC2E0E09FB9}"/>
    <cellStyle name="강조색5 17" xfId="764" xr:uid="{811128FB-E2B9-469A-B863-D3544C37E31D}"/>
    <cellStyle name="강조색5 17 2" xfId="2528" xr:uid="{4488D84C-60AB-4E01-9723-BBF8F4D1988F}"/>
    <cellStyle name="강조색5 18" xfId="765" xr:uid="{95F63DF0-EB3B-4BBF-B0AB-07D2DCC9C4BC}"/>
    <cellStyle name="강조색5 18 2" xfId="2529" xr:uid="{25125955-AE56-44EE-A61A-0B5978111208}"/>
    <cellStyle name="강조색5 19" xfId="766" xr:uid="{19F23092-E390-4FE0-918E-DD6361D41B1E}"/>
    <cellStyle name="강조색5 19 2" xfId="2530" xr:uid="{7C584255-2819-4C90-8D4D-9996C33D0E95}"/>
    <cellStyle name="강조색5 2" xfId="767" xr:uid="{EE621D7A-4DE8-4403-9996-DF7E59F09823}"/>
    <cellStyle name="강조색5 2 2" xfId="2531" xr:uid="{1BAE5A88-3EF5-479F-806E-7CBE3C422204}"/>
    <cellStyle name="강조색5 2 3" xfId="1704" xr:uid="{0B7F4E13-A831-42E1-98F2-33BF8294E5DC}"/>
    <cellStyle name="강조색5 20" xfId="768" xr:uid="{D0C16CDD-8022-4BE9-A97B-C798C2D98A62}"/>
    <cellStyle name="강조색5 20 2" xfId="2532" xr:uid="{718CDDB4-E002-4E98-80BB-2560D3F13301}"/>
    <cellStyle name="강조색5 21" xfId="769" xr:uid="{731A8FC2-DEEC-4190-92A0-1FB0821D906D}"/>
    <cellStyle name="강조색5 21 2" xfId="2533" xr:uid="{FFBC8C81-D6C1-483B-AE56-2B51CEBA44A2}"/>
    <cellStyle name="강조색5 22" xfId="770" xr:uid="{C7624919-6A5C-4FBA-97C0-1DB9564F895F}"/>
    <cellStyle name="강조색5 22 2" xfId="2534" xr:uid="{6F25FE17-AD7F-45D6-A9C1-4A25E199A23B}"/>
    <cellStyle name="강조색5 23" xfId="771" xr:uid="{F0F8E491-684B-4198-A25E-B165DCE49A74}"/>
    <cellStyle name="강조색5 23 2" xfId="2535" xr:uid="{C95F3446-DD6E-45D6-9C75-87B07925B616}"/>
    <cellStyle name="강조색5 24" xfId="772" xr:uid="{67E98C0A-F106-46D6-9D9E-82005091DC57}"/>
    <cellStyle name="강조색5 24 2" xfId="2536" xr:uid="{0A6C76F4-0340-4DBF-92E2-A62B30786CFB}"/>
    <cellStyle name="강조색5 25" xfId="773" xr:uid="{F91F41C1-93AA-48BB-846C-47DD2962A2CC}"/>
    <cellStyle name="강조색5 25 2" xfId="2537" xr:uid="{3EEA2357-71C6-4943-8767-181F6B7F3F63}"/>
    <cellStyle name="강조색5 3" xfId="774" xr:uid="{EAE4BD83-2D89-4AFD-B8C3-EF01F6F50811}"/>
    <cellStyle name="강조색5 3 2" xfId="2538" xr:uid="{EDFE0B30-D2EC-41DB-9416-9AB960AEC406}"/>
    <cellStyle name="강조색5 4" xfId="775" xr:uid="{D90C1715-A0CC-4C0D-A5DC-33AD7447DAC4}"/>
    <cellStyle name="강조색5 4 2" xfId="2539" xr:uid="{96DD2F67-C134-4D85-801E-524518B64983}"/>
    <cellStyle name="강조색5 5" xfId="776" xr:uid="{746D6C13-C9D0-4B92-82B9-E7947613EA10}"/>
    <cellStyle name="강조색5 5 2" xfId="2540" xr:uid="{0D4C0C56-1819-4486-99FE-A498C223B4A7}"/>
    <cellStyle name="강조색5 6" xfId="777" xr:uid="{DA204352-2852-4258-BDD5-3608F9A8CD24}"/>
    <cellStyle name="강조색5 6 2" xfId="2541" xr:uid="{734DE596-7FF4-4A6E-B930-BC6FD57B5C60}"/>
    <cellStyle name="강조색5 7" xfId="778" xr:uid="{0F8EA3CE-C67E-4731-9268-6AB6FE49DD82}"/>
    <cellStyle name="강조색5 7 2" xfId="2542" xr:uid="{898B0DCD-940E-4F97-B7E1-F4CBD8626B83}"/>
    <cellStyle name="강조색5 8" xfId="779" xr:uid="{D803FC71-AC27-48B2-8919-A27832947AA9}"/>
    <cellStyle name="강조색5 8 2" xfId="2543" xr:uid="{2351E02D-A5E7-4AB7-AC73-88B4C82BB1F8}"/>
    <cellStyle name="강조색5 9" xfId="780" xr:uid="{C6B776AB-6511-4347-9754-DBE0B7DBF722}"/>
    <cellStyle name="강조색5 9 2" xfId="2544" xr:uid="{2408C6C8-66F5-4BE9-A14B-46712F8110DB}"/>
    <cellStyle name="강조색6 10" xfId="781" xr:uid="{7FBA7A74-F100-4C7C-854E-9628D35CDC0F}"/>
    <cellStyle name="강조색6 10 2" xfId="2545" xr:uid="{CCCE01A5-F634-4AAF-B4B5-D4DAB4289E4E}"/>
    <cellStyle name="강조색6 11" xfId="782" xr:uid="{B3DF34BB-F8A7-466E-9172-FBC171637FE3}"/>
    <cellStyle name="강조색6 11 2" xfId="2546" xr:uid="{D60DC52C-4A4E-48EA-8859-2E491625BF19}"/>
    <cellStyle name="강조색6 12" xfId="783" xr:uid="{02D421DF-24D2-4689-99F2-D85626B6BDB2}"/>
    <cellStyle name="강조색6 12 2" xfId="2547" xr:uid="{3EE2F828-6726-461F-A5CE-259B6207826C}"/>
    <cellStyle name="강조색6 13" xfId="784" xr:uid="{44D6378A-6D88-4701-9539-752B439CD051}"/>
    <cellStyle name="강조색6 13 2" xfId="2548" xr:uid="{9AE8901D-4819-42C1-A77A-EB86B4F2C818}"/>
    <cellStyle name="강조색6 14" xfId="785" xr:uid="{3B66687A-24BE-4521-8948-76279C87D807}"/>
    <cellStyle name="강조색6 14 2" xfId="2549" xr:uid="{434B48AC-BE28-4FDC-9B01-449FB424FFDB}"/>
    <cellStyle name="강조색6 15" xfId="786" xr:uid="{BEBAA941-F22F-44D4-9B0D-D6BE6AD3AA58}"/>
    <cellStyle name="강조색6 15 2" xfId="2550" xr:uid="{500C2292-9696-4137-A537-C7C3B19196A2}"/>
    <cellStyle name="강조색6 16" xfId="787" xr:uid="{EA994E29-978C-45D0-B7D9-50C4FF0D794D}"/>
    <cellStyle name="강조색6 16 2" xfId="2551" xr:uid="{5F3A4DEB-FD51-4D95-86A9-8CD38357FF23}"/>
    <cellStyle name="강조색6 17" xfId="788" xr:uid="{2C1240CC-3212-4097-B8DE-772A1BCF551C}"/>
    <cellStyle name="강조색6 17 2" xfId="2552" xr:uid="{AFD39ECF-CCD8-445E-97E2-79ED82CB0CC2}"/>
    <cellStyle name="강조색6 18" xfId="789" xr:uid="{BF8F7818-4946-4510-ADC6-995FF9815A1E}"/>
    <cellStyle name="강조색6 18 2" xfId="2553" xr:uid="{CC753624-FD06-4E7D-B7CD-EB3EE306670C}"/>
    <cellStyle name="강조색6 19" xfId="790" xr:uid="{2FEBEFE1-021A-43C3-8880-AA52DE3A15D9}"/>
    <cellStyle name="강조색6 19 2" xfId="2554" xr:uid="{2249B58C-1A03-4BCC-A5CF-EB44D58B99DA}"/>
    <cellStyle name="강조색6 2" xfId="791" xr:uid="{EC280116-E1FC-47F8-A192-92CDE2774014}"/>
    <cellStyle name="강조색6 2 2" xfId="2555" xr:uid="{3913C151-26F5-40D4-A7EE-A2DCBA994553}"/>
    <cellStyle name="강조색6 2 3" xfId="1705" xr:uid="{9BB7B2D8-B97F-4A02-905D-AF94DD402883}"/>
    <cellStyle name="강조색6 20" xfId="792" xr:uid="{C14E1E13-F906-4503-9A39-EEF3A260BC6D}"/>
    <cellStyle name="강조색6 20 2" xfId="2556" xr:uid="{0E5A37EB-9F4D-4BAA-BA57-8F27A6FFA5D6}"/>
    <cellStyle name="강조색6 21" xfId="793" xr:uid="{5D8FEBF9-8D9C-4ADE-B165-F1BE8C72EE2D}"/>
    <cellStyle name="강조색6 21 2" xfId="2557" xr:uid="{EA5B6197-C5A8-43FB-9958-6099F57940E8}"/>
    <cellStyle name="강조색6 22" xfId="794" xr:uid="{D6F793E2-ECDB-49B3-B1F7-58D3DCC995DF}"/>
    <cellStyle name="강조색6 22 2" xfId="2558" xr:uid="{272A9F3C-6A04-4A5A-8850-45F179108245}"/>
    <cellStyle name="강조색6 23" xfId="795" xr:uid="{213E255D-B46D-4D5A-9FC8-0C3C757850BA}"/>
    <cellStyle name="강조색6 23 2" xfId="2559" xr:uid="{30FA0FBF-0DA5-4394-8A3E-2B4430E34A6D}"/>
    <cellStyle name="강조색6 24" xfId="796" xr:uid="{0159E4EA-714E-4588-8138-62D022731935}"/>
    <cellStyle name="강조색6 24 2" xfId="2560" xr:uid="{93D10F68-4497-4D5C-9D13-24DDBDDAB6CA}"/>
    <cellStyle name="강조색6 25" xfId="797" xr:uid="{6B0C9337-E240-4A05-B6C9-5D82A69C9D89}"/>
    <cellStyle name="강조색6 25 2" xfId="2561" xr:uid="{611AB0F6-6442-43C9-A904-A748329EFE40}"/>
    <cellStyle name="강조색6 3" xfId="798" xr:uid="{469DA0B3-DB48-4DCE-900A-689926FD55A1}"/>
    <cellStyle name="강조색6 3 2" xfId="2562" xr:uid="{4615CD46-4EF2-47F4-928C-84F311D64473}"/>
    <cellStyle name="강조색6 4" xfId="799" xr:uid="{429ED688-F193-4F55-8D08-0FCE8E6046E3}"/>
    <cellStyle name="강조색6 4 2" xfId="2563" xr:uid="{B4907D64-D2EB-4EB9-B5D4-682CF8F602DE}"/>
    <cellStyle name="강조색6 5" xfId="800" xr:uid="{D2DBA77F-F61B-4EFC-B2DE-FC1C2B9F67ED}"/>
    <cellStyle name="강조색6 5 2" xfId="2564" xr:uid="{493941E6-A984-4227-85A0-A6DEC3C65A5C}"/>
    <cellStyle name="강조색6 6" xfId="801" xr:uid="{504B4A68-FD0C-4737-9186-C9CA39C721F3}"/>
    <cellStyle name="강조색6 6 2" xfId="2565" xr:uid="{0FEB10A6-8FEC-4F09-A23A-5422360EC30C}"/>
    <cellStyle name="강조색6 7" xfId="802" xr:uid="{EB5C97A1-B5DB-471D-9288-0F0FBF1D0F8C}"/>
    <cellStyle name="강조색6 7 2" xfId="2566" xr:uid="{727F6F32-8226-4C5E-8BF5-0EA894430458}"/>
    <cellStyle name="강조색6 8" xfId="803" xr:uid="{4FB2491C-B3B9-4EA7-954C-B4DF696060E0}"/>
    <cellStyle name="강조색6 8 2" xfId="2567" xr:uid="{DFBAD874-C21D-4C6A-8C46-7494528BF65E}"/>
    <cellStyle name="강조색6 9" xfId="804" xr:uid="{6B5F2661-3148-42E6-AAEE-434AAE8F4F33}"/>
    <cellStyle name="강조색6 9 2" xfId="2568" xr:uid="{2D7284E1-32E3-46C0-A885-8138C07CF391}"/>
    <cellStyle name="경고문 10" xfId="805" xr:uid="{5B48E696-EC26-4087-A856-A977A8E70280}"/>
    <cellStyle name="경고문 10 2" xfId="2569" xr:uid="{653DCD25-9934-4EEF-9264-5E815318BA80}"/>
    <cellStyle name="경고문 11" xfId="806" xr:uid="{F503E067-7C5A-41CD-86C2-211E5FC2FEA1}"/>
    <cellStyle name="경고문 11 2" xfId="2570" xr:uid="{0C442698-8412-43AE-811D-72AE84BF41AF}"/>
    <cellStyle name="경고문 12" xfId="807" xr:uid="{01A689A5-3ED3-4714-8E58-213D843FA384}"/>
    <cellStyle name="경고문 12 2" xfId="2571" xr:uid="{FD65095B-7B63-4776-BB07-3FC2220F98FC}"/>
    <cellStyle name="경고문 13" xfId="808" xr:uid="{85CECCEC-AA8B-4537-9A9C-0D5DCDC3BE71}"/>
    <cellStyle name="경고문 13 2" xfId="2572" xr:uid="{26CF0848-C50D-4006-A812-4422E2A0D5E2}"/>
    <cellStyle name="경고문 14" xfId="809" xr:uid="{CC4974E2-25E8-4229-ADCF-07F70D55DC7E}"/>
    <cellStyle name="경고문 14 2" xfId="2573" xr:uid="{495AFE41-FF32-4CF3-91D8-6DD810A08448}"/>
    <cellStyle name="경고문 15" xfId="810" xr:uid="{2FD79880-A845-45EC-B625-040DA067EF34}"/>
    <cellStyle name="경고문 15 2" xfId="2574" xr:uid="{5F9CE7F4-8B4F-438B-84D0-1A115BE24505}"/>
    <cellStyle name="경고문 16" xfId="811" xr:uid="{CD177944-5562-4092-8066-512CE8EEBCF2}"/>
    <cellStyle name="경고문 16 2" xfId="2575" xr:uid="{F7830B0E-4753-4066-A141-D17679E5AAF4}"/>
    <cellStyle name="경고문 17" xfId="812" xr:uid="{6C7AF8EE-1E36-4847-AF77-288800C1FA74}"/>
    <cellStyle name="경고문 17 2" xfId="2576" xr:uid="{CE14C087-4268-4835-AFD7-AF6A79D2FCC5}"/>
    <cellStyle name="경고문 18" xfId="813" xr:uid="{9A7F74EA-5B25-4029-918F-7FE076ACF594}"/>
    <cellStyle name="경고문 18 2" xfId="2577" xr:uid="{84B5264A-06AF-4865-920D-48A038B54ACD}"/>
    <cellStyle name="경고문 19" xfId="814" xr:uid="{6DF1F5C1-F943-4A2F-9400-F3AC674BF5A9}"/>
    <cellStyle name="경고문 19 2" xfId="2578" xr:uid="{C0830C81-0B60-4FBC-B70A-0705E1B97BE7}"/>
    <cellStyle name="경고문 2" xfId="815" xr:uid="{18018A52-6417-4C8D-8323-A2119F59435B}"/>
    <cellStyle name="경고문 2 2" xfId="2579" xr:uid="{A38A6188-E214-4F46-8878-ECCF32B635F5}"/>
    <cellStyle name="경고문 2 3" xfId="1706" xr:uid="{627F2A60-A92A-4249-B301-4D04B54FBB1D}"/>
    <cellStyle name="경고문 20" xfId="816" xr:uid="{77DB3E42-5203-4C15-923C-7290B47ED22F}"/>
    <cellStyle name="경고문 20 2" xfId="2580" xr:uid="{28AE84A9-F250-40E0-A691-302F02E9FB56}"/>
    <cellStyle name="경고문 21" xfId="817" xr:uid="{619CE708-5309-477D-ABEF-DAC450CA5BF0}"/>
    <cellStyle name="경고문 21 2" xfId="2581" xr:uid="{1E09DBBB-CAB4-4411-98F6-5E20A296DBA0}"/>
    <cellStyle name="경고문 22" xfId="818" xr:uid="{67C1DECE-4A8D-4C7A-8822-4EF0A0E1EF8E}"/>
    <cellStyle name="경고문 22 2" xfId="2582" xr:uid="{016C76EB-FC45-40C3-B12A-BE79377012B7}"/>
    <cellStyle name="경고문 23" xfId="819" xr:uid="{BD1733E3-D807-446A-BBDB-E8C1B5BDC5C7}"/>
    <cellStyle name="경고문 23 2" xfId="2583" xr:uid="{E108850C-0F98-400D-A9D1-0D558269DE12}"/>
    <cellStyle name="경고문 24" xfId="820" xr:uid="{8388B4CA-531B-44EF-8839-74304984B03F}"/>
    <cellStyle name="경고문 24 2" xfId="2584" xr:uid="{31083A79-A935-4EB8-B0A9-F4EB22E96E9C}"/>
    <cellStyle name="경고문 25" xfId="821" xr:uid="{5D42906F-7005-4284-B848-5C74390BD417}"/>
    <cellStyle name="경고문 25 2" xfId="2585" xr:uid="{7F25B785-8DFC-441F-A0F5-78B3847BC633}"/>
    <cellStyle name="경고문 3" xfId="822" xr:uid="{88279FFB-2BB0-474E-9798-45A8F17454E8}"/>
    <cellStyle name="경고문 3 2" xfId="2586" xr:uid="{14BA2EF6-5F02-4BB5-A949-DC012044ED59}"/>
    <cellStyle name="경고문 4" xfId="823" xr:uid="{3496021C-EEBD-4F24-B7A5-0EADF3CE4B3F}"/>
    <cellStyle name="경고문 4 2" xfId="2587" xr:uid="{5855C49E-7A1B-4568-8F1E-A37FB31AB3DD}"/>
    <cellStyle name="경고문 5" xfId="824" xr:uid="{F86A8CDC-AAB7-4745-91E7-06D278C9A696}"/>
    <cellStyle name="경고문 5 2" xfId="2588" xr:uid="{52CD4974-16D2-4612-8D9E-3462CB38BD4F}"/>
    <cellStyle name="경고문 6" xfId="825" xr:uid="{F9006959-6588-4C7B-9C2D-46DA30AF4A62}"/>
    <cellStyle name="경고문 6 2" xfId="2589" xr:uid="{8FDF8BA9-2662-4B38-BD5C-8A1977EE2B27}"/>
    <cellStyle name="경고문 7" xfId="826" xr:uid="{2FDA2895-2C4D-4934-BE77-4BAFE6337F16}"/>
    <cellStyle name="경고문 7 2" xfId="2590" xr:uid="{EFC40ADA-E8C5-4F8E-BF82-ABFBA72D7976}"/>
    <cellStyle name="경고문 8" xfId="827" xr:uid="{0488B9C2-7476-4158-9DA1-9F21803CDD8B}"/>
    <cellStyle name="경고문 8 2" xfId="2591" xr:uid="{A90BE429-BAA0-417A-84BD-E4AECF9B7245}"/>
    <cellStyle name="경고문 9" xfId="828" xr:uid="{680BFDF4-1051-4DF5-AFB3-7B87EAFAB706}"/>
    <cellStyle name="경고문 9 2" xfId="2592" xr:uid="{5AD69A20-E7A4-46B8-85B4-FB8D6F66A40F}"/>
    <cellStyle name="계산 10" xfId="829" xr:uid="{07D331AE-1F73-4713-B88E-F4AF980E1741}"/>
    <cellStyle name="계산 10 2" xfId="2593" xr:uid="{4CB3F2E3-E4B9-4180-98BF-C3E9743FBDA3}"/>
    <cellStyle name="계산 11" xfId="830" xr:uid="{BAB2C3B6-1D7B-4356-BE20-4DAC1F122BED}"/>
    <cellStyle name="계산 11 2" xfId="2594" xr:uid="{26612B5B-5153-4A04-8A94-4473911AC848}"/>
    <cellStyle name="계산 12" xfId="831" xr:uid="{9B6B0329-77A4-460C-847C-99A38C781D54}"/>
    <cellStyle name="계산 12 2" xfId="2595" xr:uid="{B8A3283D-9538-49ED-AAD1-889619467B8F}"/>
    <cellStyle name="계산 13" xfId="832" xr:uid="{2589F8FA-3E86-4BB0-8574-9E000367B60B}"/>
    <cellStyle name="계산 13 2" xfId="2596" xr:uid="{1C65BF5D-D5D3-483A-ACFA-882C8154F7B8}"/>
    <cellStyle name="계산 14" xfId="833" xr:uid="{B849EA33-A1F4-4D9F-9B2F-B746B32EBA99}"/>
    <cellStyle name="계산 14 2" xfId="2597" xr:uid="{3D8E92A3-CA63-47F4-A36B-309B6EC62EA7}"/>
    <cellStyle name="계산 15" xfId="834" xr:uid="{5C6C8E14-75EF-4532-A324-4E7BCD3D588F}"/>
    <cellStyle name="계산 15 2" xfId="2598" xr:uid="{B864316D-48BE-4AC0-A18E-12F8FA70FF0B}"/>
    <cellStyle name="계산 16" xfId="835" xr:uid="{D1A2E9D6-D37A-4C37-A180-48B9C61F3607}"/>
    <cellStyle name="계산 16 2" xfId="2599" xr:uid="{058C000D-ADC1-4535-943F-BBBF110253C4}"/>
    <cellStyle name="계산 17" xfId="836" xr:uid="{3308A91D-6008-4ACD-AF58-49352FCCCE9D}"/>
    <cellStyle name="계산 17 2" xfId="2600" xr:uid="{65B4CB6B-7085-4074-92A0-D1C874423DE9}"/>
    <cellStyle name="계산 18" xfId="837" xr:uid="{DB00142D-FE9C-4C3D-A6BD-2995FA7C59B7}"/>
    <cellStyle name="계산 18 2" xfId="2601" xr:uid="{5960C72B-72A8-498F-AED7-9361F5975E3A}"/>
    <cellStyle name="계산 19" xfId="838" xr:uid="{978B8E3D-C915-48A0-9334-F2029714B423}"/>
    <cellStyle name="계산 19 2" xfId="2602" xr:uid="{67844E78-AFCC-48E6-8F73-6576A0AD8263}"/>
    <cellStyle name="계산 2" xfId="839" xr:uid="{8C760A82-0545-417C-B8EC-C90A8E252B29}"/>
    <cellStyle name="계산 2 2" xfId="2603" xr:uid="{895B571B-5317-4D4C-A04F-FD21017D1D7E}"/>
    <cellStyle name="계산 2 3" xfId="1707" xr:uid="{1EFCC703-C019-4F42-8D8B-F98C41AB0DF1}"/>
    <cellStyle name="계산 20" xfId="840" xr:uid="{C3B0810A-9529-47DF-9268-67801709BB18}"/>
    <cellStyle name="계산 20 2" xfId="2604" xr:uid="{407EA110-EE9C-4BBE-AAC7-7414D7984AA4}"/>
    <cellStyle name="계산 21" xfId="841" xr:uid="{3526B048-4BFF-482D-AA7E-761815DDC476}"/>
    <cellStyle name="계산 21 2" xfId="2605" xr:uid="{B2CEFAE5-33EE-40AF-8D62-690CC7FCD603}"/>
    <cellStyle name="계산 22" xfId="842" xr:uid="{155CE872-EB78-4303-8A7D-E1061DF7A183}"/>
    <cellStyle name="계산 22 2" xfId="2606" xr:uid="{C4DAC1E7-1E7E-46FE-8489-D527D91CE7CC}"/>
    <cellStyle name="계산 23" xfId="843" xr:uid="{E72E8139-8F90-409D-BF0F-BB3736A8FBD7}"/>
    <cellStyle name="계산 23 2" xfId="2607" xr:uid="{BB08AF55-3EDF-4EA1-B680-CF2300BE8C26}"/>
    <cellStyle name="계산 24" xfId="844" xr:uid="{630AA6E8-2494-4085-86D2-3F806D42E958}"/>
    <cellStyle name="계산 24 2" xfId="2608" xr:uid="{1A3CB6AF-DD86-4807-84DA-FBA27C1F47D9}"/>
    <cellStyle name="계산 25" xfId="845" xr:uid="{AB120846-9967-4C82-9AFE-19F825E4A8AB}"/>
    <cellStyle name="계산 25 2" xfId="2609" xr:uid="{5BCF4EA2-BA5C-4D1C-A52A-12B87AA205A4}"/>
    <cellStyle name="계산 3" xfId="846" xr:uid="{198EBA3E-C602-4992-B3E6-7F657B111312}"/>
    <cellStyle name="계산 3 2" xfId="2610" xr:uid="{AB585649-FBA8-442A-AD34-7B3B70ED2693}"/>
    <cellStyle name="계산 4" xfId="847" xr:uid="{00B12915-3CE8-4F1B-BB27-E3F0262F270D}"/>
    <cellStyle name="계산 4 2" xfId="2611" xr:uid="{0C987A9E-19E0-4623-8671-102BA177C0CC}"/>
    <cellStyle name="계산 5" xfId="848" xr:uid="{AB42742A-4A94-4214-A2EF-9858F967618A}"/>
    <cellStyle name="계산 5 2" xfId="2612" xr:uid="{1E170885-9093-4142-8442-86B5FE64EFF7}"/>
    <cellStyle name="계산 6" xfId="849" xr:uid="{1DCE145E-C5B8-43F7-AE54-8AEC3AAFA668}"/>
    <cellStyle name="계산 6 2" xfId="2613" xr:uid="{08029E26-0EFA-4DE1-AE71-CA72AE0ED385}"/>
    <cellStyle name="계산 7" xfId="850" xr:uid="{F483D34D-126D-415B-BC1C-C01F763A3A93}"/>
    <cellStyle name="계산 7 2" xfId="2614" xr:uid="{5C23F465-F401-4F4F-AC0F-1F99D8646F46}"/>
    <cellStyle name="계산 8" xfId="851" xr:uid="{6E0454C4-E052-44FC-9198-574AED343BDC}"/>
    <cellStyle name="계산 8 2" xfId="2615" xr:uid="{FF1F83E8-898B-4806-BB40-19ADA68DF9E7}"/>
    <cellStyle name="계산 9" xfId="852" xr:uid="{7E2056D8-61E9-4C15-B1A2-C70DF5AFAC51}"/>
    <cellStyle name="계산 9 2" xfId="2616" xr:uid="{68592F3D-3BA8-4C8E-8238-468EC1B04E7C}"/>
    <cellStyle name="고정소숫점" xfId="1708" xr:uid="{3D2EF838-DEDB-4221-8B51-09EDE5EC6EBF}"/>
    <cellStyle name="고정출력1" xfId="1709" xr:uid="{AE3F15E6-B94D-411D-879D-8BD4D66DE3FE}"/>
    <cellStyle name="고정출력2" xfId="1710" xr:uid="{CC74DD67-B49A-45DA-AB2D-8900F5997E55}"/>
    <cellStyle name="나쁨" xfId="3" builtinId="27" customBuiltin="1"/>
    <cellStyle name="나쁨 10" xfId="853" xr:uid="{877FDB6F-9630-4DAC-9BB1-49FE2BD980F2}"/>
    <cellStyle name="나쁨 10 2" xfId="2617" xr:uid="{FECF4187-603D-4186-AB31-626F19BA4888}"/>
    <cellStyle name="나쁨 11" xfId="854" xr:uid="{0BD7820B-91F6-46BD-B7E9-8A7428621A92}"/>
    <cellStyle name="나쁨 11 2" xfId="2618" xr:uid="{098274CC-44AD-47F9-A391-753902271EE2}"/>
    <cellStyle name="나쁨 12" xfId="855" xr:uid="{31734D70-5475-4105-9FCC-A57A1D936D12}"/>
    <cellStyle name="나쁨 12 2" xfId="2619" xr:uid="{361C6DCC-6760-4A82-B7F5-78B4DFB60E6A}"/>
    <cellStyle name="나쁨 13" xfId="856" xr:uid="{9D0A7EEC-0E33-4D2B-BB16-A3CBC9BA31DD}"/>
    <cellStyle name="나쁨 13 2" xfId="2620" xr:uid="{A94F1666-04CE-4907-BB3C-4E0F1DF1281E}"/>
    <cellStyle name="나쁨 14" xfId="857" xr:uid="{1C4B18AE-8626-45D3-8938-D5C68EF96808}"/>
    <cellStyle name="나쁨 14 2" xfId="2621" xr:uid="{E2989C36-B6A6-413C-AD3F-53AC5D5CE8E8}"/>
    <cellStyle name="나쁨 15" xfId="858" xr:uid="{A5BB2C9B-1601-44C4-B214-E54A5869D6F2}"/>
    <cellStyle name="나쁨 15 2" xfId="2622" xr:uid="{1AE30E5D-AC1B-480D-9C98-5127BCBA2409}"/>
    <cellStyle name="나쁨 16" xfId="859" xr:uid="{BE9D3BB1-1D47-4EC1-A969-47062DA93125}"/>
    <cellStyle name="나쁨 16 2" xfId="2623" xr:uid="{8DC6D014-3659-48CD-8654-034C2570425B}"/>
    <cellStyle name="나쁨 17" xfId="860" xr:uid="{4AF59972-9A49-4630-93F6-F5D52453440C}"/>
    <cellStyle name="나쁨 17 2" xfId="2624" xr:uid="{0CAC04EE-F0C0-4B75-BC0C-6EBE74EF7C81}"/>
    <cellStyle name="나쁨 18" xfId="861" xr:uid="{4ED1BF32-81EA-4002-9E9D-6089F359423A}"/>
    <cellStyle name="나쁨 18 2" xfId="2625" xr:uid="{666C6C90-BD78-4BC6-B3D9-8EDE5606AAE9}"/>
    <cellStyle name="나쁨 19" xfId="862" xr:uid="{418B5EA1-D1F9-4CC0-8F3B-F6B2A5402FF0}"/>
    <cellStyle name="나쁨 19 2" xfId="2626" xr:uid="{408A1874-1A93-44D4-9F44-093DFB7F1E32}"/>
    <cellStyle name="나쁨 2" xfId="17" xr:uid="{00000000-0005-0000-0000-00000A000000}"/>
    <cellStyle name="나쁨 2 2" xfId="863" xr:uid="{0B1820FF-72AE-4E33-A92B-295AF39A2533}"/>
    <cellStyle name="나쁨 2 2 2" xfId="2627" xr:uid="{4EAA23B0-92D3-45CA-A44E-6AAC794C1460}"/>
    <cellStyle name="나쁨 2 3" xfId="1711" xr:uid="{0BA127ED-89DF-4284-8018-2FC2F485178D}"/>
    <cellStyle name="나쁨 20" xfId="864" xr:uid="{D70FDAA3-CD1C-4306-AACC-4F3E0142F135}"/>
    <cellStyle name="나쁨 20 2" xfId="2628" xr:uid="{EB965082-6C0D-434C-BD62-27D6248E785B}"/>
    <cellStyle name="나쁨 21" xfId="865" xr:uid="{DC295A33-338A-4251-AF28-055B1015C4D9}"/>
    <cellStyle name="나쁨 21 2" xfId="2629" xr:uid="{711AF4C1-7B00-4D72-83CA-94C9FEEB6020}"/>
    <cellStyle name="나쁨 22" xfId="866" xr:uid="{231546D6-7911-4B0C-A793-1F0B1CFF90DB}"/>
    <cellStyle name="나쁨 22 2" xfId="2630" xr:uid="{782BEB31-1CD1-4848-BECD-BD06D924DF01}"/>
    <cellStyle name="나쁨 23" xfId="867" xr:uid="{91C1FF74-C7D1-4AA5-8425-0E0DC1716F83}"/>
    <cellStyle name="나쁨 23 2" xfId="2631" xr:uid="{86DA707C-F81B-41C5-BA35-1F2330E5A0F8}"/>
    <cellStyle name="나쁨 24" xfId="868" xr:uid="{2EEC348D-28D7-451F-B12F-DA85E8338A9F}"/>
    <cellStyle name="나쁨 24 2" xfId="2632" xr:uid="{A733C729-A0F8-4887-A7EE-D07C7C175144}"/>
    <cellStyle name="나쁨 25" xfId="869" xr:uid="{96F8BE0C-D7B7-422F-B138-0004C69B9D22}"/>
    <cellStyle name="나쁨 25 2" xfId="2633" xr:uid="{2F843C2C-3D82-4AFC-96E9-A96294274C18}"/>
    <cellStyle name="나쁨 3" xfId="870" xr:uid="{47101BC5-6C34-4826-9B3F-C2B0766B4431}"/>
    <cellStyle name="나쁨 3 2" xfId="2634" xr:uid="{06421126-1A64-47F8-A8F0-4C5066E6AB6B}"/>
    <cellStyle name="나쁨 4" xfId="871" xr:uid="{CFA706D9-65AA-40EA-8E3D-8DACB0BA2031}"/>
    <cellStyle name="나쁨 4 2" xfId="2635" xr:uid="{34809F96-CBBB-4535-9B78-C46925A1CA01}"/>
    <cellStyle name="나쁨 5" xfId="872" xr:uid="{544DCD99-4339-4B4A-BBDC-EE7A56EFF390}"/>
    <cellStyle name="나쁨 5 2" xfId="2636" xr:uid="{5A2A5FE8-4211-43BD-B2EC-B5DE291562C0}"/>
    <cellStyle name="나쁨 6" xfId="873" xr:uid="{4C812714-6102-40EC-BDC8-62437385AAF5}"/>
    <cellStyle name="나쁨 6 2" xfId="2637" xr:uid="{74374B5B-0944-4186-90C4-D621B3A0F161}"/>
    <cellStyle name="나쁨 7" xfId="874" xr:uid="{98F1F45E-F30F-49E2-988E-98B272B83817}"/>
    <cellStyle name="나쁨 7 2" xfId="2638" xr:uid="{A80A20EA-B0FF-438B-AFD9-F6A818AF864E}"/>
    <cellStyle name="나쁨 8" xfId="875" xr:uid="{144D77DE-334B-4D74-8DEB-6D3DB094611D}"/>
    <cellStyle name="나쁨 8 2" xfId="2639" xr:uid="{054843BB-420A-4C87-AA30-82AF05E3E57D}"/>
    <cellStyle name="나쁨 9" xfId="876" xr:uid="{CFE91681-E7FF-4557-ACD1-830E0235DB87}"/>
    <cellStyle name="나쁨 9 2" xfId="2640" xr:uid="{6F2DA855-B90C-4CAF-BE2A-4B406FA3B15A}"/>
    <cellStyle name="난제목" xfId="1712" xr:uid="{D8036608-3AF8-4D71-BBDD-3FBA8D753DDA}"/>
    <cellStyle name="날짜" xfId="1713" xr:uid="{699A50D5-857B-488B-8710-094A142C0A1E}"/>
    <cellStyle name="달러" xfId="1714" xr:uid="{29E29EC0-531F-4449-A00E-38F37205C8D6}"/>
    <cellStyle name="뒤에 오는 하이퍼링크_011024 ML330" xfId="1715" xr:uid="{DC7D42FC-7D8F-4C14-8F3E-B4FB90DE9EB7}"/>
    <cellStyle name="똿떓죶Ø괻 [0.00]_laroux" xfId="1716" xr:uid="{F3A7E133-19BC-4278-8C46-B24E3A79EB5E}"/>
    <cellStyle name="똿떓죶Ø괻_laroux" xfId="1717" xr:uid="{12D65299-036A-41BD-A7BC-358F76C53B9C}"/>
    <cellStyle name="똿뗦먛귟 [?.00]_PRODUCT DETAIL Q3 (2)" xfId="1718" xr:uid="{281AE877-E749-4A53-A8BE-3EABA74B77DD}"/>
    <cellStyle name="똿뗦먛귟 [0.00]_PRODUCT DETAIL Q1" xfId="1719" xr:uid="{700A7559-DD9C-4B90-B166-D6FD067D7873}"/>
    <cellStyle name="똿뗦먛귟 [ʨ.00]_PRODUCT DETAIL Q3 (2)" xfId="1720" xr:uid="{9237F47E-9B27-432F-8222-36FF97D030E8}"/>
    <cellStyle name="똿뗦먛귟_PRODUCT DETAIL Q1" xfId="1721" xr:uid="{BA88A05A-734E-4031-A678-5E374EF4F084}"/>
    <cellStyle name="마감" xfId="1722" xr:uid="{5B032E73-64E4-4A33-8CE5-3FB157CC2CED}"/>
    <cellStyle name="메모 10" xfId="877" xr:uid="{72F349BC-3654-4194-9816-1B5F87E38AC8}"/>
    <cellStyle name="메모 10 2" xfId="2641" xr:uid="{69217B8E-D291-4BE8-A83A-D27F530650FD}"/>
    <cellStyle name="메모 11" xfId="878" xr:uid="{865CC8E9-BAD2-4817-826F-556F8EBA3B10}"/>
    <cellStyle name="메모 11 2" xfId="2642" xr:uid="{D1F4DBB9-E855-45B3-B525-23AB3219E7D0}"/>
    <cellStyle name="메모 12" xfId="879" xr:uid="{2589CE48-1650-45D6-B2F8-8B2EFD418660}"/>
    <cellStyle name="메모 12 2" xfId="2643" xr:uid="{23C844CE-00FB-4F59-BADA-B08FB77FEC1E}"/>
    <cellStyle name="메모 13" xfId="880" xr:uid="{5DE4BE61-F0ED-4811-B0A3-AA75F34F55C9}"/>
    <cellStyle name="메모 13 2" xfId="2644" xr:uid="{51C632E1-3910-4A23-AC13-D394FAF6D04F}"/>
    <cellStyle name="메모 14" xfId="881" xr:uid="{368EA05C-4FB9-447A-B26C-B1DEE172FD41}"/>
    <cellStyle name="메모 14 2" xfId="2645" xr:uid="{8F8D65AC-4D00-45FC-922E-F01D4CC83135}"/>
    <cellStyle name="메모 15" xfId="882" xr:uid="{A0B67C1C-FE63-40B8-B93D-97AD9D9F4562}"/>
    <cellStyle name="메모 15 2" xfId="2646" xr:uid="{F6C1DFCC-A0E8-4424-9203-4CEA13AA6F26}"/>
    <cellStyle name="메모 16" xfId="883" xr:uid="{D7EEFE4B-360D-480D-B663-A368F1697A9F}"/>
    <cellStyle name="메모 16 2" xfId="2647" xr:uid="{6EABF7ED-8422-4027-8034-B0896D631F1D}"/>
    <cellStyle name="메모 17" xfId="884" xr:uid="{525DA91D-E0E2-44AA-A874-9EACC8EC6559}"/>
    <cellStyle name="메모 17 2" xfId="2648" xr:uid="{9364813D-DB34-47D0-A3BB-C637857EFFD0}"/>
    <cellStyle name="메모 18" xfId="885" xr:uid="{C54E641B-E688-4ED1-B4BC-537C70B5C93B}"/>
    <cellStyle name="메모 18 2" xfId="2649" xr:uid="{337B4AF0-70D8-4EAA-A0FF-980413E4B263}"/>
    <cellStyle name="메모 19" xfId="886" xr:uid="{BA8011A2-F0EA-44F9-B30B-7D74B895496F}"/>
    <cellStyle name="메모 19 2" xfId="2650" xr:uid="{42594006-5653-4D92-AE65-518BC43EDC75}"/>
    <cellStyle name="메모 2" xfId="887" xr:uid="{A6C8F572-8F73-4466-B58F-C36122CD425D}"/>
    <cellStyle name="메모 2 2" xfId="2651" xr:uid="{4EE0F744-FFFE-4377-9915-63F66EE52178}"/>
    <cellStyle name="메모 2 3" xfId="1723" xr:uid="{59B3B3FE-9F41-43AE-8047-952ED6281965}"/>
    <cellStyle name="메모 20" xfId="888" xr:uid="{42E3E891-4C64-41EF-8480-BEF3085DDBFB}"/>
    <cellStyle name="메모 20 2" xfId="2652" xr:uid="{E3979C09-76FA-4973-AF39-61E08A7996CC}"/>
    <cellStyle name="메모 21" xfId="889" xr:uid="{490A99F1-01DD-462B-846A-DAF26C829227}"/>
    <cellStyle name="메모 21 2" xfId="2653" xr:uid="{EE77859E-D45D-4F0E-8640-9DD6F9C56234}"/>
    <cellStyle name="메모 22" xfId="890" xr:uid="{9262C2EA-04F6-45DD-B2D3-9ABDF73354AD}"/>
    <cellStyle name="메모 22 2" xfId="2654" xr:uid="{C27AA397-3D65-4480-A6BE-3C4D35AE452D}"/>
    <cellStyle name="메모 23" xfId="891" xr:uid="{AA8C87F8-7503-421A-9787-D5F622F3AC94}"/>
    <cellStyle name="메모 23 2" xfId="2655" xr:uid="{F115743B-D5C3-411E-A3FA-7FD231156A62}"/>
    <cellStyle name="메모 24" xfId="892" xr:uid="{A055104B-84DE-4B66-8C26-2783AC676B1D}"/>
    <cellStyle name="메모 24 2" xfId="2656" xr:uid="{4FEFE094-0BA2-4AD1-BED1-EFBFA94091E0}"/>
    <cellStyle name="메모 25" xfId="893" xr:uid="{16F6B0FE-F7ED-42AE-957C-F7D75464E1DA}"/>
    <cellStyle name="메모 25 2" xfId="2657" xr:uid="{B7FF4B9D-4946-4C6A-A718-C74CEAFACB1D}"/>
    <cellStyle name="메모 3" xfId="894" xr:uid="{0AB64857-360E-4E59-A52E-6421DD941B7E}"/>
    <cellStyle name="메모 3 2" xfId="2658" xr:uid="{9E56A1FA-F399-4DBF-9FB5-C649E8BED568}"/>
    <cellStyle name="메모 4" xfId="895" xr:uid="{C83DA153-45E0-4D3E-A4B8-794949E7C757}"/>
    <cellStyle name="메모 4 2" xfId="2659" xr:uid="{51EA1DF4-0603-42C7-AE5A-FFAF3351D42E}"/>
    <cellStyle name="메모 5" xfId="896" xr:uid="{0FD49F1A-757C-44A4-8BD8-4F50B537C297}"/>
    <cellStyle name="메모 5 2" xfId="2660" xr:uid="{5CB5533F-B12E-4923-8564-00F4EA7EDD80}"/>
    <cellStyle name="메모 6" xfId="897" xr:uid="{8911BA65-9DAE-48A8-8233-FA26AB2B2C4F}"/>
    <cellStyle name="메모 6 2" xfId="2661" xr:uid="{2E95BEB6-CB9D-46FC-BC62-D5226A389006}"/>
    <cellStyle name="메모 7" xfId="898" xr:uid="{133B0F58-2B24-44E2-8B79-57864D8975A7}"/>
    <cellStyle name="메모 7 2" xfId="2662" xr:uid="{2DB32510-E9AA-4F60-B7C3-B12FF2C7A746}"/>
    <cellStyle name="메모 8" xfId="899" xr:uid="{4668C554-7031-4607-A40C-914E3984D59A}"/>
    <cellStyle name="메모 8 2" xfId="2663" xr:uid="{88D63187-7B0E-41DD-88E3-5F136F389FEB}"/>
    <cellStyle name="메모 9" xfId="900" xr:uid="{C882C35E-2131-4728-9347-2AD79B9729EB}"/>
    <cellStyle name="메모 9 2" xfId="2664" xr:uid="{A7DD80C1-50D4-4AFD-83C5-8E5CB08A354F}"/>
    <cellStyle name="묮뎋 [0.00]_laroux" xfId="1724" xr:uid="{FD4EE445-59E0-4346-9966-6C57D00E9EEC}"/>
    <cellStyle name="묮뎋_laroux" xfId="1725" xr:uid="{FEE97590-B037-425D-9178-858D6BEF8F69}"/>
    <cellStyle name="믅됞 [0.00]_fcs1" xfId="1726" xr:uid="{66345D52-D786-4B3D-A904-FB97BA581CBA}"/>
    <cellStyle name="믅됞_fcs1" xfId="1727" xr:uid="{30FE46FF-DA31-496C-BA92-C1CB99320797}"/>
    <cellStyle name="백 " xfId="901" xr:uid="{CF90BD17-9226-4D66-8B2F-091D59529A88}"/>
    <cellStyle name="백  2" xfId="2665" xr:uid="{28A7C8C4-7728-4C47-B715-B195F30F21CC}"/>
    <cellStyle name="백분율" xfId="19" builtinId="5"/>
    <cellStyle name="백분율 2" xfId="902" xr:uid="{5602874D-C550-417C-B56D-E98F2DABCDDF}"/>
    <cellStyle name="백분율 2 2" xfId="2666" xr:uid="{EC2FDCE4-A26B-40B3-BE4A-FD9AEEED741A}"/>
    <cellStyle name="백분율 2 3" xfId="1728" xr:uid="{E3577AE1-EAFF-4B5C-B225-4BF0EF921CAF}"/>
    <cellStyle name="백분율 3" xfId="903" xr:uid="{737E599E-C0E3-4C75-8238-B0AE33983C6B}"/>
    <cellStyle name="백분율 3 2" xfId="904" xr:uid="{D0254922-D25F-4404-A7C5-F4E623D540EC}"/>
    <cellStyle name="백분율 3 2 2" xfId="2668" xr:uid="{8F27E99A-6DDF-4C3F-BE36-6960E8AF9BAF}"/>
    <cellStyle name="백분율 3 3" xfId="2667" xr:uid="{CD7FF391-9B5E-4B1F-BFF8-6709EACA60EC}"/>
    <cellStyle name="백분율 3 4" xfId="1729" xr:uid="{20DDF441-AB7E-4970-9AB1-C65BE8A6EDF0}"/>
    <cellStyle name="백분율 4" xfId="1730" xr:uid="{4D51C11C-2D58-4082-A666-AF51E82505E7}"/>
    <cellStyle name="보통 10" xfId="905" xr:uid="{DFAE98E4-4111-4377-9396-2A1C88F186EF}"/>
    <cellStyle name="보통 10 2" xfId="2669" xr:uid="{B73DC36C-7CB6-4EEF-A4BD-9EFBA4919A35}"/>
    <cellStyle name="보통 11" xfId="906" xr:uid="{D222E4F1-84F4-4EAD-A736-09E738265AF2}"/>
    <cellStyle name="보통 11 2" xfId="2670" xr:uid="{6AD3B525-A9FE-41B8-A094-0C872EAB40DF}"/>
    <cellStyle name="보통 12" xfId="907" xr:uid="{7DCF35BF-BCFA-4871-99AF-A1C8C554A206}"/>
    <cellStyle name="보통 12 2" xfId="2671" xr:uid="{1145E003-DF2D-433D-B4FF-27A7E510E677}"/>
    <cellStyle name="보통 13" xfId="908" xr:uid="{7DB773FB-42A0-40BA-8E7D-E696DF0238EC}"/>
    <cellStyle name="보통 13 2" xfId="2672" xr:uid="{2F6D79FA-B458-48C5-8BBD-6E04B29C1A29}"/>
    <cellStyle name="보통 14" xfId="909" xr:uid="{4E3810BF-553B-4DEF-A92F-3615EB5954BF}"/>
    <cellStyle name="보통 14 2" xfId="2673" xr:uid="{25F204AC-C9CE-4BF8-934F-31657407F756}"/>
    <cellStyle name="보통 15" xfId="910" xr:uid="{10634229-CB14-4B84-B450-D0A5F0724F03}"/>
    <cellStyle name="보통 15 2" xfId="2674" xr:uid="{4D97D1F8-2A0C-45BF-9A16-12EA7583683E}"/>
    <cellStyle name="보통 16" xfId="911" xr:uid="{E32905BE-CB94-4341-BFC2-28023BF2742A}"/>
    <cellStyle name="보통 16 2" xfId="2675" xr:uid="{853409C9-870E-4098-A2AF-371EFEE6F5E7}"/>
    <cellStyle name="보통 17" xfId="912" xr:uid="{F83AD1A8-DC95-4D8A-B17D-BD8AF4C7229F}"/>
    <cellStyle name="보통 17 2" xfId="2676" xr:uid="{D72B7892-1A35-4783-B8C3-79BA7FCD97FB}"/>
    <cellStyle name="보통 18" xfId="913" xr:uid="{8265C876-E226-422A-BC0E-DDCC57AFF018}"/>
    <cellStyle name="보통 18 2" xfId="2677" xr:uid="{E31FD3B3-7C78-4EA9-B285-1FC023CBCECD}"/>
    <cellStyle name="보통 19" xfId="914" xr:uid="{949595F2-1B12-4916-82F2-E690C508D238}"/>
    <cellStyle name="보통 19 2" xfId="2678" xr:uid="{9E592C0D-8FE6-43EC-8D45-B8C2F927082C}"/>
    <cellStyle name="보통 2" xfId="915" xr:uid="{65BAB0CA-5751-4E24-B410-B617D0A3EFEB}"/>
    <cellStyle name="보통 2 2" xfId="2679" xr:uid="{DFF8E768-7739-4374-82B1-3527F23A0141}"/>
    <cellStyle name="보통 2 3" xfId="1731" xr:uid="{A58A0CA1-01F1-44F1-815E-64C4FEF5EF4B}"/>
    <cellStyle name="보통 20" xfId="916" xr:uid="{045C66E8-D430-4F9D-8C55-20566914285F}"/>
    <cellStyle name="보통 20 2" xfId="2680" xr:uid="{7C46FB20-AAC9-41FA-ADA3-EB81BA49BD8D}"/>
    <cellStyle name="보통 21" xfId="917" xr:uid="{8D41F427-7328-4789-80B2-FC32E19BE4B9}"/>
    <cellStyle name="보통 21 2" xfId="2681" xr:uid="{6C84E450-0A82-4114-8C59-094E2B626B79}"/>
    <cellStyle name="보통 22" xfId="918" xr:uid="{DF6A34B0-90D5-4C05-8604-D22452BB2EAD}"/>
    <cellStyle name="보통 22 2" xfId="2682" xr:uid="{B35BEE7A-6E44-4232-9467-C81EC6FE12A7}"/>
    <cellStyle name="보통 23" xfId="919" xr:uid="{9E658624-5DD8-4530-AE60-C78CE1F4491F}"/>
    <cellStyle name="보통 23 2" xfId="2683" xr:uid="{D57D9087-E2C8-4CA5-A756-608634CD334A}"/>
    <cellStyle name="보통 24" xfId="920" xr:uid="{AAEBC5CE-46FD-4EAC-9B63-94A7CFE4BD94}"/>
    <cellStyle name="보통 24 2" xfId="2684" xr:uid="{DBF30DE4-8499-4E85-BB6F-435A01E69714}"/>
    <cellStyle name="보통 25" xfId="921" xr:uid="{2AA8E887-1F51-4463-95F9-AED7C3BE8B91}"/>
    <cellStyle name="보통 25 2" xfId="2685" xr:uid="{E0001E22-BBF6-49F5-9B65-2E27976B9B94}"/>
    <cellStyle name="보통 3" xfId="922" xr:uid="{5558D4A3-190B-4347-AF2B-DFF2F75E7169}"/>
    <cellStyle name="보통 3 2" xfId="2686" xr:uid="{95468110-A992-4EAC-B7C0-5C06702DB612}"/>
    <cellStyle name="보통 4" xfId="923" xr:uid="{4801E616-F1F1-486C-A181-02709BAC3DC3}"/>
    <cellStyle name="보통 4 2" xfId="2687" xr:uid="{8D3BD116-371B-4404-9E21-4A1FC4704AAF}"/>
    <cellStyle name="보통 5" xfId="924" xr:uid="{BF11D78E-47C0-411D-A533-26DA0DD7D325}"/>
    <cellStyle name="보통 5 2" xfId="2688" xr:uid="{46607233-7F83-49C1-BA45-76ECBC291DDC}"/>
    <cellStyle name="보통 6" xfId="925" xr:uid="{16340737-594E-461D-B755-4B6540EFE2A5}"/>
    <cellStyle name="보통 6 2" xfId="2689" xr:uid="{25F8656A-3A99-42EF-89F3-1DD590F1A1A1}"/>
    <cellStyle name="보통 7" xfId="926" xr:uid="{8E64BF24-D3C7-4FB6-A987-1BBCC8DE08AB}"/>
    <cellStyle name="보통 7 2" xfId="2690" xr:uid="{6B1659A2-B140-458B-8281-5C2ACB5004B6}"/>
    <cellStyle name="보통 8" xfId="927" xr:uid="{E84493F8-7AA3-4482-A452-CB7D903099EE}"/>
    <cellStyle name="보통 8 2" xfId="2691" xr:uid="{3AB7E5AB-EBED-4115-9CB0-99CE005D170D}"/>
    <cellStyle name="보통 9" xfId="928" xr:uid="{CAE5B879-F75C-4EDA-A3BB-6C1257A7994A}"/>
    <cellStyle name="보통 9 2" xfId="2692" xr:uid="{C6C1D4B9-8197-422D-9B98-EB136FC6F96A}"/>
    <cellStyle name="부제목" xfId="1732" xr:uid="{CD543B16-0F8E-4CC0-AE9F-58DADBA4199F}"/>
    <cellStyle name="뷭?_BOOKSHIP" xfId="1733" xr:uid="{6DCD1EC7-316A-42A6-BF01-9D6DE2BABD33}"/>
    <cellStyle name="常?_OPTION_9910" xfId="1734" xr:uid="{A47F37AF-B9E5-4485-8C29-EC1DFA7793AE}"/>
    <cellStyle name="常规_OPTION_9910" xfId="929" xr:uid="{33ED369C-1BF3-43D1-B4A7-589E1B13F21B}"/>
    <cellStyle name="설명 텍스트 10" xfId="930" xr:uid="{53E49FF5-CD17-4978-B556-338C8FFB235D}"/>
    <cellStyle name="설명 텍스트 10 2" xfId="2693" xr:uid="{05B9124F-2E5D-4F13-AE48-8EBD8971B2A7}"/>
    <cellStyle name="설명 텍스트 11" xfId="931" xr:uid="{43E46BBD-9AD1-4667-973C-86916904C26A}"/>
    <cellStyle name="설명 텍스트 11 2" xfId="2694" xr:uid="{3EFE64FC-438E-48EE-AFF5-75773701052F}"/>
    <cellStyle name="설명 텍스트 12" xfId="932" xr:uid="{2E169E11-7030-4402-9D39-225F61A2909E}"/>
    <cellStyle name="설명 텍스트 12 2" xfId="2695" xr:uid="{51F31104-606F-4164-8308-B0D3A9CFB29F}"/>
    <cellStyle name="설명 텍스트 13" xfId="933" xr:uid="{2A360859-0B7E-462E-BB3F-55C762038EC3}"/>
    <cellStyle name="설명 텍스트 13 2" xfId="2696" xr:uid="{B5E7A58E-EF08-40F0-8132-4F910D0B7082}"/>
    <cellStyle name="설명 텍스트 14" xfId="934" xr:uid="{A5CEAB2B-B67B-4BFC-8415-BEEB4BAB1C6D}"/>
    <cellStyle name="설명 텍스트 14 2" xfId="2697" xr:uid="{77CC978A-926A-45E2-B54F-E74BC94B56C8}"/>
    <cellStyle name="설명 텍스트 15" xfId="935" xr:uid="{3498F09A-3414-48FE-AE5B-2958AA522522}"/>
    <cellStyle name="설명 텍스트 15 2" xfId="2698" xr:uid="{9FC40560-8D42-4778-BDF3-AA158720C57F}"/>
    <cellStyle name="설명 텍스트 16" xfId="936" xr:uid="{2C40113C-D7BF-4FF4-B730-A0E53C01F512}"/>
    <cellStyle name="설명 텍스트 16 2" xfId="2699" xr:uid="{8FC4E9F6-C94B-4F9D-A207-76CA603742C5}"/>
    <cellStyle name="설명 텍스트 17" xfId="937" xr:uid="{CD988E41-6FAD-4B32-996D-3ACE9051233B}"/>
    <cellStyle name="설명 텍스트 17 2" xfId="2700" xr:uid="{59EB6014-E923-4231-BA19-10230298FDA2}"/>
    <cellStyle name="설명 텍스트 18" xfId="938" xr:uid="{D86AA814-4E3C-4338-A18B-8A97078E3F0D}"/>
    <cellStyle name="설명 텍스트 18 2" xfId="2701" xr:uid="{56C5E2B5-4CAE-4A78-B230-5540A23E0C94}"/>
    <cellStyle name="설명 텍스트 19" xfId="939" xr:uid="{212C41E5-361B-4532-8D4B-D7915D2B8A42}"/>
    <cellStyle name="설명 텍스트 19 2" xfId="2702" xr:uid="{0BDD80AA-B0E0-4B97-8208-5164AA218C2E}"/>
    <cellStyle name="설명 텍스트 2" xfId="940" xr:uid="{D71A29F1-CCF6-4FA8-8D51-EC69F813299E}"/>
    <cellStyle name="설명 텍스트 2 2" xfId="2703" xr:uid="{606E9683-E26D-4AC1-B945-36F5A7765652}"/>
    <cellStyle name="설명 텍스트 2 3" xfId="1735" xr:uid="{06CAE1D6-D9EF-461D-BA50-9D5C6CC1EA18}"/>
    <cellStyle name="설명 텍스트 20" xfId="941" xr:uid="{C18810D0-E4AC-413E-A90C-E049D0471B88}"/>
    <cellStyle name="설명 텍스트 20 2" xfId="2704" xr:uid="{646E3B80-87E0-4AAB-93C8-4C2A1AE3F96C}"/>
    <cellStyle name="설명 텍스트 21" xfId="942" xr:uid="{E31D4876-9C83-49F4-BFE7-547BC7366985}"/>
    <cellStyle name="설명 텍스트 21 2" xfId="2705" xr:uid="{7D5E142F-BE03-4230-9F69-4DE41FE24EBB}"/>
    <cellStyle name="설명 텍스트 22" xfId="943" xr:uid="{22784D79-7D32-493E-9F38-8FBF7D528F44}"/>
    <cellStyle name="설명 텍스트 22 2" xfId="2706" xr:uid="{902AE7D9-9A3C-48C6-BF9B-BF3FDB90A379}"/>
    <cellStyle name="설명 텍스트 23" xfId="944" xr:uid="{5D0F3419-D6C6-4890-8055-E837CF1E130B}"/>
    <cellStyle name="설명 텍스트 23 2" xfId="2707" xr:uid="{0F5248A2-8277-44FB-AD88-5B319CC50148}"/>
    <cellStyle name="설명 텍스트 24" xfId="945" xr:uid="{6C8A4ABD-FA07-4B96-94CB-BDC506E76721}"/>
    <cellStyle name="설명 텍스트 24 2" xfId="2708" xr:uid="{3FF2E472-9984-4F6C-B046-E61CE06E8D13}"/>
    <cellStyle name="설명 텍스트 25" xfId="946" xr:uid="{51B1C04A-6C99-4962-AA66-C30C629323F2}"/>
    <cellStyle name="설명 텍스트 25 2" xfId="2709" xr:uid="{6B947AB8-6D41-46D2-B296-6CF222EC03F5}"/>
    <cellStyle name="설명 텍스트 3" xfId="947" xr:uid="{C5A6C763-BA96-4B3B-88E0-27B6B01C87C3}"/>
    <cellStyle name="설명 텍스트 3 2" xfId="2710" xr:uid="{3B460254-D1C0-453E-9DD1-D6DC3EC3C8C7}"/>
    <cellStyle name="설명 텍스트 4" xfId="948" xr:uid="{4E017DD6-EBE6-4343-A725-EE38B6789B2F}"/>
    <cellStyle name="설명 텍스트 4 2" xfId="2711" xr:uid="{B3E412E0-B3D1-4B30-92A0-B1EFB13BA7AE}"/>
    <cellStyle name="설명 텍스트 5" xfId="949" xr:uid="{349DDD31-A68B-4C36-967E-0EC559EE4137}"/>
    <cellStyle name="설명 텍스트 5 2" xfId="2712" xr:uid="{533DDD20-D4CA-4D78-A266-8F93B13B0275}"/>
    <cellStyle name="설명 텍스트 6" xfId="950" xr:uid="{C4D2F4C1-2C3B-4597-8C48-053E7541B0BE}"/>
    <cellStyle name="설명 텍스트 6 2" xfId="2713" xr:uid="{FE184FCB-5918-4B94-89E5-F58D809C5290}"/>
    <cellStyle name="설명 텍스트 7" xfId="951" xr:uid="{0A75E5C7-00DA-4875-9E20-2CC8244DEA4A}"/>
    <cellStyle name="설명 텍스트 7 2" xfId="2714" xr:uid="{D3474489-AE26-4609-9E36-29957BC33BCF}"/>
    <cellStyle name="설명 텍스트 8" xfId="952" xr:uid="{D27D17C5-FCDA-48A4-B797-2A20F9647576}"/>
    <cellStyle name="설명 텍스트 8 2" xfId="2715" xr:uid="{2A395B3B-C695-4616-9A40-DB5B11B2842B}"/>
    <cellStyle name="설명 텍스트 9" xfId="953" xr:uid="{5C8735FE-BBFB-4CA6-9B10-CD36967D8421}"/>
    <cellStyle name="설명 텍스트 9 2" xfId="2716" xr:uid="{5A2CB448-8CA3-4CE4-8EAE-237BC9521B74}"/>
    <cellStyle name="셀 확인 10" xfId="954" xr:uid="{632C53BE-0EE4-4C1A-BA05-9A4C3D9ADA28}"/>
    <cellStyle name="셀 확인 10 2" xfId="2717" xr:uid="{DDC9FA43-54C1-4D5F-997E-8594A2C2BF26}"/>
    <cellStyle name="셀 확인 11" xfId="955" xr:uid="{550034DC-8528-474E-AFC9-835FD6B67C2F}"/>
    <cellStyle name="셀 확인 11 2" xfId="2718" xr:uid="{5BDD91FB-7FAA-4FDD-B946-2EA02A6E453F}"/>
    <cellStyle name="셀 확인 12" xfId="956" xr:uid="{C1B1493A-2B0D-4572-995F-551ABF93F571}"/>
    <cellStyle name="셀 확인 12 2" xfId="2719" xr:uid="{14183752-6735-4749-A911-04A69DC4CE29}"/>
    <cellStyle name="셀 확인 13" xfId="957" xr:uid="{6A69FA87-C8FF-408A-B33E-D6EE96674501}"/>
    <cellStyle name="셀 확인 13 2" xfId="2720" xr:uid="{A7DA840B-42C2-48BE-A1C5-B6EEE3885F7F}"/>
    <cellStyle name="셀 확인 14" xfId="958" xr:uid="{BF708131-86A4-4ABF-AA6E-1C826B2E42F6}"/>
    <cellStyle name="셀 확인 14 2" xfId="2721" xr:uid="{57ADB87C-2E92-4DD3-A948-865A373C8842}"/>
    <cellStyle name="셀 확인 15" xfId="959" xr:uid="{63527E26-778A-4A2A-AE92-60D4BDC340CE}"/>
    <cellStyle name="셀 확인 15 2" xfId="2722" xr:uid="{E4A986A8-B1E4-458E-ADF8-5901457298A9}"/>
    <cellStyle name="셀 확인 16" xfId="960" xr:uid="{1F134A9E-0A66-4A4D-BE92-C8F7B43CC016}"/>
    <cellStyle name="셀 확인 16 2" xfId="2723" xr:uid="{C8EB9396-3873-4B08-B495-5658ECCDFC69}"/>
    <cellStyle name="셀 확인 17" xfId="961" xr:uid="{ACF396E7-07A7-40B4-8959-5E3D7A40D775}"/>
    <cellStyle name="셀 확인 17 2" xfId="2724" xr:uid="{19DFAF57-95D9-410A-B186-CC5BB73E867D}"/>
    <cellStyle name="셀 확인 18" xfId="962" xr:uid="{DAAF6610-4FEB-4D79-94A1-A52837CDBA5C}"/>
    <cellStyle name="셀 확인 18 2" xfId="2725" xr:uid="{B688BF40-7D29-41E4-B25B-D20F40B131FE}"/>
    <cellStyle name="셀 확인 19" xfId="963" xr:uid="{63F25588-FDB4-4CA6-9E27-2F68C9B4CE0F}"/>
    <cellStyle name="셀 확인 19 2" xfId="2726" xr:uid="{02046BEA-F5B8-43DD-8AC1-41DAECF04025}"/>
    <cellStyle name="셀 확인 2" xfId="964" xr:uid="{5D91637E-6A50-4ACE-BBCC-D9D2F13EECF1}"/>
    <cellStyle name="셀 확인 2 2" xfId="2727" xr:uid="{1957ECDA-C677-4C24-BA4B-52384097B5EC}"/>
    <cellStyle name="셀 확인 2 3" xfId="1736" xr:uid="{A1A62883-A210-4982-83C4-854BB7E73F64}"/>
    <cellStyle name="셀 확인 20" xfId="965" xr:uid="{AFEBC2D2-2758-4533-8D94-2DA2F1351C03}"/>
    <cellStyle name="셀 확인 20 2" xfId="2728" xr:uid="{6CF821F8-6374-44A7-B8FD-2A648CC702E0}"/>
    <cellStyle name="셀 확인 21" xfId="966" xr:uid="{B2FB5ECE-C02B-4BC8-8A23-B0758E5A7698}"/>
    <cellStyle name="셀 확인 21 2" xfId="2729" xr:uid="{C42838C2-8BA0-4EF0-B295-5573E687CA74}"/>
    <cellStyle name="셀 확인 22" xfId="967" xr:uid="{F71801A3-2D40-4ED7-B1D8-33335248821C}"/>
    <cellStyle name="셀 확인 22 2" xfId="2730" xr:uid="{03A41090-7220-4145-9011-537E3C245273}"/>
    <cellStyle name="셀 확인 23" xfId="968" xr:uid="{4BD20AC1-10A4-4545-A57C-2D3E1A57DFB7}"/>
    <cellStyle name="셀 확인 23 2" xfId="2731" xr:uid="{C6260835-F3BE-4783-80EC-0341BA309302}"/>
    <cellStyle name="셀 확인 24" xfId="969" xr:uid="{87A0E163-D9D7-4ECC-A2FB-EF78A26F7770}"/>
    <cellStyle name="셀 확인 24 2" xfId="2732" xr:uid="{62B5FAA3-11AE-43FF-8F54-7C947C55ABBA}"/>
    <cellStyle name="셀 확인 25" xfId="970" xr:uid="{AA9F1E9A-3206-4715-A727-54A04A646450}"/>
    <cellStyle name="셀 확인 25 2" xfId="2733" xr:uid="{AB4F2CE9-3912-441D-BD6B-8F1606BC28F8}"/>
    <cellStyle name="셀 확인 3" xfId="971" xr:uid="{3FDECDF0-EA34-4D15-AD0F-9183598F498B}"/>
    <cellStyle name="셀 확인 3 2" xfId="2734" xr:uid="{562F9996-7F4E-48E0-B969-1CE13D3F6876}"/>
    <cellStyle name="셀 확인 4" xfId="972" xr:uid="{0BFC4CA2-30B1-494E-AB60-85715C0E4ACD}"/>
    <cellStyle name="셀 확인 4 2" xfId="2735" xr:uid="{35FB8D87-5EB7-4FD9-AEEE-84A948186E41}"/>
    <cellStyle name="셀 확인 5" xfId="973" xr:uid="{B4655F32-369F-4454-B58C-13A51433AC50}"/>
    <cellStyle name="셀 확인 5 2" xfId="2736" xr:uid="{1D7E4E5F-16FA-4A78-B185-361DD23C721A}"/>
    <cellStyle name="셀 확인 6" xfId="974" xr:uid="{25318391-37B6-49CA-83FE-FE9737AFF130}"/>
    <cellStyle name="셀 확인 6 2" xfId="2737" xr:uid="{A8A19898-257C-42D1-85CF-72516FDC2542}"/>
    <cellStyle name="셀 확인 7" xfId="975" xr:uid="{7DBDD9B9-6EBC-444F-A2F8-6D71132FA039}"/>
    <cellStyle name="셀 확인 7 2" xfId="2738" xr:uid="{69236F75-43FD-4A3F-8BE7-3FE63BA26FB8}"/>
    <cellStyle name="셀 확인 8" xfId="976" xr:uid="{24B5EFB3-2F9C-45F6-8F35-4D9F1025E545}"/>
    <cellStyle name="셀 확인 8 2" xfId="2739" xr:uid="{36B30441-2DD7-4A51-B827-F55E5A3A243A}"/>
    <cellStyle name="셀 확인 9" xfId="977" xr:uid="{4482D7E4-32A5-4A04-9217-3D9735AF0075}"/>
    <cellStyle name="셀 확인 9 2" xfId="2740" xr:uid="{34B1F402-8926-4BEC-B9F0-D8E357BEDF37}"/>
    <cellStyle name="쉼" xfId="978" xr:uid="{8E595089-B5FC-4580-952F-4DF1C5E6A4D5}"/>
    <cellStyle name="쉼 2" xfId="2741" xr:uid="{E00E59F9-76D7-4C66-ADCB-EC6B66D2D371}"/>
    <cellStyle name="쉼표 [" xfId="979" xr:uid="{C99CF0A9-F83F-417D-B4A2-27B8BE76D0FE}"/>
    <cellStyle name="쉼표 [ 2" xfId="2742" xr:uid="{5F0FFE30-5806-4918-8FAA-65D1702B4916}"/>
    <cellStyle name="쉼표 [0]" xfId="1" builtinId="6"/>
    <cellStyle name="쉼표 [0] 10" xfId="2743" xr:uid="{8AA2D2CA-7013-47BB-B069-E208105011B4}"/>
    <cellStyle name="쉼표 [0] 10 2" xfId="981" xr:uid="{D5C3ABBB-F6A4-4E7D-BD1E-C2A382622926}"/>
    <cellStyle name="쉼표 [0] 10 2 2" xfId="982" xr:uid="{A99B72EA-3311-4082-802C-450A4645D27E}"/>
    <cellStyle name="쉼표 [0] 10 2 2 2" xfId="2745" xr:uid="{F8668FFC-1A24-461D-BDEC-DDC53A1FC816}"/>
    <cellStyle name="쉼표 [0] 10 2 3" xfId="3134" xr:uid="{97C4EA74-2F82-4806-BAAF-CD16F6CD5348}"/>
    <cellStyle name="쉼표 [0] 10 2 4" xfId="2744" xr:uid="{03A3FD86-F0F5-4B61-A824-F7B60CC302ED}"/>
    <cellStyle name="쉼표 [0] 10 3" xfId="983" xr:uid="{899BA6C4-C50F-4356-885C-0F3C4CFF5473}"/>
    <cellStyle name="쉼표 [0] 10 3 2" xfId="984" xr:uid="{B3D19A79-8A0D-491C-A069-361017469D65}"/>
    <cellStyle name="쉼표 [0] 10 3 2 2" xfId="2747" xr:uid="{1C9581D4-01C1-4101-8554-9D699A3A34EE}"/>
    <cellStyle name="쉼표 [0] 10 3 3" xfId="3172" xr:uid="{06800DC8-D7CD-4B1E-BA3A-69C03AB84595}"/>
    <cellStyle name="쉼표 [0] 10 3 4" xfId="2746" xr:uid="{002219E4-0CA1-448A-AD86-2D9827E6BC59}"/>
    <cellStyle name="쉼표 [0] 11 2" xfId="985" xr:uid="{637BCCE6-751D-4690-BF17-AA5B2D4C7B69}"/>
    <cellStyle name="쉼표 [0] 11 2 2" xfId="986" xr:uid="{E503B4EB-6AF4-433E-B60B-D153F52369BE}"/>
    <cellStyle name="쉼표 [0] 11 2 2 2" xfId="2749" xr:uid="{16F397AF-FDA8-470F-A0FB-B7172F50D765}"/>
    <cellStyle name="쉼표 [0] 11 2 3" xfId="3135" xr:uid="{3B42ACED-83A6-4970-AD99-6E8B44A1E884}"/>
    <cellStyle name="쉼표 [0] 11 2 4" xfId="2748" xr:uid="{9A71E908-3CD9-4534-94AD-6B8E98D3C4FA}"/>
    <cellStyle name="쉼표 [0] 12" xfId="987" xr:uid="{46F6A8AF-7077-4DB9-ABE2-1F9D72602FC9}"/>
    <cellStyle name="쉼표 [0] 12 2" xfId="988" xr:uid="{3873C2FE-355C-4B4D-964C-64C3A8765EC1}"/>
    <cellStyle name="쉼표 [0] 12 2 2" xfId="989" xr:uid="{821F4DE6-C68F-4B7B-97A5-944F0D75F106}"/>
    <cellStyle name="쉼표 [0] 12 2 2 2" xfId="2752" xr:uid="{E6949984-366F-47D9-ABD2-3A64DDF9FFB8}"/>
    <cellStyle name="쉼표 [0] 12 2 3" xfId="3137" xr:uid="{D89A25E2-2557-41D7-A0A8-A451C95EFD0D}"/>
    <cellStyle name="쉼표 [0] 12 2 4" xfId="2751" xr:uid="{A73340AC-858F-45D5-9564-B4FDCC6A8697}"/>
    <cellStyle name="쉼표 [0] 12 3" xfId="990" xr:uid="{BB78407D-6E50-4026-AAB6-607D90D2D463}"/>
    <cellStyle name="쉼표 [0] 12 3 2" xfId="991" xr:uid="{DD14656B-651B-4E3C-9715-C65B6F36E15F}"/>
    <cellStyle name="쉼표 [0] 12 3 2 2" xfId="2754" xr:uid="{B4476226-02E2-47DC-B850-99502A48795A}"/>
    <cellStyle name="쉼표 [0] 12 3 3" xfId="2753" xr:uid="{F536F9F7-8493-4B00-8709-82BA2C61BA5A}"/>
    <cellStyle name="쉼표 [0] 12 4" xfId="992" xr:uid="{45E6F52F-EDFA-4F16-815C-AD9FF22E487D}"/>
    <cellStyle name="쉼표 [0] 12 4 2" xfId="2755" xr:uid="{E90F2338-F412-48B2-8777-A0C93C879D6A}"/>
    <cellStyle name="쉼표 [0] 12 5" xfId="3136" xr:uid="{80910B14-8B70-4C67-95FA-C2E019A98833}"/>
    <cellStyle name="쉼표 [0] 12 6" xfId="2750" xr:uid="{660DFB81-FB57-4DDE-A42E-B8CD9B2EA12C}"/>
    <cellStyle name="쉼표 [0] 12 7" xfId="1831" xr:uid="{FC04639D-A5E8-48DE-B487-E46182CB2F7F}"/>
    <cellStyle name="쉼표 [0] 13" xfId="993" xr:uid="{A84E293C-27EF-4ED7-8C79-84AF9680F474}"/>
    <cellStyle name="쉼표 [0] 13 2" xfId="994" xr:uid="{725A775E-506D-4D6D-979F-59124C75184F}"/>
    <cellStyle name="쉼표 [0] 13 2 2" xfId="2757" xr:uid="{290C391E-3439-479B-B980-D56778C7146A}"/>
    <cellStyle name="쉼표 [0] 13 3" xfId="3138" xr:uid="{D23C51F5-D989-4D8E-8B98-FDBFE3F5F105}"/>
    <cellStyle name="쉼표 [0] 13 4" xfId="2756" xr:uid="{F455CBDA-2DF5-45AA-A2ED-29EE4BC68557}"/>
    <cellStyle name="쉼표 [0] 14" xfId="995" xr:uid="{6314EEB5-7573-4BBA-8694-5EC0AE57A834}"/>
    <cellStyle name="쉼표 [0] 14 2" xfId="996" xr:uid="{4A8D1A84-E835-496E-8C3F-DFF93EA9A8C1}"/>
    <cellStyle name="쉼표 [0] 14 2 2" xfId="2759" xr:uid="{5F21A9A4-8C3A-4015-B206-291E94684829}"/>
    <cellStyle name="쉼표 [0] 14 3" xfId="3139" xr:uid="{192FB966-6047-4206-84AE-BC5E48FF8DE3}"/>
    <cellStyle name="쉼표 [0] 14 4" xfId="2758" xr:uid="{8CEB4D47-6AB6-458E-9FF9-5B378DB68A09}"/>
    <cellStyle name="쉼표 [0] 15" xfId="997" xr:uid="{2799FDB8-AC7A-466E-BAD7-9FF55C4586BA}"/>
    <cellStyle name="쉼표 [0] 15 2" xfId="998" xr:uid="{2E77C2D2-5593-445B-BFA9-DD743E84957E}"/>
    <cellStyle name="쉼표 [0] 15 2 2" xfId="2761" xr:uid="{A24523C4-404F-412E-82FA-9BD063E56527}"/>
    <cellStyle name="쉼표 [0] 15 3" xfId="3140" xr:uid="{9A440CA5-62E3-4F37-B126-C8F5DACF4BD4}"/>
    <cellStyle name="쉼표 [0] 15 4" xfId="2760" xr:uid="{CD840B63-7922-41DD-8FC4-B56B6DF93939}"/>
    <cellStyle name="쉼표 [0] 16" xfId="999" xr:uid="{95613965-4998-4659-8BD1-777B181A0999}"/>
    <cellStyle name="쉼표 [0] 16 2" xfId="1000" xr:uid="{CE42E353-99DC-4EFE-94AF-1DF705B9EA5C}"/>
    <cellStyle name="쉼표 [0] 16 2 2" xfId="2763" xr:uid="{A1324E72-1D0E-479D-91ED-DF34668B5508}"/>
    <cellStyle name="쉼표 [0] 16 3" xfId="3141" xr:uid="{187AB363-4CC1-46AE-8B9E-87B7E346BA45}"/>
    <cellStyle name="쉼표 [0] 16 4" xfId="2762" xr:uid="{05CEAE6D-F52A-46AB-9C3F-10E982E4EDD6}"/>
    <cellStyle name="쉼표 [0] 17" xfId="1001" xr:uid="{FD8462C1-D936-4B91-9B02-5D7BCF67646D}"/>
    <cellStyle name="쉼표 [0] 17 2" xfId="1002" xr:uid="{6A0F552F-959E-4C0F-A2C9-6929242908CD}"/>
    <cellStyle name="쉼표 [0] 17 2 2" xfId="2765" xr:uid="{29705304-DA43-4540-8CA8-6A050F005079}"/>
    <cellStyle name="쉼표 [0] 17 3" xfId="3142" xr:uid="{73341529-12F1-4882-9CCC-5E8D80C7464E}"/>
    <cellStyle name="쉼표 [0] 17 4" xfId="2764" xr:uid="{24C9808F-2420-4405-9AAC-221D58C7D886}"/>
    <cellStyle name="쉼표 [0] 18" xfId="1003" xr:uid="{3868F845-2B84-4103-8ACD-E5BF74651CC3}"/>
    <cellStyle name="쉼표 [0] 18 2" xfId="1004" xr:uid="{7A604390-11E0-4AFA-BFF9-5B37BAC4E010}"/>
    <cellStyle name="쉼표 [0] 18 2 2" xfId="2767" xr:uid="{96341309-EFB0-4466-8188-813922B86EDA}"/>
    <cellStyle name="쉼표 [0] 18 3" xfId="3143" xr:uid="{13C3E2EC-036C-4754-B193-04A95955CB3B}"/>
    <cellStyle name="쉼표 [0] 18 4" xfId="2766" xr:uid="{5E3FA77E-D05B-4E11-BD8B-273462910F1E}"/>
    <cellStyle name="쉼표 [0] 19" xfId="1005" xr:uid="{10898B9D-94E3-42B2-9D07-478EC28BDEF1}"/>
    <cellStyle name="쉼표 [0] 19 2" xfId="1006" xr:uid="{E75745AA-06CF-4180-9310-E5455A993EDB}"/>
    <cellStyle name="쉼표 [0] 19 2 2" xfId="2769" xr:uid="{C1878899-A8C5-4695-9F1F-B3341E842C6C}"/>
    <cellStyle name="쉼표 [0] 19 3" xfId="3144" xr:uid="{EA636D30-B6A9-434D-B4E4-56921F00562F}"/>
    <cellStyle name="쉼표 [0] 19 4" xfId="2768" xr:uid="{B00456F0-8934-40AC-AABC-ADCBC1ABACA0}"/>
    <cellStyle name="쉼표 [0] 2" xfId="980" xr:uid="{9FE8F136-3733-4C54-B80C-DC18F4DE40D3}"/>
    <cellStyle name="쉼표 [0] 2 10" xfId="1007" xr:uid="{7314A304-A418-4150-9675-99EEC934DCC1}"/>
    <cellStyle name="쉼표 [0] 2 10 2" xfId="1008" xr:uid="{6983746B-01D0-4125-A3B2-386076739102}"/>
    <cellStyle name="쉼표 [0] 2 10 2 2" xfId="2771" xr:uid="{CC94DA9B-D430-4CA1-8D9A-56A816FAB469}"/>
    <cellStyle name="쉼표 [0] 2 10 3" xfId="3171" xr:uid="{4744EB32-6C19-40C0-A56F-FCF12991EDBE}"/>
    <cellStyle name="쉼표 [0] 2 10 4" xfId="2770" xr:uid="{9BF5EBE4-A56B-4E8F-A7DF-A5786036629F}"/>
    <cellStyle name="쉼표 [0] 2 11" xfId="1009" xr:uid="{CAFCA165-621F-4BC1-83E6-4BBDA8AFF1CE}"/>
    <cellStyle name="쉼표 [0] 2 11 2" xfId="1010" xr:uid="{45E2AB2C-E141-41CA-AADB-67114CE903BE}"/>
    <cellStyle name="쉼표 [0] 2 11 2 2" xfId="2773" xr:uid="{A237965C-6CBD-4847-A8C4-BF1CF99FFCFD}"/>
    <cellStyle name="쉼표 [0] 2 11 3" xfId="2772" xr:uid="{8D08EC19-2041-4E4F-BB46-0730C7B1EF88}"/>
    <cellStyle name="쉼표 [0] 2 12" xfId="1011" xr:uid="{3F017794-473A-4CEF-81FA-EA02E67A13EF}"/>
    <cellStyle name="쉼표 [0] 2 12 2" xfId="1012" xr:uid="{ECA30976-CC43-4308-8988-91B14A53D0F3}"/>
    <cellStyle name="쉼표 [0] 2 12 2 2" xfId="2775" xr:uid="{7FAD7DA0-4A76-43D9-B16D-FB130622A47B}"/>
    <cellStyle name="쉼표 [0] 2 12 3" xfId="2774" xr:uid="{A2EBFA0E-DA16-4FD6-A5B5-ABE2A168114C}"/>
    <cellStyle name="쉼표 [0] 2 13" xfId="1013" xr:uid="{2EEC6507-9425-4A39-A6B5-B2BC90D680FF}"/>
    <cellStyle name="쉼표 [0] 2 13 2" xfId="2776" xr:uid="{921400E7-B115-42B9-86AF-6DC1CFBFDA38}"/>
    <cellStyle name="쉼표 [0] 2 14" xfId="3133" xr:uid="{B82AAEE2-F81A-41F8-B927-0E4A2BB8EE77}"/>
    <cellStyle name="쉼표 [0] 2 15" xfId="1409" xr:uid="{52E6CF6A-D86A-40D6-AEB1-83216AD6C521}"/>
    <cellStyle name="쉼표 [0] 2 2" xfId="1014" xr:uid="{8F38AC80-337B-4E4F-BF17-F5F3FA391DDA}"/>
    <cellStyle name="쉼표 [0] 2 2 2" xfId="1015" xr:uid="{EECE235B-3E7E-4958-B19E-2EB703BF8C7F}"/>
    <cellStyle name="쉼표 [0] 2 2 2 2" xfId="1016" xr:uid="{C48B982E-55EB-4780-8646-69C566527CC1}"/>
    <cellStyle name="쉼표 [0] 2 2 2 2 2" xfId="2779" xr:uid="{212DCFD0-72C6-4E6A-BCB0-63BD8240BA8F}"/>
    <cellStyle name="쉼표 [0] 2 2 2 2 3" xfId="1797" xr:uid="{F3B45F65-EC6A-4723-A70B-42A4821DC3F3}"/>
    <cellStyle name="쉼표 [0] 2 2 2 3" xfId="1804" xr:uid="{6464474A-94A2-4759-918A-D5DE33B689D8}"/>
    <cellStyle name="쉼표 [0] 2 2 2 4" xfId="2778" xr:uid="{5F770982-E246-4FBF-9771-5A48BD228781}"/>
    <cellStyle name="쉼표 [0] 2 2 2 5" xfId="1785" xr:uid="{A9D07384-95AD-4389-8748-7C4C5F925C16}"/>
    <cellStyle name="쉼표 [0] 2 2 3" xfId="1017" xr:uid="{D92D53E6-7611-4938-B5BB-E2B4EBBECAEA}"/>
    <cellStyle name="쉼표 [0] 2 2 3 2" xfId="2780" xr:uid="{A1F72B40-A6CE-4CE0-B1B5-E32E87F44897}"/>
    <cellStyle name="쉼표 [0] 2 2 3 3" xfId="1792" xr:uid="{54072428-BB9C-403B-AE3B-4CA2713F3F7B}"/>
    <cellStyle name="쉼표 [0] 2 2 4" xfId="1803" xr:uid="{E0AF8C1C-575A-4006-9EC5-66AD2C28E72B}"/>
    <cellStyle name="쉼표 [0] 2 2 4 2" xfId="3145" xr:uid="{1E3DC655-8CB0-4124-A3C3-E85B4B7BDC43}"/>
    <cellStyle name="쉼표 [0] 2 2 5" xfId="1823" xr:uid="{E3780FE2-BD45-40A8-A46D-65BA11B2A173}"/>
    <cellStyle name="쉼표 [0] 2 2 6" xfId="2777" xr:uid="{E435AFC7-94CE-4B38-A4AD-027A6566FA55}"/>
    <cellStyle name="쉼표 [0] 2 2 7" xfId="1805" xr:uid="{1A8F7E00-C7D0-473A-B185-C4A5CB7031E8}"/>
    <cellStyle name="쉼표 [0] 2 2 7 2" xfId="1806" xr:uid="{5851E4DD-75DE-4AB6-B45A-04B5C9E1B447}"/>
    <cellStyle name="쉼표 [0] 2 2 7 2 2" xfId="1807" xr:uid="{93669974-63B3-40DC-AC6A-97A26CF6D72A}"/>
    <cellStyle name="쉼표 [0] 2 2 7 2 3" xfId="1825" xr:uid="{59101F8A-8175-458F-A78F-F3B9CB42B405}"/>
    <cellStyle name="쉼표 [0] 2 2 7 3" xfId="1808" xr:uid="{CACA4AC0-E662-49A2-A2FF-AE540992AE67}"/>
    <cellStyle name="쉼표 [0] 2 2 7 4" xfId="1824" xr:uid="{74830432-E78F-4675-A392-4163C324BA34}"/>
    <cellStyle name="쉼표 [0] 2 2 8" xfId="1739" xr:uid="{E6ADDAC1-8C48-4D26-A670-4EDA5B61BA8C}"/>
    <cellStyle name="쉼표 [0] 2 3" xfId="1018" xr:uid="{EE95E2CD-67E5-4912-A092-D576C315D101}"/>
    <cellStyle name="쉼표 [0] 2 3 2" xfId="1019" xr:uid="{C39440A4-5659-46FB-BF67-79535A083881}"/>
    <cellStyle name="쉼표 [0] 2 3 2 2" xfId="1810" xr:uid="{FE9BAB52-46FE-455E-83B5-8EE615BC0604}"/>
    <cellStyle name="쉼표 [0] 2 3 2 3" xfId="2782" xr:uid="{77143A37-3003-4CB2-AC39-87ABAE0DD6BE}"/>
    <cellStyle name="쉼표 [0] 2 3 2 4" xfId="1791" xr:uid="{FF5D3E07-18DB-48D0-BFF6-B0BDF8A309F5}"/>
    <cellStyle name="쉼표 [0] 2 3 3" xfId="1809" xr:uid="{8D19F794-A264-49F3-A8E1-D29ACE63BA9D}"/>
    <cellStyle name="쉼표 [0] 2 3 3 2" xfId="3146" xr:uid="{C3A25BF7-E910-46AC-8DC0-DD23CE266C2D}"/>
    <cellStyle name="쉼표 [0] 2 3 4" xfId="1826" xr:uid="{CA8C5C89-F5A1-4605-98C8-D2EE65531FE9}"/>
    <cellStyle name="쉼표 [0] 2 3 5" xfId="2781" xr:uid="{4FA91EB5-CE77-44BF-8189-4A77D71295CF}"/>
    <cellStyle name="쉼표 [0] 2 3 6" xfId="1738" xr:uid="{BC4008A4-6062-4642-A93E-2768CFBFAAEB}"/>
    <cellStyle name="쉼표 [0] 2 4" xfId="1020" xr:uid="{14004B8E-E140-4D3F-A2BE-FF0AFC909BDB}"/>
    <cellStyle name="쉼표 [0] 2 4 2" xfId="1021" xr:uid="{6D505617-B575-4DF7-913B-4EEA79E150B2}"/>
    <cellStyle name="쉼표 [0] 2 4 2 2" xfId="2784" xr:uid="{6C188087-7353-4260-897C-DABF25126664}"/>
    <cellStyle name="쉼표 [0] 2 4 2 3" xfId="1796" xr:uid="{5CDC508E-F439-4734-A8A6-A749069E7C53}"/>
    <cellStyle name="쉼표 [0] 2 4 3" xfId="1811" xr:uid="{DB5E33DD-F4EC-4D61-A2F5-565D08DF00B2}"/>
    <cellStyle name="쉼표 [0] 2 4 3 2" xfId="3147" xr:uid="{CB9A4A4F-3365-4BC3-9F64-4962635240A4}"/>
    <cellStyle name="쉼표 [0] 2 4 4" xfId="2783" xr:uid="{67A3068D-4117-4A84-B250-DC4D46371393}"/>
    <cellStyle name="쉼표 [0] 2 4 5" xfId="1784" xr:uid="{F432EAEF-0E88-4B4D-9908-054C905A9732}"/>
    <cellStyle name="쉼표 [0] 2 5" xfId="1022" xr:uid="{E2767E48-DB38-428F-B2B1-6CDD7F4F37B3}"/>
    <cellStyle name="쉼표 [0] 2 5 2" xfId="1023" xr:uid="{92EFD6C9-2E68-4746-9629-C7C62AD559AC}"/>
    <cellStyle name="쉼표 [0] 2 5 2 2" xfId="2786" xr:uid="{9ECC2E59-EBEC-4010-A716-7ED0B7576165}"/>
    <cellStyle name="쉼표 [0] 2 5 3" xfId="3148" xr:uid="{9407796A-9B09-40A6-8D0F-FDE1E212E6D7}"/>
    <cellStyle name="쉼표 [0] 2 5 4" xfId="2785" xr:uid="{A4246D6B-E968-4D68-9C68-34B1243E05B0}"/>
    <cellStyle name="쉼표 [0] 2 5 5" xfId="1788" xr:uid="{69949F30-BC13-48BD-B8E4-932B018FF1FE}"/>
    <cellStyle name="쉼표 [0] 2 6" xfId="1024" xr:uid="{EE8A62F9-943E-40FD-B1D6-25FF7DE1007F}"/>
    <cellStyle name="쉼표 [0] 2 6 2" xfId="1025" xr:uid="{E0810329-D9FF-4DB8-A807-B1E094ED7D3F}"/>
    <cellStyle name="쉼표 [0] 2 6 2 2" xfId="2788" xr:uid="{584514E8-1391-44D7-AC7C-E6CC4A6B26B3}"/>
    <cellStyle name="쉼표 [0] 2 6 3" xfId="3149" xr:uid="{C94130A1-C2DA-4C8C-AC4B-B865E2B925A5}"/>
    <cellStyle name="쉼표 [0] 2 6 4" xfId="2787" xr:uid="{8E4CC584-F2E0-4A11-A09E-24B6D1752B90}"/>
    <cellStyle name="쉼표 [0] 2 6 5" xfId="1802" xr:uid="{16B18E60-3C50-4B23-9814-3134274732B1}"/>
    <cellStyle name="쉼표 [0] 2 7" xfId="1026" xr:uid="{08195ADE-A527-44FA-BB4E-66F04FF1C3F7}"/>
    <cellStyle name="쉼표 [0] 2 7 2" xfId="1027" xr:uid="{E4688A7F-BA2E-4C15-8664-165287E851BD}"/>
    <cellStyle name="쉼표 [0] 2 7 2 2" xfId="2790" xr:uid="{819E8FD7-2704-4B87-AF3F-076EB101668A}"/>
    <cellStyle name="쉼표 [0] 2 7 3" xfId="3150" xr:uid="{CD9B9BA2-F4DC-4696-A185-2D61220FEFC2}"/>
    <cellStyle name="쉼표 [0] 2 7 4" xfId="2789" xr:uid="{EE21FC63-9C01-4E38-AE2D-A6BFEBAEACE4}"/>
    <cellStyle name="쉼표 [0] 2 7 5" xfId="1822" xr:uid="{C6D944D9-2CFE-4E1F-B8FB-91BE6E89CB54}"/>
    <cellStyle name="쉼표 [0] 2 8" xfId="1028" xr:uid="{C96EF502-DEDD-4D0B-B804-DA456A704030}"/>
    <cellStyle name="쉼표 [0] 2 8 2" xfId="1029" xr:uid="{E4890C5C-ACCF-4CA7-B873-FD612CD6095F}"/>
    <cellStyle name="쉼표 [0] 2 8 2 2" xfId="2792" xr:uid="{FA3DAC7A-4E3A-4F5B-9D4C-98502B7C8E7B}"/>
    <cellStyle name="쉼표 [0] 2 8 3" xfId="3151" xr:uid="{31DF8857-357D-4663-9829-1A33C1143220}"/>
    <cellStyle name="쉼표 [0] 2 8 4" xfId="2791" xr:uid="{0B31F02E-3291-4893-8236-9011766C24A2}"/>
    <cellStyle name="쉼표 [0] 2 9" xfId="1030" xr:uid="{FB91CBDA-F432-4510-937D-4CA2470E106E}"/>
    <cellStyle name="쉼표 [0] 2 9 2" xfId="1031" xr:uid="{6F40EBE7-2B0F-4E9C-8DF0-9D97A1720F3D}"/>
    <cellStyle name="쉼표 [0] 2 9 2 2" xfId="2794" xr:uid="{6FD014F4-DD27-4730-9197-1F8203845F26}"/>
    <cellStyle name="쉼표 [0] 2 9 3" xfId="2793" xr:uid="{6ACD49FB-34A3-4503-BC11-F55B5C94CA88}"/>
    <cellStyle name="쉼표 [0] 20" xfId="1032" xr:uid="{AF2E2CD9-F467-4D6D-B7A0-469BFED6C7B8}"/>
    <cellStyle name="쉼표 [0] 20 2" xfId="1033" xr:uid="{506F4176-035E-4A55-B99D-595473362D64}"/>
    <cellStyle name="쉼표 [0] 20 2 2" xfId="2796" xr:uid="{19BB97EF-682D-46E5-89B3-0678FD410A3D}"/>
    <cellStyle name="쉼표 [0] 20 3" xfId="3152" xr:uid="{64CB90BF-32C6-4327-9B1E-55516EF63105}"/>
    <cellStyle name="쉼표 [0] 20 4" xfId="2795" xr:uid="{C39888F4-44EA-4C6A-BAE4-0BA58548F713}"/>
    <cellStyle name="쉼표 [0] 21" xfId="1034" xr:uid="{B918EB72-3F9C-4DB2-A4EA-1BC91F01C48C}"/>
    <cellStyle name="쉼표 [0] 21 2" xfId="1035" xr:uid="{FB9D13A5-FBE8-4304-9BD2-2A271DC62997}"/>
    <cellStyle name="쉼표 [0] 21 2 2" xfId="2798" xr:uid="{48758957-1D47-47A4-9364-434F6025A028}"/>
    <cellStyle name="쉼표 [0] 21 3" xfId="3153" xr:uid="{A4E4D958-27AB-4295-B7A7-8399A9556F95}"/>
    <cellStyle name="쉼표 [0] 21 4" xfId="2797" xr:uid="{826E566C-5060-4CAE-A492-CA970D3624F2}"/>
    <cellStyle name="쉼표 [0] 22" xfId="1036" xr:uid="{6D981104-DBEF-48BE-89E7-B98F2F3B61B9}"/>
    <cellStyle name="쉼표 [0] 22 2" xfId="1037" xr:uid="{B5F5E9A2-8C8B-4C13-B6D2-9FB3C8C00FDF}"/>
    <cellStyle name="쉼표 [0] 22 2 2" xfId="2800" xr:uid="{EC08623F-8DEC-4A8D-9541-974CD935BA55}"/>
    <cellStyle name="쉼표 [0] 22 3" xfId="3154" xr:uid="{E8522FEE-81BE-4FDD-92DE-22AD7D2B9922}"/>
    <cellStyle name="쉼표 [0] 22 4" xfId="2799" xr:uid="{2C1312E0-5C87-4971-872F-C64805DA00A9}"/>
    <cellStyle name="쉼표 [0] 23" xfId="1038" xr:uid="{A3ECB96D-4B9A-4C9F-8F5F-B7230192DB89}"/>
    <cellStyle name="쉼표 [0] 23 2" xfId="1039" xr:uid="{AB86D0C0-8EBF-460B-B88A-79DE2907AA09}"/>
    <cellStyle name="쉼표 [0] 23 2 2" xfId="2802" xr:uid="{F1CDA396-6EC1-420A-9748-B5F003AC2B19}"/>
    <cellStyle name="쉼표 [0] 23 3" xfId="3155" xr:uid="{0E6D1603-FE79-46CF-94B5-74C002E4F590}"/>
    <cellStyle name="쉼표 [0] 23 4" xfId="2801" xr:uid="{18DEF1A8-943F-4C85-9102-2BE3C116818E}"/>
    <cellStyle name="쉼표 [0] 24" xfId="1040" xr:uid="{6BD176E1-5A9C-49A5-A3A0-CB62523A7EB0}"/>
    <cellStyle name="쉼표 [0] 24 2" xfId="1041" xr:uid="{D75C43C3-3DDA-48D2-8991-CE726E045058}"/>
    <cellStyle name="쉼표 [0] 24 2 2" xfId="2804" xr:uid="{0C586B91-F504-40F8-934D-D111222DD89D}"/>
    <cellStyle name="쉼표 [0] 24 3" xfId="3156" xr:uid="{2E667CA9-8D98-4500-B19F-8BC8C2222EF9}"/>
    <cellStyle name="쉼표 [0] 24 4" xfId="2803" xr:uid="{D866B03E-0900-4DFE-B895-8CA7AAD8AFEE}"/>
    <cellStyle name="쉼표 [0] 25" xfId="1042" xr:uid="{3A5FE5EB-DBC9-4AB2-AA6C-87F96B9C56BB}"/>
    <cellStyle name="쉼표 [0] 25 2" xfId="1043" xr:uid="{7107E22E-865B-4E14-BB34-C0C3DE108583}"/>
    <cellStyle name="쉼표 [0] 25 2 2" xfId="2806" xr:uid="{AF6A9DE0-EB0F-4F17-BC29-185B8CB435C3}"/>
    <cellStyle name="쉼표 [0] 25 3" xfId="3157" xr:uid="{94224178-68C2-47C4-B4E8-ECC873983DE2}"/>
    <cellStyle name="쉼표 [0] 25 4" xfId="2805" xr:uid="{E0CF5EC7-33DE-4A77-960E-37AFF8647BC4}"/>
    <cellStyle name="쉼표 [0] 26" xfId="1044" xr:uid="{4E96B3F9-9127-4FFE-9EB8-9F4E46AC299D}"/>
    <cellStyle name="쉼표 [0] 26 2" xfId="1045" xr:uid="{BAD41FAF-5DC6-4664-9A6E-6214E23FDD3D}"/>
    <cellStyle name="쉼표 [0] 26 2 2" xfId="2808" xr:uid="{DBE6FA96-8D28-49EC-9368-C7B079EB7EE2}"/>
    <cellStyle name="쉼표 [0] 26 3" xfId="3158" xr:uid="{14CF32C0-486B-42BA-9B31-ABED773E7BE6}"/>
    <cellStyle name="쉼표 [0] 26 4" xfId="2807" xr:uid="{C8C76470-A96B-4E7F-B626-3BE3EF80FB4C}"/>
    <cellStyle name="쉼표 [0] 27" xfId="1046" xr:uid="{048EF6C6-4203-4941-980B-88840090CDD0}"/>
    <cellStyle name="쉼표 [0] 27 2" xfId="1047" xr:uid="{41995131-3449-453B-9497-0F22194CE1D9}"/>
    <cellStyle name="쉼표 [0] 27 2 2" xfId="2810" xr:uid="{E8B9A431-A2E6-4219-A69F-15A5A9C8DF77}"/>
    <cellStyle name="쉼표 [0] 27 3" xfId="3159" xr:uid="{154F012E-D10E-4EE5-A67C-182E0EFCA5CE}"/>
    <cellStyle name="쉼표 [0] 27 4" xfId="2809" xr:uid="{287AC450-78E6-43EC-8359-37FE3BD65F7D}"/>
    <cellStyle name="쉼표 [0] 3" xfId="1048" xr:uid="{DBAB9C32-B2E8-42D1-B454-A0D67335CF79}"/>
    <cellStyle name="쉼표 [0] 3 2" xfId="1049" xr:uid="{E3310428-6AE9-4990-B3B5-5E5E41F62F3D}"/>
    <cellStyle name="쉼표 [0] 3 2 2" xfId="1050" xr:uid="{49A563DF-8F12-413C-B3C3-9BE53C30810C}"/>
    <cellStyle name="쉼표 [0] 3 2 2 2" xfId="2813" xr:uid="{CE2F3DDA-0247-45B1-BCAD-1946D28576D2}"/>
    <cellStyle name="쉼표 [0] 3 2 2 3" xfId="1798" xr:uid="{C0ED6DB8-FFC1-4427-8E03-596808444F28}"/>
    <cellStyle name="쉼표 [0] 3 2 3" xfId="1813" xr:uid="{899B010C-09AD-44BA-917C-E64DA7BF5E33}"/>
    <cellStyle name="쉼표 [0] 3 2 3 2" xfId="3161" xr:uid="{DF375539-4E9C-480B-85EC-A223EB21FDDD}"/>
    <cellStyle name="쉼표 [0] 3 2 4" xfId="2812" xr:uid="{9B7B74B5-21DD-4790-AB69-AAF5F6556C1F}"/>
    <cellStyle name="쉼표 [0] 3 2 5" xfId="1786" xr:uid="{C3CB20FF-4549-4A9F-8AB7-1F20841C26E0}"/>
    <cellStyle name="쉼표 [0] 3 3" xfId="1051" xr:uid="{596CBD01-E29B-4FD1-8EB9-5C27782DD439}"/>
    <cellStyle name="쉼표 [0] 3 3 2" xfId="1052" xr:uid="{106D3097-4D58-494D-A711-CF4992C14C6D}"/>
    <cellStyle name="쉼표 [0] 3 3 2 2" xfId="2815" xr:uid="{277598BB-EEB5-49E7-92F3-6446FE9C8EB7}"/>
    <cellStyle name="쉼표 [0] 3 3 2 3" xfId="1818" xr:uid="{6CF6ED0A-0963-43DD-B4E2-05D46F16CD9A}"/>
    <cellStyle name="쉼표 [0] 3 3 3" xfId="2814" xr:uid="{F79B7CAA-9F56-4077-85BF-40D00931E868}"/>
    <cellStyle name="쉼표 [0] 3 3 4" xfId="1793" xr:uid="{00442573-A5B3-44E3-AED1-E8C727AC4877}"/>
    <cellStyle name="쉼표 [0] 3 4" xfId="1053" xr:uid="{6F04661E-26FA-4B77-A4A1-02E1B45BE0A3}"/>
    <cellStyle name="쉼표 [0] 3 4 2" xfId="1054" xr:uid="{320F2C25-127B-406C-A870-16EAFAFDBC69}"/>
    <cellStyle name="쉼표 [0] 3 4 2 2" xfId="2817" xr:uid="{9DD6FD75-3F01-489D-A6EE-8C2C9207ECB7}"/>
    <cellStyle name="쉼표 [0] 3 4 3" xfId="2816" xr:uid="{D00ECD36-809B-4465-BB46-7343F4098220}"/>
    <cellStyle name="쉼표 [0] 3 4 4" xfId="1812" xr:uid="{AF7D5599-0EDD-4E9E-B086-7CB0309D5A9D}"/>
    <cellStyle name="쉼표 [0] 3 5" xfId="1055" xr:uid="{EA297661-DAB5-4D7F-A8BE-F746039D8EE9}"/>
    <cellStyle name="쉼표 [0] 3 5 2" xfId="2818" xr:uid="{7B6A9A70-C694-41D4-B782-264213C2031E}"/>
    <cellStyle name="쉼표 [0] 3 5 3" xfId="1827" xr:uid="{3D52640A-C30A-46EC-909F-526BE99723CC}"/>
    <cellStyle name="쉼표 [0] 3 6" xfId="3160" xr:uid="{2782B104-CEF6-4FE7-9EA8-90FBBBF224CD}"/>
    <cellStyle name="쉼표 [0] 3 7" xfId="2811" xr:uid="{4A7DF881-EE9D-4031-B340-DDEA358DE28D}"/>
    <cellStyle name="쉼표 [0] 3 8" xfId="1740" xr:uid="{0739E845-957F-4F81-846F-FB14152E9CFE}"/>
    <cellStyle name="쉼표 [0] 32" xfId="1056" xr:uid="{D910F30B-8F18-4774-94D8-2843B70A84E3}"/>
    <cellStyle name="쉼표 [0] 32 2" xfId="1057" xr:uid="{72EF799F-5F4C-4733-B088-3526FEA84F67}"/>
    <cellStyle name="쉼표 [0] 32 2 2" xfId="2820" xr:uid="{46368943-5BDA-4997-AA15-35A786BAEA7B}"/>
    <cellStyle name="쉼표 [0] 32 3" xfId="2819" xr:uid="{87EB821C-AFF1-4DEE-BA19-E103437271B1}"/>
    <cellStyle name="쉼표 [0] 33" xfId="1058" xr:uid="{44C7AF83-7D60-433F-9C46-97F5DD25483F}"/>
    <cellStyle name="쉼표 [0] 33 2" xfId="1059" xr:uid="{C24B81C7-6357-4513-B28C-D29439F3692B}"/>
    <cellStyle name="쉼표 [0] 33 2 2" xfId="2822" xr:uid="{F4E31994-A6AC-4FFB-B6CC-82A2097850EA}"/>
    <cellStyle name="쉼표 [0] 33 3" xfId="2821" xr:uid="{1B036636-DCA7-4933-B43B-52EF6EA51D14}"/>
    <cellStyle name="쉼표 [0] 34" xfId="1060" xr:uid="{0453B684-E500-4788-A7D9-57D22FDDDBA1}"/>
    <cellStyle name="쉼표 [0] 34 2" xfId="1061" xr:uid="{A061C42D-3239-4E4B-B114-BB12DE17C892}"/>
    <cellStyle name="쉼표 [0] 34 2 2" xfId="2824" xr:uid="{67D54885-F912-4394-B6FE-ED669B1B5913}"/>
    <cellStyle name="쉼표 [0] 34 3" xfId="2823" xr:uid="{EE08B677-6D41-4F5E-AA97-7E5CC89309E8}"/>
    <cellStyle name="쉼표 [0] 35" xfId="1062" xr:uid="{F723BCE8-0436-47FA-AEB7-59185C899033}"/>
    <cellStyle name="쉼표 [0] 35 2" xfId="2825" xr:uid="{717D3877-37ED-424A-B815-D72B29BE1AC7}"/>
    <cellStyle name="쉼표 [0] 4" xfId="1063" xr:uid="{8B9BFA68-E346-4E84-A486-9CD89CCB5AF2}"/>
    <cellStyle name="쉼표 [0] 4 2" xfId="1064" xr:uid="{B825269A-C712-42A1-B7C3-972C12D28947}"/>
    <cellStyle name="쉼표 [0] 4 2 2" xfId="1065" xr:uid="{B74EAEB7-24DC-4873-A5A6-D95836313D90}"/>
    <cellStyle name="쉼표 [0] 4 2 2 2" xfId="2828" xr:uid="{AC5BADCC-C080-4541-9292-57B66E150836}"/>
    <cellStyle name="쉼표 [0] 4 2 2 3" xfId="1815" xr:uid="{D22957EB-8038-4063-A15B-F21FD00A2987}"/>
    <cellStyle name="쉼표 [0] 4 2 3" xfId="1066" xr:uid="{8EE75630-B722-4480-8BEE-279EB53E0D44}"/>
    <cellStyle name="쉼표 [0] 4 2 3 2" xfId="2829" xr:uid="{0CEB7605-BE5A-4BD4-BC0F-048191FD11EF}"/>
    <cellStyle name="쉼표 [0] 4 2 4" xfId="1067" xr:uid="{078BB127-80BF-4CAB-B78C-DC44481E95E3}"/>
    <cellStyle name="쉼표 [0] 4 2 4 2" xfId="1068" xr:uid="{2A8DC2DA-0527-491F-9004-F69FD62FE840}"/>
    <cellStyle name="쉼표 [0] 4 2 4 2 2" xfId="2831" xr:uid="{B09BC768-07BC-4A0D-8399-92F9B8024965}"/>
    <cellStyle name="쉼표 [0] 4 2 4 3" xfId="2830" xr:uid="{B4C792A9-48D0-4858-95D5-6F96B34821E1}"/>
    <cellStyle name="쉼표 [0] 4 2 5" xfId="1069" xr:uid="{CDEF5732-E4BF-4187-B693-663B8ECF796E}"/>
    <cellStyle name="쉼표 [0] 4 2 5 2" xfId="2832" xr:uid="{E5FE535C-1BFC-45D7-9A3B-7FE8670C5601}"/>
    <cellStyle name="쉼표 [0] 4 2 6" xfId="3163" xr:uid="{F79944AD-4933-44F8-B917-173ABFD90AE1}"/>
    <cellStyle name="쉼표 [0] 4 2 7" xfId="2827" xr:uid="{2238B74B-289D-44DE-86EF-ED96402A507E}"/>
    <cellStyle name="쉼표 [0] 4 2 8" xfId="1794" xr:uid="{9A85E271-CF76-4A7D-AF98-6003588255B5}"/>
    <cellStyle name="쉼표 [0] 4 3" xfId="1070" xr:uid="{5359F02F-9F3A-4825-B1D2-3F2F7850D11F}"/>
    <cellStyle name="쉼표 [0] 4 3 2" xfId="1071" xr:uid="{181CF1E6-8F2D-43A0-A3A0-8569B3EB9E3D}"/>
    <cellStyle name="쉼표 [0] 4 3 2 2" xfId="2834" xr:uid="{C60394DA-EAAB-468B-9834-BC788C2330EC}"/>
    <cellStyle name="쉼표 [0] 4 3 3" xfId="2833" xr:uid="{6386E6DC-F4B5-42D9-AA4C-ADC7DA63A6DD}"/>
    <cellStyle name="쉼표 [0] 4 3 4" xfId="1814" xr:uid="{74D92241-B023-419E-83EA-BCD2E3301C53}"/>
    <cellStyle name="쉼표 [0] 4 4" xfId="1072" xr:uid="{A05D37ED-50BD-4CD8-8F50-3B1C1F3CA718}"/>
    <cellStyle name="쉼표 [0] 4 4 2" xfId="1073" xr:uid="{5BFB4E55-544C-4848-BB1C-EE852BA3D639}"/>
    <cellStyle name="쉼표 [0] 4 4 2 2" xfId="2836" xr:uid="{71276E9F-AEAE-4EB1-83EA-C932E3586BAA}"/>
    <cellStyle name="쉼표 [0] 4 4 3" xfId="2835" xr:uid="{36D945D8-B020-4335-86AD-455EE71CFAAB}"/>
    <cellStyle name="쉼표 [0] 4 4 4" xfId="1828" xr:uid="{B194499D-E9F1-4E05-AEF6-4F2FEDD75649}"/>
    <cellStyle name="쉼표 [0] 4 5" xfId="1074" xr:uid="{0981CFEA-A1EE-4945-BB9B-9E1EBDE208D8}"/>
    <cellStyle name="쉼표 [0] 4 5 2" xfId="2837" xr:uid="{9A3CD09D-33D0-44DE-A633-99BFACDD067E}"/>
    <cellStyle name="쉼표 [0] 4 6" xfId="3162" xr:uid="{0EF9ED76-B265-45C9-9E77-FDDFA3AD0965}"/>
    <cellStyle name="쉼표 [0] 4 7" xfId="2826" xr:uid="{4F09B5D1-45A0-4255-86FC-7834CBC104EB}"/>
    <cellStyle name="쉼표 [0] 4 8" xfId="1741" xr:uid="{5E4A8AEE-C6B0-4D1A-B3BA-8DE305247E69}"/>
    <cellStyle name="쉼표 [0] 5" xfId="1075" xr:uid="{E457E5EF-04C7-4CC6-8E8F-428163FF46BA}"/>
    <cellStyle name="쉼표 [0] 5 2" xfId="1076" xr:uid="{475D3703-EB11-4E7E-ABF4-BBF3EBE82AA4}"/>
    <cellStyle name="쉼표 [0] 5 2 2" xfId="1077" xr:uid="{539E5FBF-14AD-48BB-976C-EA3C83F5EC64}"/>
    <cellStyle name="쉼표 [0] 5 2 2 2" xfId="2840" xr:uid="{B067D646-C713-4461-BC8A-A08D33598757}"/>
    <cellStyle name="쉼표 [0] 5 2 3" xfId="3165" xr:uid="{646BC6D1-A117-4ECE-9781-F45E08EFDF2F}"/>
    <cellStyle name="쉼표 [0] 5 2 4" xfId="2839" xr:uid="{1E45C98D-94D0-4583-AF86-3E2A5FBF57BD}"/>
    <cellStyle name="쉼표 [0] 5 2 5" xfId="1790" xr:uid="{4CDD322D-5D55-4ED0-B1AC-2458642026DB}"/>
    <cellStyle name="쉼표 [0] 5 3" xfId="1078" xr:uid="{E8A1A78E-29F6-4A58-BB05-696B54ED3B4C}"/>
    <cellStyle name="쉼표 [0] 5 3 2" xfId="1079" xr:uid="{BEE8E9F8-2889-4F85-B526-C2BEE0A08462}"/>
    <cellStyle name="쉼표 [0] 5 3 2 2" xfId="2842" xr:uid="{CD218DE0-E085-4F56-A63E-80A7D4B3E939}"/>
    <cellStyle name="쉼표 [0] 5 3 3" xfId="2841" xr:uid="{C05AE458-4F43-49FC-AA40-633A8F786810}"/>
    <cellStyle name="쉼표 [0] 5 3 4" xfId="1816" xr:uid="{BA8670BC-414C-4D94-8974-B10D5BE7B15D}"/>
    <cellStyle name="쉼표 [0] 5 4" xfId="1080" xr:uid="{D0CB2A5B-AECA-4814-9584-63ADBC7C9C2F}"/>
    <cellStyle name="쉼표 [0] 5 4 2" xfId="2843" xr:uid="{6EAEC6FD-3C8C-428F-B78F-346583ABAADD}"/>
    <cellStyle name="쉼표 [0] 5 5" xfId="3164" xr:uid="{9170A186-5768-4854-9392-F31C3C0E310C}"/>
    <cellStyle name="쉼표 [0] 5 6" xfId="2838" xr:uid="{9D346F2E-6925-449B-9898-D597C148660C}"/>
    <cellStyle name="쉼표 [0] 5 7" xfId="1737" xr:uid="{890C6EA2-902D-4692-9CAF-96E3EE8720E9}"/>
    <cellStyle name="쉼표 [0] 6" xfId="1081" xr:uid="{25C0BFF3-E01B-4791-A587-CE211DE62A95}"/>
    <cellStyle name="쉼표 [0] 6 2" xfId="1082" xr:uid="{9015A251-75C4-4769-8485-437FB3FF811B}"/>
    <cellStyle name="쉼표 [0] 6 2 2" xfId="1083" xr:uid="{5BC261EB-92D9-4140-B737-1D2D43C048F3}"/>
    <cellStyle name="쉼표 [0] 6 2 2 2" xfId="2846" xr:uid="{75C867E1-8122-4B82-9F53-51B5C038A6DE}"/>
    <cellStyle name="쉼표 [0] 6 2 3" xfId="3167" xr:uid="{3005326C-8F23-4EBA-B413-7556C90FCF24}"/>
    <cellStyle name="쉼표 [0] 6 2 4" xfId="2845" xr:uid="{7D87B54A-A411-4142-B39A-69BFDBCA7999}"/>
    <cellStyle name="쉼표 [0] 6 2 5" xfId="1795" xr:uid="{4EFDC57F-29E3-4453-A8AC-A5488CC697F2}"/>
    <cellStyle name="쉼표 [0] 6 3" xfId="1084" xr:uid="{0AA5EABF-E5FB-4761-850C-1DE88244CCB4}"/>
    <cellStyle name="쉼표 [0] 6 3 2" xfId="1085" xr:uid="{F7117583-A986-45F6-BB9E-E850A6D317B7}"/>
    <cellStyle name="쉼표 [0] 6 3 2 2" xfId="2848" xr:uid="{D4506457-0F08-435D-9047-56FCD8AB2F43}"/>
    <cellStyle name="쉼표 [0] 6 3 3" xfId="2847" xr:uid="{1F1CDF05-F29D-4779-9305-DCAE686B65DB}"/>
    <cellStyle name="쉼표 [0] 6 4" xfId="1086" xr:uid="{33EF6E25-85DE-4E49-934F-EBCDDDA9CC7A}"/>
    <cellStyle name="쉼표 [0] 6 4 2" xfId="2849" xr:uid="{C2C65DB7-9D6A-4EB8-86DD-08BDDA2AD5F6}"/>
    <cellStyle name="쉼표 [0] 6 5" xfId="3166" xr:uid="{BDC8C02C-82A8-485C-AA78-D0587116CE0B}"/>
    <cellStyle name="쉼표 [0] 6 6" xfId="2844" xr:uid="{6541804A-DD83-4264-8BBD-9EBBFF43C011}"/>
    <cellStyle name="쉼표 [0] 6 7" xfId="1783" xr:uid="{AE814FE4-0AE0-4FD2-8781-1851795FC953}"/>
    <cellStyle name="쉼표 [0] 7" xfId="1385" xr:uid="{24A13520-B44E-481D-9998-E32AB220ACCB}"/>
    <cellStyle name="쉼표 [0] 7 2" xfId="1087" xr:uid="{12C4EE52-A511-4532-AC7F-64AD1323E905}"/>
    <cellStyle name="쉼표 [0] 7 2 2" xfId="1088" xr:uid="{25464D16-C055-48D2-8E97-0895AFC28F89}"/>
    <cellStyle name="쉼표 [0] 7 2 2 2" xfId="2851" xr:uid="{5464E177-666F-4973-A7AB-0726A78FEDB6}"/>
    <cellStyle name="쉼표 [0] 7 2 3" xfId="3168" xr:uid="{D747F0C4-BA08-4F27-9DBB-34B193EE32E9}"/>
    <cellStyle name="쉼표 [0] 7 2 4" xfId="2850" xr:uid="{43A30515-13DC-4AA3-9E71-311CEE8B3EC5}"/>
    <cellStyle name="쉼표 [0] 7 3" xfId="1390" xr:uid="{3ADF4FEA-7BC3-4778-BB29-E7275C8A8582}"/>
    <cellStyle name="쉼표 [0] 7 4" xfId="1787" xr:uid="{5C985A3E-7C97-4A07-AC12-2E89BC16A7D1}"/>
    <cellStyle name="쉼표 [0] 8" xfId="1388" xr:uid="{F3E891B9-25F1-44AA-9FA7-F23E5B1CC127}"/>
    <cellStyle name="쉼표 [0] 8 2" xfId="1089" xr:uid="{8EC89306-43AC-4B2F-AC76-3351BF44C6E3}"/>
    <cellStyle name="쉼표 [0] 8 2 2" xfId="1090" xr:uid="{41460A7D-12BC-4841-8AFD-803A1E5E7F9B}"/>
    <cellStyle name="쉼표 [0] 8 2 2 2" xfId="2853" xr:uid="{6F464220-363D-4147-BFD7-22AC0721B221}"/>
    <cellStyle name="쉼표 [0] 8 2 3" xfId="3169" xr:uid="{E02DD98B-F3BE-4C0D-8FE2-08E86C296B62}"/>
    <cellStyle name="쉼표 [0] 8 2 4" xfId="2852" xr:uid="{812D2A46-939F-48C5-8BF5-CCFE25D25EA0}"/>
    <cellStyle name="쉼표 [0] 8 3" xfId="1801" xr:uid="{28847DBC-326F-4B4A-A26E-F02A0ECE1008}"/>
    <cellStyle name="쉼표 [0] 9" xfId="1821" xr:uid="{8FA62ECF-21B2-4A44-A246-2B070B805839}"/>
    <cellStyle name="쉼표 [0] 9 2" xfId="1091" xr:uid="{C892BE38-F0D7-4E1E-AC94-A24B88551C04}"/>
    <cellStyle name="쉼표 [0] 9 2 2" xfId="1092" xr:uid="{418209E9-3EC8-4B1F-90C4-5AED76BDF6CB}"/>
    <cellStyle name="쉼표 [0] 9 2 2 2" xfId="2855" xr:uid="{EE329DA2-FC9A-487D-9F12-475CAC575054}"/>
    <cellStyle name="쉼표 [0] 9 2 3" xfId="3170" xr:uid="{E450B9DD-6D28-401B-B54C-5051CF337597}"/>
    <cellStyle name="쉼표 [0] 9 2 4" xfId="2854" xr:uid="{A2B3D898-0A22-4958-8928-0FAF7591D4E1}"/>
    <cellStyle name="쉼표 2 2" xfId="1093" xr:uid="{864CEE46-0778-42C4-BC3A-F69A2AE5B3C7}"/>
    <cellStyle name="쉼표 2 2 2" xfId="2856" xr:uid="{2915B05E-8313-402C-8344-CCE4E1883213}"/>
    <cellStyle name="쉼표 2 3" xfId="1094" xr:uid="{ECFE16FF-4ECA-42F7-87C6-AC572CE7A72A}"/>
    <cellStyle name="쉼표 2 3 2" xfId="2857" xr:uid="{DFFE9641-9508-4767-9D87-67289D98C79B}"/>
    <cellStyle name="쉼표 2 4" xfId="1095" xr:uid="{FB8D154A-1E20-412B-A278-374E68585109}"/>
    <cellStyle name="쉼표 2 4 2" xfId="2858" xr:uid="{019CFC59-29B8-4F2E-8DA0-D82C5C2322D8}"/>
    <cellStyle name="쉼표 2 5" xfId="1096" xr:uid="{FBEA0FFE-09EE-44F2-BDEA-F13ABBD94BFD}"/>
    <cellStyle name="쉼표 2 5 2" xfId="2859" xr:uid="{21F069F3-A127-4092-AF22-35343D8F9D44}"/>
    <cellStyle name="쉼표 2 6" xfId="1097" xr:uid="{39A58450-8F64-4CB4-B4E1-B9C237B2ECED}"/>
    <cellStyle name="쉼표 2 6 2" xfId="2860" xr:uid="{3780E315-BBB8-49AE-A1DF-DFF8111E04F3}"/>
    <cellStyle name="쉼표 2 7" xfId="1098" xr:uid="{68D4B781-CA1C-4D4B-BCC4-F7E660F16D5A}"/>
    <cellStyle name="쉼표 2 7 2" xfId="2861" xr:uid="{DC44CF7F-513F-4499-8B65-FB391852E083}"/>
    <cellStyle name="스타일 1" xfId="11" xr:uid="{00000000-0005-0000-0000-00000D000000}"/>
    <cellStyle name="스타일 1 2" xfId="1099" xr:uid="{BBAFA2BF-725D-4F0C-BC51-B53399BDC3CE}"/>
    <cellStyle name="스타일 2" xfId="1742" xr:uid="{64C42884-C276-459D-ACD3-78EC928F9C48}"/>
    <cellStyle name="스타일 3" xfId="1743" xr:uid="{F141C436-344E-4315-B00F-4C38E1D36B51}"/>
    <cellStyle name="실선" xfId="1744" xr:uid="{45464E80-5283-41BF-A3FC-3181D93361BC}"/>
    <cellStyle name="안건회계법인" xfId="1745" xr:uid="{F6B242C4-7367-4FB3-A118-5A423350BA0A}"/>
    <cellStyle name="안건회계법인⁬⸵⼰⸷‰o" xfId="1746" xr:uid="{6AA5EA60-1C9F-410A-BE5D-6563CA5E0C52}"/>
    <cellStyle name="样式 1" xfId="1747" xr:uid="{BD51F65B-D8CF-4A30-B0D8-FE87D12B1D64}"/>
    <cellStyle name="연결된 셀 10" xfId="1100" xr:uid="{54654C25-6916-4F59-9A40-35F12524D979}"/>
    <cellStyle name="연결된 셀 10 2" xfId="2862" xr:uid="{0F910E7A-2F61-4BEF-8CCF-DD4B8CC1B6A5}"/>
    <cellStyle name="연결된 셀 11" xfId="1101" xr:uid="{9257ED6F-4F16-41FD-9C27-9C14C09054F4}"/>
    <cellStyle name="연결된 셀 11 2" xfId="2863" xr:uid="{91F4166A-32C9-4DCC-BCEB-19ACC111234F}"/>
    <cellStyle name="연결된 셀 12" xfId="1102" xr:uid="{0AABB5F1-0E3C-4358-8DFB-5CAE79C57E0B}"/>
    <cellStyle name="연결된 셀 12 2" xfId="2864" xr:uid="{1A1E7F29-E48B-4F6E-BD32-32DDC50B209B}"/>
    <cellStyle name="연결된 셀 13" xfId="1103" xr:uid="{C8253B3B-8B0E-4684-BC0E-E3088C0C3D56}"/>
    <cellStyle name="연결된 셀 13 2" xfId="2865" xr:uid="{A9B30325-4A92-4F23-B099-8BA8B1D567DB}"/>
    <cellStyle name="연결된 셀 14" xfId="1104" xr:uid="{6F98BF25-0A2D-4B73-B331-569509569205}"/>
    <cellStyle name="연결된 셀 14 2" xfId="2866" xr:uid="{B723B90E-C556-4A95-AC2F-59821D263E15}"/>
    <cellStyle name="연결된 셀 15" xfId="1105" xr:uid="{4CA29AB8-7DE0-4F42-B416-38042AAC0D9B}"/>
    <cellStyle name="연결된 셀 15 2" xfId="2867" xr:uid="{CEB0672B-3C1D-451E-BF88-39AC4E5EE6CC}"/>
    <cellStyle name="연결된 셀 16" xfId="1106" xr:uid="{FD638452-9B5B-4C66-8940-303263EEA6C7}"/>
    <cellStyle name="연결된 셀 16 2" xfId="2868" xr:uid="{041EA927-10FE-4198-BC95-56C531B8B05F}"/>
    <cellStyle name="연결된 셀 17" xfId="1107" xr:uid="{ED4563DF-3B7E-4388-80D1-B8A61644CEF4}"/>
    <cellStyle name="연결된 셀 17 2" xfId="2869" xr:uid="{34340440-A571-4D2F-BD71-7A64F9F151A3}"/>
    <cellStyle name="연결된 셀 18" xfId="1108" xr:uid="{77900E89-CBB1-470D-B0BD-0462E2993A44}"/>
    <cellStyle name="연결된 셀 18 2" xfId="2870" xr:uid="{29021965-4F4A-4E59-B816-6BAAC1650FA2}"/>
    <cellStyle name="연결된 셀 19" xfId="1109" xr:uid="{12A7FF59-39D0-4933-B537-C7403FB8DFBF}"/>
    <cellStyle name="연결된 셀 19 2" xfId="2871" xr:uid="{140640DE-A5F8-48C6-A8C6-FABFB864FC4D}"/>
    <cellStyle name="연결된 셀 2" xfId="1110" xr:uid="{53FE616A-002A-456B-9218-C71778F41DE6}"/>
    <cellStyle name="연결된 셀 2 2" xfId="2872" xr:uid="{6515B7FE-82CE-431D-9DDC-C922FC7D0C71}"/>
    <cellStyle name="연결된 셀 2 3" xfId="1748" xr:uid="{C814233C-CA3E-43F2-A92C-0BCFD6AEC0CB}"/>
    <cellStyle name="연결된 셀 20" xfId="1111" xr:uid="{DBB40E25-495D-4FA3-ACE0-DE81A7112CD2}"/>
    <cellStyle name="연결된 셀 20 2" xfId="2873" xr:uid="{8150613E-716F-4220-BF44-24A5A948D01E}"/>
    <cellStyle name="연결된 셀 21" xfId="1112" xr:uid="{52E024D0-25A6-49FA-B5ED-8DF90ACA4626}"/>
    <cellStyle name="연결된 셀 21 2" xfId="2874" xr:uid="{D9F4CDD9-2111-41AD-BB03-BC4F0D327D79}"/>
    <cellStyle name="연결된 셀 22" xfId="1113" xr:uid="{509574BB-3B17-4DBE-8D87-A3C4C5FEA155}"/>
    <cellStyle name="연결된 셀 22 2" xfId="2875" xr:uid="{F3CADEED-B704-41C9-A92C-43C5522451EE}"/>
    <cellStyle name="연결된 셀 23" xfId="1114" xr:uid="{BB89DB85-0C26-4193-BB34-68362383747D}"/>
    <cellStyle name="연결된 셀 23 2" xfId="2876" xr:uid="{688E9F50-6FEC-486F-8CCA-5A5D9DA6D705}"/>
    <cellStyle name="연결된 셀 24" xfId="1115" xr:uid="{D1560E96-06B0-491F-AB19-E98FACC86C76}"/>
    <cellStyle name="연결된 셀 24 2" xfId="2877" xr:uid="{0CB632EE-8922-42CE-B23E-EFD3B0BF75BE}"/>
    <cellStyle name="연결된 셀 25" xfId="1116" xr:uid="{E0ED66F9-03B4-406E-A1C8-308702BCF336}"/>
    <cellStyle name="연결된 셀 25 2" xfId="2878" xr:uid="{C39BA81A-BC35-47FA-8A19-ADA431C36F46}"/>
    <cellStyle name="연결된 셀 3" xfId="1117" xr:uid="{85A26221-ADD1-4D96-A719-C2B95EC1AE06}"/>
    <cellStyle name="연결된 셀 3 2" xfId="2879" xr:uid="{20F8CB00-D816-43D8-9AE1-DFC6B085D73B}"/>
    <cellStyle name="연결된 셀 4" xfId="1118" xr:uid="{AECE0438-899D-4DE7-AB84-F43753C71963}"/>
    <cellStyle name="연결된 셀 4 2" xfId="2880" xr:uid="{A9D1C488-4658-4B6D-8DE2-4C68BBB0B4C1}"/>
    <cellStyle name="연결된 셀 5" xfId="1119" xr:uid="{D1EDDA60-FC1B-40BE-9CFA-E68A7BF22CC4}"/>
    <cellStyle name="연결된 셀 5 2" xfId="2881" xr:uid="{A63EFBE8-FFD8-408B-AC7D-B4994E55BE21}"/>
    <cellStyle name="연결된 셀 6" xfId="1120" xr:uid="{F8BDB5D7-1D51-4974-B7E4-5F7B8686746C}"/>
    <cellStyle name="연결된 셀 6 2" xfId="2882" xr:uid="{2060199C-27BF-41FC-8072-FA5D29619706}"/>
    <cellStyle name="연결된 셀 7" xfId="1121" xr:uid="{72851864-03EB-48E1-8EA0-A66500253A94}"/>
    <cellStyle name="연결된 셀 7 2" xfId="2883" xr:uid="{A0D96AC4-C237-4060-AB87-BD26CC8FCF78}"/>
    <cellStyle name="연결된 셀 8" xfId="1122" xr:uid="{266F341F-88AC-41F9-BCF6-DEA6CEF77D80}"/>
    <cellStyle name="연결된 셀 8 2" xfId="2884" xr:uid="{CDAF57AD-2F17-4691-A1E4-3A62A6F657A7}"/>
    <cellStyle name="연결된 셀 9" xfId="1123" xr:uid="{698D6079-981A-47F4-B78F-04D818D02BF6}"/>
    <cellStyle name="연결된 셀 9 2" xfId="2885" xr:uid="{A3BE67C1-04E9-45FC-8B80-58DA4B716B3A}"/>
    <cellStyle name="열어본 하이퍼링크" xfId="1749" xr:uid="{1ACBAF4A-B9C8-443F-8D5D-5F1887F228C7}"/>
    <cellStyle name="요약 10" xfId="1124" xr:uid="{930D3DB8-C764-4012-9150-535864040791}"/>
    <cellStyle name="요약 10 2" xfId="2886" xr:uid="{FC6A9544-75AF-42BC-BFC8-F65C6EDA4BF2}"/>
    <cellStyle name="요약 11" xfId="1125" xr:uid="{C90A1727-88DF-490C-ACEA-6B09AC9CC93A}"/>
    <cellStyle name="요약 11 2" xfId="2887" xr:uid="{552D58A3-063C-4FA2-9D0A-430E4CA5D05F}"/>
    <cellStyle name="요약 12" xfId="1126" xr:uid="{BF479B8F-9B24-41C3-B7D5-7FED84050BC0}"/>
    <cellStyle name="요약 12 2" xfId="2888" xr:uid="{9951BB45-987C-4C0E-83A7-E35E63A74E82}"/>
    <cellStyle name="요약 13" xfId="1127" xr:uid="{1E5AB149-897B-4477-BF70-B600CDE9194A}"/>
    <cellStyle name="요약 13 2" xfId="2889" xr:uid="{6D883B94-9D7E-4A08-AE95-19EA6BF28CC9}"/>
    <cellStyle name="요약 14" xfId="1128" xr:uid="{7FCDBB33-6921-4D9C-9B60-C092A64673E7}"/>
    <cellStyle name="요약 14 2" xfId="2890" xr:uid="{C6683D75-E07E-45DE-926A-717FF25CFD6B}"/>
    <cellStyle name="요약 15" xfId="1129" xr:uid="{01BA9A20-DDC9-440B-A98B-90D6245F4986}"/>
    <cellStyle name="요약 15 2" xfId="2891" xr:uid="{EDA18622-B710-4F50-8BA8-A5047E00BAAD}"/>
    <cellStyle name="요약 16" xfId="1130" xr:uid="{D9F8FCF6-5FF0-4AFB-ADCF-F76E28BC7836}"/>
    <cellStyle name="요약 16 2" xfId="2892" xr:uid="{0BC7B06F-EAA5-4D15-B74B-BB210B873091}"/>
    <cellStyle name="요약 17" xfId="1131" xr:uid="{BD41432C-CC80-4940-AF86-F7E79E87414A}"/>
    <cellStyle name="요약 17 2" xfId="2893" xr:uid="{BB2CAB8C-769D-4DF9-AD9A-42D28BA9E6DD}"/>
    <cellStyle name="요약 18" xfId="1132" xr:uid="{18BD1371-6E7A-445F-BB9B-0E757A19C48D}"/>
    <cellStyle name="요약 18 2" xfId="2894" xr:uid="{E70D2CE7-859F-4240-83AC-76EF1CC215FF}"/>
    <cellStyle name="요약 19" xfId="1133" xr:uid="{5C2AFE49-881A-449F-8C69-62212163AF0F}"/>
    <cellStyle name="요약 19 2" xfId="2895" xr:uid="{1F1B47D1-1BCF-4586-9663-002B4873C978}"/>
    <cellStyle name="요약 2" xfId="1134" xr:uid="{CCB8AA32-32CD-4D3F-B574-E88368FAE193}"/>
    <cellStyle name="요약 2 2" xfId="2896" xr:uid="{8D2D714E-EAC2-437F-980B-5E4DB8EB5931}"/>
    <cellStyle name="요약 2 3" xfId="1750" xr:uid="{F90FBF43-14CB-49E0-A8D8-CB194252B09E}"/>
    <cellStyle name="요약 20" xfId="1135" xr:uid="{0B1A740D-CCD8-48E2-95C5-B2E6125287D8}"/>
    <cellStyle name="요약 20 2" xfId="2897" xr:uid="{5FB84783-38D8-49A6-BF4B-F5C3BA4B80F7}"/>
    <cellStyle name="요약 21" xfId="1136" xr:uid="{37BCF479-C7F5-4C8A-AC2E-D5B4D2EAEFFB}"/>
    <cellStyle name="요약 21 2" xfId="2898" xr:uid="{7B263C00-0F2C-4DE7-BF5B-C113AC85D729}"/>
    <cellStyle name="요약 22" xfId="1137" xr:uid="{91B3324E-E67D-4A6A-9D68-023A5AFB3483}"/>
    <cellStyle name="요약 22 2" xfId="2899" xr:uid="{5CF54A2B-5935-463C-90FC-7A4DB8C203ED}"/>
    <cellStyle name="요약 23" xfId="1138" xr:uid="{DACC5792-57B1-4CE4-9480-42F34CBEC7ED}"/>
    <cellStyle name="요약 23 2" xfId="2900" xr:uid="{C17D6AE9-4FFF-4E39-BC1D-0AFA4B8ABE9D}"/>
    <cellStyle name="요약 24" xfId="1139" xr:uid="{854DB4B5-E303-4219-A319-0E072BA96E09}"/>
    <cellStyle name="요약 24 2" xfId="2901" xr:uid="{CF7ED79D-B26C-4CD7-8B07-635551A5DE78}"/>
    <cellStyle name="요약 25" xfId="1140" xr:uid="{2A8DE084-986A-476F-9EFB-38F7E4A661B0}"/>
    <cellStyle name="요약 25 2" xfId="2902" xr:uid="{7FA59CFB-DB0C-4821-A6BE-C7FCC0B40A19}"/>
    <cellStyle name="요약 3" xfId="1141" xr:uid="{5D892199-68A0-4F62-934A-5EAD915CC945}"/>
    <cellStyle name="요약 3 2" xfId="2903" xr:uid="{9C8A5629-1B45-47EA-8465-7BCBE4FBB343}"/>
    <cellStyle name="요약 4" xfId="1142" xr:uid="{FF211013-9BBB-41CF-806E-FB011A9DD378}"/>
    <cellStyle name="요약 4 2" xfId="2904" xr:uid="{46A3A354-2595-4001-8DE4-DDC44BC31D8A}"/>
    <cellStyle name="요약 5" xfId="1143" xr:uid="{D90AA5EC-CC81-4183-B707-F73362C69D23}"/>
    <cellStyle name="요약 5 2" xfId="2905" xr:uid="{4036BC47-8D29-4A59-8196-FF180083DB1A}"/>
    <cellStyle name="요약 6" xfId="1144" xr:uid="{EF694671-9E8E-4168-B975-2310162C70C5}"/>
    <cellStyle name="요약 6 2" xfId="2906" xr:uid="{074E2932-1B42-4178-8E47-96B0495F1CCD}"/>
    <cellStyle name="요약 7" xfId="1145" xr:uid="{99F542E7-CD17-4C2E-8C33-D1ABD136885F}"/>
    <cellStyle name="요약 7 2" xfId="2907" xr:uid="{FF33AB02-4D41-486C-B437-B2C86E3EABA7}"/>
    <cellStyle name="요약 8" xfId="1146" xr:uid="{ADA3D539-5E64-49CD-AE05-706A7C8A70B6}"/>
    <cellStyle name="요약 8 2" xfId="2908" xr:uid="{EDB58525-0D06-4871-B83D-7B38004521E7}"/>
    <cellStyle name="요약 9" xfId="1147" xr:uid="{5711CDED-E35D-48C1-B172-7E6DFF0FE771}"/>
    <cellStyle name="요약 9 2" xfId="2909" xr:uid="{FA114265-6FB2-4B7B-BB81-36EC08A91B00}"/>
    <cellStyle name="一般_FY04 1H Quota_by Month" xfId="1148" xr:uid="{6B01927C-C003-4CE5-8553-B083D298134A}"/>
    <cellStyle name="입력 10" xfId="1149" xr:uid="{B72A8B1F-596A-4E11-B9B6-AC6A938EA1E3}"/>
    <cellStyle name="입력 10 2" xfId="2910" xr:uid="{CA760BC6-2474-48B2-9813-49440B26B51C}"/>
    <cellStyle name="입력 11" xfId="1150" xr:uid="{D89841BE-7E47-4496-9396-C8583AE6DB6C}"/>
    <cellStyle name="입력 11 2" xfId="2911" xr:uid="{212C1B95-2C88-4A7A-90A4-694EA5CBB300}"/>
    <cellStyle name="입력 12" xfId="1151" xr:uid="{9B609CFB-64B5-4C23-A0D1-60288F4ACE5F}"/>
    <cellStyle name="입력 12 2" xfId="2912" xr:uid="{A317A0CD-FFEB-4387-B560-942210B4049C}"/>
    <cellStyle name="입력 13" xfId="1152" xr:uid="{F0B88517-8189-427A-B528-D7EC20AF97C7}"/>
    <cellStyle name="입력 13 2" xfId="2913" xr:uid="{5EDD1608-4E86-4DF2-9CAA-A374276E7CFE}"/>
    <cellStyle name="입력 14" xfId="1153" xr:uid="{DFFBCB84-0A5D-4ACA-8FF8-1B36D593495D}"/>
    <cellStyle name="입력 14 2" xfId="2914" xr:uid="{FC0B1AEB-71E9-4ECA-9CF7-CD4D38BB3875}"/>
    <cellStyle name="입력 15" xfId="1154" xr:uid="{E160AF2A-CDD9-4D65-9D33-5851D481EBE7}"/>
    <cellStyle name="입력 15 2" xfId="2915" xr:uid="{94BEDA04-54B3-4033-874C-310E356E896A}"/>
    <cellStyle name="입력 16" xfId="1155" xr:uid="{8EBCA2E6-A048-43C4-9393-52D333A0DAD7}"/>
    <cellStyle name="입력 16 2" xfId="2916" xr:uid="{1CD4D416-BBA9-431E-9A67-8F514ED6309A}"/>
    <cellStyle name="입력 17" xfId="1156" xr:uid="{EBFFF752-8808-4E63-A436-D8D51727D4F0}"/>
    <cellStyle name="입력 17 2" xfId="2917" xr:uid="{7073301A-737D-43B0-89CD-424A52EFC681}"/>
    <cellStyle name="입력 18" xfId="1157" xr:uid="{01915498-357A-40D7-92A9-79CA6C2E2AB5}"/>
    <cellStyle name="입력 18 2" xfId="2918" xr:uid="{D9A3AA65-5726-448B-9B11-5861FC58ADBA}"/>
    <cellStyle name="입력 19" xfId="1158" xr:uid="{46011F19-1905-4AF7-B12D-D126C2D81E23}"/>
    <cellStyle name="입력 19 2" xfId="2919" xr:uid="{E12B3A4D-1116-49B3-B305-0BF3E316E0F6}"/>
    <cellStyle name="입력 2" xfId="1159" xr:uid="{AD66A8D0-6828-48F8-8987-C38E49D4C9BC}"/>
    <cellStyle name="입력 2 2" xfId="2920" xr:uid="{F4FFF3AC-322F-4FAD-8B91-D3F304D33656}"/>
    <cellStyle name="입력 2 3" xfId="1751" xr:uid="{2C2FF2A6-65A4-465F-8871-FA33137F00C9}"/>
    <cellStyle name="입력 20" xfId="1160" xr:uid="{8F6D59D1-26BE-4664-80DA-C95783F61EED}"/>
    <cellStyle name="입력 20 2" xfId="2921" xr:uid="{C66FB0EE-E250-4836-B308-A4D0ABB8E621}"/>
    <cellStyle name="입력 21" xfId="1161" xr:uid="{BDEFDAD3-86FE-4815-9A8E-43E14D750F24}"/>
    <cellStyle name="입력 21 2" xfId="2922" xr:uid="{AB62F4AC-8FCD-4F37-B5C5-E4B8C9E87FE7}"/>
    <cellStyle name="입력 22" xfId="1162" xr:uid="{D7E50869-E77C-4B2E-BBCA-0E3563B9EE1E}"/>
    <cellStyle name="입력 22 2" xfId="2923" xr:uid="{FB207CB6-CC9D-49EC-A372-741A6F6D5825}"/>
    <cellStyle name="입력 23" xfId="1163" xr:uid="{2A195E55-3E55-49E3-AE75-C4117133EB82}"/>
    <cellStyle name="입력 23 2" xfId="2924" xr:uid="{527D5ADF-76A6-4CB8-85A2-5CA87F2EB628}"/>
    <cellStyle name="입력 24" xfId="1164" xr:uid="{3831FAC1-F53D-4126-9D96-9201E5113311}"/>
    <cellStyle name="입력 24 2" xfId="2925" xr:uid="{3C5A9A56-CFBF-44D2-B3F6-38CE4DBEFAF2}"/>
    <cellStyle name="입력 25" xfId="1165" xr:uid="{372334FB-6E29-487F-9132-5F1730FC302F}"/>
    <cellStyle name="입력 25 2" xfId="2926" xr:uid="{6DDFF6F5-89DF-49AC-9EA3-F52EE9B25BB7}"/>
    <cellStyle name="입력 3" xfId="1166" xr:uid="{B9F13C4D-62A9-4464-AF61-A972B3B5F41B}"/>
    <cellStyle name="입력 3 2" xfId="2927" xr:uid="{E2405777-1F0B-464B-95DE-34148F0B38EB}"/>
    <cellStyle name="입력 4" xfId="1167" xr:uid="{730D998A-928E-4C54-848B-8010B9A1CCB7}"/>
    <cellStyle name="입력 4 2" xfId="2928" xr:uid="{1C32AA72-42AB-4ED7-966B-D2989FADD125}"/>
    <cellStyle name="입력 5" xfId="1168" xr:uid="{6574AD88-047B-4F3C-9900-A173DADEAB5A}"/>
    <cellStyle name="입력 5 2" xfId="2929" xr:uid="{807DB176-DF38-44CC-956F-917680EC838D}"/>
    <cellStyle name="입력 6" xfId="1169" xr:uid="{21606351-9F1B-4AC8-834B-82D466028835}"/>
    <cellStyle name="입력 6 2" xfId="2930" xr:uid="{BD7A36F3-2BBA-416A-B237-0D4E01EE9E74}"/>
    <cellStyle name="입력 7" xfId="1170" xr:uid="{DEC8A9F1-25D2-4D4B-AEF9-5E08B1DF4C97}"/>
    <cellStyle name="입력 7 2" xfId="2931" xr:uid="{A28D10D8-6B8A-444F-A539-1931750B6EA7}"/>
    <cellStyle name="입력 8" xfId="1171" xr:uid="{22BD61C7-0B31-4D16-A71E-CE8B6F41790D}"/>
    <cellStyle name="입력 8 2" xfId="2932" xr:uid="{018634D3-F30C-47CB-B0CB-1CF1E798B0F0}"/>
    <cellStyle name="입력 9" xfId="1172" xr:uid="{F75E2B5F-E5C8-4176-ADBD-570318AC0D35}"/>
    <cellStyle name="입력 9 2" xfId="2933" xr:uid="{B96B4E05-B31A-49E9-B542-3FAD91FE162C}"/>
    <cellStyle name="자리수" xfId="1752" xr:uid="{F5D8BECC-B481-42BD-9139-7AAAFAED7A09}"/>
    <cellStyle name="자리수0" xfId="1753" xr:uid="{F42D0513-8EFA-463D-8677-B29E88F4A40C}"/>
    <cellStyle name="제목 1 10" xfId="1173" xr:uid="{D346441E-2BBE-428F-95F2-7E32D1EF5C84}"/>
    <cellStyle name="제목 1 10 2" xfId="2934" xr:uid="{F570FA42-2315-4223-AD79-D1E8CDB098C5}"/>
    <cellStyle name="제목 1 11" xfId="1174" xr:uid="{B34C2985-5BE1-4211-BA2D-A2E32E181B5F}"/>
    <cellStyle name="제목 1 11 2" xfId="2935" xr:uid="{6E775769-FDDC-40A3-8202-01D6142D1C6E}"/>
    <cellStyle name="제목 1 12" xfId="1175" xr:uid="{68406C17-568B-467B-98AD-24B24709B01B}"/>
    <cellStyle name="제목 1 12 2" xfId="2936" xr:uid="{CC73223A-407D-49BB-BEBE-B23E27B2F6C6}"/>
    <cellStyle name="제목 1 13" xfId="1176" xr:uid="{5FD051BF-A6DD-4C58-8BA5-0629B4688EF6}"/>
    <cellStyle name="제목 1 13 2" xfId="2937" xr:uid="{F6100211-293F-4A32-8EB8-651743041CF9}"/>
    <cellStyle name="제목 1 14" xfId="1177" xr:uid="{BFAB7C0C-5A0B-4E94-BF62-153841933C70}"/>
    <cellStyle name="제목 1 14 2" xfId="2938" xr:uid="{14E1BE91-C5C8-446B-B1B1-5D3CCFF40DE4}"/>
    <cellStyle name="제목 1 15" xfId="1178" xr:uid="{8F54328E-B6D1-4334-BBB4-6B5918945B4F}"/>
    <cellStyle name="제목 1 15 2" xfId="2939" xr:uid="{FBF52683-2713-400C-89B6-1CF2B1A7243A}"/>
    <cellStyle name="제목 1 16" xfId="1179" xr:uid="{9C41242F-C2C3-415F-9324-79E6CD351E3C}"/>
    <cellStyle name="제목 1 16 2" xfId="2940" xr:uid="{172B65FC-19CE-4C1F-B3AB-E45A78653378}"/>
    <cellStyle name="제목 1 17" xfId="1180" xr:uid="{1875B363-C37E-4FE5-96AE-435EE7729D26}"/>
    <cellStyle name="제목 1 17 2" xfId="2941" xr:uid="{ED3A1FCC-CFD1-48CA-BD9C-3A7261C202C6}"/>
    <cellStyle name="제목 1 18" xfId="1181" xr:uid="{3928EE2F-85A4-4AB8-8001-C73D94F3E5E0}"/>
    <cellStyle name="제목 1 18 2" xfId="2942" xr:uid="{A36A4082-6629-4EFC-B440-9DB79AFC709F}"/>
    <cellStyle name="제목 1 19" xfId="1182" xr:uid="{2804EDC7-B09B-4725-9070-FE14629249C0}"/>
    <cellStyle name="제목 1 19 2" xfId="2943" xr:uid="{AE2DC436-A164-40C5-8A45-14DFFFD331C0}"/>
    <cellStyle name="제목 1 2" xfId="1183" xr:uid="{6E1DB28D-436E-4D71-A281-FBF67959E952}"/>
    <cellStyle name="제목 1 2 2" xfId="1754" xr:uid="{452CFACD-3D9F-4387-A716-98835246E93C}"/>
    <cellStyle name="제목 1 20" xfId="1184" xr:uid="{B7EE56E9-E0FD-40B6-B51F-B99C591E14C7}"/>
    <cellStyle name="제목 1 20 2" xfId="2944" xr:uid="{EFBFAF6C-2C60-4029-9A10-555392C1E293}"/>
    <cellStyle name="제목 1 21" xfId="1185" xr:uid="{AA8317F1-E27C-4451-9CCA-9D81D0CB5BE6}"/>
    <cellStyle name="제목 1 21 2" xfId="2945" xr:uid="{5124D3D9-F433-4E63-9ADB-CB65151553FA}"/>
    <cellStyle name="제목 1 22" xfId="1186" xr:uid="{68B62499-63B8-40BF-8854-F7DE12055A0A}"/>
    <cellStyle name="제목 1 22 2" xfId="2946" xr:uid="{4238366F-CE8F-4EDA-A17C-37780E52316C}"/>
    <cellStyle name="제목 1 23" xfId="1187" xr:uid="{26511501-5FF7-4429-AAF2-12FD9F2236EA}"/>
    <cellStyle name="제목 1 23 2" xfId="2947" xr:uid="{BF4188A2-C48B-4561-BB18-669D4004F118}"/>
    <cellStyle name="제목 1 24" xfId="1188" xr:uid="{AF7C4CC7-D407-4A32-B73F-3DABAD2F6F22}"/>
    <cellStyle name="제목 1 24 2" xfId="2948" xr:uid="{DB4D1AD6-9146-44FF-94CB-6839C8ECE7B1}"/>
    <cellStyle name="제목 1 25" xfId="1189" xr:uid="{50F4919A-C9C7-4235-B586-301AB70E283E}"/>
    <cellStyle name="제목 1 25 2" xfId="2949" xr:uid="{C5C2B4B8-1AB2-4ECF-BF05-58D0C527C181}"/>
    <cellStyle name="제목 1 3" xfId="1190" xr:uid="{D28B98E9-C40A-49F1-A8CA-25E9741EDDFE}"/>
    <cellStyle name="제목 1 3 2" xfId="2950" xr:uid="{ED22BDDB-FF59-44EB-AF93-4B09EC724DBA}"/>
    <cellStyle name="제목 1 4" xfId="1191" xr:uid="{7588EAAB-544A-4CC2-9ABB-878D6E15B281}"/>
    <cellStyle name="제목 1 4 2" xfId="2951" xr:uid="{8EC0066D-FF6B-42FB-8730-C6FAFDD2A510}"/>
    <cellStyle name="제목 1 5" xfId="1192" xr:uid="{0CC22DE3-DB4A-4611-8759-FF2D4BDD055A}"/>
    <cellStyle name="제목 1 5 2" xfId="2952" xr:uid="{60751BE9-A86A-43AD-B854-BB7306A1AD1A}"/>
    <cellStyle name="제목 1 6" xfId="1193" xr:uid="{0CFED53E-1613-4813-9849-FB903E790CBF}"/>
    <cellStyle name="제목 1 6 2" xfId="2953" xr:uid="{13F9EDD3-2710-4EB9-902C-FFF5AB8057E6}"/>
    <cellStyle name="제목 1 7" xfId="1194" xr:uid="{6DFCE790-40F4-46DF-9A4F-54F876D4636C}"/>
    <cellStyle name="제목 1 7 2" xfId="2954" xr:uid="{F6DE4152-2777-4670-94A6-C757E0644C50}"/>
    <cellStyle name="제목 1 8" xfId="1195" xr:uid="{5A383168-BB99-4595-AF3A-5FF5530FA2B5}"/>
    <cellStyle name="제목 1 8 2" xfId="2955" xr:uid="{0CCE0EDD-475B-41D1-96CD-1623F8FEAB42}"/>
    <cellStyle name="제목 1 9" xfId="1196" xr:uid="{65D19ADA-3534-4F54-B5D4-0A3532A20776}"/>
    <cellStyle name="제목 1 9 2" xfId="2956" xr:uid="{1251089E-2825-41E6-8810-196D3C6FF0B8}"/>
    <cellStyle name="제목 10" xfId="1197" xr:uid="{D1E34CB9-1556-4AF4-9178-3D83CF059396}"/>
    <cellStyle name="제목 10 2" xfId="2957" xr:uid="{07A96A3C-BA2A-4A71-A24C-98F2D5EA47D6}"/>
    <cellStyle name="제목 11" xfId="1198" xr:uid="{E611C923-98DC-4984-9557-FAF5083AAD1C}"/>
    <cellStyle name="제목 11 2" xfId="2958" xr:uid="{49FEB5F9-06CB-44B2-B5B1-41DDDF30D016}"/>
    <cellStyle name="제목 12" xfId="1199" xr:uid="{658205BB-EEF4-44D4-B3FB-2FF4401223C6}"/>
    <cellStyle name="제목 12 2" xfId="2959" xr:uid="{7C0DC22C-27AF-43B1-9961-53B4FD742772}"/>
    <cellStyle name="제목 13" xfId="1200" xr:uid="{3E071988-B2B7-40D5-88D4-33AD1DEAC297}"/>
    <cellStyle name="제목 13 2" xfId="2960" xr:uid="{1A72D903-04B7-4999-8F0A-F27B4A619E1C}"/>
    <cellStyle name="제목 14" xfId="1201" xr:uid="{F56CDA52-7470-435E-B332-CCE0867306E7}"/>
    <cellStyle name="제목 14 2" xfId="2961" xr:uid="{6809D0D1-C31F-4B90-ABAA-57EAFD8F5BDD}"/>
    <cellStyle name="제목 15" xfId="1202" xr:uid="{F9D0E9DA-BC42-4B3B-BD09-BDCB732F6A2C}"/>
    <cellStyle name="제목 15 2" xfId="2962" xr:uid="{559E5BB6-D18C-4B69-BAD3-A628AD459734}"/>
    <cellStyle name="제목 16" xfId="1203" xr:uid="{6E64F465-5FBA-4252-85CD-ECC0D8B0B67B}"/>
    <cellStyle name="제목 16 2" xfId="2963" xr:uid="{A3DB30E5-CAFF-44F3-A897-3825F40D0A3D}"/>
    <cellStyle name="제목 17" xfId="1204" xr:uid="{66DEAB4A-6E07-46A2-9BBE-33375AD4AF85}"/>
    <cellStyle name="제목 17 2" xfId="2964" xr:uid="{CE80A23D-B796-4F02-9140-881892F96C6E}"/>
    <cellStyle name="제목 18" xfId="1205" xr:uid="{620B32AE-D639-4B74-8AF3-F24DC087627F}"/>
    <cellStyle name="제목 18 2" xfId="2965" xr:uid="{CD458825-DBB2-4D0F-920E-310C4C6BD72D}"/>
    <cellStyle name="제목 19" xfId="1206" xr:uid="{8F338C30-CBC4-4B0F-BAC3-8E4F48DB8ADA}"/>
    <cellStyle name="제목 19 2" xfId="2966" xr:uid="{CCBDBA51-14CC-45FA-BC9D-B2E0AC8E8CE6}"/>
    <cellStyle name="제목 2 10" xfId="1207" xr:uid="{F19D0CEC-E3DE-4222-BE63-680E3D7FF2A2}"/>
    <cellStyle name="제목 2 10 2" xfId="2967" xr:uid="{2BA012CC-1EFD-4E41-B7DF-525AB194241C}"/>
    <cellStyle name="제목 2 11" xfId="1208" xr:uid="{5B9DA9B9-9551-4F1C-A788-7E174FB64C8E}"/>
    <cellStyle name="제목 2 11 2" xfId="2968" xr:uid="{C47C3FA3-FE71-4933-84F0-D75AE5B46F33}"/>
    <cellStyle name="제목 2 12" xfId="1209" xr:uid="{D3C50EBC-CD07-40EC-9539-7E24504B35D7}"/>
    <cellStyle name="제목 2 12 2" xfId="2969" xr:uid="{DF68B5CF-B111-401F-8257-DDCE95097688}"/>
    <cellStyle name="제목 2 13" xfId="1210" xr:uid="{0E76D509-9CDA-4D88-964E-9CF2AFAF825C}"/>
    <cellStyle name="제목 2 13 2" xfId="2970" xr:uid="{1D2BA206-F9E5-4C8B-87B6-48E5645BD024}"/>
    <cellStyle name="제목 2 14" xfId="1211" xr:uid="{44CB9502-66AC-49D4-95EF-969539E63BD9}"/>
    <cellStyle name="제목 2 14 2" xfId="2971" xr:uid="{DA6DB2C6-BA2B-44AF-AC01-D65FF3E49D68}"/>
    <cellStyle name="제목 2 15" xfId="1212" xr:uid="{3F69EB02-0215-4DA2-83DF-EF482F6E2478}"/>
    <cellStyle name="제목 2 15 2" xfId="2972" xr:uid="{66309D3C-C915-4D43-8118-CA5E65B59C59}"/>
    <cellStyle name="제목 2 16" xfId="1213" xr:uid="{36F9E3B2-1E31-4D05-87E6-C659B9D6ADC2}"/>
    <cellStyle name="제목 2 16 2" xfId="2973" xr:uid="{18B1505E-CFD0-4B13-90B6-632D06682F1F}"/>
    <cellStyle name="제목 2 17" xfId="1214" xr:uid="{6075CAAC-3C50-4884-B69F-A2ADEEAEA4F9}"/>
    <cellStyle name="제목 2 17 2" xfId="2974" xr:uid="{5C88793A-7440-45B5-96ED-A5CC48706EFF}"/>
    <cellStyle name="제목 2 18" xfId="1215" xr:uid="{9D24A971-3B3E-427D-841F-4C9B8CB4F104}"/>
    <cellStyle name="제목 2 18 2" xfId="2975" xr:uid="{9E3A38BE-91EB-4743-BCA2-D27EA4C8979D}"/>
    <cellStyle name="제목 2 19" xfId="1216" xr:uid="{43F0A167-6AB2-4B64-8BA2-BB05EB968704}"/>
    <cellStyle name="제목 2 19 2" xfId="2976" xr:uid="{C00176FD-AF07-495F-9D58-3755EA25953F}"/>
    <cellStyle name="제목 2 2" xfId="1217" xr:uid="{DA6150A7-E9A2-4802-B377-6D9E4CE52BF6}"/>
    <cellStyle name="제목 2 2 2" xfId="1755" xr:uid="{29449091-2B4A-4BDE-BFB0-A03852BAD1C3}"/>
    <cellStyle name="제목 2 20" xfId="1218" xr:uid="{BC610752-F192-4DA7-BFED-6303C1FA2933}"/>
    <cellStyle name="제목 2 20 2" xfId="2977" xr:uid="{0AC0A5E5-9B7E-4814-883E-7C9382D079CF}"/>
    <cellStyle name="제목 2 21" xfId="1219" xr:uid="{393657CB-12C2-4078-9502-3BA5DB569A38}"/>
    <cellStyle name="제목 2 21 2" xfId="2978" xr:uid="{CA0F60F3-2522-4EA7-87A4-04B35039238E}"/>
    <cellStyle name="제목 2 22" xfId="1220" xr:uid="{D0A84888-A046-4D8D-93AC-B2B5228E4125}"/>
    <cellStyle name="제목 2 22 2" xfId="2979" xr:uid="{362D6D65-DBAD-4068-89BA-139480C6CAE3}"/>
    <cellStyle name="제목 2 23" xfId="1221" xr:uid="{EBF23B2A-B6C6-4B7C-9D39-3E16921385A8}"/>
    <cellStyle name="제목 2 23 2" xfId="2980" xr:uid="{5C79505D-C314-4114-94D5-1D27CDA232CA}"/>
    <cellStyle name="제목 2 24" xfId="1222" xr:uid="{783B0D98-A8E5-4DCC-9F2F-C49B6AA535A4}"/>
    <cellStyle name="제목 2 24 2" xfId="2981" xr:uid="{70511F94-E7FC-4877-A645-637824D5295C}"/>
    <cellStyle name="제목 2 25" xfId="1223" xr:uid="{4F566435-76EF-4A09-BFBA-2CD880FAEDB6}"/>
    <cellStyle name="제목 2 25 2" xfId="2982" xr:uid="{378C4FF2-9453-4652-A07F-B64240C12606}"/>
    <cellStyle name="제목 2 3" xfId="1224" xr:uid="{BB5CB399-BC8F-4B73-9983-1BF32CF4A957}"/>
    <cellStyle name="제목 2 3 2" xfId="2983" xr:uid="{034F3D71-3511-4481-AAC1-6A46224D3ADF}"/>
    <cellStyle name="제목 2 4" xfId="1225" xr:uid="{938D2F02-D337-425B-8FAC-E44A2061CA34}"/>
    <cellStyle name="제목 2 4 2" xfId="2984" xr:uid="{22C2D127-C41E-4BC0-80A8-579FD15B7FC9}"/>
    <cellStyle name="제목 2 5" xfId="1226" xr:uid="{47530421-C36E-4BB9-A0C0-4446E0ABF05B}"/>
    <cellStyle name="제목 2 5 2" xfId="2985" xr:uid="{3738CA81-D5F6-424E-8214-B877939ECA6E}"/>
    <cellStyle name="제목 2 6" xfId="1227" xr:uid="{EF338E85-333B-49CF-935C-CB6AE5FEF815}"/>
    <cellStyle name="제목 2 6 2" xfId="2986" xr:uid="{1D7AB68D-522B-4345-A86D-11B01DE3A652}"/>
    <cellStyle name="제목 2 7" xfId="1228" xr:uid="{7221FB0B-CB5F-4A34-867F-B2A56F4173F0}"/>
    <cellStyle name="제목 2 7 2" xfId="2987" xr:uid="{216CE944-88F1-4E0E-8F25-1E805EC35718}"/>
    <cellStyle name="제목 2 8" xfId="1229" xr:uid="{1A79A9D9-AFA7-4464-AF29-9DDC713487F5}"/>
    <cellStyle name="제목 2 8 2" xfId="2988" xr:uid="{4AE42B4F-EC6A-414B-B04D-14D292C7BDDF}"/>
    <cellStyle name="제목 2 9" xfId="1230" xr:uid="{50B18CE5-A94C-4A8A-AB36-7F4D2F2A4C29}"/>
    <cellStyle name="제목 2 9 2" xfId="2989" xr:uid="{6A9CF8A7-3852-41F4-B10E-85DEDF79DA62}"/>
    <cellStyle name="제목 20" xfId="1231" xr:uid="{4F87F025-E28A-4CD6-910F-5080A9C8134F}"/>
    <cellStyle name="제목 20 2" xfId="2990" xr:uid="{66DAF0C6-0ACD-49D3-9880-9768A522D6F1}"/>
    <cellStyle name="제목 21" xfId="1232" xr:uid="{71929C65-E9E1-4885-88F3-7A4B17DC50E8}"/>
    <cellStyle name="제목 21 2" xfId="2991" xr:uid="{CE403540-3CC5-4852-9EA2-04BE2E3D5929}"/>
    <cellStyle name="제목 22" xfId="1233" xr:uid="{5D5EC0EC-F16C-44BC-B1CF-1350C9783837}"/>
    <cellStyle name="제목 22 2" xfId="2992" xr:uid="{AAEC371B-4318-4710-A82C-5224009BAE7A}"/>
    <cellStyle name="제목 23" xfId="1234" xr:uid="{6E431DD0-8990-4722-AD32-9D7C9F70599A}"/>
    <cellStyle name="제목 23 2" xfId="2993" xr:uid="{13995F27-FF12-42C9-8074-B600B2800AAB}"/>
    <cellStyle name="제목 24" xfId="1235" xr:uid="{3EB8DFD6-FFF4-491F-AEB2-88C0367072A4}"/>
    <cellStyle name="제목 24 2" xfId="2994" xr:uid="{C0E74B73-D860-451B-AF4C-9E93AB59C0C4}"/>
    <cellStyle name="제목 25" xfId="1236" xr:uid="{AEE46302-4E1B-4D44-8B4E-3385C321143D}"/>
    <cellStyle name="제목 25 2" xfId="2995" xr:uid="{B752D157-A286-48DE-8B7A-36D7387DD02C}"/>
    <cellStyle name="제목 26" xfId="1237" xr:uid="{65A31F0E-7351-47C6-927C-AEC11F87FA30}"/>
    <cellStyle name="제목 26 2" xfId="2996" xr:uid="{AC365643-7D0F-45DC-B824-4B42ECFDEC26}"/>
    <cellStyle name="제목 27" xfId="1238" xr:uid="{1F2725B4-45EB-4CBA-864C-15403DE61D06}"/>
    <cellStyle name="제목 27 2" xfId="2997" xr:uid="{EDFAC906-B8FC-49CF-B22C-D5502F1C8C3C}"/>
    <cellStyle name="제목 28" xfId="1239" xr:uid="{12A0ECE8-98CF-4682-9028-1C71B81FC1EB}"/>
    <cellStyle name="제목 28 2" xfId="2998" xr:uid="{3ECD43DF-0FA6-463F-88C0-8638F5F4AABA}"/>
    <cellStyle name="제목 3 10" xfId="1240" xr:uid="{2A10677A-72FB-45C1-9F83-AC290BAF94FC}"/>
    <cellStyle name="제목 3 10 2" xfId="2999" xr:uid="{748B7FA3-B636-473C-AF48-4CE21EAC8108}"/>
    <cellStyle name="제목 3 11" xfId="1241" xr:uid="{88D1CA15-E6BA-4FA2-A657-FFA701A7209D}"/>
    <cellStyle name="제목 3 11 2" xfId="3000" xr:uid="{61DFB3B2-0176-4452-8718-7E6A4E05DDA8}"/>
    <cellStyle name="제목 3 12" xfId="1242" xr:uid="{FC4238A1-9F5D-4C11-95EE-004A3FEE637A}"/>
    <cellStyle name="제목 3 12 2" xfId="3001" xr:uid="{D15B52E9-362C-4795-8609-7A3EBBF58EA8}"/>
    <cellStyle name="제목 3 13" xfId="1243" xr:uid="{AFD002D1-A8EC-4D51-A0F3-D7E5E7BF8E86}"/>
    <cellStyle name="제목 3 13 2" xfId="3002" xr:uid="{31E67348-26B5-4981-B57F-FD6037B87E56}"/>
    <cellStyle name="제목 3 14" xfId="1244" xr:uid="{B1C1504B-B2B5-4AE5-94C4-6EF3A07D76DC}"/>
    <cellStyle name="제목 3 14 2" xfId="3003" xr:uid="{25734A35-05D5-43BF-939B-42FC6E504C28}"/>
    <cellStyle name="제목 3 15" xfId="1245" xr:uid="{6CB67859-07F1-468D-AAAF-58B6EF05B0C0}"/>
    <cellStyle name="제목 3 15 2" xfId="3004" xr:uid="{672ABAC2-08DB-41C2-AC8F-E7893739F4AC}"/>
    <cellStyle name="제목 3 16" xfId="1246" xr:uid="{50ADD0D9-E6B7-4BCD-B08E-2D20FD8720EB}"/>
    <cellStyle name="제목 3 16 2" xfId="3005" xr:uid="{BFB82211-01DE-40C9-ABEA-B90C8B8F9A00}"/>
    <cellStyle name="제목 3 17" xfId="1247" xr:uid="{0979531C-C9E4-4A43-A432-5B157074ADB6}"/>
    <cellStyle name="제목 3 17 2" xfId="3006" xr:uid="{A5EBD04B-4A85-4E6F-9E82-199FDA5B7112}"/>
    <cellStyle name="제목 3 18" xfId="1248" xr:uid="{B49F6020-5793-434A-8164-2243697F4096}"/>
    <cellStyle name="제목 3 18 2" xfId="3007" xr:uid="{D1727221-BC3F-4C7B-A6A3-0857CDCCFA6C}"/>
    <cellStyle name="제목 3 19" xfId="1249" xr:uid="{F95C5608-37C3-411D-BEC3-548FE1AE482D}"/>
    <cellStyle name="제목 3 19 2" xfId="3008" xr:uid="{659EB4F8-8A8C-49C1-9C02-3898B66A797A}"/>
    <cellStyle name="제목 3 2" xfId="1250" xr:uid="{FA40FFF2-5413-4939-B3BB-2B13D5437F9F}"/>
    <cellStyle name="제목 3 2 2" xfId="1756" xr:uid="{C4BC7996-78C6-448F-AE49-B477953BEE42}"/>
    <cellStyle name="제목 3 20" xfId="1251" xr:uid="{1B6FCD1E-0821-42DB-B181-408D31A179D0}"/>
    <cellStyle name="제목 3 20 2" xfId="3009" xr:uid="{F7E67551-CC72-4491-B775-817FC3E3EB52}"/>
    <cellStyle name="제목 3 21" xfId="1252" xr:uid="{DE665D85-2D63-42D7-9A9A-C92F594223DC}"/>
    <cellStyle name="제목 3 21 2" xfId="3010" xr:uid="{8CFE5069-B726-4E40-9305-F3A4ED12360D}"/>
    <cellStyle name="제목 3 22" xfId="1253" xr:uid="{E398DE27-E4A5-4E1E-B2C9-43B2B98007B5}"/>
    <cellStyle name="제목 3 22 2" xfId="3011" xr:uid="{ED1F67B3-DDC7-4AE7-ADAB-F89E9F74AFA2}"/>
    <cellStyle name="제목 3 23" xfId="1254" xr:uid="{FEB381E9-E909-4198-8DE0-732DB56957E0}"/>
    <cellStyle name="제목 3 23 2" xfId="3012" xr:uid="{219489AA-6A70-4A6E-BD61-CAF217C1946D}"/>
    <cellStyle name="제목 3 24" xfId="1255" xr:uid="{768DB6B7-9B49-4F76-9D14-6358B4E35A4A}"/>
    <cellStyle name="제목 3 24 2" xfId="3013" xr:uid="{EEE09028-5F0F-49A0-84E0-F043D8632E65}"/>
    <cellStyle name="제목 3 25" xfId="1256" xr:uid="{3FCFA5E8-62D1-492B-AC3C-305773E28536}"/>
    <cellStyle name="제목 3 25 2" xfId="3014" xr:uid="{7575C9DA-B00D-4FC3-BBF0-3F7DB66DC2FB}"/>
    <cellStyle name="제목 3 3" xfId="1257" xr:uid="{EB705541-FEF3-4FAA-9355-064D1285E438}"/>
    <cellStyle name="제목 3 3 2" xfId="3015" xr:uid="{CAB562EC-9973-4E82-B348-D5CB788BF81E}"/>
    <cellStyle name="제목 3 4" xfId="1258" xr:uid="{2A67B5FD-E4DB-490A-B600-2E4337E9D56D}"/>
    <cellStyle name="제목 3 4 2" xfId="3016" xr:uid="{9C4E6454-1357-4CAE-B09F-90AFD450DEA7}"/>
    <cellStyle name="제목 3 5" xfId="1259" xr:uid="{76867F76-B2C0-4DA9-8821-C17E9B3B6D41}"/>
    <cellStyle name="제목 3 5 2" xfId="3017" xr:uid="{B263940E-6F11-44D9-8CF0-1EE0CEB41240}"/>
    <cellStyle name="제목 3 6" xfId="1260" xr:uid="{EF0D392A-966C-4C5A-8616-7CC953A795BA}"/>
    <cellStyle name="제목 3 6 2" xfId="3018" xr:uid="{506571F1-E0BE-4CE8-980D-A6388C120117}"/>
    <cellStyle name="제목 3 7" xfId="1261" xr:uid="{64591A20-8D56-4899-B631-C6BB9D895229}"/>
    <cellStyle name="제목 3 7 2" xfId="3019" xr:uid="{6FCB933A-5B0D-46F0-AD53-E612990620E6}"/>
    <cellStyle name="제목 3 8" xfId="1262" xr:uid="{77689588-AA71-464A-8052-BDC5A714C971}"/>
    <cellStyle name="제목 3 8 2" xfId="3020" xr:uid="{5F309EF6-8C0A-4026-8E0B-7FE8511FAB0A}"/>
    <cellStyle name="제목 3 9" xfId="1263" xr:uid="{FFD65F91-DD01-4E7B-A2D7-C7FC7AE6A6A6}"/>
    <cellStyle name="제목 3 9 2" xfId="3021" xr:uid="{39A55E16-6F1B-419D-8D81-B1317DEC4E80}"/>
    <cellStyle name="제목 4 10" xfId="1264" xr:uid="{D4835F61-38FD-45D6-BB6D-315820B34BBB}"/>
    <cellStyle name="제목 4 10 2" xfId="3022" xr:uid="{F750AA9F-A29C-4C61-8DA4-7F180739D926}"/>
    <cellStyle name="제목 4 11" xfId="1265" xr:uid="{84156DF5-651B-4F51-A9FB-01C61963DE33}"/>
    <cellStyle name="제목 4 11 2" xfId="3023" xr:uid="{7CA7931C-2B25-48F7-9078-6D2634D0A82B}"/>
    <cellStyle name="제목 4 12" xfId="1266" xr:uid="{DDB8530B-3810-46E9-A49D-ED21B811BE30}"/>
    <cellStyle name="제목 4 12 2" xfId="3024" xr:uid="{1BFC000A-1439-4E16-9592-5277DE1BF206}"/>
    <cellStyle name="제목 4 13" xfId="1267" xr:uid="{7112A1EC-422B-4BC5-9D15-934844B0002C}"/>
    <cellStyle name="제목 4 13 2" xfId="3025" xr:uid="{8B8506B7-11C6-4C4E-B83C-E09034CDE8E6}"/>
    <cellStyle name="제목 4 14" xfId="1268" xr:uid="{59EC8365-3548-4947-AEDC-21FC58B6AA23}"/>
    <cellStyle name="제목 4 14 2" xfId="3026" xr:uid="{33EA4BC4-3EE8-4E7A-8D7D-0B84E7D144AA}"/>
    <cellStyle name="제목 4 15" xfId="1269" xr:uid="{6292D412-27BF-4790-8450-3D666F1E3CF5}"/>
    <cellStyle name="제목 4 15 2" xfId="3027" xr:uid="{C1D53E6F-322D-4CDE-9E38-BA9BF6A94E01}"/>
    <cellStyle name="제목 4 16" xfId="1270" xr:uid="{97DB8DB8-9B76-470D-BBA1-D5367375F420}"/>
    <cellStyle name="제목 4 16 2" xfId="3028" xr:uid="{FDF90949-82A6-4DB7-A695-2C127354FD51}"/>
    <cellStyle name="제목 4 17" xfId="1271" xr:uid="{C95C3170-EB9C-46C4-ADD5-36C544B7E6D4}"/>
    <cellStyle name="제목 4 17 2" xfId="3029" xr:uid="{44D96A24-613E-450A-B791-8E2CE912E4AA}"/>
    <cellStyle name="제목 4 18" xfId="1272" xr:uid="{8D86679F-6363-44E4-AFE1-1B7F992F4180}"/>
    <cellStyle name="제목 4 18 2" xfId="3030" xr:uid="{84B3D0C5-D206-4576-BF57-31B4F1B50440}"/>
    <cellStyle name="제목 4 19" xfId="1273" xr:uid="{927E1859-61E3-4F83-A086-35B2BEFAB068}"/>
    <cellStyle name="제목 4 19 2" xfId="3031" xr:uid="{129924FE-BF7A-4E4B-BA81-625DECEDFFF5}"/>
    <cellStyle name="제목 4 2" xfId="1274" xr:uid="{BE854B8A-7438-4745-9BBF-CCCF74D17A42}"/>
    <cellStyle name="제목 4 2 2" xfId="1757" xr:uid="{05A98FB1-DE13-439D-82E3-6B0522841C97}"/>
    <cellStyle name="제목 4 20" xfId="1275" xr:uid="{57B8DAA3-726A-498E-BBB5-4626161F0E8D}"/>
    <cellStyle name="제목 4 20 2" xfId="3032" xr:uid="{D5D0C0BF-3307-4458-87E6-4F9E5F39F8A4}"/>
    <cellStyle name="제목 4 21" xfId="1276" xr:uid="{AFEB5378-A64B-4EAB-93A0-663567998D83}"/>
    <cellStyle name="제목 4 21 2" xfId="3033" xr:uid="{6096897B-8829-45D3-B7B4-74A89F2EECBD}"/>
    <cellStyle name="제목 4 22" xfId="1277" xr:uid="{1883A82E-C83F-4B9D-8C4B-0B40F52EA746}"/>
    <cellStyle name="제목 4 22 2" xfId="3034" xr:uid="{DFF952BC-3B23-42BA-AD14-2D8472D2E1BA}"/>
    <cellStyle name="제목 4 23" xfId="1278" xr:uid="{116EDB32-ADBB-4667-91AC-5F9A1F13BB38}"/>
    <cellStyle name="제목 4 23 2" xfId="3035" xr:uid="{836C2B6D-FABF-4E1C-B7EE-564F187184AC}"/>
    <cellStyle name="제목 4 24" xfId="1279" xr:uid="{DC5C9BBF-A370-477B-A43F-23EEDD490347}"/>
    <cellStyle name="제목 4 24 2" xfId="3036" xr:uid="{B4A52D95-6A92-484D-9C5E-9EA72D0C601B}"/>
    <cellStyle name="제목 4 25" xfId="1280" xr:uid="{F40963AA-6C7E-4344-9997-D915215A05B5}"/>
    <cellStyle name="제목 4 25 2" xfId="3037" xr:uid="{D82294A1-36A8-4BD9-BB5E-0A890C76BB54}"/>
    <cellStyle name="제목 4 3" xfId="1281" xr:uid="{CB43C672-1E1A-4096-8763-63AB6D743D27}"/>
    <cellStyle name="제목 4 3 2" xfId="3038" xr:uid="{70AFF805-B9FF-4A96-B682-195094C3B6ED}"/>
    <cellStyle name="제목 4 4" xfId="1282" xr:uid="{482C059C-6530-437A-9BC9-74174F2B3496}"/>
    <cellStyle name="제목 4 4 2" xfId="3039" xr:uid="{E70201D8-10A9-4D1F-80A6-83B699A11502}"/>
    <cellStyle name="제목 4 5" xfId="1283" xr:uid="{E6ADC47D-FF20-4537-B70C-F21E60299A41}"/>
    <cellStyle name="제목 4 5 2" xfId="3040" xr:uid="{122810B9-B7C6-4EEF-8092-3E6D2AAD616A}"/>
    <cellStyle name="제목 4 6" xfId="1284" xr:uid="{318A938A-1E53-4867-A91F-33F4BFEF2CAE}"/>
    <cellStyle name="제목 4 6 2" xfId="3041" xr:uid="{C7092DED-D5A9-48B6-A74B-5BE9CABF97F1}"/>
    <cellStyle name="제목 4 7" xfId="1285" xr:uid="{AEA8EAC1-AB69-4574-AF88-36964A927E7D}"/>
    <cellStyle name="제목 4 7 2" xfId="3042" xr:uid="{3C3ABBCA-E94D-4FEE-ACA3-01F821D06398}"/>
    <cellStyle name="제목 4 8" xfId="1286" xr:uid="{BF7CB1BC-4D45-431E-A285-FA10F0CDFA08}"/>
    <cellStyle name="제목 4 8 2" xfId="3043" xr:uid="{E5606E25-8BF3-4D85-94C1-9FA82BE7E8EC}"/>
    <cellStyle name="제목 4 9" xfId="1287" xr:uid="{2E9C3C53-1B91-41F0-AFAC-24F31F05580B}"/>
    <cellStyle name="제목 4 9 2" xfId="3044" xr:uid="{397A1308-CC3C-4705-AA5A-4A6D9CE86061}"/>
    <cellStyle name="제목 5" xfId="1288" xr:uid="{D2AB0F38-C20A-4D6D-9679-DD3C35DD5350}"/>
    <cellStyle name="제목 5 2" xfId="1758" xr:uid="{FD02C217-8D55-42DA-A1F4-1D5710A134DB}"/>
    <cellStyle name="제목 6" xfId="1289" xr:uid="{99B34D27-8029-45E9-8FCB-ECBA84D3B068}"/>
    <cellStyle name="제목 6 2" xfId="3045" xr:uid="{B3739AB1-85F8-4159-8EBE-8CF1FACBCEA9}"/>
    <cellStyle name="제목 7" xfId="1290" xr:uid="{09DEF7A6-9A78-4CF7-A6AB-75F8C1767180}"/>
    <cellStyle name="제목 7 2" xfId="3046" xr:uid="{9D80EB6B-F896-4FC4-8D47-640F49D6BEE2}"/>
    <cellStyle name="제목 8" xfId="1291" xr:uid="{CE8010DC-6730-46FD-B9AF-683B95472BA2}"/>
    <cellStyle name="제목 8 2" xfId="3047" xr:uid="{E7B7A457-6C57-4319-BB5A-C55E12E7CDB3}"/>
    <cellStyle name="제목 9" xfId="1292" xr:uid="{0466A506-EEE6-4757-A2CE-77CB7FF9E352}"/>
    <cellStyle name="제목 9 2" xfId="3048" xr:uid="{1547833B-01A9-4469-B06F-BE5C6DDFF2BB}"/>
    <cellStyle name="좋음" xfId="2" builtinId="26"/>
    <cellStyle name="좋음 10" xfId="1293" xr:uid="{7D83814B-901C-4B64-9968-BF07D7C32B33}"/>
    <cellStyle name="좋음 10 2" xfId="3049" xr:uid="{6B48B4DB-47D4-40EA-9455-29029DD352A8}"/>
    <cellStyle name="좋음 11" xfId="1294" xr:uid="{A7A3FFD3-D561-4E89-8E9E-FC60C7CD9350}"/>
    <cellStyle name="좋음 11 2" xfId="3050" xr:uid="{7153C990-70C6-4CC0-B440-7443EB125935}"/>
    <cellStyle name="좋음 12" xfId="1295" xr:uid="{C18CE8F3-20E0-4105-9642-0CAC11ED767C}"/>
    <cellStyle name="좋음 12 2" xfId="3051" xr:uid="{42401292-EFAF-42C9-A81A-5D49F8A3F58C}"/>
    <cellStyle name="좋음 13" xfId="1296" xr:uid="{B565FD3D-C6D9-4426-97AF-C9E16ADD7FDF}"/>
    <cellStyle name="좋음 13 2" xfId="3052" xr:uid="{94D8EE59-C1FE-4A88-B4C1-1F004B977382}"/>
    <cellStyle name="좋음 14" xfId="1297" xr:uid="{52ACADDF-7270-47A8-A835-122119174353}"/>
    <cellStyle name="좋음 14 2" xfId="3053" xr:uid="{DF203AAD-736B-4DD2-A789-325217A707A2}"/>
    <cellStyle name="좋음 15" xfId="1298" xr:uid="{ABC7F553-7713-437F-A067-57100EB27E5C}"/>
    <cellStyle name="좋음 15 2" xfId="3054" xr:uid="{8F36BE4D-EED2-4D42-A8B6-5CD8B87A4AA5}"/>
    <cellStyle name="좋음 16" xfId="1299" xr:uid="{89DA2C94-DBF8-407C-9BEE-C0135E9F6231}"/>
    <cellStyle name="좋음 16 2" xfId="3055" xr:uid="{9D7B6026-D788-4A62-B08D-675A78C978D4}"/>
    <cellStyle name="좋음 17" xfId="1300" xr:uid="{88828726-5C16-450C-9D3F-4A6096E2A161}"/>
    <cellStyle name="좋음 17 2" xfId="3056" xr:uid="{FF22FACD-DABF-47C7-8FFC-06931F19861C}"/>
    <cellStyle name="좋음 18" xfId="1301" xr:uid="{D56696D1-C5DA-4325-AD7A-D2210D713219}"/>
    <cellStyle name="좋음 18 2" xfId="3057" xr:uid="{5FFCF7D7-519E-4443-87AC-6CBD900316A2}"/>
    <cellStyle name="좋음 19" xfId="1302" xr:uid="{F16EE09B-7E6E-47A3-AB48-F483698811C3}"/>
    <cellStyle name="좋음 19 2" xfId="3058" xr:uid="{C826F48E-EAE3-4554-9D6F-2896459E115E}"/>
    <cellStyle name="좋음 2" xfId="6" xr:uid="{00000000-0005-0000-0000-00000F000000}"/>
    <cellStyle name="좋음 2 2" xfId="1303" xr:uid="{43166AC2-816C-4BEC-9F71-605E74833025}"/>
    <cellStyle name="좋음 2 2 2" xfId="3059" xr:uid="{AD015F35-89F9-4213-A8C7-D1B6B156F840}"/>
    <cellStyle name="좋음 2 3" xfId="1759" xr:uid="{CF6079A6-437C-43E7-90CB-373F984646EF}"/>
    <cellStyle name="좋음 20" xfId="1304" xr:uid="{037583D0-65F7-400C-BAC5-3277FB958EB9}"/>
    <cellStyle name="좋음 20 2" xfId="3060" xr:uid="{C5527501-28E3-4972-8C5B-DAE2ACA1B6FD}"/>
    <cellStyle name="좋음 21" xfId="1305" xr:uid="{3B2DAB52-E641-408B-A689-3C5BF3BB1635}"/>
    <cellStyle name="좋음 21 2" xfId="3061" xr:uid="{C9351B11-D7E1-4F30-BD1E-85972A2AABA8}"/>
    <cellStyle name="좋음 22" xfId="1306" xr:uid="{94D3394F-1337-4567-BE9E-0053EA37CB0B}"/>
    <cellStyle name="좋음 22 2" xfId="3062" xr:uid="{F1BC8F63-5002-4FE2-BB55-54A65A9A932D}"/>
    <cellStyle name="좋음 23" xfId="1307" xr:uid="{C1590B02-6C2C-4B34-817B-A7BFBF562175}"/>
    <cellStyle name="좋음 23 2" xfId="3063" xr:uid="{CD192D24-97D2-4E30-89BB-495840D3843F}"/>
    <cellStyle name="좋음 24" xfId="1308" xr:uid="{7A9A1E79-E09A-4515-8FE7-B62012BA9F95}"/>
    <cellStyle name="좋음 24 2" xfId="3064" xr:uid="{497EE5C3-50F3-42B7-9EB0-94EF5CC5DA16}"/>
    <cellStyle name="좋음 25" xfId="1309" xr:uid="{D4C56CD4-3429-4391-9A78-27D13189FAA1}"/>
    <cellStyle name="좋음 25 2" xfId="3065" xr:uid="{01B057C4-FCA8-4F9D-BC68-CECE43297916}"/>
    <cellStyle name="좋음 3" xfId="1310" xr:uid="{4A79C159-D527-420D-B05E-5B6448CC30AF}"/>
    <cellStyle name="좋음 3 2" xfId="3066" xr:uid="{530C5C07-BFC2-42F4-BE19-97C937749B3C}"/>
    <cellStyle name="좋음 4" xfId="1311" xr:uid="{4487A24C-BFB5-4867-836B-35DFC8645614}"/>
    <cellStyle name="좋음 4 2" xfId="3067" xr:uid="{95A480C2-EFD1-4B05-AEC1-D294A8E9EB21}"/>
    <cellStyle name="좋음 5" xfId="1312" xr:uid="{0657C943-73C1-4FE3-98C1-B45219846A4A}"/>
    <cellStyle name="좋음 5 2" xfId="3068" xr:uid="{6565A366-CA79-4EAD-9523-75F9939E1AF1}"/>
    <cellStyle name="좋음 6" xfId="1313" xr:uid="{484BC9C3-752A-45A2-A6C3-FECB299D871B}"/>
    <cellStyle name="좋음 6 2" xfId="3069" xr:uid="{F13432BC-1F29-4153-9B9E-70220F18C88B}"/>
    <cellStyle name="좋음 7" xfId="1314" xr:uid="{83F3DB6C-80CA-44A5-AE01-0D16D60ED3AB}"/>
    <cellStyle name="좋음 7 2" xfId="3070" xr:uid="{7ED093CC-D15B-4EEC-843F-6768F3366438}"/>
    <cellStyle name="좋음 8" xfId="1315" xr:uid="{1A55DEB2-B602-45A7-8B56-7624FD632FDB}"/>
    <cellStyle name="좋음 8 2" xfId="3071" xr:uid="{9A1B7EC6-BAE0-4D01-9F43-577122095EE3}"/>
    <cellStyle name="좋음 9" xfId="1316" xr:uid="{24238923-5A10-44D0-81F7-D09EA6B19E29}"/>
    <cellStyle name="좋음 9 2" xfId="3072" xr:uid="{34A2C576-9EEA-4B47-9354-71662D3E744D}"/>
    <cellStyle name="지정되지 않음" xfId="1760" xr:uid="{4E199F56-6D83-4573-B559-1716BA92B93B}"/>
    <cellStyle name="千分位_Apr'03 Fcst" xfId="1317" xr:uid="{7A7D907B-4938-4861-9F2D-42E8B74AB100}"/>
    <cellStyle name="출력 10" xfId="1318" xr:uid="{9924A3BD-7285-4EF4-8546-48E7CC05F0A0}"/>
    <cellStyle name="출력 10 2" xfId="3073" xr:uid="{17C88E43-555C-47E1-B4AA-39B4B18EEFEC}"/>
    <cellStyle name="출력 11" xfId="1319" xr:uid="{0B36DB1E-FB8D-4110-A878-A9CDDD8D3004}"/>
    <cellStyle name="출력 11 2" xfId="3074" xr:uid="{1D03C50D-6B49-4A41-A674-70DFF290FD3D}"/>
    <cellStyle name="출력 12" xfId="1320" xr:uid="{47350894-D04D-440D-98C7-AC0B1EF77D8B}"/>
    <cellStyle name="출력 12 2" xfId="3075" xr:uid="{007AC548-9BD6-42D5-9A3B-EF98AE31BF1A}"/>
    <cellStyle name="출력 13" xfId="1321" xr:uid="{A68182B6-7472-4B1B-945C-80AC3B34CE8B}"/>
    <cellStyle name="출력 13 2" xfId="3076" xr:uid="{C92A8EB0-1AA0-410A-98D4-7F41FE463753}"/>
    <cellStyle name="출력 14" xfId="1322" xr:uid="{9258DDF8-40A1-4DDD-90AB-54249EE0B640}"/>
    <cellStyle name="출력 14 2" xfId="3077" xr:uid="{5F5BAF5C-13EF-4571-8B65-95EB5EF6C1E3}"/>
    <cellStyle name="출력 15" xfId="1323" xr:uid="{85661F2A-721F-4965-9C58-0F339359146B}"/>
    <cellStyle name="출력 15 2" xfId="3078" xr:uid="{8FE50A11-D4AF-40D5-852F-326A675156C4}"/>
    <cellStyle name="출력 16" xfId="1324" xr:uid="{C81E456A-DA22-4D42-BA7B-E54CC4C36A22}"/>
    <cellStyle name="출력 16 2" xfId="3079" xr:uid="{E98149C5-A14D-4F5F-BC0C-679463A74DFE}"/>
    <cellStyle name="출력 17" xfId="1325" xr:uid="{C2678434-6F45-448D-BD42-D681712DDF56}"/>
    <cellStyle name="출력 17 2" xfId="3080" xr:uid="{B0EFD188-B23C-4139-8F88-DF3542EC4FF8}"/>
    <cellStyle name="출력 18" xfId="1326" xr:uid="{8484DE82-36A7-4244-B4A9-C3A437CE465F}"/>
    <cellStyle name="출력 18 2" xfId="3081" xr:uid="{3018AD93-BF8B-40F2-B8BC-21720DE7842A}"/>
    <cellStyle name="출력 19" xfId="1327" xr:uid="{21AB27FA-29B7-4DB5-867C-42DB391888F5}"/>
    <cellStyle name="출력 19 2" xfId="3082" xr:uid="{3F96B5CE-F62A-40CA-B085-B0F46F349802}"/>
    <cellStyle name="출력 2" xfId="1328" xr:uid="{5BAA18AD-AA9F-4383-A954-0199637B0638}"/>
    <cellStyle name="출력 2 2" xfId="3083" xr:uid="{40286A54-9A5A-43DE-8691-52D8D60DB825}"/>
    <cellStyle name="출력 2 3" xfId="1761" xr:uid="{5AEACE6B-308D-4B5C-80A9-542065A9F634}"/>
    <cellStyle name="출력 20" xfId="1329" xr:uid="{B0E6D3E6-FAF0-48C2-825E-5D5D1C4B5185}"/>
    <cellStyle name="출력 20 2" xfId="3084" xr:uid="{5FB01474-3233-4E70-8F4C-1AAAE769905C}"/>
    <cellStyle name="출력 21" xfId="1330" xr:uid="{50EC1C1D-D0A1-4B13-A425-460B72B93032}"/>
    <cellStyle name="출력 21 2" xfId="3085" xr:uid="{9147276C-E553-4FA3-A383-0594B6F27EA1}"/>
    <cellStyle name="출력 22" xfId="1331" xr:uid="{10CB3A3B-5F18-4404-85FF-9CAD9C492B3F}"/>
    <cellStyle name="출력 22 2" xfId="3086" xr:uid="{B574448D-41DB-495A-A0EC-AB60A623E037}"/>
    <cellStyle name="출력 23" xfId="1332" xr:uid="{BC2DFA04-B268-498A-9734-EE2DA795C6BB}"/>
    <cellStyle name="출력 23 2" xfId="3087" xr:uid="{B44A4106-7EC0-464B-B4F6-E197AD48D8CF}"/>
    <cellStyle name="출력 24" xfId="1333" xr:uid="{4BB0334E-5DE2-49C7-859B-43C42B2B9D3B}"/>
    <cellStyle name="출력 24 2" xfId="3088" xr:uid="{BF8635BA-4936-4B2F-9D44-40D8CFC88CBE}"/>
    <cellStyle name="출력 25" xfId="1334" xr:uid="{016AB765-9AD8-408A-872F-C7669DE0A23C}"/>
    <cellStyle name="출력 25 2" xfId="3089" xr:uid="{47461A4D-69C2-406F-8703-9FD84A94E1D1}"/>
    <cellStyle name="출력 3" xfId="1335" xr:uid="{705FA308-09DF-4BBF-AE7C-0DE1F5F894A2}"/>
    <cellStyle name="출력 3 2" xfId="3090" xr:uid="{F1E020F6-EB25-4E4D-8DEA-1C4B8A511213}"/>
    <cellStyle name="출력 4" xfId="1336" xr:uid="{7AB24074-8D9B-4C52-8AB2-F8C608BDD5EC}"/>
    <cellStyle name="출력 4 2" xfId="3091" xr:uid="{8B468B4A-2EAB-4C97-9DFC-F192C6E246EF}"/>
    <cellStyle name="출력 5" xfId="1337" xr:uid="{8639906F-AAF9-4B96-AA0C-BDE937CAA42D}"/>
    <cellStyle name="출력 5 2" xfId="3092" xr:uid="{D0205A8A-3A2E-4AA9-87A7-D7CE5EDDDB69}"/>
    <cellStyle name="출력 6" xfId="1338" xr:uid="{76FD80FC-11FE-4AED-B847-209B2EA67035}"/>
    <cellStyle name="출력 6 2" xfId="3093" xr:uid="{A6A6FBA3-35E6-429D-BDE4-C928D2953DD9}"/>
    <cellStyle name="출력 7" xfId="1339" xr:uid="{4604A518-0E3E-4D7C-951B-3B81D80B793F}"/>
    <cellStyle name="출력 7 2" xfId="3094" xr:uid="{D160DB2C-0C8F-4820-B473-8E556494C78B}"/>
    <cellStyle name="출력 8" xfId="1340" xr:uid="{0206BCEA-43F4-452C-B982-03445168930D}"/>
    <cellStyle name="출력 8 2" xfId="3095" xr:uid="{A449B564-BD2C-44B2-838B-E08275CB4A71}"/>
    <cellStyle name="출력 9" xfId="1341" xr:uid="{61B37A63-D853-4A5E-98F7-5CAD3AA5B4E4}"/>
    <cellStyle name="출력 9 2" xfId="3096" xr:uid="{5191CBDB-AD56-48DD-AEAD-88B366E5BBEC}"/>
    <cellStyle name="콤마 [0]_  종  합  " xfId="1762" xr:uid="{89A776F3-1AC0-46C3-B280-523F379F6E0A}"/>
    <cellStyle name="콤마_  종  합  " xfId="1763" xr:uid="{A4235C7A-B033-494E-BAB6-707B76E61C7F}"/>
    <cellStyle name="통" xfId="1342" xr:uid="{1C0C4FA6-14ED-4CB0-9BE3-B18EC78D77E0}"/>
    <cellStyle name="통 2" xfId="3097" xr:uid="{EC666972-AF13-44AD-A214-92B5B5D3D3AE}"/>
    <cellStyle name="통화 [" xfId="1343" xr:uid="{5F8D36E8-70CE-4061-9EBC-BC38736B86D4}"/>
    <cellStyle name="통화 [ 2" xfId="3098" xr:uid="{5FDB3E69-E554-4946-B017-1C0BF9BEE9E9}"/>
    <cellStyle name="通貨 [0.00]_PERSONAL" xfId="1764" xr:uid="{CDE8808E-DB67-40DF-BB0D-D72F88D2D286}"/>
    <cellStyle name="通貨_PERSONAL" xfId="1765" xr:uid="{116300DE-5744-4E64-8552-BA5A4EE0ACFE}"/>
    <cellStyle name="퍼센트" xfId="1766" xr:uid="{8EA13C7F-F797-4A8A-B91B-9E17083AB955}"/>
    <cellStyle name="표" xfId="1344" xr:uid="{3AF8322F-AFE8-4378-B46B-022C79082826}"/>
    <cellStyle name="표 2" xfId="3099" xr:uid="{BCB2B8BD-594A-4CFF-8BBB-CEF7B3504BCA}"/>
    <cellStyle name="표준" xfId="0" builtinId="0" customBuiltin="1"/>
    <cellStyle name="표준 10 2" xfId="1345" xr:uid="{5110A6F9-0B26-4FD5-8A83-629479878393}"/>
    <cellStyle name="표준 10 2 2" xfId="3100" xr:uid="{063AD5BA-064B-4294-9B77-6AB8392EA722}"/>
    <cellStyle name="표준 10 2 2 2" xfId="1799" xr:uid="{158ED476-EBAF-4EE9-A215-6828B484B81D}"/>
    <cellStyle name="표준 10 3" xfId="1829" xr:uid="{3266ACD3-1146-4CA6-B62B-D151C549D29C}"/>
    <cellStyle name="표준 12 2" xfId="1346" xr:uid="{192BF8AA-06EB-41A4-95A9-1CFDEECD51D6}"/>
    <cellStyle name="표준 12 2 2" xfId="3101" xr:uid="{BD196E7D-1042-4410-AA18-70DA9C1A37E1}"/>
    <cellStyle name="표준 13 2" xfId="10" xr:uid="{00000000-0005-0000-0000-000011000000}"/>
    <cellStyle name="표준 14" xfId="1347" xr:uid="{890E59FF-AF4B-49CE-8FB7-49B30D9BEA4F}"/>
    <cellStyle name="표준 14 2" xfId="3102" xr:uid="{0098FA51-CB97-4883-9D89-6E84AE39BDAC}"/>
    <cellStyle name="표준 16" xfId="1348" xr:uid="{8A005220-CE2A-46BD-ADB8-7F831D006279}"/>
    <cellStyle name="표준 16 2" xfId="3103" xr:uid="{6FE548F0-BB3A-4387-8C02-F8F55D804FF6}"/>
    <cellStyle name="표준 17" xfId="1349" xr:uid="{DE826D14-BBDC-42C4-B6F9-FAE1C64FD1F5}"/>
    <cellStyle name="표준 17 2" xfId="3104" xr:uid="{86726F46-E969-4A35-A425-E5D2A4D7377A}"/>
    <cellStyle name="표준 18" xfId="1350" xr:uid="{3D360757-0DE4-422A-A8A0-89E0EB1BB7C0}"/>
    <cellStyle name="표준 18 2" xfId="9" xr:uid="{00000000-0005-0000-0000-000012000000}"/>
    <cellStyle name="표준 18 3" xfId="3105" xr:uid="{083765E3-556C-4A90-AC9F-4F1266994BC5}"/>
    <cellStyle name="표준 19" xfId="1351" xr:uid="{A8C3243F-7CD8-4718-8153-CFE88D24349F}"/>
    <cellStyle name="표준 19 2" xfId="3106" xr:uid="{7F642AB0-4894-4FFF-AE47-17FB69234076}"/>
    <cellStyle name="표준 2" xfId="13" xr:uid="{00000000-0005-0000-0000-000013000000}"/>
    <cellStyle name="표준 2 10" xfId="1382" xr:uid="{5D100EE5-9861-41FB-A73D-BBA1668EBFD7}"/>
    <cellStyle name="표준 2 11" xfId="1410" xr:uid="{36F3B8F5-7539-4486-88A3-9D3B1593BA2E}"/>
    <cellStyle name="표준 2 2" xfId="18" xr:uid="{00000000-0005-0000-0000-000014000000}"/>
    <cellStyle name="표준 2 2 2" xfId="1353" xr:uid="{8818B75C-43C3-49C6-8C76-861694EA5765}"/>
    <cellStyle name="표준 2 2 2 2" xfId="12" xr:uid="{00000000-0005-0000-0000-000015000000}"/>
    <cellStyle name="표준 2 2 2 3" xfId="3108" xr:uid="{16FC41E2-62E4-4412-8AB2-D026A13B8993}"/>
    <cellStyle name="표준 2 2 3" xfId="1352" xr:uid="{78857D83-504F-421D-9E2F-9C97124DBF8C}"/>
    <cellStyle name="표준 2 2 3 2" xfId="3107" xr:uid="{AC80A2A7-6234-4E81-A055-79687136D3F2}"/>
    <cellStyle name="표준 2 2 4" xfId="1768" xr:uid="{8DAAF9DD-C633-4F3B-A638-A2ECC5AF3B41}"/>
    <cellStyle name="표준 2 3" xfId="1354" xr:uid="{255C394D-DD03-4AF1-8DDB-DCA324768CE4}"/>
    <cellStyle name="표준 2 3 2" xfId="1767" xr:uid="{2EA11DDE-2C6C-4488-8271-9F3D462B6A21}"/>
    <cellStyle name="표준 2 4" xfId="1355" xr:uid="{D825C2F6-0697-49F9-BF9D-B9FE9479C04B}"/>
    <cellStyle name="표준 2 4 2" xfId="3109" xr:uid="{5FCFC503-08BF-496E-8E5E-1EA6EE75D543}"/>
    <cellStyle name="표준 2 5" xfId="1356" xr:uid="{CC7104C6-534D-42CE-9BCD-3382AA723723}"/>
    <cellStyle name="표준 2 5 2" xfId="3110" xr:uid="{63EB53AC-6AF4-4161-B404-6376EB9A9FD4}"/>
    <cellStyle name="표준 2 6" xfId="1357" xr:uid="{936DAB3D-F720-4B59-A57F-DEF03B65D332}"/>
    <cellStyle name="표준 2 6 2" xfId="3111" xr:uid="{1BDA4A59-CAB0-4A95-BE59-E7442354C567}"/>
    <cellStyle name="표준 2 7" xfId="1358" xr:uid="{A1A0AD2F-299C-45C2-9C83-D89856E7460E}"/>
    <cellStyle name="표준 2 7 2" xfId="3112" xr:uid="{28ECD067-D420-4FFF-B893-4B4A55BF6B28}"/>
    <cellStyle name="표준 2 8" xfId="1359" xr:uid="{8F765559-6690-4CB2-ABF2-0AD01E2D41BC}"/>
    <cellStyle name="표준 2 8 2" xfId="3113" xr:uid="{A84B6D0F-5304-4154-9C4C-16B0938C1D50}"/>
    <cellStyle name="표준 2 9" xfId="1360" xr:uid="{1D75E9AC-E18A-48C5-832D-8AAF9094C930}"/>
    <cellStyle name="표준 2 9 2" xfId="3114" xr:uid="{713AA1BD-B767-4709-B786-AA99E7AB0077}"/>
    <cellStyle name="표준 20" xfId="1361" xr:uid="{FB709F3E-BB6B-420A-AFA5-C03B1E8E2661}"/>
    <cellStyle name="표준 20 2" xfId="3115" xr:uid="{42B3360B-3BB0-4A04-8575-9CDBC90F1581}"/>
    <cellStyle name="표준 21" xfId="1362" xr:uid="{06ABB548-2C2C-43E1-B981-49D4CCEC02F2}"/>
    <cellStyle name="표준 21 2" xfId="3116" xr:uid="{A662D487-91CA-4293-9E77-F76DB3910756}"/>
    <cellStyle name="표준 22" xfId="1363" xr:uid="{6AD02CEA-3584-41B9-AA96-9129AB8C8871}"/>
    <cellStyle name="표준 22 2" xfId="3117" xr:uid="{0FEE35A3-F993-423A-8D8D-7F496F03B985}"/>
    <cellStyle name="표준 23" xfId="1364" xr:uid="{3FE9B418-78EA-402B-9E26-0262012AF93B}"/>
    <cellStyle name="표준 23 2" xfId="3118" xr:uid="{0C417F8B-C5CB-40CC-A6BC-B6C404CB47FE}"/>
    <cellStyle name="표준 24" xfId="1365" xr:uid="{B3FCE1C7-32F1-4907-B1D5-F3449DC1E93D}"/>
    <cellStyle name="표준 24 2" xfId="3119" xr:uid="{104F2261-69AC-4843-A7E9-5116ED0DC960}"/>
    <cellStyle name="표준 25" xfId="1366" xr:uid="{F2968820-47E3-4906-B3D4-8E16CCF99C25}"/>
    <cellStyle name="표준 25 2" xfId="3120" xr:uid="{FF77D6E6-FAA0-4533-B090-EEF343A26AE3}"/>
    <cellStyle name="표준 26" xfId="1367" xr:uid="{A4C57EFD-E6FB-4DFF-8145-821107763C00}"/>
    <cellStyle name="표준 26 2" xfId="3121" xr:uid="{0DB33B16-36D6-430A-8B4A-917A8C08492B}"/>
    <cellStyle name="표준 27" xfId="1368" xr:uid="{5ED4078D-FA21-4C91-9551-A6A6A34263C5}"/>
    <cellStyle name="표준 27 2" xfId="3122" xr:uid="{E97EDE64-1F6A-41CB-97C6-1C67106B787C}"/>
    <cellStyle name="표준 3" xfId="1369" xr:uid="{BC6B9200-DA45-4636-90B1-74037BEF79DE}"/>
    <cellStyle name="표준 3 2" xfId="1370" xr:uid="{FCBB6371-FD90-4239-BA2B-7CDBB21B3F37}"/>
    <cellStyle name="표준 3 2 2" xfId="3123" xr:uid="{46D85A96-7BD9-4E96-86E3-880E099156ED}"/>
    <cellStyle name="표준 3 2 3" xfId="1817" xr:uid="{4334D3E0-B1BB-4311-A27A-0B849A0DBA96}"/>
    <cellStyle name="표준 3 3" xfId="1819" xr:uid="{4BCC8D0A-3FEF-4AC7-9D29-91CA139BC2C5}"/>
    <cellStyle name="표준 3 4" xfId="1769" xr:uid="{F02E04FF-9FA6-4A78-AE55-BD2AD22AF9E9}"/>
    <cellStyle name="표준 4" xfId="1371" xr:uid="{37EC463A-5757-4A01-A973-1B4F3DF23811}"/>
    <cellStyle name="표준 4 2" xfId="1372" xr:uid="{23FF148D-5803-4ACC-B917-FECC8A924A5C}"/>
    <cellStyle name="표준 4 2 2" xfId="3125" xr:uid="{04CE132E-6AB7-4E09-ACF1-650043230CA2}"/>
    <cellStyle name="표준 4 3" xfId="3124" xr:uid="{EEDF0566-0E4D-498D-A7E4-F9D4ACD79B22}"/>
    <cellStyle name="표준 4 4" xfId="1770" xr:uid="{BCC45652-416B-4CC8-BFB3-A4A393A80613}"/>
    <cellStyle name="표준 5" xfId="1373" xr:uid="{9FA59D31-3D04-4098-87A9-A2A61F85F0F6}"/>
    <cellStyle name="표준 5 2" xfId="1374" xr:uid="{A7A06FBE-8915-45FE-BFE9-64808EB8A398}"/>
    <cellStyle name="표준 5 2 2" xfId="3126" xr:uid="{ECFAEF3B-765C-4504-BC66-D8F52FBDED2E}"/>
    <cellStyle name="표준 5 2 3" xfId="1820" xr:uid="{744F1CD4-B61D-457A-AA35-71DAAD722CD9}"/>
    <cellStyle name="표준 5 3" xfId="1375" xr:uid="{FC385552-D8AA-4494-959A-9873704A4EB7}"/>
    <cellStyle name="표준 5 4" xfId="1771" xr:uid="{4DD2E004-BB85-4153-923A-D7EA9E7E667A}"/>
    <cellStyle name="표준 6" xfId="1376" xr:uid="{3715B85E-944D-4ED6-9F45-32913F9FFC53}"/>
    <cellStyle name="표준 6 2" xfId="3127" xr:uid="{B2B395F8-1C06-455C-B2FC-5FE207F6E5FE}"/>
    <cellStyle name="표준 6 3" xfId="1772" xr:uid="{7174B6CA-8017-4C53-830A-782305521F1C}"/>
    <cellStyle name="표준 7" xfId="1377" xr:uid="{DF45292D-0687-4B58-87BD-1D635A2634F0}"/>
    <cellStyle name="표준 7 2" xfId="3128" xr:uid="{769773EC-12F3-450C-8BC4-CFEECCD9D9C5}"/>
    <cellStyle name="표준 7 3" xfId="1773" xr:uid="{99463DD1-7632-4A47-8B1E-AFB08DFE8EAD}"/>
    <cellStyle name="표준 8" xfId="1386" xr:uid="{E7E1B602-09A3-4F8E-95F9-5E274B26900E}"/>
    <cellStyle name="표준 8 2" xfId="1378" xr:uid="{00A6FC54-47B7-4567-84DC-71BAB9BAC65B}"/>
    <cellStyle name="표준 8 2 2" xfId="3129" xr:uid="{9B2AA536-4804-4941-8046-E96225E6840F}"/>
    <cellStyle name="표준 8 3" xfId="1800" xr:uid="{189DE95F-7388-4FAE-AFEE-ED39CCB1899D}"/>
    <cellStyle name="표준 9" xfId="1391" xr:uid="{4FD6CEE2-2C5D-45E0-8072-FB929170A72B}"/>
    <cellStyle name="표준 9 2" xfId="1379" xr:uid="{D2120066-E934-46A5-A755-12BD89E265E2}"/>
    <cellStyle name="표준 9 2 2" xfId="3130" xr:uid="{3E80B8B3-BE58-4F26-9179-8D7E2FE16B5D}"/>
    <cellStyle name="標準_~1442333" xfId="1774" xr:uid="{3DDC33BA-C733-4370-9D9D-A745D155C13C}"/>
    <cellStyle name="하이퍼링크" xfId="7" builtinId="8"/>
    <cellStyle name="하이퍼링크 2" xfId="1381" xr:uid="{BF03E026-AFEA-49BE-8E8B-5F94B1D2E782}"/>
    <cellStyle name="하이퍼링크 2 2" xfId="1830" xr:uid="{BD69C2D3-A0C7-4B71-A3FE-9EF2BBB15956}"/>
    <cellStyle name="하이퍼링크 2 3" xfId="3131" xr:uid="{882715CA-4552-4D87-9D2D-9E00F410775C}"/>
    <cellStyle name="하이퍼링크 2 4" xfId="1775" xr:uid="{19B21DBC-6F48-4C2C-A316-9A511F8106B7}"/>
    <cellStyle name="하이퍼링크 3" xfId="1380" xr:uid="{8FC4037B-307B-49DA-9C3A-936D72FBCDFC}"/>
    <cellStyle name="합산" xfId="1776" xr:uid="{EC45C60C-F118-465E-80DD-61133F32B497}"/>
    <cellStyle name="桁区切り [0.00]_PERSONAL" xfId="1777" xr:uid="{9ADE490E-7C6A-49FB-9273-31F2551CDDCF}"/>
    <cellStyle name="桁区切り_PERSONAL" xfId="1778" xr:uid="{197F5846-45A4-4D4F-87F1-BAF4661BDE22}"/>
    <cellStyle name="화폐기호" xfId="1779" xr:uid="{2CC1CE80-80EA-4004-BD95-68AC93A374BC}"/>
    <cellStyle name="화폐기호0" xfId="1780" xr:uid="{409CA196-3E93-44BF-91EB-172A60FC6A3B}"/>
  </cellStyles>
  <dxfs count="0"/>
  <tableStyles count="0" defaultTableStyle="TableStyleMedium2" defaultPivotStyle="PivotStyleLight16"/>
  <colors>
    <mruColors>
      <color rgb="FFFFCC00"/>
      <color rgb="FF0000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Z985"/>
  <sheetViews>
    <sheetView zoomScale="95" zoomScaleNormal="95" workbookViewId="0">
      <pane ySplit="1" topLeftCell="A595" activePane="bottomLeft" state="frozen"/>
      <selection activeCell="J36" sqref="J36"/>
      <selection pane="bottomLeft" activeCell="H664" sqref="H664"/>
    </sheetView>
  </sheetViews>
  <sheetFormatPr defaultRowHeight="12"/>
  <cols>
    <col min="1" max="1" width="1.28515625" customWidth="1"/>
    <col min="2" max="2" width="11" customWidth="1"/>
    <col min="3" max="3" width="9.140625" customWidth="1"/>
    <col min="4" max="4" width="11.28515625" customWidth="1"/>
    <col min="5" max="5" width="18.5703125" customWidth="1"/>
    <col min="6" max="6" width="16.140625" customWidth="1"/>
    <col min="7" max="7" width="8.5703125" customWidth="1"/>
    <col min="8" max="8" width="12.42578125" customWidth="1"/>
    <col min="9" max="9" width="43.7109375" customWidth="1"/>
    <col min="10" max="10" width="4.5703125" customWidth="1"/>
    <col min="11" max="11" width="12.28515625" customWidth="1"/>
    <col min="12" max="12" width="15.5703125" customWidth="1"/>
    <col min="13" max="13" width="12.28515625" customWidth="1"/>
    <col min="14" max="14" width="15.5703125" bestFit="1" customWidth="1"/>
    <col min="15" max="15" width="15.5703125" customWidth="1"/>
    <col min="16" max="16" width="34.28515625" customWidth="1"/>
    <col min="17" max="17" width="12.42578125" customWidth="1"/>
    <col min="18" max="18" width="11.7109375" customWidth="1"/>
    <col min="19" max="19" width="7.85546875" customWidth="1"/>
  </cols>
  <sheetData>
    <row r="1" spans="1:20" ht="24">
      <c r="B1" s="141" t="s">
        <v>26</v>
      </c>
      <c r="C1" s="142" t="s">
        <v>27</v>
      </c>
      <c r="D1" s="146"/>
      <c r="E1" s="147" t="s">
        <v>18</v>
      </c>
      <c r="F1" s="144" t="s">
        <v>13</v>
      </c>
      <c r="G1" s="144" t="s">
        <v>0</v>
      </c>
      <c r="H1" s="144" t="s">
        <v>24</v>
      </c>
      <c r="I1" s="145" t="s">
        <v>19</v>
      </c>
      <c r="J1" s="140" t="s">
        <v>11</v>
      </c>
      <c r="K1" s="9" t="s">
        <v>411</v>
      </c>
      <c r="L1" s="19" t="s">
        <v>412</v>
      </c>
      <c r="M1" s="19" t="s">
        <v>413</v>
      </c>
      <c r="N1" s="19" t="s">
        <v>414</v>
      </c>
      <c r="O1" s="129" t="s">
        <v>77</v>
      </c>
      <c r="P1" s="129" t="s">
        <v>28</v>
      </c>
      <c r="Q1" s="129" t="s">
        <v>22</v>
      </c>
      <c r="R1" s="148" t="s">
        <v>8</v>
      </c>
      <c r="S1" s="130" t="s">
        <v>31</v>
      </c>
      <c r="T1" s="131" t="s">
        <v>12</v>
      </c>
    </row>
    <row r="2" spans="1:20">
      <c r="A2" t="s">
        <v>30</v>
      </c>
      <c r="B2" s="151" t="str">
        <f>'1월'!B3</f>
        <v>S</v>
      </c>
      <c r="C2" s="153"/>
      <c r="D2" s="10">
        <f>'1월'!D3</f>
        <v>45658</v>
      </c>
      <c r="E2" s="1" t="str">
        <f>'1월'!E3</f>
        <v>홈닥터</v>
      </c>
      <c r="F2" s="2" t="str">
        <f>'1월'!F3</f>
        <v>광명자이 1811호</v>
      </c>
      <c r="G2" s="161" t="str">
        <f>'1월'!G3</f>
        <v>건물임대</v>
      </c>
      <c r="H2" s="161" t="str">
        <f>'1월'!H3</f>
        <v>임대료</v>
      </c>
      <c r="I2" s="163" t="str">
        <f>'1월'!I3</f>
        <v>12월(12.5~25.1.4) 임대료 - 11/24회</v>
      </c>
      <c r="J2" s="210">
        <f>'1월'!J3</f>
        <v>1</v>
      </c>
      <c r="K2" s="27">
        <f>'1월'!K3</f>
        <v>550000</v>
      </c>
      <c r="L2" s="26">
        <f>'1월'!L3</f>
        <v>550000</v>
      </c>
      <c r="M2" s="27">
        <f>'1월'!M3</f>
        <v>55000</v>
      </c>
      <c r="N2" s="27">
        <f>'1월'!N3</f>
        <v>605000</v>
      </c>
      <c r="O2" s="52">
        <f>'1월'!O3</f>
        <v>0</v>
      </c>
      <c r="P2" s="171" t="str">
        <f>'1월'!P3</f>
        <v>X</v>
      </c>
      <c r="Q2" s="181">
        <f>'1월'!Q3</f>
        <v>550000</v>
      </c>
      <c r="R2" s="202" t="str">
        <f>'1월'!R3</f>
        <v>완료(1/2)</v>
      </c>
      <c r="S2" s="8" t="str">
        <f>'1월'!S3</f>
        <v>정지우</v>
      </c>
      <c r="T2" s="11"/>
    </row>
    <row r="3" spans="1:20" ht="12" customHeight="1">
      <c r="A3" t="s">
        <v>30</v>
      </c>
      <c r="B3" s="151" t="str">
        <f>'1월'!B4</f>
        <v>IK-22025</v>
      </c>
      <c r="C3" s="153"/>
      <c r="D3" s="10">
        <f>'1월'!D4</f>
        <v>45658</v>
      </c>
      <c r="E3" s="1" t="str">
        <f>'1월'!E4</f>
        <v>디에스피</v>
      </c>
      <c r="F3" s="161" t="str">
        <f>'1월'!F4</f>
        <v>엘지생활건강</v>
      </c>
      <c r="G3" s="1" t="str">
        <f>'1월'!G4</f>
        <v>MA</v>
      </c>
      <c r="H3" s="161" t="str">
        <f>'1월'!H4</f>
        <v>월간-IBM</v>
      </c>
      <c r="I3" s="162" t="str">
        <f>'1월'!I4</f>
        <v>1월 유지정비료 - 12/12회</v>
      </c>
      <c r="J3" s="74">
        <f>'1월'!J4</f>
        <v>1</v>
      </c>
      <c r="K3" s="27">
        <f>'1월'!K4</f>
        <v>635000</v>
      </c>
      <c r="L3" s="26">
        <f>'1월'!L4</f>
        <v>635000</v>
      </c>
      <c r="M3" s="27">
        <f>'1월'!M4</f>
        <v>63500</v>
      </c>
      <c r="N3" s="27">
        <f>'1월'!N4</f>
        <v>698500</v>
      </c>
      <c r="O3" s="52">
        <f>'1월'!O4</f>
        <v>532212</v>
      </c>
      <c r="P3" s="170" t="str">
        <f>'1월'!P4</f>
        <v>IBM(1/2)</v>
      </c>
      <c r="Q3" s="181">
        <f>'1월'!Q4</f>
        <v>102788</v>
      </c>
      <c r="R3" s="2" t="str">
        <f>'1월'!R4</f>
        <v>완료(1/31)</v>
      </c>
      <c r="S3" s="8" t="str">
        <f>'1월'!S4</f>
        <v>천범석</v>
      </c>
      <c r="T3" s="11"/>
    </row>
    <row r="4" spans="1:20">
      <c r="A4" t="s">
        <v>30</v>
      </c>
      <c r="B4" s="151" t="str">
        <f>'1월'!B5</f>
        <v>SM-23015</v>
      </c>
      <c r="C4" s="152"/>
      <c r="D4" s="10">
        <f>'1월'!D5</f>
        <v>45658</v>
      </c>
      <c r="E4" s="1" t="str">
        <f>'1월'!E5</f>
        <v>동원프라스틱</v>
      </c>
      <c r="F4" s="1" t="str">
        <f>'1월'!F5</f>
        <v>동원프라스틱</v>
      </c>
      <c r="G4" s="161" t="str">
        <f>'1월'!G5</f>
        <v>MA</v>
      </c>
      <c r="H4" s="161" t="str">
        <f>'1월'!H5</f>
        <v>월간</v>
      </c>
      <c r="I4" s="163" t="str">
        <f>'1월'!I5</f>
        <v>1월 유지정비료 - 10/13회</v>
      </c>
      <c r="J4" s="71">
        <f>'1월'!J5</f>
        <v>1</v>
      </c>
      <c r="K4" s="26">
        <f>'1월'!K5</f>
        <v>1200000</v>
      </c>
      <c r="L4" s="26">
        <f>'1월'!L5</f>
        <v>1200000</v>
      </c>
      <c r="M4" s="27">
        <f>'1월'!M5</f>
        <v>120000</v>
      </c>
      <c r="N4" s="27">
        <f>'1월'!N5</f>
        <v>1320000</v>
      </c>
      <c r="O4" s="52">
        <f>'1월'!O5</f>
        <v>800000</v>
      </c>
      <c r="P4" s="171" t="str">
        <f>'1월'!P5</f>
        <v>시스나인(25/3/4) 4,800,000 1/6회</v>
      </c>
      <c r="Q4" s="181">
        <f>'1월'!Q5</f>
        <v>400000</v>
      </c>
      <c r="R4" s="68" t="str">
        <f>'1월'!R5</f>
        <v>완료(25/1/31)</v>
      </c>
      <c r="S4" s="5" t="str">
        <f>'1월'!S5</f>
        <v>이예지</v>
      </c>
      <c r="T4" s="6"/>
    </row>
    <row r="5" spans="1:20">
      <c r="A5" t="s">
        <v>30</v>
      </c>
      <c r="B5" s="151" t="str">
        <f>'1월'!B6</f>
        <v>IK-23016</v>
      </c>
      <c r="C5" s="153"/>
      <c r="D5" s="10">
        <f>'1월'!D6</f>
        <v>45658</v>
      </c>
      <c r="E5" s="1" t="str">
        <f>'1월'!E6</f>
        <v>케이정보기술</v>
      </c>
      <c r="F5" s="2" t="str">
        <f>'1월'!F6</f>
        <v>청주시청</v>
      </c>
      <c r="G5" s="1" t="str">
        <f>'1월'!G6</f>
        <v>MA</v>
      </c>
      <c r="H5" s="161" t="str">
        <f>'1월'!H6</f>
        <v>월간-IBM</v>
      </c>
      <c r="I5" s="164" t="str">
        <f>'1월'!I6</f>
        <v>1월 유지정비료 - 17/36회</v>
      </c>
      <c r="J5" s="210">
        <f>'1월'!J6</f>
        <v>1</v>
      </c>
      <c r="K5" s="27">
        <f>'1월'!K6</f>
        <v>1300000</v>
      </c>
      <c r="L5" s="26">
        <f>'1월'!L6</f>
        <v>1300000</v>
      </c>
      <c r="M5" s="27">
        <f>'1월'!M6</f>
        <v>130000</v>
      </c>
      <c r="N5" s="27">
        <f>'1월'!N6</f>
        <v>1430000</v>
      </c>
      <c r="O5" s="52">
        <f>'1월'!O6</f>
        <v>1132346</v>
      </c>
      <c r="P5" s="170" t="str">
        <f>'1월'!P6</f>
        <v>IBM(1/2) IBM(1/31) 8,384</v>
      </c>
      <c r="Q5" s="181">
        <f>'1월'!Q6</f>
        <v>167654</v>
      </c>
      <c r="R5" s="2" t="str">
        <f>'1월'!R6</f>
        <v>완료(2/28)</v>
      </c>
      <c r="S5" s="8" t="str">
        <f>'1월'!S6</f>
        <v>천범석</v>
      </c>
      <c r="T5" s="11"/>
    </row>
    <row r="6" spans="1:20" ht="12" customHeight="1">
      <c r="A6" t="s">
        <v>30</v>
      </c>
      <c r="B6" s="151" t="str">
        <f>'1월'!B7</f>
        <v>SM-24011</v>
      </c>
      <c r="C6" s="153"/>
      <c r="D6" s="10">
        <f>'1월'!D7</f>
        <v>45658</v>
      </c>
      <c r="E6" s="1" t="str">
        <f>'1월'!E7</f>
        <v>가나병원</v>
      </c>
      <c r="F6" s="161"/>
      <c r="G6" s="1" t="str">
        <f>'1월'!G7</f>
        <v>MA</v>
      </c>
      <c r="H6" s="161" t="str">
        <f>'1월'!H7</f>
        <v>월간</v>
      </c>
      <c r="I6" s="3" t="str">
        <f>'1월'!I7</f>
        <v>1월 유지정비료 - 9/12회</v>
      </c>
      <c r="J6" s="74">
        <f>'1월'!J7</f>
        <v>1</v>
      </c>
      <c r="K6" s="27">
        <f>'1월'!K7</f>
        <v>300000</v>
      </c>
      <c r="L6" s="26">
        <f>'1월'!L7</f>
        <v>300000</v>
      </c>
      <c r="M6" s="27">
        <f>'1월'!M7</f>
        <v>30000</v>
      </c>
      <c r="N6" s="27">
        <f>'1월'!N7</f>
        <v>330000</v>
      </c>
      <c r="O6" s="52">
        <f>'1월'!O7</f>
        <v>0</v>
      </c>
      <c r="P6" s="171" t="str">
        <f>'1월'!P7</f>
        <v>SM</v>
      </c>
      <c r="Q6" s="181">
        <f>'1월'!Q7</f>
        <v>300000</v>
      </c>
      <c r="R6" s="202" t="str">
        <f>'1월'!R7</f>
        <v>완료(1/9)</v>
      </c>
      <c r="S6" s="8" t="str">
        <f>'1월'!S7</f>
        <v>천범석</v>
      </c>
      <c r="T6" s="11"/>
    </row>
    <row r="7" spans="1:20" ht="24">
      <c r="A7" t="s">
        <v>30</v>
      </c>
      <c r="B7" s="151" t="str">
        <f>'1월'!B8</f>
        <v>LI-24004</v>
      </c>
      <c r="C7" s="153"/>
      <c r="D7" s="10">
        <f>'1월'!D8</f>
        <v>45658</v>
      </c>
      <c r="E7" s="1" t="str">
        <f>'1월'!E8</f>
        <v>한국메탈</v>
      </c>
      <c r="F7" s="2"/>
      <c r="G7" s="1" t="str">
        <f>'1월'!G8</f>
        <v>MA</v>
      </c>
      <c r="H7" s="1" t="str">
        <f>'1월'!H8</f>
        <v>월간-IBM</v>
      </c>
      <c r="I7" s="4" t="str">
        <f>'1월'!I8</f>
        <v>1월 유지정비료 - 9/36회</v>
      </c>
      <c r="J7" s="210">
        <f>'1월'!J8</f>
        <v>1</v>
      </c>
      <c r="K7" s="27">
        <f>'1월'!K8</f>
        <v>507500</v>
      </c>
      <c r="L7" s="26">
        <f>'1월'!L8</f>
        <v>507500</v>
      </c>
      <c r="M7" s="27">
        <f>'1월'!M8</f>
        <v>50750</v>
      </c>
      <c r="N7" s="27">
        <f>'1월'!N8</f>
        <v>558250</v>
      </c>
      <c r="O7" s="52">
        <f>'1월'!O8</f>
        <v>416682</v>
      </c>
      <c r="P7" s="170" t="str">
        <f>'1월'!P8</f>
        <v>IBM(1/2) 316,682
시스나인(1/2) 연간 1,200,000(1/12회)</v>
      </c>
      <c r="Q7" s="181">
        <f>'1월'!Q8</f>
        <v>90818</v>
      </c>
      <c r="R7" s="202" t="str">
        <f>'1월'!R8</f>
        <v>완료(1/24)</v>
      </c>
      <c r="S7" s="8" t="str">
        <f>'1월'!S8</f>
        <v>천범석</v>
      </c>
      <c r="T7" s="11"/>
    </row>
    <row r="8" spans="1:20" ht="48">
      <c r="A8" t="s">
        <v>30</v>
      </c>
      <c r="B8" s="151" t="str">
        <f>'1월'!B9</f>
        <v>LI-24005</v>
      </c>
      <c r="C8" s="152" t="str">
        <f>'1월'!C9</f>
        <v>Z4ACEZ</v>
      </c>
      <c r="D8" s="10">
        <f>'1월'!D9</f>
        <v>45658</v>
      </c>
      <c r="E8" s="157" t="str">
        <f>'1월'!E9</f>
        <v>해종합건축사사무소</v>
      </c>
      <c r="F8" s="157"/>
      <c r="G8" s="1" t="str">
        <f>'1월'!G9</f>
        <v>MA</v>
      </c>
      <c r="H8" s="1" t="str">
        <f>'1월'!H9</f>
        <v>월간-IBM</v>
      </c>
      <c r="I8" s="3" t="str">
        <f>'1월'!I9</f>
        <v>1월 유지정비료 - 8/12회</v>
      </c>
      <c r="J8" s="211">
        <f>'1월'!J9</f>
        <v>1</v>
      </c>
      <c r="K8" s="26">
        <f>'1월'!K9</f>
        <v>1554500</v>
      </c>
      <c r="L8" s="26">
        <f>'1월'!L9</f>
        <v>1554500</v>
      </c>
      <c r="M8" s="27">
        <f>'1월'!M9</f>
        <v>155450</v>
      </c>
      <c r="N8" s="27">
        <f>'1월'!N9</f>
        <v>1709950</v>
      </c>
      <c r="O8" s="52">
        <f>'1월'!O9</f>
        <v>1308000</v>
      </c>
      <c r="P8" s="171" t="str">
        <f>'1월'!P9</f>
        <v>레노버(1/31) 171,600
IBM(1/1) 436,400
에스엔에이(1/15) 200,000
시스나인(25/3/4) 연간 6,000,000 8/12회</v>
      </c>
      <c r="Q8" s="181">
        <f>'1월'!Q9</f>
        <v>246500</v>
      </c>
      <c r="R8" s="68" t="str">
        <f>'1월'!R9</f>
        <v>완료(25/1/24)</v>
      </c>
      <c r="S8" s="5" t="str">
        <f>'1월'!S9</f>
        <v>천범석</v>
      </c>
      <c r="T8" s="6"/>
    </row>
    <row r="9" spans="1:20">
      <c r="A9" t="s">
        <v>30</v>
      </c>
      <c r="B9" s="151" t="str">
        <f>'1월'!B10</f>
        <v>SB-24039</v>
      </c>
      <c r="C9" s="152" t="str">
        <f>'1월'!C10</f>
        <v>ZZGBBZ</v>
      </c>
      <c r="D9" s="10">
        <f>'1월'!D10</f>
        <v>45658</v>
      </c>
      <c r="E9" s="1" t="str">
        <f>'1월'!E10</f>
        <v>한국디지털방송</v>
      </c>
      <c r="F9" s="1"/>
      <c r="G9" s="1" t="str">
        <f>'1월'!G10</f>
        <v>MA</v>
      </c>
      <c r="H9" s="161" t="str">
        <f>'1월'!H10</f>
        <v>월간-레노버</v>
      </c>
      <c r="I9" s="164" t="str">
        <f>'1월'!I10</f>
        <v>1월 유지정비료 - 7/12회</v>
      </c>
      <c r="J9" s="69">
        <f>'1월'!J10</f>
        <v>1</v>
      </c>
      <c r="K9" s="29">
        <f>'1월'!K10</f>
        <v>1423000</v>
      </c>
      <c r="L9" s="26">
        <f>'1월'!L10</f>
        <v>1423000</v>
      </c>
      <c r="M9" s="27">
        <f>'1월'!M10</f>
        <v>142300</v>
      </c>
      <c r="N9" s="27">
        <f>'1월'!N10</f>
        <v>1565300</v>
      </c>
      <c r="O9" s="52">
        <f>'1월'!O10</f>
        <v>1120200</v>
      </c>
      <c r="P9" s="171" t="str">
        <f>'1월'!P10</f>
        <v>레노버(1/31)</v>
      </c>
      <c r="Q9" s="181">
        <f>'1월'!Q10</f>
        <v>302800</v>
      </c>
      <c r="R9" s="68" t="str">
        <f>'1월'!R10</f>
        <v>완료(1/24)</v>
      </c>
      <c r="S9" s="5" t="str">
        <f>'1월'!S10</f>
        <v>천범석</v>
      </c>
      <c r="T9" s="6"/>
    </row>
    <row r="10" spans="1:20" ht="24">
      <c r="A10" t="s">
        <v>30</v>
      </c>
      <c r="B10" s="151" t="str">
        <f>'1월'!B11</f>
        <v>IK-24008</v>
      </c>
      <c r="C10" s="153"/>
      <c r="D10" s="10">
        <f>'1월'!D11</f>
        <v>45658</v>
      </c>
      <c r="E10" s="1" t="str">
        <f>'1월'!E11</f>
        <v>서비스링크</v>
      </c>
      <c r="F10" s="2" t="str">
        <f>'1월'!F11</f>
        <v>세원정공(폴라리스세원)</v>
      </c>
      <c r="G10" s="1" t="str">
        <f>'1월'!G11</f>
        <v>MA</v>
      </c>
      <c r="H10" s="161" t="str">
        <f>'1월'!H11</f>
        <v>월간-레노버</v>
      </c>
      <c r="I10" s="164" t="str">
        <f>'1월'!I11</f>
        <v>1월 유지정비료 - 7/12회</v>
      </c>
      <c r="J10" s="210">
        <f>'1월'!J11</f>
        <v>1</v>
      </c>
      <c r="K10" s="27">
        <f>'1월'!K11</f>
        <v>238000</v>
      </c>
      <c r="L10" s="26">
        <f>'1월'!L11</f>
        <v>238000</v>
      </c>
      <c r="M10" s="27">
        <f>'1월'!M11</f>
        <v>23800</v>
      </c>
      <c r="N10" s="27">
        <f>'1월'!N11</f>
        <v>261800</v>
      </c>
      <c r="O10" s="52">
        <f>'1월'!O11</f>
        <v>198018</v>
      </c>
      <c r="P10" s="197" t="str">
        <f>'1월'!P11</f>
        <v>IBM(1/2)</v>
      </c>
      <c r="Q10" s="181">
        <f>'1월'!Q11</f>
        <v>39982</v>
      </c>
      <c r="R10" s="68" t="str">
        <f>'1월'!R11</f>
        <v>완료(1/31)</v>
      </c>
      <c r="S10" s="5" t="str">
        <f>'1월'!S11</f>
        <v>천범석</v>
      </c>
      <c r="T10" s="11"/>
    </row>
    <row r="11" spans="1:20">
      <c r="A11" t="s">
        <v>30</v>
      </c>
      <c r="B11" s="151" t="str">
        <f>'1월'!B12</f>
        <v>IK-24013</v>
      </c>
      <c r="C11" s="153"/>
      <c r="D11" s="10">
        <f>'1월'!D12</f>
        <v>45658</v>
      </c>
      <c r="E11" s="1" t="str">
        <f>'1월'!E12</f>
        <v>레드텍</v>
      </c>
      <c r="F11" s="2" t="str">
        <f>'1월'!F12</f>
        <v>대한상공회의소</v>
      </c>
      <c r="G11" s="161" t="str">
        <f>'1월'!G12</f>
        <v>MA</v>
      </c>
      <c r="H11" s="161" t="str">
        <f>'1월'!H12</f>
        <v>월간-IBM</v>
      </c>
      <c r="I11" s="4" t="str">
        <f>'1월'!I12</f>
        <v>1월 유지정비료 - 3/12회</v>
      </c>
      <c r="J11" s="23">
        <f>'1월'!J12</f>
        <v>1</v>
      </c>
      <c r="K11" s="27">
        <f>'1월'!K12</f>
        <v>158400</v>
      </c>
      <c r="L11" s="26">
        <f>'1월'!L12</f>
        <v>158400</v>
      </c>
      <c r="M11" s="27">
        <f>'1월'!M12</f>
        <v>15840</v>
      </c>
      <c r="N11" s="27">
        <f>'1월'!N12</f>
        <v>174240</v>
      </c>
      <c r="O11" s="33">
        <f>'1월'!O12</f>
        <v>94111</v>
      </c>
      <c r="P11" s="197" t="str">
        <f>'1월'!P12</f>
        <v>IBM(1/2)</v>
      </c>
      <c r="Q11" s="20">
        <f>'1월'!Q12</f>
        <v>64289</v>
      </c>
      <c r="R11" s="68" t="str">
        <f>'1월'!R12</f>
        <v>완료(1/16)</v>
      </c>
      <c r="S11" s="8" t="str">
        <f>'1월'!S12</f>
        <v>천범석</v>
      </c>
      <c r="T11" s="11"/>
    </row>
    <row r="12" spans="1:20" ht="24">
      <c r="A12" t="s">
        <v>30</v>
      </c>
      <c r="B12" s="151" t="str">
        <f>'1월'!B13</f>
        <v>SM-23012</v>
      </c>
      <c r="C12" s="152"/>
      <c r="D12" s="10">
        <f>'1월'!D13</f>
        <v>45658</v>
      </c>
      <c r="E12" s="1" t="str">
        <f>'1월'!E13</f>
        <v>택스홈앤아웃</v>
      </c>
      <c r="F12" s="161" t="str">
        <f>'1월'!F13</f>
        <v>본사</v>
      </c>
      <c r="G12" s="161" t="str">
        <f>'1월'!G13</f>
        <v>MA</v>
      </c>
      <c r="H12" s="161" t="str">
        <f>'1월'!H13</f>
        <v>월간</v>
      </c>
      <c r="I12" s="163" t="str">
        <f>'1월'!I13</f>
        <v>VPN 서비스 1월임대료 - 1/12회 280,000
+ 보안스위치 1월 2대*120,000</v>
      </c>
      <c r="J12" s="71">
        <f>'1월'!J13</f>
        <v>1</v>
      </c>
      <c r="K12" s="26">
        <f>'1월'!K13</f>
        <v>520000</v>
      </c>
      <c r="L12" s="26">
        <f>'1월'!L13</f>
        <v>520000</v>
      </c>
      <c r="M12" s="27">
        <f>'1월'!M13</f>
        <v>52000</v>
      </c>
      <c r="N12" s="27">
        <f>'1월'!N13</f>
        <v>572000</v>
      </c>
      <c r="O12" s="52">
        <f>'1월'!O13</f>
        <v>368600</v>
      </c>
      <c r="P12" s="171" t="str">
        <f>'1월'!P13</f>
        <v>엘림넷(1/10) 213,400   (1/10) 155,200</v>
      </c>
      <c r="Q12" s="181">
        <f>'1월'!Q13</f>
        <v>151400</v>
      </c>
      <c r="R12" s="68" t="str">
        <f>'1월'!R13</f>
        <v>완료(25/1/31)</v>
      </c>
      <c r="S12" s="5" t="str">
        <f>'1월'!S13</f>
        <v>이예지</v>
      </c>
      <c r="T12" s="6"/>
    </row>
    <row r="13" spans="1:20" ht="36">
      <c r="A13" t="s">
        <v>30</v>
      </c>
      <c r="B13" s="151" t="str">
        <f>'1월'!B14</f>
        <v>SM-23013</v>
      </c>
      <c r="C13" s="152"/>
      <c r="D13" s="10">
        <f>'1월'!D14</f>
        <v>45658</v>
      </c>
      <c r="E13" s="1" t="str">
        <f>'1월'!E14</f>
        <v>하이엔드택스 강남지점</v>
      </c>
      <c r="F13" s="161" t="str">
        <f>'1월'!F14</f>
        <v>압구정</v>
      </c>
      <c r="G13" s="161" t="str">
        <f>'1월'!G14</f>
        <v>MA</v>
      </c>
      <c r="H13" s="161" t="str">
        <f>'1월'!H14</f>
        <v>월간</v>
      </c>
      <c r="I13" s="163" t="str">
        <f>'1월'!I14</f>
        <v>VPN 서비스/ 1월임대료 - 1/12회</v>
      </c>
      <c r="J13" s="71">
        <f>'1월'!J14</f>
        <v>1</v>
      </c>
      <c r="K13" s="26">
        <f>'1월'!K14</f>
        <v>320000</v>
      </c>
      <c r="L13" s="26">
        <f>'1월'!L14</f>
        <v>320000</v>
      </c>
      <c r="M13" s="27">
        <f>'1월'!M14</f>
        <v>32000</v>
      </c>
      <c r="N13" s="27">
        <f>'1월'!N14</f>
        <v>352000</v>
      </c>
      <c r="O13" s="52">
        <f>'1월'!O14</f>
        <v>223100</v>
      </c>
      <c r="P13" s="171" t="str">
        <f>'1월'!P14</f>
        <v>엘림넷(1/10) 145,500 (1/10) 77,600</v>
      </c>
      <c r="Q13" s="181">
        <f>'1월'!Q14</f>
        <v>96900</v>
      </c>
      <c r="R13" s="68" t="str">
        <f>'1월'!R14</f>
        <v>완료132,000(1/3)
220,000(2/3)</v>
      </c>
      <c r="S13" s="5" t="str">
        <f>'1월'!S14</f>
        <v>이예지</v>
      </c>
      <c r="T13" s="6"/>
    </row>
    <row r="14" spans="1:20">
      <c r="A14" t="s">
        <v>30</v>
      </c>
      <c r="B14" s="151" t="str">
        <f>'1월'!B15</f>
        <v>SM-23016</v>
      </c>
      <c r="C14" s="152"/>
      <c r="D14" s="10">
        <f>'1월'!D15</f>
        <v>45658</v>
      </c>
      <c r="E14" s="1" t="str">
        <f>'1월'!E15</f>
        <v>에실로코리아</v>
      </c>
      <c r="F14" s="1" t="str">
        <f>'1월'!F15</f>
        <v>에실로코리아</v>
      </c>
      <c r="G14" s="161" t="str">
        <f>'1월'!G15</f>
        <v>MA</v>
      </c>
      <c r="H14" s="161" t="str">
        <f>'1월'!H15</f>
        <v>월간</v>
      </c>
      <c r="I14" s="163" t="str">
        <f>'1월'!I15</f>
        <v>1월 유지정비료 - 1/12회</v>
      </c>
      <c r="J14" s="71">
        <f>'1월'!J15</f>
        <v>1</v>
      </c>
      <c r="K14" s="28">
        <f>'1월'!K15</f>
        <v>100000</v>
      </c>
      <c r="L14" s="26">
        <f>'1월'!L15</f>
        <v>100000</v>
      </c>
      <c r="M14" s="27">
        <f>'1월'!M15</f>
        <v>10000</v>
      </c>
      <c r="N14" s="27">
        <f>'1월'!N15</f>
        <v>110000</v>
      </c>
      <c r="O14" s="52">
        <f>'1월'!O15</f>
        <v>0</v>
      </c>
      <c r="P14" s="171" t="str">
        <f>'1월'!P15</f>
        <v>SM</v>
      </c>
      <c r="Q14" s="181">
        <f>'1월'!Q15</f>
        <v>100000</v>
      </c>
      <c r="R14" s="68" t="str">
        <f>'1월'!R15</f>
        <v>완료(2/14)</v>
      </c>
      <c r="S14" s="5" t="str">
        <f>'1월'!S15</f>
        <v>이예지</v>
      </c>
      <c r="T14" s="6"/>
    </row>
    <row r="15" spans="1:20">
      <c r="A15" t="s">
        <v>30</v>
      </c>
      <c r="B15" s="151" t="str">
        <f>'1월'!B16</f>
        <v>IK-22022</v>
      </c>
      <c r="C15" s="200"/>
      <c r="D15" s="10">
        <f>'1월'!D16</f>
        <v>45658</v>
      </c>
      <c r="E15" s="1" t="str">
        <f>'1월'!E16</f>
        <v>로인아이티</v>
      </c>
      <c r="F15" s="2" t="str">
        <f>'1월'!F16</f>
        <v>한일전기</v>
      </c>
      <c r="G15" s="1" t="str">
        <f>'1월'!G16</f>
        <v>MA</v>
      </c>
      <c r="H15" s="165" t="str">
        <f>'1월'!H16</f>
        <v>월간-IBM</v>
      </c>
      <c r="I15" s="166" t="str">
        <f>'1월'!I16</f>
        <v>분기(1~3월) 유지정비료 - 9/12회</v>
      </c>
      <c r="J15" s="179">
        <f>'1월'!J16</f>
        <v>1</v>
      </c>
      <c r="K15" s="180">
        <f>'1월'!K16</f>
        <v>1233000</v>
      </c>
      <c r="L15" s="50">
        <f>'1월'!L16</f>
        <v>1233000</v>
      </c>
      <c r="M15" s="51">
        <f>'1월'!M16</f>
        <v>123300</v>
      </c>
      <c r="N15" s="51">
        <f>'1월'!N16</f>
        <v>1356300</v>
      </c>
      <c r="O15" s="52">
        <f>'1월'!O16</f>
        <v>927141</v>
      </c>
      <c r="P15" s="171" t="str">
        <f>'1월'!P16</f>
        <v>IBM (1/1)309,047 (2/3)(3/1)</v>
      </c>
      <c r="Q15" s="182">
        <f>'1월'!Q16</f>
        <v>305859</v>
      </c>
      <c r="R15" s="68" t="str">
        <f>'1월'!R16</f>
        <v>완료(2/25)</v>
      </c>
      <c r="S15" s="36" t="str">
        <f>'1월'!S16</f>
        <v>천범석</v>
      </c>
      <c r="T15" s="35"/>
    </row>
    <row r="16" spans="1:20">
      <c r="A16" t="s">
        <v>30</v>
      </c>
      <c r="B16" s="151" t="str">
        <f>'1월'!B17</f>
        <v>SB-22053</v>
      </c>
      <c r="C16" s="199" t="str">
        <f>'1월'!C17</f>
        <v>ZEKV4M</v>
      </c>
      <c r="D16" s="10">
        <f>'1월'!D17</f>
        <v>45658</v>
      </c>
      <c r="E16" s="1" t="str">
        <f>'1월'!E17</f>
        <v>심플키</v>
      </c>
      <c r="F16" s="2" t="str">
        <f>'1월'!F17</f>
        <v>한국산업은행</v>
      </c>
      <c r="G16" s="1" t="str">
        <f>'1월'!G17</f>
        <v>MA</v>
      </c>
      <c r="H16" s="161" t="str">
        <f>'1월'!H17</f>
        <v>월간-레노버</v>
      </c>
      <c r="I16" s="166" t="str">
        <f>'1월'!I17</f>
        <v>분기(1~3월) 유지정비료 - 9/12회</v>
      </c>
      <c r="J16" s="179">
        <f>'1월'!J17</f>
        <v>1</v>
      </c>
      <c r="K16" s="51">
        <f>'1월'!K17</f>
        <v>200000</v>
      </c>
      <c r="L16" s="50">
        <f>'1월'!L17</f>
        <v>200000</v>
      </c>
      <c r="M16" s="51">
        <f>'1월'!M17</f>
        <v>20000</v>
      </c>
      <c r="N16" s="51">
        <f>'1월'!N17</f>
        <v>220000</v>
      </c>
      <c r="O16" s="52">
        <f>'1월'!O17</f>
        <v>176400</v>
      </c>
      <c r="P16" s="171" t="str">
        <f>'1월'!P17</f>
        <v>레노버 월 58,800(1/31)(2/28)(3/31)</v>
      </c>
      <c r="Q16" s="183">
        <f>'1월'!Q17</f>
        <v>23600</v>
      </c>
      <c r="R16" s="2" t="str">
        <f>'1월'!R17</f>
        <v>완료(1/31)</v>
      </c>
      <c r="S16" s="36" t="str">
        <f>'1월'!S17</f>
        <v>천범석</v>
      </c>
      <c r="T16" s="11"/>
    </row>
    <row r="17" spans="1:21" ht="35.25" customHeight="1">
      <c r="A17" t="s">
        <v>30</v>
      </c>
      <c r="B17" s="151" t="str">
        <f>'1월'!B18</f>
        <v>SB-24042</v>
      </c>
      <c r="C17" s="199" t="str">
        <f>'1월'!C18</f>
        <v>ZTME0P</v>
      </c>
      <c r="D17" s="10">
        <f>'1월'!D18</f>
        <v>45658</v>
      </c>
      <c r="E17" s="1" t="str">
        <f>'1월'!E18</f>
        <v>심플키</v>
      </c>
      <c r="F17" s="2" t="str">
        <f>'1월'!F18</f>
        <v>티시스</v>
      </c>
      <c r="G17" s="1" t="str">
        <f>'1월'!G18</f>
        <v>MA</v>
      </c>
      <c r="H17" s="161" t="str">
        <f>'1월'!H18</f>
        <v>월간-레노버</v>
      </c>
      <c r="I17" s="166" t="str">
        <f>'1월'!I18</f>
        <v>분기(1~3월) 유지정비료 - 3/4회</v>
      </c>
      <c r="J17" s="53">
        <f>'1월'!J18</f>
        <v>1</v>
      </c>
      <c r="K17" s="51">
        <f>'1월'!K18</f>
        <v>5651400</v>
      </c>
      <c r="L17" s="50">
        <f>'1월'!L18</f>
        <v>5651400</v>
      </c>
      <c r="M17" s="51">
        <f>'1월'!M18</f>
        <v>565140</v>
      </c>
      <c r="N17" s="51">
        <f>'1월'!N18</f>
        <v>6216540</v>
      </c>
      <c r="O17" s="52">
        <f>'1월'!O18</f>
        <v>5369200</v>
      </c>
      <c r="P17" s="171" t="str">
        <f>'1월'!P18</f>
        <v>레노버 (1/31) 1,706,400 (2/28)(3/31)  
시스나인(7/1) 연간 1,000,000 (8~10/12회)</v>
      </c>
      <c r="Q17" s="181">
        <f>'1월'!Q18</f>
        <v>282200</v>
      </c>
      <c r="R17" s="68" t="str">
        <f>'1월'!R18</f>
        <v>완료(3/31)</v>
      </c>
      <c r="S17" s="36" t="str">
        <f>'1월'!S18</f>
        <v>천범석</v>
      </c>
      <c r="T17" s="11"/>
    </row>
    <row r="18" spans="1:21" ht="36">
      <c r="A18" t="s">
        <v>30</v>
      </c>
      <c r="B18" s="151" t="str">
        <f>'1월'!B19</f>
        <v>SB-24066</v>
      </c>
      <c r="C18" s="153" t="str">
        <f>'1월'!C19</f>
        <v>ZDSNDX</v>
      </c>
      <c r="D18" s="17">
        <f>'1월'!D19</f>
        <v>45659</v>
      </c>
      <c r="E18" s="1" t="str">
        <f>'1월'!E19</f>
        <v>이룸정보</v>
      </c>
      <c r="F18" s="2" t="str">
        <f>'1월'!F19</f>
        <v>중국광대은행</v>
      </c>
      <c r="G18" s="2" t="str">
        <f>'1월'!G19</f>
        <v>MA</v>
      </c>
      <c r="H18" s="2" t="str">
        <f>'1월'!H19</f>
        <v>월간-레노버</v>
      </c>
      <c r="I18" s="4" t="str">
        <f>'1월'!I19</f>
        <v>1~11월 유지정비료</v>
      </c>
      <c r="J18" s="23">
        <f>'1월'!J19</f>
        <v>11</v>
      </c>
      <c r="K18" s="27">
        <f>'1월'!K19</f>
        <v>108000</v>
      </c>
      <c r="L18" s="26">
        <f>'1월'!L19</f>
        <v>1188000</v>
      </c>
      <c r="M18" s="27">
        <f>'1월'!M19</f>
        <v>118800</v>
      </c>
      <c r="N18" s="27">
        <f>'1월'!N19</f>
        <v>1306800</v>
      </c>
      <c r="O18" s="52">
        <f>'1월'!O19</f>
        <v>1079100</v>
      </c>
      <c r="P18" s="171" t="str">
        <f>'1월'!P19</f>
        <v>레노버 98,100(1/31)(2/28)(3/31)(4/30)
(5/31)(6/30)(7/31)(8/31)(9/30)(10/31)(11/30)</v>
      </c>
      <c r="Q18" s="20">
        <f>'1월'!Q19</f>
        <v>108900</v>
      </c>
      <c r="R18" s="68" t="str">
        <f>'1월'!R19</f>
        <v>완료(3/25)</v>
      </c>
      <c r="S18" s="8" t="str">
        <f>'1월'!S19</f>
        <v>천범석</v>
      </c>
      <c r="T18" s="11"/>
    </row>
    <row r="19" spans="1:21" ht="48">
      <c r="A19" t="s">
        <v>30</v>
      </c>
      <c r="B19" s="151" t="str">
        <f>'1월'!B20</f>
        <v>SL-24050</v>
      </c>
      <c r="C19" s="153" t="str">
        <f>'1월'!C20</f>
        <v>ZXFJNS</v>
      </c>
      <c r="D19" s="17">
        <f>'1월'!D20</f>
        <v>45661</v>
      </c>
      <c r="E19" s="1" t="str">
        <f>'1월'!E20</f>
        <v>스마트에프앤디</v>
      </c>
      <c r="F19" s="2"/>
      <c r="G19" s="1" t="str">
        <f>'1월'!G20</f>
        <v>MA</v>
      </c>
      <c r="H19" s="83" t="str">
        <f>'1월'!H20</f>
        <v>월간-레노버</v>
      </c>
      <c r="I19" s="4" t="str">
        <f>'1월'!I20</f>
        <v>연간유지정비료(25.01.04~26.01.03)</v>
      </c>
      <c r="J19" s="23">
        <f>'1월'!J20</f>
        <v>1</v>
      </c>
      <c r="K19" s="27">
        <f>'1월'!K20</f>
        <v>1320000</v>
      </c>
      <c r="L19" s="26">
        <f>'1월'!L20</f>
        <v>1320000</v>
      </c>
      <c r="M19" s="27">
        <f>'1월'!M20</f>
        <v>132000</v>
      </c>
      <c r="N19" s="27">
        <f>'1월'!N20</f>
        <v>1452000</v>
      </c>
      <c r="O19" s="33">
        <f>'1월'!O20</f>
        <v>1198800</v>
      </c>
      <c r="P19" s="231" t="str">
        <f>'1월'!P20</f>
        <v>레노버(1/31)89,910 
월 99,900 (2/28)(3/31)(4/30)(5/31)
(6/30)(7/31)(8/31)(9/30)(10/31)(11/30)(12/31)(26/1/  )</v>
      </c>
      <c r="Q19" s="20">
        <f>'1월'!Q20</f>
        <v>121200</v>
      </c>
      <c r="R19" s="2" t="str">
        <f>'1월'!R20</f>
        <v>완료(1/15)</v>
      </c>
      <c r="S19" s="36" t="str">
        <f>'1월'!S20</f>
        <v>천범석</v>
      </c>
      <c r="T19" s="11"/>
    </row>
    <row r="20" spans="1:21">
      <c r="A20" t="s">
        <v>30</v>
      </c>
      <c r="B20" s="151" t="str">
        <f>'1월'!B21</f>
        <v>S</v>
      </c>
      <c r="C20" s="153"/>
      <c r="D20" s="17">
        <f>'1월'!D21</f>
        <v>45662</v>
      </c>
      <c r="E20" s="1" t="str">
        <f>'1월'!E21</f>
        <v>장형기업</v>
      </c>
      <c r="F20" s="2" t="str">
        <f>'1월'!F21</f>
        <v>검단미플존 316호</v>
      </c>
      <c r="G20" s="161" t="str">
        <f>'1월'!G21</f>
        <v>건물임대</v>
      </c>
      <c r="H20" s="161" t="str">
        <f>'1월'!H21</f>
        <v>임대료</v>
      </c>
      <c r="I20" s="3" t="str">
        <f>'1월'!I21</f>
        <v>1월 임대료 - 3/8회</v>
      </c>
      <c r="J20" s="210">
        <f>'1월'!J21</f>
        <v>1</v>
      </c>
      <c r="K20" s="27">
        <f>'1월'!K21</f>
        <v>367500</v>
      </c>
      <c r="L20" s="26">
        <f>'1월'!L21</f>
        <v>367500</v>
      </c>
      <c r="M20" s="27">
        <f>'1월'!M21</f>
        <v>36750</v>
      </c>
      <c r="N20" s="27">
        <f>'1월'!N21</f>
        <v>404250</v>
      </c>
      <c r="O20" s="52">
        <f>'1월'!O21</f>
        <v>0</v>
      </c>
      <c r="P20" s="171" t="str">
        <f>'1월'!P21</f>
        <v>X</v>
      </c>
      <c r="Q20" s="181">
        <f>'1월'!Q21</f>
        <v>367500</v>
      </c>
      <c r="R20" s="68" t="str">
        <f>'1월'!R21</f>
        <v>완료(25/1/31)</v>
      </c>
      <c r="S20" s="5" t="str">
        <f>'1월'!S21</f>
        <v>정지우</v>
      </c>
      <c r="T20" s="11"/>
    </row>
    <row r="21" spans="1:21" ht="82.5" customHeight="1">
      <c r="A21" t="s">
        <v>30</v>
      </c>
      <c r="B21" s="151" t="str">
        <f>'1월'!B22</f>
        <v>SM-24021</v>
      </c>
      <c r="C21" s="200"/>
      <c r="D21" s="17">
        <f>'1월'!D22</f>
        <v>45662</v>
      </c>
      <c r="E21" s="1" t="str">
        <f>'1월'!E22</f>
        <v>제이원캐피탈</v>
      </c>
      <c r="F21" s="161"/>
      <c r="G21" s="1" t="str">
        <f>'1월'!G22</f>
        <v>MA</v>
      </c>
      <c r="H21" s="161" t="str">
        <f>'1월'!H22</f>
        <v>월간</v>
      </c>
      <c r="I21" s="3" t="str">
        <f>'1월'!I22</f>
        <v>12월 유지정비료 - 4/12회</v>
      </c>
      <c r="J21" s="210">
        <f>'1월'!J22</f>
        <v>1</v>
      </c>
      <c r="K21" s="26">
        <f>'1월'!K22</f>
        <v>7060000</v>
      </c>
      <c r="L21" s="26">
        <f>'1월'!L22</f>
        <v>7060000</v>
      </c>
      <c r="M21" s="67">
        <f>'1월'!M22</f>
        <v>706000</v>
      </c>
      <c r="N21" s="27">
        <f>'1월'!N22</f>
        <v>7766000</v>
      </c>
      <c r="O21" s="52">
        <f>'1월'!O22</f>
        <v>3974681</v>
      </c>
      <c r="P21" s="172" t="str">
        <f>'1월'!P22</f>
        <v>IBM(12/1) 691,781
에스엔에이(12/31) 300,000
키미데이타(12/31) 70,000
코오롱베니트(10/31) 1,000,000연간(4/12회)
더파트(12/31) 810,000
DCSS(24/12/31) 352,900
시스나인(11/1) 분기5,000 000(3/3회)</v>
      </c>
      <c r="Q21" s="181">
        <f>'1월'!Q22</f>
        <v>3085319</v>
      </c>
      <c r="R21" s="68" t="str">
        <f>'1월'!R22</f>
        <v>완료(1/31)</v>
      </c>
      <c r="S21" s="5" t="str">
        <f>'1월'!S22</f>
        <v>이예지</v>
      </c>
      <c r="T21" s="6"/>
    </row>
    <row r="22" spans="1:21">
      <c r="A22" t="s">
        <v>30</v>
      </c>
      <c r="B22" s="151" t="str">
        <f>'1월'!B23</f>
        <v>SM-24020</v>
      </c>
      <c r="C22" s="153"/>
      <c r="D22" s="17">
        <f>'1월'!D23</f>
        <v>45662</v>
      </c>
      <c r="E22" s="1" t="str">
        <f>'1월'!E23</f>
        <v>에이비씨한국</v>
      </c>
      <c r="F22" s="2"/>
      <c r="G22" s="1" t="str">
        <f>'1월'!G23</f>
        <v>MA</v>
      </c>
      <c r="H22" s="161" t="str">
        <f>'1월'!H23</f>
        <v>월간</v>
      </c>
      <c r="I22" s="4" t="str">
        <f>'1월'!I23</f>
        <v>BOARD SYSTEM Maintenance 1월분 - 4/12회</v>
      </c>
      <c r="J22" s="210">
        <f>'1월'!J23</f>
        <v>1</v>
      </c>
      <c r="K22" s="27">
        <f>'1월'!K23</f>
        <v>1100000</v>
      </c>
      <c r="L22" s="26">
        <f>'1월'!L23</f>
        <v>1100000</v>
      </c>
      <c r="M22" s="27">
        <f>'1월'!M23</f>
        <v>110000</v>
      </c>
      <c r="N22" s="27">
        <f>'1월'!N23</f>
        <v>1210000</v>
      </c>
      <c r="O22" s="33">
        <f>'1월'!O23</f>
        <v>1060000</v>
      </c>
      <c r="P22" s="197" t="str">
        <f>'1월'!P23</f>
        <v>로보츠(1/5)</v>
      </c>
      <c r="Q22" s="20">
        <f>'1월'!Q23</f>
        <v>40000</v>
      </c>
      <c r="R22" s="68" t="str">
        <f>'1월'!R23</f>
        <v>완료(2/28)</v>
      </c>
      <c r="S22" s="36" t="str">
        <f>'1월'!S23</f>
        <v>이예지</v>
      </c>
      <c r="T22" s="11"/>
    </row>
    <row r="23" spans="1:21">
      <c r="B23" s="151" t="str">
        <f>'1월'!B24</f>
        <v>IK-24012</v>
      </c>
      <c r="C23" s="153"/>
      <c r="D23" s="10">
        <f>'1월'!D24</f>
        <v>45663</v>
      </c>
      <c r="E23" s="1" t="str">
        <f>'1월'!E24</f>
        <v>인정보시스템</v>
      </c>
      <c r="F23" s="2" t="str">
        <f>'1월'!F24</f>
        <v>대구텍</v>
      </c>
      <c r="G23" s="1" t="str">
        <f>'1월'!G24</f>
        <v>MA</v>
      </c>
      <c r="H23" s="161" t="str">
        <f>'1월'!H24</f>
        <v>월간-IBM</v>
      </c>
      <c r="I23" s="4" t="str">
        <f>'1월'!I24</f>
        <v>1월 유지정비료 - 1/6회</v>
      </c>
      <c r="J23" s="23">
        <f>'1월'!J24</f>
        <v>1</v>
      </c>
      <c r="K23" s="26">
        <f>'1월'!K24</f>
        <v>1039500</v>
      </c>
      <c r="L23" s="26">
        <f>'1월'!L24</f>
        <v>1039500</v>
      </c>
      <c r="M23" s="27">
        <f>'1월'!M24</f>
        <v>103950</v>
      </c>
      <c r="N23" s="27">
        <f>'1월'!N24</f>
        <v>1143450</v>
      </c>
      <c r="O23" s="33">
        <f>'1월'!O24</f>
        <v>862260</v>
      </c>
      <c r="P23" s="197" t="str">
        <f>'1월'!P24</f>
        <v>IBM(1/6)</v>
      </c>
      <c r="Q23" s="20">
        <f>'1월'!Q24</f>
        <v>177240</v>
      </c>
      <c r="R23" s="2" t="str">
        <f>'1월'!R24</f>
        <v>완료(1/31)</v>
      </c>
      <c r="S23" s="8" t="str">
        <f>'1월'!S24</f>
        <v>천범석</v>
      </c>
      <c r="T23" s="11"/>
      <c r="U23" t="s">
        <v>476</v>
      </c>
    </row>
    <row r="24" spans="1:21">
      <c r="B24" s="151" t="str">
        <f>'1월'!B25</f>
        <v>S</v>
      </c>
      <c r="C24" s="153"/>
      <c r="D24" s="10">
        <f>'1월'!D25</f>
        <v>45666</v>
      </c>
      <c r="E24" s="1" t="str">
        <f>'1월'!E25</f>
        <v>에이비씨한국</v>
      </c>
      <c r="F24" s="2"/>
      <c r="G24" s="1" t="str">
        <f>'1월'!G25</f>
        <v>상품</v>
      </c>
      <c r="H24" s="161" t="str">
        <f>'1월'!H25</f>
        <v>노트북</v>
      </c>
      <c r="I24" s="4" t="str">
        <f>'1월'!I25</f>
        <v>엘지 노트북 납품 외</v>
      </c>
      <c r="J24" s="23">
        <f>'1월'!J25</f>
        <v>1</v>
      </c>
      <c r="K24" s="26">
        <f>'1월'!K25</f>
        <v>1520000</v>
      </c>
      <c r="L24" s="26">
        <f>'1월'!L25</f>
        <v>1520000</v>
      </c>
      <c r="M24" s="27">
        <f>'1월'!M25</f>
        <v>152000</v>
      </c>
      <c r="N24" s="27">
        <f>'1월'!N25</f>
        <v>1672000</v>
      </c>
      <c r="O24" s="33">
        <f>'1월'!O25</f>
        <v>1490000</v>
      </c>
      <c r="P24" s="197" t="str">
        <f>'1월'!P25</f>
        <v>로보츠(1/9)</v>
      </c>
      <c r="Q24" s="20">
        <f>'1월'!Q25</f>
        <v>30000</v>
      </c>
      <c r="R24" s="2" t="str">
        <f>'1월'!R25</f>
        <v>완료(2/28)</v>
      </c>
      <c r="S24" s="8" t="str">
        <f>'1월'!S25</f>
        <v>이예지</v>
      </c>
      <c r="T24" s="11"/>
    </row>
    <row r="25" spans="1:21" ht="123.75" customHeight="1">
      <c r="A25" t="s">
        <v>30</v>
      </c>
      <c r="B25" s="151" t="str">
        <f>'1월'!B26</f>
        <v>SM-25003</v>
      </c>
      <c r="C25" s="153" t="str">
        <f>'1월'!C26</f>
        <v>ZZ6BIS</v>
      </c>
      <c r="D25" s="17">
        <f>'1월'!D26</f>
        <v>45666</v>
      </c>
      <c r="E25" s="214" t="str">
        <f>'1월'!E26</f>
        <v>영화시스템</v>
      </c>
      <c r="F25" s="215" t="str">
        <f>'1월'!F26</f>
        <v>CGV통합</v>
      </c>
      <c r="G25" s="1" t="str">
        <f>'1월'!G26</f>
        <v>MA</v>
      </c>
      <c r="H25" s="83" t="str">
        <f>'1월'!H26</f>
        <v>연간</v>
      </c>
      <c r="I25" s="4" t="str">
        <f>'1월'!I26</f>
        <v>연간유지정비료(25.01.01~25.12.31)</v>
      </c>
      <c r="J25" s="23">
        <f>'1월'!J26</f>
        <v>1</v>
      </c>
      <c r="K25" s="27">
        <f>'1월'!K26</f>
        <v>95680000</v>
      </c>
      <c r="L25" s="26">
        <f>'1월'!L26</f>
        <v>95680000</v>
      </c>
      <c r="M25" s="27">
        <f>'1월'!M26</f>
        <v>9568000</v>
      </c>
      <c r="N25" s="27">
        <f>'1월'!N26</f>
        <v>105248000</v>
      </c>
      <c r="O25" s="33">
        <f>'1월'!O26</f>
        <v>84624000</v>
      </c>
      <c r="P25" s="197" t="str">
        <f>'1월'!P26</f>
        <v>IBM 총 33,750,000 월 2,812,500 (1/2)(2/3)(3/4)(4/1)(5/1)(6/2)(7/1)(8/1)
(9/1)(10/1)(11/1)(1/21)
레노버 17,010,000 월 1,417,500 (1/31)(2/28)(3/31)(4/30)(5/31)(6/30)(7/31)(8/31)(9/30)(10/31)(11/30)(12/31)
코오롱베니트(1/31) 680,000
에티버스(1/31) 8,454,000
에티버스(6/30) 6,730,000
시스나인(2/28) 18,000,000</v>
      </c>
      <c r="Q25" s="20">
        <f>'1월'!Q26</f>
        <v>11056000</v>
      </c>
      <c r="R25" s="2" t="str">
        <f>'1월'!R26</f>
        <v>완료(3/10)</v>
      </c>
      <c r="S25" s="8" t="str">
        <f>'1월'!S26</f>
        <v>천범석</v>
      </c>
      <c r="T25" s="11"/>
    </row>
    <row r="26" spans="1:21">
      <c r="A26" t="s">
        <v>30</v>
      </c>
      <c r="B26" s="151" t="str">
        <f>'1월'!B27</f>
        <v>S</v>
      </c>
      <c r="C26" s="200"/>
      <c r="D26" s="10">
        <f>'1월'!D27</f>
        <v>45667</v>
      </c>
      <c r="E26" s="1" t="str">
        <f>'1월'!E27</f>
        <v>중소기업은행</v>
      </c>
      <c r="F26" s="161" t="str">
        <f>'1월'!F27</f>
        <v>호계214~216호</v>
      </c>
      <c r="G26" s="161" t="str">
        <f>'1월'!G27</f>
        <v>건물임대</v>
      </c>
      <c r="H26" s="161" t="str">
        <f>'1월'!H27</f>
        <v>임대료</v>
      </c>
      <c r="I26" s="163" t="str">
        <f>'1월'!I27</f>
        <v>1월 임대료 (12.13~1.12)</v>
      </c>
      <c r="J26" s="71">
        <f>'1월'!J27</f>
        <v>1</v>
      </c>
      <c r="K26" s="26">
        <f>'1월'!K27</f>
        <v>6090000</v>
      </c>
      <c r="L26" s="26">
        <f>'1월'!L27</f>
        <v>6090000</v>
      </c>
      <c r="M26" s="27">
        <f>'1월'!M27</f>
        <v>609000</v>
      </c>
      <c r="N26" s="27">
        <f>'1월'!N27</f>
        <v>6699000</v>
      </c>
      <c r="O26" s="52">
        <f>'1월'!O27</f>
        <v>0</v>
      </c>
      <c r="P26" s="171" t="str">
        <f>'1월'!P27</f>
        <v>X</v>
      </c>
      <c r="Q26" s="181">
        <f>'1월'!Q27</f>
        <v>6090000</v>
      </c>
      <c r="R26" s="68" t="str">
        <f>'1월'!R27</f>
        <v>완료(1/13)</v>
      </c>
      <c r="S26" s="5" t="str">
        <f>'1월'!S27</f>
        <v>정지우</v>
      </c>
      <c r="T26" s="6"/>
    </row>
    <row r="27" spans="1:21">
      <c r="A27" t="s">
        <v>30</v>
      </c>
      <c r="B27" s="151" t="str">
        <f>'1월'!B28</f>
        <v>S</v>
      </c>
      <c r="C27" s="153"/>
      <c r="D27" s="86">
        <f>'1월'!D28</f>
        <v>45667</v>
      </c>
      <c r="E27" s="1" t="str">
        <f>'1월'!E28</f>
        <v>아이티앤</v>
      </c>
      <c r="F27" s="2" t="str">
        <f>'1월'!F28</f>
        <v>우물단</v>
      </c>
      <c r="G27" s="2" t="str">
        <f>'1월'!G28</f>
        <v>상품</v>
      </c>
      <c r="H27" s="83" t="str">
        <f>'1월'!H28</f>
        <v>기술지원</v>
      </c>
      <c r="I27" s="4" t="str">
        <f>'1월'!I28</f>
        <v>전산장비 이전, 시스템 마이그레이션 (1차)</v>
      </c>
      <c r="J27" s="23">
        <f>'1월'!J28</f>
        <v>1</v>
      </c>
      <c r="K27" s="27">
        <f>'1월'!K28</f>
        <v>12500000</v>
      </c>
      <c r="L27" s="26">
        <f>'1월'!L28</f>
        <v>12500000</v>
      </c>
      <c r="M27" s="27">
        <f>'1월'!M28</f>
        <v>1250000</v>
      </c>
      <c r="N27" s="27">
        <f>'1월'!N28</f>
        <v>13750000</v>
      </c>
      <c r="O27" s="33">
        <f>'1월'!O28</f>
        <v>0</v>
      </c>
      <c r="P27" s="197" t="str">
        <f>'1월'!P28</f>
        <v>(24/12/26)</v>
      </c>
      <c r="Q27" s="181"/>
      <c r="R27" s="68" t="str">
        <f>'1월'!R28</f>
        <v>완료(25/1/31)</v>
      </c>
      <c r="S27" s="8" t="str">
        <f>'1월'!S28</f>
        <v>이예지</v>
      </c>
      <c r="T27" s="11"/>
      <c r="U27" t="s">
        <v>499</v>
      </c>
    </row>
    <row r="28" spans="1:21" ht="12" customHeight="1">
      <c r="A28" t="s">
        <v>30</v>
      </c>
      <c r="B28" s="151" t="str">
        <f>'1월'!B29</f>
        <v>S</v>
      </c>
      <c r="C28" s="200"/>
      <c r="D28" s="17">
        <f>'1월'!D29</f>
        <v>45669</v>
      </c>
      <c r="E28" s="1" t="str">
        <f>'1월'!E29</f>
        <v>왕길토건</v>
      </c>
      <c r="F28" s="2" t="str">
        <f>'1월'!F29</f>
        <v>검단미플존 317호</v>
      </c>
      <c r="G28" s="161" t="str">
        <f>'1월'!G29</f>
        <v>건물임대</v>
      </c>
      <c r="H28" s="161" t="str">
        <f>'1월'!H29</f>
        <v>임대료</v>
      </c>
      <c r="I28" s="3" t="str">
        <f>'1월'!I29</f>
        <v>12월 임대료(24/12/12~25/1/10) - 3/10회</v>
      </c>
      <c r="J28" s="32">
        <f>'1월'!J29</f>
        <v>1</v>
      </c>
      <c r="K28" s="48">
        <f>'1월'!K29</f>
        <v>400000</v>
      </c>
      <c r="L28" s="26">
        <f>'1월'!L29</f>
        <v>400000</v>
      </c>
      <c r="M28" s="27">
        <f>'1월'!M29</f>
        <v>40000</v>
      </c>
      <c r="N28" s="27">
        <f>'1월'!N29</f>
        <v>440000</v>
      </c>
      <c r="O28" s="52">
        <f>'1월'!O29</f>
        <v>0</v>
      </c>
      <c r="P28" s="171" t="str">
        <f>'1월'!P29</f>
        <v>X</v>
      </c>
      <c r="Q28" s="181">
        <f>'1월'!Q29</f>
        <v>400000</v>
      </c>
      <c r="R28" s="68" t="str">
        <f>'1월'!R29</f>
        <v>완료(25/1/31)</v>
      </c>
      <c r="S28" s="5" t="str">
        <f>'1월'!S29</f>
        <v>정지우</v>
      </c>
      <c r="T28" s="6"/>
    </row>
    <row r="29" spans="1:21">
      <c r="B29" s="151" t="str">
        <f>'1월'!B30</f>
        <v>S</v>
      </c>
      <c r="C29" s="153"/>
      <c r="D29" s="10">
        <f>'1월'!D30</f>
        <v>45671</v>
      </c>
      <c r="E29" s="1" t="str">
        <f>'1월'!E30</f>
        <v>에이비씨한국</v>
      </c>
      <c r="F29" s="2" t="str">
        <f>'1월'!F30</f>
        <v>평택</v>
      </c>
      <c r="G29" s="161" t="str">
        <f>'1월'!G30</f>
        <v>상품</v>
      </c>
      <c r="H29" s="161" t="str">
        <f>'1월'!H30</f>
        <v>노트북</v>
      </c>
      <c r="I29" s="4" t="str">
        <f>'1월'!I30</f>
        <v>엘지 노트북 납품 외</v>
      </c>
      <c r="J29" s="23">
        <f>'1월'!J30</f>
        <v>1</v>
      </c>
      <c r="K29" s="26">
        <f>'1월'!K30</f>
        <v>2273000</v>
      </c>
      <c r="L29" s="26">
        <f>'1월'!L30</f>
        <v>2273000</v>
      </c>
      <c r="M29" s="27">
        <f>'1월'!M30</f>
        <v>227300</v>
      </c>
      <c r="N29" s="27">
        <f>'1월'!N30</f>
        <v>2500300</v>
      </c>
      <c r="O29" s="33">
        <f>'1월'!O30</f>
        <v>2227000</v>
      </c>
      <c r="P29" s="197" t="str">
        <f>'1월'!P30</f>
        <v>로보츠(1/14)</v>
      </c>
      <c r="Q29" s="20">
        <f>'1월'!Q30</f>
        <v>46000</v>
      </c>
      <c r="R29" s="2" t="str">
        <f>'1월'!R30</f>
        <v>완료(2/28)</v>
      </c>
      <c r="S29" s="8" t="str">
        <f>'1월'!S30</f>
        <v>이예지</v>
      </c>
      <c r="T29" s="11"/>
    </row>
    <row r="30" spans="1:21" ht="12" customHeight="1">
      <c r="A30" t="s">
        <v>30</v>
      </c>
      <c r="B30" s="151" t="str">
        <f>'1월'!B31</f>
        <v>S</v>
      </c>
      <c r="C30" s="200"/>
      <c r="D30" s="17">
        <f>'1월'!D31</f>
        <v>45672</v>
      </c>
      <c r="E30" s="1" t="str">
        <f>'1월'!E31</f>
        <v>순환</v>
      </c>
      <c r="F30" s="2" t="str">
        <f>'1월'!F31</f>
        <v>검단미플존 318호</v>
      </c>
      <c r="G30" s="161" t="str">
        <f>'1월'!G31</f>
        <v>건물임대</v>
      </c>
      <c r="H30" s="161" t="str">
        <f>'1월'!H31</f>
        <v>임대료</v>
      </c>
      <c r="I30" s="3" t="str">
        <f>'1월'!I31</f>
        <v>1월 임대료(24/12/20~25/1/19) - 3/9회</v>
      </c>
      <c r="J30" s="32">
        <f>'1월'!J31</f>
        <v>1</v>
      </c>
      <c r="K30" s="48">
        <f>'1월'!K31</f>
        <v>346500</v>
      </c>
      <c r="L30" s="26">
        <f>'1월'!L31</f>
        <v>346500</v>
      </c>
      <c r="M30" s="27">
        <f>'1월'!M31</f>
        <v>34650</v>
      </c>
      <c r="N30" s="27">
        <f>'1월'!N31</f>
        <v>381150</v>
      </c>
      <c r="O30" s="52">
        <f>'1월'!O31</f>
        <v>0</v>
      </c>
      <c r="P30" s="171" t="str">
        <f>'1월'!P31</f>
        <v>X</v>
      </c>
      <c r="Q30" s="181">
        <f>'1월'!Q31</f>
        <v>346500</v>
      </c>
      <c r="R30" s="68" t="str">
        <f>'1월'!R31</f>
        <v>완료(1/24)</v>
      </c>
      <c r="S30" s="5" t="str">
        <f>'1월'!S31</f>
        <v>정지우</v>
      </c>
      <c r="T30" s="6"/>
    </row>
    <row r="31" spans="1:21" ht="24">
      <c r="A31" t="s">
        <v>30</v>
      </c>
      <c r="B31" s="151" t="str">
        <f>'1월'!B32</f>
        <v>SB-24011</v>
      </c>
      <c r="C31" s="199" t="str">
        <f>'1월'!C32</f>
        <v>Z5PURB</v>
      </c>
      <c r="D31" s="17">
        <f>'1월'!D32</f>
        <v>45672</v>
      </c>
      <c r="E31" s="1" t="str">
        <f>'1월'!E32</f>
        <v>비온시이노베이터</v>
      </c>
      <c r="F31" s="2" t="str">
        <f>'1월'!F32</f>
        <v>국립농업과학원</v>
      </c>
      <c r="G31" s="2" t="str">
        <f>'1월'!G32</f>
        <v>MA</v>
      </c>
      <c r="H31" s="2" t="str">
        <f>'1월'!H32</f>
        <v>월간-레노버</v>
      </c>
      <c r="I31" s="4" t="str">
        <f>'1월'!I32</f>
        <v>12월 유지정비료 - 12/24회</v>
      </c>
      <c r="J31" s="23">
        <f>'1월'!J32</f>
        <v>1</v>
      </c>
      <c r="K31" s="27">
        <f>'1월'!K32</f>
        <v>875000</v>
      </c>
      <c r="L31" s="26">
        <f>'1월'!L32</f>
        <v>875000</v>
      </c>
      <c r="M31" s="27">
        <f>'1월'!M32</f>
        <v>87500</v>
      </c>
      <c r="N31" s="27">
        <f>'1월'!N32</f>
        <v>962500</v>
      </c>
      <c r="O31" s="52">
        <f>'1월'!O32</f>
        <v>794833.33333333326</v>
      </c>
      <c r="P31" s="197" t="str">
        <f>'1월'!P32</f>
        <v>레노버(12/31)511,500 
시스나인(25/1/2) 연간3,400,000(12/12회)</v>
      </c>
      <c r="Q31" s="181">
        <f>'1월'!Q32</f>
        <v>80166.666666666744</v>
      </c>
      <c r="R31" s="2" t="str">
        <f>'1월'!R32</f>
        <v>완료(2/10)</v>
      </c>
      <c r="S31" s="8" t="str">
        <f>'1월'!S32</f>
        <v>천범석</v>
      </c>
      <c r="T31" s="11"/>
    </row>
    <row r="32" spans="1:21" ht="24">
      <c r="A32" t="s">
        <v>30</v>
      </c>
      <c r="B32" s="151" t="str">
        <f>'1월'!B33</f>
        <v>H250102-01</v>
      </c>
      <c r="C32" s="153"/>
      <c r="D32" s="17">
        <f>'1월'!D33</f>
        <v>45672</v>
      </c>
      <c r="E32" s="1" t="str">
        <f>'1월'!E33</f>
        <v>아이엠티에스아이</v>
      </c>
      <c r="F32" s="2"/>
      <c r="G32" s="2" t="str">
        <f>'1월'!G33</f>
        <v>상품</v>
      </c>
      <c r="H32" s="83" t="str">
        <f>'1월'!H33</f>
        <v>01AF542</v>
      </c>
      <c r="I32" s="4" t="str">
        <f>'1월'!I33</f>
        <v>Processor VRM 2B4E For 8231-E1C, E1D, E2D, 8268-E1D, 8246-L1C</v>
      </c>
      <c r="J32" s="23">
        <f>'1월'!J33</f>
        <v>1</v>
      </c>
      <c r="K32" s="27">
        <f>'1월'!K33</f>
        <v>430000</v>
      </c>
      <c r="L32" s="26">
        <f>'1월'!L33</f>
        <v>430000</v>
      </c>
      <c r="M32" s="27">
        <f>'1월'!M33</f>
        <v>43000</v>
      </c>
      <c r="N32" s="27">
        <f>'1월'!N33</f>
        <v>473000</v>
      </c>
      <c r="O32" s="33">
        <f>'1월'!O33</f>
        <v>400000</v>
      </c>
      <c r="P32" s="197" t="str">
        <f>'1월'!P33</f>
        <v>이비웨이브(1/2)</v>
      </c>
      <c r="Q32" s="20">
        <f>'1월'!Q33</f>
        <v>30000</v>
      </c>
      <c r="R32" s="2" t="str">
        <f>'1월'!R33</f>
        <v>완료(1/17)</v>
      </c>
      <c r="S32" s="8" t="str">
        <f>'1월'!S33</f>
        <v>천범석</v>
      </c>
      <c r="T32" s="11"/>
    </row>
    <row r="33" spans="1:20">
      <c r="A33" t="s">
        <v>30</v>
      </c>
      <c r="B33" s="151" t="str">
        <f>'1월'!B34</f>
        <v>H250106-01</v>
      </c>
      <c r="C33" s="153"/>
      <c r="D33" s="17">
        <f>'1월'!D34</f>
        <v>45672</v>
      </c>
      <c r="E33" s="1" t="str">
        <f>'1월'!E34</f>
        <v>아이엠티에스아이</v>
      </c>
      <c r="F33" s="2"/>
      <c r="G33" s="2" t="str">
        <f>'1월'!G34</f>
        <v>상품</v>
      </c>
      <c r="H33" s="83" t="str">
        <f>'1월'!H34</f>
        <v>69Y2926</v>
      </c>
      <c r="I33" s="4" t="str">
        <f>'1월'!I34</f>
        <v>Controller Battery for DS3512/DS3524</v>
      </c>
      <c r="J33" s="23">
        <f>'1월'!J34</f>
        <v>1</v>
      </c>
      <c r="K33" s="27">
        <f>'1월'!K34</f>
        <v>280000</v>
      </c>
      <c r="L33" s="26">
        <f>'1월'!L34</f>
        <v>280000</v>
      </c>
      <c r="M33" s="27">
        <f>'1월'!M34</f>
        <v>28000</v>
      </c>
      <c r="N33" s="27">
        <f>'1월'!N34</f>
        <v>308000</v>
      </c>
      <c r="O33" s="33">
        <f>'1월'!O34</f>
        <v>250000</v>
      </c>
      <c r="P33" s="197" t="str">
        <f>'1월'!P34</f>
        <v>이비웨이브(1/6)</v>
      </c>
      <c r="Q33" s="20">
        <f>'1월'!Q34</f>
        <v>30000</v>
      </c>
      <c r="R33" s="2" t="str">
        <f>'1월'!R34</f>
        <v>완료(1/17)</v>
      </c>
      <c r="S33" s="8" t="str">
        <f>'1월'!S34</f>
        <v>천범석</v>
      </c>
      <c r="T33" s="11"/>
    </row>
    <row r="34" spans="1:20" ht="36">
      <c r="B34" s="151" t="str">
        <f>'1월'!B35</f>
        <v>H250310</v>
      </c>
      <c r="C34" s="153"/>
      <c r="D34" s="10">
        <f>'1월'!D35</f>
        <v>45673</v>
      </c>
      <c r="E34" s="1" t="str">
        <f>'1월'!E35</f>
        <v>더블포인트</v>
      </c>
      <c r="F34" s="2"/>
      <c r="G34" s="161" t="str">
        <f>'1월'!G35</f>
        <v>상품</v>
      </c>
      <c r="H34" s="161" t="str">
        <f>'1월'!H35</f>
        <v>CABLE</v>
      </c>
      <c r="I34" s="4" t="str">
        <f>'1월'!I35</f>
        <v>LC-LC OM3, 멀티 광점퍼코드 15M 30개 외</v>
      </c>
      <c r="J34" s="23">
        <f>'1월'!J35</f>
        <v>1</v>
      </c>
      <c r="K34" s="26">
        <f>'1월'!K35</f>
        <v>900000</v>
      </c>
      <c r="L34" s="26">
        <f>'1월'!L35</f>
        <v>900000</v>
      </c>
      <c r="M34" s="27">
        <f>'1월'!M35</f>
        <v>90000</v>
      </c>
      <c r="N34" s="27">
        <f>'1월'!N35</f>
        <v>990000</v>
      </c>
      <c r="O34" s="33">
        <f>'1월'!O35</f>
        <v>510909.54545454541</v>
      </c>
      <c r="P34" s="197" t="str">
        <f>'1월'!P35</f>
        <v>쿠팡(3/10법카) 285,455
컴퓨존(3/14)
시스나인(3/4) 330,000</v>
      </c>
      <c r="Q34" s="20">
        <f>'1월'!Q35</f>
        <v>389090.45454545459</v>
      </c>
      <c r="R34" s="2" t="str">
        <f>'1월'!R35</f>
        <v>완료(3/10)</v>
      </c>
      <c r="S34" s="8" t="str">
        <f>'1월'!S35</f>
        <v>이예지</v>
      </c>
      <c r="T34" s="11"/>
    </row>
    <row r="35" spans="1:20" ht="24">
      <c r="A35" t="s">
        <v>30</v>
      </c>
      <c r="B35" s="151" t="str">
        <f>'1월'!B36</f>
        <v>Y241223-01</v>
      </c>
      <c r="C35" s="153"/>
      <c r="D35" s="86">
        <f>'1월'!D36</f>
        <v>45673</v>
      </c>
      <c r="E35" s="1" t="str">
        <f>'1월'!E36</f>
        <v>라온전자</v>
      </c>
      <c r="F35" s="2"/>
      <c r="G35" s="2" t="str">
        <f>'1월'!G36</f>
        <v>상품</v>
      </c>
      <c r="H35" s="83" t="str">
        <f>'1월'!H36</f>
        <v>맥북프로</v>
      </c>
      <c r="I35" s="4" t="str">
        <f>'1월'!I36</f>
        <v>M3 Pro 11코어 / 14코어 GPU / 512GB / 18GB / 실버</v>
      </c>
      <c r="J35" s="23">
        <f>'1월'!J36</f>
        <v>1</v>
      </c>
      <c r="K35" s="27">
        <f>'1월'!K36</f>
        <v>2500000</v>
      </c>
      <c r="L35" s="26">
        <f>'1월'!L36</f>
        <v>2500000</v>
      </c>
      <c r="M35" s="27">
        <f>'1월'!M36</f>
        <v>250000</v>
      </c>
      <c r="N35" s="27">
        <f>'1월'!N36</f>
        <v>2750000</v>
      </c>
      <c r="O35" s="33">
        <f>'1월'!O36</f>
        <v>2178909</v>
      </c>
      <c r="P35" s="197" t="str">
        <f>'1월'!P36</f>
        <v>쿠팡(12/6법카) 2,160,909
우림퀵(1/31) 18,000</v>
      </c>
      <c r="Q35" s="20">
        <f>'1월'!Q36</f>
        <v>321091</v>
      </c>
      <c r="R35" s="2" t="str">
        <f>'1월'!R36</f>
        <v>완료(1/31)</v>
      </c>
      <c r="S35" s="8" t="str">
        <f>'1월'!S36</f>
        <v>홍승민</v>
      </c>
      <c r="T35" s="11"/>
    </row>
    <row r="36" spans="1:20">
      <c r="A36" t="s">
        <v>30</v>
      </c>
      <c r="B36" s="151" t="str">
        <f>'1월'!B37</f>
        <v>Y250102-01</v>
      </c>
      <c r="C36" s="153"/>
      <c r="D36" s="86">
        <f>'1월'!D37</f>
        <v>45673</v>
      </c>
      <c r="E36" s="1" t="str">
        <f>'1월'!E37</f>
        <v>라온전자</v>
      </c>
      <c r="F36" s="2"/>
      <c r="G36" s="2" t="str">
        <f>'1월'!G37</f>
        <v>상품</v>
      </c>
      <c r="H36" s="83" t="str">
        <f>'1월'!H37</f>
        <v>맥북프로</v>
      </c>
      <c r="I36" s="4" t="str">
        <f>'1월'!I37</f>
        <v>M3 Pro 11코어 / 14코어 GPU / 512GB / 18GB / 블랙</v>
      </c>
      <c r="J36" s="23">
        <f>'1월'!J37</f>
        <v>1</v>
      </c>
      <c r="K36" s="27">
        <f>'1월'!K37</f>
        <v>2500000</v>
      </c>
      <c r="L36" s="26">
        <f>'1월'!L37</f>
        <v>2500000</v>
      </c>
      <c r="M36" s="27">
        <f>'1월'!M37</f>
        <v>250000</v>
      </c>
      <c r="N36" s="27">
        <f>'1월'!N37</f>
        <v>2750000</v>
      </c>
      <c r="O36" s="33">
        <f>'1월'!O37</f>
        <v>2312436</v>
      </c>
      <c r="P36" s="197" t="str">
        <f>'1월'!P37</f>
        <v>쿠팡(12/30법카)</v>
      </c>
      <c r="Q36" s="20">
        <f>'1월'!Q37</f>
        <v>187564</v>
      </c>
      <c r="R36" s="2" t="str">
        <f>'1월'!R37</f>
        <v>완료(1/31)</v>
      </c>
      <c r="S36" s="8" t="str">
        <f>'1월'!S37</f>
        <v>홍승민</v>
      </c>
      <c r="T36" s="11"/>
    </row>
    <row r="37" spans="1:20">
      <c r="A37" t="s">
        <v>30</v>
      </c>
      <c r="B37" s="151" t="str">
        <f>'1월'!B38</f>
        <v>Y250107-01</v>
      </c>
      <c r="C37" s="153"/>
      <c r="D37" s="86">
        <f>'1월'!D38</f>
        <v>45673</v>
      </c>
      <c r="E37" s="1" t="str">
        <f>'1월'!E38</f>
        <v>라온전자</v>
      </c>
      <c r="F37" s="2"/>
      <c r="G37" s="2" t="str">
        <f>'1월'!G38</f>
        <v>상품</v>
      </c>
      <c r="H37" s="83" t="str">
        <f>'1월'!H38</f>
        <v>Monitor</v>
      </c>
      <c r="I37" s="4" t="str">
        <f>'1월'!I38</f>
        <v>LG 27MR400</v>
      </c>
      <c r="J37" s="23">
        <f>'1월'!J38</f>
        <v>1</v>
      </c>
      <c r="K37" s="27">
        <f>'1월'!K38</f>
        <v>170000</v>
      </c>
      <c r="L37" s="26">
        <f>'1월'!L38</f>
        <v>170000</v>
      </c>
      <c r="M37" s="27">
        <f>'1월'!M38</f>
        <v>17000</v>
      </c>
      <c r="N37" s="27">
        <f>'1월'!N38</f>
        <v>187000</v>
      </c>
      <c r="O37" s="33">
        <f>'1월'!O38</f>
        <v>150000</v>
      </c>
      <c r="P37" s="197" t="str">
        <f>'1월'!P38</f>
        <v>컴퓨존(1/7)</v>
      </c>
      <c r="Q37" s="20">
        <f>'1월'!Q38</f>
        <v>20000</v>
      </c>
      <c r="R37" s="2" t="str">
        <f>'1월'!R38</f>
        <v>완료(1/31)</v>
      </c>
      <c r="S37" s="8" t="str">
        <f>'1월'!S38</f>
        <v>홍승민</v>
      </c>
      <c r="T37" s="11"/>
    </row>
    <row r="38" spans="1:20" ht="48">
      <c r="A38" t="s">
        <v>30</v>
      </c>
      <c r="B38" s="151" t="str">
        <f>'1월'!B39</f>
        <v>Y250113-01</v>
      </c>
      <c r="C38" s="153"/>
      <c r="D38" s="86">
        <f>'1월'!D39</f>
        <v>45673</v>
      </c>
      <c r="E38" s="1" t="str">
        <f>'1월'!E39</f>
        <v>라온전자</v>
      </c>
      <c r="F38" s="2"/>
      <c r="G38" s="2" t="str">
        <f>'1월'!G39</f>
        <v>상품</v>
      </c>
      <c r="H38" s="83" t="str">
        <f>'1월'!H39</f>
        <v>소모품</v>
      </c>
      <c r="I38" s="4" t="str">
        <f>'1월'!I39</f>
        <v>로지텍 K120 NEW+ 마우스 M90 세트 외</v>
      </c>
      <c r="J38" s="23">
        <f>'1월'!J39</f>
        <v>1</v>
      </c>
      <c r="K38" s="27">
        <f>'1월'!K39</f>
        <v>294000</v>
      </c>
      <c r="L38" s="26">
        <f>'1월'!L39</f>
        <v>294000</v>
      </c>
      <c r="M38" s="27">
        <f>'1월'!M39</f>
        <v>29400</v>
      </c>
      <c r="N38" s="27">
        <f>'1월'!N39</f>
        <v>323400</v>
      </c>
      <c r="O38" s="33">
        <f>'1월'!O39</f>
        <v>244637</v>
      </c>
      <c r="P38" s="197" t="str">
        <f>'1월'!P39</f>
        <v>컴퓨존(1/13) 195,273 쿠팡(1/13법카)20,182
네이버(1/13법카)23,182
로젠택배(1/31) 6,000</v>
      </c>
      <c r="Q38" s="20">
        <f>'1월'!Q39</f>
        <v>49363</v>
      </c>
      <c r="R38" s="2" t="str">
        <f>'1월'!R39</f>
        <v>완료(1/31)</v>
      </c>
      <c r="S38" s="8" t="str">
        <f>'1월'!S39</f>
        <v>홍승민</v>
      </c>
      <c r="T38" s="11"/>
    </row>
    <row r="39" spans="1:20">
      <c r="A39" t="s">
        <v>30</v>
      </c>
      <c r="B39" s="151" t="str">
        <f>'1월'!B40</f>
        <v>H250118-01</v>
      </c>
      <c r="C39" s="153"/>
      <c r="D39" s="17">
        <f>'1월'!D40</f>
        <v>45675</v>
      </c>
      <c r="E39" s="1" t="str">
        <f>'1월'!E40</f>
        <v>넷매니아</v>
      </c>
      <c r="F39" s="2"/>
      <c r="G39" s="2" t="str">
        <f>'1월'!G40</f>
        <v>상품</v>
      </c>
      <c r="H39" s="83" t="str">
        <f>'1월'!H40</f>
        <v>POWER</v>
      </c>
      <c r="I39" s="4" t="str">
        <f>'1월'!I40</f>
        <v>POWER SUPPLY for DELL ME4024</v>
      </c>
      <c r="J39" s="23">
        <f>'1월'!J40</f>
        <v>1</v>
      </c>
      <c r="K39" s="27">
        <f>'1월'!K40</f>
        <v>1050000</v>
      </c>
      <c r="L39" s="26">
        <f>'1월'!L40</f>
        <v>1050000</v>
      </c>
      <c r="M39" s="27">
        <f>'1월'!M40</f>
        <v>105000</v>
      </c>
      <c r="N39" s="27">
        <f>'1월'!N40</f>
        <v>1155000</v>
      </c>
      <c r="O39" s="33">
        <f>'1월'!O40</f>
        <v>800000</v>
      </c>
      <c r="P39" s="197" t="str">
        <f>'1월'!P40</f>
        <v>에스엔에이(1/21)</v>
      </c>
      <c r="Q39" s="20">
        <f>'1월'!Q40</f>
        <v>250000</v>
      </c>
      <c r="R39" s="2" t="str">
        <f>'1월'!R40</f>
        <v>완료(1/18)</v>
      </c>
      <c r="S39" s="8" t="str">
        <f>'1월'!S40</f>
        <v>천범석</v>
      </c>
      <c r="T39" s="11"/>
    </row>
    <row r="40" spans="1:20" ht="36">
      <c r="A40" t="s">
        <v>30</v>
      </c>
      <c r="B40" s="151" t="str">
        <f>'1월'!B41</f>
        <v>Y240830-03</v>
      </c>
      <c r="C40" s="153"/>
      <c r="D40" s="224">
        <f>'1월'!D41</f>
        <v>45676</v>
      </c>
      <c r="E40" s="1" t="str">
        <f>'1월'!E41</f>
        <v>스마트웨어</v>
      </c>
      <c r="F40" s="1" t="str">
        <f>'1월'!F41</f>
        <v>세연시스템즈</v>
      </c>
      <c r="G40" s="2" t="str">
        <f>'1월'!G41</f>
        <v>장비임대</v>
      </c>
      <c r="H40" s="2" t="str">
        <f>'1월'!H41</f>
        <v>서버임대</v>
      </c>
      <c r="I40" s="4" t="str">
        <f>'1월'!I41</f>
        <v>X3650M5 임대 (Xeon E5-2640v3 2.6GHz 8C x2 / 128GB Memory / 600GB SAS x4 / Power x2)(24/12/2~25/1/1)</v>
      </c>
      <c r="J40" s="23">
        <f>'1월'!J41</f>
        <v>1</v>
      </c>
      <c r="K40" s="226">
        <f>'1월'!K41</f>
        <v>200000</v>
      </c>
      <c r="L40" s="225">
        <f>'1월'!L41</f>
        <v>200000</v>
      </c>
      <c r="M40" s="226">
        <f>'1월'!M41</f>
        <v>20000</v>
      </c>
      <c r="N40" s="226">
        <f>'1월'!N41</f>
        <v>220000</v>
      </c>
      <c r="O40" s="33">
        <f>'1월'!O41</f>
        <v>0</v>
      </c>
      <c r="P40" s="197" t="str">
        <f>'1월'!P41</f>
        <v>재고</v>
      </c>
      <c r="Q40" s="227">
        <f>'1월'!Q41</f>
        <v>200000</v>
      </c>
      <c r="R40" s="202" t="str">
        <f>'1월'!R41</f>
        <v>완료(2/17)</v>
      </c>
      <c r="S40" s="8" t="str">
        <f>'1월'!S41</f>
        <v>홍승민</v>
      </c>
      <c r="T40" s="11"/>
    </row>
    <row r="41" spans="1:20">
      <c r="B41" s="151" t="str">
        <f>'1월'!B42</f>
        <v>H250117-02</v>
      </c>
      <c r="C41" s="153"/>
      <c r="D41" s="10">
        <f>'1월'!D42</f>
        <v>45677</v>
      </c>
      <c r="E41" s="1" t="str">
        <f>'1월'!E42</f>
        <v>제이원캐피탈</v>
      </c>
      <c r="F41" s="2"/>
      <c r="G41" s="2" t="str">
        <f>'1월'!G42</f>
        <v>상품</v>
      </c>
      <c r="H41" s="161" t="str">
        <f>'1월'!H42</f>
        <v>00V7590</v>
      </c>
      <c r="I41" s="4" t="str">
        <f>'1월'!I42</f>
        <v>IBM LTO6 TAPE 2.5/6.25TB [라벨포함]</v>
      </c>
      <c r="J41" s="23">
        <f>'1월'!J42</f>
        <v>100</v>
      </c>
      <c r="K41" s="26">
        <f>'1월'!K42</f>
        <v>55000</v>
      </c>
      <c r="L41" s="26">
        <f>'1월'!L42</f>
        <v>5500000</v>
      </c>
      <c r="M41" s="27">
        <f>'1월'!M42</f>
        <v>550000</v>
      </c>
      <c r="N41" s="27">
        <f>'1월'!N42</f>
        <v>6050000</v>
      </c>
      <c r="O41" s="33">
        <f>'1월'!O42</f>
        <v>4818200</v>
      </c>
      <c r="P41" s="197" t="str">
        <f>'1월'!P42</f>
        <v>스토리지케이투(1/7)</v>
      </c>
      <c r="Q41" s="20">
        <f>'1월'!Q42</f>
        <v>681800</v>
      </c>
      <c r="R41" s="2" t="str">
        <f>'1월'!R42</f>
        <v>완료(1/31)</v>
      </c>
      <c r="S41" s="8" t="str">
        <f>'1월'!S42</f>
        <v>천범석</v>
      </c>
      <c r="T41" s="11"/>
    </row>
    <row r="42" spans="1:20">
      <c r="A42" t="s">
        <v>30</v>
      </c>
      <c r="B42" s="151" t="str">
        <f>'1월'!B43</f>
        <v>S</v>
      </c>
      <c r="C42" s="200"/>
      <c r="D42" s="10">
        <f>'1월'!D43</f>
        <v>45677</v>
      </c>
      <c r="E42" s="1" t="str">
        <f>'1월'!E43</f>
        <v>아이지리더스</v>
      </c>
      <c r="F42" s="2" t="str">
        <f>'1월'!F43</f>
        <v>광명자이 1812호</v>
      </c>
      <c r="G42" s="2" t="str">
        <f>'1월'!G43</f>
        <v>건물임대</v>
      </c>
      <c r="H42" s="161" t="str">
        <f>'1월'!H43</f>
        <v>임대료</v>
      </c>
      <c r="I42" s="3" t="str">
        <f>'1월'!I43</f>
        <v>1월 임대료(12.26~1.25) 3/12회</v>
      </c>
      <c r="J42" s="23">
        <f>'1월'!J43</f>
        <v>1</v>
      </c>
      <c r="K42" s="29">
        <f>'1월'!K43</f>
        <v>800000</v>
      </c>
      <c r="L42" s="26">
        <f>'1월'!L43</f>
        <v>800000</v>
      </c>
      <c r="M42" s="27">
        <f>'1월'!M43</f>
        <v>80000</v>
      </c>
      <c r="N42" s="27">
        <f>'1월'!N43</f>
        <v>880000</v>
      </c>
      <c r="O42" s="52">
        <f>'1월'!O43</f>
        <v>0</v>
      </c>
      <c r="P42" s="171" t="str">
        <f>'1월'!P43</f>
        <v>X</v>
      </c>
      <c r="Q42" s="181">
        <f>'1월'!Q43</f>
        <v>800000</v>
      </c>
      <c r="R42" s="202" t="str">
        <f>'1월'!R43</f>
        <v>완료(2/14)</v>
      </c>
      <c r="S42" s="5" t="str">
        <f>'1월'!S43</f>
        <v>정지우</v>
      </c>
      <c r="T42" s="6"/>
    </row>
    <row r="43" spans="1:20">
      <c r="A43" t="s">
        <v>30</v>
      </c>
      <c r="B43" s="151" t="str">
        <f>'1월'!B44</f>
        <v>SM-23017</v>
      </c>
      <c r="C43" s="199"/>
      <c r="D43" s="10">
        <f>'1월'!D44</f>
        <v>45677</v>
      </c>
      <c r="E43" s="1" t="str">
        <f>'1월'!E44</f>
        <v>이앤피정보기술</v>
      </c>
      <c r="F43" s="2" t="str">
        <f>'1월'!F44</f>
        <v>용진일렉콤</v>
      </c>
      <c r="G43" s="2" t="str">
        <f>'1월'!G44</f>
        <v>MA</v>
      </c>
      <c r="H43" s="2" t="str">
        <f>'1월'!H44</f>
        <v>월간</v>
      </c>
      <c r="I43" s="70" t="str">
        <f>'1월'!I44</f>
        <v>1월 유지정비료 - 10/12회</v>
      </c>
      <c r="J43" s="23">
        <f>'1월'!J44</f>
        <v>1</v>
      </c>
      <c r="K43" s="27">
        <f>'1월'!K44</f>
        <v>200000</v>
      </c>
      <c r="L43" s="26">
        <f>'1월'!L44</f>
        <v>200000</v>
      </c>
      <c r="M43" s="27">
        <f>'1월'!M44</f>
        <v>20000</v>
      </c>
      <c r="N43" s="27">
        <f>'1월'!N44</f>
        <v>220000</v>
      </c>
      <c r="O43" s="52">
        <f>'1월'!O44</f>
        <v>0</v>
      </c>
      <c r="P43" s="171" t="str">
        <f>'1월'!P44</f>
        <v>X</v>
      </c>
      <c r="Q43" s="181">
        <f>'1월'!Q44</f>
        <v>200000</v>
      </c>
      <c r="R43" s="2" t="str">
        <f>'1월'!R44</f>
        <v>완료(2/28)</v>
      </c>
      <c r="S43" s="8" t="str">
        <f>'1월'!S44</f>
        <v>이예지</v>
      </c>
      <c r="T43" s="11"/>
    </row>
    <row r="44" spans="1:20" ht="72">
      <c r="A44" t="s">
        <v>30</v>
      </c>
      <c r="B44" s="151" t="str">
        <f>'1월'!B45</f>
        <v>SM-23023</v>
      </c>
      <c r="C44" s="200"/>
      <c r="D44" s="10">
        <f>'1월'!D45</f>
        <v>45677</v>
      </c>
      <c r="E44" s="214" t="str">
        <f>'1월'!E45</f>
        <v>중앙유통단지관리운영회</v>
      </c>
      <c r="F44" s="215"/>
      <c r="G44" s="161" t="str">
        <f>'1월'!G45</f>
        <v>장비임대</v>
      </c>
      <c r="H44" s="161" t="str">
        <f>'1월'!H45</f>
        <v>서버</v>
      </c>
      <c r="I44" s="163" t="str">
        <f>'1월'!I45</f>
        <v>서버임대 SR650 2식 - 16/36회</v>
      </c>
      <c r="J44" s="23">
        <f>'1월'!J45</f>
        <v>1</v>
      </c>
      <c r="K44" s="26">
        <f>'1월'!K45</f>
        <v>1000000</v>
      </c>
      <c r="L44" s="26">
        <f>'1월'!L45</f>
        <v>1000000</v>
      </c>
      <c r="M44" s="27">
        <f>'1월'!M45</f>
        <v>100000</v>
      </c>
      <c r="N44" s="27">
        <f>'1월'!N45</f>
        <v>1100000</v>
      </c>
      <c r="O44" s="72">
        <f>'1월'!O45</f>
        <v>918000.00000000012</v>
      </c>
      <c r="P44" s="171" t="str">
        <f>'1월'!P45</f>
        <v>트루스케일 2대 15,800,000
SR250내 2.4T 2*100,000 
이룸에스앤앤(9/5) 2*364,000
========= 총 16,728,000 (16/36회)
이올테크(1/20) 370,000
시스나인(24/9/2) 연 1,000,000(4/12회)</v>
      </c>
      <c r="Q44" s="181">
        <f>'1월'!Q45</f>
        <v>81999.999999999884</v>
      </c>
      <c r="R44" s="68" t="str">
        <f>'1월'!R45</f>
        <v>완료(1/31)</v>
      </c>
      <c r="S44" s="5" t="str">
        <f>'1월'!S45</f>
        <v>천범석</v>
      </c>
      <c r="T44" s="11"/>
    </row>
    <row r="45" spans="1:20" ht="48">
      <c r="A45" t="s">
        <v>30</v>
      </c>
      <c r="B45" s="151" t="str">
        <f>'1월'!B46</f>
        <v>SM-24007</v>
      </c>
      <c r="C45" s="200"/>
      <c r="D45" s="78">
        <f>'1월'!D46</f>
        <v>45677</v>
      </c>
      <c r="E45" s="218" t="str">
        <f>'1월'!E46</f>
        <v>성대의료원</v>
      </c>
      <c r="F45" s="217"/>
      <c r="G45" s="167" t="str">
        <f>'1월'!G46</f>
        <v>MA</v>
      </c>
      <c r="H45" s="167" t="str">
        <f>'1월'!H46</f>
        <v>월간</v>
      </c>
      <c r="I45" s="168" t="str">
        <f>'1월'!I46</f>
        <v>1월 유지정비료 - 12/12회</v>
      </c>
      <c r="J45" s="79">
        <f>'1월'!J46</f>
        <v>1</v>
      </c>
      <c r="K45" s="80">
        <f>'1월'!K46</f>
        <v>1505000</v>
      </c>
      <c r="L45" s="80">
        <f>'1월'!L46</f>
        <v>1505000</v>
      </c>
      <c r="M45" s="81">
        <f>'1월'!M46</f>
        <v>150500</v>
      </c>
      <c r="N45" s="81">
        <f>'1월'!N46</f>
        <v>1655500</v>
      </c>
      <c r="O45" s="52">
        <f>'1월'!O46</f>
        <v>1268000</v>
      </c>
      <c r="P45" s="171" t="str">
        <f>'1월'!P46</f>
        <v>다원씨앤에스(1/25) 200,000
IBM(1/1) 288,000
DCSS (2/28) 80,000
시스나인() 2,100,000(3/3회)</v>
      </c>
      <c r="Q45" s="181">
        <f>'1월'!Q46</f>
        <v>237000</v>
      </c>
      <c r="R45" s="2" t="str">
        <f>'1월'!R46</f>
        <v>완료(2/27)</v>
      </c>
      <c r="S45" s="5" t="str">
        <f>'1월'!S46</f>
        <v>이예지</v>
      </c>
      <c r="T45" s="11"/>
    </row>
    <row r="46" spans="1:20">
      <c r="A46" t="s">
        <v>30</v>
      </c>
      <c r="B46" s="151" t="str">
        <f>'1월'!B47</f>
        <v>H250116-01</v>
      </c>
      <c r="C46" s="153"/>
      <c r="D46" s="10">
        <f>'1월'!D47</f>
        <v>45677</v>
      </c>
      <c r="E46" s="1" t="str">
        <f>'1월'!E47</f>
        <v>디에이치라이팅 2공장</v>
      </c>
      <c r="F46" s="2"/>
      <c r="G46" s="2" t="str">
        <f>'1월'!G47</f>
        <v>상품</v>
      </c>
      <c r="H46" s="83" t="str">
        <f>'1월'!H47</f>
        <v>765873-001</v>
      </c>
      <c r="I46" s="4" t="str">
        <f>'1월'!I47</f>
        <v>2TB 7.2K 12G SAS 2.5inch Enterprise Hard Drive</v>
      </c>
      <c r="J46" s="23">
        <f>'1월'!J47</f>
        <v>3</v>
      </c>
      <c r="K46" s="27">
        <f>'1월'!K47</f>
        <v>280000</v>
      </c>
      <c r="L46" s="26">
        <f>'1월'!L47</f>
        <v>840000</v>
      </c>
      <c r="M46" s="27">
        <f>'1월'!M47</f>
        <v>84000</v>
      </c>
      <c r="N46" s="27">
        <f>'1월'!N47</f>
        <v>924000</v>
      </c>
      <c r="O46" s="33">
        <f>'1월'!O47</f>
        <v>600000</v>
      </c>
      <c r="P46" s="197" t="str">
        <f>'1월'!P47</f>
        <v>이비웨이브(1/16)</v>
      </c>
      <c r="Q46" s="20">
        <f>'1월'!Q47</f>
        <v>240000</v>
      </c>
      <c r="R46" s="2" t="str">
        <f>'1월'!R47</f>
        <v>완료(2/28)</v>
      </c>
      <c r="S46" s="8" t="str">
        <f>'1월'!S47</f>
        <v>천범석</v>
      </c>
      <c r="T46" s="11"/>
    </row>
    <row r="47" spans="1:20" ht="48">
      <c r="B47" s="151" t="str">
        <f>'1월'!B48</f>
        <v>H250117-01</v>
      </c>
      <c r="C47" s="153"/>
      <c r="D47" s="17">
        <f>'1월'!D48</f>
        <v>45678</v>
      </c>
      <c r="E47" s="1" t="str">
        <f>'1월'!E48</f>
        <v>매사</v>
      </c>
      <c r="F47" s="2"/>
      <c r="G47" s="2" t="str">
        <f>'1월'!G48</f>
        <v>상품</v>
      </c>
      <c r="H47" s="83" t="str">
        <f>'1월'!H48</f>
        <v>54C33</v>
      </c>
      <c r="I47" s="4" t="str">
        <f>'1월'!I48</f>
        <v>DELL Controller Battery FS8600(중고) 
- 매출취소(3/25수정발행)</v>
      </c>
      <c r="J47" s="23">
        <f>'1월'!J48</f>
        <v>1</v>
      </c>
      <c r="K47" s="27">
        <f>'1월'!K48</f>
        <v>650000</v>
      </c>
      <c r="L47" s="26">
        <f>'1월'!L48</f>
        <v>650000</v>
      </c>
      <c r="M47" s="27">
        <f>'1월'!M48</f>
        <v>65000</v>
      </c>
      <c r="N47" s="27">
        <f>'1월'!N48</f>
        <v>715000</v>
      </c>
      <c r="O47" s="33">
        <f>'1월'!O48</f>
        <v>34000</v>
      </c>
      <c r="P47" s="197" t="str">
        <f>'1월'!P48</f>
        <v>위퍼스트(1/16)-매출취소반납
우림퀵(1/31) 12,000
우림퀵(2/28) 반품 12,000
우림퀵(3/31) 반품 10,000</v>
      </c>
      <c r="Q47" s="20">
        <f>'1월'!Q48</f>
        <v>-34000</v>
      </c>
      <c r="R47" s="2" t="str">
        <f>'1월'!R48</f>
        <v>완료(3/5)</v>
      </c>
      <c r="S47" s="8" t="str">
        <f>'1월'!S48</f>
        <v>천범석</v>
      </c>
      <c r="T47" s="11"/>
    </row>
    <row r="48" spans="1:20" ht="24">
      <c r="A48" t="s">
        <v>30</v>
      </c>
      <c r="B48" s="151" t="str">
        <f>'1월'!B49</f>
        <v>Y250114-01</v>
      </c>
      <c r="C48" s="153"/>
      <c r="D48" s="17">
        <f>'1월'!D49</f>
        <v>45679</v>
      </c>
      <c r="E48" s="1" t="str">
        <f>'1월'!E49</f>
        <v>인표정보</v>
      </c>
      <c r="F48" s="207"/>
      <c r="G48" s="2" t="str">
        <f>'1월'!G49</f>
        <v>상품</v>
      </c>
      <c r="H48" s="83" t="str">
        <f>'1월'!H49</f>
        <v>기술지원</v>
      </c>
      <c r="I48" s="4" t="str">
        <f>'1월'!I49</f>
        <v>HPE Server 엔지니어기술지원(OS 백업 및 복원작업)</v>
      </c>
      <c r="J48" s="23">
        <f>'1월'!J49</f>
        <v>1</v>
      </c>
      <c r="K48" s="27">
        <f>'1월'!K49</f>
        <v>550000</v>
      </c>
      <c r="L48" s="26">
        <f>'1월'!L49</f>
        <v>780000</v>
      </c>
      <c r="M48" s="27">
        <f>'1월'!M49</f>
        <v>78000</v>
      </c>
      <c r="N48" s="27">
        <f>'1월'!N49</f>
        <v>858000</v>
      </c>
      <c r="O48" s="33">
        <f>'1월'!O49</f>
        <v>389090</v>
      </c>
      <c r="P48" s="197" t="str">
        <f>'1월'!P49</f>
        <v>컴퓨존(1/14) 
우림퀵(1/31) 120,000*2회</v>
      </c>
      <c r="Q48" s="20">
        <f>'1월'!Q49</f>
        <v>390910</v>
      </c>
      <c r="R48" s="2" t="str">
        <f>'1월'!R49</f>
        <v>완료(2/25)</v>
      </c>
      <c r="S48" s="8" t="str">
        <f>'1월'!S49</f>
        <v>홍승민</v>
      </c>
      <c r="T48" s="11"/>
    </row>
    <row r="49" spans="1:20">
      <c r="A49" t="s">
        <v>30</v>
      </c>
      <c r="B49" s="151" t="str">
        <f>'1월'!B50</f>
        <v>Y250114-02</v>
      </c>
      <c r="C49" s="155"/>
      <c r="D49" s="43"/>
      <c r="E49" s="44" t="str">
        <f>'1월'!E50</f>
        <v>인표정보</v>
      </c>
      <c r="F49" s="41"/>
      <c r="G49" s="2" t="str">
        <f>'1월'!G50</f>
        <v>상품</v>
      </c>
      <c r="H49" s="83" t="str">
        <f>'1월'!H50</f>
        <v>자재비</v>
      </c>
      <c r="I49" s="4" t="str">
        <f>'1월'!I50</f>
        <v>2TB 2.5" SATA SSD  외</v>
      </c>
      <c r="J49" s="23">
        <f>'1월'!J50</f>
        <v>1</v>
      </c>
      <c r="K49" s="27">
        <f>'1월'!K50</f>
        <v>230000</v>
      </c>
      <c r="L49" s="37"/>
      <c r="M49" s="38"/>
      <c r="N49" s="38"/>
      <c r="O49" s="38"/>
      <c r="P49" s="38"/>
      <c r="Q49" s="38"/>
      <c r="R49" s="38"/>
      <c r="S49" s="38"/>
      <c r="T49" s="11"/>
    </row>
    <row r="50" spans="1:20" ht="24">
      <c r="A50" t="s">
        <v>30</v>
      </c>
      <c r="B50" s="151" t="str">
        <f>'1월'!B51</f>
        <v>Y241127-02</v>
      </c>
      <c r="C50" s="153"/>
      <c r="D50" s="86">
        <f>'1월'!D51</f>
        <v>45680</v>
      </c>
      <c r="E50" s="1" t="str">
        <f>'1월'!E51</f>
        <v>코드정보</v>
      </c>
      <c r="F50" s="2"/>
      <c r="G50" s="2" t="str">
        <f>'1월'!G51</f>
        <v>상품</v>
      </c>
      <c r="H50" s="83" t="str">
        <f>'1월'!H51</f>
        <v>서버</v>
      </c>
      <c r="I50" s="4" t="str">
        <f>'1월'!I51</f>
        <v>HPE DL360Gen10 Plus</v>
      </c>
      <c r="J50" s="23">
        <f>'1월'!J51</f>
        <v>7</v>
      </c>
      <c r="K50" s="27">
        <f>'1월'!K51</f>
        <v>4900000</v>
      </c>
      <c r="L50" s="26">
        <f>'1월'!L51</f>
        <v>34300000</v>
      </c>
      <c r="M50" s="27">
        <f>'1월'!M51</f>
        <v>3430000</v>
      </c>
      <c r="N50" s="27">
        <f>'1월'!N51</f>
        <v>37730000</v>
      </c>
      <c r="O50" s="33">
        <f>'1월'!O51</f>
        <v>32779000</v>
      </c>
      <c r="P50" s="197" t="str">
        <f>'1월'!P51</f>
        <v>씨플랫폼(12/27) 7*4677000
우림퀵(1/31) 40,000</v>
      </c>
      <c r="Q50" s="20">
        <f>'1월'!Q51</f>
        <v>1521000</v>
      </c>
      <c r="R50" s="68" t="str">
        <f>'1월'!R51</f>
        <v>완료(3/31)</v>
      </c>
      <c r="S50" s="8" t="str">
        <f>'1월'!S51</f>
        <v>홍승민</v>
      </c>
      <c r="T50" s="11"/>
    </row>
    <row r="51" spans="1:20">
      <c r="A51" t="s">
        <v>30</v>
      </c>
      <c r="B51" s="151" t="str">
        <f>'1월'!B52</f>
        <v>Y241210-01</v>
      </c>
      <c r="C51" s="153"/>
      <c r="D51" s="86">
        <f>'1월'!D52</f>
        <v>45680</v>
      </c>
      <c r="E51" s="1" t="str">
        <f>'1월'!E52</f>
        <v>코드정보</v>
      </c>
      <c r="F51" s="2"/>
      <c r="G51" s="2" t="str">
        <f>'1월'!G52</f>
        <v>상품</v>
      </c>
      <c r="H51" s="83" t="str">
        <f>'1월'!H52</f>
        <v>워크스테이션</v>
      </c>
      <c r="I51" s="4" t="str">
        <f>'1월'!I52</f>
        <v>HP Z1 G9 Workstation</v>
      </c>
      <c r="J51" s="23">
        <f>'1월'!J52</f>
        <v>2</v>
      </c>
      <c r="K51" s="27">
        <f>'1월'!K52</f>
        <v>1930000</v>
      </c>
      <c r="L51" s="26">
        <f>'1월'!L52</f>
        <v>4240000</v>
      </c>
      <c r="M51" s="27">
        <f>'1월'!M52</f>
        <v>424000</v>
      </c>
      <c r="N51" s="27">
        <f>'1월'!N52</f>
        <v>4664000</v>
      </c>
      <c r="O51" s="33">
        <f>'1월'!O52</f>
        <v>3763490.9090909087</v>
      </c>
      <c r="P51" s="197" t="str">
        <f>'1월'!P52</f>
        <v>컴퓨존(12/10)</v>
      </c>
      <c r="Q51" s="181">
        <f>'1월'!Q52</f>
        <v>476509.09090909129</v>
      </c>
      <c r="R51" s="68" t="str">
        <f>'1월'!R52</f>
        <v>완료(3/31)</v>
      </c>
      <c r="S51" s="8" t="str">
        <f>'1월'!S52</f>
        <v>홍승민</v>
      </c>
      <c r="T51" s="11"/>
    </row>
    <row r="52" spans="1:20">
      <c r="A52" t="s">
        <v>30</v>
      </c>
      <c r="B52" s="154"/>
      <c r="C52" s="155"/>
      <c r="D52" s="212"/>
      <c r="E52" s="44" t="str">
        <f>'1월'!E53</f>
        <v>코드정보</v>
      </c>
      <c r="F52" s="212"/>
      <c r="G52" s="2" t="str">
        <f>'1월'!G53</f>
        <v>상품</v>
      </c>
      <c r="H52" s="83" t="str">
        <f>'1월'!H53</f>
        <v>모니터</v>
      </c>
      <c r="I52" s="4" t="str">
        <f>'1월'!I53</f>
        <v>HP P24h G5 FHD IPS 75</v>
      </c>
      <c r="J52" s="23">
        <f>'1월'!J53</f>
        <v>2</v>
      </c>
      <c r="K52" s="27">
        <f>'1월'!K53</f>
        <v>190000</v>
      </c>
      <c r="L52" s="41"/>
      <c r="M52" s="41"/>
      <c r="N52" s="41"/>
      <c r="O52" s="39"/>
      <c r="P52" s="175"/>
      <c r="Q52" s="184"/>
      <c r="R52" s="41"/>
      <c r="S52" s="42"/>
      <c r="T52" s="11"/>
    </row>
    <row r="53" spans="1:20">
      <c r="A53" t="s">
        <v>30</v>
      </c>
      <c r="B53" s="151" t="str">
        <f>'1월'!B54</f>
        <v>Y250115-01</v>
      </c>
      <c r="C53" s="153"/>
      <c r="D53" s="17">
        <f>'1월'!D54</f>
        <v>45680</v>
      </c>
      <c r="E53" s="1" t="str">
        <f>'1월'!E54</f>
        <v>파워시스</v>
      </c>
      <c r="F53" s="2" t="str">
        <f>'1월'!F54</f>
        <v>솔튼병원</v>
      </c>
      <c r="G53" s="2" t="str">
        <f>'1월'!G54</f>
        <v>상품</v>
      </c>
      <c r="H53" s="83" t="str">
        <f>'1월'!H54</f>
        <v>Board</v>
      </c>
      <c r="I53" s="4" t="str">
        <f>'1월'!I54</f>
        <v>System Board for X3650M5</v>
      </c>
      <c r="J53" s="23">
        <f>'1월'!J54</f>
        <v>1</v>
      </c>
      <c r="K53" s="27">
        <f>'1월'!K54</f>
        <v>600000</v>
      </c>
      <c r="L53" s="26">
        <f>'1월'!L54</f>
        <v>1450000</v>
      </c>
      <c r="M53" s="27">
        <f>'1월'!M54</f>
        <v>145000</v>
      </c>
      <c r="N53" s="27">
        <f>'1월'!N54</f>
        <v>1595000</v>
      </c>
      <c r="O53" s="33">
        <f>'1월'!O54</f>
        <v>0</v>
      </c>
      <c r="P53" s="197" t="str">
        <f>'1월'!P54</f>
        <v>SM</v>
      </c>
      <c r="Q53" s="20">
        <f>'1월'!Q54</f>
        <v>1450000</v>
      </c>
      <c r="R53" s="2" t="str">
        <f>'1월'!R54</f>
        <v>완료(4/30)</v>
      </c>
      <c r="S53" s="8" t="str">
        <f>'1월'!S54</f>
        <v>홍승민</v>
      </c>
      <c r="T53" s="11"/>
    </row>
    <row r="54" spans="1:20">
      <c r="A54" t="s">
        <v>30</v>
      </c>
      <c r="B54" s="154"/>
      <c r="C54" s="155"/>
      <c r="D54" s="43"/>
      <c r="E54" s="44" t="str">
        <f>'1월'!E55</f>
        <v>파워시스</v>
      </c>
      <c r="F54" s="41"/>
      <c r="G54" s="2" t="str">
        <f>'1월'!G55</f>
        <v>상품</v>
      </c>
      <c r="H54" s="83" t="str">
        <f>'1월'!H55</f>
        <v>기술지원</v>
      </c>
      <c r="I54" s="4" t="str">
        <f>'1월'!I55</f>
        <v xml:space="preserve">Server  기술지원 (On-Site) / 일과시간 지원 </v>
      </c>
      <c r="J54" s="23">
        <f>'1월'!J55</f>
        <v>1</v>
      </c>
      <c r="K54" s="27">
        <f>'1월'!K55</f>
        <v>850000</v>
      </c>
      <c r="L54" s="37"/>
      <c r="M54" s="38"/>
      <c r="N54" s="38"/>
      <c r="O54" s="39"/>
      <c r="P54" s="175"/>
      <c r="Q54" s="40"/>
      <c r="R54" s="41"/>
      <c r="S54" s="42"/>
      <c r="T54" s="11"/>
    </row>
    <row r="55" spans="1:20">
      <c r="A55" t="s">
        <v>30</v>
      </c>
      <c r="B55" s="151" t="str">
        <f>'1월'!B56</f>
        <v>Y250124-02</v>
      </c>
      <c r="C55" s="153"/>
      <c r="D55" s="17">
        <f>'1월'!D56</f>
        <v>45680</v>
      </c>
      <c r="E55" s="1" t="str">
        <f>'1월'!E56</f>
        <v>이즈파크</v>
      </c>
      <c r="F55" s="2"/>
      <c r="G55" s="2" t="str">
        <f>'1월'!G56</f>
        <v>장비임대</v>
      </c>
      <c r="H55" s="83" t="str">
        <f>'1월'!H56</f>
        <v>Dell R730</v>
      </c>
      <c r="I55" s="4" t="str">
        <f>'1월'!I56</f>
        <v>법률DB 개발서버임대(2025.01.06~2025.05.29)</v>
      </c>
      <c r="J55" s="23">
        <f>'1월'!J56</f>
        <v>1</v>
      </c>
      <c r="K55" s="27">
        <f>'1월'!K56</f>
        <v>1000000</v>
      </c>
      <c r="L55" s="26">
        <f>'1월'!L56</f>
        <v>1000000</v>
      </c>
      <c r="M55" s="27">
        <f>'1월'!M56</f>
        <v>100000</v>
      </c>
      <c r="N55" s="27">
        <f>'1월'!N56</f>
        <v>1100000</v>
      </c>
      <c r="O55" s="33">
        <f>'1월'!O56</f>
        <v>75000</v>
      </c>
      <c r="P55" s="197" t="str">
        <f>'1월'!P56</f>
        <v>우림퀵(1/31) 35,000 40,000</v>
      </c>
      <c r="Q55" s="20">
        <f>'1월'!Q56</f>
        <v>925000</v>
      </c>
      <c r="R55" s="2" t="str">
        <f>'1월'!R56</f>
        <v>완료(2/28)</v>
      </c>
      <c r="S55" s="8" t="str">
        <f>'1월'!S56</f>
        <v>홍승민</v>
      </c>
      <c r="T55" s="11"/>
    </row>
    <row r="56" spans="1:20">
      <c r="A56" t="s">
        <v>30</v>
      </c>
      <c r="B56" s="151" t="str">
        <f>'1월'!B57</f>
        <v>SM-20023</v>
      </c>
      <c r="C56" s="200"/>
      <c r="D56" s="17">
        <f>'1월'!D57</f>
        <v>45681</v>
      </c>
      <c r="E56" s="214" t="str">
        <f>'1월'!E57</f>
        <v>비씨엠정보통신</v>
      </c>
      <c r="F56" s="189" t="str">
        <f>'1월'!F57</f>
        <v>꼬망스</v>
      </c>
      <c r="G56" s="161" t="str">
        <f>'1월'!G57</f>
        <v>MA</v>
      </c>
      <c r="H56" s="161" t="str">
        <f>'1월'!H57</f>
        <v>월간</v>
      </c>
      <c r="I56" s="163" t="str">
        <f>'1월'!I57</f>
        <v>1월 유지정비료 - 5/12회</v>
      </c>
      <c r="J56" s="24">
        <f>'1월'!J57</f>
        <v>1</v>
      </c>
      <c r="K56" s="26">
        <f>'1월'!K57</f>
        <v>320000</v>
      </c>
      <c r="L56" s="26">
        <f>'1월'!L57</f>
        <v>320000</v>
      </c>
      <c r="M56" s="27">
        <f>'1월'!M57</f>
        <v>32000</v>
      </c>
      <c r="N56" s="27">
        <f>'1월'!N57</f>
        <v>352000</v>
      </c>
      <c r="O56" s="33">
        <f>'1월'!O57</f>
        <v>150000</v>
      </c>
      <c r="P56" s="171" t="str">
        <f>'1월'!P57</f>
        <v>시스나인(25/3/4) 연간 1,800,000 (5/12회)</v>
      </c>
      <c r="Q56" s="181">
        <f>'1월'!Q57</f>
        <v>170000</v>
      </c>
      <c r="R56" s="2" t="str">
        <f>'1월'!R57</f>
        <v>완료(2/28)</v>
      </c>
      <c r="S56" s="5" t="str">
        <f>'1월'!S57</f>
        <v>천범석</v>
      </c>
      <c r="T56" s="11"/>
    </row>
    <row r="57" spans="1:20">
      <c r="A57" t="s">
        <v>30</v>
      </c>
      <c r="B57" s="151" t="str">
        <f>'1월'!B58</f>
        <v>SM-23026</v>
      </c>
      <c r="C57" s="199"/>
      <c r="D57" s="17">
        <f>'1월'!D58</f>
        <v>45681</v>
      </c>
      <c r="E57" s="214" t="str">
        <f>'1월'!E58</f>
        <v>한국도자기협회</v>
      </c>
      <c r="F57" s="215"/>
      <c r="G57" s="1" t="str">
        <f>'1월'!G58</f>
        <v>MA</v>
      </c>
      <c r="H57" s="2" t="str">
        <f>'1월'!H58</f>
        <v>월간</v>
      </c>
      <c r="I57" s="163" t="str">
        <f>'1월'!I58</f>
        <v>1월 유지정비료 - 6/12회</v>
      </c>
      <c r="J57" s="76">
        <f>'1월'!J58</f>
        <v>1</v>
      </c>
      <c r="K57" s="48">
        <f>'1월'!K58</f>
        <v>1216000</v>
      </c>
      <c r="L57" s="26">
        <f>'1월'!L58</f>
        <v>2446000</v>
      </c>
      <c r="M57" s="27">
        <f>'1월'!M58</f>
        <v>244600</v>
      </c>
      <c r="N57" s="27">
        <f>'1월'!N58</f>
        <v>2690600</v>
      </c>
      <c r="O57" s="52">
        <f>'1월'!O58</f>
        <v>1435000</v>
      </c>
      <c r="P57" s="171" t="str">
        <f>'1월'!P58</f>
        <v>현성솔루션(1/31) 840,000</v>
      </c>
      <c r="Q57" s="181">
        <f>'1월'!Q58</f>
        <v>1011000</v>
      </c>
      <c r="R57" s="2" t="str">
        <f>'1월'!R58</f>
        <v>완료(2/10)</v>
      </c>
      <c r="S57" s="8" t="str">
        <f>'1월'!S58</f>
        <v>홍승민</v>
      </c>
      <c r="T57" s="11"/>
    </row>
    <row r="58" spans="1:20">
      <c r="A58" t="s">
        <v>30</v>
      </c>
      <c r="B58" s="151" t="str">
        <f>'1월'!B59</f>
        <v>SM-24012</v>
      </c>
      <c r="C58" s="201"/>
      <c r="D58" s="43"/>
      <c r="E58" s="219" t="str">
        <f>'1월'!E59</f>
        <v>한국도자기협회</v>
      </c>
      <c r="F58" s="220"/>
      <c r="G58" s="1" t="str">
        <f>'1월'!G59</f>
        <v>MA</v>
      </c>
      <c r="H58" s="2" t="str">
        <f>'1월'!H59</f>
        <v>월간</v>
      </c>
      <c r="I58" s="163" t="str">
        <f>'1월'!I59</f>
        <v>1월 유지정비료 - 9/12회</v>
      </c>
      <c r="J58" s="76">
        <f>'1월'!J59</f>
        <v>1</v>
      </c>
      <c r="K58" s="48">
        <f>'1월'!K59</f>
        <v>390000</v>
      </c>
      <c r="L58" s="38"/>
      <c r="M58" s="38"/>
      <c r="N58" s="38"/>
      <c r="O58" s="52"/>
      <c r="P58" s="171"/>
      <c r="Q58" s="184"/>
      <c r="R58" s="46"/>
      <c r="S58" s="42"/>
      <c r="T58" s="133"/>
    </row>
    <row r="59" spans="1:20">
      <c r="A59" t="s">
        <v>30</v>
      </c>
      <c r="B59" s="151" t="str">
        <f>'1월'!B60</f>
        <v>SM-23025</v>
      </c>
      <c r="C59" s="201"/>
      <c r="D59" s="43"/>
      <c r="E59" s="219" t="str">
        <f>'1월'!E60</f>
        <v>한국도자기협회</v>
      </c>
      <c r="F59" s="220"/>
      <c r="G59" s="1" t="str">
        <f>'1월'!G60</f>
        <v>MA</v>
      </c>
      <c r="H59" s="2" t="str">
        <f>'1월'!H60</f>
        <v>월간</v>
      </c>
      <c r="I59" s="3" t="str">
        <f>'1월'!I60</f>
        <v>이메일 보안 및 호스팅 1월 - 6/12회</v>
      </c>
      <c r="J59" s="76">
        <f>'1월'!J60</f>
        <v>70</v>
      </c>
      <c r="K59" s="48">
        <f>'1월'!K60</f>
        <v>12000</v>
      </c>
      <c r="L59" s="38"/>
      <c r="M59" s="38"/>
      <c r="N59" s="38"/>
      <c r="O59" s="52"/>
      <c r="P59" s="171" t="str">
        <f>'1월'!P60</f>
        <v>현성솔루션(1/31) 595,000</v>
      </c>
      <c r="Q59" s="184"/>
      <c r="R59" s="46"/>
      <c r="S59" s="42"/>
      <c r="T59" s="133"/>
    </row>
    <row r="60" spans="1:20" ht="24">
      <c r="A60" t="s">
        <v>30</v>
      </c>
      <c r="B60" s="151" t="str">
        <f>'1월'!B61</f>
        <v>LI-24007</v>
      </c>
      <c r="C60" s="200" t="str">
        <f>'1월'!C61</f>
        <v>C24009</v>
      </c>
      <c r="D60" s="17">
        <f>'1월'!D61</f>
        <v>45681</v>
      </c>
      <c r="E60" s="214" t="str">
        <f>'1월'!E61</f>
        <v>유더블유에스</v>
      </c>
      <c r="F60" s="215" t="str">
        <f>'1월'!F61</f>
        <v>두원정공</v>
      </c>
      <c r="G60" s="161" t="str">
        <f>'1월'!G61</f>
        <v>MA</v>
      </c>
      <c r="H60" s="161" t="str">
        <f>'1월'!H61</f>
        <v>월간</v>
      </c>
      <c r="I60" s="3" t="str">
        <f>'1월'!I61</f>
        <v>1월 유지정비료 - 7/12회</v>
      </c>
      <c r="J60" s="73">
        <f>'1월'!J61</f>
        <v>1</v>
      </c>
      <c r="K60" s="26">
        <f>'1월'!K61</f>
        <v>168000</v>
      </c>
      <c r="L60" s="26">
        <f>'1월'!L61</f>
        <v>168000</v>
      </c>
      <c r="M60" s="27">
        <f>'1월'!M61</f>
        <v>16800</v>
      </c>
      <c r="N60" s="27">
        <f>'1월'!N61</f>
        <v>184800</v>
      </c>
      <c r="O60" s="52">
        <f>'1월'!O61</f>
        <v>120613.33333333334</v>
      </c>
      <c r="P60" s="171" t="str">
        <f>'1월'!P61</f>
        <v>레노버(24/7/8)연간 (7/12회) 485,440
IBM(1/1) 80,160</v>
      </c>
      <c r="Q60" s="183">
        <f>'1월'!Q61</f>
        <v>47386.666666666657</v>
      </c>
      <c r="R60" s="68" t="str">
        <f>'1월'!R61</f>
        <v>완료(2/28)</v>
      </c>
      <c r="S60" s="5" t="str">
        <f>'1월'!S61</f>
        <v>천범석</v>
      </c>
      <c r="T60" s="11"/>
    </row>
    <row r="61" spans="1:20">
      <c r="A61" t="s">
        <v>30</v>
      </c>
      <c r="B61" s="151" t="str">
        <f>'1월'!B62</f>
        <v>IK-24007</v>
      </c>
      <c r="C61" s="200"/>
      <c r="D61" s="17">
        <f>'1월'!D62</f>
        <v>45681</v>
      </c>
      <c r="E61" s="214" t="str">
        <f>'1월'!E62</f>
        <v>로보츠</v>
      </c>
      <c r="F61" s="189" t="str">
        <f>'1월'!F62</f>
        <v>도시바일렉트로닉스</v>
      </c>
      <c r="G61" s="161" t="str">
        <f>'1월'!G62</f>
        <v>MA</v>
      </c>
      <c r="H61" s="161" t="str">
        <f>'1월'!H62</f>
        <v>월간-IBM</v>
      </c>
      <c r="I61" s="163" t="str">
        <f>'1월'!I62</f>
        <v>1월 유지정비료 - 7/12회</v>
      </c>
      <c r="J61" s="24">
        <f>'1월'!J62</f>
        <v>1</v>
      </c>
      <c r="K61" s="26">
        <f>'1월'!K62</f>
        <v>115000</v>
      </c>
      <c r="L61" s="26">
        <f>'1월'!L62</f>
        <v>115000</v>
      </c>
      <c r="M61" s="27">
        <f>'1월'!M62</f>
        <v>11500</v>
      </c>
      <c r="N61" s="27">
        <f>'1월'!N62</f>
        <v>126500</v>
      </c>
      <c r="O61" s="52">
        <f>'1월'!O62</f>
        <v>66498</v>
      </c>
      <c r="P61" s="171" t="str">
        <f>'1월'!P62</f>
        <v>IBM(1/2)</v>
      </c>
      <c r="Q61" s="181">
        <f>'1월'!Q62</f>
        <v>48502</v>
      </c>
      <c r="R61" s="68" t="str">
        <f>'1월'!R62</f>
        <v>완료(2/25)</v>
      </c>
      <c r="S61" s="5" t="str">
        <f>'1월'!S62</f>
        <v>천범석</v>
      </c>
      <c r="T61" s="11"/>
    </row>
    <row r="62" spans="1:20" ht="36">
      <c r="A62" t="s">
        <v>30</v>
      </c>
      <c r="B62" s="151" t="str">
        <f>'1월'!B63</f>
        <v>IK-24011</v>
      </c>
      <c r="C62" s="199"/>
      <c r="D62" s="17">
        <f>'1월'!D63</f>
        <v>45681</v>
      </c>
      <c r="E62" s="214" t="str">
        <f>'1월'!E63</f>
        <v>로보츠</v>
      </c>
      <c r="F62" s="215" t="str">
        <f>'1월'!F63</f>
        <v>키오시아</v>
      </c>
      <c r="G62" s="161" t="str">
        <f>'1월'!G63</f>
        <v>MA</v>
      </c>
      <c r="H62" s="161" t="str">
        <f>'1월'!H63</f>
        <v>월간-IBM</v>
      </c>
      <c r="I62" s="164" t="str">
        <f>'1월'!I63</f>
        <v>1월 유지정비료 - 2/12회</v>
      </c>
      <c r="J62" s="34">
        <f>'1월'!J63</f>
        <v>1</v>
      </c>
      <c r="K62" s="48">
        <f>'1월'!K63</f>
        <v>350000</v>
      </c>
      <c r="L62" s="26">
        <f>'1월'!L63</f>
        <v>350000</v>
      </c>
      <c r="M62" s="27">
        <f>'1월'!M63</f>
        <v>35000</v>
      </c>
      <c r="N62" s="27">
        <f>'1월'!N63</f>
        <v>385000</v>
      </c>
      <c r="O62" s="52">
        <f>'1월'!O63</f>
        <v>287383.33333333331</v>
      </c>
      <c r="P62" s="171" t="str">
        <f>'1월'!P63</f>
        <v>IBM(1/2) 133,875
DCSS (1/31) 70,180
시스나인(11/3) 1,000,000 (2/12)</v>
      </c>
      <c r="Q62" s="181">
        <f>'1월'!Q63</f>
        <v>62616.666666666686</v>
      </c>
      <c r="R62" s="68" t="str">
        <f>'1월'!R63</f>
        <v>완료(2/25)</v>
      </c>
      <c r="S62" s="8" t="str">
        <f>'1월'!S63</f>
        <v>천범석</v>
      </c>
      <c r="T62" s="11"/>
    </row>
    <row r="63" spans="1:20" ht="24">
      <c r="A63" t="s">
        <v>30</v>
      </c>
      <c r="B63" s="151" t="str">
        <f>'1월'!B64</f>
        <v>IK-24014</v>
      </c>
      <c r="C63" s="199"/>
      <c r="D63" s="17">
        <f>'1월'!D64</f>
        <v>45681</v>
      </c>
      <c r="E63" s="214" t="str">
        <f>'1월'!E64</f>
        <v>로보츠</v>
      </c>
      <c r="F63" s="215" t="str">
        <f>'1월'!F64</f>
        <v>와이케이케이코리아</v>
      </c>
      <c r="G63" s="161" t="str">
        <f>'1월'!G64</f>
        <v>MA</v>
      </c>
      <c r="H63" s="161" t="str">
        <f>'1월'!H64</f>
        <v>월간-IBM</v>
      </c>
      <c r="I63" s="164" t="str">
        <f>'1월'!I64</f>
        <v>1월 유지정비료 - 1/12회</v>
      </c>
      <c r="J63" s="34">
        <f>'1월'!J64</f>
        <v>1</v>
      </c>
      <c r="K63" s="48">
        <f>'1월'!K64</f>
        <v>644000</v>
      </c>
      <c r="L63" s="26">
        <f>'1월'!L64</f>
        <v>644000</v>
      </c>
      <c r="M63" s="27">
        <f>'1월'!M64</f>
        <v>64400</v>
      </c>
      <c r="N63" s="27">
        <f>'1월'!N64</f>
        <v>708400</v>
      </c>
      <c r="O63" s="77">
        <f>'1월'!O64</f>
        <v>429496</v>
      </c>
      <c r="P63" s="239" t="str">
        <f>'1월'!P64</f>
        <v>IBM(1/2) 79,196
시스나인(11/3) 4,200,000 (1/12회)</v>
      </c>
      <c r="Q63" s="181">
        <f>'1월'!Q64</f>
        <v>214504</v>
      </c>
      <c r="R63" s="68" t="str">
        <f>'1월'!R64</f>
        <v>완료(2/25)</v>
      </c>
      <c r="S63" s="8" t="str">
        <f>'1월'!S64</f>
        <v>천범석</v>
      </c>
      <c r="T63" s="11"/>
    </row>
    <row r="64" spans="1:20">
      <c r="A64" t="s">
        <v>30</v>
      </c>
      <c r="B64" s="151" t="str">
        <f>'1월'!B65</f>
        <v>SM-21021</v>
      </c>
      <c r="C64" s="200"/>
      <c r="D64" s="17">
        <f>'1월'!D65</f>
        <v>45681</v>
      </c>
      <c r="E64" s="214" t="str">
        <f>'1월'!E65</f>
        <v>바른시스템</v>
      </c>
      <c r="F64" s="189"/>
      <c r="G64" s="161" t="str">
        <f>'1월'!G65</f>
        <v>MA</v>
      </c>
      <c r="H64" s="161" t="str">
        <f>'1월'!H65</f>
        <v>월간</v>
      </c>
      <c r="I64" s="163" t="str">
        <f>'1월'!I65</f>
        <v>1월 유지정비료 - 11/12회</v>
      </c>
      <c r="J64" s="24">
        <f>'1월'!J65</f>
        <v>1</v>
      </c>
      <c r="K64" s="26">
        <f>'1월'!K65</f>
        <v>305000</v>
      </c>
      <c r="L64" s="26">
        <f>'1월'!L65</f>
        <v>305000</v>
      </c>
      <c r="M64" s="27">
        <f>'1월'!M65</f>
        <v>30500</v>
      </c>
      <c r="N64" s="27">
        <f>'1월'!N65</f>
        <v>335500</v>
      </c>
      <c r="O64" s="52">
        <f>'1월'!O65</f>
        <v>84811</v>
      </c>
      <c r="P64" s="171" t="str">
        <f>'1월'!P65</f>
        <v>IBM(1/2)</v>
      </c>
      <c r="Q64" s="181">
        <f>'1월'!Q65</f>
        <v>220189</v>
      </c>
      <c r="R64" s="68" t="str">
        <f>'1월'!R65</f>
        <v>완료(1/31)</v>
      </c>
      <c r="S64" s="5" t="str">
        <f>'1월'!S65</f>
        <v>홍승민</v>
      </c>
      <c r="T64" s="11"/>
    </row>
    <row r="65" spans="1:21">
      <c r="A65" t="s">
        <v>30</v>
      </c>
      <c r="B65" s="151" t="str">
        <f>'1월'!B66</f>
        <v>LI-24006</v>
      </c>
      <c r="C65" s="199"/>
      <c r="D65" s="17">
        <f>'1월'!D66</f>
        <v>45681</v>
      </c>
      <c r="E65" s="214" t="str">
        <f>'1월'!E66</f>
        <v>보해양조</v>
      </c>
      <c r="F65" s="215"/>
      <c r="G65" s="2" t="str">
        <f>'1월'!G66</f>
        <v>MA</v>
      </c>
      <c r="H65" s="161" t="str">
        <f>'1월'!H66</f>
        <v>월간-IBM</v>
      </c>
      <c r="I65" s="4" t="str">
        <f>'1월'!I66</f>
        <v>1월 유지정비료 - 7/12회</v>
      </c>
      <c r="J65" s="23">
        <f>'1월'!J66</f>
        <v>1</v>
      </c>
      <c r="K65" s="27">
        <f>'1월'!K66</f>
        <v>668000</v>
      </c>
      <c r="L65" s="26">
        <f>'1월'!L66</f>
        <v>668000</v>
      </c>
      <c r="M65" s="27">
        <f>'1월'!M66</f>
        <v>66800</v>
      </c>
      <c r="N65" s="27">
        <f>'1월'!N66</f>
        <v>734800</v>
      </c>
      <c r="O65" s="72">
        <f>'1월'!O66</f>
        <v>420400</v>
      </c>
      <c r="P65" s="223" t="str">
        <f>'1월'!P66</f>
        <v>IBM(1/2) 142,800   277,600</v>
      </c>
      <c r="Q65" s="181">
        <f>'1월'!Q66</f>
        <v>247600</v>
      </c>
      <c r="R65" s="68" t="str">
        <f>'1월'!R66</f>
        <v>완료(2/17)</v>
      </c>
      <c r="S65" s="8" t="str">
        <f>'1월'!S66</f>
        <v>천범석</v>
      </c>
      <c r="T65" s="11"/>
    </row>
    <row r="66" spans="1:21" ht="24">
      <c r="A66" t="s">
        <v>30</v>
      </c>
      <c r="B66" s="151" t="str">
        <f>'1월'!B67</f>
        <v>SM-24024</v>
      </c>
      <c r="C66" s="199"/>
      <c r="D66" s="17">
        <f>'1월'!D67</f>
        <v>45681</v>
      </c>
      <c r="E66" s="214" t="str">
        <f>'1월'!E67</f>
        <v>일원병원</v>
      </c>
      <c r="F66" s="214" t="str">
        <f>'1월'!F67</f>
        <v>묵동</v>
      </c>
      <c r="G66" s="161" t="str">
        <f>'1월'!G67</f>
        <v>MA</v>
      </c>
      <c r="H66" s="161" t="str">
        <f>'1월'!H67</f>
        <v>월간</v>
      </c>
      <c r="I66" s="163" t="str">
        <f>'1월'!I67</f>
        <v>1월 유지정비료 - 2/12회</v>
      </c>
      <c r="J66" s="24">
        <f>'1월'!J67</f>
        <v>1</v>
      </c>
      <c r="K66" s="26">
        <f>'1월'!K67</f>
        <v>500000</v>
      </c>
      <c r="L66" s="26">
        <f>'1월'!L67</f>
        <v>500000</v>
      </c>
      <c r="M66" s="27">
        <f>'1월'!M67</f>
        <v>50000</v>
      </c>
      <c r="N66" s="27">
        <f>'1월'!N67</f>
        <v>550000</v>
      </c>
      <c r="O66" s="52">
        <f>'1월'!O67</f>
        <v>120600</v>
      </c>
      <c r="P66" s="171" t="str">
        <f>'1월'!P67</f>
        <v>시스나인(4/25) 반기 600,000 (2/6회)
DCSS(1/31) 20,600</v>
      </c>
      <c r="Q66" s="181">
        <f>'1월'!Q67</f>
        <v>379400</v>
      </c>
      <c r="R66" s="68" t="str">
        <f>'1월'!R67</f>
        <v>완료(2/27)</v>
      </c>
      <c r="S66" s="5" t="str">
        <f>'1월'!S67</f>
        <v>천범석</v>
      </c>
      <c r="T66" s="11"/>
    </row>
    <row r="67" spans="1:21">
      <c r="A67" t="s">
        <v>30</v>
      </c>
      <c r="B67" s="151" t="str">
        <f>'1월'!B68</f>
        <v>SM-25005</v>
      </c>
      <c r="C67" s="199"/>
      <c r="D67" s="17">
        <f>'1월'!D68</f>
        <v>45681</v>
      </c>
      <c r="E67" s="221" t="str">
        <f>'1월'!E68</f>
        <v>고영</v>
      </c>
      <c r="F67" s="215"/>
      <c r="G67" s="161" t="str">
        <f>'1월'!G68</f>
        <v>MA</v>
      </c>
      <c r="H67" s="161" t="str">
        <f>'1월'!H68</f>
        <v>월간</v>
      </c>
      <c r="I67" s="163" t="str">
        <f>'1월'!I68</f>
        <v>1월 유지정비료 - 1/12회</v>
      </c>
      <c r="J67" s="23">
        <f>'1월'!J68</f>
        <v>1</v>
      </c>
      <c r="K67" s="27">
        <f>'1월'!K68</f>
        <v>1400000</v>
      </c>
      <c r="L67" s="26">
        <f>'1월'!L68</f>
        <v>1400000</v>
      </c>
      <c r="M67" s="27">
        <f>'1월'!M68</f>
        <v>140000</v>
      </c>
      <c r="N67" s="27">
        <f>'1월'!N68</f>
        <v>1540000</v>
      </c>
      <c r="O67" s="52">
        <f>'1월'!O68</f>
        <v>500000</v>
      </c>
      <c r="P67" s="171" t="str">
        <f>'1월'!P68</f>
        <v>시스나인(25/3/4) 분기 1,500,000 1/3회</v>
      </c>
      <c r="Q67" s="181">
        <f>'1월'!Q68</f>
        <v>900000</v>
      </c>
      <c r="R67" s="68" t="str">
        <f>'1월'!R68</f>
        <v>완료(2/20)</v>
      </c>
      <c r="S67" s="8" t="str">
        <f>'1월'!S68</f>
        <v>홍승민</v>
      </c>
      <c r="T67" s="11"/>
      <c r="U67" s="121">
        <f>Q67/L67</f>
        <v>0.6428571428571429</v>
      </c>
    </row>
    <row r="68" spans="1:21">
      <c r="A68" t="s">
        <v>30</v>
      </c>
      <c r="B68" s="151" t="str">
        <f>'1월'!B69</f>
        <v>SB-23012</v>
      </c>
      <c r="C68" s="200" t="str">
        <f>'1월'!C69</f>
        <v>ZKFUER</v>
      </c>
      <c r="D68" s="17">
        <f>'1월'!D69</f>
        <v>45681</v>
      </c>
      <c r="E68" s="214" t="str">
        <f>'1월'!E69</f>
        <v>솔리드시스템</v>
      </c>
      <c r="F68" s="214" t="str">
        <f>'1월'!F69</f>
        <v>국립기상과학원</v>
      </c>
      <c r="G68" s="1" t="str">
        <f>'1월'!G69</f>
        <v>MA</v>
      </c>
      <c r="H68" s="161" t="str">
        <f>'1월'!H69</f>
        <v>월간-레노버</v>
      </c>
      <c r="I68" s="163" t="str">
        <f>'1월'!I69</f>
        <v>1월 유지정비료 - 25/37회</v>
      </c>
      <c r="J68" s="32">
        <f>'1월'!J69</f>
        <v>1</v>
      </c>
      <c r="K68" s="48">
        <f>'1월'!K69</f>
        <v>11178000</v>
      </c>
      <c r="L68" s="26">
        <f>'1월'!L69</f>
        <v>11178000</v>
      </c>
      <c r="M68" s="27">
        <f>'1월'!M69</f>
        <v>1117800</v>
      </c>
      <c r="N68" s="27">
        <f>'1월'!N69</f>
        <v>12295800</v>
      </c>
      <c r="O68" s="72">
        <f>'1월'!O69</f>
        <v>9980400</v>
      </c>
      <c r="P68" s="223" t="str">
        <f>'1월'!P69</f>
        <v>레노버(1/31)</v>
      </c>
      <c r="Q68" s="181">
        <f>'1월'!Q69</f>
        <v>1197600</v>
      </c>
      <c r="R68" s="68" t="str">
        <f>'1월'!R69</f>
        <v>완료(2/28)</v>
      </c>
      <c r="S68" s="8" t="str">
        <f>'1월'!S69</f>
        <v>천범석</v>
      </c>
      <c r="T68" s="11"/>
    </row>
    <row r="69" spans="1:21">
      <c r="A69" t="s">
        <v>30</v>
      </c>
      <c r="B69" s="151" t="str">
        <f>'1월'!B70</f>
        <v>SB-25004</v>
      </c>
      <c r="C69" s="200" t="str">
        <f>'1월'!C70</f>
        <v>ZDCPQK</v>
      </c>
      <c r="D69" s="17">
        <f>'1월'!D70</f>
        <v>45681</v>
      </c>
      <c r="E69" s="214" t="str">
        <f>'1월'!E70</f>
        <v>솔리드시스템</v>
      </c>
      <c r="F69" s="189" t="str">
        <f>'1월'!F70</f>
        <v>삼성중공업</v>
      </c>
      <c r="G69" s="161" t="str">
        <f>'1월'!G70</f>
        <v>MA</v>
      </c>
      <c r="H69" s="161" t="str">
        <f>'1월'!H70</f>
        <v>월간-레노버</v>
      </c>
      <c r="I69" s="164" t="str">
        <f>'1월'!I70</f>
        <v>1월 유지정비료 - 1/12회</v>
      </c>
      <c r="J69" s="24">
        <f>'1월'!J70</f>
        <v>1</v>
      </c>
      <c r="K69" s="27">
        <f>'1월'!K70</f>
        <v>585000</v>
      </c>
      <c r="L69" s="26">
        <f>'1월'!L70</f>
        <v>585000</v>
      </c>
      <c r="M69" s="27">
        <f>'1월'!M70</f>
        <v>58500</v>
      </c>
      <c r="N69" s="27">
        <f>'1월'!N70</f>
        <v>643500</v>
      </c>
      <c r="O69" s="52">
        <f>'1월'!O70</f>
        <v>531600</v>
      </c>
      <c r="P69" s="223" t="str">
        <f>'1월'!P70</f>
        <v>레노버(1/31)</v>
      </c>
      <c r="Q69" s="181">
        <f>'1월'!Q70</f>
        <v>53400</v>
      </c>
      <c r="R69" s="68" t="str">
        <f>'1월'!R70</f>
        <v>완료(2/28)</v>
      </c>
      <c r="S69" s="5" t="str">
        <f>'1월'!S70</f>
        <v>천범석</v>
      </c>
      <c r="T69" s="11"/>
    </row>
    <row r="70" spans="1:21">
      <c r="A70" t="s">
        <v>30</v>
      </c>
      <c r="B70" s="151" t="str">
        <f>'1월'!B71</f>
        <v>IK-22023</v>
      </c>
      <c r="C70" s="200"/>
      <c r="D70" s="17">
        <f>'1월'!D71</f>
        <v>45681</v>
      </c>
      <c r="E70" s="214" t="str">
        <f>'1월'!E71</f>
        <v>로인아이티</v>
      </c>
      <c r="F70" s="189" t="str">
        <f>'1월'!F71</f>
        <v>성원제강</v>
      </c>
      <c r="G70" s="161" t="str">
        <f>'1월'!G71</f>
        <v>MA</v>
      </c>
      <c r="H70" s="161" t="str">
        <f>'1월'!H71</f>
        <v>월간-IBM</v>
      </c>
      <c r="I70" s="163" t="str">
        <f>'1월'!I71</f>
        <v>1월 유지정비료 - 22/36회</v>
      </c>
      <c r="J70" s="69">
        <f>'1월'!J71</f>
        <v>1</v>
      </c>
      <c r="K70" s="29">
        <f>'1월'!K71</f>
        <v>180000</v>
      </c>
      <c r="L70" s="26">
        <f>'1월'!L71</f>
        <v>180000</v>
      </c>
      <c r="M70" s="27">
        <f>'1월'!M71</f>
        <v>18000</v>
      </c>
      <c r="N70" s="27">
        <f>'1월'!N71</f>
        <v>198000</v>
      </c>
      <c r="O70" s="52">
        <f>'1월'!O71</f>
        <v>159761</v>
      </c>
      <c r="P70" s="171" t="str">
        <f>'1월'!P71</f>
        <v>IBM(1/2)</v>
      </c>
      <c r="Q70" s="181">
        <f>'1월'!Q71</f>
        <v>20239</v>
      </c>
      <c r="R70" s="68" t="str">
        <f>'1월'!R71</f>
        <v>완료(2/25)</v>
      </c>
      <c r="S70" s="5" t="str">
        <f>'1월'!S71</f>
        <v>천범석</v>
      </c>
      <c r="T70" s="11"/>
    </row>
    <row r="71" spans="1:21">
      <c r="A71" t="s">
        <v>30</v>
      </c>
      <c r="B71" s="151" t="str">
        <f>'1월'!B72</f>
        <v>IK-22021</v>
      </c>
      <c r="C71" s="200"/>
      <c r="D71" s="17">
        <f>'1월'!D72</f>
        <v>45681</v>
      </c>
      <c r="E71" s="214" t="str">
        <f>'1월'!E72</f>
        <v>로인아이티</v>
      </c>
      <c r="F71" s="189" t="str">
        <f>'1월'!F72</f>
        <v>문배철강</v>
      </c>
      <c r="G71" s="161" t="str">
        <f>'1월'!G72</f>
        <v>MA</v>
      </c>
      <c r="H71" s="161" t="str">
        <f>'1월'!H72</f>
        <v>월간-IBM</v>
      </c>
      <c r="I71" s="163" t="str">
        <f>'1월'!I72</f>
        <v>1월 유지정비료 - 22/36회</v>
      </c>
      <c r="J71" s="69">
        <f>'1월'!J72</f>
        <v>1</v>
      </c>
      <c r="K71" s="29">
        <f>'1월'!K72</f>
        <v>240000</v>
      </c>
      <c r="L71" s="26">
        <f>'1월'!L72</f>
        <v>240000</v>
      </c>
      <c r="M71" s="27">
        <f>'1월'!M72</f>
        <v>24000</v>
      </c>
      <c r="N71" s="27">
        <f>'1월'!N72</f>
        <v>264000</v>
      </c>
      <c r="O71" s="52">
        <f>'1월'!O72</f>
        <v>212293</v>
      </c>
      <c r="P71" s="171" t="str">
        <f>'1월'!P72</f>
        <v>IBM(1/2)</v>
      </c>
      <c r="Q71" s="181">
        <f>'1월'!Q72</f>
        <v>27707</v>
      </c>
      <c r="R71" s="68" t="str">
        <f>'1월'!R72</f>
        <v>완료(2/25)</v>
      </c>
      <c r="S71" s="5" t="str">
        <f>'1월'!S72</f>
        <v>천범석</v>
      </c>
      <c r="T71" s="11"/>
    </row>
    <row r="72" spans="1:21">
      <c r="A72" t="s">
        <v>30</v>
      </c>
      <c r="B72" s="151" t="str">
        <f>'1월'!B73</f>
        <v>IK-24002</v>
      </c>
      <c r="C72" s="199"/>
      <c r="D72" s="17">
        <f>'1월'!D73</f>
        <v>45681</v>
      </c>
      <c r="E72" s="214" t="str">
        <f>'1월'!E73</f>
        <v>로인아이티</v>
      </c>
      <c r="F72" s="215" t="str">
        <f>'1월'!F73</f>
        <v>교세라커넥터프로덕츠코리아</v>
      </c>
      <c r="G72" s="2" t="str">
        <f>'1월'!G73</f>
        <v>MA</v>
      </c>
      <c r="H72" s="161" t="str">
        <f>'1월'!H73</f>
        <v>월간-IBM</v>
      </c>
      <c r="I72" s="4" t="str">
        <f>'1월'!I73</f>
        <v>1월 유지정비료 - 12/36회</v>
      </c>
      <c r="J72" s="23">
        <f>'1월'!J73</f>
        <v>1</v>
      </c>
      <c r="K72" s="27">
        <f>'1월'!K73</f>
        <v>77500</v>
      </c>
      <c r="L72" s="26">
        <f>'1월'!L73</f>
        <v>77500</v>
      </c>
      <c r="M72" s="27">
        <f>'1월'!M73</f>
        <v>7750</v>
      </c>
      <c r="N72" s="27">
        <f>'1월'!N73</f>
        <v>85250</v>
      </c>
      <c r="O72" s="52">
        <f>'1월'!O73</f>
        <v>70422</v>
      </c>
      <c r="P72" s="171" t="str">
        <f>'1월'!P73</f>
        <v>IBM(1/2)</v>
      </c>
      <c r="Q72" s="181">
        <f>'1월'!Q73</f>
        <v>7078</v>
      </c>
      <c r="R72" s="68" t="str">
        <f>'1월'!R73</f>
        <v>완료(2/25)</v>
      </c>
      <c r="S72" s="8" t="str">
        <f>'1월'!S73</f>
        <v>천범석</v>
      </c>
      <c r="T72" s="11"/>
    </row>
    <row r="73" spans="1:21">
      <c r="A73" t="s">
        <v>30</v>
      </c>
      <c r="B73" s="151" t="str">
        <f>'1월'!B74</f>
        <v>SB-24040</v>
      </c>
      <c r="C73" s="199" t="str">
        <f>'1월'!C74</f>
        <v>ZBJK3I</v>
      </c>
      <c r="D73" s="17">
        <f>'1월'!D74</f>
        <v>45681</v>
      </c>
      <c r="E73" s="214" t="str">
        <f>'1월'!E74</f>
        <v>도담솔루션</v>
      </c>
      <c r="F73" s="215" t="str">
        <f>'1월'!F74</f>
        <v>호원대학교</v>
      </c>
      <c r="G73" s="161" t="str">
        <f>'1월'!G74</f>
        <v>MA</v>
      </c>
      <c r="H73" s="2" t="str">
        <f>'1월'!H74</f>
        <v>월간-레노버</v>
      </c>
      <c r="I73" s="4" t="str">
        <f>'1월'!I74</f>
        <v>1월 유지정비료 - 8/12회</v>
      </c>
      <c r="J73" s="23">
        <f>'1월'!J74</f>
        <v>1</v>
      </c>
      <c r="K73" s="27">
        <f>'1월'!K74</f>
        <v>122000</v>
      </c>
      <c r="L73" s="26">
        <f>'1월'!L74</f>
        <v>122000</v>
      </c>
      <c r="M73" s="27">
        <f>'1월'!M74</f>
        <v>12200</v>
      </c>
      <c r="N73" s="27">
        <f>'1월'!N74</f>
        <v>134200</v>
      </c>
      <c r="O73" s="52">
        <f>'1월'!O74</f>
        <v>101400</v>
      </c>
      <c r="P73" s="223" t="str">
        <f>'1월'!P74</f>
        <v>레노버(1/31)</v>
      </c>
      <c r="Q73" s="181">
        <f>'1월'!Q74</f>
        <v>20600</v>
      </c>
      <c r="R73" s="68" t="str">
        <f>'1월'!R74</f>
        <v>완료(3/10)</v>
      </c>
      <c r="S73" s="8" t="str">
        <f>'1월'!S74</f>
        <v>천범석</v>
      </c>
      <c r="T73" s="11"/>
    </row>
    <row r="74" spans="1:21" ht="36">
      <c r="A74" t="s">
        <v>30</v>
      </c>
      <c r="B74" s="151" t="str">
        <f>'1월'!B75</f>
        <v>SM-23031</v>
      </c>
      <c r="C74" s="199"/>
      <c r="D74" s="17">
        <f>'1월'!D75</f>
        <v>45681</v>
      </c>
      <c r="E74" s="214" t="str">
        <f>'1월'!E75</f>
        <v>온더보드</v>
      </c>
      <c r="F74" s="215" t="str">
        <f>'1월'!F75</f>
        <v>삼표</v>
      </c>
      <c r="G74" s="2" t="str">
        <f>'1월'!G75</f>
        <v>MA</v>
      </c>
      <c r="H74" s="2" t="str">
        <f>'1월'!H75</f>
        <v>월간</v>
      </c>
      <c r="I74" s="4" t="str">
        <f>'1월'!I75</f>
        <v>삼표 DB세이퍼 유지보수 - 1월(6/12회)</v>
      </c>
      <c r="J74" s="23">
        <f>'1월'!J75</f>
        <v>1</v>
      </c>
      <c r="K74" s="27">
        <f>'1월'!K75</f>
        <v>1200000</v>
      </c>
      <c r="L74" s="26">
        <f>'1월'!L75</f>
        <v>1200000</v>
      </c>
      <c r="M74" s="27">
        <f>'1월'!M75</f>
        <v>120000</v>
      </c>
      <c r="N74" s="27">
        <f>'1월'!N75</f>
        <v>1320000</v>
      </c>
      <c r="O74" s="52">
        <f>'1월'!O75</f>
        <v>1058333.3333333335</v>
      </c>
      <c r="P74" s="171" t="str">
        <f>'1월'!P75</f>
        <v>신세계(1/22) 600,000
지엘정보(12/27) 반기 1,250,000(6/6회)
시스나인(1/2) 1,750,000(1/7회)</v>
      </c>
      <c r="Q74" s="181">
        <f>'1월'!Q75</f>
        <v>141666.66666666651</v>
      </c>
      <c r="R74" s="68" t="str">
        <f>'1월'!R75</f>
        <v>완료(2/28)</v>
      </c>
      <c r="S74" s="8" t="str">
        <f>'1월'!S75</f>
        <v>이예지</v>
      </c>
      <c r="T74" s="11"/>
    </row>
    <row r="75" spans="1:21" ht="24">
      <c r="A75" t="s">
        <v>30</v>
      </c>
      <c r="B75" s="151" t="str">
        <f>'1월'!B76</f>
        <v>SB-23037
SB-23043</v>
      </c>
      <c r="C75" s="199" t="str">
        <f>'1월'!C76</f>
        <v>Z2XAQY
ZDSTPH</v>
      </c>
      <c r="D75" s="17">
        <f>'1월'!D76</f>
        <v>45681</v>
      </c>
      <c r="E75" s="214" t="str">
        <f>'1월'!E76</f>
        <v>에이큐씨앤씨</v>
      </c>
      <c r="F75" s="215" t="str">
        <f>'1월'!F76</f>
        <v>한림대학교</v>
      </c>
      <c r="G75" s="2" t="str">
        <f>'1월'!G76</f>
        <v>MA</v>
      </c>
      <c r="H75" s="83" t="str">
        <f>'1월'!H76</f>
        <v>월간-레노버</v>
      </c>
      <c r="I75" s="4" t="str">
        <f>'1월'!I76</f>
        <v>HW 1월 유지정비료 - 20/21회</v>
      </c>
      <c r="J75" s="23">
        <f>'1월'!J76</f>
        <v>1</v>
      </c>
      <c r="K75" s="27">
        <f>'1월'!K76</f>
        <v>339200</v>
      </c>
      <c r="L75" s="26">
        <f>'1월'!L76</f>
        <v>339200</v>
      </c>
      <c r="M75" s="27">
        <f>'1월'!M76</f>
        <v>33920</v>
      </c>
      <c r="N75" s="27">
        <f>'1월'!N76</f>
        <v>373120</v>
      </c>
      <c r="O75" s="52">
        <f>'1월'!O76</f>
        <v>291300</v>
      </c>
      <c r="P75" s="223" t="str">
        <f>'1월'!P76</f>
        <v>레노버(1/31) 245,700 (1/31) 45,600</v>
      </c>
      <c r="Q75" s="181">
        <f>'1월'!Q76</f>
        <v>47900</v>
      </c>
      <c r="R75" s="68" t="str">
        <f>'1월'!R76</f>
        <v>완료(2/28)</v>
      </c>
      <c r="S75" s="8" t="str">
        <f>'1월'!S76</f>
        <v>천범석</v>
      </c>
      <c r="T75" s="11"/>
    </row>
    <row r="76" spans="1:21" ht="24">
      <c r="A76" t="s">
        <v>30</v>
      </c>
      <c r="B76" s="151" t="str">
        <f>'1월'!B77</f>
        <v>SB-23053</v>
      </c>
      <c r="C76" s="199" t="str">
        <f>'1월'!C77</f>
        <v>Z41QIW</v>
      </c>
      <c r="D76" s="17">
        <f>'1월'!D77</f>
        <v>45681</v>
      </c>
      <c r="E76" s="214" t="str">
        <f>'1월'!E77</f>
        <v>수원정보</v>
      </c>
      <c r="F76" s="215" t="str">
        <f>'1월'!F77</f>
        <v>신세계아이앤씨</v>
      </c>
      <c r="G76" s="2" t="str">
        <f>'1월'!G77</f>
        <v>MA</v>
      </c>
      <c r="H76" s="83" t="str">
        <f>'1월'!H77</f>
        <v>월간-레노버</v>
      </c>
      <c r="I76" s="163" t="str">
        <f>'1월'!I77</f>
        <v>1월 유지정비료 - 23/46회</v>
      </c>
      <c r="J76" s="23">
        <f>'1월'!J77</f>
        <v>1</v>
      </c>
      <c r="K76" s="27">
        <f>'1월'!K77</f>
        <v>5082300</v>
      </c>
      <c r="L76" s="26">
        <f>'1월'!L77</f>
        <v>5082300</v>
      </c>
      <c r="M76" s="27">
        <f>'1월'!M77</f>
        <v>508230</v>
      </c>
      <c r="N76" s="27">
        <f>'1월'!N77</f>
        <v>5590530</v>
      </c>
      <c r="O76" s="72">
        <f>'1월'!O77</f>
        <v>3897539</v>
      </c>
      <c r="P76" s="223" t="str">
        <f>'1월'!P77</f>
        <v>레노버(1/31) 3,017,539
시스나인(25/2/28) 10,560,000 (8/12회)</v>
      </c>
      <c r="Q76" s="181">
        <f>'1월'!Q77</f>
        <v>1184761</v>
      </c>
      <c r="R76" s="68" t="str">
        <f>'1월'!R77</f>
        <v>완료(2/28)</v>
      </c>
      <c r="S76" s="8" t="str">
        <f>'1월'!S77</f>
        <v>천범석</v>
      </c>
      <c r="T76" s="11"/>
    </row>
    <row r="77" spans="1:21" ht="24">
      <c r="A77" t="s">
        <v>30</v>
      </c>
      <c r="B77" s="151" t="str">
        <f>'1월'!B78</f>
        <v>SB-24031</v>
      </c>
      <c r="C77" s="199" t="str">
        <f>'1월'!C78</f>
        <v>ZKZDVZ</v>
      </c>
      <c r="D77" s="17">
        <f>'1월'!D78</f>
        <v>45681</v>
      </c>
      <c r="E77" s="214" t="str">
        <f>'1월'!E78</f>
        <v>데이타메트렉스</v>
      </c>
      <c r="F77" s="215" t="str">
        <f>'1월'!F78</f>
        <v>롯데하이마트</v>
      </c>
      <c r="G77" s="2" t="str">
        <f>'1월'!G78</f>
        <v>MA</v>
      </c>
      <c r="H77" s="83" t="str">
        <f>'1월'!H78</f>
        <v>월간-레노버</v>
      </c>
      <c r="I77" s="162" t="str">
        <f>'1월'!I78</f>
        <v>(HW) 1월 유지정비료 - 8/12회</v>
      </c>
      <c r="J77" s="23">
        <f>'1월'!J78</f>
        <v>1</v>
      </c>
      <c r="K77" s="27">
        <f>'1월'!K78</f>
        <v>1016100</v>
      </c>
      <c r="L77" s="26">
        <f>'1월'!L78</f>
        <v>1016100</v>
      </c>
      <c r="M77" s="27">
        <f>'1월'!M78</f>
        <v>101610</v>
      </c>
      <c r="N77" s="27">
        <f>'1월'!N78</f>
        <v>1117710</v>
      </c>
      <c r="O77" s="72">
        <f>'1월'!O78</f>
        <v>964800</v>
      </c>
      <c r="P77" s="223" t="str">
        <f>'1월'!P78</f>
        <v>레노버(1/31)
시스나인(25/3/4) 2,160,000(2/6회)</v>
      </c>
      <c r="Q77" s="181">
        <f>'1월'!Q78</f>
        <v>51300</v>
      </c>
      <c r="R77" s="68" t="str">
        <f>'1월'!R78</f>
        <v>완료(2/28)</v>
      </c>
      <c r="S77" s="36" t="str">
        <f>'1월'!S78</f>
        <v>천범석</v>
      </c>
      <c r="T77" s="75"/>
    </row>
    <row r="78" spans="1:21">
      <c r="A78" t="s">
        <v>30</v>
      </c>
      <c r="B78" s="151" t="str">
        <f>'1월'!B79</f>
        <v>SB-24028</v>
      </c>
      <c r="C78" s="199" t="str">
        <f>'1월'!C79</f>
        <v>ZCX01Z</v>
      </c>
      <c r="D78" s="17">
        <f>'1월'!D79</f>
        <v>45681</v>
      </c>
      <c r="E78" s="214" t="str">
        <f>'1월'!E79</f>
        <v>다솜테크</v>
      </c>
      <c r="F78" s="215" t="str">
        <f>'1월'!F79</f>
        <v>대한산업보건협회</v>
      </c>
      <c r="G78" s="2" t="str">
        <f>'1월'!G79</f>
        <v>MA</v>
      </c>
      <c r="H78" s="83" t="str">
        <f>'1월'!H79</f>
        <v>월간-레노버</v>
      </c>
      <c r="I78" s="4" t="str">
        <f>'1월'!I79</f>
        <v>1월 유지정비료 - 9/12회</v>
      </c>
      <c r="J78" s="23">
        <f>'1월'!J79</f>
        <v>1</v>
      </c>
      <c r="K78" s="27">
        <f>'1월'!K79</f>
        <v>204700</v>
      </c>
      <c r="L78" s="26">
        <f>'1월'!L79</f>
        <v>204700</v>
      </c>
      <c r="M78" s="27">
        <f>'1월'!M79</f>
        <v>20470</v>
      </c>
      <c r="N78" s="27">
        <f>'1월'!N79</f>
        <v>225170</v>
      </c>
      <c r="O78" s="52">
        <f>'1월'!O79</f>
        <v>243955</v>
      </c>
      <c r="P78" s="223" t="str">
        <f>'1월'!P79</f>
        <v>레노버(1/31)</v>
      </c>
      <c r="Q78" s="181">
        <f>'1월'!Q79</f>
        <v>-39255</v>
      </c>
      <c r="R78" s="68" t="str">
        <f>'1월'!R79</f>
        <v>완료(3/31)</v>
      </c>
      <c r="S78" s="8" t="str">
        <f>'1월'!S79</f>
        <v>천범석</v>
      </c>
      <c r="T78" s="11"/>
    </row>
    <row r="79" spans="1:21">
      <c r="A79" t="s">
        <v>30</v>
      </c>
      <c r="B79" s="151" t="str">
        <f>'1월'!B80</f>
        <v>SB-24044</v>
      </c>
      <c r="C79" s="199" t="str">
        <f>'1월'!C80</f>
        <v>ZSWUX2</v>
      </c>
      <c r="D79" s="17">
        <f>'1월'!D80</f>
        <v>45681</v>
      </c>
      <c r="E79" s="214" t="str">
        <f>'1월'!E80</f>
        <v>다솜테크</v>
      </c>
      <c r="F79" s="215" t="str">
        <f>'1월'!F80</f>
        <v>LX홀딩스</v>
      </c>
      <c r="G79" s="2" t="str">
        <f>'1월'!G80</f>
        <v>MA</v>
      </c>
      <c r="H79" s="83" t="str">
        <f>'1월'!H80</f>
        <v>월간-레노버</v>
      </c>
      <c r="I79" s="163" t="str">
        <f>'1월'!I80</f>
        <v>1월 유지정비료 - 7/12회</v>
      </c>
      <c r="J79" s="23">
        <f>'1월'!J80</f>
        <v>1</v>
      </c>
      <c r="K79" s="27">
        <f>'1월'!K80</f>
        <v>573000</v>
      </c>
      <c r="L79" s="26">
        <f>'1월'!L80</f>
        <v>573000</v>
      </c>
      <c r="M79" s="27">
        <f>'1월'!M80</f>
        <v>57300</v>
      </c>
      <c r="N79" s="27">
        <f>'1월'!N80</f>
        <v>630300</v>
      </c>
      <c r="O79" s="52">
        <f>'1월'!O80</f>
        <v>505200</v>
      </c>
      <c r="P79" s="223" t="str">
        <f>'1월'!P80</f>
        <v>레노버(1/31)</v>
      </c>
      <c r="Q79" s="181">
        <f>'1월'!Q80</f>
        <v>67800</v>
      </c>
      <c r="R79" s="68" t="str">
        <f>'1월'!R80</f>
        <v>완료(3/31)</v>
      </c>
      <c r="S79" s="8" t="str">
        <f>'1월'!S80</f>
        <v>천범석</v>
      </c>
      <c r="T79" s="11"/>
    </row>
    <row r="80" spans="1:21">
      <c r="A80" t="s">
        <v>30</v>
      </c>
      <c r="B80" s="151" t="str">
        <f>'1월'!B81</f>
        <v>SB-24046</v>
      </c>
      <c r="C80" s="199" t="str">
        <f>'1월'!C81</f>
        <v>Z8LTG0</v>
      </c>
      <c r="D80" s="17">
        <f>'1월'!D81</f>
        <v>45681</v>
      </c>
      <c r="E80" s="214" t="str">
        <f>'1월'!E81</f>
        <v>다솜테크</v>
      </c>
      <c r="F80" s="215" t="str">
        <f>'1월'!F81</f>
        <v>웰컴저축은행</v>
      </c>
      <c r="G80" s="2" t="str">
        <f>'1월'!G81</f>
        <v>MA</v>
      </c>
      <c r="H80" s="83" t="str">
        <f>'1월'!H81</f>
        <v>월간-레노버</v>
      </c>
      <c r="I80" s="163" t="str">
        <f>'1월'!I81</f>
        <v>1월 유지정비료 - 6/12회</v>
      </c>
      <c r="J80" s="23">
        <f>'1월'!J81</f>
        <v>1</v>
      </c>
      <c r="K80" s="27">
        <f>'1월'!K81</f>
        <v>220000</v>
      </c>
      <c r="L80" s="26">
        <f>'1월'!L81</f>
        <v>220000</v>
      </c>
      <c r="M80" s="27">
        <f>'1월'!M81</f>
        <v>22000</v>
      </c>
      <c r="N80" s="27">
        <f>'1월'!N81</f>
        <v>242000</v>
      </c>
      <c r="O80" s="52">
        <f>'1월'!O81</f>
        <v>204600</v>
      </c>
      <c r="P80" s="223" t="str">
        <f>'1월'!P81</f>
        <v>레노버(1/31)</v>
      </c>
      <c r="Q80" s="181">
        <f>'1월'!Q81</f>
        <v>15400</v>
      </c>
      <c r="R80" s="68" t="str">
        <f>'1월'!R81</f>
        <v>완료(3/31)</v>
      </c>
      <c r="S80" s="8" t="str">
        <f>'1월'!S81</f>
        <v>천범석</v>
      </c>
      <c r="T80" s="11"/>
    </row>
    <row r="81" spans="1:20">
      <c r="A81" t="s">
        <v>30</v>
      </c>
      <c r="B81" s="151" t="str">
        <f>'1월'!B82</f>
        <v>SB-24061</v>
      </c>
      <c r="C81" s="153" t="str">
        <f>'1월'!C82</f>
        <v>ZVVVON</v>
      </c>
      <c r="D81" s="17">
        <f>'1월'!D82</f>
        <v>45681</v>
      </c>
      <c r="E81" s="214" t="str">
        <f>'1월'!E82</f>
        <v>다솜테크</v>
      </c>
      <c r="F81" s="215" t="str">
        <f>'1월'!F82</f>
        <v>롯데이노베이트(롯데정보통신)</v>
      </c>
      <c r="G81" s="2" t="str">
        <f>'1월'!G82</f>
        <v>MA</v>
      </c>
      <c r="H81" s="2" t="str">
        <f>'1월'!H82</f>
        <v>월간-레노버</v>
      </c>
      <c r="I81" s="4" t="str">
        <f>'1월'!I82</f>
        <v>1월 유지정비료 - 1/12회</v>
      </c>
      <c r="J81" s="23">
        <f>'1월'!J82</f>
        <v>1</v>
      </c>
      <c r="K81" s="27">
        <f>'1월'!K82</f>
        <v>700000</v>
      </c>
      <c r="L81" s="26">
        <f>'1월'!L82</f>
        <v>700000</v>
      </c>
      <c r="M81" s="27">
        <f>'1월'!M82</f>
        <v>70000</v>
      </c>
      <c r="N81" s="27">
        <f>'1월'!N82</f>
        <v>770000</v>
      </c>
      <c r="O81" s="33">
        <f>'1월'!O82</f>
        <v>661800</v>
      </c>
      <c r="P81" s="223" t="str">
        <f>'1월'!P82</f>
        <v>레노버(1/31)</v>
      </c>
      <c r="Q81" s="20">
        <f>'1월'!Q82</f>
        <v>38200</v>
      </c>
      <c r="R81" s="68" t="str">
        <f>'1월'!R82</f>
        <v>완료(3/31)</v>
      </c>
      <c r="S81" s="5" t="str">
        <f>'1월'!S82</f>
        <v>천범석</v>
      </c>
      <c r="T81" s="11"/>
    </row>
    <row r="82" spans="1:20" ht="24">
      <c r="A82" t="s">
        <v>30</v>
      </c>
      <c r="B82" s="151" t="str">
        <f>'1월'!B83</f>
        <v>SB-24063</v>
      </c>
      <c r="C82" s="153" t="str">
        <f>'1월'!C83</f>
        <v>ZIR05U</v>
      </c>
      <c r="D82" s="17">
        <f>'1월'!D83</f>
        <v>45681</v>
      </c>
      <c r="E82" s="214" t="str">
        <f>'1월'!E83</f>
        <v>다솜테크</v>
      </c>
      <c r="F82" s="215" t="str">
        <f>'1월'!F83</f>
        <v>이원(E1)컨테이너터미널 #1</v>
      </c>
      <c r="G82" s="2" t="str">
        <f>'1월'!G83</f>
        <v>MA</v>
      </c>
      <c r="H82" s="2" t="str">
        <f>'1월'!H83</f>
        <v>월간-레노버</v>
      </c>
      <c r="I82" s="4" t="str">
        <f>'1월'!I83</f>
        <v>1월 유지정비료 - 1/12회</v>
      </c>
      <c r="J82" s="23">
        <f>'1월'!J83</f>
        <v>1</v>
      </c>
      <c r="K82" s="27">
        <f>'1월'!K83</f>
        <v>380000</v>
      </c>
      <c r="L82" s="26">
        <f>'1월'!L83</f>
        <v>7880000</v>
      </c>
      <c r="M82" s="27">
        <f>'1월'!M83</f>
        <v>788000</v>
      </c>
      <c r="N82" s="27">
        <f>'1월'!N83</f>
        <v>8668000</v>
      </c>
      <c r="O82" s="33">
        <f>'1월'!O83</f>
        <v>7581466.666666667</v>
      </c>
      <c r="P82" s="197" t="str">
        <f>'1월'!P83</f>
        <v>레노버(1/31) 시스나인(1/2) 연500,000(1/12회)</v>
      </c>
      <c r="Q82" s="20">
        <f>'1월'!Q83</f>
        <v>298533.33333333302</v>
      </c>
      <c r="R82" s="68" t="str">
        <f>'1월'!R83</f>
        <v>완료(3/31)</v>
      </c>
      <c r="S82" s="5" t="str">
        <f>'1월'!S83</f>
        <v>천범석</v>
      </c>
      <c r="T82" s="11"/>
    </row>
    <row r="83" spans="1:20" ht="24">
      <c r="B83" s="151" t="str">
        <f>'1월'!B84</f>
        <v>SB-24063</v>
      </c>
      <c r="C83" s="153" t="str">
        <f>'1월'!C84</f>
        <v>TAHXA0178</v>
      </c>
      <c r="D83" s="43"/>
      <c r="E83" s="219" t="str">
        <f>'1월'!E84</f>
        <v>다솜테크</v>
      </c>
      <c r="F83" s="220" t="str">
        <f>'1월'!F84</f>
        <v>이원(E1)컨테이너터미널 #1</v>
      </c>
      <c r="G83" s="2" t="str">
        <f>'1월'!G84</f>
        <v>MAPAC</v>
      </c>
      <c r="H83" s="2" t="str">
        <f>'1월'!H84</f>
        <v>연간-레노버</v>
      </c>
      <c r="I83" s="4" t="str">
        <f>'1월'!I84</f>
        <v>SW 연간유지정비료(25.01.01~25.12.31)</v>
      </c>
      <c r="J83" s="23">
        <f>'1월'!J84</f>
        <v>1</v>
      </c>
      <c r="K83" s="27">
        <f>'1월'!K84</f>
        <v>7500000</v>
      </c>
      <c r="L83" s="37"/>
      <c r="M83" s="38"/>
      <c r="N83" s="38"/>
      <c r="O83" s="33"/>
      <c r="P83" s="197" t="str">
        <f>'1월'!P84</f>
        <v>레노버(1/1) 6,750,000 시스나인(1/2) 100중 50</v>
      </c>
      <c r="Q83" s="40"/>
      <c r="R83" s="46"/>
      <c r="S83" s="85"/>
      <c r="T83" s="11"/>
    </row>
    <row r="84" spans="1:20">
      <c r="A84" t="s">
        <v>30</v>
      </c>
      <c r="B84" s="151" t="str">
        <f>'1월'!B85</f>
        <v>SB-24064</v>
      </c>
      <c r="C84" s="153" t="str">
        <f>'1월'!C85</f>
        <v>ZOTN1N</v>
      </c>
      <c r="D84" s="17">
        <f>'1월'!D85</f>
        <v>45681</v>
      </c>
      <c r="E84" s="214" t="str">
        <f>'1월'!E85</f>
        <v>다솜테크</v>
      </c>
      <c r="F84" s="215" t="str">
        <f>'1월'!F85</f>
        <v>이원(E1)컨테이너터미널 #2</v>
      </c>
      <c r="G84" s="2" t="str">
        <f>'1월'!G85</f>
        <v>MA</v>
      </c>
      <c r="H84" s="2" t="str">
        <f>'1월'!H85</f>
        <v>월간-레노버</v>
      </c>
      <c r="I84" s="4" t="str">
        <f>'1월'!I85</f>
        <v>1월 유지정비료 - 1/12회</v>
      </c>
      <c r="J84" s="23">
        <f>'1월'!J85</f>
        <v>1</v>
      </c>
      <c r="K84" s="27">
        <f>'1월'!K85</f>
        <v>625000</v>
      </c>
      <c r="L84" s="26">
        <f>'1월'!L85</f>
        <v>625000</v>
      </c>
      <c r="M84" s="27">
        <f>'1월'!M85</f>
        <v>62500</v>
      </c>
      <c r="N84" s="27">
        <f>'1월'!N85</f>
        <v>687500</v>
      </c>
      <c r="O84" s="33">
        <f>'1월'!O85</f>
        <v>590400</v>
      </c>
      <c r="P84" s="223" t="str">
        <f>'1월'!P85</f>
        <v>레노버(1/31)</v>
      </c>
      <c r="Q84" s="20">
        <f>'1월'!Q85</f>
        <v>34600</v>
      </c>
      <c r="R84" s="68" t="str">
        <f>'1월'!R85</f>
        <v>완료(3/31)</v>
      </c>
      <c r="S84" s="5" t="str">
        <f>'1월'!S85</f>
        <v>천범석</v>
      </c>
      <c r="T84" s="11"/>
    </row>
    <row r="85" spans="1:20">
      <c r="A85" t="s">
        <v>30</v>
      </c>
      <c r="B85" s="151" t="str">
        <f>'1월'!B86</f>
        <v>SB-24065</v>
      </c>
      <c r="C85" s="153" t="str">
        <f>'1월'!C86</f>
        <v>ZDFIN7</v>
      </c>
      <c r="D85" s="17">
        <f>'1월'!D86</f>
        <v>45681</v>
      </c>
      <c r="E85" s="214" t="str">
        <f>'1월'!E86</f>
        <v>다솜테크</v>
      </c>
      <c r="F85" s="215" t="str">
        <f>'1월'!F86</f>
        <v>안산시청</v>
      </c>
      <c r="G85" s="2" t="str">
        <f>'1월'!G86</f>
        <v>MA</v>
      </c>
      <c r="H85" s="2" t="str">
        <f>'1월'!H86</f>
        <v>월간-레노버</v>
      </c>
      <c r="I85" s="4" t="str">
        <f>'1월'!I86</f>
        <v>1월 유지정비료 - 1/12회</v>
      </c>
      <c r="J85" s="23">
        <f>'1월'!J86</f>
        <v>1</v>
      </c>
      <c r="K85" s="27">
        <f>'1월'!K86</f>
        <v>1232000</v>
      </c>
      <c r="L85" s="26">
        <f>'1월'!L86</f>
        <v>1232000</v>
      </c>
      <c r="M85" s="27">
        <f>'1월'!M86</f>
        <v>123200</v>
      </c>
      <c r="N85" s="27">
        <f>'1월'!N86</f>
        <v>1355200</v>
      </c>
      <c r="O85" s="33">
        <f>'1월'!O86</f>
        <v>1196100</v>
      </c>
      <c r="P85" s="223" t="str">
        <f>'1월'!P86</f>
        <v>레노버(1/31)</v>
      </c>
      <c r="Q85" s="20">
        <f>'1월'!Q86</f>
        <v>35900</v>
      </c>
      <c r="R85" s="2" t="str">
        <f>'1월'!R86</f>
        <v>완료(3/31)</v>
      </c>
      <c r="S85" s="8" t="str">
        <f>'1월'!S86</f>
        <v>천범석</v>
      </c>
      <c r="T85" s="11"/>
    </row>
    <row r="86" spans="1:20">
      <c r="A86" t="s">
        <v>30</v>
      </c>
      <c r="B86" s="151" t="str">
        <f>'1월'!B87</f>
        <v>IK-24005</v>
      </c>
      <c r="C86" s="200"/>
      <c r="D86" s="17">
        <f>'1월'!D87</f>
        <v>45681</v>
      </c>
      <c r="E86" s="214" t="str">
        <f>'1월'!E87</f>
        <v>엔콤</v>
      </c>
      <c r="F86" s="189" t="str">
        <f>'1월'!F87</f>
        <v>전북도시가스</v>
      </c>
      <c r="G86" s="161" t="str">
        <f>'1월'!G87</f>
        <v>MA</v>
      </c>
      <c r="H86" s="161" t="str">
        <f>'1월'!H87</f>
        <v>월간-IBM</v>
      </c>
      <c r="I86" s="163" t="str">
        <f>'1월'!I87</f>
        <v>1월 유지정비료 - 10/12회</v>
      </c>
      <c r="J86" s="24">
        <f>'1월'!J87</f>
        <v>1</v>
      </c>
      <c r="K86" s="26">
        <f>'1월'!K87</f>
        <v>1366000</v>
      </c>
      <c r="L86" s="26">
        <f>'1월'!L87</f>
        <v>1366000</v>
      </c>
      <c r="M86" s="27">
        <f>'1월'!M87</f>
        <v>136600</v>
      </c>
      <c r="N86" s="27">
        <f>'1월'!N87</f>
        <v>1502600</v>
      </c>
      <c r="O86" s="72">
        <f>'1월'!O87</f>
        <v>1263250</v>
      </c>
      <c r="P86" s="171" t="str">
        <f>'1월'!P87</f>
        <v>IBM(1/2)</v>
      </c>
      <c r="Q86" s="181">
        <f>'1월'!Q87</f>
        <v>102750</v>
      </c>
      <c r="R86" s="68" t="str">
        <f>'1월'!R87</f>
        <v>완료(2/28)</v>
      </c>
      <c r="S86" s="5" t="str">
        <f>'1월'!S87</f>
        <v>천범석</v>
      </c>
      <c r="T86" s="11"/>
    </row>
    <row r="87" spans="1:20" ht="24">
      <c r="A87" t="s">
        <v>30</v>
      </c>
      <c r="B87" s="151" t="str">
        <f>'1월'!B88</f>
        <v>IK-24006</v>
      </c>
      <c r="C87" s="199"/>
      <c r="D87" s="17">
        <f>'1월'!D88</f>
        <v>45681</v>
      </c>
      <c r="E87" s="214" t="str">
        <f>'1월'!E88</f>
        <v>서부컨테이너터미널</v>
      </c>
      <c r="F87" s="215"/>
      <c r="G87" s="161" t="str">
        <f>'1월'!G88</f>
        <v>MA</v>
      </c>
      <c r="H87" s="161" t="str">
        <f>'1월'!H88</f>
        <v>월간-IBM</v>
      </c>
      <c r="I87" s="163" t="str">
        <f>'1월'!I88</f>
        <v>1월 유지정비료 - 9/24회</v>
      </c>
      <c r="J87" s="23">
        <f>'1월'!J88</f>
        <v>1</v>
      </c>
      <c r="K87" s="27">
        <f>'1월'!K88</f>
        <v>3916667</v>
      </c>
      <c r="L87" s="26">
        <f>'1월'!L88</f>
        <v>3916667</v>
      </c>
      <c r="M87" s="27">
        <f>'1월'!M88</f>
        <v>391667</v>
      </c>
      <c r="N87" s="27">
        <f>'1월'!N88</f>
        <v>4308334</v>
      </c>
      <c r="O87" s="72">
        <f>'1월'!O88</f>
        <v>3691359.1666666665</v>
      </c>
      <c r="P87" s="223" t="str">
        <f>'1월'!P88</f>
        <v>IBM(5/3)연간 5,423,462(9/12회)
IBM(1/2) 3,239,404</v>
      </c>
      <c r="Q87" s="181">
        <f>'1월'!Q88</f>
        <v>225307.83333333349</v>
      </c>
      <c r="R87" s="68" t="str">
        <f>'1월'!R88</f>
        <v>완료(2/28)</v>
      </c>
      <c r="S87" s="8" t="str">
        <f>'1월'!S88</f>
        <v>홍승민</v>
      </c>
      <c r="T87" s="11"/>
    </row>
    <row r="88" spans="1:20">
      <c r="A88" t="s">
        <v>30</v>
      </c>
      <c r="B88" s="151" t="str">
        <f>'1월'!B89</f>
        <v>SB-24027</v>
      </c>
      <c r="C88" s="199" t="str">
        <f>'1월'!C89</f>
        <v>ZGTHWJ</v>
      </c>
      <c r="D88" s="17">
        <f>'1월'!D89</f>
        <v>45681</v>
      </c>
      <c r="E88" s="214" t="str">
        <f>'1월'!E89</f>
        <v>시스템본</v>
      </c>
      <c r="F88" s="215" t="str">
        <f>'1월'!F89</f>
        <v>엘지유플러스</v>
      </c>
      <c r="G88" s="2" t="str">
        <f>'1월'!G89</f>
        <v>MA</v>
      </c>
      <c r="H88" s="83" t="str">
        <f>'1월'!H89</f>
        <v>월간-레노버</v>
      </c>
      <c r="I88" s="4" t="str">
        <f>'1월'!I89</f>
        <v>1월 유지정비료 - 9/32회</v>
      </c>
      <c r="J88" s="23">
        <f>'1월'!J89</f>
        <v>1</v>
      </c>
      <c r="K88" s="27">
        <f>'1월'!K89</f>
        <v>659700</v>
      </c>
      <c r="L88" s="26">
        <f>'1월'!L89</f>
        <v>659700</v>
      </c>
      <c r="M88" s="27">
        <f>'1월'!M89</f>
        <v>65970</v>
      </c>
      <c r="N88" s="27">
        <f>'1월'!N89</f>
        <v>725670</v>
      </c>
      <c r="O88" s="72">
        <f>'1월'!O89</f>
        <v>518541</v>
      </c>
      <c r="P88" s="223" t="str">
        <f>'1월'!P89</f>
        <v>레노버(1/31)</v>
      </c>
      <c r="Q88" s="181">
        <f>'1월'!Q89</f>
        <v>141159</v>
      </c>
      <c r="R88" s="68" t="str">
        <f>'1월'!R89</f>
        <v>완료(3/31)</v>
      </c>
      <c r="S88" s="8" t="str">
        <f>'1월'!S89</f>
        <v>천범석</v>
      </c>
      <c r="T88" s="75"/>
    </row>
    <row r="89" spans="1:20">
      <c r="A89" t="s">
        <v>30</v>
      </c>
      <c r="B89" s="151" t="str">
        <f>'1월'!B90</f>
        <v>SB-24034</v>
      </c>
      <c r="C89" s="199" t="str">
        <f>'1월'!C90</f>
        <v>Z11I89</v>
      </c>
      <c r="D89" s="17">
        <f>'1월'!D90</f>
        <v>45681</v>
      </c>
      <c r="E89" s="214" t="str">
        <f>'1월'!E90</f>
        <v>씨원시스템</v>
      </c>
      <c r="F89" s="215" t="str">
        <f>'1월'!F90</f>
        <v>이녹스(패션그룹형지)</v>
      </c>
      <c r="G89" s="2" t="str">
        <f>'1월'!G90</f>
        <v>MA</v>
      </c>
      <c r="H89" s="83" t="str">
        <f>'1월'!H90</f>
        <v>월간-레노버</v>
      </c>
      <c r="I89" s="4" t="str">
        <f>'1월'!I90</f>
        <v>1월 유지정비료 - 8/12회</v>
      </c>
      <c r="J89" s="23">
        <f>'1월'!J90</f>
        <v>1</v>
      </c>
      <c r="K89" s="27">
        <f>'1월'!K90</f>
        <v>285500</v>
      </c>
      <c r="L89" s="26">
        <f>'1월'!L90</f>
        <v>285500</v>
      </c>
      <c r="M89" s="27">
        <f>'1월'!M90</f>
        <v>28550</v>
      </c>
      <c r="N89" s="27">
        <f>'1월'!N90</f>
        <v>314050</v>
      </c>
      <c r="O89" s="72">
        <f>'1월'!O90</f>
        <v>249900</v>
      </c>
      <c r="P89" s="223" t="str">
        <f>'1월'!P90</f>
        <v>레노버(1/31)</v>
      </c>
      <c r="Q89" s="181">
        <f>'1월'!Q90</f>
        <v>35600</v>
      </c>
      <c r="R89" s="68" t="str">
        <f>'1월'!R90</f>
        <v>완료(3/31)</v>
      </c>
      <c r="S89" s="8" t="str">
        <f>'1월'!S90</f>
        <v>천범석</v>
      </c>
      <c r="T89" s="75"/>
    </row>
    <row r="90" spans="1:20" ht="24">
      <c r="A90" t="s">
        <v>30</v>
      </c>
      <c r="B90" s="151" t="str">
        <f>'1월'!B91</f>
        <v>LI-24003</v>
      </c>
      <c r="C90" s="199" t="str">
        <f>'1월'!C91</f>
        <v>ZE7QNO</v>
      </c>
      <c r="D90" s="17">
        <f>'1월'!D91</f>
        <v>45681</v>
      </c>
      <c r="E90" s="214" t="str">
        <f>'1월'!E91</f>
        <v>지엔콤</v>
      </c>
      <c r="F90" s="215" t="str">
        <f>'1월'!F91</f>
        <v>전주교육대학교</v>
      </c>
      <c r="G90" s="2" t="str">
        <f>'1월'!G91</f>
        <v>MA</v>
      </c>
      <c r="H90" s="83" t="str">
        <f>'1월'!H91</f>
        <v>월간-레노버</v>
      </c>
      <c r="I90" s="163" t="str">
        <f>'1월'!I91</f>
        <v>1월 유지정비료 - 9/12회</v>
      </c>
      <c r="J90" s="23">
        <f>'1월'!J91</f>
        <v>1</v>
      </c>
      <c r="K90" s="27">
        <f>'1월'!K91</f>
        <v>909000</v>
      </c>
      <c r="L90" s="26">
        <f>'1월'!L91</f>
        <v>909000</v>
      </c>
      <c r="M90" s="27">
        <f>'1월'!M91</f>
        <v>90900</v>
      </c>
      <c r="N90" s="27">
        <f>'1월'!N91</f>
        <v>999900</v>
      </c>
      <c r="O90" s="72">
        <f>'1월'!O91</f>
        <v>615780</v>
      </c>
      <c r="P90" s="223" t="str">
        <f>'1월'!P91</f>
        <v>레노버(11/30) 310,500
IBM(12/1) 305,280</v>
      </c>
      <c r="Q90" s="181">
        <f>'1월'!Q91</f>
        <v>293220</v>
      </c>
      <c r="R90" s="68" t="str">
        <f>'1월'!R91</f>
        <v>완료(2/28)</v>
      </c>
      <c r="S90" s="8" t="str">
        <f>'1월'!S91</f>
        <v>천범석</v>
      </c>
      <c r="T90" s="11"/>
    </row>
    <row r="91" spans="1:20">
      <c r="A91" t="s">
        <v>30</v>
      </c>
      <c r="B91" s="151" t="str">
        <f>'1월'!B92</f>
        <v>SB-24036</v>
      </c>
      <c r="C91" s="199"/>
      <c r="D91" s="17">
        <f>'1월'!D92</f>
        <v>45681</v>
      </c>
      <c r="E91" s="214" t="str">
        <f>'1월'!E92</f>
        <v>나라정보</v>
      </c>
      <c r="F91" s="215" t="str">
        <f>'1월'!F92</f>
        <v>부국철강</v>
      </c>
      <c r="G91" s="2" t="str">
        <f>'1월'!G92</f>
        <v>MA</v>
      </c>
      <c r="H91" s="161" t="str">
        <f>'1월'!H92</f>
        <v>월간-IBM</v>
      </c>
      <c r="I91" s="163" t="str">
        <f>'1월'!I92</f>
        <v>1월 유지정비료 - 9/32회</v>
      </c>
      <c r="J91" s="23">
        <f>'1월'!J92</f>
        <v>1</v>
      </c>
      <c r="K91" s="27">
        <f>'1월'!K92</f>
        <v>207000</v>
      </c>
      <c r="L91" s="26">
        <f>'1월'!L92</f>
        <v>207000</v>
      </c>
      <c r="M91" s="27">
        <f>'1월'!M92</f>
        <v>20700</v>
      </c>
      <c r="N91" s="27">
        <f>'1월'!N92</f>
        <v>227700</v>
      </c>
      <c r="O91" s="72">
        <f>'1월'!O92</f>
        <v>190849</v>
      </c>
      <c r="P91" s="171" t="str">
        <f>'1월'!P92</f>
        <v>IBM(1/2)</v>
      </c>
      <c r="Q91" s="181">
        <f>'1월'!Q92</f>
        <v>16151</v>
      </c>
      <c r="R91" s="68" t="str">
        <f>'1월'!R92</f>
        <v>완료(2/28)</v>
      </c>
      <c r="S91" s="8" t="str">
        <f>'1월'!S92</f>
        <v>천범석</v>
      </c>
      <c r="T91" s="11"/>
    </row>
    <row r="92" spans="1:20">
      <c r="A92" t="s">
        <v>30</v>
      </c>
      <c r="B92" s="151" t="str">
        <f>'1월'!B93</f>
        <v>SM-24013</v>
      </c>
      <c r="C92" s="199"/>
      <c r="D92" s="17">
        <f>'1월'!D93</f>
        <v>45681</v>
      </c>
      <c r="E92" s="214" t="str">
        <f>'1월'!E93</f>
        <v>비즈윈</v>
      </c>
      <c r="F92" s="215" t="str">
        <f>'1월'!F93</f>
        <v>한국소비자보호원</v>
      </c>
      <c r="G92" s="2" t="str">
        <f>'1월'!G93</f>
        <v>MA</v>
      </c>
      <c r="H92" s="161" t="str">
        <f>'1월'!H93</f>
        <v>월간</v>
      </c>
      <c r="I92" s="162" t="str">
        <f>'1월'!I93</f>
        <v>1월 유지정비료 - 10/21회</v>
      </c>
      <c r="J92" s="23">
        <f>'1월'!J93</f>
        <v>1</v>
      </c>
      <c r="K92" s="27">
        <f>'1월'!K93</f>
        <v>155000</v>
      </c>
      <c r="L92" s="26">
        <f>'1월'!L93</f>
        <v>155000</v>
      </c>
      <c r="M92" s="27">
        <f>'1월'!M93</f>
        <v>15500</v>
      </c>
      <c r="N92" s="27">
        <f>'1월'!N93</f>
        <v>170500</v>
      </c>
      <c r="O92" s="52">
        <f>'1월'!O93</f>
        <v>120000</v>
      </c>
      <c r="P92" s="171" t="str">
        <f>'1월'!P93</f>
        <v>시스나인(1/2)연간 1,440,000(1/12회)</v>
      </c>
      <c r="Q92" s="181">
        <f>'1월'!Q93</f>
        <v>35000</v>
      </c>
      <c r="R92" s="68" t="str">
        <f>'1월'!R93</f>
        <v>완료(2/28)</v>
      </c>
      <c r="S92" s="36" t="str">
        <f>'1월'!S93</f>
        <v>이예지</v>
      </c>
      <c r="T92" s="75"/>
    </row>
    <row r="93" spans="1:20" ht="24">
      <c r="A93" t="s">
        <v>30</v>
      </c>
      <c r="B93" s="151" t="str">
        <f>'1월'!B94</f>
        <v>SB-24041</v>
      </c>
      <c r="C93" s="199" t="str">
        <f>'1월'!C94</f>
        <v>ZNHTN1</v>
      </c>
      <c r="D93" s="17">
        <f>'1월'!D94</f>
        <v>45681</v>
      </c>
      <c r="E93" s="214" t="str">
        <f>'1월'!E94</f>
        <v>이비즈테크</v>
      </c>
      <c r="F93" s="215" t="str">
        <f>'1월'!F94</f>
        <v>초록우산어린이재단</v>
      </c>
      <c r="G93" s="2" t="str">
        <f>'1월'!G94</f>
        <v>MA</v>
      </c>
      <c r="H93" s="83" t="str">
        <f>'1월'!H94</f>
        <v>월간-레노버</v>
      </c>
      <c r="I93" s="4" t="str">
        <f>'1월'!I94</f>
        <v>1월 유지정비료 - 7/12회</v>
      </c>
      <c r="J93" s="23">
        <f>'1월'!J94</f>
        <v>1</v>
      </c>
      <c r="K93" s="27">
        <f>'1월'!K94</f>
        <v>645600</v>
      </c>
      <c r="L93" s="26">
        <f>'1월'!L94</f>
        <v>645600</v>
      </c>
      <c r="M93" s="27">
        <f>'1월'!M94</f>
        <v>64560</v>
      </c>
      <c r="N93" s="27">
        <f>'1월'!N94</f>
        <v>710160</v>
      </c>
      <c r="O93" s="52">
        <f>'1월'!O94</f>
        <v>628236.33333333337</v>
      </c>
      <c r="P93" s="223" t="str">
        <f>'1월'!P94</f>
        <v>레노버(1/31) 494,903
시스나인(25/3/4) 1,200,00(7/9회)</v>
      </c>
      <c r="Q93" s="181">
        <f>'1월'!Q94</f>
        <v>17363.666666666628</v>
      </c>
      <c r="R93" s="68" t="str">
        <f>'1월'!R94</f>
        <v>완료(2/28)</v>
      </c>
      <c r="S93" s="8" t="str">
        <f>'1월'!S94</f>
        <v>천범석</v>
      </c>
      <c r="T93" s="11"/>
    </row>
    <row r="94" spans="1:20">
      <c r="A94" t="s">
        <v>30</v>
      </c>
      <c r="B94" s="151" t="str">
        <f>'1월'!B95</f>
        <v>SM-23020</v>
      </c>
      <c r="C94" s="200" t="str">
        <f>'1월'!C95</f>
        <v>ZZNUMY</v>
      </c>
      <c r="D94" s="17">
        <f>'1월'!D95</f>
        <v>45681</v>
      </c>
      <c r="E94" s="214" t="str">
        <f>'1월'!E95</f>
        <v>현대종합금속</v>
      </c>
      <c r="F94" s="189" t="str">
        <f>'1월'!F95</f>
        <v>포항</v>
      </c>
      <c r="G94" s="161" t="str">
        <f>'1월'!G95</f>
        <v>MA</v>
      </c>
      <c r="H94" s="161" t="str">
        <f>'1월'!H95</f>
        <v>월간-IBM</v>
      </c>
      <c r="I94" s="163" t="str">
        <f>'1월'!I95</f>
        <v>1월 유지정비료 - 7/12회</v>
      </c>
      <c r="J94" s="24">
        <f>'1월'!J95</f>
        <v>1</v>
      </c>
      <c r="K94" s="26">
        <f>'1월'!K95</f>
        <v>700000</v>
      </c>
      <c r="L94" s="26">
        <f>'1월'!L95</f>
        <v>700000</v>
      </c>
      <c r="M94" s="27">
        <f>'1월'!M95</f>
        <v>70000</v>
      </c>
      <c r="N94" s="27">
        <f>'1월'!N95</f>
        <v>770000</v>
      </c>
      <c r="O94" s="33">
        <f>'1월'!O95</f>
        <v>499500</v>
      </c>
      <c r="P94" s="223" t="str">
        <f>'1월'!P95</f>
        <v>레노버(1/31)</v>
      </c>
      <c r="Q94" s="21">
        <f>'1월'!Q95</f>
        <v>200500</v>
      </c>
      <c r="R94" s="68" t="str">
        <f>'1월'!R95</f>
        <v>완료(2/11)</v>
      </c>
      <c r="S94" s="5" t="str">
        <f>'1월'!S95</f>
        <v>이예지</v>
      </c>
      <c r="T94" s="11"/>
    </row>
    <row r="95" spans="1:20">
      <c r="A95" t="s">
        <v>30</v>
      </c>
      <c r="B95" s="151" t="str">
        <f>'1월'!B96</f>
        <v>SB-24052</v>
      </c>
      <c r="C95" s="153" t="str">
        <f>'1월'!C96</f>
        <v>ZUIU6G</v>
      </c>
      <c r="D95" s="17">
        <f>'1월'!D96</f>
        <v>45681</v>
      </c>
      <c r="E95" s="214" t="str">
        <f>'1월'!E96</f>
        <v>유티모스트</v>
      </c>
      <c r="F95" s="215" t="str">
        <f>'1월'!F96</f>
        <v>삼성중공업</v>
      </c>
      <c r="G95" s="161" t="str">
        <f>'1월'!G96</f>
        <v>MA</v>
      </c>
      <c r="H95" s="83" t="str">
        <f>'1월'!H96</f>
        <v>월간-레노버</v>
      </c>
      <c r="I95" s="4" t="str">
        <f>'1월'!I96</f>
        <v>1월 유지정비료 - 4/15회</v>
      </c>
      <c r="J95" s="23">
        <f>'1월'!J96</f>
        <v>1</v>
      </c>
      <c r="K95" s="27">
        <f>'1월'!K96</f>
        <v>13057800</v>
      </c>
      <c r="L95" s="26">
        <f>'1월'!L96</f>
        <v>13057800</v>
      </c>
      <c r="M95" s="27">
        <f>'1월'!M96</f>
        <v>1305780</v>
      </c>
      <c r="N95" s="27">
        <f>'1월'!N96</f>
        <v>14363580</v>
      </c>
      <c r="O95" s="33">
        <f>'1월'!O96</f>
        <v>11892500</v>
      </c>
      <c r="P95" s="197" t="str">
        <f>'1월'!P96</f>
        <v>레노버(1/31) 11,892,500</v>
      </c>
      <c r="Q95" s="21">
        <f>'1월'!Q96</f>
        <v>1165300</v>
      </c>
      <c r="R95" s="68" t="str">
        <f>'1월'!R96</f>
        <v>완료(2/28)</v>
      </c>
      <c r="S95" s="36" t="str">
        <f>'1월'!S96</f>
        <v>천범석</v>
      </c>
      <c r="T95" s="11"/>
    </row>
    <row r="96" spans="1:20" ht="24">
      <c r="A96" t="s">
        <v>30</v>
      </c>
      <c r="B96" s="151" t="str">
        <f>'1월'!B97</f>
        <v>SB-24055
SB-24056</v>
      </c>
      <c r="C96" s="208" t="str">
        <f>'1월'!C97</f>
        <v>ZP1BPN
ZAXJCH</v>
      </c>
      <c r="D96" s="17">
        <f>'1월'!D97</f>
        <v>45681</v>
      </c>
      <c r="E96" s="214" t="str">
        <f>'1월'!E97</f>
        <v>이룸정보</v>
      </c>
      <c r="F96" s="189" t="str">
        <f>'1월'!F97</f>
        <v>포스코</v>
      </c>
      <c r="G96" s="161" t="str">
        <f>'1월'!G97</f>
        <v>MA</v>
      </c>
      <c r="H96" s="83" t="str">
        <f>'1월'!H97</f>
        <v>월간-레노버</v>
      </c>
      <c r="I96" s="163" t="str">
        <f>'1월'!I97</f>
        <v>1월 유지정비료 - 1/12회</v>
      </c>
      <c r="J96" s="24">
        <f>'1월'!J97</f>
        <v>1</v>
      </c>
      <c r="K96" s="26">
        <f>'1월'!K97</f>
        <v>2871300</v>
      </c>
      <c r="L96" s="26">
        <f>'1월'!L97</f>
        <v>2871300</v>
      </c>
      <c r="M96" s="27">
        <f>'1월'!M97</f>
        <v>287130</v>
      </c>
      <c r="N96" s="27">
        <f>'1월'!N97</f>
        <v>3158430</v>
      </c>
      <c r="O96" s="33">
        <f>'1월'!O97</f>
        <v>2636700</v>
      </c>
      <c r="P96" s="197" t="str">
        <f>'1월'!P97</f>
        <v>레노버(1/31)1,981,200
레노버(1/31) 655,500</v>
      </c>
      <c r="Q96" s="21">
        <f>'1월'!Q97</f>
        <v>234600</v>
      </c>
      <c r="R96" s="68" t="str">
        <f>'1월'!R97</f>
        <v>완료(3/25)</v>
      </c>
      <c r="S96" s="5" t="str">
        <f>'1월'!S97</f>
        <v>천범석</v>
      </c>
      <c r="T96" s="11"/>
    </row>
    <row r="97" spans="1:20" ht="51" customHeight="1">
      <c r="A97" t="s">
        <v>30</v>
      </c>
      <c r="B97" s="151" t="str">
        <f>'1월'!B98</f>
        <v>SM-25010</v>
      </c>
      <c r="C97" s="200"/>
      <c r="D97" s="17">
        <f>'1월'!D98</f>
        <v>45681</v>
      </c>
      <c r="E97" s="214" t="str">
        <f>'1월'!E98</f>
        <v>더블포인트</v>
      </c>
      <c r="F97" s="215" t="str">
        <f>'1월'!F98</f>
        <v>한미약품</v>
      </c>
      <c r="G97" s="2" t="str">
        <f>'1월'!G98</f>
        <v>MA</v>
      </c>
      <c r="H97" s="161" t="str">
        <f>'1월'!H98</f>
        <v>월간-IBM</v>
      </c>
      <c r="I97" s="4" t="str">
        <f>'1월'!I98</f>
        <v>1월 유지정비료 - 1/12회</v>
      </c>
      <c r="J97" s="23">
        <f>'1월'!J98</f>
        <v>1</v>
      </c>
      <c r="K97" s="27">
        <f>'1월'!K98</f>
        <v>4761667</v>
      </c>
      <c r="L97" s="26">
        <f>'1월'!L98</f>
        <v>4761667</v>
      </c>
      <c r="M97" s="27">
        <f>'1월'!M98</f>
        <v>476166.7</v>
      </c>
      <c r="N97" s="27">
        <f>'1월'!N98</f>
        <v>5237833.7</v>
      </c>
      <c r="O97" s="72">
        <f>'1월'!O98</f>
        <v>4445056</v>
      </c>
      <c r="P97" s="170" t="str">
        <f>'1월'!P98</f>
        <v>IBM(1/2) 11,623,397
IBM APS(1/27) 연 7,859,914 (1/12회)
시스나인 (1/2) 분기8,000,000 (1/3회)
==총 14,945,056 중 4,445,056</v>
      </c>
      <c r="Q97" s="21">
        <f>'1월'!Q98</f>
        <v>316611</v>
      </c>
      <c r="R97" s="68" t="str">
        <f>'1월'!R98</f>
        <v>완료(2/28)</v>
      </c>
      <c r="S97" s="8" t="str">
        <f>'1월'!S98</f>
        <v>이예지</v>
      </c>
      <c r="T97" s="11"/>
    </row>
    <row r="98" spans="1:20" ht="48">
      <c r="A98" t="s">
        <v>30</v>
      </c>
      <c r="B98" s="151" t="str">
        <f>'1월'!B99</f>
        <v>SM-25011</v>
      </c>
      <c r="C98" s="200"/>
      <c r="D98" s="17">
        <f>'1월'!D99</f>
        <v>45681</v>
      </c>
      <c r="E98" s="214" t="str">
        <f>'1월'!E99</f>
        <v>더블포인트</v>
      </c>
      <c r="F98" s="215" t="str">
        <f>'1월'!F99</f>
        <v>한미사이언스</v>
      </c>
      <c r="G98" s="2" t="str">
        <f>'1월'!G99</f>
        <v>MA</v>
      </c>
      <c r="H98" s="161" t="str">
        <f>'1월'!H99</f>
        <v>월간-IBM</v>
      </c>
      <c r="I98" s="4" t="str">
        <f>'1월'!I99</f>
        <v>1월 유지정비료 - 1/12회</v>
      </c>
      <c r="J98" s="23">
        <f>'1월'!J99</f>
        <v>1</v>
      </c>
      <c r="K98" s="27">
        <f>'1월'!K99</f>
        <v>11210000</v>
      </c>
      <c r="L98" s="26">
        <f>'1월'!L99</f>
        <v>11210000</v>
      </c>
      <c r="M98" s="27">
        <f>'1월'!M99</f>
        <v>1121000</v>
      </c>
      <c r="N98" s="27">
        <f>'1월'!N99</f>
        <v>12331000</v>
      </c>
      <c r="O98" s="72">
        <f>'1월'!O99</f>
        <v>10500000</v>
      </c>
      <c r="P98" s="170" t="str">
        <f>'1월'!P99</f>
        <v>IBM(1/2) 11,623,397
IBM APS(1/27) 연 7,859,914 (1/12회)
시스나인 (1/2) 분기8,000,000 (1/3회)
==총 14,945,056 중 10,500,000</v>
      </c>
      <c r="Q98" s="21">
        <f>'1월'!Q99</f>
        <v>710000</v>
      </c>
      <c r="R98" s="68" t="str">
        <f>'1월'!R99</f>
        <v>완료(2/19)</v>
      </c>
      <c r="S98" s="8" t="str">
        <f>'1월'!S99</f>
        <v>이예지</v>
      </c>
      <c r="T98" s="11"/>
    </row>
    <row r="99" spans="1:20">
      <c r="A99" t="s">
        <v>30</v>
      </c>
      <c r="B99" s="151" t="str">
        <f>'1월'!B100</f>
        <v>SB-25001</v>
      </c>
      <c r="C99" s="153" t="str">
        <f>'1월'!C100</f>
        <v>ZXRZHC</v>
      </c>
      <c r="D99" s="17">
        <f>'1월'!D100</f>
        <v>45681</v>
      </c>
      <c r="E99" s="214" t="str">
        <f>'1월'!E100</f>
        <v>퓨처젠</v>
      </c>
      <c r="F99" s="215" t="str">
        <f>'1월'!F100</f>
        <v>HB저축은행</v>
      </c>
      <c r="G99" s="2" t="str">
        <f>'1월'!G100</f>
        <v>MA</v>
      </c>
      <c r="H99" s="2" t="str">
        <f>'1월'!H100</f>
        <v>월간-레노버</v>
      </c>
      <c r="I99" s="4" t="str">
        <f>'1월'!I100</f>
        <v>1월 유지정비료 - 1/12회</v>
      </c>
      <c r="J99" s="23">
        <f>'1월'!J100</f>
        <v>1</v>
      </c>
      <c r="K99" s="27">
        <f>'1월'!K100</f>
        <v>818600</v>
      </c>
      <c r="L99" s="26">
        <f>'1월'!L100</f>
        <v>818600</v>
      </c>
      <c r="M99" s="27">
        <f>'1월'!M100</f>
        <v>81860</v>
      </c>
      <c r="N99" s="27">
        <f>'1월'!N100</f>
        <v>900460</v>
      </c>
      <c r="O99" s="33">
        <f>'1월'!O100</f>
        <v>741900</v>
      </c>
      <c r="P99" s="223" t="str">
        <f>'1월'!P100</f>
        <v>레노버(1/31)</v>
      </c>
      <c r="Q99" s="20">
        <f>'1월'!Q100</f>
        <v>76700</v>
      </c>
      <c r="R99" s="2" t="str">
        <f>'1월'!R100</f>
        <v>완료(2/28)</v>
      </c>
      <c r="S99" s="8" t="str">
        <f>'1월'!S100</f>
        <v>천범석</v>
      </c>
      <c r="T99" s="11"/>
    </row>
    <row r="100" spans="1:20" ht="69" customHeight="1">
      <c r="A100" t="s">
        <v>30</v>
      </c>
      <c r="B100" s="151" t="str">
        <f>'1월'!B101</f>
        <v>SM-25004</v>
      </c>
      <c r="C100" s="199"/>
      <c r="D100" s="17">
        <f>'1월'!D101</f>
        <v>45681</v>
      </c>
      <c r="E100" s="1" t="str">
        <f>'1월'!E101</f>
        <v>인표산업</v>
      </c>
      <c r="F100" s="2"/>
      <c r="G100" s="2" t="str">
        <f>'1월'!G101</f>
        <v>MA</v>
      </c>
      <c r="H100" s="2" t="str">
        <f>'1월'!H101</f>
        <v>월간</v>
      </c>
      <c r="I100" s="4" t="str">
        <f>'1월'!I101</f>
        <v>1월 유지정비료 - 1/12회</v>
      </c>
      <c r="J100" s="23">
        <f>'1월'!J101</f>
        <v>1</v>
      </c>
      <c r="K100" s="27">
        <f>'1월'!K101</f>
        <v>3611000</v>
      </c>
      <c r="L100" s="26">
        <f>'1월'!L101</f>
        <v>3611000</v>
      </c>
      <c r="M100" s="27">
        <f>'1월'!M101</f>
        <v>361100</v>
      </c>
      <c r="N100" s="27">
        <f>'1월'!N101</f>
        <v>3972100</v>
      </c>
      <c r="O100" s="52">
        <f>'1월'!O101</f>
        <v>2762000</v>
      </c>
      <c r="P100" s="170" t="str">
        <f>'1월'!P101</f>
        <v>프라테르(1/31) 644,700
프라테르(2/28) 27,300
트리거(2/28) 700,000
현성솔루션(1/31) 100,000
유니와이드(2/28) 290,000
시스나인(25/3/4) 반기 6,000,000 (1/6회)</v>
      </c>
      <c r="Q100" s="181">
        <f>'1월'!Q101</f>
        <v>849000</v>
      </c>
      <c r="R100" s="68" t="str">
        <f>'1월'!R101</f>
        <v>완료(2/28)</v>
      </c>
      <c r="S100" s="8" t="str">
        <f>'1월'!S101</f>
        <v>홍승민</v>
      </c>
      <c r="T100" s="11"/>
    </row>
    <row r="101" spans="1:20" ht="36">
      <c r="A101" t="s">
        <v>30</v>
      </c>
      <c r="B101" s="151" t="str">
        <f>'1월'!B102</f>
        <v>SL-23035</v>
      </c>
      <c r="C101" s="153" t="str">
        <f>'1월'!C102</f>
        <v>ZBQCP7</v>
      </c>
      <c r="D101" s="17">
        <f>'1월'!D102</f>
        <v>45681</v>
      </c>
      <c r="E101" s="1" t="str">
        <f>'1월'!E102</f>
        <v>지티아이앤씨</v>
      </c>
      <c r="F101" s="2" t="str">
        <f>'1월'!F102</f>
        <v>OK데이터시스템</v>
      </c>
      <c r="G101" s="1" t="str">
        <f>'1월'!G102</f>
        <v>MA</v>
      </c>
      <c r="H101" s="83" t="str">
        <f>'1월'!H102</f>
        <v>월간-레노버</v>
      </c>
      <c r="I101" s="163" t="str">
        <f>'1월'!I102</f>
        <v>HW 연간유지정비료(2025.04.01~2026.05.31)</v>
      </c>
      <c r="J101" s="23">
        <f>'1월'!J102</f>
        <v>1</v>
      </c>
      <c r="K101" s="27">
        <f>'1월'!K102</f>
        <v>9979200</v>
      </c>
      <c r="L101" s="26">
        <f>'1월'!L102</f>
        <v>9979200</v>
      </c>
      <c r="M101" s="27">
        <f>'1월'!M102</f>
        <v>997920</v>
      </c>
      <c r="N101" s="27">
        <f>'1월'!N102</f>
        <v>10977120</v>
      </c>
      <c r="O101" s="232">
        <f>'1월'!O102</f>
        <v>6652800</v>
      </c>
      <c r="P101" s="233" t="str">
        <f>'1월'!P102</f>
        <v>레노버 월 475,200 (25/4/30)  
(5/31)(6/30)(7/31)(8/31)(10/1)(11/1)(12/1)(26/1/1)(2/1)(3/1)(4/1)(5/1)</v>
      </c>
      <c r="Q101" s="181">
        <f>'1월'!Q102</f>
        <v>3326400</v>
      </c>
      <c r="R101" s="2" t="str">
        <f>'1월'!R102</f>
        <v>완료(3/31)</v>
      </c>
      <c r="S101" s="36" t="str">
        <f>'1월'!S102</f>
        <v>천범석</v>
      </c>
      <c r="T101" s="11"/>
    </row>
    <row r="102" spans="1:20" ht="36">
      <c r="A102" t="s">
        <v>30</v>
      </c>
      <c r="B102" s="151" t="str">
        <f>'1월'!B103</f>
        <v>SL-24028</v>
      </c>
      <c r="C102" s="153" t="str">
        <f>'1월'!C103</f>
        <v>ZJYUVJ</v>
      </c>
      <c r="D102" s="17">
        <f>'1월'!D103</f>
        <v>45681</v>
      </c>
      <c r="E102" s="214" t="str">
        <f>'1월'!E103</f>
        <v>온더레벨</v>
      </c>
      <c r="F102" s="215" t="str">
        <f>'1월'!F103</f>
        <v>한우리아이티</v>
      </c>
      <c r="G102" s="1" t="str">
        <f>'1월'!G103</f>
        <v>MA</v>
      </c>
      <c r="H102" s="83" t="str">
        <f>'1월'!H103</f>
        <v>월간-레노버</v>
      </c>
      <c r="I102" s="4" t="str">
        <f>'1월'!I103</f>
        <v>HW 유지정비료(25.01.09~25.07.31)</v>
      </c>
      <c r="J102" s="23">
        <f>'1월'!J103</f>
        <v>1</v>
      </c>
      <c r="K102" s="27">
        <f>'1월'!K103</f>
        <v>939000</v>
      </c>
      <c r="L102" s="26">
        <f>'1월'!L103</f>
        <v>939000</v>
      </c>
      <c r="M102" s="27">
        <f>'1월'!M103</f>
        <v>93900</v>
      </c>
      <c r="N102" s="27">
        <f>'1월'!N103</f>
        <v>1032900</v>
      </c>
      <c r="O102" s="33">
        <f>'1월'!O103</f>
        <v>658520</v>
      </c>
      <c r="P102" s="197" t="str">
        <f>'1월'!P103</f>
        <v>레노버 (1/31)71,720
97,800 (2/28)(3/31)(4/30)(5/31)(6/30)(7/31)</v>
      </c>
      <c r="Q102" s="20">
        <f>'1월'!Q103</f>
        <v>280480</v>
      </c>
      <c r="R102" s="2" t="str">
        <f>'1월'!R103</f>
        <v>완료(2/27)</v>
      </c>
      <c r="S102" s="8" t="str">
        <f>'1월'!S103</f>
        <v>천범석</v>
      </c>
      <c r="T102" s="11"/>
    </row>
    <row r="103" spans="1:20" ht="24">
      <c r="A103" t="s">
        <v>30</v>
      </c>
      <c r="B103" s="151" t="str">
        <f>'1월'!B104</f>
        <v>SL-25001</v>
      </c>
      <c r="C103" s="153" t="str">
        <f>'1월'!C104</f>
        <v>SM_C24021</v>
      </c>
      <c r="D103" s="17">
        <f>'1월'!D104</f>
        <v>45681</v>
      </c>
      <c r="E103" s="214" t="str">
        <f>'1월'!E104</f>
        <v>제이엔테크놀러지</v>
      </c>
      <c r="F103" s="215" t="str">
        <f>'1월'!F104</f>
        <v>올릭스파마</v>
      </c>
      <c r="G103" s="2" t="str">
        <f>'1월'!G104</f>
        <v>MAPAC</v>
      </c>
      <c r="H103" s="83" t="str">
        <f>'1월'!H104</f>
        <v>연간-레노버</v>
      </c>
      <c r="I103" s="4" t="str">
        <f>'1월'!I104</f>
        <v>연간유지정비료(25.01.01~25.12.31)</v>
      </c>
      <c r="J103" s="23">
        <f>'1월'!J104</f>
        <v>1</v>
      </c>
      <c r="K103" s="27">
        <f>'1월'!K104</f>
        <v>1722000</v>
      </c>
      <c r="L103" s="26">
        <f>'1월'!L104</f>
        <v>1722000</v>
      </c>
      <c r="M103" s="27">
        <f>'1월'!M104</f>
        <v>172200</v>
      </c>
      <c r="N103" s="27">
        <f>'1월'!N104</f>
        <v>1894200</v>
      </c>
      <c r="O103" s="33">
        <f>'1월'!O104</f>
        <v>1530720</v>
      </c>
      <c r="P103" s="197" t="str">
        <f>'1월'!P104</f>
        <v>레노버(1/2)</v>
      </c>
      <c r="Q103" s="20">
        <f>'1월'!Q104</f>
        <v>191280</v>
      </c>
      <c r="R103" s="2" t="str">
        <f>'1월'!R104</f>
        <v>완료(2/28)</v>
      </c>
      <c r="S103" s="8" t="str">
        <f>'1월'!S104</f>
        <v>천범석</v>
      </c>
      <c r="T103" s="11"/>
    </row>
    <row r="104" spans="1:20">
      <c r="A104" t="s">
        <v>30</v>
      </c>
      <c r="B104" s="151" t="str">
        <f>'1월'!B105</f>
        <v>SB-25005</v>
      </c>
      <c r="C104" s="153" t="str">
        <f>'1월'!C105</f>
        <v>ZSUEIX</v>
      </c>
      <c r="D104" s="17">
        <f>'1월'!D105</f>
        <v>45681</v>
      </c>
      <c r="E104" s="214" t="str">
        <f>'1월'!E105</f>
        <v>제이엔테크놀러지</v>
      </c>
      <c r="F104" s="215" t="str">
        <f>'1월'!F105</f>
        <v>SK실트론</v>
      </c>
      <c r="G104" s="1" t="str">
        <f>'1월'!G105</f>
        <v>MA</v>
      </c>
      <c r="H104" s="83" t="str">
        <f>'1월'!H105</f>
        <v>월간-레노버</v>
      </c>
      <c r="I104" s="4" t="str">
        <f>'1월'!I105</f>
        <v>1월 유지정비료 - 1/12회</v>
      </c>
      <c r="J104" s="23">
        <f>'1월'!J105</f>
        <v>1</v>
      </c>
      <c r="K104" s="27">
        <f>'1월'!K105</f>
        <v>554000</v>
      </c>
      <c r="L104" s="26">
        <f>'1월'!L105</f>
        <v>554000</v>
      </c>
      <c r="M104" s="27">
        <f>'1월'!M105</f>
        <v>55400</v>
      </c>
      <c r="N104" s="27">
        <f>'1월'!N105</f>
        <v>609400</v>
      </c>
      <c r="O104" s="33">
        <f>'1월'!O105</f>
        <v>502800</v>
      </c>
      <c r="P104" s="197" t="str">
        <f>'1월'!P105</f>
        <v>레노버(1/31)</v>
      </c>
      <c r="Q104" s="20">
        <f>'1월'!Q105</f>
        <v>51200</v>
      </c>
      <c r="R104" s="2" t="str">
        <f>'1월'!R105</f>
        <v>완료(2/28)</v>
      </c>
      <c r="S104" s="8" t="str">
        <f>'1월'!S105</f>
        <v>천범석</v>
      </c>
      <c r="T104" s="11"/>
    </row>
    <row r="105" spans="1:20">
      <c r="A105" t="s">
        <v>30</v>
      </c>
      <c r="B105" s="151" t="str">
        <f>'1월'!B106</f>
        <v>H241230-01</v>
      </c>
      <c r="C105" s="153"/>
      <c r="D105" s="17">
        <f>'1월'!D106</f>
        <v>45681</v>
      </c>
      <c r="E105" s="1" t="str">
        <f>'1월'!E106</f>
        <v>티에스씨인포</v>
      </c>
      <c r="F105" s="2"/>
      <c r="G105" s="2" t="str">
        <f>'1월'!G106</f>
        <v>상품</v>
      </c>
      <c r="H105" s="83" t="str">
        <f>'1월'!H106</f>
        <v>32P0730</v>
      </c>
      <c r="I105" s="4" t="str">
        <f>'1월'!I106</f>
        <v>73GB 10K U320 SCSI</v>
      </c>
      <c r="J105" s="23">
        <f>'1월'!J106</f>
        <v>1</v>
      </c>
      <c r="K105" s="27">
        <f>'1월'!K106</f>
        <v>130000</v>
      </c>
      <c r="L105" s="26">
        <f>'1월'!L106</f>
        <v>1560000</v>
      </c>
      <c r="M105" s="27">
        <f>'1월'!M106</f>
        <v>156000</v>
      </c>
      <c r="N105" s="27">
        <f>'1월'!N106</f>
        <v>1716000</v>
      </c>
      <c r="O105" s="33">
        <f>'1월'!O106</f>
        <v>1250000</v>
      </c>
      <c r="P105" s="197" t="str">
        <f>'1월'!P106</f>
        <v>이비웨이브(24/12/30)</v>
      </c>
      <c r="Q105" s="20">
        <f>'1월'!Q106</f>
        <v>310000</v>
      </c>
      <c r="R105" s="2" t="str">
        <f>'1월'!R106</f>
        <v>완료(1/31)</v>
      </c>
      <c r="S105" s="8" t="str">
        <f>'1월'!S106</f>
        <v>천범석</v>
      </c>
      <c r="T105" s="11"/>
    </row>
    <row r="106" spans="1:20">
      <c r="A106" t="s">
        <v>30</v>
      </c>
      <c r="B106" s="151" t="str">
        <f>'1월'!B107</f>
        <v>H250106-02</v>
      </c>
      <c r="C106" s="155"/>
      <c r="D106" s="43"/>
      <c r="E106" s="44" t="str">
        <f>'1월'!E107</f>
        <v>티에스씨인포</v>
      </c>
      <c r="F106" s="41"/>
      <c r="G106" s="2" t="str">
        <f>'1월'!G107</f>
        <v>상품</v>
      </c>
      <c r="H106" s="83" t="str">
        <f>'1월'!H107</f>
        <v>1KPX8</v>
      </c>
      <c r="I106" s="4" t="str">
        <f>'1월'!I107</f>
        <v>DELL R740 SYSTEM BOARD = JMK61</v>
      </c>
      <c r="J106" s="23">
        <f>'1월'!J107</f>
        <v>1</v>
      </c>
      <c r="K106" s="27">
        <f>'1월'!K107</f>
        <v>850000</v>
      </c>
      <c r="L106" s="37"/>
      <c r="M106" s="38"/>
      <c r="N106" s="38"/>
      <c r="O106" s="33"/>
      <c r="P106" s="197" t="str">
        <f>'1월'!P107</f>
        <v>이비웨이브(1/6)</v>
      </c>
      <c r="Q106" s="40"/>
      <c r="R106" s="41"/>
      <c r="S106" s="42"/>
      <c r="T106" s="11"/>
    </row>
    <row r="107" spans="1:20">
      <c r="A107" t="s">
        <v>30</v>
      </c>
      <c r="B107" s="151" t="str">
        <f>'1월'!B108</f>
        <v>H250110-01</v>
      </c>
      <c r="C107" s="155"/>
      <c r="D107" s="43"/>
      <c r="E107" s="44" t="str">
        <f>'1월'!E108</f>
        <v>티에스씨인포</v>
      </c>
      <c r="F107" s="41"/>
      <c r="G107" s="2" t="str">
        <f>'1월'!G108</f>
        <v>상품</v>
      </c>
      <c r="H107" s="83" t="str">
        <f>'1월'!H108</f>
        <v>061XPF</v>
      </c>
      <c r="I107" s="4" t="str">
        <f>'1월'!I108</f>
        <v>DELL 146GB 15K 6G SFF SAS HDD</v>
      </c>
      <c r="J107" s="23">
        <f>'1월'!J108</f>
        <v>2</v>
      </c>
      <c r="K107" s="27">
        <f>'1월'!K108</f>
        <v>120000</v>
      </c>
      <c r="L107" s="37"/>
      <c r="M107" s="38"/>
      <c r="N107" s="38"/>
      <c r="O107" s="33"/>
      <c r="P107" s="197" t="str">
        <f>'1월'!P108</f>
        <v>이비웨이브(1/10)</v>
      </c>
      <c r="Q107" s="40"/>
      <c r="R107" s="41"/>
      <c r="S107" s="42"/>
      <c r="T107" s="11"/>
    </row>
    <row r="108" spans="1:20" ht="24">
      <c r="A108" t="s">
        <v>30</v>
      </c>
      <c r="B108" s="151" t="str">
        <f>'1월'!B109</f>
        <v>H250113-01</v>
      </c>
      <c r="C108" s="155"/>
      <c r="D108" s="43"/>
      <c r="E108" s="44" t="str">
        <f>'1월'!E109</f>
        <v>티에스씨인포</v>
      </c>
      <c r="F108" s="41"/>
      <c r="G108" s="2" t="str">
        <f>'1월'!G109</f>
        <v>상품</v>
      </c>
      <c r="H108" s="83" t="str">
        <f>'1월'!H109</f>
        <v>44X3212</v>
      </c>
      <c r="I108" s="4" t="str">
        <f>'1월'!I109</f>
        <v>IBM V7000 Storage 600GB 10K 2.5inch HDD 44X3212/90Y7652</v>
      </c>
      <c r="J108" s="23">
        <f>'1월'!J109</f>
        <v>2</v>
      </c>
      <c r="K108" s="27">
        <f>'1월'!K109</f>
        <v>170000</v>
      </c>
      <c r="L108" s="37"/>
      <c r="M108" s="38"/>
      <c r="N108" s="38"/>
      <c r="O108" s="33"/>
      <c r="P108" s="197" t="str">
        <f>'1월'!P109</f>
        <v>이비웨이브(1/13)</v>
      </c>
      <c r="Q108" s="40"/>
      <c r="R108" s="41"/>
      <c r="S108" s="42"/>
      <c r="T108" s="11"/>
    </row>
    <row r="109" spans="1:20" ht="24">
      <c r="A109" t="s">
        <v>30</v>
      </c>
      <c r="B109" s="151" t="str">
        <f>'1월'!B110</f>
        <v>H250114-01</v>
      </c>
      <c r="C109" s="153"/>
      <c r="D109" s="17">
        <f>'1월'!D110</f>
        <v>45681</v>
      </c>
      <c r="E109" s="1" t="str">
        <f>'1월'!E110</f>
        <v>다솜테크</v>
      </c>
      <c r="F109" s="2"/>
      <c r="G109" s="2" t="str">
        <f>'1월'!G110</f>
        <v>상품</v>
      </c>
      <c r="H109" s="83" t="str">
        <f>'1월'!H110</f>
        <v>4XG7A38077</v>
      </c>
      <c r="I109" s="4" t="str">
        <f>'1월'!I110</f>
        <v>SR650 Intel Xeon Gold 6246R 16C 205W 3.4GHz Processor with FAN</v>
      </c>
      <c r="J109" s="23">
        <f>'1월'!J110</f>
        <v>1</v>
      </c>
      <c r="K109" s="27">
        <f>'1월'!K110</f>
        <v>2400000</v>
      </c>
      <c r="L109" s="26">
        <f>'1월'!L110</f>
        <v>2400000</v>
      </c>
      <c r="M109" s="27">
        <f>'1월'!M110</f>
        <v>240000</v>
      </c>
      <c r="N109" s="27">
        <f>'1월'!N110</f>
        <v>2640000</v>
      </c>
      <c r="O109" s="33">
        <f>'1월'!O110</f>
        <v>1964000</v>
      </c>
      <c r="P109" s="197" t="str">
        <f>'1월'!P110</f>
        <v>위퍼스트(1/14) 우림퀵(1/31) 7,000*2회</v>
      </c>
      <c r="Q109" s="20">
        <f>'1월'!Q110</f>
        <v>436000</v>
      </c>
      <c r="R109" s="2" t="str">
        <f>'1월'!R110</f>
        <v>완료(3/31)</v>
      </c>
      <c r="S109" s="8" t="str">
        <f>'1월'!S110</f>
        <v>천범석</v>
      </c>
      <c r="T109" s="11"/>
    </row>
    <row r="110" spans="1:20">
      <c r="A110" t="s">
        <v>30</v>
      </c>
      <c r="B110" s="151" t="str">
        <f>'1월'!B111</f>
        <v>H250115-01</v>
      </c>
      <c r="C110" s="153"/>
      <c r="D110" s="17">
        <f>'1월'!D111</f>
        <v>45681</v>
      </c>
      <c r="E110" s="1" t="str">
        <f>'1월'!E111</f>
        <v>우리에스아이티</v>
      </c>
      <c r="F110" s="2"/>
      <c r="G110" s="2" t="str">
        <f>'1월'!G111</f>
        <v>상품</v>
      </c>
      <c r="H110" s="83" t="str">
        <f>'1월'!H111</f>
        <v>AJ763A</v>
      </c>
      <c r="I110" s="4" t="str">
        <f>'1월'!I111</f>
        <v>HPE 82E 8Gb 2-port PCIe Fibre Channel HBA</v>
      </c>
      <c r="J110" s="23">
        <f>'1월'!J111</f>
        <v>2</v>
      </c>
      <c r="K110" s="27">
        <f>'1월'!K111</f>
        <v>150000</v>
      </c>
      <c r="L110" s="26">
        <f>'1월'!L111</f>
        <v>300000</v>
      </c>
      <c r="M110" s="27">
        <f>'1월'!M111</f>
        <v>30000</v>
      </c>
      <c r="N110" s="27">
        <f>'1월'!N111</f>
        <v>330000</v>
      </c>
      <c r="O110" s="33">
        <f>'1월'!O111</f>
        <v>200000</v>
      </c>
      <c r="P110" s="197" t="str">
        <f>'1월'!P111</f>
        <v>이비웨이브(1/15)</v>
      </c>
      <c r="Q110" s="20">
        <f>'1월'!Q111</f>
        <v>100000</v>
      </c>
      <c r="R110" s="2" t="str">
        <f>'1월'!R111</f>
        <v>완료(2/28)</v>
      </c>
      <c r="S110" s="8" t="str">
        <f>'1월'!S111</f>
        <v>천범석</v>
      </c>
      <c r="T110" s="11"/>
    </row>
    <row r="111" spans="1:20">
      <c r="A111" t="s">
        <v>30</v>
      </c>
      <c r="B111" s="151" t="str">
        <f>'1월'!B112</f>
        <v>SM-25001</v>
      </c>
      <c r="C111" s="199"/>
      <c r="D111" s="17">
        <f>'1월'!D112</f>
        <v>45681</v>
      </c>
      <c r="E111" s="214" t="str">
        <f>'1월'!E112</f>
        <v>로스비브이</v>
      </c>
      <c r="F111" s="215" t="str">
        <f>'1월'!F112</f>
        <v>BAT서울</v>
      </c>
      <c r="G111" s="2" t="str">
        <f>'1월'!G112</f>
        <v>MA</v>
      </c>
      <c r="H111" s="2" t="str">
        <f>'1월'!H112</f>
        <v>월간-레노버</v>
      </c>
      <c r="I111" s="4" t="str">
        <f>'1월'!I112</f>
        <v>[HW] 1월 유지정비료 - 1/12회</v>
      </c>
      <c r="J111" s="23">
        <f>'1월'!J112</f>
        <v>1</v>
      </c>
      <c r="K111" s="27">
        <f>'1월'!K112</f>
        <v>850000</v>
      </c>
      <c r="L111" s="26">
        <f>'1월'!L112</f>
        <v>850000</v>
      </c>
      <c r="M111" s="27">
        <f>'1월'!M112</f>
        <v>85000</v>
      </c>
      <c r="N111" s="27">
        <f>'1월'!N112</f>
        <v>935000</v>
      </c>
      <c r="O111" s="52">
        <f>'1월'!O112</f>
        <v>700000</v>
      </c>
      <c r="P111" s="171" t="str">
        <f>'1월'!P112</f>
        <v>알앤에스(1/24) 495만원 중</v>
      </c>
      <c r="Q111" s="181">
        <f>'1월'!Q112</f>
        <v>150000</v>
      </c>
      <c r="R111" s="68" t="str">
        <f>'1월'!R112</f>
        <v>완료(3/26)</v>
      </c>
      <c r="S111" s="8" t="str">
        <f>'1월'!S112</f>
        <v>천범석</v>
      </c>
      <c r="T111" s="11"/>
    </row>
    <row r="112" spans="1:20" ht="24">
      <c r="A112" t="s">
        <v>30</v>
      </c>
      <c r="B112" s="151" t="str">
        <f>'1월'!B113</f>
        <v>SM-25001</v>
      </c>
      <c r="C112" s="199"/>
      <c r="D112" s="17">
        <f>'1월'!D113</f>
        <v>45681</v>
      </c>
      <c r="E112" s="214" t="str">
        <f>'1월'!E113</f>
        <v>브리토바코</v>
      </c>
      <c r="F112" s="215" t="str">
        <f>'1월'!F113</f>
        <v>BAT사천</v>
      </c>
      <c r="G112" s="2" t="str">
        <f>'1월'!G113</f>
        <v>MA</v>
      </c>
      <c r="H112" s="2" t="str">
        <f>'1월'!H113</f>
        <v>월간-레노버</v>
      </c>
      <c r="I112" s="4" t="str">
        <f>'1월'!I113</f>
        <v>[HW] 1월 유지정비료 - 1/12회</v>
      </c>
      <c r="J112" s="23">
        <f>'1월'!J113</f>
        <v>1</v>
      </c>
      <c r="K112" s="27">
        <f>'1월'!K113</f>
        <v>4600000</v>
      </c>
      <c r="L112" s="26">
        <f>'1월'!L113</f>
        <v>4600000</v>
      </c>
      <c r="M112" s="27">
        <f>'1월'!M113</f>
        <v>460000</v>
      </c>
      <c r="N112" s="27">
        <f>'1월'!N113</f>
        <v>5060000</v>
      </c>
      <c r="O112" s="52">
        <f>'1월'!O113</f>
        <v>4450000</v>
      </c>
      <c r="P112" s="171" t="str">
        <f>'1월'!P113</f>
        <v>알앤에스(1/24) 495만원 중 시스나인(1/2) 연 2,400,000(1/12회)</v>
      </c>
      <c r="Q112" s="181">
        <f>'1월'!Q113</f>
        <v>150000</v>
      </c>
      <c r="R112" s="68" t="str">
        <f>'1월'!R113</f>
        <v>완료(3/26)</v>
      </c>
      <c r="S112" s="8" t="str">
        <f>'1월'!S113</f>
        <v>천범석</v>
      </c>
      <c r="T112" s="11"/>
    </row>
    <row r="113" spans="1:20" ht="60">
      <c r="B113" s="151" t="str">
        <f>'1월'!B114</f>
        <v>SB-25008</v>
      </c>
      <c r="C113" s="153" t="str">
        <f>'1월'!C114</f>
        <v>ZTGLCD</v>
      </c>
      <c r="D113" s="17">
        <f>'1월'!D114</f>
        <v>45681</v>
      </c>
      <c r="E113" s="1" t="str">
        <f>'1월'!E114</f>
        <v>아이리스</v>
      </c>
      <c r="F113" s="17" t="str">
        <f>'1월'!F114</f>
        <v>삼성전자</v>
      </c>
      <c r="G113" s="1" t="str">
        <f>'1월'!G114</f>
        <v>MA</v>
      </c>
      <c r="H113" s="2" t="str">
        <f>'1월'!H114</f>
        <v>월간-레노버</v>
      </c>
      <c r="I113" s="4" t="str">
        <f>'1월'!I114</f>
        <v>연간유지정비료(24.11.7~25.11.6)</v>
      </c>
      <c r="J113" s="23">
        <f>'1월'!J114</f>
        <v>1</v>
      </c>
      <c r="K113" s="27">
        <f>'1월'!K114</f>
        <v>2900000</v>
      </c>
      <c r="L113" s="26">
        <f>'1월'!L114</f>
        <v>2900000</v>
      </c>
      <c r="M113" s="27">
        <f>'1월'!M114</f>
        <v>290000</v>
      </c>
      <c r="N113" s="27">
        <f>'1월'!N114</f>
        <v>3190000</v>
      </c>
      <c r="O113" s="33">
        <f>'1월'!O114</f>
        <v>2552400</v>
      </c>
      <c r="P113" s="173" t="str">
        <f>'1월'!P114</f>
        <v>레노버 
11월(1/24) 170,160 12월(1/24)212,700 
월212,700
(1/31)(2/28)(3/31)(4/30)(5/31)(6/30)(7/31)(8/31)(9/30)(10/31)(11/  )</v>
      </c>
      <c r="Q113" s="20">
        <f>'1월'!Q114</f>
        <v>347600</v>
      </c>
      <c r="R113" s="2" t="str">
        <f>'1월'!R114</f>
        <v>완료(3/31)</v>
      </c>
      <c r="S113" s="8" t="str">
        <f>'1월'!S114</f>
        <v>천범석</v>
      </c>
      <c r="T113" s="11"/>
    </row>
    <row r="114" spans="1:20" ht="24">
      <c r="A114" t="s">
        <v>30</v>
      </c>
      <c r="B114" s="151" t="str">
        <f>'1월'!B115</f>
        <v>SL-25002</v>
      </c>
      <c r="C114" s="153" t="str">
        <f>'1월'!C115</f>
        <v>SM_C25001</v>
      </c>
      <c r="D114" s="17">
        <f>'1월'!D115</f>
        <v>45681</v>
      </c>
      <c r="E114" s="1" t="str">
        <f>'1월'!E115</f>
        <v>유더블유에스</v>
      </c>
      <c r="F114" s="2" t="str">
        <f>'1월'!F115</f>
        <v>농림수산업자신용보증기금</v>
      </c>
      <c r="G114" s="2" t="str">
        <f>'1월'!G115</f>
        <v>MAPAC</v>
      </c>
      <c r="H114" s="83" t="str">
        <f>'1월'!H115</f>
        <v>연간-레노버</v>
      </c>
      <c r="I114" s="4" t="str">
        <f>'1월'!I115</f>
        <v>연간유지정비료(25.01.01~12.31)</v>
      </c>
      <c r="J114" s="23">
        <f>'1월'!J115</f>
        <v>1</v>
      </c>
      <c r="K114" s="27">
        <f>'1월'!K115</f>
        <v>350000</v>
      </c>
      <c r="L114" s="26">
        <f>'1월'!L115</f>
        <v>350000</v>
      </c>
      <c r="M114" s="27">
        <f>'1월'!M115</f>
        <v>35000</v>
      </c>
      <c r="N114" s="27">
        <f>'1월'!N115</f>
        <v>385000</v>
      </c>
      <c r="O114" s="33">
        <f>'1월'!O115</f>
        <v>282320</v>
      </c>
      <c r="P114" s="197" t="str">
        <f>'1월'!P115</f>
        <v>레노버(1/23)</v>
      </c>
      <c r="Q114" s="20">
        <f>'1월'!Q115</f>
        <v>67680</v>
      </c>
      <c r="R114" s="202" t="str">
        <f>'1월'!R115</f>
        <v>완료(2/28)</v>
      </c>
      <c r="S114" s="8" t="str">
        <f>'1월'!S115</f>
        <v>천범석</v>
      </c>
      <c r="T114" s="11"/>
    </row>
    <row r="115" spans="1:20">
      <c r="A115" t="s">
        <v>30</v>
      </c>
      <c r="B115" s="151" t="str">
        <f>'1월'!B116</f>
        <v>SM-25007</v>
      </c>
      <c r="C115" s="199"/>
      <c r="D115" s="17">
        <f>'1월'!D116</f>
        <v>45681</v>
      </c>
      <c r="E115" s="1" t="str">
        <f>'1월'!E116</f>
        <v>더블포인트</v>
      </c>
      <c r="F115" s="2" t="str">
        <f>'1월'!F116</f>
        <v>교보문고</v>
      </c>
      <c r="G115" s="2" t="str">
        <f>'1월'!G116</f>
        <v>MA</v>
      </c>
      <c r="H115" s="2" t="str">
        <f>'1월'!H116</f>
        <v>월간</v>
      </c>
      <c r="I115" s="4" t="str">
        <f>'1월'!I116</f>
        <v>1월 유지정비료 - 1/12회</v>
      </c>
      <c r="J115" s="23">
        <f>'1월'!J116</f>
        <v>1</v>
      </c>
      <c r="K115" s="27">
        <f>'1월'!K116</f>
        <v>880000</v>
      </c>
      <c r="L115" s="26">
        <f>'1월'!L116</f>
        <v>880000</v>
      </c>
      <c r="M115" s="27">
        <f>'1월'!M116</f>
        <v>88000</v>
      </c>
      <c r="N115" s="27">
        <f>'1월'!N116</f>
        <v>968000</v>
      </c>
      <c r="O115" s="52">
        <f>'1월'!O116</f>
        <v>333333.33333333331</v>
      </c>
      <c r="P115" s="171" t="str">
        <f>'1월'!P116</f>
        <v>시스나인(4/25) 1,000,000 (1/3회)</v>
      </c>
      <c r="Q115" s="181">
        <f>'1월'!Q116</f>
        <v>546666.66666666674</v>
      </c>
      <c r="R115" s="202" t="str">
        <f>'1월'!R116</f>
        <v>완료(3/10)</v>
      </c>
      <c r="S115" s="8" t="str">
        <f>'1월'!S116</f>
        <v>이예지</v>
      </c>
      <c r="T115" s="11"/>
    </row>
    <row r="116" spans="1:20" ht="24">
      <c r="A116" t="s">
        <v>30</v>
      </c>
      <c r="B116" s="151" t="str">
        <f>'1월'!B117</f>
        <v>SM-25008</v>
      </c>
      <c r="C116" s="199"/>
      <c r="D116" s="17">
        <f>'1월'!D117</f>
        <v>45681</v>
      </c>
      <c r="E116" s="1" t="str">
        <f>'1월'!E117</f>
        <v>더블포인트</v>
      </c>
      <c r="F116" s="2" t="str">
        <f>'1월'!F117</f>
        <v>스마트로</v>
      </c>
      <c r="G116" s="161" t="str">
        <f>'1월'!G117</f>
        <v>MA</v>
      </c>
      <c r="H116" s="161" t="str">
        <f>'1월'!H117</f>
        <v>월간-IBM</v>
      </c>
      <c r="I116" s="164" t="str">
        <f>'1월'!I117</f>
        <v>1월 유지정비료 - 1/12회</v>
      </c>
      <c r="J116" s="34">
        <f>'1월'!J117</f>
        <v>1</v>
      </c>
      <c r="K116" s="48">
        <f>'1월'!K117</f>
        <v>3500000</v>
      </c>
      <c r="L116" s="26">
        <f>'1월'!L117</f>
        <v>3500000</v>
      </c>
      <c r="M116" s="27">
        <f>'1월'!M117</f>
        <v>350000</v>
      </c>
      <c r="N116" s="27">
        <f>'1월'!N117</f>
        <v>3850000</v>
      </c>
      <c r="O116" s="82">
        <f>'1월'!O117</f>
        <v>3210534</v>
      </c>
      <c r="P116" s="170" t="str">
        <f>'1월'!P117</f>
        <v>IBM(2/13) 2,421,068(1/2회)
시스나인(3/4) 1400중 600(1/3회)</v>
      </c>
      <c r="Q116" s="181">
        <f>'1월'!Q117</f>
        <v>289466</v>
      </c>
      <c r="R116" s="202" t="str">
        <f>'1월'!R117</f>
        <v>완료(3/10)</v>
      </c>
      <c r="S116" s="8" t="str">
        <f>'1월'!S117</f>
        <v>이예지</v>
      </c>
      <c r="T116" s="11"/>
    </row>
    <row r="117" spans="1:20">
      <c r="A117" t="s">
        <v>30</v>
      </c>
      <c r="B117" s="151" t="str">
        <f>'1월'!B118</f>
        <v>S</v>
      </c>
      <c r="C117" s="199"/>
      <c r="D117" s="17">
        <f>'1월'!D118</f>
        <v>45688</v>
      </c>
      <c r="E117" s="214" t="str">
        <f>'1월'!E118</f>
        <v>스팩스</v>
      </c>
      <c r="F117" s="215" t="str">
        <f>'1월'!F118</f>
        <v>광명자이 1810호</v>
      </c>
      <c r="G117" s="161" t="str">
        <f>'1월'!G118</f>
        <v>건물임대</v>
      </c>
      <c r="H117" s="161" t="str">
        <f>'1월'!H118</f>
        <v>임대료</v>
      </c>
      <c r="I117" s="169" t="str">
        <f>'1월'!I118</f>
        <v>1월 임대료 - 7/12회</v>
      </c>
      <c r="J117" s="69">
        <f>'1월'!J118</f>
        <v>1</v>
      </c>
      <c r="K117" s="27">
        <f>'1월'!K118</f>
        <v>600000</v>
      </c>
      <c r="L117" s="26">
        <f>'1월'!L118</f>
        <v>600000</v>
      </c>
      <c r="M117" s="27">
        <f>'1월'!M118</f>
        <v>60000</v>
      </c>
      <c r="N117" s="27">
        <f>'1월'!N118</f>
        <v>660000</v>
      </c>
      <c r="O117" s="52">
        <f>'1월'!O118</f>
        <v>0</v>
      </c>
      <c r="P117" s="171" t="str">
        <f>'1월'!P118</f>
        <v>X</v>
      </c>
      <c r="Q117" s="181">
        <f>'1월'!Q118</f>
        <v>600000</v>
      </c>
      <c r="R117" s="68" t="str">
        <f>'1월'!R118</f>
        <v>완료(2/3)</v>
      </c>
      <c r="S117" s="8" t="str">
        <f>'1월'!S118</f>
        <v>정지우</v>
      </c>
      <c r="T117" s="11"/>
    </row>
    <row r="118" spans="1:20" ht="24">
      <c r="A118" t="s">
        <v>30</v>
      </c>
      <c r="B118" s="151" t="str">
        <f>'1월'!B119</f>
        <v>S</v>
      </c>
      <c r="C118" s="199"/>
      <c r="D118" s="17">
        <f>'1월'!D119</f>
        <v>45688</v>
      </c>
      <c r="E118" s="214" t="str">
        <f>'1월'!E119</f>
        <v>씨케이명차</v>
      </c>
      <c r="F118" s="215" t="str">
        <f>'1월'!F119</f>
        <v>가양아너비즈 402~404호</v>
      </c>
      <c r="G118" s="161" t="str">
        <f>'1월'!G119</f>
        <v>건물임대</v>
      </c>
      <c r="H118" s="161" t="str">
        <f>'1월'!H119</f>
        <v>임대료</v>
      </c>
      <c r="I118" s="4" t="str">
        <f>'1월'!I119</f>
        <v>2월(1.31~2.27) 임대료</v>
      </c>
      <c r="J118" s="23">
        <f>'1월'!J119</f>
        <v>1</v>
      </c>
      <c r="K118" s="27">
        <f>'1월'!K119</f>
        <v>4000000</v>
      </c>
      <c r="L118" s="26">
        <f>'1월'!L119</f>
        <v>4000000</v>
      </c>
      <c r="M118" s="27">
        <f>'1월'!M119</f>
        <v>400000</v>
      </c>
      <c r="N118" s="27">
        <f>'1월'!N119</f>
        <v>4400000</v>
      </c>
      <c r="O118" s="52">
        <f>'1월'!O119</f>
        <v>0</v>
      </c>
      <c r="P118" s="170" t="str">
        <f>'1월'!P119</f>
        <v>X</v>
      </c>
      <c r="Q118" s="181">
        <f>'1월'!Q119</f>
        <v>4000000</v>
      </c>
      <c r="R118" s="68" t="str">
        <f>'1월'!R119</f>
        <v>보증금반제(25/8/31)</v>
      </c>
      <c r="S118" s="8" t="str">
        <f>'1월'!S119</f>
        <v>정지우</v>
      </c>
      <c r="T118" s="11"/>
    </row>
    <row r="119" spans="1:20">
      <c r="A119" t="s">
        <v>30</v>
      </c>
      <c r="B119" s="151" t="str">
        <f>'1월'!B120</f>
        <v>SM-25006</v>
      </c>
      <c r="C119" s="200"/>
      <c r="D119" s="17">
        <f>'1월'!D120</f>
        <v>45688</v>
      </c>
      <c r="E119" s="1" t="str">
        <f>'1월'!E120</f>
        <v>대륭상선</v>
      </c>
      <c r="F119" s="161"/>
      <c r="G119" s="161" t="str">
        <f>'1월'!G120</f>
        <v>MA</v>
      </c>
      <c r="H119" s="161" t="str">
        <f>'1월'!H120</f>
        <v>월간-IBM</v>
      </c>
      <c r="I119" s="163" t="str">
        <f>'1월'!I120</f>
        <v>1월 유지정비료 - 1/12회</v>
      </c>
      <c r="J119" s="71">
        <f>'1월'!J120</f>
        <v>1</v>
      </c>
      <c r="K119" s="26">
        <f>'1월'!K120</f>
        <v>2730000</v>
      </c>
      <c r="L119" s="26">
        <f>'1월'!L120</f>
        <v>2730000</v>
      </c>
      <c r="M119" s="27">
        <f>'1월'!M120</f>
        <v>273000</v>
      </c>
      <c r="N119" s="27">
        <f>'1월'!N120</f>
        <v>3003000</v>
      </c>
      <c r="O119" s="52">
        <f>'1월'!O120</f>
        <v>0</v>
      </c>
      <c r="P119" s="171" t="str">
        <f>'1월'!P120</f>
        <v>SM</v>
      </c>
      <c r="Q119" s="181">
        <f>'1월'!Q120</f>
        <v>2730000</v>
      </c>
      <c r="R119" s="68" t="str">
        <f>'1월'!R120</f>
        <v>완료(2/17)</v>
      </c>
      <c r="S119" s="5" t="str">
        <f>'1월'!S120</f>
        <v>홍승민</v>
      </c>
      <c r="T119" s="11"/>
    </row>
    <row r="120" spans="1:20" ht="24">
      <c r="B120" s="151" t="str">
        <f>'1월'!B121</f>
        <v>SM-25009</v>
      </c>
      <c r="C120" s="153"/>
      <c r="D120" s="17">
        <f>'1월'!D121</f>
        <v>45688</v>
      </c>
      <c r="E120" s="1" t="str">
        <f>'1월'!E121</f>
        <v>투데이시스템</v>
      </c>
      <c r="F120" s="2" t="str">
        <f>'1월'!F121</f>
        <v>스마트로</v>
      </c>
      <c r="G120" s="1" t="str">
        <f>'1월'!G121</f>
        <v>MA</v>
      </c>
      <c r="H120" s="83" t="str">
        <f>'1월'!H121</f>
        <v>월간</v>
      </c>
      <c r="I120" s="4" t="str">
        <f>'1월'!I121</f>
        <v>(부품)1월 유지정비료 - 1/12회</v>
      </c>
      <c r="J120" s="23">
        <f>'1월'!J121</f>
        <v>1</v>
      </c>
      <c r="K120" s="27">
        <f>'1월'!K121</f>
        <v>3475000</v>
      </c>
      <c r="L120" s="26">
        <f>'1월'!L121</f>
        <v>3475000</v>
      </c>
      <c r="M120" s="27">
        <f>'1월'!M121</f>
        <v>347500</v>
      </c>
      <c r="N120" s="27">
        <f>'1월'!N121</f>
        <v>3822500</v>
      </c>
      <c r="O120" s="33">
        <f>'1월'!O121</f>
        <v>3000000</v>
      </c>
      <c r="P120" s="197" t="str">
        <f>'1월'!P121</f>
        <v>시스나인(3/4) 1400중 800(1/3회)
투데이시스템(8/30) 1,000,00(1/3)</v>
      </c>
      <c r="Q120" s="20">
        <f>'1월'!Q121</f>
        <v>475000</v>
      </c>
      <c r="R120" s="2" t="str">
        <f>'1월'!R121</f>
        <v>완료(3/31)</v>
      </c>
      <c r="S120" s="8" t="str">
        <f>'1월'!S121</f>
        <v>이예지</v>
      </c>
      <c r="T120" s="11"/>
    </row>
    <row r="121" spans="1:20" ht="24">
      <c r="B121" s="151" t="str">
        <f>'1월'!B122</f>
        <v>SL-25004</v>
      </c>
      <c r="C121" s="153" t="str">
        <f>'1월'!C122</f>
        <v>SM_C25003</v>
      </c>
      <c r="D121" s="86">
        <f>'1월'!D122</f>
        <v>45688</v>
      </c>
      <c r="E121" s="17" t="str">
        <f>'1월'!E122</f>
        <v>제이플러스솔루션</v>
      </c>
      <c r="F121" s="1"/>
      <c r="G121" s="2" t="str">
        <f>'1월'!G122</f>
        <v>MAPAC</v>
      </c>
      <c r="H121" s="83" t="str">
        <f>'1월'!H122</f>
        <v>연간-레노버</v>
      </c>
      <c r="I121" s="4" t="str">
        <f>'1월'!I122</f>
        <v>연간유지정비료 1Y</v>
      </c>
      <c r="J121" s="23">
        <f>'1월'!J122</f>
        <v>1</v>
      </c>
      <c r="K121" s="27">
        <f>'1월'!K122</f>
        <v>11355000</v>
      </c>
      <c r="L121" s="26">
        <f>'1월'!L122</f>
        <v>11355000</v>
      </c>
      <c r="M121" s="27">
        <f>'1월'!M122</f>
        <v>1135500</v>
      </c>
      <c r="N121" s="27">
        <f>'1월'!N122</f>
        <v>12490500</v>
      </c>
      <c r="O121" s="33">
        <f>'1월'!O122</f>
        <v>10093600</v>
      </c>
      <c r="P121" s="197" t="str">
        <f>'1월'!P122</f>
        <v>레노버(1/31)</v>
      </c>
      <c r="Q121" s="20">
        <f>'1월'!Q122</f>
        <v>1261400</v>
      </c>
      <c r="R121" s="2" t="str">
        <f>'1월'!R122</f>
        <v>완료(3/28)</v>
      </c>
      <c r="S121" s="8" t="str">
        <f>'1월'!S122</f>
        <v>천범석</v>
      </c>
      <c r="T121" s="11"/>
    </row>
    <row r="122" spans="1:20" ht="84">
      <c r="A122" t="s">
        <v>30</v>
      </c>
      <c r="B122" s="151" t="str">
        <f>'1월'!B123</f>
        <v>SB-25006</v>
      </c>
      <c r="C122" s="153" t="str">
        <f>'1월'!C123</f>
        <v>ZTAHJK</v>
      </c>
      <c r="D122" s="86">
        <f>'1월'!D123</f>
        <v>45688</v>
      </c>
      <c r="E122" s="1" t="str">
        <f>'1월'!E123</f>
        <v>파워시스</v>
      </c>
      <c r="F122" s="2" t="str">
        <f>'1월'!F123</f>
        <v>PSK</v>
      </c>
      <c r="G122" s="2" t="str">
        <f>'1월'!G123</f>
        <v>MA</v>
      </c>
      <c r="H122" s="2" t="str">
        <f>'1월'!H123</f>
        <v>월간-레노버</v>
      </c>
      <c r="I122" s="4" t="str">
        <f>'1월'!I123</f>
        <v>연간유지정비료(25.01.01~26.05.29)</v>
      </c>
      <c r="J122" s="23">
        <f>'1월'!J123</f>
        <v>1</v>
      </c>
      <c r="K122" s="27">
        <f>'1월'!K123</f>
        <v>32838000</v>
      </c>
      <c r="L122" s="26">
        <f>'1월'!L123</f>
        <v>32838000</v>
      </c>
      <c r="M122" s="27">
        <f>'1월'!M123</f>
        <v>3283800</v>
      </c>
      <c r="N122" s="27">
        <f>'1월'!N123</f>
        <v>36121800</v>
      </c>
      <c r="O122" s="33">
        <f>'1월'!O123</f>
        <v>30689200</v>
      </c>
      <c r="P122" s="173" t="str">
        <f>'1월'!P123</f>
        <v>레노버 1,892,400(1/31)(2/28)(3/31)
1,897,430(4/30)(5/31)
2,043,630(6/30)(7/31)
(8/31)(9/30)(10/31)(11/30)(12/31)(26/1/31)(2/28)(3/31)(4/30)(5/  )
레노버(2/24)6,169,600</v>
      </c>
      <c r="Q122" s="20">
        <f>'1월'!Q123</f>
        <v>2148800</v>
      </c>
      <c r="R122" s="2" t="str">
        <f>'1월'!R123</f>
        <v>완료(3/31)</v>
      </c>
      <c r="S122" s="8" t="str">
        <f>'1월'!S123</f>
        <v>천범석</v>
      </c>
      <c r="T122" s="11"/>
    </row>
    <row r="123" spans="1:20" ht="24">
      <c r="A123" t="s">
        <v>30</v>
      </c>
      <c r="B123" s="151" t="str">
        <f>'1월'!B124</f>
        <v>SB-25007</v>
      </c>
      <c r="C123" s="153" t="str">
        <f>'1월'!C124</f>
        <v xml:space="preserve"> ZROHA2</v>
      </c>
      <c r="D123" s="86">
        <f>'1월'!D124</f>
        <v>45688</v>
      </c>
      <c r="E123" s="1" t="str">
        <f>'1월'!E124</f>
        <v>페타데이타</v>
      </c>
      <c r="F123" s="2" t="str">
        <f>'1월'!F124</f>
        <v>SBS</v>
      </c>
      <c r="G123" s="2" t="str">
        <f>'1월'!G124</f>
        <v>MA</v>
      </c>
      <c r="H123" s="2" t="str">
        <f>'1월'!H124</f>
        <v>월간-레노버</v>
      </c>
      <c r="I123" s="4" t="str">
        <f>'1월'!I124</f>
        <v>1월 유지정비료 - 1/12회</v>
      </c>
      <c r="J123" s="23">
        <f>'1월'!J124</f>
        <v>1</v>
      </c>
      <c r="K123" s="27">
        <f>'1월'!K124</f>
        <v>454600</v>
      </c>
      <c r="L123" s="26">
        <f>'1월'!L124</f>
        <v>454600</v>
      </c>
      <c r="M123" s="27">
        <f>'1월'!M124</f>
        <v>45460</v>
      </c>
      <c r="N123" s="27">
        <f>'1월'!N124</f>
        <v>500060</v>
      </c>
      <c r="O123" s="33">
        <f>'1월'!O124</f>
        <v>426333.33333333337</v>
      </c>
      <c r="P123" s="197" t="str">
        <f>'1월'!P124</f>
        <v>레노버(1/31) 243,000
시스나인(2/28) 1,100,000(1/6회)</v>
      </c>
      <c r="Q123" s="20">
        <f>'1월'!Q124</f>
        <v>28266.666666666628</v>
      </c>
      <c r="R123" s="2" t="str">
        <f>'1월'!R124</f>
        <v>완료(2/27)</v>
      </c>
      <c r="S123" s="8" t="str">
        <f>'1월'!S124</f>
        <v>천범석</v>
      </c>
      <c r="T123" s="11"/>
    </row>
    <row r="124" spans="1:20">
      <c r="A124" t="s">
        <v>30</v>
      </c>
      <c r="B124" s="151" t="str">
        <f>'1월'!B125</f>
        <v>SM-24014</v>
      </c>
      <c r="C124" s="200"/>
      <c r="D124" s="78">
        <f>'1월'!D125</f>
        <v>45688</v>
      </c>
      <c r="E124" s="216" t="str">
        <f>'1월'!E125</f>
        <v>동아건설</v>
      </c>
      <c r="F124" s="217"/>
      <c r="G124" s="167" t="str">
        <f>'1월'!G125</f>
        <v>MA</v>
      </c>
      <c r="H124" s="167" t="str">
        <f>'1월'!H125</f>
        <v>월간</v>
      </c>
      <c r="I124" s="168" t="str">
        <f>'1월'!I125</f>
        <v>1월 유지정비료 - 9/12회</v>
      </c>
      <c r="J124" s="79">
        <f>'1월'!J125</f>
        <v>1</v>
      </c>
      <c r="K124" s="80">
        <f>'1월'!K125</f>
        <v>950000</v>
      </c>
      <c r="L124" s="80">
        <f>'1월'!L125</f>
        <v>950000</v>
      </c>
      <c r="M124" s="81">
        <f>'1월'!M125</f>
        <v>95000</v>
      </c>
      <c r="N124" s="81">
        <f>'1월'!N125</f>
        <v>1045000</v>
      </c>
      <c r="O124" s="52">
        <f>'1월'!O125</f>
        <v>500000</v>
      </c>
      <c r="P124" s="171" t="str">
        <f>'1월'!P125</f>
        <v>시스나인(4/25) 2,000,000(1/4회)</v>
      </c>
      <c r="Q124" s="181">
        <f>'1월'!Q125</f>
        <v>450000</v>
      </c>
      <c r="R124" s="192" t="str">
        <f>'1월'!R125</f>
        <v>2월말</v>
      </c>
      <c r="S124" s="5" t="str">
        <f>'1월'!S125</f>
        <v>이예지</v>
      </c>
      <c r="T124" s="11"/>
    </row>
    <row r="125" spans="1:20" ht="24">
      <c r="A125" t="s">
        <v>30</v>
      </c>
      <c r="B125" s="151" t="str">
        <f>'1월'!B126</f>
        <v>SB-25010</v>
      </c>
      <c r="C125" s="153" t="str">
        <f>'1월'!C126</f>
        <v>ZCXAPZ</v>
      </c>
      <c r="D125" s="17">
        <f>'1월'!D126</f>
        <v>45688</v>
      </c>
      <c r="E125" s="1" t="str">
        <f>'1월'!E126</f>
        <v>유티모스트</v>
      </c>
      <c r="F125" s="2" t="str">
        <f>'1월'!F126</f>
        <v>대우정보(메타넷디지털)</v>
      </c>
      <c r="G125" s="2" t="str">
        <f>'1월'!G126</f>
        <v>MA</v>
      </c>
      <c r="H125" s="2" t="str">
        <f>'1월'!H126</f>
        <v>월간-레노버</v>
      </c>
      <c r="I125" s="4" t="str">
        <f>'1월'!I126</f>
        <v>(24.4.19~25.01.31) 유지정비료 - 1~10/21회</v>
      </c>
      <c r="J125" s="23">
        <f>'1월'!J126</f>
        <v>1</v>
      </c>
      <c r="K125" s="27">
        <f>'1월'!K126</f>
        <v>1899000</v>
      </c>
      <c r="L125" s="26">
        <f>'1월'!L126</f>
        <v>1899000</v>
      </c>
      <c r="M125" s="27">
        <f>'1월'!M126</f>
        <v>189900</v>
      </c>
      <c r="N125" s="27">
        <f>'1월'!N126</f>
        <v>2088900</v>
      </c>
      <c r="O125" s="33">
        <f>'1월'!O126</f>
        <v>1697640</v>
      </c>
      <c r="P125" s="197" t="str">
        <f>'1월'!P126</f>
        <v>레노버 4월(2/5) 72,240
5월~25년1월(2/5) 180,600*9</v>
      </c>
      <c r="Q125" s="20">
        <f>'1월'!Q126</f>
        <v>201360</v>
      </c>
      <c r="R125" s="2" t="str">
        <f>'1월'!R126</f>
        <v>완료(2/28)</v>
      </c>
      <c r="S125" s="8" t="str">
        <f>'1월'!S126</f>
        <v>천범석</v>
      </c>
      <c r="T125" s="11"/>
    </row>
    <row r="126" spans="1:20">
      <c r="A126" t="s">
        <v>30</v>
      </c>
      <c r="B126" s="151" t="str">
        <f>'2월'!B3</f>
        <v>S</v>
      </c>
      <c r="C126" s="153"/>
      <c r="D126" s="10">
        <f>'2월'!D3</f>
        <v>45689</v>
      </c>
      <c r="E126" s="1" t="str">
        <f>'2월'!E3</f>
        <v>홈닥터</v>
      </c>
      <c r="F126" s="2" t="str">
        <f>'2월'!F3</f>
        <v>광명자이 1811호</v>
      </c>
      <c r="G126" s="161" t="str">
        <f>'2월'!G3</f>
        <v>건물임대</v>
      </c>
      <c r="H126" s="161" t="str">
        <f>'2월'!H3</f>
        <v>임대료</v>
      </c>
      <c r="I126" s="163" t="str">
        <f>'2월'!I3</f>
        <v>1월(1.5~2.4) 임대료 - 12/24회</v>
      </c>
      <c r="J126" s="210">
        <f>'2월'!J3</f>
        <v>1</v>
      </c>
      <c r="K126" s="27">
        <f>'2월'!K3</f>
        <v>550000</v>
      </c>
      <c r="L126" s="26">
        <f>'2월'!L3</f>
        <v>550000</v>
      </c>
      <c r="M126" s="27">
        <f>'2월'!M3</f>
        <v>55000</v>
      </c>
      <c r="N126" s="27">
        <f>'2월'!N3</f>
        <v>605000</v>
      </c>
      <c r="O126" s="52">
        <f>'2월'!O3</f>
        <v>0</v>
      </c>
      <c r="P126" s="171" t="str">
        <f>'2월'!P3</f>
        <v>X</v>
      </c>
      <c r="Q126" s="181">
        <f>'2월'!Q3</f>
        <v>550000</v>
      </c>
      <c r="R126" s="68" t="str">
        <f>'2월'!R3</f>
        <v>완료(1/24)</v>
      </c>
      <c r="S126" s="8" t="str">
        <f>'2월'!S3</f>
        <v>정지우</v>
      </c>
      <c r="T126" s="11"/>
    </row>
    <row r="127" spans="1:20">
      <c r="A127" t="s">
        <v>30</v>
      </c>
      <c r="B127" s="151" t="str">
        <f>'2월'!B4</f>
        <v>SM-23015</v>
      </c>
      <c r="C127" s="152"/>
      <c r="D127" s="10">
        <f>'2월'!D4</f>
        <v>45689</v>
      </c>
      <c r="E127" s="1" t="str">
        <f>'2월'!E4</f>
        <v>동원프라스틱</v>
      </c>
      <c r="F127" s="1" t="str">
        <f>'2월'!F4</f>
        <v>동원프라스틱</v>
      </c>
      <c r="G127" s="161" t="str">
        <f>'2월'!G4</f>
        <v>MA</v>
      </c>
      <c r="H127" s="161" t="str">
        <f>'2월'!H4</f>
        <v>월간</v>
      </c>
      <c r="I127" s="163" t="str">
        <f>'2월'!I4</f>
        <v>2월 유지정비료 - 11/13회</v>
      </c>
      <c r="J127" s="71">
        <f>'2월'!J4</f>
        <v>1</v>
      </c>
      <c r="K127" s="26">
        <f>'2월'!K4</f>
        <v>1200000</v>
      </c>
      <c r="L127" s="26">
        <f>'2월'!L4</f>
        <v>1200000</v>
      </c>
      <c r="M127" s="27">
        <f>'2월'!M4</f>
        <v>120000</v>
      </c>
      <c r="N127" s="27">
        <f>'2월'!N4</f>
        <v>1320000</v>
      </c>
      <c r="O127" s="52">
        <f>'2월'!O4</f>
        <v>800000</v>
      </c>
      <c r="P127" s="171" t="str">
        <f>'2월'!P4</f>
        <v>시스나인(25/3/4) 4,800,000 2/6회</v>
      </c>
      <c r="Q127" s="181">
        <f>'2월'!Q4</f>
        <v>400000</v>
      </c>
      <c r="R127" s="2" t="str">
        <f>'2월'!R4</f>
        <v>완료(2/28)</v>
      </c>
      <c r="S127" s="5" t="str">
        <f>'2월'!S4</f>
        <v>이예지</v>
      </c>
      <c r="T127" s="6"/>
    </row>
    <row r="128" spans="1:20">
      <c r="A128" t="s">
        <v>30</v>
      </c>
      <c r="B128" s="151" t="str">
        <f>'2월'!B5</f>
        <v>IK-23016</v>
      </c>
      <c r="C128" s="153"/>
      <c r="D128" s="10">
        <f>'2월'!D5</f>
        <v>45689</v>
      </c>
      <c r="E128" s="1" t="str">
        <f>'2월'!E5</f>
        <v>케이정보기술</v>
      </c>
      <c r="F128" s="2" t="str">
        <f>'2월'!F5</f>
        <v>청주시청</v>
      </c>
      <c r="G128" s="1" t="str">
        <f>'2월'!G5</f>
        <v>MA</v>
      </c>
      <c r="H128" s="161" t="str">
        <f>'2월'!H5</f>
        <v>월간-IBM</v>
      </c>
      <c r="I128" s="164" t="str">
        <f>'2월'!I5</f>
        <v>2월 유지정비료 - 18/35회</v>
      </c>
      <c r="J128" s="210">
        <f>'2월'!J5</f>
        <v>1</v>
      </c>
      <c r="K128" s="27">
        <f>'2월'!K5</f>
        <v>1600000</v>
      </c>
      <c r="L128" s="26">
        <f>'2월'!L5</f>
        <v>1600000</v>
      </c>
      <c r="M128" s="27">
        <f>'2월'!M5</f>
        <v>160000</v>
      </c>
      <c r="N128" s="27">
        <f>'2월'!N5</f>
        <v>1760000</v>
      </c>
      <c r="O128" s="52">
        <f>'2월'!O5</f>
        <v>1383858</v>
      </c>
      <c r="P128" s="170" t="str">
        <f>'2월'!P5</f>
        <v>IBM(2/3) 1,123,962 (2/3) 259,896</v>
      </c>
      <c r="Q128" s="181">
        <f>'2월'!Q5</f>
        <v>216142</v>
      </c>
      <c r="R128" s="2" t="str">
        <f>'2월'!R5</f>
        <v>완료(3/31)</v>
      </c>
      <c r="S128" s="8" t="str">
        <f>'2월'!S5</f>
        <v>천범석</v>
      </c>
      <c r="T128" s="11"/>
    </row>
    <row r="129" spans="1:21" ht="12" customHeight="1">
      <c r="A129" t="s">
        <v>30</v>
      </c>
      <c r="B129" s="151" t="str">
        <f>'2월'!B6</f>
        <v>SM-24011</v>
      </c>
      <c r="C129" s="153"/>
      <c r="D129" s="10">
        <f>'2월'!D6</f>
        <v>45689</v>
      </c>
      <c r="E129" s="1" t="str">
        <f>'2월'!E6</f>
        <v>가나병원</v>
      </c>
      <c r="F129" s="161"/>
      <c r="G129" s="1" t="str">
        <f>'2월'!G6</f>
        <v>MA</v>
      </c>
      <c r="H129" s="161" t="str">
        <f>'2월'!H6</f>
        <v>월간</v>
      </c>
      <c r="I129" s="3" t="str">
        <f>'2월'!I6</f>
        <v>2월 유지정비료 - 10/12회</v>
      </c>
      <c r="J129" s="74">
        <f>'2월'!J6</f>
        <v>1</v>
      </c>
      <c r="K129" s="27">
        <f>'2월'!K6</f>
        <v>300000</v>
      </c>
      <c r="L129" s="26">
        <f>'2월'!L6</f>
        <v>300000</v>
      </c>
      <c r="M129" s="27">
        <f>'2월'!M6</f>
        <v>30000</v>
      </c>
      <c r="N129" s="27">
        <f>'2월'!N6</f>
        <v>330000</v>
      </c>
      <c r="O129" s="52">
        <f>'2월'!O6</f>
        <v>0</v>
      </c>
      <c r="P129" s="171" t="str">
        <f>'2월'!P6</f>
        <v>SM</v>
      </c>
      <c r="Q129" s="181">
        <f>'2월'!Q6</f>
        <v>300000</v>
      </c>
      <c r="R129" s="2" t="str">
        <f>'2월'!R6</f>
        <v>완료(2/10)</v>
      </c>
      <c r="S129" s="8" t="str">
        <f>'2월'!S6</f>
        <v>천범석</v>
      </c>
      <c r="T129" s="11"/>
    </row>
    <row r="130" spans="1:21" ht="24">
      <c r="A130" t="s">
        <v>30</v>
      </c>
      <c r="B130" s="151" t="str">
        <f>'2월'!B7</f>
        <v>LI-24004</v>
      </c>
      <c r="C130" s="153"/>
      <c r="D130" s="10">
        <f>'2월'!D7</f>
        <v>45689</v>
      </c>
      <c r="E130" s="1" t="str">
        <f>'2월'!E7</f>
        <v>한국메탈</v>
      </c>
      <c r="F130" s="2"/>
      <c r="G130" s="1" t="str">
        <f>'2월'!G7</f>
        <v>MA</v>
      </c>
      <c r="H130" s="1" t="str">
        <f>'2월'!H7</f>
        <v>월간-IBM</v>
      </c>
      <c r="I130" s="4" t="str">
        <f>'2월'!I7</f>
        <v>2월 유지정비료 - 10/36회</v>
      </c>
      <c r="J130" s="210">
        <f>'2월'!J7</f>
        <v>1</v>
      </c>
      <c r="K130" s="27">
        <f>'2월'!K7</f>
        <v>507500</v>
      </c>
      <c r="L130" s="26">
        <f>'2월'!L7</f>
        <v>507500</v>
      </c>
      <c r="M130" s="27">
        <f>'2월'!M7</f>
        <v>50750</v>
      </c>
      <c r="N130" s="27">
        <f>'2월'!N7</f>
        <v>558250</v>
      </c>
      <c r="O130" s="52">
        <f>'2월'!O7</f>
        <v>416682</v>
      </c>
      <c r="P130" s="170" t="str">
        <f>'2월'!P7</f>
        <v>IBM(2/3) 316,682
시스나인(1/2) 연간 1,200,000(2/12회)</v>
      </c>
      <c r="Q130" s="181">
        <f>'2월'!Q7</f>
        <v>90818</v>
      </c>
      <c r="R130" s="68" t="str">
        <f>'2월'!R7</f>
        <v>완료(2/28)</v>
      </c>
      <c r="S130" s="8" t="str">
        <f>'2월'!S7</f>
        <v>천범석</v>
      </c>
      <c r="T130" s="11"/>
    </row>
    <row r="131" spans="1:21" ht="48">
      <c r="A131" t="s">
        <v>30</v>
      </c>
      <c r="B131" s="151" t="str">
        <f>'2월'!B8</f>
        <v>LI-24005</v>
      </c>
      <c r="C131" s="152" t="str">
        <f>'2월'!C8</f>
        <v>Z4ACEZ</v>
      </c>
      <c r="D131" s="10">
        <f>'2월'!D8</f>
        <v>45689</v>
      </c>
      <c r="E131" s="157" t="str">
        <f>'2월'!E8</f>
        <v>해종합건축사사무소</v>
      </c>
      <c r="F131" s="157"/>
      <c r="G131" s="1" t="str">
        <f>'2월'!G8</f>
        <v>MA</v>
      </c>
      <c r="H131" s="1" t="str">
        <f>'2월'!H8</f>
        <v>월간-IBM</v>
      </c>
      <c r="I131" s="3" t="str">
        <f>'2월'!I8</f>
        <v>2월 유지정비료 - 9/12회</v>
      </c>
      <c r="J131" s="211">
        <f>'2월'!J8</f>
        <v>1</v>
      </c>
      <c r="K131" s="26">
        <f>'2월'!K8</f>
        <v>1554500</v>
      </c>
      <c r="L131" s="26">
        <f>'2월'!L8</f>
        <v>1554500</v>
      </c>
      <c r="M131" s="27">
        <f>'2월'!M8</f>
        <v>155450</v>
      </c>
      <c r="N131" s="27">
        <f>'2월'!N8</f>
        <v>1709950</v>
      </c>
      <c r="O131" s="52">
        <f>'2월'!O8</f>
        <v>1308000</v>
      </c>
      <c r="P131" s="171" t="str">
        <f>'2월'!P8</f>
        <v>레노버(2/28) 171,600
에스엔에이(2/15) 200,000
IBM(2/3) 436,400
시스나인(25/3/4) 연간 6,000,000 9/12회</v>
      </c>
      <c r="Q131" s="181">
        <f>'2월'!Q8</f>
        <v>246500</v>
      </c>
      <c r="R131" s="68" t="str">
        <f>'2월'!R8</f>
        <v>완료(2/28)</v>
      </c>
      <c r="S131" s="5" t="str">
        <f>'2월'!S8</f>
        <v>천범석</v>
      </c>
      <c r="T131" s="6"/>
    </row>
    <row r="132" spans="1:21">
      <c r="A132" t="s">
        <v>30</v>
      </c>
      <c r="B132" s="151" t="str">
        <f>'2월'!B9</f>
        <v>SB-24039</v>
      </c>
      <c r="C132" s="152" t="str">
        <f>'2월'!C9</f>
        <v>ZZGBBZ</v>
      </c>
      <c r="D132" s="10">
        <f>'2월'!D9</f>
        <v>45689</v>
      </c>
      <c r="E132" s="1" t="str">
        <f>'2월'!E9</f>
        <v>한국디지털방송</v>
      </c>
      <c r="F132" s="1"/>
      <c r="G132" s="1" t="str">
        <f>'2월'!G9</f>
        <v>MA</v>
      </c>
      <c r="H132" s="161" t="str">
        <f>'2월'!H9</f>
        <v>월간-레노버</v>
      </c>
      <c r="I132" s="164" t="str">
        <f>'2월'!I9</f>
        <v>2월 유지정비료 - 8/12회</v>
      </c>
      <c r="J132" s="69">
        <f>'2월'!J9</f>
        <v>1</v>
      </c>
      <c r="K132" s="29">
        <f>'2월'!K9</f>
        <v>1423000</v>
      </c>
      <c r="L132" s="26">
        <f>'2월'!L9</f>
        <v>1423000</v>
      </c>
      <c r="M132" s="27">
        <f>'2월'!M9</f>
        <v>142300</v>
      </c>
      <c r="N132" s="27">
        <f>'2월'!N9</f>
        <v>1565300</v>
      </c>
      <c r="O132" s="52">
        <f>'2월'!O9</f>
        <v>1120200</v>
      </c>
      <c r="P132" s="171" t="str">
        <f>'2월'!P9</f>
        <v>레노버(2/28)</v>
      </c>
      <c r="Q132" s="181">
        <f>'2월'!Q9</f>
        <v>302800</v>
      </c>
      <c r="R132" s="68" t="str">
        <f>'2월'!R9</f>
        <v>완료(2/24)</v>
      </c>
      <c r="S132" s="5" t="str">
        <f>'2월'!S9</f>
        <v>천범석</v>
      </c>
      <c r="T132" s="6"/>
    </row>
    <row r="133" spans="1:21" ht="24">
      <c r="A133" t="s">
        <v>30</v>
      </c>
      <c r="B133" s="151" t="str">
        <f>'2월'!B10</f>
        <v>IK-24008</v>
      </c>
      <c r="C133" s="153"/>
      <c r="D133" s="10">
        <f>'2월'!D10</f>
        <v>45689</v>
      </c>
      <c r="E133" s="1" t="str">
        <f>'2월'!E10</f>
        <v>서비스링크</v>
      </c>
      <c r="F133" s="2" t="str">
        <f>'2월'!F10</f>
        <v>세원정공(폴라리스세원)</v>
      </c>
      <c r="G133" s="1" t="str">
        <f>'2월'!G10</f>
        <v>MA</v>
      </c>
      <c r="H133" s="161" t="str">
        <f>'2월'!H10</f>
        <v>월간-레노버</v>
      </c>
      <c r="I133" s="164" t="str">
        <f>'2월'!I10</f>
        <v>2월 유지정비료 - 8/12회</v>
      </c>
      <c r="J133" s="210">
        <f>'2월'!J10</f>
        <v>1</v>
      </c>
      <c r="K133" s="27">
        <f>'2월'!K10</f>
        <v>238000</v>
      </c>
      <c r="L133" s="26">
        <f>'2월'!L10</f>
        <v>238000</v>
      </c>
      <c r="M133" s="27">
        <f>'2월'!M10</f>
        <v>23800</v>
      </c>
      <c r="N133" s="27">
        <f>'2월'!N10</f>
        <v>261800</v>
      </c>
      <c r="O133" s="52">
        <f>'2월'!O10</f>
        <v>198018</v>
      </c>
      <c r="P133" s="170" t="str">
        <f>'2월'!P10</f>
        <v>IBM(2/3)</v>
      </c>
      <c r="Q133" s="181">
        <f>'2월'!Q10</f>
        <v>39982</v>
      </c>
      <c r="R133" s="68" t="str">
        <f>'2월'!R10</f>
        <v>완료(2/28)</v>
      </c>
      <c r="S133" s="5" t="str">
        <f>'2월'!S10</f>
        <v>천범석</v>
      </c>
      <c r="T133" s="11"/>
    </row>
    <row r="134" spans="1:21">
      <c r="A134" t="s">
        <v>30</v>
      </c>
      <c r="B134" s="151" t="str">
        <f>'2월'!B11</f>
        <v>IK-24012</v>
      </c>
      <c r="C134" s="153"/>
      <c r="D134" s="10">
        <f>'2월'!D11</f>
        <v>45689</v>
      </c>
      <c r="E134" s="1" t="str">
        <f>'2월'!E11</f>
        <v>인정보시스템</v>
      </c>
      <c r="F134" s="2" t="str">
        <f>'2월'!F11</f>
        <v>대구텍</v>
      </c>
      <c r="G134" s="1" t="str">
        <f>'2월'!G11</f>
        <v>MA</v>
      </c>
      <c r="H134" s="161" t="str">
        <f>'2월'!H11</f>
        <v>월간-IBM</v>
      </c>
      <c r="I134" s="4" t="str">
        <f>'2월'!I11</f>
        <v>2월 유지정비료 - 2/6회</v>
      </c>
      <c r="J134" s="23">
        <f>'2월'!J11</f>
        <v>1</v>
      </c>
      <c r="K134" s="26">
        <f>'2월'!K11</f>
        <v>1039500</v>
      </c>
      <c r="L134" s="26">
        <f>'2월'!L11</f>
        <v>1039500</v>
      </c>
      <c r="M134" s="27">
        <f>'2월'!M11</f>
        <v>103950</v>
      </c>
      <c r="N134" s="27">
        <f>'2월'!N11</f>
        <v>1143450</v>
      </c>
      <c r="O134" s="33">
        <f>'2월'!O11</f>
        <v>990000</v>
      </c>
      <c r="P134" s="170" t="str">
        <f>'2월'!P11</f>
        <v>IBM(2/3)</v>
      </c>
      <c r="Q134" s="20">
        <f>'2월'!Q11</f>
        <v>49500</v>
      </c>
      <c r="R134" s="68" t="str">
        <f>'2월'!R11</f>
        <v>완료(2/27)</v>
      </c>
      <c r="S134" s="8" t="str">
        <f>'2월'!S11</f>
        <v>천범석</v>
      </c>
      <c r="T134" s="11"/>
      <c r="U134" t="s">
        <v>476</v>
      </c>
    </row>
    <row r="135" spans="1:21">
      <c r="A135" t="s">
        <v>30</v>
      </c>
      <c r="B135" s="151" t="str">
        <f>'2월'!B12</f>
        <v>IK-24013</v>
      </c>
      <c r="C135" s="153"/>
      <c r="D135" s="10">
        <f>'2월'!D12</f>
        <v>45689</v>
      </c>
      <c r="E135" s="1" t="str">
        <f>'2월'!E12</f>
        <v>레드텍</v>
      </c>
      <c r="F135" s="2" t="str">
        <f>'2월'!F12</f>
        <v>대한상공회의소</v>
      </c>
      <c r="G135" s="161" t="str">
        <f>'2월'!G12</f>
        <v>MA</v>
      </c>
      <c r="H135" s="161" t="str">
        <f>'2월'!H12</f>
        <v>월간-IBM</v>
      </c>
      <c r="I135" s="4" t="str">
        <f>'2월'!I12</f>
        <v>2월 유지정비료 - 4/12회</v>
      </c>
      <c r="J135" s="23">
        <f>'2월'!J12</f>
        <v>1</v>
      </c>
      <c r="K135" s="27">
        <f>'2월'!K12</f>
        <v>158400</v>
      </c>
      <c r="L135" s="26">
        <f>'2월'!L12</f>
        <v>158400</v>
      </c>
      <c r="M135" s="27">
        <f>'2월'!M12</f>
        <v>15840</v>
      </c>
      <c r="N135" s="27">
        <f>'2월'!N12</f>
        <v>174240</v>
      </c>
      <c r="O135" s="33">
        <f>'2월'!O12</f>
        <v>145780</v>
      </c>
      <c r="P135" s="170" t="str">
        <f>'2월'!P12</f>
        <v>IBM(2/3)</v>
      </c>
      <c r="Q135" s="20">
        <f>'2월'!Q12</f>
        <v>12620</v>
      </c>
      <c r="R135" s="68" t="str">
        <f>'2월'!R12</f>
        <v>완료(2/3)</v>
      </c>
      <c r="S135" s="8" t="str">
        <f>'2월'!S12</f>
        <v>천범석</v>
      </c>
      <c r="T135" s="11"/>
    </row>
    <row r="136" spans="1:21" ht="24">
      <c r="A136" t="s">
        <v>30</v>
      </c>
      <c r="B136" s="151" t="str">
        <f>'2월'!B13</f>
        <v>SM-23012</v>
      </c>
      <c r="C136" s="152"/>
      <c r="D136" s="10">
        <f>'2월'!D13</f>
        <v>45689</v>
      </c>
      <c r="E136" s="1" t="str">
        <f>'2월'!E13</f>
        <v>택스홈앤아웃</v>
      </c>
      <c r="F136" s="161" t="str">
        <f>'2월'!F13</f>
        <v>본사</v>
      </c>
      <c r="G136" s="161" t="str">
        <f>'2월'!G13</f>
        <v>MA</v>
      </c>
      <c r="H136" s="161" t="str">
        <f>'2월'!H13</f>
        <v>월간</v>
      </c>
      <c r="I136" s="163" t="str">
        <f>'2월'!I13</f>
        <v>VPN 서비스 2월임대료 - 2/12회 280,000
+ 보안스위치 2월 2대*120,000</v>
      </c>
      <c r="J136" s="71">
        <f>'2월'!J13</f>
        <v>1</v>
      </c>
      <c r="K136" s="26">
        <f>'2월'!K13</f>
        <v>520000</v>
      </c>
      <c r="L136" s="26">
        <f>'2월'!L13</f>
        <v>520000</v>
      </c>
      <c r="M136" s="27">
        <f>'2월'!M13</f>
        <v>52000</v>
      </c>
      <c r="N136" s="27">
        <f>'2월'!N13</f>
        <v>572000</v>
      </c>
      <c r="O136" s="52">
        <f>'2월'!O13</f>
        <v>368600</v>
      </c>
      <c r="P136" s="171" t="str">
        <f>'2월'!P13</f>
        <v>엘림넷(2/10) 213,400 (2/10) 155,200</v>
      </c>
      <c r="Q136" s="181">
        <f>'2월'!Q13</f>
        <v>151400</v>
      </c>
      <c r="R136" s="68" t="str">
        <f>'2월'!R13</f>
        <v>완료(2/28)</v>
      </c>
      <c r="S136" s="5" t="str">
        <f>'2월'!S13</f>
        <v>이예지</v>
      </c>
      <c r="T136" s="6"/>
    </row>
    <row r="137" spans="1:21">
      <c r="A137" t="s">
        <v>30</v>
      </c>
      <c r="B137" s="151" t="str">
        <f>'2월'!B14</f>
        <v>SM-23013</v>
      </c>
      <c r="C137" s="152"/>
      <c r="D137" s="10">
        <f>'2월'!D14</f>
        <v>45689</v>
      </c>
      <c r="E137" s="1" t="str">
        <f>'2월'!E14</f>
        <v>하이엔드택스 강남지점</v>
      </c>
      <c r="F137" s="161" t="str">
        <f>'2월'!F14</f>
        <v>압구정</v>
      </c>
      <c r="G137" s="161" t="str">
        <f>'2월'!G14</f>
        <v>MA</v>
      </c>
      <c r="H137" s="161" t="str">
        <f>'2월'!H14</f>
        <v>월간</v>
      </c>
      <c r="I137" s="163" t="str">
        <f>'2월'!I14</f>
        <v>VPN 서비스/ 2월임대료 - 2/12회</v>
      </c>
      <c r="J137" s="71">
        <f>'2월'!J14</f>
        <v>1</v>
      </c>
      <c r="K137" s="26">
        <f>'2월'!K14</f>
        <v>320000</v>
      </c>
      <c r="L137" s="26">
        <f>'2월'!L14</f>
        <v>320000</v>
      </c>
      <c r="M137" s="27">
        <f>'2월'!M14</f>
        <v>32000</v>
      </c>
      <c r="N137" s="27">
        <f>'2월'!N14</f>
        <v>352000</v>
      </c>
      <c r="O137" s="52">
        <f>'2월'!O14</f>
        <v>223100</v>
      </c>
      <c r="P137" s="171" t="str">
        <f>'2월'!P14</f>
        <v>엘림넷(2/10) 145,500 (2/10) 77,600</v>
      </c>
      <c r="Q137" s="181">
        <f>'2월'!Q14</f>
        <v>96900</v>
      </c>
      <c r="R137" s="68" t="str">
        <f>'2월'!R14</f>
        <v>완료(3/5)</v>
      </c>
      <c r="S137" s="5" t="str">
        <f>'2월'!S14</f>
        <v>이예지</v>
      </c>
      <c r="T137" s="6"/>
    </row>
    <row r="138" spans="1:21">
      <c r="A138" t="s">
        <v>30</v>
      </c>
      <c r="B138" s="151" t="str">
        <f>'2월'!B15</f>
        <v>SM-23016</v>
      </c>
      <c r="C138" s="152"/>
      <c r="D138" s="10">
        <f>'2월'!D15</f>
        <v>45689</v>
      </c>
      <c r="E138" s="1" t="str">
        <f>'2월'!E15</f>
        <v>에실로코리아</v>
      </c>
      <c r="F138" s="1" t="str">
        <f>'2월'!F15</f>
        <v>에실로코리아</v>
      </c>
      <c r="G138" s="161" t="str">
        <f>'2월'!G15</f>
        <v>MA</v>
      </c>
      <c r="H138" s="161" t="str">
        <f>'2월'!H15</f>
        <v>월간</v>
      </c>
      <c r="I138" s="163" t="str">
        <f>'2월'!I15</f>
        <v>2월 유지정비료 - 2/12회</v>
      </c>
      <c r="J138" s="71">
        <f>'2월'!J15</f>
        <v>1</v>
      </c>
      <c r="K138" s="28">
        <f>'2월'!K15</f>
        <v>100000</v>
      </c>
      <c r="L138" s="26">
        <f>'2월'!L15</f>
        <v>100000</v>
      </c>
      <c r="M138" s="27">
        <f>'2월'!M15</f>
        <v>10000</v>
      </c>
      <c r="N138" s="27">
        <f>'2월'!N15</f>
        <v>110000</v>
      </c>
      <c r="O138" s="52">
        <f>'2월'!O15</f>
        <v>0</v>
      </c>
      <c r="P138" s="171" t="str">
        <f>'2월'!P15</f>
        <v>SM</v>
      </c>
      <c r="Q138" s="181">
        <f>'2월'!Q15</f>
        <v>100000</v>
      </c>
      <c r="R138" s="68" t="str">
        <f>'2월'!R15</f>
        <v>완료(3/12)</v>
      </c>
      <c r="S138" s="5" t="str">
        <f>'2월'!S15</f>
        <v>이예지</v>
      </c>
      <c r="T138" s="6"/>
    </row>
    <row r="139" spans="1:21" ht="24">
      <c r="A139" t="s">
        <v>30</v>
      </c>
      <c r="B139" s="151" t="str">
        <f>'2월'!B16</f>
        <v>IK-22025</v>
      </c>
      <c r="C139" s="153"/>
      <c r="D139" s="10">
        <f>'2월'!D16</f>
        <v>45689</v>
      </c>
      <c r="E139" s="1" t="str">
        <f>'2월'!E16</f>
        <v>디에스피</v>
      </c>
      <c r="F139" s="161" t="str">
        <f>'2월'!F16</f>
        <v>엘지생활건강 청주공장</v>
      </c>
      <c r="G139" s="1" t="str">
        <f>'2월'!G16</f>
        <v>MA</v>
      </c>
      <c r="H139" s="161" t="str">
        <f>'2월'!H16</f>
        <v>월간-IBM</v>
      </c>
      <c r="I139" s="162" t="str">
        <f>'2월'!I16</f>
        <v>2월 유지정비료 - 1/12회</v>
      </c>
      <c r="J139" s="74">
        <f>'2월'!J16</f>
        <v>1</v>
      </c>
      <c r="K139" s="27">
        <f>'2월'!K16</f>
        <v>635000</v>
      </c>
      <c r="L139" s="26">
        <f>'2월'!L16</f>
        <v>635000</v>
      </c>
      <c r="M139" s="27">
        <f>'2월'!M16</f>
        <v>63500</v>
      </c>
      <c r="N139" s="27">
        <f>'2월'!N16</f>
        <v>698500</v>
      </c>
      <c r="O139" s="52">
        <f>'2월'!O16</f>
        <v>564192</v>
      </c>
      <c r="P139" s="170" t="str">
        <f>'2월'!P16</f>
        <v>IBM(2/3)</v>
      </c>
      <c r="Q139" s="181">
        <f>'2월'!Q16</f>
        <v>70808</v>
      </c>
      <c r="R139" s="2" t="str">
        <f>'2월'!R16</f>
        <v>완료(3/4)</v>
      </c>
      <c r="S139" s="8" t="str">
        <f>'2월'!S16</f>
        <v>천범석</v>
      </c>
      <c r="T139" s="11"/>
    </row>
    <row r="140" spans="1:21">
      <c r="A140" t="s">
        <v>30</v>
      </c>
      <c r="B140" s="151" t="str">
        <f>'2월'!B17</f>
        <v>S</v>
      </c>
      <c r="C140" s="153"/>
      <c r="D140" s="17">
        <f>'2월'!D17</f>
        <v>45693</v>
      </c>
      <c r="E140" s="1" t="str">
        <f>'2월'!E17</f>
        <v>장형기업</v>
      </c>
      <c r="F140" s="2" t="str">
        <f>'2월'!F17</f>
        <v>검단미플존 316호</v>
      </c>
      <c r="G140" s="161" t="str">
        <f>'2월'!G17</f>
        <v>건물임대</v>
      </c>
      <c r="H140" s="161" t="str">
        <f>'2월'!H17</f>
        <v>임대료</v>
      </c>
      <c r="I140" s="3" t="str">
        <f>'2월'!I17</f>
        <v>2월 임대료 - 4/8회</v>
      </c>
      <c r="J140" s="210">
        <f>'2월'!J17</f>
        <v>1</v>
      </c>
      <c r="K140" s="27">
        <f>'2월'!K17</f>
        <v>367500</v>
      </c>
      <c r="L140" s="26">
        <f>'2월'!L17</f>
        <v>367500</v>
      </c>
      <c r="M140" s="27">
        <f>'2월'!M17</f>
        <v>36750</v>
      </c>
      <c r="N140" s="27">
        <f>'2월'!N17</f>
        <v>404250</v>
      </c>
      <c r="O140" s="52">
        <f>'2월'!O17</f>
        <v>0</v>
      </c>
      <c r="P140" s="171" t="str">
        <f>'2월'!P17</f>
        <v>X</v>
      </c>
      <c r="Q140" s="181">
        <f>'2월'!Q17</f>
        <v>367500</v>
      </c>
      <c r="R140" s="68" t="str">
        <f>'2월'!R17</f>
        <v>완료(2/28)</v>
      </c>
      <c r="S140" s="5" t="str">
        <f>'2월'!S17</f>
        <v>정지우</v>
      </c>
      <c r="T140" s="11"/>
    </row>
    <row r="141" spans="1:21" ht="96.75" customHeight="1">
      <c r="A141" t="s">
        <v>30</v>
      </c>
      <c r="B141" s="151" t="str">
        <f>'2월'!B18</f>
        <v>SM-24021</v>
      </c>
      <c r="C141" s="200"/>
      <c r="D141" s="17">
        <f>'2월'!D18</f>
        <v>45693</v>
      </c>
      <c r="E141" s="1" t="str">
        <f>'2월'!E18</f>
        <v>제이원캐피탈</v>
      </c>
      <c r="F141" s="161"/>
      <c r="G141" s="1" t="str">
        <f>'2월'!G18</f>
        <v>MA</v>
      </c>
      <c r="H141" s="161" t="str">
        <f>'2월'!H18</f>
        <v>월간</v>
      </c>
      <c r="I141" s="3" t="str">
        <f>'2월'!I18</f>
        <v>1월 유지정비료 - 5/12회</v>
      </c>
      <c r="J141" s="210">
        <f>'2월'!J18</f>
        <v>1</v>
      </c>
      <c r="K141" s="26">
        <f>'2월'!K18</f>
        <v>7060000</v>
      </c>
      <c r="L141" s="26">
        <f>'2월'!L18</f>
        <v>7060000</v>
      </c>
      <c r="M141" s="67">
        <f>'2월'!M18</f>
        <v>706000</v>
      </c>
      <c r="N141" s="27">
        <f>'2월'!N18</f>
        <v>7766000</v>
      </c>
      <c r="O141" s="52">
        <f>'2월'!O18</f>
        <v>3974681</v>
      </c>
      <c r="P141" s="172" t="str">
        <f>'2월'!P18</f>
        <v>IBM(1/1) 691,781
에스엔에이(1/31) 300,000
키미데이타(1/31) 70,000
코오롱베니트(10/31) 1,000,000연간(5/12회)
더파트(1/31) 810,000
DCSS(1/31) 352,900
시스나인(4/25) 분기5,000 000(1/3회)</v>
      </c>
      <c r="Q141" s="181">
        <f>'2월'!Q18</f>
        <v>3085319</v>
      </c>
      <c r="R141" s="68" t="str">
        <f>'2월'!R18</f>
        <v>완료(3/5)</v>
      </c>
      <c r="S141" s="5" t="str">
        <f>'2월'!S18</f>
        <v>이예지</v>
      </c>
      <c r="T141" s="6"/>
    </row>
    <row r="142" spans="1:21">
      <c r="A142" t="s">
        <v>30</v>
      </c>
      <c r="B142" s="151" t="str">
        <f>'2월'!B19</f>
        <v>SM-24020</v>
      </c>
      <c r="C142" s="153"/>
      <c r="D142" s="17">
        <f>'2월'!D19</f>
        <v>45693</v>
      </c>
      <c r="E142" s="1" t="str">
        <f>'2월'!E19</f>
        <v>에이비씨한국</v>
      </c>
      <c r="F142" s="2"/>
      <c r="G142" s="1" t="str">
        <f>'2월'!G19</f>
        <v>MA</v>
      </c>
      <c r="H142" s="161" t="str">
        <f>'2월'!H19</f>
        <v>월간</v>
      </c>
      <c r="I142" s="4" t="str">
        <f>'2월'!I19</f>
        <v>BOARD SYSTEM Maintenance 2월분 - 5/12회</v>
      </c>
      <c r="J142" s="210">
        <f>'2월'!J19</f>
        <v>1</v>
      </c>
      <c r="K142" s="27">
        <f>'2월'!K19</f>
        <v>1100000</v>
      </c>
      <c r="L142" s="26">
        <f>'2월'!L19</f>
        <v>1100000</v>
      </c>
      <c r="M142" s="27">
        <f>'2월'!M19</f>
        <v>110000</v>
      </c>
      <c r="N142" s="27">
        <f>'2월'!N19</f>
        <v>1210000</v>
      </c>
      <c r="O142" s="33">
        <f>'2월'!O19</f>
        <v>1060000</v>
      </c>
      <c r="P142" s="197" t="str">
        <f>'2월'!P19</f>
        <v>로보츠(2/5)</v>
      </c>
      <c r="Q142" s="20">
        <f>'2월'!Q19</f>
        <v>40000</v>
      </c>
      <c r="R142" s="68" t="str">
        <f>'2월'!R19</f>
        <v>완료(3/31)</v>
      </c>
      <c r="S142" s="36" t="str">
        <f>'2월'!S19</f>
        <v>이예지</v>
      </c>
      <c r="T142" s="11"/>
    </row>
    <row r="143" spans="1:21">
      <c r="A143" t="s">
        <v>30</v>
      </c>
      <c r="B143" s="151" t="str">
        <f>'2월'!B20</f>
        <v>S</v>
      </c>
      <c r="C143" s="153"/>
      <c r="D143" s="86">
        <f>'2월'!D20</f>
        <v>45693</v>
      </c>
      <c r="E143" s="1" t="str">
        <f>'2월'!E20</f>
        <v>아이티앤</v>
      </c>
      <c r="F143" s="2" t="str">
        <f>'2월'!F20</f>
        <v>우물단</v>
      </c>
      <c r="G143" s="2" t="str">
        <f>'2월'!G20</f>
        <v>상품</v>
      </c>
      <c r="H143" s="83" t="str">
        <f>'2월'!H20</f>
        <v>기술지원</v>
      </c>
      <c r="I143" s="4" t="str">
        <f>'2월'!I20</f>
        <v>전산장비 이전, 시스템 마이그레이션 (2차)</v>
      </c>
      <c r="J143" s="23">
        <f>'2월'!J20</f>
        <v>1</v>
      </c>
      <c r="K143" s="27">
        <f>'2월'!K20</f>
        <v>12500000</v>
      </c>
      <c r="L143" s="26">
        <f>'2월'!L20</f>
        <v>12500000</v>
      </c>
      <c r="M143" s="27">
        <f>'2월'!M20</f>
        <v>1250000</v>
      </c>
      <c r="N143" s="27">
        <f>'2월'!N20</f>
        <v>13750000</v>
      </c>
      <c r="O143" s="33">
        <f>'2월'!O20</f>
        <v>0</v>
      </c>
      <c r="P143" s="197" t="str">
        <f>'2월'!P20</f>
        <v>(24/12/26)</v>
      </c>
      <c r="Q143" s="20"/>
      <c r="R143" s="2" t="str">
        <f>'2월'!R20</f>
        <v>완료(2/28)</v>
      </c>
      <c r="S143" s="8" t="str">
        <f>'2월'!S20</f>
        <v>이예지</v>
      </c>
      <c r="T143" s="11"/>
      <c r="U143" t="s">
        <v>499</v>
      </c>
    </row>
    <row r="144" spans="1:21">
      <c r="A144" t="s">
        <v>30</v>
      </c>
      <c r="B144" s="151" t="str">
        <f>'2월'!B21</f>
        <v>SL-25005</v>
      </c>
      <c r="C144" s="199" t="str">
        <f>'2월'!C21</f>
        <v>TAHXA0200</v>
      </c>
      <c r="D144" s="17">
        <f>'2월'!D21</f>
        <v>45693</v>
      </c>
      <c r="E144" s="1" t="str">
        <f>'2월'!E21</f>
        <v>반정보시스템</v>
      </c>
      <c r="F144" s="2" t="str">
        <f>'2월'!F21</f>
        <v>대상정보</v>
      </c>
      <c r="G144" s="2" t="str">
        <f>'2월'!G21</f>
        <v>MAPAC</v>
      </c>
      <c r="H144" s="83" t="str">
        <f>'2월'!H21</f>
        <v>연간-레노버</v>
      </c>
      <c r="I144" s="4" t="str">
        <f>'2월'!I21</f>
        <v>연간유지정비료(24.05.25~26.03.31)</v>
      </c>
      <c r="J144" s="23">
        <f>'2월'!J21</f>
        <v>1</v>
      </c>
      <c r="K144" s="27">
        <f>'2월'!K21</f>
        <v>15652000</v>
      </c>
      <c r="L144" s="26">
        <f>'2월'!L21</f>
        <v>15652000</v>
      </c>
      <c r="M144" s="27">
        <f>'2월'!M21</f>
        <v>1565200</v>
      </c>
      <c r="N144" s="27">
        <f>'2월'!N21</f>
        <v>17217200</v>
      </c>
      <c r="O144" s="33">
        <f>'2월'!O21</f>
        <v>14492160</v>
      </c>
      <c r="P144" s="197" t="str">
        <f>'2월'!P21</f>
        <v>레노버(2/5)</v>
      </c>
      <c r="Q144" s="20">
        <f>'2월'!Q21</f>
        <v>1159840</v>
      </c>
      <c r="R144" s="2" t="str">
        <f>'2월'!R21</f>
        <v>완료(4/2)</v>
      </c>
      <c r="S144" s="8" t="str">
        <f>'2월'!S21</f>
        <v>천범석</v>
      </c>
      <c r="T144" s="11"/>
    </row>
    <row r="145" spans="1:21" ht="24">
      <c r="A145" t="s">
        <v>30</v>
      </c>
      <c r="B145" s="151" t="str">
        <f>'2월'!B22</f>
        <v>S</v>
      </c>
      <c r="C145" s="153"/>
      <c r="D145" s="10">
        <f>'2월'!D22</f>
        <v>45695</v>
      </c>
      <c r="E145" s="1" t="str">
        <f>'2월'!E22</f>
        <v>홈닥터</v>
      </c>
      <c r="F145" s="2" t="str">
        <f>'2월'!F22</f>
        <v>광명자이 1811호</v>
      </c>
      <c r="G145" s="161" t="str">
        <f>'2월'!G22</f>
        <v>건물임대</v>
      </c>
      <c r="H145" s="161" t="str">
        <f>'2월'!H22</f>
        <v>임대료</v>
      </c>
      <c r="I145" s="163" t="str">
        <f>'2월'!I22</f>
        <v>2월(2.5~2.6) 임대료 - 최종</v>
      </c>
      <c r="J145" s="23">
        <f>'2월'!J22</f>
        <v>1</v>
      </c>
      <c r="K145" s="27">
        <f>'2월'!K22</f>
        <v>36164</v>
      </c>
      <c r="L145" s="26">
        <f>'2월'!L22</f>
        <v>36164</v>
      </c>
      <c r="M145" s="27">
        <f>'2월'!M22</f>
        <v>3616</v>
      </c>
      <c r="N145" s="27">
        <f>'2월'!N22</f>
        <v>39780</v>
      </c>
      <c r="O145" s="52">
        <f>'2월'!O22</f>
        <v>0</v>
      </c>
      <c r="P145" s="171" t="str">
        <f>'2월'!P22</f>
        <v>X</v>
      </c>
      <c r="Q145" s="20">
        <f>'2월'!Q22</f>
        <v>36164</v>
      </c>
      <c r="R145" s="2" t="str">
        <f>'2월'!R22</f>
        <v>보증금에서공제(2/7)</v>
      </c>
      <c r="S145" s="8" t="str">
        <f>'2월'!S22</f>
        <v>정지우</v>
      </c>
      <c r="T145" s="11"/>
    </row>
    <row r="146" spans="1:21">
      <c r="A146" t="s">
        <v>30</v>
      </c>
      <c r="B146" s="151" t="str">
        <f>'2월'!B23</f>
        <v>S</v>
      </c>
      <c r="C146" s="200"/>
      <c r="D146" s="10">
        <f>'2월'!D23</f>
        <v>45698</v>
      </c>
      <c r="E146" s="1" t="str">
        <f>'2월'!E23</f>
        <v>중소기업은행</v>
      </c>
      <c r="F146" s="161" t="str">
        <f>'2월'!F23</f>
        <v>호계214~216호</v>
      </c>
      <c r="G146" s="161" t="str">
        <f>'2월'!G23</f>
        <v>건물임대</v>
      </c>
      <c r="H146" s="161" t="str">
        <f>'2월'!H23</f>
        <v>임대료</v>
      </c>
      <c r="I146" s="163" t="str">
        <f>'2월'!I23</f>
        <v>2월 임대료 (1.13~2.12)-1/24회</v>
      </c>
      <c r="J146" s="71">
        <f>'2월'!J23</f>
        <v>1</v>
      </c>
      <c r="K146" s="26">
        <f>'2월'!K23</f>
        <v>6394500</v>
      </c>
      <c r="L146" s="26">
        <f>'2월'!L23</f>
        <v>6394500</v>
      </c>
      <c r="M146" s="27">
        <f>'2월'!M23</f>
        <v>639450</v>
      </c>
      <c r="N146" s="27">
        <f>'2월'!N23</f>
        <v>7033950</v>
      </c>
      <c r="O146" s="52">
        <f>'2월'!O23</f>
        <v>0</v>
      </c>
      <c r="P146" s="171" t="str">
        <f>'2월'!P23</f>
        <v>X</v>
      </c>
      <c r="Q146" s="181">
        <f>'2월'!Q23</f>
        <v>6394500</v>
      </c>
      <c r="R146" s="2" t="str">
        <f>'2월'!R23</f>
        <v>완료(2/18)</v>
      </c>
      <c r="S146" s="5" t="str">
        <f>'2월'!S23</f>
        <v>정지우</v>
      </c>
      <c r="T146" s="6"/>
    </row>
    <row r="147" spans="1:21">
      <c r="A147" t="s">
        <v>30</v>
      </c>
      <c r="B147" s="151" t="str">
        <f>'2월'!B24</f>
        <v>S</v>
      </c>
      <c r="C147" s="153"/>
      <c r="D147" s="86">
        <f>'2월'!D24</f>
        <v>45698</v>
      </c>
      <c r="E147" s="1" t="str">
        <f>'2월'!E24</f>
        <v>에이비씨한국</v>
      </c>
      <c r="F147" s="2" t="str">
        <f>'2월'!F24</f>
        <v>서울</v>
      </c>
      <c r="G147" s="2" t="str">
        <f>'2월'!G24</f>
        <v>상품</v>
      </c>
      <c r="H147" s="83" t="str">
        <f>'2월'!H24</f>
        <v>노트북</v>
      </c>
      <c r="I147" s="4" t="str">
        <f>'2월'!I24</f>
        <v>LG전자 노트북 15U50S-G.AP7TL 외</v>
      </c>
      <c r="J147" s="23">
        <f>'2월'!J24</f>
        <v>1</v>
      </c>
      <c r="K147" s="27">
        <f>'2월'!K24</f>
        <v>1520000</v>
      </c>
      <c r="L147" s="26">
        <f>'2월'!L24</f>
        <v>1520000</v>
      </c>
      <c r="M147" s="27">
        <f>'2월'!M24</f>
        <v>152000</v>
      </c>
      <c r="N147" s="27">
        <f>'2월'!N24</f>
        <v>1672000</v>
      </c>
      <c r="O147" s="33">
        <f>'2월'!O24</f>
        <v>1490000</v>
      </c>
      <c r="P147" s="197" t="str">
        <f>'2월'!P24</f>
        <v>로보츠(2/10)</v>
      </c>
      <c r="Q147" s="20">
        <f>'2월'!Q24</f>
        <v>30000</v>
      </c>
      <c r="R147" s="2" t="str">
        <f>'2월'!R24</f>
        <v>완료(3/31)</v>
      </c>
      <c r="S147" s="8" t="str">
        <f>'2월'!S24</f>
        <v>이예지</v>
      </c>
      <c r="T147" s="11"/>
    </row>
    <row r="148" spans="1:21">
      <c r="B148" s="151" t="str">
        <f>'2월'!B25</f>
        <v>Y250211-01</v>
      </c>
      <c r="C148" s="153"/>
      <c r="D148" s="17">
        <f>'2월'!D25</f>
        <v>45699</v>
      </c>
      <c r="E148" s="1" t="str">
        <f>'2월'!E25</f>
        <v>한국도자기협회</v>
      </c>
      <c r="F148" s="2"/>
      <c r="G148" s="2" t="str">
        <f>'2월'!G25</f>
        <v>상품</v>
      </c>
      <c r="H148" s="83" t="str">
        <f>'2월'!H25</f>
        <v>탭북</v>
      </c>
      <c r="I148" s="4" t="str">
        <f>'2월'!I25</f>
        <v>삼성전자 갤럭시탭 A9 플러스 Wifi 64GB 그라파이트</v>
      </c>
      <c r="J148" s="23">
        <f>'2월'!J25</f>
        <v>1</v>
      </c>
      <c r="K148" s="27">
        <f>'2월'!K25</f>
        <v>300000</v>
      </c>
      <c r="L148" s="26">
        <f>'2월'!L25</f>
        <v>1230000</v>
      </c>
      <c r="M148" s="27">
        <f>'2월'!M25</f>
        <v>123000</v>
      </c>
      <c r="N148" s="27">
        <f>'2월'!N25</f>
        <v>1353000</v>
      </c>
      <c r="O148" s="33">
        <f>'2월'!O25</f>
        <v>1066273</v>
      </c>
      <c r="P148" s="197" t="str">
        <f>'2월'!P25</f>
        <v>쿠팡(2/10법카)</v>
      </c>
      <c r="Q148" s="20">
        <f>'2월'!Q25</f>
        <v>163727</v>
      </c>
      <c r="R148" s="2" t="str">
        <f>'2월'!R25</f>
        <v>완료(2/12)</v>
      </c>
      <c r="S148" s="8" t="str">
        <f>'2월'!S25</f>
        <v>홍승민</v>
      </c>
      <c r="T148" s="11"/>
    </row>
    <row r="149" spans="1:21">
      <c r="B149" s="154"/>
      <c r="C149" s="155"/>
      <c r="D149" s="43"/>
      <c r="E149" s="44" t="str">
        <f>'2월'!E26</f>
        <v>한국도자기협회</v>
      </c>
      <c r="F149" s="41"/>
      <c r="G149" s="2" t="str">
        <f>'2월'!G26</f>
        <v>상품</v>
      </c>
      <c r="H149" s="83" t="str">
        <f>'2월'!H26</f>
        <v>탭북</v>
      </c>
      <c r="I149" s="4" t="str">
        <f>'2월'!I26</f>
        <v>아이패드 10세대 Wifi 64GB 실버</v>
      </c>
      <c r="J149" s="23">
        <f>'2월'!J26</f>
        <v>1</v>
      </c>
      <c r="K149" s="27">
        <f>'2월'!K26</f>
        <v>480000</v>
      </c>
      <c r="L149" s="37"/>
      <c r="M149" s="38"/>
      <c r="N149" s="38"/>
      <c r="O149" s="39"/>
      <c r="P149" s="175"/>
      <c r="Q149" s="40"/>
      <c r="R149" s="41"/>
      <c r="S149" s="42"/>
      <c r="T149" s="11"/>
    </row>
    <row r="150" spans="1:21">
      <c r="B150" s="154"/>
      <c r="C150" s="155"/>
      <c r="D150" s="43"/>
      <c r="E150" s="44" t="str">
        <f>'2월'!E27</f>
        <v>한국도자기협회</v>
      </c>
      <c r="F150" s="41"/>
      <c r="G150" s="2" t="str">
        <f>'2월'!G27</f>
        <v>상품</v>
      </c>
      <c r="H150" s="83" t="str">
        <f>'2월'!H27</f>
        <v>탭북</v>
      </c>
      <c r="I150" s="4" t="str">
        <f>'2월'!I27</f>
        <v>Tab P12 QHD 8GB / 128GB 스톰그레이</v>
      </c>
      <c r="J150" s="23">
        <f>'2월'!J27</f>
        <v>1</v>
      </c>
      <c r="K150" s="27">
        <f>'2월'!K27</f>
        <v>290000</v>
      </c>
      <c r="L150" s="37"/>
      <c r="M150" s="38"/>
      <c r="N150" s="38"/>
      <c r="O150" s="39"/>
      <c r="P150" s="175"/>
      <c r="Q150" s="40"/>
      <c r="R150" s="41"/>
      <c r="S150" s="42"/>
      <c r="T150" s="11"/>
    </row>
    <row r="151" spans="1:21" ht="24">
      <c r="B151" s="154"/>
      <c r="C151" s="155"/>
      <c r="D151" s="43"/>
      <c r="E151" s="44" t="str">
        <f>'2월'!E28</f>
        <v>한국도자기협회</v>
      </c>
      <c r="F151" s="41"/>
      <c r="G151" s="2" t="str">
        <f>'2월'!G28</f>
        <v>상품</v>
      </c>
      <c r="H151" s="83" t="str">
        <f>'2월'!H28</f>
        <v>탭북</v>
      </c>
      <c r="I151" s="4" t="str">
        <f>'2월'!I28</f>
        <v>아이뮤즈 뮤패드 K10 PLUS 태블릿PC RAM 4GB Wifi 64GB</v>
      </c>
      <c r="J151" s="23">
        <f>'2월'!J28</f>
        <v>1</v>
      </c>
      <c r="K151" s="27">
        <f>'2월'!K28</f>
        <v>160000</v>
      </c>
      <c r="L151" s="37"/>
      <c r="M151" s="38"/>
      <c r="N151" s="38"/>
      <c r="O151" s="39"/>
      <c r="P151" s="175"/>
      <c r="Q151" s="40"/>
      <c r="R151" s="41"/>
      <c r="S151" s="42"/>
      <c r="T151" s="11"/>
    </row>
    <row r="152" spans="1:21" ht="24">
      <c r="A152" t="s">
        <v>30</v>
      </c>
      <c r="B152" s="151" t="str">
        <f>'2월'!B29</f>
        <v>품의X</v>
      </c>
      <c r="C152" s="153"/>
      <c r="D152" s="17">
        <f>'2월'!D29</f>
        <v>45700</v>
      </c>
      <c r="E152" s="1" t="str">
        <f>'2월'!E29</f>
        <v>블루포트</v>
      </c>
      <c r="F152" s="2"/>
      <c r="G152" s="1" t="str">
        <f>'2월'!G29</f>
        <v>MA</v>
      </c>
      <c r="H152" s="83" t="str">
        <f>'2월'!H29</f>
        <v>기술지원</v>
      </c>
      <c r="I152" s="4" t="str">
        <f>'2월'!I29</f>
        <v>Windows Server 2022 OS설치 및 드라이버 설치 기술지원료</v>
      </c>
      <c r="J152" s="23">
        <f>'2월'!J29</f>
        <v>1</v>
      </c>
      <c r="K152" s="27">
        <f>'2월'!K29</f>
        <v>500000</v>
      </c>
      <c r="L152" s="26">
        <f>'2월'!L29</f>
        <v>500000</v>
      </c>
      <c r="M152" s="27">
        <f>'2월'!M29</f>
        <v>50000</v>
      </c>
      <c r="N152" s="27">
        <f>'2월'!N29</f>
        <v>550000</v>
      </c>
      <c r="O152" s="33">
        <f>'2월'!O29</f>
        <v>0</v>
      </c>
      <c r="P152" s="197" t="str">
        <f>'2월'!P29</f>
        <v>SM</v>
      </c>
      <c r="Q152" s="20">
        <f>'2월'!Q29</f>
        <v>500000</v>
      </c>
      <c r="R152" s="2" t="str">
        <f>'2월'!R29</f>
        <v>완료(4/30)</v>
      </c>
      <c r="S152" s="8" t="str">
        <f>'2월'!S29</f>
        <v>이지훈</v>
      </c>
      <c r="T152" s="11"/>
    </row>
    <row r="153" spans="1:21" ht="60">
      <c r="A153" t="s">
        <v>30</v>
      </c>
      <c r="B153" s="151" t="str">
        <f>'2월'!B30</f>
        <v>SB-25011</v>
      </c>
      <c r="C153" s="153" t="str">
        <f>'2월'!C30</f>
        <v>ZJREZL</v>
      </c>
      <c r="D153" s="17">
        <f>'2월'!D30</f>
        <v>45700</v>
      </c>
      <c r="E153" s="1" t="str">
        <f>'2월'!E30</f>
        <v>이룸에스앤앤</v>
      </c>
      <c r="F153" s="2" t="str">
        <f>'2월'!F30</f>
        <v>코리아미카사</v>
      </c>
      <c r="G153" s="1" t="str">
        <f>'2월'!G30</f>
        <v>MA</v>
      </c>
      <c r="H153" s="2" t="str">
        <f>'2월'!H30</f>
        <v>월간-레노버</v>
      </c>
      <c r="I153" s="4" t="str">
        <f>'2월'!I30</f>
        <v>연간유지정비료(24.1.20~26.1.19)</v>
      </c>
      <c r="J153" s="23">
        <f>'2월'!J30</f>
        <v>1</v>
      </c>
      <c r="K153" s="27">
        <f>'2월'!K30</f>
        <v>1800000</v>
      </c>
      <c r="L153" s="26">
        <f>'2월'!L30</f>
        <v>1800000</v>
      </c>
      <c r="M153" s="27">
        <f>'2월'!M30</f>
        <v>180000</v>
      </c>
      <c r="N153" s="27">
        <f>'2월'!N30</f>
        <v>1980000</v>
      </c>
      <c r="O153" s="33">
        <f>'2월'!O30</f>
        <v>1576800</v>
      </c>
      <c r="P153" s="173" t="str">
        <f>'2월'!P30</f>
        <v>레노버 월 65,700
24.01 (2/10) 24,090
24.2~25.1 (25/2/10) 65,700*12
(2/28)(3/31)(4/30)(5/31)(6/30)(7/31)(8/31)(9/30)(10/31)(11/30)(12/31)(26/1/ )</v>
      </c>
      <c r="Q153" s="20">
        <f>'2월'!Q30</f>
        <v>223200</v>
      </c>
      <c r="R153" s="2" t="str">
        <f>'2월'!R30</f>
        <v>완료(4/29)</v>
      </c>
      <c r="S153" s="8" t="str">
        <f>'2월'!S30</f>
        <v>천범석</v>
      </c>
      <c r="T153" s="11"/>
    </row>
    <row r="154" spans="1:21" ht="12" customHeight="1">
      <c r="A154" t="s">
        <v>30</v>
      </c>
      <c r="B154" s="151" t="str">
        <f>'2월'!B31</f>
        <v>S</v>
      </c>
      <c r="C154" s="200"/>
      <c r="D154" s="17">
        <f>'2월'!D31</f>
        <v>45700</v>
      </c>
      <c r="E154" s="1" t="str">
        <f>'2월'!E31</f>
        <v>왕길토건</v>
      </c>
      <c r="F154" s="2" t="str">
        <f>'2월'!F31</f>
        <v>검단미플존 317호</v>
      </c>
      <c r="G154" s="161" t="str">
        <f>'2월'!G31</f>
        <v>건물임대</v>
      </c>
      <c r="H154" s="161" t="str">
        <f>'2월'!H31</f>
        <v>임대료</v>
      </c>
      <c r="I154" s="3" t="str">
        <f>'2월'!I31</f>
        <v>1월 임대료(25/1/11~2/10) - 4/10회</v>
      </c>
      <c r="J154" s="32">
        <f>'2월'!J31</f>
        <v>1</v>
      </c>
      <c r="K154" s="48">
        <f>'2월'!K31</f>
        <v>400000</v>
      </c>
      <c r="L154" s="26">
        <f>'2월'!L31</f>
        <v>400000</v>
      </c>
      <c r="M154" s="27">
        <f>'2월'!M31</f>
        <v>40000</v>
      </c>
      <c r="N154" s="27">
        <f>'2월'!N31</f>
        <v>440000</v>
      </c>
      <c r="O154" s="52">
        <f>'2월'!O31</f>
        <v>0</v>
      </c>
      <c r="P154" s="171" t="str">
        <f>'2월'!P31</f>
        <v>X</v>
      </c>
      <c r="Q154" s="181">
        <f>'2월'!Q31</f>
        <v>400000</v>
      </c>
      <c r="R154" s="2" t="str">
        <f>'2월'!R31</f>
        <v>완료(2/12)</v>
      </c>
      <c r="S154" s="5" t="str">
        <f>'2월'!S31</f>
        <v>정지우</v>
      </c>
      <c r="T154" s="6"/>
    </row>
    <row r="155" spans="1:21">
      <c r="B155" s="151" t="str">
        <f>'2월'!B32</f>
        <v>H250204-01</v>
      </c>
      <c r="C155" s="153"/>
      <c r="D155" s="17">
        <f>'2월'!D32</f>
        <v>45700</v>
      </c>
      <c r="E155" s="1" t="str">
        <f>'2월'!E32</f>
        <v>영화시스템</v>
      </c>
      <c r="F155" s="2" t="str">
        <f>'2월'!F32</f>
        <v>CGV계양</v>
      </c>
      <c r="G155" s="2" t="str">
        <f>'2월'!G32</f>
        <v>상품</v>
      </c>
      <c r="H155" s="83" t="str">
        <f>'2월'!H32</f>
        <v>기술지원</v>
      </c>
      <c r="I155" s="4" t="str">
        <f>'2월'!I32</f>
        <v>CGV계양 OS 재설치</v>
      </c>
      <c r="J155" s="23">
        <f>'2월'!J32</f>
        <v>1</v>
      </c>
      <c r="K155" s="27">
        <f>'2월'!K32</f>
        <v>300000</v>
      </c>
      <c r="L155" s="26">
        <f>'2월'!L32</f>
        <v>300000</v>
      </c>
      <c r="M155" s="27">
        <f>'2월'!M32</f>
        <v>30000</v>
      </c>
      <c r="N155" s="27">
        <f>'2월'!N32</f>
        <v>330000</v>
      </c>
      <c r="O155" s="33">
        <f>'2월'!O32</f>
        <v>0</v>
      </c>
      <c r="P155" s="197" t="str">
        <f>'2월'!P32</f>
        <v>SM</v>
      </c>
      <c r="Q155" s="20">
        <f>'2월'!Q32</f>
        <v>300000</v>
      </c>
      <c r="R155" s="2" t="str">
        <f>'2월'!R32</f>
        <v>완료(3/14)</v>
      </c>
      <c r="S155" s="8" t="str">
        <f>'2월'!S32</f>
        <v>천범석</v>
      </c>
      <c r="T155" s="11"/>
    </row>
    <row r="156" spans="1:21" ht="36">
      <c r="A156" t="s">
        <v>30</v>
      </c>
      <c r="B156" s="151" t="str">
        <f>'2월'!B33</f>
        <v>D250121-01</v>
      </c>
      <c r="C156" s="153"/>
      <c r="D156" s="17">
        <f>'2월'!D33</f>
        <v>45701</v>
      </c>
      <c r="E156" s="1" t="str">
        <f>'2월'!E33</f>
        <v>고영</v>
      </c>
      <c r="F156" s="2"/>
      <c r="G156" s="2" t="str">
        <f>'2월'!G33</f>
        <v>상품</v>
      </c>
      <c r="H156" s="83" t="str">
        <f>'2월'!H33</f>
        <v>CPU</v>
      </c>
      <c r="I156" s="4" t="str">
        <f>'2월'!I33</f>
        <v>E5-2470V2 10Core 2.4GHz 외</v>
      </c>
      <c r="J156" s="23">
        <f>'2월'!J33</f>
        <v>1</v>
      </c>
      <c r="K156" s="27">
        <f>'2월'!K33</f>
        <v>770000</v>
      </c>
      <c r="L156" s="26">
        <f>'2월'!L33</f>
        <v>770000</v>
      </c>
      <c r="M156" s="27">
        <f>'2월'!M33</f>
        <v>77000</v>
      </c>
      <c r="N156" s="27">
        <f>'2월'!N33</f>
        <v>847000</v>
      </c>
      <c r="O156" s="33">
        <f>'2월'!O33</f>
        <v>330000</v>
      </c>
      <c r="P156" s="197" t="str">
        <f>'2월'!P33</f>
        <v>위퍼스트(1/22) 90,000
이비웨이브(1/20) 6*40,000
SM</v>
      </c>
      <c r="Q156" s="20">
        <f>'2월'!Q33</f>
        <v>440000</v>
      </c>
      <c r="R156" s="2" t="str">
        <f>'2월'!R33</f>
        <v>완료(3/11)</v>
      </c>
      <c r="S156" s="8" t="str">
        <f>'2월'!S33</f>
        <v>이지훈</v>
      </c>
      <c r="T156" s="11"/>
      <c r="U156" s="121">
        <f t="shared" ref="U156" si="0">Q156/L156</f>
        <v>0.5714285714285714</v>
      </c>
    </row>
    <row r="157" spans="1:21" ht="24">
      <c r="A157" t="s">
        <v>30</v>
      </c>
      <c r="B157" s="151" t="str">
        <f>'2월'!B34</f>
        <v>D250121-02</v>
      </c>
      <c r="C157" s="153"/>
      <c r="D157" s="17">
        <f>'2월'!D34</f>
        <v>45701</v>
      </c>
      <c r="E157" s="1" t="str">
        <f>'2월'!E34</f>
        <v>고영</v>
      </c>
      <c r="F157" s="2"/>
      <c r="G157" s="2" t="str">
        <f>'2월'!G34</f>
        <v>상품</v>
      </c>
      <c r="H157" s="83" t="str">
        <f>'2월'!H34</f>
        <v>조립PC</v>
      </c>
      <c r="I157" s="4" t="str">
        <f>'2월'!I34</f>
        <v>조립PC</v>
      </c>
      <c r="J157" s="23">
        <f>'2월'!J34</f>
        <v>1</v>
      </c>
      <c r="K157" s="27">
        <f>'2월'!K34</f>
        <v>6500000</v>
      </c>
      <c r="L157" s="26">
        <f>'2월'!L34</f>
        <v>6500000</v>
      </c>
      <c r="M157" s="27">
        <f>'2월'!M34</f>
        <v>650000</v>
      </c>
      <c r="N157" s="27">
        <f>'2월'!N34</f>
        <v>7150000</v>
      </c>
      <c r="O157" s="33">
        <f>'2월'!O34</f>
        <v>6357655</v>
      </c>
      <c r="P157" s="197" t="str">
        <f>'2월'!P34</f>
        <v>컴퓨존(1/22)
우림퀵(2/28) 45,000  45,000   55,000</v>
      </c>
      <c r="Q157" s="20">
        <f>'2월'!Q34</f>
        <v>142345</v>
      </c>
      <c r="R157" s="2" t="str">
        <f>'2월'!R34</f>
        <v>완료(3/14)</v>
      </c>
      <c r="S157" s="8" t="str">
        <f>'2월'!S34</f>
        <v>이지훈</v>
      </c>
      <c r="T157" s="11"/>
      <c r="U157" s="121"/>
    </row>
    <row r="158" spans="1:21" ht="24">
      <c r="A158" t="s">
        <v>30</v>
      </c>
      <c r="B158" s="151" t="str">
        <f>'2월'!B35</f>
        <v>H250214-01</v>
      </c>
      <c r="C158" s="153"/>
      <c r="D158" s="17">
        <f>'2월'!D35</f>
        <v>45702</v>
      </c>
      <c r="E158" s="1" t="str">
        <f>'2월'!E35</f>
        <v>준아이앤씨</v>
      </c>
      <c r="F158" s="2" t="str">
        <f>'2월'!F35</f>
        <v>흥국화재</v>
      </c>
      <c r="G158" s="2" t="str">
        <f>'2월'!G35</f>
        <v>상품</v>
      </c>
      <c r="H158" s="83" t="str">
        <f>'2월'!H35</f>
        <v>00YK025</v>
      </c>
      <c r="I158" s="4" t="str">
        <f>'2월'!I35</f>
        <v xml:space="preserve">ThinkSystem 2.5" 1TB 7.2K SATA 6Gb Hot Swap 512n HDD </v>
      </c>
      <c r="J158" s="23">
        <f>'2월'!J35</f>
        <v>1</v>
      </c>
      <c r="K158" s="27">
        <f>'2월'!K35</f>
        <v>510000</v>
      </c>
      <c r="L158" s="26">
        <f>'2월'!L35</f>
        <v>510000</v>
      </c>
      <c r="M158" s="27">
        <f>'2월'!M35</f>
        <v>51000</v>
      </c>
      <c r="N158" s="27">
        <f>'2월'!N35</f>
        <v>561000</v>
      </c>
      <c r="O158" s="33">
        <f>'2월'!O35</f>
        <v>455000</v>
      </c>
      <c r="P158" s="197" t="str">
        <f>'2월'!P35</f>
        <v>레노버(4/4)</v>
      </c>
      <c r="Q158" s="20">
        <f>'2월'!Q35</f>
        <v>55000</v>
      </c>
      <c r="R158" s="202" t="str">
        <f>'2월'!R35</f>
        <v>완료(2/28)</v>
      </c>
      <c r="S158" s="8" t="str">
        <f>'2월'!S35</f>
        <v>천범석</v>
      </c>
      <c r="T158" s="11"/>
    </row>
    <row r="159" spans="1:21" ht="12" customHeight="1">
      <c r="A159" t="s">
        <v>30</v>
      </c>
      <c r="B159" s="151" t="str">
        <f>'2월'!B36</f>
        <v>S</v>
      </c>
      <c r="C159" s="200"/>
      <c r="D159" s="17">
        <f>'2월'!D36</f>
        <v>45703</v>
      </c>
      <c r="E159" s="1" t="str">
        <f>'2월'!E36</f>
        <v>순환</v>
      </c>
      <c r="F159" s="2" t="str">
        <f>'2월'!F36</f>
        <v>검단미플존 318호</v>
      </c>
      <c r="G159" s="161" t="str">
        <f>'2월'!G36</f>
        <v>건물임대</v>
      </c>
      <c r="H159" s="161" t="str">
        <f>'2월'!H36</f>
        <v>임대료</v>
      </c>
      <c r="I159" s="3" t="str">
        <f>'2월'!I36</f>
        <v>2월 임대료(25/1/20~25/2/19) - 4/9회</v>
      </c>
      <c r="J159" s="32">
        <f>'2월'!J36</f>
        <v>1</v>
      </c>
      <c r="K159" s="48">
        <f>'2월'!K36</f>
        <v>346500</v>
      </c>
      <c r="L159" s="26">
        <f>'2월'!L36</f>
        <v>346500</v>
      </c>
      <c r="M159" s="27">
        <f>'2월'!M36</f>
        <v>34650</v>
      </c>
      <c r="N159" s="27">
        <f>'2월'!N36</f>
        <v>381150</v>
      </c>
      <c r="O159" s="52">
        <f>'2월'!O36</f>
        <v>0</v>
      </c>
      <c r="P159" s="171" t="str">
        <f>'2월'!P36</f>
        <v>X</v>
      </c>
      <c r="Q159" s="181">
        <f>'2월'!Q36</f>
        <v>346500</v>
      </c>
      <c r="R159" s="68" t="str">
        <f>'2월'!R36</f>
        <v>완료(2/24)</v>
      </c>
      <c r="S159" s="5" t="str">
        <f>'2월'!S36</f>
        <v>정지우</v>
      </c>
      <c r="T159" s="6"/>
    </row>
    <row r="160" spans="1:21" ht="24">
      <c r="A160" t="s">
        <v>30</v>
      </c>
      <c r="B160" s="151" t="str">
        <f>'2월'!B37</f>
        <v>SB-24011</v>
      </c>
      <c r="C160" s="199" t="str">
        <f>'2월'!C37</f>
        <v>Z5PURB</v>
      </c>
      <c r="D160" s="17">
        <f>'2월'!D37</f>
        <v>45703</v>
      </c>
      <c r="E160" s="1" t="str">
        <f>'2월'!E37</f>
        <v>비온시이노베이터</v>
      </c>
      <c r="F160" s="2" t="str">
        <f>'2월'!F37</f>
        <v>국립농업과학원</v>
      </c>
      <c r="G160" s="2" t="str">
        <f>'2월'!G37</f>
        <v>MA</v>
      </c>
      <c r="H160" s="2" t="str">
        <f>'2월'!H37</f>
        <v>월간-레노버</v>
      </c>
      <c r="I160" s="4" t="str">
        <f>'2월'!I37</f>
        <v>1월 유지정비료 - 13/24회</v>
      </c>
      <c r="J160" s="23">
        <f>'2월'!J37</f>
        <v>1</v>
      </c>
      <c r="K160" s="27">
        <f>'2월'!K37</f>
        <v>875000</v>
      </c>
      <c r="L160" s="26">
        <f>'2월'!L37</f>
        <v>875000</v>
      </c>
      <c r="M160" s="27">
        <f>'2월'!M37</f>
        <v>87500</v>
      </c>
      <c r="N160" s="27">
        <f>'2월'!N37</f>
        <v>962500</v>
      </c>
      <c r="O160" s="52">
        <f>'2월'!O37</f>
        <v>794833.33333333326</v>
      </c>
      <c r="P160" s="197" t="str">
        <f>'2월'!P37</f>
        <v>레노버(1/31)511,500 
시스나인(4/25) 연간3,400,000(1/12회)</v>
      </c>
      <c r="Q160" s="181">
        <f>'2월'!Q37</f>
        <v>80166.666666666744</v>
      </c>
      <c r="R160" s="2" t="str">
        <f>'2월'!R37</f>
        <v>완료(2/10)선입금</v>
      </c>
      <c r="S160" s="8" t="str">
        <f>'2월'!S37</f>
        <v>천범석</v>
      </c>
      <c r="T160" s="11"/>
    </row>
    <row r="161" spans="1:20">
      <c r="A161" t="s">
        <v>30</v>
      </c>
      <c r="B161" s="151" t="str">
        <f>'2월'!B38</f>
        <v>SB-24009</v>
      </c>
      <c r="C161" s="199" t="str">
        <f>'2월'!C38</f>
        <v>Z0PYQC</v>
      </c>
      <c r="D161" s="17">
        <f>'2월'!D38</f>
        <v>45703</v>
      </c>
      <c r="E161" s="1" t="str">
        <f>'2월'!E38</f>
        <v>유알피</v>
      </c>
      <c r="F161" s="2" t="str">
        <f>'2월'!F38</f>
        <v>서울디자인재단</v>
      </c>
      <c r="G161" s="2" t="str">
        <f>'2월'!G38</f>
        <v>MA</v>
      </c>
      <c r="H161" s="2" t="str">
        <f>'2월'!H38</f>
        <v>월간-레노버</v>
      </c>
      <c r="I161" s="4" t="str">
        <f>'2월'!I38</f>
        <v>1월 유지정비료 - 13/36회</v>
      </c>
      <c r="J161" s="23">
        <f>'2월'!J38</f>
        <v>1</v>
      </c>
      <c r="K161" s="27">
        <f>'2월'!K38</f>
        <v>1080000</v>
      </c>
      <c r="L161" s="26">
        <f>'2월'!L38</f>
        <v>1080000</v>
      </c>
      <c r="M161" s="27">
        <f>'2월'!M38</f>
        <v>108000</v>
      </c>
      <c r="N161" s="27">
        <f>'2월'!N38</f>
        <v>1188000</v>
      </c>
      <c r="O161" s="52">
        <f>'2월'!O38</f>
        <v>976200</v>
      </c>
      <c r="P161" s="171" t="str">
        <f>'2월'!P38</f>
        <v>레노버(1/31)</v>
      </c>
      <c r="Q161" s="181">
        <f>'2월'!Q38</f>
        <v>103800</v>
      </c>
      <c r="R161" s="202" t="str">
        <f>'2월'!R38</f>
        <v>완료(3/17)</v>
      </c>
      <c r="S161" s="8" t="str">
        <f>'2월'!S38</f>
        <v>천범석</v>
      </c>
      <c r="T161" s="11"/>
    </row>
    <row r="162" spans="1:20" ht="36">
      <c r="A162" t="s">
        <v>30</v>
      </c>
      <c r="B162" s="151" t="str">
        <f>'2월'!B39</f>
        <v>Y240830-03</v>
      </c>
      <c r="C162" s="153"/>
      <c r="D162" s="224">
        <f>'2월'!D39</f>
        <v>45706</v>
      </c>
      <c r="E162" s="1" t="str">
        <f>'2월'!E39</f>
        <v>스마트웨어</v>
      </c>
      <c r="F162" s="2" t="str">
        <f>'2월'!F39</f>
        <v>세연시스템즈</v>
      </c>
      <c r="G162" s="2" t="str">
        <f>'2월'!G39</f>
        <v>장비임대</v>
      </c>
      <c r="H162" s="2" t="str">
        <f>'2월'!H39</f>
        <v>서버임대</v>
      </c>
      <c r="I162" s="4" t="str">
        <f>'2월'!I39</f>
        <v>X3650M5 임대 (Xeon E5-2640v3 2.6GHz 8C x2 / 128GB Memory / 600GB SAS x4 / Power x2)(25/1/2~25/2/1)</v>
      </c>
      <c r="J162" s="23">
        <f>'2월'!J39</f>
        <v>1</v>
      </c>
      <c r="K162" s="226">
        <f>'2월'!K39</f>
        <v>200000</v>
      </c>
      <c r="L162" s="225">
        <f>'2월'!L39</f>
        <v>200000</v>
      </c>
      <c r="M162" s="226">
        <f>'2월'!M39</f>
        <v>20000</v>
      </c>
      <c r="N162" s="226">
        <f>'2월'!N39</f>
        <v>220000</v>
      </c>
      <c r="O162" s="33">
        <f>'2월'!O39</f>
        <v>0</v>
      </c>
      <c r="P162" s="197" t="str">
        <f>'2월'!P39</f>
        <v>재고</v>
      </c>
      <c r="Q162" s="227">
        <f>'2월'!Q39</f>
        <v>200000</v>
      </c>
      <c r="R162" s="213" t="str">
        <f>'2월'!R39</f>
        <v>3월말</v>
      </c>
      <c r="S162" s="8" t="str">
        <f>'2월'!S39</f>
        <v>홍승민</v>
      </c>
      <c r="T162" s="11"/>
    </row>
    <row r="163" spans="1:20" ht="36">
      <c r="A163" t="s">
        <v>30</v>
      </c>
      <c r="B163" s="151" t="str">
        <f>'2월'!B40</f>
        <v>H250213-02</v>
      </c>
      <c r="C163" s="153"/>
      <c r="D163" s="224">
        <f>'2월'!D40</f>
        <v>45706</v>
      </c>
      <c r="E163" s="214" t="str">
        <f>'2월'!E40</f>
        <v>브리토바코</v>
      </c>
      <c r="F163" s="215" t="str">
        <f>'2월'!F40</f>
        <v>BAT사천</v>
      </c>
      <c r="G163" s="2" t="str">
        <f>'2월'!G40</f>
        <v>상품</v>
      </c>
      <c r="H163" s="83" t="str">
        <f>'2월'!H40</f>
        <v>USB Blocker</v>
      </c>
      <c r="I163" s="4" t="str">
        <f>'2월'!I40</f>
        <v>[LINDY] 보안 커텍터, 추가구매용 USB 블록, LINDY-40460 10개 [레드/5 SET] / LINDY-40463 [오렌지/21 SET]</v>
      </c>
      <c r="J163" s="23">
        <f>'2월'!J40</f>
        <v>26</v>
      </c>
      <c r="K163" s="27">
        <f>'2월'!K40</f>
        <v>33000</v>
      </c>
      <c r="L163" s="26">
        <f>'2월'!L40</f>
        <v>858000</v>
      </c>
      <c r="M163" s="27">
        <f>'2월'!M40</f>
        <v>85800</v>
      </c>
      <c r="N163" s="27">
        <f>'2월'!N40</f>
        <v>943800</v>
      </c>
      <c r="O163" s="33">
        <f>'2월'!O40</f>
        <v>702945</v>
      </c>
      <c r="P163" s="197" t="str">
        <f>'2월'!P40</f>
        <v>컴퓨존(1/13)</v>
      </c>
      <c r="Q163" s="20">
        <f>'2월'!Q40</f>
        <v>155055</v>
      </c>
      <c r="R163" s="68" t="str">
        <f>'2월'!R40</f>
        <v>완료(4/23)</v>
      </c>
      <c r="S163" s="8" t="str">
        <f>'2월'!S40</f>
        <v>천범석</v>
      </c>
      <c r="T163" s="11"/>
    </row>
    <row r="164" spans="1:20">
      <c r="A164" t="s">
        <v>30</v>
      </c>
      <c r="B164" s="151" t="str">
        <f>'2월'!B41</f>
        <v>S</v>
      </c>
      <c r="C164" s="200"/>
      <c r="D164" s="10">
        <f>'2월'!D41</f>
        <v>45708</v>
      </c>
      <c r="E164" s="1" t="str">
        <f>'2월'!E41</f>
        <v>아이지리더스</v>
      </c>
      <c r="F164" s="2" t="str">
        <f>'2월'!F41</f>
        <v>광명자이 1812호</v>
      </c>
      <c r="G164" s="2" t="str">
        <f>'2월'!G41</f>
        <v>건물임대</v>
      </c>
      <c r="H164" s="161" t="str">
        <f>'2월'!H41</f>
        <v>임대료</v>
      </c>
      <c r="I164" s="3" t="str">
        <f>'2월'!I41</f>
        <v>2월 임대료(1.26~2.25) 4/12회</v>
      </c>
      <c r="J164" s="23">
        <f>'2월'!J41</f>
        <v>1</v>
      </c>
      <c r="K164" s="29">
        <f>'2월'!K41</f>
        <v>800000</v>
      </c>
      <c r="L164" s="26">
        <f>'2월'!L41</f>
        <v>800000</v>
      </c>
      <c r="M164" s="27">
        <f>'2월'!M41</f>
        <v>80000</v>
      </c>
      <c r="N164" s="27">
        <f>'2월'!N41</f>
        <v>880000</v>
      </c>
      <c r="O164" s="52">
        <f>'2월'!O41</f>
        <v>0</v>
      </c>
      <c r="P164" s="171" t="str">
        <f>'2월'!P41</f>
        <v>X</v>
      </c>
      <c r="Q164" s="181">
        <f>'2월'!Q41</f>
        <v>800000</v>
      </c>
      <c r="R164" s="68" t="str">
        <f>'2월'!R41</f>
        <v>완료(3/5)</v>
      </c>
      <c r="S164" s="5" t="str">
        <f>'2월'!S41</f>
        <v>정지우</v>
      </c>
      <c r="T164" s="6"/>
    </row>
    <row r="165" spans="1:20">
      <c r="A165" t="s">
        <v>30</v>
      </c>
      <c r="B165" s="151" t="str">
        <f>'2월'!B42</f>
        <v>SM-23017</v>
      </c>
      <c r="C165" s="199"/>
      <c r="D165" s="10">
        <f>'2월'!D42</f>
        <v>45708</v>
      </c>
      <c r="E165" s="1" t="str">
        <f>'2월'!E42</f>
        <v>이앤피정보기술</v>
      </c>
      <c r="F165" s="2" t="str">
        <f>'2월'!F42</f>
        <v>용진일렉콤</v>
      </c>
      <c r="G165" s="2" t="str">
        <f>'2월'!G42</f>
        <v>MA</v>
      </c>
      <c r="H165" s="2" t="str">
        <f>'2월'!H42</f>
        <v>월간</v>
      </c>
      <c r="I165" s="70" t="str">
        <f>'2월'!I42</f>
        <v>2월 유지정비료 - 11/12회</v>
      </c>
      <c r="J165" s="23">
        <f>'2월'!J42</f>
        <v>1</v>
      </c>
      <c r="K165" s="27">
        <f>'2월'!K42</f>
        <v>200000</v>
      </c>
      <c r="L165" s="26">
        <f>'2월'!L42</f>
        <v>200000</v>
      </c>
      <c r="M165" s="27">
        <f>'2월'!M42</f>
        <v>20000</v>
      </c>
      <c r="N165" s="27">
        <f>'2월'!N42</f>
        <v>220000</v>
      </c>
      <c r="O165" s="52">
        <f>'2월'!O42</f>
        <v>0</v>
      </c>
      <c r="P165" s="171" t="str">
        <f>'2월'!P42</f>
        <v>X</v>
      </c>
      <c r="Q165" s="181">
        <f>'2월'!Q42</f>
        <v>200000</v>
      </c>
      <c r="R165" s="2" t="str">
        <f>'2월'!R42</f>
        <v>완료(3/31)</v>
      </c>
      <c r="S165" s="8" t="str">
        <f>'2월'!S42</f>
        <v>이예지</v>
      </c>
      <c r="T165" s="11"/>
    </row>
    <row r="166" spans="1:20" ht="72">
      <c r="A166" t="s">
        <v>30</v>
      </c>
      <c r="B166" s="151" t="str">
        <f>'2월'!B43</f>
        <v>SM-23023</v>
      </c>
      <c r="C166" s="200"/>
      <c r="D166" s="10">
        <f>'2월'!D43</f>
        <v>45708</v>
      </c>
      <c r="E166" s="214" t="str">
        <f>'2월'!E43</f>
        <v>중앙유통단지관리운영회</v>
      </c>
      <c r="F166" s="215"/>
      <c r="G166" s="161" t="str">
        <f>'2월'!G43</f>
        <v>장비임대</v>
      </c>
      <c r="H166" s="161" t="str">
        <f>'2월'!H43</f>
        <v>서버</v>
      </c>
      <c r="I166" s="163" t="str">
        <f>'2월'!I43</f>
        <v>서버임대 SR650 2식 - 17/36회</v>
      </c>
      <c r="J166" s="23">
        <f>'2월'!J43</f>
        <v>1</v>
      </c>
      <c r="K166" s="26">
        <f>'2월'!K43</f>
        <v>1000000</v>
      </c>
      <c r="L166" s="26">
        <f>'2월'!L43</f>
        <v>1000000</v>
      </c>
      <c r="M166" s="27">
        <f>'2월'!M43</f>
        <v>100000</v>
      </c>
      <c r="N166" s="27">
        <f>'2월'!N43</f>
        <v>1100000</v>
      </c>
      <c r="O166" s="72">
        <f>'2월'!O43</f>
        <v>918000.00000000012</v>
      </c>
      <c r="P166" s="171" t="str">
        <f>'2월'!P43</f>
        <v>트루스케일 2대 15,800,000
SR250내 2.4T 2*100,000 
이룸에스앤앤(9/5) 2*364,000
========= 총 16,728,000 (17/36회)
이올테크(2/20) 370,000
시스나인(24/9/2) 연 1,000,000(5/12회)</v>
      </c>
      <c r="Q166" s="181">
        <f>'2월'!Q43</f>
        <v>81999.999999999884</v>
      </c>
      <c r="R166" s="2" t="str">
        <f>'2월'!R43</f>
        <v>완료(2/28)</v>
      </c>
      <c r="S166" s="5" t="str">
        <f>'2월'!S43</f>
        <v>천범석</v>
      </c>
      <c r="T166" s="11"/>
    </row>
    <row r="167" spans="1:20">
      <c r="A167" t="s">
        <v>30</v>
      </c>
      <c r="B167" s="151" t="str">
        <f>'2월'!B44</f>
        <v>SM-24014</v>
      </c>
      <c r="C167" s="200"/>
      <c r="D167" s="78">
        <f>'2월'!D44</f>
        <v>45708</v>
      </c>
      <c r="E167" s="216" t="str">
        <f>'2월'!E44</f>
        <v>동아건설</v>
      </c>
      <c r="F167" s="217"/>
      <c r="G167" s="167" t="str">
        <f>'2월'!G44</f>
        <v>MA</v>
      </c>
      <c r="H167" s="167" t="str">
        <f>'2월'!H44</f>
        <v>월간</v>
      </c>
      <c r="I167" s="168" t="str">
        <f>'2월'!I44</f>
        <v>2월 유지정비료 - 10/12회</v>
      </c>
      <c r="J167" s="79">
        <f>'2월'!J44</f>
        <v>1</v>
      </c>
      <c r="K167" s="80">
        <f>'2월'!K44</f>
        <v>950000</v>
      </c>
      <c r="L167" s="80">
        <f>'2월'!L44</f>
        <v>950000</v>
      </c>
      <c r="M167" s="81">
        <f>'2월'!M44</f>
        <v>95000</v>
      </c>
      <c r="N167" s="81">
        <f>'2월'!N44</f>
        <v>1045000</v>
      </c>
      <c r="O167" s="52">
        <f>'2월'!O44</f>
        <v>500000</v>
      </c>
      <c r="P167" s="171" t="str">
        <f>'2월'!P44</f>
        <v>시스나인(4/25) 2,000,000(2/4회)</v>
      </c>
      <c r="Q167" s="181">
        <f>'2월'!Q44</f>
        <v>450000</v>
      </c>
      <c r="R167" s="2" t="str">
        <f>'2월'!R44</f>
        <v>완료(3/31)</v>
      </c>
      <c r="S167" s="5" t="str">
        <f>'2월'!S44</f>
        <v>이예지</v>
      </c>
      <c r="T167" s="11"/>
    </row>
    <row r="168" spans="1:20" ht="36">
      <c r="A168" t="s">
        <v>30</v>
      </c>
      <c r="B168" s="151" t="str">
        <f>'2월'!B45</f>
        <v>SM-24007</v>
      </c>
      <c r="C168" s="200"/>
      <c r="D168" s="78">
        <f>'2월'!D45</f>
        <v>45708</v>
      </c>
      <c r="E168" s="218" t="str">
        <f>'2월'!E45</f>
        <v>성대의료원</v>
      </c>
      <c r="F168" s="217"/>
      <c r="G168" s="167" t="str">
        <f>'2월'!G45</f>
        <v>MA</v>
      </c>
      <c r="H168" s="167" t="str">
        <f>'2월'!H45</f>
        <v>월간</v>
      </c>
      <c r="I168" s="168" t="str">
        <f>'2월'!I45</f>
        <v>2월 유지정비료 - 1/12회</v>
      </c>
      <c r="J168" s="79">
        <f>'2월'!J45</f>
        <v>1</v>
      </c>
      <c r="K168" s="80">
        <f>'2월'!K45</f>
        <v>1505000</v>
      </c>
      <c r="L168" s="80">
        <f>'2월'!L45</f>
        <v>1505000</v>
      </c>
      <c r="M168" s="81">
        <f>'2월'!M45</f>
        <v>150500</v>
      </c>
      <c r="N168" s="81">
        <f>'2월'!N45</f>
        <v>1655500</v>
      </c>
      <c r="O168" s="52">
        <f>'2월'!O45</f>
        <v>980000</v>
      </c>
      <c r="P168" s="171" t="str">
        <f>'2월'!P45</f>
        <v>다원씨앤에스(2/25) 200,000
DCSS(2/28) 80,000
시스나인(1/2) 2,100,000(1/3회)</v>
      </c>
      <c r="Q168" s="181">
        <f>'2월'!Q45</f>
        <v>525000</v>
      </c>
      <c r="R168" s="2" t="str">
        <f>'2월'!R45</f>
        <v>완료(3/28)</v>
      </c>
      <c r="S168" s="5" t="str">
        <f>'2월'!S45</f>
        <v>이예지</v>
      </c>
      <c r="T168" s="11"/>
    </row>
    <row r="169" spans="1:20" ht="24">
      <c r="A169" t="s">
        <v>30</v>
      </c>
      <c r="B169" s="151" t="str">
        <f>'2월'!B46</f>
        <v>SL-25003</v>
      </c>
      <c r="C169" s="199" t="str">
        <f>'2월'!C46</f>
        <v>SM_C25002</v>
      </c>
      <c r="D169" s="17">
        <f>'2월'!D46</f>
        <v>45712</v>
      </c>
      <c r="E169" s="1" t="str">
        <f>'2월'!E46</f>
        <v>씨원시스템</v>
      </c>
      <c r="F169" s="2" t="str">
        <f>'2월'!F46</f>
        <v>경기도보건환경연구원</v>
      </c>
      <c r="G169" s="2" t="str">
        <f>'2월'!G46</f>
        <v>MAPAC</v>
      </c>
      <c r="H169" s="2" t="str">
        <f>'2월'!H46</f>
        <v>연간-레노버</v>
      </c>
      <c r="I169" s="4" t="str">
        <f>'2월'!I46</f>
        <v>연간유지정비료(2025.02.23~2026.02.22)</v>
      </c>
      <c r="J169" s="23">
        <f>'2월'!J46</f>
        <v>1</v>
      </c>
      <c r="K169" s="27">
        <f>'2월'!K46</f>
        <v>1569000</v>
      </c>
      <c r="L169" s="26">
        <f>'2월'!L46</f>
        <v>1569000</v>
      </c>
      <c r="M169" s="27">
        <f>'2월'!M46</f>
        <v>156900</v>
      </c>
      <c r="N169" s="27">
        <f>'2월'!N46</f>
        <v>1725900</v>
      </c>
      <c r="O169" s="33">
        <f>'2월'!O46</f>
        <v>1530720</v>
      </c>
      <c r="P169" s="197" t="str">
        <f>'2월'!P46</f>
        <v>레노버(2/3)</v>
      </c>
      <c r="Q169" s="20">
        <f>'2월'!Q46</f>
        <v>38280</v>
      </c>
      <c r="R169" s="2" t="str">
        <f>'2월'!R46</f>
        <v>완료(4/30)</v>
      </c>
      <c r="S169" s="8" t="str">
        <f>'2월'!S46</f>
        <v>천범석</v>
      </c>
      <c r="T169" s="11"/>
    </row>
    <row r="170" spans="1:20">
      <c r="A170" t="s">
        <v>30</v>
      </c>
      <c r="B170" s="151" t="str">
        <f>'2월'!B131</f>
        <v>SL-25008</v>
      </c>
      <c r="C170" s="199" t="str">
        <f>'2월'!C131</f>
        <v>SM_C24007</v>
      </c>
      <c r="D170" s="17">
        <f>'2월'!D131</f>
        <v>45716</v>
      </c>
      <c r="E170" s="1" t="str">
        <f>'2월'!E131</f>
        <v>사이컴테크</v>
      </c>
      <c r="F170" s="2" t="str">
        <f>'2월'!F131</f>
        <v>애플코리아</v>
      </c>
      <c r="G170" s="2" t="str">
        <f>'2월'!G131</f>
        <v>WSU</v>
      </c>
      <c r="H170" s="2" t="str">
        <f>'2월'!H131</f>
        <v>연간-레노버</v>
      </c>
      <c r="I170" s="4" t="str">
        <f>'2월'!I131</f>
        <v>5Y WSU</v>
      </c>
      <c r="J170" s="23">
        <f>'2월'!J131</f>
        <v>1</v>
      </c>
      <c r="K170" s="27">
        <f>'2월'!K131</f>
        <v>13000000</v>
      </c>
      <c r="L170" s="26">
        <f>'2월'!L131</f>
        <v>13000000</v>
      </c>
      <c r="M170" s="27">
        <f>'2월'!M131</f>
        <v>1300000</v>
      </c>
      <c r="N170" s="27">
        <f>'2월'!N131</f>
        <v>14300000</v>
      </c>
      <c r="O170" s="33">
        <f>'2월'!O131</f>
        <v>6111828</v>
      </c>
      <c r="P170" s="197" t="str">
        <f>'2월'!P131</f>
        <v>레노버(2/19)</v>
      </c>
      <c r="Q170" s="20">
        <f>'2월'!Q131</f>
        <v>6888172</v>
      </c>
      <c r="R170" s="2" t="str">
        <f>'2월'!R131</f>
        <v>완료(4/11)</v>
      </c>
      <c r="S170" s="8" t="str">
        <f>'2월'!S131</f>
        <v>천범석</v>
      </c>
      <c r="T170" s="11"/>
    </row>
    <row r="171" spans="1:20">
      <c r="A171" t="s">
        <v>30</v>
      </c>
      <c r="B171" s="151" t="str">
        <f>'2월'!B47</f>
        <v>H250210-01</v>
      </c>
      <c r="C171" s="153"/>
      <c r="D171" s="17">
        <f>'2월'!D47</f>
        <v>45713</v>
      </c>
      <c r="E171" s="1" t="str">
        <f>'2월'!E47</f>
        <v>인코어</v>
      </c>
      <c r="F171" s="2"/>
      <c r="G171" s="2" t="str">
        <f>'2월'!G47</f>
        <v>상품</v>
      </c>
      <c r="H171" s="83" t="str">
        <f>'2월'!H47</f>
        <v>1P7DP</v>
      </c>
      <c r="I171" s="4" t="str">
        <f>'2월'!I47</f>
        <v>2TB 7.2K 6G SAS 3.5inch Hard Drive</v>
      </c>
      <c r="J171" s="23">
        <f>'2월'!J47</f>
        <v>1</v>
      </c>
      <c r="K171" s="27">
        <f>'2월'!K47</f>
        <v>180000</v>
      </c>
      <c r="L171" s="26">
        <f>'2월'!L47</f>
        <v>180000</v>
      </c>
      <c r="M171" s="27">
        <f>'2월'!M47</f>
        <v>18000</v>
      </c>
      <c r="N171" s="27">
        <f>'2월'!N47</f>
        <v>198000</v>
      </c>
      <c r="O171" s="33">
        <f>'2월'!O47</f>
        <v>120000</v>
      </c>
      <c r="P171" s="197" t="str">
        <f>'2월'!P47</f>
        <v>이비웨이브(2/10)</v>
      </c>
      <c r="Q171" s="20">
        <f>'2월'!Q47</f>
        <v>60000</v>
      </c>
      <c r="R171" s="2" t="str">
        <f>'2월'!R47</f>
        <v>완료(2/28)</v>
      </c>
      <c r="S171" s="8" t="str">
        <f>'2월'!S47</f>
        <v>천범석</v>
      </c>
      <c r="T171" s="11"/>
    </row>
    <row r="172" spans="1:20">
      <c r="B172" s="151" t="str">
        <f>'2월'!B48</f>
        <v>H250218-01</v>
      </c>
      <c r="C172" s="153"/>
      <c r="D172" s="17">
        <f>'2월'!D48</f>
        <v>45713</v>
      </c>
      <c r="E172" s="1" t="str">
        <f>'2월'!E48</f>
        <v>우리에스아이티</v>
      </c>
      <c r="F172" s="2"/>
      <c r="G172" s="2" t="str">
        <f>'2월'!G48</f>
        <v>상품</v>
      </c>
      <c r="H172" s="83" t="str">
        <f>'2월'!H48</f>
        <v xml:space="preserve">00AJ122 </v>
      </c>
      <c r="I172" s="4" t="str">
        <f>'2월'!I48</f>
        <v>500GB 7.2K 6G NL SAS 2.5inch Hard Drive 1/21 지원</v>
      </c>
      <c r="J172" s="23">
        <f>'2월'!J48</f>
        <v>1</v>
      </c>
      <c r="K172" s="27">
        <f>'2월'!K48</f>
        <v>220000</v>
      </c>
      <c r="L172" s="26">
        <f>'2월'!L48</f>
        <v>220000</v>
      </c>
      <c r="M172" s="27">
        <f>'2월'!M48</f>
        <v>22000</v>
      </c>
      <c r="N172" s="27">
        <f>'2월'!N48</f>
        <v>242000</v>
      </c>
      <c r="O172" s="33">
        <f>'2월'!O48</f>
        <v>153800</v>
      </c>
      <c r="P172" s="197" t="str">
        <f>'2월'!P48</f>
        <v>이비웨이브(3/1) 로젠택배(2/28) 3,800</v>
      </c>
      <c r="Q172" s="20">
        <f>'2월'!Q48</f>
        <v>66200</v>
      </c>
      <c r="R172" s="2" t="str">
        <f>'2월'!R48</f>
        <v>완료(3/31)</v>
      </c>
      <c r="S172" s="8" t="str">
        <f>'2월'!S48</f>
        <v>천범석</v>
      </c>
      <c r="T172" s="11"/>
    </row>
    <row r="173" spans="1:20">
      <c r="B173" s="151" t="str">
        <f>'2월'!B49</f>
        <v>H250219-01</v>
      </c>
      <c r="C173" s="153"/>
      <c r="D173" s="17">
        <f>'2월'!D49</f>
        <v>45713</v>
      </c>
      <c r="E173" s="214" t="str">
        <f>'2월'!E49</f>
        <v>일원병원</v>
      </c>
      <c r="F173" s="214" t="str">
        <f>'2월'!F49</f>
        <v>묵동</v>
      </c>
      <c r="G173" s="2" t="str">
        <f>'2월'!G49</f>
        <v>상품</v>
      </c>
      <c r="H173" s="83" t="str">
        <f>'2월'!H49</f>
        <v xml:space="preserve">293048-B21 </v>
      </c>
      <c r="I173" s="4" t="str">
        <f>'2월'!I49</f>
        <v>60x38mm Hot-Plug Fan Proliant DL380G4</v>
      </c>
      <c r="J173" s="23">
        <f>'2월'!J49</f>
        <v>2</v>
      </c>
      <c r="K173" s="27">
        <f>'2월'!K49</f>
        <v>70000</v>
      </c>
      <c r="L173" s="26">
        <f>'2월'!L49</f>
        <v>140000</v>
      </c>
      <c r="M173" s="27">
        <f>'2월'!M49</f>
        <v>14000</v>
      </c>
      <c r="N173" s="27">
        <f>'2월'!N49</f>
        <v>154000</v>
      </c>
      <c r="O173" s="33">
        <f>'2월'!O49</f>
        <v>80000</v>
      </c>
      <c r="P173" s="197" t="str">
        <f>'2월'!P49</f>
        <v>이비웨이브(2/19)</v>
      </c>
      <c r="Q173" s="20">
        <f>'2월'!Q49</f>
        <v>60000</v>
      </c>
      <c r="R173" s="68" t="str">
        <f>'2월'!R49</f>
        <v>완료(3/20)</v>
      </c>
      <c r="S173" s="8" t="str">
        <f>'2월'!S49</f>
        <v>천범석</v>
      </c>
      <c r="T173" s="11"/>
    </row>
    <row r="174" spans="1:20">
      <c r="A174" t="s">
        <v>30</v>
      </c>
      <c r="B174" s="151" t="str">
        <f>'2월'!B50</f>
        <v>SM-20023</v>
      </c>
      <c r="C174" s="200"/>
      <c r="D174" s="17">
        <f>'2월'!D50</f>
        <v>45713</v>
      </c>
      <c r="E174" s="214" t="str">
        <f>'2월'!E50</f>
        <v>비씨엠정보통신</v>
      </c>
      <c r="F174" s="189" t="str">
        <f>'2월'!F50</f>
        <v>꼬망스</v>
      </c>
      <c r="G174" s="161" t="str">
        <f>'2월'!G50</f>
        <v>MA</v>
      </c>
      <c r="H174" s="161" t="str">
        <f>'2월'!H50</f>
        <v>월간</v>
      </c>
      <c r="I174" s="163" t="str">
        <f>'2월'!I50</f>
        <v>2월 유지정비료 - 6/12회</v>
      </c>
      <c r="J174" s="24">
        <f>'2월'!J50</f>
        <v>1</v>
      </c>
      <c r="K174" s="26">
        <f>'2월'!K50</f>
        <v>320000</v>
      </c>
      <c r="L174" s="26">
        <f>'2월'!L50</f>
        <v>320000</v>
      </c>
      <c r="M174" s="27">
        <f>'2월'!M50</f>
        <v>32000</v>
      </c>
      <c r="N174" s="27">
        <f>'2월'!N50</f>
        <v>352000</v>
      </c>
      <c r="O174" s="33">
        <f>'2월'!O50</f>
        <v>150000</v>
      </c>
      <c r="P174" s="171" t="str">
        <f>'2월'!P50</f>
        <v>시스나인(25/3/4) 연간 1,800,000(6/12회)</v>
      </c>
      <c r="Q174" s="181">
        <f>'2월'!Q50</f>
        <v>170000</v>
      </c>
      <c r="R174" s="68" t="str">
        <f>'2월'!R50</f>
        <v>완료(3/31)</v>
      </c>
      <c r="S174" s="5" t="str">
        <f>'2월'!S50</f>
        <v>천범석</v>
      </c>
      <c r="T174" s="11"/>
    </row>
    <row r="175" spans="1:20">
      <c r="A175" t="s">
        <v>30</v>
      </c>
      <c r="B175" s="151" t="str">
        <f>'2월'!B51</f>
        <v>SM-23026</v>
      </c>
      <c r="C175" s="199"/>
      <c r="D175" s="17">
        <f>'2월'!D51</f>
        <v>45713</v>
      </c>
      <c r="E175" s="214" t="str">
        <f>'2월'!E51</f>
        <v>한국도자기협회</v>
      </c>
      <c r="F175" s="215"/>
      <c r="G175" s="1" t="str">
        <f>'2월'!G51</f>
        <v>MA</v>
      </c>
      <c r="H175" s="2" t="str">
        <f>'2월'!H51</f>
        <v>월간</v>
      </c>
      <c r="I175" s="163" t="str">
        <f>'2월'!I51</f>
        <v>2월 유지정비료 - 7/12회</v>
      </c>
      <c r="J175" s="76">
        <f>'2월'!J51</f>
        <v>1</v>
      </c>
      <c r="K175" s="48">
        <f>'2월'!K51</f>
        <v>1216000</v>
      </c>
      <c r="L175" s="26">
        <f>'2월'!L51</f>
        <v>2446000</v>
      </c>
      <c r="M175" s="27">
        <f>'2월'!M51</f>
        <v>244600</v>
      </c>
      <c r="N175" s="27">
        <f>'2월'!N51</f>
        <v>2690600</v>
      </c>
      <c r="O175" s="52">
        <f>'2월'!O51</f>
        <v>1435000</v>
      </c>
      <c r="P175" s="171" t="str">
        <f>'2월'!P51</f>
        <v>현성솔루션(2/28) 840,000</v>
      </c>
      <c r="Q175" s="181">
        <f>'2월'!Q51</f>
        <v>1011000</v>
      </c>
      <c r="R175" s="68" t="str">
        <f>'2월'!R51</f>
        <v>완료(3/10)</v>
      </c>
      <c r="S175" s="8" t="str">
        <f>'2월'!S51</f>
        <v>홍승민</v>
      </c>
      <c r="T175" s="11"/>
    </row>
    <row r="176" spans="1:20">
      <c r="A176" t="s">
        <v>30</v>
      </c>
      <c r="B176" s="151" t="str">
        <f>'2월'!B52</f>
        <v>SM-24012</v>
      </c>
      <c r="C176" s="201"/>
      <c r="D176" s="43"/>
      <c r="E176" s="219" t="str">
        <f>'2월'!E52</f>
        <v>한국도자기협회</v>
      </c>
      <c r="F176" s="220"/>
      <c r="G176" s="1" t="str">
        <f>'2월'!G52</f>
        <v>MA</v>
      </c>
      <c r="H176" s="2" t="str">
        <f>'2월'!H52</f>
        <v>월간</v>
      </c>
      <c r="I176" s="163" t="str">
        <f>'2월'!I52</f>
        <v>2월 유지정비료 - 10/12회</v>
      </c>
      <c r="J176" s="76">
        <f>'2월'!J52</f>
        <v>1</v>
      </c>
      <c r="K176" s="48">
        <f>'2월'!K52</f>
        <v>390000</v>
      </c>
      <c r="L176" s="38"/>
      <c r="M176" s="38"/>
      <c r="N176" s="38"/>
      <c r="O176" s="84"/>
      <c r="P176" s="240"/>
      <c r="Q176" s="184"/>
      <c r="R176" s="46"/>
      <c r="S176" s="42"/>
      <c r="T176" s="133"/>
    </row>
    <row r="177" spans="1:21">
      <c r="A177" t="s">
        <v>30</v>
      </c>
      <c r="B177" s="151" t="str">
        <f>'2월'!B53</f>
        <v>SM-23025</v>
      </c>
      <c r="C177" s="201"/>
      <c r="D177" s="43"/>
      <c r="E177" s="219" t="str">
        <f>'2월'!E53</f>
        <v>한국도자기협회</v>
      </c>
      <c r="F177" s="220"/>
      <c r="G177" s="1" t="str">
        <f>'2월'!G53</f>
        <v>MA</v>
      </c>
      <c r="H177" s="2" t="str">
        <f>'2월'!H53</f>
        <v>월간</v>
      </c>
      <c r="I177" s="3" t="str">
        <f>'2월'!I53</f>
        <v>이메일 보안 및 호스팅 2월 - 7/12회</v>
      </c>
      <c r="J177" s="76">
        <f>'2월'!J53</f>
        <v>70</v>
      </c>
      <c r="K177" s="48">
        <f>'2월'!K53</f>
        <v>12000</v>
      </c>
      <c r="L177" s="38"/>
      <c r="M177" s="38"/>
      <c r="N177" s="38"/>
      <c r="O177" s="84"/>
      <c r="P177" s="171" t="str">
        <f>'2월'!P53</f>
        <v>현성솔루션(2/28) 595,000</v>
      </c>
      <c r="Q177" s="184"/>
      <c r="R177" s="46"/>
      <c r="S177" s="42"/>
      <c r="T177" s="133"/>
    </row>
    <row r="178" spans="1:21" ht="24">
      <c r="A178" t="s">
        <v>30</v>
      </c>
      <c r="B178" s="151" t="str">
        <f>'2월'!B54</f>
        <v>LI-24007</v>
      </c>
      <c r="C178" s="200" t="str">
        <f>'2월'!C54</f>
        <v>C24009</v>
      </c>
      <c r="D178" s="17">
        <f>'2월'!D54</f>
        <v>45713</v>
      </c>
      <c r="E178" s="214" t="str">
        <f>'2월'!E54</f>
        <v>유더블유에스</v>
      </c>
      <c r="F178" s="215" t="str">
        <f>'2월'!F54</f>
        <v>두원정공</v>
      </c>
      <c r="G178" s="161" t="str">
        <f>'2월'!G54</f>
        <v>MA</v>
      </c>
      <c r="H178" s="161" t="str">
        <f>'2월'!H54</f>
        <v>월간</v>
      </c>
      <c r="I178" s="3" t="str">
        <f>'2월'!I54</f>
        <v>2월 유지정비료 - 8/12회</v>
      </c>
      <c r="J178" s="73">
        <f>'2월'!J54</f>
        <v>1</v>
      </c>
      <c r="K178" s="26">
        <f>'2월'!K54</f>
        <v>168000</v>
      </c>
      <c r="L178" s="26">
        <f>'2월'!L54</f>
        <v>168000</v>
      </c>
      <c r="M178" s="27">
        <f>'2월'!M54</f>
        <v>16800</v>
      </c>
      <c r="N178" s="27">
        <f>'2월'!N54</f>
        <v>184800</v>
      </c>
      <c r="O178" s="52">
        <f>'2월'!O54</f>
        <v>120613.33333333334</v>
      </c>
      <c r="P178" s="171" t="str">
        <f>'2월'!P54</f>
        <v>레노버(24/7/8)연간 (8/12회) 485,440
IBM(2/3) 80,160</v>
      </c>
      <c r="Q178" s="183">
        <f>'2월'!Q54</f>
        <v>47386.666666666657</v>
      </c>
      <c r="R178" s="68" t="str">
        <f>'2월'!R54</f>
        <v>완료(3/31)</v>
      </c>
      <c r="S178" s="5" t="str">
        <f>'2월'!S54</f>
        <v>천범석</v>
      </c>
      <c r="T178" s="11"/>
    </row>
    <row r="179" spans="1:21">
      <c r="A179" t="s">
        <v>30</v>
      </c>
      <c r="B179" s="151" t="str">
        <f>'2월'!B55</f>
        <v>IK-24007</v>
      </c>
      <c r="C179" s="200"/>
      <c r="D179" s="17">
        <f>'2월'!D55</f>
        <v>45713</v>
      </c>
      <c r="E179" s="214" t="str">
        <f>'2월'!E55</f>
        <v>로보츠</v>
      </c>
      <c r="F179" s="189" t="str">
        <f>'2월'!F55</f>
        <v>도시바일렉트로닉스</v>
      </c>
      <c r="G179" s="161" t="str">
        <f>'2월'!G55</f>
        <v>MA</v>
      </c>
      <c r="H179" s="161" t="str">
        <f>'2월'!H55</f>
        <v>월간-IBM</v>
      </c>
      <c r="I179" s="163" t="str">
        <f>'2월'!I55</f>
        <v>2월 유지정비료 - 8/12회</v>
      </c>
      <c r="J179" s="24">
        <f>'2월'!J55</f>
        <v>1</v>
      </c>
      <c r="K179" s="26">
        <f>'2월'!K55</f>
        <v>115000</v>
      </c>
      <c r="L179" s="26">
        <f>'2월'!L55</f>
        <v>115000</v>
      </c>
      <c r="M179" s="27">
        <f>'2월'!M55</f>
        <v>11500</v>
      </c>
      <c r="N179" s="27">
        <f>'2월'!N55</f>
        <v>126500</v>
      </c>
      <c r="O179" s="52">
        <f>'2월'!O55</f>
        <v>66498</v>
      </c>
      <c r="P179" s="171" t="str">
        <f>'2월'!P55</f>
        <v>IBM(2/3)</v>
      </c>
      <c r="Q179" s="181">
        <f>'2월'!Q55</f>
        <v>48502</v>
      </c>
      <c r="R179" s="68" t="str">
        <f>'2월'!R55</f>
        <v>완료(3/25)</v>
      </c>
      <c r="S179" s="5" t="str">
        <f>'2월'!S55</f>
        <v>천범석</v>
      </c>
      <c r="T179" s="11"/>
    </row>
    <row r="180" spans="1:21" ht="36">
      <c r="A180" t="s">
        <v>30</v>
      </c>
      <c r="B180" s="151" t="str">
        <f>'2월'!B56</f>
        <v>IK-24011</v>
      </c>
      <c r="C180" s="199"/>
      <c r="D180" s="17">
        <f>'2월'!D56</f>
        <v>45713</v>
      </c>
      <c r="E180" s="214" t="str">
        <f>'2월'!E56</f>
        <v>로보츠</v>
      </c>
      <c r="F180" s="215" t="str">
        <f>'2월'!F56</f>
        <v>키오시아</v>
      </c>
      <c r="G180" s="161" t="str">
        <f>'2월'!G56</f>
        <v>MA</v>
      </c>
      <c r="H180" s="161" t="str">
        <f>'2월'!H56</f>
        <v>월간-IBM</v>
      </c>
      <c r="I180" s="164" t="str">
        <f>'2월'!I56</f>
        <v>2월 유지정비료 - 3/12회</v>
      </c>
      <c r="J180" s="34">
        <f>'2월'!J56</f>
        <v>1</v>
      </c>
      <c r="K180" s="48">
        <f>'2월'!K56</f>
        <v>350000</v>
      </c>
      <c r="L180" s="26">
        <f>'2월'!L56</f>
        <v>350000</v>
      </c>
      <c r="M180" s="27">
        <f>'2월'!M56</f>
        <v>35000</v>
      </c>
      <c r="N180" s="27">
        <f>'2월'!N56</f>
        <v>385000</v>
      </c>
      <c r="O180" s="52">
        <f>'2월'!O56</f>
        <v>287383.33333333331</v>
      </c>
      <c r="P180" s="171" t="str">
        <f>'2월'!P56</f>
        <v>IBM(2/3) 133,875
DCSS (2/28) 70,180
시스나인(11/3) 1,000,000 (3/12)</v>
      </c>
      <c r="Q180" s="181">
        <f>'2월'!Q56</f>
        <v>62616.666666666686</v>
      </c>
      <c r="R180" s="68" t="str">
        <f>'2월'!R56</f>
        <v>완료(3/25)</v>
      </c>
      <c r="S180" s="8" t="str">
        <f>'2월'!S56</f>
        <v>천범석</v>
      </c>
      <c r="T180" s="11"/>
    </row>
    <row r="181" spans="1:21" ht="24">
      <c r="A181" t="s">
        <v>30</v>
      </c>
      <c r="B181" s="151" t="str">
        <f>'2월'!B57</f>
        <v>IK-24014</v>
      </c>
      <c r="C181" s="199"/>
      <c r="D181" s="17">
        <f>'2월'!D57</f>
        <v>45713</v>
      </c>
      <c r="E181" s="214" t="str">
        <f>'2월'!E57</f>
        <v>로보츠</v>
      </c>
      <c r="F181" s="215" t="str">
        <f>'2월'!F57</f>
        <v>와이케이케이코리아</v>
      </c>
      <c r="G181" s="161" t="str">
        <f>'2월'!G57</f>
        <v>MA</v>
      </c>
      <c r="H181" s="161" t="str">
        <f>'2월'!H57</f>
        <v>월간-IBM</v>
      </c>
      <c r="I181" s="164" t="str">
        <f>'2월'!I57</f>
        <v>2월 유지정비료 - 2/12회</v>
      </c>
      <c r="J181" s="34">
        <f>'2월'!J57</f>
        <v>1</v>
      </c>
      <c r="K181" s="48">
        <f>'2월'!K57</f>
        <v>644000</v>
      </c>
      <c r="L181" s="26">
        <f>'2월'!L57</f>
        <v>644000</v>
      </c>
      <c r="M181" s="27">
        <f>'2월'!M57</f>
        <v>64400</v>
      </c>
      <c r="N181" s="27">
        <f>'2월'!N57</f>
        <v>708400</v>
      </c>
      <c r="O181" s="52">
        <f>'2월'!O57</f>
        <v>429496</v>
      </c>
      <c r="P181" s="171" t="str">
        <f>'2월'!P57</f>
        <v>IBM(2/3) 79,496
시스나인(11/3) 4,200,000 (2/12회)</v>
      </c>
      <c r="Q181" s="181">
        <f>'2월'!Q57</f>
        <v>214504</v>
      </c>
      <c r="R181" s="68" t="str">
        <f>'2월'!R57</f>
        <v>완료(3/25)</v>
      </c>
      <c r="S181" s="8" t="str">
        <f>'2월'!S57</f>
        <v>천범석</v>
      </c>
      <c r="T181" s="11"/>
    </row>
    <row r="182" spans="1:21">
      <c r="A182" t="s">
        <v>30</v>
      </c>
      <c r="B182" s="151" t="str">
        <f>'2월'!B58</f>
        <v>SM-21021</v>
      </c>
      <c r="C182" s="200"/>
      <c r="D182" s="17">
        <f>'2월'!D58</f>
        <v>45713</v>
      </c>
      <c r="E182" s="214" t="str">
        <f>'2월'!E58</f>
        <v>바른시스템</v>
      </c>
      <c r="F182" s="189"/>
      <c r="G182" s="161" t="str">
        <f>'2월'!G58</f>
        <v>MA</v>
      </c>
      <c r="H182" s="161" t="str">
        <f>'2월'!H58</f>
        <v>월간</v>
      </c>
      <c r="I182" s="163" t="str">
        <f>'2월'!I58</f>
        <v>2월 유지정비료 - 12/12회</v>
      </c>
      <c r="J182" s="24">
        <f>'2월'!J58</f>
        <v>1</v>
      </c>
      <c r="K182" s="26">
        <f>'2월'!K58</f>
        <v>305000</v>
      </c>
      <c r="L182" s="26">
        <f>'2월'!L58</f>
        <v>305000</v>
      </c>
      <c r="M182" s="27">
        <f>'2월'!M58</f>
        <v>30500</v>
      </c>
      <c r="N182" s="27">
        <f>'2월'!N58</f>
        <v>335500</v>
      </c>
      <c r="O182" s="52">
        <f>'2월'!O58</f>
        <v>84811</v>
      </c>
      <c r="P182" s="171" t="str">
        <f>'2월'!P58</f>
        <v>아이비엠(2/3)</v>
      </c>
      <c r="Q182" s="181">
        <f>'2월'!Q58</f>
        <v>220189</v>
      </c>
      <c r="R182" s="68" t="str">
        <f>'2월'!R58</f>
        <v>완료(2/28)</v>
      </c>
      <c r="S182" s="5" t="str">
        <f>'2월'!S58</f>
        <v>홍승민</v>
      </c>
      <c r="T182" s="11"/>
    </row>
    <row r="183" spans="1:21">
      <c r="A183" t="s">
        <v>30</v>
      </c>
      <c r="B183" s="151" t="str">
        <f>'2월'!B59</f>
        <v>LI-24006</v>
      </c>
      <c r="C183" s="199"/>
      <c r="D183" s="17">
        <f>'2월'!D59</f>
        <v>45713</v>
      </c>
      <c r="E183" s="214" t="str">
        <f>'2월'!E59</f>
        <v>보해양조</v>
      </c>
      <c r="F183" s="215"/>
      <c r="G183" s="2" t="str">
        <f>'2월'!G59</f>
        <v>MA</v>
      </c>
      <c r="H183" s="161" t="str">
        <f>'2월'!H59</f>
        <v>월간-IBM</v>
      </c>
      <c r="I183" s="4" t="str">
        <f>'2월'!I59</f>
        <v>2월 유지정비료 - 8/12회</v>
      </c>
      <c r="J183" s="23">
        <f>'2월'!J59</f>
        <v>1</v>
      </c>
      <c r="K183" s="27">
        <f>'2월'!K59</f>
        <v>668000</v>
      </c>
      <c r="L183" s="26">
        <f>'2월'!L59</f>
        <v>668000</v>
      </c>
      <c r="M183" s="27">
        <f>'2월'!M59</f>
        <v>66800</v>
      </c>
      <c r="N183" s="27">
        <f>'2월'!N59</f>
        <v>734800</v>
      </c>
      <c r="O183" s="72">
        <f>'2월'!O59</f>
        <v>420400</v>
      </c>
      <c r="P183" s="223" t="str">
        <f>'2월'!P59</f>
        <v>IBM(2/3) 142,800   (2/1)277,600</v>
      </c>
      <c r="Q183" s="181">
        <f>'2월'!Q59</f>
        <v>247600</v>
      </c>
      <c r="R183" s="68" t="str">
        <f>'2월'!R59</f>
        <v>완료(3/17)</v>
      </c>
      <c r="S183" s="8" t="str">
        <f>'2월'!S59</f>
        <v>천범석</v>
      </c>
      <c r="T183" s="11"/>
    </row>
    <row r="184" spans="1:21" ht="48">
      <c r="A184" t="s">
        <v>30</v>
      </c>
      <c r="B184" s="151" t="str">
        <f>'2월'!B60</f>
        <v>SM-24024</v>
      </c>
      <c r="C184" s="199"/>
      <c r="D184" s="17">
        <f>'2월'!D60</f>
        <v>45713</v>
      </c>
      <c r="E184" s="214" t="str">
        <f>'2월'!E60</f>
        <v>일원병원</v>
      </c>
      <c r="F184" s="214" t="str">
        <f>'2월'!F60</f>
        <v>묵동</v>
      </c>
      <c r="G184" s="161" t="str">
        <f>'2월'!G60</f>
        <v>MA</v>
      </c>
      <c r="H184" s="161" t="str">
        <f>'2월'!H60</f>
        <v>월간</v>
      </c>
      <c r="I184" s="163" t="str">
        <f>'2월'!I60</f>
        <v>2월 유지정비료 - 3/12회</v>
      </c>
      <c r="J184" s="24">
        <f>'2월'!J60</f>
        <v>1</v>
      </c>
      <c r="K184" s="26">
        <f>'2월'!K60</f>
        <v>500000</v>
      </c>
      <c r="L184" s="26">
        <f>'2월'!L60</f>
        <v>500000</v>
      </c>
      <c r="M184" s="27">
        <f>'2월'!M60</f>
        <v>50000</v>
      </c>
      <c r="N184" s="27">
        <f>'2월'!N60</f>
        <v>550000</v>
      </c>
      <c r="O184" s="52">
        <f>'2월'!O60</f>
        <v>120600</v>
      </c>
      <c r="P184" s="171" t="str">
        <f>'2월'!P60</f>
        <v>시스나인(4/25) 반기 600,000 (3/6회)
DCSS(2/28) 20,600</v>
      </c>
      <c r="Q184" s="181">
        <f>'2월'!Q60</f>
        <v>379400</v>
      </c>
      <c r="R184" s="68" t="str">
        <f>'2월'!R60</f>
        <v>완료(3/28) 418,000
(2/27) 132,000</v>
      </c>
      <c r="S184" s="5" t="str">
        <f>'2월'!S60</f>
        <v>천범석</v>
      </c>
      <c r="T184" s="11"/>
    </row>
    <row r="185" spans="1:21">
      <c r="A185" t="s">
        <v>30</v>
      </c>
      <c r="B185" s="151" t="str">
        <f>'2월'!B61</f>
        <v>SM-25005</v>
      </c>
      <c r="C185" s="199"/>
      <c r="D185" s="17">
        <f>'2월'!D61</f>
        <v>45713</v>
      </c>
      <c r="E185" s="221" t="str">
        <f>'2월'!E61</f>
        <v>고영</v>
      </c>
      <c r="F185" s="215"/>
      <c r="G185" s="161" t="str">
        <f>'2월'!G61</f>
        <v>MA</v>
      </c>
      <c r="H185" s="161" t="str">
        <f>'2월'!H61</f>
        <v>월간</v>
      </c>
      <c r="I185" s="163" t="str">
        <f>'2월'!I61</f>
        <v>2월 유지정비료 - 2/12회</v>
      </c>
      <c r="J185" s="23">
        <f>'2월'!J61</f>
        <v>1</v>
      </c>
      <c r="K185" s="27">
        <f>'2월'!K61</f>
        <v>1400000</v>
      </c>
      <c r="L185" s="26">
        <f>'2월'!L61</f>
        <v>1400000</v>
      </c>
      <c r="M185" s="27">
        <f>'2월'!M61</f>
        <v>140000</v>
      </c>
      <c r="N185" s="27">
        <f>'2월'!N61</f>
        <v>1540000</v>
      </c>
      <c r="O185" s="52">
        <f>'2월'!O61</f>
        <v>500000</v>
      </c>
      <c r="P185" s="171" t="str">
        <f>'2월'!P61</f>
        <v>시스나인(25/3/4) 분기 1,500,000 (2/3회)</v>
      </c>
      <c r="Q185" s="181">
        <f>'2월'!Q61</f>
        <v>900000</v>
      </c>
      <c r="R185" s="68" t="str">
        <f>'2월'!R61</f>
        <v>완료(3/21)</v>
      </c>
      <c r="S185" s="8" t="str">
        <f>'2월'!S61</f>
        <v>홍승민</v>
      </c>
      <c r="T185" s="11"/>
      <c r="U185" s="121">
        <f>Q185/L185</f>
        <v>0.6428571428571429</v>
      </c>
    </row>
    <row r="186" spans="1:21">
      <c r="A186" t="s">
        <v>30</v>
      </c>
      <c r="B186" s="151" t="str">
        <f>'2월'!B62</f>
        <v>Y250116-01</v>
      </c>
      <c r="C186" s="153"/>
      <c r="D186" s="17">
        <f>'2월'!D62</f>
        <v>45715</v>
      </c>
      <c r="E186" s="1" t="str">
        <f>'2월'!E62</f>
        <v>제트컨버터</v>
      </c>
      <c r="F186" s="2"/>
      <c r="G186" s="2" t="str">
        <f>'2월'!G62</f>
        <v>상품</v>
      </c>
      <c r="H186" s="83" t="str">
        <f>'2월'!H62</f>
        <v>서버</v>
      </c>
      <c r="I186" s="4" t="str">
        <f>'2월'!I62</f>
        <v>HPE DL360Gen10</v>
      </c>
      <c r="J186" s="23">
        <f>'2월'!J62</f>
        <v>1</v>
      </c>
      <c r="K186" s="27">
        <f>'2월'!K62</f>
        <v>7200000</v>
      </c>
      <c r="L186" s="26">
        <f>'2월'!L62</f>
        <v>7200000</v>
      </c>
      <c r="M186" s="27">
        <f>'2월'!M62</f>
        <v>720000</v>
      </c>
      <c r="N186" s="27">
        <f>'2월'!N62</f>
        <v>7920000</v>
      </c>
      <c r="O186" s="33">
        <f>'2월'!O62</f>
        <v>4400000</v>
      </c>
      <c r="P186" s="197" t="str">
        <f>'2월'!P62</f>
        <v>위퍼스트(1/20)</v>
      </c>
      <c r="Q186" s="20">
        <f>'2월'!Q62</f>
        <v>2800000</v>
      </c>
      <c r="R186" s="68" t="str">
        <f>'2월'!R62</f>
        <v>완료(5/22)</v>
      </c>
      <c r="S186" s="8" t="str">
        <f>'2월'!S62</f>
        <v>홍승민</v>
      </c>
      <c r="T186" s="11"/>
    </row>
    <row r="187" spans="1:21" ht="24">
      <c r="A187" t="s">
        <v>30</v>
      </c>
      <c r="B187" s="151" t="str">
        <f>'2월'!B63</f>
        <v>Y250117-01</v>
      </c>
      <c r="C187" s="153"/>
      <c r="D187" s="17">
        <f>'2월'!D63</f>
        <v>45715</v>
      </c>
      <c r="E187" s="1" t="str">
        <f>'2월'!E63</f>
        <v>에스엔유정보기술</v>
      </c>
      <c r="F187" s="2" t="str">
        <f>'2월'!F63</f>
        <v>광명시청</v>
      </c>
      <c r="G187" s="2" t="str">
        <f>'2월'!G63</f>
        <v>상품</v>
      </c>
      <c r="H187" s="83" t="str">
        <f>'2월'!H63</f>
        <v>OS</v>
      </c>
      <c r="I187" s="4" t="str">
        <f>'2월'!I63</f>
        <v xml:space="preserve">Windows Server 2022 Standard (DSP/16core/64bit/CAL미포함16 core) </v>
      </c>
      <c r="J187" s="23">
        <f>'2월'!J63</f>
        <v>1</v>
      </c>
      <c r="K187" s="27">
        <f>'2월'!K63</f>
        <v>1200000</v>
      </c>
      <c r="L187" s="26">
        <f>'2월'!L63</f>
        <v>1200000</v>
      </c>
      <c r="M187" s="27">
        <f>'2월'!M63</f>
        <v>120000</v>
      </c>
      <c r="N187" s="27">
        <f>'2월'!N63</f>
        <v>1320000</v>
      </c>
      <c r="O187" s="33">
        <f>'2월'!O63</f>
        <v>1096609</v>
      </c>
      <c r="P187" s="197" t="str">
        <f>'2월'!P63</f>
        <v>컴퓨존(1/17)</v>
      </c>
      <c r="Q187" s="20">
        <f>'2월'!Q63</f>
        <v>103391</v>
      </c>
      <c r="R187" s="68" t="str">
        <f>'2월'!R63</f>
        <v>완료(3/31)</v>
      </c>
      <c r="S187" s="8" t="str">
        <f>'2월'!S63</f>
        <v>홍승민</v>
      </c>
      <c r="T187" s="11"/>
    </row>
    <row r="188" spans="1:21" ht="24">
      <c r="A188" t="s">
        <v>30</v>
      </c>
      <c r="B188" s="151" t="str">
        <f>'2월'!B64</f>
        <v>Y250123-01</v>
      </c>
      <c r="C188" s="153"/>
      <c r="D188" s="17">
        <f>'2월'!D64</f>
        <v>45715</v>
      </c>
      <c r="E188" s="1" t="str">
        <f>'2월'!E64</f>
        <v>온더보드</v>
      </c>
      <c r="F188" s="2" t="str">
        <f>'2월'!F64</f>
        <v>한국경영혁신중소기업협회</v>
      </c>
      <c r="G188" s="2" t="str">
        <f>'2월'!G64</f>
        <v>상품</v>
      </c>
      <c r="H188" s="83" t="str">
        <f>'2월'!H64</f>
        <v>서버</v>
      </c>
      <c r="I188" s="4" t="str">
        <f>'2월'!I64</f>
        <v>Lenovo ThinkSystem SR250v2</v>
      </c>
      <c r="J188" s="23">
        <f>'2월'!J64</f>
        <v>1</v>
      </c>
      <c r="K188" s="27">
        <f>'2월'!K64</f>
        <v>3500000</v>
      </c>
      <c r="L188" s="26">
        <f>'2월'!L64</f>
        <v>3500000</v>
      </c>
      <c r="M188" s="27">
        <f>'2월'!M64</f>
        <v>350000</v>
      </c>
      <c r="N188" s="27">
        <f>'2월'!N64</f>
        <v>3850000</v>
      </c>
      <c r="O188" s="33">
        <f>'2월'!O64</f>
        <v>2975000</v>
      </c>
      <c r="P188" s="197" t="str">
        <f>'2월'!P64</f>
        <v>이룸에스앤앤(2/21)
우림퀵(2/28) 25,000</v>
      </c>
      <c r="Q188" s="20">
        <f>'2월'!Q64</f>
        <v>525000</v>
      </c>
      <c r="R188" s="68" t="str">
        <f>'2월'!R64</f>
        <v>완료(3/31)</v>
      </c>
      <c r="S188" s="8" t="str">
        <f>'2월'!S64</f>
        <v>홍승민</v>
      </c>
      <c r="T188" s="11"/>
    </row>
    <row r="189" spans="1:21" ht="24">
      <c r="A189" t="s">
        <v>30</v>
      </c>
      <c r="B189" s="151" t="str">
        <f>'2월'!B65</f>
        <v>Y250124-01</v>
      </c>
      <c r="C189" s="153"/>
      <c r="D189" s="17">
        <f>'2월'!D65</f>
        <v>45715</v>
      </c>
      <c r="E189" s="1" t="str">
        <f>'2월'!E65</f>
        <v>코드정보</v>
      </c>
      <c r="F189" s="2" t="str">
        <f>'2월'!F65</f>
        <v>LG헬로비전</v>
      </c>
      <c r="G189" s="2" t="str">
        <f>'2월'!G65</f>
        <v>상품</v>
      </c>
      <c r="H189" s="83" t="str">
        <f>'2월'!H65</f>
        <v>90Y8878(USED)</v>
      </c>
      <c r="I189" s="4" t="str">
        <f>'2월'!I65</f>
        <v>300G 10K 6GB SAS 2.5</v>
      </c>
      <c r="J189" s="23">
        <f>'2월'!J65</f>
        <v>2</v>
      </c>
      <c r="K189" s="27">
        <f>'2월'!K65</f>
        <v>120000</v>
      </c>
      <c r="L189" s="26">
        <f>'2월'!L65</f>
        <v>240000</v>
      </c>
      <c r="M189" s="27">
        <f>'2월'!M65</f>
        <v>24000</v>
      </c>
      <c r="N189" s="27">
        <f>'2월'!N65</f>
        <v>264000</v>
      </c>
      <c r="O189" s="33">
        <f>'2월'!O65</f>
        <v>20000</v>
      </c>
      <c r="P189" s="197" t="str">
        <f>'2월'!P65</f>
        <v>삼표매입 우림퀵(1/31) 20,000</v>
      </c>
      <c r="Q189" s="20">
        <f>'2월'!Q65</f>
        <v>220000</v>
      </c>
      <c r="R189" s="68" t="str">
        <f>'2월'!R65</f>
        <v>완료(5/30)</v>
      </c>
      <c r="S189" s="8" t="str">
        <f>'2월'!S65</f>
        <v>홍승민</v>
      </c>
      <c r="T189" s="11"/>
    </row>
    <row r="190" spans="1:21" ht="24">
      <c r="A190" t="s">
        <v>30</v>
      </c>
      <c r="B190" s="151" t="str">
        <f>'2월'!B66</f>
        <v>Y250203-01</v>
      </c>
      <c r="C190" s="153"/>
      <c r="D190" s="17">
        <f>'2월'!D66</f>
        <v>45715</v>
      </c>
      <c r="E190" s="1" t="str">
        <f>'2월'!E66</f>
        <v>에스엔유정보기술</v>
      </c>
      <c r="F190" s="2" t="str">
        <f>'2월'!F66</f>
        <v>은평구청</v>
      </c>
      <c r="G190" s="2" t="str">
        <f>'2월'!G66</f>
        <v>상품</v>
      </c>
      <c r="H190" s="83" t="str">
        <f>'2월'!H66</f>
        <v>OS</v>
      </c>
      <c r="I190" s="4" t="str">
        <f>'2월'!I66</f>
        <v xml:space="preserve">Windows Server 2022 Standard (DSP/16core/64bit/CAL미포함16 core) </v>
      </c>
      <c r="J190" s="23">
        <f>'2월'!J66</f>
        <v>1</v>
      </c>
      <c r="K190" s="27">
        <f>'2월'!K66</f>
        <v>1200000</v>
      </c>
      <c r="L190" s="26">
        <f>'2월'!L66</f>
        <v>1200000</v>
      </c>
      <c r="M190" s="27">
        <f>'2월'!M66</f>
        <v>120000</v>
      </c>
      <c r="N190" s="27">
        <f>'2월'!N66</f>
        <v>1320000</v>
      </c>
      <c r="O190" s="33">
        <f>'2월'!O66</f>
        <v>1096609</v>
      </c>
      <c r="P190" s="197" t="str">
        <f>'2월'!P66</f>
        <v>컴퓨존(2/3)</v>
      </c>
      <c r="Q190" s="20">
        <f>'2월'!Q66</f>
        <v>103391</v>
      </c>
      <c r="R190" s="68" t="str">
        <f>'2월'!R66</f>
        <v>완료(4/30)</v>
      </c>
      <c r="S190" s="8" t="str">
        <f>'2월'!S66</f>
        <v>홍승민</v>
      </c>
      <c r="T190" s="11"/>
    </row>
    <row r="191" spans="1:21">
      <c r="A191" t="s">
        <v>30</v>
      </c>
      <c r="B191" s="151" t="str">
        <f>'2월'!B67</f>
        <v>Y250210-01</v>
      </c>
      <c r="C191" s="153"/>
      <c r="D191" s="17">
        <f>'2월'!D67</f>
        <v>45715</v>
      </c>
      <c r="E191" s="1" t="str">
        <f>'2월'!E67</f>
        <v>온더보드</v>
      </c>
      <c r="F191" s="2" t="str">
        <f>'2월'!F67</f>
        <v>한림대병원</v>
      </c>
      <c r="G191" s="2" t="str">
        <f>'2월'!G67</f>
        <v>상품</v>
      </c>
      <c r="H191" s="83" t="str">
        <f>'2월'!H67</f>
        <v>00WF701</v>
      </c>
      <c r="I191" s="4" t="str">
        <f>'2월'!I67</f>
        <v>1.2TB 10K 12G SAS 2.5inch Hard Drive</v>
      </c>
      <c r="J191" s="23">
        <f>'2월'!J67</f>
        <v>1</v>
      </c>
      <c r="K191" s="27">
        <f>'2월'!K67</f>
        <v>200000</v>
      </c>
      <c r="L191" s="26">
        <f>'2월'!L67</f>
        <v>200000</v>
      </c>
      <c r="M191" s="27">
        <f>'2월'!M67</f>
        <v>20000</v>
      </c>
      <c r="N191" s="27">
        <f>'2월'!N67</f>
        <v>220000</v>
      </c>
      <c r="O191" s="228">
        <f>'2월'!O67</f>
        <v>3800</v>
      </c>
      <c r="P191" s="228" t="str">
        <f>'2월'!P67</f>
        <v>재고 로젠택배(2/28)3,800</v>
      </c>
      <c r="Q191" s="20">
        <f>'2월'!Q67</f>
        <v>196200</v>
      </c>
      <c r="R191" s="68" t="str">
        <f>'2월'!R67</f>
        <v>완료(3/31)</v>
      </c>
      <c r="S191" s="8" t="str">
        <f>'2월'!S67</f>
        <v>홍승민</v>
      </c>
      <c r="T191" s="11"/>
    </row>
    <row r="192" spans="1:21" ht="24">
      <c r="A192" t="s">
        <v>30</v>
      </c>
      <c r="B192" s="151" t="str">
        <f>'2월'!B68</f>
        <v>Y250218-01</v>
      </c>
      <c r="C192" s="153"/>
      <c r="D192" s="17">
        <f>'2월'!D68</f>
        <v>45715</v>
      </c>
      <c r="E192" s="1" t="str">
        <f>'2월'!E68</f>
        <v>온더보드</v>
      </c>
      <c r="F192" s="2" t="str">
        <f>'2월'!F68</f>
        <v>경기도학교안전공제회</v>
      </c>
      <c r="G192" s="2" t="str">
        <f>'2월'!G68</f>
        <v>상품</v>
      </c>
      <c r="H192" s="83" t="str">
        <f>'2월'!H68</f>
        <v>서버</v>
      </c>
      <c r="I192" s="4" t="str">
        <f>'2월'!I68</f>
        <v>Lenovo ThinkSystem SR250v2</v>
      </c>
      <c r="J192" s="23">
        <f>'2월'!J68</f>
        <v>1</v>
      </c>
      <c r="K192" s="27">
        <f>'2월'!K68</f>
        <v>3500000</v>
      </c>
      <c r="L192" s="26">
        <f>'2월'!L68</f>
        <v>3500000</v>
      </c>
      <c r="M192" s="27">
        <f>'2월'!M68</f>
        <v>350000</v>
      </c>
      <c r="N192" s="27">
        <f>'2월'!N68</f>
        <v>3850000</v>
      </c>
      <c r="O192" s="33">
        <f>'2월'!O68</f>
        <v>2970000</v>
      </c>
      <c r="P192" s="197" t="str">
        <f>'2월'!P68</f>
        <v>이룸에스앤앤(2/21)
우림퀵(2/28) 20,000</v>
      </c>
      <c r="Q192" s="20">
        <f>'2월'!Q68</f>
        <v>530000</v>
      </c>
      <c r="R192" s="68" t="str">
        <f>'2월'!R68</f>
        <v>완료(3/31)</v>
      </c>
      <c r="S192" s="8" t="str">
        <f>'2월'!S68</f>
        <v>홍승민</v>
      </c>
      <c r="T192" s="11"/>
    </row>
    <row r="193" spans="1:20">
      <c r="A193" t="s">
        <v>30</v>
      </c>
      <c r="B193" s="151" t="str">
        <f>'2월'!B69</f>
        <v>Y250221-01</v>
      </c>
      <c r="C193" s="153"/>
      <c r="D193" s="17">
        <f>'2월'!D69</f>
        <v>45715</v>
      </c>
      <c r="E193" s="1" t="str">
        <f>'2월'!E69</f>
        <v>코드정보</v>
      </c>
      <c r="F193" s="2" t="str">
        <f>'2월'!F69</f>
        <v>LG헬로비전</v>
      </c>
      <c r="G193" s="2" t="str">
        <f>'2월'!G69</f>
        <v>상품</v>
      </c>
      <c r="H193" s="83" t="str">
        <f>'2월'!H69</f>
        <v>001GR493</v>
      </c>
      <c r="I193" s="4" t="str">
        <f>'2월'!I69</f>
        <v>X3550M4 V2 BOARD</v>
      </c>
      <c r="J193" s="23">
        <f>'2월'!J69</f>
        <v>1</v>
      </c>
      <c r="K193" s="27">
        <f>'2월'!K69</f>
        <v>550000</v>
      </c>
      <c r="L193" s="26">
        <f>'2월'!L69</f>
        <v>550000</v>
      </c>
      <c r="M193" s="27">
        <f>'2월'!M69</f>
        <v>55000</v>
      </c>
      <c r="N193" s="27">
        <f>'2월'!N69</f>
        <v>605000</v>
      </c>
      <c r="O193" s="33">
        <f>'2월'!O69</f>
        <v>0</v>
      </c>
      <c r="P193" s="197" t="str">
        <f>'2월'!P69</f>
        <v>삼표매입</v>
      </c>
      <c r="Q193" s="20">
        <f>'2월'!Q69</f>
        <v>550000</v>
      </c>
      <c r="R193" s="68" t="str">
        <f>'2월'!R69</f>
        <v>완료(5/30)</v>
      </c>
      <c r="S193" s="8" t="str">
        <f>'2월'!S69</f>
        <v>홍승민</v>
      </c>
      <c r="T193" s="11"/>
    </row>
    <row r="194" spans="1:20">
      <c r="A194" t="s">
        <v>30</v>
      </c>
      <c r="B194" s="151" t="str">
        <f>'2월'!B70</f>
        <v>H250123-01</v>
      </c>
      <c r="C194" s="153"/>
      <c r="D194" s="17">
        <f>'2월'!D70</f>
        <v>45715</v>
      </c>
      <c r="E194" s="1" t="str">
        <f>'2월'!E70</f>
        <v>티에스씨인포</v>
      </c>
      <c r="F194" s="2"/>
      <c r="G194" s="2" t="str">
        <f>'2월'!G70</f>
        <v>상품</v>
      </c>
      <c r="H194" s="83" t="str">
        <f>'2월'!H70</f>
        <v>85Y6185</v>
      </c>
      <c r="I194" s="4" t="str">
        <f>'2월'!I70</f>
        <v>IBM 300-GB 15K 2.5 SAS</v>
      </c>
      <c r="J194" s="23">
        <f>'2월'!J70</f>
        <v>3</v>
      </c>
      <c r="K194" s="27">
        <f>'2월'!K70</f>
        <v>120000</v>
      </c>
      <c r="L194" s="26">
        <f>'2월'!L70</f>
        <v>1660000</v>
      </c>
      <c r="M194" s="27">
        <f>'2월'!M70</f>
        <v>166000</v>
      </c>
      <c r="N194" s="27">
        <f>'2월'!N70</f>
        <v>1826000</v>
      </c>
      <c r="O194" s="33">
        <f>'2월'!O70</f>
        <v>1230000</v>
      </c>
      <c r="P194" s="197" t="str">
        <f>'2월'!P70</f>
        <v>이비웨이브(1/23) 240,000</v>
      </c>
      <c r="Q194" s="20">
        <f>'2월'!Q70</f>
        <v>430000</v>
      </c>
      <c r="R194" s="68" t="str">
        <f>'2월'!R70</f>
        <v>완료(2/28)</v>
      </c>
      <c r="S194" s="8" t="str">
        <f>'2월'!S70</f>
        <v>천범석</v>
      </c>
      <c r="T194" s="11"/>
    </row>
    <row r="195" spans="1:20">
      <c r="A195" t="s">
        <v>30</v>
      </c>
      <c r="B195" s="151" t="str">
        <f>'2월'!B71</f>
        <v>H250203-01</v>
      </c>
      <c r="C195" s="155"/>
      <c r="D195" s="43"/>
      <c r="E195" s="44" t="str">
        <f>'2월'!E71</f>
        <v>티에스씨인포</v>
      </c>
      <c r="F195" s="41"/>
      <c r="G195" s="2" t="str">
        <f>'2월'!G71</f>
        <v>상품</v>
      </c>
      <c r="H195" s="83" t="str">
        <f>'2월'!H71</f>
        <v>80P3162</v>
      </c>
      <c r="I195" s="4" t="str">
        <f>'2월'!I71</f>
        <v>73GB U320 15K 80Pin SCSI Hard Drive</v>
      </c>
      <c r="J195" s="23">
        <f>'2월'!J71</f>
        <v>1</v>
      </c>
      <c r="K195" s="27">
        <f>'2월'!K71</f>
        <v>150000</v>
      </c>
      <c r="L195" s="39"/>
      <c r="M195" s="39"/>
      <c r="N195" s="39"/>
      <c r="O195" s="33"/>
      <c r="P195" s="197" t="str">
        <f>'2월'!P71</f>
        <v>이비웨이브(2/3) 120,000</v>
      </c>
      <c r="Q195" s="41"/>
      <c r="R195" s="41"/>
      <c r="S195" s="42"/>
      <c r="T195" s="11"/>
    </row>
    <row r="196" spans="1:20">
      <c r="A196" t="s">
        <v>30</v>
      </c>
      <c r="B196" s="151" t="str">
        <f>'2월'!B72</f>
        <v>H250206-01</v>
      </c>
      <c r="C196" s="155"/>
      <c r="D196" s="43"/>
      <c r="E196" s="44" t="str">
        <f>'2월'!E72</f>
        <v>티에스씨인포</v>
      </c>
      <c r="F196" s="41"/>
      <c r="G196" s="2" t="str">
        <f>'2월'!G72</f>
        <v>상품</v>
      </c>
      <c r="H196" s="83" t="str">
        <f>'2월'!H72</f>
        <v>46M0918</v>
      </c>
      <c r="I196" s="4" t="str">
        <f>'2월'!I72</f>
        <v>SERVERAID M5014 RAID CONTROLLER</v>
      </c>
      <c r="J196" s="23">
        <f>'2월'!J72</f>
        <v>1</v>
      </c>
      <c r="K196" s="27">
        <f>'2월'!K72</f>
        <v>100000</v>
      </c>
      <c r="L196" s="39"/>
      <c r="M196" s="39"/>
      <c r="N196" s="39"/>
      <c r="O196" s="33"/>
      <c r="P196" s="197" t="str">
        <f>'2월'!P72</f>
        <v>이비웨이브(2/6) 60,000</v>
      </c>
      <c r="Q196" s="41"/>
      <c r="R196" s="41"/>
      <c r="S196" s="42"/>
      <c r="T196" s="11"/>
    </row>
    <row r="197" spans="1:20">
      <c r="A197" t="s">
        <v>30</v>
      </c>
      <c r="B197" s="151" t="str">
        <f>'2월'!B73</f>
        <v>H250206-02</v>
      </c>
      <c r="C197" s="155"/>
      <c r="D197" s="43"/>
      <c r="E197" s="44" t="str">
        <f>'2월'!E73</f>
        <v>티에스씨인포</v>
      </c>
      <c r="F197" s="41"/>
      <c r="G197" s="2" t="str">
        <f>'2월'!G73</f>
        <v>상품</v>
      </c>
      <c r="H197" s="83" t="str">
        <f>'2월'!H73</f>
        <v>46M0854</v>
      </c>
      <c r="I197" s="4" t="str">
        <f>'2월'!I73</f>
        <v>SERVERAID M5025 SAS/SATA CONTROLLER</v>
      </c>
      <c r="J197" s="23">
        <f>'2월'!J73</f>
        <v>1</v>
      </c>
      <c r="K197" s="27">
        <f>'2월'!K73</f>
        <v>150000</v>
      </c>
      <c r="L197" s="39"/>
      <c r="M197" s="39"/>
      <c r="N197" s="39"/>
      <c r="O197" s="33"/>
      <c r="P197" s="197" t="str">
        <f>'2월'!P73</f>
        <v>이비웨이브(2/6) 120,000</v>
      </c>
      <c r="Q197" s="41"/>
      <c r="R197" s="41"/>
      <c r="S197" s="42"/>
      <c r="T197" s="11"/>
    </row>
    <row r="198" spans="1:20">
      <c r="A198" t="s">
        <v>30</v>
      </c>
      <c r="B198" s="151" t="str">
        <f>'2월'!B74</f>
        <v>H250206-03</v>
      </c>
      <c r="C198" s="155"/>
      <c r="D198" s="43"/>
      <c r="E198" s="44" t="str">
        <f>'2월'!E74</f>
        <v>티에스씨인포</v>
      </c>
      <c r="F198" s="41"/>
      <c r="G198" s="2" t="str">
        <f>'2월'!G74</f>
        <v>상품</v>
      </c>
      <c r="H198" s="83" t="str">
        <f>'2월'!H74</f>
        <v>81Y4451</v>
      </c>
      <c r="I198" s="4" t="str">
        <f>'2월'!I74</f>
        <v>IBM Serveraid M5000 Battery Kit</v>
      </c>
      <c r="J198" s="23">
        <f>'2월'!J74</f>
        <v>2</v>
      </c>
      <c r="K198" s="27">
        <f>'2월'!K74</f>
        <v>130000</v>
      </c>
      <c r="L198" s="39"/>
      <c r="M198" s="39"/>
      <c r="N198" s="39"/>
      <c r="O198" s="33"/>
      <c r="P198" s="197" t="str">
        <f>'2월'!P74</f>
        <v>이비웨이브(2/6) 200,000</v>
      </c>
      <c r="Q198" s="41"/>
      <c r="R198" s="41"/>
      <c r="S198" s="42"/>
      <c r="T198" s="11"/>
    </row>
    <row r="199" spans="1:20">
      <c r="A199" t="s">
        <v>30</v>
      </c>
      <c r="B199" s="151" t="str">
        <f>'2월'!B75</f>
        <v>H250207-01</v>
      </c>
      <c r="C199" s="155"/>
      <c r="D199" s="43"/>
      <c r="E199" s="44" t="str">
        <f>'2월'!E75</f>
        <v>티에스씨인포</v>
      </c>
      <c r="F199" s="41"/>
      <c r="G199" s="2" t="str">
        <f>'2월'!G75</f>
        <v>상품</v>
      </c>
      <c r="H199" s="83" t="str">
        <f>'2월'!H75</f>
        <v>01LJ786</v>
      </c>
      <c r="I199" s="4" t="str">
        <f>'2월'!I75</f>
        <v>IBM 900GB 10K RPM 12Gbps 2.5" SAS HDD</v>
      </c>
      <c r="J199" s="23">
        <f>'2월'!J75</f>
        <v>1</v>
      </c>
      <c r="K199" s="27">
        <f>'2월'!K75</f>
        <v>200000</v>
      </c>
      <c r="L199" s="39"/>
      <c r="M199" s="39"/>
      <c r="N199" s="39"/>
      <c r="O199" s="33"/>
      <c r="P199" s="197" t="str">
        <f>'2월'!P75</f>
        <v>이비웨이브(2/7) 150,000</v>
      </c>
      <c r="Q199" s="41"/>
      <c r="R199" s="41"/>
      <c r="S199" s="42"/>
      <c r="T199" s="11"/>
    </row>
    <row r="200" spans="1:20" ht="24">
      <c r="A200" t="s">
        <v>30</v>
      </c>
      <c r="B200" s="151" t="str">
        <f>'2월'!B76</f>
        <v>H250211-01</v>
      </c>
      <c r="C200" s="155"/>
      <c r="D200" s="43"/>
      <c r="E200" s="44" t="str">
        <f>'2월'!E76</f>
        <v>티에스씨인포</v>
      </c>
      <c r="F200" s="41"/>
      <c r="G200" s="2" t="str">
        <f>'2월'!G76</f>
        <v>상품</v>
      </c>
      <c r="H200" s="83" t="str">
        <f>'2월'!H76</f>
        <v>44X3212</v>
      </c>
      <c r="I200" s="4" t="str">
        <f>'2월'!I76</f>
        <v>IBM V7000 Storage 600GB 10K 2.5inch HDD 44X3212/90Y7652</v>
      </c>
      <c r="J200" s="23">
        <f>'2월'!J76</f>
        <v>1</v>
      </c>
      <c r="K200" s="27">
        <f>'2월'!K76</f>
        <v>200000</v>
      </c>
      <c r="L200" s="39"/>
      <c r="M200" s="39"/>
      <c r="N200" s="39"/>
      <c r="O200" s="33"/>
      <c r="P200" s="197" t="str">
        <f>'2월'!P76</f>
        <v>이비웨이브(2/11) 150,000</v>
      </c>
      <c r="Q200" s="41"/>
      <c r="R200" s="41"/>
      <c r="S200" s="42"/>
      <c r="T200" s="11"/>
    </row>
    <row r="201" spans="1:20" ht="24">
      <c r="A201" t="s">
        <v>30</v>
      </c>
      <c r="B201" s="151" t="str">
        <f>'2월'!B77</f>
        <v>H250212-01</v>
      </c>
      <c r="C201" s="155"/>
      <c r="D201" s="43"/>
      <c r="E201" s="44" t="str">
        <f>'2월'!E77</f>
        <v>티에스씨인포</v>
      </c>
      <c r="F201" s="41"/>
      <c r="G201" s="2" t="str">
        <f>'2월'!G77</f>
        <v>상품</v>
      </c>
      <c r="H201" s="83" t="str">
        <f>'2월'!H77</f>
        <v>01KR355</v>
      </c>
      <c r="I201" s="4" t="str">
        <f>'2월'!I77</f>
        <v>Lenovo 32GB PC4-23400V DDR4-2933 2RX4 ECC RDIMM Server Memory</v>
      </c>
      <c r="J201" s="23">
        <f>'2월'!J77</f>
        <v>1</v>
      </c>
      <c r="K201" s="27">
        <f>'2월'!K77</f>
        <v>240000</v>
      </c>
      <c r="L201" s="39"/>
      <c r="M201" s="39"/>
      <c r="N201" s="39"/>
      <c r="O201" s="33"/>
      <c r="P201" s="197" t="str">
        <f>'2월'!P77</f>
        <v>이비웨이브(2/12) 190,000</v>
      </c>
      <c r="Q201" s="41"/>
      <c r="R201" s="41"/>
      <c r="S201" s="42"/>
      <c r="T201" s="11"/>
    </row>
    <row r="202" spans="1:20">
      <c r="A202" t="s">
        <v>30</v>
      </c>
      <c r="B202" s="151" t="str">
        <f>'2월'!B78</f>
        <v>S</v>
      </c>
      <c r="C202" s="199"/>
      <c r="D202" s="17">
        <f>'2월'!D78</f>
        <v>45716</v>
      </c>
      <c r="E202" s="214" t="str">
        <f>'2월'!E78</f>
        <v>스팩스</v>
      </c>
      <c r="F202" s="215" t="str">
        <f>'2월'!F78</f>
        <v>광명자이 1810호</v>
      </c>
      <c r="G202" s="161" t="str">
        <f>'2월'!G78</f>
        <v>건물임대</v>
      </c>
      <c r="H202" s="161" t="str">
        <f>'2월'!H78</f>
        <v>임대료</v>
      </c>
      <c r="I202" s="169" t="str">
        <f>'2월'!I78</f>
        <v>2월 임대료 - 8/12회</v>
      </c>
      <c r="J202" s="69">
        <f>'2월'!J78</f>
        <v>1</v>
      </c>
      <c r="K202" s="27">
        <f>'2월'!K78</f>
        <v>600000</v>
      </c>
      <c r="L202" s="26">
        <f>'2월'!L78</f>
        <v>600000</v>
      </c>
      <c r="M202" s="27">
        <f>'2월'!M78</f>
        <v>60000</v>
      </c>
      <c r="N202" s="27">
        <f>'2월'!N78</f>
        <v>660000</v>
      </c>
      <c r="O202" s="52">
        <f>'2월'!O78</f>
        <v>0</v>
      </c>
      <c r="P202" s="171" t="str">
        <f>'2월'!P78</f>
        <v>X</v>
      </c>
      <c r="Q202" s="181">
        <f>'2월'!Q78</f>
        <v>600000</v>
      </c>
      <c r="R202" s="202" t="str">
        <f>'2월'!R78</f>
        <v>완료(3/4)</v>
      </c>
      <c r="S202" s="8" t="str">
        <f>'2월'!S78</f>
        <v>정지우</v>
      </c>
      <c r="T202" s="11"/>
    </row>
    <row r="203" spans="1:20" ht="24">
      <c r="A203" t="s">
        <v>30</v>
      </c>
      <c r="B203" s="151" t="str">
        <f>'2월'!B79</f>
        <v>S</v>
      </c>
      <c r="C203" s="199"/>
      <c r="D203" s="17">
        <f>'2월'!D79</f>
        <v>45716</v>
      </c>
      <c r="E203" s="214" t="str">
        <f>'2월'!E79</f>
        <v>씨케이명차</v>
      </c>
      <c r="F203" s="215" t="str">
        <f>'2월'!F79</f>
        <v>가양아너비즈 402~404호</v>
      </c>
      <c r="G203" s="161" t="str">
        <f>'2월'!G79</f>
        <v>건물임대</v>
      </c>
      <c r="H203" s="161" t="str">
        <f>'2월'!H79</f>
        <v>임대료</v>
      </c>
      <c r="I203" s="4" t="str">
        <f>'2월'!I79</f>
        <v>3월(2.28~3.30) 임대료</v>
      </c>
      <c r="J203" s="23">
        <f>'2월'!J79</f>
        <v>1</v>
      </c>
      <c r="K203" s="27">
        <f>'2월'!K79</f>
        <v>4000000</v>
      </c>
      <c r="L203" s="26">
        <f>'2월'!L79</f>
        <v>4000000</v>
      </c>
      <c r="M203" s="27">
        <f>'2월'!M79</f>
        <v>400000</v>
      </c>
      <c r="N203" s="27">
        <f>'2월'!N79</f>
        <v>4400000</v>
      </c>
      <c r="O203" s="52">
        <f>'2월'!O79</f>
        <v>0</v>
      </c>
      <c r="P203" s="170" t="str">
        <f>'2월'!P79</f>
        <v>X</v>
      </c>
      <c r="Q203" s="181">
        <f>'2월'!Q79</f>
        <v>4000000</v>
      </c>
      <c r="R203" s="68" t="str">
        <f>'2월'!R79</f>
        <v>보증금반제(25/8/31)</v>
      </c>
      <c r="S203" s="8" t="str">
        <f>'2월'!S79</f>
        <v>정지우</v>
      </c>
      <c r="T203" s="11"/>
    </row>
    <row r="204" spans="1:20">
      <c r="A204" t="s">
        <v>30</v>
      </c>
      <c r="B204" s="151" t="str">
        <f>'2월'!B80</f>
        <v>SB-23012</v>
      </c>
      <c r="C204" s="200" t="str">
        <f>'2월'!C80</f>
        <v>ZKFUER</v>
      </c>
      <c r="D204" s="17">
        <f>'2월'!D80</f>
        <v>45716</v>
      </c>
      <c r="E204" s="214" t="str">
        <f>'2월'!E80</f>
        <v>솔리드시스템</v>
      </c>
      <c r="F204" s="214" t="str">
        <f>'2월'!F80</f>
        <v>국립기상과학원</v>
      </c>
      <c r="G204" s="1" t="str">
        <f>'2월'!G80</f>
        <v>MA</v>
      </c>
      <c r="H204" s="161" t="str">
        <f>'2월'!H80</f>
        <v>월간-레노버</v>
      </c>
      <c r="I204" s="163" t="str">
        <f>'2월'!I80</f>
        <v>2월 유지정비료 - 26/37회</v>
      </c>
      <c r="J204" s="32">
        <f>'2월'!J80</f>
        <v>1</v>
      </c>
      <c r="K204" s="48">
        <f>'2월'!K80</f>
        <v>11178000</v>
      </c>
      <c r="L204" s="26">
        <f>'2월'!L80</f>
        <v>11178000</v>
      </c>
      <c r="M204" s="27">
        <f>'2월'!M80</f>
        <v>1117800</v>
      </c>
      <c r="N204" s="27">
        <f>'2월'!N80</f>
        <v>12295800</v>
      </c>
      <c r="O204" s="72">
        <f>'2월'!O80</f>
        <v>9980400</v>
      </c>
      <c r="P204" s="197" t="str">
        <f>'2월'!P80</f>
        <v>레노버(2/28)</v>
      </c>
      <c r="Q204" s="181">
        <f>'2월'!Q80</f>
        <v>1197600</v>
      </c>
      <c r="R204" s="68" t="str">
        <f>'2월'!R80</f>
        <v>완료(4/30)</v>
      </c>
      <c r="S204" s="8" t="str">
        <f>'2월'!S80</f>
        <v>천범석</v>
      </c>
      <c r="T204" s="11"/>
    </row>
    <row r="205" spans="1:20">
      <c r="A205" t="s">
        <v>30</v>
      </c>
      <c r="B205" s="151" t="str">
        <f>'2월'!B81</f>
        <v>SB-25004</v>
      </c>
      <c r="C205" s="200" t="str">
        <f>'2월'!C81</f>
        <v>ZDCPQK</v>
      </c>
      <c r="D205" s="17">
        <f>'2월'!D81</f>
        <v>45716</v>
      </c>
      <c r="E205" s="214" t="str">
        <f>'2월'!E81</f>
        <v>솔리드시스템</v>
      </c>
      <c r="F205" s="189" t="str">
        <f>'2월'!F81</f>
        <v>삼성중공업</v>
      </c>
      <c r="G205" s="161" t="str">
        <f>'2월'!G81</f>
        <v>MA</v>
      </c>
      <c r="H205" s="161" t="str">
        <f>'2월'!H81</f>
        <v>월간-레노버</v>
      </c>
      <c r="I205" s="164" t="str">
        <f>'2월'!I81</f>
        <v>2월 유지정비료 - 2/12회</v>
      </c>
      <c r="J205" s="24">
        <f>'2월'!J81</f>
        <v>1</v>
      </c>
      <c r="K205" s="27">
        <f>'2월'!K81</f>
        <v>585000</v>
      </c>
      <c r="L205" s="26">
        <f>'2월'!L81</f>
        <v>585000</v>
      </c>
      <c r="M205" s="27">
        <f>'2월'!M81</f>
        <v>58500</v>
      </c>
      <c r="N205" s="27">
        <f>'2월'!N81</f>
        <v>643500</v>
      </c>
      <c r="O205" s="52">
        <f>'2월'!O81</f>
        <v>531600</v>
      </c>
      <c r="P205" s="197" t="str">
        <f>'2월'!P81</f>
        <v>레노버(2/28)</v>
      </c>
      <c r="Q205" s="181">
        <f>'2월'!Q81</f>
        <v>53400</v>
      </c>
      <c r="R205" s="68" t="str">
        <f>'2월'!R81</f>
        <v>완료(4/30)</v>
      </c>
      <c r="S205" s="5" t="str">
        <f>'2월'!S81</f>
        <v>천범석</v>
      </c>
      <c r="T205" s="11"/>
    </row>
    <row r="206" spans="1:20">
      <c r="A206" t="s">
        <v>30</v>
      </c>
      <c r="B206" s="151" t="str">
        <f>'2월'!B82</f>
        <v>IK-22023</v>
      </c>
      <c r="C206" s="200"/>
      <c r="D206" s="17">
        <f>'2월'!D82</f>
        <v>45716</v>
      </c>
      <c r="E206" s="214" t="str">
        <f>'2월'!E82</f>
        <v>로인아이티</v>
      </c>
      <c r="F206" s="189" t="str">
        <f>'2월'!F82</f>
        <v>성원제강</v>
      </c>
      <c r="G206" s="161" t="str">
        <f>'2월'!G82</f>
        <v>MA</v>
      </c>
      <c r="H206" s="161" t="str">
        <f>'2월'!H82</f>
        <v>월간-IBM</v>
      </c>
      <c r="I206" s="163" t="str">
        <f>'2월'!I82</f>
        <v>2월 유지정비료 - 23/36회</v>
      </c>
      <c r="J206" s="69">
        <f>'2월'!J82</f>
        <v>1</v>
      </c>
      <c r="K206" s="29">
        <f>'2월'!K82</f>
        <v>180000</v>
      </c>
      <c r="L206" s="26">
        <f>'2월'!L82</f>
        <v>180000</v>
      </c>
      <c r="M206" s="27">
        <f>'2월'!M82</f>
        <v>18000</v>
      </c>
      <c r="N206" s="27">
        <f>'2월'!N82</f>
        <v>198000</v>
      </c>
      <c r="O206" s="52">
        <f>'2월'!O82</f>
        <v>159761</v>
      </c>
      <c r="P206" s="171" t="str">
        <f>'2월'!P82</f>
        <v>IBM(2/3)</v>
      </c>
      <c r="Q206" s="181">
        <f>'2월'!Q82</f>
        <v>20239</v>
      </c>
      <c r="R206" s="68" t="str">
        <f>'2월'!R82</f>
        <v>완료(3/26)</v>
      </c>
      <c r="S206" s="5" t="str">
        <f>'2월'!S82</f>
        <v>천범석</v>
      </c>
      <c r="T206" s="11"/>
    </row>
    <row r="207" spans="1:20">
      <c r="A207" t="s">
        <v>30</v>
      </c>
      <c r="B207" s="151" t="str">
        <f>'2월'!B83</f>
        <v>IK-22021</v>
      </c>
      <c r="C207" s="200"/>
      <c r="D207" s="17">
        <f>'2월'!D83</f>
        <v>45716</v>
      </c>
      <c r="E207" s="214" t="str">
        <f>'2월'!E83</f>
        <v>로인아이티</v>
      </c>
      <c r="F207" s="189" t="str">
        <f>'2월'!F83</f>
        <v>문배철강</v>
      </c>
      <c r="G207" s="161" t="str">
        <f>'2월'!G83</f>
        <v>MA</v>
      </c>
      <c r="H207" s="161" t="str">
        <f>'2월'!H83</f>
        <v>월간-IBM</v>
      </c>
      <c r="I207" s="163" t="str">
        <f>'2월'!I83</f>
        <v>2월 유지정비료 - 23/36회</v>
      </c>
      <c r="J207" s="69">
        <f>'2월'!J83</f>
        <v>1</v>
      </c>
      <c r="K207" s="29">
        <f>'2월'!K83</f>
        <v>240000</v>
      </c>
      <c r="L207" s="26">
        <f>'2월'!L83</f>
        <v>240000</v>
      </c>
      <c r="M207" s="27">
        <f>'2월'!M83</f>
        <v>24000</v>
      </c>
      <c r="N207" s="27">
        <f>'2월'!N83</f>
        <v>264000</v>
      </c>
      <c r="O207" s="52">
        <f>'2월'!O83</f>
        <v>212293</v>
      </c>
      <c r="P207" s="171" t="str">
        <f>'2월'!P83</f>
        <v>IBM(2/3)</v>
      </c>
      <c r="Q207" s="181">
        <f>'2월'!Q83</f>
        <v>27707</v>
      </c>
      <c r="R207" s="68" t="str">
        <f>'2월'!R83</f>
        <v>완료(3/26)</v>
      </c>
      <c r="S207" s="5" t="str">
        <f>'2월'!S83</f>
        <v>천범석</v>
      </c>
      <c r="T207" s="11"/>
    </row>
    <row r="208" spans="1:20" ht="72">
      <c r="A208" t="s">
        <v>30</v>
      </c>
      <c r="B208" s="151" t="str">
        <f>'2월'!B84</f>
        <v>IK-24002</v>
      </c>
      <c r="C208" s="199"/>
      <c r="D208" s="17">
        <f>'2월'!D84</f>
        <v>45716</v>
      </c>
      <c r="E208" s="214" t="str">
        <f>'2월'!E84</f>
        <v>로인아이티</v>
      </c>
      <c r="F208" s="215" t="str">
        <f>'2월'!F84</f>
        <v>교세라커넥터프로덕츠코리아</v>
      </c>
      <c r="G208" s="2" t="str">
        <f>'2월'!G84</f>
        <v>MA</v>
      </c>
      <c r="H208" s="161" t="str">
        <f>'2월'!H84</f>
        <v>월간-IBM</v>
      </c>
      <c r="I208" s="4" t="str">
        <f>'2월'!I84</f>
        <v>25.02.01~27.03.31 유지정비료</v>
      </c>
      <c r="J208" s="23">
        <f>'2월'!J84</f>
        <v>1</v>
      </c>
      <c r="K208" s="27">
        <f>'2월'!K84</f>
        <v>2022000</v>
      </c>
      <c r="L208" s="26">
        <f>'2월'!L84</f>
        <v>2022000</v>
      </c>
      <c r="M208" s="27">
        <f>'2월'!M84</f>
        <v>202200</v>
      </c>
      <c r="N208" s="27">
        <f>'2월'!N84</f>
        <v>2224200</v>
      </c>
      <c r="O208" s="52">
        <f>'2월'!O84</f>
        <v>1977482</v>
      </c>
      <c r="P208" s="193" t="str">
        <f>'2월'!P84</f>
        <v>IBM 월 70,422*26 (25.02~27.01)
(2/3)(3/4)(4/1)(5/1)(6/2)(7/1)(8/1)(9/1)(10/1)(11/1)(12/1)(26/1/1)(2/1)(3/1)(4/1)(5/1)(6/1)(7/1)(8/1)(9/1)(10/1)(11/1)(12/1)(27/1/1)
월 73,255*2 (27.2~3) (2/1)(3/1)</v>
      </c>
      <c r="Q208" s="181">
        <f>'2월'!Q84</f>
        <v>44518</v>
      </c>
      <c r="R208" s="68" t="str">
        <f>'2월'!R84</f>
        <v>완료(3/26)</v>
      </c>
      <c r="S208" s="8" t="str">
        <f>'2월'!S84</f>
        <v>천범석</v>
      </c>
      <c r="T208" s="11"/>
    </row>
    <row r="209" spans="1:20">
      <c r="A209" t="s">
        <v>30</v>
      </c>
      <c r="B209" s="151" t="str">
        <f>'2월'!B85</f>
        <v>SB-24040</v>
      </c>
      <c r="C209" s="199" t="str">
        <f>'2월'!C85</f>
        <v>ZBJK3I</v>
      </c>
      <c r="D209" s="17">
        <f>'2월'!D85</f>
        <v>45716</v>
      </c>
      <c r="E209" s="214" t="str">
        <f>'2월'!E85</f>
        <v>도담솔루션</v>
      </c>
      <c r="F209" s="215" t="str">
        <f>'2월'!F85</f>
        <v>호원대학교</v>
      </c>
      <c r="G209" s="161" t="str">
        <f>'2월'!G85</f>
        <v>MA</v>
      </c>
      <c r="H209" s="2" t="str">
        <f>'2월'!H85</f>
        <v>월간-레노버</v>
      </c>
      <c r="I209" s="4" t="str">
        <f>'2월'!I85</f>
        <v>2월 유지정비료 - 9/12회</v>
      </c>
      <c r="J209" s="23">
        <f>'2월'!J85</f>
        <v>1</v>
      </c>
      <c r="K209" s="27">
        <f>'2월'!K85</f>
        <v>122000</v>
      </c>
      <c r="L209" s="26">
        <f>'2월'!L85</f>
        <v>122000</v>
      </c>
      <c r="M209" s="27">
        <f>'2월'!M85</f>
        <v>12200</v>
      </c>
      <c r="N209" s="27">
        <f>'2월'!N85</f>
        <v>134200</v>
      </c>
      <c r="O209" s="52">
        <f>'2월'!O85</f>
        <v>101400</v>
      </c>
      <c r="P209" s="197" t="str">
        <f>'2월'!P85</f>
        <v>레노버(2/28)</v>
      </c>
      <c r="Q209" s="181">
        <f>'2월'!Q85</f>
        <v>20600</v>
      </c>
      <c r="R209" s="68" t="str">
        <f>'2월'!R85</f>
        <v>완료(4/10)</v>
      </c>
      <c r="S209" s="8" t="str">
        <f>'2월'!S85</f>
        <v>천범석</v>
      </c>
      <c r="T209" s="11"/>
    </row>
    <row r="210" spans="1:20" ht="36">
      <c r="A210" t="s">
        <v>30</v>
      </c>
      <c r="B210" s="151" t="str">
        <f>'2월'!B86</f>
        <v>SM-23031</v>
      </c>
      <c r="C210" s="199"/>
      <c r="D210" s="17">
        <f>'2월'!D86</f>
        <v>45716</v>
      </c>
      <c r="E210" s="214" t="str">
        <f>'2월'!E86</f>
        <v>온더보드</v>
      </c>
      <c r="F210" s="215" t="str">
        <f>'2월'!F86</f>
        <v>삼표</v>
      </c>
      <c r="G210" s="2" t="str">
        <f>'2월'!G86</f>
        <v>MA</v>
      </c>
      <c r="H210" s="2" t="str">
        <f>'2월'!H86</f>
        <v>월간</v>
      </c>
      <c r="I210" s="4" t="str">
        <f>'2월'!I86</f>
        <v>삼표 DB세이퍼 유지보수 - 2월(7/12회)</v>
      </c>
      <c r="J210" s="23">
        <f>'2월'!J86</f>
        <v>1</v>
      </c>
      <c r="K210" s="27">
        <f>'2월'!K86</f>
        <v>1200000</v>
      </c>
      <c r="L210" s="26">
        <f>'2월'!L86</f>
        <v>1200000</v>
      </c>
      <c r="M210" s="27">
        <f>'2월'!M86</f>
        <v>120000</v>
      </c>
      <c r="N210" s="27">
        <f>'2월'!N86</f>
        <v>1320000</v>
      </c>
      <c r="O210" s="52">
        <f>'2월'!O86</f>
        <v>1058333.3333333335</v>
      </c>
      <c r="P210" s="171" t="str">
        <f>'2월'!P86</f>
        <v>신세계(2/18) 600,000
지엘정보(6/27) 반기 1,250,000(1/6회)
시스나인(1/2) 1,750,000(2/7회)</v>
      </c>
      <c r="Q210" s="181">
        <f>'2월'!Q86</f>
        <v>141666.66666666651</v>
      </c>
      <c r="R210" s="68" t="str">
        <f>'2월'!R86</f>
        <v>완료(3/31)</v>
      </c>
      <c r="S210" s="8" t="str">
        <f>'2월'!S86</f>
        <v>이예지</v>
      </c>
      <c r="T210" s="11"/>
    </row>
    <row r="211" spans="1:20" ht="24">
      <c r="A211" t="s">
        <v>30</v>
      </c>
      <c r="B211" s="151" t="str">
        <f>'2월'!B87</f>
        <v>SB-23037
SB-23043</v>
      </c>
      <c r="C211" s="230" t="str">
        <f>'2월'!C87</f>
        <v>Z2XAQY
ZDSTPH</v>
      </c>
      <c r="D211" s="17">
        <f>'2월'!D87</f>
        <v>45716</v>
      </c>
      <c r="E211" s="214" t="str">
        <f>'2월'!E87</f>
        <v>에이큐씨앤씨</v>
      </c>
      <c r="F211" s="215" t="str">
        <f>'2월'!F87</f>
        <v>한림대학교</v>
      </c>
      <c r="G211" s="2" t="str">
        <f>'2월'!G87</f>
        <v>MA</v>
      </c>
      <c r="H211" s="83" t="str">
        <f>'2월'!H87</f>
        <v>월간-레노버</v>
      </c>
      <c r="I211" s="4" t="str">
        <f>'2월'!I87</f>
        <v>2월 유지정비료 - 21/21회</v>
      </c>
      <c r="J211" s="23">
        <f>'2월'!J87</f>
        <v>1</v>
      </c>
      <c r="K211" s="27">
        <f>'2월'!K87</f>
        <v>339200</v>
      </c>
      <c r="L211" s="26">
        <f>'2월'!L87</f>
        <v>339200</v>
      </c>
      <c r="M211" s="27">
        <f>'2월'!M87</f>
        <v>33920</v>
      </c>
      <c r="N211" s="27">
        <f>'2월'!N87</f>
        <v>373120</v>
      </c>
      <c r="O211" s="52">
        <f>'2월'!O87</f>
        <v>291300</v>
      </c>
      <c r="P211" s="223" t="str">
        <f>'2월'!P87</f>
        <v>레노버(2/28) 245,700 (2/28) 45,600</v>
      </c>
      <c r="Q211" s="181">
        <f>'2월'!Q87</f>
        <v>47900</v>
      </c>
      <c r="R211" s="68" t="str">
        <f>'2월'!R87</f>
        <v>완료(3/31)</v>
      </c>
      <c r="S211" s="8" t="str">
        <f>'2월'!S87</f>
        <v>천범석</v>
      </c>
      <c r="T211" s="11"/>
    </row>
    <row r="212" spans="1:20" ht="24">
      <c r="A212" t="s">
        <v>30</v>
      </c>
      <c r="B212" s="151" t="str">
        <f>'2월'!B88</f>
        <v>SB-23053</v>
      </c>
      <c r="C212" s="199" t="str">
        <f>'2월'!C88</f>
        <v>Z41QIW</v>
      </c>
      <c r="D212" s="17">
        <f>'2월'!D88</f>
        <v>45716</v>
      </c>
      <c r="E212" s="214" t="str">
        <f>'2월'!E88</f>
        <v>수원정보</v>
      </c>
      <c r="F212" s="215" t="str">
        <f>'2월'!F88</f>
        <v>신세계아이앤씨</v>
      </c>
      <c r="G212" s="2" t="str">
        <f>'2월'!G88</f>
        <v>MA</v>
      </c>
      <c r="H212" s="83" t="str">
        <f>'2월'!H88</f>
        <v>월간-레노버</v>
      </c>
      <c r="I212" s="163" t="str">
        <f>'2월'!I88</f>
        <v>2월 유지정비료 - 24/46회</v>
      </c>
      <c r="J212" s="23">
        <f>'2월'!J88</f>
        <v>1</v>
      </c>
      <c r="K212" s="27">
        <f>'2월'!K88</f>
        <v>5082300</v>
      </c>
      <c r="L212" s="26">
        <f>'2월'!L88</f>
        <v>5082300</v>
      </c>
      <c r="M212" s="27">
        <f>'2월'!M88</f>
        <v>508230</v>
      </c>
      <c r="N212" s="27">
        <f>'2월'!N88</f>
        <v>5590530</v>
      </c>
      <c r="O212" s="72">
        <f>'2월'!O88</f>
        <v>4589756</v>
      </c>
      <c r="P212" s="197" t="str">
        <f>'2월'!P88</f>
        <v>레노버(2/28) 3,709,756
시스나인(25/2/28) 10,560,000 (9/12회)</v>
      </c>
      <c r="Q212" s="181">
        <f>'2월'!Q88</f>
        <v>492544</v>
      </c>
      <c r="R212" s="68" t="str">
        <f>'2월'!R88</f>
        <v>완료(3/31)</v>
      </c>
      <c r="S212" s="8" t="str">
        <f>'2월'!S88</f>
        <v>천범석</v>
      </c>
      <c r="T212" s="11"/>
    </row>
    <row r="213" spans="1:20" ht="24">
      <c r="A213" t="s">
        <v>30</v>
      </c>
      <c r="B213" s="151" t="str">
        <f>'2월'!B89</f>
        <v>SB-24031</v>
      </c>
      <c r="C213" s="199" t="str">
        <f>'2월'!C89</f>
        <v>ZKZDVZ</v>
      </c>
      <c r="D213" s="17">
        <f>'2월'!D89</f>
        <v>45716</v>
      </c>
      <c r="E213" s="214" t="str">
        <f>'2월'!E89</f>
        <v>데이타메트렉스</v>
      </c>
      <c r="F213" s="215" t="str">
        <f>'2월'!F89</f>
        <v>롯데하이마트</v>
      </c>
      <c r="G213" s="2" t="str">
        <f>'2월'!G89</f>
        <v>MA</v>
      </c>
      <c r="H213" s="83" t="str">
        <f>'2월'!H89</f>
        <v>월간-레노버</v>
      </c>
      <c r="I213" s="162" t="str">
        <f>'2월'!I89</f>
        <v>(HW) 2월 유지정비료 - 9/12회</v>
      </c>
      <c r="J213" s="23">
        <f>'2월'!J89</f>
        <v>1</v>
      </c>
      <c r="K213" s="27">
        <f>'2월'!K89</f>
        <v>1016100</v>
      </c>
      <c r="L213" s="26">
        <f>'2월'!L89</f>
        <v>1016100</v>
      </c>
      <c r="M213" s="27">
        <f>'2월'!M89</f>
        <v>101610</v>
      </c>
      <c r="N213" s="27">
        <f>'2월'!N89</f>
        <v>1117710</v>
      </c>
      <c r="O213" s="72">
        <f>'2월'!O89</f>
        <v>964800</v>
      </c>
      <c r="P213" s="197" t="str">
        <f>'2월'!P89</f>
        <v>레노버(2/28)
시스나인(25/3/4) 2,160,000(3/6회)</v>
      </c>
      <c r="Q213" s="181">
        <f>'2월'!Q89</f>
        <v>51300</v>
      </c>
      <c r="R213" s="68" t="str">
        <f>'2월'!R89</f>
        <v>완료(3/31)</v>
      </c>
      <c r="S213" s="36" t="str">
        <f>'2월'!S89</f>
        <v>천범석</v>
      </c>
      <c r="T213" s="75"/>
    </row>
    <row r="214" spans="1:20">
      <c r="A214" t="s">
        <v>30</v>
      </c>
      <c r="B214" s="151" t="str">
        <f>'2월'!B90</f>
        <v>SB-24028</v>
      </c>
      <c r="C214" s="199" t="str">
        <f>'2월'!C90</f>
        <v>ZCX01Z</v>
      </c>
      <c r="D214" s="17">
        <f>'2월'!D90</f>
        <v>45716</v>
      </c>
      <c r="E214" s="214" t="str">
        <f>'2월'!E90</f>
        <v>다솜테크</v>
      </c>
      <c r="F214" s="215" t="str">
        <f>'2월'!F90</f>
        <v>대한산업보건협회</v>
      </c>
      <c r="G214" s="2" t="str">
        <f>'2월'!G90</f>
        <v>MA</v>
      </c>
      <c r="H214" s="83" t="str">
        <f>'2월'!H90</f>
        <v>월간-레노버</v>
      </c>
      <c r="I214" s="4" t="str">
        <f>'2월'!I90</f>
        <v>2월 유지정비료 - 10/12회</v>
      </c>
      <c r="J214" s="23">
        <f>'2월'!J90</f>
        <v>1</v>
      </c>
      <c r="K214" s="27">
        <f>'2월'!K90</f>
        <v>204700</v>
      </c>
      <c r="L214" s="26">
        <f>'2월'!L90</f>
        <v>204700</v>
      </c>
      <c r="M214" s="27">
        <f>'2월'!M90</f>
        <v>20470</v>
      </c>
      <c r="N214" s="27">
        <f>'2월'!N90</f>
        <v>225170</v>
      </c>
      <c r="O214" s="52">
        <f>'2월'!O90</f>
        <v>243955</v>
      </c>
      <c r="P214" s="197" t="str">
        <f>'2월'!P90</f>
        <v>레노버(2/28)</v>
      </c>
      <c r="Q214" s="181">
        <f>'2월'!Q90</f>
        <v>-39255</v>
      </c>
      <c r="R214" s="68" t="str">
        <f>'2월'!R90</f>
        <v>완료(4/30)</v>
      </c>
      <c r="S214" s="8" t="str">
        <f>'2월'!S90</f>
        <v>천범석</v>
      </c>
      <c r="T214" s="11"/>
    </row>
    <row r="215" spans="1:20">
      <c r="A215" t="s">
        <v>30</v>
      </c>
      <c r="B215" s="151" t="str">
        <f>'2월'!B91</f>
        <v>SB-24044</v>
      </c>
      <c r="C215" s="199" t="str">
        <f>'2월'!C91</f>
        <v>ZSWUX2</v>
      </c>
      <c r="D215" s="17">
        <f>'2월'!D91</f>
        <v>45716</v>
      </c>
      <c r="E215" s="214" t="str">
        <f>'2월'!E91</f>
        <v>다솜테크</v>
      </c>
      <c r="F215" s="215" t="str">
        <f>'2월'!F91</f>
        <v>LX홀딩스</v>
      </c>
      <c r="G215" s="2" t="str">
        <f>'2월'!G91</f>
        <v>MA</v>
      </c>
      <c r="H215" s="83" t="str">
        <f>'2월'!H91</f>
        <v>월간-레노버</v>
      </c>
      <c r="I215" s="163" t="str">
        <f>'2월'!I91</f>
        <v>2월 유지정비료 - 8/12회</v>
      </c>
      <c r="J215" s="23">
        <f>'2월'!J91</f>
        <v>1</v>
      </c>
      <c r="K215" s="27">
        <f>'2월'!K91</f>
        <v>573000</v>
      </c>
      <c r="L215" s="26">
        <f>'2월'!L91</f>
        <v>573000</v>
      </c>
      <c r="M215" s="27">
        <f>'2월'!M91</f>
        <v>57300</v>
      </c>
      <c r="N215" s="27">
        <f>'2월'!N91</f>
        <v>630300</v>
      </c>
      <c r="O215" s="52">
        <f>'2월'!O91</f>
        <v>505200</v>
      </c>
      <c r="P215" s="197" t="str">
        <f>'2월'!P91</f>
        <v>레노버(2/28)</v>
      </c>
      <c r="Q215" s="181">
        <f>'2월'!Q91</f>
        <v>67800</v>
      </c>
      <c r="R215" s="68" t="str">
        <f>'2월'!R91</f>
        <v>완료(4/30)</v>
      </c>
      <c r="S215" s="8" t="str">
        <f>'2월'!S91</f>
        <v>천범석</v>
      </c>
      <c r="T215" s="11"/>
    </row>
    <row r="216" spans="1:20">
      <c r="A216" t="s">
        <v>30</v>
      </c>
      <c r="B216" s="151" t="str">
        <f>'2월'!B92</f>
        <v>SB-24046</v>
      </c>
      <c r="C216" s="199" t="str">
        <f>'2월'!C92</f>
        <v>Z8LTG0</v>
      </c>
      <c r="D216" s="17">
        <f>'2월'!D92</f>
        <v>45716</v>
      </c>
      <c r="E216" s="214" t="str">
        <f>'2월'!E92</f>
        <v>다솜테크</v>
      </c>
      <c r="F216" s="215" t="str">
        <f>'2월'!F92</f>
        <v>웰컴저축은행</v>
      </c>
      <c r="G216" s="2" t="str">
        <f>'2월'!G92</f>
        <v>MA</v>
      </c>
      <c r="H216" s="83" t="str">
        <f>'2월'!H92</f>
        <v>월간-레노버</v>
      </c>
      <c r="I216" s="163" t="str">
        <f>'2월'!I92</f>
        <v>2월 유지정비료 - 7/12회</v>
      </c>
      <c r="J216" s="23">
        <f>'2월'!J92</f>
        <v>1</v>
      </c>
      <c r="K216" s="27">
        <f>'2월'!K92</f>
        <v>220000</v>
      </c>
      <c r="L216" s="26">
        <f>'2월'!L92</f>
        <v>220000</v>
      </c>
      <c r="M216" s="27">
        <f>'2월'!M92</f>
        <v>22000</v>
      </c>
      <c r="N216" s="27">
        <f>'2월'!N92</f>
        <v>242000</v>
      </c>
      <c r="O216" s="52">
        <f>'2월'!O92</f>
        <v>204600</v>
      </c>
      <c r="P216" s="197" t="str">
        <f>'2월'!P92</f>
        <v>레노버(2/28)</v>
      </c>
      <c r="Q216" s="181">
        <f>'2월'!Q92</f>
        <v>15400</v>
      </c>
      <c r="R216" s="68" t="str">
        <f>'2월'!R92</f>
        <v>완료(4/30)</v>
      </c>
      <c r="S216" s="8" t="str">
        <f>'2월'!S92</f>
        <v>천범석</v>
      </c>
      <c r="T216" s="11"/>
    </row>
    <row r="217" spans="1:20">
      <c r="A217" t="s">
        <v>30</v>
      </c>
      <c r="B217" s="151" t="str">
        <f>'2월'!B93</f>
        <v>SB-24061</v>
      </c>
      <c r="C217" s="153" t="str">
        <f>'2월'!C93</f>
        <v>ZVVVON</v>
      </c>
      <c r="D217" s="17">
        <f>'2월'!D93</f>
        <v>45716</v>
      </c>
      <c r="E217" s="214" t="str">
        <f>'2월'!E93</f>
        <v>다솜테크</v>
      </c>
      <c r="F217" s="215" t="str">
        <f>'2월'!F93</f>
        <v>롯데이노베이트(롯데정보통신)</v>
      </c>
      <c r="G217" s="2" t="str">
        <f>'2월'!G93</f>
        <v>MA</v>
      </c>
      <c r="H217" s="2" t="str">
        <f>'2월'!H93</f>
        <v>월간-레노버</v>
      </c>
      <c r="I217" s="4" t="str">
        <f>'2월'!I93</f>
        <v>2월 유지정비료 - 2/12회</v>
      </c>
      <c r="J217" s="23">
        <f>'2월'!J93</f>
        <v>1</v>
      </c>
      <c r="K217" s="27">
        <f>'2월'!K93</f>
        <v>700000</v>
      </c>
      <c r="L217" s="26">
        <f>'2월'!L93</f>
        <v>700000</v>
      </c>
      <c r="M217" s="27">
        <f>'2월'!M93</f>
        <v>70000</v>
      </c>
      <c r="N217" s="27">
        <f>'2월'!N93</f>
        <v>770000</v>
      </c>
      <c r="O217" s="33">
        <f>'2월'!O93</f>
        <v>661800</v>
      </c>
      <c r="P217" s="197" t="str">
        <f>'2월'!P93</f>
        <v>레노버(2/28)</v>
      </c>
      <c r="Q217" s="20">
        <f>'2월'!Q93</f>
        <v>38200</v>
      </c>
      <c r="R217" s="68" t="str">
        <f>'2월'!R93</f>
        <v>완료(4/30)</v>
      </c>
      <c r="S217" s="5" t="str">
        <f>'2월'!S93</f>
        <v>천범석</v>
      </c>
      <c r="T217" s="11"/>
    </row>
    <row r="218" spans="1:20" ht="24">
      <c r="A218" t="s">
        <v>30</v>
      </c>
      <c r="B218" s="151" t="str">
        <f>'2월'!B94</f>
        <v>SB-24063</v>
      </c>
      <c r="C218" s="153" t="str">
        <f>'2월'!C94</f>
        <v>ZIR05U</v>
      </c>
      <c r="D218" s="17">
        <f>'2월'!D94</f>
        <v>45716</v>
      </c>
      <c r="E218" s="214" t="str">
        <f>'2월'!E94</f>
        <v>다솜테크</v>
      </c>
      <c r="F218" s="215" t="str">
        <f>'2월'!F94</f>
        <v>이원(E1)컨테이너터미널 #1</v>
      </c>
      <c r="G218" s="2" t="str">
        <f>'2월'!G94</f>
        <v>MA</v>
      </c>
      <c r="H218" s="2" t="str">
        <f>'2월'!H94</f>
        <v>월간-레노버</v>
      </c>
      <c r="I218" s="4" t="str">
        <f>'2월'!I94</f>
        <v>2월 유지정비료 - 2/12회</v>
      </c>
      <c r="J218" s="23">
        <f>'2월'!J94</f>
        <v>1</v>
      </c>
      <c r="K218" s="27">
        <f>'2월'!K94</f>
        <v>380000</v>
      </c>
      <c r="L218" s="26">
        <f>'2월'!L94</f>
        <v>380000</v>
      </c>
      <c r="M218" s="27">
        <f>'2월'!M94</f>
        <v>38000</v>
      </c>
      <c r="N218" s="27">
        <f>'2월'!N94</f>
        <v>418000</v>
      </c>
      <c r="O218" s="33">
        <f>'2월'!O94</f>
        <v>331466.66666666669</v>
      </c>
      <c r="P218" s="197" t="str">
        <f>'2월'!P94</f>
        <v>레노버(2/28) 
시스나인(1/2) 연500,000(2/12회)</v>
      </c>
      <c r="Q218" s="20">
        <f>'2월'!Q94</f>
        <v>48533.333333333314</v>
      </c>
      <c r="R218" s="68" t="str">
        <f>'2월'!R94</f>
        <v>완료(4/30)</v>
      </c>
      <c r="S218" s="5" t="str">
        <f>'2월'!S94</f>
        <v>천범석</v>
      </c>
      <c r="T218" s="11"/>
    </row>
    <row r="219" spans="1:20">
      <c r="A219" t="s">
        <v>30</v>
      </c>
      <c r="B219" s="151" t="str">
        <f>'2월'!B95</f>
        <v>SB-24064</v>
      </c>
      <c r="C219" s="153" t="str">
        <f>'2월'!C95</f>
        <v>ZOTN1N</v>
      </c>
      <c r="D219" s="17">
        <f>'2월'!D95</f>
        <v>45716</v>
      </c>
      <c r="E219" s="214" t="str">
        <f>'2월'!E95</f>
        <v>다솜테크</v>
      </c>
      <c r="F219" s="215" t="str">
        <f>'2월'!F95</f>
        <v>이원(E1)컨테이너터미널 #2</v>
      </c>
      <c r="G219" s="2" t="str">
        <f>'2월'!G95</f>
        <v>MA</v>
      </c>
      <c r="H219" s="2" t="str">
        <f>'2월'!H95</f>
        <v>월간-레노버</v>
      </c>
      <c r="I219" s="4" t="str">
        <f>'2월'!I95</f>
        <v>2월 유지정비료 - 2/12회</v>
      </c>
      <c r="J219" s="23">
        <f>'2월'!J95</f>
        <v>1</v>
      </c>
      <c r="K219" s="27">
        <f>'2월'!K95</f>
        <v>625000</v>
      </c>
      <c r="L219" s="26">
        <f>'2월'!L95</f>
        <v>625000</v>
      </c>
      <c r="M219" s="27">
        <f>'2월'!M95</f>
        <v>62500</v>
      </c>
      <c r="N219" s="27">
        <f>'2월'!N95</f>
        <v>687500</v>
      </c>
      <c r="O219" s="33">
        <f>'2월'!O95</f>
        <v>590400</v>
      </c>
      <c r="P219" s="197" t="str">
        <f>'2월'!P95</f>
        <v>레노버(2/28)</v>
      </c>
      <c r="Q219" s="20">
        <f>'2월'!Q95</f>
        <v>34600</v>
      </c>
      <c r="R219" s="68" t="str">
        <f>'2월'!R95</f>
        <v>완료(4/30)</v>
      </c>
      <c r="S219" s="5" t="str">
        <f>'2월'!S95</f>
        <v>천범석</v>
      </c>
      <c r="T219" s="11"/>
    </row>
    <row r="220" spans="1:20">
      <c r="A220" t="s">
        <v>30</v>
      </c>
      <c r="B220" s="151" t="str">
        <f>'2월'!B96</f>
        <v>SB-24065</v>
      </c>
      <c r="C220" s="153" t="str">
        <f>'2월'!C96</f>
        <v>ZDFIN7</v>
      </c>
      <c r="D220" s="17">
        <f>'2월'!D96</f>
        <v>45716</v>
      </c>
      <c r="E220" s="214" t="str">
        <f>'2월'!E96</f>
        <v>다솜테크</v>
      </c>
      <c r="F220" s="215" t="str">
        <f>'2월'!F96</f>
        <v>안산시청</v>
      </c>
      <c r="G220" s="2" t="str">
        <f>'2월'!G96</f>
        <v>MA</v>
      </c>
      <c r="H220" s="2" t="str">
        <f>'2월'!H96</f>
        <v>월간-레노버</v>
      </c>
      <c r="I220" s="4" t="str">
        <f>'2월'!I96</f>
        <v>2월 유지정비료 - 2/12회</v>
      </c>
      <c r="J220" s="23">
        <f>'2월'!J96</f>
        <v>1</v>
      </c>
      <c r="K220" s="27">
        <f>'2월'!K96</f>
        <v>1232000</v>
      </c>
      <c r="L220" s="26">
        <f>'2월'!L96</f>
        <v>1232000</v>
      </c>
      <c r="M220" s="27">
        <f>'2월'!M96</f>
        <v>123200</v>
      </c>
      <c r="N220" s="27">
        <f>'2월'!N96</f>
        <v>1355200</v>
      </c>
      <c r="O220" s="33">
        <f>'2월'!O96</f>
        <v>1196100</v>
      </c>
      <c r="P220" s="197" t="str">
        <f>'2월'!P96</f>
        <v>레노버(2/28)</v>
      </c>
      <c r="Q220" s="20">
        <f>'2월'!Q96</f>
        <v>35900</v>
      </c>
      <c r="R220" s="68" t="str">
        <f>'2월'!R96</f>
        <v>완료(4/30)</v>
      </c>
      <c r="S220" s="8" t="str">
        <f>'2월'!S96</f>
        <v>천범석</v>
      </c>
      <c r="T220" s="11"/>
    </row>
    <row r="221" spans="1:20">
      <c r="A221" t="s">
        <v>30</v>
      </c>
      <c r="B221" s="151" t="str">
        <f>'2월'!B97</f>
        <v>IK-24005</v>
      </c>
      <c r="C221" s="200"/>
      <c r="D221" s="17">
        <f>'2월'!D97</f>
        <v>45716</v>
      </c>
      <c r="E221" s="214" t="str">
        <f>'2월'!E97</f>
        <v>엔콤</v>
      </c>
      <c r="F221" s="189" t="str">
        <f>'2월'!F97</f>
        <v>전북도시가스</v>
      </c>
      <c r="G221" s="161" t="str">
        <f>'2월'!G97</f>
        <v>MA</v>
      </c>
      <c r="H221" s="161" t="str">
        <f>'2월'!H97</f>
        <v>월간-IBM</v>
      </c>
      <c r="I221" s="163" t="str">
        <f>'2월'!I97</f>
        <v>2월 유지정비료 - 11/12회</v>
      </c>
      <c r="J221" s="24">
        <f>'2월'!J97</f>
        <v>1</v>
      </c>
      <c r="K221" s="26">
        <f>'2월'!K97</f>
        <v>1366000</v>
      </c>
      <c r="L221" s="26">
        <f>'2월'!L97</f>
        <v>1366000</v>
      </c>
      <c r="M221" s="27">
        <f>'2월'!M97</f>
        <v>136600</v>
      </c>
      <c r="N221" s="27">
        <f>'2월'!N97</f>
        <v>1502600</v>
      </c>
      <c r="O221" s="72">
        <f>'2월'!O97</f>
        <v>1263250</v>
      </c>
      <c r="P221" s="171" t="str">
        <f>'2월'!P97</f>
        <v>IBM(2/3)</v>
      </c>
      <c r="Q221" s="181">
        <f>'2월'!Q97</f>
        <v>102750</v>
      </c>
      <c r="R221" s="68" t="str">
        <f>'2월'!R97</f>
        <v>완료(3/28)</v>
      </c>
      <c r="S221" s="5" t="str">
        <f>'2월'!S97</f>
        <v>천범석</v>
      </c>
      <c r="T221" s="11"/>
    </row>
    <row r="222" spans="1:20" ht="24">
      <c r="A222" t="s">
        <v>30</v>
      </c>
      <c r="B222" s="151" t="str">
        <f>'2월'!B98</f>
        <v>IK-24006</v>
      </c>
      <c r="C222" s="199"/>
      <c r="D222" s="17">
        <f>'2월'!D98</f>
        <v>45716</v>
      </c>
      <c r="E222" s="214" t="str">
        <f>'2월'!E98</f>
        <v>서부컨테이너터미널</v>
      </c>
      <c r="F222" s="215"/>
      <c r="G222" s="161" t="str">
        <f>'2월'!G98</f>
        <v>MA</v>
      </c>
      <c r="H222" s="161" t="str">
        <f>'2월'!H98</f>
        <v>월간-IBM</v>
      </c>
      <c r="I222" s="163" t="str">
        <f>'2월'!I98</f>
        <v>2월 유지정비료 - 10/24회</v>
      </c>
      <c r="J222" s="23">
        <f>'2월'!J98</f>
        <v>1</v>
      </c>
      <c r="K222" s="27">
        <f>'2월'!K98</f>
        <v>3916667</v>
      </c>
      <c r="L222" s="26">
        <f>'2월'!L98</f>
        <v>3916667</v>
      </c>
      <c r="M222" s="27">
        <f>'2월'!M98</f>
        <v>391667</v>
      </c>
      <c r="N222" s="27">
        <f>'2월'!N98</f>
        <v>4308334</v>
      </c>
      <c r="O222" s="72">
        <f>'2월'!O98</f>
        <v>3691359.1666666665</v>
      </c>
      <c r="P222" s="223" t="str">
        <f>'2월'!P98</f>
        <v>IBM(5/3)연간 5,423,462(10/12회)
IBM(2/3) 3,239,404</v>
      </c>
      <c r="Q222" s="181">
        <f>'2월'!Q98</f>
        <v>225307.83333333349</v>
      </c>
      <c r="R222" s="68" t="str">
        <f>'2월'!R98</f>
        <v>완료(3/31)</v>
      </c>
      <c r="S222" s="8" t="str">
        <f>'2월'!S98</f>
        <v>홍승민</v>
      </c>
      <c r="T222" s="11"/>
    </row>
    <row r="223" spans="1:20">
      <c r="A223" t="s">
        <v>30</v>
      </c>
      <c r="B223" s="151" t="str">
        <f>'2월'!B99</f>
        <v>SB-24027</v>
      </c>
      <c r="C223" s="199" t="str">
        <f>'2월'!C99</f>
        <v>ZGTHWJ</v>
      </c>
      <c r="D223" s="17">
        <f>'2월'!D99</f>
        <v>45716</v>
      </c>
      <c r="E223" s="214" t="str">
        <f>'2월'!E99</f>
        <v>시스템본</v>
      </c>
      <c r="F223" s="215" t="str">
        <f>'2월'!F99</f>
        <v>엘지유플러스</v>
      </c>
      <c r="G223" s="2" t="str">
        <f>'2월'!G99</f>
        <v>MA</v>
      </c>
      <c r="H223" s="83" t="str">
        <f>'2월'!H99</f>
        <v>월간-레노버</v>
      </c>
      <c r="I223" s="4" t="str">
        <f>'2월'!I99</f>
        <v>2월 유지정비료 - 10/32회</v>
      </c>
      <c r="J223" s="23">
        <f>'2월'!J99</f>
        <v>1</v>
      </c>
      <c r="K223" s="27">
        <f>'2월'!K99</f>
        <v>659700</v>
      </c>
      <c r="L223" s="26">
        <f>'2월'!L99</f>
        <v>659700</v>
      </c>
      <c r="M223" s="27">
        <f>'2월'!M99</f>
        <v>65970</v>
      </c>
      <c r="N223" s="27">
        <f>'2월'!N99</f>
        <v>725670</v>
      </c>
      <c r="O223" s="72">
        <f>'2월'!O99</f>
        <v>518541</v>
      </c>
      <c r="P223" s="197" t="str">
        <f>'2월'!P99</f>
        <v>레노버(2/28)</v>
      </c>
      <c r="Q223" s="181">
        <f>'2월'!Q99</f>
        <v>141159</v>
      </c>
      <c r="R223" s="68" t="str">
        <f>'2월'!R99</f>
        <v>완료(4/30)</v>
      </c>
      <c r="S223" s="8" t="str">
        <f>'2월'!S99</f>
        <v>천범석</v>
      </c>
      <c r="T223" s="75"/>
    </row>
    <row r="224" spans="1:20">
      <c r="A224" t="s">
        <v>30</v>
      </c>
      <c r="B224" s="151" t="str">
        <f>'2월'!B100</f>
        <v>SB-24034</v>
      </c>
      <c r="C224" s="199" t="str">
        <f>'2월'!C100</f>
        <v>Z11I89</v>
      </c>
      <c r="D224" s="17">
        <f>'2월'!D100</f>
        <v>45716</v>
      </c>
      <c r="E224" s="214" t="str">
        <f>'2월'!E100</f>
        <v>씨원시스템</v>
      </c>
      <c r="F224" s="215" t="str">
        <f>'2월'!F100</f>
        <v>이녹스(패션그룹형지)</v>
      </c>
      <c r="G224" s="2" t="str">
        <f>'2월'!G100</f>
        <v>MA</v>
      </c>
      <c r="H224" s="83" t="str">
        <f>'2월'!H100</f>
        <v>월간-레노버</v>
      </c>
      <c r="I224" s="4" t="str">
        <f>'2월'!I100</f>
        <v>2월 유지정비료 - 9/12회</v>
      </c>
      <c r="J224" s="23">
        <f>'2월'!J100</f>
        <v>1</v>
      </c>
      <c r="K224" s="27">
        <f>'2월'!K100</f>
        <v>285500</v>
      </c>
      <c r="L224" s="26">
        <f>'2월'!L100</f>
        <v>285500</v>
      </c>
      <c r="M224" s="27">
        <f>'2월'!M100</f>
        <v>28550</v>
      </c>
      <c r="N224" s="27">
        <f>'2월'!N100</f>
        <v>314050</v>
      </c>
      <c r="O224" s="72">
        <f>'2월'!O100</f>
        <v>249900</v>
      </c>
      <c r="P224" s="197" t="str">
        <f>'2월'!P100</f>
        <v>레노버(2/28)</v>
      </c>
      <c r="Q224" s="181">
        <f>'2월'!Q100</f>
        <v>35600</v>
      </c>
      <c r="R224" s="68" t="str">
        <f>'2월'!R100</f>
        <v>완료(4/30)</v>
      </c>
      <c r="S224" s="8" t="str">
        <f>'2월'!S100</f>
        <v>천범석</v>
      </c>
      <c r="T224" s="75"/>
    </row>
    <row r="225" spans="1:20" ht="24">
      <c r="A225" t="s">
        <v>30</v>
      </c>
      <c r="B225" s="151" t="str">
        <f>'2월'!B101</f>
        <v>LI-24003</v>
      </c>
      <c r="C225" s="199" t="str">
        <f>'2월'!C101</f>
        <v>ZE7QNO</v>
      </c>
      <c r="D225" s="17">
        <f>'2월'!D101</f>
        <v>45716</v>
      </c>
      <c r="E225" s="214" t="str">
        <f>'2월'!E101</f>
        <v>지엔콤</v>
      </c>
      <c r="F225" s="215" t="str">
        <f>'2월'!F101</f>
        <v>전주교육대학교</v>
      </c>
      <c r="G225" s="2" t="str">
        <f>'2월'!G101</f>
        <v>MA</v>
      </c>
      <c r="H225" s="83" t="str">
        <f>'2월'!H101</f>
        <v>월간-레노버</v>
      </c>
      <c r="I225" s="163" t="str">
        <f>'2월'!I101</f>
        <v>2월 유지정비료 - 10/12회</v>
      </c>
      <c r="J225" s="23">
        <f>'2월'!J101</f>
        <v>1</v>
      </c>
      <c r="K225" s="27">
        <f>'2월'!K101</f>
        <v>909000</v>
      </c>
      <c r="L225" s="26">
        <f>'2월'!L101</f>
        <v>909000</v>
      </c>
      <c r="M225" s="27">
        <f>'2월'!M101</f>
        <v>90900</v>
      </c>
      <c r="N225" s="27">
        <f>'2월'!N101</f>
        <v>999900</v>
      </c>
      <c r="O225" s="72">
        <f>'2월'!O101</f>
        <v>615780</v>
      </c>
      <c r="P225" s="223" t="str">
        <f>'2월'!P101</f>
        <v>레노버(12/31) 310,500
IBM(2/3) 305,280</v>
      </c>
      <c r="Q225" s="181">
        <f>'2월'!Q101</f>
        <v>293220</v>
      </c>
      <c r="R225" s="68" t="str">
        <f>'2월'!R101</f>
        <v>완료(3/31)</v>
      </c>
      <c r="S225" s="8" t="str">
        <f>'2월'!S101</f>
        <v>천범석</v>
      </c>
      <c r="T225" s="11"/>
    </row>
    <row r="226" spans="1:20">
      <c r="A226" t="s">
        <v>30</v>
      </c>
      <c r="B226" s="151" t="str">
        <f>'2월'!B102</f>
        <v>SB-24036</v>
      </c>
      <c r="C226" s="199"/>
      <c r="D226" s="17">
        <f>'2월'!D102</f>
        <v>45716</v>
      </c>
      <c r="E226" s="214" t="str">
        <f>'2월'!E102</f>
        <v>나라정보</v>
      </c>
      <c r="F226" s="215" t="str">
        <f>'2월'!F102</f>
        <v>부국철강</v>
      </c>
      <c r="G226" s="2" t="str">
        <f>'2월'!G102</f>
        <v>MA</v>
      </c>
      <c r="H226" s="161" t="str">
        <f>'2월'!H102</f>
        <v>월간-IBM</v>
      </c>
      <c r="I226" s="163" t="str">
        <f>'2월'!I102</f>
        <v>2월 유지정비료 - 10/32회</v>
      </c>
      <c r="J226" s="23">
        <f>'2월'!J102</f>
        <v>1</v>
      </c>
      <c r="K226" s="27">
        <f>'2월'!K102</f>
        <v>207000</v>
      </c>
      <c r="L226" s="26">
        <f>'2월'!L102</f>
        <v>207000</v>
      </c>
      <c r="M226" s="27">
        <f>'2월'!M102</f>
        <v>20700</v>
      </c>
      <c r="N226" s="27">
        <f>'2월'!N102</f>
        <v>227700</v>
      </c>
      <c r="O226" s="72">
        <f>'2월'!O102</f>
        <v>190849</v>
      </c>
      <c r="P226" s="171" t="str">
        <f>'2월'!P102</f>
        <v>IBM(2/3)</v>
      </c>
      <c r="Q226" s="181">
        <f>'2월'!Q102</f>
        <v>16151</v>
      </c>
      <c r="R226" s="68" t="str">
        <f>'2월'!R102</f>
        <v>완료(3/31)</v>
      </c>
      <c r="S226" s="8" t="str">
        <f>'2월'!S102</f>
        <v>천범석</v>
      </c>
      <c r="T226" s="11"/>
    </row>
    <row r="227" spans="1:20">
      <c r="A227" t="s">
        <v>30</v>
      </c>
      <c r="B227" s="151" t="str">
        <f>'2월'!B103</f>
        <v>SM-24013</v>
      </c>
      <c r="C227" s="199"/>
      <c r="D227" s="17">
        <f>'2월'!D103</f>
        <v>45716</v>
      </c>
      <c r="E227" s="214" t="str">
        <f>'2월'!E103</f>
        <v>비즈윈</v>
      </c>
      <c r="F227" s="215" t="str">
        <f>'2월'!F103</f>
        <v>한국소비자보호원</v>
      </c>
      <c r="G227" s="2" t="str">
        <f>'2월'!G103</f>
        <v>MA</v>
      </c>
      <c r="H227" s="161" t="str">
        <f>'2월'!H103</f>
        <v>월간</v>
      </c>
      <c r="I227" s="162" t="str">
        <f>'2월'!I103</f>
        <v>2월 유지정비료 - 11/21회</v>
      </c>
      <c r="J227" s="23">
        <f>'2월'!J103</f>
        <v>1</v>
      </c>
      <c r="K227" s="27">
        <f>'2월'!K103</f>
        <v>155000</v>
      </c>
      <c r="L227" s="26">
        <f>'2월'!L103</f>
        <v>155000</v>
      </c>
      <c r="M227" s="27">
        <f>'2월'!M103</f>
        <v>15500</v>
      </c>
      <c r="N227" s="27">
        <f>'2월'!N103</f>
        <v>170500</v>
      </c>
      <c r="O227" s="52">
        <f>'2월'!O103</f>
        <v>120000</v>
      </c>
      <c r="P227" s="171" t="str">
        <f>'2월'!P103</f>
        <v>시스나인(1/2)연간 1,440,000(2/12회)</v>
      </c>
      <c r="Q227" s="181">
        <f>'2월'!Q103</f>
        <v>35000</v>
      </c>
      <c r="R227" s="68" t="str">
        <f>'2월'!R103</f>
        <v>완료(3/31)</v>
      </c>
      <c r="S227" s="36" t="str">
        <f>'2월'!S103</f>
        <v>이예지</v>
      </c>
      <c r="T227" s="75"/>
    </row>
    <row r="228" spans="1:20" ht="24">
      <c r="A228" t="s">
        <v>30</v>
      </c>
      <c r="B228" s="151" t="str">
        <f>'2월'!B104</f>
        <v>SB-24041</v>
      </c>
      <c r="C228" s="199" t="str">
        <f>'2월'!C104</f>
        <v>ZNHTN1</v>
      </c>
      <c r="D228" s="17">
        <f>'2월'!D104</f>
        <v>45716</v>
      </c>
      <c r="E228" s="214" t="str">
        <f>'2월'!E104</f>
        <v>이비즈테크</v>
      </c>
      <c r="F228" s="215" t="str">
        <f>'2월'!F104</f>
        <v>초록우산어린이재단</v>
      </c>
      <c r="G228" s="2" t="str">
        <f>'2월'!G104</f>
        <v>MA</v>
      </c>
      <c r="H228" s="83" t="str">
        <f>'2월'!H104</f>
        <v>월간-레노버</v>
      </c>
      <c r="I228" s="163" t="str">
        <f>'2월'!I104</f>
        <v>2월 유지정비료 - 8/12회</v>
      </c>
      <c r="J228" s="23">
        <f>'2월'!J104</f>
        <v>1</v>
      </c>
      <c r="K228" s="27">
        <f>'2월'!K104</f>
        <v>645600</v>
      </c>
      <c r="L228" s="26">
        <f>'2월'!L104</f>
        <v>645600</v>
      </c>
      <c r="M228" s="27">
        <f>'2월'!M104</f>
        <v>64560</v>
      </c>
      <c r="N228" s="27">
        <f>'2월'!N104</f>
        <v>710160</v>
      </c>
      <c r="O228" s="52">
        <f>'2월'!O104</f>
        <v>628236.33333333337</v>
      </c>
      <c r="P228" s="223" t="str">
        <f>'2월'!P104</f>
        <v>레노버(2/28) 494,903
시스나인(25/3/4) 1,200,00(8/9회)</v>
      </c>
      <c r="Q228" s="181">
        <f>'2월'!Q104</f>
        <v>17363.666666666628</v>
      </c>
      <c r="R228" s="68" t="str">
        <f>'2월'!R104</f>
        <v>완료(3/31)</v>
      </c>
      <c r="S228" s="8" t="str">
        <f>'2월'!S104</f>
        <v>천범석</v>
      </c>
      <c r="T228" s="11"/>
    </row>
    <row r="229" spans="1:20">
      <c r="A229" t="s">
        <v>30</v>
      </c>
      <c r="B229" s="151" t="str">
        <f>'2월'!B105</f>
        <v>SM-23020</v>
      </c>
      <c r="C229" s="200" t="str">
        <f>'2월'!C105</f>
        <v>ZZNUMY</v>
      </c>
      <c r="D229" s="17">
        <f>'2월'!D105</f>
        <v>45716</v>
      </c>
      <c r="E229" s="214" t="str">
        <f>'2월'!E105</f>
        <v>현대종합금속</v>
      </c>
      <c r="F229" s="189" t="str">
        <f>'2월'!F105</f>
        <v>포항</v>
      </c>
      <c r="G229" s="161" t="str">
        <f>'2월'!G105</f>
        <v>MA</v>
      </c>
      <c r="H229" s="161" t="str">
        <f>'2월'!H105</f>
        <v>월간-IBM</v>
      </c>
      <c r="I229" s="163" t="str">
        <f>'2월'!I105</f>
        <v>2월 유지정비료 - 8/12회</v>
      </c>
      <c r="J229" s="24">
        <f>'2월'!J105</f>
        <v>1</v>
      </c>
      <c r="K229" s="26">
        <f>'2월'!K105</f>
        <v>700000</v>
      </c>
      <c r="L229" s="26">
        <f>'2월'!L105</f>
        <v>700000</v>
      </c>
      <c r="M229" s="27">
        <f>'2월'!M105</f>
        <v>70000</v>
      </c>
      <c r="N229" s="27">
        <f>'2월'!N105</f>
        <v>770000</v>
      </c>
      <c r="O229" s="33">
        <f>'2월'!O105</f>
        <v>499500</v>
      </c>
      <c r="P229" s="197" t="str">
        <f>'2월'!P105</f>
        <v>레노버(2/28)</v>
      </c>
      <c r="Q229" s="21">
        <f>'2월'!Q105</f>
        <v>200500</v>
      </c>
      <c r="R229" s="68" t="str">
        <f>'2월'!R105</f>
        <v>완료(3/6)</v>
      </c>
      <c r="S229" s="5" t="str">
        <f>'2월'!S105</f>
        <v>이예지</v>
      </c>
      <c r="T229" s="11"/>
    </row>
    <row r="230" spans="1:20">
      <c r="A230" t="s">
        <v>30</v>
      </c>
      <c r="B230" s="151" t="str">
        <f>'2월'!B106</f>
        <v>SB-24052</v>
      </c>
      <c r="C230" s="153" t="str">
        <f>'2월'!C106</f>
        <v>ZUIU6G</v>
      </c>
      <c r="D230" s="17">
        <f>'2월'!D106</f>
        <v>45716</v>
      </c>
      <c r="E230" s="214" t="str">
        <f>'2월'!E106</f>
        <v>유티모스트</v>
      </c>
      <c r="F230" s="215" t="str">
        <f>'2월'!F106</f>
        <v>삼성중공업</v>
      </c>
      <c r="G230" s="161" t="str">
        <f>'2월'!G106</f>
        <v>MA</v>
      </c>
      <c r="H230" s="83" t="str">
        <f>'2월'!H106</f>
        <v>월간-레노버</v>
      </c>
      <c r="I230" s="4" t="str">
        <f>'2월'!I106</f>
        <v>2월 유지정비료 - 5/15회</v>
      </c>
      <c r="J230" s="23">
        <f>'2월'!J106</f>
        <v>1</v>
      </c>
      <c r="K230" s="27">
        <f>'2월'!K106</f>
        <v>13057800</v>
      </c>
      <c r="L230" s="26">
        <f>'2월'!L106</f>
        <v>13057800</v>
      </c>
      <c r="M230" s="27">
        <f>'2월'!M106</f>
        <v>1305780</v>
      </c>
      <c r="N230" s="27">
        <f>'2월'!N106</f>
        <v>14363580</v>
      </c>
      <c r="O230" s="33">
        <f>'2월'!O106</f>
        <v>11892500</v>
      </c>
      <c r="P230" s="197" t="str">
        <f>'2월'!P106</f>
        <v>레노버(2/28)</v>
      </c>
      <c r="Q230" s="21">
        <f>'2월'!Q106</f>
        <v>1165300</v>
      </c>
      <c r="R230" s="68" t="str">
        <f>'2월'!R106</f>
        <v>완료(3/31)</v>
      </c>
      <c r="S230" s="36" t="str">
        <f>'2월'!S106</f>
        <v>천범석</v>
      </c>
      <c r="T230" s="11"/>
    </row>
    <row r="231" spans="1:20" ht="24">
      <c r="A231" t="s">
        <v>30</v>
      </c>
      <c r="B231" s="151" t="str">
        <f>'2월'!B107</f>
        <v>SB-25010</v>
      </c>
      <c r="C231" s="153" t="str">
        <f>'2월'!C107</f>
        <v>ZCXAPZ</v>
      </c>
      <c r="D231" s="17">
        <f>'2월'!D107</f>
        <v>45716</v>
      </c>
      <c r="E231" s="1" t="str">
        <f>'2월'!E107</f>
        <v>유티모스트</v>
      </c>
      <c r="F231" s="2" t="str">
        <f>'2월'!F107</f>
        <v>대우정보(메타넷디지털)</v>
      </c>
      <c r="G231" s="2" t="str">
        <f>'2월'!G107</f>
        <v>MA</v>
      </c>
      <c r="H231" s="2" t="str">
        <f>'2월'!H107</f>
        <v>월간-레노버</v>
      </c>
      <c r="I231" s="4" t="str">
        <f>'2월'!I107</f>
        <v>2월 유지정비료 - 11/21회</v>
      </c>
      <c r="J231" s="23">
        <f>'2월'!J107</f>
        <v>1</v>
      </c>
      <c r="K231" s="27">
        <f>'2월'!K107</f>
        <v>202000</v>
      </c>
      <c r="L231" s="26">
        <f>'2월'!L107</f>
        <v>202000</v>
      </c>
      <c r="M231" s="27">
        <f>'2월'!M107</f>
        <v>20200</v>
      </c>
      <c r="N231" s="27">
        <f>'2월'!N107</f>
        <v>222200</v>
      </c>
      <c r="O231" s="33">
        <f>'2월'!O107</f>
        <v>180600</v>
      </c>
      <c r="P231" s="197" t="str">
        <f>'2월'!P107</f>
        <v>레노버(2/28)</v>
      </c>
      <c r="Q231" s="20">
        <f>'2월'!Q107</f>
        <v>21400</v>
      </c>
      <c r="R231" s="68" t="str">
        <f>'2월'!R107</f>
        <v>완료(3/31)</v>
      </c>
      <c r="S231" s="8" t="str">
        <f>'2월'!S107</f>
        <v>천범석</v>
      </c>
      <c r="T231" s="11"/>
    </row>
    <row r="232" spans="1:20" ht="24">
      <c r="A232" t="s">
        <v>30</v>
      </c>
      <c r="B232" s="151" t="str">
        <f>'2월'!B108</f>
        <v>SB-24055
SB-24056</v>
      </c>
      <c r="C232" s="208" t="str">
        <f>'2월'!C108</f>
        <v>ZP1BPN
ZAXJCH</v>
      </c>
      <c r="D232" s="17">
        <f>'2월'!D108</f>
        <v>45716</v>
      </c>
      <c r="E232" s="214" t="str">
        <f>'2월'!E108</f>
        <v>이룸정보</v>
      </c>
      <c r="F232" s="189" t="str">
        <f>'2월'!F108</f>
        <v>포스코</v>
      </c>
      <c r="G232" s="161" t="str">
        <f>'2월'!G108</f>
        <v>MA</v>
      </c>
      <c r="H232" s="83" t="str">
        <f>'2월'!H108</f>
        <v>월간-레노버</v>
      </c>
      <c r="I232" s="163" t="str">
        <f>'2월'!I108</f>
        <v>2월 유지정비료 - 2/12회</v>
      </c>
      <c r="J232" s="24">
        <f>'2월'!J108</f>
        <v>1</v>
      </c>
      <c r="K232" s="26">
        <f>'2월'!K108</f>
        <v>2871300</v>
      </c>
      <c r="L232" s="26">
        <f>'2월'!L108</f>
        <v>2871300</v>
      </c>
      <c r="M232" s="27">
        <f>'2월'!M108</f>
        <v>287130</v>
      </c>
      <c r="N232" s="27">
        <f>'2월'!N108</f>
        <v>3158430</v>
      </c>
      <c r="O232" s="33">
        <f>'2월'!O108</f>
        <v>2636700</v>
      </c>
      <c r="P232" s="197" t="str">
        <f>'2월'!P108</f>
        <v>레노버(2/28)1,981,200
레노버(2/28) 655,500</v>
      </c>
      <c r="Q232" s="21">
        <f>'2월'!Q108</f>
        <v>234600</v>
      </c>
      <c r="R232" s="68" t="str">
        <f>'2월'!R108</f>
        <v>완료(4/29)</v>
      </c>
      <c r="S232" s="5" t="str">
        <f>'2월'!S108</f>
        <v>천범석</v>
      </c>
      <c r="T232" s="11"/>
    </row>
    <row r="233" spans="1:20" ht="60">
      <c r="A233" t="s">
        <v>30</v>
      </c>
      <c r="B233" s="151" t="str">
        <f>'2월'!B109</f>
        <v>SM-25010</v>
      </c>
      <c r="C233" s="200"/>
      <c r="D233" s="17">
        <f>'2월'!D109</f>
        <v>45716</v>
      </c>
      <c r="E233" s="214" t="str">
        <f>'2월'!E109</f>
        <v>더블포인트</v>
      </c>
      <c r="F233" s="215" t="str">
        <f>'2월'!F109</f>
        <v>한미약품</v>
      </c>
      <c r="G233" s="2" t="str">
        <f>'2월'!G109</f>
        <v>MA</v>
      </c>
      <c r="H233" s="161" t="str">
        <f>'2월'!H109</f>
        <v>월간-IBM</v>
      </c>
      <c r="I233" s="163" t="str">
        <f>'2월'!I109</f>
        <v>2월 유지정비료 - 2/12회</v>
      </c>
      <c r="J233" s="23">
        <f>'2월'!J109</f>
        <v>1</v>
      </c>
      <c r="K233" s="27">
        <f>'2월'!K109</f>
        <v>4761667</v>
      </c>
      <c r="L233" s="26">
        <f>'2월'!L109</f>
        <v>4761667</v>
      </c>
      <c r="M233" s="27">
        <f>'2월'!M109</f>
        <v>476166.7</v>
      </c>
      <c r="N233" s="27">
        <f>'2월'!N109</f>
        <v>5237833.7</v>
      </c>
      <c r="O233" s="72">
        <f>'2월'!O109</f>
        <v>4437257</v>
      </c>
      <c r="P233" s="170" t="str">
        <f>'2월'!P109</f>
        <v>IBM(2/3) 11,623,397
DCSS(2/28) 292,200
IBM APS(1/27) 연 7,859,914 (2/12회)
시스나인 (1/2) 분기8,000,000 (2/3회)
==총 15,237,257 중 4,437,257</v>
      </c>
      <c r="Q233" s="21">
        <f>'2월'!Q109</f>
        <v>324410</v>
      </c>
      <c r="R233" s="68" t="str">
        <f>'2월'!R109</f>
        <v>완료(3/31)</v>
      </c>
      <c r="S233" s="8" t="str">
        <f>'2월'!S109</f>
        <v>이예지</v>
      </c>
      <c r="T233" s="11"/>
    </row>
    <row r="234" spans="1:20" ht="60">
      <c r="A234" t="s">
        <v>30</v>
      </c>
      <c r="B234" s="151" t="str">
        <f>'2월'!B110</f>
        <v>SM-25011</v>
      </c>
      <c r="C234" s="200"/>
      <c r="D234" s="17">
        <f>'2월'!D110</f>
        <v>45716</v>
      </c>
      <c r="E234" s="214" t="str">
        <f>'2월'!E110</f>
        <v>더블포인트</v>
      </c>
      <c r="F234" s="215" t="str">
        <f>'2월'!F110</f>
        <v>한미사이언스</v>
      </c>
      <c r="G234" s="2" t="str">
        <f>'2월'!G110</f>
        <v>MA</v>
      </c>
      <c r="H234" s="161" t="str">
        <f>'2월'!H110</f>
        <v>월간-IBM</v>
      </c>
      <c r="I234" s="163" t="str">
        <f>'2월'!I110</f>
        <v>2월 유지정비료 - 2/12회</v>
      </c>
      <c r="J234" s="23">
        <f>'2월'!J110</f>
        <v>1</v>
      </c>
      <c r="K234" s="27">
        <f>'2월'!K110</f>
        <v>11210000</v>
      </c>
      <c r="L234" s="26">
        <f>'2월'!L110</f>
        <v>11210000</v>
      </c>
      <c r="M234" s="27">
        <f>'2월'!M110</f>
        <v>1121000</v>
      </c>
      <c r="N234" s="27">
        <f>'2월'!N110</f>
        <v>12331000</v>
      </c>
      <c r="O234" s="72">
        <f>'2월'!O110</f>
        <v>10800000</v>
      </c>
      <c r="P234" s="170" t="str">
        <f>'2월'!P110</f>
        <v>IBM(2/3) 11,623,397
DCSS(2/28) 292,200
IBM APS(1/27) 연 7,859,914 (2/12회)
시스나인 (1/2) 분기8,000,000 (2/3회)
==총 15,237,257 중 10,800,000</v>
      </c>
      <c r="Q234" s="21">
        <f>'2월'!Q110</f>
        <v>410000</v>
      </c>
      <c r="R234" s="68" t="str">
        <f>'2월'!R110</f>
        <v>완료(3/31)</v>
      </c>
      <c r="S234" s="8" t="str">
        <f>'2월'!S110</f>
        <v>이예지</v>
      </c>
      <c r="T234" s="11"/>
    </row>
    <row r="235" spans="1:20" ht="24">
      <c r="A235" t="s">
        <v>30</v>
      </c>
      <c r="B235" s="151" t="str">
        <f>'2월'!B111</f>
        <v>SM-25007</v>
      </c>
      <c r="C235" s="199"/>
      <c r="D235" s="17">
        <f>'2월'!D111</f>
        <v>45716</v>
      </c>
      <c r="E235" s="1" t="str">
        <f>'2월'!E111</f>
        <v>더블포인트</v>
      </c>
      <c r="F235" s="2" t="str">
        <f>'2월'!F111</f>
        <v>교보문고</v>
      </c>
      <c r="G235" s="2" t="str">
        <f>'2월'!G111</f>
        <v>MA</v>
      </c>
      <c r="H235" s="2" t="str">
        <f>'2월'!H111</f>
        <v>월간</v>
      </c>
      <c r="I235" s="163" t="str">
        <f>'2월'!I111</f>
        <v>2월 유지정비료 - 2/12회</v>
      </c>
      <c r="J235" s="23">
        <f>'2월'!J111</f>
        <v>1</v>
      </c>
      <c r="K235" s="27">
        <f>'2월'!K111</f>
        <v>880000</v>
      </c>
      <c r="L235" s="26">
        <f>'2월'!L111</f>
        <v>880000</v>
      </c>
      <c r="M235" s="27">
        <f>'2월'!M111</f>
        <v>88000</v>
      </c>
      <c r="N235" s="27">
        <f>'2월'!N111</f>
        <v>968000</v>
      </c>
      <c r="O235" s="52">
        <f>'2월'!O111</f>
        <v>709533.33333333326</v>
      </c>
      <c r="P235" s="171" t="str">
        <f>'2월'!P111</f>
        <v>DCSS(2/28) 376,200
시스나인(4/25) 1,000,000(2/3회)</v>
      </c>
      <c r="Q235" s="181">
        <f>'2월'!Q111</f>
        <v>170466.66666666674</v>
      </c>
      <c r="R235" s="68" t="str">
        <f>'2월'!R111</f>
        <v>완료(4/10)</v>
      </c>
      <c r="S235" s="8" t="str">
        <f>'2월'!S111</f>
        <v>이예지</v>
      </c>
      <c r="T235" s="11"/>
    </row>
    <row r="236" spans="1:20" ht="24">
      <c r="A236" t="s">
        <v>30</v>
      </c>
      <c r="B236" s="151" t="str">
        <f>'2월'!B112</f>
        <v>SM-25008</v>
      </c>
      <c r="C236" s="199"/>
      <c r="D236" s="17">
        <f>'2월'!D112</f>
        <v>45716</v>
      </c>
      <c r="E236" s="1" t="str">
        <f>'2월'!E112</f>
        <v>더블포인트</v>
      </c>
      <c r="F236" s="2" t="str">
        <f>'2월'!F112</f>
        <v>스마트로</v>
      </c>
      <c r="G236" s="161" t="str">
        <f>'2월'!G112</f>
        <v>MA</v>
      </c>
      <c r="H236" s="161" t="str">
        <f>'2월'!H112</f>
        <v>월간-IBM</v>
      </c>
      <c r="I236" s="163" t="str">
        <f>'2월'!I112</f>
        <v>2월 유지정비료 - 2/12회</v>
      </c>
      <c r="J236" s="34">
        <f>'2월'!J112</f>
        <v>1</v>
      </c>
      <c r="K236" s="48">
        <f>'2월'!K112</f>
        <v>3500000</v>
      </c>
      <c r="L236" s="26">
        <f>'2월'!L112</f>
        <v>3500000</v>
      </c>
      <c r="M236" s="27">
        <f>'2월'!M112</f>
        <v>350000</v>
      </c>
      <c r="N236" s="27">
        <f>'2월'!N112</f>
        <v>3850000</v>
      </c>
      <c r="O236" s="82">
        <f>'2월'!O112</f>
        <v>3210534</v>
      </c>
      <c r="P236" s="170" t="str">
        <f>'2월'!P112</f>
        <v>IBM(2/13) 2,421,068(2/2회)
시스나인(3/4) 1400중 600(2/3회)</v>
      </c>
      <c r="Q236" s="181">
        <f>'2월'!Q112</f>
        <v>289466</v>
      </c>
      <c r="R236" s="68" t="str">
        <f>'2월'!R112</f>
        <v>완료(4/10)</v>
      </c>
      <c r="S236" s="8" t="str">
        <f>'2월'!S112</f>
        <v>이예지</v>
      </c>
      <c r="T236" s="11"/>
    </row>
    <row r="237" spans="1:20">
      <c r="A237" t="s">
        <v>30</v>
      </c>
      <c r="B237" s="151" t="str">
        <f>'2월'!B113</f>
        <v>SM-25001</v>
      </c>
      <c r="C237" s="199"/>
      <c r="D237" s="17">
        <f>'2월'!D113</f>
        <v>45716</v>
      </c>
      <c r="E237" s="214" t="str">
        <f>'2월'!E113</f>
        <v>로스비브이</v>
      </c>
      <c r="F237" s="215" t="str">
        <f>'2월'!F113</f>
        <v>BAT서울</v>
      </c>
      <c r="G237" s="2" t="str">
        <f>'2월'!G113</f>
        <v>MA</v>
      </c>
      <c r="H237" s="2" t="str">
        <f>'2월'!H113</f>
        <v>월간-레노버</v>
      </c>
      <c r="I237" s="4" t="str">
        <f>'2월'!I113</f>
        <v xml:space="preserve">[HW] 2월 유지정비료 - 2/12회 </v>
      </c>
      <c r="J237" s="23">
        <f>'2월'!J113</f>
        <v>1</v>
      </c>
      <c r="K237" s="27">
        <f>'2월'!K113</f>
        <v>850000</v>
      </c>
      <c r="L237" s="26">
        <f>'2월'!L113</f>
        <v>850000</v>
      </c>
      <c r="M237" s="27">
        <f>'2월'!M113</f>
        <v>85000</v>
      </c>
      <c r="N237" s="27">
        <f>'2월'!N113</f>
        <v>935000</v>
      </c>
      <c r="O237" s="52">
        <f>'2월'!O113</f>
        <v>700000</v>
      </c>
      <c r="P237" s="171" t="str">
        <f>'2월'!P113</f>
        <v>알앤에스(2/24) 495만원 중</v>
      </c>
      <c r="Q237" s="181">
        <f>'2월'!Q113</f>
        <v>150000</v>
      </c>
      <c r="R237" s="68" t="str">
        <f>'2월'!R113</f>
        <v>완료(5/14)</v>
      </c>
      <c r="S237" s="8" t="str">
        <f>'2월'!S113</f>
        <v>천범석</v>
      </c>
      <c r="T237" s="11"/>
    </row>
    <row r="238" spans="1:20" ht="24">
      <c r="A238" t="s">
        <v>30</v>
      </c>
      <c r="B238" s="151" t="str">
        <f>'2월'!B114</f>
        <v>SM-25001</v>
      </c>
      <c r="C238" s="199"/>
      <c r="D238" s="17">
        <f>'2월'!D114</f>
        <v>45716</v>
      </c>
      <c r="E238" s="214" t="str">
        <f>'2월'!E114</f>
        <v>브리토바코</v>
      </c>
      <c r="F238" s="215" t="str">
        <f>'2월'!F114</f>
        <v>BAT사천</v>
      </c>
      <c r="G238" s="2" t="str">
        <f>'2월'!G114</f>
        <v>MA</v>
      </c>
      <c r="H238" s="2" t="str">
        <f>'2월'!H114</f>
        <v>월간-레노버</v>
      </c>
      <c r="I238" s="4" t="str">
        <f>'2월'!I114</f>
        <v>[HW] 2월 유지정비료 - 2/12회</v>
      </c>
      <c r="J238" s="23">
        <f>'2월'!J114</f>
        <v>1</v>
      </c>
      <c r="K238" s="27">
        <f>'2월'!K114</f>
        <v>4600000</v>
      </c>
      <c r="L238" s="26">
        <f>'2월'!L114</f>
        <v>4600000</v>
      </c>
      <c r="M238" s="27">
        <f>'2월'!M114</f>
        <v>460000</v>
      </c>
      <c r="N238" s="27">
        <f>'2월'!N114</f>
        <v>5060000</v>
      </c>
      <c r="O238" s="52">
        <f>'2월'!O114</f>
        <v>4450000</v>
      </c>
      <c r="P238" s="171" t="str">
        <f>'2월'!P114</f>
        <v>알앤에스(2/24) 495만원 중 
시스나인(1/2) 연 2,400,000(2/12회)</v>
      </c>
      <c r="Q238" s="181">
        <f>'2월'!Q114</f>
        <v>150000</v>
      </c>
      <c r="R238" s="68" t="str">
        <f>'2월'!R114</f>
        <v>완료(5/14)</v>
      </c>
      <c r="S238" s="8" t="str">
        <f>'2월'!S114</f>
        <v>천범석</v>
      </c>
      <c r="T238" s="11"/>
    </row>
    <row r="239" spans="1:20">
      <c r="A239" t="s">
        <v>30</v>
      </c>
      <c r="B239" s="151" t="str">
        <f>'2월'!B115</f>
        <v>SB-25001</v>
      </c>
      <c r="C239" s="153" t="str">
        <f>'2월'!C115</f>
        <v>ZXRZHC</v>
      </c>
      <c r="D239" s="17">
        <f>'2월'!D115</f>
        <v>45716</v>
      </c>
      <c r="E239" s="214" t="str">
        <f>'2월'!E115</f>
        <v>퓨처젠</v>
      </c>
      <c r="F239" s="215" t="str">
        <f>'2월'!F115</f>
        <v>HB저축은행</v>
      </c>
      <c r="G239" s="2" t="str">
        <f>'2월'!G115</f>
        <v>MA</v>
      </c>
      <c r="H239" s="2" t="str">
        <f>'2월'!H115</f>
        <v>월간-레노버</v>
      </c>
      <c r="I239" s="163" t="str">
        <f>'2월'!I115</f>
        <v>2월 유지정비료 - 2/12회</v>
      </c>
      <c r="J239" s="23">
        <f>'2월'!J115</f>
        <v>1</v>
      </c>
      <c r="K239" s="27">
        <f>'2월'!K115</f>
        <v>904800</v>
      </c>
      <c r="L239" s="26">
        <f>'2월'!L115</f>
        <v>904800</v>
      </c>
      <c r="M239" s="27">
        <f>'2월'!M115</f>
        <v>90480</v>
      </c>
      <c r="N239" s="27">
        <f>'2월'!N115</f>
        <v>995280</v>
      </c>
      <c r="O239" s="33">
        <f>'2월'!O115</f>
        <v>820200</v>
      </c>
      <c r="P239" s="197" t="str">
        <f>'2월'!P115</f>
        <v>레노버(2/28)</v>
      </c>
      <c r="Q239" s="20">
        <f>'2월'!Q115</f>
        <v>84600</v>
      </c>
      <c r="R239" s="2" t="str">
        <f>'2월'!R115</f>
        <v>완료(3/31)</v>
      </c>
      <c r="S239" s="8" t="str">
        <f>'2월'!S115</f>
        <v>천범석</v>
      </c>
      <c r="T239" s="11"/>
    </row>
    <row r="240" spans="1:20" ht="60">
      <c r="A240" t="s">
        <v>30</v>
      </c>
      <c r="B240" s="151" t="str">
        <f>'2월'!B116</f>
        <v>SM-25004</v>
      </c>
      <c r="C240" s="199"/>
      <c r="D240" s="17">
        <f>'2월'!D116</f>
        <v>45716</v>
      </c>
      <c r="E240" s="1" t="str">
        <f>'2월'!E116</f>
        <v>인표산업</v>
      </c>
      <c r="F240" s="2"/>
      <c r="G240" s="2" t="str">
        <f>'2월'!G116</f>
        <v>MA</v>
      </c>
      <c r="H240" s="2" t="str">
        <f>'2월'!H116</f>
        <v>월간</v>
      </c>
      <c r="I240" s="163" t="str">
        <f>'2월'!I116</f>
        <v>2월 유지정비료 - 2/12회</v>
      </c>
      <c r="J240" s="23">
        <f>'2월'!J116</f>
        <v>1</v>
      </c>
      <c r="K240" s="27">
        <f>'2월'!K116</f>
        <v>3611000</v>
      </c>
      <c r="L240" s="26">
        <f>'2월'!L116</f>
        <v>3611000</v>
      </c>
      <c r="M240" s="27">
        <f>'2월'!M116</f>
        <v>361100</v>
      </c>
      <c r="N240" s="27">
        <f>'2월'!N116</f>
        <v>3972100</v>
      </c>
      <c r="O240" s="52">
        <f>'2월'!O116</f>
        <v>2762000</v>
      </c>
      <c r="P240" s="170" t="str">
        <f>'2월'!P116</f>
        <v>프라테르(2/28) 672,000
트리거(2/28) 700,000
현성솔루션(2/28) 100,000
유니와이드(2/28) 290,000
시스나인(25/3/4) 반기 6,000,000 (2/6회)</v>
      </c>
      <c r="Q240" s="181">
        <f>'2월'!Q116</f>
        <v>849000</v>
      </c>
      <c r="R240" s="68" t="str">
        <f>'2월'!R116</f>
        <v>완료(3/31)</v>
      </c>
      <c r="S240" s="8" t="str">
        <f>'2월'!S116</f>
        <v>홍승민</v>
      </c>
      <c r="T240" s="11"/>
    </row>
    <row r="241" spans="1:20">
      <c r="A241" t="s">
        <v>30</v>
      </c>
      <c r="B241" s="151" t="str">
        <f>'2월'!B117</f>
        <v>SB-25005</v>
      </c>
      <c r="C241" s="153" t="str">
        <f>'2월'!C117</f>
        <v>ZSUEIX</v>
      </c>
      <c r="D241" s="17">
        <f>'2월'!D117</f>
        <v>45716</v>
      </c>
      <c r="E241" s="214" t="str">
        <f>'2월'!E117</f>
        <v>제이엔테크놀러지</v>
      </c>
      <c r="F241" s="215" t="str">
        <f>'2월'!F117</f>
        <v>SK실트론</v>
      </c>
      <c r="G241" s="1" t="str">
        <f>'2월'!G117</f>
        <v>MA</v>
      </c>
      <c r="H241" s="83" t="str">
        <f>'2월'!H117</f>
        <v>월간-레노버</v>
      </c>
      <c r="I241" s="163" t="str">
        <f>'2월'!I117</f>
        <v>2월 유지정비료 - 2/12회</v>
      </c>
      <c r="J241" s="23">
        <f>'2월'!J117</f>
        <v>1</v>
      </c>
      <c r="K241" s="27">
        <f>'2월'!K117</f>
        <v>554000</v>
      </c>
      <c r="L241" s="26">
        <f>'2월'!L117</f>
        <v>554000</v>
      </c>
      <c r="M241" s="27">
        <f>'2월'!M117</f>
        <v>55400</v>
      </c>
      <c r="N241" s="27">
        <f>'2월'!N117</f>
        <v>609400</v>
      </c>
      <c r="O241" s="33">
        <f>'2월'!O117</f>
        <v>502800</v>
      </c>
      <c r="P241" s="197" t="str">
        <f>'2월'!P117</f>
        <v>레노버(2/28)</v>
      </c>
      <c r="Q241" s="20">
        <f>'2월'!Q117</f>
        <v>51200</v>
      </c>
      <c r="R241" s="2" t="str">
        <f>'2월'!R117</f>
        <v>완료(3/31)</v>
      </c>
      <c r="S241" s="8" t="str">
        <f>'2월'!S117</f>
        <v>천범석</v>
      </c>
      <c r="T241" s="11"/>
    </row>
    <row r="242" spans="1:20">
      <c r="A242" t="s">
        <v>30</v>
      </c>
      <c r="B242" s="151" t="str">
        <f>'2월'!B118</f>
        <v>SM-25006</v>
      </c>
      <c r="C242" s="200"/>
      <c r="D242" s="17">
        <f>'2월'!D118</f>
        <v>45716</v>
      </c>
      <c r="E242" s="1" t="str">
        <f>'2월'!E118</f>
        <v>대륭상선</v>
      </c>
      <c r="F242" s="161"/>
      <c r="G242" s="161" t="str">
        <f>'2월'!G118</f>
        <v>MA</v>
      </c>
      <c r="H242" s="161" t="str">
        <f>'2월'!H118</f>
        <v>월간-IBM</v>
      </c>
      <c r="I242" s="163" t="str">
        <f>'2월'!I118</f>
        <v>2월 유지정비료 - 2/12회</v>
      </c>
      <c r="J242" s="71">
        <f>'2월'!J118</f>
        <v>1</v>
      </c>
      <c r="K242" s="26">
        <f>'2월'!K118</f>
        <v>2730000</v>
      </c>
      <c r="L242" s="26">
        <f>'2월'!L118</f>
        <v>2730000</v>
      </c>
      <c r="M242" s="27">
        <f>'2월'!M118</f>
        <v>273000</v>
      </c>
      <c r="N242" s="27">
        <f>'2월'!N118</f>
        <v>3003000</v>
      </c>
      <c r="O242" s="52">
        <f>'2월'!O118</f>
        <v>44000</v>
      </c>
      <c r="P242" s="171" t="str">
        <f>'2월'!P118</f>
        <v>DCSS(2/28)</v>
      </c>
      <c r="Q242" s="181">
        <f>'2월'!Q118</f>
        <v>2686000</v>
      </c>
      <c r="R242" s="68" t="str">
        <f>'2월'!R118</f>
        <v>완료(3/7)</v>
      </c>
      <c r="S242" s="5" t="str">
        <f>'2월'!S118</f>
        <v>홍승민</v>
      </c>
      <c r="T242" s="11"/>
    </row>
    <row r="243" spans="1:20" ht="24">
      <c r="A243" t="s">
        <v>30</v>
      </c>
      <c r="B243" s="151" t="str">
        <f>'2월'!B119</f>
        <v>SM-25009</v>
      </c>
      <c r="C243" s="153"/>
      <c r="D243" s="17">
        <f>'2월'!D119</f>
        <v>45716</v>
      </c>
      <c r="E243" s="1" t="str">
        <f>'2월'!E119</f>
        <v>투데이시스템</v>
      </c>
      <c r="F243" s="2" t="str">
        <f>'2월'!F119</f>
        <v>스마트로</v>
      </c>
      <c r="G243" s="1" t="str">
        <f>'2월'!G119</f>
        <v>MA</v>
      </c>
      <c r="H243" s="83" t="str">
        <f>'2월'!H119</f>
        <v>월간</v>
      </c>
      <c r="I243" s="4" t="str">
        <f>'2월'!I119</f>
        <v>(부품) 2월 유지정비료 - 2/12회</v>
      </c>
      <c r="J243" s="23">
        <f>'2월'!J119</f>
        <v>1</v>
      </c>
      <c r="K243" s="27">
        <f>'2월'!K119</f>
        <v>3475000</v>
      </c>
      <c r="L243" s="26">
        <f>'2월'!L119</f>
        <v>3475000</v>
      </c>
      <c r="M243" s="27">
        <f>'2월'!M119</f>
        <v>347500</v>
      </c>
      <c r="N243" s="27">
        <f>'2월'!N119</f>
        <v>3822500</v>
      </c>
      <c r="O243" s="33">
        <f>'2월'!O119</f>
        <v>3000000</v>
      </c>
      <c r="P243" s="197" t="str">
        <f>'2월'!P119</f>
        <v>시스나인(3/4) 1400중 800(2/3회)
투데이시스템(8/30) 1,000,00(2/3)</v>
      </c>
      <c r="Q243" s="20">
        <f>'2월'!Q119</f>
        <v>475000</v>
      </c>
      <c r="R243" s="2" t="str">
        <f>'2월'!R119</f>
        <v>완료(4/30)</v>
      </c>
      <c r="S243" s="8" t="str">
        <f>'2월'!S119</f>
        <v>이예지</v>
      </c>
      <c r="T243" s="11"/>
    </row>
    <row r="244" spans="1:20" ht="24">
      <c r="A244" t="s">
        <v>30</v>
      </c>
      <c r="B244" s="151" t="str">
        <f>'2월'!B120</f>
        <v>SB-25007</v>
      </c>
      <c r="C244" s="199" t="str">
        <f>'2월'!C120</f>
        <v>ZROHA2</v>
      </c>
      <c r="D244" s="17">
        <f>'2월'!D120</f>
        <v>45716</v>
      </c>
      <c r="E244" s="1" t="str">
        <f>'2월'!E120</f>
        <v>페타데이타</v>
      </c>
      <c r="F244" s="2" t="str">
        <f>'2월'!F120</f>
        <v>SBS</v>
      </c>
      <c r="G244" s="2" t="str">
        <f>'2월'!G120</f>
        <v>MA</v>
      </c>
      <c r="H244" s="2" t="str">
        <f>'2월'!H120</f>
        <v>월간-레노버</v>
      </c>
      <c r="I244" s="4" t="str">
        <f>'2월'!I120</f>
        <v>2월 유지정비료 - 2/12회</v>
      </c>
      <c r="J244" s="23">
        <f>'2월'!J120</f>
        <v>1</v>
      </c>
      <c r="K244" s="27">
        <f>'2월'!K120</f>
        <v>454600</v>
      </c>
      <c r="L244" s="26">
        <f>'2월'!L120</f>
        <v>454600</v>
      </c>
      <c r="M244" s="27">
        <f>'2월'!M120</f>
        <v>45460</v>
      </c>
      <c r="N244" s="27">
        <f>'2월'!N120</f>
        <v>500060</v>
      </c>
      <c r="O244" s="33">
        <f>'2월'!O120</f>
        <v>426333.33333333337</v>
      </c>
      <c r="P244" s="197" t="str">
        <f>'2월'!P120</f>
        <v>레노버(2/28) 243,000
시스나인(2/28) 1,100,000(2/6회)</v>
      </c>
      <c r="Q244" s="20">
        <f>'2월'!Q120</f>
        <v>28266.666666666628</v>
      </c>
      <c r="R244" s="68" t="str">
        <f>'2월'!R120</f>
        <v>완료(3/31)</v>
      </c>
      <c r="S244" s="8" t="str">
        <f>'2월'!S120</f>
        <v>천범석</v>
      </c>
      <c r="T244" s="11"/>
    </row>
    <row r="245" spans="1:20">
      <c r="A245" t="s">
        <v>30</v>
      </c>
      <c r="B245" s="151" t="str">
        <f>'2월'!B121</f>
        <v>SL-25007</v>
      </c>
      <c r="C245" s="199" t="str">
        <f>'2월'!C121</f>
        <v>SM_C24006</v>
      </c>
      <c r="D245" s="17">
        <f>'2월'!D121</f>
        <v>45716</v>
      </c>
      <c r="E245" s="1" t="str">
        <f>'2월'!E121</f>
        <v>지인아이티</v>
      </c>
      <c r="F245" s="2" t="str">
        <f>'2월'!F121</f>
        <v>두원공조</v>
      </c>
      <c r="G245" s="2" t="str">
        <f>'2월'!G121</f>
        <v>MAPAC</v>
      </c>
      <c r="H245" s="2" t="str">
        <f>'2월'!H121</f>
        <v>연간-레노버</v>
      </c>
      <c r="I245" s="4" t="str">
        <f>'2월'!I121</f>
        <v>연간유지정비료(25.02.14~26.02.13)</v>
      </c>
      <c r="J245" s="23">
        <f>'2월'!J121</f>
        <v>1</v>
      </c>
      <c r="K245" s="27">
        <f>'2월'!K121</f>
        <v>1948000</v>
      </c>
      <c r="L245" s="26">
        <f>'2월'!L121</f>
        <v>1948000</v>
      </c>
      <c r="M245" s="27">
        <f>'2월'!M121</f>
        <v>194800</v>
      </c>
      <c r="N245" s="27">
        <f>'2월'!N121</f>
        <v>2142800</v>
      </c>
      <c r="O245" s="33">
        <f>'2월'!O121</f>
        <v>1900080</v>
      </c>
      <c r="P245" s="229" t="str">
        <f>'2월'!P121</f>
        <v>레노버(2/11)</v>
      </c>
      <c r="Q245" s="20">
        <f>'2월'!Q121</f>
        <v>47920</v>
      </c>
      <c r="R245" s="2" t="str">
        <f>'2월'!R121</f>
        <v>완료(4/30)</v>
      </c>
      <c r="S245" s="8" t="str">
        <f>'2월'!S121</f>
        <v>천범석</v>
      </c>
      <c r="T245" s="11"/>
    </row>
    <row r="246" spans="1:20">
      <c r="A246" t="s">
        <v>30</v>
      </c>
      <c r="B246" s="151" t="str">
        <f>'2월'!B122</f>
        <v>S</v>
      </c>
      <c r="C246" s="153"/>
      <c r="D246" s="86">
        <f>'2월'!D122</f>
        <v>45716</v>
      </c>
      <c r="E246" s="1" t="str">
        <f>'2월'!E122</f>
        <v>에이치인포</v>
      </c>
      <c r="F246" s="2" t="str">
        <f>'2월'!F122</f>
        <v>HMM(에이치엠엠)</v>
      </c>
      <c r="G246" s="2" t="str">
        <f>'2월'!G122</f>
        <v>MA</v>
      </c>
      <c r="H246" s="2" t="str">
        <f>'2월'!H122</f>
        <v>기술지원</v>
      </c>
      <c r="I246" s="4" t="str">
        <f>'2월'!I122</f>
        <v>서비스기술지원 (3차)</v>
      </c>
      <c r="J246" s="23">
        <f>'2월'!J122</f>
        <v>1</v>
      </c>
      <c r="K246" s="27">
        <f>'2월'!K122</f>
        <v>1000000</v>
      </c>
      <c r="L246" s="26">
        <f>'2월'!L122</f>
        <v>1000000</v>
      </c>
      <c r="M246" s="27">
        <f>'2월'!M122</f>
        <v>100000</v>
      </c>
      <c r="N246" s="27">
        <f>'2월'!N122</f>
        <v>1100000</v>
      </c>
      <c r="O246" s="33">
        <f>'2월'!O122</f>
        <v>900000</v>
      </c>
      <c r="P246" s="197" t="str">
        <f>'2월'!P122</f>
        <v>시스나인(2/28)</v>
      </c>
      <c r="Q246" s="20">
        <f>'2월'!Q122</f>
        <v>100000</v>
      </c>
      <c r="R246" s="2" t="str">
        <f>'2월'!R122</f>
        <v>완료(3/31)</v>
      </c>
      <c r="S246" s="8" t="str">
        <f>'2월'!S122</f>
        <v>이예지</v>
      </c>
      <c r="T246" s="11"/>
    </row>
    <row r="247" spans="1:20" ht="36">
      <c r="A247" t="s">
        <v>30</v>
      </c>
      <c r="B247" s="151" t="str">
        <f>'2월'!B123</f>
        <v>SB-25014</v>
      </c>
      <c r="C247" s="153" t="str">
        <f>'2월'!C123</f>
        <v>ZAVPY3</v>
      </c>
      <c r="D247" s="17">
        <f>'2월'!D123</f>
        <v>45716</v>
      </c>
      <c r="E247" s="214" t="str">
        <f>'2월'!E123</f>
        <v>와이젠정보기술</v>
      </c>
      <c r="F247" s="215" t="str">
        <f>'2월'!F123</f>
        <v>안국약품</v>
      </c>
      <c r="G247" s="1" t="str">
        <f>'2월'!G123</f>
        <v>MA</v>
      </c>
      <c r="H247" s="2" t="str">
        <f>'2월'!H123</f>
        <v>월간-레노버</v>
      </c>
      <c r="I247" s="4" t="str">
        <f>'2월'!I123</f>
        <v>1,2월 유지정비료 - 1,2/12회</v>
      </c>
      <c r="J247" s="23">
        <f>'2월'!J123</f>
        <v>2</v>
      </c>
      <c r="K247" s="27">
        <f>'2월'!K123</f>
        <v>2900000</v>
      </c>
      <c r="L247" s="26">
        <f>'2월'!L123</f>
        <v>5800000</v>
      </c>
      <c r="M247" s="27">
        <f>'2월'!M123</f>
        <v>580000</v>
      </c>
      <c r="N247" s="27">
        <f>'2월'!N123</f>
        <v>6380000</v>
      </c>
      <c r="O247" s="33">
        <f>'2월'!O123</f>
        <v>4363333.333333333</v>
      </c>
      <c r="P247" s="197" t="str">
        <f>'2월'!P123</f>
        <v>레노버(2/27)(2/28) 1,515,000
다솜테크(1/24)(2/28) 250,000
시스나인 반기(2/28) 2,500,000(1,2/6회)</v>
      </c>
      <c r="Q247" s="20">
        <f>'2월'!Q123</f>
        <v>1436666.666666667</v>
      </c>
      <c r="R247" s="2" t="str">
        <f>'2월'!R123</f>
        <v>완료(3/31)</v>
      </c>
      <c r="S247" s="8" t="str">
        <f>'2월'!S123</f>
        <v>천범석</v>
      </c>
      <c r="T247" s="11"/>
    </row>
    <row r="248" spans="1:20" ht="24">
      <c r="A248" t="s">
        <v>30</v>
      </c>
      <c r="B248" s="151" t="str">
        <f>'2월'!B124</f>
        <v>SB-25009</v>
      </c>
      <c r="C248" s="199" t="str">
        <f>'2월'!C124</f>
        <v>ZPXA6W</v>
      </c>
      <c r="D248" s="17">
        <f>'2월'!D124</f>
        <v>45716</v>
      </c>
      <c r="E248" s="1" t="str">
        <f>'2월'!E124</f>
        <v>다올시스</v>
      </c>
      <c r="F248" s="2" t="str">
        <f>'2월'!F124</f>
        <v>대동도어</v>
      </c>
      <c r="G248" s="2" t="str">
        <f>'2월'!G124</f>
        <v>MA</v>
      </c>
      <c r="H248" s="2" t="str">
        <f>'2월'!H124</f>
        <v>월간-레노버</v>
      </c>
      <c r="I248" s="4" t="str">
        <f>'2월'!I124</f>
        <v>연간유지정비료(25.02.11~26.02.10)</v>
      </c>
      <c r="J248" s="23">
        <f>'2월'!J124</f>
        <v>1</v>
      </c>
      <c r="K248" s="27">
        <f>'2월'!K124</f>
        <v>2316000</v>
      </c>
      <c r="L248" s="26">
        <f>'2월'!L124</f>
        <v>2316000</v>
      </c>
      <c r="M248" s="27">
        <f>'2월'!M124</f>
        <v>231600</v>
      </c>
      <c r="N248" s="27">
        <f>'2월'!N124</f>
        <v>2547600</v>
      </c>
      <c r="O248" s="33">
        <f>'2월'!O124</f>
        <v>1792800</v>
      </c>
      <c r="P248" s="197" t="str">
        <f>'2월'!P124</f>
        <v>레노버(2/28) 99,600 (3/31~) 월 149,400
(26.2) 49,800</v>
      </c>
      <c r="Q248" s="20">
        <f>'2월'!Q124</f>
        <v>523200</v>
      </c>
      <c r="R248" s="2" t="str">
        <f>'2월'!R124</f>
        <v>완료(4/30)</v>
      </c>
      <c r="S248" s="8" t="str">
        <f>'2월'!S124</f>
        <v>천범석</v>
      </c>
      <c r="T248" s="11"/>
    </row>
    <row r="249" spans="1:20">
      <c r="A249" t="s">
        <v>30</v>
      </c>
      <c r="B249" s="151" t="str">
        <f>'2월'!B125</f>
        <v>SB-25013</v>
      </c>
      <c r="C249" s="153" t="str">
        <f>'2월'!C125</f>
        <v>ZL9ADS</v>
      </c>
      <c r="D249" s="17">
        <f>'2월'!D125</f>
        <v>45716</v>
      </c>
      <c r="E249" s="214" t="str">
        <f>'2월'!E125</f>
        <v>다솜테크</v>
      </c>
      <c r="F249" s="215" t="str">
        <f>'2월'!F125</f>
        <v>LG AI</v>
      </c>
      <c r="G249" s="2" t="str">
        <f>'2월'!G125</f>
        <v>MA</v>
      </c>
      <c r="H249" s="2" t="str">
        <f>'2월'!H125</f>
        <v>월간-레노버</v>
      </c>
      <c r="I249" s="4" t="str">
        <f>'2월'!I125</f>
        <v>1~2월 유지정비료 - 1,2/12회</v>
      </c>
      <c r="J249" s="23">
        <f>'2월'!J125</f>
        <v>2</v>
      </c>
      <c r="K249" s="27">
        <f>'2월'!K125</f>
        <v>535000</v>
      </c>
      <c r="L249" s="26">
        <f>'2월'!L125</f>
        <v>1070000</v>
      </c>
      <c r="M249" s="27">
        <f>'2월'!M125</f>
        <v>107000</v>
      </c>
      <c r="N249" s="27">
        <f>'2월'!N125</f>
        <v>1177000</v>
      </c>
      <c r="O249" s="82">
        <f>'2월'!O125</f>
        <v>993600</v>
      </c>
      <c r="P249" s="197" t="str">
        <f>'2월'!P125</f>
        <v>레노버(2/17) 496,800 (2/28)496,800</v>
      </c>
      <c r="Q249" s="20">
        <f>'2월'!Q125</f>
        <v>76400</v>
      </c>
      <c r="R249" s="68" t="str">
        <f>'2월'!R125</f>
        <v>완료(4/30)</v>
      </c>
      <c r="S249" s="8" t="str">
        <f>'2월'!S125</f>
        <v>천범석</v>
      </c>
      <c r="T249" s="11"/>
    </row>
    <row r="250" spans="1:20">
      <c r="A250" t="s">
        <v>30</v>
      </c>
      <c r="B250" s="151" t="str">
        <f>'2월'!B126</f>
        <v>D250217-01</v>
      </c>
      <c r="C250" s="153"/>
      <c r="D250" s="17">
        <f>'2월'!D126</f>
        <v>45716</v>
      </c>
      <c r="E250" s="1" t="str">
        <f>'2월'!E126</f>
        <v>아이엘씨</v>
      </c>
      <c r="F250" s="2"/>
      <c r="G250" s="2" t="str">
        <f>'2월'!G126</f>
        <v>상품</v>
      </c>
      <c r="H250" s="83" t="str">
        <f>'2월'!H126</f>
        <v>00YG670</v>
      </c>
      <c r="I250" s="4" t="str">
        <f>'2월'!I126</f>
        <v>Lenovo 6TB 7.2K SAS 3.5" HDD For DS4200[Used]</v>
      </c>
      <c r="J250" s="23">
        <f>'2월'!J126</f>
        <v>4</v>
      </c>
      <c r="K250" s="27">
        <f>'2월'!K126</f>
        <v>320000</v>
      </c>
      <c r="L250" s="26">
        <f>'2월'!L126</f>
        <v>1280000</v>
      </c>
      <c r="M250" s="27">
        <f>'2월'!M126</f>
        <v>128000</v>
      </c>
      <c r="N250" s="27">
        <f>'2월'!N126</f>
        <v>1408000</v>
      </c>
      <c r="O250" s="33">
        <f>'2월'!O126</f>
        <v>1145000</v>
      </c>
      <c r="P250" s="197" t="str">
        <f>'2월'!P126</f>
        <v>위퍼스트(2/20) 우림퀵(2/28) 25,000</v>
      </c>
      <c r="Q250" s="20">
        <f>'2월'!Q126</f>
        <v>135000</v>
      </c>
      <c r="R250" s="2" t="str">
        <f>'2월'!R126</f>
        <v>완료(3/31)</v>
      </c>
      <c r="S250" s="8" t="str">
        <f>'2월'!S126</f>
        <v>이지훈</v>
      </c>
      <c r="T250" s="11"/>
    </row>
    <row r="251" spans="1:20">
      <c r="A251" t="s">
        <v>30</v>
      </c>
      <c r="B251" s="151" t="str">
        <f>'2월'!B127</f>
        <v>SM-25007</v>
      </c>
      <c r="C251" s="153"/>
      <c r="D251" s="17">
        <f>'2월'!D127</f>
        <v>45716</v>
      </c>
      <c r="E251" s="214" t="str">
        <f>'2월'!E127</f>
        <v>브리토바코</v>
      </c>
      <c r="F251" s="215" t="str">
        <f>'2월'!F127</f>
        <v>BAT사천</v>
      </c>
      <c r="G251" s="2" t="str">
        <f>'2월'!G127</f>
        <v>MA</v>
      </c>
      <c r="H251" s="83" t="str">
        <f>'2월'!H127</f>
        <v>연간</v>
      </c>
      <c r="I251" s="4" t="str">
        <f>'2월'!I127</f>
        <v>IZEX Solution 유지보수(25.03.01~26.02.28)</v>
      </c>
      <c r="J251" s="23">
        <f>'2월'!J127</f>
        <v>1</v>
      </c>
      <c r="K251" s="27">
        <f>'2월'!K127</f>
        <v>4455000</v>
      </c>
      <c r="L251" s="26">
        <f>'2월'!L127</f>
        <v>4455000</v>
      </c>
      <c r="M251" s="27">
        <f>'2월'!M127</f>
        <v>445500</v>
      </c>
      <c r="N251" s="27">
        <f>'2월'!N127</f>
        <v>4900500</v>
      </c>
      <c r="O251" s="33">
        <f>'2월'!O127</f>
        <v>4050000</v>
      </c>
      <c r="P251" s="197" t="str">
        <f>'2월'!P127</f>
        <v>아이젝스(3/31)</v>
      </c>
      <c r="Q251" s="20">
        <f>'2월'!Q127</f>
        <v>405000</v>
      </c>
      <c r="R251" s="68" t="str">
        <f>'2월'!R127</f>
        <v>완료(5/14)</v>
      </c>
      <c r="S251" s="8" t="str">
        <f>'2월'!S127</f>
        <v>천범석</v>
      </c>
      <c r="T251" s="11"/>
    </row>
    <row r="252" spans="1:20" ht="24">
      <c r="A252" t="s">
        <v>30</v>
      </c>
      <c r="B252" s="151" t="str">
        <f>'2월'!B128</f>
        <v>SL-25009</v>
      </c>
      <c r="C252" s="153" t="str">
        <f>'2월'!C128</f>
        <v>SM_C25008</v>
      </c>
      <c r="D252" s="17">
        <f>'2월'!D128</f>
        <v>45716</v>
      </c>
      <c r="E252" s="1" t="str">
        <f>'2월'!E128</f>
        <v>나우테크</v>
      </c>
      <c r="F252" s="2"/>
      <c r="G252" s="2" t="str">
        <f>'2월'!G128</f>
        <v>MAPAC</v>
      </c>
      <c r="H252" s="2" t="str">
        <f>'2월'!H128</f>
        <v>연간-레노버</v>
      </c>
      <c r="I252" s="4" t="str">
        <f>'2월'!I128</f>
        <v>연간유지정비료(25.02.26~26.02.25)</v>
      </c>
      <c r="J252" s="23">
        <f>'2월'!J128</f>
        <v>1</v>
      </c>
      <c r="K252" s="27">
        <f>'2월'!K128</f>
        <v>3200000</v>
      </c>
      <c r="L252" s="26">
        <f>'2월'!L128</f>
        <v>3200000</v>
      </c>
      <c r="M252" s="27">
        <f>'2월'!M128</f>
        <v>320000</v>
      </c>
      <c r="N252" s="27">
        <f>'2월'!N128</f>
        <v>3520000</v>
      </c>
      <c r="O252" s="33">
        <f>'2월'!O128</f>
        <v>2624320</v>
      </c>
      <c r="P252" s="197" t="str">
        <f>'2월'!P128</f>
        <v>레노버(2/21)</v>
      </c>
      <c r="Q252" s="20">
        <f>'2월'!Q128</f>
        <v>575680</v>
      </c>
      <c r="R252" s="2" t="str">
        <f>'2월'!R128</f>
        <v>완료(3/31)</v>
      </c>
      <c r="S252" s="8" t="str">
        <f>'2월'!S128</f>
        <v>천범석</v>
      </c>
      <c r="T252" s="11"/>
    </row>
    <row r="253" spans="1:20" ht="24">
      <c r="A253" t="s">
        <v>30</v>
      </c>
      <c r="B253" s="151" t="str">
        <f>'2월'!B129</f>
        <v>LI-24009</v>
      </c>
      <c r="C253" s="153" t="str">
        <f>'2월'!C129</f>
        <v>ZMDFL5</v>
      </c>
      <c r="D253" s="17">
        <f>'2월'!D129</f>
        <v>45716</v>
      </c>
      <c r="E253" s="1" t="str">
        <f>'2월'!E129</f>
        <v>아이리스</v>
      </c>
      <c r="F253" s="189" t="str">
        <f>'2월'!F129</f>
        <v>프레이저플레이스호텔</v>
      </c>
      <c r="G253" s="2" t="str">
        <f>'2월'!G129</f>
        <v>MA</v>
      </c>
      <c r="H253" s="161" t="str">
        <f>'2월'!H129</f>
        <v>월간-IBM</v>
      </c>
      <c r="I253" s="70" t="str">
        <f>'2월'!I129</f>
        <v>IBM 분기 (25.2~25.04) 유지정비료 -(3/4)회</v>
      </c>
      <c r="J253" s="53">
        <f>'2월'!J129</f>
        <v>1</v>
      </c>
      <c r="K253" s="51">
        <f>'2월'!K129</f>
        <v>1055000</v>
      </c>
      <c r="L253" s="26">
        <f>'2월'!L129</f>
        <v>1055000</v>
      </c>
      <c r="M253" s="27">
        <f>'2월'!M129</f>
        <v>105500</v>
      </c>
      <c r="N253" s="27">
        <f>'2월'!N129</f>
        <v>1160500</v>
      </c>
      <c r="O253" s="52">
        <f>'2월'!O129</f>
        <v>785600</v>
      </c>
      <c r="P253" s="223" t="str">
        <f>'2월'!P129</f>
        <v>IBM 월 95,200(2/3)(3/4)(4/1)
시스나인(7/1)반기 1,000,000 1/2회</v>
      </c>
      <c r="Q253" s="181">
        <f>'2월'!Q129</f>
        <v>269400</v>
      </c>
      <c r="R253" s="68" t="str">
        <f>'2월'!R129</f>
        <v>완료(4/30)</v>
      </c>
      <c r="S253" s="8" t="str">
        <f>'2월'!S129</f>
        <v>천범석</v>
      </c>
      <c r="T253" s="11"/>
    </row>
    <row r="254" spans="1:20">
      <c r="A254" t="s">
        <v>30</v>
      </c>
      <c r="B254" s="151" t="str">
        <f>'2월'!B130</f>
        <v>H250227-02</v>
      </c>
      <c r="C254" s="153"/>
      <c r="D254" s="17">
        <f>'2월'!D130</f>
        <v>45716</v>
      </c>
      <c r="E254" s="1" t="str">
        <f>'2월'!E130</f>
        <v>포테크</v>
      </c>
      <c r="F254" s="2"/>
      <c r="G254" s="2" t="str">
        <f>'2월'!G130</f>
        <v>상품</v>
      </c>
      <c r="H254" s="83" t="str">
        <f>'2월'!H130</f>
        <v>785410-001</v>
      </c>
      <c r="I254" s="4" t="str">
        <f>'2월'!I130</f>
        <v>HP 300GB 12G SAS 10K 2.5 SC ENT HDD</v>
      </c>
      <c r="J254" s="23">
        <f>'2월'!J130</f>
        <v>1</v>
      </c>
      <c r="K254" s="27">
        <f>'2월'!K130</f>
        <v>150000</v>
      </c>
      <c r="L254" s="26">
        <f>'2월'!L130</f>
        <v>150000</v>
      </c>
      <c r="M254" s="27">
        <f>'2월'!M130</f>
        <v>15000</v>
      </c>
      <c r="N254" s="27">
        <f>'2월'!N130</f>
        <v>165000</v>
      </c>
      <c r="O254" s="33">
        <f>'2월'!O130</f>
        <v>100000</v>
      </c>
      <c r="P254" s="197" t="str">
        <f>'2월'!P130</f>
        <v>이비웨이브(2/27)</v>
      </c>
      <c r="Q254" s="20">
        <f>'2월'!Q130</f>
        <v>50000</v>
      </c>
      <c r="R254" s="2" t="str">
        <f>'2월'!R130</f>
        <v>완료(2/28)</v>
      </c>
      <c r="S254" s="8" t="str">
        <f>'2월'!S130</f>
        <v>천범석</v>
      </c>
      <c r="T254" s="11"/>
    </row>
    <row r="255" spans="1:20">
      <c r="A255" t="s">
        <v>30</v>
      </c>
      <c r="B255" s="151" t="str">
        <f>'3월'!B3</f>
        <v>SM-23015</v>
      </c>
      <c r="C255" s="152"/>
      <c r="D255" s="10">
        <f>'3월'!D3</f>
        <v>45717</v>
      </c>
      <c r="E255" s="1" t="str">
        <f>'3월'!E3</f>
        <v>동원프라스틱</v>
      </c>
      <c r="F255" s="1" t="str">
        <f>'3월'!F3</f>
        <v>동원프라스틱</v>
      </c>
      <c r="G255" s="161" t="str">
        <f>'3월'!G3</f>
        <v>MA</v>
      </c>
      <c r="H255" s="161" t="str">
        <f>'3월'!H3</f>
        <v>월간</v>
      </c>
      <c r="I255" s="163" t="str">
        <f>'3월'!I3</f>
        <v>3월 유지정비료 - 12/13회</v>
      </c>
      <c r="J255" s="71">
        <f>'3월'!J3</f>
        <v>1</v>
      </c>
      <c r="K255" s="26">
        <f>'3월'!K3</f>
        <v>1200000</v>
      </c>
      <c r="L255" s="26">
        <f>'3월'!L3</f>
        <v>1200000</v>
      </c>
      <c r="M255" s="27">
        <f>'3월'!M3</f>
        <v>120000</v>
      </c>
      <c r="N255" s="27">
        <f>'3월'!N3</f>
        <v>1320000</v>
      </c>
      <c r="O255" s="52">
        <f>'3월'!O3</f>
        <v>800000</v>
      </c>
      <c r="P255" s="171" t="str">
        <f>'3월'!P3</f>
        <v>시스나인(25/3/4) 4,800,000 3/6회</v>
      </c>
      <c r="Q255" s="181">
        <f>'3월'!Q3</f>
        <v>400000</v>
      </c>
      <c r="R255" s="68" t="str">
        <f>'3월'!R3</f>
        <v>완료(3/31)</v>
      </c>
      <c r="S255" s="5" t="str">
        <f>'3월'!S3</f>
        <v>이예지</v>
      </c>
      <c r="T255" s="6"/>
    </row>
    <row r="256" spans="1:20">
      <c r="A256" t="s">
        <v>30</v>
      </c>
      <c r="B256" s="151" t="str">
        <f>'3월'!B4</f>
        <v>IK-23016</v>
      </c>
      <c r="C256" s="153"/>
      <c r="D256" s="10">
        <f>'3월'!D4</f>
        <v>45717</v>
      </c>
      <c r="E256" s="1" t="str">
        <f>'3월'!E4</f>
        <v>케이정보기술</v>
      </c>
      <c r="F256" s="2" t="str">
        <f>'3월'!F4</f>
        <v>청주시청</v>
      </c>
      <c r="G256" s="1" t="str">
        <f>'3월'!G4</f>
        <v>MA</v>
      </c>
      <c r="H256" s="161" t="str">
        <f>'3월'!H4</f>
        <v>월간-IBM</v>
      </c>
      <c r="I256" s="164" t="str">
        <f>'3월'!I4</f>
        <v>3월 유지정비료 - 19/35회</v>
      </c>
      <c r="J256" s="210">
        <f>'3월'!J4</f>
        <v>1</v>
      </c>
      <c r="K256" s="27">
        <f>'3월'!K4</f>
        <v>1600000</v>
      </c>
      <c r="L256" s="26">
        <f>'3월'!L4</f>
        <v>1600000</v>
      </c>
      <c r="M256" s="27">
        <f>'3월'!M4</f>
        <v>160000</v>
      </c>
      <c r="N256" s="27">
        <f>'3월'!N4</f>
        <v>1760000</v>
      </c>
      <c r="O256" s="52">
        <f>'3월'!O4</f>
        <v>1383858</v>
      </c>
      <c r="P256" s="170" t="str">
        <f>'3월'!P4</f>
        <v>IBM(3/4) 1,123,962 (3/4) 259,896</v>
      </c>
      <c r="Q256" s="181">
        <f>'3월'!Q4</f>
        <v>216142</v>
      </c>
      <c r="R256" s="2" t="str">
        <f>'3월'!R4</f>
        <v>완료(4/30)</v>
      </c>
      <c r="S256" s="8" t="str">
        <f>'3월'!S4</f>
        <v>천범석</v>
      </c>
      <c r="T256" s="11"/>
    </row>
    <row r="257" spans="1:21" ht="12" customHeight="1">
      <c r="A257" t="s">
        <v>30</v>
      </c>
      <c r="B257" s="151" t="str">
        <f>'3월'!B5</f>
        <v>SM-24011</v>
      </c>
      <c r="C257" s="153"/>
      <c r="D257" s="10">
        <f>'3월'!D5</f>
        <v>45717</v>
      </c>
      <c r="E257" s="1" t="str">
        <f>'3월'!E5</f>
        <v>가나병원</v>
      </c>
      <c r="F257" s="161"/>
      <c r="G257" s="1" t="str">
        <f>'3월'!G5</f>
        <v>MA</v>
      </c>
      <c r="H257" s="161" t="str">
        <f>'3월'!H5</f>
        <v>월간</v>
      </c>
      <c r="I257" s="3" t="str">
        <f>'3월'!I5</f>
        <v>3월 유지정비료 - 11/12회</v>
      </c>
      <c r="J257" s="74">
        <f>'3월'!J5</f>
        <v>1</v>
      </c>
      <c r="K257" s="27">
        <f>'3월'!K5</f>
        <v>300000</v>
      </c>
      <c r="L257" s="26">
        <f>'3월'!L5</f>
        <v>300000</v>
      </c>
      <c r="M257" s="27">
        <f>'3월'!M5</f>
        <v>30000</v>
      </c>
      <c r="N257" s="27">
        <f>'3월'!N5</f>
        <v>330000</v>
      </c>
      <c r="O257" s="52">
        <f>'3월'!O5</f>
        <v>0</v>
      </c>
      <c r="P257" s="171" t="str">
        <f>'3월'!P5</f>
        <v>SM</v>
      </c>
      <c r="Q257" s="181">
        <f>'3월'!Q5</f>
        <v>300000</v>
      </c>
      <c r="R257" s="68" t="str">
        <f>'3월'!R5</f>
        <v>완료(3/13)</v>
      </c>
      <c r="S257" s="8" t="str">
        <f>'3월'!S5</f>
        <v>천범석</v>
      </c>
      <c r="T257" s="11"/>
    </row>
    <row r="258" spans="1:21" ht="24">
      <c r="A258" t="s">
        <v>30</v>
      </c>
      <c r="B258" s="151" t="str">
        <f>'3월'!B6</f>
        <v>LI-24004</v>
      </c>
      <c r="C258" s="153"/>
      <c r="D258" s="10">
        <f>'3월'!D6</f>
        <v>45717</v>
      </c>
      <c r="E258" s="1" t="str">
        <f>'3월'!E6</f>
        <v>한국메탈</v>
      </c>
      <c r="F258" s="2"/>
      <c r="G258" s="1" t="str">
        <f>'3월'!G6</f>
        <v>MA</v>
      </c>
      <c r="H258" s="1" t="str">
        <f>'3월'!H6</f>
        <v>월간-IBM</v>
      </c>
      <c r="I258" s="4" t="str">
        <f>'3월'!I6</f>
        <v>3월 유지정비료 - 11/36회</v>
      </c>
      <c r="J258" s="210">
        <f>'3월'!J6</f>
        <v>1</v>
      </c>
      <c r="K258" s="27">
        <f>'3월'!K6</f>
        <v>507500</v>
      </c>
      <c r="L258" s="26">
        <f>'3월'!L6</f>
        <v>507500</v>
      </c>
      <c r="M258" s="27">
        <f>'3월'!M6</f>
        <v>50750</v>
      </c>
      <c r="N258" s="27">
        <f>'3월'!N6</f>
        <v>558250</v>
      </c>
      <c r="O258" s="52">
        <f>'3월'!O6</f>
        <v>416682</v>
      </c>
      <c r="P258" s="170" t="str">
        <f>'3월'!P6</f>
        <v>IBM(3/3) 316,682
시스나인(1/2) 연간 1,200,000(3/12회)</v>
      </c>
      <c r="Q258" s="181">
        <f>'3월'!Q6</f>
        <v>90818</v>
      </c>
      <c r="R258" s="68" t="str">
        <f>'3월'!R6</f>
        <v>완료(3/31)</v>
      </c>
      <c r="S258" s="8" t="str">
        <f>'3월'!S6</f>
        <v>천범석</v>
      </c>
      <c r="T258" s="11"/>
    </row>
    <row r="259" spans="1:21" ht="48">
      <c r="A259" t="s">
        <v>30</v>
      </c>
      <c r="B259" s="151" t="str">
        <f>'3월'!B7</f>
        <v>LI-24005</v>
      </c>
      <c r="C259" s="152" t="str">
        <f>'3월'!C7</f>
        <v>Z4ACEZ</v>
      </c>
      <c r="D259" s="10">
        <f>'3월'!D7</f>
        <v>45717</v>
      </c>
      <c r="E259" s="157" t="str">
        <f>'3월'!E7</f>
        <v>해종합건축사사무소</v>
      </c>
      <c r="F259" s="157"/>
      <c r="G259" s="1" t="str">
        <f>'3월'!G7</f>
        <v>MA</v>
      </c>
      <c r="H259" s="1" t="str">
        <f>'3월'!H7</f>
        <v>월간-IBM</v>
      </c>
      <c r="I259" s="3" t="str">
        <f>'3월'!I7</f>
        <v>3월 유지정비료 - 10/12회</v>
      </c>
      <c r="J259" s="211">
        <f>'3월'!J7</f>
        <v>1</v>
      </c>
      <c r="K259" s="26">
        <f>'3월'!K7</f>
        <v>1554500</v>
      </c>
      <c r="L259" s="26">
        <f>'3월'!L7</f>
        <v>1554500</v>
      </c>
      <c r="M259" s="27">
        <f>'3월'!M7</f>
        <v>155450</v>
      </c>
      <c r="N259" s="27">
        <f>'3월'!N7</f>
        <v>1709950</v>
      </c>
      <c r="O259" s="52">
        <f>'3월'!O7</f>
        <v>1308000</v>
      </c>
      <c r="P259" s="171" t="str">
        <f>'3월'!P7</f>
        <v>레노버(3/31) 171,600
에스엔에이(3/15) 200,000
IBM(3/1) 436,400
시스나인(25/3/4) 연간 6,000,000 10/12회</v>
      </c>
      <c r="Q259" s="181">
        <f>'3월'!Q7</f>
        <v>246500</v>
      </c>
      <c r="R259" s="68" t="str">
        <f>'3월'!R7</f>
        <v>완료(3/31)</v>
      </c>
      <c r="S259" s="5" t="str">
        <f>'3월'!S7</f>
        <v>천범석</v>
      </c>
      <c r="T259" s="6"/>
    </row>
    <row r="260" spans="1:21">
      <c r="A260" t="s">
        <v>30</v>
      </c>
      <c r="B260" s="151" t="str">
        <f>'3월'!B8</f>
        <v>SB-24039</v>
      </c>
      <c r="C260" s="152" t="str">
        <f>'3월'!C8</f>
        <v>ZZGBBZ</v>
      </c>
      <c r="D260" s="10">
        <f>'3월'!D8</f>
        <v>45717</v>
      </c>
      <c r="E260" s="1" t="str">
        <f>'3월'!E8</f>
        <v>한국디지털방송</v>
      </c>
      <c r="F260" s="1"/>
      <c r="G260" s="1" t="str">
        <f>'3월'!G8</f>
        <v>MA</v>
      </c>
      <c r="H260" s="161" t="str">
        <f>'3월'!H8</f>
        <v>월간-레노버</v>
      </c>
      <c r="I260" s="164" t="str">
        <f>'3월'!I8</f>
        <v>3월 유지정비료 - 9/12회</v>
      </c>
      <c r="J260" s="69">
        <f>'3월'!J8</f>
        <v>1</v>
      </c>
      <c r="K260" s="29">
        <f>'3월'!K8</f>
        <v>1423000</v>
      </c>
      <c r="L260" s="26">
        <f>'3월'!L8</f>
        <v>1423000</v>
      </c>
      <c r="M260" s="27">
        <f>'3월'!M8</f>
        <v>142300</v>
      </c>
      <c r="N260" s="27">
        <f>'3월'!N8</f>
        <v>1565300</v>
      </c>
      <c r="O260" s="52">
        <f>'3월'!O8</f>
        <v>1120200</v>
      </c>
      <c r="P260" s="171" t="str">
        <f>'3월'!P8</f>
        <v>레노버(3/31)</v>
      </c>
      <c r="Q260" s="181">
        <f>'3월'!Q8</f>
        <v>302800</v>
      </c>
      <c r="R260" s="68" t="str">
        <f>'3월'!R8</f>
        <v>완료(3/20)</v>
      </c>
      <c r="S260" s="5" t="str">
        <f>'3월'!S8</f>
        <v>천범석</v>
      </c>
      <c r="T260" s="6"/>
    </row>
    <row r="261" spans="1:21" ht="24">
      <c r="A261" t="s">
        <v>30</v>
      </c>
      <c r="B261" s="151" t="str">
        <f>'3월'!B9</f>
        <v>IK-24008</v>
      </c>
      <c r="C261" s="153"/>
      <c r="D261" s="10">
        <f>'3월'!D9</f>
        <v>45717</v>
      </c>
      <c r="E261" s="1" t="str">
        <f>'3월'!E9</f>
        <v>서비스링크</v>
      </c>
      <c r="F261" s="2" t="str">
        <f>'3월'!F9</f>
        <v>세원정공(폴라리스세원)</v>
      </c>
      <c r="G261" s="1" t="str">
        <f>'3월'!G9</f>
        <v>MA</v>
      </c>
      <c r="H261" s="161" t="str">
        <f>'3월'!H9</f>
        <v>월간-레노버</v>
      </c>
      <c r="I261" s="164" t="str">
        <f>'3월'!I9</f>
        <v>3월 유지정비료 - 9/12회</v>
      </c>
      <c r="J261" s="210">
        <f>'3월'!J9</f>
        <v>1</v>
      </c>
      <c r="K261" s="27">
        <f>'3월'!K9</f>
        <v>238000</v>
      </c>
      <c r="L261" s="26">
        <f>'3월'!L9</f>
        <v>238000</v>
      </c>
      <c r="M261" s="27">
        <f>'3월'!M9</f>
        <v>23800</v>
      </c>
      <c r="N261" s="27">
        <f>'3월'!N9</f>
        <v>261800</v>
      </c>
      <c r="O261" s="52">
        <f>'3월'!O9</f>
        <v>198018</v>
      </c>
      <c r="P261" s="170" t="str">
        <f>'3월'!P9</f>
        <v>IBM(3/4)</v>
      </c>
      <c r="Q261" s="181">
        <f>'3월'!Q9</f>
        <v>39982</v>
      </c>
      <c r="R261" s="68" t="str">
        <f>'3월'!R9</f>
        <v>완료(3/31)</v>
      </c>
      <c r="S261" s="5" t="str">
        <f>'3월'!S9</f>
        <v>천범석</v>
      </c>
      <c r="T261" s="11"/>
    </row>
    <row r="262" spans="1:21">
      <c r="A262" t="s">
        <v>30</v>
      </c>
      <c r="B262" s="151" t="str">
        <f>'3월'!B10</f>
        <v>IK-24012</v>
      </c>
      <c r="C262" s="153"/>
      <c r="D262" s="10">
        <f>'3월'!D10</f>
        <v>45717</v>
      </c>
      <c r="E262" s="1" t="str">
        <f>'3월'!E10</f>
        <v>인정보시스템</v>
      </c>
      <c r="F262" s="2" t="str">
        <f>'3월'!F10</f>
        <v>대구텍</v>
      </c>
      <c r="G262" s="1" t="str">
        <f>'3월'!G10</f>
        <v>MA</v>
      </c>
      <c r="H262" s="161" t="str">
        <f>'3월'!H10</f>
        <v>월간-IBM</v>
      </c>
      <c r="I262" s="4" t="str">
        <f>'3월'!I10</f>
        <v>3월 유지정비료 - 3/6회</v>
      </c>
      <c r="J262" s="23">
        <f>'3월'!J10</f>
        <v>1</v>
      </c>
      <c r="K262" s="26">
        <f>'3월'!K10</f>
        <v>1039500</v>
      </c>
      <c r="L262" s="26">
        <f>'3월'!L10</f>
        <v>1039500</v>
      </c>
      <c r="M262" s="27">
        <f>'3월'!M10</f>
        <v>103950</v>
      </c>
      <c r="N262" s="27">
        <f>'3월'!N10</f>
        <v>1143450</v>
      </c>
      <c r="O262" s="33">
        <f>'3월'!O10</f>
        <v>990000</v>
      </c>
      <c r="P262" s="170" t="str">
        <f>'3월'!P10</f>
        <v>IBM(3/4)</v>
      </c>
      <c r="Q262" s="20">
        <f>'3월'!Q10</f>
        <v>49500</v>
      </c>
      <c r="R262" s="68" t="str">
        <f>'3월'!R10</f>
        <v>완료(3/28)</v>
      </c>
      <c r="S262" s="8" t="str">
        <f>'3월'!S10</f>
        <v>천범석</v>
      </c>
      <c r="T262" s="11"/>
      <c r="U262" t="s">
        <v>476</v>
      </c>
    </row>
    <row r="263" spans="1:21">
      <c r="A263" t="s">
        <v>30</v>
      </c>
      <c r="B263" s="151" t="str">
        <f>'3월'!B11</f>
        <v>IK-24013</v>
      </c>
      <c r="C263" s="153"/>
      <c r="D263" s="10">
        <f>'3월'!D11</f>
        <v>45717</v>
      </c>
      <c r="E263" s="1" t="str">
        <f>'3월'!E11</f>
        <v>레드텍</v>
      </c>
      <c r="F263" s="2" t="str">
        <f>'3월'!F11</f>
        <v>대한상공회의소</v>
      </c>
      <c r="G263" s="161" t="str">
        <f>'3월'!G11</f>
        <v>MA</v>
      </c>
      <c r="H263" s="161" t="str">
        <f>'3월'!H11</f>
        <v>월간-IBM</v>
      </c>
      <c r="I263" s="4" t="str">
        <f>'3월'!I11</f>
        <v>3월 유지정비료 - 5/12회</v>
      </c>
      <c r="J263" s="23">
        <f>'3월'!J11</f>
        <v>1</v>
      </c>
      <c r="K263" s="27">
        <f>'3월'!K11</f>
        <v>158400</v>
      </c>
      <c r="L263" s="26">
        <f>'3월'!L11</f>
        <v>158400</v>
      </c>
      <c r="M263" s="27">
        <f>'3월'!M11</f>
        <v>15840</v>
      </c>
      <c r="N263" s="27">
        <f>'3월'!N11</f>
        <v>174240</v>
      </c>
      <c r="O263" s="33">
        <f>'3월'!O11</f>
        <v>145780</v>
      </c>
      <c r="P263" s="170" t="str">
        <f>'3월'!P11</f>
        <v>IBM(3/4)</v>
      </c>
      <c r="Q263" s="20">
        <f>'3월'!Q11</f>
        <v>12620</v>
      </c>
      <c r="R263" s="68" t="str">
        <f>'3월'!R11</f>
        <v>완료(3/4)</v>
      </c>
      <c r="S263" s="8" t="str">
        <f>'3월'!S11</f>
        <v>천범석</v>
      </c>
      <c r="T263" s="11"/>
    </row>
    <row r="264" spans="1:21" ht="24">
      <c r="A264" t="s">
        <v>30</v>
      </c>
      <c r="B264" s="151" t="str">
        <f>'3월'!B12</f>
        <v>SM-23012</v>
      </c>
      <c r="C264" s="152"/>
      <c r="D264" s="10">
        <f>'3월'!D12</f>
        <v>45717</v>
      </c>
      <c r="E264" s="1" t="str">
        <f>'3월'!E12</f>
        <v>택스홈앤아웃</v>
      </c>
      <c r="F264" s="161" t="str">
        <f>'3월'!F12</f>
        <v>본사</v>
      </c>
      <c r="G264" s="161" t="str">
        <f>'3월'!G12</f>
        <v>MA</v>
      </c>
      <c r="H264" s="161" t="str">
        <f>'3월'!H12</f>
        <v>월간</v>
      </c>
      <c r="I264" s="163" t="str">
        <f>'3월'!I12</f>
        <v>VPN 서비스 3월임대료 - 3/12회 280,000
+ 보안스위치 3월 2대*120,000</v>
      </c>
      <c r="J264" s="71">
        <f>'3월'!J12</f>
        <v>1</v>
      </c>
      <c r="K264" s="26">
        <f>'3월'!K12</f>
        <v>520000</v>
      </c>
      <c r="L264" s="26">
        <f>'3월'!L12</f>
        <v>520000</v>
      </c>
      <c r="M264" s="27">
        <f>'3월'!M12</f>
        <v>52000</v>
      </c>
      <c r="N264" s="27">
        <f>'3월'!N12</f>
        <v>572000</v>
      </c>
      <c r="O264" s="52">
        <f>'3월'!O12</f>
        <v>368600</v>
      </c>
      <c r="P264" s="171" t="str">
        <f>'3월'!P12</f>
        <v>엘림넷(3/10) 213,400 (3/10) 155,200</v>
      </c>
      <c r="Q264" s="181">
        <f>'3월'!Q12</f>
        <v>151400</v>
      </c>
      <c r="R264" s="68" t="str">
        <f>'3월'!R12</f>
        <v>완료(3/31)</v>
      </c>
      <c r="S264" s="5" t="str">
        <f>'3월'!S12</f>
        <v>이예지</v>
      </c>
      <c r="T264" s="6"/>
    </row>
    <row r="265" spans="1:21">
      <c r="A265" t="s">
        <v>30</v>
      </c>
      <c r="B265" s="151" t="str">
        <f>'3월'!B13</f>
        <v>SM-23013</v>
      </c>
      <c r="C265" s="152"/>
      <c r="D265" s="10">
        <f>'3월'!D13</f>
        <v>45717</v>
      </c>
      <c r="E265" s="1" t="str">
        <f>'3월'!E13</f>
        <v>하이엔드택스 강남지점</v>
      </c>
      <c r="F265" s="161" t="str">
        <f>'3월'!F13</f>
        <v>압구정</v>
      </c>
      <c r="G265" s="161" t="str">
        <f>'3월'!G13</f>
        <v>MA</v>
      </c>
      <c r="H265" s="161" t="str">
        <f>'3월'!H13</f>
        <v>월간</v>
      </c>
      <c r="I265" s="163" t="str">
        <f>'3월'!I13</f>
        <v>VPN 서비스 3월임대료 - 3/12회</v>
      </c>
      <c r="J265" s="71">
        <f>'3월'!J13</f>
        <v>1</v>
      </c>
      <c r="K265" s="26">
        <f>'3월'!K13</f>
        <v>320000</v>
      </c>
      <c r="L265" s="26">
        <f>'3월'!L13</f>
        <v>320000</v>
      </c>
      <c r="M265" s="27">
        <f>'3월'!M13</f>
        <v>32000</v>
      </c>
      <c r="N265" s="27">
        <f>'3월'!N13</f>
        <v>352000</v>
      </c>
      <c r="O265" s="52">
        <f>'3월'!O13</f>
        <v>223100</v>
      </c>
      <c r="P265" s="171" t="str">
        <f>'3월'!P13</f>
        <v>엘림넷(3/10) 145,500 (3/10) 77,600</v>
      </c>
      <c r="Q265" s="181">
        <f>'3월'!Q13</f>
        <v>96900</v>
      </c>
      <c r="R265" s="68" t="str">
        <f>'3월'!R13</f>
        <v>완료(4/2)</v>
      </c>
      <c r="S265" s="5" t="str">
        <f>'3월'!S13</f>
        <v>이예지</v>
      </c>
      <c r="T265" s="6"/>
    </row>
    <row r="266" spans="1:21">
      <c r="A266" t="s">
        <v>30</v>
      </c>
      <c r="B266" s="151" t="str">
        <f>'3월'!B14</f>
        <v>SM-23016</v>
      </c>
      <c r="C266" s="152"/>
      <c r="D266" s="10">
        <f>'3월'!D14</f>
        <v>45717</v>
      </c>
      <c r="E266" s="1" t="str">
        <f>'3월'!E14</f>
        <v>에실로코리아</v>
      </c>
      <c r="F266" s="1" t="str">
        <f>'3월'!F14</f>
        <v>에실로코리아</v>
      </c>
      <c r="G266" s="161" t="str">
        <f>'3월'!G14</f>
        <v>MA</v>
      </c>
      <c r="H266" s="161" t="str">
        <f>'3월'!H14</f>
        <v>월간</v>
      </c>
      <c r="I266" s="163" t="str">
        <f>'3월'!I14</f>
        <v>3월 유지정비료 - 3/12회</v>
      </c>
      <c r="J266" s="71">
        <f>'3월'!J14</f>
        <v>1</v>
      </c>
      <c r="K266" s="28">
        <f>'3월'!K14</f>
        <v>100000</v>
      </c>
      <c r="L266" s="26">
        <f>'3월'!L14</f>
        <v>100000</v>
      </c>
      <c r="M266" s="27">
        <f>'3월'!M14</f>
        <v>10000</v>
      </c>
      <c r="N266" s="27">
        <f>'3월'!N14</f>
        <v>110000</v>
      </c>
      <c r="O266" s="52">
        <f>'3월'!O14</f>
        <v>0</v>
      </c>
      <c r="P266" s="171" t="str">
        <f>'3월'!P14</f>
        <v>SM</v>
      </c>
      <c r="Q266" s="181">
        <f>'3월'!Q14</f>
        <v>100000</v>
      </c>
      <c r="R266" s="68" t="str">
        <f>'3월'!R14</f>
        <v>완료(4/24)</v>
      </c>
      <c r="S266" s="5" t="str">
        <f>'3월'!S14</f>
        <v>이예지</v>
      </c>
      <c r="T266" s="6"/>
    </row>
    <row r="267" spans="1:21" ht="24">
      <c r="A267" t="s">
        <v>30</v>
      </c>
      <c r="B267" s="151" t="str">
        <f>'3월'!B15</f>
        <v>IK-22025</v>
      </c>
      <c r="C267" s="153"/>
      <c r="D267" s="10">
        <f>'3월'!D15</f>
        <v>45717</v>
      </c>
      <c r="E267" s="1" t="str">
        <f>'3월'!E15</f>
        <v>디에스피</v>
      </c>
      <c r="F267" s="161" t="str">
        <f>'3월'!F15</f>
        <v>엘지생활건강 청주공장</v>
      </c>
      <c r="G267" s="1" t="str">
        <f>'3월'!G15</f>
        <v>MA</v>
      </c>
      <c r="H267" s="161" t="str">
        <f>'3월'!H15</f>
        <v>월간-IBM</v>
      </c>
      <c r="I267" s="162" t="str">
        <f>'3월'!I15</f>
        <v>3월 유지정비료 - 2/12회</v>
      </c>
      <c r="J267" s="74">
        <f>'3월'!J15</f>
        <v>1</v>
      </c>
      <c r="K267" s="27">
        <f>'3월'!K15</f>
        <v>635000</v>
      </c>
      <c r="L267" s="26">
        <f>'3월'!L15</f>
        <v>635000</v>
      </c>
      <c r="M267" s="27">
        <f>'3월'!M15</f>
        <v>63500</v>
      </c>
      <c r="N267" s="27">
        <f>'3월'!N15</f>
        <v>698500</v>
      </c>
      <c r="O267" s="52">
        <f>'3월'!O15</f>
        <v>564192</v>
      </c>
      <c r="P267" s="170" t="str">
        <f>'3월'!P15</f>
        <v>IBM(3/3)</v>
      </c>
      <c r="Q267" s="181">
        <f>'3월'!Q15</f>
        <v>70808</v>
      </c>
      <c r="R267" s="68" t="str">
        <f>'3월'!R15</f>
        <v>완료(3/31)</v>
      </c>
      <c r="S267" s="8" t="str">
        <f>'3월'!S15</f>
        <v>천범석</v>
      </c>
      <c r="T267" s="11"/>
    </row>
    <row r="268" spans="1:21">
      <c r="A268" t="s">
        <v>30</v>
      </c>
      <c r="B268" s="151" t="str">
        <f>'3월'!B16</f>
        <v>S</v>
      </c>
      <c r="C268" s="153"/>
      <c r="D268" s="17">
        <f>'3월'!D16</f>
        <v>45721</v>
      </c>
      <c r="E268" s="1" t="str">
        <f>'3월'!E16</f>
        <v>장형기업</v>
      </c>
      <c r="F268" s="2" t="str">
        <f>'3월'!F16</f>
        <v>검단미플존 316호</v>
      </c>
      <c r="G268" s="161" t="str">
        <f>'3월'!G16</f>
        <v>건물임대</v>
      </c>
      <c r="H268" s="161" t="str">
        <f>'3월'!H16</f>
        <v>임대료</v>
      </c>
      <c r="I268" s="3" t="str">
        <f>'3월'!I16</f>
        <v>3월 임대료 - 5/8회</v>
      </c>
      <c r="J268" s="210">
        <f>'3월'!J16</f>
        <v>1</v>
      </c>
      <c r="K268" s="27">
        <f>'3월'!K16</f>
        <v>367500</v>
      </c>
      <c r="L268" s="26">
        <f>'3월'!L16</f>
        <v>367500</v>
      </c>
      <c r="M268" s="27">
        <f>'3월'!M16</f>
        <v>36750</v>
      </c>
      <c r="N268" s="27">
        <f>'3월'!N16</f>
        <v>404250</v>
      </c>
      <c r="O268" s="52">
        <f>'3월'!O16</f>
        <v>0</v>
      </c>
      <c r="P268" s="171" t="str">
        <f>'3월'!P16</f>
        <v>X</v>
      </c>
      <c r="Q268" s="181">
        <f>'3월'!Q16</f>
        <v>367500</v>
      </c>
      <c r="R268" s="68" t="str">
        <f>'3월'!R16</f>
        <v>완료(3/31)</v>
      </c>
      <c r="S268" s="5" t="str">
        <f>'3월'!S16</f>
        <v>정지우</v>
      </c>
      <c r="T268" s="11"/>
    </row>
    <row r="269" spans="1:21" ht="81.75" customHeight="1">
      <c r="A269" t="s">
        <v>30</v>
      </c>
      <c r="B269" s="151" t="str">
        <f>'3월'!B17</f>
        <v>SM-24021</v>
      </c>
      <c r="C269" s="200"/>
      <c r="D269" s="17">
        <f>'3월'!D17</f>
        <v>45721</v>
      </c>
      <c r="E269" s="1" t="str">
        <f>'3월'!E17</f>
        <v>제이원캐피탈</v>
      </c>
      <c r="F269" s="161"/>
      <c r="G269" s="1" t="str">
        <f>'3월'!G17</f>
        <v>MA</v>
      </c>
      <c r="H269" s="161" t="str">
        <f>'3월'!H17</f>
        <v>월간</v>
      </c>
      <c r="I269" s="3" t="str">
        <f>'3월'!I17</f>
        <v>2월 유지정비료 - 6/12회</v>
      </c>
      <c r="J269" s="210">
        <f>'3월'!J17</f>
        <v>1</v>
      </c>
      <c r="K269" s="26">
        <f>'3월'!K17</f>
        <v>7060000</v>
      </c>
      <c r="L269" s="26">
        <f>'3월'!L17</f>
        <v>7060000</v>
      </c>
      <c r="M269" s="67">
        <f>'3월'!M17</f>
        <v>706000</v>
      </c>
      <c r="N269" s="27">
        <f>'3월'!N17</f>
        <v>7766000</v>
      </c>
      <c r="O269" s="52">
        <f>'3월'!O17</f>
        <v>3974681</v>
      </c>
      <c r="P269" s="171" t="str">
        <f>'3월'!P17</f>
        <v>IBM(2/3) 691,781
에스엔에이(2/28) 300,000
키미데이타(2/28) 70,000
코오롱베니트(10/31) 1,000,000연간(6/12회)
더파트(2/28) 810,000
DCSS(2/28) 352,900
시스나인(4/25) 분기5,000 000(2/3회)</v>
      </c>
      <c r="Q269" s="181">
        <f>'3월'!Q17</f>
        <v>3085319</v>
      </c>
      <c r="R269" s="2" t="str">
        <f>'3월'!R17</f>
        <v>완료(3/28)</v>
      </c>
      <c r="S269" s="5" t="str">
        <f>'3월'!S17</f>
        <v>이예지</v>
      </c>
      <c r="T269" s="6"/>
    </row>
    <row r="270" spans="1:21">
      <c r="A270" t="s">
        <v>30</v>
      </c>
      <c r="B270" s="151" t="str">
        <f>'3월'!B18</f>
        <v>SM-24020</v>
      </c>
      <c r="C270" s="153"/>
      <c r="D270" s="17">
        <f>'3월'!D18</f>
        <v>45721</v>
      </c>
      <c r="E270" s="1" t="str">
        <f>'3월'!E18</f>
        <v>에이비씨한국</v>
      </c>
      <c r="F270" s="2"/>
      <c r="G270" s="1" t="str">
        <f>'3월'!G18</f>
        <v>MA</v>
      </c>
      <c r="H270" s="161" t="str">
        <f>'3월'!H18</f>
        <v>월간</v>
      </c>
      <c r="I270" s="4" t="str">
        <f>'3월'!I18</f>
        <v>BOARD SYSTEM Maintenance 3월분 - 6/12회</v>
      </c>
      <c r="J270" s="210">
        <f>'3월'!J18</f>
        <v>1</v>
      </c>
      <c r="K270" s="27">
        <f>'3월'!K18</f>
        <v>1100000</v>
      </c>
      <c r="L270" s="26">
        <f>'3월'!L18</f>
        <v>1100000</v>
      </c>
      <c r="M270" s="27">
        <f>'3월'!M18</f>
        <v>110000</v>
      </c>
      <c r="N270" s="27">
        <f>'3월'!N18</f>
        <v>1210000</v>
      </c>
      <c r="O270" s="33">
        <f>'3월'!O18</f>
        <v>1060000</v>
      </c>
      <c r="P270" s="197" t="str">
        <f>'3월'!P18</f>
        <v>로보츠(3/5)</v>
      </c>
      <c r="Q270" s="20">
        <f>'3월'!Q18</f>
        <v>40000</v>
      </c>
      <c r="R270" s="68" t="str">
        <f>'3월'!R18</f>
        <v>완료(4/30)</v>
      </c>
      <c r="S270" s="36" t="str">
        <f>'3월'!S18</f>
        <v>이예지</v>
      </c>
      <c r="T270" s="11"/>
    </row>
    <row r="271" spans="1:21">
      <c r="A271" t="s">
        <v>30</v>
      </c>
      <c r="B271" s="151" t="str">
        <f>'3월'!B19</f>
        <v>S</v>
      </c>
      <c r="C271" s="153"/>
      <c r="D271" s="86">
        <f>'3월'!D19</f>
        <v>45721</v>
      </c>
      <c r="E271" s="1" t="str">
        <f>'3월'!E19</f>
        <v>아이티앤</v>
      </c>
      <c r="F271" s="2" t="str">
        <f>'3월'!F19</f>
        <v>우물단</v>
      </c>
      <c r="G271" s="2" t="str">
        <f>'3월'!G19</f>
        <v>상품</v>
      </c>
      <c r="H271" s="83" t="str">
        <f>'3월'!H19</f>
        <v>기술지원</v>
      </c>
      <c r="I271" s="4" t="str">
        <f>'3월'!I19</f>
        <v>전산장비 이전, 시스템 마이그레이션 (3차)</v>
      </c>
      <c r="J271" s="23">
        <f>'3월'!J19</f>
        <v>1</v>
      </c>
      <c r="K271" s="27">
        <f>'3월'!K19</f>
        <v>12500000</v>
      </c>
      <c r="L271" s="26">
        <f>'3월'!L19</f>
        <v>12500000</v>
      </c>
      <c r="M271" s="27">
        <f>'3월'!M19</f>
        <v>1250000</v>
      </c>
      <c r="N271" s="27">
        <f>'3월'!N19</f>
        <v>13750000</v>
      </c>
      <c r="O271" s="33">
        <f>'3월'!O19</f>
        <v>0</v>
      </c>
      <c r="P271" s="197" t="str">
        <f>'3월'!P19</f>
        <v>(24/12/26)</v>
      </c>
      <c r="Q271" s="20"/>
      <c r="R271" s="68" t="str">
        <f>'3월'!R19</f>
        <v>완료(4/1)</v>
      </c>
      <c r="S271" s="8" t="str">
        <f>'3월'!S19</f>
        <v>이예지</v>
      </c>
      <c r="T271" s="11"/>
      <c r="U271" t="s">
        <v>499</v>
      </c>
    </row>
    <row r="272" spans="1:21">
      <c r="A272" t="s">
        <v>30</v>
      </c>
      <c r="B272" s="151" t="str">
        <f>'3월'!B20</f>
        <v>D250224-01</v>
      </c>
      <c r="C272" s="153"/>
      <c r="D272" s="17">
        <f>'3월'!D20</f>
        <v>45721</v>
      </c>
      <c r="E272" s="1" t="str">
        <f>'3월'!E20</f>
        <v>리더스시스템즈</v>
      </c>
      <c r="F272" s="2"/>
      <c r="G272" s="2" t="str">
        <f>'3월'!G20</f>
        <v>상품</v>
      </c>
      <c r="H272" s="83" t="str">
        <f>'3월'!H20</f>
        <v>01LJ207</v>
      </c>
      <c r="I272" s="4" t="str">
        <f>'3월'!I20</f>
        <v>IBM 32GB DDR4 DIMM For Elastic Storage System</v>
      </c>
      <c r="J272" s="23">
        <f>'3월'!J20</f>
        <v>1</v>
      </c>
      <c r="K272" s="27">
        <f>'3월'!K20</f>
        <v>380000</v>
      </c>
      <c r="L272" s="26">
        <f>'3월'!L20</f>
        <v>380000</v>
      </c>
      <c r="M272" s="27">
        <f>'3월'!M20</f>
        <v>38000</v>
      </c>
      <c r="N272" s="27">
        <f>'3월'!N20</f>
        <v>418000</v>
      </c>
      <c r="O272" s="33">
        <f>'3월'!O20</f>
        <v>203800</v>
      </c>
      <c r="P272" s="197" t="str">
        <f>'3월'!P20</f>
        <v>DCSS(2/28) 로젠택배(2/28) 3,800</v>
      </c>
      <c r="Q272" s="20">
        <f>'3월'!Q20</f>
        <v>176200</v>
      </c>
      <c r="R272" s="2" t="str">
        <f>'3월'!R20</f>
        <v>완료(3/10)</v>
      </c>
      <c r="S272" s="8" t="str">
        <f>'3월'!S20</f>
        <v>이지훈</v>
      </c>
      <c r="T272" s="11"/>
    </row>
    <row r="273" spans="1:21">
      <c r="A273" t="s">
        <v>30</v>
      </c>
      <c r="B273" s="151" t="str">
        <f>'3월'!B21</f>
        <v>S</v>
      </c>
      <c r="C273" s="200"/>
      <c r="D273" s="10">
        <f>'3월'!D21</f>
        <v>45726</v>
      </c>
      <c r="E273" s="1" t="str">
        <f>'3월'!E21</f>
        <v>중소기업은행</v>
      </c>
      <c r="F273" s="161" t="str">
        <f>'3월'!F21</f>
        <v>호계214~216호</v>
      </c>
      <c r="G273" s="161" t="str">
        <f>'3월'!G21</f>
        <v>건물임대</v>
      </c>
      <c r="H273" s="161" t="str">
        <f>'3월'!H21</f>
        <v>임대료</v>
      </c>
      <c r="I273" s="163" t="str">
        <f>'3월'!I21</f>
        <v>3월 임대료 (2.13~3.12)-2/24회</v>
      </c>
      <c r="J273" s="71">
        <f>'3월'!J21</f>
        <v>1</v>
      </c>
      <c r="K273" s="26">
        <f>'3월'!K21</f>
        <v>6394500</v>
      </c>
      <c r="L273" s="26">
        <f>'3월'!L21</f>
        <v>6394500</v>
      </c>
      <c r="M273" s="27">
        <f>'3월'!M21</f>
        <v>639450</v>
      </c>
      <c r="N273" s="27">
        <f>'3월'!N21</f>
        <v>7033950</v>
      </c>
      <c r="O273" s="52">
        <f>'3월'!O21</f>
        <v>0</v>
      </c>
      <c r="P273" s="171" t="str">
        <f>'3월'!P21</f>
        <v>X</v>
      </c>
      <c r="Q273" s="181">
        <f>'3월'!Q21</f>
        <v>6394500</v>
      </c>
      <c r="R273" s="2" t="str">
        <f>'3월'!R21</f>
        <v>완료(3/18)</v>
      </c>
      <c r="S273" s="5" t="str">
        <f>'3월'!S21</f>
        <v>정지우</v>
      </c>
      <c r="T273" s="6"/>
    </row>
    <row r="274" spans="1:21" ht="41.25" customHeight="1">
      <c r="A274" t="s">
        <v>30</v>
      </c>
      <c r="B274" s="151" t="str">
        <f>'3월'!B22</f>
        <v>Y240830-03</v>
      </c>
      <c r="C274" s="153"/>
      <c r="D274" s="224">
        <f>'3월'!D22</f>
        <v>45726</v>
      </c>
      <c r="E274" s="1" t="str">
        <f>'3월'!E22</f>
        <v>스마트웨어</v>
      </c>
      <c r="F274" s="2" t="str">
        <f>'3월'!F22</f>
        <v>세연시스템즈</v>
      </c>
      <c r="G274" s="2" t="str">
        <f>'3월'!G22</f>
        <v>장비임대</v>
      </c>
      <c r="H274" s="2" t="str">
        <f>'3월'!H22</f>
        <v>서버임대</v>
      </c>
      <c r="I274" s="4" t="str">
        <f>'3월'!I22</f>
        <v>X3650M5 임대 (Xeon E5-2640v3 2.6GHz 8C x2 / 128GB Memory / 600GB SAS x4 / Power x2)
(25/2/2~25/3/1)</v>
      </c>
      <c r="J274" s="23">
        <f>'3월'!J22</f>
        <v>1</v>
      </c>
      <c r="K274" s="226">
        <f>'3월'!K22</f>
        <v>200000</v>
      </c>
      <c r="L274" s="26">
        <f>'3월'!L22</f>
        <v>200000</v>
      </c>
      <c r="M274" s="27">
        <f>'3월'!M22</f>
        <v>20000</v>
      </c>
      <c r="N274" s="27">
        <f>'3월'!N22</f>
        <v>220000</v>
      </c>
      <c r="O274" s="33">
        <f>'3월'!O22</f>
        <v>0</v>
      </c>
      <c r="P274" s="197" t="str">
        <f>'3월'!P22</f>
        <v>재고</v>
      </c>
      <c r="Q274" s="227">
        <f>'3월'!Q22</f>
        <v>200000</v>
      </c>
      <c r="R274" s="213" t="str">
        <f>'3월'!R22</f>
        <v>4월말</v>
      </c>
      <c r="S274" s="8" t="str">
        <f>'3월'!S22</f>
        <v>홍승민</v>
      </c>
      <c r="T274" s="11"/>
    </row>
    <row r="275" spans="1:21" ht="24">
      <c r="B275" s="151" t="str">
        <f>'3월'!B23</f>
        <v>H250227-03</v>
      </c>
      <c r="C275" s="153"/>
      <c r="D275" s="17">
        <f>'3월'!D23</f>
        <v>45727</v>
      </c>
      <c r="E275" s="214" t="str">
        <f>'3월'!E23</f>
        <v>브리토바코</v>
      </c>
      <c r="F275" s="215" t="str">
        <f>'3월'!F23</f>
        <v>BAT사천</v>
      </c>
      <c r="G275" s="2" t="str">
        <f>'3월'!G23</f>
        <v>상품</v>
      </c>
      <c r="H275" s="83" t="str">
        <f>'3월'!H23</f>
        <v>USB Blocker</v>
      </c>
      <c r="I275" s="4" t="str">
        <f>'3월'!I23</f>
        <v>[LINDY] 보안 커텍터, 추가구매용 USB 블록, [레드/20 SET] / [오렌지/17 SET]/ [블루/3 SET]</v>
      </c>
      <c r="J275" s="23">
        <f>'3월'!J23</f>
        <v>40</v>
      </c>
      <c r="K275" s="27">
        <f>'3월'!K23</f>
        <v>33000</v>
      </c>
      <c r="L275" s="26">
        <f>'3월'!L23</f>
        <v>1320000</v>
      </c>
      <c r="M275" s="27">
        <f>'3월'!M23</f>
        <v>132000</v>
      </c>
      <c r="N275" s="27">
        <f>'3월'!N23</f>
        <v>1452000</v>
      </c>
      <c r="O275" s="241">
        <f>'3월'!O23</f>
        <v>1085240</v>
      </c>
      <c r="P275" s="229" t="str">
        <f>'3월'!P23</f>
        <v>컴퓨존(2/27) 로젠택배(3/31) 3,800</v>
      </c>
      <c r="Q275" s="20">
        <f>'3월'!Q23</f>
        <v>234760</v>
      </c>
      <c r="R275" s="68" t="str">
        <f>'3월'!R23</f>
        <v>완료(5/14)</v>
      </c>
      <c r="S275" s="8" t="str">
        <f>'3월'!S23</f>
        <v>천범석</v>
      </c>
      <c r="T275" s="11"/>
    </row>
    <row r="276" spans="1:21" ht="12" customHeight="1">
      <c r="A276" t="s">
        <v>30</v>
      </c>
      <c r="B276" s="151" t="str">
        <f>'3월'!B24</f>
        <v>S</v>
      </c>
      <c r="C276" s="200"/>
      <c r="D276" s="17">
        <f>'3월'!D24</f>
        <v>45727</v>
      </c>
      <c r="E276" s="1" t="str">
        <f>'3월'!E24</f>
        <v>왕길토건</v>
      </c>
      <c r="F276" s="2" t="str">
        <f>'3월'!F24</f>
        <v>검단미플존 317호</v>
      </c>
      <c r="G276" s="161" t="str">
        <f>'3월'!G24</f>
        <v>건물임대</v>
      </c>
      <c r="H276" s="161" t="str">
        <f>'3월'!H24</f>
        <v>임대료</v>
      </c>
      <c r="I276" s="3" t="str">
        <f>'3월'!I24</f>
        <v>2월 임대료(25/2/11~3/10) - 5/10회</v>
      </c>
      <c r="J276" s="32">
        <f>'3월'!J24</f>
        <v>1</v>
      </c>
      <c r="K276" s="48">
        <f>'3월'!K24</f>
        <v>400000</v>
      </c>
      <c r="L276" s="26">
        <f>'3월'!L24</f>
        <v>400000</v>
      </c>
      <c r="M276" s="27">
        <f>'3월'!M24</f>
        <v>40000</v>
      </c>
      <c r="N276" s="27">
        <f>'3월'!N24</f>
        <v>440000</v>
      </c>
      <c r="O276" s="52">
        <f>'3월'!O24</f>
        <v>0</v>
      </c>
      <c r="P276" s="171" t="str">
        <f>'3월'!P24</f>
        <v>X</v>
      </c>
      <c r="Q276" s="181">
        <f>'3월'!Q24</f>
        <v>400000</v>
      </c>
      <c r="R276" s="2" t="str">
        <f>'3월'!R24</f>
        <v>완료(3/11)</v>
      </c>
      <c r="S276" s="5" t="str">
        <f>'3월'!S24</f>
        <v>정지우</v>
      </c>
      <c r="T276" s="6"/>
    </row>
    <row r="277" spans="1:21">
      <c r="A277" t="s">
        <v>30</v>
      </c>
      <c r="B277" s="151" t="str">
        <f>'3월'!B25</f>
        <v>S</v>
      </c>
      <c r="C277" s="153"/>
      <c r="D277" s="17">
        <f>'3월'!D25</f>
        <v>45729</v>
      </c>
      <c r="E277" s="1" t="str">
        <f>'3월'!E25</f>
        <v>에이비씨한국</v>
      </c>
      <c r="F277" s="2"/>
      <c r="G277" s="2" t="str">
        <f>'3월'!G25</f>
        <v>상품</v>
      </c>
      <c r="H277" s="83" t="str">
        <f>'3월'!H25</f>
        <v>LG PC</v>
      </c>
      <c r="I277" s="4" t="str">
        <f>'3월'!I25</f>
        <v>[LG전자] 슬림타워 데스크탑 Z80LV.AP47B3E</v>
      </c>
      <c r="J277" s="23">
        <f>'3월'!J25</f>
        <v>1</v>
      </c>
      <c r="K277" s="27">
        <f>'3월'!K25</f>
        <v>1530000</v>
      </c>
      <c r="L277" s="26">
        <f>'3월'!L25</f>
        <v>1530000</v>
      </c>
      <c r="M277" s="27">
        <f>'3월'!M25</f>
        <v>153000</v>
      </c>
      <c r="N277" s="27">
        <f>'3월'!N25</f>
        <v>1683000</v>
      </c>
      <c r="O277" s="33">
        <f>'3월'!O25</f>
        <v>1499000</v>
      </c>
      <c r="P277" s="197" t="str">
        <f>'3월'!P25</f>
        <v>로보츠(3/17)</v>
      </c>
      <c r="Q277" s="20">
        <f>'3월'!Q25</f>
        <v>31000</v>
      </c>
      <c r="R277" s="2" t="str">
        <f>'3월'!R25</f>
        <v>완료(4/30)</v>
      </c>
      <c r="S277" s="8" t="str">
        <f>'3월'!S25</f>
        <v>이예지</v>
      </c>
      <c r="T277" s="11"/>
    </row>
    <row r="278" spans="1:21" ht="12" customHeight="1">
      <c r="A278" t="s">
        <v>30</v>
      </c>
      <c r="B278" s="151" t="str">
        <f>'3월'!B26</f>
        <v>S</v>
      </c>
      <c r="C278" s="200"/>
      <c r="D278" s="17">
        <f>'3월'!D26</f>
        <v>45731</v>
      </c>
      <c r="E278" s="1" t="str">
        <f>'3월'!E26</f>
        <v>순환</v>
      </c>
      <c r="F278" s="2" t="str">
        <f>'3월'!F26</f>
        <v>검단미플존 318호</v>
      </c>
      <c r="G278" s="161" t="str">
        <f>'3월'!G26</f>
        <v>건물임대</v>
      </c>
      <c r="H278" s="161" t="str">
        <f>'3월'!H26</f>
        <v>임대료</v>
      </c>
      <c r="I278" s="3" t="str">
        <f>'3월'!I26</f>
        <v>3월 임대료(25/2/20~25/3/19) - 5/9회</v>
      </c>
      <c r="J278" s="32">
        <f>'3월'!J26</f>
        <v>1</v>
      </c>
      <c r="K278" s="48">
        <f>'3월'!K26</f>
        <v>346500</v>
      </c>
      <c r="L278" s="26">
        <f>'3월'!L26</f>
        <v>346500</v>
      </c>
      <c r="M278" s="27">
        <f>'3월'!M26</f>
        <v>34650</v>
      </c>
      <c r="N278" s="27">
        <f>'3월'!N26</f>
        <v>381150</v>
      </c>
      <c r="O278" s="52">
        <f>'3월'!O26</f>
        <v>0</v>
      </c>
      <c r="P278" s="171" t="str">
        <f>'3월'!P26</f>
        <v>X</v>
      </c>
      <c r="Q278" s="181">
        <f>'3월'!Q26</f>
        <v>346500</v>
      </c>
      <c r="R278" s="2" t="str">
        <f>'3월'!R26</f>
        <v>완료(3/24)</v>
      </c>
      <c r="S278" s="5" t="str">
        <f>'3월'!S26</f>
        <v>정지우</v>
      </c>
      <c r="T278" s="6"/>
    </row>
    <row r="279" spans="1:21" ht="24">
      <c r="A279" t="s">
        <v>30</v>
      </c>
      <c r="B279" s="151" t="str">
        <f>'3월'!B27</f>
        <v>SB-24011</v>
      </c>
      <c r="C279" s="199" t="str">
        <f>'3월'!C27</f>
        <v>Z5PURB</v>
      </c>
      <c r="D279" s="17">
        <f>'3월'!D27</f>
        <v>45731</v>
      </c>
      <c r="E279" s="1" t="str">
        <f>'3월'!E27</f>
        <v>비온시이노베이터</v>
      </c>
      <c r="F279" s="2" t="str">
        <f>'3월'!F27</f>
        <v>국립농업과학원</v>
      </c>
      <c r="G279" s="2" t="str">
        <f>'3월'!G27</f>
        <v>MA</v>
      </c>
      <c r="H279" s="2" t="str">
        <f>'3월'!H27</f>
        <v>월간-레노버</v>
      </c>
      <c r="I279" s="4" t="str">
        <f>'3월'!I27</f>
        <v>2월 유지정비료 - 14/24회</v>
      </c>
      <c r="J279" s="23">
        <f>'3월'!J27</f>
        <v>1</v>
      </c>
      <c r="K279" s="27">
        <f>'3월'!K27</f>
        <v>875000</v>
      </c>
      <c r="L279" s="26">
        <f>'3월'!L27</f>
        <v>875000</v>
      </c>
      <c r="M279" s="27">
        <f>'3월'!M27</f>
        <v>87500</v>
      </c>
      <c r="N279" s="27">
        <f>'3월'!N27</f>
        <v>962500</v>
      </c>
      <c r="O279" s="52">
        <f>'3월'!O27</f>
        <v>794833.33333333326</v>
      </c>
      <c r="P279" s="197" t="str">
        <f>'3월'!P27</f>
        <v>레노버(2/28)511,500 
시스나인(4/25) 연간3,400,000(2/12회)</v>
      </c>
      <c r="Q279" s="181">
        <f>'3월'!Q27</f>
        <v>80166.666666666744</v>
      </c>
      <c r="R279" s="202" t="str">
        <f>'3월'!R27</f>
        <v>완료(4/10)</v>
      </c>
      <c r="S279" s="8" t="str">
        <f>'3월'!S27</f>
        <v>천범석</v>
      </c>
      <c r="T279" s="11"/>
    </row>
    <row r="280" spans="1:21">
      <c r="A280" t="s">
        <v>30</v>
      </c>
      <c r="B280" s="151" t="str">
        <f>'3월'!B28</f>
        <v>SB-24009</v>
      </c>
      <c r="C280" s="199" t="str">
        <f>'3월'!C28</f>
        <v>Z0PYQC</v>
      </c>
      <c r="D280" s="17">
        <f>'3월'!D28</f>
        <v>45731</v>
      </c>
      <c r="E280" s="1" t="str">
        <f>'3월'!E28</f>
        <v>유알피</v>
      </c>
      <c r="F280" s="2" t="str">
        <f>'3월'!F28</f>
        <v>서울디자인재단</v>
      </c>
      <c r="G280" s="2" t="str">
        <f>'3월'!G28</f>
        <v>MA</v>
      </c>
      <c r="H280" s="2" t="str">
        <f>'3월'!H28</f>
        <v>월간-레노버</v>
      </c>
      <c r="I280" s="4" t="str">
        <f>'3월'!I28</f>
        <v>2월 유지정비료 - 14/36회</v>
      </c>
      <c r="J280" s="23">
        <f>'3월'!J28</f>
        <v>1</v>
      </c>
      <c r="K280" s="27">
        <f>'3월'!K28</f>
        <v>1080000</v>
      </c>
      <c r="L280" s="26">
        <f>'3월'!L28</f>
        <v>1080000</v>
      </c>
      <c r="M280" s="27">
        <f>'3월'!M28</f>
        <v>108000</v>
      </c>
      <c r="N280" s="27">
        <f>'3월'!N28</f>
        <v>1188000</v>
      </c>
      <c r="O280" s="52">
        <f>'3월'!O28</f>
        <v>976200</v>
      </c>
      <c r="P280" s="171" t="str">
        <f>'3월'!P28</f>
        <v>레노버(2/28)</v>
      </c>
      <c r="Q280" s="181">
        <f>'3월'!Q28</f>
        <v>103800</v>
      </c>
      <c r="R280" s="2" t="str">
        <f>'3월'!R28</f>
        <v>완료(3/25)</v>
      </c>
      <c r="S280" s="8" t="str">
        <f>'3월'!S28</f>
        <v>천범석</v>
      </c>
      <c r="T280" s="11"/>
    </row>
    <row r="281" spans="1:21" ht="24">
      <c r="B281" s="151" t="str">
        <f>'3월'!B29</f>
        <v>Y250305-01</v>
      </c>
      <c r="C281" s="153"/>
      <c r="D281" s="17">
        <f>'3월'!D29</f>
        <v>45733</v>
      </c>
      <c r="E281" s="1" t="str">
        <f>'3월'!E29</f>
        <v>라온전자</v>
      </c>
      <c r="F281" s="2"/>
      <c r="G281" s="2" t="str">
        <f>'3월'!G29</f>
        <v>상품</v>
      </c>
      <c r="H281" s="83" t="str">
        <f>'3월'!H29</f>
        <v>어댑터</v>
      </c>
      <c r="I281" s="4" t="str">
        <f>'3월'!I29</f>
        <v>MSI 노트북 충전기 20V 7.5A 150W (4.5X3.0mm) 전원 어댑터 ADP-150CH D</v>
      </c>
      <c r="J281" s="23">
        <f>'3월'!J29</f>
        <v>1</v>
      </c>
      <c r="K281" s="27">
        <f>'3월'!K29</f>
        <v>65000</v>
      </c>
      <c r="L281" s="26">
        <f>'3월'!L29</f>
        <v>65000</v>
      </c>
      <c r="M281" s="27">
        <f>'3월'!M29</f>
        <v>6500</v>
      </c>
      <c r="N281" s="27">
        <f>'3월'!N29</f>
        <v>71500</v>
      </c>
      <c r="O281" s="33">
        <f>'3월'!O29</f>
        <v>50191</v>
      </c>
      <c r="P281" s="197" t="str">
        <f>'3월'!P29</f>
        <v>11번가(3/5법카)</v>
      </c>
      <c r="Q281" s="20">
        <f>'3월'!Q29</f>
        <v>14809</v>
      </c>
      <c r="R281" s="68" t="str">
        <f>'3월'!R29</f>
        <v>완료(4/1)</v>
      </c>
      <c r="S281" s="8" t="str">
        <f>'3월'!S29</f>
        <v>홍승민</v>
      </c>
      <c r="T281" s="11"/>
    </row>
    <row r="282" spans="1:21">
      <c r="B282" s="151" t="str">
        <f>'3월'!B30</f>
        <v>Y250306-01</v>
      </c>
      <c r="C282" s="153"/>
      <c r="D282" s="17">
        <f>'3월'!D30</f>
        <v>45733</v>
      </c>
      <c r="E282" s="1" t="str">
        <f>'3월'!E30</f>
        <v>라온전자</v>
      </c>
      <c r="F282" s="2"/>
      <c r="G282" s="2" t="str">
        <f>'3월'!G30</f>
        <v>상품</v>
      </c>
      <c r="H282" s="83" t="str">
        <f>'3월'!H30</f>
        <v>조립PC</v>
      </c>
      <c r="I282" s="4" t="str">
        <f>'3월'!I30</f>
        <v>조립PC</v>
      </c>
      <c r="J282" s="23">
        <f>'3월'!J30</f>
        <v>1</v>
      </c>
      <c r="K282" s="27">
        <f>'3월'!K30</f>
        <v>3420000</v>
      </c>
      <c r="L282" s="26">
        <f>'3월'!L30</f>
        <v>3420000</v>
      </c>
      <c r="M282" s="27">
        <f>'3월'!M30</f>
        <v>342000</v>
      </c>
      <c r="N282" s="27">
        <f>'3월'!N30</f>
        <v>3762000</v>
      </c>
      <c r="O282" s="33">
        <f>'3월'!O30</f>
        <v>3189164</v>
      </c>
      <c r="P282" s="229" t="str">
        <f>'3월'!P30</f>
        <v>컴퓨존(3/6) 우림퀵(3/31) 30,000</v>
      </c>
      <c r="Q282" s="20">
        <f>'3월'!Q30</f>
        <v>230836</v>
      </c>
      <c r="R282" s="68" t="str">
        <f>'3월'!R30</f>
        <v>완료(4/1)</v>
      </c>
      <c r="S282" s="8" t="str">
        <f>'3월'!S30</f>
        <v>홍승민</v>
      </c>
      <c r="T282" s="11"/>
    </row>
    <row r="283" spans="1:21">
      <c r="B283" s="151" t="str">
        <f>'3월'!B31</f>
        <v>H250318-02</v>
      </c>
      <c r="C283" s="153"/>
      <c r="D283" s="17">
        <f>'3월'!D31</f>
        <v>45734</v>
      </c>
      <c r="E283" s="1" t="str">
        <f>'3월'!E31</f>
        <v>제이원아이티시스템</v>
      </c>
      <c r="F283" s="2"/>
      <c r="G283" s="2" t="str">
        <f>'3월'!G31</f>
        <v>상품</v>
      </c>
      <c r="H283" s="83" t="str">
        <f>'3월'!H31</f>
        <v>기술지원</v>
      </c>
      <c r="I283" s="4" t="str">
        <f>'3월'!I31</f>
        <v>스토리지 1일 기술지원료</v>
      </c>
      <c r="J283" s="23">
        <f>'3월'!J31</f>
        <v>1</v>
      </c>
      <c r="K283" s="27">
        <f>'3월'!K31</f>
        <v>700000</v>
      </c>
      <c r="L283" s="26">
        <f>'3월'!L31</f>
        <v>700000</v>
      </c>
      <c r="M283" s="27">
        <f>'3월'!M31</f>
        <v>70000</v>
      </c>
      <c r="N283" s="27">
        <f>'3월'!N31</f>
        <v>770000</v>
      </c>
      <c r="O283" s="33">
        <f>'3월'!O31</f>
        <v>500000</v>
      </c>
      <c r="P283" s="197" t="str">
        <f>'3월'!P31</f>
        <v>테이아인포(3/14)</v>
      </c>
      <c r="Q283" s="20">
        <f>'3월'!Q31</f>
        <v>200000</v>
      </c>
      <c r="R283" s="267" t="str">
        <f>'3월'!R31</f>
        <v>완료(6/19)</v>
      </c>
      <c r="S283" s="8" t="str">
        <f>'3월'!S31</f>
        <v>이예지</v>
      </c>
      <c r="T283" s="11"/>
    </row>
    <row r="284" spans="1:21" ht="12" customHeight="1">
      <c r="A284" t="s">
        <v>30</v>
      </c>
      <c r="B284" s="151" t="str">
        <f>'3월'!B32</f>
        <v>Y250319-01</v>
      </c>
      <c r="C284" s="153"/>
      <c r="D284" s="17">
        <f>'3월'!D32</f>
        <v>45735</v>
      </c>
      <c r="E284" s="1" t="str">
        <f>'3월'!E32</f>
        <v>종교방송</v>
      </c>
      <c r="F284" s="2"/>
      <c r="G284" s="2" t="str">
        <f>'3월'!G32</f>
        <v>MA</v>
      </c>
      <c r="H284" s="83" t="str">
        <f>'3월'!H32</f>
        <v>리뉴얼</v>
      </c>
      <c r="I284" s="4" t="str">
        <f>'3월'!I32</f>
        <v>HPE Aruba Switch Renewal(25.03.01 ~ 26.02.28)</v>
      </c>
      <c r="J284" s="23">
        <f>'3월'!J32</f>
        <v>1</v>
      </c>
      <c r="K284" s="27">
        <f>'3월'!K32</f>
        <v>2280000</v>
      </c>
      <c r="L284" s="26">
        <f>'3월'!L32</f>
        <v>2280000</v>
      </c>
      <c r="M284" s="27">
        <f>'3월'!M32</f>
        <v>228000</v>
      </c>
      <c r="N284" s="27">
        <f>'3월'!N32</f>
        <v>2508000</v>
      </c>
      <c r="O284" s="33">
        <f>'3월'!O32</f>
        <v>2040000</v>
      </c>
      <c r="P284" s="197" t="str">
        <f>'3월'!P32</f>
        <v>씨플랫폼(4/30)</v>
      </c>
      <c r="Q284" s="20">
        <f>'3월'!Q32</f>
        <v>240000</v>
      </c>
      <c r="R284" s="2" t="str">
        <f>'3월'!R32</f>
        <v>완료(3/26)</v>
      </c>
      <c r="S284" s="8" t="str">
        <f>'3월'!S32</f>
        <v>홍승민</v>
      </c>
      <c r="T284" s="11"/>
    </row>
    <row r="285" spans="1:21" ht="36">
      <c r="A285" t="s">
        <v>30</v>
      </c>
      <c r="B285" s="151" t="str">
        <f>'3월'!B33</f>
        <v>D250305-01</v>
      </c>
      <c r="C285" s="153"/>
      <c r="D285" s="17">
        <f>'3월'!D33</f>
        <v>45735</v>
      </c>
      <c r="E285" s="1" t="str">
        <f>'3월'!E33</f>
        <v>고영</v>
      </c>
      <c r="F285" s="2"/>
      <c r="G285" s="2" t="str">
        <f>'3월'!G33</f>
        <v>상품</v>
      </c>
      <c r="H285" s="83" t="str">
        <f>'3월'!H33</f>
        <v>조립PC</v>
      </c>
      <c r="I285" s="4" t="str">
        <f>'3월'!I33</f>
        <v>조립PC</v>
      </c>
      <c r="J285" s="23">
        <f>'3월'!J33</f>
        <v>1</v>
      </c>
      <c r="K285" s="27">
        <f>'3월'!K33</f>
        <v>7990000</v>
      </c>
      <c r="L285" s="26">
        <f>'3월'!L33</f>
        <v>7990000</v>
      </c>
      <c r="M285" s="27">
        <f>'3월'!M33</f>
        <v>799000</v>
      </c>
      <c r="N285" s="27">
        <f>'3월'!N33</f>
        <v>8789000</v>
      </c>
      <c r="O285" s="33">
        <f>'3월'!O33</f>
        <v>6920791</v>
      </c>
      <c r="P285" s="197" t="str">
        <f>'3월'!P33</f>
        <v>컴퓨존(3/5) 3,161,791
리더스시스템즈(3/6) 3,714,000
우림퀵(3/31)</v>
      </c>
      <c r="Q285" s="20">
        <f>'3월'!Q33</f>
        <v>1069209</v>
      </c>
      <c r="R285" s="2" t="str">
        <f>'3월'!R33</f>
        <v>완료(4/14)</v>
      </c>
      <c r="S285" s="8" t="str">
        <f>'3월'!S33</f>
        <v>이지훈</v>
      </c>
      <c r="T285" s="11"/>
      <c r="U285" s="121"/>
    </row>
    <row r="286" spans="1:21" ht="24">
      <c r="A286" t="s">
        <v>30</v>
      </c>
      <c r="B286" s="151" t="str">
        <f>'3월'!B34</f>
        <v>S</v>
      </c>
      <c r="C286" s="200"/>
      <c r="D286" s="10">
        <f>'3월'!D34</f>
        <v>45736</v>
      </c>
      <c r="E286" s="1" t="str">
        <f>'3월'!E34</f>
        <v>아이지리더스</v>
      </c>
      <c r="F286" s="2" t="str">
        <f>'3월'!F34</f>
        <v>광명자이 1812호</v>
      </c>
      <c r="G286" s="2" t="str">
        <f>'3월'!G34</f>
        <v>건물임대</v>
      </c>
      <c r="H286" s="161" t="str">
        <f>'3월'!H34</f>
        <v>임대료</v>
      </c>
      <c r="I286" s="3" t="str">
        <f>'3월'!I34</f>
        <v>3월 임대료(2.26~3.25) 5/12회</v>
      </c>
      <c r="J286" s="23">
        <f>'3월'!J34</f>
        <v>1</v>
      </c>
      <c r="K286" s="29">
        <f>'3월'!K34</f>
        <v>800000</v>
      </c>
      <c r="L286" s="26">
        <f>'3월'!L34</f>
        <v>800000</v>
      </c>
      <c r="M286" s="27">
        <f>'3월'!M34</f>
        <v>80000</v>
      </c>
      <c r="N286" s="27">
        <f>'3월'!N34</f>
        <v>880000</v>
      </c>
      <c r="O286" s="52">
        <f>'3월'!O34</f>
        <v>0</v>
      </c>
      <c r="P286" s="171" t="str">
        <f>'3월'!P34</f>
        <v>X</v>
      </c>
      <c r="Q286" s="181">
        <f>'3월'!Q34</f>
        <v>800000</v>
      </c>
      <c r="R286" s="68" t="str">
        <f>'3월'!R34</f>
        <v>완료-보증금공제</v>
      </c>
      <c r="S286" s="5" t="str">
        <f>'3월'!S34</f>
        <v>정지우</v>
      </c>
      <c r="T286" s="6"/>
    </row>
    <row r="287" spans="1:21">
      <c r="A287" t="s">
        <v>30</v>
      </c>
      <c r="B287" s="151" t="str">
        <f>'3월'!B35</f>
        <v>SM-23017</v>
      </c>
      <c r="C287" s="199"/>
      <c r="D287" s="10">
        <f>'3월'!D35</f>
        <v>45736</v>
      </c>
      <c r="E287" s="1" t="str">
        <f>'3월'!E35</f>
        <v>이앤피정보기술</v>
      </c>
      <c r="F287" s="2" t="str">
        <f>'3월'!F35</f>
        <v>용진일렉콤</v>
      </c>
      <c r="G287" s="2" t="str">
        <f>'3월'!G35</f>
        <v>MA</v>
      </c>
      <c r="H287" s="2" t="str">
        <f>'3월'!H35</f>
        <v>월간</v>
      </c>
      <c r="I287" s="70" t="str">
        <f>'3월'!I35</f>
        <v>3월 유지정비료 - 12/12회</v>
      </c>
      <c r="J287" s="23">
        <f>'3월'!J35</f>
        <v>1</v>
      </c>
      <c r="K287" s="27">
        <f>'3월'!K35</f>
        <v>200000</v>
      </c>
      <c r="L287" s="26">
        <f>'3월'!L35</f>
        <v>200000</v>
      </c>
      <c r="M287" s="27">
        <f>'3월'!M35</f>
        <v>20000</v>
      </c>
      <c r="N287" s="27">
        <f>'3월'!N35</f>
        <v>220000</v>
      </c>
      <c r="O287" s="52">
        <f>'3월'!O35</f>
        <v>0</v>
      </c>
      <c r="P287" s="171" t="str">
        <f>'3월'!P35</f>
        <v>X</v>
      </c>
      <c r="Q287" s="181">
        <f>'3월'!Q35</f>
        <v>200000</v>
      </c>
      <c r="R287" s="2" t="str">
        <f>'3월'!R35</f>
        <v>완료(4/30)</v>
      </c>
      <c r="S287" s="8" t="str">
        <f>'3월'!S35</f>
        <v>이예지</v>
      </c>
      <c r="T287" s="11"/>
    </row>
    <row r="288" spans="1:21" ht="72">
      <c r="A288" t="s">
        <v>30</v>
      </c>
      <c r="B288" s="151" t="str">
        <f>'3월'!B36</f>
        <v>SM-23023</v>
      </c>
      <c r="C288" s="200"/>
      <c r="D288" s="10">
        <f>'3월'!D36</f>
        <v>45736</v>
      </c>
      <c r="E288" s="214" t="str">
        <f>'3월'!E36</f>
        <v>중앙유통단지관리운영회</v>
      </c>
      <c r="F288" s="215"/>
      <c r="G288" s="161" t="str">
        <f>'3월'!G36</f>
        <v>장비임대</v>
      </c>
      <c r="H288" s="161" t="str">
        <f>'3월'!H36</f>
        <v>서버</v>
      </c>
      <c r="I288" s="163" t="str">
        <f>'3월'!I36</f>
        <v>서버임대 SR650 2식 - 18/36회</v>
      </c>
      <c r="J288" s="23">
        <f>'3월'!J36</f>
        <v>1</v>
      </c>
      <c r="K288" s="26">
        <f>'3월'!K36</f>
        <v>1000000</v>
      </c>
      <c r="L288" s="26">
        <f>'3월'!L36</f>
        <v>1000000</v>
      </c>
      <c r="M288" s="27">
        <f>'3월'!M36</f>
        <v>100000</v>
      </c>
      <c r="N288" s="27">
        <f>'3월'!N36</f>
        <v>1100000</v>
      </c>
      <c r="O288" s="72">
        <f>'3월'!O36</f>
        <v>918000.00000000012</v>
      </c>
      <c r="P288" s="171" t="str">
        <f>'3월'!P36</f>
        <v>트루스케일 2대 15,800,000
SR250내 2.4T 2*100,000 
이룸에스앤앤(9/5) 2*364,000
========= 총 16,728,000 (18/36회)
이올테크(3/20) 370,000
시스나인(24/9/2) 연 1,000,000(6/12회)</v>
      </c>
      <c r="Q288" s="181">
        <f>'3월'!Q36</f>
        <v>81999.999999999884</v>
      </c>
      <c r="R288" s="68" t="str">
        <f>'3월'!R36</f>
        <v>완료(3/31)</v>
      </c>
      <c r="S288" s="5" t="str">
        <f>'3월'!S36</f>
        <v>천범석</v>
      </c>
      <c r="T288" s="11"/>
    </row>
    <row r="289" spans="1:20">
      <c r="B289" s="151" t="str">
        <f>'3월'!B37</f>
        <v>IK-25002</v>
      </c>
      <c r="C289" s="230"/>
      <c r="D289" s="17">
        <f>'3월'!D37</f>
        <v>45736</v>
      </c>
      <c r="E289" s="214" t="str">
        <f>'3월'!E37</f>
        <v>시너지온</v>
      </c>
      <c r="F289" s="215" t="str">
        <f>'3월'!F37</f>
        <v>명지병원</v>
      </c>
      <c r="G289" s="161" t="str">
        <f>'3월'!G37</f>
        <v>MA</v>
      </c>
      <c r="H289" s="161" t="str">
        <f>'3월'!H37</f>
        <v>월간-IBM</v>
      </c>
      <c r="I289" s="4" t="str">
        <f>'3월'!I37</f>
        <v>3월 유지정비료 - 1/12회</v>
      </c>
      <c r="J289" s="23">
        <f>'3월'!J37</f>
        <v>1</v>
      </c>
      <c r="K289" s="27">
        <f>'3월'!K37</f>
        <v>350000</v>
      </c>
      <c r="L289" s="26">
        <f>'3월'!L37</f>
        <v>350000</v>
      </c>
      <c r="M289" s="27">
        <f>'3월'!M37</f>
        <v>35000</v>
      </c>
      <c r="N289" s="27">
        <f>'3월'!N37</f>
        <v>385000</v>
      </c>
      <c r="O289" s="33">
        <f>'3월'!O37</f>
        <v>300000</v>
      </c>
      <c r="P289" s="197" t="str">
        <f>'3월'!P37</f>
        <v>티에스씨인포 (3/31) 300,000</v>
      </c>
      <c r="Q289" s="181">
        <f>'3월'!Q37</f>
        <v>50000</v>
      </c>
      <c r="R289" s="68" t="str">
        <f>'3월'!R37</f>
        <v>완료(5/30)</v>
      </c>
      <c r="S289" s="8" t="str">
        <f>'3월'!S37</f>
        <v>천범석</v>
      </c>
      <c r="T289" s="11"/>
    </row>
    <row r="290" spans="1:20" ht="24">
      <c r="A290" t="s">
        <v>30</v>
      </c>
      <c r="B290" s="151" t="str">
        <f>'3월'!B38</f>
        <v>SM-24014</v>
      </c>
      <c r="C290" s="200"/>
      <c r="D290" s="78">
        <f>'3월'!D38</f>
        <v>45736</v>
      </c>
      <c r="E290" s="216" t="str">
        <f>'3월'!E38</f>
        <v>동아건설</v>
      </c>
      <c r="F290" s="217"/>
      <c r="G290" s="167" t="str">
        <f>'3월'!G38</f>
        <v>MA</v>
      </c>
      <c r="H290" s="167" t="str">
        <f>'3월'!H38</f>
        <v>월간</v>
      </c>
      <c r="I290" s="168" t="str">
        <f>'3월'!I38</f>
        <v>3월 유지정비료 - 11/12회</v>
      </c>
      <c r="J290" s="79">
        <f>'3월'!J38</f>
        <v>1</v>
      </c>
      <c r="K290" s="80">
        <f>'3월'!K38</f>
        <v>950000</v>
      </c>
      <c r="L290" s="80">
        <f>'3월'!L38</f>
        <v>950000</v>
      </c>
      <c r="M290" s="81">
        <f>'3월'!M38</f>
        <v>95000</v>
      </c>
      <c r="N290" s="81">
        <f>'3월'!N38</f>
        <v>1045000</v>
      </c>
      <c r="O290" s="52">
        <f>'3월'!O38</f>
        <v>650000</v>
      </c>
      <c r="P290" s="171" t="str">
        <f>'3월'!P38</f>
        <v>시스나인(4/25) 2,000,000(3/4회)
제이에스(4/25) 150,000</v>
      </c>
      <c r="Q290" s="181">
        <f>'3월'!Q38</f>
        <v>300000</v>
      </c>
      <c r="R290" s="2" t="str">
        <f>'3월'!R38</f>
        <v>완료(4/30)</v>
      </c>
      <c r="S290" s="5" t="str">
        <f>'3월'!S38</f>
        <v>이예지</v>
      </c>
      <c r="T290" s="11"/>
    </row>
    <row r="291" spans="1:20">
      <c r="B291" s="151" t="str">
        <f>'3월'!B39</f>
        <v>H250313-01</v>
      </c>
      <c r="C291" s="153"/>
      <c r="D291" s="17">
        <f>'3월'!D39</f>
        <v>45737</v>
      </c>
      <c r="E291" s="1" t="str">
        <f>'3월'!E39</f>
        <v>영화시스템</v>
      </c>
      <c r="F291" s="2" t="str">
        <f>'3월'!F39</f>
        <v>CGV대학로</v>
      </c>
      <c r="G291" s="2" t="str">
        <f>'3월'!G39</f>
        <v>상품</v>
      </c>
      <c r="H291" s="83" t="str">
        <f>'3월'!H39</f>
        <v>42D0767</v>
      </c>
      <c r="I291" s="4" t="str">
        <f>'3월'!I39</f>
        <v>2TB 7.2K 6Gbps NL SAS 3.5" HS HDD</v>
      </c>
      <c r="J291" s="23">
        <f>'3월'!J39</f>
        <v>8</v>
      </c>
      <c r="K291" s="27">
        <f>'3월'!K39</f>
        <v>200000</v>
      </c>
      <c r="L291" s="26">
        <f>'3월'!L39</f>
        <v>2200000</v>
      </c>
      <c r="M291" s="27">
        <f>'3월'!M39</f>
        <v>220000</v>
      </c>
      <c r="N291" s="27">
        <f>'3월'!N39</f>
        <v>2420000</v>
      </c>
      <c r="O291" s="33">
        <f>'3월'!O39</f>
        <v>560000</v>
      </c>
      <c r="P291" s="197" t="str">
        <f>'3월'!P39</f>
        <v>이비웨이브(3/12) 8*70000</v>
      </c>
      <c r="Q291" s="20">
        <f>'3월'!Q39</f>
        <v>1640000</v>
      </c>
      <c r="R291" s="2" t="str">
        <f>'3월'!R39</f>
        <v>완료(4/21)</v>
      </c>
      <c r="S291" s="8" t="str">
        <f>'3월'!S39</f>
        <v>천범석</v>
      </c>
      <c r="T291" s="11"/>
    </row>
    <row r="292" spans="1:20">
      <c r="B292" s="151" t="str">
        <f>'3월'!B40</f>
        <v>H250313-02</v>
      </c>
      <c r="C292" s="155"/>
      <c r="D292" s="43"/>
      <c r="E292" s="44" t="str">
        <f>'3월'!E40</f>
        <v>영화시스템</v>
      </c>
      <c r="F292" s="41"/>
      <c r="G292" s="2" t="str">
        <f>'3월'!G40</f>
        <v>상품</v>
      </c>
      <c r="H292" s="83" t="str">
        <f>'3월'!H40</f>
        <v>기술료</v>
      </c>
      <c r="I292" s="4" t="str">
        <f>'3월'!I40</f>
        <v>MIGRATION 엔지니어 지원 기술료</v>
      </c>
      <c r="J292" s="23">
        <f>'3월'!J40</f>
        <v>1</v>
      </c>
      <c r="K292" s="27">
        <f>'3월'!K40</f>
        <v>600000</v>
      </c>
      <c r="L292" s="37"/>
      <c r="M292" s="38"/>
      <c r="N292" s="38"/>
      <c r="O292" s="39"/>
      <c r="P292" s="197" t="str">
        <f>'3월'!P40</f>
        <v>SM</v>
      </c>
      <c r="Q292" s="40"/>
      <c r="R292" s="41"/>
      <c r="S292" s="42"/>
      <c r="T292" s="11"/>
    </row>
    <row r="293" spans="1:20">
      <c r="B293" s="151" t="str">
        <f>'3월'!B41</f>
        <v>H250304-01</v>
      </c>
      <c r="C293" s="153"/>
      <c r="D293" s="17">
        <f>'3월'!D41</f>
        <v>45737</v>
      </c>
      <c r="E293" s="1" t="str">
        <f>'3월'!E41</f>
        <v>한국정보기술</v>
      </c>
      <c r="F293" s="2"/>
      <c r="G293" s="2" t="str">
        <f>'3월'!G41</f>
        <v>상품</v>
      </c>
      <c r="H293" s="83" t="str">
        <f>'3월'!H41</f>
        <v>870794-001</v>
      </c>
      <c r="I293" s="4" t="str">
        <f>'3월'!I41</f>
        <v>600GB 15K 12G SAS 2.5inch Enterprise Hard Drive</v>
      </c>
      <c r="J293" s="23">
        <f>'3월'!J41</f>
        <v>1</v>
      </c>
      <c r="K293" s="27">
        <f>'3월'!K41</f>
        <v>250000</v>
      </c>
      <c r="L293" s="26">
        <f>'3월'!L41</f>
        <v>250000</v>
      </c>
      <c r="M293" s="27">
        <f>'3월'!M41</f>
        <v>25000</v>
      </c>
      <c r="N293" s="27">
        <f>'3월'!N41</f>
        <v>275000</v>
      </c>
      <c r="O293" s="33">
        <f>'3월'!O41</f>
        <v>180000</v>
      </c>
      <c r="P293" s="197" t="str">
        <f>'3월'!P41</f>
        <v>이비웨이브(3/4)</v>
      </c>
      <c r="Q293" s="20">
        <f>'3월'!Q41</f>
        <v>70000</v>
      </c>
      <c r="R293" s="2" t="str">
        <f>'3월'!R41</f>
        <v>완료(3/25)</v>
      </c>
      <c r="S293" s="8" t="str">
        <f>'3월'!S41</f>
        <v>천범석</v>
      </c>
      <c r="T293" s="11"/>
    </row>
    <row r="294" spans="1:20">
      <c r="B294" s="151" t="str">
        <f>'3월'!B42</f>
        <v>H250306-01</v>
      </c>
      <c r="C294" s="153"/>
      <c r="D294" s="17">
        <f>'3월'!D42</f>
        <v>45737</v>
      </c>
      <c r="E294" s="1" t="str">
        <f>'3월'!E42</f>
        <v>아이티엔</v>
      </c>
      <c r="F294" s="2"/>
      <c r="G294" s="2" t="str">
        <f>'3월'!G42</f>
        <v>상품</v>
      </c>
      <c r="H294" s="83" t="str">
        <f>'3월'!H42</f>
        <v>42D0752</v>
      </c>
      <c r="I294" s="4" t="str">
        <f>'3월'!I42</f>
        <v>IBM 500GB 7200 NL SATA 2.5'' SFF Slim-HS HDD</v>
      </c>
      <c r="J294" s="23">
        <f>'3월'!J42</f>
        <v>1</v>
      </c>
      <c r="K294" s="27">
        <f>'3월'!K42</f>
        <v>250000</v>
      </c>
      <c r="L294" s="26">
        <f>'3월'!L42</f>
        <v>250000</v>
      </c>
      <c r="M294" s="27">
        <f>'3월'!M42</f>
        <v>25000</v>
      </c>
      <c r="N294" s="27">
        <f>'3월'!N42</f>
        <v>275000</v>
      </c>
      <c r="O294" s="33">
        <f>'3월'!O42</f>
        <v>150000</v>
      </c>
      <c r="P294" s="197" t="str">
        <f>'3월'!P42</f>
        <v>이비웨이브(3/6)</v>
      </c>
      <c r="Q294" s="20">
        <f>'3월'!Q42</f>
        <v>100000</v>
      </c>
      <c r="R294" s="2" t="str">
        <f>'3월'!R42</f>
        <v>완료(6/5)</v>
      </c>
      <c r="S294" s="8" t="str">
        <f>'3월'!S42</f>
        <v>천범석</v>
      </c>
      <c r="T294" s="11"/>
    </row>
    <row r="295" spans="1:20">
      <c r="A295" t="s">
        <v>30</v>
      </c>
      <c r="B295" s="151" t="str">
        <f>'3월'!B43</f>
        <v>H250324-02</v>
      </c>
      <c r="C295" s="153"/>
      <c r="D295" s="17">
        <f>'3월'!D43</f>
        <v>45740</v>
      </c>
      <c r="E295" s="1" t="str">
        <f>'3월'!E43</f>
        <v>영화시스템</v>
      </c>
      <c r="F295" s="2" t="str">
        <f>'3월'!F43</f>
        <v>CGV계양</v>
      </c>
      <c r="G295" s="2" t="str">
        <f>'3월'!G43</f>
        <v>상품</v>
      </c>
      <c r="H295" s="83" t="str">
        <f>'3월'!H43</f>
        <v>이전</v>
      </c>
      <c r="I295" s="4" t="str">
        <f>'3월'!I43</f>
        <v>X3650M5 서버 1식, 이전</v>
      </c>
      <c r="J295" s="23">
        <f>'3월'!J43</f>
        <v>1</v>
      </c>
      <c r="K295" s="27">
        <f>'3월'!K43</f>
        <v>400000</v>
      </c>
      <c r="L295" s="26">
        <f>'3월'!L43</f>
        <v>400000</v>
      </c>
      <c r="M295" s="27">
        <f>'3월'!M43</f>
        <v>40000</v>
      </c>
      <c r="N295" s="27">
        <f>'3월'!N43</f>
        <v>440000</v>
      </c>
      <c r="O295" s="33">
        <f>'3월'!O43</f>
        <v>0</v>
      </c>
      <c r="P295" s="197" t="str">
        <f>'3월'!P43</f>
        <v>SM</v>
      </c>
      <c r="Q295" s="20">
        <f>'3월'!Q43</f>
        <v>400000</v>
      </c>
      <c r="R295" s="2" t="str">
        <f>'3월'!R43</f>
        <v>완료(4/23)</v>
      </c>
      <c r="S295" s="8" t="str">
        <f>'3월'!S43</f>
        <v>천범석</v>
      </c>
      <c r="T295" s="11"/>
    </row>
    <row r="296" spans="1:20">
      <c r="B296" s="151" t="str">
        <f>'3월'!B44</f>
        <v>H250321-02</v>
      </c>
      <c r="C296" s="153"/>
      <c r="D296" s="17">
        <f>'3월'!D44</f>
        <v>45741</v>
      </c>
      <c r="E296" s="214" t="str">
        <f>'3월'!E44</f>
        <v>브리토바코</v>
      </c>
      <c r="F296" s="215" t="str">
        <f>'3월'!F44</f>
        <v>BAT사천</v>
      </c>
      <c r="G296" s="2" t="str">
        <f>'3월'!G44</f>
        <v>상품</v>
      </c>
      <c r="H296" s="83" t="str">
        <f>'3월'!H44</f>
        <v>커넥터</v>
      </c>
      <c r="I296" s="4" t="str">
        <f>'3월'!I44</f>
        <v>보안키, 커넥터</v>
      </c>
      <c r="J296" s="23">
        <f>'3월'!J44</f>
        <v>1</v>
      </c>
      <c r="K296" s="27">
        <f>'3월'!K44</f>
        <v>1295000</v>
      </c>
      <c r="L296" s="26">
        <f>'3월'!L44</f>
        <v>1295000</v>
      </c>
      <c r="M296" s="27">
        <f>'3월'!M44</f>
        <v>129500</v>
      </c>
      <c r="N296" s="27">
        <f>'3월'!N44</f>
        <v>1424500</v>
      </c>
      <c r="O296" s="33">
        <f>'3월'!O44</f>
        <v>1074164</v>
      </c>
      <c r="P296" s="197" t="str">
        <f>'3월'!P44</f>
        <v>컴퓨존(3/21) 로젠택배(3/31) 3,800</v>
      </c>
      <c r="Q296" s="20">
        <f>'3월'!Q44</f>
        <v>220836</v>
      </c>
      <c r="R296" s="68" t="str">
        <f>'3월'!R44</f>
        <v>완료(5/28)</v>
      </c>
      <c r="S296" s="8" t="str">
        <f>'3월'!S44</f>
        <v>천범석</v>
      </c>
      <c r="T296" s="11"/>
    </row>
    <row r="297" spans="1:20">
      <c r="B297" s="151" t="str">
        <f>'3월'!B45</f>
        <v>H250321-01</v>
      </c>
      <c r="C297" s="153"/>
      <c r="D297" s="17">
        <f>'3월'!D45</f>
        <v>45741</v>
      </c>
      <c r="E297" s="1" t="str">
        <f>'3월'!E45</f>
        <v>영화시스템</v>
      </c>
      <c r="F297" s="2" t="str">
        <f>'3월'!F45</f>
        <v>CGV용산아이파크몰</v>
      </c>
      <c r="G297" s="2" t="str">
        <f>'3월'!G45</f>
        <v>상품</v>
      </c>
      <c r="H297" s="83" t="str">
        <f>'3월'!H45</f>
        <v>기술지원</v>
      </c>
      <c r="I297" s="4" t="str">
        <f>'3월'!I45</f>
        <v>OS 설치 기술지원</v>
      </c>
      <c r="J297" s="23">
        <f>'3월'!J45</f>
        <v>1</v>
      </c>
      <c r="K297" s="27">
        <f>'3월'!K45</f>
        <v>400000</v>
      </c>
      <c r="L297" s="26">
        <f>'3월'!L45</f>
        <v>400000</v>
      </c>
      <c r="M297" s="27">
        <f>'3월'!M45</f>
        <v>40000</v>
      </c>
      <c r="N297" s="27">
        <f>'3월'!N45</f>
        <v>440000</v>
      </c>
      <c r="O297" s="33">
        <f>'3월'!O45</f>
        <v>0</v>
      </c>
      <c r="P297" s="197" t="str">
        <f>'3월'!P45</f>
        <v>SM</v>
      </c>
      <c r="Q297" s="20">
        <f>'3월'!Q45</f>
        <v>400000</v>
      </c>
      <c r="R297" s="2" t="str">
        <f>'3월'!R45</f>
        <v>완료(4/24)</v>
      </c>
      <c r="S297" s="8" t="str">
        <f>'3월'!S45</f>
        <v>천범석</v>
      </c>
      <c r="T297" s="11"/>
    </row>
    <row r="298" spans="1:20">
      <c r="A298" t="s">
        <v>30</v>
      </c>
      <c r="B298" s="151" t="str">
        <f>'3월'!B46</f>
        <v>SM-20023</v>
      </c>
      <c r="C298" s="200"/>
      <c r="D298" s="17">
        <f>'3월'!D46</f>
        <v>45741</v>
      </c>
      <c r="E298" s="214" t="str">
        <f>'3월'!E46</f>
        <v>비씨엠정보통신</v>
      </c>
      <c r="F298" s="189" t="str">
        <f>'3월'!F46</f>
        <v>꼬망스</v>
      </c>
      <c r="G298" s="161" t="str">
        <f>'3월'!G46</f>
        <v>MA</v>
      </c>
      <c r="H298" s="161" t="str">
        <f>'3월'!H46</f>
        <v>월간</v>
      </c>
      <c r="I298" s="163" t="str">
        <f>'3월'!I46</f>
        <v>3월 유지정비료 - 7/12회</v>
      </c>
      <c r="J298" s="24">
        <f>'3월'!J46</f>
        <v>1</v>
      </c>
      <c r="K298" s="26">
        <f>'3월'!K46</f>
        <v>320000</v>
      </c>
      <c r="L298" s="26">
        <f>'3월'!L46</f>
        <v>320000</v>
      </c>
      <c r="M298" s="27">
        <f>'3월'!M46</f>
        <v>32000</v>
      </c>
      <c r="N298" s="27">
        <f>'3월'!N46</f>
        <v>352000</v>
      </c>
      <c r="O298" s="33">
        <f>'3월'!O46</f>
        <v>150000</v>
      </c>
      <c r="P298" s="171" t="str">
        <f>'3월'!P46</f>
        <v>시스나인(25/3/4) 연간 1,800,000(7/12회)</v>
      </c>
      <c r="Q298" s="181">
        <f>'3월'!Q46</f>
        <v>170000</v>
      </c>
      <c r="R298" s="2" t="str">
        <f>'3월'!R46</f>
        <v>완료(4/30)</v>
      </c>
      <c r="S298" s="5" t="str">
        <f>'3월'!S46</f>
        <v>천범석</v>
      </c>
      <c r="T298" s="11"/>
    </row>
    <row r="299" spans="1:20">
      <c r="A299" t="s">
        <v>30</v>
      </c>
      <c r="B299" s="151" t="str">
        <f>'3월'!B47</f>
        <v>SM-23026</v>
      </c>
      <c r="C299" s="199"/>
      <c r="D299" s="17">
        <f>'3월'!D47</f>
        <v>45741</v>
      </c>
      <c r="E299" s="214" t="str">
        <f>'3월'!E47</f>
        <v>한국도자기협회</v>
      </c>
      <c r="F299" s="215"/>
      <c r="G299" s="1" t="str">
        <f>'3월'!G47</f>
        <v>MA</v>
      </c>
      <c r="H299" s="2" t="str">
        <f>'3월'!H47</f>
        <v>월간</v>
      </c>
      <c r="I299" s="163" t="str">
        <f>'3월'!I47</f>
        <v>3월 유지정비료 - 8/12회</v>
      </c>
      <c r="J299" s="76">
        <f>'3월'!J47</f>
        <v>1</v>
      </c>
      <c r="K299" s="48">
        <f>'3월'!K47</f>
        <v>1216000</v>
      </c>
      <c r="L299" s="26">
        <f>'3월'!L47</f>
        <v>2446000</v>
      </c>
      <c r="M299" s="27">
        <f>'3월'!M47</f>
        <v>244600</v>
      </c>
      <c r="N299" s="27">
        <f>'3월'!N47</f>
        <v>2690600</v>
      </c>
      <c r="O299" s="52">
        <f>'3월'!O47</f>
        <v>1435000</v>
      </c>
      <c r="P299" s="171" t="str">
        <f>'3월'!P47</f>
        <v>현성솔루션(3/31) 840,000</v>
      </c>
      <c r="Q299" s="181">
        <f>'3월'!Q47</f>
        <v>1011000</v>
      </c>
      <c r="R299" s="2" t="str">
        <f>'3월'!R47</f>
        <v>완료(4/9)</v>
      </c>
      <c r="S299" s="8" t="str">
        <f>'3월'!S47</f>
        <v>홍승민</v>
      </c>
      <c r="T299" s="11"/>
    </row>
    <row r="300" spans="1:20">
      <c r="A300" t="s">
        <v>30</v>
      </c>
      <c r="B300" s="151" t="str">
        <f>'3월'!B48</f>
        <v>SM-24012</v>
      </c>
      <c r="C300" s="201"/>
      <c r="D300" s="43"/>
      <c r="E300" s="219" t="str">
        <f>'3월'!E48</f>
        <v>한국도자기협회</v>
      </c>
      <c r="F300" s="220"/>
      <c r="G300" s="1" t="str">
        <f>'3월'!G48</f>
        <v>MA</v>
      </c>
      <c r="H300" s="2" t="str">
        <f>'3월'!H48</f>
        <v>월간</v>
      </c>
      <c r="I300" s="163" t="str">
        <f>'3월'!I48</f>
        <v>3월 유지정비료 - 11/12회</v>
      </c>
      <c r="J300" s="76">
        <f>'3월'!J48</f>
        <v>1</v>
      </c>
      <c r="K300" s="48">
        <f>'3월'!K48</f>
        <v>390000</v>
      </c>
      <c r="L300" s="38"/>
      <c r="M300" s="38"/>
      <c r="N300" s="38"/>
      <c r="O300" s="84"/>
      <c r="P300" s="240" t="str">
        <f>'3월'!P48</f>
        <v>추후?</v>
      </c>
      <c r="Q300" s="184"/>
      <c r="R300" s="46"/>
      <c r="S300" s="42"/>
      <c r="T300" s="133"/>
    </row>
    <row r="301" spans="1:20">
      <c r="A301" t="s">
        <v>30</v>
      </c>
      <c r="B301" s="151" t="str">
        <f>'3월'!B49</f>
        <v>SM-23025</v>
      </c>
      <c r="C301" s="201"/>
      <c r="D301" s="43"/>
      <c r="E301" s="219" t="str">
        <f>'3월'!E49</f>
        <v>한국도자기협회</v>
      </c>
      <c r="F301" s="220"/>
      <c r="G301" s="1" t="str">
        <f>'3월'!G49</f>
        <v>MA</v>
      </c>
      <c r="H301" s="2" t="str">
        <f>'3월'!H49</f>
        <v>월간</v>
      </c>
      <c r="I301" s="3" t="str">
        <f>'3월'!I49</f>
        <v>이메일 보안 및 호스팅 3월 - 8/12회</v>
      </c>
      <c r="J301" s="76">
        <f>'3월'!J49</f>
        <v>70</v>
      </c>
      <c r="K301" s="48">
        <f>'3월'!K49</f>
        <v>12000</v>
      </c>
      <c r="L301" s="38"/>
      <c r="M301" s="38"/>
      <c r="N301" s="38"/>
      <c r="O301" s="84"/>
      <c r="P301" s="171" t="str">
        <f>'3월'!P49</f>
        <v>현성솔루션(3/31) 595,000</v>
      </c>
      <c r="Q301" s="184"/>
      <c r="R301" s="46"/>
      <c r="S301" s="42"/>
      <c r="T301" s="133"/>
    </row>
    <row r="302" spans="1:20" ht="24">
      <c r="A302" t="s">
        <v>30</v>
      </c>
      <c r="B302" s="151" t="str">
        <f>'3월'!B50</f>
        <v>LI-24007</v>
      </c>
      <c r="C302" s="200" t="str">
        <f>'3월'!C50</f>
        <v>C24009</v>
      </c>
      <c r="D302" s="17">
        <f>'3월'!D50</f>
        <v>45741</v>
      </c>
      <c r="E302" s="214" t="str">
        <f>'3월'!E50</f>
        <v>유더블유에스</v>
      </c>
      <c r="F302" s="215" t="str">
        <f>'3월'!F50</f>
        <v>두원정공</v>
      </c>
      <c r="G302" s="161" t="str">
        <f>'3월'!G50</f>
        <v>MA</v>
      </c>
      <c r="H302" s="161" t="str">
        <f>'3월'!H50</f>
        <v>월간</v>
      </c>
      <c r="I302" s="3" t="str">
        <f>'3월'!I50</f>
        <v>3월 유지정비료 - 9/12회</v>
      </c>
      <c r="J302" s="73">
        <f>'3월'!J50</f>
        <v>1</v>
      </c>
      <c r="K302" s="26">
        <f>'3월'!K50</f>
        <v>168000</v>
      </c>
      <c r="L302" s="26">
        <f>'3월'!L50</f>
        <v>168000</v>
      </c>
      <c r="M302" s="27">
        <f>'3월'!M50</f>
        <v>16800</v>
      </c>
      <c r="N302" s="27">
        <f>'3월'!N50</f>
        <v>184800</v>
      </c>
      <c r="O302" s="52">
        <f>'3월'!O50</f>
        <v>120613.33333333334</v>
      </c>
      <c r="P302" s="171" t="str">
        <f>'3월'!P50</f>
        <v>레노버(24/7/8)연간 (9/12회) 485,440
IBM(3/4) 80,160</v>
      </c>
      <c r="Q302" s="183">
        <f>'3월'!Q50</f>
        <v>47386.666666666657</v>
      </c>
      <c r="R302" s="68" t="str">
        <f>'3월'!R50</f>
        <v>완료(4/29)</v>
      </c>
      <c r="S302" s="5" t="str">
        <f>'3월'!S50</f>
        <v>천범석</v>
      </c>
      <c r="T302" s="11"/>
    </row>
    <row r="303" spans="1:20">
      <c r="A303" t="s">
        <v>30</v>
      </c>
      <c r="B303" s="151" t="str">
        <f>'3월'!B51</f>
        <v>IK-24007</v>
      </c>
      <c r="C303" s="200"/>
      <c r="D303" s="17">
        <f>'3월'!D51</f>
        <v>45741</v>
      </c>
      <c r="E303" s="214" t="str">
        <f>'3월'!E51</f>
        <v>로보츠</v>
      </c>
      <c r="F303" s="189" t="str">
        <f>'3월'!F51</f>
        <v>도시바일렉트로닉스</v>
      </c>
      <c r="G303" s="161" t="str">
        <f>'3월'!G51</f>
        <v>MA</v>
      </c>
      <c r="H303" s="161" t="str">
        <f>'3월'!H51</f>
        <v>월간-IBM</v>
      </c>
      <c r="I303" s="163" t="str">
        <f>'3월'!I51</f>
        <v>3월 유지정비료 - 9/12회</v>
      </c>
      <c r="J303" s="24">
        <f>'3월'!J51</f>
        <v>1</v>
      </c>
      <c r="K303" s="26">
        <f>'3월'!K51</f>
        <v>115000</v>
      </c>
      <c r="L303" s="26">
        <f>'3월'!L51</f>
        <v>115000</v>
      </c>
      <c r="M303" s="27">
        <f>'3월'!M51</f>
        <v>11500</v>
      </c>
      <c r="N303" s="27">
        <f>'3월'!N51</f>
        <v>126500</v>
      </c>
      <c r="O303" s="52">
        <f>'3월'!O51</f>
        <v>66498</v>
      </c>
      <c r="P303" s="171" t="str">
        <f>'3월'!P51</f>
        <v>IBM(3/4)</v>
      </c>
      <c r="Q303" s="181">
        <f>'3월'!Q51</f>
        <v>48502</v>
      </c>
      <c r="R303" s="68" t="str">
        <f>'3월'!R51</f>
        <v>완료(4/25)</v>
      </c>
      <c r="S303" s="5" t="str">
        <f>'3월'!S51</f>
        <v>천범석</v>
      </c>
      <c r="T303" s="11"/>
    </row>
    <row r="304" spans="1:20" ht="36">
      <c r="A304" t="s">
        <v>30</v>
      </c>
      <c r="B304" s="151" t="str">
        <f>'3월'!B52</f>
        <v>IK-24011</v>
      </c>
      <c r="C304" s="199"/>
      <c r="D304" s="17">
        <f>'3월'!D52</f>
        <v>45741</v>
      </c>
      <c r="E304" s="214" t="str">
        <f>'3월'!E52</f>
        <v>로보츠</v>
      </c>
      <c r="F304" s="215" t="str">
        <f>'3월'!F52</f>
        <v>키오시아</v>
      </c>
      <c r="G304" s="161" t="str">
        <f>'3월'!G52</f>
        <v>MA</v>
      </c>
      <c r="H304" s="161" t="str">
        <f>'3월'!H52</f>
        <v>월간-IBM</v>
      </c>
      <c r="I304" s="164" t="str">
        <f>'3월'!I52</f>
        <v>3월 유지정비료 - 4/12회</v>
      </c>
      <c r="J304" s="34">
        <f>'3월'!J52</f>
        <v>1</v>
      </c>
      <c r="K304" s="48">
        <f>'3월'!K52</f>
        <v>350000</v>
      </c>
      <c r="L304" s="26">
        <f>'3월'!L52</f>
        <v>350000</v>
      </c>
      <c r="M304" s="27">
        <f>'3월'!M52</f>
        <v>35000</v>
      </c>
      <c r="N304" s="27">
        <f>'3월'!N52</f>
        <v>385000</v>
      </c>
      <c r="O304" s="52">
        <f>'3월'!O52</f>
        <v>287383.33333333331</v>
      </c>
      <c r="P304" s="171" t="str">
        <f>'3월'!P52</f>
        <v>IBM(3/4) 133,875
DCSS (3/31) 70,180
시스나인(11/3) 1,000,000 (4/12)</v>
      </c>
      <c r="Q304" s="181">
        <f>'3월'!Q52</f>
        <v>62616.666666666686</v>
      </c>
      <c r="R304" s="68" t="str">
        <f>'3월'!R52</f>
        <v>완료(4/25)</v>
      </c>
      <c r="S304" s="8" t="str">
        <f>'3월'!S52</f>
        <v>천범석</v>
      </c>
      <c r="T304" s="11"/>
    </row>
    <row r="305" spans="1:21" ht="24">
      <c r="A305" t="s">
        <v>30</v>
      </c>
      <c r="B305" s="151" t="str">
        <f>'3월'!B53</f>
        <v>IK-24014</v>
      </c>
      <c r="C305" s="199"/>
      <c r="D305" s="17">
        <f>'3월'!D53</f>
        <v>45741</v>
      </c>
      <c r="E305" s="214" t="str">
        <f>'3월'!E53</f>
        <v>로보츠</v>
      </c>
      <c r="F305" s="215" t="str">
        <f>'3월'!F53</f>
        <v>와이케이케이코리아</v>
      </c>
      <c r="G305" s="161" t="str">
        <f>'3월'!G53</f>
        <v>MA</v>
      </c>
      <c r="H305" s="161" t="str">
        <f>'3월'!H53</f>
        <v>월간-IBM</v>
      </c>
      <c r="I305" s="164" t="str">
        <f>'3월'!I53</f>
        <v>3월 유지정비료 - 3/12회</v>
      </c>
      <c r="J305" s="34">
        <f>'3월'!J53</f>
        <v>1</v>
      </c>
      <c r="K305" s="48">
        <f>'3월'!K53</f>
        <v>444000</v>
      </c>
      <c r="L305" s="26">
        <f>'3월'!L53</f>
        <v>444000</v>
      </c>
      <c r="M305" s="27">
        <f>'3월'!M53</f>
        <v>44400</v>
      </c>
      <c r="N305" s="27">
        <f>'3월'!N53</f>
        <v>488400</v>
      </c>
      <c r="O305" s="52">
        <f>'3월'!O53</f>
        <v>429496</v>
      </c>
      <c r="P305" s="171" t="str">
        <f>'3월'!P53</f>
        <v>IBM(3/4) 79,496
시스나인(11/3) 4,200,000 (3/12회)</v>
      </c>
      <c r="Q305" s="181">
        <f>'3월'!Q53</f>
        <v>14504</v>
      </c>
      <c r="R305" s="68" t="str">
        <f>'3월'!R53</f>
        <v>완료(4/25)</v>
      </c>
      <c r="S305" s="8" t="str">
        <f>'3월'!S53</f>
        <v>천범석</v>
      </c>
      <c r="T305" s="11"/>
    </row>
    <row r="306" spans="1:21">
      <c r="A306" t="s">
        <v>30</v>
      </c>
      <c r="B306" s="151" t="str">
        <f>'3월'!B54</f>
        <v>SM-21021</v>
      </c>
      <c r="C306" s="200"/>
      <c r="D306" s="17">
        <f>'3월'!D54</f>
        <v>45741</v>
      </c>
      <c r="E306" s="214" t="str">
        <f>'3월'!E54</f>
        <v>바른시스템</v>
      </c>
      <c r="F306" s="189"/>
      <c r="G306" s="161" t="str">
        <f>'3월'!G54</f>
        <v>MA</v>
      </c>
      <c r="H306" s="161" t="str">
        <f>'3월'!H54</f>
        <v>월간</v>
      </c>
      <c r="I306" s="163" t="str">
        <f>'3월'!I54</f>
        <v>3월 유지정비료 - 1/12회</v>
      </c>
      <c r="J306" s="24">
        <f>'3월'!J54</f>
        <v>1</v>
      </c>
      <c r="K306" s="26">
        <f>'3월'!K54</f>
        <v>305000</v>
      </c>
      <c r="L306" s="26">
        <f>'3월'!L54</f>
        <v>305000</v>
      </c>
      <c r="M306" s="27">
        <f>'3월'!M54</f>
        <v>30500</v>
      </c>
      <c r="N306" s="27">
        <f>'3월'!N54</f>
        <v>335500</v>
      </c>
      <c r="O306" s="52">
        <f>'3월'!O54</f>
        <v>84811</v>
      </c>
      <c r="P306" s="171" t="str">
        <f>'3월'!P54</f>
        <v>IBM(3/4)</v>
      </c>
      <c r="Q306" s="181">
        <f>'3월'!Q54</f>
        <v>220189</v>
      </c>
      <c r="R306" s="68" t="str">
        <f>'3월'!R54</f>
        <v>완료(3/31)</v>
      </c>
      <c r="S306" s="5" t="str">
        <f>'3월'!S54</f>
        <v>홍승민</v>
      </c>
      <c r="T306" s="11"/>
    </row>
    <row r="307" spans="1:21">
      <c r="A307" t="s">
        <v>30</v>
      </c>
      <c r="B307" s="151" t="str">
        <f>'3월'!B55</f>
        <v>LI-24006</v>
      </c>
      <c r="C307" s="199"/>
      <c r="D307" s="17">
        <f>'3월'!D55</f>
        <v>45741</v>
      </c>
      <c r="E307" s="214" t="str">
        <f>'3월'!E55</f>
        <v>보해양조</v>
      </c>
      <c r="F307" s="215"/>
      <c r="G307" s="2" t="str">
        <f>'3월'!G55</f>
        <v>MA</v>
      </c>
      <c r="H307" s="161" t="str">
        <f>'3월'!H55</f>
        <v>월간-IBM</v>
      </c>
      <c r="I307" s="4" t="str">
        <f>'3월'!I55</f>
        <v>3월 유지정비료 - 9/12회</v>
      </c>
      <c r="J307" s="23">
        <f>'3월'!J55</f>
        <v>1</v>
      </c>
      <c r="K307" s="27">
        <f>'3월'!K55</f>
        <v>668000</v>
      </c>
      <c r="L307" s="26">
        <f>'3월'!L55</f>
        <v>668000</v>
      </c>
      <c r="M307" s="27">
        <f>'3월'!M55</f>
        <v>66800</v>
      </c>
      <c r="N307" s="27">
        <f>'3월'!N55</f>
        <v>734800</v>
      </c>
      <c r="O307" s="72">
        <f>'3월'!O55</f>
        <v>420400</v>
      </c>
      <c r="P307" s="223" t="str">
        <f>'3월'!P55</f>
        <v>IBM(3/4) 142,800   (3/1)277,600</v>
      </c>
      <c r="Q307" s="181">
        <f>'3월'!Q55</f>
        <v>247600</v>
      </c>
      <c r="R307" s="68" t="str">
        <f>'3월'!R55</f>
        <v>완료(4/15)</v>
      </c>
      <c r="S307" s="8" t="str">
        <f>'3월'!S55</f>
        <v>천범석</v>
      </c>
      <c r="T307" s="11"/>
    </row>
    <row r="308" spans="1:21" ht="24">
      <c r="A308" t="s">
        <v>30</v>
      </c>
      <c r="B308" s="151" t="str">
        <f>'3월'!B56</f>
        <v>SM-24024</v>
      </c>
      <c r="C308" s="199"/>
      <c r="D308" s="17">
        <f>'3월'!D56</f>
        <v>45741</v>
      </c>
      <c r="E308" s="214" t="str">
        <f>'3월'!E56</f>
        <v>일원병원</v>
      </c>
      <c r="F308" s="214" t="str">
        <f>'3월'!F56</f>
        <v>묵동</v>
      </c>
      <c r="G308" s="161" t="str">
        <f>'3월'!G56</f>
        <v>MA</v>
      </c>
      <c r="H308" s="161" t="str">
        <f>'3월'!H56</f>
        <v>월간</v>
      </c>
      <c r="I308" s="163" t="str">
        <f>'3월'!I56</f>
        <v>3월 유지정비료 - 4/12회</v>
      </c>
      <c r="J308" s="24">
        <f>'3월'!J56</f>
        <v>1</v>
      </c>
      <c r="K308" s="26">
        <f>'3월'!K56</f>
        <v>500000</v>
      </c>
      <c r="L308" s="26">
        <f>'3월'!L56</f>
        <v>500000</v>
      </c>
      <c r="M308" s="27">
        <f>'3월'!M56</f>
        <v>50000</v>
      </c>
      <c r="N308" s="27">
        <f>'3월'!N56</f>
        <v>550000</v>
      </c>
      <c r="O308" s="52">
        <f>'3월'!O56</f>
        <v>120600</v>
      </c>
      <c r="P308" s="171" t="str">
        <f>'3월'!P56</f>
        <v>시스나인(4/25) 반기 600,000 (4/6회)
DCSS(3/31) 20,600</v>
      </c>
      <c r="Q308" s="181">
        <f>'3월'!Q56</f>
        <v>379400</v>
      </c>
      <c r="R308" s="68" t="str">
        <f>'3월'!R56</f>
        <v>완료(4/28)</v>
      </c>
      <c r="S308" s="5" t="str">
        <f>'3월'!S56</f>
        <v>천범석</v>
      </c>
      <c r="T308" s="11"/>
    </row>
    <row r="309" spans="1:21">
      <c r="A309" t="s">
        <v>30</v>
      </c>
      <c r="B309" s="151" t="str">
        <f>'3월'!B57</f>
        <v>SM-25005</v>
      </c>
      <c r="C309" s="199"/>
      <c r="D309" s="17">
        <f>'3월'!D57</f>
        <v>45741</v>
      </c>
      <c r="E309" s="221" t="str">
        <f>'3월'!E57</f>
        <v>고영</v>
      </c>
      <c r="F309" s="215"/>
      <c r="G309" s="161" t="str">
        <f>'3월'!G57</f>
        <v>MA</v>
      </c>
      <c r="H309" s="161" t="str">
        <f>'3월'!H57</f>
        <v>월간</v>
      </c>
      <c r="I309" s="163" t="str">
        <f>'3월'!I57</f>
        <v>3월 유지정비료 - 3/12회</v>
      </c>
      <c r="J309" s="23">
        <f>'3월'!J57</f>
        <v>1</v>
      </c>
      <c r="K309" s="27">
        <f>'3월'!K57</f>
        <v>1400000</v>
      </c>
      <c r="L309" s="26">
        <f>'3월'!L57</f>
        <v>1400000</v>
      </c>
      <c r="M309" s="27">
        <f>'3월'!M57</f>
        <v>140000</v>
      </c>
      <c r="N309" s="27">
        <f>'3월'!N57</f>
        <v>1540000</v>
      </c>
      <c r="O309" s="52">
        <f>'3월'!O57</f>
        <v>500000</v>
      </c>
      <c r="P309" s="171" t="str">
        <f>'3월'!P57</f>
        <v>시스나인(25/3/4) 분기 1,500,000 (3/3회)</v>
      </c>
      <c r="Q309" s="181">
        <f>'3월'!Q57</f>
        <v>900000</v>
      </c>
      <c r="R309" s="68" t="str">
        <f>'3월'!R57</f>
        <v>완료(4/21)</v>
      </c>
      <c r="S309" s="8" t="str">
        <f>'3월'!S57</f>
        <v>홍승민</v>
      </c>
      <c r="T309" s="11"/>
      <c r="U309" s="121">
        <f>Q309/L309</f>
        <v>0.6428571428571429</v>
      </c>
    </row>
    <row r="310" spans="1:21">
      <c r="A310" t="s">
        <v>30</v>
      </c>
      <c r="B310" s="151" t="str">
        <f>'3월'!B58</f>
        <v>SL-23009</v>
      </c>
      <c r="C310" s="153" t="str">
        <f>'3월'!C58</f>
        <v>ZI1HRR</v>
      </c>
      <c r="D310" s="86">
        <f>'3월'!D58</f>
        <v>45741</v>
      </c>
      <c r="E310" s="1" t="str">
        <f>'3월'!E58</f>
        <v>대신네트웍스</v>
      </c>
      <c r="F310" s="2" t="str">
        <f>'3월'!F58</f>
        <v>동두천드림파워</v>
      </c>
      <c r="G310" s="2" t="str">
        <f>'3월'!G58</f>
        <v>MA</v>
      </c>
      <c r="H310" s="2" t="str">
        <f>'3월'!H58</f>
        <v>월간-레노버</v>
      </c>
      <c r="I310" s="70" t="str">
        <f>'3월'!I58</f>
        <v>분기 (25.1~25.3) 유지정비료 - 7/12회</v>
      </c>
      <c r="J310" s="23">
        <f>'3월'!J58</f>
        <v>1</v>
      </c>
      <c r="K310" s="27">
        <f>'3월'!K58</f>
        <v>417500</v>
      </c>
      <c r="L310" s="26">
        <f>'3월'!L58</f>
        <v>417500</v>
      </c>
      <c r="M310" s="27">
        <f>'3월'!M58</f>
        <v>41750</v>
      </c>
      <c r="N310" s="27">
        <f>'3월'!N58</f>
        <v>459250</v>
      </c>
      <c r="O310" s="33">
        <f>'3월'!O58</f>
        <v>347400</v>
      </c>
      <c r="P310" s="171" t="str">
        <f>'3월'!P58</f>
        <v>레노버 월 115,800 (1/31)(2/28)(3/31)</v>
      </c>
      <c r="Q310" s="21">
        <f>'3월'!Q58</f>
        <v>70100</v>
      </c>
      <c r="R310" s="68" t="str">
        <f>'3월'!R58</f>
        <v>완료(4/21)</v>
      </c>
      <c r="S310" s="8" t="str">
        <f>'3월'!S58</f>
        <v>천범석</v>
      </c>
      <c r="T310" s="11"/>
    </row>
    <row r="311" spans="1:21">
      <c r="B311" s="151" t="str">
        <f>'3월'!B59</f>
        <v>H250117-01</v>
      </c>
      <c r="C311" s="153"/>
      <c r="D311" s="17">
        <f>'3월'!D59</f>
        <v>45741</v>
      </c>
      <c r="E311" s="1" t="str">
        <f>'3월'!E59</f>
        <v>매사</v>
      </c>
      <c r="F311" s="2"/>
      <c r="G311" s="2" t="str">
        <f>'3월'!G59</f>
        <v>상품</v>
      </c>
      <c r="H311" s="83" t="str">
        <f>'3월'!H59</f>
        <v>54C33</v>
      </c>
      <c r="I311" s="4" t="str">
        <f>'3월'!I59</f>
        <v>(수정1/21)DELL Controller Battery FS8600(중고) -반품</v>
      </c>
      <c r="J311" s="23">
        <f>'3월'!J59</f>
        <v>-1</v>
      </c>
      <c r="K311" s="27">
        <f>'3월'!K59</f>
        <v>650000</v>
      </c>
      <c r="L311" s="26">
        <f>'3월'!L59</f>
        <v>-650000</v>
      </c>
      <c r="M311" s="27">
        <f>'3월'!M59</f>
        <v>-65000</v>
      </c>
      <c r="N311" s="27">
        <f>'3월'!N59</f>
        <v>-715000</v>
      </c>
      <c r="O311" s="33">
        <f>'3월'!O59</f>
        <v>0</v>
      </c>
      <c r="P311" s="197" t="str">
        <f>'3월'!P59</f>
        <v>매출취소</v>
      </c>
      <c r="Q311" s="20"/>
      <c r="R311" s="68" t="str">
        <f>'3월'!R59</f>
        <v>환불(3/31)</v>
      </c>
      <c r="S311" s="8" t="str">
        <f>'3월'!S59</f>
        <v>천범석</v>
      </c>
      <c r="T311" s="11"/>
    </row>
    <row r="312" spans="1:21">
      <c r="A312" t="s">
        <v>30</v>
      </c>
      <c r="B312" s="151" t="str">
        <f>'3월'!B60</f>
        <v>H250117-01</v>
      </c>
      <c r="C312" s="153"/>
      <c r="D312" s="17">
        <f>'3월'!D60</f>
        <v>45741</v>
      </c>
      <c r="E312" s="1" t="str">
        <f>'3월'!E60</f>
        <v>위퍼스트</v>
      </c>
      <c r="F312" s="2"/>
      <c r="G312" s="2" t="str">
        <f>'3월'!G60</f>
        <v>상품</v>
      </c>
      <c r="H312" s="83" t="str">
        <f>'3월'!H60</f>
        <v>54C33</v>
      </c>
      <c r="I312" s="4" t="str">
        <f>'3월'!I60</f>
        <v>DELL Controller Battery FS8600(중고)</v>
      </c>
      <c r="J312" s="23">
        <f>'3월'!J60</f>
        <v>1</v>
      </c>
      <c r="K312" s="27">
        <f>'3월'!K60</f>
        <v>550000</v>
      </c>
      <c r="L312" s="26">
        <f>'3월'!L60</f>
        <v>550000</v>
      </c>
      <c r="M312" s="27">
        <f>'3월'!M60</f>
        <v>55000</v>
      </c>
      <c r="N312" s="27">
        <f>'3월'!N60</f>
        <v>605000</v>
      </c>
      <c r="O312" s="33">
        <f>'3월'!O60</f>
        <v>0</v>
      </c>
      <c r="P312" s="197" t="str">
        <f>'3월'!P60</f>
        <v>매입(1/16)취소-반납을 매출로처리</v>
      </c>
      <c r="Q312" s="20"/>
      <c r="R312" s="68" t="str">
        <f>'3월'!R60</f>
        <v>완료(3/26)</v>
      </c>
      <c r="S312" s="8" t="str">
        <f>'3월'!S60</f>
        <v>천범석</v>
      </c>
      <c r="T312" s="11"/>
    </row>
    <row r="313" spans="1:21">
      <c r="A313" t="s">
        <v>30</v>
      </c>
      <c r="B313" s="151" t="str">
        <f>'3월'!B61</f>
        <v>S</v>
      </c>
      <c r="C313" s="153"/>
      <c r="D313" s="17">
        <f>'3월'!D61</f>
        <v>45742</v>
      </c>
      <c r="E313" s="1" t="str">
        <f>'3월'!E61</f>
        <v>에이비씨한국</v>
      </c>
      <c r="F313" s="2" t="str">
        <f>'3월'!F61</f>
        <v>평택</v>
      </c>
      <c r="G313" s="2" t="str">
        <f>'3월'!G61</f>
        <v>상품</v>
      </c>
      <c r="H313" s="83" t="str">
        <f>'3월'!H61</f>
        <v>모니터</v>
      </c>
      <c r="I313" s="4" t="str">
        <f>'3월'!I61</f>
        <v>삼성전자 24인치 모니터 LF24T452FQKXKR</v>
      </c>
      <c r="J313" s="23">
        <f>'3월'!J61</f>
        <v>1</v>
      </c>
      <c r="K313" s="27">
        <f>'3월'!K61</f>
        <v>210000</v>
      </c>
      <c r="L313" s="26">
        <f>'3월'!L61</f>
        <v>210000</v>
      </c>
      <c r="M313" s="27">
        <f>'3월'!M61</f>
        <v>21000</v>
      </c>
      <c r="N313" s="27">
        <f>'3월'!N61</f>
        <v>231000</v>
      </c>
      <c r="O313" s="33">
        <f>'3월'!O61</f>
        <v>200000</v>
      </c>
      <c r="P313" s="197" t="str">
        <f>'3월'!P61</f>
        <v>로보츠(3/26)</v>
      </c>
      <c r="Q313" s="20">
        <f>'3월'!Q61</f>
        <v>10000</v>
      </c>
      <c r="R313" s="68" t="str">
        <f>'3월'!R61</f>
        <v>완료(4/30)</v>
      </c>
      <c r="S313" s="8" t="str">
        <f>'3월'!S61</f>
        <v>이예지</v>
      </c>
      <c r="T313" s="11"/>
    </row>
    <row r="314" spans="1:21" ht="36">
      <c r="A314" t="s">
        <v>30</v>
      </c>
      <c r="B314" s="151" t="str">
        <f>'3월'!B62</f>
        <v>SM-24007</v>
      </c>
      <c r="C314" s="200"/>
      <c r="D314" s="78">
        <f>'3월'!D62</f>
        <v>45742</v>
      </c>
      <c r="E314" s="218" t="str">
        <f>'3월'!E62</f>
        <v>성대의료원</v>
      </c>
      <c r="F314" s="217"/>
      <c r="G314" s="167" t="str">
        <f>'3월'!G62</f>
        <v>MA</v>
      </c>
      <c r="H314" s="167" t="str">
        <f>'3월'!H62</f>
        <v>월간</v>
      </c>
      <c r="I314" s="168" t="str">
        <f>'3월'!I62</f>
        <v>3월 유지정비료 - 2/12회</v>
      </c>
      <c r="J314" s="79">
        <f>'3월'!J62</f>
        <v>1</v>
      </c>
      <c r="K314" s="80">
        <f>'3월'!K62</f>
        <v>1505000</v>
      </c>
      <c r="L314" s="80">
        <f>'3월'!L62</f>
        <v>1505000</v>
      </c>
      <c r="M314" s="81">
        <f>'3월'!M62</f>
        <v>150500</v>
      </c>
      <c r="N314" s="81">
        <f>'3월'!N62</f>
        <v>1655500</v>
      </c>
      <c r="O314" s="52">
        <f>'3월'!O62</f>
        <v>980000</v>
      </c>
      <c r="P314" s="171" t="str">
        <f>'3월'!P62</f>
        <v>다원씨앤에스(3/25) 200,000
DCSS(3/31) 80,000
시스나인(1/2) 2,100,000(2/3회)</v>
      </c>
      <c r="Q314" s="181">
        <f>'3월'!Q62</f>
        <v>525000</v>
      </c>
      <c r="R314" s="2" t="str">
        <f>'3월'!R62</f>
        <v>완료(4/29)</v>
      </c>
      <c r="S314" s="5" t="str">
        <f>'3월'!S62</f>
        <v>이예지</v>
      </c>
      <c r="T314" s="11"/>
    </row>
    <row r="315" spans="1:21">
      <c r="A315" t="s">
        <v>30</v>
      </c>
      <c r="B315" s="151" t="str">
        <f>'3월'!B63</f>
        <v>S</v>
      </c>
      <c r="C315" s="199"/>
      <c r="D315" s="17">
        <f>'3월'!D63</f>
        <v>45747</v>
      </c>
      <c r="E315" s="214" t="str">
        <f>'3월'!E63</f>
        <v>스팩스</v>
      </c>
      <c r="F315" s="215" t="str">
        <f>'3월'!F63</f>
        <v>광명자이 1810호</v>
      </c>
      <c r="G315" s="161" t="str">
        <f>'3월'!G63</f>
        <v>건물임대</v>
      </c>
      <c r="H315" s="161" t="str">
        <f>'3월'!H63</f>
        <v>임대료</v>
      </c>
      <c r="I315" s="169" t="str">
        <f>'3월'!I63</f>
        <v>3월 임대료 - 9/12회</v>
      </c>
      <c r="J315" s="69">
        <f>'3월'!J63</f>
        <v>1</v>
      </c>
      <c r="K315" s="27">
        <f>'3월'!K63</f>
        <v>600000</v>
      </c>
      <c r="L315" s="26">
        <f>'3월'!L63</f>
        <v>600000</v>
      </c>
      <c r="M315" s="27">
        <f>'3월'!M63</f>
        <v>60000</v>
      </c>
      <c r="N315" s="27">
        <f>'3월'!N63</f>
        <v>660000</v>
      </c>
      <c r="O315" s="52">
        <f>'3월'!O63</f>
        <v>0</v>
      </c>
      <c r="P315" s="171" t="str">
        <f>'3월'!P63</f>
        <v>X</v>
      </c>
      <c r="Q315" s="181">
        <f>'3월'!Q63</f>
        <v>600000</v>
      </c>
      <c r="R315" s="68" t="str">
        <f>'3월'!R63</f>
        <v>완료(4/1)</v>
      </c>
      <c r="S315" s="8" t="str">
        <f>'3월'!S63</f>
        <v>정지우</v>
      </c>
      <c r="T315" s="11"/>
    </row>
    <row r="316" spans="1:21" ht="24">
      <c r="A316" t="s">
        <v>30</v>
      </c>
      <c r="B316" s="151" t="str">
        <f>'3월'!B64</f>
        <v>S</v>
      </c>
      <c r="C316" s="199"/>
      <c r="D316" s="17">
        <f>'3월'!D64</f>
        <v>45747</v>
      </c>
      <c r="E316" s="214" t="str">
        <f>'3월'!E64</f>
        <v>씨케이명차</v>
      </c>
      <c r="F316" s="215" t="str">
        <f>'3월'!F64</f>
        <v>가양아너비즈 402~404호</v>
      </c>
      <c r="G316" s="161" t="str">
        <f>'3월'!G64</f>
        <v>건물임대</v>
      </c>
      <c r="H316" s="161" t="str">
        <f>'3월'!H64</f>
        <v>임대료</v>
      </c>
      <c r="I316" s="4" t="str">
        <f>'3월'!I64</f>
        <v>4월(3.31~4.29) 임대료</v>
      </c>
      <c r="J316" s="23">
        <f>'3월'!J64</f>
        <v>1</v>
      </c>
      <c r="K316" s="27">
        <f>'3월'!K64</f>
        <v>4000000</v>
      </c>
      <c r="L316" s="26">
        <f>'3월'!L64</f>
        <v>4000000</v>
      </c>
      <c r="M316" s="27">
        <f>'3월'!M64</f>
        <v>400000</v>
      </c>
      <c r="N316" s="27">
        <f>'3월'!N64</f>
        <v>4400000</v>
      </c>
      <c r="O316" s="52">
        <f>'3월'!O64</f>
        <v>0</v>
      </c>
      <c r="P316" s="170" t="str">
        <f>'3월'!P64</f>
        <v>X</v>
      </c>
      <c r="Q316" s="181">
        <f>'3월'!Q64</f>
        <v>4000000</v>
      </c>
      <c r="R316" s="68" t="str">
        <f>'3월'!R64</f>
        <v>보증금반제(25/8/31)</v>
      </c>
      <c r="S316" s="8" t="str">
        <f>'3월'!S64</f>
        <v>정지우</v>
      </c>
      <c r="T316" s="11"/>
    </row>
    <row r="317" spans="1:21">
      <c r="A317" t="s">
        <v>30</v>
      </c>
      <c r="B317" s="151" t="str">
        <f>'3월'!B65</f>
        <v>SB-23012</v>
      </c>
      <c r="C317" s="200" t="str">
        <f>'3월'!C65</f>
        <v>ZKFUER</v>
      </c>
      <c r="D317" s="17">
        <f>'3월'!D65</f>
        <v>45747</v>
      </c>
      <c r="E317" s="214" t="str">
        <f>'3월'!E65</f>
        <v>솔리드시스템</v>
      </c>
      <c r="F317" s="214" t="str">
        <f>'3월'!F65</f>
        <v>국립기상과학원</v>
      </c>
      <c r="G317" s="1" t="str">
        <f>'3월'!G65</f>
        <v>MA</v>
      </c>
      <c r="H317" s="161" t="str">
        <f>'3월'!H65</f>
        <v>월간-레노버</v>
      </c>
      <c r="I317" s="163" t="str">
        <f>'3월'!I65</f>
        <v>3월 유지정비료 - 27/37회</v>
      </c>
      <c r="J317" s="32">
        <f>'3월'!J65</f>
        <v>1</v>
      </c>
      <c r="K317" s="48">
        <f>'3월'!K65</f>
        <v>11178000</v>
      </c>
      <c r="L317" s="26">
        <f>'3월'!L65</f>
        <v>11178000</v>
      </c>
      <c r="M317" s="27">
        <f>'3월'!M65</f>
        <v>1117800</v>
      </c>
      <c r="N317" s="27">
        <f>'3월'!N65</f>
        <v>12295800</v>
      </c>
      <c r="O317" s="72">
        <f>'3월'!O65</f>
        <v>9980400</v>
      </c>
      <c r="P317" s="197" t="str">
        <f>'3월'!P65</f>
        <v>레노버(3/31)</v>
      </c>
      <c r="Q317" s="181">
        <f>'3월'!Q65</f>
        <v>1197600</v>
      </c>
      <c r="R317" s="68" t="str">
        <f>'3월'!R65</f>
        <v>완료(4/30)</v>
      </c>
      <c r="S317" s="8" t="str">
        <f>'3월'!S65</f>
        <v>천범석</v>
      </c>
      <c r="T317" s="11"/>
    </row>
    <row r="318" spans="1:21">
      <c r="A318" t="s">
        <v>30</v>
      </c>
      <c r="B318" s="151" t="str">
        <f>'3월'!B66</f>
        <v>SB-25004</v>
      </c>
      <c r="C318" s="200" t="str">
        <f>'3월'!C66</f>
        <v>ZDCPQK</v>
      </c>
      <c r="D318" s="17">
        <f>'3월'!D66</f>
        <v>45747</v>
      </c>
      <c r="E318" s="214" t="str">
        <f>'3월'!E66</f>
        <v>솔리드시스템</v>
      </c>
      <c r="F318" s="189" t="str">
        <f>'3월'!F66</f>
        <v>삼성중공업</v>
      </c>
      <c r="G318" s="161" t="str">
        <f>'3월'!G66</f>
        <v>MA</v>
      </c>
      <c r="H318" s="161" t="str">
        <f>'3월'!H66</f>
        <v>월간-레노버</v>
      </c>
      <c r="I318" s="164" t="str">
        <f>'3월'!I66</f>
        <v>3월 유지정비료 - 3/12회</v>
      </c>
      <c r="J318" s="24">
        <f>'3월'!J66</f>
        <v>1</v>
      </c>
      <c r="K318" s="27">
        <f>'3월'!K66</f>
        <v>585000</v>
      </c>
      <c r="L318" s="26">
        <f>'3월'!L66</f>
        <v>585000</v>
      </c>
      <c r="M318" s="27">
        <f>'3월'!M66</f>
        <v>58500</v>
      </c>
      <c r="N318" s="27">
        <f>'3월'!N66</f>
        <v>643500</v>
      </c>
      <c r="O318" s="52">
        <f>'3월'!O66</f>
        <v>531600</v>
      </c>
      <c r="P318" s="197" t="str">
        <f>'3월'!P66</f>
        <v>레노버(3/31)</v>
      </c>
      <c r="Q318" s="181">
        <f>'3월'!Q66</f>
        <v>53400</v>
      </c>
      <c r="R318" s="68" t="str">
        <f>'3월'!R66</f>
        <v>완료(4/30)</v>
      </c>
      <c r="S318" s="5" t="str">
        <f>'3월'!S66</f>
        <v>천범석</v>
      </c>
      <c r="T318" s="11"/>
    </row>
    <row r="319" spans="1:21">
      <c r="A319" t="s">
        <v>30</v>
      </c>
      <c r="B319" s="151" t="str">
        <f>'3월'!B67</f>
        <v>IK-22023</v>
      </c>
      <c r="C319" s="200"/>
      <c r="D319" s="17">
        <f>'3월'!D67</f>
        <v>45747</v>
      </c>
      <c r="E319" s="214" t="str">
        <f>'3월'!E67</f>
        <v>로인아이티</v>
      </c>
      <c r="F319" s="189" t="str">
        <f>'3월'!F67</f>
        <v>성원제강</v>
      </c>
      <c r="G319" s="161" t="str">
        <f>'3월'!G67</f>
        <v>MA</v>
      </c>
      <c r="H319" s="161" t="str">
        <f>'3월'!H67</f>
        <v>월간-IBM</v>
      </c>
      <c r="I319" s="163" t="str">
        <f>'3월'!I67</f>
        <v>3월 유지정비료 - 24/36회</v>
      </c>
      <c r="J319" s="69">
        <f>'3월'!J67</f>
        <v>1</v>
      </c>
      <c r="K319" s="29">
        <f>'3월'!K67</f>
        <v>180000</v>
      </c>
      <c r="L319" s="26">
        <f>'3월'!L67</f>
        <v>180000</v>
      </c>
      <c r="M319" s="27">
        <f>'3월'!M67</f>
        <v>18000</v>
      </c>
      <c r="N319" s="27">
        <f>'3월'!N67</f>
        <v>198000</v>
      </c>
      <c r="O319" s="52">
        <f>'3월'!O67</f>
        <v>159761</v>
      </c>
      <c r="P319" s="171" t="str">
        <f>'3월'!P67</f>
        <v>IBM(3/4)</v>
      </c>
      <c r="Q319" s="181">
        <f>'3월'!Q67</f>
        <v>20239</v>
      </c>
      <c r="R319" s="68" t="str">
        <f>'3월'!R67</f>
        <v>완료(4/25)</v>
      </c>
      <c r="S319" s="5" t="str">
        <f>'3월'!S67</f>
        <v>천범석</v>
      </c>
      <c r="T319" s="11"/>
    </row>
    <row r="320" spans="1:21">
      <c r="A320" t="s">
        <v>30</v>
      </c>
      <c r="B320" s="151" t="str">
        <f>'3월'!B68</f>
        <v>IK-22021</v>
      </c>
      <c r="C320" s="200"/>
      <c r="D320" s="17">
        <f>'3월'!D68</f>
        <v>45747</v>
      </c>
      <c r="E320" s="214" t="str">
        <f>'3월'!E68</f>
        <v>로인아이티</v>
      </c>
      <c r="F320" s="189" t="str">
        <f>'3월'!F68</f>
        <v>문배철강</v>
      </c>
      <c r="G320" s="161" t="str">
        <f>'3월'!G68</f>
        <v>MA</v>
      </c>
      <c r="H320" s="161" t="str">
        <f>'3월'!H68</f>
        <v>월간-IBM</v>
      </c>
      <c r="I320" s="163" t="str">
        <f>'3월'!I68</f>
        <v>3월 유지정비료 - 24/36회</v>
      </c>
      <c r="J320" s="69">
        <f>'3월'!J68</f>
        <v>1</v>
      </c>
      <c r="K320" s="29">
        <f>'3월'!K68</f>
        <v>240000</v>
      </c>
      <c r="L320" s="26">
        <f>'3월'!L68</f>
        <v>240000</v>
      </c>
      <c r="M320" s="27">
        <f>'3월'!M68</f>
        <v>24000</v>
      </c>
      <c r="N320" s="27">
        <f>'3월'!N68</f>
        <v>264000</v>
      </c>
      <c r="O320" s="52">
        <f>'3월'!O68</f>
        <v>212293</v>
      </c>
      <c r="P320" s="171" t="str">
        <f>'3월'!P68</f>
        <v>IBM(3/4)</v>
      </c>
      <c r="Q320" s="181">
        <f>'3월'!Q68</f>
        <v>27707</v>
      </c>
      <c r="R320" s="68" t="str">
        <f>'3월'!R68</f>
        <v>완료(4/25)</v>
      </c>
      <c r="S320" s="5" t="str">
        <f>'3월'!S68</f>
        <v>천범석</v>
      </c>
      <c r="T320" s="11"/>
    </row>
    <row r="321" spans="1:20">
      <c r="A321" t="s">
        <v>30</v>
      </c>
      <c r="B321" s="151" t="str">
        <f>'3월'!B69</f>
        <v>SB-24040</v>
      </c>
      <c r="C321" s="199" t="str">
        <f>'3월'!C69</f>
        <v>ZBJK3I</v>
      </c>
      <c r="D321" s="17">
        <f>'3월'!D69</f>
        <v>45747</v>
      </c>
      <c r="E321" s="214" t="str">
        <f>'3월'!E69</f>
        <v>도담솔루션</v>
      </c>
      <c r="F321" s="215" t="str">
        <f>'3월'!F69</f>
        <v>호원대학교</v>
      </c>
      <c r="G321" s="161" t="str">
        <f>'3월'!G69</f>
        <v>MA</v>
      </c>
      <c r="H321" s="2" t="str">
        <f>'3월'!H69</f>
        <v>월간-레노버</v>
      </c>
      <c r="I321" s="4" t="str">
        <f>'3월'!I69</f>
        <v>3월 유지정비료 - 10/12회</v>
      </c>
      <c r="J321" s="23">
        <f>'3월'!J69</f>
        <v>1</v>
      </c>
      <c r="K321" s="27">
        <f>'3월'!K69</f>
        <v>122000</v>
      </c>
      <c r="L321" s="26">
        <f>'3월'!L69</f>
        <v>122000</v>
      </c>
      <c r="M321" s="27">
        <f>'3월'!M69</f>
        <v>12200</v>
      </c>
      <c r="N321" s="27">
        <f>'3월'!N69</f>
        <v>134200</v>
      </c>
      <c r="O321" s="52">
        <f>'3월'!O69</f>
        <v>101400</v>
      </c>
      <c r="P321" s="197" t="str">
        <f>'3월'!P69</f>
        <v>레노버(3/31)</v>
      </c>
      <c r="Q321" s="181">
        <f>'3월'!Q69</f>
        <v>20600</v>
      </c>
      <c r="R321" s="68" t="str">
        <f>'3월'!R69</f>
        <v>완료(5/12)</v>
      </c>
      <c r="S321" s="8" t="str">
        <f>'3월'!S69</f>
        <v>천범석</v>
      </c>
      <c r="T321" s="11"/>
    </row>
    <row r="322" spans="1:20" ht="36">
      <c r="A322" t="s">
        <v>30</v>
      </c>
      <c r="B322" s="151" t="str">
        <f>'3월'!B70</f>
        <v>SM-23031</v>
      </c>
      <c r="C322" s="199"/>
      <c r="D322" s="17">
        <f>'3월'!D70</f>
        <v>45747</v>
      </c>
      <c r="E322" s="214" t="str">
        <f>'3월'!E70</f>
        <v>온더보드</v>
      </c>
      <c r="F322" s="215" t="str">
        <f>'3월'!F70</f>
        <v>삼표</v>
      </c>
      <c r="G322" s="2" t="str">
        <f>'3월'!G70</f>
        <v>MA</v>
      </c>
      <c r="H322" s="2" t="str">
        <f>'3월'!H70</f>
        <v>월간</v>
      </c>
      <c r="I322" s="4" t="str">
        <f>'3월'!I70</f>
        <v>삼표 DB세이퍼 유지보수 - 3월(8/12회)</v>
      </c>
      <c r="J322" s="23">
        <f>'3월'!J70</f>
        <v>1</v>
      </c>
      <c r="K322" s="27">
        <f>'3월'!K70</f>
        <v>1200000</v>
      </c>
      <c r="L322" s="26">
        <f>'3월'!L70</f>
        <v>1200000</v>
      </c>
      <c r="M322" s="27">
        <f>'3월'!M70</f>
        <v>120000</v>
      </c>
      <c r="N322" s="27">
        <f>'3월'!N70</f>
        <v>1320000</v>
      </c>
      <c r="O322" s="52">
        <f>'3월'!O70</f>
        <v>1058333.3333333335</v>
      </c>
      <c r="P322" s="171" t="str">
        <f>'3월'!P70</f>
        <v>신세계(3/11) 600,000
지엘정보(6/27) 반기 1,250,000(2/6회)
시스나인(1/2) 1,750,000(3/7회)</v>
      </c>
      <c r="Q322" s="181">
        <f>'3월'!Q70</f>
        <v>141666.66666666651</v>
      </c>
      <c r="R322" s="68" t="str">
        <f>'3월'!R70</f>
        <v>완료(4/30)</v>
      </c>
      <c r="S322" s="8" t="str">
        <f>'3월'!S70</f>
        <v>이예지</v>
      </c>
      <c r="T322" s="11"/>
    </row>
    <row r="323" spans="1:20" ht="24">
      <c r="A323" t="s">
        <v>30</v>
      </c>
      <c r="B323" s="151" t="str">
        <f>'3월'!B71</f>
        <v>SB-23053</v>
      </c>
      <c r="C323" s="199" t="str">
        <f>'3월'!C71</f>
        <v>Z41QIW</v>
      </c>
      <c r="D323" s="17">
        <f>'3월'!D71</f>
        <v>45747</v>
      </c>
      <c r="E323" s="214" t="str">
        <f>'3월'!E71</f>
        <v>수원정보</v>
      </c>
      <c r="F323" s="215" t="str">
        <f>'3월'!F71</f>
        <v>신세계아이앤씨</v>
      </c>
      <c r="G323" s="2" t="str">
        <f>'3월'!G71</f>
        <v>MA</v>
      </c>
      <c r="H323" s="83" t="str">
        <f>'3월'!H71</f>
        <v>월간-레노버</v>
      </c>
      <c r="I323" s="163" t="str">
        <f>'3월'!I71</f>
        <v>3월 유지정비료 - 25/46회</v>
      </c>
      <c r="J323" s="23">
        <f>'3월'!J71</f>
        <v>1</v>
      </c>
      <c r="K323" s="27">
        <f>'3월'!K71</f>
        <v>5082300</v>
      </c>
      <c r="L323" s="26">
        <f>'3월'!L71</f>
        <v>5082300</v>
      </c>
      <c r="M323" s="27">
        <f>'3월'!M71</f>
        <v>508230</v>
      </c>
      <c r="N323" s="27">
        <f>'3월'!N71</f>
        <v>5590530</v>
      </c>
      <c r="O323" s="72">
        <f>'3월'!O71</f>
        <v>4589756</v>
      </c>
      <c r="P323" s="197" t="str">
        <f>'3월'!P71</f>
        <v>레노버(3/31) 3,709,756
시스나인(25/2/28) 10,560,000 (10/12회)</v>
      </c>
      <c r="Q323" s="181">
        <f>'3월'!Q71</f>
        <v>492544</v>
      </c>
      <c r="R323" s="68" t="str">
        <f>'3월'!R71</f>
        <v>완료(5/20)</v>
      </c>
      <c r="S323" s="8" t="str">
        <f>'3월'!S71</f>
        <v>천범석</v>
      </c>
      <c r="T323" s="11"/>
    </row>
    <row r="324" spans="1:20" ht="24">
      <c r="A324" t="s">
        <v>30</v>
      </c>
      <c r="B324" s="151" t="str">
        <f>'3월'!B72</f>
        <v>SB-24031</v>
      </c>
      <c r="C324" s="199" t="str">
        <f>'3월'!C72</f>
        <v>ZKZDVZ</v>
      </c>
      <c r="D324" s="17">
        <f>'3월'!D72</f>
        <v>45747</v>
      </c>
      <c r="E324" s="214" t="str">
        <f>'3월'!E72</f>
        <v>데이타메트렉스</v>
      </c>
      <c r="F324" s="215" t="str">
        <f>'3월'!F72</f>
        <v>롯데하이마트</v>
      </c>
      <c r="G324" s="2" t="str">
        <f>'3월'!G72</f>
        <v>MA</v>
      </c>
      <c r="H324" s="83" t="str">
        <f>'3월'!H72</f>
        <v>월간-레노버</v>
      </c>
      <c r="I324" s="162" t="str">
        <f>'3월'!I72</f>
        <v>(HW) 3월 유지정비료 - 10/12회</v>
      </c>
      <c r="J324" s="23">
        <f>'3월'!J72</f>
        <v>1</v>
      </c>
      <c r="K324" s="27">
        <f>'3월'!K72</f>
        <v>1016100</v>
      </c>
      <c r="L324" s="26">
        <f>'3월'!L72</f>
        <v>1016100</v>
      </c>
      <c r="M324" s="27">
        <f>'3월'!M72</f>
        <v>101610</v>
      </c>
      <c r="N324" s="27">
        <f>'3월'!N72</f>
        <v>1117710</v>
      </c>
      <c r="O324" s="72">
        <f>'3월'!O72</f>
        <v>964800</v>
      </c>
      <c r="P324" s="197" t="str">
        <f>'3월'!P72</f>
        <v>레노버(3/31) 604,800
시스나인(25/3/4) 2,160,000(4/6회)</v>
      </c>
      <c r="Q324" s="181">
        <f>'3월'!Q72</f>
        <v>51300</v>
      </c>
      <c r="R324" s="68" t="str">
        <f>'3월'!R72</f>
        <v>완료(4/30)</v>
      </c>
      <c r="S324" s="36" t="str">
        <f>'3월'!S72</f>
        <v>천범석</v>
      </c>
      <c r="T324" s="75"/>
    </row>
    <row r="325" spans="1:20">
      <c r="A325" t="s">
        <v>30</v>
      </c>
      <c r="B325" s="151" t="str">
        <f>'3월'!B73</f>
        <v>SB-24028</v>
      </c>
      <c r="C325" s="199" t="str">
        <f>'3월'!C73</f>
        <v>ZCX01Z</v>
      </c>
      <c r="D325" s="17">
        <f>'3월'!D73</f>
        <v>45747</v>
      </c>
      <c r="E325" s="214" t="str">
        <f>'3월'!E73</f>
        <v>다솜테크</v>
      </c>
      <c r="F325" s="215" t="str">
        <f>'3월'!F73</f>
        <v>대한산업보건협회</v>
      </c>
      <c r="G325" s="2" t="str">
        <f>'3월'!G73</f>
        <v>MA</v>
      </c>
      <c r="H325" s="83" t="str">
        <f>'3월'!H73</f>
        <v>월간-레노버</v>
      </c>
      <c r="I325" s="4" t="str">
        <f>'3월'!I73</f>
        <v>3월 유지정비료 - 11/12회</v>
      </c>
      <c r="J325" s="23">
        <f>'3월'!J73</f>
        <v>1</v>
      </c>
      <c r="K325" s="27">
        <f>'3월'!K73</f>
        <v>204700</v>
      </c>
      <c r="L325" s="26">
        <f>'3월'!L73</f>
        <v>204700</v>
      </c>
      <c r="M325" s="27">
        <f>'3월'!M73</f>
        <v>20470</v>
      </c>
      <c r="N325" s="27">
        <f>'3월'!N73</f>
        <v>225170</v>
      </c>
      <c r="O325" s="52">
        <f>'3월'!O73</f>
        <v>243955</v>
      </c>
      <c r="P325" s="197" t="str">
        <f>'3월'!P73</f>
        <v>레노버(3/31)</v>
      </c>
      <c r="Q325" s="181">
        <f>'3월'!Q73</f>
        <v>-39255</v>
      </c>
      <c r="R325" s="68" t="str">
        <f>'3월'!R73</f>
        <v>완료(5/30)</v>
      </c>
      <c r="S325" s="8" t="str">
        <f>'3월'!S73</f>
        <v>천범석</v>
      </c>
      <c r="T325" s="11"/>
    </row>
    <row r="326" spans="1:20">
      <c r="A326" t="s">
        <v>30</v>
      </c>
      <c r="B326" s="151" t="str">
        <f>'3월'!B74</f>
        <v>SB-24044</v>
      </c>
      <c r="C326" s="199" t="str">
        <f>'3월'!C74</f>
        <v>ZSWUX2</v>
      </c>
      <c r="D326" s="17">
        <f>'3월'!D74</f>
        <v>45747</v>
      </c>
      <c r="E326" s="214" t="str">
        <f>'3월'!E74</f>
        <v>다솜테크</v>
      </c>
      <c r="F326" s="215" t="str">
        <f>'3월'!F74</f>
        <v>LX홀딩스</v>
      </c>
      <c r="G326" s="2" t="str">
        <f>'3월'!G74</f>
        <v>MA</v>
      </c>
      <c r="H326" s="83" t="str">
        <f>'3월'!H74</f>
        <v>월간-레노버</v>
      </c>
      <c r="I326" s="163" t="str">
        <f>'3월'!I74</f>
        <v>3월 유지정비료 - 9/12회</v>
      </c>
      <c r="J326" s="23">
        <f>'3월'!J74</f>
        <v>1</v>
      </c>
      <c r="K326" s="27">
        <f>'3월'!K74</f>
        <v>573000</v>
      </c>
      <c r="L326" s="26">
        <f>'3월'!L74</f>
        <v>573000</v>
      </c>
      <c r="M326" s="27">
        <f>'3월'!M74</f>
        <v>57300</v>
      </c>
      <c r="N326" s="27">
        <f>'3월'!N74</f>
        <v>630300</v>
      </c>
      <c r="O326" s="52">
        <f>'3월'!O74</f>
        <v>505200</v>
      </c>
      <c r="P326" s="197" t="str">
        <f>'3월'!P74</f>
        <v>레노버(3/31)</v>
      </c>
      <c r="Q326" s="181">
        <f>'3월'!Q74</f>
        <v>67800</v>
      </c>
      <c r="R326" s="68" t="str">
        <f>'3월'!R74</f>
        <v>완료(5/30)</v>
      </c>
      <c r="S326" s="8" t="str">
        <f>'3월'!S74</f>
        <v>천범석</v>
      </c>
      <c r="T326" s="11"/>
    </row>
    <row r="327" spans="1:20">
      <c r="A327" t="s">
        <v>30</v>
      </c>
      <c r="B327" s="151" t="str">
        <f>'3월'!B75</f>
        <v>SB-24046</v>
      </c>
      <c r="C327" s="199" t="str">
        <f>'3월'!C75</f>
        <v>Z8LTG0</v>
      </c>
      <c r="D327" s="17">
        <f>'3월'!D75</f>
        <v>45747</v>
      </c>
      <c r="E327" s="214" t="str">
        <f>'3월'!E75</f>
        <v>다솜테크</v>
      </c>
      <c r="F327" s="215" t="str">
        <f>'3월'!F75</f>
        <v>웰컴저축은행</v>
      </c>
      <c r="G327" s="2" t="str">
        <f>'3월'!G75</f>
        <v>MA</v>
      </c>
      <c r="H327" s="83" t="str">
        <f>'3월'!H75</f>
        <v>월간-레노버</v>
      </c>
      <c r="I327" s="163" t="str">
        <f>'3월'!I75</f>
        <v>3월 유지정비료 - 8/12회</v>
      </c>
      <c r="J327" s="23">
        <f>'3월'!J75</f>
        <v>1</v>
      </c>
      <c r="K327" s="27">
        <f>'3월'!K75</f>
        <v>220000</v>
      </c>
      <c r="L327" s="26">
        <f>'3월'!L75</f>
        <v>220000</v>
      </c>
      <c r="M327" s="27">
        <f>'3월'!M75</f>
        <v>22000</v>
      </c>
      <c r="N327" s="27">
        <f>'3월'!N75</f>
        <v>242000</v>
      </c>
      <c r="O327" s="52">
        <f>'3월'!O75</f>
        <v>204600</v>
      </c>
      <c r="P327" s="197" t="str">
        <f>'3월'!P75</f>
        <v>레노버(3/31)</v>
      </c>
      <c r="Q327" s="181">
        <f>'3월'!Q75</f>
        <v>15400</v>
      </c>
      <c r="R327" s="68" t="str">
        <f>'3월'!R75</f>
        <v>완료(5/30)</v>
      </c>
      <c r="S327" s="8" t="str">
        <f>'3월'!S75</f>
        <v>천범석</v>
      </c>
      <c r="T327" s="11"/>
    </row>
    <row r="328" spans="1:20">
      <c r="A328" t="s">
        <v>30</v>
      </c>
      <c r="B328" s="151" t="str">
        <f>'3월'!B76</f>
        <v>SB-24061</v>
      </c>
      <c r="C328" s="153" t="str">
        <f>'3월'!C76</f>
        <v>ZVVVON</v>
      </c>
      <c r="D328" s="17">
        <f>'3월'!D76</f>
        <v>45747</v>
      </c>
      <c r="E328" s="214" t="str">
        <f>'3월'!E76</f>
        <v>다솜테크</v>
      </c>
      <c r="F328" s="215" t="str">
        <f>'3월'!F76</f>
        <v>롯데이노베이트(롯데정보통신)</v>
      </c>
      <c r="G328" s="2" t="str">
        <f>'3월'!G76</f>
        <v>MA</v>
      </c>
      <c r="H328" s="2" t="str">
        <f>'3월'!H76</f>
        <v>월간-레노버</v>
      </c>
      <c r="I328" s="4" t="str">
        <f>'3월'!I76</f>
        <v>3월 유지정비료 - 3/12회</v>
      </c>
      <c r="J328" s="23">
        <f>'3월'!J76</f>
        <v>1</v>
      </c>
      <c r="K328" s="27">
        <f>'3월'!K76</f>
        <v>700000</v>
      </c>
      <c r="L328" s="26">
        <f>'3월'!L76</f>
        <v>700000</v>
      </c>
      <c r="M328" s="27">
        <f>'3월'!M76</f>
        <v>70000</v>
      </c>
      <c r="N328" s="27">
        <f>'3월'!N76</f>
        <v>770000</v>
      </c>
      <c r="O328" s="33">
        <f>'3월'!O76</f>
        <v>661800</v>
      </c>
      <c r="P328" s="197" t="str">
        <f>'3월'!P76</f>
        <v>레노버(3/31)</v>
      </c>
      <c r="Q328" s="20">
        <f>'3월'!Q76</f>
        <v>38200</v>
      </c>
      <c r="R328" s="68" t="str">
        <f>'3월'!R76</f>
        <v>완료(5/30)</v>
      </c>
      <c r="S328" s="5" t="str">
        <f>'3월'!S76</f>
        <v>천범석</v>
      </c>
      <c r="T328" s="11"/>
    </row>
    <row r="329" spans="1:20" ht="24">
      <c r="A329" t="s">
        <v>30</v>
      </c>
      <c r="B329" s="151" t="str">
        <f>'3월'!B77</f>
        <v>SB-24063</v>
      </c>
      <c r="C329" s="153" t="str">
        <f>'3월'!C77</f>
        <v>ZIR05U</v>
      </c>
      <c r="D329" s="17">
        <f>'3월'!D77</f>
        <v>45747</v>
      </c>
      <c r="E329" s="214" t="str">
        <f>'3월'!E77</f>
        <v>다솜테크</v>
      </c>
      <c r="F329" s="215" t="str">
        <f>'3월'!F77</f>
        <v>이원(E1)컨테이너터미널 #1</v>
      </c>
      <c r="G329" s="2" t="str">
        <f>'3월'!G77</f>
        <v>MA</v>
      </c>
      <c r="H329" s="2" t="str">
        <f>'3월'!H77</f>
        <v>월간-레노버</v>
      </c>
      <c r="I329" s="4" t="str">
        <f>'3월'!I77</f>
        <v>3월 유지정비료 - 3/12회</v>
      </c>
      <c r="J329" s="23">
        <f>'3월'!J77</f>
        <v>1</v>
      </c>
      <c r="K329" s="27">
        <f>'3월'!K77</f>
        <v>380000</v>
      </c>
      <c r="L329" s="26">
        <f>'3월'!L77</f>
        <v>380000</v>
      </c>
      <c r="M329" s="27">
        <f>'3월'!M77</f>
        <v>38000</v>
      </c>
      <c r="N329" s="27">
        <f>'3월'!N77</f>
        <v>418000</v>
      </c>
      <c r="O329" s="33">
        <f>'3월'!O77</f>
        <v>331466.66666666669</v>
      </c>
      <c r="P329" s="197" t="str">
        <f>'3월'!P77</f>
        <v>레노버(3/31) 289,800
시스나인(1/2) 연500,000(3/12회)</v>
      </c>
      <c r="Q329" s="20">
        <f>'3월'!Q77</f>
        <v>48533.333333333314</v>
      </c>
      <c r="R329" s="68" t="str">
        <f>'3월'!R77</f>
        <v>완료(5/30)</v>
      </c>
      <c r="S329" s="5" t="str">
        <f>'3월'!S77</f>
        <v>천범석</v>
      </c>
      <c r="T329" s="11"/>
    </row>
    <row r="330" spans="1:20">
      <c r="A330" t="s">
        <v>30</v>
      </c>
      <c r="B330" s="151" t="str">
        <f>'3월'!B78</f>
        <v>SB-24064</v>
      </c>
      <c r="C330" s="153" t="str">
        <f>'3월'!C78</f>
        <v>ZOTN1N</v>
      </c>
      <c r="D330" s="17">
        <f>'3월'!D78</f>
        <v>45747</v>
      </c>
      <c r="E330" s="214" t="str">
        <f>'3월'!E78</f>
        <v>다솜테크</v>
      </c>
      <c r="F330" s="215" t="str">
        <f>'3월'!F78</f>
        <v>이원(E1)컨테이너터미널 #2</v>
      </c>
      <c r="G330" s="2" t="str">
        <f>'3월'!G78</f>
        <v>MA</v>
      </c>
      <c r="H330" s="2" t="str">
        <f>'3월'!H78</f>
        <v>월간-레노버</v>
      </c>
      <c r="I330" s="4" t="str">
        <f>'3월'!I78</f>
        <v>3월 유지정비료 - 3/12회</v>
      </c>
      <c r="J330" s="23">
        <f>'3월'!J78</f>
        <v>1</v>
      </c>
      <c r="K330" s="27">
        <f>'3월'!K78</f>
        <v>625000</v>
      </c>
      <c r="L330" s="26">
        <f>'3월'!L78</f>
        <v>625000</v>
      </c>
      <c r="M330" s="27">
        <f>'3월'!M78</f>
        <v>62500</v>
      </c>
      <c r="N330" s="27">
        <f>'3월'!N78</f>
        <v>687500</v>
      </c>
      <c r="O330" s="33">
        <f>'3월'!O78</f>
        <v>590400</v>
      </c>
      <c r="P330" s="197" t="str">
        <f>'3월'!P78</f>
        <v>레노버(3/31)</v>
      </c>
      <c r="Q330" s="20">
        <f>'3월'!Q78</f>
        <v>34600</v>
      </c>
      <c r="R330" s="68" t="str">
        <f>'3월'!R78</f>
        <v>완료(5/30)</v>
      </c>
      <c r="S330" s="5" t="str">
        <f>'3월'!S78</f>
        <v>천범석</v>
      </c>
      <c r="T330" s="11"/>
    </row>
    <row r="331" spans="1:20">
      <c r="A331" t="s">
        <v>30</v>
      </c>
      <c r="B331" s="151" t="str">
        <f>'3월'!B79</f>
        <v>SB-24065</v>
      </c>
      <c r="C331" s="153" t="str">
        <f>'3월'!C79</f>
        <v>ZDFIN7</v>
      </c>
      <c r="D331" s="17">
        <f>'3월'!D79</f>
        <v>45747</v>
      </c>
      <c r="E331" s="214" t="str">
        <f>'3월'!E79</f>
        <v>다솜테크</v>
      </c>
      <c r="F331" s="215" t="str">
        <f>'3월'!F79</f>
        <v>안산시청</v>
      </c>
      <c r="G331" s="2" t="str">
        <f>'3월'!G79</f>
        <v>MA</v>
      </c>
      <c r="H331" s="2" t="str">
        <f>'3월'!H79</f>
        <v>월간-레노버</v>
      </c>
      <c r="I331" s="4" t="str">
        <f>'3월'!I79</f>
        <v>3월 유지정비료 - 3/12회</v>
      </c>
      <c r="J331" s="23">
        <f>'3월'!J79</f>
        <v>1</v>
      </c>
      <c r="K331" s="27">
        <f>'3월'!K79</f>
        <v>1232000</v>
      </c>
      <c r="L331" s="26">
        <f>'3월'!L79</f>
        <v>1232000</v>
      </c>
      <c r="M331" s="27">
        <f>'3월'!M79</f>
        <v>123200</v>
      </c>
      <c r="N331" s="27">
        <f>'3월'!N79</f>
        <v>1355200</v>
      </c>
      <c r="O331" s="33">
        <f>'3월'!O79</f>
        <v>1196100</v>
      </c>
      <c r="P331" s="197" t="str">
        <f>'3월'!P79</f>
        <v>레노버(3/31)</v>
      </c>
      <c r="Q331" s="20">
        <f>'3월'!Q79</f>
        <v>35900</v>
      </c>
      <c r="R331" s="68" t="str">
        <f>'3월'!R79</f>
        <v>완료(5/30)</v>
      </c>
      <c r="S331" s="8" t="str">
        <f>'3월'!S79</f>
        <v>천범석</v>
      </c>
      <c r="T331" s="11"/>
    </row>
    <row r="332" spans="1:20">
      <c r="A332" t="s">
        <v>30</v>
      </c>
      <c r="B332" s="151" t="str">
        <f>'3월'!B80</f>
        <v>SB-25013</v>
      </c>
      <c r="C332" s="153" t="str">
        <f>'3월'!C80</f>
        <v>ZL9ADS</v>
      </c>
      <c r="D332" s="17">
        <f>'3월'!D80</f>
        <v>45747</v>
      </c>
      <c r="E332" s="214" t="str">
        <f>'3월'!E80</f>
        <v>다솜테크</v>
      </c>
      <c r="F332" s="215" t="str">
        <f>'3월'!F80</f>
        <v>LG AI</v>
      </c>
      <c r="G332" s="2" t="str">
        <f>'3월'!G80</f>
        <v>MA</v>
      </c>
      <c r="H332" s="2" t="str">
        <f>'3월'!H80</f>
        <v>월간-레노버</v>
      </c>
      <c r="I332" s="4" t="str">
        <f>'3월'!I80</f>
        <v>3월 유지정비료 - 3/12회</v>
      </c>
      <c r="J332" s="23">
        <f>'3월'!J80</f>
        <v>1</v>
      </c>
      <c r="K332" s="27">
        <f>'3월'!K80</f>
        <v>535000</v>
      </c>
      <c r="L332" s="26">
        <f>'3월'!L80</f>
        <v>535000</v>
      </c>
      <c r="M332" s="27">
        <f>'3월'!M80</f>
        <v>53500</v>
      </c>
      <c r="N332" s="27">
        <f>'3월'!N80</f>
        <v>588500</v>
      </c>
      <c r="O332" s="82">
        <f>'3월'!O80</f>
        <v>496800</v>
      </c>
      <c r="P332" s="197" t="str">
        <f>'3월'!P80</f>
        <v>레노버(3/31)</v>
      </c>
      <c r="Q332" s="20">
        <f>'3월'!Q80</f>
        <v>38200</v>
      </c>
      <c r="R332" s="68" t="str">
        <f>'3월'!R80</f>
        <v>완료(5/30)</v>
      </c>
      <c r="S332" s="8" t="str">
        <f>'3월'!S80</f>
        <v>천범석</v>
      </c>
      <c r="T332" s="11"/>
    </row>
    <row r="333" spans="1:20">
      <c r="A333" t="s">
        <v>30</v>
      </c>
      <c r="B333" s="151" t="str">
        <f>'3월'!B81</f>
        <v>IK-24005</v>
      </c>
      <c r="C333" s="200"/>
      <c r="D333" s="17">
        <f>'3월'!D81</f>
        <v>45747</v>
      </c>
      <c r="E333" s="214" t="str">
        <f>'3월'!E81</f>
        <v>엔콤</v>
      </c>
      <c r="F333" s="189" t="str">
        <f>'3월'!F81</f>
        <v>전북도시가스</v>
      </c>
      <c r="G333" s="161" t="str">
        <f>'3월'!G81</f>
        <v>MA</v>
      </c>
      <c r="H333" s="161" t="str">
        <f>'3월'!H81</f>
        <v>월간-IBM</v>
      </c>
      <c r="I333" s="163" t="str">
        <f>'3월'!I81</f>
        <v>3월 유지정비료 - 12/12회</v>
      </c>
      <c r="J333" s="24">
        <f>'3월'!J81</f>
        <v>1</v>
      </c>
      <c r="K333" s="26">
        <f>'3월'!K81</f>
        <v>1366000</v>
      </c>
      <c r="L333" s="26">
        <f>'3월'!L81</f>
        <v>1366000</v>
      </c>
      <c r="M333" s="27">
        <f>'3월'!M81</f>
        <v>136600</v>
      </c>
      <c r="N333" s="27">
        <f>'3월'!N81</f>
        <v>1502600</v>
      </c>
      <c r="O333" s="72">
        <f>'3월'!O81</f>
        <v>1263250</v>
      </c>
      <c r="P333" s="171" t="str">
        <f>'3월'!P81</f>
        <v>IBM(3/4)</v>
      </c>
      <c r="Q333" s="181">
        <f>'3월'!Q81</f>
        <v>102750</v>
      </c>
      <c r="R333" s="68" t="str">
        <f>'3월'!R81</f>
        <v>완료(4/28)</v>
      </c>
      <c r="S333" s="5" t="str">
        <f>'3월'!S81</f>
        <v>천범석</v>
      </c>
      <c r="T333" s="11"/>
    </row>
    <row r="334" spans="1:20" ht="24">
      <c r="A334" t="s">
        <v>30</v>
      </c>
      <c r="B334" s="151" t="str">
        <f>'3월'!B82</f>
        <v>IK-24006</v>
      </c>
      <c r="C334" s="199"/>
      <c r="D334" s="17">
        <f>'3월'!D82</f>
        <v>45747</v>
      </c>
      <c r="E334" s="214" t="str">
        <f>'3월'!E82</f>
        <v>서부컨테이너터미널</v>
      </c>
      <c r="F334" s="215"/>
      <c r="G334" s="161" t="str">
        <f>'3월'!G82</f>
        <v>MA</v>
      </c>
      <c r="H334" s="161" t="str">
        <f>'3월'!H82</f>
        <v>월간-IBM</v>
      </c>
      <c r="I334" s="163" t="str">
        <f>'3월'!I82</f>
        <v>3월 유지정비료 - 11/24회</v>
      </c>
      <c r="J334" s="23">
        <f>'3월'!J82</f>
        <v>1</v>
      </c>
      <c r="K334" s="27">
        <f>'3월'!K82</f>
        <v>3916667</v>
      </c>
      <c r="L334" s="26">
        <f>'3월'!L82</f>
        <v>3916667</v>
      </c>
      <c r="M334" s="27">
        <f>'3월'!M82</f>
        <v>391667</v>
      </c>
      <c r="N334" s="27">
        <f>'3월'!N82</f>
        <v>4308334</v>
      </c>
      <c r="O334" s="72">
        <f>'3월'!O82</f>
        <v>3691359.1666666665</v>
      </c>
      <c r="P334" s="223" t="str">
        <f>'3월'!P82</f>
        <v>IBM(5/3)연간 5,423,462(11/12회)
IBM(3/4) 3,239,404</v>
      </c>
      <c r="Q334" s="181">
        <f>'3월'!Q82</f>
        <v>225307.83333333349</v>
      </c>
      <c r="R334" s="68" t="str">
        <f>'3월'!R82</f>
        <v>완료(4/30)</v>
      </c>
      <c r="S334" s="8" t="str">
        <f>'3월'!S82</f>
        <v>홍승민</v>
      </c>
      <c r="T334" s="11"/>
    </row>
    <row r="335" spans="1:20">
      <c r="A335" t="s">
        <v>30</v>
      </c>
      <c r="B335" s="151" t="str">
        <f>'3월'!B83</f>
        <v>SB-24027</v>
      </c>
      <c r="C335" s="199" t="str">
        <f>'3월'!C83</f>
        <v>ZGTHWJ</v>
      </c>
      <c r="D335" s="17">
        <f>'3월'!D83</f>
        <v>45747</v>
      </c>
      <c r="E335" s="214" t="str">
        <f>'3월'!E83</f>
        <v>시스템본</v>
      </c>
      <c r="F335" s="215" t="str">
        <f>'3월'!F83</f>
        <v>엘지유플러스</v>
      </c>
      <c r="G335" s="2" t="str">
        <f>'3월'!G83</f>
        <v>MA</v>
      </c>
      <c r="H335" s="83" t="str">
        <f>'3월'!H83</f>
        <v>월간-레노버</v>
      </c>
      <c r="I335" s="4" t="str">
        <f>'3월'!I83</f>
        <v>3월 유지정비료 - 11/32회</v>
      </c>
      <c r="J335" s="23">
        <f>'3월'!J83</f>
        <v>1</v>
      </c>
      <c r="K335" s="27">
        <f>'3월'!K83</f>
        <v>659700</v>
      </c>
      <c r="L335" s="26">
        <f>'3월'!L83</f>
        <v>659700</v>
      </c>
      <c r="M335" s="27">
        <f>'3월'!M83</f>
        <v>65970</v>
      </c>
      <c r="N335" s="27">
        <f>'3월'!N83</f>
        <v>725670</v>
      </c>
      <c r="O335" s="72">
        <f>'3월'!O83</f>
        <v>518541</v>
      </c>
      <c r="P335" s="197" t="str">
        <f>'3월'!P83</f>
        <v>레노버(3/31)</v>
      </c>
      <c r="Q335" s="181">
        <f>'3월'!Q83</f>
        <v>141159</v>
      </c>
      <c r="R335" s="68" t="str">
        <f>'3월'!R83</f>
        <v>완료(5/30)</v>
      </c>
      <c r="S335" s="8" t="str">
        <f>'3월'!S83</f>
        <v>천범석</v>
      </c>
      <c r="T335" s="75"/>
    </row>
    <row r="336" spans="1:20">
      <c r="A336" t="s">
        <v>30</v>
      </c>
      <c r="B336" s="151" t="str">
        <f>'3월'!B84</f>
        <v>SB-24034</v>
      </c>
      <c r="C336" s="199" t="str">
        <f>'3월'!C84</f>
        <v>Z11I89</v>
      </c>
      <c r="D336" s="17">
        <f>'3월'!D84</f>
        <v>45747</v>
      </c>
      <c r="E336" s="214" t="str">
        <f>'3월'!E84</f>
        <v>씨원시스템</v>
      </c>
      <c r="F336" s="215" t="str">
        <f>'3월'!F84</f>
        <v>이녹스(패션그룹형지)</v>
      </c>
      <c r="G336" s="2" t="str">
        <f>'3월'!G84</f>
        <v>MA</v>
      </c>
      <c r="H336" s="83" t="str">
        <f>'3월'!H84</f>
        <v>월간-레노버</v>
      </c>
      <c r="I336" s="4" t="str">
        <f>'3월'!I84</f>
        <v>3월 유지정비료 - 10/12회</v>
      </c>
      <c r="J336" s="23">
        <f>'3월'!J84</f>
        <v>1</v>
      </c>
      <c r="K336" s="27">
        <f>'3월'!K84</f>
        <v>285500</v>
      </c>
      <c r="L336" s="26">
        <f>'3월'!L84</f>
        <v>285500</v>
      </c>
      <c r="M336" s="27">
        <f>'3월'!M84</f>
        <v>28550</v>
      </c>
      <c r="N336" s="27">
        <f>'3월'!N84</f>
        <v>314050</v>
      </c>
      <c r="O336" s="72">
        <f>'3월'!O84</f>
        <v>249900</v>
      </c>
      <c r="P336" s="197" t="str">
        <f>'3월'!P84</f>
        <v>레노버(3/31)</v>
      </c>
      <c r="Q336" s="181">
        <f>'3월'!Q84</f>
        <v>35600</v>
      </c>
      <c r="R336" s="68" t="str">
        <f>'3월'!R84</f>
        <v>완료(5/30)</v>
      </c>
      <c r="S336" s="8" t="str">
        <f>'3월'!S84</f>
        <v>천범석</v>
      </c>
      <c r="T336" s="75"/>
    </row>
    <row r="337" spans="1:20" ht="24">
      <c r="A337" t="s">
        <v>30</v>
      </c>
      <c r="B337" s="151" t="str">
        <f>'3월'!B85</f>
        <v>LI-24003</v>
      </c>
      <c r="C337" s="199" t="str">
        <f>'3월'!C85</f>
        <v>ZE7QNO</v>
      </c>
      <c r="D337" s="17">
        <f>'3월'!D85</f>
        <v>45747</v>
      </c>
      <c r="E337" s="214" t="str">
        <f>'3월'!E85</f>
        <v>지엔콤</v>
      </c>
      <c r="F337" s="215" t="str">
        <f>'3월'!F85</f>
        <v>전주교육대학교</v>
      </c>
      <c r="G337" s="2" t="str">
        <f>'3월'!G85</f>
        <v>MA</v>
      </c>
      <c r="H337" s="83" t="str">
        <f>'3월'!H85</f>
        <v>월간-레노버</v>
      </c>
      <c r="I337" s="163" t="str">
        <f>'3월'!I85</f>
        <v>3월 유지정비료 - 11/12회</v>
      </c>
      <c r="J337" s="23">
        <f>'3월'!J85</f>
        <v>1</v>
      </c>
      <c r="K337" s="27">
        <f>'3월'!K85</f>
        <v>909000</v>
      </c>
      <c r="L337" s="26">
        <f>'3월'!L85</f>
        <v>909000</v>
      </c>
      <c r="M337" s="27">
        <f>'3월'!M85</f>
        <v>90900</v>
      </c>
      <c r="N337" s="27">
        <f>'3월'!N85</f>
        <v>999900</v>
      </c>
      <c r="O337" s="72">
        <f>'3월'!O85</f>
        <v>615780</v>
      </c>
      <c r="P337" s="223" t="str">
        <f>'3월'!P85</f>
        <v>레노버(1/31) 310,500
IBM(3/4) 305,280</v>
      </c>
      <c r="Q337" s="181">
        <f>'3월'!Q85</f>
        <v>293220</v>
      </c>
      <c r="R337" s="68" t="str">
        <f>'3월'!R85</f>
        <v>완료(4/30)</v>
      </c>
      <c r="S337" s="8" t="str">
        <f>'3월'!S85</f>
        <v>천범석</v>
      </c>
      <c r="T337" s="11"/>
    </row>
    <row r="338" spans="1:20">
      <c r="A338" t="s">
        <v>30</v>
      </c>
      <c r="B338" s="151" t="str">
        <f>'3월'!B86</f>
        <v>SB-24036</v>
      </c>
      <c r="C338" s="199"/>
      <c r="D338" s="17">
        <f>'3월'!D86</f>
        <v>45747</v>
      </c>
      <c r="E338" s="214" t="str">
        <f>'3월'!E86</f>
        <v>나라정보</v>
      </c>
      <c r="F338" s="215" t="str">
        <f>'3월'!F86</f>
        <v>부국철강</v>
      </c>
      <c r="G338" s="2" t="str">
        <f>'3월'!G86</f>
        <v>MA</v>
      </c>
      <c r="H338" s="161" t="str">
        <f>'3월'!H86</f>
        <v>월간-IBM</v>
      </c>
      <c r="I338" s="163" t="str">
        <f>'3월'!I86</f>
        <v>3월 유지정비료 - 11/32회</v>
      </c>
      <c r="J338" s="23">
        <f>'3월'!J86</f>
        <v>1</v>
      </c>
      <c r="K338" s="27">
        <f>'3월'!K86</f>
        <v>207000</v>
      </c>
      <c r="L338" s="26">
        <f>'3월'!L86</f>
        <v>207000</v>
      </c>
      <c r="M338" s="27">
        <f>'3월'!M86</f>
        <v>20700</v>
      </c>
      <c r="N338" s="27">
        <f>'3월'!N86</f>
        <v>227700</v>
      </c>
      <c r="O338" s="72">
        <f>'3월'!O86</f>
        <v>190849</v>
      </c>
      <c r="P338" s="171" t="str">
        <f>'3월'!P86</f>
        <v>IBM(3/3)</v>
      </c>
      <c r="Q338" s="181">
        <f>'3월'!Q86</f>
        <v>16151</v>
      </c>
      <c r="R338" s="68" t="str">
        <f>'3월'!R86</f>
        <v>완료(4/30)</v>
      </c>
      <c r="S338" s="8" t="str">
        <f>'3월'!S86</f>
        <v>천범석</v>
      </c>
      <c r="T338" s="11"/>
    </row>
    <row r="339" spans="1:20">
      <c r="A339" t="s">
        <v>30</v>
      </c>
      <c r="B339" s="151" t="str">
        <f>'3월'!B87</f>
        <v>SM-24013</v>
      </c>
      <c r="C339" s="199"/>
      <c r="D339" s="17">
        <f>'3월'!D87</f>
        <v>45747</v>
      </c>
      <c r="E339" s="214" t="str">
        <f>'3월'!E87</f>
        <v>비즈윈</v>
      </c>
      <c r="F339" s="215" t="str">
        <f>'3월'!F87</f>
        <v>한국소비자보호원</v>
      </c>
      <c r="G339" s="2" t="str">
        <f>'3월'!G87</f>
        <v>MA</v>
      </c>
      <c r="H339" s="161" t="str">
        <f>'3월'!H87</f>
        <v>월간</v>
      </c>
      <c r="I339" s="162" t="str">
        <f>'3월'!I87</f>
        <v>3월 유지정비료 - 12/21회</v>
      </c>
      <c r="J339" s="23">
        <f>'3월'!J87</f>
        <v>1</v>
      </c>
      <c r="K339" s="27">
        <f>'3월'!K87</f>
        <v>155000</v>
      </c>
      <c r="L339" s="26">
        <f>'3월'!L87</f>
        <v>155000</v>
      </c>
      <c r="M339" s="27">
        <f>'3월'!M87</f>
        <v>15500</v>
      </c>
      <c r="N339" s="27">
        <f>'3월'!N87</f>
        <v>170500</v>
      </c>
      <c r="O339" s="52">
        <f>'3월'!O87</f>
        <v>120000</v>
      </c>
      <c r="P339" s="171" t="str">
        <f>'3월'!P87</f>
        <v>시스나인(1/2)연간 1,440,000(3/12회)</v>
      </c>
      <c r="Q339" s="181">
        <f>'3월'!Q87</f>
        <v>35000</v>
      </c>
      <c r="R339" s="68" t="str">
        <f>'3월'!R87</f>
        <v>완료(4/30)</v>
      </c>
      <c r="S339" s="36" t="str">
        <f>'3월'!S87</f>
        <v>이예지</v>
      </c>
      <c r="T339" s="75"/>
    </row>
    <row r="340" spans="1:20" ht="24">
      <c r="A340" t="s">
        <v>30</v>
      </c>
      <c r="B340" s="151" t="str">
        <f>'3월'!B88</f>
        <v>SB-24041</v>
      </c>
      <c r="C340" s="199" t="str">
        <f>'3월'!C88</f>
        <v>ZNHTN1</v>
      </c>
      <c r="D340" s="17">
        <f>'3월'!D88</f>
        <v>45747</v>
      </c>
      <c r="E340" s="214" t="str">
        <f>'3월'!E88</f>
        <v>이비즈테크</v>
      </c>
      <c r="F340" s="215" t="str">
        <f>'3월'!F88</f>
        <v>초록우산어린이재단</v>
      </c>
      <c r="G340" s="2" t="str">
        <f>'3월'!G88</f>
        <v>MA</v>
      </c>
      <c r="H340" s="83" t="str">
        <f>'3월'!H88</f>
        <v>월간-레노버</v>
      </c>
      <c r="I340" s="163" t="str">
        <f>'3월'!I88</f>
        <v>3월 유지정비료 - 9/12회</v>
      </c>
      <c r="J340" s="23">
        <f>'3월'!J88</f>
        <v>1</v>
      </c>
      <c r="K340" s="27">
        <f>'3월'!K88</f>
        <v>645600</v>
      </c>
      <c r="L340" s="26">
        <f>'3월'!L88</f>
        <v>645600</v>
      </c>
      <c r="M340" s="27">
        <f>'3월'!M88</f>
        <v>64560</v>
      </c>
      <c r="N340" s="27">
        <f>'3월'!N88</f>
        <v>710160</v>
      </c>
      <c r="O340" s="52">
        <f>'3월'!O88</f>
        <v>628236.33333333337</v>
      </c>
      <c r="P340" s="223" t="str">
        <f>'3월'!P88</f>
        <v>레노버() 494,903
시스나인(25/3/4) 1,200,00(9/9회)</v>
      </c>
      <c r="Q340" s="181">
        <f>'3월'!Q88</f>
        <v>17363.666666666628</v>
      </c>
      <c r="R340" s="68" t="str">
        <f>'3월'!R88</f>
        <v>완료(4/30)</v>
      </c>
      <c r="S340" s="8" t="str">
        <f>'3월'!S88</f>
        <v>천범석</v>
      </c>
      <c r="T340" s="11"/>
    </row>
    <row r="341" spans="1:20">
      <c r="A341" t="s">
        <v>30</v>
      </c>
      <c r="B341" s="151" t="str">
        <f>'3월'!B89</f>
        <v>SM-23020</v>
      </c>
      <c r="C341" s="200" t="str">
        <f>'3월'!C89</f>
        <v>ZZNUMY</v>
      </c>
      <c r="D341" s="17">
        <f>'3월'!D89</f>
        <v>45747</v>
      </c>
      <c r="E341" s="214" t="str">
        <f>'3월'!E89</f>
        <v>현대종합금속</v>
      </c>
      <c r="F341" s="189" t="str">
        <f>'3월'!F89</f>
        <v>포항</v>
      </c>
      <c r="G341" s="161" t="str">
        <f>'3월'!G89</f>
        <v>MA</v>
      </c>
      <c r="H341" s="161" t="str">
        <f>'3월'!H89</f>
        <v>월간-IBM</v>
      </c>
      <c r="I341" s="163" t="str">
        <f>'3월'!I89</f>
        <v>3월 유지정비료 - 9/12회</v>
      </c>
      <c r="J341" s="24">
        <f>'3월'!J89</f>
        <v>1</v>
      </c>
      <c r="K341" s="26">
        <f>'3월'!K89</f>
        <v>700000</v>
      </c>
      <c r="L341" s="26">
        <f>'3월'!L89</f>
        <v>700000</v>
      </c>
      <c r="M341" s="27">
        <f>'3월'!M89</f>
        <v>70000</v>
      </c>
      <c r="N341" s="27">
        <f>'3월'!N89</f>
        <v>770000</v>
      </c>
      <c r="O341" s="33">
        <f>'3월'!O89</f>
        <v>499500</v>
      </c>
      <c r="P341" s="197" t="str">
        <f>'3월'!P89</f>
        <v>레노버(3/31)</v>
      </c>
      <c r="Q341" s="21">
        <f>'3월'!Q89</f>
        <v>200500</v>
      </c>
      <c r="R341" s="68" t="str">
        <f>'3월'!R89</f>
        <v>완료(4/11)</v>
      </c>
      <c r="S341" s="5" t="str">
        <f>'3월'!S89</f>
        <v>이예지</v>
      </c>
      <c r="T341" s="11"/>
    </row>
    <row r="342" spans="1:20">
      <c r="A342" t="s">
        <v>30</v>
      </c>
      <c r="B342" s="151" t="str">
        <f>'3월'!B90</f>
        <v>SB-24052</v>
      </c>
      <c r="C342" s="153" t="str">
        <f>'3월'!C90</f>
        <v>ZUIU6G</v>
      </c>
      <c r="D342" s="17">
        <f>'3월'!D90</f>
        <v>45747</v>
      </c>
      <c r="E342" s="214" t="str">
        <f>'3월'!E90</f>
        <v>유티모스트</v>
      </c>
      <c r="F342" s="215" t="str">
        <f>'3월'!F90</f>
        <v>삼성중공업</v>
      </c>
      <c r="G342" s="161" t="str">
        <f>'3월'!G90</f>
        <v>MA</v>
      </c>
      <c r="H342" s="83" t="str">
        <f>'3월'!H90</f>
        <v>월간-레노버</v>
      </c>
      <c r="I342" s="4" t="str">
        <f>'3월'!I90</f>
        <v>3월 유지정비료 - 6/15회</v>
      </c>
      <c r="J342" s="23">
        <f>'3월'!J90</f>
        <v>1</v>
      </c>
      <c r="K342" s="27">
        <f>'3월'!K90</f>
        <v>13057800</v>
      </c>
      <c r="L342" s="26">
        <f>'3월'!L90</f>
        <v>13057800</v>
      </c>
      <c r="M342" s="27">
        <f>'3월'!M90</f>
        <v>1305780</v>
      </c>
      <c r="N342" s="27">
        <f>'3월'!N90</f>
        <v>14363580</v>
      </c>
      <c r="O342" s="33">
        <f>'3월'!O90</f>
        <v>11892500</v>
      </c>
      <c r="P342" s="197" t="str">
        <f>'3월'!P90</f>
        <v>레노버(3/31)</v>
      </c>
      <c r="Q342" s="21">
        <f>'3월'!Q90</f>
        <v>1165300</v>
      </c>
      <c r="R342" s="68" t="str">
        <f>'3월'!R90</f>
        <v>완료(4/30)</v>
      </c>
      <c r="S342" s="36" t="str">
        <f>'3월'!S90</f>
        <v>천범석</v>
      </c>
      <c r="T342" s="11"/>
    </row>
    <row r="343" spans="1:20" ht="24">
      <c r="A343" t="s">
        <v>30</v>
      </c>
      <c r="B343" s="151" t="str">
        <f>'3월'!B91</f>
        <v>SB-25010</v>
      </c>
      <c r="C343" s="153" t="str">
        <f>'3월'!C91</f>
        <v>ZCXAPZ</v>
      </c>
      <c r="D343" s="17">
        <f>'3월'!D91</f>
        <v>45747</v>
      </c>
      <c r="E343" s="1" t="str">
        <f>'3월'!E91</f>
        <v>유티모스트</v>
      </c>
      <c r="F343" s="2" t="str">
        <f>'3월'!F91</f>
        <v>대우정보(메타넷디지털)</v>
      </c>
      <c r="G343" s="2" t="str">
        <f>'3월'!G91</f>
        <v>MA</v>
      </c>
      <c r="H343" s="2" t="str">
        <f>'3월'!H91</f>
        <v>월간-레노버</v>
      </c>
      <c r="I343" s="4" t="str">
        <f>'3월'!I91</f>
        <v>3월 유지정비료 - 12/21회</v>
      </c>
      <c r="J343" s="23">
        <f>'3월'!J91</f>
        <v>1</v>
      </c>
      <c r="K343" s="27">
        <f>'3월'!K91</f>
        <v>202000</v>
      </c>
      <c r="L343" s="26">
        <f>'3월'!L91</f>
        <v>202000</v>
      </c>
      <c r="M343" s="27">
        <f>'3월'!M91</f>
        <v>20200</v>
      </c>
      <c r="N343" s="27">
        <f>'3월'!N91</f>
        <v>222200</v>
      </c>
      <c r="O343" s="33">
        <f>'3월'!O91</f>
        <v>180600</v>
      </c>
      <c r="P343" s="197" t="str">
        <f>'3월'!P91</f>
        <v>레노버(3/31)</v>
      </c>
      <c r="Q343" s="20">
        <f>'3월'!Q91</f>
        <v>21400</v>
      </c>
      <c r="R343" s="68" t="str">
        <f>'3월'!R91</f>
        <v>완료(4/30)</v>
      </c>
      <c r="S343" s="8" t="str">
        <f>'3월'!S91</f>
        <v>천범석</v>
      </c>
      <c r="T343" s="11"/>
    </row>
    <row r="344" spans="1:20" ht="24">
      <c r="A344" t="s">
        <v>30</v>
      </c>
      <c r="B344" s="151" t="str">
        <f>'3월'!B92</f>
        <v>SB-24055
SB-24056</v>
      </c>
      <c r="C344" s="208" t="str">
        <f>'3월'!C92</f>
        <v>ZP1BPN
ZAXJCH</v>
      </c>
      <c r="D344" s="17">
        <f>'3월'!D92</f>
        <v>45747</v>
      </c>
      <c r="E344" s="214" t="str">
        <f>'3월'!E92</f>
        <v>이룸정보</v>
      </c>
      <c r="F344" s="189" t="str">
        <f>'3월'!F92</f>
        <v>포스코</v>
      </c>
      <c r="G344" s="161" t="str">
        <f>'3월'!G92</f>
        <v>MA</v>
      </c>
      <c r="H344" s="83" t="str">
        <f>'3월'!H92</f>
        <v>월간-레노버</v>
      </c>
      <c r="I344" s="163" t="str">
        <f>'3월'!I92</f>
        <v>3월 유지정비료 - 3/12회</v>
      </c>
      <c r="J344" s="24">
        <f>'3월'!J92</f>
        <v>1</v>
      </c>
      <c r="K344" s="26">
        <f>'3월'!K92</f>
        <v>2871300</v>
      </c>
      <c r="L344" s="26">
        <f>'3월'!L92</f>
        <v>2871300</v>
      </c>
      <c r="M344" s="27">
        <f>'3월'!M92</f>
        <v>287130</v>
      </c>
      <c r="N344" s="27">
        <f>'3월'!N92</f>
        <v>3158430</v>
      </c>
      <c r="O344" s="33">
        <f>'3월'!O92</f>
        <v>2636700</v>
      </c>
      <c r="P344" s="197" t="str">
        <f>'3월'!P92</f>
        <v>레노버(3/31)1,981,200
레노버(3/31) 655,500</v>
      </c>
      <c r="Q344" s="21">
        <f>'3월'!Q92</f>
        <v>234600</v>
      </c>
      <c r="R344" s="68" t="str">
        <f>'3월'!R92</f>
        <v>완료(5/28)</v>
      </c>
      <c r="S344" s="5" t="str">
        <f>'3월'!S92</f>
        <v>천범석</v>
      </c>
      <c r="T344" s="11"/>
    </row>
    <row r="345" spans="1:20" ht="60">
      <c r="A345" t="s">
        <v>30</v>
      </c>
      <c r="B345" s="151" t="str">
        <f>'3월'!B93</f>
        <v>SM-25010</v>
      </c>
      <c r="C345" s="200"/>
      <c r="D345" s="17">
        <f>'3월'!D93</f>
        <v>45747</v>
      </c>
      <c r="E345" s="214" t="str">
        <f>'3월'!E93</f>
        <v>더블포인트</v>
      </c>
      <c r="F345" s="215" t="str">
        <f>'3월'!F93</f>
        <v>한미약품</v>
      </c>
      <c r="G345" s="2" t="str">
        <f>'3월'!G93</f>
        <v>MA</v>
      </c>
      <c r="H345" s="161" t="str">
        <f>'3월'!H93</f>
        <v>월간-IBM</v>
      </c>
      <c r="I345" s="163" t="str">
        <f>'3월'!I93</f>
        <v>3월 유지정비료 - 3/12회</v>
      </c>
      <c r="J345" s="23">
        <f>'3월'!J93</f>
        <v>1</v>
      </c>
      <c r="K345" s="27">
        <f>'3월'!K93</f>
        <v>4761667</v>
      </c>
      <c r="L345" s="26">
        <f>'3월'!L93</f>
        <v>4761667</v>
      </c>
      <c r="M345" s="27">
        <f>'3월'!M93</f>
        <v>476166.7</v>
      </c>
      <c r="N345" s="27">
        <f>'3월'!N93</f>
        <v>5237833.7</v>
      </c>
      <c r="O345" s="72">
        <f>'3월'!O93</f>
        <v>4437257</v>
      </c>
      <c r="P345" s="170" t="str">
        <f>'3월'!P93</f>
        <v>IBM(3/4) 11,623,397
DCSS(3/31) 292,200
IBM APS(1/27) 연 7,859,914 (3/12회)
시스나인 (1/2) 분기8,000,000 (3/3회)
==총 15237,257 중 4,437,257</v>
      </c>
      <c r="Q345" s="21">
        <f>'3월'!Q93</f>
        <v>324410</v>
      </c>
      <c r="R345" s="68" t="str">
        <f>'3월'!R93</f>
        <v>완료(4/30)</v>
      </c>
      <c r="S345" s="8" t="str">
        <f>'3월'!S93</f>
        <v>이예지</v>
      </c>
      <c r="T345" s="11"/>
    </row>
    <row r="346" spans="1:20" ht="60">
      <c r="A346" t="s">
        <v>30</v>
      </c>
      <c r="B346" s="151" t="str">
        <f>'3월'!B94</f>
        <v>SM-25011</v>
      </c>
      <c r="C346" s="200"/>
      <c r="D346" s="17">
        <f>'3월'!D94</f>
        <v>45747</v>
      </c>
      <c r="E346" s="214" t="str">
        <f>'3월'!E94</f>
        <v>더블포인트</v>
      </c>
      <c r="F346" s="215" t="str">
        <f>'3월'!F94</f>
        <v>한미사이언스</v>
      </c>
      <c r="G346" s="2" t="str">
        <f>'3월'!G94</f>
        <v>MA</v>
      </c>
      <c r="H346" s="161" t="str">
        <f>'3월'!H94</f>
        <v>월간-IBM</v>
      </c>
      <c r="I346" s="163" t="str">
        <f>'3월'!I94</f>
        <v>3월 유지정비료 - 3/12회</v>
      </c>
      <c r="J346" s="23">
        <f>'3월'!J94</f>
        <v>1</v>
      </c>
      <c r="K346" s="27">
        <f>'3월'!K94</f>
        <v>11210000</v>
      </c>
      <c r="L346" s="26">
        <f>'3월'!L94</f>
        <v>11210000</v>
      </c>
      <c r="M346" s="27">
        <f>'3월'!M94</f>
        <v>1121000</v>
      </c>
      <c r="N346" s="27">
        <f>'3월'!N94</f>
        <v>12331000</v>
      </c>
      <c r="O346" s="72">
        <f>'3월'!O94</f>
        <v>10800000</v>
      </c>
      <c r="P346" s="170" t="str">
        <f>'3월'!P94</f>
        <v>IBM(3/4) 11,623,397
DCSS(3/31) 292,200
IBM APS(1/27) 연 7,859,914 (2/12회)
시스나인 (1/2) 분기8,000,000 (2/3회)
==총 15,237,257 중 10,800,000</v>
      </c>
      <c r="Q346" s="21">
        <f>'3월'!Q94</f>
        <v>410000</v>
      </c>
      <c r="R346" s="68" t="str">
        <f>'3월'!R94</f>
        <v>완료(4/30)</v>
      </c>
      <c r="S346" s="8" t="str">
        <f>'3월'!S94</f>
        <v>이예지</v>
      </c>
      <c r="T346" s="11"/>
    </row>
    <row r="347" spans="1:20" ht="24">
      <c r="A347" t="s">
        <v>30</v>
      </c>
      <c r="B347" s="151" t="str">
        <f>'3월'!B95</f>
        <v>SM-25007</v>
      </c>
      <c r="C347" s="199"/>
      <c r="D347" s="17">
        <f>'3월'!D95</f>
        <v>45747</v>
      </c>
      <c r="E347" s="1" t="str">
        <f>'3월'!E95</f>
        <v>더블포인트</v>
      </c>
      <c r="F347" s="2" t="str">
        <f>'3월'!F95</f>
        <v>교보문고</v>
      </c>
      <c r="G347" s="2" t="str">
        <f>'3월'!G95</f>
        <v>MA</v>
      </c>
      <c r="H347" s="2" t="str">
        <f>'3월'!H95</f>
        <v>월간</v>
      </c>
      <c r="I347" s="163" t="str">
        <f>'3월'!I95</f>
        <v>3월 유지정비료 - 3/12회</v>
      </c>
      <c r="J347" s="23">
        <f>'3월'!J95</f>
        <v>1</v>
      </c>
      <c r="K347" s="27">
        <f>'3월'!K95</f>
        <v>880000</v>
      </c>
      <c r="L347" s="26">
        <f>'3월'!L95</f>
        <v>880000</v>
      </c>
      <c r="M347" s="27">
        <f>'3월'!M95</f>
        <v>88000</v>
      </c>
      <c r="N347" s="27">
        <f>'3월'!N95</f>
        <v>968000</v>
      </c>
      <c r="O347" s="52">
        <f>'3월'!O95</f>
        <v>709533.33333333326</v>
      </c>
      <c r="P347" s="171" t="str">
        <f>'3월'!P95</f>
        <v>DCSS(3/31) 376,200
시스나인(4/25) 1,000,000(3/3회)</v>
      </c>
      <c r="Q347" s="181">
        <f>'3월'!Q95</f>
        <v>170466.66666666674</v>
      </c>
      <c r="R347" s="68" t="str">
        <f>'3월'!R95</f>
        <v>완료(5/12)</v>
      </c>
      <c r="S347" s="8" t="str">
        <f>'3월'!S95</f>
        <v>이예지</v>
      </c>
      <c r="T347" s="11"/>
    </row>
    <row r="348" spans="1:20" ht="24">
      <c r="A348" t="s">
        <v>30</v>
      </c>
      <c r="B348" s="151" t="str">
        <f>'3월'!B96</f>
        <v>SM-25008</v>
      </c>
      <c r="C348" s="199"/>
      <c r="D348" s="17">
        <f>'3월'!D96</f>
        <v>45747</v>
      </c>
      <c r="E348" s="1" t="str">
        <f>'3월'!E96</f>
        <v>더블포인트</v>
      </c>
      <c r="F348" s="2" t="str">
        <f>'3월'!F96</f>
        <v>스마트로</v>
      </c>
      <c r="G348" s="161" t="str">
        <f>'3월'!G96</f>
        <v>MA</v>
      </c>
      <c r="H348" s="161" t="str">
        <f>'3월'!H96</f>
        <v>월간-IBM</v>
      </c>
      <c r="I348" s="163" t="str">
        <f>'3월'!I96</f>
        <v>3월 유지정비료 - 3/12회</v>
      </c>
      <c r="J348" s="34">
        <f>'3월'!J96</f>
        <v>1</v>
      </c>
      <c r="K348" s="48">
        <f>'3월'!K96</f>
        <v>3500000</v>
      </c>
      <c r="L348" s="26">
        <f>'3월'!L96</f>
        <v>3500000</v>
      </c>
      <c r="M348" s="27">
        <f>'3월'!M96</f>
        <v>350000</v>
      </c>
      <c r="N348" s="27">
        <f>'3월'!N96</f>
        <v>3850000</v>
      </c>
      <c r="O348" s="82">
        <f>'3월'!O96</f>
        <v>3210534</v>
      </c>
      <c r="P348" s="170" t="str">
        <f>'3월'!P96</f>
        <v>IBM(3/4)
시스나인(3/4) 1400중 600(3/3회)</v>
      </c>
      <c r="Q348" s="181">
        <f>'3월'!Q96</f>
        <v>289466</v>
      </c>
      <c r="R348" s="68" t="str">
        <f>'3월'!R96</f>
        <v>완료(5/12)</v>
      </c>
      <c r="S348" s="8" t="str">
        <f>'3월'!S96</f>
        <v>이예지</v>
      </c>
      <c r="T348" s="11"/>
    </row>
    <row r="349" spans="1:20">
      <c r="A349" t="s">
        <v>30</v>
      </c>
      <c r="B349" s="151" t="str">
        <f>'3월'!B97</f>
        <v>SM-25001</v>
      </c>
      <c r="C349" s="199"/>
      <c r="D349" s="17">
        <f>'3월'!D97</f>
        <v>45747</v>
      </c>
      <c r="E349" s="214" t="str">
        <f>'3월'!E97</f>
        <v>로스비브이</v>
      </c>
      <c r="F349" s="215" t="str">
        <f>'3월'!F97</f>
        <v>BAT서울</v>
      </c>
      <c r="G349" s="2" t="str">
        <f>'3월'!G97</f>
        <v>MA</v>
      </c>
      <c r="H349" s="2" t="str">
        <f>'3월'!H97</f>
        <v>월간-레노버</v>
      </c>
      <c r="I349" s="4" t="str">
        <f>'3월'!I97</f>
        <v xml:space="preserve">[HW] 3월 유지정비료 - 3/12회 </v>
      </c>
      <c r="J349" s="23">
        <f>'3월'!J97</f>
        <v>1</v>
      </c>
      <c r="K349" s="27">
        <f>'3월'!K97</f>
        <v>850000</v>
      </c>
      <c r="L349" s="26">
        <f>'3월'!L97</f>
        <v>850000</v>
      </c>
      <c r="M349" s="27">
        <f>'3월'!M97</f>
        <v>85000</v>
      </c>
      <c r="N349" s="27">
        <f>'3월'!N97</f>
        <v>935000</v>
      </c>
      <c r="O349" s="52">
        <f>'3월'!O97</f>
        <v>700000</v>
      </c>
      <c r="P349" s="171" t="str">
        <f>'3월'!P97</f>
        <v>알앤에스(3/27) 495만원 중</v>
      </c>
      <c r="Q349" s="181">
        <f>'3월'!Q97</f>
        <v>150000</v>
      </c>
      <c r="R349" s="68" t="str">
        <f>'3월'!R97</f>
        <v>완료(6/11)</v>
      </c>
      <c r="S349" s="8" t="str">
        <f>'3월'!S97</f>
        <v>천범석</v>
      </c>
      <c r="T349" s="11"/>
    </row>
    <row r="350" spans="1:20" ht="48">
      <c r="A350" t="s">
        <v>30</v>
      </c>
      <c r="B350" s="151" t="str">
        <f>'3월'!B98</f>
        <v>SM-25001</v>
      </c>
      <c r="C350" s="199"/>
      <c r="D350" s="17">
        <f>'3월'!D98</f>
        <v>45747</v>
      </c>
      <c r="E350" s="214" t="str">
        <f>'3월'!E98</f>
        <v>브리토바코</v>
      </c>
      <c r="F350" s="215" t="str">
        <f>'3월'!F98</f>
        <v>BAT사천</v>
      </c>
      <c r="G350" s="2" t="str">
        <f>'3월'!G98</f>
        <v>MA</v>
      </c>
      <c r="H350" s="2" t="str">
        <f>'3월'!H98</f>
        <v>월간-레노버</v>
      </c>
      <c r="I350" s="4" t="str">
        <f>'3월'!I98</f>
        <v xml:space="preserve">[HW] 3월 유지정비료 - 3/12회 </v>
      </c>
      <c r="J350" s="23">
        <f>'3월'!J98</f>
        <v>1</v>
      </c>
      <c r="K350" s="27">
        <f>'3월'!K98</f>
        <v>4600000</v>
      </c>
      <c r="L350" s="26">
        <f>'3월'!L98</f>
        <v>4600000</v>
      </c>
      <c r="M350" s="27">
        <f>'3월'!M98</f>
        <v>460000</v>
      </c>
      <c r="N350" s="27">
        <f>'3월'!N98</f>
        <v>5060000</v>
      </c>
      <c r="O350" s="52">
        <f>'3월'!O98</f>
        <v>4703800</v>
      </c>
      <c r="P350" s="171" t="str">
        <f>'3월'!P98</f>
        <v>알앤에스(3/27) 495만원 중 
시스나인(1/2) 연 2,400,000(3/12회)
김재협(8/7) 1/6회
로젠택배(3/31) 3,800</v>
      </c>
      <c r="Q350" s="181">
        <f>'3월'!Q98</f>
        <v>-103800</v>
      </c>
      <c r="R350" s="68" t="str">
        <f>'3월'!R98</f>
        <v>완료(6/11)</v>
      </c>
      <c r="S350" s="8" t="str">
        <f>'3월'!S98</f>
        <v>천범석</v>
      </c>
      <c r="T350" s="11"/>
    </row>
    <row r="351" spans="1:20">
      <c r="A351" t="s">
        <v>30</v>
      </c>
      <c r="B351" s="151" t="str">
        <f>'3월'!B99</f>
        <v>SB-25001</v>
      </c>
      <c r="C351" s="153" t="str">
        <f>'3월'!C99</f>
        <v>ZXRZHC</v>
      </c>
      <c r="D351" s="17">
        <f>'3월'!D99</f>
        <v>45747</v>
      </c>
      <c r="E351" s="214" t="str">
        <f>'3월'!E99</f>
        <v>퓨처젠</v>
      </c>
      <c r="F351" s="215" t="str">
        <f>'3월'!F99</f>
        <v>HB저축은행</v>
      </c>
      <c r="G351" s="2" t="str">
        <f>'3월'!G99</f>
        <v>MA</v>
      </c>
      <c r="H351" s="2" t="str">
        <f>'3월'!H99</f>
        <v>월간-레노버</v>
      </c>
      <c r="I351" s="163" t="str">
        <f>'3월'!I99</f>
        <v>3월 유지정비료 - 3/12회</v>
      </c>
      <c r="J351" s="23">
        <f>'3월'!J99</f>
        <v>1</v>
      </c>
      <c r="K351" s="27">
        <f>'3월'!K99</f>
        <v>904800</v>
      </c>
      <c r="L351" s="26">
        <f>'3월'!L99</f>
        <v>904800</v>
      </c>
      <c r="M351" s="27">
        <f>'3월'!M99</f>
        <v>90480</v>
      </c>
      <c r="N351" s="27">
        <f>'3월'!N99</f>
        <v>995280</v>
      </c>
      <c r="O351" s="33">
        <f>'3월'!O99</f>
        <v>820200</v>
      </c>
      <c r="P351" s="197" t="str">
        <f>'3월'!P99</f>
        <v>레노버(3/31)</v>
      </c>
      <c r="Q351" s="20">
        <f>'3월'!Q99</f>
        <v>84600</v>
      </c>
      <c r="R351" s="2" t="str">
        <f>'3월'!R99</f>
        <v>완료(4/30)</v>
      </c>
      <c r="S351" s="8" t="str">
        <f>'3월'!S99</f>
        <v>천범석</v>
      </c>
      <c r="T351" s="11"/>
    </row>
    <row r="352" spans="1:20" ht="60">
      <c r="A352" t="s">
        <v>30</v>
      </c>
      <c r="B352" s="151" t="str">
        <f>'3월'!B100</f>
        <v>SM-25004</v>
      </c>
      <c r="C352" s="199"/>
      <c r="D352" s="17">
        <f>'3월'!D100</f>
        <v>45747</v>
      </c>
      <c r="E352" s="1" t="str">
        <f>'3월'!E100</f>
        <v>인표산업</v>
      </c>
      <c r="F352" s="2"/>
      <c r="G352" s="2" t="str">
        <f>'3월'!G100</f>
        <v>MA</v>
      </c>
      <c r="H352" s="2" t="str">
        <f>'3월'!H100</f>
        <v>월간</v>
      </c>
      <c r="I352" s="163" t="str">
        <f>'3월'!I100</f>
        <v>3월 유지정비료 - 3/12회</v>
      </c>
      <c r="J352" s="23">
        <f>'3월'!J100</f>
        <v>1</v>
      </c>
      <c r="K352" s="27">
        <f>'3월'!K100</f>
        <v>3611000</v>
      </c>
      <c r="L352" s="26">
        <f>'3월'!L100</f>
        <v>3611000</v>
      </c>
      <c r="M352" s="27">
        <f>'3월'!M100</f>
        <v>361100</v>
      </c>
      <c r="N352" s="27">
        <f>'3월'!N100</f>
        <v>3972100</v>
      </c>
      <c r="O352" s="52">
        <f>'3월'!O100</f>
        <v>2762000</v>
      </c>
      <c r="P352" s="170" t="str">
        <f>'3월'!P100</f>
        <v>프라테르(3/31) 672,000
트리거(3/31) 700,000
현성솔루션(3/31) 100,000
유니와이드(3/31) 290,000
시스나인(25/3/4) 반기 6,000,000 (3/6회)</v>
      </c>
      <c r="Q352" s="181">
        <f>'3월'!Q100</f>
        <v>849000</v>
      </c>
      <c r="R352" s="68" t="str">
        <f>'3월'!R100</f>
        <v>완료(4/30)</v>
      </c>
      <c r="S352" s="8" t="str">
        <f>'3월'!S100</f>
        <v>홍승민</v>
      </c>
      <c r="T352" s="11"/>
    </row>
    <row r="353" spans="1:26">
      <c r="A353" t="s">
        <v>30</v>
      </c>
      <c r="B353" s="151" t="str">
        <f>'3월'!B101</f>
        <v>SB-25005</v>
      </c>
      <c r="C353" s="153" t="str">
        <f>'3월'!C101</f>
        <v>ZSUEIX</v>
      </c>
      <c r="D353" s="17">
        <f>'3월'!D101</f>
        <v>45747</v>
      </c>
      <c r="E353" s="214" t="str">
        <f>'3월'!E101</f>
        <v>제이엔테크놀러지</v>
      </c>
      <c r="F353" s="215" t="str">
        <f>'3월'!F101</f>
        <v>SK실트론</v>
      </c>
      <c r="G353" s="1" t="str">
        <f>'3월'!G101</f>
        <v>MA</v>
      </c>
      <c r="H353" s="83" t="str">
        <f>'3월'!H101</f>
        <v>월간-레노버</v>
      </c>
      <c r="I353" s="163" t="str">
        <f>'3월'!I101</f>
        <v>3월 유지정비료 - 3/12회</v>
      </c>
      <c r="J353" s="23">
        <f>'3월'!J101</f>
        <v>1</v>
      </c>
      <c r="K353" s="27">
        <f>'3월'!K101</f>
        <v>554000</v>
      </c>
      <c r="L353" s="26">
        <f>'3월'!L101</f>
        <v>554000</v>
      </c>
      <c r="M353" s="27">
        <f>'3월'!M101</f>
        <v>55400</v>
      </c>
      <c r="N353" s="27">
        <f>'3월'!N101</f>
        <v>609400</v>
      </c>
      <c r="O353" s="33">
        <f>'3월'!O101</f>
        <v>502800</v>
      </c>
      <c r="P353" s="197" t="str">
        <f>'3월'!P101</f>
        <v>레노버(3/31)</v>
      </c>
      <c r="Q353" s="20">
        <f>'3월'!Q101</f>
        <v>51200</v>
      </c>
      <c r="R353" s="2" t="str">
        <f>'3월'!R101</f>
        <v>완료(4/30)</v>
      </c>
      <c r="S353" s="8" t="str">
        <f>'3월'!S101</f>
        <v>천범석</v>
      </c>
      <c r="T353" s="11"/>
    </row>
    <row r="354" spans="1:26">
      <c r="A354" t="s">
        <v>30</v>
      </c>
      <c r="B354" s="151" t="str">
        <f>'3월'!B102</f>
        <v>SM-25006</v>
      </c>
      <c r="C354" s="200"/>
      <c r="D354" s="17">
        <f>'3월'!D102</f>
        <v>45747</v>
      </c>
      <c r="E354" s="1" t="str">
        <f>'3월'!E102</f>
        <v>대륭상선</v>
      </c>
      <c r="F354" s="161"/>
      <c r="G354" s="161" t="str">
        <f>'3월'!G102</f>
        <v>MA</v>
      </c>
      <c r="H354" s="161" t="str">
        <f>'3월'!H102</f>
        <v>월간-IBM</v>
      </c>
      <c r="I354" s="163" t="str">
        <f>'3월'!I102</f>
        <v>3월 유지정비료 - 3/12회</v>
      </c>
      <c r="J354" s="71">
        <f>'3월'!J102</f>
        <v>1</v>
      </c>
      <c r="K354" s="26">
        <f>'3월'!K102</f>
        <v>2730000</v>
      </c>
      <c r="L354" s="26">
        <f>'3월'!L102</f>
        <v>2730000</v>
      </c>
      <c r="M354" s="27">
        <f>'3월'!M102</f>
        <v>273000</v>
      </c>
      <c r="N354" s="27">
        <f>'3월'!N102</f>
        <v>3003000</v>
      </c>
      <c r="O354" s="52">
        <f>'3월'!O102</f>
        <v>44000</v>
      </c>
      <c r="P354" s="171" t="str">
        <f>'3월'!P102</f>
        <v>DCSS(3/31)</v>
      </c>
      <c r="Q354" s="181">
        <f>'3월'!Q102</f>
        <v>2686000</v>
      </c>
      <c r="R354" s="68" t="str">
        <f>'3월'!R102</f>
        <v>완료(4/3)</v>
      </c>
      <c r="S354" s="5" t="str">
        <f>'3월'!S102</f>
        <v>홍승민</v>
      </c>
      <c r="T354" s="11"/>
    </row>
    <row r="355" spans="1:26" ht="24">
      <c r="A355" t="s">
        <v>30</v>
      </c>
      <c r="B355" s="151" t="str">
        <f>'3월'!B103</f>
        <v>SM-25009</v>
      </c>
      <c r="C355" s="153"/>
      <c r="D355" s="17">
        <f>'3월'!D103</f>
        <v>45747</v>
      </c>
      <c r="E355" s="1" t="str">
        <f>'3월'!E103</f>
        <v>투데이시스템</v>
      </c>
      <c r="F355" s="2" t="str">
        <f>'3월'!F103</f>
        <v>스마트로</v>
      </c>
      <c r="G355" s="1" t="str">
        <f>'3월'!G103</f>
        <v>MA</v>
      </c>
      <c r="H355" s="83" t="str">
        <f>'3월'!H103</f>
        <v>월간</v>
      </c>
      <c r="I355" s="4" t="str">
        <f>'3월'!I103</f>
        <v>(부품) 3월 유지정비료 - 3/12회</v>
      </c>
      <c r="J355" s="23">
        <f>'3월'!J103</f>
        <v>1</v>
      </c>
      <c r="K355" s="27">
        <f>'3월'!K103</f>
        <v>3475000</v>
      </c>
      <c r="L355" s="26">
        <f>'3월'!L103</f>
        <v>3475000</v>
      </c>
      <c r="M355" s="27">
        <f>'3월'!M103</f>
        <v>347500</v>
      </c>
      <c r="N355" s="27">
        <f>'3월'!N103</f>
        <v>3822500</v>
      </c>
      <c r="O355" s="33">
        <f>'3월'!O103</f>
        <v>3000000</v>
      </c>
      <c r="P355" s="197" t="str">
        <f>'3월'!P103</f>
        <v>시스나인(3/4) 1400중 800(3/3회)
투데이시스템(8/30) 1,000,00(3/3)</v>
      </c>
      <c r="Q355" s="20">
        <f>'3월'!Q103</f>
        <v>475000</v>
      </c>
      <c r="R355" s="2" t="str">
        <f>'3월'!R103</f>
        <v>완료(6/17)</v>
      </c>
      <c r="S355" s="8" t="str">
        <f>'3월'!S103</f>
        <v>이예지</v>
      </c>
      <c r="T355" s="11"/>
    </row>
    <row r="356" spans="1:26" ht="24">
      <c r="A356" t="s">
        <v>30</v>
      </c>
      <c r="B356" s="151" t="str">
        <f>'3월'!B104</f>
        <v>SB-25007</v>
      </c>
      <c r="C356" s="153" t="str">
        <f>'3월'!C104</f>
        <v>ZROHA2</v>
      </c>
      <c r="D356" s="17">
        <f>'3월'!D104</f>
        <v>45747</v>
      </c>
      <c r="E356" s="1" t="str">
        <f>'3월'!E104</f>
        <v>페타데이타</v>
      </c>
      <c r="F356" s="2" t="str">
        <f>'3월'!F104</f>
        <v>SBS</v>
      </c>
      <c r="G356" s="2" t="str">
        <f>'3월'!G104</f>
        <v>MA</v>
      </c>
      <c r="H356" s="2" t="str">
        <f>'3월'!H104</f>
        <v>월간-레노버</v>
      </c>
      <c r="I356" s="4" t="str">
        <f>'3월'!I104</f>
        <v>3월 유지정비료 - 3/12회</v>
      </c>
      <c r="J356" s="23">
        <f>'3월'!J104</f>
        <v>1</v>
      </c>
      <c r="K356" s="27">
        <f>'3월'!K104</f>
        <v>454600</v>
      </c>
      <c r="L356" s="26">
        <f>'3월'!L104</f>
        <v>454600</v>
      </c>
      <c r="M356" s="27">
        <f>'3월'!M104</f>
        <v>45460</v>
      </c>
      <c r="N356" s="27">
        <f>'3월'!N104</f>
        <v>500060</v>
      </c>
      <c r="O356" s="33">
        <f>'3월'!O104</f>
        <v>426333.33333333337</v>
      </c>
      <c r="P356" s="197" t="str">
        <f>'3월'!P104</f>
        <v>레노버(3/31) 243,000
시스나인(2/28) 1,100,000(3/6회)</v>
      </c>
      <c r="Q356" s="20">
        <f>'3월'!Q104</f>
        <v>28266.666666666628</v>
      </c>
      <c r="R356" s="68" t="str">
        <f>'3월'!R104</f>
        <v>완료(4/30)</v>
      </c>
      <c r="S356" s="8" t="str">
        <f>'3월'!S104</f>
        <v>천범석</v>
      </c>
      <c r="T356" s="11"/>
    </row>
    <row r="357" spans="1:26" ht="48">
      <c r="A357" t="s">
        <v>30</v>
      </c>
      <c r="B357" s="151" t="str">
        <f>'3월'!B105</f>
        <v>SB-25014</v>
      </c>
      <c r="C357" s="153" t="str">
        <f>'3월'!C105</f>
        <v>ZAVPY3</v>
      </c>
      <c r="D357" s="17">
        <f>'3월'!D105</f>
        <v>45747</v>
      </c>
      <c r="E357" s="214" t="str">
        <f>'3월'!E105</f>
        <v>와이젠정보기술</v>
      </c>
      <c r="F357" s="215" t="str">
        <f>'3월'!F105</f>
        <v>안국약품</v>
      </c>
      <c r="G357" s="1" t="str">
        <f>'3월'!G105</f>
        <v>MA</v>
      </c>
      <c r="H357" s="2" t="str">
        <f>'3월'!H105</f>
        <v>월간-레노버</v>
      </c>
      <c r="I357" s="4" t="str">
        <f>'3월'!I105</f>
        <v>3월 유지정비료 - 3/12회</v>
      </c>
      <c r="J357" s="23">
        <f>'3월'!J105</f>
        <v>1</v>
      </c>
      <c r="K357" s="27">
        <f>'3월'!K105</f>
        <v>2900000</v>
      </c>
      <c r="L357" s="26">
        <f>'3월'!L105</f>
        <v>2900000</v>
      </c>
      <c r="M357" s="27">
        <f>'3월'!M105</f>
        <v>290000</v>
      </c>
      <c r="N357" s="27">
        <f>'3월'!N105</f>
        <v>3190000</v>
      </c>
      <c r="O357" s="33">
        <f>'3월'!O105</f>
        <v>2572666.6666666665</v>
      </c>
      <c r="P357" s="197" t="str">
        <f>'3월'!P105</f>
        <v>레노버(3/31) 1,515,000
다솜테크(3/31) 250,000
DCSS(3/31) 391,000
시스나인 반기(2/28) 2,500,000(3/6회)</v>
      </c>
      <c r="Q357" s="20">
        <f>'3월'!Q105</f>
        <v>327333.33333333349</v>
      </c>
      <c r="R357" s="68" t="str">
        <f>'3월'!R105</f>
        <v>완료(4/30)</v>
      </c>
      <c r="S357" s="8" t="str">
        <f>'3월'!S105</f>
        <v>천범석</v>
      </c>
      <c r="T357" s="11"/>
    </row>
    <row r="358" spans="1:26" ht="24">
      <c r="A358" t="s">
        <v>30</v>
      </c>
      <c r="B358" s="151" t="str">
        <f>'3월'!B106</f>
        <v>SL-23014</v>
      </c>
      <c r="C358" s="153" t="str">
        <f>'3월'!C106</f>
        <v>ZHUDGM</v>
      </c>
      <c r="D358" s="17">
        <f>'3월'!D106</f>
        <v>45747</v>
      </c>
      <c r="E358" s="1" t="str">
        <f>'3월'!E106</f>
        <v>케이씨비</v>
      </c>
      <c r="F358" s="2" t="str">
        <f>'3월'!F106</f>
        <v>한국항공우주산업#1</v>
      </c>
      <c r="G358" s="161" t="str">
        <f>'3월'!G106</f>
        <v>MA</v>
      </c>
      <c r="H358" s="161" t="str">
        <f>'3월'!H106</f>
        <v>분기-레노버</v>
      </c>
      <c r="I358" s="163" t="str">
        <f>'3월'!I106</f>
        <v>한국항공 RPA부문 - Lenovo HX5520 유지보수(25.1~25.3) 유지정비료 - 9/11회</v>
      </c>
      <c r="J358" s="23">
        <f>'3월'!J106</f>
        <v>1</v>
      </c>
      <c r="K358" s="27">
        <f>'3월'!K106</f>
        <v>1224000</v>
      </c>
      <c r="L358" s="26">
        <f>'3월'!L106</f>
        <v>1224000</v>
      </c>
      <c r="M358" s="27">
        <f>'3월'!M106</f>
        <v>122400</v>
      </c>
      <c r="N358" s="27">
        <f>'3월'!N106</f>
        <v>1346400</v>
      </c>
      <c r="O358" s="82">
        <f>'3월'!O106</f>
        <v>1116000</v>
      </c>
      <c r="P358" s="197" t="str">
        <f>'3월'!P106</f>
        <v>레노버(3/31)
시스나인(10/15) (1/3회)</v>
      </c>
      <c r="Q358" s="21">
        <f>'3월'!Q106</f>
        <v>108000</v>
      </c>
      <c r="R358" s="68" t="str">
        <f>'3월'!R106</f>
        <v>완료(5/30)</v>
      </c>
      <c r="S358" s="8" t="str">
        <f>'3월'!S106</f>
        <v>천범석</v>
      </c>
      <c r="T358" s="11"/>
    </row>
    <row r="359" spans="1:26" ht="24">
      <c r="A359" t="s">
        <v>30</v>
      </c>
      <c r="B359" s="151" t="str">
        <f>'3월'!B107</f>
        <v>SB-23016</v>
      </c>
      <c r="C359" s="153" t="str">
        <f>'3월'!C107</f>
        <v>ZGUKWA</v>
      </c>
      <c r="D359" s="17">
        <f>'3월'!D107</f>
        <v>45747</v>
      </c>
      <c r="E359" s="1" t="str">
        <f>'3월'!E107</f>
        <v>케이씨비</v>
      </c>
      <c r="F359" s="2" t="str">
        <f>'3월'!F107</f>
        <v>한국항공우주산업#2</v>
      </c>
      <c r="G359" s="161" t="str">
        <f>'3월'!G107</f>
        <v>MA</v>
      </c>
      <c r="H359" s="161" t="str">
        <f>'3월'!H107</f>
        <v>분기-레노버</v>
      </c>
      <c r="I359" s="163" t="str">
        <f>'3월'!I107</f>
        <v>한국항공HW유지보수-Lenovo부문 백라인계약
(25.1~25.3) 유지보수 - 6/9회</v>
      </c>
      <c r="J359" s="23">
        <f>'3월'!J107</f>
        <v>1</v>
      </c>
      <c r="K359" s="27">
        <f>'3월'!K107</f>
        <v>12434465</v>
      </c>
      <c r="L359" s="26">
        <f>'3월'!L107</f>
        <v>12434465</v>
      </c>
      <c r="M359" s="27">
        <f>'3월'!M107</f>
        <v>1243446.5</v>
      </c>
      <c r="N359" s="27">
        <f>'3월'!N107</f>
        <v>13677911.5</v>
      </c>
      <c r="O359" s="82">
        <f>'3월'!O107</f>
        <v>9942600</v>
      </c>
      <c r="P359" s="223" t="str">
        <f>'3월'!P107</f>
        <v>레노버(3/31) 8,742,600
시스나인(1/2) 2,400,000 (1/2회)</v>
      </c>
      <c r="Q359" s="21">
        <f>'3월'!Q107</f>
        <v>2491865</v>
      </c>
      <c r="R359" s="68" t="str">
        <f>'3월'!R107</f>
        <v>완료(5/30)</v>
      </c>
      <c r="S359" s="8" t="str">
        <f>'3월'!S107</f>
        <v>천범석</v>
      </c>
      <c r="T359" s="11"/>
    </row>
    <row r="360" spans="1:26">
      <c r="A360" t="s">
        <v>30</v>
      </c>
      <c r="B360" s="151" t="str">
        <f>'3월'!B108</f>
        <v>SM-25002</v>
      </c>
      <c r="C360" s="152"/>
      <c r="D360" s="17">
        <f>'3월'!D108</f>
        <v>45747</v>
      </c>
      <c r="E360" s="1" t="str">
        <f>'3월'!E108</f>
        <v>지비에쓰시스템</v>
      </c>
      <c r="F360" s="161" t="str">
        <f>'3월'!F108</f>
        <v>현대하이카손해사정</v>
      </c>
      <c r="G360" s="161" t="str">
        <f>'3월'!G108</f>
        <v>MA</v>
      </c>
      <c r="H360" s="161" t="str">
        <f>'3월'!H108</f>
        <v>분기</v>
      </c>
      <c r="I360" s="164" t="str">
        <f>'3월'!I108</f>
        <v>2025년 e-HR서버 1분기 유지보수 1/4회</v>
      </c>
      <c r="J360" s="69">
        <f>'3월'!J108</f>
        <v>1</v>
      </c>
      <c r="K360" s="29">
        <f>'3월'!K108</f>
        <v>615000</v>
      </c>
      <c r="L360" s="26">
        <f>'3월'!L108</f>
        <v>615000</v>
      </c>
      <c r="M360" s="67">
        <f>'3월'!M108</f>
        <v>61500</v>
      </c>
      <c r="N360" s="27">
        <f>'3월'!N108</f>
        <v>676500</v>
      </c>
      <c r="O360" s="248">
        <f>'3월'!O108</f>
        <v>132000</v>
      </c>
      <c r="P360" s="171" t="str">
        <f>'3월'!P108</f>
        <v>DCSS(2/28/)(3/31) 월66,000</v>
      </c>
      <c r="Q360" s="21">
        <f>'3월'!Q108</f>
        <v>483000</v>
      </c>
      <c r="R360" s="68" t="str">
        <f>'3월'!R108</f>
        <v>완료(5/30)</v>
      </c>
      <c r="S360" s="5" t="str">
        <f>'3월'!S108</f>
        <v>이예지</v>
      </c>
      <c r="T360" s="6"/>
      <c r="Z360" s="242"/>
    </row>
    <row r="361" spans="1:26">
      <c r="B361" s="151" t="str">
        <f>'3월'!B109</f>
        <v>SB-25017</v>
      </c>
      <c r="C361" s="153" t="str">
        <f>'3월'!C109</f>
        <v>ZQIURA</v>
      </c>
      <c r="D361" s="17">
        <f>'3월'!D109</f>
        <v>45747</v>
      </c>
      <c r="E361" s="1" t="str">
        <f>'3월'!E109</f>
        <v>케이아이티</v>
      </c>
      <c r="F361" s="2" t="str">
        <f>'3월'!F109</f>
        <v>인천국제공항공사</v>
      </c>
      <c r="G361" s="161" t="str">
        <f>'3월'!G109</f>
        <v>MA</v>
      </c>
      <c r="H361" s="83" t="str">
        <f>'3월'!H109</f>
        <v>월간-레노버</v>
      </c>
      <c r="I361" s="4" t="str">
        <f>'3월'!I109</f>
        <v>1분기 유지정비료 - 1/4회</v>
      </c>
      <c r="J361" s="23">
        <f>'3월'!J109</f>
        <v>1</v>
      </c>
      <c r="K361" s="27">
        <f>'3월'!K109</f>
        <v>41168190</v>
      </c>
      <c r="L361" s="26">
        <f>'3월'!L109</f>
        <v>41168190</v>
      </c>
      <c r="M361" s="27">
        <f>'3월'!M109</f>
        <v>4116819</v>
      </c>
      <c r="N361" s="27">
        <f>'3월'!N109</f>
        <v>45285009</v>
      </c>
      <c r="O361" s="33">
        <f>'3월'!O109</f>
        <v>32608800</v>
      </c>
      <c r="P361" s="197" t="str">
        <f>'3월'!P109</f>
        <v>레노버 월 10,869,600(3/6)(3/6)(3/31)</v>
      </c>
      <c r="Q361" s="20">
        <f>'3월'!Q109</f>
        <v>8559390</v>
      </c>
      <c r="R361" s="2" t="str">
        <f>'3월'!R109</f>
        <v>완료(4/30)</v>
      </c>
      <c r="S361" s="8" t="str">
        <f>'3월'!S109</f>
        <v>천범석</v>
      </c>
      <c r="T361" s="11"/>
    </row>
    <row r="362" spans="1:26" ht="24">
      <c r="A362" t="s">
        <v>30</v>
      </c>
      <c r="B362" s="151" t="str">
        <f>'3월'!B110</f>
        <v>SB-25016</v>
      </c>
      <c r="C362" s="230" t="str">
        <f>'3월'!C110</f>
        <v>TAHXA0203</v>
      </c>
      <c r="D362" s="17">
        <f>'3월'!D110</f>
        <v>45747</v>
      </c>
      <c r="E362" s="214" t="str">
        <f>'3월'!E110</f>
        <v>에이큐씨앤씨</v>
      </c>
      <c r="F362" s="215" t="str">
        <f>'3월'!F110</f>
        <v>한림대학교</v>
      </c>
      <c r="G362" s="161" t="str">
        <f>'3월'!G110</f>
        <v>MA</v>
      </c>
      <c r="H362" s="83" t="str">
        <f>'3월'!H110</f>
        <v>연간-레노버</v>
      </c>
      <c r="I362" s="4" t="str">
        <f>'3월'!I110</f>
        <v>SW 연간유지정비료(25.03.01~26.02.28)</v>
      </c>
      <c r="J362" s="23">
        <f>'3월'!J110</f>
        <v>1</v>
      </c>
      <c r="K362" s="27">
        <f>'3월'!K110</f>
        <v>12788000</v>
      </c>
      <c r="L362" s="26">
        <f>'3월'!L110</f>
        <v>13289000</v>
      </c>
      <c r="M362" s="27">
        <f>'3월'!M110</f>
        <v>1328900</v>
      </c>
      <c r="N362" s="27">
        <f>'3월'!N110</f>
        <v>14617900</v>
      </c>
      <c r="O362" s="33">
        <f>'3월'!O110</f>
        <v>12246300</v>
      </c>
      <c r="P362" s="197" t="str">
        <f>'3월'!P110</f>
        <v>레노버(3/4) 11,840,700</v>
      </c>
      <c r="Q362" s="181">
        <f>'3월'!Q110</f>
        <v>1042700</v>
      </c>
      <c r="R362" s="2" t="str">
        <f>'3월'!R110</f>
        <v>완료(5/7)</v>
      </c>
      <c r="S362" s="8" t="str">
        <f>'3월'!S110</f>
        <v>천범석</v>
      </c>
      <c r="T362" s="11"/>
    </row>
    <row r="363" spans="1:26">
      <c r="B363" s="151"/>
      <c r="C363" s="230" t="str">
        <f>'3월'!C111</f>
        <v>ZLXVVE</v>
      </c>
      <c r="D363" s="43"/>
      <c r="E363" s="219" t="str">
        <f>'3월'!E111</f>
        <v>에이큐씨앤씨</v>
      </c>
      <c r="F363" s="220" t="str">
        <f>'3월'!F111</f>
        <v>한림대학교</v>
      </c>
      <c r="G363" s="161" t="str">
        <f>'3월'!G111</f>
        <v>MA</v>
      </c>
      <c r="H363" s="83" t="str">
        <f>'3월'!H111</f>
        <v>월간-레노버</v>
      </c>
      <c r="I363" s="4" t="str">
        <f>'3월'!I111</f>
        <v>HW 3월 유지정비료 - 1/12회</v>
      </c>
      <c r="J363" s="23">
        <f>'3월'!J111</f>
        <v>1</v>
      </c>
      <c r="K363" s="27">
        <f>'3월'!K111</f>
        <v>501000</v>
      </c>
      <c r="L363" s="37"/>
      <c r="M363" s="38"/>
      <c r="N363" s="38"/>
      <c r="O363" s="33">
        <f>'3월'!O111</f>
        <v>0</v>
      </c>
      <c r="P363" s="197" t="str">
        <f>'3월'!P111</f>
        <v>레노버(3/31) 405,600</v>
      </c>
      <c r="Q363" s="184"/>
      <c r="R363" s="41"/>
      <c r="S363" s="42"/>
      <c r="T363" s="11"/>
    </row>
    <row r="364" spans="1:26" ht="36">
      <c r="B364" s="151" t="str">
        <f>'3월'!B112</f>
        <v>IK-25001</v>
      </c>
      <c r="C364" s="153"/>
      <c r="D364" s="17">
        <f>'3월'!D112</f>
        <v>45747</v>
      </c>
      <c r="E364" s="1" t="str">
        <f>'3월'!E112</f>
        <v>투아이시스</v>
      </c>
      <c r="F364" s="2"/>
      <c r="G364" s="161" t="str">
        <f>'3월'!G112</f>
        <v>MA</v>
      </c>
      <c r="H364" s="161" t="str">
        <f>'3월'!H112</f>
        <v>월간-IBM</v>
      </c>
      <c r="I364" s="4" t="str">
        <f>'3월'!I112</f>
        <v>연간유지정비료(25.03.01~26.02.28)</v>
      </c>
      <c r="J364" s="23">
        <f>'3월'!J112</f>
        <v>1</v>
      </c>
      <c r="K364" s="27">
        <f>'3월'!K112</f>
        <v>1524000</v>
      </c>
      <c r="L364" s="26">
        <f>'3월'!L112</f>
        <v>1524000</v>
      </c>
      <c r="M364" s="27">
        <f>'3월'!M112</f>
        <v>152400</v>
      </c>
      <c r="N364" s="27">
        <f>'3월'!N112</f>
        <v>1676400</v>
      </c>
      <c r="O364" s="132">
        <f>'3월'!O112</f>
        <v>1121353</v>
      </c>
      <c r="P364" s="173" t="str">
        <f>'3월'!P112</f>
        <v>IBM (3/3) 93,445 (4/1)(5/1)(6/2)(7/1)(8/1)(9/1)(10/1)(11/1)(12/1)(26/1/1)(2/1)</v>
      </c>
      <c r="Q364" s="20">
        <f>'3월'!Q112</f>
        <v>402647</v>
      </c>
      <c r="R364" s="2" t="str">
        <f>'3월'!R112</f>
        <v>완료(5/12)</v>
      </c>
      <c r="S364" s="8" t="str">
        <f>'3월'!S112</f>
        <v>천범석</v>
      </c>
      <c r="T364" s="11"/>
    </row>
    <row r="365" spans="1:26" ht="60">
      <c r="B365" s="151" t="str">
        <f>'3월'!B113</f>
        <v>SB-25015</v>
      </c>
      <c r="C365" s="153" t="str">
        <f>'3월'!C113</f>
        <v>ZBLJQA</v>
      </c>
      <c r="D365" s="17">
        <f>'3월'!D113</f>
        <v>45747</v>
      </c>
      <c r="E365" s="1" t="str">
        <f>'3월'!E113</f>
        <v>아이엘씨</v>
      </c>
      <c r="F365" s="2" t="str">
        <f>'3월'!F113</f>
        <v>국회방송</v>
      </c>
      <c r="G365" s="161" t="str">
        <f>'3월'!G113</f>
        <v>MA</v>
      </c>
      <c r="H365" s="83" t="str">
        <f>'3월'!H113</f>
        <v>월간-레노버</v>
      </c>
      <c r="I365" s="4" t="str">
        <f>'3월'!I113</f>
        <v>연간유지정비료(24.10.29~25.12.31)</v>
      </c>
      <c r="J365" s="23">
        <f>'3월'!J113</f>
        <v>1</v>
      </c>
      <c r="K365" s="27">
        <f>'3월'!K113</f>
        <v>18480000</v>
      </c>
      <c r="L365" s="26">
        <f>'3월'!L113</f>
        <v>18480000</v>
      </c>
      <c r="M365" s="27">
        <f>'3월'!M113</f>
        <v>1848000</v>
      </c>
      <c r="N365" s="27">
        <f>'3월'!N113</f>
        <v>20328000</v>
      </c>
      <c r="O365" s="132">
        <f>'3월'!O113</f>
        <v>16424240</v>
      </c>
      <c r="P365" s="173" t="str">
        <f>'3월'!P113</f>
        <v>레노버 10월(3/12) 77,840 
월 1,167,600 11월(3/12)12월(3/12)
1월(3/12)2월(3/12)
(3/31)(4/30)(5/31)(6/30)(7/31)(8/31)(9/30)(10/31)(11/30)(12/31)</v>
      </c>
      <c r="Q365" s="20">
        <f>'3월'!Q113</f>
        <v>2055760</v>
      </c>
      <c r="R365" s="2" t="str">
        <f>'3월'!R113</f>
        <v>완료(4/30)</v>
      </c>
      <c r="S365" s="8" t="str">
        <f>'3월'!S113</f>
        <v>천범석</v>
      </c>
      <c r="T365" s="11"/>
    </row>
    <row r="366" spans="1:26">
      <c r="A366" t="s">
        <v>30</v>
      </c>
      <c r="B366" s="151" t="str">
        <f>'3월'!B114</f>
        <v>Y250324-01</v>
      </c>
      <c r="C366" s="153"/>
      <c r="D366" s="17">
        <f>'3월'!D114</f>
        <v>45747</v>
      </c>
      <c r="E366" s="1" t="str">
        <f>'3월'!E114</f>
        <v>파워시스</v>
      </c>
      <c r="F366" s="2" t="str">
        <f>'3월'!F114</f>
        <v>에이치에스티</v>
      </c>
      <c r="G366" s="161" t="str">
        <f>'3월'!G114</f>
        <v>MA</v>
      </c>
      <c r="H366" s="83" t="str">
        <f>'3월'!H114</f>
        <v>월간</v>
      </c>
      <c r="I366" s="4" t="str">
        <f>'3월'!I114</f>
        <v>Storwize V3700 원격 정기점검 - 1/10회</v>
      </c>
      <c r="J366" s="23">
        <f>'3월'!J114</f>
        <v>1</v>
      </c>
      <c r="K366" s="27">
        <f>'3월'!K114</f>
        <v>150000</v>
      </c>
      <c r="L366" s="26">
        <f>'3월'!L114</f>
        <v>150000</v>
      </c>
      <c r="M366" s="27">
        <f>'3월'!M114</f>
        <v>15000</v>
      </c>
      <c r="N366" s="27">
        <f>'3월'!N114</f>
        <v>165000</v>
      </c>
      <c r="O366" s="33">
        <f>'3월'!O114</f>
        <v>0</v>
      </c>
      <c r="P366" s="197" t="str">
        <f>'3월'!P114</f>
        <v>SM</v>
      </c>
      <c r="Q366" s="20">
        <f>'3월'!Q114</f>
        <v>150000</v>
      </c>
      <c r="R366" s="2" t="str">
        <f>'3월'!R114</f>
        <v>완료(5/30)</v>
      </c>
      <c r="S366" s="8" t="str">
        <f>'3월'!S114</f>
        <v>홍승민</v>
      </c>
      <c r="T366" s="11"/>
    </row>
    <row r="367" spans="1:26">
      <c r="B367" s="151" t="str">
        <f>'3월'!B115</f>
        <v>Y250305-02</v>
      </c>
      <c r="C367" s="153"/>
      <c r="D367" s="17">
        <f>'3월'!D115</f>
        <v>45747</v>
      </c>
      <c r="E367" s="1" t="str">
        <f>'3월'!E115</f>
        <v>온더보드</v>
      </c>
      <c r="F367" s="2" t="str">
        <f>'3월'!F115</f>
        <v>식품안전정보원</v>
      </c>
      <c r="G367" s="2" t="str">
        <f>'3월'!G115</f>
        <v>상품</v>
      </c>
      <c r="H367" s="83" t="str">
        <f>'3월'!H115</f>
        <v>서버</v>
      </c>
      <c r="I367" s="4" t="str">
        <f>'3월'!I115</f>
        <v>Lenovo ThinkSystem SR250v2</v>
      </c>
      <c r="J367" s="23">
        <f>'3월'!J115</f>
        <v>1</v>
      </c>
      <c r="K367" s="27">
        <f>'3월'!K115</f>
        <v>3500000</v>
      </c>
      <c r="L367" s="26">
        <f>'3월'!L115</f>
        <v>3500000</v>
      </c>
      <c r="M367" s="27">
        <f>'3월'!M115</f>
        <v>350000</v>
      </c>
      <c r="N367" s="27">
        <f>'3월'!N115</f>
        <v>3850000</v>
      </c>
      <c r="O367" s="33">
        <f>'3월'!O115</f>
        <v>2970000</v>
      </c>
      <c r="P367" s="197" t="str">
        <f>'3월'!P115</f>
        <v>이룸에스앤앤(2/21) 우림퀵(3/31)20,000</v>
      </c>
      <c r="Q367" s="20">
        <f>'3월'!Q115</f>
        <v>530000</v>
      </c>
      <c r="R367" s="2" t="str">
        <f>'3월'!R115</f>
        <v>완료(4/30)</v>
      </c>
      <c r="S367" s="8" t="str">
        <f>'3월'!S115</f>
        <v>홍승민</v>
      </c>
      <c r="T367" s="11"/>
    </row>
    <row r="368" spans="1:26">
      <c r="B368" s="151" t="str">
        <f>'3월'!B116</f>
        <v>Y250310-01</v>
      </c>
      <c r="C368" s="153"/>
      <c r="D368" s="17">
        <f>'3월'!D116</f>
        <v>45747</v>
      </c>
      <c r="E368" s="1" t="str">
        <f>'3월'!E116</f>
        <v>온더보드</v>
      </c>
      <c r="F368" s="2" t="str">
        <f>'3월'!F116</f>
        <v>다래파크텍</v>
      </c>
      <c r="G368" s="2" t="str">
        <f>'3월'!G116</f>
        <v>상품</v>
      </c>
      <c r="H368" s="83" t="str">
        <f>'3월'!H116</f>
        <v>서버</v>
      </c>
      <c r="I368" s="4" t="str">
        <f>'3월'!I116</f>
        <v>Lenovo ThinkSystem SR250v2</v>
      </c>
      <c r="J368" s="23">
        <f>'3월'!J116</f>
        <v>1</v>
      </c>
      <c r="K368" s="27">
        <f>'3월'!K116</f>
        <v>3500000</v>
      </c>
      <c r="L368" s="26">
        <f>'3월'!L116</f>
        <v>3500000</v>
      </c>
      <c r="M368" s="27">
        <f>'3월'!M116</f>
        <v>350000</v>
      </c>
      <c r="N368" s="27">
        <f>'3월'!N116</f>
        <v>3850000</v>
      </c>
      <c r="O368" s="33">
        <f>'3월'!O116</f>
        <v>2970000</v>
      </c>
      <c r="P368" s="197" t="str">
        <f>'3월'!P116</f>
        <v>이룸에스앤앤(2/21) 우림퀵(3/31)20,000</v>
      </c>
      <c r="Q368" s="20">
        <f>'3월'!Q116</f>
        <v>530000</v>
      </c>
      <c r="R368" s="2" t="str">
        <f>'3월'!R116</f>
        <v>완료(4/30)</v>
      </c>
      <c r="S368" s="8" t="str">
        <f>'3월'!S116</f>
        <v>홍승민</v>
      </c>
      <c r="T368" s="11"/>
    </row>
    <row r="369" spans="1:21" ht="24">
      <c r="B369" s="151" t="str">
        <f>'3월'!B117</f>
        <v>Y250311-01</v>
      </c>
      <c r="C369" s="153"/>
      <c r="D369" s="17">
        <f>'3월'!D117</f>
        <v>45747</v>
      </c>
      <c r="E369" s="1" t="str">
        <f>'3월'!E117</f>
        <v>온더보드</v>
      </c>
      <c r="F369" s="2" t="str">
        <f>'3월'!F117</f>
        <v>온종합병원</v>
      </c>
      <c r="G369" s="2" t="str">
        <f>'3월'!G117</f>
        <v>상품</v>
      </c>
      <c r="H369" s="83" t="str">
        <f>'3월'!H117</f>
        <v>7ZT7A00482</v>
      </c>
      <c r="I369" s="4" t="str">
        <f>'3월'!I117</f>
        <v>ThinkSystem Broadcom 5720 1GbE RJ45 2-Port PCIe Ethernet Adapter</v>
      </c>
      <c r="J369" s="23">
        <f>'3월'!J117</f>
        <v>1</v>
      </c>
      <c r="K369" s="27">
        <f>'3월'!K117</f>
        <v>150000</v>
      </c>
      <c r="L369" s="26">
        <f>'3월'!L117</f>
        <v>150000</v>
      </c>
      <c r="M369" s="27">
        <f>'3월'!M117</f>
        <v>15000</v>
      </c>
      <c r="N369" s="27">
        <f>'3월'!N117</f>
        <v>165000</v>
      </c>
      <c r="O369" s="33">
        <f>'3월'!O117</f>
        <v>115800</v>
      </c>
      <c r="P369" s="197" t="str">
        <f>'3월'!P117</f>
        <v>이룸에스앤앤(3/24) 로젠택배(3/31)3,800</v>
      </c>
      <c r="Q369" s="20">
        <f>'3월'!Q117</f>
        <v>34200</v>
      </c>
      <c r="R369" s="2" t="str">
        <f>'3월'!R117</f>
        <v>완료(4/30)</v>
      </c>
      <c r="S369" s="8" t="str">
        <f>'3월'!S117</f>
        <v>홍승민</v>
      </c>
      <c r="T369" s="11"/>
    </row>
    <row r="370" spans="1:21" ht="24" customHeight="1">
      <c r="B370" s="151" t="str">
        <f>'3월'!B118</f>
        <v>Y250226-01</v>
      </c>
      <c r="C370" s="153"/>
      <c r="D370" s="17">
        <f>'3월'!D118</f>
        <v>45747</v>
      </c>
      <c r="E370" s="1" t="str">
        <f>'3월'!E118</f>
        <v>스마트웨어</v>
      </c>
      <c r="F370" s="2"/>
      <c r="G370" s="2" t="str">
        <f>'3월'!G118</f>
        <v>장비임대</v>
      </c>
      <c r="H370" s="83" t="str">
        <f>'3월'!H118</f>
        <v>서버임대</v>
      </c>
      <c r="I370" s="4" t="str">
        <f>'3월'!I118</f>
        <v>x3650M5 임대 (Xeon E5-2699v4)
(2025.03.01~3.31)</v>
      </c>
      <c r="J370" s="23">
        <f>'3월'!J118</f>
        <v>2</v>
      </c>
      <c r="K370" s="27">
        <f>'3월'!K118</f>
        <v>180000</v>
      </c>
      <c r="L370" s="26">
        <f>'3월'!L118</f>
        <v>360000</v>
      </c>
      <c r="M370" s="27">
        <f>'3월'!M118</f>
        <v>36000</v>
      </c>
      <c r="N370" s="27">
        <f>'3월'!N118</f>
        <v>396000</v>
      </c>
      <c r="O370" s="33">
        <f>'3월'!O118</f>
        <v>0</v>
      </c>
      <c r="P370" s="197" t="str">
        <f>'3월'!P118</f>
        <v>재고</v>
      </c>
      <c r="Q370" s="20">
        <f>'3월'!Q118</f>
        <v>360000</v>
      </c>
      <c r="R370" s="192" t="str">
        <f>'3월'!R118</f>
        <v>4월말</v>
      </c>
      <c r="S370" s="8" t="str">
        <f>'3월'!S118</f>
        <v>홍승민</v>
      </c>
      <c r="T370" s="11"/>
    </row>
    <row r="371" spans="1:21">
      <c r="B371" s="151" t="str">
        <f>'3월'!B119</f>
        <v>H250311-01</v>
      </c>
      <c r="C371" s="153"/>
      <c r="D371" s="17">
        <f>'3월'!D119</f>
        <v>45747</v>
      </c>
      <c r="E371" s="1" t="str">
        <f>'3월'!E119</f>
        <v>티에스씨인포</v>
      </c>
      <c r="F371" s="2"/>
      <c r="G371" s="2" t="str">
        <f>'3월'!G119</f>
        <v>상품</v>
      </c>
      <c r="H371" s="83" t="str">
        <f>'3월'!H119</f>
        <v>69Y2926</v>
      </c>
      <c r="I371" s="4" t="str">
        <f>'3월'!I119</f>
        <v>Controller Battery for DS3512/DS3524</v>
      </c>
      <c r="J371" s="23">
        <f>'3월'!J119</f>
        <v>1</v>
      </c>
      <c r="K371" s="27">
        <f>'3월'!K119</f>
        <v>280000</v>
      </c>
      <c r="L371" s="26">
        <f>'3월'!L119</f>
        <v>1880000</v>
      </c>
      <c r="M371" s="27">
        <f>'3월'!M119</f>
        <v>188000</v>
      </c>
      <c r="N371" s="27">
        <f>'3월'!N119</f>
        <v>2068000</v>
      </c>
      <c r="O371" s="33">
        <f>'3월'!O119</f>
        <v>1700000</v>
      </c>
      <c r="P371" s="197" t="str">
        <f>'3월'!P119</f>
        <v>이비웨이브(3/11) 250,000</v>
      </c>
      <c r="Q371" s="20">
        <f>'3월'!Q119</f>
        <v>180000</v>
      </c>
      <c r="R371" s="2" t="str">
        <f>'3월'!R119</f>
        <v>완료(4/7)</v>
      </c>
      <c r="S371" s="8" t="str">
        <f>'3월'!S119</f>
        <v>천범석</v>
      </c>
      <c r="T371" s="11"/>
    </row>
    <row r="372" spans="1:21" ht="24">
      <c r="B372" s="151" t="str">
        <f>'3월'!B120</f>
        <v>H250328-01</v>
      </c>
      <c r="C372" s="155"/>
      <c r="D372" s="43"/>
      <c r="E372" s="44" t="str">
        <f>'3월'!E120</f>
        <v>티에스씨인포</v>
      </c>
      <c r="F372" s="41"/>
      <c r="G372" s="2" t="str">
        <f>'3월'!G120</f>
        <v>상품</v>
      </c>
      <c r="H372" s="83" t="str">
        <f>'3월'!H120</f>
        <v>44X3212</v>
      </c>
      <c r="I372" s="4" t="str">
        <f>'3월'!I120</f>
        <v>IBM V7000 Storage 600GB 10K 2.5inch HDD 44X3212/90Y7652</v>
      </c>
      <c r="J372" s="23">
        <f>'3월'!J120</f>
        <v>1</v>
      </c>
      <c r="K372" s="27">
        <f>'3월'!K120</f>
        <v>350000</v>
      </c>
      <c r="L372" s="37"/>
      <c r="M372" s="38"/>
      <c r="N372" s="38"/>
      <c r="O372" s="33"/>
      <c r="P372" s="197" t="str">
        <f>'3월'!P120</f>
        <v>에스엔에이(3/28) 300,000</v>
      </c>
      <c r="Q372" s="40"/>
      <c r="R372" s="41"/>
      <c r="S372" s="42"/>
      <c r="T372" s="11"/>
    </row>
    <row r="373" spans="1:21">
      <c r="B373" s="151" t="str">
        <f>'3월'!B121</f>
        <v>H250328-02</v>
      </c>
      <c r="C373" s="155"/>
      <c r="D373" s="43"/>
      <c r="E373" s="44" t="str">
        <f>'3월'!E121</f>
        <v>티에스씨인포</v>
      </c>
      <c r="F373" s="41"/>
      <c r="G373" s="2" t="str">
        <f>'3월'!G121</f>
        <v>상품</v>
      </c>
      <c r="H373" s="83" t="str">
        <f>'3월'!H121</f>
        <v>01AC578</v>
      </c>
      <c r="I373" s="4" t="str">
        <f>'3월'!I121</f>
        <v>Controller for V7000G2</v>
      </c>
      <c r="J373" s="23">
        <f>'3월'!J121</f>
        <v>1</v>
      </c>
      <c r="K373" s="27">
        <f>'3월'!K121</f>
        <v>1250000</v>
      </c>
      <c r="L373" s="37"/>
      <c r="M373" s="38"/>
      <c r="N373" s="38"/>
      <c r="O373" s="33"/>
      <c r="P373" s="197" t="str">
        <f>'3월'!P121</f>
        <v>이비웨이브(3/28) 1,150,000</v>
      </c>
      <c r="Q373" s="40"/>
      <c r="R373" s="41"/>
      <c r="S373" s="42"/>
      <c r="T373" s="11"/>
    </row>
    <row r="374" spans="1:21">
      <c r="A374" t="s">
        <v>30</v>
      </c>
      <c r="B374" s="151" t="str">
        <f>'3월'!B122</f>
        <v>H250324-03</v>
      </c>
      <c r="C374" s="153"/>
      <c r="D374" s="17">
        <f>'3월'!D122</f>
        <v>45747</v>
      </c>
      <c r="E374" s="1" t="str">
        <f>'3월'!E122</f>
        <v>우리에스아이티</v>
      </c>
      <c r="F374" s="2"/>
      <c r="G374" s="2" t="str">
        <f>'3월'!G122</f>
        <v>상품</v>
      </c>
      <c r="H374" s="83" t="str">
        <f>'3월'!H122</f>
        <v>43X0805</v>
      </c>
      <c r="I374" s="4" t="str">
        <f>'3월'!I122</f>
        <v>IBM 300GB 15K 3.5IN SAS HDD</v>
      </c>
      <c r="J374" s="23">
        <f>'3월'!J122</f>
        <v>1</v>
      </c>
      <c r="K374" s="27">
        <f>'3월'!K122</f>
        <v>160000</v>
      </c>
      <c r="L374" s="26">
        <f>'3월'!L122</f>
        <v>160000</v>
      </c>
      <c r="M374" s="27">
        <f>'3월'!M122</f>
        <v>16000</v>
      </c>
      <c r="N374" s="27">
        <f>'3월'!N122</f>
        <v>176000</v>
      </c>
      <c r="O374" s="33">
        <f>'3월'!O122</f>
        <v>120000</v>
      </c>
      <c r="P374" s="197" t="str">
        <f>'3월'!P122</f>
        <v>이비웨이브(3/24)</v>
      </c>
      <c r="Q374" s="20">
        <f>'3월'!Q122</f>
        <v>40000</v>
      </c>
      <c r="R374" s="2" t="str">
        <f>'3월'!R122</f>
        <v>완료(4/30)</v>
      </c>
      <c r="S374" s="8" t="str">
        <f>'3월'!S122</f>
        <v>천범석</v>
      </c>
      <c r="T374" s="11"/>
    </row>
    <row r="375" spans="1:21" ht="48">
      <c r="A375" t="s">
        <v>30</v>
      </c>
      <c r="B375" s="151" t="str">
        <f>'3월'!B123</f>
        <v>SB-25019</v>
      </c>
      <c r="C375" s="153" t="str">
        <f>'3월'!C123</f>
        <v xml:space="preserve">
TAHXA0208</v>
      </c>
      <c r="D375" s="17">
        <f>'3월'!D123</f>
        <v>45747</v>
      </c>
      <c r="E375" s="1" t="str">
        <f>'3월'!E123</f>
        <v>지티아이앤씨</v>
      </c>
      <c r="F375" s="2" t="str">
        <f>'3월'!F123</f>
        <v>KBS</v>
      </c>
      <c r="G375" s="2" t="str">
        <f>'3월'!G123</f>
        <v>MA</v>
      </c>
      <c r="H375" s="83" t="str">
        <f>'3월'!H123</f>
        <v>연간</v>
      </c>
      <c r="I375" s="4" t="str">
        <f>'3월'!I123</f>
        <v>연간(25.01.01~12.31)유지정비료 1/2회</v>
      </c>
      <c r="J375" s="23">
        <f>'3월'!J123</f>
        <v>1</v>
      </c>
      <c r="K375" s="27">
        <f>'3월'!K123</f>
        <v>18338000</v>
      </c>
      <c r="L375" s="26">
        <f>'3월'!L123</f>
        <v>18338000</v>
      </c>
      <c r="M375" s="27">
        <f>'3월'!M123</f>
        <v>1833800</v>
      </c>
      <c r="N375" s="27">
        <f>'3월'!N123</f>
        <v>20171800</v>
      </c>
      <c r="O375" s="33">
        <f>'3월'!O123</f>
        <v>17560800</v>
      </c>
      <c r="P375" s="197" t="str">
        <f>'3월'!P123</f>
        <v>레노버HW(1~3월) 420,000*3(4/11)
(4/30)(5/31)(6/30)(7/31)(8/31)(9/30)(10/31)(11/30)(12/31)
레노버SW 16,300,800(4/9)</v>
      </c>
      <c r="Q375" s="20">
        <f>'3월'!Q123</f>
        <v>777200</v>
      </c>
      <c r="R375" s="2" t="str">
        <f>'3월'!R123</f>
        <v>완료(5/29)</v>
      </c>
      <c r="S375" s="8" t="str">
        <f>'3월'!S123</f>
        <v>천범석</v>
      </c>
      <c r="T375" s="11"/>
    </row>
    <row r="376" spans="1:21">
      <c r="A376" t="s">
        <v>30</v>
      </c>
      <c r="B376" s="151" t="str">
        <f>'4월'!B3</f>
        <v>S</v>
      </c>
      <c r="C376" s="153"/>
      <c r="D376" s="17">
        <f>'4월'!D3</f>
        <v>45748</v>
      </c>
      <c r="E376" s="1" t="str">
        <f>'4월'!E3</f>
        <v>에이비씨한국</v>
      </c>
      <c r="F376" s="2" t="str">
        <f>'4월'!F3</f>
        <v>서울</v>
      </c>
      <c r="G376" s="2" t="str">
        <f>'4월'!G3</f>
        <v>상품</v>
      </c>
      <c r="H376" s="83" t="str">
        <f>'4월'!H3</f>
        <v>스위치</v>
      </c>
      <c r="I376" s="4" t="str">
        <f>'4월'!I3</f>
        <v>HPE Networking Instant On Switch 1930-48G 외</v>
      </c>
      <c r="J376" s="23">
        <f>'4월'!J3</f>
        <v>1</v>
      </c>
      <c r="K376" s="27">
        <f>'4월'!K3</f>
        <v>7700000</v>
      </c>
      <c r="L376" s="26">
        <f>'4월'!L3</f>
        <v>7700000</v>
      </c>
      <c r="M376" s="27">
        <f>'4월'!M3</f>
        <v>770000</v>
      </c>
      <c r="N376" s="27">
        <f>'4월'!N3</f>
        <v>8470000</v>
      </c>
      <c r="O376" s="33">
        <f>'4월'!O3</f>
        <v>7546000</v>
      </c>
      <c r="P376" s="197" t="str">
        <f>'4월'!P3</f>
        <v>로보츠(4/1)</v>
      </c>
      <c r="Q376" s="20">
        <f>'4월'!Q3</f>
        <v>154000</v>
      </c>
      <c r="R376" s="2" t="str">
        <f>'4월'!R3</f>
        <v>완료(5/30)</v>
      </c>
      <c r="S376" s="8" t="str">
        <f>'4월'!S3</f>
        <v>이예지</v>
      </c>
      <c r="T376" s="11"/>
    </row>
    <row r="377" spans="1:21" ht="36">
      <c r="A377" t="s">
        <v>30</v>
      </c>
      <c r="B377" s="151" t="str">
        <f>'4월'!B4</f>
        <v>SM-23015</v>
      </c>
      <c r="C377" s="152"/>
      <c r="D377" s="10">
        <f>'4월'!D4</f>
        <v>45748</v>
      </c>
      <c r="E377" s="1" t="str">
        <f>'4월'!E4</f>
        <v>동원프라스틱</v>
      </c>
      <c r="F377" s="1" t="str">
        <f>'4월'!F4</f>
        <v>동원프라스틱</v>
      </c>
      <c r="G377" s="161" t="str">
        <f>'4월'!G4</f>
        <v>MA</v>
      </c>
      <c r="H377" s="161" t="str">
        <f>'4월'!H4</f>
        <v>월간</v>
      </c>
      <c r="I377" s="163" t="str">
        <f>'4월'!I4</f>
        <v>4월 유지정비료 - 13/13회</v>
      </c>
      <c r="J377" s="71">
        <f>'4월'!J4</f>
        <v>1</v>
      </c>
      <c r="K377" s="26">
        <f>'4월'!K4</f>
        <v>1200000</v>
      </c>
      <c r="L377" s="26">
        <f>'4월'!L4</f>
        <v>1200000</v>
      </c>
      <c r="M377" s="27">
        <f>'4월'!M4</f>
        <v>120000</v>
      </c>
      <c r="N377" s="27">
        <f>'4월'!N4</f>
        <v>1320000</v>
      </c>
      <c r="O377" s="52">
        <f>'4월'!O4</f>
        <v>1170000</v>
      </c>
      <c r="P377" s="171" t="str">
        <f>'4월'!P4</f>
        <v>시스나인(25/3/4) 4,800,000 4/6회
이비웨이브(4/28) Board 250,000
이비웨이브(4/28) Power 60,000*2</v>
      </c>
      <c r="Q377" s="181">
        <f>'4월'!Q4</f>
        <v>30000</v>
      </c>
      <c r="R377" s="2" t="str">
        <f>'4월'!R4</f>
        <v>완료(4/30)</v>
      </c>
      <c r="S377" s="5" t="str">
        <f>'4월'!S4</f>
        <v>이예지</v>
      </c>
      <c r="T377" s="6"/>
    </row>
    <row r="378" spans="1:21">
      <c r="A378" t="s">
        <v>30</v>
      </c>
      <c r="B378" s="151" t="str">
        <f>'4월'!B5</f>
        <v>IK-23016</v>
      </c>
      <c r="C378" s="153"/>
      <c r="D378" s="10">
        <f>'4월'!D5</f>
        <v>45748</v>
      </c>
      <c r="E378" s="1" t="str">
        <f>'4월'!E5</f>
        <v>케이정보기술</v>
      </c>
      <c r="F378" s="2" t="str">
        <f>'4월'!F5</f>
        <v>청주시청</v>
      </c>
      <c r="G378" s="1" t="str">
        <f>'4월'!G5</f>
        <v>MA</v>
      </c>
      <c r="H378" s="161" t="str">
        <f>'4월'!H5</f>
        <v>월간-IBM</v>
      </c>
      <c r="I378" s="164" t="str">
        <f>'4월'!I5</f>
        <v>4월 유지정비료 - 20/35회</v>
      </c>
      <c r="J378" s="210">
        <f>'4월'!J5</f>
        <v>1</v>
      </c>
      <c r="K378" s="27">
        <f>'4월'!K5</f>
        <v>1600000</v>
      </c>
      <c r="L378" s="26">
        <f>'4월'!L5</f>
        <v>1600000</v>
      </c>
      <c r="M378" s="27">
        <f>'4월'!M5</f>
        <v>160000</v>
      </c>
      <c r="N378" s="27">
        <f>'4월'!N5</f>
        <v>1760000</v>
      </c>
      <c r="O378" s="52">
        <f>'4월'!O5</f>
        <v>1383858</v>
      </c>
      <c r="P378" s="170" t="str">
        <f>'4월'!P5</f>
        <v>IBM(4/1) 1,123,962 (4/1) 259,896</v>
      </c>
      <c r="Q378" s="181">
        <f>'4월'!Q5</f>
        <v>216142</v>
      </c>
      <c r="R378" s="2" t="str">
        <f>'4월'!R5</f>
        <v>완료(5/30)</v>
      </c>
      <c r="S378" s="8" t="str">
        <f>'4월'!S5</f>
        <v>천범석</v>
      </c>
      <c r="T378" s="11"/>
    </row>
    <row r="379" spans="1:21" ht="12" customHeight="1">
      <c r="A379" t="s">
        <v>30</v>
      </c>
      <c r="B379" s="151" t="str">
        <f>'4월'!B6</f>
        <v>SM-24011</v>
      </c>
      <c r="C379" s="153"/>
      <c r="D379" s="10">
        <f>'4월'!D6</f>
        <v>45748</v>
      </c>
      <c r="E379" s="1" t="str">
        <f>'4월'!E6</f>
        <v>가나병원</v>
      </c>
      <c r="F379" s="161"/>
      <c r="G379" s="1" t="str">
        <f>'4월'!G6</f>
        <v>MA</v>
      </c>
      <c r="H379" s="161" t="str">
        <f>'4월'!H6</f>
        <v>월간</v>
      </c>
      <c r="I379" s="3" t="str">
        <f>'4월'!I6</f>
        <v>4월 유지정비료 - 12/12회</v>
      </c>
      <c r="J379" s="74">
        <f>'4월'!J6</f>
        <v>1</v>
      </c>
      <c r="K379" s="27">
        <f>'4월'!K6</f>
        <v>300000</v>
      </c>
      <c r="L379" s="26">
        <f>'4월'!L6</f>
        <v>300000</v>
      </c>
      <c r="M379" s="27">
        <f>'4월'!M6</f>
        <v>30000</v>
      </c>
      <c r="N379" s="27">
        <f>'4월'!N6</f>
        <v>330000</v>
      </c>
      <c r="O379" s="52">
        <f>'4월'!O6</f>
        <v>0</v>
      </c>
      <c r="P379" s="171" t="str">
        <f>'4월'!P6</f>
        <v>SM</v>
      </c>
      <c r="Q379" s="181">
        <f>'4월'!Q6</f>
        <v>300000</v>
      </c>
      <c r="R379" s="2" t="str">
        <f>'4월'!R6</f>
        <v>완료(4/9)</v>
      </c>
      <c r="S379" s="8" t="str">
        <f>'4월'!S6</f>
        <v>천범석</v>
      </c>
      <c r="T379" s="11"/>
    </row>
    <row r="380" spans="1:21" ht="24">
      <c r="A380" t="s">
        <v>30</v>
      </c>
      <c r="B380" s="151" t="str">
        <f>'4월'!B7</f>
        <v>LI-24004</v>
      </c>
      <c r="C380" s="153"/>
      <c r="D380" s="10">
        <f>'4월'!D7</f>
        <v>45748</v>
      </c>
      <c r="E380" s="1" t="str">
        <f>'4월'!E7</f>
        <v>한국메탈</v>
      </c>
      <c r="F380" s="2"/>
      <c r="G380" s="1" t="str">
        <f>'4월'!G7</f>
        <v>MA</v>
      </c>
      <c r="H380" s="1" t="str">
        <f>'4월'!H7</f>
        <v>월간-IBM</v>
      </c>
      <c r="I380" s="4" t="str">
        <f>'4월'!I7</f>
        <v>4월 유지정비료 - 12/36회</v>
      </c>
      <c r="J380" s="210">
        <f>'4월'!J7</f>
        <v>1</v>
      </c>
      <c r="K380" s="27">
        <f>'4월'!K7</f>
        <v>507500</v>
      </c>
      <c r="L380" s="26">
        <f>'4월'!L7</f>
        <v>507500</v>
      </c>
      <c r="M380" s="27">
        <f>'4월'!M7</f>
        <v>50750</v>
      </c>
      <c r="N380" s="27">
        <f>'4월'!N7</f>
        <v>558250</v>
      </c>
      <c r="O380" s="52">
        <f>'4월'!O7</f>
        <v>416682</v>
      </c>
      <c r="P380" s="170" t="str">
        <f>'4월'!P7</f>
        <v>IBM(4/1) 316,682
시스나인(1/2) 연간 1,200,000(4/12회)</v>
      </c>
      <c r="Q380" s="181">
        <f>'4월'!Q7</f>
        <v>90818</v>
      </c>
      <c r="R380" s="2" t="str">
        <f>'4월'!R7</f>
        <v>완료(4/30)</v>
      </c>
      <c r="S380" s="8" t="str">
        <f>'4월'!S7</f>
        <v>천범석</v>
      </c>
      <c r="T380" s="11"/>
    </row>
    <row r="381" spans="1:21" ht="48">
      <c r="A381" t="s">
        <v>30</v>
      </c>
      <c r="B381" s="151" t="str">
        <f>'4월'!B8</f>
        <v>LI-24005</v>
      </c>
      <c r="C381" s="152" t="str">
        <f>'4월'!C8</f>
        <v>Z4ACEZ</v>
      </c>
      <c r="D381" s="10">
        <f>'4월'!D8</f>
        <v>45748</v>
      </c>
      <c r="E381" s="157" t="str">
        <f>'4월'!E8</f>
        <v>해종합건축사사무소</v>
      </c>
      <c r="F381" s="157"/>
      <c r="G381" s="1" t="str">
        <f>'4월'!G8</f>
        <v>MA</v>
      </c>
      <c r="H381" s="1" t="str">
        <f>'4월'!H8</f>
        <v>월간-IBM</v>
      </c>
      <c r="I381" s="3" t="str">
        <f>'4월'!I8</f>
        <v>4월 유지정비료 - 11/12회</v>
      </c>
      <c r="J381" s="211">
        <f>'4월'!J8</f>
        <v>1</v>
      </c>
      <c r="K381" s="26">
        <f>'4월'!K8</f>
        <v>1554500</v>
      </c>
      <c r="L381" s="26">
        <f>'4월'!L8</f>
        <v>1554500</v>
      </c>
      <c r="M381" s="27">
        <f>'4월'!M8</f>
        <v>155450</v>
      </c>
      <c r="N381" s="27">
        <f>'4월'!N8</f>
        <v>1709950</v>
      </c>
      <c r="O381" s="52">
        <f>'4월'!O8</f>
        <v>1308000</v>
      </c>
      <c r="P381" s="171" t="str">
        <f>'4월'!P8</f>
        <v>레노버(4/30) 171,600
에스엔에이(4/15) 200,000
IBM(4/1) 436,400
시스나인(25/3/4) 연간 6,000,000 11/12회</v>
      </c>
      <c r="Q381" s="181">
        <f>'4월'!Q8</f>
        <v>246500</v>
      </c>
      <c r="R381" s="2" t="str">
        <f>'4월'!R8</f>
        <v>완료(4/30)</v>
      </c>
      <c r="S381" s="5" t="str">
        <f>'4월'!S8</f>
        <v>천범석</v>
      </c>
      <c r="T381" s="6"/>
    </row>
    <row r="382" spans="1:21">
      <c r="A382" t="s">
        <v>30</v>
      </c>
      <c r="B382" s="151" t="str">
        <f>'4월'!B9</f>
        <v>SB-24039</v>
      </c>
      <c r="C382" s="152" t="str">
        <f>'4월'!C9</f>
        <v>ZZGBBZ</v>
      </c>
      <c r="D382" s="10">
        <f>'4월'!D9</f>
        <v>45748</v>
      </c>
      <c r="E382" s="1" t="str">
        <f>'4월'!E9</f>
        <v>한국디지털방송</v>
      </c>
      <c r="F382" s="1"/>
      <c r="G382" s="1" t="str">
        <f>'4월'!G9</f>
        <v>MA</v>
      </c>
      <c r="H382" s="161" t="str">
        <f>'4월'!H9</f>
        <v>월간-레노버</v>
      </c>
      <c r="I382" s="164" t="str">
        <f>'4월'!I9</f>
        <v>4월 유지정비료 - 10/12회</v>
      </c>
      <c r="J382" s="69">
        <f>'4월'!J9</f>
        <v>1</v>
      </c>
      <c r="K382" s="29">
        <f>'4월'!K9</f>
        <v>1423000</v>
      </c>
      <c r="L382" s="26">
        <f>'4월'!L9</f>
        <v>1423000</v>
      </c>
      <c r="M382" s="27">
        <f>'4월'!M9</f>
        <v>142300</v>
      </c>
      <c r="N382" s="27">
        <f>'4월'!N9</f>
        <v>1565300</v>
      </c>
      <c r="O382" s="52">
        <f>'4월'!O9</f>
        <v>1120200</v>
      </c>
      <c r="P382" s="171" t="str">
        <f>'4월'!P9</f>
        <v>레노버(4/30)</v>
      </c>
      <c r="Q382" s="181">
        <f>'4월'!Q9</f>
        <v>302800</v>
      </c>
      <c r="R382" s="2" t="str">
        <f>'4월'!R9</f>
        <v>완료(4/24)</v>
      </c>
      <c r="S382" s="5" t="str">
        <f>'4월'!S9</f>
        <v>천범석</v>
      </c>
      <c r="T382" s="6"/>
    </row>
    <row r="383" spans="1:21" ht="24">
      <c r="A383" t="s">
        <v>30</v>
      </c>
      <c r="B383" s="151" t="str">
        <f>'4월'!B10</f>
        <v>IK-24008</v>
      </c>
      <c r="C383" s="153"/>
      <c r="D383" s="10">
        <f>'4월'!D10</f>
        <v>45748</v>
      </c>
      <c r="E383" s="1" t="str">
        <f>'4월'!E10</f>
        <v>서비스링크</v>
      </c>
      <c r="F383" s="2" t="str">
        <f>'4월'!F10</f>
        <v>세원정공(폴라리스세원)</v>
      </c>
      <c r="G383" s="1" t="str">
        <f>'4월'!G10</f>
        <v>MA</v>
      </c>
      <c r="H383" s="161" t="str">
        <f>'4월'!H10</f>
        <v>월간-레노버</v>
      </c>
      <c r="I383" s="164" t="str">
        <f>'4월'!I10</f>
        <v>4월 유지정비료 - 10/12회</v>
      </c>
      <c r="J383" s="210">
        <f>'4월'!J10</f>
        <v>1</v>
      </c>
      <c r="K383" s="27">
        <f>'4월'!K10</f>
        <v>238000</v>
      </c>
      <c r="L383" s="26">
        <f>'4월'!L10</f>
        <v>238000</v>
      </c>
      <c r="M383" s="27">
        <f>'4월'!M10</f>
        <v>23800</v>
      </c>
      <c r="N383" s="27">
        <f>'4월'!N10</f>
        <v>261800</v>
      </c>
      <c r="O383" s="52">
        <f>'4월'!O10</f>
        <v>198018</v>
      </c>
      <c r="P383" s="170" t="str">
        <f>'4월'!P10</f>
        <v>IBM(4/1)</v>
      </c>
      <c r="Q383" s="181">
        <f>'4월'!Q10</f>
        <v>39982</v>
      </c>
      <c r="R383" s="2" t="str">
        <f>'4월'!R10</f>
        <v>완료(4/29)</v>
      </c>
      <c r="S383" s="5" t="str">
        <f>'4월'!S10</f>
        <v>천범석</v>
      </c>
      <c r="T383" s="11"/>
    </row>
    <row r="384" spans="1:21">
      <c r="A384" t="s">
        <v>30</v>
      </c>
      <c r="B384" s="151" t="str">
        <f>'4월'!B11</f>
        <v>IK-24012</v>
      </c>
      <c r="C384" s="153"/>
      <c r="D384" s="10">
        <f>'4월'!D11</f>
        <v>45748</v>
      </c>
      <c r="E384" s="1" t="str">
        <f>'4월'!E11</f>
        <v>인정보시스템</v>
      </c>
      <c r="F384" s="2" t="str">
        <f>'4월'!F11</f>
        <v>대구텍</v>
      </c>
      <c r="G384" s="1" t="str">
        <f>'4월'!G11</f>
        <v>MA</v>
      </c>
      <c r="H384" s="161" t="str">
        <f>'4월'!H11</f>
        <v>월간-IBM</v>
      </c>
      <c r="I384" s="4" t="str">
        <f>'4월'!I11</f>
        <v>4월 유지정비료 - 4/6회</v>
      </c>
      <c r="J384" s="23">
        <f>'4월'!J11</f>
        <v>1</v>
      </c>
      <c r="K384" s="26">
        <f>'4월'!K11</f>
        <v>1039500</v>
      </c>
      <c r="L384" s="26">
        <f>'4월'!L11</f>
        <v>1039500</v>
      </c>
      <c r="M384" s="27">
        <f>'4월'!M11</f>
        <v>103950</v>
      </c>
      <c r="N384" s="27">
        <f>'4월'!N11</f>
        <v>1143450</v>
      </c>
      <c r="O384" s="33">
        <f>'4월'!O11</f>
        <v>990000</v>
      </c>
      <c r="P384" s="170" t="str">
        <f>'4월'!P11</f>
        <v>IBM(4/1)</v>
      </c>
      <c r="Q384" s="20">
        <f>'4월'!Q11</f>
        <v>49500</v>
      </c>
      <c r="R384" s="2" t="str">
        <f>'4월'!R11</f>
        <v>완료(4/29)</v>
      </c>
      <c r="S384" s="8" t="str">
        <f>'4월'!S11</f>
        <v>천범석</v>
      </c>
      <c r="T384" s="11"/>
      <c r="U384" t="s">
        <v>476</v>
      </c>
    </row>
    <row r="385" spans="1:20">
      <c r="A385" t="s">
        <v>30</v>
      </c>
      <c r="B385" s="151" t="str">
        <f>'4월'!B12</f>
        <v>IK-24013</v>
      </c>
      <c r="C385" s="153"/>
      <c r="D385" s="10">
        <f>'4월'!D12</f>
        <v>45748</v>
      </c>
      <c r="E385" s="1" t="str">
        <f>'4월'!E12</f>
        <v>레드텍</v>
      </c>
      <c r="F385" s="2" t="str">
        <f>'4월'!F12</f>
        <v>대한상공회의소</v>
      </c>
      <c r="G385" s="161" t="str">
        <f>'4월'!G12</f>
        <v>MA</v>
      </c>
      <c r="H385" s="161" t="str">
        <f>'4월'!H12</f>
        <v>월간-IBM</v>
      </c>
      <c r="I385" s="4" t="str">
        <f>'4월'!I12</f>
        <v>4월 유지정비료 - 6/12회</v>
      </c>
      <c r="J385" s="23">
        <f>'4월'!J12</f>
        <v>1</v>
      </c>
      <c r="K385" s="27">
        <f>'4월'!K12</f>
        <v>158400</v>
      </c>
      <c r="L385" s="26">
        <f>'4월'!L12</f>
        <v>158400</v>
      </c>
      <c r="M385" s="27">
        <f>'4월'!M12</f>
        <v>15840</v>
      </c>
      <c r="N385" s="27">
        <f>'4월'!N12</f>
        <v>174240</v>
      </c>
      <c r="O385" s="33">
        <f>'4월'!O12</f>
        <v>145780</v>
      </c>
      <c r="P385" s="170" t="str">
        <f>'4월'!P12</f>
        <v>IBM(4/1)</v>
      </c>
      <c r="Q385" s="20">
        <f>'4월'!Q12</f>
        <v>12620</v>
      </c>
      <c r="R385" s="2" t="str">
        <f>'4월'!R12</f>
        <v>완료(4/8)</v>
      </c>
      <c r="S385" s="8" t="str">
        <f>'4월'!S12</f>
        <v>천범석</v>
      </c>
      <c r="T385" s="11"/>
    </row>
    <row r="386" spans="1:20" ht="24">
      <c r="A386" t="s">
        <v>30</v>
      </c>
      <c r="B386" s="151" t="str">
        <f>'4월'!B13</f>
        <v>SM-23012</v>
      </c>
      <c r="C386" s="152"/>
      <c r="D386" s="10">
        <f>'4월'!D13</f>
        <v>45748</v>
      </c>
      <c r="E386" s="1" t="str">
        <f>'4월'!E13</f>
        <v>택스홈앤아웃</v>
      </c>
      <c r="F386" s="161" t="str">
        <f>'4월'!F13</f>
        <v>본사</v>
      </c>
      <c r="G386" s="161" t="str">
        <f>'4월'!G13</f>
        <v>MA</v>
      </c>
      <c r="H386" s="161" t="str">
        <f>'4월'!H13</f>
        <v>월간</v>
      </c>
      <c r="I386" s="163" t="str">
        <f>'4월'!I13</f>
        <v>VPN 서비스 4월임대료 - 4/12회 280,000
+ 보안스위치 4월 2대*120,000</v>
      </c>
      <c r="J386" s="71">
        <f>'4월'!J13</f>
        <v>1</v>
      </c>
      <c r="K386" s="26">
        <f>'4월'!K13</f>
        <v>520000</v>
      </c>
      <c r="L386" s="26">
        <f>'4월'!L13</f>
        <v>520000</v>
      </c>
      <c r="M386" s="27">
        <f>'4월'!M13</f>
        <v>52000</v>
      </c>
      <c r="N386" s="27">
        <f>'4월'!N13</f>
        <v>572000</v>
      </c>
      <c r="O386" s="52">
        <f>'4월'!O13</f>
        <v>368600</v>
      </c>
      <c r="P386" s="171" t="str">
        <f>'4월'!P13</f>
        <v>엘림넷(4/10) 213,400 (4/10) 155,200</v>
      </c>
      <c r="Q386" s="181">
        <f>'4월'!Q13</f>
        <v>151400</v>
      </c>
      <c r="R386" s="2" t="str">
        <f>'4월'!R13</f>
        <v>완료(4/30)</v>
      </c>
      <c r="S386" s="5" t="str">
        <f>'4월'!S13</f>
        <v>이예지</v>
      </c>
      <c r="T386" s="6"/>
    </row>
    <row r="387" spans="1:20">
      <c r="A387" t="s">
        <v>30</v>
      </c>
      <c r="B387" s="151" t="str">
        <f>'4월'!B14</f>
        <v>SM-23013</v>
      </c>
      <c r="C387" s="152"/>
      <c r="D387" s="10">
        <f>'4월'!D14</f>
        <v>45748</v>
      </c>
      <c r="E387" s="1" t="str">
        <f>'4월'!E14</f>
        <v>하이엔드택스 강남지점</v>
      </c>
      <c r="F387" s="161" t="str">
        <f>'4월'!F14</f>
        <v>압구정</v>
      </c>
      <c r="G387" s="161" t="str">
        <f>'4월'!G14</f>
        <v>MA</v>
      </c>
      <c r="H387" s="161" t="str">
        <f>'4월'!H14</f>
        <v>월간</v>
      </c>
      <c r="I387" s="163" t="str">
        <f>'4월'!I14</f>
        <v>VPN 서비스 4월임대료 - 4/12회</v>
      </c>
      <c r="J387" s="71">
        <f>'4월'!J14</f>
        <v>1</v>
      </c>
      <c r="K387" s="26">
        <f>'4월'!K14</f>
        <v>320000</v>
      </c>
      <c r="L387" s="26">
        <f>'4월'!L14</f>
        <v>320000</v>
      </c>
      <c r="M387" s="27">
        <f>'4월'!M14</f>
        <v>32000</v>
      </c>
      <c r="N387" s="27">
        <f>'4월'!N14</f>
        <v>352000</v>
      </c>
      <c r="O387" s="52">
        <f>'4월'!O14</f>
        <v>223100</v>
      </c>
      <c r="P387" s="171" t="str">
        <f>'4월'!P14</f>
        <v>엘림넷(4/10) 145,500 (4/10) 77,600</v>
      </c>
      <c r="Q387" s="181">
        <f>'4월'!Q14</f>
        <v>96900</v>
      </c>
      <c r="R387" s="2" t="str">
        <f>'4월'!R14</f>
        <v>완료(5/9)</v>
      </c>
      <c r="S387" s="5" t="str">
        <f>'4월'!S14</f>
        <v>이예지</v>
      </c>
      <c r="T387" s="6"/>
    </row>
    <row r="388" spans="1:20">
      <c r="A388" t="s">
        <v>30</v>
      </c>
      <c r="B388" s="151" t="str">
        <f>'4월'!B15</f>
        <v>SM-23016</v>
      </c>
      <c r="C388" s="152"/>
      <c r="D388" s="10">
        <f>'4월'!D15</f>
        <v>45748</v>
      </c>
      <c r="E388" s="1" t="str">
        <f>'4월'!E15</f>
        <v>에실로코리아</v>
      </c>
      <c r="F388" s="1" t="str">
        <f>'4월'!F15</f>
        <v>에실로코리아</v>
      </c>
      <c r="G388" s="161" t="str">
        <f>'4월'!G15</f>
        <v>MA</v>
      </c>
      <c r="H388" s="161" t="str">
        <f>'4월'!H15</f>
        <v>월간</v>
      </c>
      <c r="I388" s="163" t="str">
        <f>'4월'!I15</f>
        <v>4월 유지정비료 - 4/12회</v>
      </c>
      <c r="J388" s="71">
        <f>'4월'!J15</f>
        <v>1</v>
      </c>
      <c r="K388" s="28">
        <f>'4월'!K15</f>
        <v>100000</v>
      </c>
      <c r="L388" s="26">
        <f>'4월'!L15</f>
        <v>100000</v>
      </c>
      <c r="M388" s="27">
        <f>'4월'!M15</f>
        <v>10000</v>
      </c>
      <c r="N388" s="27">
        <f>'4월'!N15</f>
        <v>110000</v>
      </c>
      <c r="O388" s="52">
        <f>'4월'!O15</f>
        <v>0</v>
      </c>
      <c r="P388" s="171" t="str">
        <f>'4월'!P15</f>
        <v>SM</v>
      </c>
      <c r="Q388" s="181">
        <f>'4월'!Q15</f>
        <v>100000</v>
      </c>
      <c r="R388" s="68" t="str">
        <f>'4월'!R15</f>
        <v>완료(5/14)</v>
      </c>
      <c r="S388" s="5" t="str">
        <f>'4월'!S15</f>
        <v>이예지</v>
      </c>
      <c r="T388" s="6"/>
    </row>
    <row r="389" spans="1:20" ht="24">
      <c r="A389" t="s">
        <v>30</v>
      </c>
      <c r="B389" s="151" t="str">
        <f>'4월'!B16</f>
        <v>IK-22025</v>
      </c>
      <c r="C389" s="153"/>
      <c r="D389" s="10">
        <f>'4월'!D16</f>
        <v>45748</v>
      </c>
      <c r="E389" s="1" t="str">
        <f>'4월'!E16</f>
        <v>디에스피</v>
      </c>
      <c r="F389" s="161" t="str">
        <f>'4월'!F16</f>
        <v>엘지생활건강 청주공장</v>
      </c>
      <c r="G389" s="1" t="str">
        <f>'4월'!G16</f>
        <v>MA</v>
      </c>
      <c r="H389" s="161" t="str">
        <f>'4월'!H16</f>
        <v>월간-IBM</v>
      </c>
      <c r="I389" s="162" t="str">
        <f>'4월'!I16</f>
        <v>4월 유지정비료 - 3/12회</v>
      </c>
      <c r="J389" s="74">
        <f>'4월'!J16</f>
        <v>1</v>
      </c>
      <c r="K389" s="27">
        <f>'4월'!K16</f>
        <v>635000</v>
      </c>
      <c r="L389" s="26">
        <f>'4월'!L16</f>
        <v>635000</v>
      </c>
      <c r="M389" s="27">
        <f>'4월'!M16</f>
        <v>63500</v>
      </c>
      <c r="N389" s="27">
        <f>'4월'!N16</f>
        <v>698500</v>
      </c>
      <c r="O389" s="52">
        <f>'4월'!O16</f>
        <v>564192</v>
      </c>
      <c r="P389" s="170" t="str">
        <f>'4월'!P16</f>
        <v>IBM(4/1)</v>
      </c>
      <c r="Q389" s="181">
        <f>'4월'!Q16</f>
        <v>70808</v>
      </c>
      <c r="R389" s="2" t="str">
        <f>'4월'!R16</f>
        <v>완료(5/9)</v>
      </c>
      <c r="S389" s="8" t="str">
        <f>'4월'!S16</f>
        <v>천범석</v>
      </c>
      <c r="T389" s="11"/>
    </row>
    <row r="390" spans="1:20">
      <c r="A390" t="s">
        <v>30</v>
      </c>
      <c r="B390" s="151" t="str">
        <f>'4월'!B17</f>
        <v>IK-22022</v>
      </c>
      <c r="C390" s="200"/>
      <c r="D390" s="10">
        <f>'4월'!D17</f>
        <v>45748</v>
      </c>
      <c r="E390" s="1" t="str">
        <f>'4월'!E17</f>
        <v>로인아이티</v>
      </c>
      <c r="F390" s="2" t="str">
        <f>'4월'!F17</f>
        <v>한일전기</v>
      </c>
      <c r="G390" s="1" t="str">
        <f>'4월'!G17</f>
        <v>MA</v>
      </c>
      <c r="H390" s="165" t="str">
        <f>'4월'!H17</f>
        <v>월간-IBM</v>
      </c>
      <c r="I390" s="166" t="str">
        <f>'4월'!I17</f>
        <v>분기(4~6월) 유지정비료 - 10/12회</v>
      </c>
      <c r="J390" s="179">
        <f>'4월'!J17</f>
        <v>1</v>
      </c>
      <c r="K390" s="180">
        <f>'4월'!K17</f>
        <v>1233000</v>
      </c>
      <c r="L390" s="50">
        <f>'4월'!L17</f>
        <v>1233000</v>
      </c>
      <c r="M390" s="51">
        <f>'4월'!M17</f>
        <v>123300</v>
      </c>
      <c r="N390" s="51">
        <f>'4월'!N17</f>
        <v>1356300</v>
      </c>
      <c r="O390" s="52">
        <f>'4월'!O17</f>
        <v>927141</v>
      </c>
      <c r="P390" s="171" t="str">
        <f>'4월'!P17</f>
        <v>IBM 309,047 (4/1)(5/1)(6/2)</v>
      </c>
      <c r="Q390" s="182">
        <f>'4월'!Q17</f>
        <v>305859</v>
      </c>
      <c r="R390" s="2" t="str">
        <f>'4월'!R17</f>
        <v>완료(5/26)</v>
      </c>
      <c r="S390" s="36" t="str">
        <f>'4월'!S17</f>
        <v>천범석</v>
      </c>
      <c r="T390" s="35"/>
    </row>
    <row r="391" spans="1:20">
      <c r="A391" t="s">
        <v>30</v>
      </c>
      <c r="B391" s="151" t="str">
        <f>'4월'!B18</f>
        <v>SB-22053</v>
      </c>
      <c r="C391" s="199" t="str">
        <f>'4월'!C18</f>
        <v>ZEKV4M</v>
      </c>
      <c r="D391" s="10">
        <f>'4월'!D18</f>
        <v>45748</v>
      </c>
      <c r="E391" s="1" t="str">
        <f>'4월'!E18</f>
        <v>심플키</v>
      </c>
      <c r="F391" s="2" t="str">
        <f>'4월'!F18</f>
        <v>한국산업은행</v>
      </c>
      <c r="G391" s="1" t="str">
        <f>'4월'!G18</f>
        <v>MA</v>
      </c>
      <c r="H391" s="161" t="str">
        <f>'4월'!H18</f>
        <v>월간-레노버</v>
      </c>
      <c r="I391" s="166" t="str">
        <f>'4월'!I18</f>
        <v>분기(4~6월) 유지정비료 - 9/12회</v>
      </c>
      <c r="J391" s="179">
        <f>'4월'!J18</f>
        <v>1</v>
      </c>
      <c r="K391" s="51">
        <f>'4월'!K18</f>
        <v>200000</v>
      </c>
      <c r="L391" s="50">
        <f>'4월'!L18</f>
        <v>200000</v>
      </c>
      <c r="M391" s="51">
        <f>'4월'!M18</f>
        <v>20000</v>
      </c>
      <c r="N391" s="51">
        <f>'4월'!N18</f>
        <v>220000</v>
      </c>
      <c r="O391" s="52">
        <f>'4월'!O18</f>
        <v>176400</v>
      </c>
      <c r="P391" s="171" t="str">
        <f>'4월'!P18</f>
        <v>레노버 월 58,800(4/30)(5/31)(6/30)</v>
      </c>
      <c r="Q391" s="183">
        <f>'4월'!Q18</f>
        <v>23600</v>
      </c>
      <c r="R391" s="2" t="str">
        <f>'4월'!R18</f>
        <v>완료(4/30)</v>
      </c>
      <c r="S391" s="36" t="str">
        <f>'4월'!S18</f>
        <v>천범석</v>
      </c>
      <c r="T391" s="11"/>
    </row>
    <row r="392" spans="1:20" ht="35.25" customHeight="1">
      <c r="A392" t="s">
        <v>30</v>
      </c>
      <c r="B392" s="151" t="str">
        <f>'4월'!B19</f>
        <v>SB-24042</v>
      </c>
      <c r="C392" s="199" t="str">
        <f>'4월'!C19</f>
        <v>ZTME0P</v>
      </c>
      <c r="D392" s="10">
        <f>'4월'!D19</f>
        <v>45748</v>
      </c>
      <c r="E392" s="1" t="str">
        <f>'4월'!E19</f>
        <v>심플키</v>
      </c>
      <c r="F392" s="2" t="str">
        <f>'4월'!F19</f>
        <v>티시스</v>
      </c>
      <c r="G392" s="1" t="str">
        <f>'4월'!G19</f>
        <v>MA</v>
      </c>
      <c r="H392" s="161" t="str">
        <f>'4월'!H19</f>
        <v>월간-레노버</v>
      </c>
      <c r="I392" s="166" t="str">
        <f>'4월'!I19</f>
        <v>분기(4~5월) 유지정비료 - 4/4회</v>
      </c>
      <c r="J392" s="53">
        <f>'4월'!J19</f>
        <v>1</v>
      </c>
      <c r="K392" s="51">
        <f>'4월'!K19</f>
        <v>3767600</v>
      </c>
      <c r="L392" s="50">
        <f>'4월'!L19</f>
        <v>3767600</v>
      </c>
      <c r="M392" s="51">
        <f>'4월'!M19</f>
        <v>376760</v>
      </c>
      <c r="N392" s="51">
        <f>'4월'!N19</f>
        <v>4144360</v>
      </c>
      <c r="O392" s="52">
        <f>'4월'!O19</f>
        <v>3579466.6666666665</v>
      </c>
      <c r="P392" s="171" t="str">
        <f>'4월'!P19</f>
        <v>레노버 1,706,400 (4/30)(5/31)
시스나인(7/1) 연간 1,000,000 (11~12/12회)</v>
      </c>
      <c r="Q392" s="181">
        <f>'4월'!Q19</f>
        <v>188133.33333333349</v>
      </c>
      <c r="R392" s="68" t="str">
        <f>'4월'!R19</f>
        <v>완료(6/26)</v>
      </c>
      <c r="S392" s="36" t="str">
        <f>'4월'!S19</f>
        <v>천범석</v>
      </c>
      <c r="T392" s="11"/>
    </row>
    <row r="393" spans="1:20" ht="48">
      <c r="A393" t="s">
        <v>30</v>
      </c>
      <c r="B393" s="151" t="str">
        <f>'4월'!B20</f>
        <v>SB-25018</v>
      </c>
      <c r="C393" s="153" t="str">
        <f>'4월'!C20</f>
        <v>ZTMJAV</v>
      </c>
      <c r="D393" s="17">
        <f>'4월'!D20</f>
        <v>45748</v>
      </c>
      <c r="E393" s="1" t="str">
        <f>'4월'!E20</f>
        <v>동행시네마</v>
      </c>
      <c r="F393" s="2" t="str">
        <f>'4월'!F20</f>
        <v>안동CGV</v>
      </c>
      <c r="G393" s="1" t="str">
        <f>'4월'!G20</f>
        <v>MA</v>
      </c>
      <c r="H393" s="161" t="str">
        <f>'4월'!H20</f>
        <v>월간-레노버</v>
      </c>
      <c r="I393" s="4" t="str">
        <f>'4월'!I20</f>
        <v>연간유지정비료(25.03.27~26.03.26)</v>
      </c>
      <c r="J393" s="23">
        <f>'4월'!J20</f>
        <v>1</v>
      </c>
      <c r="K393" s="27">
        <f>'4월'!K20</f>
        <v>800000</v>
      </c>
      <c r="L393" s="26">
        <f>'4월'!L20</f>
        <v>800000</v>
      </c>
      <c r="M393" s="27">
        <f>'4월'!M20</f>
        <v>80000</v>
      </c>
      <c r="N393" s="27">
        <f>'4월'!N20</f>
        <v>880000</v>
      </c>
      <c r="O393" s="132">
        <f>'4월'!O20</f>
        <v>615600</v>
      </c>
      <c r="P393" s="173" t="str">
        <f>'4월'!P20</f>
        <v>레노버 월 51,300
(4/2) 6,840 (4/30)51,300
(5/31)(6/30)(7/31)(8/31)(9/30)(10/31)(11/30)(12/31)(26/1/31)(2/28)(3/ )</v>
      </c>
      <c r="Q393" s="20">
        <f>'4월'!Q20</f>
        <v>184400</v>
      </c>
      <c r="R393" s="2" t="str">
        <f>'4월'!R20</f>
        <v>완료(6/27)</v>
      </c>
      <c r="S393" s="8" t="str">
        <f>'4월'!S20</f>
        <v>천범석</v>
      </c>
      <c r="T393" s="11"/>
    </row>
    <row r="394" spans="1:20">
      <c r="A394" t="s">
        <v>30</v>
      </c>
      <c r="B394" s="151" t="str">
        <f>'4월'!B21</f>
        <v>H250401-01</v>
      </c>
      <c r="C394" s="153"/>
      <c r="D394" s="17">
        <f>'4월'!D21</f>
        <v>45749</v>
      </c>
      <c r="E394" s="1" t="str">
        <f>'4월'!E21</f>
        <v>엘림넷</v>
      </c>
      <c r="F394" s="2"/>
      <c r="G394" s="2" t="str">
        <f>'4월'!G21</f>
        <v>상품</v>
      </c>
      <c r="H394" s="83" t="str">
        <f>'4월'!H21</f>
        <v>기술지원</v>
      </c>
      <c r="I394" s="4" t="str">
        <f>'4월'!I21</f>
        <v>설치 기술지원</v>
      </c>
      <c r="J394" s="23">
        <f>'4월'!J21</f>
        <v>1</v>
      </c>
      <c r="K394" s="27">
        <f>'4월'!K21</f>
        <v>200000</v>
      </c>
      <c r="L394" s="26">
        <f>'4월'!L21</f>
        <v>1150000</v>
      </c>
      <c r="M394" s="27">
        <f>'4월'!M21</f>
        <v>115000</v>
      </c>
      <c r="N394" s="27">
        <f>'4월'!N21</f>
        <v>1265000</v>
      </c>
      <c r="O394" s="33">
        <f>'4월'!O21</f>
        <v>630000</v>
      </c>
      <c r="P394" s="197" t="str">
        <f>'4월'!P21</f>
        <v>SM</v>
      </c>
      <c r="Q394" s="20">
        <f>'4월'!Q21</f>
        <v>520000</v>
      </c>
      <c r="R394" s="2" t="str">
        <f>'4월'!R21</f>
        <v>완료(4/8)</v>
      </c>
      <c r="S394" s="8" t="str">
        <f>'4월'!S21</f>
        <v>천범석</v>
      </c>
      <c r="T394" s="11"/>
    </row>
    <row r="395" spans="1:20">
      <c r="A395" t="s">
        <v>30</v>
      </c>
      <c r="B395" s="151" t="str">
        <f>'4월'!B22</f>
        <v>H250401-02</v>
      </c>
      <c r="C395" s="155"/>
      <c r="D395" s="43"/>
      <c r="E395" s="44" t="str">
        <f>'4월'!E22</f>
        <v>엘림넷</v>
      </c>
      <c r="F395" s="41"/>
      <c r="G395" s="2" t="str">
        <f>'4월'!G22</f>
        <v>상품</v>
      </c>
      <c r="H395" s="83" t="str">
        <f>'4월'!H22</f>
        <v>42D0786</v>
      </c>
      <c r="I395" s="4" t="str">
        <f>'4월'!I22</f>
        <v>IBM 2TB 7200 RPM SATA 3.5" HDD</v>
      </c>
      <c r="J395" s="23">
        <f>'4월'!J22</f>
        <v>1</v>
      </c>
      <c r="K395" s="27">
        <f>'4월'!K22</f>
        <v>200000</v>
      </c>
      <c r="L395" s="37"/>
      <c r="M395" s="38"/>
      <c r="N395" s="38"/>
      <c r="O395" s="33">
        <f>'4월'!O22</f>
        <v>0</v>
      </c>
      <c r="P395" s="197" t="str">
        <f>'4월'!P22</f>
        <v>에스엔에이(3/25) 120,000</v>
      </c>
      <c r="Q395" s="40"/>
      <c r="R395" s="41"/>
      <c r="S395" s="42"/>
      <c r="T395" s="11"/>
    </row>
    <row r="396" spans="1:20" ht="24">
      <c r="A396" t="s">
        <v>30</v>
      </c>
      <c r="B396" s="151" t="str">
        <f>'4월'!B23</f>
        <v>H250401-03</v>
      </c>
      <c r="C396" s="155"/>
      <c r="D396" s="43"/>
      <c r="E396" s="44" t="str">
        <f>'4월'!E23</f>
        <v>엘림넷</v>
      </c>
      <c r="F396" s="41"/>
      <c r="G396" s="2" t="str">
        <f>'4월'!G23</f>
        <v>상품</v>
      </c>
      <c r="H396" s="83" t="str">
        <f>'4월'!H23</f>
        <v>S26361-F3781-E515</v>
      </c>
      <c r="I396" s="4" t="str">
        <f>'4월'!I23</f>
        <v>8GB DDR3-1600 RDIMM PC3L-12800R Single Rank x4 Module</v>
      </c>
      <c r="J396" s="23">
        <f>'4월'!J23</f>
        <v>3</v>
      </c>
      <c r="K396" s="27">
        <f>'4월'!K23</f>
        <v>250000</v>
      </c>
      <c r="L396" s="37"/>
      <c r="M396" s="38"/>
      <c r="N396" s="38"/>
      <c r="O396" s="33">
        <f>'4월'!O23</f>
        <v>0</v>
      </c>
      <c r="P396" s="197" t="str">
        <f>'4월'!P23</f>
        <v>위퍼스트(3/25) 3*170,000</v>
      </c>
      <c r="Q396" s="40"/>
      <c r="R396" s="41"/>
      <c r="S396" s="42"/>
      <c r="T396" s="11"/>
    </row>
    <row r="397" spans="1:20">
      <c r="A397" t="s">
        <v>30</v>
      </c>
      <c r="B397" s="151" t="str">
        <f>'4월'!B24</f>
        <v>Y250318-01</v>
      </c>
      <c r="C397" s="153"/>
      <c r="D397" s="17">
        <f>'4월'!D24</f>
        <v>45749</v>
      </c>
      <c r="E397" s="1" t="str">
        <f>'4월'!E24</f>
        <v>리드피플</v>
      </c>
      <c r="F397" s="2"/>
      <c r="G397" s="2" t="str">
        <f>'4월'!G24</f>
        <v>상품</v>
      </c>
      <c r="H397" s="83" t="str">
        <f>'4월'!H24</f>
        <v>조립PC</v>
      </c>
      <c r="I397" s="4" t="str">
        <f>'4월'!I24</f>
        <v xml:space="preserve">조립PC </v>
      </c>
      <c r="J397" s="23">
        <f>'4월'!J24</f>
        <v>1</v>
      </c>
      <c r="K397" s="27">
        <f>'4월'!K24</f>
        <v>2450000</v>
      </c>
      <c r="L397" s="26">
        <f>'4월'!L24</f>
        <v>2450000</v>
      </c>
      <c r="M397" s="27">
        <f>'4월'!M24</f>
        <v>245000</v>
      </c>
      <c r="N397" s="27">
        <f>'4월'!N24</f>
        <v>2695000</v>
      </c>
      <c r="O397" s="33">
        <f>'4월'!O24</f>
        <v>2198245</v>
      </c>
      <c r="P397" s="197" t="str">
        <f>'4월'!P24</f>
        <v>컴퓨존(3/18) 우림퀵(3/31)25,000</v>
      </c>
      <c r="Q397" s="20">
        <f>'4월'!Q24</f>
        <v>251755</v>
      </c>
      <c r="R397" s="2" t="str">
        <f>'4월'!R24</f>
        <v>완료(4/3)</v>
      </c>
      <c r="S397" s="8" t="str">
        <f>'4월'!S24</f>
        <v>홍승민</v>
      </c>
      <c r="T397" s="11"/>
    </row>
    <row r="398" spans="1:20">
      <c r="A398" t="s">
        <v>30</v>
      </c>
      <c r="B398" s="151" t="str">
        <f>'4월'!B25</f>
        <v>S</v>
      </c>
      <c r="C398" s="153"/>
      <c r="D398" s="17">
        <f>'4월'!D25</f>
        <v>45750</v>
      </c>
      <c r="E398" s="1" t="str">
        <f>'4월'!E25</f>
        <v>에이비씨한국</v>
      </c>
      <c r="F398" s="2" t="str">
        <f>'4월'!F25</f>
        <v>평택</v>
      </c>
      <c r="G398" s="2" t="str">
        <f>'4월'!G25</f>
        <v>상품</v>
      </c>
      <c r="H398" s="83" t="str">
        <f>'4월'!H25</f>
        <v>LG Slim PC</v>
      </c>
      <c r="I398" s="4" t="str">
        <f>'4월'!I25</f>
        <v>[LG전자] 슬림타워 데스크탑 Z80LV.AR45B2E</v>
      </c>
      <c r="J398" s="23">
        <f>'4월'!J25</f>
        <v>1</v>
      </c>
      <c r="K398" s="27">
        <f>'4월'!K25</f>
        <v>1390000</v>
      </c>
      <c r="L398" s="26">
        <f>'4월'!L25</f>
        <v>2233000</v>
      </c>
      <c r="M398" s="27">
        <f>'4월'!M25</f>
        <v>223300</v>
      </c>
      <c r="N398" s="27">
        <f>'4월'!N25</f>
        <v>2456300</v>
      </c>
      <c r="O398" s="33">
        <f>'4월'!O25</f>
        <v>2188000</v>
      </c>
      <c r="P398" s="197" t="str">
        <f>'4월'!P25</f>
        <v>로보츠(4/3)</v>
      </c>
      <c r="Q398" s="20">
        <f>'4월'!Q25</f>
        <v>45000</v>
      </c>
      <c r="R398" s="2" t="str">
        <f>'4월'!R25</f>
        <v>완료(5/30)</v>
      </c>
      <c r="S398" s="8" t="str">
        <f>'4월'!S25</f>
        <v>이예지</v>
      </c>
      <c r="T398" s="11"/>
    </row>
    <row r="399" spans="1:20">
      <c r="A399" t="s">
        <v>30</v>
      </c>
      <c r="B399" s="154"/>
      <c r="C399" s="155"/>
      <c r="D399" s="43"/>
      <c r="E399" s="44" t="str">
        <f>'4월'!E26</f>
        <v>에이비씨한국</v>
      </c>
      <c r="F399" s="41" t="str">
        <f>'4월'!F26</f>
        <v>평택</v>
      </c>
      <c r="G399" s="2" t="str">
        <f>'4월'!G26</f>
        <v>상품</v>
      </c>
      <c r="H399" s="83" t="str">
        <f>'4월'!H26</f>
        <v>삼성 모니터</v>
      </c>
      <c r="I399" s="4" t="str">
        <f>'4월'!I26</f>
        <v>삼성전자 24인치 모니터 LF24T452FQKXKR</v>
      </c>
      <c r="J399" s="23">
        <f>'4월'!J26</f>
        <v>2</v>
      </c>
      <c r="K399" s="27">
        <f>'4월'!K26</f>
        <v>210000</v>
      </c>
      <c r="L399" s="37"/>
      <c r="M399" s="38"/>
      <c r="N399" s="38"/>
      <c r="O399" s="39"/>
      <c r="P399" s="175"/>
      <c r="Q399" s="40"/>
      <c r="R399" s="41"/>
      <c r="S399" s="42"/>
      <c r="T399" s="11"/>
    </row>
    <row r="400" spans="1:20">
      <c r="A400" t="s">
        <v>30</v>
      </c>
      <c r="B400" s="154"/>
      <c r="C400" s="155"/>
      <c r="D400" s="43"/>
      <c r="E400" s="44" t="str">
        <f>'4월'!E27</f>
        <v>에이비씨한국</v>
      </c>
      <c r="F400" s="41" t="str">
        <f>'4월'!F27</f>
        <v>평택</v>
      </c>
      <c r="G400" s="2" t="str">
        <f>'4월'!G27</f>
        <v>상품</v>
      </c>
      <c r="H400" s="83" t="str">
        <f>'4월'!H27</f>
        <v>한글2024</v>
      </c>
      <c r="I400" s="4" t="str">
        <f>'4월'!I27</f>
        <v>한글 2024 패키지</v>
      </c>
      <c r="J400" s="23">
        <f>'4월'!J27</f>
        <v>1</v>
      </c>
      <c r="K400" s="27">
        <f>'4월'!K27</f>
        <v>423000</v>
      </c>
      <c r="L400" s="37"/>
      <c r="M400" s="38"/>
      <c r="N400" s="38"/>
      <c r="O400" s="39"/>
      <c r="P400" s="175"/>
      <c r="Q400" s="40"/>
      <c r="R400" s="41"/>
      <c r="S400" s="42"/>
      <c r="T400" s="11"/>
    </row>
    <row r="401" spans="1:21">
      <c r="A401" t="s">
        <v>30</v>
      </c>
      <c r="B401" s="151" t="str">
        <f>'4월'!B28</f>
        <v>D250402-01</v>
      </c>
      <c r="C401" s="153"/>
      <c r="D401" s="17">
        <f>'4월'!D28</f>
        <v>45750</v>
      </c>
      <c r="E401" s="1" t="str">
        <f>'4월'!E28</f>
        <v>동원프라스틱</v>
      </c>
      <c r="F401" s="2"/>
      <c r="G401" s="2" t="str">
        <f>'4월'!G28</f>
        <v>상품</v>
      </c>
      <c r="H401" s="83" t="str">
        <f>'4월'!H28</f>
        <v>알약</v>
      </c>
      <c r="I401" s="4" t="str">
        <f>'4월'!I28</f>
        <v>알약 서버 5.1 / 2025.05.01 ~ 2026.04.30</v>
      </c>
      <c r="J401" s="23">
        <f>'4월'!J28</f>
        <v>1</v>
      </c>
      <c r="K401" s="27">
        <f>'4월'!K28</f>
        <v>320000</v>
      </c>
      <c r="L401" s="26">
        <f>'4월'!L28</f>
        <v>320000</v>
      </c>
      <c r="M401" s="27">
        <f>'4월'!M28</f>
        <v>32000</v>
      </c>
      <c r="N401" s="27">
        <f>'4월'!N28</f>
        <v>352000</v>
      </c>
      <c r="O401" s="33">
        <f>'4월'!O28</f>
        <v>310000</v>
      </c>
      <c r="P401" s="197" t="str">
        <f>'4월'!P28</f>
        <v>디지알코리아(4/10)</v>
      </c>
      <c r="Q401" s="20">
        <f>'4월'!Q28</f>
        <v>10000</v>
      </c>
      <c r="R401" s="2" t="str">
        <f>'4월'!R28</f>
        <v>완료(4/30)</v>
      </c>
      <c r="S401" s="8" t="str">
        <f>'4월'!S28</f>
        <v>이지훈</v>
      </c>
      <c r="T401" s="11"/>
    </row>
    <row r="402" spans="1:21" ht="27" customHeight="1">
      <c r="A402" t="s">
        <v>30</v>
      </c>
      <c r="B402" s="151" t="str">
        <f>'4월'!B29</f>
        <v>Y240830-03</v>
      </c>
      <c r="C402" s="153"/>
      <c r="D402" s="10">
        <f>'4월'!D29</f>
        <v>45751</v>
      </c>
      <c r="E402" s="1" t="str">
        <f>'4월'!E29</f>
        <v>스마트웨어</v>
      </c>
      <c r="F402" s="2" t="str">
        <f>'4월'!F29</f>
        <v>세연시스템즈</v>
      </c>
      <c r="G402" s="2" t="str">
        <f>'4월'!G29</f>
        <v>장비임대</v>
      </c>
      <c r="H402" s="2" t="str">
        <f>'4월'!H29</f>
        <v>서버임대</v>
      </c>
      <c r="I402" s="4" t="str">
        <f>'4월'!I29</f>
        <v>X3650M5 임대 (Xeon E5-2640v3 2.6GHz 8C x2 / 128GB Memory / 600GB SAS x4 / Power x2)(25/3/2~4/1)</v>
      </c>
      <c r="J402" s="23">
        <f>'4월'!J29</f>
        <v>1</v>
      </c>
      <c r="K402" s="226">
        <f>'4월'!K29</f>
        <v>200000</v>
      </c>
      <c r="L402" s="26">
        <f>'4월'!L29</f>
        <v>200000</v>
      </c>
      <c r="M402" s="27">
        <f>'4월'!M29</f>
        <v>20000</v>
      </c>
      <c r="N402" s="27">
        <f>'4월'!N29</f>
        <v>220000</v>
      </c>
      <c r="O402" s="33">
        <f>'4월'!O29</f>
        <v>0</v>
      </c>
      <c r="P402" s="197" t="str">
        <f>'4월'!P29</f>
        <v>재고</v>
      </c>
      <c r="Q402" s="227">
        <f>'4월'!Q29</f>
        <v>200000</v>
      </c>
      <c r="R402" s="213" t="str">
        <f>'4월'!R29</f>
        <v>5월말</v>
      </c>
      <c r="S402" s="8" t="str">
        <f>'4월'!S29</f>
        <v>홍승민</v>
      </c>
      <c r="T402" s="11"/>
    </row>
    <row r="403" spans="1:21">
      <c r="A403" t="s">
        <v>30</v>
      </c>
      <c r="B403" s="151" t="str">
        <f>'4월'!B30</f>
        <v>S</v>
      </c>
      <c r="C403" s="153"/>
      <c r="D403" s="17">
        <f>'4월'!D30</f>
        <v>45751</v>
      </c>
      <c r="E403" s="1" t="str">
        <f>'4월'!E30</f>
        <v>순환</v>
      </c>
      <c r="F403" s="2" t="str">
        <f>'4월'!F30</f>
        <v>검단미플존 318호</v>
      </c>
      <c r="G403" s="161" t="str">
        <f>'4월'!G30</f>
        <v>건물임대</v>
      </c>
      <c r="H403" s="161" t="str">
        <f>'4월'!H30</f>
        <v>임대료</v>
      </c>
      <c r="I403" s="3" t="str">
        <f>'4월'!I30</f>
        <v>3월 임대료(25/3/20~25/3/31)</v>
      </c>
      <c r="J403" s="23">
        <f>'4월'!J30</f>
        <v>1</v>
      </c>
      <c r="K403" s="27">
        <f>'4월'!K30</f>
        <v>134130</v>
      </c>
      <c r="L403" s="26">
        <f>'4월'!L30</f>
        <v>134130</v>
      </c>
      <c r="M403" s="27">
        <f>'4월'!M30</f>
        <v>13413</v>
      </c>
      <c r="N403" s="27">
        <f>'4월'!N30</f>
        <v>147543</v>
      </c>
      <c r="O403" s="52">
        <f>'4월'!O30</f>
        <v>0</v>
      </c>
      <c r="P403" s="171" t="str">
        <f>'4월'!P30</f>
        <v>X</v>
      </c>
      <c r="Q403" s="20">
        <f>'4월'!Q30</f>
        <v>134130</v>
      </c>
      <c r="R403" s="2" t="str">
        <f>'4월'!R30</f>
        <v>완료(4/15)</v>
      </c>
      <c r="S403" s="5" t="str">
        <f>'4월'!S30</f>
        <v>정지우</v>
      </c>
      <c r="T403" s="11"/>
    </row>
    <row r="404" spans="1:21" ht="12" customHeight="1">
      <c r="A404" t="s">
        <v>30</v>
      </c>
      <c r="B404" s="151" t="str">
        <f>'4월'!B31</f>
        <v>S</v>
      </c>
      <c r="C404" s="200"/>
      <c r="D404" s="17">
        <f>'4월'!D31</f>
        <v>45751</v>
      </c>
      <c r="E404" s="1" t="str">
        <f>'4월'!E31</f>
        <v>순환</v>
      </c>
      <c r="F404" s="2" t="str">
        <f>'4월'!F31</f>
        <v>검단미플존 316호</v>
      </c>
      <c r="G404" s="161" t="str">
        <f>'4월'!G31</f>
        <v>건물임대</v>
      </c>
      <c r="H404" s="161" t="str">
        <f>'4월'!H31</f>
        <v>임대료</v>
      </c>
      <c r="I404" s="3" t="str">
        <f>'4월'!I31</f>
        <v>4월 임대료 - 1/24회</v>
      </c>
      <c r="J404" s="32">
        <f>'4월'!J31</f>
        <v>1</v>
      </c>
      <c r="K404" s="48">
        <f>'4월'!K31</f>
        <v>360000</v>
      </c>
      <c r="L404" s="26">
        <f>'4월'!L31</f>
        <v>720000</v>
      </c>
      <c r="M404" s="27">
        <f>'4월'!M31</f>
        <v>72000</v>
      </c>
      <c r="N404" s="27">
        <f>'4월'!N31</f>
        <v>792000</v>
      </c>
      <c r="O404" s="52">
        <f>'4월'!O31</f>
        <v>0</v>
      </c>
      <c r="P404" s="171" t="str">
        <f>'4월'!P31</f>
        <v>X</v>
      </c>
      <c r="Q404" s="181">
        <f>'4월'!Q31</f>
        <v>720000</v>
      </c>
      <c r="R404" s="2" t="str">
        <f>'4월'!R31</f>
        <v>완료(4/24)</v>
      </c>
      <c r="S404" s="5" t="str">
        <f>'4월'!S31</f>
        <v>정지우</v>
      </c>
      <c r="T404" s="6"/>
    </row>
    <row r="405" spans="1:21">
      <c r="A405" t="s">
        <v>30</v>
      </c>
      <c r="B405" s="151" t="str">
        <f>'4월'!B32</f>
        <v>S</v>
      </c>
      <c r="C405" s="155"/>
      <c r="D405" s="43"/>
      <c r="E405" s="44" t="str">
        <f>'4월'!E32</f>
        <v>순환</v>
      </c>
      <c r="F405" s="41" t="str">
        <f>'4월'!F32</f>
        <v>검단미플존 318호</v>
      </c>
      <c r="G405" s="161" t="str">
        <f>'4월'!G32</f>
        <v>건물임대</v>
      </c>
      <c r="H405" s="161" t="str">
        <f>'4월'!H32</f>
        <v>임대료</v>
      </c>
      <c r="I405" s="3" t="str">
        <f>'4월'!I32</f>
        <v>4월 임대료 - 1/24회</v>
      </c>
      <c r="J405" s="23">
        <f>'4월'!J32</f>
        <v>1</v>
      </c>
      <c r="K405" s="27">
        <f>'4월'!K32</f>
        <v>360000</v>
      </c>
      <c r="L405" s="37"/>
      <c r="M405" s="38"/>
      <c r="N405" s="38"/>
      <c r="O405" s="39"/>
      <c r="P405" s="175"/>
      <c r="Q405" s="40"/>
      <c r="R405" s="41"/>
      <c r="S405" s="42"/>
      <c r="T405" s="11"/>
    </row>
    <row r="406" spans="1:21" ht="94.5" customHeight="1">
      <c r="A406" t="s">
        <v>30</v>
      </c>
      <c r="B406" s="151" t="str">
        <f>'4월'!B33</f>
        <v>SM-24021</v>
      </c>
      <c r="C406" s="200"/>
      <c r="D406" s="17">
        <f>'4월'!D33</f>
        <v>45752</v>
      </c>
      <c r="E406" s="1" t="str">
        <f>'4월'!E33</f>
        <v>제이원캐피탈</v>
      </c>
      <c r="F406" s="161"/>
      <c r="G406" s="1" t="str">
        <f>'4월'!G33</f>
        <v>MA</v>
      </c>
      <c r="H406" s="161" t="str">
        <f>'4월'!H33</f>
        <v>월간</v>
      </c>
      <c r="I406" s="3" t="str">
        <f>'4월'!I33</f>
        <v>3월 유지정비료 - 7/12회</v>
      </c>
      <c r="J406" s="210">
        <f>'4월'!J33</f>
        <v>1</v>
      </c>
      <c r="K406" s="26">
        <f>'4월'!K33</f>
        <v>7060000</v>
      </c>
      <c r="L406" s="26">
        <f>'4월'!L33</f>
        <v>7060000</v>
      </c>
      <c r="M406" s="67">
        <f>'4월'!M33</f>
        <v>706000</v>
      </c>
      <c r="N406" s="27">
        <f>'4월'!N33</f>
        <v>7766000</v>
      </c>
      <c r="O406" s="52">
        <f>'4월'!O33</f>
        <v>3974681</v>
      </c>
      <c r="P406" s="171" t="str">
        <f>'4월'!P33</f>
        <v>IBM(3/3) 691,781
에스엔에이(3/31) 300,000
키미데이타(3/31) 70,000
코오롱베니트(10/31) 1,000,000연간(7/12회)
더파트(3/31) 810,000
DCSS(3/31) 352,900
시스나인(4/25) 분기5,000 000(3/3회)</v>
      </c>
      <c r="Q406" s="181">
        <f>'4월'!Q33</f>
        <v>3085319</v>
      </c>
      <c r="R406" s="2" t="str">
        <f>'4월'!R33</f>
        <v>완료(4/30)</v>
      </c>
      <c r="S406" s="5" t="str">
        <f>'4월'!S33</f>
        <v>이예지</v>
      </c>
      <c r="T406" s="6"/>
    </row>
    <row r="407" spans="1:21">
      <c r="A407" t="s">
        <v>30</v>
      </c>
      <c r="B407" s="151" t="str">
        <f>'4월'!B34</f>
        <v>SM-24020</v>
      </c>
      <c r="C407" s="153"/>
      <c r="D407" s="17">
        <f>'4월'!D34</f>
        <v>45754</v>
      </c>
      <c r="E407" s="1" t="str">
        <f>'4월'!E34</f>
        <v>에이비씨한국</v>
      </c>
      <c r="F407" s="2"/>
      <c r="G407" s="1" t="str">
        <f>'4월'!G34</f>
        <v>MA</v>
      </c>
      <c r="H407" s="161" t="str">
        <f>'4월'!H34</f>
        <v>월간</v>
      </c>
      <c r="I407" s="4" t="str">
        <f>'4월'!I34</f>
        <v>BOARD SYSTEM Maintenance 4월분 - 7/12회</v>
      </c>
      <c r="J407" s="210">
        <f>'4월'!J34</f>
        <v>1</v>
      </c>
      <c r="K407" s="27">
        <f>'4월'!K34</f>
        <v>1100000</v>
      </c>
      <c r="L407" s="26">
        <f>'4월'!L34</f>
        <v>1100000</v>
      </c>
      <c r="M407" s="27">
        <f>'4월'!M34</f>
        <v>110000</v>
      </c>
      <c r="N407" s="27">
        <f>'4월'!N34</f>
        <v>1210000</v>
      </c>
      <c r="O407" s="33">
        <f>'4월'!O34</f>
        <v>1060000</v>
      </c>
      <c r="P407" s="197" t="str">
        <f>'4월'!P34</f>
        <v>로보츠(4/7)</v>
      </c>
      <c r="Q407" s="20">
        <f>'4월'!Q34</f>
        <v>40000</v>
      </c>
      <c r="R407" s="68" t="str">
        <f>'4월'!R34</f>
        <v>완료(5/30)</v>
      </c>
      <c r="S407" s="36" t="str">
        <f>'4월'!S34</f>
        <v>이예지</v>
      </c>
      <c r="T407" s="11"/>
    </row>
    <row r="408" spans="1:21">
      <c r="A408" t="s">
        <v>30</v>
      </c>
      <c r="B408" s="151" t="str">
        <f>'4월'!B35</f>
        <v>S</v>
      </c>
      <c r="C408" s="153"/>
      <c r="D408" s="86">
        <f>'4월'!D35</f>
        <v>45754</v>
      </c>
      <c r="E408" s="1" t="str">
        <f>'4월'!E35</f>
        <v>아이티앤</v>
      </c>
      <c r="F408" s="2" t="str">
        <f>'4월'!F35</f>
        <v>우물단</v>
      </c>
      <c r="G408" s="2" t="str">
        <f>'4월'!G35</f>
        <v>상품</v>
      </c>
      <c r="H408" s="83" t="str">
        <f>'4월'!H35</f>
        <v>기술지원</v>
      </c>
      <c r="I408" s="4" t="str">
        <f>'4월'!I35</f>
        <v>전산장비 이전, 시스템 마이그레이션 (4차)</v>
      </c>
      <c r="J408" s="23">
        <f>'4월'!J35</f>
        <v>1</v>
      </c>
      <c r="K408" s="27">
        <f>'4월'!K35</f>
        <v>12500000</v>
      </c>
      <c r="L408" s="26">
        <f>'4월'!L35</f>
        <v>12500000</v>
      </c>
      <c r="M408" s="27">
        <f>'4월'!M35</f>
        <v>1250000</v>
      </c>
      <c r="N408" s="27">
        <f>'4월'!N35</f>
        <v>13750000</v>
      </c>
      <c r="O408" s="33">
        <f>'4월'!O35</f>
        <v>0</v>
      </c>
      <c r="P408" s="197" t="str">
        <f>'4월'!P35</f>
        <v>(24/12/26)</v>
      </c>
      <c r="Q408" s="20"/>
      <c r="R408" s="2" t="str">
        <f>'4월'!R35</f>
        <v>완료(4/30)</v>
      </c>
      <c r="S408" s="8" t="str">
        <f>'4월'!S35</f>
        <v>이예지</v>
      </c>
      <c r="T408" s="11"/>
      <c r="U408" t="s">
        <v>499</v>
      </c>
    </row>
    <row r="409" spans="1:21">
      <c r="A409" t="s">
        <v>30</v>
      </c>
      <c r="B409" s="151" t="str">
        <f>'4월'!B36</f>
        <v>S</v>
      </c>
      <c r="C409" s="200"/>
      <c r="D409" s="10">
        <f>'4월'!D36</f>
        <v>45757</v>
      </c>
      <c r="E409" s="1" t="str">
        <f>'4월'!E36</f>
        <v>중소기업은행</v>
      </c>
      <c r="F409" s="161" t="str">
        <f>'4월'!F36</f>
        <v>호계214~216호</v>
      </c>
      <c r="G409" s="161" t="str">
        <f>'4월'!G36</f>
        <v>건물임대</v>
      </c>
      <c r="H409" s="161" t="str">
        <f>'4월'!H36</f>
        <v>임대료</v>
      </c>
      <c r="I409" s="163" t="str">
        <f>'4월'!I36</f>
        <v>4월 임대료 (3.13~4.12) - 3/24회</v>
      </c>
      <c r="J409" s="71">
        <f>'4월'!J36</f>
        <v>1</v>
      </c>
      <c r="K409" s="26">
        <f>'4월'!K36</f>
        <v>6394500</v>
      </c>
      <c r="L409" s="26">
        <f>'4월'!L36</f>
        <v>6394500</v>
      </c>
      <c r="M409" s="27">
        <f>'4월'!M36</f>
        <v>639450</v>
      </c>
      <c r="N409" s="27">
        <f>'4월'!N36</f>
        <v>7033950</v>
      </c>
      <c r="O409" s="52">
        <f>'4월'!O36</f>
        <v>0</v>
      </c>
      <c r="P409" s="171" t="str">
        <f>'4월'!P36</f>
        <v>X</v>
      </c>
      <c r="Q409" s="181">
        <f>'4월'!Q36</f>
        <v>6394500</v>
      </c>
      <c r="R409" s="2" t="str">
        <f>'4월'!R36</f>
        <v>완료(4/16)</v>
      </c>
      <c r="S409" s="5" t="str">
        <f>'4월'!S36</f>
        <v>정지우</v>
      </c>
      <c r="T409" s="6"/>
    </row>
    <row r="410" spans="1:21" ht="24">
      <c r="A410" t="s">
        <v>30</v>
      </c>
      <c r="B410" s="151" t="str">
        <f>'4월'!B37</f>
        <v>H250331-01</v>
      </c>
      <c r="C410" s="153"/>
      <c r="D410" s="17">
        <f>'4월'!D37</f>
        <v>45757</v>
      </c>
      <c r="E410" s="1" t="str">
        <f>'4월'!E37</f>
        <v>브리토바코</v>
      </c>
      <c r="F410" s="2" t="str">
        <f>'4월'!F37</f>
        <v>BAT사천</v>
      </c>
      <c r="G410" s="2" t="str">
        <f>'4월'!G37</f>
        <v>상품</v>
      </c>
      <c r="H410" s="83" t="str">
        <f>'4월'!H37</f>
        <v>USB 블록</v>
      </c>
      <c r="I410" s="4" t="str">
        <f>'4월'!I37</f>
        <v>[LINDY] 보안 커텍터, 추가구매용 USB 블록 [화이트/10개]</v>
      </c>
      <c r="J410" s="23">
        <f>'4월'!J37</f>
        <v>8</v>
      </c>
      <c r="K410" s="27">
        <f>'4월'!K37</f>
        <v>33000</v>
      </c>
      <c r="L410" s="26">
        <f>'4월'!L37</f>
        <v>264000</v>
      </c>
      <c r="M410" s="27">
        <f>'4월'!M37</f>
        <v>26400</v>
      </c>
      <c r="N410" s="27">
        <f>'4월'!N37</f>
        <v>290400</v>
      </c>
      <c r="O410" s="33">
        <f>'4월'!O37</f>
        <v>218564</v>
      </c>
      <c r="P410" s="197" t="str">
        <f>'4월'!P37</f>
        <v>컴퓨존(3/31)</v>
      </c>
      <c r="Q410" s="20">
        <f>'4월'!Q37</f>
        <v>45436</v>
      </c>
      <c r="R410" s="68" t="str">
        <f>'4월'!R37</f>
        <v>완료(6/11)</v>
      </c>
      <c r="S410" s="8" t="str">
        <f>'4월'!S37</f>
        <v>천범석</v>
      </c>
      <c r="T410" s="11"/>
    </row>
    <row r="411" spans="1:21" ht="12" customHeight="1">
      <c r="A411" t="s">
        <v>30</v>
      </c>
      <c r="B411" s="151" t="str">
        <f>'4월'!B38</f>
        <v>S</v>
      </c>
      <c r="C411" s="200"/>
      <c r="D411" s="17">
        <f>'4월'!D38</f>
        <v>45757</v>
      </c>
      <c r="E411" s="1" t="str">
        <f>'4월'!E38</f>
        <v>왕길토건</v>
      </c>
      <c r="F411" s="2" t="str">
        <f>'4월'!F38</f>
        <v>검단미플존 317호</v>
      </c>
      <c r="G411" s="161" t="str">
        <f>'4월'!G38</f>
        <v>건물임대</v>
      </c>
      <c r="H411" s="161" t="str">
        <f>'4월'!H38</f>
        <v>임대료</v>
      </c>
      <c r="I411" s="3" t="str">
        <f>'4월'!I38</f>
        <v>3월 임대료(3/11~4/10) - 6/10회</v>
      </c>
      <c r="J411" s="32">
        <f>'4월'!J38</f>
        <v>1</v>
      </c>
      <c r="K411" s="48">
        <f>'4월'!K38</f>
        <v>400000</v>
      </c>
      <c r="L411" s="26">
        <f>'4월'!L38</f>
        <v>400000</v>
      </c>
      <c r="M411" s="27">
        <f>'4월'!M38</f>
        <v>40000</v>
      </c>
      <c r="N411" s="27">
        <f>'4월'!N38</f>
        <v>440000</v>
      </c>
      <c r="O411" s="52">
        <f>'4월'!O38</f>
        <v>0</v>
      </c>
      <c r="P411" s="171" t="str">
        <f>'4월'!P38</f>
        <v>X</v>
      </c>
      <c r="Q411" s="181">
        <f>'4월'!Q38</f>
        <v>400000</v>
      </c>
      <c r="R411" s="2" t="str">
        <f>'4월'!R38</f>
        <v>완료(4/30)</v>
      </c>
      <c r="S411" s="5" t="str">
        <f>'4월'!S38</f>
        <v>정지우</v>
      </c>
      <c r="T411" s="6"/>
    </row>
    <row r="412" spans="1:21">
      <c r="A412" t="s">
        <v>30</v>
      </c>
      <c r="B412" s="151" t="str">
        <f>'4월'!B39</f>
        <v>D250327-01</v>
      </c>
      <c r="C412" s="153"/>
      <c r="D412" s="17">
        <f>'4월'!D39</f>
        <v>45761</v>
      </c>
      <c r="E412" s="1" t="str">
        <f>'4월'!E39</f>
        <v>고영</v>
      </c>
      <c r="F412" s="2"/>
      <c r="G412" s="2" t="str">
        <f>'4월'!G39</f>
        <v>상품</v>
      </c>
      <c r="H412" s="83" t="str">
        <f>'4월'!H39</f>
        <v>조립PC</v>
      </c>
      <c r="I412" s="4" t="str">
        <f>'4월'!I39</f>
        <v xml:space="preserve">조립PC </v>
      </c>
      <c r="J412" s="23">
        <f>'4월'!J39</f>
        <v>1</v>
      </c>
      <c r="K412" s="27">
        <f>'4월'!K39</f>
        <v>2350000</v>
      </c>
      <c r="L412" s="26">
        <f>'4월'!L39</f>
        <v>2350000</v>
      </c>
      <c r="M412" s="27">
        <f>'4월'!M39</f>
        <v>235000</v>
      </c>
      <c r="N412" s="27">
        <f>'4월'!N39</f>
        <v>2585000</v>
      </c>
      <c r="O412" s="33">
        <f>'4월'!O39</f>
        <v>2055836</v>
      </c>
      <c r="P412" s="197" t="str">
        <f>'4월'!P39</f>
        <v>컴퓨존(3/27)</v>
      </c>
      <c r="Q412" s="20">
        <f>'4월'!Q39</f>
        <v>294164</v>
      </c>
      <c r="R412" s="2" t="str">
        <f>'4월'!R39</f>
        <v>완료(5/9)</v>
      </c>
      <c r="S412" s="8" t="str">
        <f>'4월'!S39</f>
        <v>이지훈</v>
      </c>
      <c r="T412" s="11"/>
      <c r="U412" s="121"/>
    </row>
    <row r="413" spans="1:21" ht="24">
      <c r="A413" t="s">
        <v>30</v>
      </c>
      <c r="B413" s="151" t="str">
        <f>'4월'!B40</f>
        <v>D250402-02</v>
      </c>
      <c r="C413" s="153"/>
      <c r="D413" s="17">
        <f>'4월'!D40</f>
        <v>45761</v>
      </c>
      <c r="E413" s="1" t="str">
        <f>'4월'!E40</f>
        <v>고영</v>
      </c>
      <c r="F413" s="2"/>
      <c r="G413" s="2" t="str">
        <f>'4월'!G40</f>
        <v>상품</v>
      </c>
      <c r="H413" s="83" t="str">
        <f>'4월'!H40</f>
        <v>조립PC</v>
      </c>
      <c r="I413" s="4" t="str">
        <f>'4월'!I40</f>
        <v xml:space="preserve">조립PC </v>
      </c>
      <c r="J413" s="23">
        <f>'4월'!J40</f>
        <v>1</v>
      </c>
      <c r="K413" s="27">
        <f>'4월'!K40</f>
        <v>2720000</v>
      </c>
      <c r="L413" s="26">
        <f>'4월'!L40</f>
        <v>2720000</v>
      </c>
      <c r="M413" s="27">
        <f>'4월'!M40</f>
        <v>272000</v>
      </c>
      <c r="N413" s="27">
        <f>'4월'!N40</f>
        <v>2992000</v>
      </c>
      <c r="O413" s="33">
        <f>'4월'!O40</f>
        <v>2313891</v>
      </c>
      <c r="P413" s="197" t="str">
        <f>'4월'!P40</f>
        <v>컴퓨존(4/2) 1,611,000 네이버
(4/7법카)704,545 로젠택배(4/30) 3,800</v>
      </c>
      <c r="Q413" s="20">
        <f>'4월'!Q40</f>
        <v>406109</v>
      </c>
      <c r="R413" s="2" t="str">
        <f>'4월'!R40</f>
        <v>완료(5/9)</v>
      </c>
      <c r="S413" s="8" t="str">
        <f>'4월'!S40</f>
        <v>이지훈</v>
      </c>
      <c r="T413" s="11"/>
      <c r="U413" s="121"/>
    </row>
    <row r="414" spans="1:21" ht="24">
      <c r="A414" t="s">
        <v>30</v>
      </c>
      <c r="B414" s="151" t="str">
        <f>'4월'!B41</f>
        <v>SB-24011</v>
      </c>
      <c r="C414" s="199" t="str">
        <f>'4월'!C41</f>
        <v>Z5PURB</v>
      </c>
      <c r="D414" s="17">
        <f>'4월'!D41</f>
        <v>45762</v>
      </c>
      <c r="E414" s="1" t="str">
        <f>'4월'!E41</f>
        <v>비온시이노베이터</v>
      </c>
      <c r="F414" s="2" t="str">
        <f>'4월'!F41</f>
        <v>국립농업과학원</v>
      </c>
      <c r="G414" s="2" t="str">
        <f>'4월'!G41</f>
        <v>MA</v>
      </c>
      <c r="H414" s="2" t="str">
        <f>'4월'!H41</f>
        <v>월간-레노버</v>
      </c>
      <c r="I414" s="4" t="str">
        <f>'4월'!I41</f>
        <v>3월 유지정비료 - 15/24회</v>
      </c>
      <c r="J414" s="23">
        <f>'4월'!J41</f>
        <v>1</v>
      </c>
      <c r="K414" s="27">
        <f>'4월'!K41</f>
        <v>875000</v>
      </c>
      <c r="L414" s="26">
        <f>'4월'!L41</f>
        <v>875000</v>
      </c>
      <c r="M414" s="27">
        <f>'4월'!M41</f>
        <v>87500</v>
      </c>
      <c r="N414" s="27">
        <f>'4월'!N41</f>
        <v>962500</v>
      </c>
      <c r="O414" s="52">
        <f>'4월'!O41</f>
        <v>794833.33333333326</v>
      </c>
      <c r="P414" s="197" t="str">
        <f>'4월'!P41</f>
        <v>레노버(3/31)511,500 
시스나인(4/25) 연간3,400,000(3/12회)</v>
      </c>
      <c r="Q414" s="181">
        <f>'4월'!Q41</f>
        <v>80166.666666666744</v>
      </c>
      <c r="R414" s="202" t="str">
        <f>'4월'!R41</f>
        <v>완료(5/12)</v>
      </c>
      <c r="S414" s="8" t="str">
        <f>'4월'!S41</f>
        <v>천범석</v>
      </c>
      <c r="T414" s="11"/>
    </row>
    <row r="415" spans="1:21">
      <c r="A415" t="s">
        <v>30</v>
      </c>
      <c r="B415" s="151" t="str">
        <f>'4월'!B42</f>
        <v>SB-24009</v>
      </c>
      <c r="C415" s="199" t="str">
        <f>'4월'!C42</f>
        <v>Z0PYQC</v>
      </c>
      <c r="D415" s="17">
        <f>'4월'!D42</f>
        <v>45762</v>
      </c>
      <c r="E415" s="1" t="str">
        <f>'4월'!E42</f>
        <v>유알피</v>
      </c>
      <c r="F415" s="2" t="str">
        <f>'4월'!F42</f>
        <v>서울디자인재단</v>
      </c>
      <c r="G415" s="2" t="str">
        <f>'4월'!G42</f>
        <v>MA</v>
      </c>
      <c r="H415" s="2" t="str">
        <f>'4월'!H42</f>
        <v>월간-레노버</v>
      </c>
      <c r="I415" s="4" t="str">
        <f>'4월'!I42</f>
        <v>3월 유지정비료 - 15/36회</v>
      </c>
      <c r="J415" s="23">
        <f>'4월'!J42</f>
        <v>1</v>
      </c>
      <c r="K415" s="27">
        <f>'4월'!K42</f>
        <v>1080000</v>
      </c>
      <c r="L415" s="26">
        <f>'4월'!L42</f>
        <v>1080000</v>
      </c>
      <c r="M415" s="27">
        <f>'4월'!M42</f>
        <v>108000</v>
      </c>
      <c r="N415" s="27">
        <f>'4월'!N42</f>
        <v>1188000</v>
      </c>
      <c r="O415" s="52">
        <f>'4월'!O42</f>
        <v>976200</v>
      </c>
      <c r="P415" s="171" t="str">
        <f>'4월'!P42</f>
        <v>레노버(3/31)</v>
      </c>
      <c r="Q415" s="181">
        <f>'4월'!Q42</f>
        <v>103800</v>
      </c>
      <c r="R415" s="202" t="str">
        <f>'4월'!R42</f>
        <v>완료(4/25)</v>
      </c>
      <c r="S415" s="8" t="str">
        <f>'4월'!S42</f>
        <v>천범석</v>
      </c>
      <c r="T415" s="11"/>
    </row>
    <row r="416" spans="1:21" ht="24">
      <c r="A416" t="s">
        <v>30</v>
      </c>
      <c r="B416" s="151" t="str">
        <f>'4월'!B43</f>
        <v>Y250317-01</v>
      </c>
      <c r="C416" s="153"/>
      <c r="D416" s="17">
        <f>'4월'!D43</f>
        <v>45762</v>
      </c>
      <c r="E416" s="1" t="str">
        <f>'4월'!E43</f>
        <v>우리들아이티</v>
      </c>
      <c r="F416" s="2" t="str">
        <f>'4월'!F43</f>
        <v>안산코리아서키트</v>
      </c>
      <c r="G416" s="2" t="str">
        <f>'4월'!G43</f>
        <v>장비임대</v>
      </c>
      <c r="H416" s="83" t="str">
        <f>'4월'!H43</f>
        <v>서버임대</v>
      </c>
      <c r="I416" s="4" t="str">
        <f>'4월'!I43</f>
        <v>HPE DL380Gen9 외 서버 임대(25.2.21~25.3.20)</v>
      </c>
      <c r="J416" s="23">
        <f>'4월'!J43</f>
        <v>1</v>
      </c>
      <c r="K416" s="27">
        <f>'4월'!K43</f>
        <v>1850000</v>
      </c>
      <c r="L416" s="26">
        <f>'4월'!L43</f>
        <v>1850000</v>
      </c>
      <c r="M416" s="27">
        <f>'4월'!M43</f>
        <v>185000</v>
      </c>
      <c r="N416" s="27">
        <f>'4월'!N43</f>
        <v>2035000</v>
      </c>
      <c r="O416" s="33">
        <f>'4월'!O43</f>
        <v>100000</v>
      </c>
      <c r="P416" s="197" t="str">
        <f>'4월'!P43</f>
        <v>재고
우림퀵(2/28) 35,000   40,000   25,000</v>
      </c>
      <c r="Q416" s="20">
        <f>'4월'!Q43</f>
        <v>1750000</v>
      </c>
      <c r="R416" s="68" t="str">
        <f>'4월'!R43</f>
        <v>완료(5/30)</v>
      </c>
      <c r="S416" s="8" t="str">
        <f>'4월'!S43</f>
        <v>홍승민</v>
      </c>
      <c r="T416" s="11"/>
    </row>
    <row r="417" spans="1:20" ht="24">
      <c r="A417" t="s">
        <v>30</v>
      </c>
      <c r="B417" s="151" t="str">
        <f>'4월'!B44</f>
        <v>S</v>
      </c>
      <c r="C417" s="200"/>
      <c r="D417" s="10">
        <f>'4월'!D44</f>
        <v>45767</v>
      </c>
      <c r="E417" s="1" t="str">
        <f>'4월'!E44</f>
        <v>아이지리더스</v>
      </c>
      <c r="F417" s="2" t="str">
        <f>'4월'!F44</f>
        <v>광명자이 1812호</v>
      </c>
      <c r="G417" s="2" t="str">
        <f>'4월'!G44</f>
        <v>건물임대</v>
      </c>
      <c r="H417" s="161" t="str">
        <f>'4월'!H44</f>
        <v>임대료</v>
      </c>
      <c r="I417" s="3" t="str">
        <f>'4월'!I44</f>
        <v>4월 임대료(3.26~4.25) 6/12회</v>
      </c>
      <c r="J417" s="23">
        <f>'4월'!J44</f>
        <v>1</v>
      </c>
      <c r="K417" s="29">
        <f>'4월'!K44</f>
        <v>800000</v>
      </c>
      <c r="L417" s="26">
        <f>'4월'!L44</f>
        <v>800000</v>
      </c>
      <c r="M417" s="27">
        <f>'4월'!M44</f>
        <v>80000</v>
      </c>
      <c r="N417" s="27">
        <f>'4월'!N44</f>
        <v>880000</v>
      </c>
      <c r="O417" s="52">
        <f>'4월'!O44</f>
        <v>0</v>
      </c>
      <c r="P417" s="171" t="str">
        <f>'4월'!P44</f>
        <v>X</v>
      </c>
      <c r="Q417" s="181">
        <f>'4월'!Q44</f>
        <v>800000</v>
      </c>
      <c r="R417" s="68" t="str">
        <f>'4월'!R44</f>
        <v>완료-보증금공제</v>
      </c>
      <c r="S417" s="5" t="str">
        <f>'4월'!S44</f>
        <v>정지우</v>
      </c>
      <c r="T417" s="6"/>
    </row>
    <row r="418" spans="1:20">
      <c r="A418" t="s">
        <v>30</v>
      </c>
      <c r="B418" s="151" t="str">
        <f>'4월'!B45</f>
        <v>SM-23017</v>
      </c>
      <c r="C418" s="199"/>
      <c r="D418" s="10">
        <f>'4월'!D45</f>
        <v>45767</v>
      </c>
      <c r="E418" s="1" t="str">
        <f>'4월'!E45</f>
        <v>이앤피정보기술</v>
      </c>
      <c r="F418" s="2" t="str">
        <f>'4월'!F45</f>
        <v>용진일렉콤</v>
      </c>
      <c r="G418" s="2" t="str">
        <f>'4월'!G45</f>
        <v>MA</v>
      </c>
      <c r="H418" s="2" t="str">
        <f>'4월'!H45</f>
        <v>월간</v>
      </c>
      <c r="I418" s="70" t="str">
        <f>'4월'!I45</f>
        <v>4월 유지정비료 - 1/12회</v>
      </c>
      <c r="J418" s="23">
        <f>'4월'!J45</f>
        <v>1</v>
      </c>
      <c r="K418" s="27">
        <f>'4월'!K45</f>
        <v>200000</v>
      </c>
      <c r="L418" s="26">
        <f>'4월'!L45</f>
        <v>200000</v>
      </c>
      <c r="M418" s="27">
        <f>'4월'!M45</f>
        <v>20000</v>
      </c>
      <c r="N418" s="27">
        <f>'4월'!N45</f>
        <v>220000</v>
      </c>
      <c r="O418" s="52">
        <f>'4월'!O45</f>
        <v>0</v>
      </c>
      <c r="P418" s="171" t="str">
        <f>'4월'!P45</f>
        <v>X</v>
      </c>
      <c r="Q418" s="181">
        <f>'4월'!Q45</f>
        <v>200000</v>
      </c>
      <c r="R418" s="2" t="str">
        <f>'4월'!R45</f>
        <v>완료(5/30)</v>
      </c>
      <c r="S418" s="8" t="str">
        <f>'4월'!S45</f>
        <v>이예지</v>
      </c>
      <c r="T418" s="11"/>
    </row>
    <row r="419" spans="1:20" ht="72">
      <c r="A419" t="s">
        <v>30</v>
      </c>
      <c r="B419" s="151" t="str">
        <f>'4월'!B46</f>
        <v>SM-23023</v>
      </c>
      <c r="C419" s="200"/>
      <c r="D419" s="10">
        <f>'4월'!D46</f>
        <v>45767</v>
      </c>
      <c r="E419" s="214" t="str">
        <f>'4월'!E46</f>
        <v>중앙유통단지관리운영회</v>
      </c>
      <c r="F419" s="215"/>
      <c r="G419" s="161" t="str">
        <f>'4월'!G46</f>
        <v>장비임대</v>
      </c>
      <c r="H419" s="161" t="str">
        <f>'4월'!H46</f>
        <v>서버</v>
      </c>
      <c r="I419" s="163" t="str">
        <f>'4월'!I46</f>
        <v>서버임대 SR650 2식 - 19/36회</v>
      </c>
      <c r="J419" s="23">
        <f>'4월'!J46</f>
        <v>1</v>
      </c>
      <c r="K419" s="26">
        <f>'4월'!K46</f>
        <v>1000000</v>
      </c>
      <c r="L419" s="26">
        <f>'4월'!L46</f>
        <v>1000000</v>
      </c>
      <c r="M419" s="27">
        <f>'4월'!M46</f>
        <v>100000</v>
      </c>
      <c r="N419" s="27">
        <f>'4월'!N46</f>
        <v>1100000</v>
      </c>
      <c r="O419" s="72">
        <f>'4월'!O46</f>
        <v>918000.00000000012</v>
      </c>
      <c r="P419" s="171" t="str">
        <f>'4월'!P46</f>
        <v>트루스케일 2대 15,800,000
SR250내 2.4T 2*100,000 
이룸에스앤앤(9/5) 2*364,000
========= 총 16,728,000 (19/36회)
이올테크(4/20) 370,000
시스나인(24/9/2) 연 1,000,000(7/12회)</v>
      </c>
      <c r="Q419" s="181">
        <f>'4월'!Q46</f>
        <v>81999.999999999884</v>
      </c>
      <c r="R419" s="2" t="str">
        <f>'4월'!R46</f>
        <v>완료(4/30)</v>
      </c>
      <c r="S419" s="5" t="str">
        <f>'4월'!S46</f>
        <v>천범석</v>
      </c>
      <c r="T419" s="11"/>
    </row>
    <row r="420" spans="1:20">
      <c r="A420" t="s">
        <v>30</v>
      </c>
      <c r="B420" s="151" t="str">
        <f>'4월'!B47</f>
        <v>IK-25002</v>
      </c>
      <c r="C420" s="230"/>
      <c r="D420" s="17">
        <f>'4월'!D47</f>
        <v>45767</v>
      </c>
      <c r="E420" s="214" t="str">
        <f>'4월'!E47</f>
        <v>시너지온</v>
      </c>
      <c r="F420" s="215" t="str">
        <f>'4월'!F47</f>
        <v>명지병원</v>
      </c>
      <c r="G420" s="161" t="str">
        <f>'4월'!G47</f>
        <v>MA</v>
      </c>
      <c r="H420" s="161" t="str">
        <f>'4월'!H47</f>
        <v>월간-IBM</v>
      </c>
      <c r="I420" s="4" t="str">
        <f>'4월'!I47</f>
        <v>4월 유지정비료 - 2/12회</v>
      </c>
      <c r="J420" s="23">
        <f>'4월'!J47</f>
        <v>1</v>
      </c>
      <c r="K420" s="27">
        <f>'4월'!K47</f>
        <v>350000</v>
      </c>
      <c r="L420" s="26">
        <f>'4월'!L47</f>
        <v>350000</v>
      </c>
      <c r="M420" s="27">
        <f>'4월'!M47</f>
        <v>35000</v>
      </c>
      <c r="N420" s="27">
        <f>'4월'!N47</f>
        <v>385000</v>
      </c>
      <c r="O420" s="33">
        <f>'4월'!O47</f>
        <v>300000</v>
      </c>
      <c r="P420" s="197" t="str">
        <f>'4월'!P47</f>
        <v>티에스씨인포 (4/30) 300,000</v>
      </c>
      <c r="Q420" s="181">
        <f>'4월'!Q47</f>
        <v>50000</v>
      </c>
      <c r="R420" s="68" t="str">
        <f>'4월'!R47</f>
        <v>완료(6/20)</v>
      </c>
      <c r="S420" s="8" t="str">
        <f>'4월'!S47</f>
        <v>천범석</v>
      </c>
      <c r="T420" s="11"/>
    </row>
    <row r="421" spans="1:20">
      <c r="A421" t="s">
        <v>30</v>
      </c>
      <c r="B421" s="151" t="str">
        <f>'4월'!B48</f>
        <v>SM-25014</v>
      </c>
      <c r="C421" s="230"/>
      <c r="D421" s="17">
        <f>'4월'!D48</f>
        <v>45768</v>
      </c>
      <c r="E421" s="214" t="str">
        <f>'4월'!E48</f>
        <v>시너지온</v>
      </c>
      <c r="F421" s="215" t="str">
        <f>'4월'!F48</f>
        <v>건국대병원</v>
      </c>
      <c r="G421" s="161" t="str">
        <f>'4월'!G48</f>
        <v>MA</v>
      </c>
      <c r="H421" s="161" t="str">
        <f>'4월'!H48</f>
        <v>월간</v>
      </c>
      <c r="I421" s="4" t="str">
        <f>'4월'!I48</f>
        <v>4월 유지정비료 - 1/29회</v>
      </c>
      <c r="J421" s="23">
        <f>'4월'!J48</f>
        <v>1</v>
      </c>
      <c r="K421" s="27">
        <f>'4월'!K48</f>
        <v>800000</v>
      </c>
      <c r="L421" s="26">
        <f>'4월'!L48</f>
        <v>800000</v>
      </c>
      <c r="M421" s="27">
        <f>'4월'!M48</f>
        <v>80000</v>
      </c>
      <c r="N421" s="27">
        <f>'4월'!N48</f>
        <v>880000</v>
      </c>
      <c r="O421" s="33">
        <f>'4월'!O48</f>
        <v>500000</v>
      </c>
      <c r="P421" s="197" t="str">
        <f>'4월'!P48</f>
        <v xml:space="preserve">제이에스정보(4/25) </v>
      </c>
      <c r="Q421" s="181">
        <f>'4월'!Q48</f>
        <v>300000</v>
      </c>
      <c r="R421" s="68" t="str">
        <f>'4월'!R48</f>
        <v>완료(6/10)</v>
      </c>
      <c r="S421" s="8" t="str">
        <f>'4월'!S48</f>
        <v>천범석</v>
      </c>
      <c r="T421" s="11"/>
    </row>
    <row r="422" spans="1:20" ht="24">
      <c r="A422" t="s">
        <v>30</v>
      </c>
      <c r="B422" s="151" t="str">
        <f>'4월'!B49</f>
        <v>SM-24014</v>
      </c>
      <c r="C422" s="200"/>
      <c r="D422" s="78">
        <f>'4월'!D49</f>
        <v>45767</v>
      </c>
      <c r="E422" s="216" t="str">
        <f>'4월'!E49</f>
        <v>동아건설</v>
      </c>
      <c r="F422" s="217"/>
      <c r="G422" s="167" t="str">
        <f>'4월'!G49</f>
        <v>MA</v>
      </c>
      <c r="H422" s="167" t="str">
        <f>'4월'!H49</f>
        <v>월간</v>
      </c>
      <c r="I422" s="168" t="str">
        <f>'4월'!I49</f>
        <v>4월 유지정비료 - 12/12회</v>
      </c>
      <c r="J422" s="79">
        <f>'4월'!J49</f>
        <v>1</v>
      </c>
      <c r="K422" s="80">
        <f>'4월'!K49</f>
        <v>950000</v>
      </c>
      <c r="L422" s="80">
        <f>'4월'!L49</f>
        <v>950000</v>
      </c>
      <c r="M422" s="81">
        <f>'4월'!M49</f>
        <v>95000</v>
      </c>
      <c r="N422" s="81">
        <f>'4월'!N49</f>
        <v>1045000</v>
      </c>
      <c r="O422" s="52">
        <f>'4월'!O49</f>
        <v>650000</v>
      </c>
      <c r="P422" s="171" t="str">
        <f>'4월'!P49</f>
        <v>제이에스정보(4/25) 150,000
시스나인(4/25) 2,000,000(4/4회)</v>
      </c>
      <c r="Q422" s="181">
        <f>'4월'!Q49</f>
        <v>300000</v>
      </c>
      <c r="R422" s="68" t="str">
        <f>'4월'!R49</f>
        <v>완료(6/2)</v>
      </c>
      <c r="S422" s="5" t="str">
        <f>'4월'!S49</f>
        <v>이예지</v>
      </c>
      <c r="T422" s="11"/>
    </row>
    <row r="423" spans="1:20">
      <c r="A423" t="s">
        <v>30</v>
      </c>
      <c r="B423" s="151" t="str">
        <f>'4월'!B50</f>
        <v>Y250403-01</v>
      </c>
      <c r="C423" s="153"/>
      <c r="D423" s="17">
        <f>'4월'!D50</f>
        <v>45768</v>
      </c>
      <c r="E423" s="1" t="str">
        <f>'4월'!E50</f>
        <v>라온전자</v>
      </c>
      <c r="F423" s="2"/>
      <c r="G423" s="2" t="str">
        <f>'4월'!G50</f>
        <v>상품</v>
      </c>
      <c r="H423" s="83" t="str">
        <f>'4월'!H50</f>
        <v>조립PC</v>
      </c>
      <c r="I423" s="4" t="str">
        <f>'4월'!I50</f>
        <v xml:space="preserve">조립PC </v>
      </c>
      <c r="J423" s="23">
        <f>'4월'!J50</f>
        <v>1</v>
      </c>
      <c r="K423" s="27">
        <f>'4월'!K50</f>
        <v>3770000</v>
      </c>
      <c r="L423" s="26">
        <f>'4월'!L50</f>
        <v>3770000</v>
      </c>
      <c r="M423" s="27">
        <f>'4월'!M50</f>
        <v>377000</v>
      </c>
      <c r="N423" s="27">
        <f>'4월'!N50</f>
        <v>4147000</v>
      </c>
      <c r="O423" s="33">
        <f>'4월'!O50</f>
        <v>3362182</v>
      </c>
      <c r="P423" s="197" t="str">
        <f>'4월'!P50</f>
        <v>컴퓨존(4/3) 우림퀵(4/30) 30,000</v>
      </c>
      <c r="Q423" s="20">
        <f>'4월'!Q50</f>
        <v>407818</v>
      </c>
      <c r="R423" s="68" t="str">
        <f>'4월'!R50</f>
        <v>완료(4/30)</v>
      </c>
      <c r="S423" s="8" t="str">
        <f>'4월'!S50</f>
        <v>홍승민</v>
      </c>
      <c r="T423" s="11"/>
    </row>
    <row r="424" spans="1:20" ht="24">
      <c r="A424" t="s">
        <v>30</v>
      </c>
      <c r="B424" s="151" t="str">
        <f>'4월'!B51</f>
        <v>Y250403-02</v>
      </c>
      <c r="C424" s="153"/>
      <c r="D424" s="17">
        <f>'4월'!D51</f>
        <v>45768</v>
      </c>
      <c r="E424" s="1" t="str">
        <f>'4월'!E51</f>
        <v>라온전자</v>
      </c>
      <c r="F424" s="2"/>
      <c r="G424" s="2" t="str">
        <f>'4월'!G51</f>
        <v>상품</v>
      </c>
      <c r="H424" s="83" t="str">
        <f>'4월'!H51</f>
        <v>POWER</v>
      </c>
      <c r="I424" s="4" t="str">
        <f>'4월'!I51</f>
        <v>[마이크로닉스] Classic II 1050W 80PLUS GOLD 230V EU 풀모듈러</v>
      </c>
      <c r="J424" s="23">
        <f>'4월'!J51</f>
        <v>1</v>
      </c>
      <c r="K424" s="27">
        <f>'4월'!K51</f>
        <v>1928000</v>
      </c>
      <c r="L424" s="26">
        <f>'4월'!L51</f>
        <v>1928000</v>
      </c>
      <c r="M424" s="27">
        <f>'4월'!M51</f>
        <v>192800</v>
      </c>
      <c r="N424" s="27">
        <f>'4월'!N51</f>
        <v>2120800</v>
      </c>
      <c r="O424" s="33">
        <f>'4월'!O51</f>
        <v>1709037</v>
      </c>
      <c r="P424" s="197" t="str">
        <f>'4월'!P51</f>
        <v>컴퓨존(4/3) 1,106,309</v>
      </c>
      <c r="Q424" s="20">
        <f>'4월'!Q51</f>
        <v>218963</v>
      </c>
      <c r="R424" s="68" t="str">
        <f>'4월'!R51</f>
        <v>완료(4/30)</v>
      </c>
      <c r="S424" s="8" t="str">
        <f>'4월'!S51</f>
        <v>홍승민</v>
      </c>
      <c r="T424" s="11"/>
    </row>
    <row r="425" spans="1:20" ht="24">
      <c r="A425" t="s">
        <v>30</v>
      </c>
      <c r="B425" s="154"/>
      <c r="C425" s="155"/>
      <c r="D425" s="43"/>
      <c r="E425" s="44" t="str">
        <f>'4월'!E52</f>
        <v>라온전자</v>
      </c>
      <c r="F425" s="41"/>
      <c r="G425" s="2" t="str">
        <f>'4월'!G52</f>
        <v>상품</v>
      </c>
      <c r="H425" s="83" t="str">
        <f>'4월'!H52</f>
        <v>키보드+마우스</v>
      </c>
      <c r="I425" s="4" t="str">
        <f>'4월'!I52</f>
        <v>[로지텍] 유선 데스크탑 합본, 키보드 K120 NEW + 마우스 M90</v>
      </c>
      <c r="J425" s="249"/>
      <c r="K425" s="38"/>
      <c r="L425" s="37"/>
      <c r="M425" s="38"/>
      <c r="N425" s="38"/>
      <c r="O425" s="39"/>
      <c r="P425" s="197"/>
      <c r="Q425" s="40"/>
      <c r="R425" s="41"/>
      <c r="S425" s="42"/>
      <c r="T425" s="11"/>
    </row>
    <row r="426" spans="1:20" ht="24">
      <c r="A426" t="s">
        <v>30</v>
      </c>
      <c r="B426" s="154"/>
      <c r="C426" s="155"/>
      <c r="D426" s="43"/>
      <c r="E426" s="44" t="str">
        <f>'4월'!E53</f>
        <v>라온전자</v>
      </c>
      <c r="F426" s="41"/>
      <c r="G426" s="2" t="str">
        <f>'4월'!G53</f>
        <v>상품</v>
      </c>
      <c r="H426" s="83" t="str">
        <f>'4월'!H53</f>
        <v>케이블</v>
      </c>
      <c r="I426" s="4" t="str">
        <f>'4월'!I53</f>
        <v xml:space="preserve">NEXT-2247CHPD UHD4K Type C to HDMI2.0 미러링 케이블 </v>
      </c>
      <c r="J426" s="249"/>
      <c r="K426" s="38"/>
      <c r="L426" s="37"/>
      <c r="M426" s="38"/>
      <c r="N426" s="38"/>
      <c r="O426" s="39"/>
      <c r="P426" s="197" t="str">
        <f>'4월'!P53</f>
        <v>쿠팡(4/7법카) 367,273</v>
      </c>
      <c r="Q426" s="40"/>
      <c r="R426" s="41"/>
      <c r="S426" s="42"/>
      <c r="T426" s="11"/>
    </row>
    <row r="427" spans="1:20">
      <c r="A427" t="s">
        <v>30</v>
      </c>
      <c r="B427" s="154"/>
      <c r="C427" s="155"/>
      <c r="D427" s="43"/>
      <c r="E427" s="44" t="str">
        <f>'4월'!E54</f>
        <v>라온전자</v>
      </c>
      <c r="F427" s="41"/>
      <c r="G427" s="2" t="str">
        <f>'4월'!G54</f>
        <v>상품</v>
      </c>
      <c r="H427" s="83" t="str">
        <f>'4월'!H54</f>
        <v>허브</v>
      </c>
      <c r="I427" s="4" t="str">
        <f>'4월'!I54</f>
        <v xml:space="preserve">Thinkway core d34dex 7-in1 Multi-port Hub </v>
      </c>
      <c r="J427" s="249"/>
      <c r="K427" s="38"/>
      <c r="L427" s="37"/>
      <c r="M427" s="38"/>
      <c r="N427" s="38"/>
      <c r="O427" s="39"/>
      <c r="P427" s="197"/>
      <c r="Q427" s="40"/>
      <c r="R427" s="41"/>
      <c r="S427" s="42"/>
      <c r="T427" s="11"/>
    </row>
    <row r="428" spans="1:20" ht="24">
      <c r="A428" t="s">
        <v>30</v>
      </c>
      <c r="B428" s="154"/>
      <c r="C428" s="155"/>
      <c r="D428" s="43"/>
      <c r="E428" s="44" t="str">
        <f>'4월'!E55</f>
        <v>라온전자</v>
      </c>
      <c r="F428" s="41"/>
      <c r="G428" s="2" t="str">
        <f>'4월'!G55</f>
        <v>상품</v>
      </c>
      <c r="H428" s="83" t="str">
        <f>'4월'!H55</f>
        <v>무선 키보드 + 마우스</v>
      </c>
      <c r="I428" s="4" t="str">
        <f>'4월'!I55</f>
        <v>LKM500 화이트</v>
      </c>
      <c r="J428" s="249"/>
      <c r="K428" s="38"/>
      <c r="L428" s="37"/>
      <c r="M428" s="38"/>
      <c r="N428" s="38"/>
      <c r="O428" s="39"/>
      <c r="P428" s="197" t="str">
        <f>'4월'!P55</f>
        <v>쿠팡(4/4법카) 235,455</v>
      </c>
      <c r="Q428" s="40"/>
      <c r="R428" s="41"/>
      <c r="S428" s="42"/>
      <c r="T428" s="11"/>
    </row>
    <row r="429" spans="1:20">
      <c r="A429" t="s">
        <v>30</v>
      </c>
      <c r="B429" s="154"/>
      <c r="C429" s="155"/>
      <c r="D429" s="43"/>
      <c r="E429" s="44" t="str">
        <f>'4월'!E56</f>
        <v>라온전자</v>
      </c>
      <c r="F429" s="41"/>
      <c r="G429" s="2" t="str">
        <f>'4월'!G56</f>
        <v>상품</v>
      </c>
      <c r="H429" s="83" t="str">
        <f>'4월'!H56</f>
        <v>아답터</v>
      </c>
      <c r="I429" s="4" t="str">
        <f>'4월'!I56</f>
        <v>ipTIME 아답터, 100~230V / 9V 0.8A</v>
      </c>
      <c r="J429" s="249"/>
      <c r="K429" s="38"/>
      <c r="L429" s="37"/>
      <c r="M429" s="38"/>
      <c r="N429" s="38"/>
      <c r="O429" s="39"/>
      <c r="P429" s="197" t="str">
        <f>'4월'!P56</f>
        <v>컴퓨존(4/3)</v>
      </c>
      <c r="Q429" s="40"/>
      <c r="R429" s="41"/>
      <c r="S429" s="42"/>
      <c r="T429" s="11"/>
    </row>
    <row r="430" spans="1:20" ht="24">
      <c r="A430" t="s">
        <v>30</v>
      </c>
      <c r="B430" s="151" t="str">
        <f>'4월'!B57</f>
        <v>Y250414-01</v>
      </c>
      <c r="C430" s="153"/>
      <c r="D430" s="17">
        <f>'4월'!D57</f>
        <v>45768</v>
      </c>
      <c r="E430" s="1" t="str">
        <f>'4월'!E57</f>
        <v>라온전자</v>
      </c>
      <c r="F430" s="2"/>
      <c r="G430" s="2" t="str">
        <f>'4월'!G57</f>
        <v>상품</v>
      </c>
      <c r="H430" s="83" t="str">
        <f>'4월'!H57</f>
        <v>USB 메모리</v>
      </c>
      <c r="I430" s="4" t="str">
        <f>'4월'!I57</f>
        <v>샌디스크 USB C타입 울트라 듀얼 Drive Go DDC3 + 고리줄 64GB</v>
      </c>
      <c r="J430" s="23">
        <f>'4월'!J57</f>
        <v>40</v>
      </c>
      <c r="K430" s="27">
        <f>'4월'!K57</f>
        <v>12000</v>
      </c>
      <c r="L430" s="26">
        <f>'4월'!L57</f>
        <v>656000</v>
      </c>
      <c r="M430" s="27">
        <f>'4월'!M57</f>
        <v>65600</v>
      </c>
      <c r="N430" s="27">
        <f>'4월'!N57</f>
        <v>721600</v>
      </c>
      <c r="O430" s="241">
        <f>'4월'!O57</f>
        <v>596072.72727272729</v>
      </c>
      <c r="P430" s="250" t="str">
        <f>'4월'!P57</f>
        <v>네이버(4/14) 582.727 네이버(4/14) 9,545 
로젠택배(4/30) 3,800</v>
      </c>
      <c r="Q430" s="20">
        <f>'4월'!Q57</f>
        <v>59927.272727272706</v>
      </c>
      <c r="R430" s="68" t="str">
        <f>'4월'!R57</f>
        <v>완료(4/30)</v>
      </c>
      <c r="S430" s="8" t="str">
        <f>'4월'!S57</f>
        <v>홍승민</v>
      </c>
      <c r="T430" s="11"/>
    </row>
    <row r="431" spans="1:20" ht="24">
      <c r="A431" t="s">
        <v>30</v>
      </c>
      <c r="B431" s="154"/>
      <c r="C431" s="155"/>
      <c r="D431" s="43"/>
      <c r="E431" s="44" t="str">
        <f>'4월'!E58</f>
        <v>라온전자</v>
      </c>
      <c r="F431" s="41"/>
      <c r="G431" s="2" t="str">
        <f>'4월'!G58</f>
        <v>상품</v>
      </c>
      <c r="H431" s="83" t="str">
        <f>'4월'!H58</f>
        <v>USB 메모리</v>
      </c>
      <c r="I431" s="4" t="str">
        <f>'4월'!I58</f>
        <v>샌디스크 USB C타입 울트라 듀얼 Drive Go DDC3 + 고리줄 128GB</v>
      </c>
      <c r="J431" s="23">
        <f>'4월'!J58</f>
        <v>10</v>
      </c>
      <c r="K431" s="38"/>
      <c r="L431" s="37"/>
      <c r="M431" s="38"/>
      <c r="N431" s="38"/>
      <c r="O431" s="39"/>
      <c r="P431" s="39"/>
      <c r="Q431" s="39"/>
      <c r="R431" s="39"/>
      <c r="S431" s="39"/>
      <c r="T431" s="11"/>
    </row>
    <row r="432" spans="1:20">
      <c r="A432" t="s">
        <v>30</v>
      </c>
      <c r="B432" s="154"/>
      <c r="C432" s="155"/>
      <c r="D432" s="43"/>
      <c r="E432" s="44" t="str">
        <f>'4월'!E59</f>
        <v>라온전자</v>
      </c>
      <c r="F432" s="41"/>
      <c r="G432" s="2" t="str">
        <f>'4월'!G59</f>
        <v>상품</v>
      </c>
      <c r="H432" s="83" t="str">
        <f>'4월'!H59</f>
        <v>네임택</v>
      </c>
      <c r="I432" s="4" t="str">
        <f>'4월'!I59</f>
        <v>열쇠 총기함 열쇠고리 이름표 네임택 usb 주기표 50개</v>
      </c>
      <c r="J432" s="23">
        <f>'4월'!J59</f>
        <v>1</v>
      </c>
      <c r="K432" s="38"/>
      <c r="L432" s="37"/>
      <c r="M432" s="38"/>
      <c r="N432" s="38"/>
      <c r="O432" s="39"/>
      <c r="P432" s="39"/>
      <c r="Q432" s="39"/>
      <c r="R432" s="39"/>
      <c r="S432" s="39"/>
      <c r="T432" s="11"/>
    </row>
    <row r="433" spans="1:21">
      <c r="A433" t="s">
        <v>30</v>
      </c>
      <c r="B433" s="151" t="str">
        <f>'4월'!B60</f>
        <v>H250421-01</v>
      </c>
      <c r="C433" s="153"/>
      <c r="D433" s="17">
        <f>'4월'!D60</f>
        <v>45768</v>
      </c>
      <c r="E433" s="1" t="str">
        <f>'4월'!E60</f>
        <v>케이엠디엠</v>
      </c>
      <c r="F433" s="2"/>
      <c r="G433" s="2" t="str">
        <f>'4월'!G60</f>
        <v>장비임대</v>
      </c>
      <c r="H433" s="83" t="str">
        <f>'4월'!H60</f>
        <v>서버임대</v>
      </c>
      <c r="I433" s="4" t="str">
        <f>'4월'!I60</f>
        <v xml:space="preserve">HP DL380G10 Server </v>
      </c>
      <c r="J433" s="23">
        <f>'4월'!J60</f>
        <v>1</v>
      </c>
      <c r="K433" s="27">
        <f>'4월'!K60</f>
        <v>1100000</v>
      </c>
      <c r="L433" s="26">
        <f>'4월'!L60</f>
        <v>1100000</v>
      </c>
      <c r="M433" s="27">
        <f>'4월'!M60</f>
        <v>110000</v>
      </c>
      <c r="N433" s="27">
        <f>'4월'!N60</f>
        <v>1210000</v>
      </c>
      <c r="O433" s="33">
        <f>'4월'!O60</f>
        <v>960000</v>
      </c>
      <c r="P433" s="197" t="str">
        <f>'4월'!P60</f>
        <v>이비웨이브(4/17) 우림퀵(4/30) 30,000</v>
      </c>
      <c r="Q433" s="20">
        <f>'4월'!Q60</f>
        <v>140000</v>
      </c>
      <c r="R433" s="68" t="str">
        <f>'4월'!R60</f>
        <v>완료(5/30)</v>
      </c>
      <c r="S433" s="8" t="str">
        <f>'4월'!S60</f>
        <v>천범석</v>
      </c>
      <c r="T433" s="11"/>
    </row>
    <row r="434" spans="1:21" ht="36">
      <c r="A434" t="s">
        <v>30</v>
      </c>
      <c r="B434" s="151" t="str">
        <f>'4월'!B61</f>
        <v>SM-24007</v>
      </c>
      <c r="C434" s="200"/>
      <c r="D434" s="78">
        <f>'4월'!D61</f>
        <v>45769</v>
      </c>
      <c r="E434" s="218" t="str">
        <f>'4월'!E61</f>
        <v>성대의료원</v>
      </c>
      <c r="F434" s="217"/>
      <c r="G434" s="167" t="str">
        <f>'4월'!G61</f>
        <v>MA</v>
      </c>
      <c r="H434" s="167" t="str">
        <f>'4월'!H61</f>
        <v>월간</v>
      </c>
      <c r="I434" s="168" t="str">
        <f>'4월'!I61</f>
        <v>4월 유지정비료 - 3/12회</v>
      </c>
      <c r="J434" s="79">
        <f>'4월'!J61</f>
        <v>1</v>
      </c>
      <c r="K434" s="80">
        <f>'4월'!K61</f>
        <v>1505000</v>
      </c>
      <c r="L434" s="80">
        <f>'4월'!L61</f>
        <v>1505000</v>
      </c>
      <c r="M434" s="81">
        <f>'4월'!M61</f>
        <v>150500</v>
      </c>
      <c r="N434" s="81">
        <f>'4월'!N61</f>
        <v>1655500</v>
      </c>
      <c r="O434" s="52">
        <f>'4월'!O61</f>
        <v>980000</v>
      </c>
      <c r="P434" s="171" t="str">
        <f>'4월'!P61</f>
        <v>다원씨앤에스(4/25) 200,000
DCSS(4/30) 80,000
시스나인(1/2) 2,100,000(3/3회)</v>
      </c>
      <c r="Q434" s="181">
        <f>'4월'!Q61</f>
        <v>525000</v>
      </c>
      <c r="R434" s="68" t="str">
        <f>'4월'!R61</f>
        <v>완료(5/29)</v>
      </c>
      <c r="S434" s="5" t="str">
        <f>'4월'!S61</f>
        <v>이예지</v>
      </c>
      <c r="T434" s="11"/>
    </row>
    <row r="435" spans="1:21">
      <c r="A435" t="s">
        <v>30</v>
      </c>
      <c r="B435" s="151" t="str">
        <f>'4월'!B62</f>
        <v>SB-25020</v>
      </c>
      <c r="C435" s="153" t="str">
        <f>'4월'!C62</f>
        <v>ZZLYH2</v>
      </c>
      <c r="D435" s="17">
        <f>'4월'!D62</f>
        <v>45772</v>
      </c>
      <c r="E435" s="1" t="str">
        <f>'4월'!E62</f>
        <v>익스피다이터스코리아</v>
      </c>
      <c r="F435" s="2"/>
      <c r="G435" s="161" t="str">
        <f>'4월'!G62</f>
        <v>MA</v>
      </c>
      <c r="H435" s="83" t="str">
        <f>'4월'!H62</f>
        <v>월간-레노버</v>
      </c>
      <c r="I435" s="4" t="str">
        <f>'4월'!I62</f>
        <v>4월 유지정비료 - 1/36회</v>
      </c>
      <c r="J435" s="23">
        <f>'4월'!J62</f>
        <v>1</v>
      </c>
      <c r="K435" s="27">
        <f>'4월'!K62</f>
        <v>64000</v>
      </c>
      <c r="L435" s="26">
        <f>'4월'!L62</f>
        <v>64000</v>
      </c>
      <c r="M435" s="27">
        <f>'4월'!M62</f>
        <v>6400</v>
      </c>
      <c r="N435" s="27">
        <f>'4월'!N62</f>
        <v>70400</v>
      </c>
      <c r="O435" s="33">
        <f>'4월'!O62</f>
        <v>53400</v>
      </c>
      <c r="P435" s="197" t="str">
        <f>'4월'!P62</f>
        <v>레노버(4/30)</v>
      </c>
      <c r="Q435" s="20">
        <f>'4월'!Q62</f>
        <v>10600</v>
      </c>
      <c r="R435" s="2" t="str">
        <f>'4월'!R62</f>
        <v>완료(4/29)</v>
      </c>
      <c r="S435" s="8" t="str">
        <f>'4월'!S62</f>
        <v>천범석</v>
      </c>
      <c r="T435" s="11"/>
    </row>
    <row r="436" spans="1:21">
      <c r="A436" t="s">
        <v>30</v>
      </c>
      <c r="B436" s="151" t="str">
        <f>'4월'!B63</f>
        <v>SM-20023</v>
      </c>
      <c r="C436" s="200"/>
      <c r="D436" s="17">
        <f>'4월'!D63</f>
        <v>45772</v>
      </c>
      <c r="E436" s="214" t="str">
        <f>'4월'!E63</f>
        <v>비씨엠정보통신</v>
      </c>
      <c r="F436" s="189" t="str">
        <f>'4월'!F63</f>
        <v>꼬망스</v>
      </c>
      <c r="G436" s="161" t="str">
        <f>'4월'!G63</f>
        <v>MA</v>
      </c>
      <c r="H436" s="161" t="str">
        <f>'4월'!H63</f>
        <v>월간</v>
      </c>
      <c r="I436" s="163" t="str">
        <f>'4월'!I63</f>
        <v>4월 유지정비료 - 8/12회</v>
      </c>
      <c r="J436" s="24">
        <f>'4월'!J63</f>
        <v>1</v>
      </c>
      <c r="K436" s="26">
        <f>'4월'!K63</f>
        <v>320000</v>
      </c>
      <c r="L436" s="26">
        <f>'4월'!L63</f>
        <v>320000</v>
      </c>
      <c r="M436" s="27">
        <f>'4월'!M63</f>
        <v>32000</v>
      </c>
      <c r="N436" s="27">
        <f>'4월'!N63</f>
        <v>352000</v>
      </c>
      <c r="O436" s="33">
        <f>'4월'!O63</f>
        <v>150000</v>
      </c>
      <c r="P436" s="171" t="str">
        <f>'4월'!P63</f>
        <v>시스나인(25/3/4) 연간 1,800,000(8/12회)</v>
      </c>
      <c r="Q436" s="181">
        <f>'4월'!Q63</f>
        <v>170000</v>
      </c>
      <c r="R436" s="2" t="str">
        <f>'4월'!R63</f>
        <v>완료(5/30)</v>
      </c>
      <c r="S436" s="5" t="str">
        <f>'4월'!S63</f>
        <v>천범석</v>
      </c>
      <c r="T436" s="11"/>
    </row>
    <row r="437" spans="1:21">
      <c r="A437" t="s">
        <v>30</v>
      </c>
      <c r="B437" s="151" t="str">
        <f>'4월'!B64</f>
        <v>SM-23026</v>
      </c>
      <c r="C437" s="199"/>
      <c r="D437" s="17">
        <f>'4월'!D64</f>
        <v>45772</v>
      </c>
      <c r="E437" s="214" t="str">
        <f>'4월'!E64</f>
        <v>한국도자기협회</v>
      </c>
      <c r="F437" s="215"/>
      <c r="G437" s="1" t="str">
        <f>'4월'!G64</f>
        <v>MA</v>
      </c>
      <c r="H437" s="2" t="str">
        <f>'4월'!H64</f>
        <v>월간</v>
      </c>
      <c r="I437" s="163" t="str">
        <f>'4월'!I64</f>
        <v>4월 유지정비료 - 9/12회</v>
      </c>
      <c r="J437" s="76">
        <f>'4월'!J64</f>
        <v>1</v>
      </c>
      <c r="K437" s="48">
        <f>'4월'!K64</f>
        <v>1216000</v>
      </c>
      <c r="L437" s="26">
        <f>'4월'!L64</f>
        <v>2446000</v>
      </c>
      <c r="M437" s="27">
        <f>'4월'!M64</f>
        <v>244600</v>
      </c>
      <c r="N437" s="27">
        <f>'4월'!N64</f>
        <v>2690600</v>
      </c>
      <c r="O437" s="52">
        <f>'4월'!O64</f>
        <v>1435000</v>
      </c>
      <c r="P437" s="171" t="str">
        <f>'4월'!P64</f>
        <v>현성솔루션(4/30) 840,000</v>
      </c>
      <c r="Q437" s="181">
        <f>'4월'!Q64</f>
        <v>1011000</v>
      </c>
      <c r="R437" s="2" t="str">
        <f>'4월'!R64</f>
        <v>완료(5/12)</v>
      </c>
      <c r="S437" s="8" t="str">
        <f>'4월'!S64</f>
        <v>홍승민</v>
      </c>
      <c r="T437" s="11"/>
    </row>
    <row r="438" spans="1:21">
      <c r="A438" t="s">
        <v>30</v>
      </c>
      <c r="B438" s="151" t="str">
        <f>'4월'!B65</f>
        <v>SM-24012</v>
      </c>
      <c r="C438" s="201"/>
      <c r="D438" s="43"/>
      <c r="E438" s="219" t="str">
        <f>'4월'!E65</f>
        <v>한국도자기협회</v>
      </c>
      <c r="F438" s="220"/>
      <c r="G438" s="1" t="str">
        <f>'4월'!G65</f>
        <v>MA</v>
      </c>
      <c r="H438" s="2" t="str">
        <f>'4월'!H65</f>
        <v>월간</v>
      </c>
      <c r="I438" s="163" t="str">
        <f>'4월'!I65</f>
        <v>4월 유지정비료 - 12/12회</v>
      </c>
      <c r="J438" s="76">
        <f>'4월'!J65</f>
        <v>1</v>
      </c>
      <c r="K438" s="48">
        <f>'4월'!K65</f>
        <v>390000</v>
      </c>
      <c r="L438" s="38"/>
      <c r="M438" s="38"/>
      <c r="N438" s="38"/>
      <c r="O438" s="52"/>
      <c r="P438" s="171" t="str">
        <f>'4월'!P65</f>
        <v>추후?</v>
      </c>
      <c r="Q438" s="184"/>
      <c r="R438" s="46"/>
      <c r="S438" s="42"/>
      <c r="T438" s="133"/>
    </row>
    <row r="439" spans="1:21">
      <c r="A439" t="s">
        <v>30</v>
      </c>
      <c r="B439" s="151" t="str">
        <f>'4월'!B66</f>
        <v>SM-23025</v>
      </c>
      <c r="C439" s="201"/>
      <c r="D439" s="43"/>
      <c r="E439" s="219" t="str">
        <f>'4월'!E66</f>
        <v>한국도자기협회</v>
      </c>
      <c r="F439" s="220"/>
      <c r="G439" s="1" t="str">
        <f>'4월'!G66</f>
        <v>MA</v>
      </c>
      <c r="H439" s="2" t="str">
        <f>'4월'!H66</f>
        <v>월간</v>
      </c>
      <c r="I439" s="3" t="str">
        <f>'4월'!I66</f>
        <v>이메일 보안 및 호스팅 4월 - 9/12회</v>
      </c>
      <c r="J439" s="76">
        <f>'4월'!J66</f>
        <v>70</v>
      </c>
      <c r="K439" s="48">
        <f>'4월'!K66</f>
        <v>12000</v>
      </c>
      <c r="L439" s="38"/>
      <c r="M439" s="38"/>
      <c r="N439" s="38"/>
      <c r="O439" s="52"/>
      <c r="P439" s="171" t="str">
        <f>'4월'!P66</f>
        <v>현성솔루션(4/30) 595,000</v>
      </c>
      <c r="Q439" s="184"/>
      <c r="R439" s="46"/>
      <c r="S439" s="42"/>
      <c r="T439" s="133"/>
    </row>
    <row r="440" spans="1:21" ht="24">
      <c r="A440" t="s">
        <v>30</v>
      </c>
      <c r="B440" s="151" t="str">
        <f>'4월'!B67</f>
        <v>LI-24007</v>
      </c>
      <c r="C440" s="200" t="str">
        <f>'4월'!C67</f>
        <v>C24009</v>
      </c>
      <c r="D440" s="17">
        <f>'4월'!D67</f>
        <v>45772</v>
      </c>
      <c r="E440" s="214" t="str">
        <f>'4월'!E67</f>
        <v>유더블유에스</v>
      </c>
      <c r="F440" s="215" t="str">
        <f>'4월'!F67</f>
        <v>두원정공</v>
      </c>
      <c r="G440" s="161" t="str">
        <f>'4월'!G67</f>
        <v>MA</v>
      </c>
      <c r="H440" s="161" t="str">
        <f>'4월'!H67</f>
        <v>월간</v>
      </c>
      <c r="I440" s="3" t="str">
        <f>'4월'!I67</f>
        <v>4월 유지정비료 - 10/12회</v>
      </c>
      <c r="J440" s="73">
        <f>'4월'!J67</f>
        <v>1</v>
      </c>
      <c r="K440" s="26">
        <f>'4월'!K67</f>
        <v>168000</v>
      </c>
      <c r="L440" s="26">
        <f>'4월'!L67</f>
        <v>168000</v>
      </c>
      <c r="M440" s="27">
        <f>'4월'!M67</f>
        <v>16800</v>
      </c>
      <c r="N440" s="27">
        <f>'4월'!N67</f>
        <v>184800</v>
      </c>
      <c r="O440" s="52">
        <f>'4월'!O67</f>
        <v>120613.33333333334</v>
      </c>
      <c r="P440" s="171" t="str">
        <f>'4월'!P67</f>
        <v>레노버(24/7/8)연간 (10/12회) 485,440
IBM(4/1) 80,160</v>
      </c>
      <c r="Q440" s="183">
        <f>'4월'!Q67</f>
        <v>47386.666666666657</v>
      </c>
      <c r="R440" s="68" t="str">
        <f>'4월'!R67</f>
        <v>완료(5/30)</v>
      </c>
      <c r="S440" s="5" t="str">
        <f>'4월'!S67</f>
        <v>천범석</v>
      </c>
      <c r="T440" s="11"/>
    </row>
    <row r="441" spans="1:21">
      <c r="A441" t="s">
        <v>30</v>
      </c>
      <c r="B441" s="151" t="str">
        <f>'4월'!B68</f>
        <v>IK-24007</v>
      </c>
      <c r="C441" s="200"/>
      <c r="D441" s="17">
        <f>'4월'!D68</f>
        <v>45772</v>
      </c>
      <c r="E441" s="214" t="str">
        <f>'4월'!E68</f>
        <v>로보츠</v>
      </c>
      <c r="F441" s="189" t="str">
        <f>'4월'!F68</f>
        <v>도시바일렉트로닉스</v>
      </c>
      <c r="G441" s="161" t="str">
        <f>'4월'!G68</f>
        <v>MA</v>
      </c>
      <c r="H441" s="161" t="str">
        <f>'4월'!H68</f>
        <v>월간-IBM</v>
      </c>
      <c r="I441" s="3" t="str">
        <f>'4월'!I68</f>
        <v>4월 유지정비료 - 10/12회</v>
      </c>
      <c r="J441" s="24">
        <f>'4월'!J68</f>
        <v>1</v>
      </c>
      <c r="K441" s="26">
        <f>'4월'!K68</f>
        <v>115000</v>
      </c>
      <c r="L441" s="26">
        <f>'4월'!L68</f>
        <v>115000</v>
      </c>
      <c r="M441" s="27">
        <f>'4월'!M68</f>
        <v>11500</v>
      </c>
      <c r="N441" s="27">
        <f>'4월'!N68</f>
        <v>126500</v>
      </c>
      <c r="O441" s="52">
        <f>'4월'!O68</f>
        <v>66498</v>
      </c>
      <c r="P441" s="171" t="str">
        <f>'4월'!P68</f>
        <v>IBM(4/1)</v>
      </c>
      <c r="Q441" s="181">
        <f>'4월'!Q68</f>
        <v>48502</v>
      </c>
      <c r="R441" s="2" t="str">
        <f>'4월'!R68</f>
        <v>완료(5/26)</v>
      </c>
      <c r="S441" s="5" t="str">
        <f>'4월'!S68</f>
        <v>천범석</v>
      </c>
      <c r="T441" s="11"/>
    </row>
    <row r="442" spans="1:21" ht="36">
      <c r="A442" t="s">
        <v>30</v>
      </c>
      <c r="B442" s="151" t="str">
        <f>'4월'!B69</f>
        <v>IK-24011</v>
      </c>
      <c r="C442" s="199"/>
      <c r="D442" s="17">
        <f>'4월'!D69</f>
        <v>45772</v>
      </c>
      <c r="E442" s="214" t="str">
        <f>'4월'!E69</f>
        <v>로보츠</v>
      </c>
      <c r="F442" s="215" t="str">
        <f>'4월'!F69</f>
        <v>키오시아</v>
      </c>
      <c r="G442" s="161" t="str">
        <f>'4월'!G69</f>
        <v>MA</v>
      </c>
      <c r="H442" s="161" t="str">
        <f>'4월'!H69</f>
        <v>월간-IBM</v>
      </c>
      <c r="I442" s="164" t="str">
        <f>'4월'!I69</f>
        <v>4월 유지정비료 - 5/12회</v>
      </c>
      <c r="J442" s="34">
        <f>'4월'!J69</f>
        <v>1</v>
      </c>
      <c r="K442" s="48">
        <f>'4월'!K69</f>
        <v>350000</v>
      </c>
      <c r="L442" s="26">
        <f>'4월'!L69</f>
        <v>350000</v>
      </c>
      <c r="M442" s="27">
        <f>'4월'!M69</f>
        <v>35000</v>
      </c>
      <c r="N442" s="27">
        <f>'4월'!N69</f>
        <v>385000</v>
      </c>
      <c r="O442" s="52">
        <f>'4월'!O69</f>
        <v>287383.33333333331</v>
      </c>
      <c r="P442" s="171" t="str">
        <f>'4월'!P69</f>
        <v>IBM(4/1) 133,875
DCSS (4/30) 70,180
시스나인(11/3) 1,000,000 (5/12)</v>
      </c>
      <c r="Q442" s="181">
        <f>'4월'!Q69</f>
        <v>62616.666666666686</v>
      </c>
      <c r="R442" s="2" t="str">
        <f>'4월'!R69</f>
        <v>완료(5/26)</v>
      </c>
      <c r="S442" s="8" t="str">
        <f>'4월'!S69</f>
        <v>천범석</v>
      </c>
      <c r="T442" s="11"/>
    </row>
    <row r="443" spans="1:21" ht="24">
      <c r="A443" t="s">
        <v>30</v>
      </c>
      <c r="B443" s="151" t="str">
        <f>'4월'!B70</f>
        <v>IK-24014</v>
      </c>
      <c r="C443" s="199"/>
      <c r="D443" s="17">
        <f>'4월'!D70</f>
        <v>45772</v>
      </c>
      <c r="E443" s="214" t="str">
        <f>'4월'!E70</f>
        <v>로보츠</v>
      </c>
      <c r="F443" s="215" t="str">
        <f>'4월'!F70</f>
        <v>와이케이케이코리아</v>
      </c>
      <c r="G443" s="161" t="str">
        <f>'4월'!G70</f>
        <v>MA</v>
      </c>
      <c r="H443" s="161" t="str">
        <f>'4월'!H70</f>
        <v>월간-IBM</v>
      </c>
      <c r="I443" s="164" t="str">
        <f>'4월'!I70</f>
        <v>4월 유지정비료 - 4/12회</v>
      </c>
      <c r="J443" s="34">
        <f>'4월'!J70</f>
        <v>1</v>
      </c>
      <c r="K443" s="48">
        <f>'4월'!K70</f>
        <v>444000</v>
      </c>
      <c r="L443" s="26">
        <f>'4월'!L70</f>
        <v>444000</v>
      </c>
      <c r="M443" s="27">
        <f>'4월'!M70</f>
        <v>44400</v>
      </c>
      <c r="N443" s="27">
        <f>'4월'!N70</f>
        <v>488400</v>
      </c>
      <c r="O443" s="52">
        <f>'4월'!O70</f>
        <v>430632</v>
      </c>
      <c r="P443" s="171" t="str">
        <f>'4월'!P70</f>
        <v>IBM(4/1) 79,496
시스나인(11/3) 4,200,000 (4/12회)</v>
      </c>
      <c r="Q443" s="181">
        <f>'4월'!Q70</f>
        <v>13368</v>
      </c>
      <c r="R443" s="2" t="str">
        <f>'4월'!R70</f>
        <v>완료(5/26)</v>
      </c>
      <c r="S443" s="8" t="str">
        <f>'4월'!S70</f>
        <v>천범석</v>
      </c>
      <c r="T443" s="11"/>
    </row>
    <row r="444" spans="1:21">
      <c r="A444" t="s">
        <v>30</v>
      </c>
      <c r="B444" s="151" t="str">
        <f>'4월'!B71</f>
        <v>SM-21021</v>
      </c>
      <c r="C444" s="200"/>
      <c r="D444" s="17">
        <f>'4월'!D71</f>
        <v>45772</v>
      </c>
      <c r="E444" s="214" t="str">
        <f>'4월'!E71</f>
        <v>바른시스템</v>
      </c>
      <c r="F444" s="189"/>
      <c r="G444" s="161" t="str">
        <f>'4월'!G71</f>
        <v>MA</v>
      </c>
      <c r="H444" s="161" t="str">
        <f>'4월'!H71</f>
        <v>월간</v>
      </c>
      <c r="I444" s="163" t="str">
        <f>'4월'!I71</f>
        <v>4월 유지정비료 - 2/12회</v>
      </c>
      <c r="J444" s="24">
        <f>'4월'!J71</f>
        <v>1</v>
      </c>
      <c r="K444" s="26">
        <f>'4월'!K71</f>
        <v>305000</v>
      </c>
      <c r="L444" s="26">
        <f>'4월'!L71</f>
        <v>305000</v>
      </c>
      <c r="M444" s="27">
        <f>'4월'!M71</f>
        <v>30500</v>
      </c>
      <c r="N444" s="27">
        <f>'4월'!N71</f>
        <v>335500</v>
      </c>
      <c r="O444" s="52">
        <f>'4월'!O71</f>
        <v>84811</v>
      </c>
      <c r="P444" s="171" t="str">
        <f>'4월'!P71</f>
        <v>IBM(4/1)</v>
      </c>
      <c r="Q444" s="181">
        <f>'4월'!Q71</f>
        <v>220189</v>
      </c>
      <c r="R444" s="2" t="str">
        <f>'4월'!R71</f>
        <v>완료(4/30)</v>
      </c>
      <c r="S444" s="5" t="str">
        <f>'4월'!S71</f>
        <v>홍승민</v>
      </c>
      <c r="T444" s="11"/>
    </row>
    <row r="445" spans="1:21">
      <c r="A445" t="s">
        <v>30</v>
      </c>
      <c r="B445" s="151" t="str">
        <f>'4월'!B72</f>
        <v>LI-24006</v>
      </c>
      <c r="C445" s="199"/>
      <c r="D445" s="17">
        <f>'4월'!D72</f>
        <v>45772</v>
      </c>
      <c r="E445" s="214" t="str">
        <f>'4월'!E72</f>
        <v>보해양조</v>
      </c>
      <c r="F445" s="215"/>
      <c r="G445" s="2" t="str">
        <f>'4월'!G72</f>
        <v>MA</v>
      </c>
      <c r="H445" s="161" t="str">
        <f>'4월'!H72</f>
        <v>월간-IBM</v>
      </c>
      <c r="I445" s="4" t="str">
        <f>'4월'!I72</f>
        <v>4월 유지정비료 - 10/12회</v>
      </c>
      <c r="J445" s="23">
        <f>'4월'!J72</f>
        <v>1</v>
      </c>
      <c r="K445" s="27">
        <f>'4월'!K72</f>
        <v>668000</v>
      </c>
      <c r="L445" s="26">
        <f>'4월'!L72</f>
        <v>668000</v>
      </c>
      <c r="M445" s="27">
        <f>'4월'!M72</f>
        <v>66800</v>
      </c>
      <c r="N445" s="27">
        <f>'4월'!N72</f>
        <v>734800</v>
      </c>
      <c r="O445" s="72">
        <f>'4월'!O72</f>
        <v>420400</v>
      </c>
      <c r="P445" s="223" t="str">
        <f>'4월'!P72</f>
        <v>IBM(4/1) 142,800 (4/1)277,600</v>
      </c>
      <c r="Q445" s="181">
        <f>'4월'!Q72</f>
        <v>247600</v>
      </c>
      <c r="R445" s="2" t="str">
        <f>'4월'!R72</f>
        <v>완료(5/15)</v>
      </c>
      <c r="S445" s="8" t="str">
        <f>'4월'!S72</f>
        <v>천범석</v>
      </c>
      <c r="T445" s="11"/>
    </row>
    <row r="446" spans="1:21" ht="24">
      <c r="A446" t="s">
        <v>30</v>
      </c>
      <c r="B446" s="151" t="str">
        <f>'4월'!B73</f>
        <v>SM-24024</v>
      </c>
      <c r="C446" s="199"/>
      <c r="D446" s="17">
        <f>'4월'!D73</f>
        <v>45772</v>
      </c>
      <c r="E446" s="214" t="str">
        <f>'4월'!E73</f>
        <v>일원병원</v>
      </c>
      <c r="F446" s="214" t="str">
        <f>'4월'!F73</f>
        <v>묵동</v>
      </c>
      <c r="G446" s="161" t="str">
        <f>'4월'!G73</f>
        <v>MA</v>
      </c>
      <c r="H446" s="161" t="str">
        <f>'4월'!H73</f>
        <v>월간</v>
      </c>
      <c r="I446" s="163" t="str">
        <f>'4월'!I73</f>
        <v>4월 유지정비료 - 5/12회</v>
      </c>
      <c r="J446" s="24">
        <f>'4월'!J73</f>
        <v>1</v>
      </c>
      <c r="K446" s="26">
        <f>'4월'!K73</f>
        <v>500000</v>
      </c>
      <c r="L446" s="26">
        <f>'4월'!L73</f>
        <v>500000</v>
      </c>
      <c r="M446" s="27">
        <f>'4월'!M73</f>
        <v>50000</v>
      </c>
      <c r="N446" s="27">
        <f>'4월'!N73</f>
        <v>550000</v>
      </c>
      <c r="O446" s="52">
        <f>'4월'!O73</f>
        <v>120600</v>
      </c>
      <c r="P446" s="171" t="str">
        <f>'4월'!P73</f>
        <v>시스나인(4/25) 반기 600,000 (5/6회)
DCSS(4/30) 20,600</v>
      </c>
      <c r="Q446" s="181">
        <f>'4월'!Q73</f>
        <v>379400</v>
      </c>
      <c r="R446" s="2" t="str">
        <f>'4월'!R73</f>
        <v>완료(5/29)</v>
      </c>
      <c r="S446" s="5" t="str">
        <f>'4월'!S73</f>
        <v>천범석</v>
      </c>
      <c r="T446" s="11"/>
    </row>
    <row r="447" spans="1:21" ht="24">
      <c r="A447" t="s">
        <v>30</v>
      </c>
      <c r="B447" s="151" t="str">
        <f>'4월'!B74</f>
        <v>SM-25005</v>
      </c>
      <c r="C447" s="199"/>
      <c r="D447" s="17">
        <f>'4월'!D74</f>
        <v>45772</v>
      </c>
      <c r="E447" s="221" t="str">
        <f>'4월'!E74</f>
        <v>고영</v>
      </c>
      <c r="F447" s="215"/>
      <c r="G447" s="161" t="str">
        <f>'4월'!G74</f>
        <v>MA</v>
      </c>
      <c r="H447" s="161" t="str">
        <f>'4월'!H74</f>
        <v>월간</v>
      </c>
      <c r="I447" s="163" t="str">
        <f>'4월'!I74</f>
        <v>4월 유지정비료 - 4/12회</v>
      </c>
      <c r="J447" s="23">
        <f>'4월'!J74</f>
        <v>1</v>
      </c>
      <c r="K447" s="27">
        <f>'4월'!K74</f>
        <v>1400000</v>
      </c>
      <c r="L447" s="26">
        <f>'4월'!L74</f>
        <v>1400000</v>
      </c>
      <c r="M447" s="27">
        <f>'4월'!M74</f>
        <v>140000</v>
      </c>
      <c r="N447" s="27">
        <f>'4월'!N74</f>
        <v>1540000</v>
      </c>
      <c r="O447" s="52">
        <f>'4월'!O74</f>
        <v>535000</v>
      </c>
      <c r="P447" s="171" t="str">
        <f>'4월'!P74</f>
        <v>시스나인(4/25) 분기 1,500,000 (1/3회)
우림퀵(4/30) 35,000</v>
      </c>
      <c r="Q447" s="181">
        <f>'4월'!Q74</f>
        <v>865000</v>
      </c>
      <c r="R447" s="2" t="str">
        <f>'4월'!R74</f>
        <v>완료(5/20)</v>
      </c>
      <c r="S447" s="8" t="str">
        <f>'4월'!S74</f>
        <v>홍승민</v>
      </c>
      <c r="T447" s="11"/>
      <c r="U447" s="121">
        <f>Q447/L447</f>
        <v>0.61785714285714288</v>
      </c>
    </row>
    <row r="448" spans="1:21">
      <c r="A448" t="s">
        <v>30</v>
      </c>
      <c r="B448" s="151" t="str">
        <f>'4월'!B75</f>
        <v>SB-25022</v>
      </c>
      <c r="C448" s="153" t="str">
        <f>'4월'!C75</f>
        <v>ZGHZZL</v>
      </c>
      <c r="D448" s="17">
        <f>'4월'!D75</f>
        <v>45772</v>
      </c>
      <c r="E448" s="1" t="str">
        <f>'4월'!E75</f>
        <v>시스게이트</v>
      </c>
      <c r="F448" s="2" t="str">
        <f>'4월'!F75</f>
        <v>한국도로공사</v>
      </c>
      <c r="G448" s="2" t="str">
        <f>'4월'!G75</f>
        <v>MA</v>
      </c>
      <c r="H448" s="83" t="str">
        <f>'4월'!H75</f>
        <v>월간-레노버</v>
      </c>
      <c r="I448" s="4" t="str">
        <f>'4월'!I75</f>
        <v>1분기 유지정비료 - 1/8회</v>
      </c>
      <c r="J448" s="23">
        <f>'4월'!J75</f>
        <v>1</v>
      </c>
      <c r="K448" s="27">
        <f>'4월'!K75</f>
        <v>16853000</v>
      </c>
      <c r="L448" s="26">
        <f>'4월'!L75</f>
        <v>16853000</v>
      </c>
      <c r="M448" s="27">
        <f>'4월'!M75</f>
        <v>1685300</v>
      </c>
      <c r="N448" s="27">
        <f>'4월'!N75</f>
        <v>18538300</v>
      </c>
      <c r="O448" s="33">
        <f>'4월'!O75</f>
        <v>14657510</v>
      </c>
      <c r="P448" s="197" t="str">
        <f>'4월'!P75</f>
        <v>레노버(5/9) 14,657,510(18건)</v>
      </c>
      <c r="Q448" s="20">
        <f>'4월'!Q75</f>
        <v>2195490</v>
      </c>
      <c r="R448" s="2" t="str">
        <f>'4월'!R75</f>
        <v>완료(6/10)</v>
      </c>
      <c r="S448" s="8" t="str">
        <f>'4월'!S75</f>
        <v>천범석</v>
      </c>
      <c r="T448" s="11"/>
    </row>
    <row r="449" spans="1:20" ht="41.25" customHeight="1">
      <c r="A449" t="s">
        <v>30</v>
      </c>
      <c r="B449" s="151" t="str">
        <f>'4월'!B76</f>
        <v>Y240830-03</v>
      </c>
      <c r="C449" s="153"/>
      <c r="D449" s="224">
        <f>'4월'!D76</f>
        <v>45775</v>
      </c>
      <c r="E449" s="1" t="str">
        <f>'4월'!E76</f>
        <v>스마트웨어</v>
      </c>
      <c r="F449" s="2" t="str">
        <f>'4월'!F76</f>
        <v>세연시스템즈</v>
      </c>
      <c r="G449" s="2" t="str">
        <f>'4월'!G76</f>
        <v>장비임대</v>
      </c>
      <c r="H449" s="2" t="str">
        <f>'4월'!H76</f>
        <v>서버임대</v>
      </c>
      <c r="I449" s="4" t="str">
        <f>'4월'!I76</f>
        <v>X3650M5 임대 (Xeon E5-2640v3 2.6GHz 8C x2 / 128GB Memory / 600GB SAS x4 / Power x2)
(4월1일~4월30일)</v>
      </c>
      <c r="J449" s="23">
        <f>'4월'!J76</f>
        <v>1</v>
      </c>
      <c r="K449" s="226">
        <f>'4월'!K76</f>
        <v>200000</v>
      </c>
      <c r="L449" s="26">
        <f>'4월'!L76</f>
        <v>200000</v>
      </c>
      <c r="M449" s="27">
        <f>'4월'!M76</f>
        <v>20000</v>
      </c>
      <c r="N449" s="27">
        <f>'4월'!N76</f>
        <v>220000</v>
      </c>
      <c r="O449" s="33">
        <f>'4월'!O76</f>
        <v>0</v>
      </c>
      <c r="P449" s="197" t="str">
        <f>'4월'!P76</f>
        <v>재고</v>
      </c>
      <c r="Q449" s="227">
        <f>'4월'!Q76</f>
        <v>200000</v>
      </c>
      <c r="R449" s="45" t="str">
        <f>'4월'!R76</f>
        <v>5월말</v>
      </c>
      <c r="S449" s="8" t="str">
        <f>'4월'!S76</f>
        <v>홍승민</v>
      </c>
      <c r="T449" s="11"/>
    </row>
    <row r="450" spans="1:20" ht="36">
      <c r="A450" t="s">
        <v>30</v>
      </c>
      <c r="B450" s="151" t="str">
        <f>'4월'!B77</f>
        <v>Y250319-02</v>
      </c>
      <c r="C450" s="153"/>
      <c r="D450" s="17">
        <f>'4월'!D77</f>
        <v>45776</v>
      </c>
      <c r="E450" s="1" t="str">
        <f>'4월'!E77</f>
        <v>에스엔유정보기술</v>
      </c>
      <c r="F450" s="2" t="str">
        <f>'4월'!F77</f>
        <v>대한건설기계안전관리원</v>
      </c>
      <c r="G450" s="2" t="str">
        <f>'4월'!G77</f>
        <v>상품</v>
      </c>
      <c r="H450" s="83" t="str">
        <f>'4월'!H77</f>
        <v>서버</v>
      </c>
      <c r="I450" s="4" t="str">
        <f>'4월'!I77</f>
        <v>Lenovo SR630v2</v>
      </c>
      <c r="J450" s="23">
        <f>'4월'!J77</f>
        <v>1</v>
      </c>
      <c r="K450" s="27">
        <f>'4월'!K77</f>
        <v>9300000</v>
      </c>
      <c r="L450" s="26">
        <f>'4월'!L77</f>
        <v>9300000</v>
      </c>
      <c r="M450" s="27">
        <f>'4월'!M77</f>
        <v>930000</v>
      </c>
      <c r="N450" s="27">
        <f>'4월'!N77</f>
        <v>10230000</v>
      </c>
      <c r="O450" s="33">
        <f>'4월'!O77</f>
        <v>7340000</v>
      </c>
      <c r="P450" s="197" t="str">
        <f>'4월'!P77</f>
        <v>다솜테크(3/31) 6,000,000 
씨플랫폼(5/1) 1,000,000
우림퀵(4/30) 40,000</v>
      </c>
      <c r="Q450" s="20">
        <f>'4월'!Q77</f>
        <v>1960000</v>
      </c>
      <c r="R450" s="2" t="str">
        <f>'4월'!R77</f>
        <v>완료(7/31)</v>
      </c>
      <c r="S450" s="8" t="str">
        <f>'4월'!S77</f>
        <v>홍승민</v>
      </c>
      <c r="T450" s="11"/>
    </row>
    <row r="451" spans="1:20" ht="24">
      <c r="A451" t="s">
        <v>30</v>
      </c>
      <c r="B451" s="151" t="str">
        <f>'4월'!B78</f>
        <v>Y250407-01</v>
      </c>
      <c r="C451" s="153"/>
      <c r="D451" s="17">
        <f>'4월'!D78</f>
        <v>45776</v>
      </c>
      <c r="E451" s="1" t="str">
        <f>'4월'!E78</f>
        <v>코드정보</v>
      </c>
      <c r="F451" s="2"/>
      <c r="G451" s="2" t="str">
        <f>'4월'!G78</f>
        <v>상품</v>
      </c>
      <c r="H451" s="83" t="str">
        <f>'4월'!H78</f>
        <v>90Y8878(USED)</v>
      </c>
      <c r="I451" s="4" t="str">
        <f>'4월'!I78</f>
        <v>300GB 10K 6GB SAS 2.5</v>
      </c>
      <c r="J451" s="23">
        <f>'4월'!J78</f>
        <v>1</v>
      </c>
      <c r="K451" s="27">
        <f>'4월'!K78</f>
        <v>120000</v>
      </c>
      <c r="L451" s="26">
        <f>'4월'!L78</f>
        <v>120000</v>
      </c>
      <c r="M451" s="27">
        <f>'4월'!M78</f>
        <v>12000</v>
      </c>
      <c r="N451" s="27">
        <f>'4월'!N78</f>
        <v>132000</v>
      </c>
      <c r="O451" s="33">
        <f>'4월'!O78</f>
        <v>12000</v>
      </c>
      <c r="P451" s="197" t="str">
        <f>'4월'!P78</f>
        <v>삼표매입
우림퀵(4/30) 12,000</v>
      </c>
      <c r="Q451" s="20">
        <f>'4월'!Q78</f>
        <v>108000</v>
      </c>
      <c r="R451" s="2" t="str">
        <f>'4월'!R78</f>
        <v>완료(6/30)</v>
      </c>
      <c r="S451" s="8" t="str">
        <f>'4월'!S78</f>
        <v>홍승민</v>
      </c>
      <c r="T451" s="11"/>
    </row>
    <row r="452" spans="1:20" ht="60">
      <c r="A452" t="s">
        <v>30</v>
      </c>
      <c r="B452" s="151" t="str">
        <f>'4월'!B79</f>
        <v>Y250409-01</v>
      </c>
      <c r="C452" s="153"/>
      <c r="D452" s="17">
        <f>'4월'!D79</f>
        <v>45776</v>
      </c>
      <c r="E452" s="1" t="str">
        <f>'4월'!E79</f>
        <v>현성솔루션</v>
      </c>
      <c r="F452" s="2"/>
      <c r="G452" s="2" t="str">
        <f>'4월'!G79</f>
        <v>상품</v>
      </c>
      <c r="H452" s="83" t="str">
        <f>'4월'!H79</f>
        <v>서버</v>
      </c>
      <c r="I452" s="4" t="str">
        <f>'4월'!I79</f>
        <v xml:space="preserve">Dell PE R730XD </v>
      </c>
      <c r="J452" s="23">
        <f>'4월'!J79</f>
        <v>3</v>
      </c>
      <c r="K452" s="27">
        <f>'4월'!K79</f>
        <v>3000000</v>
      </c>
      <c r="L452" s="26">
        <f>'4월'!L79</f>
        <v>9000000</v>
      </c>
      <c r="M452" s="27">
        <f>'4월'!M79</f>
        <v>900000</v>
      </c>
      <c r="N452" s="27">
        <f>'4월'!N79</f>
        <v>9900000</v>
      </c>
      <c r="O452" s="33">
        <f>'4월'!O79</f>
        <v>2027254</v>
      </c>
      <c r="P452" s="197" t="str">
        <f>'4월'!P79</f>
        <v>에실로매각건
컴퓨존(4/9) 1,714,418
컴퓨존(4/29) 272,836
우림퀵(4/30) 25,000
우림퀵(4/30) 15,000</v>
      </c>
      <c r="Q452" s="20">
        <f>'4월'!Q79</f>
        <v>6972746</v>
      </c>
      <c r="R452" s="2" t="str">
        <f>'4월'!R79</f>
        <v>완료(5/30)</v>
      </c>
      <c r="S452" s="8" t="str">
        <f>'4월'!S79</f>
        <v>홍승민</v>
      </c>
      <c r="T452" s="11"/>
    </row>
    <row r="453" spans="1:20" ht="24">
      <c r="A453" t="s">
        <v>30</v>
      </c>
      <c r="B453" s="151" t="str">
        <f>'4월'!B80</f>
        <v>Y250418-01</v>
      </c>
      <c r="C453" s="153"/>
      <c r="D453" s="17">
        <f>'4월'!D80</f>
        <v>45776</v>
      </c>
      <c r="E453" s="1" t="str">
        <f>'4월'!E80</f>
        <v>코드정보</v>
      </c>
      <c r="F453" s="2"/>
      <c r="G453" s="2" t="str">
        <f>'4월'!G80</f>
        <v>상품</v>
      </c>
      <c r="H453" s="83" t="str">
        <f>'4월'!H80</f>
        <v>42D0633(USED)</v>
      </c>
      <c r="I453" s="4" t="str">
        <f>'4월'!I80</f>
        <v>146G 10K 6GB SAS 2.5</v>
      </c>
      <c r="J453" s="23">
        <f>'4월'!J80</f>
        <v>1</v>
      </c>
      <c r="K453" s="27">
        <f>'4월'!K80</f>
        <v>100000</v>
      </c>
      <c r="L453" s="26">
        <f>'4월'!L80</f>
        <v>100000</v>
      </c>
      <c r="M453" s="27">
        <f>'4월'!M80</f>
        <v>10000</v>
      </c>
      <c r="N453" s="27">
        <f>'4월'!N80</f>
        <v>110000</v>
      </c>
      <c r="O453" s="33">
        <f>'4월'!O80</f>
        <v>12000</v>
      </c>
      <c r="P453" s="197" t="str">
        <f>'4월'!P80</f>
        <v>삼표매입, 우림퀵(4/30) 12,000</v>
      </c>
      <c r="Q453" s="20">
        <f>'4월'!Q80</f>
        <v>88000</v>
      </c>
      <c r="R453" s="2" t="str">
        <f>'4월'!R80</f>
        <v>완료(6/30)</v>
      </c>
      <c r="S453" s="8" t="str">
        <f>'4월'!S80</f>
        <v>홍승민</v>
      </c>
      <c r="T453" s="11"/>
    </row>
    <row r="454" spans="1:20">
      <c r="A454" t="s">
        <v>30</v>
      </c>
      <c r="B454" s="151" t="str">
        <f>'4월'!B81</f>
        <v>Y250421-01</v>
      </c>
      <c r="C454" s="153"/>
      <c r="D454" s="17">
        <f>'4월'!D81</f>
        <v>45776</v>
      </c>
      <c r="E454" s="1" t="str">
        <f>'4월'!E81</f>
        <v>아이티비</v>
      </c>
      <c r="F454" s="2"/>
      <c r="G454" s="2" t="str">
        <f>'4월'!G81</f>
        <v>상품</v>
      </c>
      <c r="H454" s="83" t="str">
        <f>'4월'!H81</f>
        <v xml:space="preserve">90Y8872 </v>
      </c>
      <c r="I454" s="4" t="str">
        <f>'4월'!I81</f>
        <v>600GB 10K 6G SAS 2.5inch Hard Drive</v>
      </c>
      <c r="J454" s="23">
        <f>'4월'!J81</f>
        <v>1</v>
      </c>
      <c r="K454" s="27">
        <f>'4월'!K81</f>
        <v>200000</v>
      </c>
      <c r="L454" s="26">
        <f>'4월'!L81</f>
        <v>200000</v>
      </c>
      <c r="M454" s="27">
        <f>'4월'!M81</f>
        <v>20000</v>
      </c>
      <c r="N454" s="27">
        <f>'4월'!N81</f>
        <v>220000</v>
      </c>
      <c r="O454" s="33">
        <f>'4월'!O81</f>
        <v>8000</v>
      </c>
      <c r="P454" s="197" t="str">
        <f>'4월'!P81</f>
        <v>재고, 우림퀵(4/30) 8,000</v>
      </c>
      <c r="Q454" s="20">
        <f>'4월'!Q81</f>
        <v>192000</v>
      </c>
      <c r="R454" s="2" t="str">
        <f>'4월'!R81</f>
        <v>완료(5/23)</v>
      </c>
      <c r="S454" s="8" t="str">
        <f>'4월'!S81</f>
        <v>홍승민</v>
      </c>
      <c r="T454" s="11"/>
    </row>
    <row r="455" spans="1:20">
      <c r="A455" t="s">
        <v>30</v>
      </c>
      <c r="B455" s="151" t="str">
        <f>'4월'!B82</f>
        <v>S</v>
      </c>
      <c r="C455" s="199"/>
      <c r="D455" s="17">
        <f>'4월'!D82</f>
        <v>45777</v>
      </c>
      <c r="E455" s="214" t="str">
        <f>'4월'!E82</f>
        <v>스팩스</v>
      </c>
      <c r="F455" s="215" t="str">
        <f>'4월'!F82</f>
        <v>광명자이 1810호</v>
      </c>
      <c r="G455" s="161" t="str">
        <f>'4월'!G82</f>
        <v>건물임대</v>
      </c>
      <c r="H455" s="161" t="str">
        <f>'4월'!H82</f>
        <v>임대료</v>
      </c>
      <c r="I455" s="169" t="str">
        <f>'4월'!I82</f>
        <v>4월 임대료 - 10/12회</v>
      </c>
      <c r="J455" s="69">
        <f>'4월'!J82</f>
        <v>1</v>
      </c>
      <c r="K455" s="27">
        <f>'4월'!K82</f>
        <v>600000</v>
      </c>
      <c r="L455" s="26">
        <f>'4월'!L82</f>
        <v>600000</v>
      </c>
      <c r="M455" s="27">
        <f>'4월'!M82</f>
        <v>60000</v>
      </c>
      <c r="N455" s="27">
        <f>'4월'!N82</f>
        <v>660000</v>
      </c>
      <c r="O455" s="52">
        <f>'4월'!O82</f>
        <v>0</v>
      </c>
      <c r="P455" s="171" t="str">
        <f>'4월'!P82</f>
        <v>X</v>
      </c>
      <c r="Q455" s="181">
        <f>'4월'!Q82</f>
        <v>600000</v>
      </c>
      <c r="R455" s="68" t="str">
        <f>'4월'!R82</f>
        <v>완료(5/2)</v>
      </c>
      <c r="S455" s="8" t="str">
        <f>'4월'!S82</f>
        <v>정지우</v>
      </c>
      <c r="T455" s="11"/>
    </row>
    <row r="456" spans="1:20" ht="24">
      <c r="A456" t="s">
        <v>30</v>
      </c>
      <c r="B456" s="151" t="str">
        <f>'4월'!B83</f>
        <v>S</v>
      </c>
      <c r="C456" s="199"/>
      <c r="D456" s="17">
        <f>'4월'!D83</f>
        <v>45777</v>
      </c>
      <c r="E456" s="214" t="str">
        <f>'4월'!E83</f>
        <v>씨케이명차</v>
      </c>
      <c r="F456" s="215" t="str">
        <f>'4월'!F83</f>
        <v>가양아너비즈 402~404호</v>
      </c>
      <c r="G456" s="161" t="str">
        <f>'4월'!G83</f>
        <v>건물임대</v>
      </c>
      <c r="H456" s="161" t="str">
        <f>'4월'!H83</f>
        <v>임대료</v>
      </c>
      <c r="I456" s="4" t="str">
        <f>'4월'!I83</f>
        <v>5월(4.30~5.30) 임대료</v>
      </c>
      <c r="J456" s="23">
        <f>'4월'!J83</f>
        <v>1</v>
      </c>
      <c r="K456" s="27">
        <f>'4월'!K83</f>
        <v>4000000</v>
      </c>
      <c r="L456" s="26">
        <f>'4월'!L83</f>
        <v>4000000</v>
      </c>
      <c r="M456" s="27">
        <f>'4월'!M83</f>
        <v>400000</v>
      </c>
      <c r="N456" s="27">
        <f>'4월'!N83</f>
        <v>4400000</v>
      </c>
      <c r="O456" s="52">
        <f>'4월'!O83</f>
        <v>0</v>
      </c>
      <c r="P456" s="170" t="str">
        <f>'4월'!P83</f>
        <v>X</v>
      </c>
      <c r="Q456" s="181">
        <f>'4월'!Q83</f>
        <v>4000000</v>
      </c>
      <c r="R456" s="68" t="str">
        <f>'4월'!R83</f>
        <v>보증금반제(25/8/31)</v>
      </c>
      <c r="S456" s="8" t="str">
        <f>'4월'!S83</f>
        <v>정지우</v>
      </c>
      <c r="T456" s="11"/>
    </row>
    <row r="457" spans="1:20">
      <c r="A457" t="s">
        <v>30</v>
      </c>
      <c r="B457" s="151" t="str">
        <f>'4월'!B84</f>
        <v>SB-23012</v>
      </c>
      <c r="C457" s="200" t="str">
        <f>'4월'!C84</f>
        <v>ZKFUER</v>
      </c>
      <c r="D457" s="17">
        <f>'4월'!D84</f>
        <v>45777</v>
      </c>
      <c r="E457" s="214" t="str">
        <f>'4월'!E84</f>
        <v>솔리드시스템</v>
      </c>
      <c r="F457" s="214" t="str">
        <f>'4월'!F84</f>
        <v>국립기상과학원</v>
      </c>
      <c r="G457" s="1" t="str">
        <f>'4월'!G84</f>
        <v>MA</v>
      </c>
      <c r="H457" s="161" t="str">
        <f>'4월'!H84</f>
        <v>월간-레노버</v>
      </c>
      <c r="I457" s="163" t="str">
        <f>'4월'!I84</f>
        <v>4월 유지정비료 - 28/37회</v>
      </c>
      <c r="J457" s="32">
        <f>'4월'!J84</f>
        <v>1</v>
      </c>
      <c r="K457" s="48">
        <f>'4월'!K84</f>
        <v>11178000</v>
      </c>
      <c r="L457" s="26">
        <f>'4월'!L84</f>
        <v>11178000</v>
      </c>
      <c r="M457" s="27">
        <f>'4월'!M84</f>
        <v>1117800</v>
      </c>
      <c r="N457" s="27">
        <f>'4월'!N84</f>
        <v>12295800</v>
      </c>
      <c r="O457" s="72">
        <f>'4월'!O84</f>
        <v>9980400</v>
      </c>
      <c r="P457" s="197" t="str">
        <f>'4월'!P84</f>
        <v>레노버(4/30)</v>
      </c>
      <c r="Q457" s="181">
        <f>'4월'!Q84</f>
        <v>1197600</v>
      </c>
      <c r="R457" s="68" t="str">
        <f>'4월'!R84</f>
        <v>완료(5/30)</v>
      </c>
      <c r="S457" s="8" t="str">
        <f>'4월'!S84</f>
        <v>천범석</v>
      </c>
      <c r="T457" s="11"/>
    </row>
    <row r="458" spans="1:20">
      <c r="A458" t="s">
        <v>30</v>
      </c>
      <c r="B458" s="151" t="str">
        <f>'4월'!B85</f>
        <v>SB-25004</v>
      </c>
      <c r="C458" s="200" t="str">
        <f>'4월'!C85</f>
        <v>ZDCPQK</v>
      </c>
      <c r="D458" s="17">
        <f>'4월'!D85</f>
        <v>45777</v>
      </c>
      <c r="E458" s="214" t="str">
        <f>'4월'!E85</f>
        <v>솔리드시스템</v>
      </c>
      <c r="F458" s="189" t="str">
        <f>'4월'!F85</f>
        <v>삼성중공업</v>
      </c>
      <c r="G458" s="161" t="str">
        <f>'4월'!G85</f>
        <v>MA</v>
      </c>
      <c r="H458" s="161" t="str">
        <f>'4월'!H85</f>
        <v>월간-레노버</v>
      </c>
      <c r="I458" s="164" t="str">
        <f>'4월'!I85</f>
        <v>4월 유지정비료 - 4/12회</v>
      </c>
      <c r="J458" s="24">
        <f>'4월'!J85</f>
        <v>1</v>
      </c>
      <c r="K458" s="27">
        <f>'4월'!K85</f>
        <v>585000</v>
      </c>
      <c r="L458" s="26">
        <f>'4월'!L85</f>
        <v>585000</v>
      </c>
      <c r="M458" s="27">
        <f>'4월'!M85</f>
        <v>58500</v>
      </c>
      <c r="N458" s="27">
        <f>'4월'!N85</f>
        <v>643500</v>
      </c>
      <c r="O458" s="52">
        <f>'4월'!O85</f>
        <v>531600</v>
      </c>
      <c r="P458" s="197" t="str">
        <f>'4월'!P85</f>
        <v>레노버(4/30)</v>
      </c>
      <c r="Q458" s="181">
        <f>'4월'!Q85</f>
        <v>53400</v>
      </c>
      <c r="R458" s="68" t="str">
        <f>'4월'!R85</f>
        <v>완료(5/30)</v>
      </c>
      <c r="S458" s="5" t="str">
        <f>'4월'!S85</f>
        <v>천범석</v>
      </c>
      <c r="T458" s="11"/>
    </row>
    <row r="459" spans="1:20">
      <c r="A459" t="s">
        <v>30</v>
      </c>
      <c r="B459" s="151" t="str">
        <f>'4월'!B86</f>
        <v>IK-22023</v>
      </c>
      <c r="C459" s="200"/>
      <c r="D459" s="17">
        <f>'4월'!D86</f>
        <v>45777</v>
      </c>
      <c r="E459" s="214" t="str">
        <f>'4월'!E86</f>
        <v>로인아이티</v>
      </c>
      <c r="F459" s="189" t="str">
        <f>'4월'!F86</f>
        <v>성원제강</v>
      </c>
      <c r="G459" s="161" t="str">
        <f>'4월'!G86</f>
        <v>MA</v>
      </c>
      <c r="H459" s="161" t="str">
        <f>'4월'!H86</f>
        <v>월간-IBM</v>
      </c>
      <c r="I459" s="163" t="str">
        <f>'4월'!I86</f>
        <v>4월 유지정비료 - 25/36회</v>
      </c>
      <c r="J459" s="69">
        <f>'4월'!J86</f>
        <v>1</v>
      </c>
      <c r="K459" s="29">
        <f>'4월'!K86</f>
        <v>180000</v>
      </c>
      <c r="L459" s="26">
        <f>'4월'!L86</f>
        <v>180000</v>
      </c>
      <c r="M459" s="27">
        <f>'4월'!M86</f>
        <v>18000</v>
      </c>
      <c r="N459" s="27">
        <f>'4월'!N86</f>
        <v>198000</v>
      </c>
      <c r="O459" s="52">
        <f>'4월'!O86</f>
        <v>159761</v>
      </c>
      <c r="P459" s="171" t="str">
        <f>'4월'!P86</f>
        <v>IBM(4/1)</v>
      </c>
      <c r="Q459" s="181">
        <f>'4월'!Q86</f>
        <v>20239</v>
      </c>
      <c r="R459" s="68" t="str">
        <f>'4월'!R86</f>
        <v>완료(5/26)</v>
      </c>
      <c r="S459" s="5" t="str">
        <f>'4월'!S86</f>
        <v>천범석</v>
      </c>
      <c r="T459" s="11"/>
    </row>
    <row r="460" spans="1:20">
      <c r="A460" t="s">
        <v>30</v>
      </c>
      <c r="B460" s="151" t="str">
        <f>'4월'!B87</f>
        <v>IK-22021</v>
      </c>
      <c r="C460" s="200"/>
      <c r="D460" s="17">
        <f>'4월'!D87</f>
        <v>45777</v>
      </c>
      <c r="E460" s="214" t="str">
        <f>'4월'!E87</f>
        <v>로인아이티</v>
      </c>
      <c r="F460" s="189" t="str">
        <f>'4월'!F87</f>
        <v>문배철강</v>
      </c>
      <c r="G460" s="161" t="str">
        <f>'4월'!G87</f>
        <v>MA</v>
      </c>
      <c r="H460" s="161" t="str">
        <f>'4월'!H87</f>
        <v>월간-IBM</v>
      </c>
      <c r="I460" s="163" t="str">
        <f>'4월'!I87</f>
        <v>4월 유지정비료 - 25/36회</v>
      </c>
      <c r="J460" s="69">
        <f>'4월'!J87</f>
        <v>1</v>
      </c>
      <c r="K460" s="29">
        <f>'4월'!K87</f>
        <v>240000</v>
      </c>
      <c r="L460" s="26">
        <f>'4월'!L87</f>
        <v>240000</v>
      </c>
      <c r="M460" s="27">
        <f>'4월'!M87</f>
        <v>24000</v>
      </c>
      <c r="N460" s="27">
        <f>'4월'!N87</f>
        <v>264000</v>
      </c>
      <c r="O460" s="52">
        <f>'4월'!O87</f>
        <v>212293</v>
      </c>
      <c r="P460" s="171" t="str">
        <f>'4월'!P87</f>
        <v>IBM(4/1)</v>
      </c>
      <c r="Q460" s="181">
        <f>'4월'!Q87</f>
        <v>27707</v>
      </c>
      <c r="R460" s="68" t="str">
        <f>'4월'!R87</f>
        <v>완료(5/26)</v>
      </c>
      <c r="S460" s="5" t="str">
        <f>'4월'!S87</f>
        <v>천범석</v>
      </c>
      <c r="T460" s="11"/>
    </row>
    <row r="461" spans="1:20">
      <c r="A461" t="s">
        <v>30</v>
      </c>
      <c r="B461" s="151" t="str">
        <f>'4월'!B88</f>
        <v>SB-24040</v>
      </c>
      <c r="C461" s="199" t="str">
        <f>'4월'!C88</f>
        <v>ZBJK3I</v>
      </c>
      <c r="D461" s="17">
        <f>'4월'!D88</f>
        <v>45777</v>
      </c>
      <c r="E461" s="214" t="str">
        <f>'4월'!E88</f>
        <v>도담솔루션</v>
      </c>
      <c r="F461" s="215" t="str">
        <f>'4월'!F88</f>
        <v>호원대학교</v>
      </c>
      <c r="G461" s="161" t="str">
        <f>'4월'!G88</f>
        <v>MA</v>
      </c>
      <c r="H461" s="2" t="str">
        <f>'4월'!H88</f>
        <v>월간-레노버</v>
      </c>
      <c r="I461" s="4" t="str">
        <f>'4월'!I88</f>
        <v>4월 유지정비료 - 11/12회</v>
      </c>
      <c r="J461" s="23">
        <f>'4월'!J88</f>
        <v>1</v>
      </c>
      <c r="K461" s="27">
        <f>'4월'!K88</f>
        <v>122000</v>
      </c>
      <c r="L461" s="26">
        <f>'4월'!L88</f>
        <v>122000</v>
      </c>
      <c r="M461" s="27">
        <f>'4월'!M88</f>
        <v>12200</v>
      </c>
      <c r="N461" s="27">
        <f>'4월'!N88</f>
        <v>134200</v>
      </c>
      <c r="O461" s="52">
        <f>'4월'!O88</f>
        <v>101400</v>
      </c>
      <c r="P461" s="197" t="str">
        <f>'4월'!P88</f>
        <v>레노버(4/30)</v>
      </c>
      <c r="Q461" s="181">
        <f>'4월'!Q88</f>
        <v>20600</v>
      </c>
      <c r="R461" s="68" t="str">
        <f>'4월'!R88</f>
        <v>완료(6/10)</v>
      </c>
      <c r="S461" s="8" t="str">
        <f>'4월'!S88</f>
        <v>천범석</v>
      </c>
      <c r="T461" s="11"/>
    </row>
    <row r="462" spans="1:20" ht="36">
      <c r="A462" t="s">
        <v>30</v>
      </c>
      <c r="B462" s="151" t="str">
        <f>'4월'!B89</f>
        <v>SM-23031</v>
      </c>
      <c r="C462" s="199"/>
      <c r="D462" s="17">
        <f>'4월'!D89</f>
        <v>45777</v>
      </c>
      <c r="E462" s="214" t="str">
        <f>'4월'!E89</f>
        <v>온더보드</v>
      </c>
      <c r="F462" s="215" t="str">
        <f>'4월'!F89</f>
        <v>삼표</v>
      </c>
      <c r="G462" s="2" t="str">
        <f>'4월'!G89</f>
        <v>MA</v>
      </c>
      <c r="H462" s="2" t="str">
        <f>'4월'!H89</f>
        <v>월간</v>
      </c>
      <c r="I462" s="4" t="str">
        <f>'4월'!I89</f>
        <v>삼표 DB세이퍼 유지보수 - 4월(9/12회)</v>
      </c>
      <c r="J462" s="23">
        <f>'4월'!J89</f>
        <v>1</v>
      </c>
      <c r="K462" s="27">
        <f>'4월'!K89</f>
        <v>1200000</v>
      </c>
      <c r="L462" s="26">
        <f>'4월'!L89</f>
        <v>1200000</v>
      </c>
      <c r="M462" s="27">
        <f>'4월'!M89</f>
        <v>120000</v>
      </c>
      <c r="N462" s="27">
        <f>'4월'!N89</f>
        <v>1320000</v>
      </c>
      <c r="O462" s="52">
        <f>'4월'!O89</f>
        <v>1058333.3333333335</v>
      </c>
      <c r="P462" s="171" t="str">
        <f>'4월'!P89</f>
        <v>신세계(4/21) 600,000
지엘정보(6/27) 반기 1,250,000(3/6회)
시스나인(1/2) 1,750,000(4/7회)</v>
      </c>
      <c r="Q462" s="181">
        <f>'4월'!Q89</f>
        <v>141666.66666666651</v>
      </c>
      <c r="R462" s="68" t="str">
        <f>'4월'!R89</f>
        <v>완료(5/30)</v>
      </c>
      <c r="S462" s="8" t="str">
        <f>'4월'!S89</f>
        <v>이예지</v>
      </c>
      <c r="T462" s="11"/>
    </row>
    <row r="463" spans="1:20" ht="24">
      <c r="A463" t="s">
        <v>30</v>
      </c>
      <c r="B463" s="151" t="str">
        <f>'4월'!B90</f>
        <v>SB-23053</v>
      </c>
      <c r="C463" s="199" t="str">
        <f>'4월'!C90</f>
        <v>Z41QIW</v>
      </c>
      <c r="D463" s="17">
        <f>'4월'!D90</f>
        <v>45777</v>
      </c>
      <c r="E463" s="214" t="str">
        <f>'4월'!E90</f>
        <v>수원정보</v>
      </c>
      <c r="F463" s="215" t="str">
        <f>'4월'!F90</f>
        <v>신세계아이앤씨</v>
      </c>
      <c r="G463" s="2" t="str">
        <f>'4월'!G90</f>
        <v>MA</v>
      </c>
      <c r="H463" s="83" t="str">
        <f>'4월'!H90</f>
        <v>월간-레노버</v>
      </c>
      <c r="I463" s="163" t="str">
        <f>'4월'!I90</f>
        <v>4월 유지정비료 - 26/46회</v>
      </c>
      <c r="J463" s="23">
        <f>'4월'!J90</f>
        <v>1</v>
      </c>
      <c r="K463" s="27">
        <f>'4월'!K90</f>
        <v>6786300</v>
      </c>
      <c r="L463" s="26">
        <f>'4월'!L90</f>
        <v>6786300</v>
      </c>
      <c r="M463" s="27">
        <f>'4월'!M90</f>
        <v>678630</v>
      </c>
      <c r="N463" s="27">
        <f>'4월'!N90</f>
        <v>7464930</v>
      </c>
      <c r="O463" s="72">
        <f>'4월'!O90</f>
        <v>5739056</v>
      </c>
      <c r="P463" s="197" t="str">
        <f>'4월'!P90</f>
        <v>레노버(4/30) 4,859,056
시스나인(25/2/28) 10,560,000 (11/12회)</v>
      </c>
      <c r="Q463" s="181">
        <f>'4월'!Q90</f>
        <v>1047244</v>
      </c>
      <c r="R463" s="68" t="str">
        <f>'4월'!R90</f>
        <v>완료(5/30)</v>
      </c>
      <c r="S463" s="8" t="str">
        <f>'4월'!S90</f>
        <v>천범석</v>
      </c>
      <c r="T463" s="11"/>
    </row>
    <row r="464" spans="1:20" ht="24">
      <c r="A464" t="s">
        <v>30</v>
      </c>
      <c r="B464" s="151" t="str">
        <f>'4월'!B91</f>
        <v>SB-24031</v>
      </c>
      <c r="C464" s="199" t="str">
        <f>'4월'!C91</f>
        <v>ZKZDVZ</v>
      </c>
      <c r="D464" s="17">
        <f>'4월'!D91</f>
        <v>45777</v>
      </c>
      <c r="E464" s="214" t="str">
        <f>'4월'!E91</f>
        <v>데이타메트렉스</v>
      </c>
      <c r="F464" s="215" t="str">
        <f>'4월'!F91</f>
        <v>롯데하이마트</v>
      </c>
      <c r="G464" s="2" t="str">
        <f>'4월'!G91</f>
        <v>MA</v>
      </c>
      <c r="H464" s="83" t="str">
        <f>'4월'!H91</f>
        <v>월간-레노버</v>
      </c>
      <c r="I464" s="162" t="str">
        <f>'4월'!I91</f>
        <v>(HW) 4월 유지정비료 - 11/12회</v>
      </c>
      <c r="J464" s="23">
        <f>'4월'!J91</f>
        <v>1</v>
      </c>
      <c r="K464" s="27">
        <f>'4월'!K91</f>
        <v>1016100</v>
      </c>
      <c r="L464" s="26">
        <f>'4월'!L91</f>
        <v>1016100</v>
      </c>
      <c r="M464" s="27">
        <f>'4월'!M91</f>
        <v>101610</v>
      </c>
      <c r="N464" s="27">
        <f>'4월'!N91</f>
        <v>1117710</v>
      </c>
      <c r="O464" s="72">
        <f>'4월'!O91</f>
        <v>964800</v>
      </c>
      <c r="P464" s="197" t="str">
        <f>'4월'!P91</f>
        <v>레노버(4/30)
시스나인(25/3/4) 2,160,000(5/6회)</v>
      </c>
      <c r="Q464" s="181">
        <f>'4월'!Q91</f>
        <v>51300</v>
      </c>
      <c r="R464" s="68" t="str">
        <f>'4월'!R91</f>
        <v>완료(5/29)</v>
      </c>
      <c r="S464" s="36" t="str">
        <f>'4월'!S91</f>
        <v>천범석</v>
      </c>
      <c r="T464" s="75"/>
    </row>
    <row r="465" spans="1:20">
      <c r="A465" t="s">
        <v>30</v>
      </c>
      <c r="B465" s="151" t="str">
        <f>'4월'!B92</f>
        <v>SB-24028</v>
      </c>
      <c r="C465" s="199" t="str">
        <f>'4월'!C92</f>
        <v>ZCX01Z</v>
      </c>
      <c r="D465" s="17">
        <f>'4월'!D92</f>
        <v>45777</v>
      </c>
      <c r="E465" s="214" t="str">
        <f>'4월'!E92</f>
        <v>다솜테크</v>
      </c>
      <c r="F465" s="215" t="str">
        <f>'4월'!F92</f>
        <v>대한산업보건협회</v>
      </c>
      <c r="G465" s="2" t="str">
        <f>'4월'!G92</f>
        <v>MA</v>
      </c>
      <c r="H465" s="83" t="str">
        <f>'4월'!H92</f>
        <v>월간-레노버</v>
      </c>
      <c r="I465" s="4" t="str">
        <f>'4월'!I92</f>
        <v>4월 유지정비료 - 12/12회</v>
      </c>
      <c r="J465" s="23">
        <f>'4월'!J92</f>
        <v>1</v>
      </c>
      <c r="K465" s="27">
        <f>'4월'!K92</f>
        <v>204700</v>
      </c>
      <c r="L465" s="26">
        <f>'4월'!L92</f>
        <v>204700</v>
      </c>
      <c r="M465" s="27">
        <f>'4월'!M92</f>
        <v>20470</v>
      </c>
      <c r="N465" s="27">
        <f>'4월'!N92</f>
        <v>225170</v>
      </c>
      <c r="O465" s="52">
        <f>'4월'!O92</f>
        <v>243955</v>
      </c>
      <c r="P465" s="197" t="str">
        <f>'4월'!P92</f>
        <v>레노버(4/30)</v>
      </c>
      <c r="Q465" s="181">
        <f>'4월'!Q92</f>
        <v>-39255</v>
      </c>
      <c r="R465" s="68" t="str">
        <f>'4월'!R92</f>
        <v>완료(6/30)</v>
      </c>
      <c r="S465" s="8" t="str">
        <f>'4월'!S92</f>
        <v>천범석</v>
      </c>
      <c r="T465" s="11"/>
    </row>
    <row r="466" spans="1:20">
      <c r="A466" t="s">
        <v>30</v>
      </c>
      <c r="B466" s="151" t="str">
        <f>'4월'!B93</f>
        <v>SB-24044</v>
      </c>
      <c r="C466" s="199" t="str">
        <f>'4월'!C93</f>
        <v>ZSWUX2</v>
      </c>
      <c r="D466" s="17">
        <f>'4월'!D93</f>
        <v>45777</v>
      </c>
      <c r="E466" s="214" t="str">
        <f>'4월'!E93</f>
        <v>다솜테크</v>
      </c>
      <c r="F466" s="215" t="str">
        <f>'4월'!F93</f>
        <v>LX홀딩스</v>
      </c>
      <c r="G466" s="2" t="str">
        <f>'4월'!G93</f>
        <v>MA</v>
      </c>
      <c r="H466" s="83" t="str">
        <f>'4월'!H93</f>
        <v>월간-레노버</v>
      </c>
      <c r="I466" s="163" t="str">
        <f>'4월'!I93</f>
        <v>4월 유지정비료 - 10/12회</v>
      </c>
      <c r="J466" s="23">
        <f>'4월'!J93</f>
        <v>1</v>
      </c>
      <c r="K466" s="27">
        <f>'4월'!K93</f>
        <v>573000</v>
      </c>
      <c r="L466" s="26">
        <f>'4월'!L93</f>
        <v>573000</v>
      </c>
      <c r="M466" s="27">
        <f>'4월'!M93</f>
        <v>57300</v>
      </c>
      <c r="N466" s="27">
        <f>'4월'!N93</f>
        <v>630300</v>
      </c>
      <c r="O466" s="52">
        <f>'4월'!O93</f>
        <v>505200</v>
      </c>
      <c r="P466" s="197" t="str">
        <f>'4월'!P93</f>
        <v>레노버(4/30)</v>
      </c>
      <c r="Q466" s="181">
        <f>'4월'!Q93</f>
        <v>67800</v>
      </c>
      <c r="R466" s="68" t="str">
        <f>'4월'!R93</f>
        <v>완료(6/30)</v>
      </c>
      <c r="S466" s="8" t="str">
        <f>'4월'!S93</f>
        <v>천범석</v>
      </c>
      <c r="T466" s="11"/>
    </row>
    <row r="467" spans="1:20">
      <c r="A467" t="s">
        <v>30</v>
      </c>
      <c r="B467" s="151" t="str">
        <f>'4월'!B94</f>
        <v>SB-24046</v>
      </c>
      <c r="C467" s="199" t="str">
        <f>'4월'!C94</f>
        <v>Z8LTG0</v>
      </c>
      <c r="D467" s="17">
        <f>'4월'!D94</f>
        <v>45777</v>
      </c>
      <c r="E467" s="214" t="str">
        <f>'4월'!E94</f>
        <v>다솜테크</v>
      </c>
      <c r="F467" s="215" t="str">
        <f>'4월'!F94</f>
        <v>웰컴저축은행</v>
      </c>
      <c r="G467" s="2" t="str">
        <f>'4월'!G94</f>
        <v>MA</v>
      </c>
      <c r="H467" s="83" t="str">
        <f>'4월'!H94</f>
        <v>월간-레노버</v>
      </c>
      <c r="I467" s="163" t="str">
        <f>'4월'!I94</f>
        <v>4월 유지정비료 - 9/12회</v>
      </c>
      <c r="J467" s="23">
        <f>'4월'!J94</f>
        <v>1</v>
      </c>
      <c r="K467" s="27">
        <f>'4월'!K94</f>
        <v>220000</v>
      </c>
      <c r="L467" s="26">
        <f>'4월'!L94</f>
        <v>220000</v>
      </c>
      <c r="M467" s="27">
        <f>'4월'!M94</f>
        <v>22000</v>
      </c>
      <c r="N467" s="27">
        <f>'4월'!N94</f>
        <v>242000</v>
      </c>
      <c r="O467" s="52">
        <f>'4월'!O94</f>
        <v>204600</v>
      </c>
      <c r="P467" s="197" t="str">
        <f>'4월'!P94</f>
        <v>레노버(4/30)</v>
      </c>
      <c r="Q467" s="181">
        <f>'4월'!Q94</f>
        <v>15400</v>
      </c>
      <c r="R467" s="68" t="str">
        <f>'4월'!R94</f>
        <v>완료(6/30)</v>
      </c>
      <c r="S467" s="8" t="str">
        <f>'4월'!S94</f>
        <v>천범석</v>
      </c>
      <c r="T467" s="11"/>
    </row>
    <row r="468" spans="1:20">
      <c r="A468" t="s">
        <v>30</v>
      </c>
      <c r="B468" s="151" t="str">
        <f>'4월'!B95</f>
        <v>SB-24061</v>
      </c>
      <c r="C468" s="153" t="str">
        <f>'4월'!C95</f>
        <v>ZVVVON</v>
      </c>
      <c r="D468" s="17">
        <f>'4월'!D95</f>
        <v>45777</v>
      </c>
      <c r="E468" s="214" t="str">
        <f>'4월'!E95</f>
        <v>다솜테크</v>
      </c>
      <c r="F468" s="215" t="str">
        <f>'4월'!F95</f>
        <v>롯데이노베이트(롯데정보통신)</v>
      </c>
      <c r="G468" s="2" t="str">
        <f>'4월'!G95</f>
        <v>MA</v>
      </c>
      <c r="H468" s="2" t="str">
        <f>'4월'!H95</f>
        <v>월간-레노버</v>
      </c>
      <c r="I468" s="4" t="str">
        <f>'4월'!I95</f>
        <v>4월 유지정비료 - 4/12회</v>
      </c>
      <c r="J468" s="23">
        <f>'4월'!J95</f>
        <v>1</v>
      </c>
      <c r="K468" s="27">
        <f>'4월'!K95</f>
        <v>700000</v>
      </c>
      <c r="L468" s="26">
        <f>'4월'!L95</f>
        <v>700000</v>
      </c>
      <c r="M468" s="27">
        <f>'4월'!M95</f>
        <v>70000</v>
      </c>
      <c r="N468" s="27">
        <f>'4월'!N95</f>
        <v>770000</v>
      </c>
      <c r="O468" s="33">
        <f>'4월'!O95</f>
        <v>661800</v>
      </c>
      <c r="P468" s="197" t="str">
        <f>'4월'!P95</f>
        <v>레노버(4/30)</v>
      </c>
      <c r="Q468" s="20">
        <f>'4월'!Q95</f>
        <v>38200</v>
      </c>
      <c r="R468" s="68" t="str">
        <f>'4월'!R95</f>
        <v>완료(6/30)</v>
      </c>
      <c r="S468" s="5" t="str">
        <f>'4월'!S95</f>
        <v>천범석</v>
      </c>
      <c r="T468" s="11"/>
    </row>
    <row r="469" spans="1:20" ht="24">
      <c r="A469" t="s">
        <v>30</v>
      </c>
      <c r="B469" s="151" t="str">
        <f>'4월'!B96</f>
        <v>SB-24063</v>
      </c>
      <c r="C469" s="153" t="str">
        <f>'4월'!C96</f>
        <v>ZIR05U</v>
      </c>
      <c r="D469" s="17">
        <f>'4월'!D96</f>
        <v>45777</v>
      </c>
      <c r="E469" s="214" t="str">
        <f>'4월'!E96</f>
        <v>다솜테크</v>
      </c>
      <c r="F469" s="215" t="str">
        <f>'4월'!F96</f>
        <v>이원(E1)컨테이너터미널 #1</v>
      </c>
      <c r="G469" s="2" t="str">
        <f>'4월'!G96</f>
        <v>MA</v>
      </c>
      <c r="H469" s="2" t="str">
        <f>'4월'!H96</f>
        <v>월간-레노버</v>
      </c>
      <c r="I469" s="4" t="str">
        <f>'4월'!I96</f>
        <v>4월 유지정비료 - 4/12회</v>
      </c>
      <c r="J469" s="23">
        <f>'4월'!J96</f>
        <v>1</v>
      </c>
      <c r="K469" s="27">
        <f>'4월'!K96</f>
        <v>380000</v>
      </c>
      <c r="L469" s="26">
        <f>'4월'!L96</f>
        <v>380000</v>
      </c>
      <c r="M469" s="27">
        <f>'4월'!M96</f>
        <v>38000</v>
      </c>
      <c r="N469" s="27">
        <f>'4월'!N96</f>
        <v>418000</v>
      </c>
      <c r="O469" s="33">
        <f>'4월'!O96</f>
        <v>331466.66666666669</v>
      </c>
      <c r="P469" s="197" t="str">
        <f>'4월'!P96</f>
        <v>레노버(4/30) 
시스나인(1/2) 연500,000(4/12회)</v>
      </c>
      <c r="Q469" s="20">
        <f>'4월'!Q96</f>
        <v>48533.333333333314</v>
      </c>
      <c r="R469" s="68" t="str">
        <f>'4월'!R96</f>
        <v>완료(6/30)</v>
      </c>
      <c r="S469" s="5" t="str">
        <f>'4월'!S96</f>
        <v>천범석</v>
      </c>
      <c r="T469" s="11"/>
    </row>
    <row r="470" spans="1:20">
      <c r="A470" t="s">
        <v>30</v>
      </c>
      <c r="B470" s="151" t="str">
        <f>'4월'!B97</f>
        <v>SB-24064</v>
      </c>
      <c r="C470" s="153" t="str">
        <f>'4월'!C97</f>
        <v>ZOTN1N</v>
      </c>
      <c r="D470" s="17">
        <f>'4월'!D97</f>
        <v>45777</v>
      </c>
      <c r="E470" s="214" t="str">
        <f>'4월'!E97</f>
        <v>다솜테크</v>
      </c>
      <c r="F470" s="215" t="str">
        <f>'4월'!F97</f>
        <v>이원(E1)컨테이너터미널 #2</v>
      </c>
      <c r="G470" s="2" t="str">
        <f>'4월'!G97</f>
        <v>MA</v>
      </c>
      <c r="H470" s="2" t="str">
        <f>'4월'!H97</f>
        <v>월간-레노버</v>
      </c>
      <c r="I470" s="4" t="str">
        <f>'4월'!I97</f>
        <v>4월 유지정비료 - 4/12회</v>
      </c>
      <c r="J470" s="23">
        <f>'4월'!J97</f>
        <v>1</v>
      </c>
      <c r="K470" s="27">
        <f>'4월'!K97</f>
        <v>625000</v>
      </c>
      <c r="L470" s="26">
        <f>'4월'!L97</f>
        <v>625000</v>
      </c>
      <c r="M470" s="27">
        <f>'4월'!M97</f>
        <v>62500</v>
      </c>
      <c r="N470" s="27">
        <f>'4월'!N97</f>
        <v>687500</v>
      </c>
      <c r="O470" s="33">
        <f>'4월'!O97</f>
        <v>590400</v>
      </c>
      <c r="P470" s="197" t="str">
        <f>'4월'!P97</f>
        <v>레노버(4/30)</v>
      </c>
      <c r="Q470" s="20">
        <f>'4월'!Q97</f>
        <v>34600</v>
      </c>
      <c r="R470" s="68" t="str">
        <f>'4월'!R97</f>
        <v>완료(6/30)</v>
      </c>
      <c r="S470" s="5" t="str">
        <f>'4월'!S97</f>
        <v>천범석</v>
      </c>
      <c r="T470" s="11"/>
    </row>
    <row r="471" spans="1:20">
      <c r="A471" t="s">
        <v>30</v>
      </c>
      <c r="B471" s="151" t="str">
        <f>'4월'!B98</f>
        <v>SB-24065</v>
      </c>
      <c r="C471" s="153" t="str">
        <f>'4월'!C98</f>
        <v>ZDFIN7</v>
      </c>
      <c r="D471" s="17">
        <f>'4월'!D98</f>
        <v>45777</v>
      </c>
      <c r="E471" s="214" t="str">
        <f>'4월'!E98</f>
        <v>다솜테크</v>
      </c>
      <c r="F471" s="215" t="str">
        <f>'4월'!F98</f>
        <v>안산시청</v>
      </c>
      <c r="G471" s="2" t="str">
        <f>'4월'!G98</f>
        <v>MA</v>
      </c>
      <c r="H471" s="2" t="str">
        <f>'4월'!H98</f>
        <v>월간-레노버</v>
      </c>
      <c r="I471" s="4" t="str">
        <f>'4월'!I98</f>
        <v>4월 유지정비료 - 4/12회</v>
      </c>
      <c r="J471" s="23">
        <f>'4월'!J98</f>
        <v>1</v>
      </c>
      <c r="K471" s="27">
        <f>'4월'!K98</f>
        <v>1232000</v>
      </c>
      <c r="L471" s="26">
        <f>'4월'!L98</f>
        <v>1232000</v>
      </c>
      <c r="M471" s="27">
        <f>'4월'!M98</f>
        <v>123200</v>
      </c>
      <c r="N471" s="27">
        <f>'4월'!N98</f>
        <v>1355200</v>
      </c>
      <c r="O471" s="33">
        <f>'4월'!O98</f>
        <v>1196100</v>
      </c>
      <c r="P471" s="197" t="str">
        <f>'4월'!P98</f>
        <v>레노버(4/30)</v>
      </c>
      <c r="Q471" s="20">
        <f>'4월'!Q98</f>
        <v>35900</v>
      </c>
      <c r="R471" s="68" t="str">
        <f>'4월'!R98</f>
        <v>완료(6/30)</v>
      </c>
      <c r="S471" s="8" t="str">
        <f>'4월'!S98</f>
        <v>천범석</v>
      </c>
      <c r="T471" s="11"/>
    </row>
    <row r="472" spans="1:20">
      <c r="A472" t="s">
        <v>30</v>
      </c>
      <c r="B472" s="151" t="str">
        <f>'4월'!B99</f>
        <v>SB-25013</v>
      </c>
      <c r="C472" s="153" t="str">
        <f>'4월'!C99</f>
        <v>ZL9ADS</v>
      </c>
      <c r="D472" s="17">
        <f>'4월'!D99</f>
        <v>45777</v>
      </c>
      <c r="E472" s="214" t="str">
        <f>'4월'!E99</f>
        <v>다솜테크</v>
      </c>
      <c r="F472" s="215" t="str">
        <f>'4월'!F99</f>
        <v>LG AI</v>
      </c>
      <c r="G472" s="2" t="str">
        <f>'4월'!G99</f>
        <v>MA</v>
      </c>
      <c r="H472" s="2" t="str">
        <f>'4월'!H99</f>
        <v>월간-레노버</v>
      </c>
      <c r="I472" s="4" t="str">
        <f>'4월'!I99</f>
        <v>4월 유지정비료 - 4/12회</v>
      </c>
      <c r="J472" s="23">
        <f>'4월'!J99</f>
        <v>1</v>
      </c>
      <c r="K472" s="27">
        <f>'4월'!K99</f>
        <v>535000</v>
      </c>
      <c r="L472" s="26">
        <f>'4월'!L99</f>
        <v>535000</v>
      </c>
      <c r="M472" s="27">
        <f>'4월'!M99</f>
        <v>53500</v>
      </c>
      <c r="N472" s="27">
        <f>'4월'!N99</f>
        <v>588500</v>
      </c>
      <c r="O472" s="82">
        <f>'4월'!O99</f>
        <v>496800</v>
      </c>
      <c r="P472" s="197" t="str">
        <f>'4월'!P99</f>
        <v>레노버(4/30)</v>
      </c>
      <c r="Q472" s="20">
        <f>'4월'!Q99</f>
        <v>38200</v>
      </c>
      <c r="R472" s="68" t="str">
        <f>'4월'!R99</f>
        <v>완료(6/30)</v>
      </c>
      <c r="S472" s="8" t="str">
        <f>'4월'!S99</f>
        <v>천범석</v>
      </c>
      <c r="T472" s="11"/>
    </row>
    <row r="473" spans="1:20">
      <c r="A473" t="s">
        <v>30</v>
      </c>
      <c r="B473" s="151" t="str">
        <f>'4월'!B100</f>
        <v>IK-25003</v>
      </c>
      <c r="C473" s="200"/>
      <c r="D473" s="17">
        <f>'4월'!D100</f>
        <v>45777</v>
      </c>
      <c r="E473" s="214" t="str">
        <f>'4월'!E100</f>
        <v>엔콤</v>
      </c>
      <c r="F473" s="189" t="str">
        <f>'4월'!F100</f>
        <v>전북도시가스</v>
      </c>
      <c r="G473" s="161" t="str">
        <f>'4월'!G100</f>
        <v>MA</v>
      </c>
      <c r="H473" s="161" t="str">
        <f>'4월'!H100</f>
        <v>월간-IBM</v>
      </c>
      <c r="I473" s="163" t="str">
        <f>'4월'!I100</f>
        <v>4월 유지정비료 - 1/12회</v>
      </c>
      <c r="J473" s="24">
        <f>'4월'!J100</f>
        <v>1</v>
      </c>
      <c r="K473" s="26">
        <f>'4월'!K100</f>
        <v>1600000</v>
      </c>
      <c r="L473" s="26">
        <f>'4월'!L100</f>
        <v>1600000</v>
      </c>
      <c r="M473" s="27">
        <f>'4월'!M100</f>
        <v>160000</v>
      </c>
      <c r="N473" s="27">
        <f>'4월'!N100</f>
        <v>1760000</v>
      </c>
      <c r="O473" s="72">
        <f>'4월'!O100</f>
        <v>1352754</v>
      </c>
      <c r="P473" s="171" t="str">
        <f>'4월'!P100</f>
        <v>IBM(4/1)</v>
      </c>
      <c r="Q473" s="181">
        <f>'4월'!Q100</f>
        <v>247246</v>
      </c>
      <c r="R473" s="68" t="str">
        <f>'4월'!R100</f>
        <v>완료(5/28)</v>
      </c>
      <c r="S473" s="5" t="str">
        <f>'4월'!S100</f>
        <v>천범석</v>
      </c>
      <c r="T473" s="11"/>
    </row>
    <row r="474" spans="1:20" ht="24">
      <c r="A474" t="s">
        <v>30</v>
      </c>
      <c r="B474" s="151" t="str">
        <f>'4월'!B101</f>
        <v>IK-24006</v>
      </c>
      <c r="C474" s="199"/>
      <c r="D474" s="17">
        <f>'4월'!D101</f>
        <v>45777</v>
      </c>
      <c r="E474" s="214" t="str">
        <f>'4월'!E101</f>
        <v>서부컨테이너터미널</v>
      </c>
      <c r="F474" s="215"/>
      <c r="G474" s="161" t="str">
        <f>'4월'!G101</f>
        <v>MA</v>
      </c>
      <c r="H474" s="161" t="str">
        <f>'4월'!H101</f>
        <v>월간-IBM</v>
      </c>
      <c r="I474" s="163" t="str">
        <f>'4월'!I101</f>
        <v>4월 유지정비료 - 12/24회</v>
      </c>
      <c r="J474" s="23">
        <f>'4월'!J101</f>
        <v>1</v>
      </c>
      <c r="K474" s="27">
        <f>'4월'!K101</f>
        <v>3916667</v>
      </c>
      <c r="L474" s="26">
        <f>'4월'!L101</f>
        <v>3916667</v>
      </c>
      <c r="M474" s="27">
        <f>'4월'!M101</f>
        <v>391667</v>
      </c>
      <c r="N474" s="27">
        <f>'4월'!N101</f>
        <v>4308334</v>
      </c>
      <c r="O474" s="72">
        <f>'4월'!O101</f>
        <v>3691369.1666666665</v>
      </c>
      <c r="P474" s="223" t="str">
        <f>'4월'!P101</f>
        <v>IBM(5/3)연간 5,423,462(12/12회)
IBM(4/1) 3,239,414</v>
      </c>
      <c r="Q474" s="181">
        <f>'4월'!Q101</f>
        <v>225297.83333333349</v>
      </c>
      <c r="R474" s="68" t="str">
        <f>'4월'!R101</f>
        <v>완료(5/30)</v>
      </c>
      <c r="S474" s="8" t="str">
        <f>'4월'!S101</f>
        <v>홍승민</v>
      </c>
      <c r="T474" s="11"/>
    </row>
    <row r="475" spans="1:20">
      <c r="A475" t="s">
        <v>30</v>
      </c>
      <c r="B475" s="151" t="str">
        <f>'4월'!B102</f>
        <v>SB-24027</v>
      </c>
      <c r="C475" s="199" t="str">
        <f>'4월'!C102</f>
        <v>ZGTHWJ</v>
      </c>
      <c r="D475" s="17">
        <f>'4월'!D102</f>
        <v>45777</v>
      </c>
      <c r="E475" s="214" t="str">
        <f>'4월'!E102</f>
        <v>시스템본</v>
      </c>
      <c r="F475" s="215" t="str">
        <f>'4월'!F102</f>
        <v>엘지유플러스</v>
      </c>
      <c r="G475" s="2" t="str">
        <f>'4월'!G102</f>
        <v>MA</v>
      </c>
      <c r="H475" s="83" t="str">
        <f>'4월'!H102</f>
        <v>월간-레노버</v>
      </c>
      <c r="I475" s="4" t="str">
        <f>'4월'!I102</f>
        <v>4월 유지정비료 - 12/32회</v>
      </c>
      <c r="J475" s="23">
        <f>'4월'!J102</f>
        <v>1</v>
      </c>
      <c r="K475" s="27">
        <f>'4월'!K102</f>
        <v>659700</v>
      </c>
      <c r="L475" s="26">
        <f>'4월'!L102</f>
        <v>659700</v>
      </c>
      <c r="M475" s="27">
        <f>'4월'!M102</f>
        <v>65970</v>
      </c>
      <c r="N475" s="27">
        <f>'4월'!N102</f>
        <v>725670</v>
      </c>
      <c r="O475" s="72">
        <f>'4월'!O102</f>
        <v>518541</v>
      </c>
      <c r="P475" s="197" t="str">
        <f>'4월'!P102</f>
        <v>레노버(4/30)</v>
      </c>
      <c r="Q475" s="181">
        <f>'4월'!Q102</f>
        <v>141159</v>
      </c>
      <c r="R475" s="68" t="str">
        <f>'4월'!R102</f>
        <v>완료(6/30)</v>
      </c>
      <c r="S475" s="8" t="str">
        <f>'4월'!S102</f>
        <v>천범석</v>
      </c>
      <c r="T475" s="75"/>
    </row>
    <row r="476" spans="1:20">
      <c r="A476" t="s">
        <v>30</v>
      </c>
      <c r="B476" s="151" t="str">
        <f>'4월'!B103</f>
        <v>SB-24034</v>
      </c>
      <c r="C476" s="199" t="str">
        <f>'4월'!C103</f>
        <v>Z11I89</v>
      </c>
      <c r="D476" s="17">
        <f>'4월'!D103</f>
        <v>45777</v>
      </c>
      <c r="E476" s="214" t="str">
        <f>'4월'!E103</f>
        <v>씨원시스템</v>
      </c>
      <c r="F476" s="215" t="str">
        <f>'4월'!F103</f>
        <v>이녹스(패션그룹형지)</v>
      </c>
      <c r="G476" s="2" t="str">
        <f>'4월'!G103</f>
        <v>MA</v>
      </c>
      <c r="H476" s="83" t="str">
        <f>'4월'!H103</f>
        <v>월간-레노버</v>
      </c>
      <c r="I476" s="4" t="str">
        <f>'4월'!I103</f>
        <v>4월 유지정비료 - 11/12회</v>
      </c>
      <c r="J476" s="23">
        <f>'4월'!J103</f>
        <v>1</v>
      </c>
      <c r="K476" s="27">
        <f>'4월'!K103</f>
        <v>285500</v>
      </c>
      <c r="L476" s="26">
        <f>'4월'!L103</f>
        <v>285500</v>
      </c>
      <c r="M476" s="27">
        <f>'4월'!M103</f>
        <v>28550</v>
      </c>
      <c r="N476" s="27">
        <f>'4월'!N103</f>
        <v>314050</v>
      </c>
      <c r="O476" s="72">
        <f>'4월'!O103</f>
        <v>249900</v>
      </c>
      <c r="P476" s="197" t="str">
        <f>'4월'!P103</f>
        <v>레노버(4/30)</v>
      </c>
      <c r="Q476" s="181">
        <f>'4월'!Q103</f>
        <v>35600</v>
      </c>
      <c r="R476" s="68" t="str">
        <f>'4월'!R103</f>
        <v>완료(6/30)</v>
      </c>
      <c r="S476" s="8" t="str">
        <f>'4월'!S103</f>
        <v>천범석</v>
      </c>
      <c r="T476" s="75"/>
    </row>
    <row r="477" spans="1:20" ht="24">
      <c r="A477" t="s">
        <v>30</v>
      </c>
      <c r="B477" s="151" t="str">
        <f>'4월'!B104</f>
        <v>LI-24003</v>
      </c>
      <c r="C477" s="199" t="str">
        <f>'4월'!C104</f>
        <v>ZE7QNO</v>
      </c>
      <c r="D477" s="17">
        <f>'4월'!D104</f>
        <v>45777</v>
      </c>
      <c r="E477" s="214" t="str">
        <f>'4월'!E104</f>
        <v>지엔콤</v>
      </c>
      <c r="F477" s="215" t="str">
        <f>'4월'!F104</f>
        <v>전주교육대학교</v>
      </c>
      <c r="G477" s="2" t="str">
        <f>'4월'!G104</f>
        <v>MA</v>
      </c>
      <c r="H477" s="83" t="str">
        <f>'4월'!H104</f>
        <v>월간-레노버</v>
      </c>
      <c r="I477" s="163" t="str">
        <f>'4월'!I104</f>
        <v>4월 유지정비료 - 12/12회</v>
      </c>
      <c r="J477" s="23">
        <f>'4월'!J104</f>
        <v>1</v>
      </c>
      <c r="K477" s="27">
        <f>'4월'!K104</f>
        <v>909000</v>
      </c>
      <c r="L477" s="26">
        <f>'4월'!L104</f>
        <v>909000</v>
      </c>
      <c r="M477" s="27">
        <f>'4월'!M104</f>
        <v>90900</v>
      </c>
      <c r="N477" s="27">
        <f>'4월'!N104</f>
        <v>999900</v>
      </c>
      <c r="O477" s="72">
        <f>'4월'!O104</f>
        <v>615780</v>
      </c>
      <c r="P477" s="223" t="str">
        <f>'4월'!P104</f>
        <v>레노버(2/28) 310,500
IBM(4/1) 305,280</v>
      </c>
      <c r="Q477" s="181">
        <f>'4월'!Q104</f>
        <v>293220</v>
      </c>
      <c r="R477" s="68" t="str">
        <f>'4월'!R104</f>
        <v>완료(5/30)</v>
      </c>
      <c r="S477" s="8" t="str">
        <f>'4월'!S104</f>
        <v>천범석</v>
      </c>
      <c r="T477" s="11"/>
    </row>
    <row r="478" spans="1:20">
      <c r="A478" t="s">
        <v>30</v>
      </c>
      <c r="B478" s="151" t="str">
        <f>'4월'!B105</f>
        <v>SB-24036</v>
      </c>
      <c r="C478" s="199"/>
      <c r="D478" s="17">
        <f>'4월'!D105</f>
        <v>45777</v>
      </c>
      <c r="E478" s="214" t="str">
        <f>'4월'!E105</f>
        <v>나라정보</v>
      </c>
      <c r="F478" s="215" t="str">
        <f>'4월'!F105</f>
        <v>부국철강</v>
      </c>
      <c r="G478" s="2" t="str">
        <f>'4월'!G105</f>
        <v>MA</v>
      </c>
      <c r="H478" s="161" t="str">
        <f>'4월'!H105</f>
        <v>월간-IBM</v>
      </c>
      <c r="I478" s="163" t="str">
        <f>'4월'!I105</f>
        <v>4월 유지정비료 - 12/32회</v>
      </c>
      <c r="J478" s="23">
        <f>'4월'!J105</f>
        <v>1</v>
      </c>
      <c r="K478" s="27">
        <f>'4월'!K105</f>
        <v>207000</v>
      </c>
      <c r="L478" s="26">
        <f>'4월'!L105</f>
        <v>207000</v>
      </c>
      <c r="M478" s="27">
        <f>'4월'!M105</f>
        <v>20700</v>
      </c>
      <c r="N478" s="27">
        <f>'4월'!N105</f>
        <v>227700</v>
      </c>
      <c r="O478" s="72">
        <f>'4월'!O105</f>
        <v>190849</v>
      </c>
      <c r="P478" s="171" t="str">
        <f>'4월'!P105</f>
        <v>IBM(4/1)</v>
      </c>
      <c r="Q478" s="181">
        <f>'4월'!Q105</f>
        <v>16151</v>
      </c>
      <c r="R478" s="68" t="str">
        <f>'4월'!R105</f>
        <v>완료(5/30)</v>
      </c>
      <c r="S478" s="8" t="str">
        <f>'4월'!S105</f>
        <v>천범석</v>
      </c>
      <c r="T478" s="11"/>
    </row>
    <row r="479" spans="1:20">
      <c r="A479" t="s">
        <v>30</v>
      </c>
      <c r="B479" s="151" t="str">
        <f>'4월'!B106</f>
        <v>SM-24013</v>
      </c>
      <c r="C479" s="199"/>
      <c r="D479" s="17">
        <f>'4월'!D106</f>
        <v>45777</v>
      </c>
      <c r="E479" s="214" t="str">
        <f>'4월'!E106</f>
        <v>비즈윈</v>
      </c>
      <c r="F479" s="215" t="str">
        <f>'4월'!F106</f>
        <v>한국소비자보호원</v>
      </c>
      <c r="G479" s="2" t="str">
        <f>'4월'!G106</f>
        <v>MA</v>
      </c>
      <c r="H479" s="161" t="str">
        <f>'4월'!H106</f>
        <v>월간</v>
      </c>
      <c r="I479" s="162" t="str">
        <f>'4월'!I106</f>
        <v>4월 유지정비료 - 13/21회</v>
      </c>
      <c r="J479" s="23">
        <f>'4월'!J106</f>
        <v>1</v>
      </c>
      <c r="K479" s="27">
        <f>'4월'!K106</f>
        <v>155000</v>
      </c>
      <c r="L479" s="26">
        <f>'4월'!L106</f>
        <v>155000</v>
      </c>
      <c r="M479" s="27">
        <f>'4월'!M106</f>
        <v>15500</v>
      </c>
      <c r="N479" s="27">
        <f>'4월'!N106</f>
        <v>170500</v>
      </c>
      <c r="O479" s="52">
        <f>'4월'!O106</f>
        <v>120000</v>
      </c>
      <c r="P479" s="171" t="str">
        <f>'4월'!P106</f>
        <v>시스나인(1/2)연간 1,440,000(4/12회)</v>
      </c>
      <c r="Q479" s="181">
        <f>'4월'!Q106</f>
        <v>35000</v>
      </c>
      <c r="R479" s="68" t="str">
        <f>'4월'!R106</f>
        <v>완료(5/30)</v>
      </c>
      <c r="S479" s="36" t="str">
        <f>'4월'!S106</f>
        <v>이예지</v>
      </c>
      <c r="T479" s="75"/>
    </row>
    <row r="480" spans="1:20">
      <c r="A480" t="s">
        <v>30</v>
      </c>
      <c r="B480" s="151" t="str">
        <f>'4월'!B107</f>
        <v>SM-23020</v>
      </c>
      <c r="C480" s="200" t="str">
        <f>'4월'!C107</f>
        <v>ZZNUMY</v>
      </c>
      <c r="D480" s="17">
        <f>'4월'!D107</f>
        <v>45777</v>
      </c>
      <c r="E480" s="214" t="str">
        <f>'4월'!E107</f>
        <v>현대종합금속</v>
      </c>
      <c r="F480" s="189" t="str">
        <f>'4월'!F107</f>
        <v>포항</v>
      </c>
      <c r="G480" s="161" t="str">
        <f>'4월'!G107</f>
        <v>MA</v>
      </c>
      <c r="H480" s="161" t="str">
        <f>'4월'!H107</f>
        <v>월간-IBM</v>
      </c>
      <c r="I480" s="163" t="str">
        <f>'4월'!I107</f>
        <v>4월 유지정비료 - 10/12회</v>
      </c>
      <c r="J480" s="24">
        <f>'4월'!J107</f>
        <v>1</v>
      </c>
      <c r="K480" s="26">
        <f>'4월'!K107</f>
        <v>700000</v>
      </c>
      <c r="L480" s="26">
        <f>'4월'!L107</f>
        <v>700000</v>
      </c>
      <c r="M480" s="27">
        <f>'4월'!M107</f>
        <v>70000</v>
      </c>
      <c r="N480" s="27">
        <f>'4월'!N107</f>
        <v>770000</v>
      </c>
      <c r="O480" s="33">
        <f>'4월'!O107</f>
        <v>499500</v>
      </c>
      <c r="P480" s="197" t="str">
        <f>'4월'!P107</f>
        <v>레노버(4/30)</v>
      </c>
      <c r="Q480" s="21">
        <f>'4월'!Q107</f>
        <v>200500</v>
      </c>
      <c r="R480" s="68" t="str">
        <f>'4월'!R107</f>
        <v>완료(5/12)</v>
      </c>
      <c r="S480" s="5" t="str">
        <f>'4월'!S107</f>
        <v>이예지</v>
      </c>
      <c r="T480" s="11"/>
    </row>
    <row r="481" spans="1:20">
      <c r="A481" t="s">
        <v>30</v>
      </c>
      <c r="B481" s="151" t="str">
        <f>'4월'!B108</f>
        <v>SB-24052</v>
      </c>
      <c r="C481" s="153" t="str">
        <f>'4월'!C108</f>
        <v>ZUIU6G</v>
      </c>
      <c r="D481" s="17">
        <f>'4월'!D108</f>
        <v>45777</v>
      </c>
      <c r="E481" s="214" t="str">
        <f>'4월'!E108</f>
        <v>유티모스트</v>
      </c>
      <c r="F481" s="215" t="str">
        <f>'4월'!F108</f>
        <v>삼성중공업</v>
      </c>
      <c r="G481" s="161" t="str">
        <f>'4월'!G108</f>
        <v>MA</v>
      </c>
      <c r="H481" s="83" t="str">
        <f>'4월'!H108</f>
        <v>월간-레노버</v>
      </c>
      <c r="I481" s="4" t="str">
        <f>'4월'!I108</f>
        <v>4월 유지정비료 - 7/15회</v>
      </c>
      <c r="J481" s="23">
        <f>'4월'!J108</f>
        <v>1</v>
      </c>
      <c r="K481" s="27">
        <f>'4월'!K108</f>
        <v>13057800</v>
      </c>
      <c r="L481" s="26">
        <f>'4월'!L108</f>
        <v>13057800</v>
      </c>
      <c r="M481" s="27">
        <f>'4월'!M108</f>
        <v>1305780</v>
      </c>
      <c r="N481" s="27">
        <f>'4월'!N108</f>
        <v>14363580</v>
      </c>
      <c r="O481" s="33">
        <f>'4월'!O108</f>
        <v>11892500</v>
      </c>
      <c r="P481" s="197" t="str">
        <f>'4월'!P108</f>
        <v>레노버(4/30)</v>
      </c>
      <c r="Q481" s="21">
        <f>'4월'!Q108</f>
        <v>1165300</v>
      </c>
      <c r="R481" s="68" t="str">
        <f>'4월'!R108</f>
        <v>완료(5/30)</v>
      </c>
      <c r="S481" s="36" t="str">
        <f>'4월'!S108</f>
        <v>천범석</v>
      </c>
      <c r="T481" s="11"/>
    </row>
    <row r="482" spans="1:20" ht="24">
      <c r="A482" t="s">
        <v>30</v>
      </c>
      <c r="B482" s="151" t="str">
        <f>'4월'!B109</f>
        <v>SB-25010</v>
      </c>
      <c r="C482" s="153" t="str">
        <f>'4월'!C109</f>
        <v>ZCXAPZ</v>
      </c>
      <c r="D482" s="17">
        <f>'4월'!D109</f>
        <v>45777</v>
      </c>
      <c r="E482" s="1" t="str">
        <f>'4월'!E109</f>
        <v>유티모스트</v>
      </c>
      <c r="F482" s="2" t="str">
        <f>'4월'!F109</f>
        <v>대우정보(메타넷디지털)</v>
      </c>
      <c r="G482" s="2" t="str">
        <f>'4월'!G109</f>
        <v>MA</v>
      </c>
      <c r="H482" s="2" t="str">
        <f>'4월'!H109</f>
        <v>월간-레노버</v>
      </c>
      <c r="I482" s="4" t="str">
        <f>'4월'!I109</f>
        <v>4월 유지정비료 - 13/21회</v>
      </c>
      <c r="J482" s="23">
        <f>'4월'!J109</f>
        <v>1</v>
      </c>
      <c r="K482" s="27">
        <f>'4월'!K109</f>
        <v>202000</v>
      </c>
      <c r="L482" s="26">
        <f>'4월'!L109</f>
        <v>202000</v>
      </c>
      <c r="M482" s="27">
        <f>'4월'!M109</f>
        <v>20200</v>
      </c>
      <c r="N482" s="27">
        <f>'4월'!N109</f>
        <v>222200</v>
      </c>
      <c r="O482" s="33">
        <f>'4월'!O109</f>
        <v>180600</v>
      </c>
      <c r="P482" s="197" t="str">
        <f>'4월'!P109</f>
        <v>레노버(4/30)</v>
      </c>
      <c r="Q482" s="20">
        <f>'4월'!Q109</f>
        <v>21400</v>
      </c>
      <c r="R482" s="68" t="str">
        <f>'4월'!R109</f>
        <v>완료(5/30)</v>
      </c>
      <c r="S482" s="8" t="str">
        <f>'4월'!S109</f>
        <v>천범석</v>
      </c>
      <c r="T482" s="11"/>
    </row>
    <row r="483" spans="1:20" ht="24">
      <c r="A483" t="s">
        <v>30</v>
      </c>
      <c r="B483" s="151" t="str">
        <f>'4월'!B110</f>
        <v>SB-24055
SB-24056</v>
      </c>
      <c r="C483" s="208" t="str">
        <f>'4월'!C110</f>
        <v>ZP1BPN
ZAXJCH</v>
      </c>
      <c r="D483" s="17">
        <f>'4월'!D110</f>
        <v>45777</v>
      </c>
      <c r="E483" s="214" t="str">
        <f>'4월'!E110</f>
        <v>이룸정보</v>
      </c>
      <c r="F483" s="189" t="str">
        <f>'4월'!F110</f>
        <v>포스코</v>
      </c>
      <c r="G483" s="161" t="str">
        <f>'4월'!G110</f>
        <v>MA</v>
      </c>
      <c r="H483" s="83" t="str">
        <f>'4월'!H110</f>
        <v>월간-레노버</v>
      </c>
      <c r="I483" s="163" t="str">
        <f>'4월'!I110</f>
        <v>4월 유지정비료 - 4/12회</v>
      </c>
      <c r="J483" s="24">
        <f>'4월'!J110</f>
        <v>1</v>
      </c>
      <c r="K483" s="26">
        <f>'4월'!K110</f>
        <v>2871300</v>
      </c>
      <c r="L483" s="26">
        <f>'4월'!L110</f>
        <v>2871300</v>
      </c>
      <c r="M483" s="27">
        <f>'4월'!M110</f>
        <v>287130</v>
      </c>
      <c r="N483" s="27">
        <f>'4월'!N110</f>
        <v>3158430</v>
      </c>
      <c r="O483" s="33">
        <f>'4월'!O110</f>
        <v>2636700</v>
      </c>
      <c r="P483" s="197" t="str">
        <f>'4월'!P110</f>
        <v>레노버(4/30)1,981,200
레노버(4/30) 655,500</v>
      </c>
      <c r="Q483" s="21">
        <f>'4월'!Q110</f>
        <v>234600</v>
      </c>
      <c r="R483" s="68" t="str">
        <f>'4월'!R110</f>
        <v>완료(6/23)</v>
      </c>
      <c r="S483" s="5" t="str">
        <f>'4월'!S110</f>
        <v>천범석</v>
      </c>
      <c r="T483" s="11"/>
    </row>
    <row r="484" spans="1:20" ht="60">
      <c r="A484" t="s">
        <v>30</v>
      </c>
      <c r="B484" s="151" t="str">
        <f>'4월'!B111</f>
        <v>SM-25010</v>
      </c>
      <c r="C484" s="200"/>
      <c r="D484" s="17">
        <f>'4월'!D111</f>
        <v>45777</v>
      </c>
      <c r="E484" s="214" t="str">
        <f>'4월'!E111</f>
        <v>더블포인트</v>
      </c>
      <c r="F484" s="215" t="str">
        <f>'4월'!F111</f>
        <v>한미약품</v>
      </c>
      <c r="G484" s="2" t="str">
        <f>'4월'!G111</f>
        <v>MA</v>
      </c>
      <c r="H484" s="161" t="str">
        <f>'4월'!H111</f>
        <v>월간-IBM</v>
      </c>
      <c r="I484" s="163" t="str">
        <f>'4월'!I111</f>
        <v>4월 유지정비료 - 4/12회</v>
      </c>
      <c r="J484" s="23">
        <f>'4월'!J111</f>
        <v>1</v>
      </c>
      <c r="K484" s="27">
        <f>'4월'!K111</f>
        <v>4761667</v>
      </c>
      <c r="L484" s="26">
        <f>'4월'!L111</f>
        <v>4761667</v>
      </c>
      <c r="M484" s="27">
        <f>'4월'!M111</f>
        <v>476166.7</v>
      </c>
      <c r="N484" s="27">
        <f>'4월'!N111</f>
        <v>5237833.7</v>
      </c>
      <c r="O484" s="72">
        <f>'4월'!O111</f>
        <v>4437257</v>
      </c>
      <c r="P484" s="170" t="str">
        <f>'4월'!P111</f>
        <v>IBM(4/1) 11,623,397
DCSS(4/30) 292,200
IBM APS(1/27) 연 7,859,914 (4/12회)
시스나인 (4/25) 분기8,000,000 (1/3회)
==총 15237,257 중 4,437,257</v>
      </c>
      <c r="Q484" s="21">
        <f>'4월'!Q111</f>
        <v>324410</v>
      </c>
      <c r="R484" s="68" t="str">
        <f>'4월'!R111</f>
        <v>완료(5/30)</v>
      </c>
      <c r="S484" s="8" t="str">
        <f>'4월'!S111</f>
        <v>이예지</v>
      </c>
      <c r="T484" s="11"/>
    </row>
    <row r="485" spans="1:20" ht="60">
      <c r="A485" t="s">
        <v>30</v>
      </c>
      <c r="B485" s="151" t="str">
        <f>'4월'!B112</f>
        <v>SM-25011</v>
      </c>
      <c r="C485" s="200"/>
      <c r="D485" s="17">
        <f>'4월'!D112</f>
        <v>45777</v>
      </c>
      <c r="E485" s="214" t="str">
        <f>'4월'!E112</f>
        <v>더블포인트</v>
      </c>
      <c r="F485" s="215" t="str">
        <f>'4월'!F112</f>
        <v>한미사이언스</v>
      </c>
      <c r="G485" s="2" t="str">
        <f>'4월'!G112</f>
        <v>MA</v>
      </c>
      <c r="H485" s="161" t="str">
        <f>'4월'!H112</f>
        <v>월간-IBM</v>
      </c>
      <c r="I485" s="163" t="str">
        <f>'4월'!I112</f>
        <v>4월 유지정비료 - 4/12회</v>
      </c>
      <c r="J485" s="23">
        <f>'4월'!J112</f>
        <v>1</v>
      </c>
      <c r="K485" s="27">
        <f>'4월'!K112</f>
        <v>11210000</v>
      </c>
      <c r="L485" s="26">
        <f>'4월'!L112</f>
        <v>11210000</v>
      </c>
      <c r="M485" s="27">
        <f>'4월'!M112</f>
        <v>1121000</v>
      </c>
      <c r="N485" s="27">
        <f>'4월'!N112</f>
        <v>12331000</v>
      </c>
      <c r="O485" s="72">
        <f>'4월'!O112</f>
        <v>10800000</v>
      </c>
      <c r="P485" s="170" t="str">
        <f>'4월'!P112</f>
        <v>IBM(4/1) 11,623,397
DCSS(4/30) 292,200
IBM APS(1/27) 연 7,859,914 (4/12회)
시스나인 (4/25) 분기8,000,000 (1/3회)
==총 15237,257 중 10,800,000</v>
      </c>
      <c r="Q485" s="21">
        <f>'4월'!Q112</f>
        <v>410000</v>
      </c>
      <c r="R485" s="68" t="str">
        <f>'4월'!R112</f>
        <v>완료(5/30)</v>
      </c>
      <c r="S485" s="8" t="str">
        <f>'4월'!S112</f>
        <v>이예지</v>
      </c>
      <c r="T485" s="11"/>
    </row>
    <row r="486" spans="1:20" ht="24">
      <c r="A486" t="s">
        <v>30</v>
      </c>
      <c r="B486" s="151" t="str">
        <f>'4월'!B113</f>
        <v>SM-25007</v>
      </c>
      <c r="C486" s="199"/>
      <c r="D486" s="17">
        <f>'4월'!D113</f>
        <v>45777</v>
      </c>
      <c r="E486" s="1" t="str">
        <f>'4월'!E113</f>
        <v>더블포인트</v>
      </c>
      <c r="F486" s="2" t="str">
        <f>'4월'!F113</f>
        <v>교보문고</v>
      </c>
      <c r="G486" s="2" t="str">
        <f>'4월'!G113</f>
        <v>MA</v>
      </c>
      <c r="H486" s="2" t="str">
        <f>'4월'!H113</f>
        <v>월간</v>
      </c>
      <c r="I486" s="163" t="str">
        <f>'4월'!I113</f>
        <v>4월 유지정비료 - 4/12회</v>
      </c>
      <c r="J486" s="23">
        <f>'4월'!J113</f>
        <v>1</v>
      </c>
      <c r="K486" s="27">
        <f>'4월'!K113</f>
        <v>880000</v>
      </c>
      <c r="L486" s="26">
        <f>'4월'!L113</f>
        <v>880000</v>
      </c>
      <c r="M486" s="27">
        <f>'4월'!M113</f>
        <v>88000</v>
      </c>
      <c r="N486" s="27">
        <f>'4월'!N113</f>
        <v>968000</v>
      </c>
      <c r="O486" s="52">
        <f>'4월'!O113</f>
        <v>709533.33333333326</v>
      </c>
      <c r="P486" s="171" t="str">
        <f>'4월'!P113</f>
        <v>DCSS(4/30) 376,200
시스나인(7/1) 1,000,000(1/3회)</v>
      </c>
      <c r="Q486" s="181">
        <f>'4월'!Q113</f>
        <v>170466.66666666674</v>
      </c>
      <c r="R486" s="68" t="str">
        <f>'4월'!R113</f>
        <v>완료(6/10)</v>
      </c>
      <c r="S486" s="8" t="str">
        <f>'4월'!S113</f>
        <v>이예지</v>
      </c>
      <c r="T486" s="11"/>
    </row>
    <row r="487" spans="1:20" ht="24">
      <c r="A487" t="s">
        <v>30</v>
      </c>
      <c r="B487" s="151" t="str">
        <f>'4월'!B114</f>
        <v>SM-25008</v>
      </c>
      <c r="C487" s="199"/>
      <c r="D487" s="17">
        <f>'4월'!D114</f>
        <v>45777</v>
      </c>
      <c r="E487" s="1" t="str">
        <f>'4월'!E114</f>
        <v>더블포인트</v>
      </c>
      <c r="F487" s="2" t="str">
        <f>'4월'!F114</f>
        <v>스마트로</v>
      </c>
      <c r="G487" s="161" t="str">
        <f>'4월'!G114</f>
        <v>MA</v>
      </c>
      <c r="H487" s="161" t="str">
        <f>'4월'!H114</f>
        <v>월간-IBM</v>
      </c>
      <c r="I487" s="163" t="str">
        <f>'4월'!I114</f>
        <v>4월 유지정비료 - 4/12회</v>
      </c>
      <c r="J487" s="34">
        <f>'4월'!J114</f>
        <v>1</v>
      </c>
      <c r="K487" s="48">
        <f>'4월'!K114</f>
        <v>3278000</v>
      </c>
      <c r="L487" s="26">
        <f>'4월'!L114</f>
        <v>3278000</v>
      </c>
      <c r="M487" s="27">
        <f>'4월'!M114</f>
        <v>327800</v>
      </c>
      <c r="N487" s="27">
        <f>'4월'!N114</f>
        <v>3605800</v>
      </c>
      <c r="O487" s="82">
        <f>'4월'!O114</f>
        <v>3210534</v>
      </c>
      <c r="P487" s="170" t="str">
        <f>'4월'!P114</f>
        <v>IBM(4/1) 1,210,534
시스나인(7/1) 1400중 600(1/3회)</v>
      </c>
      <c r="Q487" s="181">
        <f>'4월'!Q114</f>
        <v>67466</v>
      </c>
      <c r="R487" s="68" t="str">
        <f>'4월'!R114</f>
        <v>완료(6/10)</v>
      </c>
      <c r="S487" s="8" t="str">
        <f>'4월'!S114</f>
        <v>이예지</v>
      </c>
      <c r="T487" s="11"/>
    </row>
    <row r="488" spans="1:20">
      <c r="A488" t="s">
        <v>30</v>
      </c>
      <c r="B488" s="151" t="str">
        <f>'4월'!B115</f>
        <v>SM-25001</v>
      </c>
      <c r="C488" s="199"/>
      <c r="D488" s="17">
        <f>'4월'!D115</f>
        <v>45777</v>
      </c>
      <c r="E488" s="214" t="str">
        <f>'4월'!E115</f>
        <v>로스비브이</v>
      </c>
      <c r="F488" s="215" t="str">
        <f>'4월'!F115</f>
        <v>BAT서울</v>
      </c>
      <c r="G488" s="2" t="str">
        <f>'4월'!G115</f>
        <v>MA</v>
      </c>
      <c r="H488" s="2" t="str">
        <f>'4월'!H115</f>
        <v>월간-레노버</v>
      </c>
      <c r="I488" s="4" t="str">
        <f>'4월'!I115</f>
        <v xml:space="preserve">[HW] 4월 유지정비료 - 4/12회 </v>
      </c>
      <c r="J488" s="23">
        <f>'4월'!J115</f>
        <v>1</v>
      </c>
      <c r="K488" s="27">
        <f>'4월'!K115</f>
        <v>850000</v>
      </c>
      <c r="L488" s="26">
        <f>'4월'!L115</f>
        <v>850000</v>
      </c>
      <c r="M488" s="27">
        <f>'4월'!M115</f>
        <v>85000</v>
      </c>
      <c r="N488" s="27">
        <f>'4월'!N115</f>
        <v>935000</v>
      </c>
      <c r="O488" s="52">
        <f>'4월'!O115</f>
        <v>700000</v>
      </c>
      <c r="P488" s="171" t="str">
        <f>'4월'!P115</f>
        <v>알앤에스(4/28) 495만원 중</v>
      </c>
      <c r="Q488" s="181">
        <f>'4월'!Q115</f>
        <v>150000</v>
      </c>
      <c r="R488" s="68" t="str">
        <f>'4월'!R115</f>
        <v>완료(7/9)</v>
      </c>
      <c r="S488" s="8" t="str">
        <f>'4월'!S115</f>
        <v>천범석</v>
      </c>
      <c r="T488" s="11"/>
    </row>
    <row r="489" spans="1:20" ht="48">
      <c r="A489" t="s">
        <v>30</v>
      </c>
      <c r="B489" s="151" t="str">
        <f>'4월'!B116</f>
        <v>SM-25001</v>
      </c>
      <c r="C489" s="199"/>
      <c r="D489" s="17">
        <f>'4월'!D116</f>
        <v>45777</v>
      </c>
      <c r="E489" s="214" t="str">
        <f>'4월'!E116</f>
        <v>브리토바코</v>
      </c>
      <c r="F489" s="215" t="str">
        <f>'4월'!F116</f>
        <v>BAT사천</v>
      </c>
      <c r="G489" s="2" t="str">
        <f>'4월'!G116</f>
        <v>MA</v>
      </c>
      <c r="H489" s="2" t="str">
        <f>'4월'!H116</f>
        <v>월간-레노버</v>
      </c>
      <c r="I489" s="4" t="str">
        <f>'4월'!I116</f>
        <v xml:space="preserve">[HW] 4월 유지정비료 - 4/12회 </v>
      </c>
      <c r="J489" s="23">
        <f>'4월'!J116</f>
        <v>1</v>
      </c>
      <c r="K489" s="27">
        <f>'4월'!K116</f>
        <v>4600000</v>
      </c>
      <c r="L489" s="26">
        <f>'4월'!L116</f>
        <v>4600000</v>
      </c>
      <c r="M489" s="27">
        <f>'4월'!M116</f>
        <v>460000</v>
      </c>
      <c r="N489" s="27">
        <f>'4월'!N116</f>
        <v>5060000</v>
      </c>
      <c r="O489" s="52">
        <f>'4월'!O116</f>
        <v>4706000</v>
      </c>
      <c r="P489" s="171" t="str">
        <f>'4월'!P116</f>
        <v>알앤에스(4/28) 495만원 중 
시스나인(1/2) 연 2,400,000(4/12회)
김재협(8/7) 2/6회
로젠택배(4/30) 6,000</v>
      </c>
      <c r="Q489" s="181">
        <f>'4월'!Q116</f>
        <v>-106000</v>
      </c>
      <c r="R489" s="68" t="str">
        <f>'4월'!R116</f>
        <v>완료(7/9)</v>
      </c>
      <c r="S489" s="8" t="str">
        <f>'4월'!S116</f>
        <v>천범석</v>
      </c>
      <c r="T489" s="11"/>
    </row>
    <row r="490" spans="1:20">
      <c r="A490" t="s">
        <v>30</v>
      </c>
      <c r="B490" s="151" t="str">
        <f>'4월'!B117</f>
        <v>SB-25001</v>
      </c>
      <c r="C490" s="153" t="str">
        <f>'4월'!C117</f>
        <v>ZXRZHC</v>
      </c>
      <c r="D490" s="17">
        <f>'4월'!D117</f>
        <v>45777</v>
      </c>
      <c r="E490" s="214" t="str">
        <f>'4월'!E117</f>
        <v>퓨처젠</v>
      </c>
      <c r="F490" s="215" t="str">
        <f>'4월'!F117</f>
        <v>HB저축은행</v>
      </c>
      <c r="G490" s="2" t="str">
        <f>'4월'!G117</f>
        <v>MA</v>
      </c>
      <c r="H490" s="2" t="str">
        <f>'4월'!H117</f>
        <v>월간-레노버</v>
      </c>
      <c r="I490" s="163" t="str">
        <f>'4월'!I117</f>
        <v>4월 유지정비료 - 4/12회</v>
      </c>
      <c r="J490" s="23">
        <f>'4월'!J117</f>
        <v>1</v>
      </c>
      <c r="K490" s="27">
        <f>'4월'!K117</f>
        <v>904800</v>
      </c>
      <c r="L490" s="26">
        <f>'4월'!L117</f>
        <v>904800</v>
      </c>
      <c r="M490" s="27">
        <f>'4월'!M117</f>
        <v>90480</v>
      </c>
      <c r="N490" s="27">
        <f>'4월'!N117</f>
        <v>995280</v>
      </c>
      <c r="O490" s="33">
        <f>'4월'!O117</f>
        <v>820200</v>
      </c>
      <c r="P490" s="197" t="str">
        <f>'4월'!P117</f>
        <v>레노버(4/30)</v>
      </c>
      <c r="Q490" s="20">
        <f>'4월'!Q117</f>
        <v>84600</v>
      </c>
      <c r="R490" s="2" t="str">
        <f>'4월'!R117</f>
        <v>완료(5/30)</v>
      </c>
      <c r="S490" s="8" t="str">
        <f>'4월'!S117</f>
        <v>천범석</v>
      </c>
      <c r="T490" s="11"/>
    </row>
    <row r="491" spans="1:20" ht="60">
      <c r="A491" t="s">
        <v>30</v>
      </c>
      <c r="B491" s="151" t="str">
        <f>'4월'!B118</f>
        <v>SM-25004</v>
      </c>
      <c r="C491" s="199"/>
      <c r="D491" s="17">
        <f>'4월'!D118</f>
        <v>45777</v>
      </c>
      <c r="E491" s="1" t="str">
        <f>'4월'!E118</f>
        <v>인표산업</v>
      </c>
      <c r="F491" s="2"/>
      <c r="G491" s="2" t="str">
        <f>'4월'!G118</f>
        <v>MA</v>
      </c>
      <c r="H491" s="2" t="str">
        <f>'4월'!H118</f>
        <v>월간</v>
      </c>
      <c r="I491" s="163" t="str">
        <f>'4월'!I118</f>
        <v>4월 유지정비료 - 4/12회</v>
      </c>
      <c r="J491" s="23">
        <f>'4월'!J118</f>
        <v>1</v>
      </c>
      <c r="K491" s="27">
        <f>'4월'!K118</f>
        <v>3611000</v>
      </c>
      <c r="L491" s="26">
        <f>'4월'!L118</f>
        <v>3611000</v>
      </c>
      <c r="M491" s="27">
        <f>'4월'!M118</f>
        <v>361100</v>
      </c>
      <c r="N491" s="27">
        <f>'4월'!N118</f>
        <v>3972100</v>
      </c>
      <c r="O491" s="52">
        <f>'4월'!O118</f>
        <v>2762000</v>
      </c>
      <c r="P491" s="170" t="str">
        <f>'4월'!P118</f>
        <v>프라테르(4/30) 672,000
트리거(4/30) 700,000
현성솔루션(4/30) 100,000
유니와이드(4/30) 290,000
시스나인(25/3/4) 반기 6,000,000 (4/6회)</v>
      </c>
      <c r="Q491" s="181">
        <f>'4월'!Q118</f>
        <v>849000</v>
      </c>
      <c r="R491" s="68" t="str">
        <f>'4월'!R118</f>
        <v>완료(5/30)</v>
      </c>
      <c r="S491" s="8" t="str">
        <f>'4월'!S118</f>
        <v>홍승민</v>
      </c>
      <c r="T491" s="11"/>
    </row>
    <row r="492" spans="1:20">
      <c r="A492" t="s">
        <v>30</v>
      </c>
      <c r="B492" s="151" t="str">
        <f>'4월'!B119</f>
        <v>SB-25005</v>
      </c>
      <c r="C492" s="153" t="str">
        <f>'4월'!C119</f>
        <v>ZSUEIX</v>
      </c>
      <c r="D492" s="17">
        <f>'4월'!D119</f>
        <v>45777</v>
      </c>
      <c r="E492" s="214" t="str">
        <f>'4월'!E119</f>
        <v>제이엔테크놀러지</v>
      </c>
      <c r="F492" s="215" t="str">
        <f>'4월'!F119</f>
        <v>SK실트론</v>
      </c>
      <c r="G492" s="1" t="str">
        <f>'4월'!G119</f>
        <v>MA</v>
      </c>
      <c r="H492" s="83" t="str">
        <f>'4월'!H119</f>
        <v>월간-레노버</v>
      </c>
      <c r="I492" s="163" t="str">
        <f>'4월'!I119</f>
        <v>4월 유지정비료 - 4/12회</v>
      </c>
      <c r="J492" s="23">
        <f>'4월'!J119</f>
        <v>1</v>
      </c>
      <c r="K492" s="27">
        <f>'4월'!K119</f>
        <v>554000</v>
      </c>
      <c r="L492" s="26">
        <f>'4월'!L119</f>
        <v>554000</v>
      </c>
      <c r="M492" s="27">
        <f>'4월'!M119</f>
        <v>55400</v>
      </c>
      <c r="N492" s="27">
        <f>'4월'!N119</f>
        <v>609400</v>
      </c>
      <c r="O492" s="33">
        <f>'4월'!O119</f>
        <v>502800</v>
      </c>
      <c r="P492" s="197" t="str">
        <f>'4월'!P119</f>
        <v>레노버(4/30)</v>
      </c>
      <c r="Q492" s="20">
        <f>'4월'!Q119</f>
        <v>51200</v>
      </c>
      <c r="R492" s="2" t="str">
        <f>'4월'!R119</f>
        <v>완료(5/30)</v>
      </c>
      <c r="S492" s="8" t="str">
        <f>'4월'!S119</f>
        <v>천범석</v>
      </c>
      <c r="T492" s="11"/>
    </row>
    <row r="493" spans="1:20">
      <c r="A493" t="s">
        <v>30</v>
      </c>
      <c r="B493" s="151" t="str">
        <f>'4월'!B120</f>
        <v>SM-25006</v>
      </c>
      <c r="C493" s="200"/>
      <c r="D493" s="17">
        <f>'4월'!D120</f>
        <v>45777</v>
      </c>
      <c r="E493" s="1" t="str">
        <f>'4월'!E120</f>
        <v>대륭상선</v>
      </c>
      <c r="F493" s="161"/>
      <c r="G493" s="161" t="str">
        <f>'4월'!G120</f>
        <v>MA</v>
      </c>
      <c r="H493" s="161" t="str">
        <f>'4월'!H120</f>
        <v>월간-IBM</v>
      </c>
      <c r="I493" s="163" t="str">
        <f>'4월'!I120</f>
        <v>4월 유지정비료 - 4/12회</v>
      </c>
      <c r="J493" s="71">
        <f>'4월'!J120</f>
        <v>1</v>
      </c>
      <c r="K493" s="26">
        <f>'4월'!K120</f>
        <v>2840000</v>
      </c>
      <c r="L493" s="26">
        <f>'4월'!L120</f>
        <v>2840000</v>
      </c>
      <c r="M493" s="27">
        <f>'4월'!M120</f>
        <v>284000</v>
      </c>
      <c r="N493" s="27">
        <f>'4월'!N120</f>
        <v>3124000</v>
      </c>
      <c r="O493" s="52">
        <f>'4월'!O120</f>
        <v>44000</v>
      </c>
      <c r="P493" s="171" t="str">
        <f>'4월'!P120</f>
        <v>DCSS(4/30)</v>
      </c>
      <c r="Q493" s="181">
        <f>'4월'!Q120</f>
        <v>2796000</v>
      </c>
      <c r="R493" s="68" t="str">
        <f>'4월'!R120</f>
        <v>완료(5/23)</v>
      </c>
      <c r="S493" s="5" t="str">
        <f>'4월'!S120</f>
        <v>홍승민</v>
      </c>
      <c r="T493" s="11"/>
    </row>
    <row r="494" spans="1:20">
      <c r="A494" t="s">
        <v>30</v>
      </c>
      <c r="B494" s="151" t="str">
        <f>'4월'!B121</f>
        <v>SM-25009</v>
      </c>
      <c r="C494" s="153"/>
      <c r="D494" s="17">
        <f>'4월'!D121</f>
        <v>45777</v>
      </c>
      <c r="E494" s="1" t="str">
        <f>'4월'!E121</f>
        <v>투데이시스템</v>
      </c>
      <c r="F494" s="2" t="str">
        <f>'4월'!F121</f>
        <v>스마트로</v>
      </c>
      <c r="G494" s="1" t="str">
        <f>'4월'!G121</f>
        <v>MA</v>
      </c>
      <c r="H494" s="83" t="str">
        <f>'4월'!H121</f>
        <v>월간</v>
      </c>
      <c r="I494" s="4" t="str">
        <f>'4월'!I121</f>
        <v>(부품) 4월 유지정비료 - 4/12회</v>
      </c>
      <c r="J494" s="23">
        <f>'4월'!J121</f>
        <v>1</v>
      </c>
      <c r="K494" s="27">
        <f>'4월'!K121</f>
        <v>2697200</v>
      </c>
      <c r="L494" s="26">
        <f>'4월'!L121</f>
        <v>2697200</v>
      </c>
      <c r="M494" s="27">
        <f>'4월'!M121</f>
        <v>269720</v>
      </c>
      <c r="N494" s="27">
        <f>'4월'!N121</f>
        <v>2966920</v>
      </c>
      <c r="O494" s="33">
        <f>'4월'!O121</f>
        <v>2666666.6666666665</v>
      </c>
      <c r="P494" s="197" t="str">
        <f>'4월'!P121</f>
        <v>시스나인(7/1) 1400중 800(1/3회)</v>
      </c>
      <c r="Q494" s="20">
        <f>'4월'!Q121</f>
        <v>30533.333333333489</v>
      </c>
      <c r="R494" s="2" t="str">
        <f>'4월'!R121</f>
        <v>완료(6/30)</v>
      </c>
      <c r="S494" s="8" t="str">
        <f>'4월'!S121</f>
        <v>이예지</v>
      </c>
      <c r="T494" s="11"/>
    </row>
    <row r="495" spans="1:20" ht="24">
      <c r="A495" t="s">
        <v>30</v>
      </c>
      <c r="B495" s="151" t="str">
        <f>'4월'!B122</f>
        <v>SB-25007</v>
      </c>
      <c r="C495" s="153" t="str">
        <f>'4월'!C122</f>
        <v>ZROHA2</v>
      </c>
      <c r="D495" s="17">
        <f>'4월'!D122</f>
        <v>45777</v>
      </c>
      <c r="E495" s="1" t="str">
        <f>'4월'!E122</f>
        <v>페타데이타</v>
      </c>
      <c r="F495" s="2" t="str">
        <f>'4월'!F122</f>
        <v>SBS</v>
      </c>
      <c r="G495" s="2" t="str">
        <f>'4월'!G122</f>
        <v>MA</v>
      </c>
      <c r="H495" s="2" t="str">
        <f>'4월'!H122</f>
        <v>월간-레노버</v>
      </c>
      <c r="I495" s="4" t="str">
        <f>'4월'!I122</f>
        <v>4월 유지정비료 - 4/12회</v>
      </c>
      <c r="J495" s="23">
        <f>'4월'!J122</f>
        <v>1</v>
      </c>
      <c r="K495" s="27">
        <f>'4월'!K122</f>
        <v>454600</v>
      </c>
      <c r="L495" s="26">
        <f>'4월'!L122</f>
        <v>454600</v>
      </c>
      <c r="M495" s="27">
        <f>'4월'!M122</f>
        <v>45460</v>
      </c>
      <c r="N495" s="27">
        <f>'4월'!N122</f>
        <v>500060</v>
      </c>
      <c r="O495" s="33">
        <f>'4월'!O122</f>
        <v>426333.33333333337</v>
      </c>
      <c r="P495" s="197" t="str">
        <f>'4월'!P122</f>
        <v>레노버(4/30) 243,000
시스나인(2/28) 1,100,000(4/6회)</v>
      </c>
      <c r="Q495" s="20">
        <f>'4월'!Q122</f>
        <v>28266.666666666628</v>
      </c>
      <c r="R495" s="2" t="str">
        <f>'4월'!R122</f>
        <v>완료(5/30)</v>
      </c>
      <c r="S495" s="8" t="str">
        <f>'4월'!S122</f>
        <v>천범석</v>
      </c>
      <c r="T495" s="11"/>
    </row>
    <row r="496" spans="1:20" ht="48">
      <c r="A496" t="s">
        <v>30</v>
      </c>
      <c r="B496" s="151" t="str">
        <f>'4월'!B123</f>
        <v>SB-25014</v>
      </c>
      <c r="C496" s="153" t="str">
        <f>'4월'!C123</f>
        <v>ZAVPY3</v>
      </c>
      <c r="D496" s="17">
        <f>'4월'!D123</f>
        <v>45777</v>
      </c>
      <c r="E496" s="214" t="str">
        <f>'4월'!E123</f>
        <v>와이젠정보기술</v>
      </c>
      <c r="F496" s="215" t="str">
        <f>'4월'!F123</f>
        <v>안국약품</v>
      </c>
      <c r="G496" s="1" t="str">
        <f>'4월'!G123</f>
        <v>MA</v>
      </c>
      <c r="H496" s="2" t="str">
        <f>'4월'!H123</f>
        <v>월간-레노버</v>
      </c>
      <c r="I496" s="4" t="str">
        <f>'4월'!I123</f>
        <v>4월 유지정비료 - 4/12회</v>
      </c>
      <c r="J496" s="23">
        <f>'4월'!J123</f>
        <v>1</v>
      </c>
      <c r="K496" s="27">
        <f>'4월'!K123</f>
        <v>2900000</v>
      </c>
      <c r="L496" s="26">
        <f>'4월'!L123</f>
        <v>2900000</v>
      </c>
      <c r="M496" s="27">
        <f>'4월'!M123</f>
        <v>290000</v>
      </c>
      <c r="N496" s="27">
        <f>'4월'!N123</f>
        <v>3190000</v>
      </c>
      <c r="O496" s="33">
        <f>'4월'!O123</f>
        <v>2572666.6666666665</v>
      </c>
      <c r="P496" s="197" t="str">
        <f>'4월'!P123</f>
        <v>레노버(4/30) 1,515,000
다솜테크(4/30) 250,000
DCSS(4/30) 391,000
시스나인 반기(2/28) 2,500,000(4/6회)</v>
      </c>
      <c r="Q496" s="20">
        <f>'4월'!Q123</f>
        <v>327333.33333333349</v>
      </c>
      <c r="R496" s="2" t="str">
        <f>'4월'!R123</f>
        <v>완료(6/2)</v>
      </c>
      <c r="S496" s="8" t="str">
        <f>'4월'!S123</f>
        <v>천범석</v>
      </c>
      <c r="T496" s="11"/>
    </row>
    <row r="497" spans="1:20">
      <c r="A497" t="s">
        <v>30</v>
      </c>
      <c r="B497" s="151" t="str">
        <f>'4월'!B124</f>
        <v>SB-25016</v>
      </c>
      <c r="C497" s="230" t="str">
        <f>'4월'!C124</f>
        <v>ZLXVVE</v>
      </c>
      <c r="D497" s="17">
        <f>'4월'!D124</f>
        <v>45777</v>
      </c>
      <c r="E497" s="214" t="str">
        <f>'4월'!E124</f>
        <v>에이큐씨앤씨</v>
      </c>
      <c r="F497" s="215" t="str">
        <f>'4월'!F124</f>
        <v>한림대학교</v>
      </c>
      <c r="G497" s="161" t="str">
        <f>'4월'!G124</f>
        <v>MA</v>
      </c>
      <c r="H497" s="83" t="str">
        <f>'4월'!H124</f>
        <v>월간-레노버</v>
      </c>
      <c r="I497" s="4" t="str">
        <f>'4월'!I124</f>
        <v>HW 4월 유지정비료 - 2/12회</v>
      </c>
      <c r="J497" s="23">
        <f>'4월'!J124</f>
        <v>1</v>
      </c>
      <c r="K497" s="27">
        <f>'4월'!K124</f>
        <v>501000</v>
      </c>
      <c r="L497" s="26">
        <f>'4월'!L124</f>
        <v>501000</v>
      </c>
      <c r="M497" s="27">
        <f>'4월'!M124</f>
        <v>50100</v>
      </c>
      <c r="N497" s="27">
        <f>'4월'!N124</f>
        <v>551100</v>
      </c>
      <c r="O497" s="33">
        <f>'4월'!O124</f>
        <v>405600</v>
      </c>
      <c r="P497" s="197" t="str">
        <f>'4월'!P124</f>
        <v>레노버(4/30)</v>
      </c>
      <c r="Q497" s="181">
        <f>'4월'!Q124</f>
        <v>95400</v>
      </c>
      <c r="R497" s="2" t="str">
        <f>'4월'!R124</f>
        <v>완료(6/30)</v>
      </c>
      <c r="S497" s="8" t="str">
        <f>'4월'!S124</f>
        <v>천범석</v>
      </c>
      <c r="T497" s="11"/>
    </row>
    <row r="498" spans="1:20">
      <c r="A498" t="s">
        <v>30</v>
      </c>
      <c r="B498" s="151" t="str">
        <f>'4월'!B125</f>
        <v>Y250324-01</v>
      </c>
      <c r="C498" s="153"/>
      <c r="D498" s="17">
        <f>'4월'!D125</f>
        <v>45777</v>
      </c>
      <c r="E498" s="1" t="str">
        <f>'4월'!E125</f>
        <v>파워시스</v>
      </c>
      <c r="F498" s="2" t="str">
        <f>'4월'!F125</f>
        <v>에이치에스티</v>
      </c>
      <c r="G498" s="161" t="str">
        <f>'4월'!G125</f>
        <v>MA</v>
      </c>
      <c r="H498" s="83" t="str">
        <f>'4월'!H125</f>
        <v>월간</v>
      </c>
      <c r="I498" s="4" t="str">
        <f>'4월'!I125</f>
        <v>Storwize V3700 원격 정기점검 - 2/10회</v>
      </c>
      <c r="J498" s="23">
        <f>'4월'!J125</f>
        <v>1</v>
      </c>
      <c r="K498" s="27">
        <f>'4월'!K125</f>
        <v>150000</v>
      </c>
      <c r="L498" s="26">
        <f>'4월'!L125</f>
        <v>150000</v>
      </c>
      <c r="M498" s="27">
        <f>'4월'!M125</f>
        <v>15000</v>
      </c>
      <c r="N498" s="27">
        <f>'4월'!N125</f>
        <v>165000</v>
      </c>
      <c r="O498" s="33">
        <f>'4월'!O125</f>
        <v>0</v>
      </c>
      <c r="P498" s="197" t="str">
        <f>'4월'!P125</f>
        <v>SM</v>
      </c>
      <c r="Q498" s="20">
        <f>'4월'!Q125</f>
        <v>150000</v>
      </c>
      <c r="R498" s="2" t="str">
        <f>'4월'!R125</f>
        <v>완료(6/30)</v>
      </c>
      <c r="S498" s="8" t="str">
        <f>'4월'!S125</f>
        <v>홍승민</v>
      </c>
      <c r="T498" s="11"/>
    </row>
    <row r="499" spans="1:20" ht="24">
      <c r="A499" t="s">
        <v>30</v>
      </c>
      <c r="B499" s="151" t="str">
        <f>'4월'!B126</f>
        <v>SB-25023</v>
      </c>
      <c r="C499" s="153" t="str">
        <f>'4월'!C126</f>
        <v>ZKGVNQ</v>
      </c>
      <c r="D499" s="17">
        <f>'4월'!D126</f>
        <v>45777</v>
      </c>
      <c r="E499" s="1" t="str">
        <f>'4월'!E126</f>
        <v>다솜테크</v>
      </c>
      <c r="F499" s="2" t="str">
        <f>'4월'!F126</f>
        <v>LX세미콘</v>
      </c>
      <c r="G499" s="161" t="str">
        <f>'4월'!G126</f>
        <v>MA</v>
      </c>
      <c r="H499" s="83" t="str">
        <f>'4월'!H126</f>
        <v>월간-레노버</v>
      </c>
      <c r="I499" s="4" t="str">
        <f>'4월'!I126</f>
        <v>2~4월 유지정비료 - 1~3/47회차</v>
      </c>
      <c r="J499" s="23">
        <f>'4월'!J126</f>
        <v>1</v>
      </c>
      <c r="K499" s="27">
        <f>'4월'!K126</f>
        <v>3168950</v>
      </c>
      <c r="L499" s="26">
        <f>'4월'!L126</f>
        <v>3168950</v>
      </c>
      <c r="M499" s="27">
        <f>'4월'!M126</f>
        <v>316895</v>
      </c>
      <c r="N499" s="27">
        <f>'4월'!N126</f>
        <v>3485845</v>
      </c>
      <c r="O499" s="33">
        <f>'4월'!O126</f>
        <v>3000240</v>
      </c>
      <c r="P499" s="197" t="str">
        <f>'4월'!P126</f>
        <v>레노버2월(4/28) 777,840 3월(4/28)1,111,200 4월(4/30)</v>
      </c>
      <c r="Q499" s="20">
        <f>'4월'!Q126</f>
        <v>168710</v>
      </c>
      <c r="R499" s="2" t="str">
        <f>'4월'!R126</f>
        <v>완료(6/30)</v>
      </c>
      <c r="S499" s="8" t="str">
        <f>'4월'!S126</f>
        <v>천범석</v>
      </c>
      <c r="T499" s="11"/>
    </row>
    <row r="500" spans="1:20">
      <c r="A500" t="s">
        <v>30</v>
      </c>
      <c r="B500" s="151" t="str">
        <f>'4월'!B127</f>
        <v>SM-25015</v>
      </c>
      <c r="C500" s="153"/>
      <c r="D500" s="17">
        <f>'4월'!D127</f>
        <v>45777</v>
      </c>
      <c r="E500" s="1" t="str">
        <f>'4월'!E127</f>
        <v>케이엠디엠</v>
      </c>
      <c r="F500" s="2" t="str">
        <f>'4월'!F127</f>
        <v>탑텍</v>
      </c>
      <c r="G500" s="161" t="str">
        <f>'4월'!G127</f>
        <v>MA</v>
      </c>
      <c r="H500" s="83" t="str">
        <f>'4월'!H127</f>
        <v>월간-DCSS</v>
      </c>
      <c r="I500" s="4" t="str">
        <f>'4월'!I127</f>
        <v>연간유지정비료(25.04.01~26.03.31)</v>
      </c>
      <c r="J500" s="23">
        <f>'4월'!J127</f>
        <v>1</v>
      </c>
      <c r="K500" s="27">
        <f>'4월'!K127</f>
        <v>660000</v>
      </c>
      <c r="L500" s="26">
        <f>'4월'!L127</f>
        <v>660000</v>
      </c>
      <c r="M500" s="27">
        <f>'4월'!M127</f>
        <v>66000</v>
      </c>
      <c r="N500" s="27">
        <f>'4월'!N127</f>
        <v>726000</v>
      </c>
      <c r="O500" s="33">
        <f>'4월'!O127</f>
        <v>168000</v>
      </c>
      <c r="P500" s="197" t="str">
        <f>'4월'!P127</f>
        <v>DCSS 월 14,000(4/30~)</v>
      </c>
      <c r="Q500" s="20">
        <f>'4월'!Q127</f>
        <v>492000</v>
      </c>
      <c r="R500" s="2" t="str">
        <f>'4월'!R127</f>
        <v>완료(5/30)</v>
      </c>
      <c r="S500" s="8" t="str">
        <f>'4월'!S127</f>
        <v>천범석</v>
      </c>
      <c r="T500" s="11"/>
    </row>
    <row r="501" spans="1:20">
      <c r="A501" t="s">
        <v>30</v>
      </c>
      <c r="B501" s="151" t="str">
        <f>'4월'!B128</f>
        <v>SM-25016</v>
      </c>
      <c r="C501" s="153"/>
      <c r="D501" s="17">
        <f>'4월'!D128</f>
        <v>45777</v>
      </c>
      <c r="E501" s="1" t="str">
        <f>'4월'!E128</f>
        <v>케이엠디엠</v>
      </c>
      <c r="F501" s="2" t="str">
        <f>'4월'!F128</f>
        <v>SKB</v>
      </c>
      <c r="G501" s="161" t="str">
        <f>'4월'!G128</f>
        <v>MA</v>
      </c>
      <c r="H501" s="83" t="str">
        <f>'4월'!H128</f>
        <v>월간-DCSS</v>
      </c>
      <c r="I501" s="4" t="str">
        <f>'4월'!I128</f>
        <v>연간유지정비료(25.04.01~26.03.31)</v>
      </c>
      <c r="J501" s="23">
        <f>'4월'!J128</f>
        <v>1</v>
      </c>
      <c r="K501" s="27">
        <f>'4월'!K128</f>
        <v>660000</v>
      </c>
      <c r="L501" s="26">
        <f>'4월'!L128</f>
        <v>660000</v>
      </c>
      <c r="M501" s="27">
        <f>'4월'!M128</f>
        <v>66000</v>
      </c>
      <c r="N501" s="27">
        <f>'4월'!N128</f>
        <v>726000</v>
      </c>
      <c r="O501" s="33">
        <f>'4월'!O128</f>
        <v>168000</v>
      </c>
      <c r="P501" s="197" t="str">
        <f>'4월'!P128</f>
        <v>DCSS 월 14,000(4/30~)</v>
      </c>
      <c r="Q501" s="20">
        <f>'4월'!Q128</f>
        <v>492000</v>
      </c>
      <c r="R501" s="2" t="str">
        <f>'4월'!R128</f>
        <v>완료(5/30)</v>
      </c>
      <c r="S501" s="8" t="str">
        <f>'4월'!S128</f>
        <v>천범석</v>
      </c>
      <c r="T501" s="11"/>
    </row>
    <row r="502" spans="1:20">
      <c r="A502" t="s">
        <v>30</v>
      </c>
      <c r="B502" s="151" t="str">
        <f>'4월'!B129</f>
        <v>H250404-01</v>
      </c>
      <c r="C502" s="153"/>
      <c r="D502" s="17">
        <f>'4월'!D129</f>
        <v>45777</v>
      </c>
      <c r="E502" s="1" t="str">
        <f>'4월'!E129</f>
        <v>티에스씨인포</v>
      </c>
      <c r="F502" s="2"/>
      <c r="G502" s="2" t="str">
        <f>'4월'!G129</f>
        <v>상품</v>
      </c>
      <c r="H502" s="83" t="str">
        <f>'4월'!H129</f>
        <v>00E9961</v>
      </c>
      <c r="I502" s="4" t="str">
        <f>'4월'!I129</f>
        <v>IBM 1.2TB 10K SAS 6G</v>
      </c>
      <c r="J502" s="23">
        <f>'4월'!J129</f>
        <v>2</v>
      </c>
      <c r="K502" s="27">
        <f>'4월'!K129</f>
        <v>350000</v>
      </c>
      <c r="L502" s="26">
        <f>'4월'!L129</f>
        <v>2860000</v>
      </c>
      <c r="M502" s="27">
        <f>'4월'!M129</f>
        <v>286000</v>
      </c>
      <c r="N502" s="27">
        <f>'4월'!N129</f>
        <v>3146000</v>
      </c>
      <c r="O502" s="33">
        <f>'4월'!O129</f>
        <v>2460000</v>
      </c>
      <c r="P502" s="197" t="str">
        <f>'4월'!P129</f>
        <v>이비웨이브(4/4) 340,000*2</v>
      </c>
      <c r="Q502" s="20">
        <f>'4월'!Q129</f>
        <v>400000</v>
      </c>
      <c r="R502" s="2" t="str">
        <f>'4월'!R129</f>
        <v>완료(5/12)</v>
      </c>
      <c r="S502" s="8" t="str">
        <f>'4월'!S129</f>
        <v>천범석</v>
      </c>
      <c r="T502" s="11"/>
    </row>
    <row r="503" spans="1:20">
      <c r="A503" t="s">
        <v>30</v>
      </c>
      <c r="B503" s="151" t="str">
        <f>'4월'!B130</f>
        <v>H250409-01</v>
      </c>
      <c r="C503" s="155"/>
      <c r="D503" s="43"/>
      <c r="E503" s="44" t="str">
        <f>'4월'!E130</f>
        <v>티에스씨인포</v>
      </c>
      <c r="F503" s="41"/>
      <c r="G503" s="2" t="str">
        <f>'4월'!G130</f>
        <v>상품</v>
      </c>
      <c r="H503" s="83" t="str">
        <f>'4월'!H130</f>
        <v xml:space="preserve">44V3454 </v>
      </c>
      <c r="I503" s="4" t="str">
        <f>'4월'!I130</f>
        <v>Fan for P6 550/P750</v>
      </c>
      <c r="J503" s="23">
        <f>'4월'!J130</f>
        <v>4</v>
      </c>
      <c r="K503" s="27">
        <f>'4월'!K130</f>
        <v>120000</v>
      </c>
      <c r="L503" s="37"/>
      <c r="M503" s="38"/>
      <c r="N503" s="38"/>
      <c r="O503" s="33"/>
      <c r="P503" s="197" t="str">
        <f>'4월'!P130</f>
        <v>이비웨이브(4/9) 360,000</v>
      </c>
      <c r="Q503" s="40"/>
      <c r="R503" s="41"/>
      <c r="S503" s="42"/>
      <c r="T503" s="11"/>
    </row>
    <row r="504" spans="1:20">
      <c r="A504" t="s">
        <v>30</v>
      </c>
      <c r="B504" s="151" t="str">
        <f>'4월'!B131</f>
        <v>H250421-02</v>
      </c>
      <c r="C504" s="155"/>
      <c r="D504" s="43"/>
      <c r="E504" s="44" t="str">
        <f>'4월'!E131</f>
        <v>티에스씨인포</v>
      </c>
      <c r="F504" s="41"/>
      <c r="G504" s="2" t="str">
        <f>'4월'!G131</f>
        <v>상품</v>
      </c>
      <c r="H504" s="83" t="str">
        <f>'4월'!H131</f>
        <v>90Y8954</v>
      </c>
      <c r="I504" s="4" t="str">
        <f>'4월'!I131</f>
        <v>500GB 7.2K 6G SAS 2.5inch Hard Drive</v>
      </c>
      <c r="J504" s="23">
        <f>'4월'!J131</f>
        <v>1</v>
      </c>
      <c r="K504" s="27">
        <f>'4월'!K131</f>
        <v>150000</v>
      </c>
      <c r="L504" s="37"/>
      <c r="M504" s="38"/>
      <c r="N504" s="38"/>
      <c r="O504" s="33"/>
      <c r="P504" s="197" t="str">
        <f>'4월'!P131</f>
        <v>이비웨이브(4/21) 120,000</v>
      </c>
      <c r="Q504" s="40"/>
      <c r="R504" s="41"/>
      <c r="S504" s="42"/>
      <c r="T504" s="11"/>
    </row>
    <row r="505" spans="1:20">
      <c r="A505" t="s">
        <v>30</v>
      </c>
      <c r="B505" s="151" t="str">
        <f>'4월'!B132</f>
        <v>H250421-03</v>
      </c>
      <c r="C505" s="155"/>
      <c r="D505" s="43"/>
      <c r="E505" s="44" t="str">
        <f>'4월'!E132</f>
        <v>티에스씨인포</v>
      </c>
      <c r="F505" s="41"/>
      <c r="G505" s="2" t="str">
        <f>'4월'!G132</f>
        <v>상품</v>
      </c>
      <c r="H505" s="83" t="str">
        <f>'4월'!H132</f>
        <v>42D0678</v>
      </c>
      <c r="I505" s="4" t="str">
        <f>'4월'!I132</f>
        <v>146GB 15K 6G SAS 2.5inch Hard Drive</v>
      </c>
      <c r="J505" s="23">
        <f>'4월'!J132</f>
        <v>1</v>
      </c>
      <c r="K505" s="27">
        <f>'4월'!K132</f>
        <v>130000</v>
      </c>
      <c r="L505" s="37"/>
      <c r="M505" s="38"/>
      <c r="N505" s="38"/>
      <c r="O505" s="33"/>
      <c r="P505" s="197" t="str">
        <f>'4월'!P132</f>
        <v>이비웨이브(4/21) 100,000</v>
      </c>
      <c r="Q505" s="40"/>
      <c r="R505" s="41"/>
      <c r="S505" s="42"/>
      <c r="T505" s="11"/>
    </row>
    <row r="506" spans="1:20">
      <c r="A506" t="s">
        <v>30</v>
      </c>
      <c r="B506" s="151" t="str">
        <f>'4월'!B133</f>
        <v>H250422-02</v>
      </c>
      <c r="C506" s="155"/>
      <c r="D506" s="43"/>
      <c r="E506" s="44" t="str">
        <f>'4월'!E133</f>
        <v>티에스씨인포</v>
      </c>
      <c r="F506" s="41"/>
      <c r="G506" s="2" t="str">
        <f>'4월'!G133</f>
        <v>상품</v>
      </c>
      <c r="H506" s="83" t="str">
        <f>'4월'!H133</f>
        <v>01LJ743</v>
      </c>
      <c r="I506" s="4" t="str">
        <f>'4월'!I133</f>
        <v>V7000 Gen2+ Node Canister 624/AF</v>
      </c>
      <c r="J506" s="23">
        <f>'4월'!J133</f>
        <v>1</v>
      </c>
      <c r="K506" s="27">
        <f>'4월'!K133</f>
        <v>1400000</v>
      </c>
      <c r="L506" s="37"/>
      <c r="M506" s="38"/>
      <c r="N506" s="38"/>
      <c r="O506" s="33"/>
      <c r="P506" s="197" t="str">
        <f>'4월'!P133</f>
        <v>이비웨이브(4/22) 1,200,000</v>
      </c>
      <c r="Q506" s="40"/>
      <c r="R506" s="41"/>
      <c r="S506" s="42"/>
      <c r="T506" s="11"/>
    </row>
    <row r="507" spans="1:20" ht="24">
      <c r="A507" t="s">
        <v>30</v>
      </c>
      <c r="B507" s="151" t="str">
        <f>'4월'!B134</f>
        <v>H250422-01</v>
      </c>
      <c r="C507" s="153"/>
      <c r="D507" s="17">
        <f>'4월'!D134</f>
        <v>45777</v>
      </c>
      <c r="E507" s="1" t="str">
        <f>'4월'!E134</f>
        <v>다올시스</v>
      </c>
      <c r="F507" s="2"/>
      <c r="G507" s="2" t="str">
        <f>'4월'!G134</f>
        <v>상품</v>
      </c>
      <c r="H507" s="83" t="str">
        <f>'4월'!H134</f>
        <v>RDX Media</v>
      </c>
      <c r="I507" s="4" t="str">
        <f>'4월'!I134</f>
        <v>Tandberg 4TB media for RDX</v>
      </c>
      <c r="J507" s="23">
        <f>'4월'!J134</f>
        <v>1</v>
      </c>
      <c r="K507" s="27">
        <f>'4월'!K134</f>
        <v>1000000</v>
      </c>
      <c r="L507" s="26">
        <f>'4월'!L134</f>
        <v>1000000</v>
      </c>
      <c r="M507" s="27">
        <f>'4월'!M134</f>
        <v>100000</v>
      </c>
      <c r="N507" s="27">
        <f>'4월'!N134</f>
        <v>1100000</v>
      </c>
      <c r="O507" s="33">
        <f>'4월'!O134</f>
        <v>883800</v>
      </c>
      <c r="P507" s="197" t="str">
        <f>'4월'!P134</f>
        <v>스토리지케이투(4/22) 로젠택배(4/30) 3,800</v>
      </c>
      <c r="Q507" s="20">
        <f>'4월'!Q134</f>
        <v>116200</v>
      </c>
      <c r="R507" s="2" t="str">
        <f>'4월'!R134</f>
        <v>완료(5/30)</v>
      </c>
      <c r="S507" s="8" t="str">
        <f>'4월'!S134</f>
        <v>천범석</v>
      </c>
      <c r="T507" s="11"/>
    </row>
    <row r="508" spans="1:20" ht="24">
      <c r="A508" t="s">
        <v>30</v>
      </c>
      <c r="B508" s="151" t="str">
        <f>'4월'!B135</f>
        <v>H250423-01</v>
      </c>
      <c r="C508" s="153"/>
      <c r="D508" s="17">
        <f>'4월'!D135</f>
        <v>45777</v>
      </c>
      <c r="E508" s="1" t="str">
        <f>'4월'!E135</f>
        <v>로보츠</v>
      </c>
      <c r="F508" s="2"/>
      <c r="G508" s="2" t="str">
        <f>'4월'!G135</f>
        <v>상품</v>
      </c>
      <c r="H508" s="83" t="str">
        <f>'4월'!H135</f>
        <v>836220-B21</v>
      </c>
      <c r="I508" s="4" t="str">
        <f>'4월'!I135</f>
        <v>HPE 16GB (1x16GB) Dual Rank x4 DDR4-2400 CAS-17-17-17 Registered Memory Kit</v>
      </c>
      <c r="J508" s="23">
        <f>'4월'!J135</f>
        <v>3</v>
      </c>
      <c r="K508" s="27">
        <f>'4월'!K135</f>
        <v>120000</v>
      </c>
      <c r="L508" s="26">
        <f>'4월'!L135</f>
        <v>360000</v>
      </c>
      <c r="M508" s="27">
        <f>'4월'!M135</f>
        <v>36000</v>
      </c>
      <c r="N508" s="27">
        <f>'4월'!N135</f>
        <v>396000</v>
      </c>
      <c r="O508" s="33">
        <f>'4월'!O135</f>
        <v>273800</v>
      </c>
      <c r="P508" s="197" t="str">
        <f>'4월'!P135</f>
        <v>이비웨이브(4/23) 로젠택배(4/30) 3,800</v>
      </c>
      <c r="Q508" s="20">
        <f>'4월'!Q135</f>
        <v>86200</v>
      </c>
      <c r="R508" s="2" t="str">
        <f>'4월'!R135</f>
        <v>완료(5/26)</v>
      </c>
      <c r="S508" s="8" t="str">
        <f>'4월'!S135</f>
        <v>천범석</v>
      </c>
      <c r="T508" s="11"/>
    </row>
    <row r="509" spans="1:20">
      <c r="A509" t="s">
        <v>30</v>
      </c>
      <c r="B509" s="151" t="str">
        <f>'4월'!B136</f>
        <v>D250418-01</v>
      </c>
      <c r="C509" s="153"/>
      <c r="D509" s="17">
        <f>'4월'!D136</f>
        <v>45777</v>
      </c>
      <c r="E509" s="1" t="str">
        <f>'4월'!E136</f>
        <v>현성솔루션</v>
      </c>
      <c r="F509" s="2"/>
      <c r="G509" s="2" t="str">
        <f>'4월'!G136</f>
        <v>상품</v>
      </c>
      <c r="H509" s="83" t="str">
        <f>'4월'!H136</f>
        <v>00TKYT</v>
      </c>
      <c r="I509" s="4" t="str">
        <f>'4월'!I136</f>
        <v>Dell 2U 슬라이딩 레일킷</v>
      </c>
      <c r="J509" s="23">
        <f>'4월'!J136</f>
        <v>3</v>
      </c>
      <c r="K509" s="27">
        <f>'4월'!K136</f>
        <v>120000</v>
      </c>
      <c r="L509" s="26">
        <f>'4월'!L136</f>
        <v>360000</v>
      </c>
      <c r="M509" s="27">
        <f>'4월'!M136</f>
        <v>36000</v>
      </c>
      <c r="N509" s="27">
        <f>'4월'!N136</f>
        <v>396000</v>
      </c>
      <c r="O509" s="33">
        <f>'4월'!O136</f>
        <v>306000</v>
      </c>
      <c r="P509" s="197" t="str">
        <f>'4월'!P136</f>
        <v>이비웨이브(4/16) 로젠택배(4/30) 6,000</v>
      </c>
      <c r="Q509" s="20">
        <f>'4월'!Q136</f>
        <v>54000</v>
      </c>
      <c r="R509" s="2" t="str">
        <f>'4월'!R136</f>
        <v>완료(5/30)</v>
      </c>
      <c r="S509" s="8" t="str">
        <f>'4월'!S136</f>
        <v>이지훈</v>
      </c>
      <c r="T509" s="11"/>
    </row>
    <row r="510" spans="1:20" ht="24">
      <c r="A510" t="s">
        <v>30</v>
      </c>
      <c r="B510" s="151" t="str">
        <f>'4월'!B137</f>
        <v>H250410-01</v>
      </c>
      <c r="C510" s="153"/>
      <c r="D510" s="17">
        <f>'4월'!D137</f>
        <v>45777</v>
      </c>
      <c r="E510" s="1" t="str">
        <f>'4월'!E137</f>
        <v>브리토바코</v>
      </c>
      <c r="F510" s="2" t="str">
        <f>'4월'!F137</f>
        <v>BAT사천</v>
      </c>
      <c r="G510" s="2" t="str">
        <f>'4월'!G137</f>
        <v>상품</v>
      </c>
      <c r="H510" s="83" t="str">
        <f>'4월'!H137</f>
        <v>VXRail 라이선스</v>
      </c>
      <c r="I510" s="4" t="str">
        <f>'4월'!I137</f>
        <v>VXRail Software(Vmware) 라이선스</v>
      </c>
      <c r="J510" s="23">
        <f>'4월'!J137</f>
        <v>1</v>
      </c>
      <c r="K510" s="27">
        <f>'4월'!K137</f>
        <v>45300000</v>
      </c>
      <c r="L510" s="26">
        <f>'4월'!L137</f>
        <v>45300000</v>
      </c>
      <c r="M510" s="27">
        <f>'4월'!M137</f>
        <v>4530000</v>
      </c>
      <c r="N510" s="27">
        <f>'4월'!N137</f>
        <v>49830000</v>
      </c>
      <c r="O510" s="33">
        <f>'4월'!O137</f>
        <v>44400000</v>
      </c>
      <c r="P510" s="197" t="str">
        <f>'4월'!P137</f>
        <v>알앤에스정보(4/28)</v>
      </c>
      <c r="Q510" s="20">
        <f>'4월'!Q137</f>
        <v>900000</v>
      </c>
      <c r="R510" s="68" t="str">
        <f>'4월'!R137</f>
        <v>완료(7/9)</v>
      </c>
      <c r="S510" s="8" t="str">
        <f>'4월'!S137</f>
        <v>천범석</v>
      </c>
      <c r="T510" s="11"/>
    </row>
    <row r="511" spans="1:20">
      <c r="A511" t="s">
        <v>30</v>
      </c>
      <c r="B511" s="151" t="str">
        <f>'4월'!B138</f>
        <v>S</v>
      </c>
      <c r="C511" s="153"/>
      <c r="D511" s="17">
        <f>'4월'!D138</f>
        <v>45777</v>
      </c>
      <c r="E511" s="1" t="str">
        <f>'4월'!E138</f>
        <v>인테그리틱스</v>
      </c>
      <c r="F511" s="215" t="str">
        <f>'4월'!F138</f>
        <v>광명자이 1811호</v>
      </c>
      <c r="G511" s="161" t="str">
        <f>'4월'!G138</f>
        <v>건물임대</v>
      </c>
      <c r="H511" s="161" t="str">
        <f>'4월'!H138</f>
        <v>임대료</v>
      </c>
      <c r="I511" s="4" t="str">
        <f>'4월'!I138</f>
        <v>임대료(25/4/8~5/7) - 1/12회</v>
      </c>
      <c r="J511" s="23">
        <f>'4월'!J138</f>
        <v>1</v>
      </c>
      <c r="K511" s="27">
        <f>'4월'!K138</f>
        <v>550000</v>
      </c>
      <c r="L511" s="26">
        <f>'4월'!L138</f>
        <v>550000</v>
      </c>
      <c r="M511" s="27">
        <f>'4월'!M138</f>
        <v>55000</v>
      </c>
      <c r="N511" s="27">
        <f>'4월'!N138</f>
        <v>605000</v>
      </c>
      <c r="O511" s="52">
        <f>'4월'!O138</f>
        <v>0</v>
      </c>
      <c r="P511" s="171" t="str">
        <f>'4월'!P138</f>
        <v>X</v>
      </c>
      <c r="Q511" s="20">
        <f>'4월'!Q138</f>
        <v>550000</v>
      </c>
      <c r="R511" s="68" t="str">
        <f>'4월'!R138</f>
        <v>완료(5/29)</v>
      </c>
      <c r="S511" s="8" t="str">
        <f>'4월'!S138</f>
        <v>정지우</v>
      </c>
      <c r="T511" s="11"/>
    </row>
    <row r="512" spans="1:20" ht="24">
      <c r="A512" t="s">
        <v>30</v>
      </c>
      <c r="B512" s="151" t="str">
        <f>'4월'!B139</f>
        <v>Y250424-01</v>
      </c>
      <c r="C512" s="153"/>
      <c r="D512" s="17">
        <f>'4월'!D139</f>
        <v>45777</v>
      </c>
      <c r="E512" s="1" t="str">
        <f>'4월'!E139</f>
        <v>인표산업</v>
      </c>
      <c r="F512" s="2"/>
      <c r="G512" s="2" t="str">
        <f>'4월'!G139</f>
        <v>상품</v>
      </c>
      <c r="H512" s="83" t="str">
        <f>'4월'!H139</f>
        <v>RH00004</v>
      </c>
      <c r="I512" s="4" t="str">
        <f>'4월'!I139</f>
        <v>Red Hat Enterprise Linux Server, Standard (Physical or Virtual Nodes)</v>
      </c>
      <c r="J512" s="23">
        <f>'4월'!J139</f>
        <v>1</v>
      </c>
      <c r="K512" s="27">
        <f>'4월'!K139</f>
        <v>1350000</v>
      </c>
      <c r="L512" s="26">
        <f>'4월'!L139</f>
        <v>1350000</v>
      </c>
      <c r="M512" s="27">
        <f>'4월'!M139</f>
        <v>135000</v>
      </c>
      <c r="N512" s="27">
        <f>'4월'!N139</f>
        <v>1485000</v>
      </c>
      <c r="O512" s="33">
        <f>'4월'!O139</f>
        <v>1250000</v>
      </c>
      <c r="P512" s="197" t="str">
        <f>'4월'!P139</f>
        <v>씨플랫폼(5/30)</v>
      </c>
      <c r="Q512" s="20">
        <f>'4월'!Q139</f>
        <v>100000</v>
      </c>
      <c r="R512" s="2" t="str">
        <f>'4월'!R139</f>
        <v>완료(5/20)</v>
      </c>
      <c r="S512" s="8" t="str">
        <f>'4월'!S139</f>
        <v>홍승민</v>
      </c>
      <c r="T512" s="11"/>
    </row>
    <row r="513" spans="1:21">
      <c r="A513" t="s">
        <v>30</v>
      </c>
      <c r="B513" s="151" t="str">
        <f>'5월'!B3</f>
        <v>IK-23016</v>
      </c>
      <c r="C513" s="153"/>
      <c r="D513" s="10">
        <f>'5월'!D3</f>
        <v>45778</v>
      </c>
      <c r="E513" s="1" t="str">
        <f>'5월'!E3</f>
        <v>케이정보기술</v>
      </c>
      <c r="F513" s="2" t="str">
        <f>'5월'!F3</f>
        <v>청주시청</v>
      </c>
      <c r="G513" s="1" t="str">
        <f>'5월'!G3</f>
        <v>MA</v>
      </c>
      <c r="H513" s="161" t="str">
        <f>'5월'!H3</f>
        <v>월간-IBM</v>
      </c>
      <c r="I513" s="164" t="str">
        <f>'5월'!I3</f>
        <v>5월 유지정비료 - 21/35회</v>
      </c>
      <c r="J513" s="210">
        <f>'5월'!J3</f>
        <v>1</v>
      </c>
      <c r="K513" s="27">
        <f>'5월'!K3</f>
        <v>1600000</v>
      </c>
      <c r="L513" s="26">
        <f>'5월'!L3</f>
        <v>1600000</v>
      </c>
      <c r="M513" s="27">
        <f>'5월'!M3</f>
        <v>160000</v>
      </c>
      <c r="N513" s="27">
        <f>'5월'!N3</f>
        <v>1760000</v>
      </c>
      <c r="O513" s="52">
        <f>'5월'!O3</f>
        <v>1383858</v>
      </c>
      <c r="P513" s="170" t="str">
        <f>'5월'!P3</f>
        <v>IBM(5/2) 1,123,962 (5/2) 259,896</v>
      </c>
      <c r="Q513" s="181">
        <f>'5월'!Q3</f>
        <v>216142</v>
      </c>
      <c r="R513" s="2" t="str">
        <f>'5월'!R3</f>
        <v>완료(6/30)</v>
      </c>
      <c r="S513" s="8" t="str">
        <f>'5월'!S3</f>
        <v>천범석</v>
      </c>
      <c r="T513" s="11"/>
    </row>
    <row r="514" spans="1:21" ht="24">
      <c r="A514" t="s">
        <v>30</v>
      </c>
      <c r="B514" s="151" t="str">
        <f>'5월'!B4</f>
        <v>LI-24004</v>
      </c>
      <c r="C514" s="153"/>
      <c r="D514" s="10">
        <f>'5월'!D4</f>
        <v>45778</v>
      </c>
      <c r="E514" s="1" t="str">
        <f>'5월'!E4</f>
        <v>한국메탈</v>
      </c>
      <c r="F514" s="2"/>
      <c r="G514" s="1" t="str">
        <f>'5월'!G4</f>
        <v>MA</v>
      </c>
      <c r="H514" s="1" t="str">
        <f>'5월'!H4</f>
        <v>월간-IBM</v>
      </c>
      <c r="I514" s="4" t="str">
        <f>'5월'!I4</f>
        <v>5월 유지정비료 - 13/36회</v>
      </c>
      <c r="J514" s="210">
        <f>'5월'!J4</f>
        <v>1</v>
      </c>
      <c r="K514" s="27">
        <f>'5월'!K4</f>
        <v>507500</v>
      </c>
      <c r="L514" s="26">
        <f>'5월'!L4</f>
        <v>507500</v>
      </c>
      <c r="M514" s="27">
        <f>'5월'!M4</f>
        <v>50750</v>
      </c>
      <c r="N514" s="27">
        <f>'5월'!N4</f>
        <v>558250</v>
      </c>
      <c r="O514" s="52">
        <f>'5월'!O4</f>
        <v>416682</v>
      </c>
      <c r="P514" s="170" t="str">
        <f>'5월'!P4</f>
        <v>IBM(5/2) 316,682
시스나인(1/2) 연간 1,200,000(5/12회)</v>
      </c>
      <c r="Q514" s="181">
        <f>'5월'!Q4</f>
        <v>90818</v>
      </c>
      <c r="R514" s="2" t="str">
        <f>'5월'!R4</f>
        <v>완료(5/30)</v>
      </c>
      <c r="S514" s="8" t="str">
        <f>'5월'!S4</f>
        <v>천범석</v>
      </c>
      <c r="T514" s="11"/>
    </row>
    <row r="515" spans="1:21" ht="48">
      <c r="A515" t="s">
        <v>30</v>
      </c>
      <c r="B515" s="151" t="str">
        <f>'5월'!B5</f>
        <v>LI-24005</v>
      </c>
      <c r="C515" s="152" t="str">
        <f>'5월'!C5</f>
        <v>Z4ACEZ</v>
      </c>
      <c r="D515" s="10">
        <f>'5월'!D5</f>
        <v>45778</v>
      </c>
      <c r="E515" s="157" t="str">
        <f>'5월'!E5</f>
        <v>해종합건축사사무소</v>
      </c>
      <c r="F515" s="157"/>
      <c r="G515" s="1" t="str">
        <f>'5월'!G5</f>
        <v>MA</v>
      </c>
      <c r="H515" s="1" t="str">
        <f>'5월'!H5</f>
        <v>월간-IBM</v>
      </c>
      <c r="I515" s="3" t="str">
        <f>'5월'!I5</f>
        <v>5월 유지정비료 - 12/12회</v>
      </c>
      <c r="J515" s="211">
        <f>'5월'!J5</f>
        <v>1</v>
      </c>
      <c r="K515" s="26">
        <f>'5월'!K5</f>
        <v>1554500</v>
      </c>
      <c r="L515" s="26">
        <f>'5월'!L5</f>
        <v>1554500</v>
      </c>
      <c r="M515" s="27">
        <f>'5월'!M5</f>
        <v>155450</v>
      </c>
      <c r="N515" s="27">
        <f>'5월'!N5</f>
        <v>1709950</v>
      </c>
      <c r="O515" s="52">
        <f>'5월'!O5</f>
        <v>1308000</v>
      </c>
      <c r="P515" s="171" t="str">
        <f>'5월'!P5</f>
        <v>레노버(5/31) 171,600
IBM(5/1) 436,400
에스엔에이(5/15) 200,000
시스나인(25/3/4) 연간 6,000,000 12/12회</v>
      </c>
      <c r="Q515" s="181">
        <f>'5월'!Q5</f>
        <v>246500</v>
      </c>
      <c r="R515" s="68" t="str">
        <f>'5월'!R5</f>
        <v>완료(5/30)</v>
      </c>
      <c r="S515" s="5" t="str">
        <f>'5월'!S5</f>
        <v>천범석</v>
      </c>
      <c r="T515" s="6"/>
    </row>
    <row r="516" spans="1:21">
      <c r="A516" t="s">
        <v>30</v>
      </c>
      <c r="B516" s="151" t="str">
        <f>'5월'!B6</f>
        <v>SB-24039</v>
      </c>
      <c r="C516" s="152" t="str">
        <f>'5월'!C6</f>
        <v>ZZGBBZ</v>
      </c>
      <c r="D516" s="10">
        <f>'5월'!D6</f>
        <v>45778</v>
      </c>
      <c r="E516" s="1" t="str">
        <f>'5월'!E6</f>
        <v>한국디지털방송</v>
      </c>
      <c r="F516" s="1"/>
      <c r="G516" s="1" t="str">
        <f>'5월'!G6</f>
        <v>MA</v>
      </c>
      <c r="H516" s="161" t="str">
        <f>'5월'!H6</f>
        <v>월간-레노버</v>
      </c>
      <c r="I516" s="164" t="str">
        <f>'5월'!I6</f>
        <v>5월 유지정비료 - 11/12회</v>
      </c>
      <c r="J516" s="69">
        <f>'5월'!J6</f>
        <v>1</v>
      </c>
      <c r="K516" s="29">
        <f>'5월'!K6</f>
        <v>1423000</v>
      </c>
      <c r="L516" s="26">
        <f>'5월'!L6</f>
        <v>1423000</v>
      </c>
      <c r="M516" s="27">
        <f>'5월'!M6</f>
        <v>142300</v>
      </c>
      <c r="N516" s="27">
        <f>'5월'!N6</f>
        <v>1565300</v>
      </c>
      <c r="O516" s="52">
        <f>'5월'!O6</f>
        <v>1120200</v>
      </c>
      <c r="P516" s="171" t="str">
        <f>'5월'!P6</f>
        <v>레노버(5/31)</v>
      </c>
      <c r="Q516" s="181">
        <f>'5월'!Q6</f>
        <v>302800</v>
      </c>
      <c r="R516" s="2" t="str">
        <f>'5월'!R6</f>
        <v>완료(5/22)</v>
      </c>
      <c r="S516" s="5" t="str">
        <f>'5월'!S6</f>
        <v>천범석</v>
      </c>
      <c r="T516" s="6"/>
    </row>
    <row r="517" spans="1:21" ht="24">
      <c r="A517" t="s">
        <v>30</v>
      </c>
      <c r="B517" s="151" t="str">
        <f>'5월'!B7</f>
        <v>IK-24008</v>
      </c>
      <c r="C517" s="153"/>
      <c r="D517" s="10">
        <f>'5월'!D7</f>
        <v>45778</v>
      </c>
      <c r="E517" s="1" t="str">
        <f>'5월'!E7</f>
        <v>서비스링크</v>
      </c>
      <c r="F517" s="2" t="str">
        <f>'5월'!F7</f>
        <v>세원정공(폴라리스세원)</v>
      </c>
      <c r="G517" s="1" t="str">
        <f>'5월'!G7</f>
        <v>MA</v>
      </c>
      <c r="H517" s="161" t="str">
        <f>'5월'!H7</f>
        <v>월간-레노버</v>
      </c>
      <c r="I517" s="164" t="str">
        <f>'5월'!I7</f>
        <v>5월 유지정비료 - 11/12회</v>
      </c>
      <c r="J517" s="210">
        <f>'5월'!J7</f>
        <v>1</v>
      </c>
      <c r="K517" s="27">
        <f>'5월'!K7</f>
        <v>238000</v>
      </c>
      <c r="L517" s="26">
        <f>'5월'!L7</f>
        <v>238000</v>
      </c>
      <c r="M517" s="27">
        <f>'5월'!M7</f>
        <v>23800</v>
      </c>
      <c r="N517" s="27">
        <f>'5월'!N7</f>
        <v>261800</v>
      </c>
      <c r="O517" s="52">
        <f>'5월'!O7</f>
        <v>198018</v>
      </c>
      <c r="P517" s="170" t="str">
        <f>'5월'!P7</f>
        <v>IBM(5/2)</v>
      </c>
      <c r="Q517" s="181">
        <f>'5월'!Q7</f>
        <v>39982</v>
      </c>
      <c r="R517" s="68" t="str">
        <f>'5월'!R7</f>
        <v>완료(5/30)</v>
      </c>
      <c r="S517" s="5" t="str">
        <f>'5월'!S7</f>
        <v>천범석</v>
      </c>
      <c r="T517" s="11"/>
    </row>
    <row r="518" spans="1:21">
      <c r="A518" t="s">
        <v>30</v>
      </c>
      <c r="B518" s="151" t="str">
        <f>'5월'!B8</f>
        <v>IK-24012</v>
      </c>
      <c r="C518" s="153"/>
      <c r="D518" s="10">
        <f>'5월'!D8</f>
        <v>45778</v>
      </c>
      <c r="E518" s="1" t="str">
        <f>'5월'!E8</f>
        <v>인정보시스템</v>
      </c>
      <c r="F518" s="2" t="str">
        <f>'5월'!F8</f>
        <v>대구텍</v>
      </c>
      <c r="G518" s="1" t="str">
        <f>'5월'!G8</f>
        <v>MA</v>
      </c>
      <c r="H518" s="161" t="str">
        <f>'5월'!H8</f>
        <v>월간-IBM</v>
      </c>
      <c r="I518" s="4" t="str">
        <f>'5월'!I8</f>
        <v>5월 유지정비료 - 5/6회(최종-중도해지)</v>
      </c>
      <c r="J518" s="23">
        <f>'5월'!J8</f>
        <v>1</v>
      </c>
      <c r="K518" s="26">
        <f>'5월'!K8</f>
        <v>1039500</v>
      </c>
      <c r="L518" s="26">
        <f>'5월'!L8</f>
        <v>1039500</v>
      </c>
      <c r="M518" s="27">
        <f>'5월'!M8</f>
        <v>103950</v>
      </c>
      <c r="N518" s="27">
        <f>'5월'!N8</f>
        <v>1143450</v>
      </c>
      <c r="O518" s="33">
        <f>'5월'!O8</f>
        <v>990000</v>
      </c>
      <c r="P518" s="170" t="str">
        <f>'5월'!P8</f>
        <v>IBM(5/2)</v>
      </c>
      <c r="Q518" s="20">
        <f>'5월'!Q8</f>
        <v>49500</v>
      </c>
      <c r="R518" s="2" t="str">
        <f>'5월'!R8</f>
        <v>완료(5/16)</v>
      </c>
      <c r="S518" s="8" t="str">
        <f>'5월'!S8</f>
        <v>천범석</v>
      </c>
      <c r="T518" s="11"/>
      <c r="U518" t="s">
        <v>476</v>
      </c>
    </row>
    <row r="519" spans="1:21">
      <c r="A519" t="s">
        <v>30</v>
      </c>
      <c r="B519" s="151" t="str">
        <f>'5월'!B9</f>
        <v>IK-24013</v>
      </c>
      <c r="C519" s="153"/>
      <c r="D519" s="10">
        <f>'5월'!D9</f>
        <v>45778</v>
      </c>
      <c r="E519" s="1" t="str">
        <f>'5월'!E9</f>
        <v>레드텍</v>
      </c>
      <c r="F519" s="2" t="str">
        <f>'5월'!F9</f>
        <v>대한상공회의소</v>
      </c>
      <c r="G519" s="161" t="str">
        <f>'5월'!G9</f>
        <v>MA</v>
      </c>
      <c r="H519" s="161" t="str">
        <f>'5월'!H9</f>
        <v>월간-IBM</v>
      </c>
      <c r="I519" s="4" t="str">
        <f>'5월'!I9</f>
        <v>5월 유지정비료 - 7/12회</v>
      </c>
      <c r="J519" s="23">
        <f>'5월'!J9</f>
        <v>1</v>
      </c>
      <c r="K519" s="27">
        <f>'5월'!K9</f>
        <v>158400</v>
      </c>
      <c r="L519" s="26">
        <f>'5월'!L9</f>
        <v>158400</v>
      </c>
      <c r="M519" s="27">
        <f>'5월'!M9</f>
        <v>15840</v>
      </c>
      <c r="N519" s="27">
        <f>'5월'!N9</f>
        <v>174240</v>
      </c>
      <c r="O519" s="33">
        <f>'5월'!O9</f>
        <v>145780</v>
      </c>
      <c r="P519" s="170" t="str">
        <f>'5월'!P9</f>
        <v>IBM(5/2)</v>
      </c>
      <c r="Q519" s="20">
        <f>'5월'!Q9</f>
        <v>12620</v>
      </c>
      <c r="R519" s="2" t="str">
        <f>'5월'!R9</f>
        <v>완료(5/7)</v>
      </c>
      <c r="S519" s="8" t="str">
        <f>'5월'!S9</f>
        <v>천범석</v>
      </c>
      <c r="T519" s="11"/>
    </row>
    <row r="520" spans="1:21" ht="24">
      <c r="A520" t="s">
        <v>30</v>
      </c>
      <c r="B520" s="151" t="str">
        <f>'5월'!B10</f>
        <v>SM-23012</v>
      </c>
      <c r="C520" s="152"/>
      <c r="D520" s="10">
        <f>'5월'!D10</f>
        <v>45778</v>
      </c>
      <c r="E520" s="1" t="str">
        <f>'5월'!E10</f>
        <v>택스홈앤아웃</v>
      </c>
      <c r="F520" s="161" t="str">
        <f>'5월'!F10</f>
        <v>본사</v>
      </c>
      <c r="G520" s="161" t="str">
        <f>'5월'!G10</f>
        <v>MA</v>
      </c>
      <c r="H520" s="161" t="str">
        <f>'5월'!H10</f>
        <v>월간</v>
      </c>
      <c r="I520" s="163" t="str">
        <f>'5월'!I10</f>
        <v>VPN 서비스 5월임대료 - 5/12회 280,000
+ 보안스위치 5월 2대*120,000</v>
      </c>
      <c r="J520" s="71">
        <f>'5월'!J10</f>
        <v>1</v>
      </c>
      <c r="K520" s="26">
        <f>'5월'!K10</f>
        <v>520000</v>
      </c>
      <c r="L520" s="26">
        <f>'5월'!L10</f>
        <v>520000</v>
      </c>
      <c r="M520" s="27">
        <f>'5월'!M10</f>
        <v>52000</v>
      </c>
      <c r="N520" s="27">
        <f>'5월'!N10</f>
        <v>572000</v>
      </c>
      <c r="O520" s="52">
        <f>'5월'!O10</f>
        <v>368600</v>
      </c>
      <c r="P520" s="171" t="str">
        <f>'5월'!P10</f>
        <v>엘림넷(5/10) 213,400 (5/10) 155,200</v>
      </c>
      <c r="Q520" s="181">
        <f>'5월'!Q10</f>
        <v>151400</v>
      </c>
      <c r="R520" s="2" t="str">
        <f>'5월'!R10</f>
        <v>완료(5/30)</v>
      </c>
      <c r="S520" s="5" t="str">
        <f>'5월'!S10</f>
        <v>이예지</v>
      </c>
      <c r="T520" s="6"/>
    </row>
    <row r="521" spans="1:21">
      <c r="A521" t="s">
        <v>30</v>
      </c>
      <c r="B521" s="151" t="str">
        <f>'5월'!B11</f>
        <v>SM-23013</v>
      </c>
      <c r="C521" s="152"/>
      <c r="D521" s="10">
        <f>'5월'!D11</f>
        <v>45778</v>
      </c>
      <c r="E521" s="1" t="str">
        <f>'5월'!E11</f>
        <v>하이엔드택스 강남지점</v>
      </c>
      <c r="F521" s="161" t="str">
        <f>'5월'!F11</f>
        <v>압구정</v>
      </c>
      <c r="G521" s="161" t="str">
        <f>'5월'!G11</f>
        <v>MA</v>
      </c>
      <c r="H521" s="161" t="str">
        <f>'5월'!H11</f>
        <v>월간</v>
      </c>
      <c r="I521" s="163" t="str">
        <f>'5월'!I11</f>
        <v>VPN 서비스 5월임대료 - 5/12회</v>
      </c>
      <c r="J521" s="71">
        <f>'5월'!J11</f>
        <v>1</v>
      </c>
      <c r="K521" s="26">
        <f>'5월'!K11</f>
        <v>320000</v>
      </c>
      <c r="L521" s="26">
        <f>'5월'!L11</f>
        <v>320000</v>
      </c>
      <c r="M521" s="27">
        <f>'5월'!M11</f>
        <v>32000</v>
      </c>
      <c r="N521" s="27">
        <f>'5월'!N11</f>
        <v>352000</v>
      </c>
      <c r="O521" s="52">
        <f>'5월'!O11</f>
        <v>223100</v>
      </c>
      <c r="P521" s="171" t="str">
        <f>'5월'!P11</f>
        <v>엘림넷(5/10) 145,500 (5/10) 77,600</v>
      </c>
      <c r="Q521" s="181">
        <f>'5월'!Q11</f>
        <v>96900</v>
      </c>
      <c r="R521" s="2" t="str">
        <f>'5월'!R11</f>
        <v>완료(6/6)</v>
      </c>
      <c r="S521" s="5" t="str">
        <f>'5월'!S11</f>
        <v>이예지</v>
      </c>
      <c r="T521" s="6"/>
    </row>
    <row r="522" spans="1:21">
      <c r="A522" t="s">
        <v>30</v>
      </c>
      <c r="B522" s="151" t="str">
        <f>'5월'!B12</f>
        <v>SM-23016</v>
      </c>
      <c r="C522" s="152"/>
      <c r="D522" s="10">
        <f>'5월'!D12</f>
        <v>45778</v>
      </c>
      <c r="E522" s="1" t="str">
        <f>'5월'!E12</f>
        <v>에실로코리아</v>
      </c>
      <c r="F522" s="1" t="str">
        <f>'5월'!F12</f>
        <v>에실로코리아</v>
      </c>
      <c r="G522" s="161" t="str">
        <f>'5월'!G12</f>
        <v>MA</v>
      </c>
      <c r="H522" s="161" t="str">
        <f>'5월'!H12</f>
        <v>월간</v>
      </c>
      <c r="I522" s="163" t="str">
        <f>'5월'!I12</f>
        <v>5월 유지정비료 - 5/12회</v>
      </c>
      <c r="J522" s="71">
        <f>'5월'!J12</f>
        <v>1</v>
      </c>
      <c r="K522" s="28">
        <f>'5월'!K12</f>
        <v>100000</v>
      </c>
      <c r="L522" s="26">
        <f>'5월'!L12</f>
        <v>100000</v>
      </c>
      <c r="M522" s="27">
        <f>'5월'!M12</f>
        <v>10000</v>
      </c>
      <c r="N522" s="27">
        <f>'5월'!N12</f>
        <v>110000</v>
      </c>
      <c r="O522" s="52">
        <f>'5월'!O12</f>
        <v>0</v>
      </c>
      <c r="P522" s="171" t="str">
        <f>'5월'!P12</f>
        <v>SM</v>
      </c>
      <c r="Q522" s="181">
        <f>'5월'!Q12</f>
        <v>100000</v>
      </c>
      <c r="R522" s="68" t="str">
        <f>'5월'!R12</f>
        <v>완료(6/16)</v>
      </c>
      <c r="S522" s="5" t="str">
        <f>'5월'!S12</f>
        <v>이예지</v>
      </c>
      <c r="T522" s="6"/>
    </row>
    <row r="523" spans="1:21" ht="24">
      <c r="A523" t="s">
        <v>30</v>
      </c>
      <c r="B523" s="151" t="str">
        <f>'5월'!B13</f>
        <v>IK-22025</v>
      </c>
      <c r="C523" s="153"/>
      <c r="D523" s="10">
        <f>'5월'!D13</f>
        <v>45778</v>
      </c>
      <c r="E523" s="1" t="str">
        <f>'5월'!E13</f>
        <v>디에스피</v>
      </c>
      <c r="F523" s="161" t="str">
        <f>'5월'!F13</f>
        <v>엘지생활건강 청주공장</v>
      </c>
      <c r="G523" s="1" t="str">
        <f>'5월'!G13</f>
        <v>MA</v>
      </c>
      <c r="H523" s="161" t="str">
        <f>'5월'!H13</f>
        <v>월간-IBM</v>
      </c>
      <c r="I523" s="162" t="str">
        <f>'5월'!I13</f>
        <v>5월 유지정비료 - 4/12회</v>
      </c>
      <c r="J523" s="74">
        <f>'5월'!J13</f>
        <v>1</v>
      </c>
      <c r="K523" s="27">
        <f>'5월'!K13</f>
        <v>635000</v>
      </c>
      <c r="L523" s="26">
        <f>'5월'!L13</f>
        <v>635000</v>
      </c>
      <c r="M523" s="27">
        <f>'5월'!M13</f>
        <v>63500</v>
      </c>
      <c r="N523" s="27">
        <f>'5월'!N13</f>
        <v>698500</v>
      </c>
      <c r="O523" s="52">
        <f>'5월'!O13</f>
        <v>564192</v>
      </c>
      <c r="P523" s="170" t="str">
        <f>'5월'!P13</f>
        <v>IBM(5/2)</v>
      </c>
      <c r="Q523" s="181">
        <f>'5월'!Q13</f>
        <v>70808</v>
      </c>
      <c r="R523" s="68" t="str">
        <f>'5월'!R13</f>
        <v>완료(6/4)</v>
      </c>
      <c r="S523" s="8" t="str">
        <f>'5월'!S13</f>
        <v>천범석</v>
      </c>
      <c r="T523" s="11"/>
    </row>
    <row r="524" spans="1:21" ht="36">
      <c r="A524" t="s">
        <v>30</v>
      </c>
      <c r="B524" s="151" t="str">
        <f>'5월'!B14</f>
        <v>SM-23015</v>
      </c>
      <c r="C524" s="152"/>
      <c r="D524" s="10">
        <f>'5월'!D14</f>
        <v>45778</v>
      </c>
      <c r="E524" s="1" t="str">
        <f>'5월'!E14</f>
        <v>동원프라스틱</v>
      </c>
      <c r="F524" s="1" t="str">
        <f>'5월'!F14</f>
        <v>동원프라스틱</v>
      </c>
      <c r="G524" s="161" t="str">
        <f>'5월'!G14</f>
        <v>MA</v>
      </c>
      <c r="H524" s="161" t="str">
        <f>'5월'!H14</f>
        <v>월간</v>
      </c>
      <c r="I524" s="163" t="str">
        <f>'5월'!I14</f>
        <v>5월 유지정비료 - 1/12회</v>
      </c>
      <c r="J524" s="71">
        <f>'5월'!J14</f>
        <v>1</v>
      </c>
      <c r="K524" s="26">
        <f>'5월'!K14</f>
        <v>1200000</v>
      </c>
      <c r="L524" s="26">
        <f>'5월'!L14</f>
        <v>1200000</v>
      </c>
      <c r="M524" s="27">
        <f>'5월'!M14</f>
        <v>120000</v>
      </c>
      <c r="N524" s="27">
        <f>'5월'!N14</f>
        <v>1320000</v>
      </c>
      <c r="O524" s="52">
        <f>'5월'!O14</f>
        <v>813000</v>
      </c>
      <c r="P524" s="171" t="str">
        <f>'5월'!P14</f>
        <v>시스나인(25/3/4) 4,800,000 5/6회
재고 146G*2개 
우림퀵(5/31) 13,000</v>
      </c>
      <c r="Q524" s="181">
        <f>'5월'!Q14</f>
        <v>387000</v>
      </c>
      <c r="R524" s="2" t="str">
        <f>'5월'!R14</f>
        <v>완료(5/30)</v>
      </c>
      <c r="S524" s="5" t="str">
        <f>'5월'!S14</f>
        <v>이예지</v>
      </c>
      <c r="T524" s="6"/>
    </row>
    <row r="525" spans="1:21" ht="12" customHeight="1">
      <c r="A525" t="s">
        <v>30</v>
      </c>
      <c r="B525" s="151" t="str">
        <f>'5월'!B15</f>
        <v>SM-24011</v>
      </c>
      <c r="C525" s="153"/>
      <c r="D525" s="10">
        <f>'5월'!D15</f>
        <v>45778</v>
      </c>
      <c r="E525" s="1" t="str">
        <f>'5월'!E15</f>
        <v>가나병원</v>
      </c>
      <c r="F525" s="161"/>
      <c r="G525" s="1" t="str">
        <f>'5월'!G15</f>
        <v>MA</v>
      </c>
      <c r="H525" s="161" t="str">
        <f>'5월'!H15</f>
        <v>월간</v>
      </c>
      <c r="I525" s="3" t="str">
        <f>'5월'!I15</f>
        <v>5월 유지정비료 - 1/12회</v>
      </c>
      <c r="J525" s="74">
        <f>'5월'!J15</f>
        <v>1</v>
      </c>
      <c r="K525" s="27">
        <f>'5월'!K15</f>
        <v>300000</v>
      </c>
      <c r="L525" s="26">
        <f>'5월'!L15</f>
        <v>300000</v>
      </c>
      <c r="M525" s="27">
        <f>'5월'!M15</f>
        <v>30000</v>
      </c>
      <c r="N525" s="27">
        <f>'5월'!N15</f>
        <v>330000</v>
      </c>
      <c r="O525" s="52">
        <f>'5월'!O15</f>
        <v>0</v>
      </c>
      <c r="P525" s="171" t="str">
        <f>'5월'!P15</f>
        <v>SM</v>
      </c>
      <c r="Q525" s="181">
        <f>'5월'!Q15</f>
        <v>300000</v>
      </c>
      <c r="R525" s="2" t="str">
        <f>'5월'!R15</f>
        <v>완료(5/9)</v>
      </c>
      <c r="S525" s="8" t="str">
        <f>'5월'!S15</f>
        <v>천범석</v>
      </c>
      <c r="T525" s="11"/>
    </row>
    <row r="526" spans="1:21" ht="96">
      <c r="A526" t="s">
        <v>30</v>
      </c>
      <c r="B526" s="151" t="str">
        <f>'5월'!B16</f>
        <v>SM-24021</v>
      </c>
      <c r="C526" s="200"/>
      <c r="D526" s="17">
        <f>'5월'!D16</f>
        <v>45782</v>
      </c>
      <c r="E526" s="1" t="str">
        <f>'5월'!E16</f>
        <v>제이원캐피탈</v>
      </c>
      <c r="F526" s="161"/>
      <c r="G526" s="1" t="str">
        <f>'5월'!G16</f>
        <v>MA</v>
      </c>
      <c r="H526" s="161" t="str">
        <f>'5월'!H16</f>
        <v>월간</v>
      </c>
      <c r="I526" s="3" t="str">
        <f>'5월'!I16</f>
        <v>4월 유지정비료 - 8/12회</v>
      </c>
      <c r="J526" s="210">
        <f>'5월'!J16</f>
        <v>1</v>
      </c>
      <c r="K526" s="26">
        <f>'5월'!K16</f>
        <v>7060000</v>
      </c>
      <c r="L526" s="26">
        <f>'5월'!L16</f>
        <v>7060000</v>
      </c>
      <c r="M526" s="67">
        <f>'5월'!M16</f>
        <v>706000</v>
      </c>
      <c r="N526" s="27">
        <f>'5월'!N16</f>
        <v>7766000</v>
      </c>
      <c r="O526" s="52">
        <f>'5월'!O16</f>
        <v>3708014.333333333</v>
      </c>
      <c r="P526" s="171" t="str">
        <f>'5월'!P16</f>
        <v>IBM(5/2) 691,781
에스엔에이(4/30) 300,000
키미데이타(4/30) 70,000
코오롱베니트(10/31) 1,000,000연간(8/12회)
더파트(4/30) 810,000
DCSS(4/30) 352,900
시스나인(11/3) 7,000,000 (1/5)</v>
      </c>
      <c r="Q526" s="181">
        <f>'5월'!Q16</f>
        <v>3351985.666666667</v>
      </c>
      <c r="R526" s="2" t="str">
        <f>'5월'!R16</f>
        <v>완료(5/30)</v>
      </c>
      <c r="S526" s="5" t="str">
        <f>'5월'!S16</f>
        <v>이예지</v>
      </c>
      <c r="T526" s="6"/>
    </row>
    <row r="527" spans="1:21">
      <c r="A527" t="s">
        <v>30</v>
      </c>
      <c r="B527" s="151" t="str">
        <f>'5월'!B17</f>
        <v>S</v>
      </c>
      <c r="C527" s="153"/>
      <c r="D527" s="17">
        <f>'5월'!D17</f>
        <v>45784</v>
      </c>
      <c r="E527" s="1" t="str">
        <f>'5월'!E17</f>
        <v>에이비씨한국</v>
      </c>
      <c r="F527" s="2" t="str">
        <f>'5월'!F17</f>
        <v>서울</v>
      </c>
      <c r="G527" s="2" t="str">
        <f>'5월'!G17</f>
        <v>MA</v>
      </c>
      <c r="H527" s="83" t="str">
        <f>'5월'!H17</f>
        <v>연간</v>
      </c>
      <c r="I527" s="4" t="str">
        <f>'5월'!I17</f>
        <v>항온항습기 유지보수 (25.05.01~26.04.30)</v>
      </c>
      <c r="J527" s="23">
        <f>'5월'!J17</f>
        <v>1</v>
      </c>
      <c r="K527" s="27">
        <f>'5월'!K17</f>
        <v>3570000</v>
      </c>
      <c r="L527" s="26">
        <f>'5월'!L17</f>
        <v>3570000</v>
      </c>
      <c r="M527" s="27">
        <f>'5월'!M17</f>
        <v>357000</v>
      </c>
      <c r="N527" s="27">
        <f>'5월'!N17</f>
        <v>3927000</v>
      </c>
      <c r="O527" s="33">
        <f>'5월'!O17</f>
        <v>3490000</v>
      </c>
      <c r="P527" s="197" t="str">
        <f>'5월'!P17</f>
        <v>로보츠(5/7)</v>
      </c>
      <c r="Q527" s="20">
        <f>'5월'!Q17</f>
        <v>80000</v>
      </c>
      <c r="R527" s="2" t="str">
        <f>'5월'!R17</f>
        <v>완료(6/30)</v>
      </c>
      <c r="S527" s="8" t="str">
        <f>'5월'!S17</f>
        <v>이예지</v>
      </c>
      <c r="T527" s="11"/>
    </row>
    <row r="528" spans="1:21">
      <c r="A528" t="s">
        <v>30</v>
      </c>
      <c r="B528" s="151" t="str">
        <f>'5월'!B18</f>
        <v>S</v>
      </c>
      <c r="C528" s="153"/>
      <c r="D528" s="17">
        <f>'5월'!D18</f>
        <v>45784</v>
      </c>
      <c r="E528" s="1" t="str">
        <f>'5월'!E18</f>
        <v>에이비씨한국</v>
      </c>
      <c r="F528" s="2" t="str">
        <f>'5월'!F18</f>
        <v>서울</v>
      </c>
      <c r="G528" s="2" t="str">
        <f>'5월'!G18</f>
        <v>MA</v>
      </c>
      <c r="H528" s="83" t="str">
        <f>'5월'!H18</f>
        <v>연간</v>
      </c>
      <c r="I528" s="4" t="str">
        <f>'5월'!I18</f>
        <v>FMS 유지보수 (25.05.01~26.04.30)</v>
      </c>
      <c r="J528" s="23">
        <f>'5월'!J18</f>
        <v>1</v>
      </c>
      <c r="K528" s="27">
        <f>'5월'!K18</f>
        <v>1800000</v>
      </c>
      <c r="L528" s="26">
        <f>'5월'!L18</f>
        <v>1800000</v>
      </c>
      <c r="M528" s="27">
        <f>'5월'!M18</f>
        <v>180000</v>
      </c>
      <c r="N528" s="27">
        <f>'5월'!N18</f>
        <v>1980000</v>
      </c>
      <c r="O528" s="33">
        <f>'5월'!O18</f>
        <v>1760000</v>
      </c>
      <c r="P528" s="197" t="str">
        <f>'5월'!P18</f>
        <v>로보츠(5/7)</v>
      </c>
      <c r="Q528" s="20">
        <f>'5월'!Q18</f>
        <v>40000</v>
      </c>
      <c r="R528" s="2" t="str">
        <f>'5월'!R18</f>
        <v>완료(6/30)</v>
      </c>
      <c r="S528" s="8" t="str">
        <f>'5월'!S18</f>
        <v>이예지</v>
      </c>
      <c r="T528" s="11"/>
    </row>
    <row r="529" spans="1:20" ht="12" customHeight="1">
      <c r="A529" t="s">
        <v>30</v>
      </c>
      <c r="B529" s="151" t="str">
        <f>'5월'!B19</f>
        <v>S</v>
      </c>
      <c r="C529" s="200"/>
      <c r="D529" s="17">
        <f>'5월'!D19</f>
        <v>45784</v>
      </c>
      <c r="E529" s="1" t="str">
        <f>'5월'!E19</f>
        <v>순환</v>
      </c>
      <c r="F529" s="2" t="str">
        <f>'5월'!F19</f>
        <v>검단미플존 316호</v>
      </c>
      <c r="G529" s="161" t="str">
        <f>'5월'!G19</f>
        <v>건물임대</v>
      </c>
      <c r="H529" s="161" t="str">
        <f>'5월'!H19</f>
        <v>임대료</v>
      </c>
      <c r="I529" s="3" t="str">
        <f>'5월'!I19</f>
        <v>5월 임대료 - 2/24회</v>
      </c>
      <c r="J529" s="32">
        <f>'5월'!J19</f>
        <v>1</v>
      </c>
      <c r="K529" s="48">
        <f>'5월'!K19</f>
        <v>360000</v>
      </c>
      <c r="L529" s="26">
        <f>'5월'!L19</f>
        <v>720000</v>
      </c>
      <c r="M529" s="27">
        <f>'5월'!M19</f>
        <v>72000</v>
      </c>
      <c r="N529" s="27">
        <f>'5월'!N19</f>
        <v>792000</v>
      </c>
      <c r="O529" s="52">
        <f>'5월'!O19</f>
        <v>0</v>
      </c>
      <c r="P529" s="171" t="str">
        <f>'5월'!P19</f>
        <v>X</v>
      </c>
      <c r="Q529" s="181">
        <f>'5월'!Q19</f>
        <v>720000</v>
      </c>
      <c r="R529" s="202" t="str">
        <f>'5월'!R19</f>
        <v>완료(5/26)</v>
      </c>
      <c r="S529" s="5" t="str">
        <f>'5월'!S19</f>
        <v>정지우</v>
      </c>
      <c r="T529" s="6"/>
    </row>
    <row r="530" spans="1:20">
      <c r="A530" t="s">
        <v>30</v>
      </c>
      <c r="B530" s="151" t="str">
        <f>'5월'!B20</f>
        <v>S</v>
      </c>
      <c r="C530" s="155"/>
      <c r="D530" s="43"/>
      <c r="E530" s="44" t="str">
        <f>'5월'!E20</f>
        <v>순환</v>
      </c>
      <c r="F530" s="41" t="str">
        <f>'5월'!F20</f>
        <v>검단미플존 318호</v>
      </c>
      <c r="G530" s="161" t="str">
        <f>'5월'!G20</f>
        <v>건물임대</v>
      </c>
      <c r="H530" s="161" t="str">
        <f>'5월'!H20</f>
        <v>임대료</v>
      </c>
      <c r="I530" s="3" t="str">
        <f>'5월'!I20</f>
        <v>5월 임대료 - 2/24회</v>
      </c>
      <c r="J530" s="23">
        <f>'5월'!J20</f>
        <v>1</v>
      </c>
      <c r="K530" s="27">
        <f>'5월'!K20</f>
        <v>360000</v>
      </c>
      <c r="L530" s="37"/>
      <c r="M530" s="38"/>
      <c r="N530" s="38"/>
      <c r="O530" s="39"/>
      <c r="P530" s="175"/>
      <c r="Q530" s="40"/>
      <c r="R530" s="41"/>
      <c r="S530" s="42"/>
      <c r="T530" s="11"/>
    </row>
    <row r="531" spans="1:20">
      <c r="A531" t="s">
        <v>30</v>
      </c>
      <c r="B531" s="151" t="str">
        <f>'5월'!B21</f>
        <v>SM-24020</v>
      </c>
      <c r="C531" s="153"/>
      <c r="D531" s="17">
        <f>'5월'!D21</f>
        <v>45784</v>
      </c>
      <c r="E531" s="1" t="str">
        <f>'5월'!E21</f>
        <v>에이비씨한국</v>
      </c>
      <c r="F531" s="2"/>
      <c r="G531" s="1" t="str">
        <f>'5월'!G21</f>
        <v>MA</v>
      </c>
      <c r="H531" s="161" t="str">
        <f>'5월'!H21</f>
        <v>월간</v>
      </c>
      <c r="I531" s="4" t="str">
        <f>'5월'!I21</f>
        <v>BOARD SYSTEM Maintenance 5월분 - 8/12회</v>
      </c>
      <c r="J531" s="210">
        <f>'5월'!J21</f>
        <v>1</v>
      </c>
      <c r="K531" s="27">
        <f>'5월'!K21</f>
        <v>1100000</v>
      </c>
      <c r="L531" s="26">
        <f>'5월'!L21</f>
        <v>1100000</v>
      </c>
      <c r="M531" s="27">
        <f>'5월'!M21</f>
        <v>110000</v>
      </c>
      <c r="N531" s="27">
        <f>'5월'!N21</f>
        <v>1210000</v>
      </c>
      <c r="O531" s="33">
        <f>'5월'!O21</f>
        <v>1060000</v>
      </c>
      <c r="P531" s="197" t="str">
        <f>'5월'!P21</f>
        <v>로보츠(5/7)</v>
      </c>
      <c r="Q531" s="20">
        <f>'5월'!Q21</f>
        <v>40000</v>
      </c>
      <c r="R531" s="68" t="str">
        <f>'5월'!R21</f>
        <v>완료(6/30)</v>
      </c>
      <c r="S531" s="36" t="str">
        <f>'5월'!S21</f>
        <v>이예지</v>
      </c>
      <c r="T531" s="11"/>
    </row>
    <row r="532" spans="1:20" ht="24">
      <c r="A532" t="s">
        <v>30</v>
      </c>
      <c r="B532" s="151" t="str">
        <f>'5월'!B22</f>
        <v>H250507-01</v>
      </c>
      <c r="C532" s="153"/>
      <c r="D532" s="17">
        <f>'5월'!D22</f>
        <v>45785</v>
      </c>
      <c r="E532" s="1" t="str">
        <f>'5월'!E22</f>
        <v>더블포인트</v>
      </c>
      <c r="F532" s="2"/>
      <c r="G532" s="2" t="str">
        <f>'5월'!G22</f>
        <v>상품</v>
      </c>
      <c r="H532" s="83" t="str">
        <f>'5월'!H22</f>
        <v>00Y2683</v>
      </c>
      <c r="I532" s="4" t="str">
        <f>'5월'!I22</f>
        <v>Storwize v7000 Gen 1 600GB 10K SAS Hard Disk 85Y5864 00L4521</v>
      </c>
      <c r="J532" s="23">
        <f>'5월'!J22</f>
        <v>2</v>
      </c>
      <c r="K532" s="27">
        <f>'5월'!K22</f>
        <v>170000</v>
      </c>
      <c r="L532" s="26">
        <f>'5월'!L22</f>
        <v>340000</v>
      </c>
      <c r="M532" s="27">
        <f>'5월'!M22</f>
        <v>34000</v>
      </c>
      <c r="N532" s="27">
        <f>'5월'!N22</f>
        <v>374000</v>
      </c>
      <c r="O532" s="33">
        <f>'5월'!O22</f>
        <v>268000</v>
      </c>
      <c r="P532" s="197" t="str">
        <f>'5월'!P22</f>
        <v>이비웨이브(4/29) 우림퀵(5/31)18,000</v>
      </c>
      <c r="Q532" s="20">
        <f>'5월'!Q22</f>
        <v>72000</v>
      </c>
      <c r="R532" s="2" t="str">
        <f>'5월'!R22</f>
        <v>완료(6/30)</v>
      </c>
      <c r="S532" s="8" t="str">
        <f>'5월'!S22</f>
        <v>천범석</v>
      </c>
      <c r="T532" s="11"/>
    </row>
    <row r="533" spans="1:20">
      <c r="A533" t="s">
        <v>30</v>
      </c>
      <c r="B533" s="151" t="str">
        <f>'5월'!B23</f>
        <v>S</v>
      </c>
      <c r="C533" s="200"/>
      <c r="D533" s="10">
        <f>'5월'!D23</f>
        <v>45787</v>
      </c>
      <c r="E533" s="1" t="str">
        <f>'5월'!E23</f>
        <v>중소기업은행</v>
      </c>
      <c r="F533" s="161" t="str">
        <f>'5월'!F23</f>
        <v>호계214~216호</v>
      </c>
      <c r="G533" s="161" t="str">
        <f>'5월'!G23</f>
        <v>건물임대</v>
      </c>
      <c r="H533" s="161" t="str">
        <f>'5월'!H23</f>
        <v>임대료</v>
      </c>
      <c r="I533" s="163" t="str">
        <f>'5월'!I23</f>
        <v>5월 임대료 (4.13~5.12) - 4/24회</v>
      </c>
      <c r="J533" s="71">
        <f>'5월'!J23</f>
        <v>1</v>
      </c>
      <c r="K533" s="26">
        <f>'5월'!K23</f>
        <v>6394500</v>
      </c>
      <c r="L533" s="26">
        <f>'5월'!L23</f>
        <v>6394500</v>
      </c>
      <c r="M533" s="27">
        <f>'5월'!M23</f>
        <v>639450</v>
      </c>
      <c r="N533" s="27">
        <f>'5월'!N23</f>
        <v>7033950</v>
      </c>
      <c r="O533" s="52">
        <f>'5월'!O23</f>
        <v>0</v>
      </c>
      <c r="P533" s="171" t="str">
        <f>'5월'!P23</f>
        <v>X</v>
      </c>
      <c r="Q533" s="181">
        <f>'5월'!Q23</f>
        <v>6394500</v>
      </c>
      <c r="R533" s="202" t="str">
        <f>'5월'!R23</f>
        <v>완료(5/15)</v>
      </c>
      <c r="S533" s="5" t="str">
        <f>'5월'!S23</f>
        <v>정지우</v>
      </c>
      <c r="T533" s="6"/>
    </row>
    <row r="534" spans="1:20" ht="12" customHeight="1">
      <c r="A534" t="s">
        <v>30</v>
      </c>
      <c r="B534" s="151" t="str">
        <f>'5월'!B24</f>
        <v>S</v>
      </c>
      <c r="C534" s="200"/>
      <c r="D534" s="10">
        <f>'5월'!D24</f>
        <v>45789</v>
      </c>
      <c r="E534" s="1" t="str">
        <f>'5월'!E24</f>
        <v>왕길토건</v>
      </c>
      <c r="F534" s="2" t="str">
        <f>'5월'!F24</f>
        <v>검단미플존 317호</v>
      </c>
      <c r="G534" s="161" t="str">
        <f>'5월'!G24</f>
        <v>건물임대</v>
      </c>
      <c r="H534" s="161" t="str">
        <f>'5월'!H24</f>
        <v>임대료</v>
      </c>
      <c r="I534" s="3" t="str">
        <f>'5월'!I24</f>
        <v>4월 임대료 (4/12~5/11) - 7/10회</v>
      </c>
      <c r="J534" s="32">
        <f>'5월'!J24</f>
        <v>1</v>
      </c>
      <c r="K534" s="48">
        <f>'5월'!K24</f>
        <v>400000</v>
      </c>
      <c r="L534" s="26">
        <f>'5월'!L24</f>
        <v>400000</v>
      </c>
      <c r="M534" s="27">
        <f>'5월'!M24</f>
        <v>40000</v>
      </c>
      <c r="N534" s="27">
        <f>'5월'!N24</f>
        <v>440000</v>
      </c>
      <c r="O534" s="52">
        <f>'5월'!O24</f>
        <v>0</v>
      </c>
      <c r="P534" s="171" t="str">
        <f>'5월'!P24</f>
        <v>X</v>
      </c>
      <c r="Q534" s="181">
        <f>'5월'!Q24</f>
        <v>400000</v>
      </c>
      <c r="R534" s="202" t="str">
        <f>'5월'!R24</f>
        <v>완료(6/2)</v>
      </c>
      <c r="S534" s="5" t="str">
        <f>'5월'!S24</f>
        <v>정지우</v>
      </c>
      <c r="T534" s="6"/>
    </row>
    <row r="535" spans="1:20">
      <c r="A535" t="s">
        <v>30</v>
      </c>
      <c r="B535" s="151" t="str">
        <f>'5월'!B25</f>
        <v>H250430-01</v>
      </c>
      <c r="C535" s="153"/>
      <c r="D535" s="17">
        <f>'5월'!D25</f>
        <v>45791</v>
      </c>
      <c r="E535" s="1" t="str">
        <f>'5월'!E25</f>
        <v>우리에스아이티</v>
      </c>
      <c r="F535" s="2"/>
      <c r="G535" s="2" t="str">
        <f>'5월'!G25</f>
        <v>상품</v>
      </c>
      <c r="H535" s="83" t="str">
        <f>'5월'!H25</f>
        <v>43W9715</v>
      </c>
      <c r="I535" s="4" t="str">
        <f>'5월'!I25</f>
        <v>750GB 7.2K SATA 3.5inch Hard Drive</v>
      </c>
      <c r="J535" s="23">
        <f>'5월'!J25</f>
        <v>2</v>
      </c>
      <c r="K535" s="27">
        <f>'5월'!K25</f>
        <v>270000</v>
      </c>
      <c r="L535" s="26">
        <f>'5월'!L25</f>
        <v>540000</v>
      </c>
      <c r="M535" s="27">
        <f>'5월'!M25</f>
        <v>54000</v>
      </c>
      <c r="N535" s="27">
        <f>'5월'!N25</f>
        <v>594000</v>
      </c>
      <c r="O535" s="33">
        <f>'5월'!O25</f>
        <v>400000</v>
      </c>
      <c r="P535" s="197" t="str">
        <f>'5월'!P25</f>
        <v>이비웨이브(4/30)</v>
      </c>
      <c r="Q535" s="20">
        <f>'5월'!Q25</f>
        <v>140000</v>
      </c>
      <c r="R535" s="2" t="str">
        <f>'5월'!R25</f>
        <v>완료(6/30)</v>
      </c>
      <c r="S535" s="8" t="str">
        <f>'5월'!S25</f>
        <v>천범석</v>
      </c>
      <c r="T535" s="11"/>
    </row>
    <row r="536" spans="1:20">
      <c r="A536" t="s">
        <v>30</v>
      </c>
      <c r="B536" s="151" t="str">
        <f>'5월'!B26</f>
        <v>SB-24009</v>
      </c>
      <c r="C536" s="199" t="str">
        <f>'5월'!C26</f>
        <v>Z0PYQC</v>
      </c>
      <c r="D536" s="17">
        <f>'5월'!D26</f>
        <v>45792</v>
      </c>
      <c r="E536" s="1" t="str">
        <f>'5월'!E26</f>
        <v>유알피</v>
      </c>
      <c r="F536" s="2" t="str">
        <f>'5월'!F26</f>
        <v>서울디자인재단</v>
      </c>
      <c r="G536" s="2" t="str">
        <f>'5월'!G26</f>
        <v>MA</v>
      </c>
      <c r="H536" s="2" t="str">
        <f>'5월'!H26</f>
        <v>월간-레노버</v>
      </c>
      <c r="I536" s="4" t="str">
        <f>'5월'!I26</f>
        <v>4월 유지정비료 - 16/36회</v>
      </c>
      <c r="J536" s="23">
        <f>'5월'!J26</f>
        <v>1</v>
      </c>
      <c r="K536" s="27">
        <f>'5월'!K26</f>
        <v>1080000</v>
      </c>
      <c r="L536" s="26">
        <f>'5월'!L26</f>
        <v>1080000</v>
      </c>
      <c r="M536" s="27">
        <f>'5월'!M26</f>
        <v>108000</v>
      </c>
      <c r="N536" s="27">
        <f>'5월'!N26</f>
        <v>1188000</v>
      </c>
      <c r="O536" s="52">
        <f>'5월'!O26</f>
        <v>976200</v>
      </c>
      <c r="P536" s="171" t="str">
        <f>'5월'!P26</f>
        <v>레노버(5/31)</v>
      </c>
      <c r="Q536" s="181">
        <f>'5월'!Q26</f>
        <v>103800</v>
      </c>
      <c r="R536" s="202" t="str">
        <f>'5월'!R26</f>
        <v>완료(5/26)</v>
      </c>
      <c r="S536" s="8" t="str">
        <f>'5월'!S26</f>
        <v>천범석</v>
      </c>
      <c r="T536" s="11"/>
    </row>
    <row r="537" spans="1:20" ht="24">
      <c r="A537" t="s">
        <v>30</v>
      </c>
      <c r="B537" s="151" t="str">
        <f>'5월'!B27</f>
        <v>SB-24011</v>
      </c>
      <c r="C537" s="199" t="str">
        <f>'5월'!C27</f>
        <v>Z5PURB</v>
      </c>
      <c r="D537" s="17">
        <f>'5월'!D27</f>
        <v>45792</v>
      </c>
      <c r="E537" s="1" t="str">
        <f>'5월'!E27</f>
        <v>비온시이노베이터</v>
      </c>
      <c r="F537" s="2" t="str">
        <f>'5월'!F27</f>
        <v>국립농업과학원</v>
      </c>
      <c r="G537" s="2" t="str">
        <f>'5월'!G27</f>
        <v>MA</v>
      </c>
      <c r="H537" s="2" t="str">
        <f>'5월'!H27</f>
        <v>월간-레노버</v>
      </c>
      <c r="I537" s="4" t="str">
        <f>'5월'!I27</f>
        <v>4월 유지정비료 - 16/24회</v>
      </c>
      <c r="J537" s="23">
        <f>'5월'!J27</f>
        <v>1</v>
      </c>
      <c r="K537" s="27">
        <f>'5월'!K27</f>
        <v>875000</v>
      </c>
      <c r="L537" s="26">
        <f>'5월'!L27</f>
        <v>875000</v>
      </c>
      <c r="M537" s="27">
        <f>'5월'!M27</f>
        <v>87500</v>
      </c>
      <c r="N537" s="27">
        <f>'5월'!N27</f>
        <v>962500</v>
      </c>
      <c r="O537" s="52">
        <f>'5월'!O27</f>
        <v>794833.33333333326</v>
      </c>
      <c r="P537" s="197" t="str">
        <f>'5월'!P27</f>
        <v>레노버(4/30)511,500 
시스나인(4/25) 연간3,400,000(4/12회)</v>
      </c>
      <c r="Q537" s="181">
        <f>'5월'!Q27</f>
        <v>80166.666666666744</v>
      </c>
      <c r="R537" s="202" t="str">
        <f>'5월'!R27</f>
        <v>완료(6/10)</v>
      </c>
      <c r="S537" s="8" t="str">
        <f>'5월'!S27</f>
        <v>천범석</v>
      </c>
      <c r="T537" s="11"/>
    </row>
    <row r="538" spans="1:20">
      <c r="A538" t="s">
        <v>30</v>
      </c>
      <c r="B538" s="151" t="str">
        <f>'5월'!B28</f>
        <v>H250520-01</v>
      </c>
      <c r="C538" s="199"/>
      <c r="D538" s="17">
        <f>'5월'!D28</f>
        <v>45792</v>
      </c>
      <c r="E538" s="1" t="str">
        <f>'5월'!E28</f>
        <v>영동문구센타</v>
      </c>
      <c r="F538" s="2" t="str">
        <f>'5월'!F28</f>
        <v>해군부대</v>
      </c>
      <c r="G538" s="2" t="str">
        <f>'5월'!G28</f>
        <v>상품</v>
      </c>
      <c r="H538" s="83" t="str">
        <f>'5월'!H28</f>
        <v>00YK014</v>
      </c>
      <c r="I538" s="4" t="str">
        <f>'5월'!I28</f>
        <v xml:space="preserve">ThinkSystem SFF 600GB 10K SAS 12G Hot Swap 512n </v>
      </c>
      <c r="J538" s="23">
        <f>'5월'!J28</f>
        <v>1</v>
      </c>
      <c r="K538" s="27">
        <f>'5월'!K28</f>
        <v>280000</v>
      </c>
      <c r="L538" s="26">
        <f>'5월'!L28</f>
        <v>280000</v>
      </c>
      <c r="M538" s="27">
        <f>'5월'!M28</f>
        <v>28000</v>
      </c>
      <c r="N538" s="27">
        <f>'5월'!N28</f>
        <v>308000</v>
      </c>
      <c r="O538" s="52">
        <f>'5월'!O28</f>
        <v>243000</v>
      </c>
      <c r="P538" s="197" t="str">
        <f>'5월'!P28</f>
        <v>레노버(5/31)</v>
      </c>
      <c r="Q538" s="181">
        <f>'5월'!Q28</f>
        <v>37000</v>
      </c>
      <c r="R538" s="202" t="str">
        <f>'5월'!R28</f>
        <v>완료(5/15)</v>
      </c>
      <c r="S538" s="8" t="str">
        <f>'5월'!S28</f>
        <v>천범석</v>
      </c>
      <c r="T538" s="11"/>
    </row>
    <row r="539" spans="1:20">
      <c r="A539" t="s">
        <v>30</v>
      </c>
      <c r="B539" s="151" t="str">
        <f>'5월'!B29</f>
        <v>S</v>
      </c>
      <c r="C539" s="153"/>
      <c r="D539" s="17">
        <f>'5월'!D29</f>
        <v>45793</v>
      </c>
      <c r="E539" s="1" t="str">
        <f>'5월'!E29</f>
        <v>에이비씨한국</v>
      </c>
      <c r="F539" s="2" t="str">
        <f>'5월'!F29</f>
        <v>서울</v>
      </c>
      <c r="G539" s="2" t="str">
        <f>'5월'!G29</f>
        <v>상품</v>
      </c>
      <c r="H539" s="83" t="str">
        <f>'5월'!H29</f>
        <v>PC</v>
      </c>
      <c r="I539" s="4" t="str">
        <f>'5월'!I29</f>
        <v>LG Slim PC</v>
      </c>
      <c r="J539" s="23">
        <f>'5월'!J29</f>
        <v>2</v>
      </c>
      <c r="K539" s="27">
        <f>'5월'!K29</f>
        <v>1560000</v>
      </c>
      <c r="L539" s="26">
        <f>'5월'!L29</f>
        <v>3120000</v>
      </c>
      <c r="M539" s="27">
        <f>'5월'!M29</f>
        <v>312000</v>
      </c>
      <c r="N539" s="27">
        <f>'5월'!N29</f>
        <v>3432000</v>
      </c>
      <c r="O539" s="33">
        <f>'5월'!O29</f>
        <v>3055000</v>
      </c>
      <c r="P539" s="197" t="str">
        <f>'5월'!P29</f>
        <v>로보츠(5/16)</v>
      </c>
      <c r="Q539" s="181">
        <f>'5월'!Q29</f>
        <v>65000</v>
      </c>
      <c r="R539" s="2" t="str">
        <f>'5월'!R29</f>
        <v>완료(6/30)</v>
      </c>
      <c r="S539" s="8" t="str">
        <f>'5월'!S29</f>
        <v>이예지</v>
      </c>
      <c r="T539" s="11"/>
    </row>
    <row r="540" spans="1:20" ht="24">
      <c r="A540" t="s">
        <v>30</v>
      </c>
      <c r="B540" s="151" t="str">
        <f>'5월'!B30</f>
        <v>H250512-01</v>
      </c>
      <c r="C540" s="153"/>
      <c r="D540" s="17">
        <f>'5월'!D30</f>
        <v>45793</v>
      </c>
      <c r="E540" s="1" t="str">
        <f>'5월'!E30</f>
        <v>디씨에스에스테크놀로지스코리아</v>
      </c>
      <c r="F540" s="2"/>
      <c r="G540" s="2" t="str">
        <f>'5월'!G30</f>
        <v>상품</v>
      </c>
      <c r="H540" s="83" t="str">
        <f>'5월'!H30</f>
        <v>기술지원</v>
      </c>
      <c r="I540" s="4" t="str">
        <f>'5월'!I30</f>
        <v>R450 설치 기술지원</v>
      </c>
      <c r="J540" s="23">
        <f>'5월'!J30</f>
        <v>1</v>
      </c>
      <c r="K540" s="27">
        <f>'5월'!K30</f>
        <v>300000</v>
      </c>
      <c r="L540" s="26">
        <f>'5월'!L30</f>
        <v>300000</v>
      </c>
      <c r="M540" s="27">
        <f>'5월'!M30</f>
        <v>30000</v>
      </c>
      <c r="N540" s="27">
        <f>'5월'!N30</f>
        <v>330000</v>
      </c>
      <c r="O540" s="33">
        <f>'5월'!O30</f>
        <v>0</v>
      </c>
      <c r="P540" s="197" t="str">
        <f>'5월'!P30</f>
        <v>SM</v>
      </c>
      <c r="Q540" s="181">
        <f>'5월'!Q30</f>
        <v>300000</v>
      </c>
      <c r="R540" s="2" t="str">
        <f>'5월'!R30</f>
        <v>완료(7/1)</v>
      </c>
      <c r="S540" s="8" t="str">
        <f>'5월'!S30</f>
        <v>천범석</v>
      </c>
      <c r="T540" s="11"/>
    </row>
    <row r="541" spans="1:20" ht="24">
      <c r="A541" t="s">
        <v>30</v>
      </c>
      <c r="B541" s="151" t="str">
        <f>'5월'!B31</f>
        <v>S</v>
      </c>
      <c r="C541" s="200"/>
      <c r="D541" s="10">
        <f>'5월'!D31</f>
        <v>45797</v>
      </c>
      <c r="E541" s="1" t="str">
        <f>'5월'!E31</f>
        <v>아이지리더스</v>
      </c>
      <c r="F541" s="2" t="str">
        <f>'5월'!F31</f>
        <v>광명자이 1812호</v>
      </c>
      <c r="G541" s="2" t="str">
        <f>'5월'!G31</f>
        <v>건물임대</v>
      </c>
      <c r="H541" s="161" t="str">
        <f>'5월'!H31</f>
        <v>임대료</v>
      </c>
      <c r="I541" s="3" t="str">
        <f>'5월'!I31</f>
        <v>5월 임대료(4.26~5.25) 7/12회</v>
      </c>
      <c r="J541" s="23">
        <f>'5월'!J31</f>
        <v>1</v>
      </c>
      <c r="K541" s="29">
        <f>'5월'!K31</f>
        <v>800000</v>
      </c>
      <c r="L541" s="26">
        <f>'5월'!L31</f>
        <v>800000</v>
      </c>
      <c r="M541" s="27">
        <f>'5월'!M31</f>
        <v>80000</v>
      </c>
      <c r="N541" s="27">
        <f>'5월'!N31</f>
        <v>880000</v>
      </c>
      <c r="O541" s="52">
        <f>'5월'!O31</f>
        <v>0</v>
      </c>
      <c r="P541" s="171" t="str">
        <f>'5월'!P31</f>
        <v>X</v>
      </c>
      <c r="Q541" s="181">
        <f>'5월'!Q31</f>
        <v>800000</v>
      </c>
      <c r="R541" s="68" t="str">
        <f>'5월'!R31</f>
        <v>완료-보증금공제</v>
      </c>
      <c r="S541" s="5" t="str">
        <f>'5월'!S31</f>
        <v>정지우</v>
      </c>
      <c r="T541" s="6"/>
    </row>
    <row r="542" spans="1:20" ht="72">
      <c r="A542" t="s">
        <v>30</v>
      </c>
      <c r="B542" s="151" t="str">
        <f>'5월'!B32</f>
        <v>SM-23023</v>
      </c>
      <c r="C542" s="200"/>
      <c r="D542" s="10">
        <f>'5월'!D32</f>
        <v>45797</v>
      </c>
      <c r="E542" s="214" t="str">
        <f>'5월'!E32</f>
        <v>중앙유통단지관리운영회</v>
      </c>
      <c r="F542" s="215"/>
      <c r="G542" s="161" t="str">
        <f>'5월'!G32</f>
        <v>장비임대</v>
      </c>
      <c r="H542" s="161" t="str">
        <f>'5월'!H32</f>
        <v>서버</v>
      </c>
      <c r="I542" s="163" t="str">
        <f>'5월'!I32</f>
        <v>서버임대 SR650 2식 - 20/36회</v>
      </c>
      <c r="J542" s="23">
        <f>'5월'!J32</f>
        <v>1</v>
      </c>
      <c r="K542" s="26">
        <f>'5월'!K32</f>
        <v>1000000</v>
      </c>
      <c r="L542" s="26">
        <f>'5월'!L32</f>
        <v>1000000</v>
      </c>
      <c r="M542" s="27">
        <f>'5월'!M32</f>
        <v>100000</v>
      </c>
      <c r="N542" s="27">
        <f>'5월'!N32</f>
        <v>1100000</v>
      </c>
      <c r="O542" s="72">
        <f>'5월'!O32</f>
        <v>918000.00000000012</v>
      </c>
      <c r="P542" s="171" t="str">
        <f>'5월'!P32</f>
        <v>트루스케일 2대 15,800,000
SR250내 2.4T 2*100,000 
이룸에스앤앤(9/5) 2*364,000
========= 총 16,728,000 (20/36회)
이올테크(5/20) 370,000
시스나인(249/2) 연 1,000,000(8/12회)</v>
      </c>
      <c r="Q542" s="181">
        <f>'5월'!Q32</f>
        <v>81999.999999999884</v>
      </c>
      <c r="R542" s="202" t="str">
        <f>'5월'!R32</f>
        <v>완료(5/30)</v>
      </c>
      <c r="S542" s="5" t="str">
        <f>'5월'!S32</f>
        <v>천범석</v>
      </c>
      <c r="T542" s="11"/>
    </row>
    <row r="543" spans="1:20" ht="24">
      <c r="A543" t="s">
        <v>30</v>
      </c>
      <c r="B543" s="151" t="str">
        <f>'5월'!B33</f>
        <v>IK-25002</v>
      </c>
      <c r="C543" s="230"/>
      <c r="D543" s="17">
        <f>'5월'!D33</f>
        <v>45797</v>
      </c>
      <c r="E543" s="214" t="str">
        <f>'5월'!E33</f>
        <v>시너지온</v>
      </c>
      <c r="F543" s="215" t="str">
        <f>'5월'!F33</f>
        <v>명지병원</v>
      </c>
      <c r="G543" s="161" t="str">
        <f>'5월'!G33</f>
        <v>MA</v>
      </c>
      <c r="H543" s="161" t="str">
        <f>'5월'!H33</f>
        <v>월간-IBM</v>
      </c>
      <c r="I543" s="4" t="str">
        <f>'5월'!I33</f>
        <v>5월 유지정비료 - 3/12회</v>
      </c>
      <c r="J543" s="23">
        <f>'5월'!J33</f>
        <v>1</v>
      </c>
      <c r="K543" s="27">
        <f>'5월'!K33</f>
        <v>1000000</v>
      </c>
      <c r="L543" s="26">
        <f>'5월'!L33</f>
        <v>1000000</v>
      </c>
      <c r="M543" s="27">
        <f>'5월'!M33</f>
        <v>100000</v>
      </c>
      <c r="N543" s="27">
        <f>'5월'!N33</f>
        <v>1100000</v>
      </c>
      <c r="O543" s="33">
        <f>'5월'!O33</f>
        <v>591532</v>
      </c>
      <c r="P543" s="197" t="str">
        <f>'5월'!P33</f>
        <v>티에스씨인포 (5/30) 300,000
아이비엠(5/12) 291,532</v>
      </c>
      <c r="Q543" s="181">
        <f>'5월'!Q33</f>
        <v>408468</v>
      </c>
      <c r="R543" s="68" t="str">
        <f>'5월'!R33</f>
        <v>완료(8/11)</v>
      </c>
      <c r="S543" s="8" t="str">
        <f>'5월'!S33</f>
        <v>천범석</v>
      </c>
      <c r="T543" s="11"/>
    </row>
    <row r="544" spans="1:20">
      <c r="A544" t="s">
        <v>30</v>
      </c>
      <c r="B544" s="151" t="str">
        <f>'5월'!B34</f>
        <v>SM-25014</v>
      </c>
      <c r="C544" s="230"/>
      <c r="D544" s="17">
        <f>'5월'!D34</f>
        <v>45797</v>
      </c>
      <c r="E544" s="214" t="str">
        <f>'5월'!E34</f>
        <v>시너지온</v>
      </c>
      <c r="F544" s="215" t="str">
        <f>'5월'!F34</f>
        <v>건국대병원</v>
      </c>
      <c r="G544" s="161" t="str">
        <f>'5월'!G34</f>
        <v>MA</v>
      </c>
      <c r="H544" s="161" t="str">
        <f>'5월'!H34</f>
        <v>월간</v>
      </c>
      <c r="I544" s="4" t="str">
        <f>'5월'!I34</f>
        <v>5월 유지정비료 - 2/29회</v>
      </c>
      <c r="J544" s="23">
        <f>'5월'!J34</f>
        <v>1</v>
      </c>
      <c r="K544" s="27">
        <f>'5월'!K34</f>
        <v>800000</v>
      </c>
      <c r="L544" s="26">
        <f>'5월'!L34</f>
        <v>800000</v>
      </c>
      <c r="M544" s="27">
        <f>'5월'!M34</f>
        <v>80000</v>
      </c>
      <c r="N544" s="27">
        <f>'5월'!N34</f>
        <v>880000</v>
      </c>
      <c r="O544" s="33">
        <f>'5월'!O34</f>
        <v>500000</v>
      </c>
      <c r="P544" s="197" t="str">
        <f>'5월'!P34</f>
        <v xml:space="preserve">제이에스정보(5/26) </v>
      </c>
      <c r="Q544" s="181">
        <f>'5월'!Q34</f>
        <v>300000</v>
      </c>
      <c r="R544" s="68" t="str">
        <f>'5월'!R34</f>
        <v>완료(7/10)</v>
      </c>
      <c r="S544" s="8" t="str">
        <f>'5월'!S34</f>
        <v>천범석</v>
      </c>
      <c r="T544" s="11"/>
    </row>
    <row r="545" spans="1:21">
      <c r="A545" t="s">
        <v>30</v>
      </c>
      <c r="B545" s="151" t="str">
        <f>'5월'!B35</f>
        <v>SM-23017</v>
      </c>
      <c r="C545" s="199"/>
      <c r="D545" s="17">
        <f>'5월'!D35</f>
        <v>45797</v>
      </c>
      <c r="E545" s="1" t="str">
        <f>'5월'!E35</f>
        <v>이앤피정보기술</v>
      </c>
      <c r="F545" s="2" t="str">
        <f>'5월'!F35</f>
        <v>용진일렉콤</v>
      </c>
      <c r="G545" s="2" t="str">
        <f>'5월'!G35</f>
        <v>MA</v>
      </c>
      <c r="H545" s="2" t="str">
        <f>'5월'!H35</f>
        <v>월간</v>
      </c>
      <c r="I545" s="70" t="str">
        <f>'5월'!I35</f>
        <v>5월 유지정비료 - 2/12회</v>
      </c>
      <c r="J545" s="23">
        <f>'5월'!J35</f>
        <v>1</v>
      </c>
      <c r="K545" s="27">
        <f>'5월'!K35</f>
        <v>200000</v>
      </c>
      <c r="L545" s="26">
        <f>'5월'!L35</f>
        <v>200000</v>
      </c>
      <c r="M545" s="27">
        <f>'5월'!M35</f>
        <v>20000</v>
      </c>
      <c r="N545" s="27">
        <f>'5월'!N35</f>
        <v>220000</v>
      </c>
      <c r="O545" s="52">
        <f>'5월'!O35</f>
        <v>0</v>
      </c>
      <c r="P545" s="171" t="str">
        <f>'5월'!P35</f>
        <v>X</v>
      </c>
      <c r="Q545" s="181">
        <f>'5월'!Q35</f>
        <v>200000</v>
      </c>
      <c r="R545" s="2" t="str">
        <f>'5월'!R35</f>
        <v>완료(6/30)</v>
      </c>
      <c r="S545" s="8" t="str">
        <f>'5월'!S35</f>
        <v>이예지</v>
      </c>
      <c r="T545" s="11"/>
    </row>
    <row r="546" spans="1:21">
      <c r="A546" t="s">
        <v>30</v>
      </c>
      <c r="B546" s="151" t="str">
        <f>'5월'!B36</f>
        <v>SB-25020</v>
      </c>
      <c r="C546" s="153" t="str">
        <f>'5월'!C36</f>
        <v>ZZLYH2</v>
      </c>
      <c r="D546" s="17">
        <f>'5월'!D36</f>
        <v>45797</v>
      </c>
      <c r="E546" s="1" t="str">
        <f>'5월'!E36</f>
        <v>익스피다이터스코리아</v>
      </c>
      <c r="F546" s="2"/>
      <c r="G546" s="161" t="str">
        <f>'5월'!G36</f>
        <v>MA</v>
      </c>
      <c r="H546" s="83" t="str">
        <f>'5월'!H36</f>
        <v>월간-레노버</v>
      </c>
      <c r="I546" s="4" t="str">
        <f>'5월'!I36</f>
        <v>5월 유지정비료 - 2/36회</v>
      </c>
      <c r="J546" s="23">
        <f>'5월'!J36</f>
        <v>1</v>
      </c>
      <c r="K546" s="27">
        <f>'5월'!K36</f>
        <v>64000</v>
      </c>
      <c r="L546" s="26">
        <f>'5월'!L36</f>
        <v>64000</v>
      </c>
      <c r="M546" s="27">
        <f>'5월'!M36</f>
        <v>6400</v>
      </c>
      <c r="N546" s="27">
        <f>'5월'!N36</f>
        <v>70400</v>
      </c>
      <c r="O546" s="33">
        <f>'5월'!O36</f>
        <v>53400</v>
      </c>
      <c r="P546" s="197" t="str">
        <f>'5월'!P36</f>
        <v>레노버(5/31)</v>
      </c>
      <c r="Q546" s="20">
        <f>'5월'!Q36</f>
        <v>10600</v>
      </c>
      <c r="R546" s="2" t="str">
        <f>'5월'!R36</f>
        <v>완료(5/30)</v>
      </c>
      <c r="S546" s="8" t="str">
        <f>'5월'!S36</f>
        <v>천범석</v>
      </c>
      <c r="T546" s="11"/>
    </row>
    <row r="547" spans="1:21" ht="36">
      <c r="A547" t="s">
        <v>30</v>
      </c>
      <c r="B547" s="151" t="str">
        <f>'5월'!B37</f>
        <v>SM-24014</v>
      </c>
      <c r="C547" s="200"/>
      <c r="D547" s="78">
        <f>'5월'!D37</f>
        <v>45797</v>
      </c>
      <c r="E547" s="216" t="str">
        <f>'5월'!E37</f>
        <v>동아건설</v>
      </c>
      <c r="F547" s="217"/>
      <c r="G547" s="167" t="str">
        <f>'5월'!G37</f>
        <v>MA</v>
      </c>
      <c r="H547" s="167" t="str">
        <f>'5월'!H37</f>
        <v>월간</v>
      </c>
      <c r="I547" s="168" t="str">
        <f>'5월'!I37</f>
        <v>5월 유지정비료 - 1/12회</v>
      </c>
      <c r="J547" s="79">
        <f>'5월'!J37</f>
        <v>1</v>
      </c>
      <c r="K547" s="80">
        <f>'5월'!K37</f>
        <v>950000</v>
      </c>
      <c r="L547" s="80">
        <f>'5월'!L37</f>
        <v>950000</v>
      </c>
      <c r="M547" s="81">
        <f>'5월'!M37</f>
        <v>95000</v>
      </c>
      <c r="N547" s="81">
        <f>'5월'!N37</f>
        <v>1045000</v>
      </c>
      <c r="O547" s="54">
        <f>'5월'!O37</f>
        <v>750000</v>
      </c>
      <c r="P547" s="176" t="str">
        <f>'5월'!P37</f>
        <v>제이에스정보(5/26) 150,000
디에스티아이(6/30) 100,000
시스나인(11/3) 4,000,000(1/8)</v>
      </c>
      <c r="Q547" s="181">
        <f>'5월'!Q37</f>
        <v>200000</v>
      </c>
      <c r="R547" s="68" t="str">
        <f>'5월'!R37</f>
        <v>완료(6/30)</v>
      </c>
      <c r="S547" s="5" t="str">
        <f>'5월'!S37</f>
        <v>이예지</v>
      </c>
      <c r="T547" s="11"/>
    </row>
    <row r="548" spans="1:21" ht="36">
      <c r="A548" t="s">
        <v>30</v>
      </c>
      <c r="B548" s="151" t="str">
        <f>'5월'!B38</f>
        <v>SM-24007</v>
      </c>
      <c r="C548" s="200"/>
      <c r="D548" s="78">
        <f>'5월'!D38</f>
        <v>45797</v>
      </c>
      <c r="E548" s="218" t="str">
        <f>'5월'!E38</f>
        <v>성대의료원</v>
      </c>
      <c r="F548" s="217"/>
      <c r="G548" s="167" t="str">
        <f>'5월'!G38</f>
        <v>MA</v>
      </c>
      <c r="H548" s="167" t="str">
        <f>'5월'!H38</f>
        <v>월간</v>
      </c>
      <c r="I548" s="168" t="str">
        <f>'5월'!I38</f>
        <v>5월 유지정비료 - 4/12회</v>
      </c>
      <c r="J548" s="79">
        <f>'5월'!J38</f>
        <v>1</v>
      </c>
      <c r="K548" s="80">
        <f>'5월'!K38</f>
        <v>1505000</v>
      </c>
      <c r="L548" s="80">
        <f>'5월'!L38</f>
        <v>1505000</v>
      </c>
      <c r="M548" s="81">
        <f>'5월'!M38</f>
        <v>150500</v>
      </c>
      <c r="N548" s="81">
        <f>'5월'!N38</f>
        <v>1655500</v>
      </c>
      <c r="O548" s="52">
        <f>'5월'!O38</f>
        <v>980000</v>
      </c>
      <c r="P548" s="171" t="str">
        <f>'5월'!P38</f>
        <v>다원씨앤에스(5/25) 200,000
DCSS(5/31) 80,000
시스나인(4/25) 2,100,000(1/3회)</v>
      </c>
      <c r="Q548" s="181">
        <f>'5월'!Q38</f>
        <v>525000</v>
      </c>
      <c r="R548" s="68" t="str">
        <f>'5월'!R38</f>
        <v>완료(6/27)</v>
      </c>
      <c r="S548" s="5" t="str">
        <f>'5월'!S38</f>
        <v>이예지</v>
      </c>
      <c r="T548" s="11"/>
    </row>
    <row r="549" spans="1:21">
      <c r="A549" t="s">
        <v>30</v>
      </c>
      <c r="B549" s="151" t="str">
        <f>'5월'!B39</f>
        <v>Y250508-01</v>
      </c>
      <c r="C549" s="153"/>
      <c r="D549" s="17">
        <f>'5월'!D39</f>
        <v>45798</v>
      </c>
      <c r="E549" s="1" t="str">
        <f>'5월'!E39</f>
        <v>한국도자기협회</v>
      </c>
      <c r="F549" s="2"/>
      <c r="G549" s="2" t="str">
        <f>'5월'!G39</f>
        <v>상품</v>
      </c>
      <c r="H549" s="83" t="str">
        <f>'5월'!H39</f>
        <v>스토리지</v>
      </c>
      <c r="I549" s="4" t="str">
        <f>'5월'!I39</f>
        <v xml:space="preserve">Synology RS1221RP+ 8TB x8 </v>
      </c>
      <c r="J549" s="23">
        <f>'5월'!J39</f>
        <v>1</v>
      </c>
      <c r="K549" s="27">
        <f>'5월'!K39</f>
        <v>6200000</v>
      </c>
      <c r="L549" s="26">
        <f>'5월'!L39</f>
        <v>6200000</v>
      </c>
      <c r="M549" s="27">
        <f>'5월'!M39</f>
        <v>620000</v>
      </c>
      <c r="N549" s="27">
        <f>'5월'!N39</f>
        <v>6820000</v>
      </c>
      <c r="O549" s="33">
        <f>'5월'!O39</f>
        <v>5105809</v>
      </c>
      <c r="P549" s="197" t="str">
        <f>'5월'!P39</f>
        <v>컴퓨존(5/8)</v>
      </c>
      <c r="Q549" s="20">
        <f>'5월'!Q39</f>
        <v>1094191</v>
      </c>
      <c r="R549" s="68" t="str">
        <f>'5월'!R39</f>
        <v>완료(6/10)</v>
      </c>
      <c r="S549" s="8" t="str">
        <f>'5월'!S39</f>
        <v>홍승민</v>
      </c>
      <c r="T549" s="11"/>
    </row>
    <row r="550" spans="1:21" ht="48">
      <c r="A550" t="s">
        <v>30</v>
      </c>
      <c r="B550" s="151" t="str">
        <f>'5월'!B40</f>
        <v>D250424-01</v>
      </c>
      <c r="C550" s="153"/>
      <c r="D550" s="17">
        <f>'5월'!D40</f>
        <v>45798</v>
      </c>
      <c r="E550" s="1" t="str">
        <f>'5월'!E40</f>
        <v>고영</v>
      </c>
      <c r="F550" s="2"/>
      <c r="G550" s="2" t="str">
        <f>'5월'!G40</f>
        <v>상품</v>
      </c>
      <c r="H550" s="83" t="str">
        <f>'5월'!H40</f>
        <v>조립PC</v>
      </c>
      <c r="I550" s="4" t="str">
        <f>'5월'!I40</f>
        <v xml:space="preserve">조립PC </v>
      </c>
      <c r="J550" s="23">
        <f>'5월'!J40</f>
        <v>3</v>
      </c>
      <c r="K550" s="27">
        <f>'5월'!K40</f>
        <v>3890000</v>
      </c>
      <c r="L550" s="26">
        <f>'5월'!L40</f>
        <v>11670000</v>
      </c>
      <c r="M550" s="27">
        <f>'5월'!M40</f>
        <v>1167000</v>
      </c>
      <c r="N550" s="27">
        <f>'5월'!N40</f>
        <v>12837000</v>
      </c>
      <c r="O550" s="33">
        <f>'5월'!O40</f>
        <v>11449319</v>
      </c>
      <c r="P550" s="197" t="str">
        <f>'5월'!P40</f>
        <v>컴퓨존(4/28) 2,875,364
조이젠(4/28) 1,364,973
리더스시스템즈(4/28) 6,099,000
우림퀵(5/31) 65,000</v>
      </c>
      <c r="Q550" s="20">
        <f>'5월'!Q40</f>
        <v>220681</v>
      </c>
      <c r="R550" s="68" t="str">
        <f>'5월'!R40</f>
        <v>완료(6/16)</v>
      </c>
      <c r="S550" s="8" t="str">
        <f>'5월'!S40</f>
        <v>이지훈</v>
      </c>
      <c r="T550" s="11"/>
      <c r="U550" s="121"/>
    </row>
    <row r="551" spans="1:21">
      <c r="A551" t="s">
        <v>30</v>
      </c>
      <c r="B551" s="151" t="str">
        <f>'5월'!B41</f>
        <v>SM-20023</v>
      </c>
      <c r="C551" s="200"/>
      <c r="D551" s="17">
        <f>'5월'!D41</f>
        <v>45802</v>
      </c>
      <c r="E551" s="214" t="str">
        <f>'5월'!E41</f>
        <v>비씨엠정보통신</v>
      </c>
      <c r="F551" s="189" t="str">
        <f>'5월'!F41</f>
        <v>꼬망스</v>
      </c>
      <c r="G551" s="161" t="str">
        <f>'5월'!G41</f>
        <v>MA</v>
      </c>
      <c r="H551" s="161" t="str">
        <f>'5월'!H41</f>
        <v>월간</v>
      </c>
      <c r="I551" s="163" t="str">
        <f>'5월'!I41</f>
        <v>5월 유지정비료 - 9/12회</v>
      </c>
      <c r="J551" s="24">
        <f>'5월'!J41</f>
        <v>1</v>
      </c>
      <c r="K551" s="26">
        <f>'5월'!K41</f>
        <v>320000</v>
      </c>
      <c r="L551" s="26">
        <f>'5월'!L41</f>
        <v>320000</v>
      </c>
      <c r="M551" s="27">
        <f>'5월'!M41</f>
        <v>32000</v>
      </c>
      <c r="N551" s="27">
        <f>'5월'!N41</f>
        <v>352000</v>
      </c>
      <c r="O551" s="33">
        <f>'5월'!O41</f>
        <v>150000</v>
      </c>
      <c r="P551" s="171" t="str">
        <f>'5월'!P41</f>
        <v>시스나인(25/3/4) 연간 1,800,000(9/12회)</v>
      </c>
      <c r="Q551" s="181">
        <f>'5월'!Q41</f>
        <v>170000</v>
      </c>
      <c r="R551" s="2" t="str">
        <f>'5월'!R41</f>
        <v>완료(6/30)</v>
      </c>
      <c r="S551" s="5" t="str">
        <f>'5월'!S41</f>
        <v>천범석</v>
      </c>
      <c r="T551" s="11"/>
    </row>
    <row r="552" spans="1:21">
      <c r="A552" t="s">
        <v>30</v>
      </c>
      <c r="B552" s="151" t="str">
        <f>'5월'!B42</f>
        <v>SM-23026</v>
      </c>
      <c r="C552" s="199"/>
      <c r="D552" s="17">
        <f>'5월'!D42</f>
        <v>45802</v>
      </c>
      <c r="E552" s="214" t="str">
        <f>'5월'!E42</f>
        <v>한국도자기협회</v>
      </c>
      <c r="F552" s="215"/>
      <c r="G552" s="1" t="str">
        <f>'5월'!G42</f>
        <v>MA</v>
      </c>
      <c r="H552" s="2" t="str">
        <f>'5월'!H42</f>
        <v>월간</v>
      </c>
      <c r="I552" s="163" t="str">
        <f>'5월'!I42</f>
        <v>5월 유지정비료 - 10/12회</v>
      </c>
      <c r="J552" s="76">
        <f>'5월'!J42</f>
        <v>1</v>
      </c>
      <c r="K552" s="48">
        <f>'5월'!K42</f>
        <v>1216000</v>
      </c>
      <c r="L552" s="26">
        <f>'5월'!L42</f>
        <v>2446000</v>
      </c>
      <c r="M552" s="27">
        <f>'5월'!M42</f>
        <v>244600</v>
      </c>
      <c r="N552" s="27">
        <f>'5월'!N42</f>
        <v>2690600</v>
      </c>
      <c r="O552" s="52">
        <f>'5월'!O42</f>
        <v>1435000</v>
      </c>
      <c r="P552" s="171" t="str">
        <f>'5월'!P42</f>
        <v>현성솔루션(5/30) 840,000</v>
      </c>
      <c r="Q552" s="181">
        <f>'5월'!Q42</f>
        <v>1011000</v>
      </c>
      <c r="R552" s="2" t="str">
        <f>'5월'!R42</f>
        <v>완료(6/10)</v>
      </c>
      <c r="S552" s="8" t="str">
        <f>'5월'!S42</f>
        <v>홍승민</v>
      </c>
      <c r="T552" s="11"/>
    </row>
    <row r="553" spans="1:21">
      <c r="A553" t="s">
        <v>30</v>
      </c>
      <c r="B553" s="151" t="str">
        <f>'5월'!B43</f>
        <v>SM-24012</v>
      </c>
      <c r="C553" s="201"/>
      <c r="D553" s="43"/>
      <c r="E553" s="219" t="str">
        <f>'5월'!E43</f>
        <v>한국도자기협회</v>
      </c>
      <c r="F553" s="220"/>
      <c r="G553" s="1" t="str">
        <f>'5월'!G43</f>
        <v>MA</v>
      </c>
      <c r="H553" s="2" t="str">
        <f>'5월'!H43</f>
        <v>월간</v>
      </c>
      <c r="I553" s="163" t="str">
        <f>'5월'!I43</f>
        <v>5월 유지정비료 - 1/12회</v>
      </c>
      <c r="J553" s="76">
        <f>'5월'!J43</f>
        <v>1</v>
      </c>
      <c r="K553" s="48">
        <f>'5월'!K43</f>
        <v>390000</v>
      </c>
      <c r="L553" s="38"/>
      <c r="M553" s="38"/>
      <c r="N553" s="38"/>
      <c r="O553" s="52"/>
      <c r="P553" s="171" t="str">
        <f>'5월'!P43</f>
        <v>추후?</v>
      </c>
      <c r="Q553" s="184"/>
      <c r="R553" s="46"/>
      <c r="S553" s="42"/>
      <c r="T553" s="133"/>
    </row>
    <row r="554" spans="1:21">
      <c r="A554" t="s">
        <v>30</v>
      </c>
      <c r="B554" s="151" t="str">
        <f>'5월'!B44</f>
        <v>SM-23025</v>
      </c>
      <c r="C554" s="201"/>
      <c r="D554" s="43"/>
      <c r="E554" s="219" t="str">
        <f>'5월'!E44</f>
        <v>한국도자기협회</v>
      </c>
      <c r="F554" s="220"/>
      <c r="G554" s="1" t="str">
        <f>'5월'!G44</f>
        <v>MA</v>
      </c>
      <c r="H554" s="2" t="str">
        <f>'5월'!H44</f>
        <v>월간</v>
      </c>
      <c r="I554" s="3" t="str">
        <f>'5월'!I44</f>
        <v>이메일 보안 및 호스팅 5월 - 10/12회</v>
      </c>
      <c r="J554" s="76">
        <f>'5월'!J44</f>
        <v>70</v>
      </c>
      <c r="K554" s="48">
        <f>'5월'!K44</f>
        <v>12000</v>
      </c>
      <c r="L554" s="38"/>
      <c r="M554" s="38"/>
      <c r="N554" s="38"/>
      <c r="O554" s="52"/>
      <c r="P554" s="171" t="str">
        <f>'5월'!P44</f>
        <v>현성솔루션(5/30) 595,000</v>
      </c>
      <c r="Q554" s="184"/>
      <c r="R554" s="46"/>
      <c r="S554" s="42"/>
      <c r="T554" s="133"/>
    </row>
    <row r="555" spans="1:21" ht="24">
      <c r="A555" t="s">
        <v>30</v>
      </c>
      <c r="B555" s="151" t="str">
        <f>'5월'!B45</f>
        <v>LI-24007</v>
      </c>
      <c r="C555" s="200" t="str">
        <f>'5월'!C45</f>
        <v>C24009</v>
      </c>
      <c r="D555" s="17">
        <f>'5월'!D45</f>
        <v>45802</v>
      </c>
      <c r="E555" s="214" t="str">
        <f>'5월'!E45</f>
        <v>유더블유에스</v>
      </c>
      <c r="F555" s="215" t="str">
        <f>'5월'!F45</f>
        <v>두원정공</v>
      </c>
      <c r="G555" s="161" t="str">
        <f>'5월'!G45</f>
        <v>MA</v>
      </c>
      <c r="H555" s="161" t="str">
        <f>'5월'!H45</f>
        <v>월간</v>
      </c>
      <c r="I555" s="3" t="str">
        <f>'5월'!I45</f>
        <v>5월 유지정비료 - 11/12회</v>
      </c>
      <c r="J555" s="73">
        <f>'5월'!J45</f>
        <v>1</v>
      </c>
      <c r="K555" s="26">
        <f>'5월'!K45</f>
        <v>168000</v>
      </c>
      <c r="L555" s="26">
        <f>'5월'!L45</f>
        <v>168000</v>
      </c>
      <c r="M555" s="27">
        <f>'5월'!M45</f>
        <v>16800</v>
      </c>
      <c r="N555" s="27">
        <f>'5월'!N45</f>
        <v>184800</v>
      </c>
      <c r="O555" s="52">
        <f>'5월'!O45</f>
        <v>120613.33333333334</v>
      </c>
      <c r="P555" s="171" t="str">
        <f>'5월'!P45</f>
        <v>레노버(24/7/8)연간 (11/12회) 485,440
IBM(5/1) 80,160</v>
      </c>
      <c r="Q555" s="183">
        <f>'5월'!Q45</f>
        <v>47386.666666666657</v>
      </c>
      <c r="R555" s="68" t="str">
        <f>'5월'!R45</f>
        <v>완료(6/27)</v>
      </c>
      <c r="S555" s="5" t="str">
        <f>'5월'!S45</f>
        <v>천범석</v>
      </c>
      <c r="T555" s="11"/>
    </row>
    <row r="556" spans="1:21">
      <c r="A556" t="s">
        <v>30</v>
      </c>
      <c r="B556" s="151" t="str">
        <f>'5월'!B46</f>
        <v>IK-24007</v>
      </c>
      <c r="C556" s="200"/>
      <c r="D556" s="17">
        <f>'5월'!D46</f>
        <v>45802</v>
      </c>
      <c r="E556" s="214" t="str">
        <f>'5월'!E46</f>
        <v>로보츠</v>
      </c>
      <c r="F556" s="189" t="str">
        <f>'5월'!F46</f>
        <v>도시바일렉트로닉스</v>
      </c>
      <c r="G556" s="161" t="str">
        <f>'5월'!G46</f>
        <v>MA</v>
      </c>
      <c r="H556" s="161" t="str">
        <f>'5월'!H46</f>
        <v>월간-IBM</v>
      </c>
      <c r="I556" s="3" t="str">
        <f>'5월'!I46</f>
        <v>5월 유지정비료 - 11/12회</v>
      </c>
      <c r="J556" s="24">
        <f>'5월'!J46</f>
        <v>1</v>
      </c>
      <c r="K556" s="26">
        <f>'5월'!K46</f>
        <v>115000</v>
      </c>
      <c r="L556" s="26">
        <f>'5월'!L46</f>
        <v>115000</v>
      </c>
      <c r="M556" s="27">
        <f>'5월'!M46</f>
        <v>11500</v>
      </c>
      <c r="N556" s="27">
        <f>'5월'!N46</f>
        <v>126500</v>
      </c>
      <c r="O556" s="52">
        <f>'5월'!O46</f>
        <v>66498</v>
      </c>
      <c r="P556" s="171" t="str">
        <f>'5월'!P46</f>
        <v>IBM(5/1)</v>
      </c>
      <c r="Q556" s="181">
        <f>'5월'!Q46</f>
        <v>48502</v>
      </c>
      <c r="R556" s="2" t="str">
        <f>'5월'!R46</f>
        <v>완료(6/25)</v>
      </c>
      <c r="S556" s="5" t="str">
        <f>'5월'!S46</f>
        <v>천범석</v>
      </c>
      <c r="T556" s="11"/>
    </row>
    <row r="557" spans="1:21" ht="36">
      <c r="A557" t="s">
        <v>30</v>
      </c>
      <c r="B557" s="151" t="str">
        <f>'5월'!B47</f>
        <v>IK-24011</v>
      </c>
      <c r="C557" s="199"/>
      <c r="D557" s="17">
        <f>'5월'!D47</f>
        <v>45802</v>
      </c>
      <c r="E557" s="214" t="str">
        <f>'5월'!E47</f>
        <v>로보츠</v>
      </c>
      <c r="F557" s="215" t="str">
        <f>'5월'!F47</f>
        <v>키오시아</v>
      </c>
      <c r="G557" s="161" t="str">
        <f>'5월'!G47</f>
        <v>MA</v>
      </c>
      <c r="H557" s="161" t="str">
        <f>'5월'!H47</f>
        <v>월간-IBM</v>
      </c>
      <c r="I557" s="164" t="str">
        <f>'5월'!I47</f>
        <v>5월 유지정비료 - 6/12회</v>
      </c>
      <c r="J557" s="34">
        <f>'5월'!J47</f>
        <v>1</v>
      </c>
      <c r="K557" s="48">
        <f>'5월'!K47</f>
        <v>350000</v>
      </c>
      <c r="L557" s="26">
        <f>'5월'!L47</f>
        <v>350000</v>
      </c>
      <c r="M557" s="27">
        <f>'5월'!M47</f>
        <v>35000</v>
      </c>
      <c r="N557" s="27">
        <f>'5월'!N47</f>
        <v>385000</v>
      </c>
      <c r="O557" s="52">
        <f>'5월'!O47</f>
        <v>287383.33333333331</v>
      </c>
      <c r="P557" s="171" t="str">
        <f>'5월'!P47</f>
        <v>IBM(5/1) 133,875
DCSS (5/31) 70,180
시스나인(11/3) 1,000,000 (6/12)</v>
      </c>
      <c r="Q557" s="181">
        <f>'5월'!Q47</f>
        <v>62616.666666666686</v>
      </c>
      <c r="R557" s="2" t="str">
        <f>'5월'!R47</f>
        <v>완료(6/25)</v>
      </c>
      <c r="S557" s="8" t="str">
        <f>'5월'!S47</f>
        <v>천범석</v>
      </c>
      <c r="T557" s="11"/>
    </row>
    <row r="558" spans="1:21" ht="24">
      <c r="A558" t="s">
        <v>30</v>
      </c>
      <c r="B558" s="151" t="str">
        <f>'5월'!B48</f>
        <v>IK-24014</v>
      </c>
      <c r="C558" s="199"/>
      <c r="D558" s="17">
        <f>'5월'!D48</f>
        <v>45802</v>
      </c>
      <c r="E558" s="214" t="str">
        <f>'5월'!E48</f>
        <v>로보츠</v>
      </c>
      <c r="F558" s="215" t="str">
        <f>'5월'!F48</f>
        <v>와이케이케이코리아</v>
      </c>
      <c r="G558" s="161" t="str">
        <f>'5월'!G48</f>
        <v>MA</v>
      </c>
      <c r="H558" s="161" t="str">
        <f>'5월'!H48</f>
        <v>월간-IBM</v>
      </c>
      <c r="I558" s="164" t="str">
        <f>'5월'!I48</f>
        <v>5월 유지정비료 - 5/12회</v>
      </c>
      <c r="J558" s="34">
        <f>'5월'!J48</f>
        <v>1</v>
      </c>
      <c r="K558" s="48">
        <f>'5월'!K48</f>
        <v>444000</v>
      </c>
      <c r="L558" s="26">
        <f>'5월'!L48</f>
        <v>444000</v>
      </c>
      <c r="M558" s="27">
        <f>'5월'!M48</f>
        <v>44400</v>
      </c>
      <c r="N558" s="27">
        <f>'5월'!N48</f>
        <v>488400</v>
      </c>
      <c r="O558" s="77">
        <f>'5월'!O48</f>
        <v>430632</v>
      </c>
      <c r="P558" s="239" t="str">
        <f>'5월'!P48</f>
        <v>IBM(5/1) 79,496
시스나인(11/3) 4,200,000 (5/12회)</v>
      </c>
      <c r="Q558" s="181">
        <f>'5월'!Q48</f>
        <v>13368</v>
      </c>
      <c r="R558" s="2" t="str">
        <f>'5월'!R48</f>
        <v>완료(6/25)</v>
      </c>
      <c r="S558" s="8" t="str">
        <f>'5월'!S48</f>
        <v>천범석</v>
      </c>
      <c r="T558" s="11"/>
    </row>
    <row r="559" spans="1:21">
      <c r="A559" t="s">
        <v>30</v>
      </c>
      <c r="B559" s="151" t="str">
        <f>'5월'!B49</f>
        <v>SM-25021</v>
      </c>
      <c r="C559" s="199"/>
      <c r="D559" s="17">
        <f>'5월'!D49</f>
        <v>45802</v>
      </c>
      <c r="E559" s="214" t="str">
        <f>'5월'!E49</f>
        <v>로보츠</v>
      </c>
      <c r="F559" s="215" t="str">
        <f>'5월'!F49</f>
        <v>조광피혁</v>
      </c>
      <c r="G559" s="161" t="str">
        <f>'5월'!G49</f>
        <v>MA</v>
      </c>
      <c r="H559" s="161" t="str">
        <f>'5월'!H49</f>
        <v>월간-DCSS</v>
      </c>
      <c r="I559" s="164" t="str">
        <f>'5월'!I49</f>
        <v>5월 유지정비료 - 1/12회</v>
      </c>
      <c r="J559" s="34">
        <f>'5월'!J49</f>
        <v>1</v>
      </c>
      <c r="K559" s="48">
        <f>'5월'!K49</f>
        <v>70000</v>
      </c>
      <c r="L559" s="26">
        <f>'5월'!L49</f>
        <v>70000</v>
      </c>
      <c r="M559" s="27">
        <f>'5월'!M49</f>
        <v>7000</v>
      </c>
      <c r="N559" s="27">
        <f>'5월'!N49</f>
        <v>77000</v>
      </c>
      <c r="O559" s="72">
        <f>'5월'!O49</f>
        <v>33000</v>
      </c>
      <c r="P559" s="170" t="str">
        <f>'5월'!P49</f>
        <v>DCSS (5/31)</v>
      </c>
      <c r="Q559" s="181">
        <f>'5월'!Q49</f>
        <v>37000</v>
      </c>
      <c r="R559" s="2" t="str">
        <f>'5월'!R49</f>
        <v>완료(6/25)</v>
      </c>
      <c r="S559" s="8" t="str">
        <f>'5월'!S49</f>
        <v>천범석</v>
      </c>
      <c r="T559" s="11"/>
    </row>
    <row r="560" spans="1:21">
      <c r="A560" t="s">
        <v>30</v>
      </c>
      <c r="B560" s="151" t="str">
        <f>'5월'!B50</f>
        <v>SM-25023</v>
      </c>
      <c r="C560" s="199"/>
      <c r="D560" s="17">
        <f>'5월'!D50</f>
        <v>45802</v>
      </c>
      <c r="E560" s="214" t="str">
        <f>'5월'!E50</f>
        <v>로보츠</v>
      </c>
      <c r="F560" s="215" t="str">
        <f>'5월'!F50</f>
        <v>와이케이케이코리아</v>
      </c>
      <c r="G560" s="161" t="str">
        <f>'5월'!G50</f>
        <v>MA</v>
      </c>
      <c r="H560" s="161" t="str">
        <f>'5월'!H50</f>
        <v>월간-DCSS</v>
      </c>
      <c r="I560" s="164" t="str">
        <f>'5월'!I50</f>
        <v>5월 유지정비료 - 1/12회</v>
      </c>
      <c r="J560" s="34">
        <f>'5월'!J50</f>
        <v>1</v>
      </c>
      <c r="K560" s="48">
        <f>'5월'!K50</f>
        <v>120000</v>
      </c>
      <c r="L560" s="26">
        <f>'5월'!L50</f>
        <v>120000</v>
      </c>
      <c r="M560" s="27">
        <f>'5월'!M50</f>
        <v>12000</v>
      </c>
      <c r="N560" s="27">
        <f>'5월'!N50</f>
        <v>132000</v>
      </c>
      <c r="O560" s="72">
        <f>'5월'!O50</f>
        <v>69000</v>
      </c>
      <c r="P560" s="170" t="str">
        <f>'5월'!P50</f>
        <v>DCSS (5/31)</v>
      </c>
      <c r="Q560" s="181">
        <f>'5월'!Q50</f>
        <v>51000</v>
      </c>
      <c r="R560" s="2" t="str">
        <f>'5월'!R50</f>
        <v>완료(6/25)</v>
      </c>
      <c r="S560" s="8" t="str">
        <f>'5월'!S50</f>
        <v>천범석</v>
      </c>
      <c r="T560" s="11"/>
    </row>
    <row r="561" spans="1:21">
      <c r="A561" t="s">
        <v>30</v>
      </c>
      <c r="B561" s="151" t="str">
        <f>'5월'!B51</f>
        <v>SM-21021</v>
      </c>
      <c r="C561" s="200"/>
      <c r="D561" s="17">
        <f>'5월'!D51</f>
        <v>45802</v>
      </c>
      <c r="E561" s="214" t="str">
        <f>'5월'!E51</f>
        <v>바른시스템</v>
      </c>
      <c r="F561" s="189"/>
      <c r="G561" s="161" t="str">
        <f>'5월'!G51</f>
        <v>MA</v>
      </c>
      <c r="H561" s="161" t="str">
        <f>'5월'!H51</f>
        <v>월간</v>
      </c>
      <c r="I561" s="163" t="str">
        <f>'5월'!I51</f>
        <v>5월 유지정비료 - 3/12회</v>
      </c>
      <c r="J561" s="24">
        <f>'5월'!J51</f>
        <v>1</v>
      </c>
      <c r="K561" s="26">
        <f>'5월'!K51</f>
        <v>305000</v>
      </c>
      <c r="L561" s="26">
        <f>'5월'!L51</f>
        <v>305000</v>
      </c>
      <c r="M561" s="27">
        <f>'5월'!M51</f>
        <v>30500</v>
      </c>
      <c r="N561" s="27">
        <f>'5월'!N51</f>
        <v>335500</v>
      </c>
      <c r="O561" s="52">
        <f>'5월'!O51</f>
        <v>84811</v>
      </c>
      <c r="P561" s="171" t="str">
        <f>'5월'!P51</f>
        <v>IBM(5/1)</v>
      </c>
      <c r="Q561" s="181">
        <f>'5월'!Q51</f>
        <v>220189</v>
      </c>
      <c r="R561" s="68" t="str">
        <f>'5월'!R51</f>
        <v>완료(5/29)</v>
      </c>
      <c r="S561" s="5" t="str">
        <f>'5월'!S51</f>
        <v>홍승민</v>
      </c>
      <c r="T561" s="11"/>
    </row>
    <row r="562" spans="1:21">
      <c r="A562" t="s">
        <v>30</v>
      </c>
      <c r="B562" s="151" t="str">
        <f>'5월'!B52</f>
        <v>LI-24006</v>
      </c>
      <c r="C562" s="199"/>
      <c r="D562" s="17">
        <f>'5월'!D52</f>
        <v>45802</v>
      </c>
      <c r="E562" s="214" t="str">
        <f>'5월'!E52</f>
        <v>보해양조</v>
      </c>
      <c r="F562" s="215"/>
      <c r="G562" s="2" t="str">
        <f>'5월'!G52</f>
        <v>MA</v>
      </c>
      <c r="H562" s="161" t="str">
        <f>'5월'!H52</f>
        <v>월간-IBM</v>
      </c>
      <c r="I562" s="4" t="str">
        <f>'5월'!I52</f>
        <v>5월 유지정비료 - 11/12회</v>
      </c>
      <c r="J562" s="23">
        <f>'5월'!J52</f>
        <v>1</v>
      </c>
      <c r="K562" s="27">
        <f>'5월'!K52</f>
        <v>668000</v>
      </c>
      <c r="L562" s="26">
        <f>'5월'!L52</f>
        <v>668000</v>
      </c>
      <c r="M562" s="27">
        <f>'5월'!M52</f>
        <v>66800</v>
      </c>
      <c r="N562" s="27">
        <f>'5월'!N52</f>
        <v>734800</v>
      </c>
      <c r="O562" s="72">
        <f>'5월'!O52</f>
        <v>420400</v>
      </c>
      <c r="P562" s="223" t="str">
        <f>'5월'!P52</f>
        <v>IBM(5/1) 142,800 (5/1)277,600</v>
      </c>
      <c r="Q562" s="181">
        <f>'5월'!Q52</f>
        <v>247600</v>
      </c>
      <c r="R562" s="2" t="str">
        <f>'5월'!R52</f>
        <v>완료(6/16)</v>
      </c>
      <c r="S562" s="8" t="str">
        <f>'5월'!S52</f>
        <v>천범석</v>
      </c>
      <c r="T562" s="11"/>
    </row>
    <row r="563" spans="1:21" ht="24">
      <c r="A563" t="s">
        <v>30</v>
      </c>
      <c r="B563" s="151" t="str">
        <f>'5월'!B53</f>
        <v>SM-24024</v>
      </c>
      <c r="C563" s="199"/>
      <c r="D563" s="17">
        <f>'5월'!D53</f>
        <v>45802</v>
      </c>
      <c r="E563" s="214" t="str">
        <f>'5월'!E53</f>
        <v>일원병원</v>
      </c>
      <c r="F563" s="214" t="str">
        <f>'5월'!F53</f>
        <v>묵동</v>
      </c>
      <c r="G563" s="161" t="str">
        <f>'5월'!G53</f>
        <v>MA</v>
      </c>
      <c r="H563" s="161" t="str">
        <f>'5월'!H53</f>
        <v>월간</v>
      </c>
      <c r="I563" s="163" t="str">
        <f>'5월'!I53</f>
        <v>5월 유지정비료 - 6/12회</v>
      </c>
      <c r="J563" s="24">
        <f>'5월'!J53</f>
        <v>1</v>
      </c>
      <c r="K563" s="26">
        <f>'5월'!K53</f>
        <v>500000</v>
      </c>
      <c r="L563" s="26">
        <f>'5월'!L53</f>
        <v>500000</v>
      </c>
      <c r="M563" s="27">
        <f>'5월'!M53</f>
        <v>50000</v>
      </c>
      <c r="N563" s="27">
        <f>'5월'!N53</f>
        <v>550000</v>
      </c>
      <c r="O563" s="52">
        <f>'5월'!O53</f>
        <v>120600</v>
      </c>
      <c r="P563" s="171" t="str">
        <f>'5월'!P53</f>
        <v>시스나인(4/25) 연간 600,000 (6/6회)
DCSS(5/31) 20,600</v>
      </c>
      <c r="Q563" s="181">
        <f>'5월'!Q53</f>
        <v>379400</v>
      </c>
      <c r="R563" s="2" t="str">
        <f>'5월'!R53</f>
        <v>완료(6/27)</v>
      </c>
      <c r="S563" s="5" t="str">
        <f>'5월'!S53</f>
        <v>천범석</v>
      </c>
      <c r="T563" s="11"/>
    </row>
    <row r="564" spans="1:21">
      <c r="A564" t="s">
        <v>30</v>
      </c>
      <c r="B564" s="151" t="str">
        <f>'5월'!B54</f>
        <v>SM-25005</v>
      </c>
      <c r="C564" s="199"/>
      <c r="D564" s="17">
        <f>'5월'!D54</f>
        <v>45802</v>
      </c>
      <c r="E564" s="221" t="str">
        <f>'5월'!E54</f>
        <v>고영</v>
      </c>
      <c r="F564" s="215"/>
      <c r="G564" s="161" t="str">
        <f>'5월'!G54</f>
        <v>MA</v>
      </c>
      <c r="H564" s="161" t="str">
        <f>'5월'!H54</f>
        <v>월간</v>
      </c>
      <c r="I564" s="163" t="str">
        <f>'5월'!I54</f>
        <v>5월 유지정비료 - 5/12회</v>
      </c>
      <c r="J564" s="23">
        <f>'5월'!J54</f>
        <v>1</v>
      </c>
      <c r="K564" s="27">
        <f>'5월'!K54</f>
        <v>1400000</v>
      </c>
      <c r="L564" s="26">
        <f>'5월'!L54</f>
        <v>1400000</v>
      </c>
      <c r="M564" s="27">
        <f>'5월'!M54</f>
        <v>140000</v>
      </c>
      <c r="N564" s="27">
        <f>'5월'!N54</f>
        <v>1540000</v>
      </c>
      <c r="O564" s="52">
        <f>'5월'!O54</f>
        <v>500000</v>
      </c>
      <c r="P564" s="171" t="str">
        <f>'5월'!P54</f>
        <v>시스나인(4/25) 분기 1,500,000 (2/3회)</v>
      </c>
      <c r="Q564" s="181">
        <f>'5월'!Q54</f>
        <v>900000</v>
      </c>
      <c r="R564" s="2" t="str">
        <f>'5월'!R54</f>
        <v>완료(6/20)</v>
      </c>
      <c r="S564" s="8" t="str">
        <f>'5월'!S54</f>
        <v>홍승민</v>
      </c>
      <c r="T564" s="11"/>
      <c r="U564" s="121">
        <f>Q564/L564</f>
        <v>0.6428571428571429</v>
      </c>
    </row>
    <row r="565" spans="1:21">
      <c r="A565" t="s">
        <v>30</v>
      </c>
      <c r="B565" s="151" t="str">
        <f>'5월'!B55</f>
        <v>H250513-01</v>
      </c>
      <c r="C565" s="153"/>
      <c r="D565" s="17">
        <f>'5월'!D55</f>
        <v>45803</v>
      </c>
      <c r="E565" s="1" t="str">
        <f>'5월'!E55</f>
        <v>인코어</v>
      </c>
      <c r="F565" s="2"/>
      <c r="G565" s="2" t="str">
        <f>'5월'!G55</f>
        <v>상품</v>
      </c>
      <c r="H565" s="83" t="str">
        <f>'5월'!H55</f>
        <v>872772-001</v>
      </c>
      <c r="I565" s="4" t="str">
        <f>'5월'!I55</f>
        <v xml:space="preserve"> 4TB 7.2K 6G SATA 3.5inch SC DS Hard Drive</v>
      </c>
      <c r="J565" s="23">
        <f>'5월'!J55</f>
        <v>1</v>
      </c>
      <c r="K565" s="27">
        <f>'5월'!K55</f>
        <v>230000</v>
      </c>
      <c r="L565" s="26">
        <f>'5월'!L55</f>
        <v>230000</v>
      </c>
      <c r="M565" s="27">
        <f>'5월'!M55</f>
        <v>23000</v>
      </c>
      <c r="N565" s="27">
        <f>'5월'!N55</f>
        <v>253000</v>
      </c>
      <c r="O565" s="33">
        <f>'5월'!O55</f>
        <v>180000</v>
      </c>
      <c r="P565" s="197" t="str">
        <f>'5월'!P55</f>
        <v>이비웨이브(5/13)</v>
      </c>
      <c r="Q565" s="20">
        <f>'5월'!Q55</f>
        <v>50000</v>
      </c>
      <c r="R565" s="2" t="str">
        <f>'5월'!R55</f>
        <v>완료(5/30)</v>
      </c>
      <c r="S565" s="8" t="str">
        <f>'5월'!S55</f>
        <v>천범석</v>
      </c>
      <c r="T565" s="11"/>
    </row>
    <row r="566" spans="1:21">
      <c r="A566" t="s">
        <v>30</v>
      </c>
      <c r="B566" s="151" t="str">
        <f>'5월'!B56</f>
        <v>H250514-01</v>
      </c>
      <c r="C566" s="153"/>
      <c r="D566" s="17">
        <f>'5월'!D56</f>
        <v>45803</v>
      </c>
      <c r="E566" s="1" t="str">
        <f>'5월'!E56</f>
        <v>인코어</v>
      </c>
      <c r="F566" s="2"/>
      <c r="G566" s="2" t="str">
        <f>'5월'!G56</f>
        <v>상품</v>
      </c>
      <c r="H566" s="83" t="str">
        <f>'5월'!H56</f>
        <v>529FG</v>
      </c>
      <c r="I566" s="4" t="str">
        <f>'5월'!I56</f>
        <v>Dell 4-TB 6G 7.2K 3.5 SAS (ST4000NM0023) for R520</v>
      </c>
      <c r="J566" s="23">
        <f>'5월'!J56</f>
        <v>1</v>
      </c>
      <c r="K566" s="27">
        <f>'5월'!K56</f>
        <v>200000</v>
      </c>
      <c r="L566" s="26">
        <f>'5월'!L56</f>
        <v>200000</v>
      </c>
      <c r="M566" s="27">
        <f>'5월'!M56</f>
        <v>20000</v>
      </c>
      <c r="N566" s="27">
        <f>'5월'!N56</f>
        <v>220000</v>
      </c>
      <c r="O566" s="33">
        <f>'5월'!O56</f>
        <v>150000</v>
      </c>
      <c r="P566" s="197" t="str">
        <f>'5월'!P56</f>
        <v>이비웨이브(5/14)</v>
      </c>
      <c r="Q566" s="20">
        <f>'5월'!Q56</f>
        <v>50000</v>
      </c>
      <c r="R566" s="2" t="str">
        <f>'5월'!R56</f>
        <v>완료(5/30)</v>
      </c>
      <c r="S566" s="8" t="str">
        <f>'5월'!S56</f>
        <v>천범석</v>
      </c>
      <c r="T566" s="11"/>
    </row>
    <row r="567" spans="1:21" ht="48">
      <c r="A567" t="s">
        <v>30</v>
      </c>
      <c r="B567" s="151" t="str">
        <f>'5월'!B57</f>
        <v>Y250428-01</v>
      </c>
      <c r="C567" s="153"/>
      <c r="D567" s="17">
        <f>'5월'!D57</f>
        <v>45805</v>
      </c>
      <c r="E567" s="1" t="str">
        <f>'5월'!E57</f>
        <v>에스엔유정보기술</v>
      </c>
      <c r="F567" s="2" t="str">
        <f>'5월'!F57</f>
        <v>광명시청</v>
      </c>
      <c r="G567" s="2" t="str">
        <f>'5월'!G57</f>
        <v>상품</v>
      </c>
      <c r="H567" s="83" t="str">
        <f>'5월'!H57</f>
        <v>서버</v>
      </c>
      <c r="I567" s="4" t="str">
        <f>'5월'!I57</f>
        <v>Lenovo SR630v2</v>
      </c>
      <c r="J567" s="23">
        <f>'5월'!J57</f>
        <v>1</v>
      </c>
      <c r="K567" s="27">
        <f>'5월'!K57</f>
        <v>6340000</v>
      </c>
      <c r="L567" s="26">
        <f>'5월'!L57</f>
        <v>6340000</v>
      </c>
      <c r="M567" s="27">
        <f>'5월'!M57</f>
        <v>634000</v>
      </c>
      <c r="N567" s="27">
        <f>'5월'!N57</f>
        <v>6974000</v>
      </c>
      <c r="O567" s="33">
        <f>'5월'!O57</f>
        <v>5275000</v>
      </c>
      <c r="P567" s="197" t="str">
        <f>'5월'!P57</f>
        <v>이룸에스앤앤(5/14) 3,860,000
SSD 480G*2 재고
다솜테크(5/29) 1,395,000
우림퀵(5/31) 20,000</v>
      </c>
      <c r="Q567" s="20">
        <f>'5월'!Q57</f>
        <v>1065000</v>
      </c>
      <c r="R567" s="2" t="str">
        <f>'5월'!R57</f>
        <v>완료(6/30)</v>
      </c>
      <c r="S567" s="8" t="str">
        <f>'5월'!S57</f>
        <v>홍승민</v>
      </c>
      <c r="T567" s="11"/>
    </row>
    <row r="568" spans="1:21">
      <c r="A568" t="s">
        <v>30</v>
      </c>
      <c r="B568" s="151" t="str">
        <f>'5월'!B58</f>
        <v>Y250429-01</v>
      </c>
      <c r="C568" s="153"/>
      <c r="D568" s="17">
        <f>'5월'!D58</f>
        <v>45805</v>
      </c>
      <c r="E568" s="1" t="str">
        <f>'5월'!E58</f>
        <v>인표산업</v>
      </c>
      <c r="F568" s="2"/>
      <c r="G568" s="2" t="str">
        <f>'5월'!G58</f>
        <v>상품</v>
      </c>
      <c r="H568" s="83" t="str">
        <f>'5월'!H58</f>
        <v xml:space="preserve">42D0417 </v>
      </c>
      <c r="I568" s="4" t="str">
        <f>'5월'!I58</f>
        <v>IBM 300GB 15K 4Gb FC Hard Drive</v>
      </c>
      <c r="J568" s="23">
        <f>'5월'!J58</f>
        <v>1</v>
      </c>
      <c r="K568" s="27">
        <f>'5월'!K58</f>
        <v>220000</v>
      </c>
      <c r="L568" s="26">
        <f>'5월'!L58</f>
        <v>220000</v>
      </c>
      <c r="M568" s="27">
        <f>'5월'!M58</f>
        <v>22000</v>
      </c>
      <c r="N568" s="27">
        <f>'5월'!N58</f>
        <v>242000</v>
      </c>
      <c r="O568" s="33">
        <f>'5월'!O58</f>
        <v>0</v>
      </c>
      <c r="P568" s="197" t="str">
        <f>'5월'!P58</f>
        <v>재고</v>
      </c>
      <c r="Q568" s="20">
        <f>'5월'!Q58</f>
        <v>220000</v>
      </c>
      <c r="R568" s="2" t="str">
        <f>'5월'!R58</f>
        <v>완료(6/30)</v>
      </c>
      <c r="S568" s="8" t="str">
        <f>'5월'!S58</f>
        <v>홍승민</v>
      </c>
      <c r="T568" s="11"/>
    </row>
    <row r="569" spans="1:21" ht="24">
      <c r="A569" t="s">
        <v>30</v>
      </c>
      <c r="B569" s="151" t="str">
        <f>'5월'!B59</f>
        <v>Y250507-01</v>
      </c>
      <c r="C569" s="153"/>
      <c r="D569" s="17">
        <f>'5월'!D59</f>
        <v>45805</v>
      </c>
      <c r="E569" s="1" t="str">
        <f>'5월'!E59</f>
        <v>코드정보</v>
      </c>
      <c r="F569" s="2" t="str">
        <f>'5월'!F59</f>
        <v>HCN</v>
      </c>
      <c r="G569" s="2" t="str">
        <f>'5월'!G59</f>
        <v>상품</v>
      </c>
      <c r="H569" s="83" t="str">
        <f>'5월'!H59</f>
        <v>90Y8878(USED)</v>
      </c>
      <c r="I569" s="4" t="str">
        <f>'5월'!I59</f>
        <v>300GB 10K 6GB SAS 2.5</v>
      </c>
      <c r="J569" s="23">
        <f>'5월'!J59</f>
        <v>1</v>
      </c>
      <c r="K569" s="27">
        <f>'5월'!K59</f>
        <v>120000</v>
      </c>
      <c r="L569" s="26">
        <f>'5월'!L59</f>
        <v>120000</v>
      </c>
      <c r="M569" s="27">
        <f>'5월'!M59</f>
        <v>12000</v>
      </c>
      <c r="N569" s="27">
        <f>'5월'!N59</f>
        <v>132000</v>
      </c>
      <c r="O569" s="33">
        <f>'5월'!O59</f>
        <v>12000</v>
      </c>
      <c r="P569" s="197" t="str">
        <f>'5월'!P59</f>
        <v>삼표매입 우림퀵(5/31) 12,000</v>
      </c>
      <c r="Q569" s="20">
        <f>'5월'!Q59</f>
        <v>108000</v>
      </c>
      <c r="R569" s="2" t="str">
        <f>'5월'!R59</f>
        <v>완료(9/30)</v>
      </c>
      <c r="S569" s="8" t="str">
        <f>'5월'!S59</f>
        <v>홍승민</v>
      </c>
      <c r="T569" s="11"/>
    </row>
    <row r="570" spans="1:21" ht="24">
      <c r="A570" t="s">
        <v>30</v>
      </c>
      <c r="B570" s="151" t="str">
        <f>'5월'!B60</f>
        <v>Y250516-01</v>
      </c>
      <c r="C570" s="153"/>
      <c r="D570" s="17">
        <f>'5월'!D60</f>
        <v>45805</v>
      </c>
      <c r="E570" s="1" t="str">
        <f>'5월'!E60</f>
        <v>로보츠</v>
      </c>
      <c r="F570" s="2"/>
      <c r="G570" s="2" t="str">
        <f>'5월'!G60</f>
        <v>상품</v>
      </c>
      <c r="H570" s="83" t="str">
        <f>'5월'!H60</f>
        <v>4ZC7A08699</v>
      </c>
      <c r="I570" s="4" t="str">
        <f>'5월'!I60</f>
        <v>ThinkSystem 16GB TruDDR4 2666MHz(2Rx8, 1.2V) UDIMM</v>
      </c>
      <c r="J570" s="23">
        <f>'5월'!J60</f>
        <v>8</v>
      </c>
      <c r="K570" s="27">
        <f>'5월'!K60</f>
        <v>135000</v>
      </c>
      <c r="L570" s="26">
        <f>'5월'!L60</f>
        <v>1080000</v>
      </c>
      <c r="M570" s="27">
        <f>'5월'!M60</f>
        <v>108000</v>
      </c>
      <c r="N570" s="27">
        <f>'5월'!N60</f>
        <v>1188000</v>
      </c>
      <c r="O570" s="33">
        <f>'5월'!O60</f>
        <v>993800</v>
      </c>
      <c r="P570" s="197" t="str">
        <f>'5월'!P60</f>
        <v>위퍼스트(5/15) 8*120,000
우림퀵(5/31) 30,000 로젠택배(5/31) 3,800</v>
      </c>
      <c r="Q570" s="20">
        <f>'5월'!Q60</f>
        <v>86200</v>
      </c>
      <c r="R570" s="2" t="str">
        <f>'5월'!R60</f>
        <v>완료(6/30)</v>
      </c>
      <c r="S570" s="8" t="str">
        <f>'5월'!S60</f>
        <v>홍승민</v>
      </c>
      <c r="T570" s="11"/>
    </row>
    <row r="571" spans="1:21" ht="24">
      <c r="A571" t="s">
        <v>30</v>
      </c>
      <c r="B571" s="151" t="str">
        <f>'5월'!B61</f>
        <v>Y250516-04</v>
      </c>
      <c r="C571" s="153"/>
      <c r="D571" s="17">
        <f>'5월'!D61</f>
        <v>45805</v>
      </c>
      <c r="E571" s="1" t="str">
        <f>'5월'!E61</f>
        <v>라온전자</v>
      </c>
      <c r="F571" s="2"/>
      <c r="G571" s="2" t="str">
        <f>'5월'!G61</f>
        <v>상품</v>
      </c>
      <c r="H571" s="83" t="str">
        <f>'5월'!H61</f>
        <v>조립PC</v>
      </c>
      <c r="I571" s="4" t="str">
        <f>'5월'!I61</f>
        <v xml:space="preserve">조립PC </v>
      </c>
      <c r="J571" s="23">
        <f>'5월'!J61</f>
        <v>3</v>
      </c>
      <c r="K571" s="27">
        <f>'5월'!K61</f>
        <v>1600000</v>
      </c>
      <c r="L571" s="26">
        <f>'5월'!L61</f>
        <v>4800000</v>
      </c>
      <c r="M571" s="27">
        <f>'5월'!M61</f>
        <v>480000</v>
      </c>
      <c r="N571" s="27">
        <f>'5월'!N61</f>
        <v>5280000</v>
      </c>
      <c r="O571" s="33">
        <f>'5월'!O61</f>
        <v>4433500</v>
      </c>
      <c r="P571" s="197" t="str">
        <f>'5월'!P61</f>
        <v>컴퓨존(5/16) 4,297,682
법카(5/16) 135,818</v>
      </c>
      <c r="Q571" s="20">
        <f>'5월'!Q61</f>
        <v>366500</v>
      </c>
      <c r="R571" s="2" t="str">
        <f>'5월'!R61</f>
        <v>완료(6/13)</v>
      </c>
      <c r="S571" s="8" t="str">
        <f>'5월'!S61</f>
        <v>홍승민</v>
      </c>
      <c r="T571" s="11"/>
    </row>
    <row r="572" spans="1:21" ht="24">
      <c r="A572" t="s">
        <v>30</v>
      </c>
      <c r="B572" s="151" t="str">
        <f>'5월'!B62</f>
        <v>Y250522-01</v>
      </c>
      <c r="C572" s="153"/>
      <c r="D572" s="17">
        <f>'5월'!D62</f>
        <v>45805</v>
      </c>
      <c r="E572" s="1" t="str">
        <f>'5월'!E62</f>
        <v>제트컨버터</v>
      </c>
      <c r="F572" s="2"/>
      <c r="G572" s="2" t="str">
        <f>'5월'!G62</f>
        <v>상품</v>
      </c>
      <c r="H572" s="83" t="str">
        <f>'5월'!H62</f>
        <v>QW972A(USED)</v>
      </c>
      <c r="I572" s="4" t="str">
        <f>'5월'!I62</f>
        <v>HPE SN1000Q 16Gb 2-port PCIe Fibre Channel Host Bus Adapter</v>
      </c>
      <c r="J572" s="23">
        <f>'5월'!J62</f>
        <v>3</v>
      </c>
      <c r="K572" s="27">
        <f>'5월'!K62</f>
        <v>330000</v>
      </c>
      <c r="L572" s="26">
        <f>'5월'!L62</f>
        <v>1086000</v>
      </c>
      <c r="M572" s="27">
        <f>'5월'!M62</f>
        <v>108600</v>
      </c>
      <c r="N572" s="27">
        <f>'5월'!N62</f>
        <v>1194600</v>
      </c>
      <c r="O572" s="33">
        <f>'5월'!O62</f>
        <v>586070</v>
      </c>
      <c r="P572" s="197" t="str">
        <f>'5월'!P62</f>
        <v>이비웨이브(5/22) 3*180,000 로젠택배(5/31) 3,800</v>
      </c>
      <c r="Q572" s="20">
        <f>'5월'!Q62</f>
        <v>499930</v>
      </c>
      <c r="R572" s="2" t="str">
        <f>'5월'!R62</f>
        <v>완료(10/1)</v>
      </c>
      <c r="S572" s="8" t="str">
        <f>'5월'!S62</f>
        <v>홍승민</v>
      </c>
      <c r="T572" s="11"/>
    </row>
    <row r="573" spans="1:21">
      <c r="A573" t="s">
        <v>30</v>
      </c>
      <c r="B573" s="154"/>
      <c r="C573" s="155"/>
      <c r="D573" s="43"/>
      <c r="E573" s="44" t="str">
        <f>'5월'!E63</f>
        <v>제트컨버터</v>
      </c>
      <c r="F573" s="41"/>
      <c r="G573" s="2" t="str">
        <f>'5월'!G63</f>
        <v>상품</v>
      </c>
      <c r="H573" s="83" t="str">
        <f>'5월'!H63</f>
        <v>FC Cable</v>
      </c>
      <c r="I573" s="4" t="str">
        <f>'5월'!I63</f>
        <v>Om3 LC/LC Multi 5M</v>
      </c>
      <c r="J573" s="23">
        <f>'5월'!J63</f>
        <v>6</v>
      </c>
      <c r="K573" s="27">
        <f>'5월'!K63</f>
        <v>16000</v>
      </c>
      <c r="L573" s="37"/>
      <c r="M573" s="38"/>
      <c r="N573" s="38"/>
      <c r="O573" s="33"/>
      <c r="P573" s="197" t="str">
        <f>'5월'!P63</f>
        <v>컴퓨존(5/22) 42,270</v>
      </c>
      <c r="Q573" s="40"/>
      <c r="R573" s="41"/>
      <c r="S573" s="42"/>
      <c r="T573" s="11"/>
    </row>
    <row r="574" spans="1:21">
      <c r="A574" t="s">
        <v>30</v>
      </c>
      <c r="B574" s="151" t="str">
        <f>'5월'!B64</f>
        <v>Y250523-01</v>
      </c>
      <c r="C574" s="153"/>
      <c r="D574" s="17">
        <f>'5월'!D64</f>
        <v>45805</v>
      </c>
      <c r="E574" s="1" t="str">
        <f>'5월'!E64</f>
        <v>온더보드</v>
      </c>
      <c r="F574" s="2" t="str">
        <f>'5월'!F64</f>
        <v>다담리테일</v>
      </c>
      <c r="G574" s="2" t="str">
        <f>'5월'!G64</f>
        <v>상품</v>
      </c>
      <c r="H574" s="83" t="str">
        <f>'5월'!H64</f>
        <v>서버</v>
      </c>
      <c r="I574" s="4" t="str">
        <f>'5월'!I64</f>
        <v>Lenovo ThinkSystem SR250v2</v>
      </c>
      <c r="J574" s="23">
        <f>'5월'!J64</f>
        <v>1</v>
      </c>
      <c r="K574" s="27">
        <f>'5월'!K64</f>
        <v>3500000</v>
      </c>
      <c r="L574" s="26">
        <f>'5월'!L64</f>
        <v>3500000</v>
      </c>
      <c r="M574" s="27">
        <f>'5월'!M64</f>
        <v>350000</v>
      </c>
      <c r="N574" s="27">
        <f>'5월'!N64</f>
        <v>3850000</v>
      </c>
      <c r="O574" s="33">
        <f>'5월'!O64</f>
        <v>2970000</v>
      </c>
      <c r="P574" s="197" t="str">
        <f>'5월'!P64</f>
        <v>이룸에스앤앤(3/24) 우림퀵(5/31)20,000</v>
      </c>
      <c r="Q574" s="20">
        <f>'5월'!Q64</f>
        <v>530000</v>
      </c>
      <c r="R574" s="2" t="str">
        <f>'5월'!R64</f>
        <v>완료(6/30)</v>
      </c>
      <c r="S574" s="8" t="str">
        <f>'5월'!S64</f>
        <v>홍승민</v>
      </c>
      <c r="T574" s="11"/>
    </row>
    <row r="575" spans="1:21">
      <c r="A575" t="s">
        <v>30</v>
      </c>
      <c r="B575" s="151" t="str">
        <f>'5월'!B65</f>
        <v>S</v>
      </c>
      <c r="C575" s="199"/>
      <c r="D575" s="17">
        <f>'5월'!D65</f>
        <v>45807</v>
      </c>
      <c r="E575" s="214" t="str">
        <f>'5월'!E65</f>
        <v>스팩스</v>
      </c>
      <c r="F575" s="215" t="str">
        <f>'5월'!F65</f>
        <v>광명자이 1810호</v>
      </c>
      <c r="G575" s="161" t="str">
        <f>'5월'!G65</f>
        <v>건물임대</v>
      </c>
      <c r="H575" s="161" t="str">
        <f>'5월'!H65</f>
        <v>임대료</v>
      </c>
      <c r="I575" s="169" t="str">
        <f>'5월'!I65</f>
        <v>5월 임대료 - 11/12회</v>
      </c>
      <c r="J575" s="69">
        <f>'5월'!J65</f>
        <v>1</v>
      </c>
      <c r="K575" s="27">
        <f>'5월'!K65</f>
        <v>600000</v>
      </c>
      <c r="L575" s="26">
        <f>'5월'!L65</f>
        <v>600000</v>
      </c>
      <c r="M575" s="27">
        <f>'5월'!M65</f>
        <v>60000</v>
      </c>
      <c r="N575" s="27">
        <f>'5월'!N65</f>
        <v>660000</v>
      </c>
      <c r="O575" s="52">
        <f>'5월'!O65</f>
        <v>0</v>
      </c>
      <c r="P575" s="171" t="str">
        <f>'5월'!P65</f>
        <v>X</v>
      </c>
      <c r="Q575" s="181">
        <f>'5월'!Q65</f>
        <v>600000</v>
      </c>
      <c r="R575" s="68" t="str">
        <f>'5월'!R65</f>
        <v>완료(6/2)</v>
      </c>
      <c r="S575" s="8" t="str">
        <f>'5월'!S65</f>
        <v>정지우</v>
      </c>
      <c r="T575" s="11"/>
    </row>
    <row r="576" spans="1:21" ht="24">
      <c r="A576" t="s">
        <v>30</v>
      </c>
      <c r="B576" s="151" t="str">
        <f>'5월'!B66</f>
        <v>S</v>
      </c>
      <c r="C576" s="199"/>
      <c r="D576" s="17">
        <f>'5월'!D66</f>
        <v>45807</v>
      </c>
      <c r="E576" s="214" t="str">
        <f>'5월'!E66</f>
        <v>씨케이명차</v>
      </c>
      <c r="F576" s="215" t="str">
        <f>'5월'!F66</f>
        <v>가양아너비즈 402~404호</v>
      </c>
      <c r="G576" s="161" t="str">
        <f>'5월'!G66</f>
        <v>건물임대</v>
      </c>
      <c r="H576" s="161" t="str">
        <f>'5월'!H66</f>
        <v>임대료</v>
      </c>
      <c r="I576" s="4" t="str">
        <f>'5월'!I66</f>
        <v>6월(5.31~6.29) 임대료</v>
      </c>
      <c r="J576" s="23">
        <f>'5월'!J66</f>
        <v>1</v>
      </c>
      <c r="K576" s="27">
        <f>'5월'!K66</f>
        <v>4000000</v>
      </c>
      <c r="L576" s="26">
        <f>'5월'!L66</f>
        <v>4000000</v>
      </c>
      <c r="M576" s="27">
        <f>'5월'!M66</f>
        <v>400000</v>
      </c>
      <c r="N576" s="27">
        <f>'5월'!N66</f>
        <v>4400000</v>
      </c>
      <c r="O576" s="52">
        <f>'5월'!O66</f>
        <v>0</v>
      </c>
      <c r="P576" s="170" t="str">
        <f>'5월'!P66</f>
        <v>X</v>
      </c>
      <c r="Q576" s="181">
        <f>'5월'!Q66</f>
        <v>4000000</v>
      </c>
      <c r="R576" s="68" t="str">
        <f>'5월'!R66</f>
        <v>보증금반제(25/8/31)</v>
      </c>
      <c r="S576" s="8" t="str">
        <f>'5월'!S66</f>
        <v>정지우</v>
      </c>
      <c r="T576" s="11"/>
    </row>
    <row r="577" spans="1:20">
      <c r="A577" t="s">
        <v>30</v>
      </c>
      <c r="B577" s="151" t="str">
        <f>'5월'!B67</f>
        <v>SB-23012</v>
      </c>
      <c r="C577" s="200" t="str">
        <f>'5월'!C67</f>
        <v>ZKFUER</v>
      </c>
      <c r="D577" s="17">
        <f>'5월'!D67</f>
        <v>45807</v>
      </c>
      <c r="E577" s="214" t="str">
        <f>'5월'!E67</f>
        <v>솔리드시스템</v>
      </c>
      <c r="F577" s="214" t="str">
        <f>'5월'!F67</f>
        <v>국립기상과학원</v>
      </c>
      <c r="G577" s="1" t="str">
        <f>'5월'!G67</f>
        <v>MA</v>
      </c>
      <c r="H577" s="161" t="str">
        <f>'5월'!H67</f>
        <v>월간-레노버</v>
      </c>
      <c r="I577" s="163" t="str">
        <f>'5월'!I67</f>
        <v>5월 유지정비료 - 29/37회</v>
      </c>
      <c r="J577" s="32">
        <f>'5월'!J67</f>
        <v>1</v>
      </c>
      <c r="K577" s="48">
        <f>'5월'!K67</f>
        <v>11178000</v>
      </c>
      <c r="L577" s="26">
        <f>'5월'!L67</f>
        <v>11178000</v>
      </c>
      <c r="M577" s="27">
        <f>'5월'!M67</f>
        <v>1117800</v>
      </c>
      <c r="N577" s="27">
        <f>'5월'!N67</f>
        <v>12295800</v>
      </c>
      <c r="O577" s="72">
        <f>'5월'!O67</f>
        <v>9980400</v>
      </c>
      <c r="P577" s="197" t="str">
        <f>'5월'!P67</f>
        <v>레노버(5/31)</v>
      </c>
      <c r="Q577" s="181">
        <f>'5월'!Q67</f>
        <v>1197600</v>
      </c>
      <c r="R577" s="68" t="str">
        <f>'5월'!R67</f>
        <v>완료(6/27)</v>
      </c>
      <c r="S577" s="8" t="str">
        <f>'5월'!S67</f>
        <v>천범석</v>
      </c>
      <c r="T577" s="11"/>
    </row>
    <row r="578" spans="1:20">
      <c r="A578" t="s">
        <v>30</v>
      </c>
      <c r="B578" s="151" t="str">
        <f>'5월'!B68</f>
        <v>SB-25004</v>
      </c>
      <c r="C578" s="200" t="str">
        <f>'5월'!C68</f>
        <v>ZDCPQK</v>
      </c>
      <c r="D578" s="17">
        <f>'5월'!D68</f>
        <v>45807</v>
      </c>
      <c r="E578" s="214" t="str">
        <f>'5월'!E68</f>
        <v>솔리드시스템</v>
      </c>
      <c r="F578" s="189" t="str">
        <f>'5월'!F68</f>
        <v>삼성중공업</v>
      </c>
      <c r="G578" s="161" t="str">
        <f>'5월'!G68</f>
        <v>MA</v>
      </c>
      <c r="H578" s="161" t="str">
        <f>'5월'!H68</f>
        <v>월간-레노버</v>
      </c>
      <c r="I578" s="164" t="str">
        <f>'5월'!I68</f>
        <v>5월 유지정비료 - 5/12회</v>
      </c>
      <c r="J578" s="24">
        <f>'5월'!J68</f>
        <v>1</v>
      </c>
      <c r="K578" s="27">
        <f>'5월'!K68</f>
        <v>585000</v>
      </c>
      <c r="L578" s="26">
        <f>'5월'!L68</f>
        <v>585000</v>
      </c>
      <c r="M578" s="27">
        <f>'5월'!M68</f>
        <v>58500</v>
      </c>
      <c r="N578" s="27">
        <f>'5월'!N68</f>
        <v>643500</v>
      </c>
      <c r="O578" s="52">
        <f>'5월'!O68</f>
        <v>531600</v>
      </c>
      <c r="P578" s="197" t="str">
        <f>'5월'!P68</f>
        <v>레노버(5/31)</v>
      </c>
      <c r="Q578" s="181">
        <f>'5월'!Q68</f>
        <v>53400</v>
      </c>
      <c r="R578" s="68" t="str">
        <f>'5월'!R68</f>
        <v>완료(6/30)</v>
      </c>
      <c r="S578" s="5" t="str">
        <f>'5월'!S68</f>
        <v>천범석</v>
      </c>
      <c r="T578" s="11"/>
    </row>
    <row r="579" spans="1:20">
      <c r="A579" t="s">
        <v>30</v>
      </c>
      <c r="B579" s="151" t="str">
        <f>'5월'!B69</f>
        <v>IK-22023</v>
      </c>
      <c r="C579" s="200"/>
      <c r="D579" s="17">
        <f>'5월'!D69</f>
        <v>45807</v>
      </c>
      <c r="E579" s="214" t="str">
        <f>'5월'!E69</f>
        <v>로인아이티</v>
      </c>
      <c r="F579" s="189" t="str">
        <f>'5월'!F69</f>
        <v>성원제강</v>
      </c>
      <c r="G579" s="161" t="str">
        <f>'5월'!G69</f>
        <v>MA</v>
      </c>
      <c r="H579" s="161" t="str">
        <f>'5월'!H69</f>
        <v>월간-IBM</v>
      </c>
      <c r="I579" s="163" t="str">
        <f>'5월'!I69</f>
        <v>5월 유지정비료 - 26/36회</v>
      </c>
      <c r="J579" s="69">
        <f>'5월'!J69</f>
        <v>1</v>
      </c>
      <c r="K579" s="29">
        <f>'5월'!K69</f>
        <v>180000</v>
      </c>
      <c r="L579" s="26">
        <f>'5월'!L69</f>
        <v>180000</v>
      </c>
      <c r="M579" s="27">
        <f>'5월'!M69</f>
        <v>18000</v>
      </c>
      <c r="N579" s="27">
        <f>'5월'!N69</f>
        <v>198000</v>
      </c>
      <c r="O579" s="52">
        <f>'5월'!O69</f>
        <v>159761</v>
      </c>
      <c r="P579" s="171" t="str">
        <f>'5월'!P69</f>
        <v>IBM(5/2)</v>
      </c>
      <c r="Q579" s="181">
        <f>'5월'!Q69</f>
        <v>20239</v>
      </c>
      <c r="R579" s="68" t="str">
        <f>'5월'!R69</f>
        <v>완료(6/26)</v>
      </c>
      <c r="S579" s="5" t="str">
        <f>'5월'!S69</f>
        <v>천범석</v>
      </c>
      <c r="T579" s="11"/>
    </row>
    <row r="580" spans="1:20">
      <c r="A580" t="s">
        <v>30</v>
      </c>
      <c r="B580" s="151" t="str">
        <f>'5월'!B70</f>
        <v>IK-22021</v>
      </c>
      <c r="C580" s="200"/>
      <c r="D580" s="17">
        <f>'5월'!D70</f>
        <v>45807</v>
      </c>
      <c r="E580" s="214" t="str">
        <f>'5월'!E70</f>
        <v>로인아이티</v>
      </c>
      <c r="F580" s="189" t="str">
        <f>'5월'!F70</f>
        <v>문배철강</v>
      </c>
      <c r="G580" s="161" t="str">
        <f>'5월'!G70</f>
        <v>MA</v>
      </c>
      <c r="H580" s="161" t="str">
        <f>'5월'!H70</f>
        <v>월간-IBM</v>
      </c>
      <c r="I580" s="163" t="str">
        <f>'5월'!I70</f>
        <v>5월 유지정비료 - 26/36회</v>
      </c>
      <c r="J580" s="69">
        <f>'5월'!J70</f>
        <v>1</v>
      </c>
      <c r="K580" s="29">
        <f>'5월'!K70</f>
        <v>240000</v>
      </c>
      <c r="L580" s="26">
        <f>'5월'!L70</f>
        <v>240000</v>
      </c>
      <c r="M580" s="27">
        <f>'5월'!M70</f>
        <v>24000</v>
      </c>
      <c r="N580" s="27">
        <f>'5월'!N70</f>
        <v>264000</v>
      </c>
      <c r="O580" s="52">
        <f>'5월'!O70</f>
        <v>212293</v>
      </c>
      <c r="P580" s="171" t="str">
        <f>'5월'!P70</f>
        <v>IBM(5/2)</v>
      </c>
      <c r="Q580" s="181">
        <f>'5월'!Q70</f>
        <v>27707</v>
      </c>
      <c r="R580" s="68" t="str">
        <f>'5월'!R70</f>
        <v>완료(6/26)</v>
      </c>
      <c r="S580" s="5" t="str">
        <f>'5월'!S70</f>
        <v>천범석</v>
      </c>
      <c r="T580" s="11"/>
    </row>
    <row r="581" spans="1:20">
      <c r="A581" t="s">
        <v>30</v>
      </c>
      <c r="B581" s="151" t="str">
        <f>'5월'!B71</f>
        <v>SB-24040</v>
      </c>
      <c r="C581" s="199" t="str">
        <f>'5월'!C71</f>
        <v>ZBJK3I</v>
      </c>
      <c r="D581" s="17">
        <f>'5월'!D71</f>
        <v>45807</v>
      </c>
      <c r="E581" s="214" t="str">
        <f>'5월'!E71</f>
        <v>도담솔루션</v>
      </c>
      <c r="F581" s="215" t="str">
        <f>'5월'!F71</f>
        <v>호원대학교</v>
      </c>
      <c r="G581" s="161" t="str">
        <f>'5월'!G71</f>
        <v>MA</v>
      </c>
      <c r="H581" s="2" t="str">
        <f>'5월'!H71</f>
        <v>월간-레노버</v>
      </c>
      <c r="I581" s="4" t="str">
        <f>'5월'!I71</f>
        <v>5월 유지정비료 - 12/12회</v>
      </c>
      <c r="J581" s="23">
        <f>'5월'!J71</f>
        <v>1</v>
      </c>
      <c r="K581" s="27">
        <f>'5월'!K71</f>
        <v>122000</v>
      </c>
      <c r="L581" s="26">
        <f>'5월'!L71</f>
        <v>122000</v>
      </c>
      <c r="M581" s="27">
        <f>'5월'!M71</f>
        <v>12200</v>
      </c>
      <c r="N581" s="27">
        <f>'5월'!N71</f>
        <v>134200</v>
      </c>
      <c r="O581" s="52">
        <f>'5월'!O71</f>
        <v>101400</v>
      </c>
      <c r="P581" s="197" t="str">
        <f>'5월'!P71</f>
        <v>레노버(5/31)</v>
      </c>
      <c r="Q581" s="181">
        <f>'5월'!Q71</f>
        <v>20600</v>
      </c>
      <c r="R581" s="68" t="str">
        <f>'5월'!R71</f>
        <v>완료(7/10)</v>
      </c>
      <c r="S581" s="8" t="str">
        <f>'5월'!S71</f>
        <v>천범석</v>
      </c>
      <c r="T581" s="11"/>
    </row>
    <row r="582" spans="1:20" ht="36.75" thickBot="1">
      <c r="A582" t="s">
        <v>30</v>
      </c>
      <c r="B582" s="151" t="str">
        <f>'5월'!B72</f>
        <v>SM-23031</v>
      </c>
      <c r="C582" s="199"/>
      <c r="D582" s="17">
        <f>'5월'!D72</f>
        <v>45807</v>
      </c>
      <c r="E582" s="214" t="str">
        <f>'5월'!E72</f>
        <v>온더보드</v>
      </c>
      <c r="F582" s="215" t="str">
        <f>'5월'!F72</f>
        <v>삼표</v>
      </c>
      <c r="G582" s="2" t="str">
        <f>'5월'!G72</f>
        <v>MA</v>
      </c>
      <c r="H582" s="2" t="str">
        <f>'5월'!H72</f>
        <v>월간</v>
      </c>
      <c r="I582" s="4" t="str">
        <f>'5월'!I72</f>
        <v>삼표 DB세이퍼 유지보수 - 5월(10/12회)</v>
      </c>
      <c r="J582" s="23">
        <f>'5월'!J72</f>
        <v>1</v>
      </c>
      <c r="K582" s="27">
        <f>'5월'!K72</f>
        <v>1200000</v>
      </c>
      <c r="L582" s="26">
        <f>'5월'!L72</f>
        <v>1200000</v>
      </c>
      <c r="M582" s="27">
        <f>'5월'!M72</f>
        <v>120000</v>
      </c>
      <c r="N582" s="27">
        <f>'5월'!N72</f>
        <v>1320000</v>
      </c>
      <c r="O582" s="52">
        <f>'5월'!O72</f>
        <v>1058333.3333333335</v>
      </c>
      <c r="P582" s="171" t="str">
        <f>'5월'!P72</f>
        <v>신세계(5/26) 600,000
지엘정보(6/27) 반기 1,250,000(4/6회)
시스나인(1/2) 1,750,000(5/7회)</v>
      </c>
      <c r="Q582" s="181">
        <f>'5월'!Q72</f>
        <v>141666.66666666651</v>
      </c>
      <c r="R582" s="68" t="str">
        <f>'5월'!R72</f>
        <v>완료(6/30)</v>
      </c>
      <c r="S582" s="8" t="str">
        <f>'5월'!S72</f>
        <v>이예지</v>
      </c>
      <c r="T582" s="11"/>
    </row>
    <row r="583" spans="1:20" ht="25.5" thickTop="1" thickBot="1">
      <c r="A583" t="s">
        <v>30</v>
      </c>
      <c r="B583" s="151" t="str">
        <f>'5월'!B73</f>
        <v>SB-23053</v>
      </c>
      <c r="C583" s="199" t="str">
        <f>'5월'!C73</f>
        <v>Z41QIW</v>
      </c>
      <c r="D583" s="17">
        <f>'5월'!D73</f>
        <v>45807</v>
      </c>
      <c r="E583" s="214" t="str">
        <f>'5월'!E73</f>
        <v>수원정보</v>
      </c>
      <c r="F583" s="215" t="str">
        <f>'5월'!F73</f>
        <v>신세계아이앤씨</v>
      </c>
      <c r="G583" s="2" t="str">
        <f>'5월'!G73</f>
        <v>MA</v>
      </c>
      <c r="H583" s="83" t="str">
        <f>'5월'!H73</f>
        <v>월간-레노버</v>
      </c>
      <c r="I583" s="163" t="str">
        <f>'5월'!I73</f>
        <v>5월 유지정비료 - 27/46회</v>
      </c>
      <c r="J583" s="23">
        <f>'5월'!J73</f>
        <v>1</v>
      </c>
      <c r="K583" s="27">
        <f>'5월'!K73</f>
        <v>6786300</v>
      </c>
      <c r="L583" s="26">
        <f>'5월'!L73</f>
        <v>6786300</v>
      </c>
      <c r="M583" s="27">
        <f>'5월'!M73</f>
        <v>678630</v>
      </c>
      <c r="N583" s="27">
        <f>'5월'!N73</f>
        <v>7464930</v>
      </c>
      <c r="O583" s="72">
        <f>'5월'!O73</f>
        <v>5755031</v>
      </c>
      <c r="P583" s="256" t="str">
        <f>'5월'!P73</f>
        <v>레노버(5/31) 4,875,031
시스나인(25/2/28) 10,560,000 (12/12회)</v>
      </c>
      <c r="Q583" s="181">
        <f>'5월'!Q73</f>
        <v>1031269</v>
      </c>
      <c r="R583" s="68" t="str">
        <f>'5월'!R73</f>
        <v>완료(6/30)</v>
      </c>
      <c r="S583" s="8" t="str">
        <f>'5월'!S73</f>
        <v>천범석</v>
      </c>
      <c r="T583" s="11"/>
    </row>
    <row r="584" spans="1:20" ht="24.75" thickTop="1">
      <c r="A584" t="s">
        <v>30</v>
      </c>
      <c r="B584" s="151" t="str">
        <f>'5월'!B74</f>
        <v>SB-24031</v>
      </c>
      <c r="C584" s="199" t="str">
        <f>'5월'!C74</f>
        <v>ZKZDVZ</v>
      </c>
      <c r="D584" s="17">
        <f>'5월'!D74</f>
        <v>45807</v>
      </c>
      <c r="E584" s="214" t="str">
        <f>'5월'!E74</f>
        <v>데이타메트렉스</v>
      </c>
      <c r="F584" s="215" t="str">
        <f>'5월'!F74</f>
        <v>롯데하이마트</v>
      </c>
      <c r="G584" s="2" t="str">
        <f>'5월'!G74</f>
        <v>MA</v>
      </c>
      <c r="H584" s="83" t="str">
        <f>'5월'!H74</f>
        <v>월간-레노버</v>
      </c>
      <c r="I584" s="162" t="str">
        <f>'5월'!I74</f>
        <v>(HW) 5월 유지정비료 - 12/12회</v>
      </c>
      <c r="J584" s="23">
        <f>'5월'!J74</f>
        <v>1</v>
      </c>
      <c r="K584" s="27">
        <f>'5월'!K74</f>
        <v>1016100</v>
      </c>
      <c r="L584" s="26">
        <f>'5월'!L74</f>
        <v>1016100</v>
      </c>
      <c r="M584" s="27">
        <f>'5월'!M74</f>
        <v>101610</v>
      </c>
      <c r="N584" s="27">
        <f>'5월'!N74</f>
        <v>1117710</v>
      </c>
      <c r="O584" s="72">
        <f>'5월'!O74</f>
        <v>964800</v>
      </c>
      <c r="P584" s="197" t="str">
        <f>'5월'!P74</f>
        <v>레노버(5/31)
시스나인(25/3/4) 2,160,000(6/6회)</v>
      </c>
      <c r="Q584" s="181">
        <f>'5월'!Q74</f>
        <v>51300</v>
      </c>
      <c r="R584" s="68" t="str">
        <f>'5월'!R74</f>
        <v>완료(6/30)</v>
      </c>
      <c r="S584" s="36" t="str">
        <f>'5월'!S74</f>
        <v>천범석</v>
      </c>
      <c r="T584" s="75"/>
    </row>
    <row r="585" spans="1:20">
      <c r="A585" t="s">
        <v>30</v>
      </c>
      <c r="B585" s="151" t="str">
        <f>'5월'!B75</f>
        <v>SB-24044</v>
      </c>
      <c r="C585" s="199" t="str">
        <f>'5월'!C75</f>
        <v>ZSWUX2</v>
      </c>
      <c r="D585" s="17">
        <f>'5월'!D75</f>
        <v>45807</v>
      </c>
      <c r="E585" s="214" t="str">
        <f>'5월'!E75</f>
        <v>다솜테크</v>
      </c>
      <c r="F585" s="215" t="str">
        <f>'5월'!F75</f>
        <v>LX홀딩스</v>
      </c>
      <c r="G585" s="2" t="str">
        <f>'5월'!G75</f>
        <v>MA</v>
      </c>
      <c r="H585" s="83" t="str">
        <f>'5월'!H75</f>
        <v>월간-레노버</v>
      </c>
      <c r="I585" s="163" t="str">
        <f>'5월'!I75</f>
        <v>5월 유지정비료 - 11/12회</v>
      </c>
      <c r="J585" s="23">
        <f>'5월'!J75</f>
        <v>1</v>
      </c>
      <c r="K585" s="27">
        <f>'5월'!K75</f>
        <v>573000</v>
      </c>
      <c r="L585" s="26">
        <f>'5월'!L75</f>
        <v>573000</v>
      </c>
      <c r="M585" s="27">
        <f>'5월'!M75</f>
        <v>57300</v>
      </c>
      <c r="N585" s="27">
        <f>'5월'!N75</f>
        <v>630300</v>
      </c>
      <c r="O585" s="52">
        <f>'5월'!O75</f>
        <v>505200</v>
      </c>
      <c r="P585" s="197" t="str">
        <f>'5월'!P75</f>
        <v>레노버(5/31)</v>
      </c>
      <c r="Q585" s="181">
        <f>'5월'!Q75</f>
        <v>67800</v>
      </c>
      <c r="R585" s="68" t="str">
        <f>'5월'!R75</f>
        <v>완료(7/31)</v>
      </c>
      <c r="S585" s="8" t="str">
        <f>'5월'!S75</f>
        <v>천범석</v>
      </c>
      <c r="T585" s="11"/>
    </row>
    <row r="586" spans="1:20">
      <c r="A586" t="s">
        <v>30</v>
      </c>
      <c r="B586" s="151" t="str">
        <f>'5월'!B76</f>
        <v>SB-24046</v>
      </c>
      <c r="C586" s="199" t="str">
        <f>'5월'!C76</f>
        <v>Z8LTG0</v>
      </c>
      <c r="D586" s="17">
        <f>'5월'!D76</f>
        <v>45807</v>
      </c>
      <c r="E586" s="214" t="str">
        <f>'5월'!E76</f>
        <v>다솜테크</v>
      </c>
      <c r="F586" s="215" t="str">
        <f>'5월'!F76</f>
        <v>웰컴저축은행</v>
      </c>
      <c r="G586" s="2" t="str">
        <f>'5월'!G76</f>
        <v>MA</v>
      </c>
      <c r="H586" s="83" t="str">
        <f>'5월'!H76</f>
        <v>월간-레노버</v>
      </c>
      <c r="I586" s="163" t="str">
        <f>'5월'!I76</f>
        <v>5월 유지정비료 - 10/12회</v>
      </c>
      <c r="J586" s="23">
        <f>'5월'!J76</f>
        <v>1</v>
      </c>
      <c r="K586" s="27">
        <f>'5월'!K76</f>
        <v>220000</v>
      </c>
      <c r="L586" s="26">
        <f>'5월'!L76</f>
        <v>220000</v>
      </c>
      <c r="M586" s="27">
        <f>'5월'!M76</f>
        <v>22000</v>
      </c>
      <c r="N586" s="27">
        <f>'5월'!N76</f>
        <v>242000</v>
      </c>
      <c r="O586" s="52">
        <f>'5월'!O76</f>
        <v>204600</v>
      </c>
      <c r="P586" s="197" t="str">
        <f>'5월'!P76</f>
        <v>레노버(5/31)</v>
      </c>
      <c r="Q586" s="181">
        <f>'5월'!Q76</f>
        <v>15400</v>
      </c>
      <c r="R586" s="68" t="str">
        <f>'5월'!R76</f>
        <v>완료(7/31)</v>
      </c>
      <c r="S586" s="8" t="str">
        <f>'5월'!S76</f>
        <v>천범석</v>
      </c>
      <c r="T586" s="11"/>
    </row>
    <row r="587" spans="1:20">
      <c r="A587" t="s">
        <v>30</v>
      </c>
      <c r="B587" s="151" t="str">
        <f>'5월'!B77</f>
        <v>SB-24061</v>
      </c>
      <c r="C587" s="153" t="str">
        <f>'5월'!C77</f>
        <v>ZVVVON</v>
      </c>
      <c r="D587" s="17">
        <f>'5월'!D77</f>
        <v>45807</v>
      </c>
      <c r="E587" s="214" t="str">
        <f>'5월'!E77</f>
        <v>다솜테크</v>
      </c>
      <c r="F587" s="215" t="str">
        <f>'5월'!F77</f>
        <v>롯데이노베이트(롯데정보통신)</v>
      </c>
      <c r="G587" s="2" t="str">
        <f>'5월'!G77</f>
        <v>MA</v>
      </c>
      <c r="H587" s="2" t="str">
        <f>'5월'!H77</f>
        <v>월간-레노버</v>
      </c>
      <c r="I587" s="4" t="str">
        <f>'5월'!I77</f>
        <v>5월 유지정비료 - 5/12회</v>
      </c>
      <c r="J587" s="23">
        <f>'5월'!J77</f>
        <v>1</v>
      </c>
      <c r="K587" s="27">
        <f>'5월'!K77</f>
        <v>700000</v>
      </c>
      <c r="L587" s="26">
        <f>'5월'!L77</f>
        <v>700000</v>
      </c>
      <c r="M587" s="27">
        <f>'5월'!M77</f>
        <v>70000</v>
      </c>
      <c r="N587" s="27">
        <f>'5월'!N77</f>
        <v>770000</v>
      </c>
      <c r="O587" s="33">
        <f>'5월'!O77</f>
        <v>661800</v>
      </c>
      <c r="P587" s="197" t="str">
        <f>'5월'!P77</f>
        <v>레노버(5/31)</v>
      </c>
      <c r="Q587" s="20">
        <f>'5월'!Q77</f>
        <v>38200</v>
      </c>
      <c r="R587" s="68" t="str">
        <f>'5월'!R77</f>
        <v>완료(7/31)</v>
      </c>
      <c r="S587" s="5" t="str">
        <f>'5월'!S77</f>
        <v>천범석</v>
      </c>
      <c r="T587" s="11"/>
    </row>
    <row r="588" spans="1:20" ht="24">
      <c r="A588" t="s">
        <v>30</v>
      </c>
      <c r="B588" s="151" t="str">
        <f>'5월'!B78</f>
        <v>SB-24063</v>
      </c>
      <c r="C588" s="153" t="str">
        <f>'5월'!C78</f>
        <v>ZIR05U</v>
      </c>
      <c r="D588" s="17">
        <f>'5월'!D78</f>
        <v>45807</v>
      </c>
      <c r="E588" s="214" t="str">
        <f>'5월'!E78</f>
        <v>다솜테크</v>
      </c>
      <c r="F588" s="215" t="str">
        <f>'5월'!F78</f>
        <v>이원(E1)컨테이너터미널 #1</v>
      </c>
      <c r="G588" s="2" t="str">
        <f>'5월'!G78</f>
        <v>MA</v>
      </c>
      <c r="H588" s="2" t="str">
        <f>'5월'!H78</f>
        <v>월간-레노버</v>
      </c>
      <c r="I588" s="4" t="str">
        <f>'5월'!I78</f>
        <v>5월 유지정비료 - 5/12회</v>
      </c>
      <c r="J588" s="23">
        <f>'5월'!J78</f>
        <v>1</v>
      </c>
      <c r="K588" s="27">
        <f>'5월'!K78</f>
        <v>380000</v>
      </c>
      <c r="L588" s="26">
        <f>'5월'!L78</f>
        <v>380000</v>
      </c>
      <c r="M588" s="27">
        <f>'5월'!M78</f>
        <v>38000</v>
      </c>
      <c r="N588" s="27">
        <f>'5월'!N78</f>
        <v>418000</v>
      </c>
      <c r="O588" s="33">
        <f>'5월'!O78</f>
        <v>331466.66666666669</v>
      </c>
      <c r="P588" s="197" t="str">
        <f>'5월'!P78</f>
        <v>레노버(5/31) 
시스나인(1/2) 연500,000(5/12회)</v>
      </c>
      <c r="Q588" s="20">
        <f>'5월'!Q78</f>
        <v>48533.333333333314</v>
      </c>
      <c r="R588" s="68" t="str">
        <f>'5월'!R78</f>
        <v>완료(7/31)</v>
      </c>
      <c r="S588" s="5" t="str">
        <f>'5월'!S78</f>
        <v>천범석</v>
      </c>
      <c r="T588" s="11"/>
    </row>
    <row r="589" spans="1:20">
      <c r="A589" t="s">
        <v>30</v>
      </c>
      <c r="B589" s="151" t="str">
        <f>'5월'!B79</f>
        <v>SB-24064</v>
      </c>
      <c r="C589" s="153" t="str">
        <f>'5월'!C79</f>
        <v>ZOTN1N</v>
      </c>
      <c r="D589" s="17">
        <f>'5월'!D79</f>
        <v>45807</v>
      </c>
      <c r="E589" s="214" t="str">
        <f>'5월'!E79</f>
        <v>다솜테크</v>
      </c>
      <c r="F589" s="215" t="str">
        <f>'5월'!F79</f>
        <v>이원(E1)컨테이너터미널 #2</v>
      </c>
      <c r="G589" s="2" t="str">
        <f>'5월'!G79</f>
        <v>MA</v>
      </c>
      <c r="H589" s="2" t="str">
        <f>'5월'!H79</f>
        <v>월간-레노버</v>
      </c>
      <c r="I589" s="4" t="str">
        <f>'5월'!I79</f>
        <v>5월 유지정비료 - 5/12회</v>
      </c>
      <c r="J589" s="23">
        <f>'5월'!J79</f>
        <v>1</v>
      </c>
      <c r="K589" s="27">
        <f>'5월'!K79</f>
        <v>625000</v>
      </c>
      <c r="L589" s="26">
        <f>'5월'!L79</f>
        <v>625000</v>
      </c>
      <c r="M589" s="27">
        <f>'5월'!M79</f>
        <v>62500</v>
      </c>
      <c r="N589" s="27">
        <f>'5월'!N79</f>
        <v>687500</v>
      </c>
      <c r="O589" s="33">
        <f>'5월'!O79</f>
        <v>590400</v>
      </c>
      <c r="P589" s="197" t="str">
        <f>'5월'!P79</f>
        <v>레노버(5/31)</v>
      </c>
      <c r="Q589" s="20">
        <f>'5월'!Q79</f>
        <v>34600</v>
      </c>
      <c r="R589" s="68" t="str">
        <f>'5월'!R79</f>
        <v>완료(7/31)</v>
      </c>
      <c r="S589" s="5" t="str">
        <f>'5월'!S79</f>
        <v>천범석</v>
      </c>
      <c r="T589" s="11"/>
    </row>
    <row r="590" spans="1:20">
      <c r="A590" t="s">
        <v>30</v>
      </c>
      <c r="B590" s="151" t="str">
        <f>'5월'!B80</f>
        <v>SB-24065</v>
      </c>
      <c r="C590" s="153" t="str">
        <f>'5월'!C80</f>
        <v>ZDFIN7</v>
      </c>
      <c r="D590" s="17">
        <f>'5월'!D80</f>
        <v>45807</v>
      </c>
      <c r="E590" s="214" t="str">
        <f>'5월'!E80</f>
        <v>다솜테크</v>
      </c>
      <c r="F590" s="215" t="str">
        <f>'5월'!F80</f>
        <v>안산시청</v>
      </c>
      <c r="G590" s="2" t="str">
        <f>'5월'!G80</f>
        <v>MA</v>
      </c>
      <c r="H590" s="2" t="str">
        <f>'5월'!H80</f>
        <v>월간-레노버</v>
      </c>
      <c r="I590" s="4" t="str">
        <f>'5월'!I80</f>
        <v>5월 유지정비료 - 5/12회</v>
      </c>
      <c r="J590" s="23">
        <f>'5월'!J80</f>
        <v>1</v>
      </c>
      <c r="K590" s="27">
        <f>'5월'!K80</f>
        <v>1232000</v>
      </c>
      <c r="L590" s="26">
        <f>'5월'!L80</f>
        <v>1232000</v>
      </c>
      <c r="M590" s="27">
        <f>'5월'!M80</f>
        <v>123200</v>
      </c>
      <c r="N590" s="27">
        <f>'5월'!N80</f>
        <v>1355200</v>
      </c>
      <c r="O590" s="33">
        <f>'5월'!O80</f>
        <v>1196100</v>
      </c>
      <c r="P590" s="197" t="str">
        <f>'5월'!P80</f>
        <v>레노버(5/31)</v>
      </c>
      <c r="Q590" s="20">
        <f>'5월'!Q80</f>
        <v>35900</v>
      </c>
      <c r="R590" s="68" t="str">
        <f>'5월'!R80</f>
        <v>완료(7/31)</v>
      </c>
      <c r="S590" s="8" t="str">
        <f>'5월'!S80</f>
        <v>천범석</v>
      </c>
      <c r="T590" s="11"/>
    </row>
    <row r="591" spans="1:20">
      <c r="A591" t="s">
        <v>30</v>
      </c>
      <c r="B591" s="151" t="str">
        <f>'5월'!B81</f>
        <v>SB-25013</v>
      </c>
      <c r="C591" s="153" t="str">
        <f>'5월'!C81</f>
        <v>ZL9ADS</v>
      </c>
      <c r="D591" s="17">
        <f>'5월'!D81</f>
        <v>45807</v>
      </c>
      <c r="E591" s="214" t="str">
        <f>'5월'!E81</f>
        <v>다솜테크</v>
      </c>
      <c r="F591" s="215" t="str">
        <f>'5월'!F81</f>
        <v>LG AI</v>
      </c>
      <c r="G591" s="2" t="str">
        <f>'5월'!G81</f>
        <v>MA</v>
      </c>
      <c r="H591" s="2" t="str">
        <f>'5월'!H81</f>
        <v>월간-레노버</v>
      </c>
      <c r="I591" s="4" t="str">
        <f>'5월'!I81</f>
        <v>5월 유지정비료 - 5/12회</v>
      </c>
      <c r="J591" s="23">
        <f>'5월'!J81</f>
        <v>1</v>
      </c>
      <c r="K591" s="27">
        <f>'5월'!K81</f>
        <v>535000</v>
      </c>
      <c r="L591" s="26">
        <f>'5월'!L81</f>
        <v>535000</v>
      </c>
      <c r="M591" s="27">
        <f>'5월'!M81</f>
        <v>53500</v>
      </c>
      <c r="N591" s="27">
        <f>'5월'!N81</f>
        <v>588500</v>
      </c>
      <c r="O591" s="82">
        <f>'5월'!O81</f>
        <v>496800</v>
      </c>
      <c r="P591" s="197" t="str">
        <f>'5월'!P81</f>
        <v>레노버(5/31)</v>
      </c>
      <c r="Q591" s="20">
        <f>'5월'!Q81</f>
        <v>38200</v>
      </c>
      <c r="R591" s="68" t="str">
        <f>'5월'!R81</f>
        <v>완료(7/31)</v>
      </c>
      <c r="S591" s="8" t="str">
        <f>'5월'!S81</f>
        <v>천범석</v>
      </c>
      <c r="T591" s="11"/>
    </row>
    <row r="592" spans="1:20">
      <c r="B592" s="151" t="str">
        <f>'5월'!B82</f>
        <v>SB-25023</v>
      </c>
      <c r="C592" s="153" t="str">
        <f>'5월'!C82</f>
        <v>ZKGVNQ</v>
      </c>
      <c r="D592" s="17">
        <f>'5월'!D82</f>
        <v>45807</v>
      </c>
      <c r="E592" s="1" t="str">
        <f>'5월'!E82</f>
        <v>다솜테크</v>
      </c>
      <c r="F592" s="2" t="str">
        <f>'5월'!F82</f>
        <v>LX세미콘</v>
      </c>
      <c r="G592" s="161" t="str">
        <f>'5월'!G82</f>
        <v>MA</v>
      </c>
      <c r="H592" s="83" t="str">
        <f>'5월'!H82</f>
        <v>월간-레노버</v>
      </c>
      <c r="I592" s="4" t="str">
        <f>'5월'!I82</f>
        <v>5월 유지정비료 - 4/47회차</v>
      </c>
      <c r="J592" s="23">
        <f>'5월'!J82</f>
        <v>1</v>
      </c>
      <c r="K592" s="27">
        <f>'5월'!K82</f>
        <v>1172800</v>
      </c>
      <c r="L592" s="26">
        <f>'5월'!L82</f>
        <v>1172800</v>
      </c>
      <c r="M592" s="27">
        <f>'5월'!M82</f>
        <v>117280</v>
      </c>
      <c r="N592" s="27">
        <f>'5월'!N82</f>
        <v>1290080</v>
      </c>
      <c r="O592" s="82">
        <f>'5월'!O82</f>
        <v>1111200</v>
      </c>
      <c r="P592" s="197" t="str">
        <f>'5월'!P82</f>
        <v>레노버(5/31)</v>
      </c>
      <c r="Q592" s="20">
        <f>'5월'!Q82</f>
        <v>61600</v>
      </c>
      <c r="R592" s="68" t="str">
        <f>'5월'!R82</f>
        <v>완료(7/31)</v>
      </c>
      <c r="S592" s="8" t="str">
        <f>'5월'!S82</f>
        <v>천범석</v>
      </c>
      <c r="T592" s="11"/>
    </row>
    <row r="593" spans="1:20" ht="24">
      <c r="A593" t="s">
        <v>30</v>
      </c>
      <c r="B593" s="151" t="str">
        <f>'5월'!B83</f>
        <v>IK-24006</v>
      </c>
      <c r="C593" s="199"/>
      <c r="D593" s="17">
        <f>'5월'!D83</f>
        <v>45807</v>
      </c>
      <c r="E593" s="214" t="str">
        <f>'5월'!E83</f>
        <v>서부컨테이너터미널</v>
      </c>
      <c r="F593" s="215"/>
      <c r="G593" s="161" t="str">
        <f>'5월'!G83</f>
        <v>MA</v>
      </c>
      <c r="H593" s="161" t="str">
        <f>'5월'!H83</f>
        <v>월간-IBM</v>
      </c>
      <c r="I593" s="163" t="str">
        <f>'5월'!I83</f>
        <v>5월 유지정비료 - 13/24회</v>
      </c>
      <c r="J593" s="23">
        <f>'5월'!J83</f>
        <v>1</v>
      </c>
      <c r="K593" s="27">
        <f>'5월'!K83</f>
        <v>3916667</v>
      </c>
      <c r="L593" s="26">
        <f>'5월'!L83</f>
        <v>3916667</v>
      </c>
      <c r="M593" s="27">
        <f>'5월'!M83</f>
        <v>391667</v>
      </c>
      <c r="N593" s="27">
        <f>'5월'!N83</f>
        <v>4308334</v>
      </c>
      <c r="O593" s="72">
        <f>'5월'!O83</f>
        <v>3024612</v>
      </c>
      <c r="P593" s="223" t="str">
        <f>'5월'!P83</f>
        <v>IBM(5/2) 2,884,612
키미데이타(5/30) 연간 1,680,000 (1/12회)</v>
      </c>
      <c r="Q593" s="181">
        <f>'5월'!Q83</f>
        <v>892055</v>
      </c>
      <c r="R593" s="68" t="str">
        <f>'5월'!R83</f>
        <v>완료(6/30)</v>
      </c>
      <c r="S593" s="8" t="str">
        <f>'5월'!S83</f>
        <v>홍승민</v>
      </c>
      <c r="T593" s="11"/>
    </row>
    <row r="594" spans="1:20">
      <c r="A594" t="s">
        <v>30</v>
      </c>
      <c r="B594" s="151" t="str">
        <f>'5월'!B84</f>
        <v>SB-24027</v>
      </c>
      <c r="C594" s="199" t="str">
        <f>'5월'!C84</f>
        <v>ZGTHWJ</v>
      </c>
      <c r="D594" s="17">
        <f>'5월'!D84</f>
        <v>45807</v>
      </c>
      <c r="E594" s="214" t="str">
        <f>'5월'!E84</f>
        <v>시스템본</v>
      </c>
      <c r="F594" s="215" t="str">
        <f>'5월'!F84</f>
        <v>엘지유플러스</v>
      </c>
      <c r="G594" s="2" t="str">
        <f>'5월'!G84</f>
        <v>MA</v>
      </c>
      <c r="H594" s="83" t="str">
        <f>'5월'!H84</f>
        <v>월간-레노버</v>
      </c>
      <c r="I594" s="4" t="str">
        <f>'5월'!I84</f>
        <v>5월 유지정비료 - 13/32회</v>
      </c>
      <c r="J594" s="23">
        <f>'5월'!J84</f>
        <v>1</v>
      </c>
      <c r="K594" s="27">
        <f>'5월'!K84</f>
        <v>659700</v>
      </c>
      <c r="L594" s="26">
        <f>'5월'!L84</f>
        <v>659700</v>
      </c>
      <c r="M594" s="27">
        <f>'5월'!M84</f>
        <v>65970</v>
      </c>
      <c r="N594" s="27">
        <f>'5월'!N84</f>
        <v>725670</v>
      </c>
      <c r="O594" s="72">
        <f>'5월'!O84</f>
        <v>518541</v>
      </c>
      <c r="P594" s="197" t="str">
        <f>'5월'!P84</f>
        <v>레노버(5/31)</v>
      </c>
      <c r="Q594" s="181">
        <f>'5월'!Q84</f>
        <v>141159</v>
      </c>
      <c r="R594" s="68" t="str">
        <f>'5월'!R84</f>
        <v>완료(7/31)</v>
      </c>
      <c r="S594" s="8" t="str">
        <f>'5월'!S84</f>
        <v>천범석</v>
      </c>
      <c r="T594" s="75"/>
    </row>
    <row r="595" spans="1:20">
      <c r="A595" t="s">
        <v>30</v>
      </c>
      <c r="B595" s="151" t="str">
        <f>'5월'!B85</f>
        <v>SB-24034</v>
      </c>
      <c r="C595" s="199" t="str">
        <f>'5월'!C85</f>
        <v>Z11I89</v>
      </c>
      <c r="D595" s="17">
        <f>'5월'!D85</f>
        <v>45807</v>
      </c>
      <c r="E595" s="214" t="str">
        <f>'5월'!E85</f>
        <v>씨원시스템</v>
      </c>
      <c r="F595" s="215" t="str">
        <f>'5월'!F85</f>
        <v>이녹스(패션그룹형지)</v>
      </c>
      <c r="G595" s="2" t="str">
        <f>'5월'!G85</f>
        <v>MA</v>
      </c>
      <c r="H595" s="83" t="str">
        <f>'5월'!H85</f>
        <v>월간-레노버</v>
      </c>
      <c r="I595" s="4" t="str">
        <f>'5월'!I85</f>
        <v>5월 유지정비료 - 12/12회</v>
      </c>
      <c r="J595" s="23">
        <f>'5월'!J85</f>
        <v>1</v>
      </c>
      <c r="K595" s="27">
        <f>'5월'!K85</f>
        <v>285500</v>
      </c>
      <c r="L595" s="26">
        <f>'5월'!L85</f>
        <v>285500</v>
      </c>
      <c r="M595" s="27">
        <f>'5월'!M85</f>
        <v>28550</v>
      </c>
      <c r="N595" s="27">
        <f>'5월'!N85</f>
        <v>314050</v>
      </c>
      <c r="O595" s="72">
        <f>'5월'!O85</f>
        <v>249900</v>
      </c>
      <c r="P595" s="197" t="str">
        <f>'5월'!P85</f>
        <v>레노버(5/31)</v>
      </c>
      <c r="Q595" s="181">
        <f>'5월'!Q85</f>
        <v>35600</v>
      </c>
      <c r="R595" s="68" t="str">
        <f>'5월'!R85</f>
        <v>완료(7/31)</v>
      </c>
      <c r="S595" s="8" t="str">
        <f>'5월'!S85</f>
        <v>천범석</v>
      </c>
      <c r="T595" s="75"/>
    </row>
    <row r="596" spans="1:20">
      <c r="A596" t="s">
        <v>30</v>
      </c>
      <c r="B596" s="151" t="str">
        <f>'5월'!B86</f>
        <v>SB-24036</v>
      </c>
      <c r="C596" s="199"/>
      <c r="D596" s="17">
        <f>'5월'!D86</f>
        <v>45807</v>
      </c>
      <c r="E596" s="214" t="str">
        <f>'5월'!E86</f>
        <v>나라정보</v>
      </c>
      <c r="F596" s="215" t="str">
        <f>'5월'!F86</f>
        <v>부국철강</v>
      </c>
      <c r="G596" s="2" t="str">
        <f>'5월'!G86</f>
        <v>MA</v>
      </c>
      <c r="H596" s="161" t="str">
        <f>'5월'!H86</f>
        <v>월간-IBM</v>
      </c>
      <c r="I596" s="163" t="str">
        <f>'5월'!I86</f>
        <v>5월 유지정비료 - 13/32회</v>
      </c>
      <c r="J596" s="23">
        <f>'5월'!J86</f>
        <v>1</v>
      </c>
      <c r="K596" s="27">
        <f>'5월'!K86</f>
        <v>207000</v>
      </c>
      <c r="L596" s="26">
        <f>'5월'!L86</f>
        <v>207000</v>
      </c>
      <c r="M596" s="27">
        <f>'5월'!M86</f>
        <v>20700</v>
      </c>
      <c r="N596" s="27">
        <f>'5월'!N86</f>
        <v>227700</v>
      </c>
      <c r="O596" s="72">
        <f>'5월'!O86</f>
        <v>190849</v>
      </c>
      <c r="P596" s="171" t="str">
        <f>'5월'!P86</f>
        <v>IBM(5/2)</v>
      </c>
      <c r="Q596" s="181">
        <f>'5월'!Q86</f>
        <v>16151</v>
      </c>
      <c r="R596" s="68" t="str">
        <f>'5월'!R86</f>
        <v>완료(6/30)</v>
      </c>
      <c r="S596" s="8" t="str">
        <f>'5월'!S86</f>
        <v>천범석</v>
      </c>
      <c r="T596" s="11"/>
    </row>
    <row r="597" spans="1:20">
      <c r="A597" t="s">
        <v>30</v>
      </c>
      <c r="B597" s="151" t="str">
        <f>'5월'!B87</f>
        <v>SM-24013</v>
      </c>
      <c r="C597" s="199"/>
      <c r="D597" s="17">
        <f>'5월'!D87</f>
        <v>45807</v>
      </c>
      <c r="E597" s="214" t="str">
        <f>'5월'!E87</f>
        <v>비즈윈</v>
      </c>
      <c r="F597" s="215" t="str">
        <f>'5월'!F87</f>
        <v>한국소비자보호원</v>
      </c>
      <c r="G597" s="2" t="str">
        <f>'5월'!G87</f>
        <v>MA</v>
      </c>
      <c r="H597" s="161" t="str">
        <f>'5월'!H87</f>
        <v>월간</v>
      </c>
      <c r="I597" s="162" t="str">
        <f>'5월'!I87</f>
        <v>5월 유지정비료 - 14/21회</v>
      </c>
      <c r="J597" s="23">
        <f>'5월'!J87</f>
        <v>1</v>
      </c>
      <c r="K597" s="27">
        <f>'5월'!K87</f>
        <v>155000</v>
      </c>
      <c r="L597" s="26">
        <f>'5월'!L87</f>
        <v>155000</v>
      </c>
      <c r="M597" s="27">
        <f>'5월'!M87</f>
        <v>15500</v>
      </c>
      <c r="N597" s="27">
        <f>'5월'!N87</f>
        <v>170500</v>
      </c>
      <c r="O597" s="52">
        <f>'5월'!O87</f>
        <v>120000</v>
      </c>
      <c r="P597" s="171" t="str">
        <f>'5월'!P87</f>
        <v>시스나인(1/2)연간 1,440,000(5/12회)</v>
      </c>
      <c r="Q597" s="181">
        <f>'5월'!Q87</f>
        <v>35000</v>
      </c>
      <c r="R597" s="68" t="str">
        <f>'5월'!R87</f>
        <v>완료(6/30)</v>
      </c>
      <c r="S597" s="36" t="str">
        <f>'5월'!S87</f>
        <v>이예지</v>
      </c>
      <c r="T597" s="75"/>
    </row>
    <row r="598" spans="1:20">
      <c r="A598" t="s">
        <v>30</v>
      </c>
      <c r="B598" s="151" t="str">
        <f>'5월'!B88</f>
        <v>SM-23020</v>
      </c>
      <c r="C598" s="200" t="str">
        <f>'5월'!C88</f>
        <v>ZZNUMY</v>
      </c>
      <c r="D598" s="17">
        <f>'5월'!D88</f>
        <v>45807</v>
      </c>
      <c r="E598" s="214" t="str">
        <f>'5월'!E88</f>
        <v>현대종합금속</v>
      </c>
      <c r="F598" s="189" t="str">
        <f>'5월'!F88</f>
        <v>포항</v>
      </c>
      <c r="G598" s="161" t="str">
        <f>'5월'!G88</f>
        <v>MA</v>
      </c>
      <c r="H598" s="161" t="str">
        <f>'5월'!H88</f>
        <v>월간-IBM</v>
      </c>
      <c r="I598" s="163" t="str">
        <f>'5월'!I88</f>
        <v>5월 유지정비료 - 11/12회</v>
      </c>
      <c r="J598" s="24">
        <f>'5월'!J88</f>
        <v>1</v>
      </c>
      <c r="K598" s="26">
        <f>'5월'!K88</f>
        <v>700000</v>
      </c>
      <c r="L598" s="26">
        <f>'5월'!L88</f>
        <v>700000</v>
      </c>
      <c r="M598" s="27">
        <f>'5월'!M88</f>
        <v>70000</v>
      </c>
      <c r="N598" s="27">
        <f>'5월'!N88</f>
        <v>770000</v>
      </c>
      <c r="O598" s="33">
        <f>'5월'!O88</f>
        <v>499500</v>
      </c>
      <c r="P598" s="197" t="str">
        <f>'5월'!P88</f>
        <v>레노버(5/31)</v>
      </c>
      <c r="Q598" s="21">
        <f>'5월'!Q88</f>
        <v>200500</v>
      </c>
      <c r="R598" s="68" t="str">
        <f>'5월'!R88</f>
        <v>완료(6/10)</v>
      </c>
      <c r="S598" s="5" t="str">
        <f>'5월'!S88</f>
        <v>이예지</v>
      </c>
      <c r="T598" s="11"/>
    </row>
    <row r="599" spans="1:20">
      <c r="A599" t="s">
        <v>30</v>
      </c>
      <c r="B599" s="151" t="str">
        <f>'5월'!B89</f>
        <v>SB-24052</v>
      </c>
      <c r="C599" s="153" t="str">
        <f>'5월'!C89</f>
        <v>ZUIU6G</v>
      </c>
      <c r="D599" s="17">
        <f>'5월'!D89</f>
        <v>45807</v>
      </c>
      <c r="E599" s="214" t="str">
        <f>'5월'!E89</f>
        <v>유티모스트</v>
      </c>
      <c r="F599" s="215" t="str">
        <f>'5월'!F89</f>
        <v>삼성중공업</v>
      </c>
      <c r="G599" s="161" t="str">
        <f>'5월'!G89</f>
        <v>MA</v>
      </c>
      <c r="H599" s="83" t="str">
        <f>'5월'!H89</f>
        <v>월간-레노버</v>
      </c>
      <c r="I599" s="4" t="str">
        <f>'5월'!I89</f>
        <v>5월 유지정비료 - 8/15회</v>
      </c>
      <c r="J599" s="23">
        <f>'5월'!J89</f>
        <v>1</v>
      </c>
      <c r="K599" s="27">
        <f>'5월'!K89</f>
        <v>13057800</v>
      </c>
      <c r="L599" s="26">
        <f>'5월'!L89</f>
        <v>13057800</v>
      </c>
      <c r="M599" s="27">
        <f>'5월'!M89</f>
        <v>1305780</v>
      </c>
      <c r="N599" s="27">
        <f>'5월'!N89</f>
        <v>14363580</v>
      </c>
      <c r="O599" s="33">
        <f>'5월'!O89</f>
        <v>11892500</v>
      </c>
      <c r="P599" s="197" t="str">
        <f>'5월'!P89</f>
        <v>레노버(5/31)</v>
      </c>
      <c r="Q599" s="21">
        <f>'5월'!Q89</f>
        <v>1165300</v>
      </c>
      <c r="R599" s="68" t="str">
        <f>'5월'!R89</f>
        <v>완료(6/30)</v>
      </c>
      <c r="S599" s="36" t="str">
        <f>'5월'!S89</f>
        <v>천범석</v>
      </c>
      <c r="T599" s="11"/>
    </row>
    <row r="600" spans="1:20" ht="24">
      <c r="A600" t="s">
        <v>30</v>
      </c>
      <c r="B600" s="151" t="str">
        <f>'5월'!B90</f>
        <v>SB-25010</v>
      </c>
      <c r="C600" s="153" t="str">
        <f>'5월'!C90</f>
        <v>ZCXAPZ</v>
      </c>
      <c r="D600" s="17">
        <f>'5월'!D90</f>
        <v>45807</v>
      </c>
      <c r="E600" s="1" t="str">
        <f>'5월'!E90</f>
        <v>유티모스트</v>
      </c>
      <c r="F600" s="2" t="str">
        <f>'5월'!F90</f>
        <v>대우정보(메타넷디지털)</v>
      </c>
      <c r="G600" s="2" t="str">
        <f>'5월'!G90</f>
        <v>MA</v>
      </c>
      <c r="H600" s="2" t="str">
        <f>'5월'!H90</f>
        <v>월간-레노버</v>
      </c>
      <c r="I600" s="4" t="str">
        <f>'5월'!I90</f>
        <v>5월 유지정비료 - 14/21회</v>
      </c>
      <c r="J600" s="23">
        <f>'5월'!J90</f>
        <v>1</v>
      </c>
      <c r="K600" s="27">
        <f>'5월'!K90</f>
        <v>202000</v>
      </c>
      <c r="L600" s="26">
        <f>'5월'!L90</f>
        <v>202000</v>
      </c>
      <c r="M600" s="27">
        <f>'5월'!M90</f>
        <v>20200</v>
      </c>
      <c r="N600" s="27">
        <f>'5월'!N90</f>
        <v>222200</v>
      </c>
      <c r="O600" s="33">
        <f>'5월'!O90</f>
        <v>180600</v>
      </c>
      <c r="P600" s="197" t="str">
        <f>'5월'!P90</f>
        <v>레노버(5/31)</v>
      </c>
      <c r="Q600" s="20">
        <f>'5월'!Q90</f>
        <v>21400</v>
      </c>
      <c r="R600" s="68" t="str">
        <f>'5월'!R90</f>
        <v>완료(6/30)</v>
      </c>
      <c r="S600" s="8" t="str">
        <f>'5월'!S90</f>
        <v>천범석</v>
      </c>
      <c r="T600" s="11"/>
    </row>
    <row r="601" spans="1:20" ht="24">
      <c r="A601" t="s">
        <v>30</v>
      </c>
      <c r="B601" s="151" t="str">
        <f>'5월'!B91</f>
        <v>SB-24055
SB-24056</v>
      </c>
      <c r="C601" s="208" t="str">
        <f>'5월'!C91</f>
        <v>ZP1BPN
ZAXJCH</v>
      </c>
      <c r="D601" s="17">
        <f>'5월'!D91</f>
        <v>45807</v>
      </c>
      <c r="E601" s="214" t="str">
        <f>'5월'!E91</f>
        <v>이룸정보</v>
      </c>
      <c r="F601" s="189" t="str">
        <f>'5월'!F91</f>
        <v>포스코</v>
      </c>
      <c r="G601" s="161" t="str">
        <f>'5월'!G91</f>
        <v>MA</v>
      </c>
      <c r="H601" s="83" t="str">
        <f>'5월'!H91</f>
        <v>월간-레노버</v>
      </c>
      <c r="I601" s="163" t="str">
        <f>'5월'!I91</f>
        <v>5월 유지정비료 - 5/12회</v>
      </c>
      <c r="J601" s="24">
        <f>'5월'!J91</f>
        <v>1</v>
      </c>
      <c r="K601" s="26">
        <f>'5월'!K91</f>
        <v>2871300</v>
      </c>
      <c r="L601" s="26">
        <f>'5월'!L91</f>
        <v>2871300</v>
      </c>
      <c r="M601" s="27">
        <f>'5월'!M91</f>
        <v>287130</v>
      </c>
      <c r="N601" s="27">
        <f>'5월'!N91</f>
        <v>3158430</v>
      </c>
      <c r="O601" s="33">
        <f>'5월'!O91</f>
        <v>2636700</v>
      </c>
      <c r="P601" s="197" t="str">
        <f>'5월'!P91</f>
        <v>레노버(5/31)1,981,200
레노버(5/31) 655,500</v>
      </c>
      <c r="Q601" s="21">
        <f>'5월'!Q91</f>
        <v>234600</v>
      </c>
      <c r="R601" s="68" t="str">
        <f>'5월'!R91</f>
        <v>완료(7/29)</v>
      </c>
      <c r="S601" s="5" t="str">
        <f>'5월'!S91</f>
        <v>천범석</v>
      </c>
      <c r="T601" s="11"/>
    </row>
    <row r="602" spans="1:20" ht="60">
      <c r="A602" t="s">
        <v>30</v>
      </c>
      <c r="B602" s="151" t="str">
        <f>'5월'!B92</f>
        <v>SM-25010</v>
      </c>
      <c r="C602" s="200"/>
      <c r="D602" s="17">
        <f>'5월'!D92</f>
        <v>45807</v>
      </c>
      <c r="E602" s="214" t="str">
        <f>'5월'!E92</f>
        <v>더블포인트</v>
      </c>
      <c r="F602" s="215" t="str">
        <f>'5월'!F92</f>
        <v>한미약품</v>
      </c>
      <c r="G602" s="2" t="str">
        <f>'5월'!G92</f>
        <v>MA</v>
      </c>
      <c r="H602" s="161" t="str">
        <f>'5월'!H92</f>
        <v>월간-IBM</v>
      </c>
      <c r="I602" s="163" t="str">
        <f>'5월'!I92</f>
        <v>5월 유지정비료 - 5/12회</v>
      </c>
      <c r="J602" s="23">
        <f>'5월'!J92</f>
        <v>1</v>
      </c>
      <c r="K602" s="27">
        <f>'5월'!K92</f>
        <v>4761667</v>
      </c>
      <c r="L602" s="26">
        <f>'5월'!L92</f>
        <v>4761667</v>
      </c>
      <c r="M602" s="27">
        <f>'5월'!M92</f>
        <v>476166.7</v>
      </c>
      <c r="N602" s="27">
        <f>'5월'!N92</f>
        <v>5237833.7</v>
      </c>
      <c r="O602" s="72">
        <f>'5월'!O92</f>
        <v>4437257</v>
      </c>
      <c r="P602" s="170" t="str">
        <f>'5월'!P92</f>
        <v>IBM(5/2) 11,623,397
DCSS(5/31) 292,200
IBM APS(1/27) 연 7,859,914 (5/12회)
시스나인 (4/25) 분기8,000,000 (2/3회)
==총 15237,257 중 4,437,257</v>
      </c>
      <c r="Q602" s="21">
        <f>'5월'!Q92</f>
        <v>324410</v>
      </c>
      <c r="R602" s="68" t="str">
        <f>'5월'!R92</f>
        <v>완료(6/30)</v>
      </c>
      <c r="S602" s="8" t="str">
        <f>'5월'!S92</f>
        <v>이예지</v>
      </c>
      <c r="T602" s="11"/>
    </row>
    <row r="603" spans="1:20" ht="60">
      <c r="A603" t="s">
        <v>30</v>
      </c>
      <c r="B603" s="151" t="str">
        <f>'5월'!B93</f>
        <v>SM-25011</v>
      </c>
      <c r="C603" s="200"/>
      <c r="D603" s="17">
        <f>'5월'!D93</f>
        <v>45807</v>
      </c>
      <c r="E603" s="214" t="str">
        <f>'5월'!E93</f>
        <v>더블포인트</v>
      </c>
      <c r="F603" s="215" t="str">
        <f>'5월'!F93</f>
        <v>한미사이언스</v>
      </c>
      <c r="G603" s="2" t="str">
        <f>'5월'!G93</f>
        <v>MA</v>
      </c>
      <c r="H603" s="161" t="str">
        <f>'5월'!H93</f>
        <v>월간-IBM</v>
      </c>
      <c r="I603" s="163" t="str">
        <f>'5월'!I93</f>
        <v>5월 유지정비료 - 5/12회</v>
      </c>
      <c r="J603" s="23">
        <f>'5월'!J93</f>
        <v>1</v>
      </c>
      <c r="K603" s="27">
        <f>'5월'!K93</f>
        <v>11210000</v>
      </c>
      <c r="L603" s="26">
        <f>'5월'!L93</f>
        <v>11210000</v>
      </c>
      <c r="M603" s="27">
        <f>'5월'!M93</f>
        <v>1121000</v>
      </c>
      <c r="N603" s="27">
        <f>'5월'!N93</f>
        <v>12331000</v>
      </c>
      <c r="O603" s="72">
        <f>'5월'!O93</f>
        <v>10800000</v>
      </c>
      <c r="P603" s="170" t="str">
        <f>'5월'!P93</f>
        <v>IBM(5/2) 11,623,397
DCSS(5/31) 292,200
IBM APS(1/27) 연 7,859,914 (5/12회)
시스나인 (4/25) 분기8,000,000 (2/3회)
==총 15237,257 중 10,800,000</v>
      </c>
      <c r="Q603" s="21">
        <f>'5월'!Q93</f>
        <v>410000</v>
      </c>
      <c r="R603" s="68" t="str">
        <f>'5월'!R93</f>
        <v>완료(7/10)</v>
      </c>
      <c r="S603" s="8" t="str">
        <f>'5월'!S93</f>
        <v>이예지</v>
      </c>
      <c r="T603" s="11"/>
    </row>
    <row r="604" spans="1:20" ht="24">
      <c r="A604" t="s">
        <v>30</v>
      </c>
      <c r="B604" s="151" t="str">
        <f>'5월'!B94</f>
        <v>SM-25007</v>
      </c>
      <c r="C604" s="199"/>
      <c r="D604" s="17">
        <f>'5월'!D94</f>
        <v>45807</v>
      </c>
      <c r="E604" s="1" t="str">
        <f>'5월'!E94</f>
        <v>더블포인트</v>
      </c>
      <c r="F604" s="2" t="str">
        <f>'5월'!F94</f>
        <v>교보문고</v>
      </c>
      <c r="G604" s="2" t="str">
        <f>'5월'!G94</f>
        <v>MA</v>
      </c>
      <c r="H604" s="2" t="str">
        <f>'5월'!H94</f>
        <v>월간</v>
      </c>
      <c r="I604" s="163" t="str">
        <f>'5월'!I94</f>
        <v>5월 유지정비료 - 5/12회</v>
      </c>
      <c r="J604" s="23">
        <f>'5월'!J94</f>
        <v>1</v>
      </c>
      <c r="K604" s="27">
        <f>'5월'!K94</f>
        <v>880000</v>
      </c>
      <c r="L604" s="26">
        <f>'5월'!L94</f>
        <v>880000</v>
      </c>
      <c r="M604" s="27">
        <f>'5월'!M94</f>
        <v>88000</v>
      </c>
      <c r="N604" s="27">
        <f>'5월'!N94</f>
        <v>968000</v>
      </c>
      <c r="O604" s="52">
        <f>'5월'!O94</f>
        <v>709533.33333333326</v>
      </c>
      <c r="P604" s="171" t="str">
        <f>'5월'!P94</f>
        <v>DCSS(5/31) 376,200
시스나인(7/1) 1,000,000(2/3회)</v>
      </c>
      <c r="Q604" s="181">
        <f>'5월'!Q94</f>
        <v>170466.66666666674</v>
      </c>
      <c r="R604" s="68" t="str">
        <f>'5월'!R94</f>
        <v>완료(7/10)</v>
      </c>
      <c r="S604" s="8" t="str">
        <f>'5월'!S94</f>
        <v>이예지</v>
      </c>
      <c r="T604" s="11"/>
    </row>
    <row r="605" spans="1:20" ht="24">
      <c r="A605" t="s">
        <v>30</v>
      </c>
      <c r="B605" s="151" t="str">
        <f>'5월'!B95</f>
        <v>SM-25008</v>
      </c>
      <c r="C605" s="199"/>
      <c r="D605" s="17">
        <f>'5월'!D95</f>
        <v>45807</v>
      </c>
      <c r="E605" s="1" t="str">
        <f>'5월'!E95</f>
        <v>더블포인트</v>
      </c>
      <c r="F605" s="2" t="str">
        <f>'5월'!F95</f>
        <v>스마트로</v>
      </c>
      <c r="G605" s="161" t="str">
        <f>'5월'!G95</f>
        <v>MA</v>
      </c>
      <c r="H605" s="161" t="str">
        <f>'5월'!H95</f>
        <v>월간-IBM</v>
      </c>
      <c r="I605" s="163" t="str">
        <f>'5월'!I95</f>
        <v>5월 유지정비료 - 5/12회</v>
      </c>
      <c r="J605" s="34">
        <f>'5월'!J95</f>
        <v>1</v>
      </c>
      <c r="K605" s="48">
        <f>'5월'!K95</f>
        <v>3278000</v>
      </c>
      <c r="L605" s="26">
        <f>'5월'!L95</f>
        <v>3278000</v>
      </c>
      <c r="M605" s="27">
        <f>'5월'!M95</f>
        <v>327800</v>
      </c>
      <c r="N605" s="27">
        <f>'5월'!N95</f>
        <v>3605800</v>
      </c>
      <c r="O605" s="82">
        <f>'5월'!O95</f>
        <v>3210534</v>
      </c>
      <c r="P605" s="170" t="str">
        <f>'5월'!P95</f>
        <v>IBM(5/2) 1,210,534
시스나인(7/1) 1400중 600(2/3회)</v>
      </c>
      <c r="Q605" s="181">
        <f>'5월'!Q95</f>
        <v>67466</v>
      </c>
      <c r="R605" s="68" t="str">
        <f>'5월'!R95</f>
        <v>완료(7/10)</v>
      </c>
      <c r="S605" s="8" t="str">
        <f>'5월'!S95</f>
        <v>이예지</v>
      </c>
      <c r="T605" s="11"/>
    </row>
    <row r="606" spans="1:20">
      <c r="A606" t="s">
        <v>30</v>
      </c>
      <c r="B606" s="151" t="str">
        <f>'5월'!B96</f>
        <v>SM-25001</v>
      </c>
      <c r="C606" s="199"/>
      <c r="D606" s="17">
        <f>'5월'!D96</f>
        <v>45807</v>
      </c>
      <c r="E606" s="214" t="str">
        <f>'5월'!E96</f>
        <v>로스비브이</v>
      </c>
      <c r="F606" s="215" t="str">
        <f>'5월'!F96</f>
        <v>BAT서울</v>
      </c>
      <c r="G606" s="2" t="str">
        <f>'5월'!G96</f>
        <v>MA</v>
      </c>
      <c r="H606" s="2" t="str">
        <f>'5월'!H96</f>
        <v>월간-레노버</v>
      </c>
      <c r="I606" s="4" t="str">
        <f>'5월'!I96</f>
        <v xml:space="preserve">[HW] 5월 유지정비료 - 5/12회 </v>
      </c>
      <c r="J606" s="23">
        <f>'5월'!J96</f>
        <v>1</v>
      </c>
      <c r="K606" s="27">
        <f>'5월'!K96</f>
        <v>850000</v>
      </c>
      <c r="L606" s="26">
        <f>'5월'!L96</f>
        <v>850000</v>
      </c>
      <c r="M606" s="27">
        <f>'5월'!M96</f>
        <v>85000</v>
      </c>
      <c r="N606" s="27">
        <f>'5월'!N96</f>
        <v>935000</v>
      </c>
      <c r="O606" s="52">
        <f>'5월'!O96</f>
        <v>700000</v>
      </c>
      <c r="P606" s="171" t="str">
        <f>'5월'!P96</f>
        <v>알앤에스(5/27) 495만원 중</v>
      </c>
      <c r="Q606" s="181">
        <f>'5월'!Q96</f>
        <v>150000</v>
      </c>
      <c r="R606" s="68" t="str">
        <f>'5월'!R96</f>
        <v>완료(8/13)</v>
      </c>
      <c r="S606" s="8" t="str">
        <f>'5월'!S96</f>
        <v>천범석</v>
      </c>
      <c r="T606" s="11"/>
    </row>
    <row r="607" spans="1:20" ht="48">
      <c r="A607" t="s">
        <v>30</v>
      </c>
      <c r="B607" s="151" t="str">
        <f>'5월'!B97</f>
        <v>SM-25001</v>
      </c>
      <c r="C607" s="199"/>
      <c r="D607" s="17">
        <f>'5월'!D97</f>
        <v>45807</v>
      </c>
      <c r="E607" s="214" t="str">
        <f>'5월'!E97</f>
        <v>브리토바코</v>
      </c>
      <c r="F607" s="215" t="str">
        <f>'5월'!F97</f>
        <v>BAT사천</v>
      </c>
      <c r="G607" s="2" t="str">
        <f>'5월'!G97</f>
        <v>MA</v>
      </c>
      <c r="H607" s="2" t="str">
        <f>'5월'!H97</f>
        <v>월간-레노버</v>
      </c>
      <c r="I607" s="4" t="str">
        <f>'5월'!I97</f>
        <v xml:space="preserve">[HW] 5월 유지정비료 - 5/12회 </v>
      </c>
      <c r="J607" s="23">
        <f>'5월'!J97</f>
        <v>1</v>
      </c>
      <c r="K607" s="27">
        <f>'5월'!K97</f>
        <v>4600000</v>
      </c>
      <c r="L607" s="26">
        <f>'5월'!L97</f>
        <v>4600000</v>
      </c>
      <c r="M607" s="27">
        <f>'5월'!M97</f>
        <v>460000</v>
      </c>
      <c r="N607" s="27">
        <f>'5월'!N97</f>
        <v>5060000</v>
      </c>
      <c r="O607" s="52">
        <f>'5월'!O97</f>
        <v>4706000</v>
      </c>
      <c r="P607" s="171" t="str">
        <f>'5월'!P97</f>
        <v>알앤에스(5/27) 495만원 중 
B/D 로젠택배(별도착불) 6,000(6/5)
김재협(8/7) 3/6회
시스나인(1/2) 연 2,400,000(5/12회)</v>
      </c>
      <c r="Q607" s="181">
        <f>'5월'!Q97</f>
        <v>-106000</v>
      </c>
      <c r="R607" s="68" t="str">
        <f>'5월'!R97</f>
        <v>완료(8/13)</v>
      </c>
      <c r="S607" s="8" t="str">
        <f>'5월'!S97</f>
        <v>천범석</v>
      </c>
      <c r="T607" s="11"/>
    </row>
    <row r="608" spans="1:20">
      <c r="A608" t="s">
        <v>30</v>
      </c>
      <c r="B608" s="151" t="str">
        <f>'5월'!B98</f>
        <v>SB-25001</v>
      </c>
      <c r="C608" s="153" t="str">
        <f>'5월'!C98</f>
        <v>ZXRZHC</v>
      </c>
      <c r="D608" s="17">
        <f>'5월'!D98</f>
        <v>45807</v>
      </c>
      <c r="E608" s="214" t="str">
        <f>'5월'!E98</f>
        <v>퓨처젠</v>
      </c>
      <c r="F608" s="215" t="str">
        <f>'5월'!F98</f>
        <v>HB저축은행</v>
      </c>
      <c r="G608" s="2" t="str">
        <f>'5월'!G98</f>
        <v>MA</v>
      </c>
      <c r="H608" s="2" t="str">
        <f>'5월'!H98</f>
        <v>월간-레노버</v>
      </c>
      <c r="I608" s="163" t="str">
        <f>'5월'!I98</f>
        <v>5월 유지정비료 - 5/12회</v>
      </c>
      <c r="J608" s="23">
        <f>'5월'!J98</f>
        <v>1</v>
      </c>
      <c r="K608" s="27">
        <f>'5월'!K98</f>
        <v>904800</v>
      </c>
      <c r="L608" s="26">
        <f>'5월'!L98</f>
        <v>904800</v>
      </c>
      <c r="M608" s="27">
        <f>'5월'!M98</f>
        <v>90480</v>
      </c>
      <c r="N608" s="27">
        <f>'5월'!N98</f>
        <v>995280</v>
      </c>
      <c r="O608" s="33">
        <f>'5월'!O98</f>
        <v>820200</v>
      </c>
      <c r="P608" s="197" t="str">
        <f>'5월'!P98</f>
        <v>레노버(5/31)</v>
      </c>
      <c r="Q608" s="20">
        <f>'5월'!Q98</f>
        <v>84600</v>
      </c>
      <c r="R608" s="2" t="str">
        <f>'5월'!R98</f>
        <v>완료(6/30)</v>
      </c>
      <c r="S608" s="8" t="str">
        <f>'5월'!S98</f>
        <v>천범석</v>
      </c>
      <c r="T608" s="11"/>
    </row>
    <row r="609" spans="1:20" ht="60">
      <c r="A609" t="s">
        <v>30</v>
      </c>
      <c r="B609" s="151" t="str">
        <f>'5월'!B99</f>
        <v>SM-25004</v>
      </c>
      <c r="C609" s="199"/>
      <c r="D609" s="17">
        <f>'5월'!D99</f>
        <v>45807</v>
      </c>
      <c r="E609" s="1" t="str">
        <f>'5월'!E99</f>
        <v>인표산업</v>
      </c>
      <c r="F609" s="2"/>
      <c r="G609" s="2" t="str">
        <f>'5월'!G99</f>
        <v>MA</v>
      </c>
      <c r="H609" s="2" t="str">
        <f>'5월'!H99</f>
        <v>월간</v>
      </c>
      <c r="I609" s="163" t="str">
        <f>'5월'!I99</f>
        <v>5월 유지정비료 - 5/12회</v>
      </c>
      <c r="J609" s="23">
        <f>'5월'!J99</f>
        <v>1</v>
      </c>
      <c r="K609" s="27">
        <f>'5월'!K99</f>
        <v>3611000</v>
      </c>
      <c r="L609" s="26">
        <f>'5월'!L99</f>
        <v>3611000</v>
      </c>
      <c r="M609" s="27">
        <f>'5월'!M99</f>
        <v>361100</v>
      </c>
      <c r="N609" s="27">
        <f>'5월'!N99</f>
        <v>3972100</v>
      </c>
      <c r="O609" s="52">
        <f>'5월'!O99</f>
        <v>2762000</v>
      </c>
      <c r="P609" s="170" t="str">
        <f>'5월'!P99</f>
        <v>프라테르(5/30) 672,000
트리거(5/31) 700,000
현성솔루션(5/30) 100,000
유니와이드(5/30) 290,000
시스나인(25/3/4) 반기 6,000,000 (5/6회)</v>
      </c>
      <c r="Q609" s="181">
        <f>'5월'!Q99</f>
        <v>849000</v>
      </c>
      <c r="R609" s="68" t="str">
        <f>'5월'!R99</f>
        <v>완료(6/30)</v>
      </c>
      <c r="S609" s="8" t="str">
        <f>'5월'!S99</f>
        <v>홍승민</v>
      </c>
      <c r="T609" s="11"/>
    </row>
    <row r="610" spans="1:20">
      <c r="A610" t="s">
        <v>30</v>
      </c>
      <c r="B610" s="151" t="str">
        <f>'5월'!B100</f>
        <v>SB-25005</v>
      </c>
      <c r="C610" s="153" t="str">
        <f>'5월'!C100</f>
        <v>ZSUEIX</v>
      </c>
      <c r="D610" s="17">
        <f>'5월'!D100</f>
        <v>45807</v>
      </c>
      <c r="E610" s="214" t="str">
        <f>'5월'!E100</f>
        <v>제이엔테크놀러지</v>
      </c>
      <c r="F610" s="215" t="str">
        <f>'5월'!F100</f>
        <v>SK실트론</v>
      </c>
      <c r="G610" s="1" t="str">
        <f>'5월'!G100</f>
        <v>MA</v>
      </c>
      <c r="H610" s="83" t="str">
        <f>'5월'!H100</f>
        <v>월간-레노버</v>
      </c>
      <c r="I610" s="163" t="str">
        <f>'5월'!I100</f>
        <v>5월 유지정비료 - 5/12회</v>
      </c>
      <c r="J610" s="23">
        <f>'5월'!J100</f>
        <v>1</v>
      </c>
      <c r="K610" s="27">
        <f>'5월'!K100</f>
        <v>554000</v>
      </c>
      <c r="L610" s="26">
        <f>'5월'!L100</f>
        <v>554000</v>
      </c>
      <c r="M610" s="27">
        <f>'5월'!M100</f>
        <v>55400</v>
      </c>
      <c r="N610" s="27">
        <f>'5월'!N100</f>
        <v>609400</v>
      </c>
      <c r="O610" s="33">
        <f>'5월'!O100</f>
        <v>502800</v>
      </c>
      <c r="P610" s="197" t="str">
        <f>'5월'!P100</f>
        <v>레노버(5/31)</v>
      </c>
      <c r="Q610" s="20">
        <f>'5월'!Q100</f>
        <v>51200</v>
      </c>
      <c r="R610" s="2" t="str">
        <f>'5월'!R100</f>
        <v>완료(6/30)</v>
      </c>
      <c r="S610" s="8" t="str">
        <f>'5월'!S100</f>
        <v>천범석</v>
      </c>
      <c r="T610" s="11"/>
    </row>
    <row r="611" spans="1:20">
      <c r="A611" t="s">
        <v>30</v>
      </c>
      <c r="B611" s="151" t="str">
        <f>'5월'!B101</f>
        <v>SM-25006</v>
      </c>
      <c r="C611" s="200"/>
      <c r="D611" s="17">
        <f>'5월'!D101</f>
        <v>45807</v>
      </c>
      <c r="E611" s="1" t="str">
        <f>'5월'!E101</f>
        <v>대륭상선</v>
      </c>
      <c r="F611" s="161"/>
      <c r="G611" s="161" t="str">
        <f>'5월'!G101</f>
        <v>MA</v>
      </c>
      <c r="H611" s="161" t="str">
        <f>'5월'!H101</f>
        <v>월간-IBM</v>
      </c>
      <c r="I611" s="163" t="str">
        <f>'5월'!I101</f>
        <v>5월 유지정비료 - 5/12회</v>
      </c>
      <c r="J611" s="71">
        <f>'5월'!J101</f>
        <v>1</v>
      </c>
      <c r="K611" s="26">
        <f>'5월'!K101</f>
        <v>2840000</v>
      </c>
      <c r="L611" s="26">
        <f>'5월'!L101</f>
        <v>2840000</v>
      </c>
      <c r="M611" s="27">
        <f>'5월'!M101</f>
        <v>284000</v>
      </c>
      <c r="N611" s="27">
        <f>'5월'!N101</f>
        <v>3124000</v>
      </c>
      <c r="O611" s="52">
        <f>'5월'!O101</f>
        <v>44000</v>
      </c>
      <c r="P611" s="170" t="str">
        <f>'5월'!P101</f>
        <v>DCSS (5/31)</v>
      </c>
      <c r="Q611" s="181">
        <f>'5월'!Q101</f>
        <v>2796000</v>
      </c>
      <c r="R611" s="68" t="str">
        <f>'5월'!R101</f>
        <v>완료(6/9)</v>
      </c>
      <c r="S611" s="5" t="str">
        <f>'5월'!S101</f>
        <v>홍승민</v>
      </c>
      <c r="T611" s="11"/>
    </row>
    <row r="612" spans="1:20" ht="24">
      <c r="A612" t="s">
        <v>30</v>
      </c>
      <c r="B612" s="151" t="str">
        <f>'5월'!B102</f>
        <v>SB-25007</v>
      </c>
      <c r="C612" s="153" t="str">
        <f>'5월'!C102</f>
        <v>ZROHA2</v>
      </c>
      <c r="D612" s="17">
        <f>'5월'!D102</f>
        <v>45807</v>
      </c>
      <c r="E612" s="1" t="str">
        <f>'5월'!E102</f>
        <v>페타데이타</v>
      </c>
      <c r="F612" s="2" t="str">
        <f>'5월'!F102</f>
        <v>SBS</v>
      </c>
      <c r="G612" s="2" t="str">
        <f>'5월'!G102</f>
        <v>MA</v>
      </c>
      <c r="H612" s="2" t="str">
        <f>'5월'!H102</f>
        <v>월간-레노버</v>
      </c>
      <c r="I612" s="4" t="str">
        <f>'5월'!I102</f>
        <v>5월 유지정비료 - 5/12회</v>
      </c>
      <c r="J612" s="23">
        <f>'5월'!J102</f>
        <v>1</v>
      </c>
      <c r="K612" s="27">
        <f>'5월'!K102</f>
        <v>454600</v>
      </c>
      <c r="L612" s="26">
        <f>'5월'!L102</f>
        <v>454600</v>
      </c>
      <c r="M612" s="27">
        <f>'5월'!M102</f>
        <v>45460</v>
      </c>
      <c r="N612" s="27">
        <f>'5월'!N102</f>
        <v>500060</v>
      </c>
      <c r="O612" s="33">
        <f>'5월'!O102</f>
        <v>426333.33333333337</v>
      </c>
      <c r="P612" s="197" t="str">
        <f>'5월'!P102</f>
        <v>레노버(5/31) 243,000
시스나인(2/28) 1,100,000(5/6회)</v>
      </c>
      <c r="Q612" s="20">
        <f>'5월'!Q102</f>
        <v>28266.666666666628</v>
      </c>
      <c r="R612" s="2" t="str">
        <f>'5월'!R102</f>
        <v>완료(6/30)</v>
      </c>
      <c r="S612" s="8" t="str">
        <f>'5월'!S102</f>
        <v>천범석</v>
      </c>
      <c r="T612" s="11"/>
    </row>
    <row r="613" spans="1:20" ht="24">
      <c r="A613" t="s">
        <v>30</v>
      </c>
      <c r="B613" s="151" t="str">
        <f>'5월'!B103</f>
        <v>SM-25009</v>
      </c>
      <c r="C613" s="153"/>
      <c r="D613" s="17">
        <f>'5월'!D103</f>
        <v>45807</v>
      </c>
      <c r="E613" s="1" t="str">
        <f>'5월'!E103</f>
        <v>투데이시스템</v>
      </c>
      <c r="F613" s="2" t="str">
        <f>'5월'!F103</f>
        <v>스마트로</v>
      </c>
      <c r="G613" s="1" t="str">
        <f>'5월'!G103</f>
        <v>MA</v>
      </c>
      <c r="H613" s="83" t="str">
        <f>'5월'!H103</f>
        <v>월간</v>
      </c>
      <c r="I613" s="4" t="str">
        <f>'5월'!I103</f>
        <v>(부품) 5월 유지정비료 - 5/12회</v>
      </c>
      <c r="J613" s="23">
        <f>'5월'!J103</f>
        <v>1</v>
      </c>
      <c r="K613" s="27">
        <f>'5월'!K103</f>
        <v>2697200</v>
      </c>
      <c r="L613" s="26">
        <f>'5월'!L103</f>
        <v>2697200</v>
      </c>
      <c r="M613" s="27">
        <f>'5월'!M103</f>
        <v>269720</v>
      </c>
      <c r="N613" s="27">
        <f>'5월'!N103</f>
        <v>2966920</v>
      </c>
      <c r="O613" s="33">
        <f>'5월'!O103</f>
        <v>2736666.6666666665</v>
      </c>
      <c r="P613" s="197" t="str">
        <f>'5월'!P103</f>
        <v>시스나인(7/1) 1400중 800(2/3회)
이비웨이브(5/14) Cable 70,000</v>
      </c>
      <c r="Q613" s="20">
        <f>'5월'!Q103</f>
        <v>-39466.666666666511</v>
      </c>
      <c r="R613" s="2" t="str">
        <f>'5월'!R103</f>
        <v>완료(7/31)</v>
      </c>
      <c r="S613" s="8" t="str">
        <f>'5월'!S103</f>
        <v>이예지</v>
      </c>
      <c r="T613" s="11"/>
    </row>
    <row r="614" spans="1:20" ht="48">
      <c r="A614" t="s">
        <v>30</v>
      </c>
      <c r="B614" s="151" t="str">
        <f>'5월'!B104</f>
        <v>SB-25014</v>
      </c>
      <c r="C614" s="153" t="str">
        <f>'5월'!C104</f>
        <v>ZAVPY3</v>
      </c>
      <c r="D614" s="17">
        <f>'5월'!D104</f>
        <v>45807</v>
      </c>
      <c r="E614" s="214" t="str">
        <f>'5월'!E104</f>
        <v>와이젠정보기술</v>
      </c>
      <c r="F614" s="215" t="str">
        <f>'5월'!F104</f>
        <v>안국약품</v>
      </c>
      <c r="G614" s="1" t="str">
        <f>'5월'!G104</f>
        <v>MA</v>
      </c>
      <c r="H614" s="2" t="str">
        <f>'5월'!H104</f>
        <v>월간-레노버</v>
      </c>
      <c r="I614" s="4" t="str">
        <f>'5월'!I104</f>
        <v>5월 유지정비료 - 5/12회</v>
      </c>
      <c r="J614" s="23">
        <f>'5월'!J104</f>
        <v>1</v>
      </c>
      <c r="K614" s="27">
        <f>'5월'!K104</f>
        <v>2900000</v>
      </c>
      <c r="L614" s="26">
        <f>'5월'!L104</f>
        <v>2900000</v>
      </c>
      <c r="M614" s="27">
        <f>'5월'!M104</f>
        <v>290000</v>
      </c>
      <c r="N614" s="27">
        <f>'5월'!N104</f>
        <v>3190000</v>
      </c>
      <c r="O614" s="33">
        <f>'5월'!O104</f>
        <v>2572666.6666666665</v>
      </c>
      <c r="P614" s="197" t="str">
        <f>'5월'!P104</f>
        <v>레노버(5/31) 1,515,000
다솜테크(5/30) 250,000
DCSS(5/31) 391,000
시스나인 반기(2/28) 2,500,000(5/6회)</v>
      </c>
      <c r="Q614" s="20">
        <f>'5월'!Q104</f>
        <v>327333.33333333349</v>
      </c>
      <c r="R614" s="68" t="str">
        <f>'5월'!R104</f>
        <v>완료(6/30)</v>
      </c>
      <c r="S614" s="8" t="str">
        <f>'5월'!S104</f>
        <v>천범석</v>
      </c>
      <c r="T614" s="11"/>
    </row>
    <row r="615" spans="1:20">
      <c r="A615" t="s">
        <v>30</v>
      </c>
      <c r="B615" s="151" t="str">
        <f>'5월'!B105</f>
        <v>SB-25016</v>
      </c>
      <c r="C615" s="230" t="str">
        <f>'5월'!C105</f>
        <v>ZLXVVE</v>
      </c>
      <c r="D615" s="17">
        <f>'5월'!D105</f>
        <v>45807</v>
      </c>
      <c r="E615" s="214" t="str">
        <f>'5월'!E105</f>
        <v>에이큐씨앤씨</v>
      </c>
      <c r="F615" s="215" t="str">
        <f>'5월'!F105</f>
        <v>한림대학교</v>
      </c>
      <c r="G615" s="161" t="str">
        <f>'5월'!G105</f>
        <v>MA</v>
      </c>
      <c r="H615" s="83" t="str">
        <f>'5월'!H105</f>
        <v>월간-레노버</v>
      </c>
      <c r="I615" s="4" t="str">
        <f>'5월'!I105</f>
        <v>HW 5월 유지정비료 - 3/12회</v>
      </c>
      <c r="J615" s="23">
        <f>'5월'!J105</f>
        <v>1</v>
      </c>
      <c r="K615" s="27">
        <f>'5월'!K105</f>
        <v>501000</v>
      </c>
      <c r="L615" s="26">
        <f>'5월'!L105</f>
        <v>501000</v>
      </c>
      <c r="M615" s="27">
        <f>'5월'!M105</f>
        <v>50100</v>
      </c>
      <c r="N615" s="27">
        <f>'5월'!N105</f>
        <v>551100</v>
      </c>
      <c r="O615" s="33">
        <f>'5월'!O105</f>
        <v>405600</v>
      </c>
      <c r="P615" s="197" t="str">
        <f>'5월'!P105</f>
        <v>레노버(5/31)</v>
      </c>
      <c r="Q615" s="181">
        <f>'5월'!Q105</f>
        <v>95400</v>
      </c>
      <c r="R615" s="68" t="str">
        <f>'5월'!R105</f>
        <v>완료(6/30)</v>
      </c>
      <c r="S615" s="8" t="str">
        <f>'5월'!S105</f>
        <v>천범석</v>
      </c>
      <c r="T615" s="11"/>
    </row>
    <row r="616" spans="1:20">
      <c r="A616" t="s">
        <v>30</v>
      </c>
      <c r="B616" s="151" t="str">
        <f>'5월'!B106</f>
        <v>Y250324-01</v>
      </c>
      <c r="C616" s="153"/>
      <c r="D616" s="17">
        <f>'5월'!D106</f>
        <v>45807</v>
      </c>
      <c r="E616" s="1" t="str">
        <f>'5월'!E106</f>
        <v>파워시스</v>
      </c>
      <c r="F616" s="2" t="str">
        <f>'5월'!F106</f>
        <v>에이치에스티</v>
      </c>
      <c r="G616" s="161" t="str">
        <f>'5월'!G106</f>
        <v>MA</v>
      </c>
      <c r="H616" s="83" t="str">
        <f>'5월'!H106</f>
        <v>월간</v>
      </c>
      <c r="I616" s="4" t="str">
        <f>'5월'!I106</f>
        <v>Storwize V3700 원격 정기점검 - 3/10회</v>
      </c>
      <c r="J616" s="23">
        <f>'5월'!J106</f>
        <v>1</v>
      </c>
      <c r="K616" s="27">
        <f>'5월'!K106</f>
        <v>150000</v>
      </c>
      <c r="L616" s="26">
        <f>'5월'!L106</f>
        <v>150000</v>
      </c>
      <c r="M616" s="27">
        <f>'5월'!M106</f>
        <v>15000</v>
      </c>
      <c r="N616" s="27">
        <f>'5월'!N106</f>
        <v>165000</v>
      </c>
      <c r="O616" s="33">
        <f>'5월'!O106</f>
        <v>0</v>
      </c>
      <c r="P616" s="197" t="str">
        <f>'5월'!P106</f>
        <v>SM</v>
      </c>
      <c r="Q616" s="20">
        <f>'5월'!Q106</f>
        <v>150000</v>
      </c>
      <c r="R616" s="2" t="str">
        <f>'5월'!R106</f>
        <v>완료(7/31)</v>
      </c>
      <c r="S616" s="8" t="str">
        <f>'5월'!S106</f>
        <v>홍승민</v>
      </c>
      <c r="T616" s="11"/>
    </row>
    <row r="617" spans="1:20">
      <c r="A617" t="s">
        <v>30</v>
      </c>
      <c r="B617" s="151" t="str">
        <f>'5월'!B107</f>
        <v>IK-25003</v>
      </c>
      <c r="C617" s="200"/>
      <c r="D617" s="17">
        <f>'5월'!D107</f>
        <v>45807</v>
      </c>
      <c r="E617" s="214" t="str">
        <f>'5월'!E107</f>
        <v>엔콤</v>
      </c>
      <c r="F617" s="189" t="str">
        <f>'5월'!F107</f>
        <v>전북도시가스</v>
      </c>
      <c r="G617" s="161" t="str">
        <f>'5월'!G107</f>
        <v>MA</v>
      </c>
      <c r="H617" s="161" t="str">
        <f>'5월'!H107</f>
        <v>월간-IBM</v>
      </c>
      <c r="I617" s="163" t="str">
        <f>'5월'!I107</f>
        <v>5월 유지정비료 - 2/12회</v>
      </c>
      <c r="J617" s="24">
        <f>'5월'!J107</f>
        <v>1</v>
      </c>
      <c r="K617" s="26">
        <f>'5월'!K107</f>
        <v>1600000</v>
      </c>
      <c r="L617" s="26">
        <f>'5월'!L107</f>
        <v>1600000</v>
      </c>
      <c r="M617" s="27">
        <f>'5월'!M107</f>
        <v>160000</v>
      </c>
      <c r="N617" s="27">
        <f>'5월'!N107</f>
        <v>1760000</v>
      </c>
      <c r="O617" s="72">
        <f>'5월'!O107</f>
        <v>1352754</v>
      </c>
      <c r="P617" s="171" t="str">
        <f>'5월'!P107</f>
        <v>IBM(5/2)</v>
      </c>
      <c r="Q617" s="181">
        <f>'5월'!Q107</f>
        <v>247246</v>
      </c>
      <c r="R617" s="68" t="str">
        <f>'5월'!R107</f>
        <v>완료(6/30)</v>
      </c>
      <c r="S617" s="5" t="str">
        <f>'5월'!S107</f>
        <v>천범석</v>
      </c>
      <c r="T617" s="11"/>
    </row>
    <row r="618" spans="1:20" ht="36">
      <c r="A618" t="s">
        <v>30</v>
      </c>
      <c r="B618" s="151" t="str">
        <f>'5월'!B108</f>
        <v>LI-24009</v>
      </c>
      <c r="C618" s="153" t="str">
        <f>'5월'!C108</f>
        <v>ZMDFL5</v>
      </c>
      <c r="D618" s="17">
        <f>'5월'!D108</f>
        <v>45807</v>
      </c>
      <c r="E618" s="1" t="str">
        <f>'5월'!E108</f>
        <v>아이리스</v>
      </c>
      <c r="F618" s="189" t="str">
        <f>'5월'!F108</f>
        <v>프레이저플레이스호텔</v>
      </c>
      <c r="G618" s="2" t="str">
        <f>'5월'!G108</f>
        <v>MA</v>
      </c>
      <c r="H618" s="161" t="str">
        <f>'5월'!H108</f>
        <v>월간-IBM</v>
      </c>
      <c r="I618" s="70" t="str">
        <f>'5월'!I108</f>
        <v>IBM 분기 (25.5~25.07) 유지정비료 -(4/4)회</v>
      </c>
      <c r="J618" s="53">
        <f>'5월'!J108</f>
        <v>1</v>
      </c>
      <c r="K618" s="51">
        <f>'5월'!K108</f>
        <v>1055000</v>
      </c>
      <c r="L618" s="26">
        <f>'5월'!L108</f>
        <v>1055000</v>
      </c>
      <c r="M618" s="27">
        <f>'5월'!M108</f>
        <v>105500</v>
      </c>
      <c r="N618" s="27">
        <f>'5월'!N108</f>
        <v>1160500</v>
      </c>
      <c r="O618" s="52">
        <f>'5월'!O108</f>
        <v>905600</v>
      </c>
      <c r="P618" s="223" t="str">
        <f>'5월'!P108</f>
        <v>IBM 월 95,200 (5/2)(6/2)(7/1)
시스나인(7/1)반기 1,000,000 2/2회
이비웨이브(7/30) 300G 120,000</v>
      </c>
      <c r="Q618" s="181">
        <f>'5월'!Q108</f>
        <v>149400</v>
      </c>
      <c r="R618" s="68" t="str">
        <f>'5월'!R108</f>
        <v>완료(7/31)</v>
      </c>
      <c r="S618" s="8" t="str">
        <f>'5월'!S108</f>
        <v>천범석</v>
      </c>
      <c r="T618" s="11"/>
    </row>
    <row r="619" spans="1:20">
      <c r="A619" t="s">
        <v>30</v>
      </c>
      <c r="B619" s="151" t="str">
        <f>'5월'!B109</f>
        <v>S</v>
      </c>
      <c r="C619" s="153"/>
      <c r="D619" s="17">
        <f>'5월'!D109</f>
        <v>45807</v>
      </c>
      <c r="E619" s="1" t="str">
        <f>'5월'!E109</f>
        <v>에이치인포</v>
      </c>
      <c r="F619" s="2" t="str">
        <f>'5월'!F109</f>
        <v>HMM(에이치엠엠)</v>
      </c>
      <c r="G619" s="2" t="str">
        <f>'5월'!G109</f>
        <v>MA</v>
      </c>
      <c r="H619" s="2" t="str">
        <f>'5월'!H109</f>
        <v>기술지원</v>
      </c>
      <c r="I619" s="4" t="str">
        <f>'5월'!I109</f>
        <v>서비스기술지원 (4차)</v>
      </c>
      <c r="J619" s="23">
        <f>'5월'!J109</f>
        <v>1</v>
      </c>
      <c r="K619" s="27">
        <f>'5월'!K109</f>
        <v>1000000</v>
      </c>
      <c r="L619" s="26">
        <f>'5월'!L109</f>
        <v>1000000</v>
      </c>
      <c r="M619" s="27">
        <f>'5월'!M109</f>
        <v>100000</v>
      </c>
      <c r="N619" s="27">
        <f>'5월'!N109</f>
        <v>1100000</v>
      </c>
      <c r="O619" s="33">
        <f>'5월'!O109</f>
        <v>900000</v>
      </c>
      <c r="P619" s="197" t="str">
        <f>'5월'!P109</f>
        <v xml:space="preserve">시스나인(7/6) </v>
      </c>
      <c r="Q619" s="20">
        <f>'5월'!Q109</f>
        <v>100000</v>
      </c>
      <c r="R619" s="2" t="str">
        <f>'5월'!R109</f>
        <v>완료(6/30)</v>
      </c>
      <c r="S619" s="8" t="str">
        <f>'5월'!S109</f>
        <v>이예지</v>
      </c>
      <c r="T619" s="11"/>
    </row>
    <row r="620" spans="1:20" ht="36">
      <c r="A620" t="s">
        <v>30</v>
      </c>
      <c r="B620" s="151" t="str">
        <f>'5월'!B110</f>
        <v>H250507-02</v>
      </c>
      <c r="C620" s="153"/>
      <c r="D620" s="17">
        <f>'5월'!D110</f>
        <v>45807</v>
      </c>
      <c r="E620" s="1" t="str">
        <f>'5월'!E110</f>
        <v>티에스씨인포</v>
      </c>
      <c r="F620" s="2"/>
      <c r="G620" s="2" t="str">
        <f>'5월'!G110</f>
        <v>상품</v>
      </c>
      <c r="H620" s="83" t="str">
        <f>'5월'!H110</f>
        <v>00YK039</v>
      </c>
      <c r="I620" s="4" t="str">
        <f>'5월'!I110</f>
        <v>Lenovo 00yk039 2tb 7.2k Rpm Sata 6gbps 512n 3.5-inch Internal Hot-swap Hard Disk Drive</v>
      </c>
      <c r="J620" s="23">
        <f>'5월'!J110</f>
        <v>1</v>
      </c>
      <c r="K620" s="27">
        <f>'5월'!K110</f>
        <v>450000</v>
      </c>
      <c r="L620" s="26">
        <f>'5월'!L110</f>
        <v>790000</v>
      </c>
      <c r="M620" s="27">
        <f>'5월'!M110</f>
        <v>79000</v>
      </c>
      <c r="N620" s="27">
        <f>'5월'!N110</f>
        <v>869000</v>
      </c>
      <c r="O620" s="33">
        <f>'5월'!O110</f>
        <v>650000</v>
      </c>
      <c r="P620" s="197" t="str">
        <f>'5월'!P110</f>
        <v>이비웨이브(5/7)220,000 이비웨이브(5/8) 260,000
이비웨이브(5/21) 170,000</v>
      </c>
      <c r="Q620" s="20">
        <f>'5월'!Q110</f>
        <v>140000</v>
      </c>
      <c r="R620" s="2" t="str">
        <f>'5월'!R110</f>
        <v>완료(6/10)</v>
      </c>
      <c r="S620" s="8" t="str">
        <f>'5월'!S110</f>
        <v>천범석</v>
      </c>
      <c r="T620" s="11"/>
    </row>
    <row r="621" spans="1:20">
      <c r="A621" t="s">
        <v>30</v>
      </c>
      <c r="B621" s="154" t="str">
        <f>'5월'!B111</f>
        <v>H250508-02</v>
      </c>
      <c r="C621" s="155"/>
      <c r="D621" s="43"/>
      <c r="E621" s="44" t="str">
        <f>'5월'!E111</f>
        <v>티에스씨인포</v>
      </c>
      <c r="F621" s="41"/>
      <c r="G621" s="2" t="str">
        <f>'5월'!G111</f>
        <v>상품</v>
      </c>
      <c r="H621" s="83" t="str">
        <f>'5월'!H111</f>
        <v>00Y5765</v>
      </c>
      <c r="I621" s="4" t="str">
        <f>'5월'!I111</f>
        <v>IBM 1.2TB 10K SFF HDD</v>
      </c>
      <c r="J621" s="23">
        <f>'5월'!J111</f>
        <v>1</v>
      </c>
      <c r="K621" s="27">
        <f>'5월'!K111</f>
        <v>340000</v>
      </c>
      <c r="L621" s="37"/>
      <c r="M621" s="38"/>
      <c r="N621" s="38"/>
      <c r="O621" s="39"/>
      <c r="P621" s="175"/>
      <c r="Q621" s="40"/>
      <c r="R621" s="41"/>
      <c r="S621" s="42"/>
      <c r="T621" s="11"/>
    </row>
    <row r="622" spans="1:20">
      <c r="A622" t="s">
        <v>30</v>
      </c>
      <c r="B622" s="151" t="str">
        <f>'5월'!B112</f>
        <v>S250526</v>
      </c>
      <c r="C622" s="153"/>
      <c r="D622" s="17">
        <f>'5월'!D112</f>
        <v>45807</v>
      </c>
      <c r="E622" s="1" t="str">
        <f>'5월'!E112</f>
        <v>다솜테크</v>
      </c>
      <c r="F622" s="2"/>
      <c r="G622" s="2" t="str">
        <f>'5월'!G112</f>
        <v>상품</v>
      </c>
      <c r="H622" s="83" t="str">
        <f>'5월'!H112</f>
        <v>기술지원</v>
      </c>
      <c r="I622" s="4" t="str">
        <f>'5월'!I112</f>
        <v>SAP AP HA 및 OS 구성 기술지원 LSITC</v>
      </c>
      <c r="J622" s="23">
        <f>'5월'!J112</f>
        <v>1</v>
      </c>
      <c r="K622" s="27">
        <f>'5월'!K112</f>
        <v>13900000</v>
      </c>
      <c r="L622" s="26">
        <f>'5월'!L112</f>
        <v>13900000</v>
      </c>
      <c r="M622" s="27">
        <f>'5월'!M112</f>
        <v>1390000</v>
      </c>
      <c r="N622" s="27">
        <f>'5월'!N112</f>
        <v>15290000</v>
      </c>
      <c r="O622" s="33">
        <f>'5월'!O112</f>
        <v>13270000</v>
      </c>
      <c r="P622" s="197" t="str">
        <f>'5월'!P112</f>
        <v>에오스(5/30) 13,270,000</v>
      </c>
      <c r="Q622" s="20">
        <f>'5월'!Q112</f>
        <v>630000</v>
      </c>
      <c r="R622" s="2" t="str">
        <f>'5월'!R112</f>
        <v>완료(7/31)</v>
      </c>
      <c r="S622" s="8" t="str">
        <f>'5월'!S112</f>
        <v>이예지</v>
      </c>
      <c r="T622" s="11"/>
    </row>
    <row r="623" spans="1:20">
      <c r="A623" t="s">
        <v>30</v>
      </c>
      <c r="B623" s="151" t="str">
        <f>'5월'!B113</f>
        <v>S250526</v>
      </c>
      <c r="C623" s="153"/>
      <c r="D623" s="17">
        <f>'5월'!D113</f>
        <v>45807</v>
      </c>
      <c r="E623" s="1" t="str">
        <f>'5월'!E113</f>
        <v>다솜테크</v>
      </c>
      <c r="F623" s="2"/>
      <c r="G623" s="2" t="str">
        <f>'5월'!G113</f>
        <v>상품</v>
      </c>
      <c r="H623" s="83" t="str">
        <f>'5월'!H113</f>
        <v>기술지원</v>
      </c>
      <c r="I623" s="4" t="str">
        <f>'5월'!I113</f>
        <v>EMC unity380 기술지원</v>
      </c>
      <c r="J623" s="23">
        <f>'5월'!J113</f>
        <v>1</v>
      </c>
      <c r="K623" s="27">
        <f>'5월'!K113</f>
        <v>700000</v>
      </c>
      <c r="L623" s="26">
        <f>'5월'!L113</f>
        <v>700000</v>
      </c>
      <c r="M623" s="27">
        <f>'5월'!M113</f>
        <v>70000</v>
      </c>
      <c r="N623" s="27">
        <f>'5월'!N113</f>
        <v>770000</v>
      </c>
      <c r="O623" s="33">
        <f>'5월'!O113</f>
        <v>400000</v>
      </c>
      <c r="P623" s="197" t="str">
        <f>'5월'!P113</f>
        <v>테아이인포(5/23) 400,000</v>
      </c>
      <c r="Q623" s="20">
        <f>'5월'!Q113</f>
        <v>300000</v>
      </c>
      <c r="R623" s="2" t="str">
        <f>'5월'!R113</f>
        <v>완료(7/31)</v>
      </c>
      <c r="S623" s="8" t="str">
        <f>'5월'!S113</f>
        <v>이예지</v>
      </c>
      <c r="T623" s="11"/>
    </row>
    <row r="624" spans="1:20">
      <c r="A624" t="s">
        <v>30</v>
      </c>
      <c r="B624" s="151" t="str">
        <f>'5월'!B114</f>
        <v>S</v>
      </c>
      <c r="C624" s="153"/>
      <c r="D624" s="17">
        <f>'5월'!D114</f>
        <v>45807</v>
      </c>
      <c r="E624" s="1" t="str">
        <f>'5월'!E114</f>
        <v>인테그리틱스</v>
      </c>
      <c r="F624" s="215" t="str">
        <f>'5월'!F114</f>
        <v>광명자이 1811호</v>
      </c>
      <c r="G624" s="161" t="str">
        <f>'5월'!G114</f>
        <v>건물임대</v>
      </c>
      <c r="H624" s="161" t="str">
        <f>'5월'!H114</f>
        <v>임대료</v>
      </c>
      <c r="I624" s="4" t="str">
        <f>'5월'!I114</f>
        <v>임대료(25/5/8~6/7) - 2/12회</v>
      </c>
      <c r="J624" s="23">
        <f>'5월'!J114</f>
        <v>1</v>
      </c>
      <c r="K624" s="27">
        <f>'5월'!K114</f>
        <v>550000</v>
      </c>
      <c r="L624" s="26">
        <f>'5월'!L114</f>
        <v>550000</v>
      </c>
      <c r="M624" s="27">
        <f>'5월'!M114</f>
        <v>55000</v>
      </c>
      <c r="N624" s="27">
        <f>'5월'!N114</f>
        <v>605000</v>
      </c>
      <c r="O624" s="52">
        <f>'5월'!O114</f>
        <v>0</v>
      </c>
      <c r="P624" s="171" t="str">
        <f>'5월'!P114</f>
        <v>X</v>
      </c>
      <c r="Q624" s="20">
        <f>'5월'!Q114</f>
        <v>550000</v>
      </c>
      <c r="R624" s="68" t="str">
        <f>'5월'!R114</f>
        <v>완료(6/27)</v>
      </c>
      <c r="S624" s="8" t="str">
        <f>'5월'!S114</f>
        <v>정지우</v>
      </c>
      <c r="T624" s="11"/>
    </row>
    <row r="625" spans="1:20" ht="24">
      <c r="A625" t="s">
        <v>30</v>
      </c>
      <c r="B625" s="151" t="str">
        <f>'5월'!B115</f>
        <v>SB-25026</v>
      </c>
      <c r="C625" s="230" t="str">
        <f>'5월'!C115</f>
        <v>TAHXA0197</v>
      </c>
      <c r="D625" s="17">
        <f>'5월'!D115</f>
        <v>45808</v>
      </c>
      <c r="E625" s="1" t="str">
        <f>'5월'!E115</f>
        <v>지티아이앤씨</v>
      </c>
      <c r="F625" s="2" t="str">
        <f>'5월'!F115</f>
        <v>한림성심대학교</v>
      </c>
      <c r="G625" s="2" t="str">
        <f>'5월'!G115</f>
        <v>MAPAC</v>
      </c>
      <c r="H625" s="83" t="str">
        <f>'5월'!H115</f>
        <v>연간-레노버</v>
      </c>
      <c r="I625" s="4" t="str">
        <f>'5월'!I115</f>
        <v>SW연간유지정비료 (25.03.01~26.02.28)</v>
      </c>
      <c r="J625" s="23">
        <f>'5월'!J115</f>
        <v>1</v>
      </c>
      <c r="K625" s="27">
        <f>'5월'!K115</f>
        <v>7341000</v>
      </c>
      <c r="L625" s="26">
        <f>'5월'!L115</f>
        <v>7341000</v>
      </c>
      <c r="M625" s="27">
        <f>'5월'!M115</f>
        <v>734100</v>
      </c>
      <c r="N625" s="27">
        <f>'5월'!N115</f>
        <v>8075100</v>
      </c>
      <c r="O625" s="33">
        <f>'5월'!O115</f>
        <v>6796233</v>
      </c>
      <c r="P625" s="197" t="str">
        <f>'5월'!P115</f>
        <v>레노버(6/10)</v>
      </c>
      <c r="Q625" s="20">
        <f>'5월'!Q115</f>
        <v>544767</v>
      </c>
      <c r="R625" s="2" t="str">
        <f>'5월'!R115</f>
        <v>완료(6/30)</v>
      </c>
      <c r="S625" s="8" t="str">
        <f>'5월'!S115</f>
        <v>천범석</v>
      </c>
      <c r="T625" s="11"/>
    </row>
    <row r="626" spans="1:20">
      <c r="A626" t="s">
        <v>30</v>
      </c>
      <c r="B626" s="151" t="str">
        <f>'5월'!B116</f>
        <v>SB-25026</v>
      </c>
      <c r="C626" s="230" t="str">
        <f>'5월'!C116</f>
        <v>ZUZMVP</v>
      </c>
      <c r="D626" s="17">
        <f>'5월'!D116</f>
        <v>45808</v>
      </c>
      <c r="E626" s="1" t="str">
        <f>'5월'!E116</f>
        <v>지티아이앤씨</v>
      </c>
      <c r="F626" s="2" t="str">
        <f>'5월'!F116</f>
        <v>한림성심대학교</v>
      </c>
      <c r="G626" s="2" t="str">
        <f>'5월'!G116</f>
        <v>MA</v>
      </c>
      <c r="H626" s="83" t="str">
        <f>'5월'!H116</f>
        <v>월간-레노버</v>
      </c>
      <c r="I626" s="4" t="str">
        <f>'5월'!I116</f>
        <v>HW 3~5월 유지정비료 1~3/12회</v>
      </c>
      <c r="J626" s="23">
        <f>'5월'!J116</f>
        <v>3</v>
      </c>
      <c r="K626" s="27">
        <f>'5월'!K116</f>
        <v>429500</v>
      </c>
      <c r="L626" s="26">
        <f>'5월'!L116</f>
        <v>1288500</v>
      </c>
      <c r="M626" s="27">
        <f>'5월'!M116</f>
        <v>128850</v>
      </c>
      <c r="N626" s="27">
        <f>'5월'!N116</f>
        <v>1417350</v>
      </c>
      <c r="O626" s="33">
        <f>'5월'!O116</f>
        <v>1170900</v>
      </c>
      <c r="P626" s="197" t="str">
        <f>'5월'!P116</f>
        <v>레노버(6/10) 390,300*3</v>
      </c>
      <c r="Q626" s="20">
        <f>'5월'!Q116</f>
        <v>117600</v>
      </c>
      <c r="R626" s="2" t="str">
        <f>'5월'!R116</f>
        <v>완료(6/30)</v>
      </c>
      <c r="S626" s="8" t="str">
        <f>'5월'!S116</f>
        <v>천범석</v>
      </c>
      <c r="T626" s="11"/>
    </row>
    <row r="627" spans="1:20">
      <c r="A627" t="s">
        <v>30</v>
      </c>
      <c r="B627" s="151" t="str">
        <f>'6월'!B3</f>
        <v>IK-23016</v>
      </c>
      <c r="C627" s="153"/>
      <c r="D627" s="17">
        <f>'6월'!D3</f>
        <v>45809</v>
      </c>
      <c r="E627" s="1" t="str">
        <f>'6월'!E3</f>
        <v>케이정보기술</v>
      </c>
      <c r="F627" s="2" t="str">
        <f>'6월'!F3</f>
        <v>청주시청</v>
      </c>
      <c r="G627" s="1" t="str">
        <f>'6월'!G3</f>
        <v>MA</v>
      </c>
      <c r="H627" s="161" t="str">
        <f>'6월'!H3</f>
        <v>월간-IBM</v>
      </c>
      <c r="I627" s="164" t="str">
        <f>'6월'!I3</f>
        <v>6월 유지정비료 - 22/35회</v>
      </c>
      <c r="J627" s="210">
        <f>'6월'!J3</f>
        <v>1</v>
      </c>
      <c r="K627" s="27">
        <f>'6월'!K3</f>
        <v>1600000</v>
      </c>
      <c r="L627" s="26">
        <f>'6월'!L3</f>
        <v>1600000</v>
      </c>
      <c r="M627" s="27">
        <f>'6월'!M3</f>
        <v>160000</v>
      </c>
      <c r="N627" s="27">
        <f>'6월'!N3</f>
        <v>1760000</v>
      </c>
      <c r="O627" s="52">
        <f>'6월'!O3</f>
        <v>1383858</v>
      </c>
      <c r="P627" s="170" t="str">
        <f>'6월'!P3</f>
        <v>IBM(6/2) 1,123,962 (6/2) 259,896</v>
      </c>
      <c r="Q627" s="181">
        <f>'6월'!Q3</f>
        <v>216142</v>
      </c>
      <c r="R627" s="2" t="str">
        <f>'6월'!R3</f>
        <v>완료(7/31)</v>
      </c>
      <c r="S627" s="8" t="str">
        <f>'6월'!S3</f>
        <v>천범석</v>
      </c>
      <c r="T627" s="11"/>
    </row>
    <row r="628" spans="1:20" ht="24">
      <c r="A628" t="s">
        <v>30</v>
      </c>
      <c r="B628" s="151" t="str">
        <f>'6월'!B4</f>
        <v>LI-24004</v>
      </c>
      <c r="C628" s="153"/>
      <c r="D628" s="17">
        <f>'6월'!D4</f>
        <v>45809</v>
      </c>
      <c r="E628" s="1" t="str">
        <f>'6월'!E4</f>
        <v>한국메탈</v>
      </c>
      <c r="F628" s="2"/>
      <c r="G628" s="1" t="str">
        <f>'6월'!G4</f>
        <v>MA</v>
      </c>
      <c r="H628" s="1" t="str">
        <f>'6월'!H4</f>
        <v>월간-IBM</v>
      </c>
      <c r="I628" s="4" t="str">
        <f>'6월'!I4</f>
        <v>6월 유지정비료 - 14/36회</v>
      </c>
      <c r="J628" s="210">
        <f>'6월'!J4</f>
        <v>1</v>
      </c>
      <c r="K628" s="27">
        <f>'6월'!K4</f>
        <v>507500</v>
      </c>
      <c r="L628" s="26">
        <f>'6월'!L4</f>
        <v>507500</v>
      </c>
      <c r="M628" s="27">
        <f>'6월'!M4</f>
        <v>50750</v>
      </c>
      <c r="N628" s="27">
        <f>'6월'!N4</f>
        <v>558250</v>
      </c>
      <c r="O628" s="52">
        <f>'6월'!O4</f>
        <v>416682</v>
      </c>
      <c r="P628" s="170" t="str">
        <f>'6월'!P4</f>
        <v>IBM(6/2) 316,682
시스나인(1/2) 연간 1,200,000(6/12회)</v>
      </c>
      <c r="Q628" s="181">
        <f>'6월'!Q4</f>
        <v>90818</v>
      </c>
      <c r="R628" s="68" t="str">
        <f>'6월'!R4</f>
        <v>완료(6/30)</v>
      </c>
      <c r="S628" s="8" t="str">
        <f>'6월'!S4</f>
        <v>천범석</v>
      </c>
      <c r="T628" s="11"/>
    </row>
    <row r="629" spans="1:20">
      <c r="A629" t="s">
        <v>30</v>
      </c>
      <c r="B629" s="151" t="str">
        <f>'6월'!B5</f>
        <v>SB-24039</v>
      </c>
      <c r="C629" s="152" t="str">
        <f>'6월'!C5</f>
        <v>ZZGBBZ</v>
      </c>
      <c r="D629" s="17">
        <f>'6월'!D5</f>
        <v>45809</v>
      </c>
      <c r="E629" s="1" t="str">
        <f>'6월'!E5</f>
        <v>한국디지털방송</v>
      </c>
      <c r="F629" s="1"/>
      <c r="G629" s="1" t="str">
        <f>'6월'!G5</f>
        <v>MA</v>
      </c>
      <c r="H629" s="161" t="str">
        <f>'6월'!H5</f>
        <v>월간-레노버</v>
      </c>
      <c r="I629" s="164" t="str">
        <f>'6월'!I5</f>
        <v>6월 유지정비료 - 12/12회</v>
      </c>
      <c r="J629" s="69">
        <f>'6월'!J5</f>
        <v>1</v>
      </c>
      <c r="K629" s="29">
        <f>'6월'!K5</f>
        <v>1423000</v>
      </c>
      <c r="L629" s="26">
        <f>'6월'!L5</f>
        <v>1423000</v>
      </c>
      <c r="M629" s="27">
        <f>'6월'!M5</f>
        <v>142300</v>
      </c>
      <c r="N629" s="27">
        <f>'6월'!N5</f>
        <v>1565300</v>
      </c>
      <c r="O629" s="52">
        <f>'6월'!O5</f>
        <v>1120200</v>
      </c>
      <c r="P629" s="171" t="str">
        <f>'6월'!P5</f>
        <v>레노버(6/30)</v>
      </c>
      <c r="Q629" s="181">
        <f>'6월'!Q5</f>
        <v>302800</v>
      </c>
      <c r="R629" s="68" t="str">
        <f>'6월'!R5</f>
        <v>완료(6/24)</v>
      </c>
      <c r="S629" s="5" t="str">
        <f>'6월'!S5</f>
        <v>천범석</v>
      </c>
      <c r="T629" s="6"/>
    </row>
    <row r="630" spans="1:20" ht="24">
      <c r="A630" t="s">
        <v>30</v>
      </c>
      <c r="B630" s="151" t="str">
        <f>'6월'!B6</f>
        <v>IK-24008</v>
      </c>
      <c r="C630" s="153"/>
      <c r="D630" s="17">
        <f>'6월'!D6</f>
        <v>45809</v>
      </c>
      <c r="E630" s="1" t="str">
        <f>'6월'!E6</f>
        <v>서비스링크</v>
      </c>
      <c r="F630" s="2" t="str">
        <f>'6월'!F6</f>
        <v>세원정공(폴라리스세원)</v>
      </c>
      <c r="G630" s="1" t="str">
        <f>'6월'!G6</f>
        <v>MA</v>
      </c>
      <c r="H630" s="161" t="str">
        <f>'6월'!H6</f>
        <v>월간-레노버</v>
      </c>
      <c r="I630" s="164" t="str">
        <f>'6월'!I6</f>
        <v>6월 유지정비료 - 12/12회</v>
      </c>
      <c r="J630" s="210">
        <f>'6월'!J6</f>
        <v>1</v>
      </c>
      <c r="K630" s="27">
        <f>'6월'!K6</f>
        <v>238000</v>
      </c>
      <c r="L630" s="26">
        <f>'6월'!L6</f>
        <v>238000</v>
      </c>
      <c r="M630" s="27">
        <f>'6월'!M6</f>
        <v>23800</v>
      </c>
      <c r="N630" s="27">
        <f>'6월'!N6</f>
        <v>261800</v>
      </c>
      <c r="O630" s="52">
        <f>'6월'!O6</f>
        <v>198018</v>
      </c>
      <c r="P630" s="170" t="str">
        <f>'6월'!P6</f>
        <v>IBM(6/2)</v>
      </c>
      <c r="Q630" s="181">
        <f>'6월'!Q6</f>
        <v>39982</v>
      </c>
      <c r="R630" s="68" t="str">
        <f>'6월'!R6</f>
        <v>완료(6/30)</v>
      </c>
      <c r="S630" s="5" t="str">
        <f>'6월'!S6</f>
        <v>천범석</v>
      </c>
      <c r="T630" s="11"/>
    </row>
    <row r="631" spans="1:20">
      <c r="A631" t="s">
        <v>30</v>
      </c>
      <c r="B631" s="151" t="str">
        <f>'6월'!B7</f>
        <v>IK-24013</v>
      </c>
      <c r="C631" s="153"/>
      <c r="D631" s="17">
        <f>'6월'!D7</f>
        <v>45809</v>
      </c>
      <c r="E631" s="1" t="str">
        <f>'6월'!E7</f>
        <v>레드텍</v>
      </c>
      <c r="F631" s="2" t="str">
        <f>'6월'!F7</f>
        <v>대한상공회의소</v>
      </c>
      <c r="G631" s="161" t="str">
        <f>'6월'!G7</f>
        <v>MA</v>
      </c>
      <c r="H631" s="161" t="str">
        <f>'6월'!H7</f>
        <v>월간-IBM</v>
      </c>
      <c r="I631" s="4" t="str">
        <f>'6월'!I7</f>
        <v>6월 유지정비료 - 8/12회</v>
      </c>
      <c r="J631" s="23">
        <f>'6월'!J7</f>
        <v>1</v>
      </c>
      <c r="K631" s="27">
        <f>'6월'!K7</f>
        <v>158400</v>
      </c>
      <c r="L631" s="26">
        <f>'6월'!L7</f>
        <v>158400</v>
      </c>
      <c r="M631" s="27">
        <f>'6월'!M7</f>
        <v>15840</v>
      </c>
      <c r="N631" s="27">
        <f>'6월'!N7</f>
        <v>174240</v>
      </c>
      <c r="O631" s="33">
        <f>'6월'!O7</f>
        <v>145780</v>
      </c>
      <c r="P631" s="170" t="str">
        <f>'6월'!P7</f>
        <v>IBM(6/2)</v>
      </c>
      <c r="Q631" s="20">
        <f>'6월'!Q7</f>
        <v>12620</v>
      </c>
      <c r="R631" s="68" t="str">
        <f>'6월'!R7</f>
        <v>완료(6/4)</v>
      </c>
      <c r="S631" s="8" t="str">
        <f>'6월'!S7</f>
        <v>천범석</v>
      </c>
      <c r="T631" s="11"/>
    </row>
    <row r="632" spans="1:20" ht="24">
      <c r="A632" t="s">
        <v>30</v>
      </c>
      <c r="B632" s="151" t="str">
        <f>'6월'!B8</f>
        <v>SM-23012</v>
      </c>
      <c r="C632" s="152"/>
      <c r="D632" s="17">
        <f>'6월'!D8</f>
        <v>45809</v>
      </c>
      <c r="E632" s="1" t="str">
        <f>'6월'!E8</f>
        <v>택스홈앤아웃</v>
      </c>
      <c r="F632" s="161" t="str">
        <f>'6월'!F8</f>
        <v>본사</v>
      </c>
      <c r="G632" s="161" t="str">
        <f>'6월'!G8</f>
        <v>MA</v>
      </c>
      <c r="H632" s="161" t="str">
        <f>'6월'!H8</f>
        <v>월간</v>
      </c>
      <c r="I632" s="163" t="str">
        <f>'6월'!I8</f>
        <v>VPN 서비스 6월임대료 - 6/12회 280,000
+ 보안스위치 6월 2대*120,000</v>
      </c>
      <c r="J632" s="71">
        <f>'6월'!J8</f>
        <v>1</v>
      </c>
      <c r="K632" s="26">
        <f>'6월'!K8</f>
        <v>520000</v>
      </c>
      <c r="L632" s="26">
        <f>'6월'!L8</f>
        <v>520000</v>
      </c>
      <c r="M632" s="27">
        <f>'6월'!M8</f>
        <v>52000</v>
      </c>
      <c r="N632" s="27">
        <f>'6월'!N8</f>
        <v>572000</v>
      </c>
      <c r="O632" s="52">
        <f>'6월'!O8</f>
        <v>368600</v>
      </c>
      <c r="P632" s="171" t="str">
        <f>'6월'!P8</f>
        <v>엘림넷(6/10) 213,400 (6/10) 155,200</v>
      </c>
      <c r="Q632" s="181">
        <f>'6월'!Q8</f>
        <v>151400</v>
      </c>
      <c r="R632" s="68" t="str">
        <f>'6월'!R8</f>
        <v>완료(6/30)</v>
      </c>
      <c r="S632" s="5" t="str">
        <f>'6월'!S8</f>
        <v>이예지</v>
      </c>
      <c r="T632" s="6"/>
    </row>
    <row r="633" spans="1:20">
      <c r="A633" t="s">
        <v>30</v>
      </c>
      <c r="B633" s="151" t="str">
        <f>'6월'!B9</f>
        <v>SM-23013</v>
      </c>
      <c r="C633" s="152"/>
      <c r="D633" s="17">
        <f>'6월'!D9</f>
        <v>45809</v>
      </c>
      <c r="E633" s="1" t="str">
        <f>'6월'!E9</f>
        <v>하이엔드택스 강남지점</v>
      </c>
      <c r="F633" s="161" t="str">
        <f>'6월'!F9</f>
        <v>압구정</v>
      </c>
      <c r="G633" s="161" t="str">
        <f>'6월'!G9</f>
        <v>MA</v>
      </c>
      <c r="H633" s="161" t="str">
        <f>'6월'!H9</f>
        <v>월간</v>
      </c>
      <c r="I633" s="163" t="str">
        <f>'6월'!I9</f>
        <v>VPN 서비스 6월임대료 - 6/12회</v>
      </c>
      <c r="J633" s="71">
        <f>'6월'!J9</f>
        <v>1</v>
      </c>
      <c r="K633" s="26">
        <f>'6월'!K9</f>
        <v>320000</v>
      </c>
      <c r="L633" s="26">
        <f>'6월'!L9</f>
        <v>320000</v>
      </c>
      <c r="M633" s="27">
        <f>'6월'!M9</f>
        <v>32000</v>
      </c>
      <c r="N633" s="27">
        <f>'6월'!N9</f>
        <v>352000</v>
      </c>
      <c r="O633" s="52">
        <f>'6월'!O9</f>
        <v>223100</v>
      </c>
      <c r="P633" s="171" t="str">
        <f>'6월'!P9</f>
        <v>엘림넷(6/10) 145,500 (6/10) 77,600</v>
      </c>
      <c r="Q633" s="181">
        <f>'6월'!Q9</f>
        <v>96900</v>
      </c>
      <c r="R633" s="68" t="str">
        <f>'6월'!R9</f>
        <v>완료(7/4)</v>
      </c>
      <c r="S633" s="5" t="str">
        <f>'6월'!S9</f>
        <v>이예지</v>
      </c>
      <c r="T633" s="6"/>
    </row>
    <row r="634" spans="1:20">
      <c r="A634" t="s">
        <v>30</v>
      </c>
      <c r="B634" s="151" t="str">
        <f>'6월'!B10</f>
        <v>SM-23016</v>
      </c>
      <c r="C634" s="152"/>
      <c r="D634" s="17">
        <f>'6월'!D10</f>
        <v>45809</v>
      </c>
      <c r="E634" s="1" t="str">
        <f>'6월'!E10</f>
        <v>에실로코리아</v>
      </c>
      <c r="F634" s="1" t="str">
        <f>'6월'!F10</f>
        <v>에실로코리아</v>
      </c>
      <c r="G634" s="161" t="str">
        <f>'6월'!G10</f>
        <v>MA</v>
      </c>
      <c r="H634" s="161" t="str">
        <f>'6월'!H10</f>
        <v>월간</v>
      </c>
      <c r="I634" s="163" t="str">
        <f>'6월'!I10</f>
        <v>6월 유지정비료 - 6/12회</v>
      </c>
      <c r="J634" s="71">
        <f>'6월'!J10</f>
        <v>1</v>
      </c>
      <c r="K634" s="28">
        <f>'6월'!K10</f>
        <v>100000</v>
      </c>
      <c r="L634" s="26">
        <f>'6월'!L10</f>
        <v>100000</v>
      </c>
      <c r="M634" s="27">
        <f>'6월'!M10</f>
        <v>10000</v>
      </c>
      <c r="N634" s="27">
        <f>'6월'!N10</f>
        <v>110000</v>
      </c>
      <c r="O634" s="52">
        <f>'6월'!O10</f>
        <v>0</v>
      </c>
      <c r="P634" s="171" t="str">
        <f>'6월'!P10</f>
        <v>SM</v>
      </c>
      <c r="Q634" s="181">
        <f>'6월'!Q10</f>
        <v>100000</v>
      </c>
      <c r="R634" s="68" t="str">
        <f>'6월'!R10</f>
        <v>완료(7/17)</v>
      </c>
      <c r="S634" s="5" t="str">
        <f>'6월'!S10</f>
        <v>이예지</v>
      </c>
      <c r="T634" s="6"/>
    </row>
    <row r="635" spans="1:20" ht="24">
      <c r="A635" t="s">
        <v>30</v>
      </c>
      <c r="B635" s="151" t="str">
        <f>'6월'!B11</f>
        <v>IK-22025</v>
      </c>
      <c r="C635" s="153"/>
      <c r="D635" s="17">
        <f>'6월'!D11</f>
        <v>45809</v>
      </c>
      <c r="E635" s="1" t="str">
        <f>'6월'!E11</f>
        <v>디에스피</v>
      </c>
      <c r="F635" s="161" t="str">
        <f>'6월'!F11</f>
        <v>엘지생활건강 청주공장</v>
      </c>
      <c r="G635" s="1" t="str">
        <f>'6월'!G11</f>
        <v>MA</v>
      </c>
      <c r="H635" s="161" t="str">
        <f>'6월'!H11</f>
        <v>월간-IBM</v>
      </c>
      <c r="I635" s="162" t="str">
        <f>'6월'!I11</f>
        <v>6월 유지정비료 - 5/12회</v>
      </c>
      <c r="J635" s="74">
        <f>'6월'!J11</f>
        <v>1</v>
      </c>
      <c r="K635" s="27">
        <f>'6월'!K11</f>
        <v>635000</v>
      </c>
      <c r="L635" s="26">
        <f>'6월'!L11</f>
        <v>635000</v>
      </c>
      <c r="M635" s="27">
        <f>'6월'!M11</f>
        <v>63500</v>
      </c>
      <c r="N635" s="27">
        <f>'6월'!N11</f>
        <v>698500</v>
      </c>
      <c r="O635" s="52">
        <f>'6월'!O11</f>
        <v>564192</v>
      </c>
      <c r="P635" s="170" t="str">
        <f>'6월'!P11</f>
        <v>IBM(6/2)</v>
      </c>
      <c r="Q635" s="181">
        <f>'6월'!Q11</f>
        <v>70808</v>
      </c>
      <c r="R635" s="68" t="str">
        <f>'6월'!R11</f>
        <v>완료(7/2)</v>
      </c>
      <c r="S635" s="8" t="str">
        <f>'6월'!S11</f>
        <v>천범석</v>
      </c>
      <c r="T635" s="11"/>
    </row>
    <row r="636" spans="1:20">
      <c r="A636" t="s">
        <v>30</v>
      </c>
      <c r="B636" s="151" t="str">
        <f>'6월'!B12</f>
        <v>SM-23015</v>
      </c>
      <c r="C636" s="152"/>
      <c r="D636" s="17">
        <f>'6월'!D12</f>
        <v>45809</v>
      </c>
      <c r="E636" s="1" t="str">
        <f>'6월'!E12</f>
        <v>동원프라스틱</v>
      </c>
      <c r="F636" s="1" t="str">
        <f>'6월'!F12</f>
        <v>동원프라스틱</v>
      </c>
      <c r="G636" s="161" t="str">
        <f>'6월'!G12</f>
        <v>MA</v>
      </c>
      <c r="H636" s="161" t="str">
        <f>'6월'!H12</f>
        <v>월간</v>
      </c>
      <c r="I636" s="163" t="str">
        <f>'6월'!I12</f>
        <v>6월 유지정비료 - 2/12회</v>
      </c>
      <c r="J636" s="71">
        <f>'6월'!J12</f>
        <v>1</v>
      </c>
      <c r="K636" s="26">
        <f>'6월'!K12</f>
        <v>1200000</v>
      </c>
      <c r="L636" s="26">
        <f>'6월'!L12</f>
        <v>1200000</v>
      </c>
      <c r="M636" s="27">
        <f>'6월'!M12</f>
        <v>120000</v>
      </c>
      <c r="N636" s="27">
        <f>'6월'!N12</f>
        <v>1320000</v>
      </c>
      <c r="O636" s="52">
        <f>'6월'!O12</f>
        <v>800000</v>
      </c>
      <c r="P636" s="171" t="str">
        <f>'6월'!P12</f>
        <v>시스나인(25/3/4) 4,800,000 6/6회</v>
      </c>
      <c r="Q636" s="181">
        <f>'6월'!Q12</f>
        <v>400000</v>
      </c>
      <c r="R636" s="2" t="str">
        <f>'6월'!R12</f>
        <v>완료(6/30)</v>
      </c>
      <c r="S636" s="5" t="str">
        <f>'6월'!S12</f>
        <v>이예지</v>
      </c>
      <c r="T636" s="6"/>
    </row>
    <row r="637" spans="1:20" ht="12" customHeight="1">
      <c r="A637" t="s">
        <v>30</v>
      </c>
      <c r="B637" s="151" t="str">
        <f>'6월'!B13</f>
        <v>SM-24011</v>
      </c>
      <c r="C637" s="153"/>
      <c r="D637" s="17">
        <f>'6월'!D13</f>
        <v>45809</v>
      </c>
      <c r="E637" s="1" t="str">
        <f>'6월'!E13</f>
        <v>가나병원</v>
      </c>
      <c r="F637" s="161"/>
      <c r="G637" s="1" t="str">
        <f>'6월'!G13</f>
        <v>MA</v>
      </c>
      <c r="H637" s="161" t="str">
        <f>'6월'!H13</f>
        <v>월간</v>
      </c>
      <c r="I637" s="163" t="str">
        <f>'6월'!I13</f>
        <v>6월 유지정비료 - 2/12회</v>
      </c>
      <c r="J637" s="74">
        <f>'6월'!J13</f>
        <v>1</v>
      </c>
      <c r="K637" s="27">
        <f>'6월'!K13</f>
        <v>300000</v>
      </c>
      <c r="L637" s="26">
        <f>'6월'!L13</f>
        <v>300000</v>
      </c>
      <c r="M637" s="27">
        <f>'6월'!M13</f>
        <v>30000</v>
      </c>
      <c r="N637" s="27">
        <f>'6월'!N13</f>
        <v>330000</v>
      </c>
      <c r="O637" s="52">
        <f>'6월'!O13</f>
        <v>0</v>
      </c>
      <c r="P637" s="171" t="str">
        <f>'6월'!P13</f>
        <v>SM</v>
      </c>
      <c r="Q637" s="181">
        <f>'6월'!Q13</f>
        <v>300000</v>
      </c>
      <c r="R637" s="2" t="str">
        <f>'6월'!R13</f>
        <v>완료(6/10)</v>
      </c>
      <c r="S637" s="8" t="str">
        <f>'6월'!S13</f>
        <v>천범석</v>
      </c>
      <c r="T637" s="11"/>
    </row>
    <row r="638" spans="1:20">
      <c r="A638" t="s">
        <v>30</v>
      </c>
      <c r="B638" s="151" t="str">
        <f>'6월'!B14</f>
        <v>SB-25021</v>
      </c>
      <c r="C638" s="153" t="str">
        <f>'6월'!C14</f>
        <v>ZNUFRU</v>
      </c>
      <c r="D638" s="17">
        <f>'6월'!D14</f>
        <v>45809</v>
      </c>
      <c r="E638" s="1" t="str">
        <f>'6월'!E14</f>
        <v>심플키</v>
      </c>
      <c r="F638" s="2" t="str">
        <f>'6월'!F14</f>
        <v>티시스</v>
      </c>
      <c r="G638" s="1" t="str">
        <f>'6월'!G14</f>
        <v>MA</v>
      </c>
      <c r="H638" s="161" t="str">
        <f>'6월'!H14</f>
        <v>월간</v>
      </c>
      <c r="I638" s="3" t="str">
        <f>'6월'!I14</f>
        <v>6월 유지정비료 - 1/12회</v>
      </c>
      <c r="J638" s="23">
        <f>'6월'!J14</f>
        <v>1</v>
      </c>
      <c r="K638" s="27">
        <f>'6월'!K14</f>
        <v>1713900</v>
      </c>
      <c r="L638" s="26">
        <f>'6월'!L14</f>
        <v>1713900</v>
      </c>
      <c r="M638" s="27">
        <f>'6월'!M14</f>
        <v>171390</v>
      </c>
      <c r="N638" s="27">
        <f>'6월'!N14</f>
        <v>1885290</v>
      </c>
      <c r="O638" s="33">
        <f>'6월'!O14</f>
        <v>1086600</v>
      </c>
      <c r="P638" s="197" t="str">
        <f>'6월'!P14</f>
        <v xml:space="preserve">레노버 (6/30) 1,086,600 </v>
      </c>
      <c r="Q638" s="20">
        <f>'6월'!Q14</f>
        <v>627300</v>
      </c>
      <c r="R638" s="2" t="str">
        <f>'6월'!R14</f>
        <v>완료(7/10)</v>
      </c>
      <c r="S638" s="8" t="str">
        <f>'6월'!S14</f>
        <v>천범석</v>
      </c>
      <c r="T638" s="11"/>
    </row>
    <row r="639" spans="1:20" ht="36">
      <c r="A639" t="s">
        <v>30</v>
      </c>
      <c r="B639" s="151" t="str">
        <f>'6월'!B15</f>
        <v>SB-25025</v>
      </c>
      <c r="C639" s="152"/>
      <c r="D639" s="17">
        <f>'6월'!D15</f>
        <v>45809</v>
      </c>
      <c r="E639" s="157" t="str">
        <f>'6월'!E15</f>
        <v>해종합건축사사무소</v>
      </c>
      <c r="F639" s="157"/>
      <c r="G639" s="1" t="str">
        <f>'6월'!G15</f>
        <v>MA</v>
      </c>
      <c r="H639" s="1" t="str">
        <f>'6월'!H15</f>
        <v>월간-IBM</v>
      </c>
      <c r="I639" s="3" t="str">
        <f>'6월'!I15</f>
        <v>6월 유지정비료 - 1/12회</v>
      </c>
      <c r="J639" s="211">
        <f>'6월'!J15</f>
        <v>1</v>
      </c>
      <c r="K639" s="26">
        <f>'6월'!K15</f>
        <v>1474000</v>
      </c>
      <c r="L639" s="26">
        <f>'6월'!L15</f>
        <v>1474000</v>
      </c>
      <c r="M639" s="27">
        <f>'6월'!M15</f>
        <v>147400</v>
      </c>
      <c r="N639" s="27">
        <f>'6월'!N15</f>
        <v>1621400</v>
      </c>
      <c r="O639" s="52">
        <f>'6월'!O15</f>
        <v>1149492</v>
      </c>
      <c r="P639" s="171" t="str">
        <f>'6월'!P15</f>
        <v>IBM(6/4) 449,492
에스엔에이(6/15) 200,000
시스나인(10/1) 반기 3,000,000 1/6회</v>
      </c>
      <c r="Q639" s="181">
        <f>'6월'!Q15</f>
        <v>324508</v>
      </c>
      <c r="R639" s="2" t="str">
        <f>'6월'!R15</f>
        <v>완료(6/24)</v>
      </c>
      <c r="S639" s="5" t="str">
        <f>'6월'!S15</f>
        <v>천범석</v>
      </c>
      <c r="T639" s="6"/>
    </row>
    <row r="640" spans="1:20">
      <c r="A640" t="s">
        <v>30</v>
      </c>
      <c r="B640" s="151" t="str">
        <f>'6월'!B16</f>
        <v>S</v>
      </c>
      <c r="C640" s="153"/>
      <c r="D640" s="17">
        <f>'6월'!D16</f>
        <v>45813</v>
      </c>
      <c r="E640" s="1" t="str">
        <f>'6월'!E16</f>
        <v>에이비씨한국</v>
      </c>
      <c r="F640" s="1" t="str">
        <f>'6월'!F16</f>
        <v>서울</v>
      </c>
      <c r="G640" s="2" t="str">
        <f>'6월'!G16</f>
        <v>상품</v>
      </c>
      <c r="H640" s="83" t="str">
        <f>'6월'!H16</f>
        <v>기술지원</v>
      </c>
      <c r="I640" s="4" t="str">
        <f>'6월'!I16</f>
        <v xml:space="preserve">AhnLab V3 EPP OS 업그레이드 작업 </v>
      </c>
      <c r="J640" s="23">
        <f>'6월'!J16</f>
        <v>1</v>
      </c>
      <c r="K640" s="27">
        <f>'6월'!K16</f>
        <v>3000000</v>
      </c>
      <c r="L640" s="26">
        <f>'6월'!L16</f>
        <v>3000000</v>
      </c>
      <c r="M640" s="27">
        <f>'6월'!M16</f>
        <v>300000</v>
      </c>
      <c r="N640" s="27">
        <f>'6월'!N16</f>
        <v>3300000</v>
      </c>
      <c r="O640" s="33">
        <f>'6월'!O16</f>
        <v>2940000</v>
      </c>
      <c r="P640" s="197" t="str">
        <f>'6월'!P16</f>
        <v>로보츠(6/5)</v>
      </c>
      <c r="Q640" s="20">
        <f>'6월'!Q16</f>
        <v>60000</v>
      </c>
      <c r="R640" s="2" t="str">
        <f>'6월'!R16</f>
        <v>완료(7/24)</v>
      </c>
      <c r="S640" s="8" t="str">
        <f>'6월'!S16</f>
        <v>이예지</v>
      </c>
      <c r="T640" s="11"/>
    </row>
    <row r="641" spans="1:21">
      <c r="A641" t="s">
        <v>30</v>
      </c>
      <c r="B641" s="151" t="str">
        <f>'6월'!B17</f>
        <v>S</v>
      </c>
      <c r="C641" s="153"/>
      <c r="D641" s="17">
        <f>'6월'!D17</f>
        <v>45813</v>
      </c>
      <c r="E641" s="1" t="str">
        <f>'6월'!E17</f>
        <v>에이비씨한국</v>
      </c>
      <c r="F641" s="2" t="str">
        <f>'6월'!F17</f>
        <v>평택</v>
      </c>
      <c r="G641" s="2" t="str">
        <f>'6월'!G17</f>
        <v>상품</v>
      </c>
      <c r="H641" s="83" t="str">
        <f>'6월'!H17</f>
        <v>기술지원</v>
      </c>
      <c r="I641" s="4" t="str">
        <f>'6월'!I17</f>
        <v xml:space="preserve">AhnLab V3 EPP OS 업그레이드 작업 </v>
      </c>
      <c r="J641" s="23">
        <f>'6월'!J17</f>
        <v>1</v>
      </c>
      <c r="K641" s="27">
        <f>'6월'!K17</f>
        <v>3000000</v>
      </c>
      <c r="L641" s="26">
        <f>'6월'!L17</f>
        <v>3000000</v>
      </c>
      <c r="M641" s="27">
        <f>'6월'!M17</f>
        <v>300000</v>
      </c>
      <c r="N641" s="27">
        <f>'6월'!N17</f>
        <v>3300000</v>
      </c>
      <c r="O641" s="33">
        <f>'6월'!O17</f>
        <v>2940000</v>
      </c>
      <c r="P641" s="197" t="str">
        <f>'6월'!P17</f>
        <v>로보츠(6/5)</v>
      </c>
      <c r="Q641" s="20">
        <f>'6월'!Q17</f>
        <v>60000</v>
      </c>
      <c r="R641" s="2" t="str">
        <f>'6월'!R17</f>
        <v>완료(7/25)</v>
      </c>
      <c r="S641" s="8" t="str">
        <f>'6월'!S17</f>
        <v>이예지</v>
      </c>
      <c r="T641" s="11"/>
    </row>
    <row r="642" spans="1:21" ht="12" customHeight="1">
      <c r="A642" t="s">
        <v>30</v>
      </c>
      <c r="B642" s="151" t="str">
        <f>'6월'!B18</f>
        <v>S</v>
      </c>
      <c r="C642" s="200"/>
      <c r="D642" s="17">
        <f>'6월'!D18</f>
        <v>45813</v>
      </c>
      <c r="E642" s="1" t="str">
        <f>'6월'!E18</f>
        <v>순환</v>
      </c>
      <c r="F642" s="2" t="str">
        <f>'6월'!F18</f>
        <v>검단미플존 316호</v>
      </c>
      <c r="G642" s="161" t="str">
        <f>'6월'!G18</f>
        <v>건물임대</v>
      </c>
      <c r="H642" s="161" t="str">
        <f>'6월'!H18</f>
        <v>임대료</v>
      </c>
      <c r="I642" s="3" t="str">
        <f>'6월'!I18</f>
        <v>6월 임대료 - 3/24회</v>
      </c>
      <c r="J642" s="32">
        <f>'6월'!J18</f>
        <v>1</v>
      </c>
      <c r="K642" s="48">
        <f>'6월'!K18</f>
        <v>360000</v>
      </c>
      <c r="L642" s="26">
        <f>'6월'!L18</f>
        <v>720000</v>
      </c>
      <c r="M642" s="27">
        <f>'6월'!M18</f>
        <v>72000</v>
      </c>
      <c r="N642" s="27">
        <f>'6월'!N18</f>
        <v>792000</v>
      </c>
      <c r="O642" s="52">
        <f>'6월'!O18</f>
        <v>0</v>
      </c>
      <c r="P642" s="171" t="str">
        <f>'6월'!P18</f>
        <v>X</v>
      </c>
      <c r="Q642" s="181">
        <f>'6월'!Q18</f>
        <v>720000</v>
      </c>
      <c r="R642" s="2" t="str">
        <f>'6월'!R18</f>
        <v>완료(6/25)</v>
      </c>
      <c r="S642" s="5" t="str">
        <f>'6월'!S18</f>
        <v>정지우</v>
      </c>
      <c r="T642" s="6"/>
    </row>
    <row r="643" spans="1:21">
      <c r="A643" t="s">
        <v>30</v>
      </c>
      <c r="B643" s="151" t="str">
        <f>'6월'!B19</f>
        <v>S</v>
      </c>
      <c r="C643" s="155"/>
      <c r="D643" s="43"/>
      <c r="E643" s="44" t="str">
        <f>'6월'!E19</f>
        <v>순환</v>
      </c>
      <c r="F643" s="41" t="str">
        <f>'6월'!F19</f>
        <v>검단미플존 318호</v>
      </c>
      <c r="G643" s="161" t="str">
        <f>'6월'!G19</f>
        <v>건물임대</v>
      </c>
      <c r="H643" s="161" t="str">
        <f>'6월'!H19</f>
        <v>임대료</v>
      </c>
      <c r="I643" s="3" t="str">
        <f>'6월'!I19</f>
        <v>6월 임대료 - 3/24회</v>
      </c>
      <c r="J643" s="23">
        <f>'6월'!J19</f>
        <v>1</v>
      </c>
      <c r="K643" s="27">
        <f>'6월'!K19</f>
        <v>360000</v>
      </c>
      <c r="L643" s="37"/>
      <c r="M643" s="38"/>
      <c r="N643" s="38"/>
      <c r="O643" s="39"/>
      <c r="P643" s="175"/>
      <c r="Q643" s="40"/>
      <c r="R643" s="41"/>
      <c r="S643" s="42"/>
      <c r="T643" s="11"/>
    </row>
    <row r="644" spans="1:21" ht="96">
      <c r="A644" t="s">
        <v>30</v>
      </c>
      <c r="B644" s="151" t="str">
        <f>'6월'!B20</f>
        <v>SM-24021</v>
      </c>
      <c r="C644" s="200"/>
      <c r="D644" s="17">
        <f>'6월'!D20</f>
        <v>45813</v>
      </c>
      <c r="E644" s="1" t="str">
        <f>'6월'!E20</f>
        <v>제이원캐피탈</v>
      </c>
      <c r="F644" s="161"/>
      <c r="G644" s="1" t="str">
        <f>'6월'!G20</f>
        <v>MA</v>
      </c>
      <c r="H644" s="161" t="str">
        <f>'6월'!H20</f>
        <v>월간</v>
      </c>
      <c r="I644" s="3" t="str">
        <f>'6월'!I20</f>
        <v>5월 유지정비료 - 9/12회</v>
      </c>
      <c r="J644" s="210">
        <f>'6월'!J20</f>
        <v>1</v>
      </c>
      <c r="K644" s="26">
        <f>'6월'!K20</f>
        <v>7060000</v>
      </c>
      <c r="L644" s="26">
        <f>'6월'!L20</f>
        <v>7060000</v>
      </c>
      <c r="M644" s="67">
        <f>'6월'!M20</f>
        <v>706000</v>
      </c>
      <c r="N644" s="27">
        <f>'6월'!N20</f>
        <v>7766000</v>
      </c>
      <c r="O644" s="52">
        <f>'6월'!O20</f>
        <v>3708014.333333333</v>
      </c>
      <c r="P644" s="171" t="str">
        <f>'6월'!P20</f>
        <v>IBM(5/2) 691,781
에스엔에이(5/31) 300,000
키미데이타(5/30) 70,000
코오롱베니트(10/31) 1,000,000연간(9/12회)
더파트(5/30) 810,000
DCSS(5/30) 352,900
시스나인(11/3) 7,000,000 (2/5)</v>
      </c>
      <c r="Q644" s="181">
        <f>'6월'!Q20</f>
        <v>3351985.666666667</v>
      </c>
      <c r="R644" s="2" t="str">
        <f>'6월'!R20</f>
        <v>완료(6/30)</v>
      </c>
      <c r="S644" s="5" t="str">
        <f>'6월'!S20</f>
        <v>이예지</v>
      </c>
      <c r="T644" s="6"/>
    </row>
    <row r="645" spans="1:21">
      <c r="A645" t="s">
        <v>30</v>
      </c>
      <c r="B645" s="151" t="str">
        <f>'6월'!B21</f>
        <v>SM-24020</v>
      </c>
      <c r="C645" s="153"/>
      <c r="D645" s="17">
        <f>'6월'!D21</f>
        <v>45813</v>
      </c>
      <c r="E645" s="1" t="str">
        <f>'6월'!E21</f>
        <v>에이비씨한국</v>
      </c>
      <c r="F645" s="2"/>
      <c r="G645" s="1" t="str">
        <f>'6월'!G21</f>
        <v>MA</v>
      </c>
      <c r="H645" s="161" t="str">
        <f>'6월'!H21</f>
        <v>월간</v>
      </c>
      <c r="I645" s="4" t="str">
        <f>'6월'!I21</f>
        <v>BOARD SYSTEM Maintenance 6월분 - 9/12회</v>
      </c>
      <c r="J645" s="210">
        <f>'6월'!J21</f>
        <v>1</v>
      </c>
      <c r="K645" s="27">
        <f>'6월'!K21</f>
        <v>1100000</v>
      </c>
      <c r="L645" s="26">
        <f>'6월'!L21</f>
        <v>1100000</v>
      </c>
      <c r="M645" s="27">
        <f>'6월'!M21</f>
        <v>110000</v>
      </c>
      <c r="N645" s="27">
        <f>'6월'!N21</f>
        <v>1210000</v>
      </c>
      <c r="O645" s="33">
        <f>'6월'!O21</f>
        <v>1060000</v>
      </c>
      <c r="P645" s="197" t="str">
        <f>'6월'!P21</f>
        <v>로보츠(6/5)</v>
      </c>
      <c r="Q645" s="20">
        <f>'6월'!Q21</f>
        <v>40000</v>
      </c>
      <c r="R645" s="68" t="str">
        <f>'6월'!R21</f>
        <v>완료(7/25)</v>
      </c>
      <c r="S645" s="36" t="str">
        <f>'6월'!S21</f>
        <v>이예지</v>
      </c>
      <c r="T645" s="11"/>
    </row>
    <row r="646" spans="1:21">
      <c r="A646" t="s">
        <v>30</v>
      </c>
      <c r="B646" s="151" t="str">
        <f>'6월'!B22</f>
        <v>SL-25010</v>
      </c>
      <c r="C646" s="153" t="str">
        <f>'6월'!C22</f>
        <v xml:space="preserve"> ZOGVD9</v>
      </c>
      <c r="D646" s="17">
        <f>'6월'!D22</f>
        <v>45813</v>
      </c>
      <c r="E646" s="1" t="str">
        <f>'6월'!E22</f>
        <v>어보브반도체</v>
      </c>
      <c r="F646" s="2"/>
      <c r="G646" s="1" t="str">
        <f>'6월'!G22</f>
        <v>MA</v>
      </c>
      <c r="H646" s="83" t="str">
        <f>'6월'!H22</f>
        <v>월간-레노버</v>
      </c>
      <c r="I646" s="4" t="str">
        <f>'6월'!I22</f>
        <v>연간유지정비료(25.06.19~26.06.18)</v>
      </c>
      <c r="J646" s="23">
        <f>'6월'!J22</f>
        <v>1</v>
      </c>
      <c r="K646" s="27">
        <f>'6월'!K22</f>
        <v>900000</v>
      </c>
      <c r="L646" s="26">
        <f>'6월'!L22</f>
        <v>900000</v>
      </c>
      <c r="M646" s="27">
        <f>'6월'!M22</f>
        <v>90000</v>
      </c>
      <c r="N646" s="27">
        <f>'6월'!N22</f>
        <v>990000</v>
      </c>
      <c r="O646" s="33">
        <f>'6월'!O22</f>
        <v>662400</v>
      </c>
      <c r="P646" s="197" t="str">
        <f>'6월'!P22</f>
        <v>레노버(6/30)</v>
      </c>
      <c r="Q646" s="20">
        <f>'6월'!Q22</f>
        <v>237600</v>
      </c>
      <c r="R646" s="68" t="str">
        <f>'6월'!R22</f>
        <v>완료(6/30)</v>
      </c>
      <c r="S646" s="8" t="str">
        <f>'6월'!S22</f>
        <v>천범석</v>
      </c>
      <c r="T646" s="11"/>
    </row>
    <row r="647" spans="1:21" ht="24">
      <c r="A647" t="s">
        <v>30</v>
      </c>
      <c r="B647" s="151" t="str">
        <f>'6월'!B23</f>
        <v>D250521-01</v>
      </c>
      <c r="C647" s="153"/>
      <c r="D647" s="17">
        <f>'6월'!D23</f>
        <v>45813</v>
      </c>
      <c r="E647" s="1" t="str">
        <f>'6월'!E23</f>
        <v>고영</v>
      </c>
      <c r="F647" s="2"/>
      <c r="G647" s="2" t="str">
        <f>'6월'!G23</f>
        <v>상품</v>
      </c>
      <c r="H647" s="83" t="str">
        <f>'6월'!H23</f>
        <v>조립PC</v>
      </c>
      <c r="I647" s="4" t="str">
        <f>'6월'!I23</f>
        <v>조립PC</v>
      </c>
      <c r="J647" s="23">
        <f>'6월'!J23</f>
        <v>1</v>
      </c>
      <c r="K647" s="27">
        <f>'6월'!K23</f>
        <v>3430000</v>
      </c>
      <c r="L647" s="26">
        <f>'6월'!L23</f>
        <v>3430000</v>
      </c>
      <c r="M647" s="27">
        <f>'6월'!M23</f>
        <v>343000</v>
      </c>
      <c r="N647" s="27">
        <f>'6월'!N23</f>
        <v>3773000</v>
      </c>
      <c r="O647" s="33">
        <f>'6월'!O23</f>
        <v>2949291</v>
      </c>
      <c r="P647" s="197" t="str">
        <f>'6월'!P23</f>
        <v>컴퓨존(5/22) 2,543,655
조이젠(5/21) 405,636</v>
      </c>
      <c r="Q647" s="20">
        <f>'6월'!Q23</f>
        <v>480709</v>
      </c>
      <c r="R647" s="68" t="str">
        <f>'6월'!R23</f>
        <v>완료(7/1)</v>
      </c>
      <c r="S647" s="8" t="str">
        <f>'6월'!S23</f>
        <v>이지훈</v>
      </c>
      <c r="T647" s="11"/>
      <c r="U647" s="121"/>
    </row>
    <row r="648" spans="1:21">
      <c r="A648" t="s">
        <v>30</v>
      </c>
      <c r="B648" s="151" t="str">
        <f>'6월'!B24</f>
        <v>D250526-01</v>
      </c>
      <c r="C648" s="153"/>
      <c r="D648" s="17">
        <f>'6월'!D24</f>
        <v>45813</v>
      </c>
      <c r="E648" s="1" t="str">
        <f>'6월'!E24</f>
        <v>고영</v>
      </c>
      <c r="F648" s="2"/>
      <c r="G648" s="2" t="str">
        <f>'6월'!G24</f>
        <v>상품</v>
      </c>
      <c r="H648" s="83" t="str">
        <f>'6월'!H24</f>
        <v>Board[Used]</v>
      </c>
      <c r="I648" s="4" t="str">
        <f>'6월'!I24</f>
        <v>Gigabyte Z390 UD</v>
      </c>
      <c r="J648" s="23">
        <f>'6월'!J24</f>
        <v>1</v>
      </c>
      <c r="K648" s="27">
        <f>'6월'!K24</f>
        <v>133000</v>
      </c>
      <c r="L648" s="26">
        <f>'6월'!L24</f>
        <v>133000</v>
      </c>
      <c r="M648" s="27">
        <f>'6월'!M24</f>
        <v>13300</v>
      </c>
      <c r="N648" s="27">
        <f>'6월'!N24</f>
        <v>146300</v>
      </c>
      <c r="O648" s="33">
        <f>'6월'!O24</f>
        <v>79764</v>
      </c>
      <c r="P648" s="197" t="str">
        <f>'6월'!P24</f>
        <v>네이버(5/26)법카</v>
      </c>
      <c r="Q648" s="20">
        <f>'6월'!Q24</f>
        <v>53236</v>
      </c>
      <c r="R648" s="68" t="str">
        <f>'6월'!R24</f>
        <v>완료(7/1)</v>
      </c>
      <c r="S648" s="8" t="str">
        <f>'6월'!S24</f>
        <v>이지훈</v>
      </c>
      <c r="T648" s="11"/>
      <c r="U648" s="121">
        <f t="shared" ref="U648" si="1">Q648/L648</f>
        <v>0.40027067669172933</v>
      </c>
    </row>
    <row r="649" spans="1:21">
      <c r="A649" t="s">
        <v>30</v>
      </c>
      <c r="B649" s="151" t="str">
        <f>'6월'!B25</f>
        <v>H250528-01</v>
      </c>
      <c r="C649" s="153"/>
      <c r="D649" s="17">
        <f>'6월'!D25</f>
        <v>45817</v>
      </c>
      <c r="E649" s="1" t="str">
        <f>'6월'!E25</f>
        <v>이룸에스앤앤</v>
      </c>
      <c r="F649" s="2"/>
      <c r="G649" s="2" t="str">
        <f>'6월'!G25</f>
        <v>상품</v>
      </c>
      <c r="H649" s="83" t="str">
        <f>'6월'!H25</f>
        <v>00YK024</v>
      </c>
      <c r="I649" s="4" t="str">
        <f>'6월'!I25</f>
        <v xml:space="preserve">ThinkSystem 2.5in 2TB 7.2K SAS 12Gb Hot Swap </v>
      </c>
      <c r="J649" s="23">
        <f>'6월'!J25</f>
        <v>1</v>
      </c>
      <c r="K649" s="27">
        <f>'6월'!K25</f>
        <v>350000</v>
      </c>
      <c r="L649" s="26">
        <f>'6월'!L25</f>
        <v>350000</v>
      </c>
      <c r="M649" s="27">
        <f>'6월'!M25</f>
        <v>35000</v>
      </c>
      <c r="N649" s="27">
        <f>'6월'!N25</f>
        <v>385000</v>
      </c>
      <c r="O649" s="33">
        <f>'6월'!O25</f>
        <v>300000</v>
      </c>
      <c r="P649" s="197" t="str">
        <f>'6월'!P25</f>
        <v>이비웨이브(5/28)</v>
      </c>
      <c r="Q649" s="20">
        <f>'6월'!Q25</f>
        <v>50000</v>
      </c>
      <c r="R649" s="2" t="str">
        <f>'6월'!R25</f>
        <v>완료(7/29)</v>
      </c>
      <c r="S649" s="8" t="str">
        <f>'6월'!S25</f>
        <v>천범석</v>
      </c>
      <c r="T649" s="11"/>
    </row>
    <row r="650" spans="1:21">
      <c r="A650" t="s">
        <v>30</v>
      </c>
      <c r="B650" s="151" t="str">
        <f>'6월'!B26</f>
        <v>S</v>
      </c>
      <c r="C650" s="200"/>
      <c r="D650" s="10">
        <f>'6월'!D26</f>
        <v>45818</v>
      </c>
      <c r="E650" s="1" t="str">
        <f>'6월'!E26</f>
        <v>중소기업은행</v>
      </c>
      <c r="F650" s="161"/>
      <c r="G650" s="161" t="str">
        <f>'6월'!G26</f>
        <v>건물임대</v>
      </c>
      <c r="H650" s="161" t="str">
        <f>'6월'!H26</f>
        <v>임대료</v>
      </c>
      <c r="I650" s="163" t="str">
        <f>'6월'!I26</f>
        <v>6월 임대료 (5.13~6.12) - 5/24회</v>
      </c>
      <c r="J650" s="71">
        <f>'6월'!J26</f>
        <v>1</v>
      </c>
      <c r="K650" s="26">
        <f>'6월'!K26</f>
        <v>6394500</v>
      </c>
      <c r="L650" s="26">
        <f>'6월'!L26</f>
        <v>6394500</v>
      </c>
      <c r="M650" s="27">
        <f>'6월'!M26</f>
        <v>639450</v>
      </c>
      <c r="N650" s="27">
        <f>'6월'!N26</f>
        <v>7033950</v>
      </c>
      <c r="O650" s="52">
        <f>'6월'!O26</f>
        <v>0</v>
      </c>
      <c r="P650" s="171" t="str">
        <f>'6월'!P26</f>
        <v>X</v>
      </c>
      <c r="Q650" s="181">
        <f>'6월'!Q26</f>
        <v>6394500</v>
      </c>
      <c r="R650" s="2" t="str">
        <f>'6월'!R26</f>
        <v>완료(6/26)</v>
      </c>
      <c r="S650" s="5" t="str">
        <f>'6월'!S26</f>
        <v>정지우</v>
      </c>
      <c r="T650" s="6"/>
    </row>
    <row r="651" spans="1:21">
      <c r="A651" t="s">
        <v>30</v>
      </c>
      <c r="B651" s="151" t="str">
        <f>'6월'!B27</f>
        <v>D250610-02</v>
      </c>
      <c r="C651" s="153"/>
      <c r="D651" s="17">
        <f>'6월'!D27</f>
        <v>45818</v>
      </c>
      <c r="E651" s="1" t="str">
        <f>'6월'!E27</f>
        <v>리드피플</v>
      </c>
      <c r="F651" s="2" t="str">
        <f>'6월'!F27</f>
        <v>예금보험공사</v>
      </c>
      <c r="G651" s="2" t="str">
        <f>'6월'!G27</f>
        <v>장비임대</v>
      </c>
      <c r="H651" s="83" t="str">
        <f>'6월'!H27</f>
        <v>Dell R730</v>
      </c>
      <c r="I651" s="4" t="str">
        <f>'6월'!I27</f>
        <v>법률DB 개발서버임대(2025.05.30~2025.06.30)</v>
      </c>
      <c r="J651" s="23">
        <f>'6월'!J27</f>
        <v>1</v>
      </c>
      <c r="K651" s="27">
        <f>'6월'!K27</f>
        <v>200000</v>
      </c>
      <c r="L651" s="26">
        <f>'6월'!L27</f>
        <v>200000</v>
      </c>
      <c r="M651" s="27">
        <f>'6월'!M27</f>
        <v>20000</v>
      </c>
      <c r="N651" s="27">
        <f>'6월'!N27</f>
        <v>220000</v>
      </c>
      <c r="O651" s="52">
        <f>'6월'!O27</f>
        <v>0</v>
      </c>
      <c r="P651" s="171" t="str">
        <f>'6월'!P27</f>
        <v>SM</v>
      </c>
      <c r="Q651" s="20">
        <f>'6월'!Q27</f>
        <v>200000</v>
      </c>
      <c r="R651" s="2" t="str">
        <f>'6월'!R27</f>
        <v>완료(6/11)</v>
      </c>
      <c r="S651" s="8" t="str">
        <f>'6월'!S27</f>
        <v>이지훈</v>
      </c>
      <c r="T651" s="11"/>
    </row>
    <row r="652" spans="1:21" ht="12" customHeight="1">
      <c r="A652" t="s">
        <v>30</v>
      </c>
      <c r="B652" s="151" t="str">
        <f>'6월'!B28</f>
        <v>S</v>
      </c>
      <c r="C652" s="200"/>
      <c r="D652" s="10">
        <f>'6월'!D28</f>
        <v>45820</v>
      </c>
      <c r="E652" s="1" t="str">
        <f>'6월'!E28</f>
        <v>왕길토건</v>
      </c>
      <c r="F652" s="2" t="str">
        <f>'6월'!F28</f>
        <v>검단미플존 317호</v>
      </c>
      <c r="G652" s="161" t="str">
        <f>'6월'!G28</f>
        <v>건물임대</v>
      </c>
      <c r="H652" s="161" t="str">
        <f>'6월'!H28</f>
        <v>임대료</v>
      </c>
      <c r="I652" s="3" t="str">
        <f>'6월'!I28</f>
        <v>5월 임대료 (5/12~6/11) - 8/10회</v>
      </c>
      <c r="J652" s="32">
        <f>'6월'!J28</f>
        <v>1</v>
      </c>
      <c r="K652" s="48">
        <f>'6월'!K28</f>
        <v>400000</v>
      </c>
      <c r="L652" s="26">
        <f>'6월'!L28</f>
        <v>400000</v>
      </c>
      <c r="M652" s="27">
        <f>'6월'!M28</f>
        <v>40000</v>
      </c>
      <c r="N652" s="27">
        <f>'6월'!N28</f>
        <v>440000</v>
      </c>
      <c r="O652" s="52">
        <f>'6월'!O28</f>
        <v>0</v>
      </c>
      <c r="P652" s="171" t="str">
        <f>'6월'!P28</f>
        <v>X</v>
      </c>
      <c r="Q652" s="181">
        <f>'6월'!Q28</f>
        <v>400000</v>
      </c>
      <c r="R652" s="202" t="str">
        <f>'6월'!R28</f>
        <v>완료(7/1)</v>
      </c>
      <c r="S652" s="5" t="str">
        <f>'6월'!S28</f>
        <v>정지우</v>
      </c>
      <c r="T652" s="6"/>
    </row>
    <row r="653" spans="1:21">
      <c r="A653" t="s">
        <v>30</v>
      </c>
      <c r="B653" s="151" t="str">
        <f>'6월'!B29</f>
        <v>H250609-01</v>
      </c>
      <c r="C653" s="153"/>
      <c r="D653" s="17">
        <f>'6월'!D29</f>
        <v>45821</v>
      </c>
      <c r="E653" s="1" t="str">
        <f>'6월'!E29</f>
        <v>우리에스아이티</v>
      </c>
      <c r="F653" s="2"/>
      <c r="G653" s="2" t="str">
        <f>'6월'!G29</f>
        <v>상품</v>
      </c>
      <c r="H653" s="83" t="str">
        <f>'6월'!H29</f>
        <v>43W9715</v>
      </c>
      <c r="I653" s="4" t="str">
        <f>'6월'!I29</f>
        <v>750GB 7.2K SATA 3.5inch Hard Drive</v>
      </c>
      <c r="J653" s="23">
        <f>'6월'!J29</f>
        <v>1</v>
      </c>
      <c r="K653" s="27">
        <f>'6월'!K29</f>
        <v>270000</v>
      </c>
      <c r="L653" s="26">
        <f>'6월'!L29</f>
        <v>270000</v>
      </c>
      <c r="M653" s="27">
        <f>'6월'!M29</f>
        <v>27000</v>
      </c>
      <c r="N653" s="27">
        <f>'6월'!N29</f>
        <v>297000</v>
      </c>
      <c r="O653" s="33">
        <f>'6월'!O29</f>
        <v>200000</v>
      </c>
      <c r="P653" s="197" t="str">
        <f>'6월'!P29</f>
        <v>이비웨이브(6/9)</v>
      </c>
      <c r="Q653" s="20">
        <f>'6월'!Q29</f>
        <v>70000</v>
      </c>
      <c r="R653" s="2" t="str">
        <f>'6월'!R29</f>
        <v>완료(7/31)</v>
      </c>
      <c r="S653" s="8" t="str">
        <f>'6월'!S29</f>
        <v>천범석</v>
      </c>
      <c r="T653" s="11"/>
    </row>
    <row r="654" spans="1:21">
      <c r="A654" t="s">
        <v>30</v>
      </c>
      <c r="B654" s="151" t="str">
        <f>'6월'!B30</f>
        <v>SB-24009</v>
      </c>
      <c r="C654" s="199" t="str">
        <f>'6월'!C30</f>
        <v>Z0PYQC</v>
      </c>
      <c r="D654" s="17">
        <f>'6월'!D30</f>
        <v>45823</v>
      </c>
      <c r="E654" s="1" t="str">
        <f>'6월'!E30</f>
        <v>유알피</v>
      </c>
      <c r="F654" s="2" t="str">
        <f>'6월'!F30</f>
        <v>서울디자인재단</v>
      </c>
      <c r="G654" s="2" t="str">
        <f>'6월'!G30</f>
        <v>MA</v>
      </c>
      <c r="H654" s="2" t="str">
        <f>'6월'!H30</f>
        <v>월간-레노버</v>
      </c>
      <c r="I654" s="4" t="str">
        <f>'6월'!I30</f>
        <v>5월 유지정비료 - 17/36회</v>
      </c>
      <c r="J654" s="23">
        <f>'6월'!J30</f>
        <v>1</v>
      </c>
      <c r="K654" s="27">
        <f>'6월'!K30</f>
        <v>1080000</v>
      </c>
      <c r="L654" s="26">
        <f>'6월'!L30</f>
        <v>1080000</v>
      </c>
      <c r="M654" s="27">
        <f>'6월'!M30</f>
        <v>108000</v>
      </c>
      <c r="N654" s="27">
        <f>'6월'!N30</f>
        <v>1188000</v>
      </c>
      <c r="O654" s="52">
        <f>'6월'!O30</f>
        <v>976200</v>
      </c>
      <c r="P654" s="171" t="str">
        <f>'6월'!P30</f>
        <v>레노버(5/31)</v>
      </c>
      <c r="Q654" s="181">
        <f>'6월'!Q30</f>
        <v>103800</v>
      </c>
      <c r="R654" s="2" t="str">
        <f>'6월'!R30</f>
        <v>완료(6/25)</v>
      </c>
      <c r="S654" s="8" t="str">
        <f>'6월'!S30</f>
        <v>천범석</v>
      </c>
      <c r="T654" s="11"/>
    </row>
    <row r="655" spans="1:21" ht="24">
      <c r="A655" t="s">
        <v>30</v>
      </c>
      <c r="B655" s="151" t="str">
        <f>'6월'!B31</f>
        <v>SB-24011</v>
      </c>
      <c r="C655" s="199" t="str">
        <f>'6월'!C31</f>
        <v>Z5PURB</v>
      </c>
      <c r="D655" s="17">
        <f>'6월'!D31</f>
        <v>45823</v>
      </c>
      <c r="E655" s="1" t="str">
        <f>'6월'!E31</f>
        <v>비온시이노베이터</v>
      </c>
      <c r="F655" s="2" t="str">
        <f>'6월'!F31</f>
        <v>국립농업과학원</v>
      </c>
      <c r="G655" s="2" t="str">
        <f>'6월'!G31</f>
        <v>MA</v>
      </c>
      <c r="H655" s="2" t="str">
        <f>'6월'!H31</f>
        <v>월간-레노버</v>
      </c>
      <c r="I655" s="4" t="str">
        <f>'6월'!I31</f>
        <v>5월 유지정비료 - 17/24회</v>
      </c>
      <c r="J655" s="23">
        <f>'6월'!J31</f>
        <v>1</v>
      </c>
      <c r="K655" s="27">
        <f>'6월'!K31</f>
        <v>875000</v>
      </c>
      <c r="L655" s="26">
        <f>'6월'!L31</f>
        <v>875000</v>
      </c>
      <c r="M655" s="27">
        <f>'6월'!M31</f>
        <v>87500</v>
      </c>
      <c r="N655" s="27">
        <f>'6월'!N31</f>
        <v>962500</v>
      </c>
      <c r="O655" s="52">
        <f>'6월'!O31</f>
        <v>794833.33333333326</v>
      </c>
      <c r="P655" s="197" t="str">
        <f>'6월'!P31</f>
        <v>레노버(5/31)511,500 
시스나인(4/25) 연간3,400,000(5/12회)</v>
      </c>
      <c r="Q655" s="181">
        <f>'6월'!Q31</f>
        <v>80166.666666666744</v>
      </c>
      <c r="R655" s="202" t="str">
        <f>'6월'!R31</f>
        <v>완료(7/10)</v>
      </c>
      <c r="S655" s="8" t="str">
        <f>'6월'!S31</f>
        <v>천범석</v>
      </c>
      <c r="T655" s="11"/>
    </row>
    <row r="656" spans="1:21" ht="72">
      <c r="B656" s="151" t="str">
        <f>'6월'!B32</f>
        <v>Y250630-03</v>
      </c>
      <c r="C656" s="199"/>
      <c r="D656" s="17">
        <f>'6월'!D32</f>
        <v>45824</v>
      </c>
      <c r="E656" s="1" t="str">
        <f>'6월'!E32</f>
        <v>제트컨버터</v>
      </c>
      <c r="F656" s="2"/>
      <c r="G656" s="2" t="str">
        <f>'6월'!G32</f>
        <v>상품</v>
      </c>
      <c r="H656" s="83" t="str">
        <f>'6월'!H32</f>
        <v>서버</v>
      </c>
      <c r="I656" s="4" t="str">
        <f>'6월'!I32</f>
        <v>NIPA SaaS전환과제를 위한 서버 및 스토리지 렌탈 
(6월~12월)</v>
      </c>
      <c r="J656" s="23">
        <f>'6월'!J32</f>
        <v>1</v>
      </c>
      <c r="K656" s="27">
        <f>'6월'!K32</f>
        <v>15400000</v>
      </c>
      <c r="L656" s="26">
        <f>'6월'!L32</f>
        <v>15400000</v>
      </c>
      <c r="M656" s="27">
        <f>'6월'!M32</f>
        <v>1540000</v>
      </c>
      <c r="N656" s="27">
        <f>'6월'!N32</f>
        <v>16940000</v>
      </c>
      <c r="O656" s="52">
        <f>'6월'!O32</f>
        <v>10191273</v>
      </c>
      <c r="P656" s="197" t="str">
        <f>'6월'!P32</f>
        <v>알엠에스케이알(7/16) 600,000
위퍼스트(7/14) 4,300,000
컴퓨존(7/10) 3,684,273
이비웨이브(7/11) 1,560,000
우림퀵(7/31) 35,000
우림퀵(9/30) 12,000 장애교체</v>
      </c>
      <c r="Q656" s="181">
        <f>'6월'!Q32</f>
        <v>5208727</v>
      </c>
      <c r="R656" s="202" t="str">
        <f>'6월'!R32</f>
        <v>완료(7/1)</v>
      </c>
      <c r="S656" s="8" t="str">
        <f>'6월'!S32</f>
        <v>홍승민</v>
      </c>
      <c r="T656" s="11"/>
    </row>
    <row r="657" spans="1:20">
      <c r="A657" t="s">
        <v>30</v>
      </c>
      <c r="B657" s="151" t="str">
        <f>'6월'!B33</f>
        <v>H250618-01</v>
      </c>
      <c r="C657" s="153"/>
      <c r="D657" s="17">
        <f>'6월'!D33</f>
        <v>45826</v>
      </c>
      <c r="E657" s="1" t="str">
        <f>'6월'!E33</f>
        <v>오상자이엘</v>
      </c>
      <c r="F657" s="2"/>
      <c r="G657" s="2" t="str">
        <f>'6월'!G33</f>
        <v>상품</v>
      </c>
      <c r="H657" s="83" t="str">
        <f>'6월'!H33</f>
        <v>기술지원</v>
      </c>
      <c r="I657" s="4" t="str">
        <f>'6월'!I33</f>
        <v>V3700 기술지원</v>
      </c>
      <c r="J657" s="23">
        <f>'6월'!J33</f>
        <v>1</v>
      </c>
      <c r="K657" s="27">
        <f>'6월'!K33</f>
        <v>400000</v>
      </c>
      <c r="L657" s="26">
        <f>'6월'!L33</f>
        <v>400000</v>
      </c>
      <c r="M657" s="27">
        <f>'6월'!M33</f>
        <v>40000</v>
      </c>
      <c r="N657" s="27">
        <f>'6월'!N33</f>
        <v>440000</v>
      </c>
      <c r="O657" s="52">
        <f>'6월'!O33</f>
        <v>0</v>
      </c>
      <c r="P657" s="171" t="str">
        <f>'6월'!P33</f>
        <v>SM</v>
      </c>
      <c r="Q657" s="20">
        <f>'6월'!Q33</f>
        <v>400000</v>
      </c>
      <c r="R657" s="2" t="str">
        <f>'6월'!R33</f>
        <v>완료(7/31)</v>
      </c>
      <c r="S657" s="8" t="str">
        <f>'6월'!S33</f>
        <v>천범석</v>
      </c>
      <c r="T657" s="11"/>
    </row>
    <row r="658" spans="1:20">
      <c r="A658" t="s">
        <v>30</v>
      </c>
      <c r="B658" s="151" t="str">
        <f>'6월'!B34</f>
        <v>H250613-01</v>
      </c>
      <c r="C658" s="153"/>
      <c r="D658" s="17">
        <f>'6월'!D34</f>
        <v>45827</v>
      </c>
      <c r="E658" s="1" t="str">
        <f>'6월'!E34</f>
        <v>로보츠</v>
      </c>
      <c r="F658" s="2"/>
      <c r="G658" s="2" t="str">
        <f>'6월'!G34</f>
        <v>상품</v>
      </c>
      <c r="H658" s="83" t="str">
        <f>'6월'!H34</f>
        <v>403781-001</v>
      </c>
      <c r="I658" s="4" t="str">
        <f>'6월'!I34</f>
        <v xml:space="preserve">DL380G5 1000W POWER SUPPLY </v>
      </c>
      <c r="J658" s="23">
        <f>'6월'!J34</f>
        <v>1</v>
      </c>
      <c r="K658" s="27">
        <f>'6월'!K34</f>
        <v>100000</v>
      </c>
      <c r="L658" s="26">
        <f>'6월'!L34</f>
        <v>100000</v>
      </c>
      <c r="M658" s="27">
        <f>'6월'!M34</f>
        <v>10000</v>
      </c>
      <c r="N658" s="27">
        <f>'6월'!N34</f>
        <v>110000</v>
      </c>
      <c r="O658" s="33">
        <f>'6월'!O34</f>
        <v>70000</v>
      </c>
      <c r="P658" s="197" t="str">
        <f>'6월'!P34</f>
        <v>이비웨이브(6/13)</v>
      </c>
      <c r="Q658" s="20">
        <f>'6월'!Q34</f>
        <v>30000</v>
      </c>
      <c r="R658" s="2" t="str">
        <f>'6월'!R34</f>
        <v>완료(7/30)</v>
      </c>
      <c r="S658" s="8" t="str">
        <f>'6월'!S34</f>
        <v>천범석</v>
      </c>
      <c r="T658" s="11"/>
    </row>
    <row r="659" spans="1:20" ht="24">
      <c r="A659" t="s">
        <v>30</v>
      </c>
      <c r="B659" s="151" t="str">
        <f>'6월'!B35</f>
        <v>S</v>
      </c>
      <c r="C659" s="200"/>
      <c r="D659" s="10">
        <f>'6월'!D35</f>
        <v>45828</v>
      </c>
      <c r="E659" s="1" t="str">
        <f>'6월'!E35</f>
        <v>아이지리더스</v>
      </c>
      <c r="F659" s="2" t="str">
        <f>'6월'!F35</f>
        <v>광명자이 1812호</v>
      </c>
      <c r="G659" s="2" t="str">
        <f>'6월'!G35</f>
        <v>건물임대</v>
      </c>
      <c r="H659" s="161" t="str">
        <f>'6월'!H35</f>
        <v>임대료</v>
      </c>
      <c r="I659" s="3" t="str">
        <f>'6월'!I35</f>
        <v>6월 임대료(5.26~6.25) 8/12회</v>
      </c>
      <c r="J659" s="23">
        <f>'6월'!J35</f>
        <v>1</v>
      </c>
      <c r="K659" s="29">
        <f>'6월'!K35</f>
        <v>800000</v>
      </c>
      <c r="L659" s="26">
        <f>'6월'!L35</f>
        <v>800000</v>
      </c>
      <c r="M659" s="27">
        <f>'6월'!M35</f>
        <v>80000</v>
      </c>
      <c r="N659" s="27">
        <f>'6월'!N35</f>
        <v>880000</v>
      </c>
      <c r="O659" s="52">
        <f>'6월'!O35</f>
        <v>0</v>
      </c>
      <c r="P659" s="171" t="str">
        <f>'6월'!P35</f>
        <v>X</v>
      </c>
      <c r="Q659" s="181">
        <f>'6월'!Q35</f>
        <v>800000</v>
      </c>
      <c r="R659" s="68" t="str">
        <f>'6월'!R35</f>
        <v>완료-보증금공제</v>
      </c>
      <c r="S659" s="5" t="str">
        <f>'6월'!S35</f>
        <v>정지우</v>
      </c>
      <c r="T659" s="6"/>
    </row>
    <row r="660" spans="1:20" ht="24">
      <c r="A660" t="s">
        <v>30</v>
      </c>
      <c r="B660" s="151" t="str">
        <f>'6월'!B36</f>
        <v>Y250528-01</v>
      </c>
      <c r="C660" s="153"/>
      <c r="D660" s="17">
        <f>'6월'!D36</f>
        <v>45828</v>
      </c>
      <c r="E660" s="1" t="str">
        <f>'6월'!E36</f>
        <v>라온전자</v>
      </c>
      <c r="F660" s="2"/>
      <c r="G660" s="2" t="str">
        <f>'6월'!G36</f>
        <v>상품</v>
      </c>
      <c r="H660" s="83" t="str">
        <f>'6월'!H36</f>
        <v>소모품</v>
      </c>
      <c r="I660" s="4" t="str">
        <f>'6월'!I36</f>
        <v>MacBook Pro 16인치 전원 어댑터 외</v>
      </c>
      <c r="J660" s="23">
        <f>'6월'!J36</f>
        <v>1</v>
      </c>
      <c r="K660" s="27">
        <f>'6월'!K36</f>
        <v>520000</v>
      </c>
      <c r="L660" s="26">
        <f>'6월'!L36</f>
        <v>520000</v>
      </c>
      <c r="M660" s="27">
        <f>'6월'!M36</f>
        <v>52000</v>
      </c>
      <c r="N660" s="27">
        <f>'6월'!N36</f>
        <v>572000</v>
      </c>
      <c r="O660" s="33">
        <f>'6월'!O36</f>
        <v>471073</v>
      </c>
      <c r="P660" s="197" t="str">
        <f>'6월'!P36</f>
        <v>애플스토어(5/26법카) 로젠택배(5/31) 3,800</v>
      </c>
      <c r="Q660" s="20">
        <f>'6월'!Q36</f>
        <v>48927</v>
      </c>
      <c r="R660" s="2" t="str">
        <f>'6월'!R36</f>
        <v>완료(6/30)</v>
      </c>
      <c r="S660" s="8" t="str">
        <f>'6월'!S36</f>
        <v>홍승민</v>
      </c>
      <c r="T660" s="11"/>
    </row>
    <row r="661" spans="1:20">
      <c r="A661" t="s">
        <v>30</v>
      </c>
      <c r="B661" s="151" t="str">
        <f>'6월'!B37</f>
        <v>Y250616-01</v>
      </c>
      <c r="C661" s="153"/>
      <c r="D661" s="17">
        <f>'6월'!D37</f>
        <v>45828</v>
      </c>
      <c r="E661" s="1" t="str">
        <f>'6월'!E37</f>
        <v>라온전자</v>
      </c>
      <c r="F661" s="2"/>
      <c r="G661" s="2" t="str">
        <f>'6월'!G37</f>
        <v>상품</v>
      </c>
      <c r="H661" s="83" t="str">
        <f>'6월'!H37</f>
        <v>HDD</v>
      </c>
      <c r="I661" s="4" t="str">
        <f>'6월'!I37</f>
        <v>Red Plus WD120EFBX - 68B0EN0</v>
      </c>
      <c r="J661" s="23">
        <f>'6월'!J37</f>
        <v>1</v>
      </c>
      <c r="K661" s="27">
        <f>'6월'!K37</f>
        <v>500000</v>
      </c>
      <c r="L661" s="26">
        <f>'6월'!L37</f>
        <v>500000</v>
      </c>
      <c r="M661" s="27">
        <f>'6월'!M37</f>
        <v>50000</v>
      </c>
      <c r="N661" s="27">
        <f>'6월'!N37</f>
        <v>550000</v>
      </c>
      <c r="O661" s="33">
        <f>'6월'!O37</f>
        <v>466309</v>
      </c>
      <c r="P661" s="197" t="str">
        <f>'6월'!P37</f>
        <v>컴퓨존(6/16) 우림퀵(6/30) 21,000</v>
      </c>
      <c r="Q661" s="20">
        <f>'6월'!Q37</f>
        <v>33691</v>
      </c>
      <c r="R661" s="2" t="str">
        <f>'6월'!R37</f>
        <v>완료(6/30)</v>
      </c>
      <c r="S661" s="8" t="str">
        <f>'6월'!S37</f>
        <v>홍승민</v>
      </c>
      <c r="T661" s="11"/>
    </row>
    <row r="662" spans="1:20">
      <c r="A662" t="s">
        <v>30</v>
      </c>
      <c r="B662" s="151" t="str">
        <f>'6월'!B38</f>
        <v>Y250620-01</v>
      </c>
      <c r="C662" s="153"/>
      <c r="D662" s="17">
        <f>'6월'!D38</f>
        <v>45828</v>
      </c>
      <c r="E662" s="1" t="str">
        <f>'6월'!E38</f>
        <v>종교방송</v>
      </c>
      <c r="F662" s="2"/>
      <c r="G662" s="2" t="str">
        <f>'6월'!G38</f>
        <v>상품</v>
      </c>
      <c r="H662" s="83" t="str">
        <f>'6월'!H38</f>
        <v>조립PC</v>
      </c>
      <c r="I662" s="4" t="str">
        <f>'6월'!I38</f>
        <v>조립PC</v>
      </c>
      <c r="J662" s="23">
        <f>'6월'!J38</f>
        <v>1</v>
      </c>
      <c r="K662" s="27">
        <f>'6월'!K38</f>
        <v>495000</v>
      </c>
      <c r="L662" s="26">
        <f>'6월'!L38</f>
        <v>495000</v>
      </c>
      <c r="M662" s="27">
        <f>'6월'!M38</f>
        <v>49500</v>
      </c>
      <c r="N662" s="27">
        <f>'6월'!N38</f>
        <v>544500</v>
      </c>
      <c r="O662" s="33">
        <f>'6월'!O38</f>
        <v>441282</v>
      </c>
      <c r="P662" s="197" t="str">
        <f>'6월'!P38</f>
        <v>컴퓨존(6/20) 우림퀵(6/30) 15,000</v>
      </c>
      <c r="Q662" s="20">
        <f>'6월'!Q38</f>
        <v>53718</v>
      </c>
      <c r="R662" s="2" t="str">
        <f>'6월'!R38</f>
        <v>완료(6/30)</v>
      </c>
      <c r="S662" s="8" t="str">
        <f>'6월'!S38</f>
        <v>홍승민</v>
      </c>
      <c r="T662" s="11"/>
    </row>
    <row r="663" spans="1:20" ht="72">
      <c r="A663" t="s">
        <v>30</v>
      </c>
      <c r="B663" s="151" t="str">
        <f>'6월'!B39</f>
        <v>SM-23023</v>
      </c>
      <c r="C663" s="200"/>
      <c r="D663" s="10">
        <f>'6월'!D39</f>
        <v>45828</v>
      </c>
      <c r="E663" s="214" t="str">
        <f>'6월'!E39</f>
        <v>중앙유통단지관리운영회</v>
      </c>
      <c r="F663" s="215"/>
      <c r="G663" s="161" t="str">
        <f>'6월'!G39</f>
        <v>장비임대</v>
      </c>
      <c r="H663" s="161" t="str">
        <f>'6월'!H39</f>
        <v>서버</v>
      </c>
      <c r="I663" s="163" t="str">
        <f>'6월'!I39</f>
        <v>서버임대 SR650 2식 - 21/36회</v>
      </c>
      <c r="J663" s="23">
        <f>'6월'!J39</f>
        <v>1</v>
      </c>
      <c r="K663" s="26">
        <f>'6월'!K39</f>
        <v>1000000</v>
      </c>
      <c r="L663" s="26">
        <f>'6월'!L39</f>
        <v>1000000</v>
      </c>
      <c r="M663" s="27">
        <f>'6월'!M39</f>
        <v>100000</v>
      </c>
      <c r="N663" s="27">
        <f>'6월'!N39</f>
        <v>1100000</v>
      </c>
      <c r="O663" s="72">
        <f>'6월'!O39</f>
        <v>918000.00000000012</v>
      </c>
      <c r="P663" s="171" t="str">
        <f>'6월'!P39</f>
        <v>트루스케일 2대 15,800,000
SR250내 2.4T 2*100,000 
이룸에스앤앤(9/5) 2*364,000
========= 총 16,728,000 (21/36회)
이올테크(6/20) 370,000
시스나인(24/9/2) 연 1,000,000(9/12회)</v>
      </c>
      <c r="Q663" s="181">
        <f>'6월'!Q39</f>
        <v>81999.999999999884</v>
      </c>
      <c r="R663" s="202" t="str">
        <f>'6월'!R39</f>
        <v>완료(6/30)</v>
      </c>
      <c r="S663" s="5" t="str">
        <f>'6월'!S39</f>
        <v>천범석</v>
      </c>
      <c r="T663" s="11"/>
    </row>
    <row r="664" spans="1:20">
      <c r="A664" t="s">
        <v>30</v>
      </c>
      <c r="B664" s="151" t="str">
        <f>'6월'!B40</f>
        <v>H250612</v>
      </c>
      <c r="C664" s="199"/>
      <c r="D664" s="10">
        <f>'6월'!D40</f>
        <v>45828</v>
      </c>
      <c r="E664" s="214" t="str">
        <f>'6월'!E40</f>
        <v>중앙유통단지관리운영회</v>
      </c>
      <c r="F664" s="215"/>
      <c r="G664" s="161" t="str">
        <f>'6월'!G40</f>
        <v>상품</v>
      </c>
      <c r="H664" s="161" t="str">
        <f>'6월'!H40</f>
        <v>HDD</v>
      </c>
      <c r="I664" s="162" t="str">
        <f>'6월'!I40</f>
        <v>HP 73GB SCSI HS HDD</v>
      </c>
      <c r="J664" s="23">
        <f>'6월'!J40</f>
        <v>4</v>
      </c>
      <c r="K664" s="27">
        <f>'6월'!K40</f>
        <v>250000</v>
      </c>
      <c r="L664" s="26">
        <f>'6월'!L40</f>
        <v>1000000</v>
      </c>
      <c r="M664" s="27">
        <f>'6월'!M40</f>
        <v>100000</v>
      </c>
      <c r="N664" s="27">
        <f>'6월'!N40</f>
        <v>1100000</v>
      </c>
      <c r="O664" s="72">
        <f>'6월'!O40</f>
        <v>600000</v>
      </c>
      <c r="P664" s="171" t="str">
        <f>'6월'!P40</f>
        <v>이올테크(6/20)</v>
      </c>
      <c r="Q664" s="181">
        <f>'6월'!Q40</f>
        <v>400000</v>
      </c>
      <c r="R664" s="202" t="str">
        <f>'6월'!R40</f>
        <v>완료(6/30)</v>
      </c>
      <c r="S664" s="5" t="str">
        <f>'6월'!S40</f>
        <v>천범석</v>
      </c>
      <c r="T664" s="11"/>
    </row>
    <row r="665" spans="1:20">
      <c r="A665" t="s">
        <v>30</v>
      </c>
      <c r="B665" s="151" t="str">
        <f>'6월'!B41</f>
        <v>SM-23017</v>
      </c>
      <c r="C665" s="199"/>
      <c r="D665" s="10">
        <f>'6월'!D41</f>
        <v>45828</v>
      </c>
      <c r="E665" s="1" t="str">
        <f>'6월'!E41</f>
        <v>이앤피정보기술</v>
      </c>
      <c r="F665" s="2" t="str">
        <f>'6월'!F41</f>
        <v>용진일렉콤</v>
      </c>
      <c r="G665" s="2" t="str">
        <f>'6월'!G41</f>
        <v>MA</v>
      </c>
      <c r="H665" s="2" t="str">
        <f>'6월'!H41</f>
        <v>월간</v>
      </c>
      <c r="I665" s="70" t="str">
        <f>'6월'!I41</f>
        <v>6월 유지정비료 - 3/12회</v>
      </c>
      <c r="J665" s="23">
        <f>'6월'!J41</f>
        <v>1</v>
      </c>
      <c r="K665" s="27">
        <f>'6월'!K41</f>
        <v>200000</v>
      </c>
      <c r="L665" s="26">
        <f>'6월'!L41</f>
        <v>200000</v>
      </c>
      <c r="M665" s="27">
        <f>'6월'!M41</f>
        <v>20000</v>
      </c>
      <c r="N665" s="27">
        <f>'6월'!N41</f>
        <v>220000</v>
      </c>
      <c r="O665" s="52">
        <f>'6월'!O41</f>
        <v>0</v>
      </c>
      <c r="P665" s="171" t="str">
        <f>'6월'!P41</f>
        <v>X</v>
      </c>
      <c r="Q665" s="181">
        <f>'6월'!Q41</f>
        <v>200000</v>
      </c>
      <c r="R665" s="68" t="str">
        <f>'6월'!R41</f>
        <v>완료(7/31)</v>
      </c>
      <c r="S665" s="8" t="str">
        <f>'6월'!S41</f>
        <v>이예지</v>
      </c>
      <c r="T665" s="11"/>
    </row>
    <row r="666" spans="1:20">
      <c r="A666" t="s">
        <v>30</v>
      </c>
      <c r="B666" s="151" t="str">
        <f>'6월'!B42</f>
        <v>SB-25020</v>
      </c>
      <c r="C666" s="153" t="str">
        <f>'6월'!C42</f>
        <v>ZZLYH2</v>
      </c>
      <c r="D666" s="10">
        <f>'6월'!D42</f>
        <v>45828</v>
      </c>
      <c r="E666" s="1" t="str">
        <f>'6월'!E42</f>
        <v>익스피다이터스코리아</v>
      </c>
      <c r="F666" s="2"/>
      <c r="G666" s="161" t="str">
        <f>'6월'!G42</f>
        <v>MA</v>
      </c>
      <c r="H666" s="83" t="str">
        <f>'6월'!H42</f>
        <v>월간-레노버</v>
      </c>
      <c r="I666" s="4" t="str">
        <f>'6월'!I42</f>
        <v>6월 유지정비료 - 3/36회</v>
      </c>
      <c r="J666" s="23">
        <f>'6월'!J42</f>
        <v>1</v>
      </c>
      <c r="K666" s="27">
        <f>'6월'!K42</f>
        <v>64000</v>
      </c>
      <c r="L666" s="26">
        <f>'6월'!L42</f>
        <v>64000</v>
      </c>
      <c r="M666" s="27">
        <f>'6월'!M42</f>
        <v>6400</v>
      </c>
      <c r="N666" s="27">
        <f>'6월'!N42</f>
        <v>70400</v>
      </c>
      <c r="O666" s="33">
        <f>'6월'!O42</f>
        <v>53400</v>
      </c>
      <c r="P666" s="197" t="str">
        <f>'6월'!P42</f>
        <v>레노버(6/30)</v>
      </c>
      <c r="Q666" s="20">
        <f>'6월'!Q42</f>
        <v>10600</v>
      </c>
      <c r="R666" s="68" t="str">
        <f>'6월'!R42</f>
        <v>완료(6/25)</v>
      </c>
      <c r="S666" s="8" t="str">
        <f>'6월'!S42</f>
        <v>천범석</v>
      </c>
      <c r="T666" s="11"/>
    </row>
    <row r="667" spans="1:20" ht="24">
      <c r="A667" t="s">
        <v>30</v>
      </c>
      <c r="B667" s="151" t="str">
        <f>'6월'!B43</f>
        <v>S</v>
      </c>
      <c r="C667" s="153"/>
      <c r="D667" s="86">
        <f>'6월'!D43</f>
        <v>45828</v>
      </c>
      <c r="E667" s="1" t="str">
        <f>'6월'!E43</f>
        <v>중앙아이티</v>
      </c>
      <c r="F667" s="2" t="str">
        <f>'6월'!F43</f>
        <v>네이버</v>
      </c>
      <c r="G667" s="2" t="str">
        <f>'6월'!G43</f>
        <v>MA</v>
      </c>
      <c r="H667" s="83" t="str">
        <f>'6월'!H43</f>
        <v>기술지원</v>
      </c>
      <c r="I667" s="4" t="str">
        <f>'6월'!I43</f>
        <v>DB2 WAS 성능진단 기술지원
202502.17~06.16</v>
      </c>
      <c r="J667" s="23">
        <f>'6월'!J43</f>
        <v>1</v>
      </c>
      <c r="K667" s="27">
        <f>'6월'!K43</f>
        <v>20000000</v>
      </c>
      <c r="L667" s="26">
        <f>'6월'!L43</f>
        <v>20000000</v>
      </c>
      <c r="M667" s="27">
        <f>'6월'!M43</f>
        <v>2000000</v>
      </c>
      <c r="N667" s="27">
        <f>'6월'!N43</f>
        <v>22000000</v>
      </c>
      <c r="O667" s="33">
        <f>'6월'!O43</f>
        <v>19000000</v>
      </c>
      <c r="P667" s="197" t="str">
        <f>'6월'!P43</f>
        <v>시스나인(7/5)</v>
      </c>
      <c r="Q667" s="20">
        <f>'6월'!Q43</f>
        <v>1000000</v>
      </c>
      <c r="R667" s="68" t="str">
        <f>'6월'!R43</f>
        <v>완료(7/30)</v>
      </c>
      <c r="S667" s="8" t="str">
        <f>'6월'!S43</f>
        <v>이예지</v>
      </c>
      <c r="T667" s="11"/>
    </row>
    <row r="668" spans="1:20" ht="24">
      <c r="A668" t="s">
        <v>30</v>
      </c>
      <c r="B668" s="151" t="str">
        <f>'6월'!B44</f>
        <v>IK-25002</v>
      </c>
      <c r="C668" s="230"/>
      <c r="D668" s="10">
        <f>'6월'!D44</f>
        <v>45828</v>
      </c>
      <c r="E668" s="214" t="str">
        <f>'6월'!E44</f>
        <v>시너지온</v>
      </c>
      <c r="F668" s="215" t="str">
        <f>'6월'!F44</f>
        <v>명지병원</v>
      </c>
      <c r="G668" s="161" t="str">
        <f>'6월'!G44</f>
        <v>MA</v>
      </c>
      <c r="H668" s="161" t="str">
        <f>'6월'!H44</f>
        <v>월간-IBM</v>
      </c>
      <c r="I668" s="4" t="str">
        <f>'6월'!I44</f>
        <v>6월 유지정비료 - 4/12회</v>
      </c>
      <c r="J668" s="23">
        <f>'6월'!J44</f>
        <v>1</v>
      </c>
      <c r="K668" s="27">
        <f>'6월'!K44</f>
        <v>1000000</v>
      </c>
      <c r="L668" s="26">
        <f>'6월'!L44</f>
        <v>1000000</v>
      </c>
      <c r="M668" s="27">
        <f>'6월'!M44</f>
        <v>100000</v>
      </c>
      <c r="N668" s="27">
        <f>'6월'!N44</f>
        <v>1100000</v>
      </c>
      <c r="O668" s="33">
        <f>'6월'!O44</f>
        <v>751875</v>
      </c>
      <c r="P668" s="197" t="str">
        <f>'6월'!P44</f>
        <v>티에스씨인포 (6/30) 300,000
IBM(6/2) 451,875</v>
      </c>
      <c r="Q668" s="181">
        <f>'6월'!Q44</f>
        <v>248125</v>
      </c>
      <c r="R668" s="68" t="str">
        <f>'6월'!R44</f>
        <v>완료(9/22)</v>
      </c>
      <c r="S668" s="8" t="str">
        <f>'6월'!S44</f>
        <v>천범석</v>
      </c>
      <c r="T668" s="11"/>
    </row>
    <row r="669" spans="1:20">
      <c r="A669" t="s">
        <v>30</v>
      </c>
      <c r="B669" s="151" t="str">
        <f>'6월'!B45</f>
        <v>SM-25014</v>
      </c>
      <c r="C669" s="230"/>
      <c r="D669" s="10">
        <f>'6월'!D45</f>
        <v>45828</v>
      </c>
      <c r="E669" s="214" t="str">
        <f>'6월'!E45</f>
        <v>시너지온</v>
      </c>
      <c r="F669" s="215" t="str">
        <f>'6월'!F45</f>
        <v>건국대병원</v>
      </c>
      <c r="G669" s="161" t="str">
        <f>'6월'!G45</f>
        <v>MA</v>
      </c>
      <c r="H669" s="161" t="str">
        <f>'6월'!H45</f>
        <v>월간</v>
      </c>
      <c r="I669" s="4" t="str">
        <f>'6월'!I45</f>
        <v>6월 유지정비료 - 3/29회</v>
      </c>
      <c r="J669" s="23">
        <f>'6월'!J45</f>
        <v>1</v>
      </c>
      <c r="K669" s="27">
        <f>'6월'!K45</f>
        <v>800000</v>
      </c>
      <c r="L669" s="26">
        <f>'6월'!L45</f>
        <v>800000</v>
      </c>
      <c r="M669" s="27">
        <f>'6월'!M45</f>
        <v>80000</v>
      </c>
      <c r="N669" s="27">
        <f>'6월'!N45</f>
        <v>880000</v>
      </c>
      <c r="O669" s="33">
        <f>'6월'!O45</f>
        <v>500000</v>
      </c>
      <c r="P669" s="197" t="str">
        <f>'6월'!P45</f>
        <v xml:space="preserve">제이에스정보(6/25) </v>
      </c>
      <c r="Q669" s="181">
        <f>'6월'!Q45</f>
        <v>300000</v>
      </c>
      <c r="R669" s="68" t="str">
        <f>'6월'!R45</f>
        <v>완료(8/11)</v>
      </c>
      <c r="S669" s="8" t="str">
        <f>'6월'!S45</f>
        <v>천범석</v>
      </c>
      <c r="T669" s="11"/>
    </row>
    <row r="670" spans="1:20" ht="36">
      <c r="A670" t="s">
        <v>30</v>
      </c>
      <c r="B670" s="151" t="str">
        <f>'6월'!B46</f>
        <v>SM-24014</v>
      </c>
      <c r="C670" s="200"/>
      <c r="D670" s="78">
        <f>'6월'!D46</f>
        <v>45828</v>
      </c>
      <c r="E670" s="216" t="str">
        <f>'6월'!E46</f>
        <v>동아건설</v>
      </c>
      <c r="F670" s="217"/>
      <c r="G670" s="167" t="str">
        <f>'6월'!G46</f>
        <v>MA</v>
      </c>
      <c r="H670" s="167" t="str">
        <f>'6월'!H46</f>
        <v>월간</v>
      </c>
      <c r="I670" s="168" t="str">
        <f>'6월'!I46</f>
        <v>6월 유지정비료 - 2/12회</v>
      </c>
      <c r="J670" s="79">
        <f>'6월'!J46</f>
        <v>1</v>
      </c>
      <c r="K670" s="80">
        <f>'6월'!K46</f>
        <v>950000</v>
      </c>
      <c r="L670" s="80">
        <f>'6월'!L46</f>
        <v>950000</v>
      </c>
      <c r="M670" s="81">
        <f>'6월'!M46</f>
        <v>95000</v>
      </c>
      <c r="N670" s="81">
        <f>'6월'!N46</f>
        <v>1045000</v>
      </c>
      <c r="O670" s="54">
        <f>'6월'!O46</f>
        <v>750000</v>
      </c>
      <c r="P670" s="176" t="str">
        <f>'6월'!P46</f>
        <v>제이에스정보(6/25) 150,000
디에스티아이(6/30) 100,000
시스나인(11/3) 4,000,000(2/8)</v>
      </c>
      <c r="Q670" s="181">
        <f>'6월'!Q46</f>
        <v>200000</v>
      </c>
      <c r="R670" s="68" t="str">
        <f>'6월'!R46</f>
        <v>완료(7/30)</v>
      </c>
      <c r="S670" s="5" t="str">
        <f>'6월'!S46</f>
        <v>이예지</v>
      </c>
      <c r="T670" s="11"/>
    </row>
    <row r="671" spans="1:20" ht="36">
      <c r="A671" t="s">
        <v>30</v>
      </c>
      <c r="B671" s="151" t="str">
        <f>'6월'!B47</f>
        <v>SM-24007</v>
      </c>
      <c r="C671" s="200"/>
      <c r="D671" s="78">
        <f>'6월'!D47</f>
        <v>45828</v>
      </c>
      <c r="E671" s="218" t="str">
        <f>'6월'!E47</f>
        <v>성대의료원</v>
      </c>
      <c r="F671" s="217"/>
      <c r="G671" s="167" t="str">
        <f>'6월'!G47</f>
        <v>MA</v>
      </c>
      <c r="H671" s="167" t="str">
        <f>'6월'!H47</f>
        <v>월간</v>
      </c>
      <c r="I671" s="168" t="str">
        <f>'6월'!I47</f>
        <v>6월 유지정비료 - 5/12회</v>
      </c>
      <c r="J671" s="79">
        <f>'6월'!J47</f>
        <v>1</v>
      </c>
      <c r="K671" s="80">
        <f>'6월'!K47</f>
        <v>1505000</v>
      </c>
      <c r="L671" s="80">
        <f>'6월'!L47</f>
        <v>1505000</v>
      </c>
      <c r="M671" s="81">
        <f>'6월'!M47</f>
        <v>150500</v>
      </c>
      <c r="N671" s="81">
        <f>'6월'!N47</f>
        <v>1655500</v>
      </c>
      <c r="O671" s="52">
        <f>'6월'!O47</f>
        <v>980000</v>
      </c>
      <c r="P671" s="171" t="str">
        <f>'6월'!P47</f>
        <v>다원씨앤에스(6/25) 200,000
DCSS(6/30) 80,000
시스나인(4/25) 2,100,000(2/3회)</v>
      </c>
      <c r="Q671" s="181">
        <f>'6월'!Q47</f>
        <v>525000</v>
      </c>
      <c r="R671" s="68" t="str">
        <f>'6월'!R47</f>
        <v>완료(7/30)</v>
      </c>
      <c r="S671" s="5" t="str">
        <f>'6월'!S47</f>
        <v>이예지</v>
      </c>
      <c r="T671" s="11"/>
    </row>
    <row r="672" spans="1:20" ht="60">
      <c r="A672" t="s">
        <v>30</v>
      </c>
      <c r="B672" s="151" t="str">
        <f>'6월'!B48</f>
        <v>Y250424-02</v>
      </c>
      <c r="C672" s="153"/>
      <c r="D672" s="17">
        <f>'6월'!D48</f>
        <v>45832</v>
      </c>
      <c r="E672" s="1" t="str">
        <f>'6월'!E48</f>
        <v>다올앤씨</v>
      </c>
      <c r="F672" s="2"/>
      <c r="G672" s="2" t="str">
        <f>'6월'!G48</f>
        <v>상품</v>
      </c>
      <c r="H672" s="83" t="str">
        <f>'6월'!H48</f>
        <v>서버</v>
      </c>
      <c r="I672" s="4" t="str">
        <f>'6월'!I48</f>
        <v>Lenovo SR650v3 Server (2U) 외</v>
      </c>
      <c r="J672" s="23">
        <f>'6월'!J48</f>
        <v>1</v>
      </c>
      <c r="K672" s="27">
        <f>'6월'!K48</f>
        <v>23600000</v>
      </c>
      <c r="L672" s="26">
        <f>'6월'!L48</f>
        <v>23600000</v>
      </c>
      <c r="M672" s="27">
        <f>'6월'!M48</f>
        <v>2360000</v>
      </c>
      <c r="N672" s="27">
        <f>'6월'!N48</f>
        <v>25960000</v>
      </c>
      <c r="O672" s="33">
        <f>'6월'!O48</f>
        <v>16815000</v>
      </c>
      <c r="P672" s="197" t="str">
        <f>'6월'!P48</f>
        <v>다솜(5/29) 5,780,000
이룸에스앤앤(4/14) 8,600,000
아이티스톤(5/30) 2,400,000
운반비(5/31) 35,000
재고, SM</v>
      </c>
      <c r="Q672" s="20">
        <f>'6월'!Q48</f>
        <v>6785000</v>
      </c>
      <c r="R672" s="68" t="str">
        <f>'6월'!R48</f>
        <v>완료(7/3)</v>
      </c>
      <c r="S672" s="8" t="str">
        <f>'6월'!S48</f>
        <v>홍승민</v>
      </c>
      <c r="T672" s="11"/>
    </row>
    <row r="673" spans="1:21" ht="24">
      <c r="A673" t="s">
        <v>30</v>
      </c>
      <c r="B673" s="151" t="str">
        <f>'6월'!B49</f>
        <v>SM-20023</v>
      </c>
      <c r="C673" s="200"/>
      <c r="D673" s="17">
        <f>'6월'!D49</f>
        <v>45833</v>
      </c>
      <c r="E673" s="214" t="str">
        <f>'6월'!E49</f>
        <v>비씨엠정보통신</v>
      </c>
      <c r="F673" s="189" t="str">
        <f>'6월'!F49</f>
        <v>꼬망스</v>
      </c>
      <c r="G673" s="161" t="str">
        <f>'6월'!G49</f>
        <v>MA</v>
      </c>
      <c r="H673" s="161" t="str">
        <f>'6월'!H49</f>
        <v>월간</v>
      </c>
      <c r="I673" s="163" t="str">
        <f>'6월'!I49</f>
        <v>6월 유지정비료 - 10/12회</v>
      </c>
      <c r="J673" s="24">
        <f>'6월'!J49</f>
        <v>1</v>
      </c>
      <c r="K673" s="26">
        <f>'6월'!K49</f>
        <v>320000</v>
      </c>
      <c r="L673" s="26">
        <f>'6월'!L49</f>
        <v>320000</v>
      </c>
      <c r="M673" s="27">
        <f>'6월'!M49</f>
        <v>32000</v>
      </c>
      <c r="N673" s="27">
        <f>'6월'!N49</f>
        <v>352000</v>
      </c>
      <c r="O673" s="33">
        <f>'6월'!O49</f>
        <v>270000</v>
      </c>
      <c r="P673" s="171" t="str">
        <f>'6월'!P49</f>
        <v>시스나인(3/4) 연간 1,800,000(10/12회) 이비웨이브 배터리(6/10) 120,000</v>
      </c>
      <c r="Q673" s="181">
        <f>'6월'!Q49</f>
        <v>50000</v>
      </c>
      <c r="R673" s="2" t="str">
        <f>'6월'!R49</f>
        <v>완료(7/31)</v>
      </c>
      <c r="S673" s="5" t="str">
        <f>'6월'!S49</f>
        <v>천범석</v>
      </c>
      <c r="T673" s="11"/>
    </row>
    <row r="674" spans="1:21">
      <c r="A674" t="s">
        <v>30</v>
      </c>
      <c r="B674" s="151" t="str">
        <f>'6월'!B50</f>
        <v>SM-23026</v>
      </c>
      <c r="C674" s="199"/>
      <c r="D674" s="17">
        <f>'6월'!D50</f>
        <v>45833</v>
      </c>
      <c r="E674" s="214" t="str">
        <f>'6월'!E50</f>
        <v>한국도자기협회</v>
      </c>
      <c r="F674" s="215"/>
      <c r="G674" s="1" t="str">
        <f>'6월'!G50</f>
        <v>MA</v>
      </c>
      <c r="H674" s="2" t="str">
        <f>'6월'!H50</f>
        <v>월간</v>
      </c>
      <c r="I674" s="163" t="str">
        <f>'6월'!I50</f>
        <v>6월 유지정비료 - 11/12회</v>
      </c>
      <c r="J674" s="76">
        <f>'6월'!J50</f>
        <v>1</v>
      </c>
      <c r="K674" s="48">
        <f>'6월'!K50</f>
        <v>1216000</v>
      </c>
      <c r="L674" s="26">
        <f>'6월'!L50</f>
        <v>2446000</v>
      </c>
      <c r="M674" s="27">
        <f>'6월'!M50</f>
        <v>244600</v>
      </c>
      <c r="N674" s="27">
        <f>'6월'!N50</f>
        <v>2690600</v>
      </c>
      <c r="O674" s="52">
        <f>'6월'!O50</f>
        <v>1435000</v>
      </c>
      <c r="P674" s="171" t="str">
        <f>'6월'!P50</f>
        <v>현성솔루션(6/30) 840,000</v>
      </c>
      <c r="Q674" s="181">
        <f>'6월'!Q50</f>
        <v>1011000</v>
      </c>
      <c r="R674" s="2" t="str">
        <f>'6월'!R50</f>
        <v>완료(7/8)</v>
      </c>
      <c r="S674" s="8" t="str">
        <f>'6월'!S50</f>
        <v>홍승민</v>
      </c>
      <c r="T674" s="11"/>
    </row>
    <row r="675" spans="1:21">
      <c r="A675" t="s">
        <v>30</v>
      </c>
      <c r="B675" s="151" t="str">
        <f>'6월'!B51</f>
        <v>SM-24012</v>
      </c>
      <c r="C675" s="201"/>
      <c r="D675" s="43"/>
      <c r="E675" s="219" t="str">
        <f>'6월'!E51</f>
        <v>한국도자기협회</v>
      </c>
      <c r="F675" s="220"/>
      <c r="G675" s="1" t="str">
        <f>'6월'!G51</f>
        <v>MA</v>
      </c>
      <c r="H675" s="2" t="str">
        <f>'6월'!H51</f>
        <v>월간</v>
      </c>
      <c r="I675" s="163" t="str">
        <f>'6월'!I51</f>
        <v>6월 유지정비료 - 2/12회</v>
      </c>
      <c r="J675" s="76">
        <f>'6월'!J51</f>
        <v>1</v>
      </c>
      <c r="K675" s="48">
        <f>'6월'!K51</f>
        <v>390000</v>
      </c>
      <c r="L675" s="38"/>
      <c r="M675" s="38"/>
      <c r="N675" s="38"/>
      <c r="O675" s="52"/>
      <c r="P675" s="171" t="str">
        <f>'6월'!P51</f>
        <v>추후?</v>
      </c>
      <c r="Q675" s="184"/>
      <c r="R675" s="46"/>
      <c r="S675" s="42"/>
      <c r="T675" s="133"/>
    </row>
    <row r="676" spans="1:21">
      <c r="A676" t="s">
        <v>30</v>
      </c>
      <c r="B676" s="151" t="str">
        <f>'6월'!B52</f>
        <v>SM-23025</v>
      </c>
      <c r="C676" s="201"/>
      <c r="D676" s="43"/>
      <c r="E676" s="219" t="str">
        <f>'6월'!E52</f>
        <v>한국도자기협회</v>
      </c>
      <c r="F676" s="220"/>
      <c r="G676" s="1" t="str">
        <f>'6월'!G52</f>
        <v>MA</v>
      </c>
      <c r="H676" s="2" t="str">
        <f>'6월'!H52</f>
        <v>월간</v>
      </c>
      <c r="I676" s="3" t="str">
        <f>'6월'!I52</f>
        <v>이메일 보안 및 호스팅 6월 - 11/12회</v>
      </c>
      <c r="J676" s="76">
        <f>'6월'!J52</f>
        <v>70</v>
      </c>
      <c r="K676" s="48">
        <f>'6월'!K52</f>
        <v>12000</v>
      </c>
      <c r="L676" s="38"/>
      <c r="M676" s="38"/>
      <c r="N676" s="38"/>
      <c r="O676" s="52"/>
      <c r="P676" s="171" t="str">
        <f>'6월'!P52</f>
        <v>현성솔루션(6/30) 595,000</v>
      </c>
      <c r="Q676" s="184"/>
      <c r="R676" s="46"/>
      <c r="S676" s="42"/>
      <c r="T676" s="133"/>
    </row>
    <row r="677" spans="1:21" ht="24">
      <c r="A677" t="s">
        <v>30</v>
      </c>
      <c r="B677" s="151" t="str">
        <f>'6월'!B53</f>
        <v>LI-24007</v>
      </c>
      <c r="C677" s="200" t="str">
        <f>'6월'!C53</f>
        <v>C24009</v>
      </c>
      <c r="D677" s="17">
        <f>'6월'!D53</f>
        <v>45833</v>
      </c>
      <c r="E677" s="214" t="str">
        <f>'6월'!E53</f>
        <v>유더블유에스</v>
      </c>
      <c r="F677" s="215" t="str">
        <f>'6월'!F53</f>
        <v>두원정공</v>
      </c>
      <c r="G677" s="161" t="str">
        <f>'6월'!G53</f>
        <v>MA</v>
      </c>
      <c r="H677" s="161" t="str">
        <f>'6월'!H53</f>
        <v>월간</v>
      </c>
      <c r="I677" s="3" t="str">
        <f>'6월'!I53</f>
        <v>6월 유지정비료 - 12/12회</v>
      </c>
      <c r="J677" s="73">
        <f>'6월'!J53</f>
        <v>1</v>
      </c>
      <c r="K677" s="26">
        <f>'6월'!K53</f>
        <v>168000</v>
      </c>
      <c r="L677" s="26">
        <f>'6월'!L53</f>
        <v>168000</v>
      </c>
      <c r="M677" s="27">
        <f>'6월'!M53</f>
        <v>16800</v>
      </c>
      <c r="N677" s="27">
        <f>'6월'!N53</f>
        <v>184800</v>
      </c>
      <c r="O677" s="52">
        <f>'6월'!O53</f>
        <v>120616.33333333334</v>
      </c>
      <c r="P677" s="172" t="str">
        <f>'6월'!P53</f>
        <v>레노버(24/7/8)연간 (12/12회) 485,440
IBM(6/2) 80,163</v>
      </c>
      <c r="Q677" s="183">
        <f>'6월'!Q53</f>
        <v>47383.666666666657</v>
      </c>
      <c r="R677" s="68" t="str">
        <f>'6월'!R53</f>
        <v>완료(7/31)</v>
      </c>
      <c r="S677" s="5" t="str">
        <f>'6월'!S53</f>
        <v>천범석</v>
      </c>
      <c r="T677" s="11"/>
    </row>
    <row r="678" spans="1:21">
      <c r="A678" t="s">
        <v>30</v>
      </c>
      <c r="B678" s="151" t="str">
        <f>'6월'!B54</f>
        <v>IK-24007</v>
      </c>
      <c r="C678" s="200"/>
      <c r="D678" s="17">
        <f>'6월'!D54</f>
        <v>45833</v>
      </c>
      <c r="E678" s="214" t="str">
        <f>'6월'!E54</f>
        <v>로보츠</v>
      </c>
      <c r="F678" s="189" t="str">
        <f>'6월'!F54</f>
        <v>도시바일렉트로닉스</v>
      </c>
      <c r="G678" s="161" t="str">
        <f>'6월'!G54</f>
        <v>MA</v>
      </c>
      <c r="H678" s="161" t="str">
        <f>'6월'!H54</f>
        <v>월간-IBM</v>
      </c>
      <c r="I678" s="3" t="str">
        <f>'6월'!I54</f>
        <v>6월 유지정비료 - 12/12회</v>
      </c>
      <c r="J678" s="24">
        <f>'6월'!J54</f>
        <v>1</v>
      </c>
      <c r="K678" s="26">
        <f>'6월'!K54</f>
        <v>115000</v>
      </c>
      <c r="L678" s="26">
        <f>'6월'!L54</f>
        <v>115000</v>
      </c>
      <c r="M678" s="27">
        <f>'6월'!M54</f>
        <v>11500</v>
      </c>
      <c r="N678" s="27">
        <f>'6월'!N54</f>
        <v>126500</v>
      </c>
      <c r="O678" s="52">
        <f>'6월'!O54</f>
        <v>66498</v>
      </c>
      <c r="P678" s="171" t="str">
        <f>'6월'!P54</f>
        <v>IBM(6/2)</v>
      </c>
      <c r="Q678" s="181">
        <f>'6월'!Q54</f>
        <v>48502</v>
      </c>
      <c r="R678" s="2" t="str">
        <f>'6월'!R54</f>
        <v>완료(7/25)</v>
      </c>
      <c r="S678" s="5" t="str">
        <f>'6월'!S54</f>
        <v>천범석</v>
      </c>
      <c r="T678" s="11"/>
    </row>
    <row r="679" spans="1:21" ht="36">
      <c r="A679" t="s">
        <v>30</v>
      </c>
      <c r="B679" s="151" t="str">
        <f>'6월'!B55</f>
        <v>IK-24011</v>
      </c>
      <c r="C679" s="199"/>
      <c r="D679" s="17">
        <f>'6월'!D55</f>
        <v>45833</v>
      </c>
      <c r="E679" s="214" t="str">
        <f>'6월'!E55</f>
        <v>로보츠</v>
      </c>
      <c r="F679" s="215" t="str">
        <f>'6월'!F55</f>
        <v>키오시아</v>
      </c>
      <c r="G679" s="161" t="str">
        <f>'6월'!G55</f>
        <v>MA</v>
      </c>
      <c r="H679" s="161" t="str">
        <f>'6월'!H55</f>
        <v>월간-IBM</v>
      </c>
      <c r="I679" s="164" t="str">
        <f>'6월'!I55</f>
        <v>6월 유지정비료 - 7/12회</v>
      </c>
      <c r="J679" s="34">
        <f>'6월'!J55</f>
        <v>1</v>
      </c>
      <c r="K679" s="48">
        <f>'6월'!K55</f>
        <v>350000</v>
      </c>
      <c r="L679" s="26">
        <f>'6월'!L55</f>
        <v>350000</v>
      </c>
      <c r="M679" s="27">
        <f>'6월'!M55</f>
        <v>35000</v>
      </c>
      <c r="N679" s="27">
        <f>'6월'!N55</f>
        <v>385000</v>
      </c>
      <c r="O679" s="52">
        <f>'6월'!O55</f>
        <v>287383.33333333331</v>
      </c>
      <c r="P679" s="171" t="str">
        <f>'6월'!P55</f>
        <v>IBM(6/2) 133,875
DCSS (6/30) 70,180
시스나인(11/3) 1,000,000 (7/12)</v>
      </c>
      <c r="Q679" s="181">
        <f>'6월'!Q55</f>
        <v>62616.666666666686</v>
      </c>
      <c r="R679" s="2" t="str">
        <f>'6월'!R55</f>
        <v>완료(7/25)</v>
      </c>
      <c r="S679" s="8" t="str">
        <f>'6월'!S55</f>
        <v>천범석</v>
      </c>
      <c r="T679" s="11"/>
    </row>
    <row r="680" spans="1:21" ht="36">
      <c r="A680" t="s">
        <v>30</v>
      </c>
      <c r="B680" s="151" t="str">
        <f>'6월'!B56</f>
        <v>IK-24014</v>
      </c>
      <c r="C680" s="153" t="str">
        <f>'6월'!C56</f>
        <v>ZL0WLO</v>
      </c>
      <c r="D680" s="17">
        <f>'6월'!D56</f>
        <v>45833</v>
      </c>
      <c r="E680" s="214" t="str">
        <f>'6월'!E56</f>
        <v>로보츠</v>
      </c>
      <c r="F680" s="215" t="str">
        <f>'6월'!F56</f>
        <v>와이케이케이코리아</v>
      </c>
      <c r="G680" s="161" t="str">
        <f>'6월'!G56</f>
        <v>MA</v>
      </c>
      <c r="H680" s="161" t="str">
        <f>'6월'!H56</f>
        <v>월간-IBM</v>
      </c>
      <c r="I680" s="164" t="str">
        <f>'6월'!I56</f>
        <v>6월 유지정비료 - 6/12회</v>
      </c>
      <c r="J680" s="34">
        <f>'6월'!J56</f>
        <v>1</v>
      </c>
      <c r="K680" s="48">
        <f>'6월'!K56</f>
        <v>614000</v>
      </c>
      <c r="L680" s="26">
        <f>'6월'!L56</f>
        <v>614000</v>
      </c>
      <c r="M680" s="27">
        <f>'6월'!M56</f>
        <v>61400</v>
      </c>
      <c r="N680" s="27">
        <f>'6월'!N56</f>
        <v>675400</v>
      </c>
      <c r="O680" s="77">
        <f>'6월'!O56</f>
        <v>559600</v>
      </c>
      <c r="P680" s="239" t="str">
        <f>'6월'!P56</f>
        <v>IBM(6/2) 79,496 추가(6/2) 74,124
레노버(6/30) 55,980
시스나인(11/3) 4,200,000 (6/12회)</v>
      </c>
      <c r="Q680" s="181">
        <f>'6월'!Q56</f>
        <v>54400</v>
      </c>
      <c r="R680" s="2" t="str">
        <f>'6월'!R56</f>
        <v>완료(7/25)</v>
      </c>
      <c r="S680" s="8" t="str">
        <f>'6월'!S56</f>
        <v>천범석</v>
      </c>
      <c r="T680" s="11"/>
    </row>
    <row r="681" spans="1:21">
      <c r="A681" t="s">
        <v>30</v>
      </c>
      <c r="B681" s="151" t="str">
        <f>'6월'!B57</f>
        <v>SM-25021</v>
      </c>
      <c r="C681" s="199"/>
      <c r="D681" s="17">
        <f>'6월'!D57</f>
        <v>45833</v>
      </c>
      <c r="E681" s="214" t="str">
        <f>'6월'!E57</f>
        <v>로보츠</v>
      </c>
      <c r="F681" s="215" t="str">
        <f>'6월'!F57</f>
        <v>조광피혁</v>
      </c>
      <c r="G681" s="161" t="str">
        <f>'6월'!G57</f>
        <v>MA</v>
      </c>
      <c r="H681" s="161" t="str">
        <f>'6월'!H57</f>
        <v>월간-DCSS</v>
      </c>
      <c r="I681" s="164" t="str">
        <f>'6월'!I57</f>
        <v>6월 유지정비료 - 2/12회</v>
      </c>
      <c r="J681" s="34">
        <f>'6월'!J57</f>
        <v>1</v>
      </c>
      <c r="K681" s="48">
        <f>'6월'!K57</f>
        <v>70000</v>
      </c>
      <c r="L681" s="26">
        <f>'6월'!L57</f>
        <v>70000</v>
      </c>
      <c r="M681" s="27">
        <f>'6월'!M57</f>
        <v>7000</v>
      </c>
      <c r="N681" s="27">
        <f>'6월'!N57</f>
        <v>77000</v>
      </c>
      <c r="O681" s="72">
        <f>'6월'!O57</f>
        <v>33000</v>
      </c>
      <c r="P681" s="170" t="str">
        <f>'6월'!P57</f>
        <v>DCSS (6/30)</v>
      </c>
      <c r="Q681" s="181">
        <f>'6월'!Q57</f>
        <v>37000</v>
      </c>
      <c r="R681" s="2" t="str">
        <f>'6월'!R57</f>
        <v>완료(7/25)</v>
      </c>
      <c r="S681" s="8" t="str">
        <f>'6월'!S57</f>
        <v>천범석</v>
      </c>
      <c r="T681" s="11"/>
    </row>
    <row r="682" spans="1:21">
      <c r="A682" t="s">
        <v>30</v>
      </c>
      <c r="B682" s="151" t="str">
        <f>'6월'!B58</f>
        <v>SM-25023</v>
      </c>
      <c r="C682" s="199"/>
      <c r="D682" s="17">
        <f>'6월'!D58</f>
        <v>45833</v>
      </c>
      <c r="E682" s="214" t="str">
        <f>'6월'!E58</f>
        <v>로보츠</v>
      </c>
      <c r="F682" s="215" t="str">
        <f>'6월'!F58</f>
        <v>와이케이케이코리아</v>
      </c>
      <c r="G682" s="161" t="str">
        <f>'6월'!G58</f>
        <v>MA</v>
      </c>
      <c r="H682" s="161" t="str">
        <f>'6월'!H58</f>
        <v>월간-DCSS</v>
      </c>
      <c r="I682" s="164" t="str">
        <f>'6월'!I58</f>
        <v>6월 유지정비료 - 2/12회</v>
      </c>
      <c r="J682" s="34">
        <f>'6월'!J58</f>
        <v>1</v>
      </c>
      <c r="K682" s="48">
        <f>'6월'!K58</f>
        <v>120000</v>
      </c>
      <c r="L682" s="26">
        <f>'6월'!L58</f>
        <v>120000</v>
      </c>
      <c r="M682" s="27">
        <f>'6월'!M58</f>
        <v>12000</v>
      </c>
      <c r="N682" s="27">
        <f>'6월'!N58</f>
        <v>132000</v>
      </c>
      <c r="O682" s="72">
        <f>'6월'!O58</f>
        <v>69000</v>
      </c>
      <c r="P682" s="170" t="str">
        <f>'6월'!P58</f>
        <v>DCSS (6/30)</v>
      </c>
      <c r="Q682" s="181">
        <f>'6월'!Q58</f>
        <v>51000</v>
      </c>
      <c r="R682" s="2" t="str">
        <f>'6월'!R58</f>
        <v>완료(7/25)</v>
      </c>
      <c r="S682" s="8" t="str">
        <f>'6월'!S58</f>
        <v>천범석</v>
      </c>
      <c r="T682" s="11"/>
    </row>
    <row r="683" spans="1:21">
      <c r="A683" t="s">
        <v>30</v>
      </c>
      <c r="B683" s="151" t="str">
        <f>'6월'!B59</f>
        <v>SM-21021</v>
      </c>
      <c r="C683" s="200"/>
      <c r="D683" s="17">
        <f>'6월'!D59</f>
        <v>45833</v>
      </c>
      <c r="E683" s="214" t="str">
        <f>'6월'!E59</f>
        <v>바른시스템</v>
      </c>
      <c r="F683" s="189"/>
      <c r="G683" s="161" t="str">
        <f>'6월'!G59</f>
        <v>MA</v>
      </c>
      <c r="H683" s="161" t="str">
        <f>'6월'!H59</f>
        <v>월간</v>
      </c>
      <c r="I683" s="163" t="str">
        <f>'6월'!I59</f>
        <v>6월 유지정비료 - 4/12회</v>
      </c>
      <c r="J683" s="24">
        <f>'6월'!J59</f>
        <v>1</v>
      </c>
      <c r="K683" s="26">
        <f>'6월'!K59</f>
        <v>305000</v>
      </c>
      <c r="L683" s="26">
        <f>'6월'!L59</f>
        <v>305000</v>
      </c>
      <c r="M683" s="27">
        <f>'6월'!M59</f>
        <v>30500</v>
      </c>
      <c r="N683" s="27">
        <f>'6월'!N59</f>
        <v>335500</v>
      </c>
      <c r="O683" s="52">
        <f>'6월'!O59</f>
        <v>84811</v>
      </c>
      <c r="P683" s="171" t="str">
        <f>'6월'!P59</f>
        <v>IBM(6/2)</v>
      </c>
      <c r="Q683" s="181">
        <f>'6월'!Q59</f>
        <v>220189</v>
      </c>
      <c r="R683" s="2" t="str">
        <f>'6월'!R59</f>
        <v>완료(6/26)</v>
      </c>
      <c r="S683" s="5" t="str">
        <f>'6월'!S59</f>
        <v>홍승민</v>
      </c>
      <c r="T683" s="11"/>
    </row>
    <row r="684" spans="1:21">
      <c r="A684" t="s">
        <v>30</v>
      </c>
      <c r="B684" s="151" t="str">
        <f>'6월'!B60</f>
        <v>LI-24006</v>
      </c>
      <c r="C684" s="199"/>
      <c r="D684" s="17">
        <f>'6월'!D60</f>
        <v>45833</v>
      </c>
      <c r="E684" s="214" t="str">
        <f>'6월'!E60</f>
        <v>보해양조</v>
      </c>
      <c r="F684" s="215"/>
      <c r="G684" s="2" t="str">
        <f>'6월'!G60</f>
        <v>MA</v>
      </c>
      <c r="H684" s="161" t="str">
        <f>'6월'!H60</f>
        <v>월간-IBM</v>
      </c>
      <c r="I684" s="4" t="str">
        <f>'6월'!I60</f>
        <v>6월 유지정비료 - 12/12회</v>
      </c>
      <c r="J684" s="23">
        <f>'6월'!J60</f>
        <v>1</v>
      </c>
      <c r="K684" s="27">
        <f>'6월'!K60</f>
        <v>668000</v>
      </c>
      <c r="L684" s="26">
        <f>'6월'!L60</f>
        <v>668000</v>
      </c>
      <c r="M684" s="27">
        <f>'6월'!M60</f>
        <v>66800</v>
      </c>
      <c r="N684" s="27">
        <f>'6월'!N60</f>
        <v>734800</v>
      </c>
      <c r="O684" s="72">
        <f>'6월'!O60</f>
        <v>420400</v>
      </c>
      <c r="P684" s="223" t="str">
        <f>'6월'!P60</f>
        <v>IBM(6/2) 142,800 (6/1)277,600</v>
      </c>
      <c r="Q684" s="181">
        <f>'6월'!Q60</f>
        <v>247600</v>
      </c>
      <c r="R684" s="2" t="str">
        <f>'6월'!R60</f>
        <v>완료(7/15)</v>
      </c>
      <c r="S684" s="8" t="str">
        <f>'6월'!S60</f>
        <v>천범석</v>
      </c>
      <c r="T684" s="11"/>
    </row>
    <row r="685" spans="1:21" ht="24">
      <c r="A685" t="s">
        <v>30</v>
      </c>
      <c r="B685" s="151" t="str">
        <f>'6월'!B61</f>
        <v>SM-24024</v>
      </c>
      <c r="C685" s="199"/>
      <c r="D685" s="17">
        <f>'6월'!D61</f>
        <v>45833</v>
      </c>
      <c r="E685" s="214" t="str">
        <f>'6월'!E61</f>
        <v>일원병원</v>
      </c>
      <c r="F685" s="214" t="str">
        <f>'6월'!F61</f>
        <v>묵동</v>
      </c>
      <c r="G685" s="161" t="str">
        <f>'6월'!G61</f>
        <v>MA</v>
      </c>
      <c r="H685" s="161" t="str">
        <f>'6월'!H61</f>
        <v>월간</v>
      </c>
      <c r="I685" s="163" t="str">
        <f>'6월'!I61</f>
        <v>6월 유지정비료 - 7/12회</v>
      </c>
      <c r="J685" s="24">
        <f>'6월'!J61</f>
        <v>1</v>
      </c>
      <c r="K685" s="26">
        <f>'6월'!K61</f>
        <v>500000</v>
      </c>
      <c r="L685" s="26">
        <f>'6월'!L61</f>
        <v>500000</v>
      </c>
      <c r="M685" s="27">
        <f>'6월'!M61</f>
        <v>50000</v>
      </c>
      <c r="N685" s="27">
        <f>'6월'!N61</f>
        <v>550000</v>
      </c>
      <c r="O685" s="52">
        <f>'6월'!O61</f>
        <v>120600</v>
      </c>
      <c r="P685" s="171" t="str">
        <f>'6월'!P61</f>
        <v>시스나인(10/1) 반기 600,000 (1/6회)
DCSS(6/30) 20,600</v>
      </c>
      <c r="Q685" s="181">
        <f>'6월'!Q61</f>
        <v>379400</v>
      </c>
      <c r="R685" s="2" t="str">
        <f>'6월'!R61</f>
        <v>완료(7/29)</v>
      </c>
      <c r="S685" s="5" t="str">
        <f>'6월'!S61</f>
        <v>천범석</v>
      </c>
      <c r="T685" s="11"/>
    </row>
    <row r="686" spans="1:21">
      <c r="A686" t="s">
        <v>30</v>
      </c>
      <c r="B686" s="151" t="str">
        <f>'6월'!B62</f>
        <v>SM-25005</v>
      </c>
      <c r="C686" s="199"/>
      <c r="D686" s="17">
        <f>'6월'!D62</f>
        <v>45833</v>
      </c>
      <c r="E686" s="221" t="str">
        <f>'6월'!E62</f>
        <v>고영</v>
      </c>
      <c r="F686" s="215"/>
      <c r="G686" s="161" t="str">
        <f>'6월'!G62</f>
        <v>MA</v>
      </c>
      <c r="H686" s="161" t="str">
        <f>'6월'!H62</f>
        <v>월간</v>
      </c>
      <c r="I686" s="163" t="str">
        <f>'6월'!I62</f>
        <v>6월 유지정비료 - 6/12회</v>
      </c>
      <c r="J686" s="23">
        <f>'6월'!J62</f>
        <v>1</v>
      </c>
      <c r="K686" s="27">
        <f>'6월'!K62</f>
        <v>1400000</v>
      </c>
      <c r="L686" s="26">
        <f>'6월'!L62</f>
        <v>1400000</v>
      </c>
      <c r="M686" s="27">
        <f>'6월'!M62</f>
        <v>140000</v>
      </c>
      <c r="N686" s="27">
        <f>'6월'!N62</f>
        <v>1540000</v>
      </c>
      <c r="O686" s="52">
        <f>'6월'!O62</f>
        <v>500000</v>
      </c>
      <c r="P686" s="171" t="str">
        <f>'6월'!P62</f>
        <v>시스나인(4/25) 분기 1,500,000 (3/3회)</v>
      </c>
      <c r="Q686" s="181">
        <f>'6월'!Q62</f>
        <v>900000</v>
      </c>
      <c r="R686" s="2" t="str">
        <f>'6월'!R62</f>
        <v>완료(7/8)</v>
      </c>
      <c r="S686" s="8" t="str">
        <f>'6월'!S62</f>
        <v>홍승민</v>
      </c>
      <c r="T686" s="11"/>
      <c r="U686" s="121">
        <f>Q686/L686</f>
        <v>0.6428571428571429</v>
      </c>
    </row>
    <row r="687" spans="1:21">
      <c r="A687" t="s">
        <v>30</v>
      </c>
      <c r="B687" s="151" t="str">
        <f>'6월'!B63</f>
        <v>SL-23009</v>
      </c>
      <c r="C687" s="153" t="str">
        <f>'6월'!C63</f>
        <v>ZI1HRR</v>
      </c>
      <c r="D687" s="86">
        <f>'6월'!D63</f>
        <v>45833</v>
      </c>
      <c r="E687" s="1" t="str">
        <f>'6월'!E63</f>
        <v>대신네트웍스</v>
      </c>
      <c r="F687" s="2" t="str">
        <f>'6월'!F63</f>
        <v>동두천드림파워</v>
      </c>
      <c r="G687" s="2" t="str">
        <f>'6월'!G63</f>
        <v>MA</v>
      </c>
      <c r="H687" s="2" t="str">
        <f>'6월'!H63</f>
        <v>월간-레노버</v>
      </c>
      <c r="I687" s="70" t="str">
        <f>'6월'!I63</f>
        <v>분기 (25.4~25.6) 유지정비료 - 8/12회</v>
      </c>
      <c r="J687" s="23">
        <f>'6월'!J63</f>
        <v>1</v>
      </c>
      <c r="K687" s="27">
        <f>'6월'!K63</f>
        <v>417500</v>
      </c>
      <c r="L687" s="26">
        <f>'6월'!L63</f>
        <v>417500</v>
      </c>
      <c r="M687" s="27">
        <f>'6월'!M63</f>
        <v>41750</v>
      </c>
      <c r="N687" s="27">
        <f>'6월'!N63</f>
        <v>459250</v>
      </c>
      <c r="O687" s="33">
        <f>'6월'!O63</f>
        <v>347400</v>
      </c>
      <c r="P687" s="171" t="str">
        <f>'6월'!P63</f>
        <v>레노버 월 115,800 (4/30)(5/31)(6/30)</v>
      </c>
      <c r="Q687" s="21">
        <f>'6월'!Q63</f>
        <v>70100</v>
      </c>
      <c r="R687" s="2" t="str">
        <f>'6월'!R63</f>
        <v>완료(6/30)</v>
      </c>
      <c r="S687" s="8" t="str">
        <f>'6월'!S63</f>
        <v>천범석</v>
      </c>
      <c r="T687" s="11"/>
    </row>
    <row r="688" spans="1:21">
      <c r="A688" t="s">
        <v>30</v>
      </c>
      <c r="B688" s="151" t="str">
        <f>'6월'!B64</f>
        <v>H250620-01</v>
      </c>
      <c r="C688" s="153"/>
      <c r="D688" s="86">
        <f>'6월'!D64</f>
        <v>45833</v>
      </c>
      <c r="E688" s="1" t="str">
        <f>'6월'!E64</f>
        <v>영화시스템</v>
      </c>
      <c r="F688" s="2" t="str">
        <f>'6월'!F64</f>
        <v>센텀시티</v>
      </c>
      <c r="G688" s="2" t="str">
        <f>'6월'!G64</f>
        <v>상품</v>
      </c>
      <c r="H688" s="83" t="str">
        <f>'6월'!H64</f>
        <v>기술료</v>
      </c>
      <c r="I688" s="4" t="str">
        <f>'6월'!I64</f>
        <v>OS 설치 엔지니어 지원</v>
      </c>
      <c r="J688" s="23">
        <f>'6월'!J64</f>
        <v>1</v>
      </c>
      <c r="K688" s="27">
        <f>'6월'!K64</f>
        <v>800000</v>
      </c>
      <c r="L688" s="26">
        <f>'6월'!L64</f>
        <v>800000</v>
      </c>
      <c r="M688" s="27">
        <f>'6월'!M64</f>
        <v>80000</v>
      </c>
      <c r="N688" s="27">
        <f>'6월'!N64</f>
        <v>880000</v>
      </c>
      <c r="O688" s="33">
        <f>'6월'!O64</f>
        <v>300000</v>
      </c>
      <c r="P688" s="197" t="str">
        <f>'6월'!P64</f>
        <v>서버메이트디지털(6/20)</v>
      </c>
      <c r="Q688" s="20">
        <f>'6월'!Q64</f>
        <v>500000</v>
      </c>
      <c r="R688" s="2" t="str">
        <f>'6월'!R64</f>
        <v>완료(7/25)</v>
      </c>
      <c r="S688" s="8" t="str">
        <f>'6월'!S64</f>
        <v>천범석</v>
      </c>
      <c r="T688" s="11"/>
    </row>
    <row r="689" spans="1:20">
      <c r="A689" t="s">
        <v>30</v>
      </c>
      <c r="B689" s="151" t="str">
        <f>'6월'!B65</f>
        <v>D250619-01</v>
      </c>
      <c r="C689" s="153"/>
      <c r="D689" s="17">
        <f>'6월'!D65</f>
        <v>45833</v>
      </c>
      <c r="E689" s="1" t="str">
        <f>'6월'!E65</f>
        <v>로보츠</v>
      </c>
      <c r="F689" s="2"/>
      <c r="G689" s="2" t="str">
        <f>'6월'!G65</f>
        <v>상품</v>
      </c>
      <c r="H689" s="83" t="str">
        <f>'6월'!H65</f>
        <v>832514-B21</v>
      </c>
      <c r="I689" s="4" t="str">
        <f>'6월'!I65</f>
        <v>HPE 1TB 7.2K SFF SC HDD</v>
      </c>
      <c r="J689" s="23">
        <f>'6월'!J65</f>
        <v>1</v>
      </c>
      <c r="K689" s="27">
        <f>'6월'!K65</f>
        <v>370000</v>
      </c>
      <c r="L689" s="26">
        <f>'6월'!L65</f>
        <v>370000</v>
      </c>
      <c r="M689" s="27">
        <f>'6월'!M65</f>
        <v>37000</v>
      </c>
      <c r="N689" s="27">
        <f>'6월'!N65</f>
        <v>407000</v>
      </c>
      <c r="O689" s="33">
        <f>'6월'!O65</f>
        <v>330182</v>
      </c>
      <c r="P689" s="197" t="str">
        <f>'6월'!P65</f>
        <v>네이버(6/19법카) 우림퀵(6/30) 12,000</v>
      </c>
      <c r="Q689" s="20">
        <f>'6월'!Q65</f>
        <v>39818</v>
      </c>
      <c r="R689" s="2" t="str">
        <f>'6월'!R65</f>
        <v>완료(7/30)</v>
      </c>
      <c r="S689" s="8" t="str">
        <f>'6월'!S65</f>
        <v>이지훈</v>
      </c>
      <c r="T689" s="11"/>
    </row>
    <row r="690" spans="1:20">
      <c r="A690" t="s">
        <v>30</v>
      </c>
      <c r="B690" s="151" t="str">
        <f>'6월'!B66</f>
        <v>D250610-01</v>
      </c>
      <c r="C690" s="153"/>
      <c r="D690" s="17">
        <f>'6월'!D66</f>
        <v>45834</v>
      </c>
      <c r="E690" s="1" t="str">
        <f>'6월'!E66</f>
        <v>온더보드</v>
      </c>
      <c r="F690" s="2"/>
      <c r="G690" s="2" t="str">
        <f>'6월'!G66</f>
        <v>상품</v>
      </c>
      <c r="H690" s="83" t="str">
        <f>'6월'!H66</f>
        <v>NC360T</v>
      </c>
      <c r="I690" s="4" t="str">
        <f>'6월'!I66</f>
        <v>PCI Dual Port 1Gbps Server Adapter</v>
      </c>
      <c r="J690" s="23">
        <f>'6월'!J66</f>
        <v>2</v>
      </c>
      <c r="K690" s="27">
        <f>'6월'!K66</f>
        <v>60000</v>
      </c>
      <c r="L690" s="26">
        <f>'6월'!L66</f>
        <v>120000</v>
      </c>
      <c r="M690" s="27">
        <f>'6월'!M66</f>
        <v>12000</v>
      </c>
      <c r="N690" s="27">
        <f>'6월'!N66</f>
        <v>132000</v>
      </c>
      <c r="O690" s="33">
        <f>'6월'!O66</f>
        <v>0</v>
      </c>
      <c r="P690" s="197" t="str">
        <f>'6월'!P66</f>
        <v>재고</v>
      </c>
      <c r="Q690" s="20">
        <f>'6월'!Q66</f>
        <v>120000</v>
      </c>
      <c r="R690" s="2" t="str">
        <f>'6월'!R66</f>
        <v>완료(7/31)</v>
      </c>
      <c r="S690" s="8" t="str">
        <f>'6월'!S66</f>
        <v>이지훈</v>
      </c>
      <c r="T690" s="11"/>
    </row>
    <row r="691" spans="1:20">
      <c r="A691" t="s">
        <v>30</v>
      </c>
      <c r="B691" s="151" t="str">
        <f>'6월'!B67</f>
        <v>Y250516-02</v>
      </c>
      <c r="C691" s="153"/>
      <c r="D691" s="17">
        <f>'6월'!D67</f>
        <v>45835</v>
      </c>
      <c r="E691" s="1" t="str">
        <f>'6월'!E67</f>
        <v>에스엔유정보기술</v>
      </c>
      <c r="F691" s="2" t="str">
        <f>'6월'!F67</f>
        <v>광명시청 UPIS서버</v>
      </c>
      <c r="G691" s="2" t="str">
        <f>'6월'!G67</f>
        <v>상품</v>
      </c>
      <c r="H691" s="83" t="str">
        <f>'6월'!H67</f>
        <v>서버</v>
      </c>
      <c r="I691" s="4" t="str">
        <f>'6월'!I67</f>
        <v xml:space="preserve">ThinkSystem SR650 V3 </v>
      </c>
      <c r="J691" s="23">
        <f>'6월'!J67</f>
        <v>1</v>
      </c>
      <c r="K691" s="27">
        <f>'6월'!K67</f>
        <v>9500000</v>
      </c>
      <c r="L691" s="26">
        <f>'6월'!L67</f>
        <v>9500000</v>
      </c>
      <c r="M691" s="27">
        <f>'6월'!M67</f>
        <v>950000</v>
      </c>
      <c r="N691" s="27">
        <f>'6월'!N67</f>
        <v>10450000</v>
      </c>
      <c r="O691" s="33">
        <f>'6월'!O67</f>
        <v>7970000</v>
      </c>
      <c r="P691" s="197" t="str">
        <f>'6월'!P67</f>
        <v>다솜테크(7/31)</v>
      </c>
      <c r="Q691" s="20">
        <f>'6월'!Q67</f>
        <v>1530000</v>
      </c>
      <c r="R691" s="2" t="str">
        <f>'6월'!R67</f>
        <v>완료(7/31)</v>
      </c>
      <c r="S691" s="8" t="str">
        <f>'6월'!S67</f>
        <v>홍승민</v>
      </c>
      <c r="T691" s="11"/>
    </row>
    <row r="692" spans="1:20">
      <c r="A692" t="s">
        <v>30</v>
      </c>
      <c r="B692" s="151" t="str">
        <f>'6월'!B68</f>
        <v>Y250610-01</v>
      </c>
      <c r="C692" s="153"/>
      <c r="D692" s="17">
        <f>'6월'!D68</f>
        <v>45835</v>
      </c>
      <c r="E692" s="1" t="str">
        <f>'6월'!E68</f>
        <v>코드정보</v>
      </c>
      <c r="F692" s="2"/>
      <c r="G692" s="2" t="str">
        <f>'6월'!G68</f>
        <v>상품</v>
      </c>
      <c r="H692" s="83" t="str">
        <f>'6월'!H68</f>
        <v>기술지원</v>
      </c>
      <c r="I692" s="4" t="str">
        <f>'6월'!I68</f>
        <v>Rocky Linux 설치지원 / 서버12대</v>
      </c>
      <c r="J692" s="23">
        <f>'6월'!J68</f>
        <v>1</v>
      </c>
      <c r="K692" s="27">
        <f>'6월'!K68</f>
        <v>1000000</v>
      </c>
      <c r="L692" s="26">
        <f>'6월'!L68</f>
        <v>1000000</v>
      </c>
      <c r="M692" s="27">
        <f>'6월'!M68</f>
        <v>100000</v>
      </c>
      <c r="N692" s="27">
        <f>'6월'!N68</f>
        <v>1100000</v>
      </c>
      <c r="O692" s="33">
        <f>'6월'!O68</f>
        <v>0</v>
      </c>
      <c r="P692" s="197" t="str">
        <f>'6월'!P68</f>
        <v>SM</v>
      </c>
      <c r="Q692" s="20">
        <f>'6월'!Q68</f>
        <v>1000000</v>
      </c>
      <c r="R692" s="2" t="str">
        <f>'6월'!R68</f>
        <v>완료(8/29)</v>
      </c>
      <c r="S692" s="8" t="str">
        <f>'6월'!S68</f>
        <v>홍승민</v>
      </c>
      <c r="T692" s="11"/>
    </row>
    <row r="693" spans="1:20">
      <c r="A693" t="s">
        <v>30</v>
      </c>
      <c r="B693" s="151" t="str">
        <f>'6월'!B69</f>
        <v>Y250618-01</v>
      </c>
      <c r="C693" s="153"/>
      <c r="D693" s="17">
        <f>'6월'!D69</f>
        <v>45835</v>
      </c>
      <c r="E693" s="1" t="str">
        <f>'6월'!E69</f>
        <v>코드정보</v>
      </c>
      <c r="F693" s="2" t="str">
        <f>'6월'!F69</f>
        <v>HCN</v>
      </c>
      <c r="G693" s="2" t="str">
        <f>'6월'!G69</f>
        <v>상품</v>
      </c>
      <c r="H693" s="83" t="str">
        <f>'6월'!H69</f>
        <v>Board</v>
      </c>
      <c r="I693" s="4" t="str">
        <f>'6월'!I69</f>
        <v>X3550M4 System Board</v>
      </c>
      <c r="J693" s="23">
        <f>'6월'!J69</f>
        <v>1</v>
      </c>
      <c r="K693" s="27">
        <f>'6월'!K69</f>
        <v>450000</v>
      </c>
      <c r="L693" s="26">
        <f>'6월'!L69</f>
        <v>450000</v>
      </c>
      <c r="M693" s="27">
        <f>'6월'!M69</f>
        <v>45000</v>
      </c>
      <c r="N693" s="27">
        <f>'6월'!N69</f>
        <v>495000</v>
      </c>
      <c r="O693" s="33">
        <f>'6월'!O69</f>
        <v>220000</v>
      </c>
      <c r="P693" s="197" t="str">
        <f>'6월'!P69</f>
        <v>이비웨이브(6/19)</v>
      </c>
      <c r="Q693" s="20">
        <f>'6월'!Q69</f>
        <v>230000</v>
      </c>
      <c r="R693" s="2" t="str">
        <f>'6월'!R69</f>
        <v>완료(8/29)</v>
      </c>
      <c r="S693" s="8" t="str">
        <f>'6월'!S69</f>
        <v>홍승민</v>
      </c>
      <c r="T693" s="11"/>
    </row>
    <row r="694" spans="1:20">
      <c r="A694" t="s">
        <v>30</v>
      </c>
      <c r="B694" s="151" t="str">
        <f>'6월'!B70</f>
        <v>Y250612-01</v>
      </c>
      <c r="C694" s="153"/>
      <c r="D694" s="17">
        <f>'6월'!D70</f>
        <v>45835</v>
      </c>
      <c r="E694" s="1" t="str">
        <f>'6월'!E70</f>
        <v>온더보드</v>
      </c>
      <c r="F694" s="2" t="str">
        <f>'6월'!F70</f>
        <v>다보스병원</v>
      </c>
      <c r="G694" s="2" t="str">
        <f>'6월'!G70</f>
        <v>상품</v>
      </c>
      <c r="H694" s="83" t="str">
        <f>'6월'!H70</f>
        <v>서버</v>
      </c>
      <c r="I694" s="4" t="str">
        <f>'6월'!I70</f>
        <v>Lenovo ThinkSystem SR250v3</v>
      </c>
      <c r="J694" s="23">
        <f>'6월'!J70</f>
        <v>1</v>
      </c>
      <c r="K694" s="27">
        <f>'6월'!K70</f>
        <v>3500000</v>
      </c>
      <c r="L694" s="26">
        <f>'6월'!L70</f>
        <v>3500000</v>
      </c>
      <c r="M694" s="27">
        <f>'6월'!M70</f>
        <v>350000</v>
      </c>
      <c r="N694" s="27">
        <f>'6월'!N70</f>
        <v>3850000</v>
      </c>
      <c r="O694" s="33">
        <f>'6월'!O70</f>
        <v>2900000</v>
      </c>
      <c r="P694" s="197" t="str">
        <f>'6월'!P70</f>
        <v>다솜테크(6/30)</v>
      </c>
      <c r="Q694" s="20">
        <f>'6월'!Q70</f>
        <v>600000</v>
      </c>
      <c r="R694" s="2" t="str">
        <f>'6월'!R70</f>
        <v>완료(7/31)</v>
      </c>
      <c r="S694" s="8" t="str">
        <f>'6월'!S70</f>
        <v>홍승민</v>
      </c>
      <c r="T694" s="11"/>
    </row>
    <row r="695" spans="1:20">
      <c r="A695" t="s">
        <v>30</v>
      </c>
      <c r="B695" s="151" t="str">
        <f>'6월'!B71</f>
        <v>Y250613-01</v>
      </c>
      <c r="C695" s="153"/>
      <c r="D695" s="17">
        <f>'6월'!D71</f>
        <v>45835</v>
      </c>
      <c r="E695" s="1" t="str">
        <f>'6월'!E71</f>
        <v>온더보드</v>
      </c>
      <c r="F695" s="2" t="str">
        <f>'6월'!F71</f>
        <v>서울중구청</v>
      </c>
      <c r="G695" s="2" t="str">
        <f>'6월'!G71</f>
        <v>상품</v>
      </c>
      <c r="H695" s="83" t="str">
        <f>'6월'!H71</f>
        <v>서버</v>
      </c>
      <c r="I695" s="4" t="str">
        <f>'6월'!I71</f>
        <v>ThinkSystem SR630 V2  3대외</v>
      </c>
      <c r="J695" s="23">
        <f>'6월'!J71</f>
        <v>1</v>
      </c>
      <c r="K695" s="27">
        <f>'6월'!K71</f>
        <v>20850000</v>
      </c>
      <c r="L695" s="26">
        <f>'6월'!L71</f>
        <v>20850000</v>
      </c>
      <c r="M695" s="27">
        <f>'6월'!M71</f>
        <v>2085000</v>
      </c>
      <c r="N695" s="27">
        <f>'6월'!N71</f>
        <v>22935000</v>
      </c>
      <c r="O695" s="33">
        <f>'6월'!O71</f>
        <v>17870000</v>
      </c>
      <c r="P695" s="197" t="str">
        <f>'6월'!P71</f>
        <v>다솜테크(6/30) 우림퀵(6/30) 20,000</v>
      </c>
      <c r="Q695" s="20">
        <f>'6월'!Q71</f>
        <v>2980000</v>
      </c>
      <c r="R695" s="2" t="str">
        <f>'6월'!R71</f>
        <v>완료(7/31)</v>
      </c>
      <c r="S695" s="8" t="str">
        <f>'6월'!S71</f>
        <v>홍승민</v>
      </c>
      <c r="T695" s="11"/>
    </row>
    <row r="696" spans="1:20">
      <c r="A696" t="s">
        <v>30</v>
      </c>
      <c r="B696" s="151" t="str">
        <f>'6월'!B72</f>
        <v>Y250616-02</v>
      </c>
      <c r="C696" s="153"/>
      <c r="D696" s="17">
        <f>'6월'!D72</f>
        <v>45835</v>
      </c>
      <c r="E696" s="1" t="str">
        <f>'6월'!E72</f>
        <v>온더보드</v>
      </c>
      <c r="F696" s="2" t="str">
        <f>'6월'!F72</f>
        <v>아남항공</v>
      </c>
      <c r="G696" s="2" t="str">
        <f>'6월'!G72</f>
        <v>상품</v>
      </c>
      <c r="H696" s="83" t="str">
        <f>'6월'!H72</f>
        <v>서버</v>
      </c>
      <c r="I696" s="4" t="str">
        <f>'6월'!I72</f>
        <v>ThinkSystem SR250 V3</v>
      </c>
      <c r="J696" s="23">
        <f>'6월'!J72</f>
        <v>1</v>
      </c>
      <c r="K696" s="27">
        <f>'6월'!K72</f>
        <v>3100000</v>
      </c>
      <c r="L696" s="26">
        <f>'6월'!L72</f>
        <v>3100000</v>
      </c>
      <c r="M696" s="27">
        <f>'6월'!M72</f>
        <v>310000</v>
      </c>
      <c r="N696" s="27">
        <f>'6월'!N72</f>
        <v>3410000</v>
      </c>
      <c r="O696" s="33">
        <f>'6월'!O72</f>
        <v>2470000</v>
      </c>
      <c r="P696" s="197" t="str">
        <f>'6월'!P72</f>
        <v>다솜테크(6/30) 우림퀵(6/30) 20,000</v>
      </c>
      <c r="Q696" s="20">
        <f>'6월'!Q72</f>
        <v>630000</v>
      </c>
      <c r="R696" s="2" t="str">
        <f>'6월'!R72</f>
        <v>완료(7/31)</v>
      </c>
      <c r="S696" s="8" t="str">
        <f>'6월'!S72</f>
        <v>홍승민</v>
      </c>
      <c r="T696" s="11"/>
    </row>
    <row r="697" spans="1:20">
      <c r="A697" t="s">
        <v>30</v>
      </c>
      <c r="B697" s="151" t="str">
        <f>'6월'!B73</f>
        <v>Y250610-02</v>
      </c>
      <c r="C697" s="153"/>
      <c r="D697" s="17">
        <f>'6월'!D73</f>
        <v>45835</v>
      </c>
      <c r="E697" s="1" t="str">
        <f>'6월'!E73</f>
        <v>제트컨버터</v>
      </c>
      <c r="F697" s="2"/>
      <c r="G697" s="2" t="str">
        <f>'6월'!G73</f>
        <v>상품</v>
      </c>
      <c r="H697" s="83" t="str">
        <f>'6월'!H73</f>
        <v>스위치</v>
      </c>
      <c r="I697" s="4" t="str">
        <f>'6월'!I73</f>
        <v>HP StorageWorks 8/24 San Switch</v>
      </c>
      <c r="J697" s="23">
        <f>'6월'!J73</f>
        <v>1</v>
      </c>
      <c r="K697" s="27">
        <f>'6월'!K73</f>
        <v>600000</v>
      </c>
      <c r="L697" s="26">
        <f>'6월'!L73</f>
        <v>600000</v>
      </c>
      <c r="M697" s="27">
        <f>'6월'!M73</f>
        <v>60000</v>
      </c>
      <c r="N697" s="27">
        <f>'6월'!N73</f>
        <v>660000</v>
      </c>
      <c r="O697" s="33">
        <f>'6월'!O73</f>
        <v>12000</v>
      </c>
      <c r="P697" s="197" t="str">
        <f>'6월'!P73</f>
        <v>재고, 우림퀵(6/30) 12,000</v>
      </c>
      <c r="Q697" s="20">
        <f>'6월'!Q73</f>
        <v>588000</v>
      </c>
      <c r="R697" s="2" t="str">
        <f>'6월'!R73</f>
        <v>완료(10/1)</v>
      </c>
      <c r="S697" s="8" t="str">
        <f>'6월'!S73</f>
        <v>홍승민</v>
      </c>
      <c r="T697" s="11"/>
    </row>
    <row r="698" spans="1:20">
      <c r="A698" t="s">
        <v>30</v>
      </c>
      <c r="B698" s="151" t="str">
        <f>'6월'!B74</f>
        <v>D250626-01</v>
      </c>
      <c r="C698" s="153"/>
      <c r="D698" s="17">
        <f>'6월'!D74</f>
        <v>45835</v>
      </c>
      <c r="E698" s="1" t="str">
        <f>'6월'!E74</f>
        <v>종교방송</v>
      </c>
      <c r="F698" s="2"/>
      <c r="G698" s="2" t="str">
        <f>'6월'!G74</f>
        <v>상품</v>
      </c>
      <c r="H698" s="83" t="str">
        <f>'6월'!H74</f>
        <v>조립PC</v>
      </c>
      <c r="I698" s="4" t="str">
        <f>'6월'!I74</f>
        <v>조립PC</v>
      </c>
      <c r="J698" s="23">
        <f>'6월'!J74</f>
        <v>1</v>
      </c>
      <c r="K698" s="27">
        <f>'6월'!K74</f>
        <v>2630000</v>
      </c>
      <c r="L698" s="26">
        <f>'6월'!L74</f>
        <v>2630000</v>
      </c>
      <c r="M698" s="27">
        <f>'6월'!M74</f>
        <v>263000</v>
      </c>
      <c r="N698" s="27">
        <f>'6월'!N74</f>
        <v>2893000</v>
      </c>
      <c r="O698" s="33">
        <f>'6월'!O74</f>
        <v>2399818</v>
      </c>
      <c r="P698" s="197" t="str">
        <f>'6월'!P74</f>
        <v>컴퓨존(6/26)</v>
      </c>
      <c r="Q698" s="20">
        <f>'6월'!Q74</f>
        <v>230182</v>
      </c>
      <c r="R698" s="2" t="str">
        <f>'6월'!R74</f>
        <v>완료(7/4)</v>
      </c>
      <c r="S698" s="8" t="str">
        <f>'6월'!S74</f>
        <v>이지훈</v>
      </c>
      <c r="T698" s="11"/>
    </row>
    <row r="699" spans="1:20">
      <c r="A699" t="s">
        <v>30</v>
      </c>
      <c r="B699" s="151" t="str">
        <f>'6월'!B75</f>
        <v>S</v>
      </c>
      <c r="C699" s="199"/>
      <c r="D699" s="17">
        <f>'6월'!D75</f>
        <v>45838</v>
      </c>
      <c r="E699" s="214" t="str">
        <f>'6월'!E75</f>
        <v>스팩스</v>
      </c>
      <c r="F699" s="215" t="str">
        <f>'6월'!F75</f>
        <v>광명자이 1810호</v>
      </c>
      <c r="G699" s="161" t="str">
        <f>'6월'!G75</f>
        <v>건물임대</v>
      </c>
      <c r="H699" s="161" t="str">
        <f>'6월'!H75</f>
        <v>임대료</v>
      </c>
      <c r="I699" s="169" t="str">
        <f>'6월'!I75</f>
        <v>6월 임대료 - 12/12회</v>
      </c>
      <c r="J699" s="69">
        <f>'6월'!J75</f>
        <v>1</v>
      </c>
      <c r="K699" s="27">
        <f>'6월'!K75</f>
        <v>600000</v>
      </c>
      <c r="L699" s="26">
        <f>'6월'!L75</f>
        <v>600000</v>
      </c>
      <c r="M699" s="27">
        <f>'6월'!M75</f>
        <v>60000</v>
      </c>
      <c r="N699" s="27">
        <f>'6월'!N75</f>
        <v>660000</v>
      </c>
      <c r="O699" s="52">
        <f>'6월'!O75</f>
        <v>0</v>
      </c>
      <c r="P699" s="171" t="str">
        <f>'6월'!P75</f>
        <v>X</v>
      </c>
      <c r="Q699" s="181">
        <f>'6월'!Q75</f>
        <v>600000</v>
      </c>
      <c r="R699" s="68" t="str">
        <f>'6월'!R75</f>
        <v>완료(7/1)</v>
      </c>
      <c r="S699" s="8" t="str">
        <f>'6월'!S75</f>
        <v>정지우</v>
      </c>
      <c r="T699" s="11"/>
    </row>
    <row r="700" spans="1:20" ht="24">
      <c r="A700" t="s">
        <v>30</v>
      </c>
      <c r="B700" s="151" t="str">
        <f>'6월'!B76</f>
        <v>S</v>
      </c>
      <c r="C700" s="199"/>
      <c r="D700" s="17">
        <f>'6월'!D76</f>
        <v>45838</v>
      </c>
      <c r="E700" s="214" t="str">
        <f>'6월'!E76</f>
        <v>씨케이명차</v>
      </c>
      <c r="F700" s="215" t="str">
        <f>'6월'!F76</f>
        <v>가양아너비즈 402~404호</v>
      </c>
      <c r="G700" s="161" t="str">
        <f>'6월'!G76</f>
        <v>건물임대</v>
      </c>
      <c r="H700" s="161" t="str">
        <f>'6월'!H76</f>
        <v>임대료</v>
      </c>
      <c r="I700" s="4" t="str">
        <f>'6월'!I76</f>
        <v>7월(6.30~7.30) 임대료</v>
      </c>
      <c r="J700" s="23">
        <f>'6월'!J76</f>
        <v>1</v>
      </c>
      <c r="K700" s="27">
        <f>'6월'!K76</f>
        <v>4000000</v>
      </c>
      <c r="L700" s="26">
        <f>'6월'!L76</f>
        <v>4000000</v>
      </c>
      <c r="M700" s="27">
        <f>'6월'!M76</f>
        <v>400000</v>
      </c>
      <c r="N700" s="27">
        <f>'6월'!N76</f>
        <v>4400000</v>
      </c>
      <c r="O700" s="52">
        <f>'6월'!O76</f>
        <v>0</v>
      </c>
      <c r="P700" s="170" t="str">
        <f>'6월'!P76</f>
        <v>X</v>
      </c>
      <c r="Q700" s="181">
        <f>'6월'!Q76</f>
        <v>4000000</v>
      </c>
      <c r="R700" s="68" t="str">
        <f>'6월'!R76</f>
        <v>보증금반제(25/8/31)</v>
      </c>
      <c r="S700" s="8" t="str">
        <f>'6월'!S76</f>
        <v>정지우</v>
      </c>
      <c r="T700" s="11"/>
    </row>
    <row r="701" spans="1:20">
      <c r="A701" t="s">
        <v>30</v>
      </c>
      <c r="B701" s="151" t="str">
        <f>'6월'!B77</f>
        <v>S</v>
      </c>
      <c r="C701" s="153"/>
      <c r="D701" s="17">
        <f>'6월'!D77</f>
        <v>45838</v>
      </c>
      <c r="E701" s="1" t="str">
        <f>'6월'!E77</f>
        <v>인테그리틱스</v>
      </c>
      <c r="F701" s="215" t="str">
        <f>'6월'!F77</f>
        <v>광명자이 1811호</v>
      </c>
      <c r="G701" s="161" t="str">
        <f>'6월'!G77</f>
        <v>건물임대</v>
      </c>
      <c r="H701" s="161" t="str">
        <f>'6월'!H77</f>
        <v>임대료</v>
      </c>
      <c r="I701" s="4" t="str">
        <f>'6월'!I77</f>
        <v>임대료(25/6/8~7/7) - 3/12회</v>
      </c>
      <c r="J701" s="23">
        <f>'6월'!J77</f>
        <v>1</v>
      </c>
      <c r="K701" s="27">
        <f>'6월'!K77</f>
        <v>550000</v>
      </c>
      <c r="L701" s="26">
        <f>'6월'!L77</f>
        <v>550000</v>
      </c>
      <c r="M701" s="27">
        <f>'6월'!M77</f>
        <v>55000</v>
      </c>
      <c r="N701" s="27">
        <f>'6월'!N77</f>
        <v>605000</v>
      </c>
      <c r="O701" s="52">
        <f>'6월'!O77</f>
        <v>0</v>
      </c>
      <c r="P701" s="171" t="str">
        <f>'6월'!P77</f>
        <v>X</v>
      </c>
      <c r="Q701" s="20">
        <f>'6월'!Q77</f>
        <v>550000</v>
      </c>
      <c r="R701" s="45">
        <f>'6월'!R77</f>
        <v>45845</v>
      </c>
      <c r="S701" s="8" t="str">
        <f>'6월'!S77</f>
        <v>정지우</v>
      </c>
      <c r="T701" s="11"/>
    </row>
    <row r="702" spans="1:20">
      <c r="A702" t="s">
        <v>30</v>
      </c>
      <c r="B702" s="151" t="str">
        <f>'6월'!B78</f>
        <v>SB-23012</v>
      </c>
      <c r="C702" s="200" t="str">
        <f>'6월'!C78</f>
        <v>ZKFUER</v>
      </c>
      <c r="D702" s="17">
        <f>'6월'!D78</f>
        <v>45838</v>
      </c>
      <c r="E702" s="214" t="str">
        <f>'6월'!E78</f>
        <v>솔리드시스템</v>
      </c>
      <c r="F702" s="214" t="str">
        <f>'6월'!F78</f>
        <v>국립기상과학원</v>
      </c>
      <c r="G702" s="1" t="str">
        <f>'6월'!G78</f>
        <v>MA</v>
      </c>
      <c r="H702" s="161" t="str">
        <f>'6월'!H78</f>
        <v>월간-레노버</v>
      </c>
      <c r="I702" s="163" t="str">
        <f>'6월'!I78</f>
        <v>6월 유지정비료 - 30/38회</v>
      </c>
      <c r="J702" s="32">
        <f>'6월'!J78</f>
        <v>1</v>
      </c>
      <c r="K702" s="48">
        <f>'6월'!K78</f>
        <v>11178000</v>
      </c>
      <c r="L702" s="26">
        <f>'6월'!L78</f>
        <v>11178000</v>
      </c>
      <c r="M702" s="27">
        <f>'6월'!M78</f>
        <v>1117800</v>
      </c>
      <c r="N702" s="27">
        <f>'6월'!N78</f>
        <v>12295800</v>
      </c>
      <c r="O702" s="72">
        <f>'6월'!O78</f>
        <v>9980400</v>
      </c>
      <c r="P702" s="197" t="str">
        <f>'6월'!P78</f>
        <v>레노버(6/30)</v>
      </c>
      <c r="Q702" s="181">
        <f>'6월'!Q78</f>
        <v>1197600</v>
      </c>
      <c r="R702" s="68" t="str">
        <f>'6월'!R78</f>
        <v>완료(7/31)</v>
      </c>
      <c r="S702" s="8" t="str">
        <f>'6월'!S78</f>
        <v>천범석</v>
      </c>
      <c r="T702" s="11"/>
    </row>
    <row r="703" spans="1:20">
      <c r="A703" t="s">
        <v>30</v>
      </c>
      <c r="B703" s="151" t="str">
        <f>'6월'!B79</f>
        <v>SB-25004</v>
      </c>
      <c r="C703" s="200" t="str">
        <f>'6월'!C79</f>
        <v>ZDCPQK</v>
      </c>
      <c r="D703" s="17">
        <f>'6월'!D79</f>
        <v>45838</v>
      </c>
      <c r="E703" s="214" t="str">
        <f>'6월'!E79</f>
        <v>솔리드시스템</v>
      </c>
      <c r="F703" s="189" t="str">
        <f>'6월'!F79</f>
        <v>삼성중공업</v>
      </c>
      <c r="G703" s="161" t="str">
        <f>'6월'!G79</f>
        <v>MA</v>
      </c>
      <c r="H703" s="161" t="str">
        <f>'6월'!H79</f>
        <v>월간-레노버</v>
      </c>
      <c r="I703" s="164" t="str">
        <f>'6월'!I79</f>
        <v>6월 유지정비료 - 6/12회</v>
      </c>
      <c r="J703" s="24">
        <f>'6월'!J79</f>
        <v>1</v>
      </c>
      <c r="K703" s="27">
        <f>'6월'!K79</f>
        <v>585000</v>
      </c>
      <c r="L703" s="26">
        <f>'6월'!L79</f>
        <v>585000</v>
      </c>
      <c r="M703" s="27">
        <f>'6월'!M79</f>
        <v>58500</v>
      </c>
      <c r="N703" s="27">
        <f>'6월'!N79</f>
        <v>643500</v>
      </c>
      <c r="O703" s="52">
        <f>'6월'!O79</f>
        <v>531600</v>
      </c>
      <c r="P703" s="197" t="str">
        <f>'6월'!P79</f>
        <v>레노버(6/30)</v>
      </c>
      <c r="Q703" s="181">
        <f>'6월'!Q79</f>
        <v>53400</v>
      </c>
      <c r="R703" s="68" t="str">
        <f>'6월'!R79</f>
        <v>완료(7/31)</v>
      </c>
      <c r="S703" s="5" t="str">
        <f>'6월'!S79</f>
        <v>천범석</v>
      </c>
      <c r="T703" s="11"/>
    </row>
    <row r="704" spans="1:20">
      <c r="A704" t="s">
        <v>30</v>
      </c>
      <c r="B704" s="151" t="str">
        <f>'6월'!B80</f>
        <v>IK-22023</v>
      </c>
      <c r="C704" s="200"/>
      <c r="D704" s="17">
        <f>'6월'!D80</f>
        <v>45838</v>
      </c>
      <c r="E704" s="214" t="str">
        <f>'6월'!E80</f>
        <v>로인아이티</v>
      </c>
      <c r="F704" s="189" t="str">
        <f>'6월'!F80</f>
        <v>성원제강</v>
      </c>
      <c r="G704" s="161" t="str">
        <f>'6월'!G80</f>
        <v>MA</v>
      </c>
      <c r="H704" s="161" t="str">
        <f>'6월'!H80</f>
        <v>월간-IBM</v>
      </c>
      <c r="I704" s="163" t="str">
        <f>'6월'!I80</f>
        <v>6월 유지정비료 - 27/36회</v>
      </c>
      <c r="J704" s="69">
        <f>'6월'!J80</f>
        <v>1</v>
      </c>
      <c r="K704" s="29">
        <f>'6월'!K80</f>
        <v>180000</v>
      </c>
      <c r="L704" s="26">
        <f>'6월'!L80</f>
        <v>180000</v>
      </c>
      <c r="M704" s="27">
        <f>'6월'!M80</f>
        <v>18000</v>
      </c>
      <c r="N704" s="27">
        <f>'6월'!N80</f>
        <v>198000</v>
      </c>
      <c r="O704" s="52">
        <f>'6월'!O80</f>
        <v>159761</v>
      </c>
      <c r="P704" s="171" t="str">
        <f>'6월'!P80</f>
        <v>IBM(6/2)</v>
      </c>
      <c r="Q704" s="181">
        <f>'6월'!Q80</f>
        <v>20239</v>
      </c>
      <c r="R704" s="68" t="str">
        <f>'6월'!R80</f>
        <v>완료(7/28)</v>
      </c>
      <c r="S704" s="5" t="str">
        <f>'6월'!S80</f>
        <v>천범석</v>
      </c>
      <c r="T704" s="11"/>
    </row>
    <row r="705" spans="1:20">
      <c r="A705" t="s">
        <v>30</v>
      </c>
      <c r="B705" s="151" t="str">
        <f>'6월'!B81</f>
        <v>IK-22021</v>
      </c>
      <c r="C705" s="200"/>
      <c r="D705" s="17">
        <f>'6월'!D81</f>
        <v>45838</v>
      </c>
      <c r="E705" s="214" t="str">
        <f>'6월'!E81</f>
        <v>로인아이티</v>
      </c>
      <c r="F705" s="189" t="str">
        <f>'6월'!F81</f>
        <v>문배철강</v>
      </c>
      <c r="G705" s="161" t="str">
        <f>'6월'!G81</f>
        <v>MA</v>
      </c>
      <c r="H705" s="161" t="str">
        <f>'6월'!H81</f>
        <v>월간-IBM</v>
      </c>
      <c r="I705" s="163" t="str">
        <f>'6월'!I81</f>
        <v>6월 유지정비료 - 27/36회</v>
      </c>
      <c r="J705" s="69">
        <f>'6월'!J81</f>
        <v>1</v>
      </c>
      <c r="K705" s="29">
        <f>'6월'!K81</f>
        <v>240000</v>
      </c>
      <c r="L705" s="26">
        <f>'6월'!L81</f>
        <v>240000</v>
      </c>
      <c r="M705" s="27">
        <f>'6월'!M81</f>
        <v>24000</v>
      </c>
      <c r="N705" s="27">
        <f>'6월'!N81</f>
        <v>264000</v>
      </c>
      <c r="O705" s="52">
        <f>'6월'!O81</f>
        <v>212293</v>
      </c>
      <c r="P705" s="171" t="str">
        <f>'6월'!P81</f>
        <v>IBM(6/2)</v>
      </c>
      <c r="Q705" s="181">
        <f>'6월'!Q81</f>
        <v>27707</v>
      </c>
      <c r="R705" s="68" t="str">
        <f>'6월'!R81</f>
        <v>완료(7/28)</v>
      </c>
      <c r="S705" s="5" t="str">
        <f>'6월'!S81</f>
        <v>천범석</v>
      </c>
      <c r="T705" s="11"/>
    </row>
    <row r="706" spans="1:20" ht="36">
      <c r="A706" t="s">
        <v>30</v>
      </c>
      <c r="B706" s="151" t="str">
        <f>'6월'!B82</f>
        <v>SM-23031</v>
      </c>
      <c r="C706" s="199"/>
      <c r="D706" s="17">
        <f>'6월'!D82</f>
        <v>45838</v>
      </c>
      <c r="E706" s="214" t="str">
        <f>'6월'!E82</f>
        <v>온더보드</v>
      </c>
      <c r="F706" s="215" t="str">
        <f>'6월'!F82</f>
        <v>삼표</v>
      </c>
      <c r="G706" s="2" t="str">
        <f>'6월'!G82</f>
        <v>MA</v>
      </c>
      <c r="H706" s="2" t="str">
        <f>'6월'!H82</f>
        <v>월간</v>
      </c>
      <c r="I706" s="4" t="str">
        <f>'6월'!I82</f>
        <v>삼표 DB세이퍼 유지보수 - 6월(11/12회)</v>
      </c>
      <c r="J706" s="23">
        <f>'6월'!J82</f>
        <v>1</v>
      </c>
      <c r="K706" s="27">
        <f>'6월'!K82</f>
        <v>1200000</v>
      </c>
      <c r="L706" s="26">
        <f>'6월'!L82</f>
        <v>1200000</v>
      </c>
      <c r="M706" s="27">
        <f>'6월'!M82</f>
        <v>120000</v>
      </c>
      <c r="N706" s="27">
        <f>'6월'!N82</f>
        <v>1320000</v>
      </c>
      <c r="O706" s="52">
        <f>'6월'!O82</f>
        <v>1058333.3333333335</v>
      </c>
      <c r="P706" s="171" t="str">
        <f>'6월'!P82</f>
        <v>신세계(6/30) 600,000
지엘정보(6/27) 반기 1,250,000(5/6회)
시스나인(1/2) 1,750,000(6/7회)</v>
      </c>
      <c r="Q706" s="181">
        <f>'6월'!Q82</f>
        <v>141666.66666666651</v>
      </c>
      <c r="R706" s="68" t="str">
        <f>'6월'!R82</f>
        <v>완료(7/31)</v>
      </c>
      <c r="S706" s="8" t="str">
        <f>'6월'!S82</f>
        <v>이예지</v>
      </c>
      <c r="T706" s="11"/>
    </row>
    <row r="707" spans="1:20" ht="24">
      <c r="A707" t="s">
        <v>30</v>
      </c>
      <c r="B707" s="151" t="str">
        <f>'6월'!B83</f>
        <v>SB-23053</v>
      </c>
      <c r="C707" s="199" t="str">
        <f>'6월'!C83</f>
        <v>Z41QIW</v>
      </c>
      <c r="D707" s="17">
        <f>'6월'!D83</f>
        <v>45838</v>
      </c>
      <c r="E707" s="214" t="str">
        <f>'6월'!E83</f>
        <v>수원정보</v>
      </c>
      <c r="F707" s="215" t="str">
        <f>'6월'!F83</f>
        <v>신세계아이앤씨</v>
      </c>
      <c r="G707" s="2" t="str">
        <f>'6월'!G83</f>
        <v>MA</v>
      </c>
      <c r="H707" s="83" t="str">
        <f>'6월'!H83</f>
        <v>월간-레노버</v>
      </c>
      <c r="I707" s="163" t="str">
        <f>'6월'!I83</f>
        <v>6월 유지정비료 - 28/46회</v>
      </c>
      <c r="J707" s="23">
        <f>'6월'!J83</f>
        <v>1</v>
      </c>
      <c r="K707" s="27">
        <f>'6월'!K83</f>
        <v>7638300</v>
      </c>
      <c r="L707" s="26">
        <f>'6월'!L83</f>
        <v>7638300</v>
      </c>
      <c r="M707" s="27">
        <f>'6월'!M83</f>
        <v>763830</v>
      </c>
      <c r="N707" s="27">
        <f>'6월'!N83</f>
        <v>8402130</v>
      </c>
      <c r="O707" s="72">
        <f>'6월'!O83</f>
        <v>7388296</v>
      </c>
      <c r="P707" s="197" t="str">
        <f>'6월'!P83</f>
        <v>레노버(6/30) 5,338,296
시스나인(10/15) 24,600,000 (1/12회)</v>
      </c>
      <c r="Q707" s="181">
        <f>'6월'!Q83</f>
        <v>250004</v>
      </c>
      <c r="R707" s="68" t="str">
        <f>'6월'!R83</f>
        <v>완료(7/31)</v>
      </c>
      <c r="S707" s="8" t="str">
        <f>'6월'!S83</f>
        <v>천범석</v>
      </c>
      <c r="T707" s="11"/>
    </row>
    <row r="708" spans="1:20">
      <c r="A708" t="s">
        <v>30</v>
      </c>
      <c r="B708" s="151" t="str">
        <f>'6월'!B84</f>
        <v>SB-24044</v>
      </c>
      <c r="C708" s="199" t="str">
        <f>'6월'!C84</f>
        <v>ZSWUX2</v>
      </c>
      <c r="D708" s="17">
        <f>'6월'!D84</f>
        <v>45838</v>
      </c>
      <c r="E708" s="214" t="str">
        <f>'6월'!E84</f>
        <v>다솜테크</v>
      </c>
      <c r="F708" s="215" t="str">
        <f>'6월'!F84</f>
        <v>LX홀딩스</v>
      </c>
      <c r="G708" s="2" t="str">
        <f>'6월'!G84</f>
        <v>MA</v>
      </c>
      <c r="H708" s="83" t="str">
        <f>'6월'!H84</f>
        <v>월간-레노버</v>
      </c>
      <c r="I708" s="163" t="str">
        <f>'6월'!I84</f>
        <v>6월 유지정비료 - 12/12회</v>
      </c>
      <c r="J708" s="23">
        <f>'6월'!J84</f>
        <v>1</v>
      </c>
      <c r="K708" s="27">
        <f>'6월'!K84</f>
        <v>573000</v>
      </c>
      <c r="L708" s="26">
        <f>'6월'!L84</f>
        <v>573000</v>
      </c>
      <c r="M708" s="27">
        <f>'6월'!M84</f>
        <v>57300</v>
      </c>
      <c r="N708" s="27">
        <f>'6월'!N84</f>
        <v>630300</v>
      </c>
      <c r="O708" s="52">
        <f>'6월'!O84</f>
        <v>505200</v>
      </c>
      <c r="P708" s="197" t="str">
        <f>'6월'!P84</f>
        <v>레노버(6/30)</v>
      </c>
      <c r="Q708" s="181">
        <f>'6월'!Q84</f>
        <v>67800</v>
      </c>
      <c r="R708" s="2" t="str">
        <f>'6월'!R84</f>
        <v>완료(8/29)</v>
      </c>
      <c r="S708" s="8" t="str">
        <f>'6월'!S84</f>
        <v>천범석</v>
      </c>
      <c r="T708" s="11"/>
    </row>
    <row r="709" spans="1:20">
      <c r="A709" t="s">
        <v>30</v>
      </c>
      <c r="B709" s="151" t="str">
        <f>'6월'!B85</f>
        <v>SB-24046</v>
      </c>
      <c r="C709" s="199" t="str">
        <f>'6월'!C85</f>
        <v>Z8LTG0</v>
      </c>
      <c r="D709" s="17">
        <f>'6월'!D85</f>
        <v>45838</v>
      </c>
      <c r="E709" s="214" t="str">
        <f>'6월'!E85</f>
        <v>다솜테크</v>
      </c>
      <c r="F709" s="215" t="str">
        <f>'6월'!F85</f>
        <v>웰컴저축은행</v>
      </c>
      <c r="G709" s="2" t="str">
        <f>'6월'!G85</f>
        <v>MA</v>
      </c>
      <c r="H709" s="83" t="str">
        <f>'6월'!H85</f>
        <v>월간-레노버</v>
      </c>
      <c r="I709" s="163" t="str">
        <f>'6월'!I85</f>
        <v>6월 유지정비료 - 11/12회</v>
      </c>
      <c r="J709" s="23">
        <f>'6월'!J85</f>
        <v>1</v>
      </c>
      <c r="K709" s="27">
        <f>'6월'!K85</f>
        <v>220000</v>
      </c>
      <c r="L709" s="26">
        <f>'6월'!L85</f>
        <v>220000</v>
      </c>
      <c r="M709" s="27">
        <f>'6월'!M85</f>
        <v>22000</v>
      </c>
      <c r="N709" s="27">
        <f>'6월'!N85</f>
        <v>242000</v>
      </c>
      <c r="O709" s="52">
        <f>'6월'!O85</f>
        <v>204600</v>
      </c>
      <c r="P709" s="197" t="str">
        <f>'6월'!P85</f>
        <v>레노버(6/30)</v>
      </c>
      <c r="Q709" s="181">
        <f>'6월'!Q85</f>
        <v>15400</v>
      </c>
      <c r="R709" s="2" t="str">
        <f>'6월'!R85</f>
        <v>완료(8/29)</v>
      </c>
      <c r="S709" s="8" t="str">
        <f>'6월'!S85</f>
        <v>천범석</v>
      </c>
      <c r="T709" s="11"/>
    </row>
    <row r="710" spans="1:20">
      <c r="A710" t="s">
        <v>30</v>
      </c>
      <c r="B710" s="151" t="str">
        <f>'6월'!B86</f>
        <v>SB-24061</v>
      </c>
      <c r="C710" s="153" t="str">
        <f>'6월'!C86</f>
        <v>ZVVVON</v>
      </c>
      <c r="D710" s="17">
        <f>'6월'!D86</f>
        <v>45838</v>
      </c>
      <c r="E710" s="214" t="str">
        <f>'6월'!E86</f>
        <v>다솜테크</v>
      </c>
      <c r="F710" s="215" t="str">
        <f>'6월'!F86</f>
        <v>롯데이노베이트(롯데정보통신)</v>
      </c>
      <c r="G710" s="2" t="str">
        <f>'6월'!G86</f>
        <v>MA</v>
      </c>
      <c r="H710" s="2" t="str">
        <f>'6월'!H86</f>
        <v>월간-레노버</v>
      </c>
      <c r="I710" s="4" t="str">
        <f>'6월'!I86</f>
        <v>6월 유지정비료 - 6/12회</v>
      </c>
      <c r="J710" s="23">
        <f>'6월'!J86</f>
        <v>1</v>
      </c>
      <c r="K710" s="27">
        <f>'6월'!K86</f>
        <v>700000</v>
      </c>
      <c r="L710" s="26">
        <f>'6월'!L86</f>
        <v>700000</v>
      </c>
      <c r="M710" s="27">
        <f>'6월'!M86</f>
        <v>70000</v>
      </c>
      <c r="N710" s="27">
        <f>'6월'!N86</f>
        <v>770000</v>
      </c>
      <c r="O710" s="33">
        <f>'6월'!O86</f>
        <v>661800</v>
      </c>
      <c r="P710" s="197" t="str">
        <f>'6월'!P86</f>
        <v>레노버(6/30)</v>
      </c>
      <c r="Q710" s="20">
        <f>'6월'!Q86</f>
        <v>38200</v>
      </c>
      <c r="R710" s="2" t="str">
        <f>'6월'!R86</f>
        <v>완료(8/29)</v>
      </c>
      <c r="S710" s="5" t="str">
        <f>'6월'!S86</f>
        <v>천범석</v>
      </c>
      <c r="T710" s="11"/>
    </row>
    <row r="711" spans="1:20" ht="24">
      <c r="A711" t="s">
        <v>30</v>
      </c>
      <c r="B711" s="151" t="str">
        <f>'6월'!B87</f>
        <v>SB-24063</v>
      </c>
      <c r="C711" s="153" t="str">
        <f>'6월'!C87</f>
        <v>ZIR05U</v>
      </c>
      <c r="D711" s="17">
        <f>'6월'!D87</f>
        <v>45838</v>
      </c>
      <c r="E711" s="214" t="str">
        <f>'6월'!E87</f>
        <v>다솜테크</v>
      </c>
      <c r="F711" s="215" t="str">
        <f>'6월'!F87</f>
        <v>이원(E1)컨테이너터미널 #1</v>
      </c>
      <c r="G711" s="2" t="str">
        <f>'6월'!G87</f>
        <v>MA</v>
      </c>
      <c r="H711" s="2" t="str">
        <f>'6월'!H87</f>
        <v>월간-레노버</v>
      </c>
      <c r="I711" s="4" t="str">
        <f>'6월'!I87</f>
        <v>6월 유지정비료 - 6/12회</v>
      </c>
      <c r="J711" s="23">
        <f>'6월'!J87</f>
        <v>1</v>
      </c>
      <c r="K711" s="27">
        <f>'6월'!K87</f>
        <v>380000</v>
      </c>
      <c r="L711" s="26">
        <f>'6월'!L87</f>
        <v>380000</v>
      </c>
      <c r="M711" s="27">
        <f>'6월'!M87</f>
        <v>38000</v>
      </c>
      <c r="N711" s="27">
        <f>'6월'!N87</f>
        <v>418000</v>
      </c>
      <c r="O711" s="33">
        <f>'6월'!O87</f>
        <v>331466.66666666669</v>
      </c>
      <c r="P711" s="197" t="str">
        <f>'6월'!P87</f>
        <v>레노버(6/30) 
시스나인(1/2) 연500,000(6/12회)</v>
      </c>
      <c r="Q711" s="20">
        <f>'6월'!Q87</f>
        <v>48533.333333333314</v>
      </c>
      <c r="R711" s="2" t="str">
        <f>'6월'!R87</f>
        <v>완료(8/29)</v>
      </c>
      <c r="S711" s="5" t="str">
        <f>'6월'!S87</f>
        <v>천범석</v>
      </c>
      <c r="T711" s="11"/>
    </row>
    <row r="712" spans="1:20">
      <c r="A712" t="s">
        <v>30</v>
      </c>
      <c r="B712" s="151" t="str">
        <f>'6월'!B88</f>
        <v>SB-24064</v>
      </c>
      <c r="C712" s="153" t="str">
        <f>'6월'!C88</f>
        <v>ZOTN1N</v>
      </c>
      <c r="D712" s="17">
        <f>'6월'!D88</f>
        <v>45838</v>
      </c>
      <c r="E712" s="214" t="str">
        <f>'6월'!E88</f>
        <v>다솜테크</v>
      </c>
      <c r="F712" s="215" t="str">
        <f>'6월'!F88</f>
        <v>이원(E1)컨테이너터미널 #2</v>
      </c>
      <c r="G712" s="2" t="str">
        <f>'6월'!G88</f>
        <v>MA</v>
      </c>
      <c r="H712" s="2" t="str">
        <f>'6월'!H88</f>
        <v>월간-레노버</v>
      </c>
      <c r="I712" s="4" t="str">
        <f>'6월'!I88</f>
        <v>6월 유지정비료 - 6/12회</v>
      </c>
      <c r="J712" s="23">
        <f>'6월'!J88</f>
        <v>1</v>
      </c>
      <c r="K712" s="27">
        <f>'6월'!K88</f>
        <v>625000</v>
      </c>
      <c r="L712" s="26">
        <f>'6월'!L88</f>
        <v>625000</v>
      </c>
      <c r="M712" s="27">
        <f>'6월'!M88</f>
        <v>62500</v>
      </c>
      <c r="N712" s="27">
        <f>'6월'!N88</f>
        <v>687500</v>
      </c>
      <c r="O712" s="33">
        <f>'6월'!O88</f>
        <v>590400</v>
      </c>
      <c r="P712" s="197" t="str">
        <f>'6월'!P88</f>
        <v>레노버(6/30)</v>
      </c>
      <c r="Q712" s="20">
        <f>'6월'!Q88</f>
        <v>34600</v>
      </c>
      <c r="R712" s="2" t="str">
        <f>'6월'!R88</f>
        <v>완료(8/29)</v>
      </c>
      <c r="S712" s="5" t="str">
        <f>'6월'!S88</f>
        <v>천범석</v>
      </c>
      <c r="T712" s="11"/>
    </row>
    <row r="713" spans="1:20">
      <c r="A713" t="s">
        <v>30</v>
      </c>
      <c r="B713" s="151" t="str">
        <f>'6월'!B89</f>
        <v>SB-24065</v>
      </c>
      <c r="C713" s="153" t="str">
        <f>'6월'!C89</f>
        <v>ZDFIN7</v>
      </c>
      <c r="D713" s="17">
        <f>'6월'!D89</f>
        <v>45838</v>
      </c>
      <c r="E713" s="214" t="str">
        <f>'6월'!E89</f>
        <v>다솜테크</v>
      </c>
      <c r="F713" s="215" t="str">
        <f>'6월'!F89</f>
        <v>안산시청</v>
      </c>
      <c r="G713" s="2" t="str">
        <f>'6월'!G89</f>
        <v>MA</v>
      </c>
      <c r="H713" s="2" t="str">
        <f>'6월'!H89</f>
        <v>월간-레노버</v>
      </c>
      <c r="I713" s="4" t="str">
        <f>'6월'!I89</f>
        <v>6월 유지정비료 - 6/12회</v>
      </c>
      <c r="J713" s="23">
        <f>'6월'!J89</f>
        <v>1</v>
      </c>
      <c r="K713" s="27">
        <f>'6월'!K89</f>
        <v>1232000</v>
      </c>
      <c r="L713" s="26">
        <f>'6월'!L89</f>
        <v>1232000</v>
      </c>
      <c r="M713" s="27">
        <f>'6월'!M89</f>
        <v>123200</v>
      </c>
      <c r="N713" s="27">
        <f>'6월'!N89</f>
        <v>1355200</v>
      </c>
      <c r="O713" s="33">
        <f>'6월'!O89</f>
        <v>1196100</v>
      </c>
      <c r="P713" s="197" t="str">
        <f>'6월'!P89</f>
        <v>레노버(6/30)</v>
      </c>
      <c r="Q713" s="20">
        <f>'6월'!Q89</f>
        <v>35900</v>
      </c>
      <c r="R713" s="2" t="str">
        <f>'6월'!R89</f>
        <v>완료(8/29)</v>
      </c>
      <c r="S713" s="8" t="str">
        <f>'6월'!S89</f>
        <v>천범석</v>
      </c>
      <c r="T713" s="11"/>
    </row>
    <row r="714" spans="1:20">
      <c r="A714" t="s">
        <v>30</v>
      </c>
      <c r="B714" s="151" t="str">
        <f>'6월'!B90</f>
        <v>SB-25013</v>
      </c>
      <c r="C714" s="153" t="str">
        <f>'6월'!C90</f>
        <v>ZL9ADS</v>
      </c>
      <c r="D714" s="17">
        <f>'6월'!D90</f>
        <v>45838</v>
      </c>
      <c r="E714" s="214" t="str">
        <f>'6월'!E90</f>
        <v>다솜테크</v>
      </c>
      <c r="F714" s="215" t="str">
        <f>'6월'!F90</f>
        <v>LG AI</v>
      </c>
      <c r="G714" s="2" t="str">
        <f>'6월'!G90</f>
        <v>MA</v>
      </c>
      <c r="H714" s="2" t="str">
        <f>'6월'!H90</f>
        <v>월간-레노버</v>
      </c>
      <c r="I714" s="4" t="str">
        <f>'6월'!I90</f>
        <v>6월 유지정비료 - 6/12회</v>
      </c>
      <c r="J714" s="23">
        <f>'6월'!J90</f>
        <v>1</v>
      </c>
      <c r="K714" s="27">
        <f>'6월'!K90</f>
        <v>535000</v>
      </c>
      <c r="L714" s="26">
        <f>'6월'!L90</f>
        <v>535000</v>
      </c>
      <c r="M714" s="27">
        <f>'6월'!M90</f>
        <v>53500</v>
      </c>
      <c r="N714" s="27">
        <f>'6월'!N90</f>
        <v>588500</v>
      </c>
      <c r="O714" s="82">
        <f>'6월'!O90</f>
        <v>496800</v>
      </c>
      <c r="P714" s="197" t="str">
        <f>'6월'!P90</f>
        <v>레노버(6/30)</v>
      </c>
      <c r="Q714" s="20">
        <f>'6월'!Q90</f>
        <v>38200</v>
      </c>
      <c r="R714" s="2" t="str">
        <f>'6월'!R90</f>
        <v>완료(8/29)</v>
      </c>
      <c r="S714" s="8" t="str">
        <f>'6월'!S90</f>
        <v>천범석</v>
      </c>
      <c r="T714" s="11"/>
    </row>
    <row r="715" spans="1:20">
      <c r="A715" t="s">
        <v>30</v>
      </c>
      <c r="B715" s="151" t="str">
        <f>'6월'!B91</f>
        <v>SB-25023</v>
      </c>
      <c r="C715" s="153" t="str">
        <f>'6월'!C91</f>
        <v>ZKGVNQ</v>
      </c>
      <c r="D715" s="17">
        <f>'6월'!D91</f>
        <v>45838</v>
      </c>
      <c r="E715" s="1" t="str">
        <f>'6월'!E91</f>
        <v>다솜테크</v>
      </c>
      <c r="F715" s="2" t="str">
        <f>'6월'!F91</f>
        <v>LX세미콘</v>
      </c>
      <c r="G715" s="161" t="str">
        <f>'6월'!G91</f>
        <v>MA</v>
      </c>
      <c r="H715" s="83" t="str">
        <f>'6월'!H91</f>
        <v>월간-레노버</v>
      </c>
      <c r="I715" s="4" t="str">
        <f>'6월'!I91</f>
        <v>6월 유지정비료 - 5/47회차</v>
      </c>
      <c r="J715" s="23">
        <f>'6월'!J91</f>
        <v>1</v>
      </c>
      <c r="K715" s="27">
        <f>'6월'!K91</f>
        <v>1172800</v>
      </c>
      <c r="L715" s="26">
        <f>'6월'!L91</f>
        <v>1172800</v>
      </c>
      <c r="M715" s="27">
        <f>'6월'!M91</f>
        <v>117280</v>
      </c>
      <c r="N715" s="27">
        <f>'6월'!N91</f>
        <v>1290080</v>
      </c>
      <c r="O715" s="82">
        <f>'6월'!O91</f>
        <v>1111200</v>
      </c>
      <c r="P715" s="197" t="str">
        <f>'6월'!P91</f>
        <v>레노버(6/30)</v>
      </c>
      <c r="Q715" s="20">
        <f>'6월'!Q91</f>
        <v>61600</v>
      </c>
      <c r="R715" s="2" t="str">
        <f>'6월'!R91</f>
        <v>완료(8/29)</v>
      </c>
      <c r="S715" s="8" t="str">
        <f>'6월'!S91</f>
        <v>천범석</v>
      </c>
      <c r="T715" s="11"/>
    </row>
    <row r="716" spans="1:20" ht="35.25" customHeight="1">
      <c r="A716" t="s">
        <v>30</v>
      </c>
      <c r="B716" s="151" t="str">
        <f>'6월'!B92</f>
        <v>IK-24006</v>
      </c>
      <c r="C716" s="199"/>
      <c r="D716" s="17">
        <f>'6월'!D92</f>
        <v>45838</v>
      </c>
      <c r="E716" s="214" t="str">
        <f>'6월'!E92</f>
        <v>서부컨테이너터미널</v>
      </c>
      <c r="F716" s="215"/>
      <c r="G716" s="161" t="str">
        <f>'6월'!G92</f>
        <v>MA</v>
      </c>
      <c r="H716" s="161" t="str">
        <f>'6월'!H92</f>
        <v>월간-IBM</v>
      </c>
      <c r="I716" s="163" t="str">
        <f>'6월'!I92</f>
        <v>6월 유지정비료 - 14/24회</v>
      </c>
      <c r="J716" s="23">
        <f>'6월'!J92</f>
        <v>1</v>
      </c>
      <c r="K716" s="27">
        <f>'6월'!K92</f>
        <v>3916667</v>
      </c>
      <c r="L716" s="26">
        <f>'6월'!L92</f>
        <v>3916667</v>
      </c>
      <c r="M716" s="27">
        <f>'6월'!M92</f>
        <v>391667</v>
      </c>
      <c r="N716" s="27">
        <f>'6월'!N92</f>
        <v>4308334</v>
      </c>
      <c r="O716" s="72">
        <f>'6월'!O92</f>
        <v>3024612</v>
      </c>
      <c r="P716" s="223" t="str">
        <f>'6월'!P92</f>
        <v>IBM(6/2) 2,884,612
키미데이타(5/30) 연간 1,680,000 (2/12회)</v>
      </c>
      <c r="Q716" s="181">
        <f>'6월'!Q92</f>
        <v>892055</v>
      </c>
      <c r="R716" s="68" t="str">
        <f>'6월'!R92</f>
        <v>완료(7/31)</v>
      </c>
      <c r="S716" s="8" t="str">
        <f>'6월'!S92</f>
        <v>홍승민</v>
      </c>
      <c r="T716" s="11"/>
    </row>
    <row r="717" spans="1:20">
      <c r="A717" t="s">
        <v>30</v>
      </c>
      <c r="B717" s="151" t="str">
        <f>'6월'!B93</f>
        <v>SB-24027</v>
      </c>
      <c r="C717" s="199" t="str">
        <f>'6월'!C93</f>
        <v>ZGTHWJ</v>
      </c>
      <c r="D717" s="17">
        <f>'6월'!D93</f>
        <v>45838</v>
      </c>
      <c r="E717" s="214" t="str">
        <f>'6월'!E93</f>
        <v>시스템본</v>
      </c>
      <c r="F717" s="215" t="str">
        <f>'6월'!F93</f>
        <v>엘지유플러스</v>
      </c>
      <c r="G717" s="2" t="str">
        <f>'6월'!G93</f>
        <v>MA</v>
      </c>
      <c r="H717" s="83" t="str">
        <f>'6월'!H93</f>
        <v>월간-레노버</v>
      </c>
      <c r="I717" s="4" t="str">
        <f>'6월'!I93</f>
        <v>6월 유지정비료 - 14/32회</v>
      </c>
      <c r="J717" s="23">
        <f>'6월'!J93</f>
        <v>1</v>
      </c>
      <c r="K717" s="27">
        <f>'6월'!K93</f>
        <v>659700</v>
      </c>
      <c r="L717" s="26">
        <f>'6월'!L93</f>
        <v>659700</v>
      </c>
      <c r="M717" s="27">
        <f>'6월'!M93</f>
        <v>65970</v>
      </c>
      <c r="N717" s="27">
        <f>'6월'!N93</f>
        <v>725670</v>
      </c>
      <c r="O717" s="72">
        <f>'6월'!O93</f>
        <v>518541</v>
      </c>
      <c r="P717" s="197" t="str">
        <f>'6월'!P93</f>
        <v>레노버(6/30)</v>
      </c>
      <c r="Q717" s="181">
        <f>'6월'!Q93</f>
        <v>141159</v>
      </c>
      <c r="R717" s="68" t="str">
        <f>'6월'!R93</f>
        <v>완료(8/29)</v>
      </c>
      <c r="S717" s="8" t="str">
        <f>'6월'!S93</f>
        <v>천범석</v>
      </c>
      <c r="T717" s="75"/>
    </row>
    <row r="718" spans="1:20">
      <c r="A718" t="s">
        <v>30</v>
      </c>
      <c r="B718" s="151" t="str">
        <f>'6월'!B94</f>
        <v>SB-24036</v>
      </c>
      <c r="C718" s="199"/>
      <c r="D718" s="17">
        <f>'6월'!D94</f>
        <v>45838</v>
      </c>
      <c r="E718" s="214" t="str">
        <f>'6월'!E94</f>
        <v>나라정보</v>
      </c>
      <c r="F718" s="215" t="str">
        <f>'6월'!F94</f>
        <v>부국철강</v>
      </c>
      <c r="G718" s="2" t="str">
        <f>'6월'!G94</f>
        <v>MA</v>
      </c>
      <c r="H718" s="161" t="str">
        <f>'6월'!H94</f>
        <v>월간-IBM</v>
      </c>
      <c r="I718" s="163" t="str">
        <f>'6월'!I94</f>
        <v>6월 유지정비료 - 14/32회</v>
      </c>
      <c r="J718" s="23">
        <f>'6월'!J94</f>
        <v>1</v>
      </c>
      <c r="K718" s="27">
        <f>'6월'!K94</f>
        <v>207000</v>
      </c>
      <c r="L718" s="26">
        <f>'6월'!L94</f>
        <v>207000</v>
      </c>
      <c r="M718" s="27">
        <f>'6월'!M94</f>
        <v>20700</v>
      </c>
      <c r="N718" s="27">
        <f>'6월'!N94</f>
        <v>227700</v>
      </c>
      <c r="O718" s="72">
        <f>'6월'!O94</f>
        <v>190849</v>
      </c>
      <c r="P718" s="171" t="str">
        <f>'6월'!P94</f>
        <v>IBM(6/2)</v>
      </c>
      <c r="Q718" s="181">
        <f>'6월'!Q94</f>
        <v>16151</v>
      </c>
      <c r="R718" s="68" t="str">
        <f>'6월'!R94</f>
        <v>완료(7/30)</v>
      </c>
      <c r="S718" s="8" t="str">
        <f>'6월'!S94</f>
        <v>천범석</v>
      </c>
      <c r="T718" s="11"/>
    </row>
    <row r="719" spans="1:20">
      <c r="A719" t="s">
        <v>30</v>
      </c>
      <c r="B719" s="151" t="str">
        <f>'6월'!B95</f>
        <v>SM-24013</v>
      </c>
      <c r="C719" s="199"/>
      <c r="D719" s="17">
        <f>'6월'!D95</f>
        <v>45838</v>
      </c>
      <c r="E719" s="214" t="str">
        <f>'6월'!E95</f>
        <v>비즈윈</v>
      </c>
      <c r="F719" s="215" t="str">
        <f>'6월'!F95</f>
        <v>한국소비자보호원</v>
      </c>
      <c r="G719" s="2" t="str">
        <f>'6월'!G95</f>
        <v>MA</v>
      </c>
      <c r="H719" s="161" t="str">
        <f>'6월'!H95</f>
        <v>월간</v>
      </c>
      <c r="I719" s="162" t="str">
        <f>'6월'!I95</f>
        <v>6월 유지정비료 - 15/21회</v>
      </c>
      <c r="J719" s="23">
        <f>'6월'!J95</f>
        <v>1</v>
      </c>
      <c r="K719" s="27">
        <f>'6월'!K95</f>
        <v>155000</v>
      </c>
      <c r="L719" s="26">
        <f>'6월'!L95</f>
        <v>155000</v>
      </c>
      <c r="M719" s="27">
        <f>'6월'!M95</f>
        <v>15500</v>
      </c>
      <c r="N719" s="27">
        <f>'6월'!N95</f>
        <v>170500</v>
      </c>
      <c r="O719" s="52">
        <f>'6월'!O95</f>
        <v>120000</v>
      </c>
      <c r="P719" s="171" t="str">
        <f>'6월'!P95</f>
        <v>시스나인(1/2)연간 1,440,000(6/12회)</v>
      </c>
      <c r="Q719" s="181">
        <f>'6월'!Q95</f>
        <v>35000</v>
      </c>
      <c r="R719" s="68" t="str">
        <f>'6월'!R95</f>
        <v>완료(7/31)</v>
      </c>
      <c r="S719" s="36" t="str">
        <f>'6월'!S95</f>
        <v>이예지</v>
      </c>
      <c r="T719" s="75"/>
    </row>
    <row r="720" spans="1:20">
      <c r="A720" t="s">
        <v>30</v>
      </c>
      <c r="B720" s="151" t="str">
        <f>'6월'!B96</f>
        <v>SM-23020</v>
      </c>
      <c r="C720" s="200" t="str">
        <f>'6월'!C96</f>
        <v>ZZNUMY</v>
      </c>
      <c r="D720" s="17">
        <f>'6월'!D96</f>
        <v>45838</v>
      </c>
      <c r="E720" s="214" t="str">
        <f>'6월'!E96</f>
        <v>현대종합금속</v>
      </c>
      <c r="F720" s="189" t="str">
        <f>'6월'!F96</f>
        <v>포항</v>
      </c>
      <c r="G720" s="161" t="str">
        <f>'6월'!G96</f>
        <v>MA</v>
      </c>
      <c r="H720" s="161" t="str">
        <f>'6월'!H96</f>
        <v>월간-IBM</v>
      </c>
      <c r="I720" s="163" t="str">
        <f>'6월'!I96</f>
        <v>6월 유지정비료 - 12/12회</v>
      </c>
      <c r="J720" s="24">
        <f>'6월'!J96</f>
        <v>1</v>
      </c>
      <c r="K720" s="26">
        <f>'6월'!K96</f>
        <v>700000</v>
      </c>
      <c r="L720" s="26">
        <f>'6월'!L96</f>
        <v>700000</v>
      </c>
      <c r="M720" s="27">
        <f>'6월'!M96</f>
        <v>70000</v>
      </c>
      <c r="N720" s="27">
        <f>'6월'!N96</f>
        <v>770000</v>
      </c>
      <c r="O720" s="33">
        <f>'6월'!O96</f>
        <v>499500</v>
      </c>
      <c r="P720" s="197" t="str">
        <f>'6월'!P96</f>
        <v>레노버(6/30)</v>
      </c>
      <c r="Q720" s="21">
        <f>'6월'!Q96</f>
        <v>200500</v>
      </c>
      <c r="R720" s="68" t="str">
        <f>'6월'!R96</f>
        <v>완료(7/7)</v>
      </c>
      <c r="S720" s="5" t="str">
        <f>'6월'!S96</f>
        <v>이예지</v>
      </c>
      <c r="T720" s="11"/>
    </row>
    <row r="721" spans="1:20">
      <c r="A721" t="s">
        <v>30</v>
      </c>
      <c r="B721" s="151" t="str">
        <f>'6월'!B97</f>
        <v>SB-24052</v>
      </c>
      <c r="C721" s="153" t="str">
        <f>'6월'!C97</f>
        <v>ZUIU6G</v>
      </c>
      <c r="D721" s="17">
        <f>'6월'!D97</f>
        <v>45838</v>
      </c>
      <c r="E721" s="214" t="str">
        <f>'6월'!E97</f>
        <v>유티모스트</v>
      </c>
      <c r="F721" s="215" t="str">
        <f>'6월'!F97</f>
        <v>삼성중공업</v>
      </c>
      <c r="G721" s="161" t="str">
        <f>'6월'!G97</f>
        <v>MA</v>
      </c>
      <c r="H721" s="83" t="str">
        <f>'6월'!H97</f>
        <v>월간-레노버</v>
      </c>
      <c r="I721" s="4" t="str">
        <f>'6월'!I97</f>
        <v>6월 유지정비료 - 9/15회</v>
      </c>
      <c r="J721" s="23">
        <f>'6월'!J97</f>
        <v>1</v>
      </c>
      <c r="K721" s="27">
        <f>'6월'!K97</f>
        <v>13057800</v>
      </c>
      <c r="L721" s="26">
        <f>'6월'!L97</f>
        <v>13057800</v>
      </c>
      <c r="M721" s="27">
        <f>'6월'!M97</f>
        <v>1305780</v>
      </c>
      <c r="N721" s="27">
        <f>'6월'!N97</f>
        <v>14363580</v>
      </c>
      <c r="O721" s="33">
        <f>'6월'!O97</f>
        <v>11892500</v>
      </c>
      <c r="P721" s="197" t="str">
        <f>'6월'!P97</f>
        <v>레노버(6/30)</v>
      </c>
      <c r="Q721" s="21">
        <f>'6월'!Q97</f>
        <v>1165300</v>
      </c>
      <c r="R721" s="68" t="str">
        <f>'6월'!R97</f>
        <v>완료(7/31)</v>
      </c>
      <c r="S721" s="36" t="str">
        <f>'6월'!S97</f>
        <v>천범석</v>
      </c>
      <c r="T721" s="11"/>
    </row>
    <row r="722" spans="1:20" ht="24">
      <c r="A722" t="s">
        <v>30</v>
      </c>
      <c r="B722" s="151" t="str">
        <f>'6월'!B98</f>
        <v>SB-25010</v>
      </c>
      <c r="C722" s="153" t="str">
        <f>'6월'!C98</f>
        <v>ZCXAPZ</v>
      </c>
      <c r="D722" s="17">
        <f>'6월'!D98</f>
        <v>45838</v>
      </c>
      <c r="E722" s="1" t="str">
        <f>'6월'!E98</f>
        <v>유티모스트</v>
      </c>
      <c r="F722" s="2" t="str">
        <f>'6월'!F98</f>
        <v>대우정보(메타넷디지털)</v>
      </c>
      <c r="G722" s="2" t="str">
        <f>'6월'!G98</f>
        <v>MA</v>
      </c>
      <c r="H722" s="2" t="str">
        <f>'6월'!H98</f>
        <v>월간-레노버</v>
      </c>
      <c r="I722" s="4" t="str">
        <f>'6월'!I98</f>
        <v>6월 유지정비료 - 15/21회</v>
      </c>
      <c r="J722" s="23">
        <f>'6월'!J98</f>
        <v>1</v>
      </c>
      <c r="K722" s="27">
        <f>'6월'!K98</f>
        <v>202000</v>
      </c>
      <c r="L722" s="26">
        <f>'6월'!L98</f>
        <v>202000</v>
      </c>
      <c r="M722" s="27">
        <f>'6월'!M98</f>
        <v>20200</v>
      </c>
      <c r="N722" s="27">
        <f>'6월'!N98</f>
        <v>222200</v>
      </c>
      <c r="O722" s="33">
        <f>'6월'!O98</f>
        <v>180600</v>
      </c>
      <c r="P722" s="197" t="str">
        <f>'6월'!P98</f>
        <v>레노버(6/30)</v>
      </c>
      <c r="Q722" s="20">
        <f>'6월'!Q98</f>
        <v>21400</v>
      </c>
      <c r="R722" s="68" t="str">
        <f>'6월'!R98</f>
        <v>완료(7/31)</v>
      </c>
      <c r="S722" s="8" t="str">
        <f>'6월'!S98</f>
        <v>천범석</v>
      </c>
      <c r="T722" s="11"/>
    </row>
    <row r="723" spans="1:20" ht="24">
      <c r="A723" t="s">
        <v>30</v>
      </c>
      <c r="B723" s="151" t="str">
        <f>'6월'!B99</f>
        <v>SB-24055
SB-24056</v>
      </c>
      <c r="C723" s="208" t="str">
        <f>'6월'!C99</f>
        <v>ZP1BPN
ZAXJCH</v>
      </c>
      <c r="D723" s="17">
        <f>'6월'!D99</f>
        <v>45838</v>
      </c>
      <c r="E723" s="214" t="str">
        <f>'6월'!E99</f>
        <v>이룸정보</v>
      </c>
      <c r="F723" s="189" t="str">
        <f>'6월'!F99</f>
        <v>포스코</v>
      </c>
      <c r="G723" s="161" t="str">
        <f>'6월'!G99</f>
        <v>MA</v>
      </c>
      <c r="H723" s="83" t="str">
        <f>'6월'!H99</f>
        <v>월간-레노버</v>
      </c>
      <c r="I723" s="163" t="str">
        <f>'6월'!I99</f>
        <v>6월 유지정비료 - 6/12회</v>
      </c>
      <c r="J723" s="24">
        <f>'6월'!J99</f>
        <v>1</v>
      </c>
      <c r="K723" s="26">
        <f>'6월'!K99</f>
        <v>2871300</v>
      </c>
      <c r="L723" s="26">
        <f>'6월'!L99</f>
        <v>2871300</v>
      </c>
      <c r="M723" s="27">
        <f>'6월'!M99</f>
        <v>287130</v>
      </c>
      <c r="N723" s="27">
        <f>'6월'!N99</f>
        <v>3158430</v>
      </c>
      <c r="O723" s="33">
        <f>'6월'!O99</f>
        <v>2636700</v>
      </c>
      <c r="P723" s="197" t="str">
        <f>'6월'!P99</f>
        <v>레노버(6/30)1,981,200
레노버(6/30) 655,500</v>
      </c>
      <c r="Q723" s="21">
        <f>'6월'!Q99</f>
        <v>234600</v>
      </c>
      <c r="R723" s="68" t="str">
        <f>'6월'!R99</f>
        <v>완료(8/29)</v>
      </c>
      <c r="S723" s="5" t="str">
        <f>'6월'!S99</f>
        <v>천범석</v>
      </c>
      <c r="T723" s="11"/>
    </row>
    <row r="724" spans="1:20" ht="60">
      <c r="A724" t="s">
        <v>30</v>
      </c>
      <c r="B724" s="151" t="str">
        <f>'6월'!B100</f>
        <v>SM-25010</v>
      </c>
      <c r="C724" s="200"/>
      <c r="D724" s="17">
        <f>'6월'!D100</f>
        <v>45838</v>
      </c>
      <c r="E724" s="214" t="str">
        <f>'6월'!E100</f>
        <v>더블포인트</v>
      </c>
      <c r="F724" s="215" t="str">
        <f>'6월'!F100</f>
        <v>한미약품</v>
      </c>
      <c r="G724" s="2" t="str">
        <f>'6월'!G100</f>
        <v>MA</v>
      </c>
      <c r="H724" s="161" t="str">
        <f>'6월'!H100</f>
        <v>월간-IBM</v>
      </c>
      <c r="I724" s="163" t="str">
        <f>'6월'!I100</f>
        <v>6월 유지정비료 - 6/12회</v>
      </c>
      <c r="J724" s="23">
        <f>'6월'!J100</f>
        <v>1</v>
      </c>
      <c r="K724" s="27">
        <f>'6월'!K100</f>
        <v>4761667</v>
      </c>
      <c r="L724" s="26">
        <f>'6월'!L100</f>
        <v>4761667</v>
      </c>
      <c r="M724" s="27">
        <f>'6월'!M100</f>
        <v>476166.7</v>
      </c>
      <c r="N724" s="27">
        <f>'6월'!N100</f>
        <v>5237833.7</v>
      </c>
      <c r="O724" s="72">
        <f>'6월'!O100</f>
        <v>4437257</v>
      </c>
      <c r="P724" s="170" t="str">
        <f>'6월'!P100</f>
        <v>IBM(6/2) 11,623,397
DCSS(6/30) 292,200
IBM APS(1/27) 연 7,859,914 (6/12회)
시스나인 (4/25) 분기8,000,000 (3/3회)
==총 15237,257 중 4,437,257</v>
      </c>
      <c r="Q724" s="21">
        <f>'6월'!Q100</f>
        <v>324410</v>
      </c>
      <c r="R724" s="68" t="str">
        <f>'6월'!R100</f>
        <v>완료(7/31)</v>
      </c>
      <c r="S724" s="8" t="str">
        <f>'6월'!S100</f>
        <v>이예지</v>
      </c>
      <c r="T724" s="11"/>
    </row>
    <row r="725" spans="1:20" ht="60">
      <c r="A725" t="s">
        <v>30</v>
      </c>
      <c r="B725" s="151" t="str">
        <f>'6월'!B101</f>
        <v>SM-25011</v>
      </c>
      <c r="C725" s="200"/>
      <c r="D725" s="17">
        <f>'6월'!D101</f>
        <v>45838</v>
      </c>
      <c r="E725" s="214" t="str">
        <f>'6월'!E101</f>
        <v>더블포인트</v>
      </c>
      <c r="F725" s="215" t="str">
        <f>'6월'!F101</f>
        <v>한미사이언스</v>
      </c>
      <c r="G725" s="2" t="str">
        <f>'6월'!G101</f>
        <v>MA</v>
      </c>
      <c r="H725" s="161" t="str">
        <f>'6월'!H101</f>
        <v>월간-IBM</v>
      </c>
      <c r="I725" s="163" t="str">
        <f>'6월'!I101</f>
        <v>6월 유지정비료 - 6/12회</v>
      </c>
      <c r="J725" s="23">
        <f>'6월'!J101</f>
        <v>1</v>
      </c>
      <c r="K725" s="27">
        <f>'6월'!K101</f>
        <v>11210000</v>
      </c>
      <c r="L725" s="26">
        <f>'6월'!L101</f>
        <v>11210000</v>
      </c>
      <c r="M725" s="27">
        <f>'6월'!M101</f>
        <v>1121000</v>
      </c>
      <c r="N725" s="27">
        <f>'6월'!N101</f>
        <v>12331000</v>
      </c>
      <c r="O725" s="72">
        <f>'6월'!O101</f>
        <v>10800000</v>
      </c>
      <c r="P725" s="170" t="str">
        <f>'6월'!P101</f>
        <v>IBM(6/2) 11,623,397
DCSS(6/30) 292,200
IBM APS(1/27) 연 7,859,914 (6/12회)
시스나인 (4/25) 분기8,000,000 (3/3회)
==총 15237,257 중 10,800,000</v>
      </c>
      <c r="Q725" s="21">
        <f>'6월'!Q101</f>
        <v>410000</v>
      </c>
      <c r="R725" s="68" t="str">
        <f>'6월'!R101</f>
        <v>완료(7/31)</v>
      </c>
      <c r="S725" s="8" t="str">
        <f>'6월'!S101</f>
        <v>이예지</v>
      </c>
      <c r="T725" s="11"/>
    </row>
    <row r="726" spans="1:20" ht="24">
      <c r="A726" t="s">
        <v>30</v>
      </c>
      <c r="B726" s="151" t="str">
        <f>'6월'!B102</f>
        <v>SM-25007</v>
      </c>
      <c r="C726" s="199"/>
      <c r="D726" s="17">
        <f>'6월'!D102</f>
        <v>45838</v>
      </c>
      <c r="E726" s="1" t="str">
        <f>'6월'!E102</f>
        <v>더블포인트</v>
      </c>
      <c r="F726" s="2" t="str">
        <f>'6월'!F102</f>
        <v>교보문고</v>
      </c>
      <c r="G726" s="2" t="str">
        <f>'6월'!G102</f>
        <v>MA</v>
      </c>
      <c r="H726" s="2" t="str">
        <f>'6월'!H102</f>
        <v>월간</v>
      </c>
      <c r="I726" s="163" t="str">
        <f>'6월'!I102</f>
        <v>6월 유지정비료 - 6/12회</v>
      </c>
      <c r="J726" s="23">
        <f>'6월'!J102</f>
        <v>1</v>
      </c>
      <c r="K726" s="27">
        <f>'6월'!K102</f>
        <v>880000</v>
      </c>
      <c r="L726" s="26">
        <f>'6월'!L102</f>
        <v>880000</v>
      </c>
      <c r="M726" s="27">
        <f>'6월'!M102</f>
        <v>88000</v>
      </c>
      <c r="N726" s="27">
        <f>'6월'!N102</f>
        <v>968000</v>
      </c>
      <c r="O726" s="52">
        <f>'6월'!O102</f>
        <v>709533.33333333326</v>
      </c>
      <c r="P726" s="171" t="str">
        <f>'6월'!P102</f>
        <v>DCSS(6/30) 376,200
시스나인(7/1) 1,000,000(3/3회)</v>
      </c>
      <c r="Q726" s="181">
        <f>'6월'!Q102</f>
        <v>170466.66666666674</v>
      </c>
      <c r="R726" s="68" t="str">
        <f>'6월'!R102</f>
        <v>완료(8/11)</v>
      </c>
      <c r="S726" s="8" t="str">
        <f>'6월'!S102</f>
        <v>이예지</v>
      </c>
      <c r="T726" s="11"/>
    </row>
    <row r="727" spans="1:20" ht="24">
      <c r="A727" t="s">
        <v>30</v>
      </c>
      <c r="B727" s="151" t="str">
        <f>'6월'!B103</f>
        <v>SM-25008</v>
      </c>
      <c r="C727" s="199"/>
      <c r="D727" s="17">
        <f>'6월'!D103</f>
        <v>45838</v>
      </c>
      <c r="E727" s="1" t="str">
        <f>'6월'!E103</f>
        <v>더블포인트</v>
      </c>
      <c r="F727" s="2" t="str">
        <f>'6월'!F103</f>
        <v>스마트로</v>
      </c>
      <c r="G727" s="161" t="str">
        <f>'6월'!G103</f>
        <v>MA</v>
      </c>
      <c r="H727" s="161" t="str">
        <f>'6월'!H103</f>
        <v>월간-IBM</v>
      </c>
      <c r="I727" s="163" t="str">
        <f>'6월'!I103</f>
        <v>6월 유지정비료 - 6/12회</v>
      </c>
      <c r="J727" s="34">
        <f>'6월'!J103</f>
        <v>1</v>
      </c>
      <c r="K727" s="48">
        <f>'6월'!K103</f>
        <v>3278000</v>
      </c>
      <c r="L727" s="26">
        <f>'6월'!L103</f>
        <v>3278000</v>
      </c>
      <c r="M727" s="27">
        <f>'6월'!M103</f>
        <v>327800</v>
      </c>
      <c r="N727" s="27">
        <f>'6월'!N103</f>
        <v>3605800</v>
      </c>
      <c r="O727" s="82">
        <f>'6월'!O103</f>
        <v>3210534</v>
      </c>
      <c r="P727" s="170" t="str">
        <f>'6월'!P103</f>
        <v>IBM(6/2) 1,210,534
시스나인(7/1) 1400중 600(3/3회)</v>
      </c>
      <c r="Q727" s="181">
        <f>'6월'!Q103</f>
        <v>67466</v>
      </c>
      <c r="R727" s="68" t="str">
        <f>'6월'!R103</f>
        <v>완료(8/11)</v>
      </c>
      <c r="S727" s="8" t="str">
        <f>'6월'!S103</f>
        <v>이예지</v>
      </c>
      <c r="T727" s="11"/>
    </row>
    <row r="728" spans="1:20">
      <c r="A728" t="s">
        <v>30</v>
      </c>
      <c r="B728" s="151" t="str">
        <f>'6월'!B104</f>
        <v>SM-25001</v>
      </c>
      <c r="C728" s="199"/>
      <c r="D728" s="17">
        <f>'6월'!D104</f>
        <v>45838</v>
      </c>
      <c r="E728" s="214" t="str">
        <f>'6월'!E104</f>
        <v>로스비브이</v>
      </c>
      <c r="F728" s="215" t="str">
        <f>'6월'!F104</f>
        <v>BAT서울</v>
      </c>
      <c r="G728" s="2" t="str">
        <f>'6월'!G104</f>
        <v>MA</v>
      </c>
      <c r="H728" s="2" t="str">
        <f>'6월'!H104</f>
        <v>월간-레노버</v>
      </c>
      <c r="I728" s="4" t="str">
        <f>'6월'!I104</f>
        <v xml:space="preserve">[HW] 6월 유지정비료 - 6/12회 </v>
      </c>
      <c r="J728" s="23">
        <f>'6월'!J104</f>
        <v>1</v>
      </c>
      <c r="K728" s="27">
        <f>'6월'!K104</f>
        <v>850000</v>
      </c>
      <c r="L728" s="26">
        <f>'6월'!L104</f>
        <v>850000</v>
      </c>
      <c r="M728" s="27">
        <f>'6월'!M104</f>
        <v>85000</v>
      </c>
      <c r="N728" s="27">
        <f>'6월'!N104</f>
        <v>935000</v>
      </c>
      <c r="O728" s="52">
        <f>'6월'!O104</f>
        <v>700000</v>
      </c>
      <c r="P728" s="171" t="str">
        <f>'6월'!P104</f>
        <v>알앤에스(6/25) 495만원 중</v>
      </c>
      <c r="Q728" s="181">
        <f>'6월'!Q104</f>
        <v>150000</v>
      </c>
      <c r="R728" s="68" t="str">
        <f>'6월'!R104</f>
        <v>완료(9/10)</v>
      </c>
      <c r="S728" s="8" t="str">
        <f>'6월'!S104</f>
        <v>천범석</v>
      </c>
      <c r="T728" s="11"/>
    </row>
    <row r="729" spans="1:20" ht="36">
      <c r="A729" t="s">
        <v>30</v>
      </c>
      <c r="B729" s="151" t="str">
        <f>'6월'!B105</f>
        <v>SM-25001</v>
      </c>
      <c r="C729" s="199"/>
      <c r="D729" s="17">
        <f>'6월'!D105</f>
        <v>45838</v>
      </c>
      <c r="E729" s="214" t="str">
        <f>'6월'!E105</f>
        <v>브리토바코</v>
      </c>
      <c r="F729" s="215" t="str">
        <f>'6월'!F105</f>
        <v>BAT사천</v>
      </c>
      <c r="G729" s="2" t="str">
        <f>'6월'!G105</f>
        <v>MA</v>
      </c>
      <c r="H729" s="2" t="str">
        <f>'6월'!H105</f>
        <v>월간-레노버</v>
      </c>
      <c r="I729" s="4" t="str">
        <f>'6월'!I105</f>
        <v xml:space="preserve">[HW] 6월 유지정비료 - 6/12회 </v>
      </c>
      <c r="J729" s="23">
        <f>'6월'!J105</f>
        <v>1</v>
      </c>
      <c r="K729" s="27">
        <f>'6월'!K105</f>
        <v>4600000</v>
      </c>
      <c r="L729" s="26">
        <f>'6월'!L105</f>
        <v>4600000</v>
      </c>
      <c r="M729" s="27">
        <f>'6월'!M105</f>
        <v>460000</v>
      </c>
      <c r="N729" s="27">
        <f>'6월'!N105</f>
        <v>5060000</v>
      </c>
      <c r="O729" s="52">
        <f>'6월'!O105</f>
        <v>4700000</v>
      </c>
      <c r="P729" s="171" t="str">
        <f>'6월'!P105</f>
        <v>알앤에스(6/25) 495만원 중 
시스나인(1/2) 연 2,400,000(6/12회)
김재협(8/7) 4/6회</v>
      </c>
      <c r="Q729" s="181">
        <f>'6월'!Q105</f>
        <v>-100000</v>
      </c>
      <c r="R729" s="68" t="str">
        <f>'6월'!R105</f>
        <v>완료(9/10)</v>
      </c>
      <c r="S729" s="8" t="str">
        <f>'6월'!S105</f>
        <v>천범석</v>
      </c>
      <c r="T729" s="11"/>
    </row>
    <row r="730" spans="1:20">
      <c r="A730" t="s">
        <v>30</v>
      </c>
      <c r="B730" s="151" t="str">
        <f>'6월'!B106</f>
        <v>SB-25001</v>
      </c>
      <c r="C730" s="153" t="str">
        <f>'6월'!C106</f>
        <v>ZXRZHC</v>
      </c>
      <c r="D730" s="17">
        <f>'6월'!D106</f>
        <v>45838</v>
      </c>
      <c r="E730" s="214" t="str">
        <f>'6월'!E106</f>
        <v>퓨처젠</v>
      </c>
      <c r="F730" s="215" t="str">
        <f>'6월'!F106</f>
        <v>HB저축은행</v>
      </c>
      <c r="G730" s="2" t="str">
        <f>'6월'!G106</f>
        <v>MA</v>
      </c>
      <c r="H730" s="2" t="str">
        <f>'6월'!H106</f>
        <v>월간-레노버</v>
      </c>
      <c r="I730" s="163" t="str">
        <f>'6월'!I106</f>
        <v>6월 유지정비료 - 6/12회</v>
      </c>
      <c r="J730" s="23">
        <f>'6월'!J106</f>
        <v>1</v>
      </c>
      <c r="K730" s="27">
        <f>'6월'!K106</f>
        <v>904800</v>
      </c>
      <c r="L730" s="26">
        <f>'6월'!L106</f>
        <v>904800</v>
      </c>
      <c r="M730" s="27">
        <f>'6월'!M106</f>
        <v>90480</v>
      </c>
      <c r="N730" s="27">
        <f>'6월'!N106</f>
        <v>995280</v>
      </c>
      <c r="O730" s="33">
        <f>'6월'!O106</f>
        <v>820200</v>
      </c>
      <c r="P730" s="197" t="str">
        <f>'6월'!P106</f>
        <v>레노버(6/30)</v>
      </c>
      <c r="Q730" s="20">
        <f>'6월'!Q106</f>
        <v>84600</v>
      </c>
      <c r="R730" s="68" t="str">
        <f>'6월'!R106</f>
        <v>완료(7/31)</v>
      </c>
      <c r="S730" s="8" t="str">
        <f>'6월'!S106</f>
        <v>천범석</v>
      </c>
      <c r="T730" s="11"/>
    </row>
    <row r="731" spans="1:20" ht="60">
      <c r="A731" t="s">
        <v>30</v>
      </c>
      <c r="B731" s="151" t="str">
        <f>'6월'!B107</f>
        <v>SM-25004</v>
      </c>
      <c r="C731" s="199"/>
      <c r="D731" s="17">
        <f>'6월'!D107</f>
        <v>45838</v>
      </c>
      <c r="E731" s="1" t="str">
        <f>'6월'!E107</f>
        <v>인표산업</v>
      </c>
      <c r="F731" s="2"/>
      <c r="G731" s="2" t="str">
        <f>'6월'!G107</f>
        <v>MA</v>
      </c>
      <c r="H731" s="2" t="str">
        <f>'6월'!H107</f>
        <v>월간</v>
      </c>
      <c r="I731" s="163" t="str">
        <f>'6월'!I107</f>
        <v>6월 유지정비료 - 6/12회</v>
      </c>
      <c r="J731" s="23">
        <f>'6월'!J107</f>
        <v>1</v>
      </c>
      <c r="K731" s="27">
        <f>'6월'!K107</f>
        <v>3611000</v>
      </c>
      <c r="L731" s="26">
        <f>'6월'!L107</f>
        <v>3611000</v>
      </c>
      <c r="M731" s="27">
        <f>'6월'!M107</f>
        <v>361100</v>
      </c>
      <c r="N731" s="27">
        <f>'6월'!N107</f>
        <v>3972100</v>
      </c>
      <c r="O731" s="52">
        <f>'6월'!O107</f>
        <v>2762000</v>
      </c>
      <c r="P731" s="170" t="str">
        <f>'6월'!P107</f>
        <v>프라테르(6/30) 672,000
트리거(6/30) 700,000
현성솔루션(6/30) 100,000
유니와이드(6/30) 290,000
시스나인(25/3/4) 반기 6,000,000 (6/6회)</v>
      </c>
      <c r="Q731" s="181">
        <f>'6월'!Q107</f>
        <v>849000</v>
      </c>
      <c r="R731" s="68" t="str">
        <f>'6월'!R107</f>
        <v>완료(7/31)</v>
      </c>
      <c r="S731" s="8" t="str">
        <f>'6월'!S107</f>
        <v>홍승민</v>
      </c>
      <c r="T731" s="11"/>
    </row>
    <row r="732" spans="1:20">
      <c r="A732" t="s">
        <v>30</v>
      </c>
      <c r="B732" s="151" t="str">
        <f>'6월'!B108</f>
        <v>SB-25005</v>
      </c>
      <c r="C732" s="153" t="str">
        <f>'6월'!C108</f>
        <v>ZSUEIX</v>
      </c>
      <c r="D732" s="17">
        <f>'6월'!D108</f>
        <v>45838</v>
      </c>
      <c r="E732" s="214" t="str">
        <f>'6월'!E108</f>
        <v>제이엔테크놀러지</v>
      </c>
      <c r="F732" s="215" t="str">
        <f>'6월'!F108</f>
        <v>SK실트론</v>
      </c>
      <c r="G732" s="1" t="str">
        <f>'6월'!G108</f>
        <v>MA</v>
      </c>
      <c r="H732" s="83" t="str">
        <f>'6월'!H108</f>
        <v>월간-레노버</v>
      </c>
      <c r="I732" s="163" t="str">
        <f>'6월'!I108</f>
        <v>6월 유지정비료 - 6/12회</v>
      </c>
      <c r="J732" s="23">
        <f>'6월'!J108</f>
        <v>1</v>
      </c>
      <c r="K732" s="27">
        <f>'6월'!K108</f>
        <v>554000</v>
      </c>
      <c r="L732" s="26">
        <f>'6월'!L108</f>
        <v>554000</v>
      </c>
      <c r="M732" s="27">
        <f>'6월'!M108</f>
        <v>55400</v>
      </c>
      <c r="N732" s="27">
        <f>'6월'!N108</f>
        <v>609400</v>
      </c>
      <c r="O732" s="33">
        <f>'6월'!O108</f>
        <v>502800</v>
      </c>
      <c r="P732" s="197" t="str">
        <f>'6월'!P108</f>
        <v>레노버(6/30)</v>
      </c>
      <c r="Q732" s="20">
        <f>'6월'!Q108</f>
        <v>51200</v>
      </c>
      <c r="R732" s="68" t="str">
        <f>'6월'!R108</f>
        <v>완료(7/31)</v>
      </c>
      <c r="S732" s="8" t="str">
        <f>'6월'!S108</f>
        <v>천범석</v>
      </c>
      <c r="T732" s="11"/>
    </row>
    <row r="733" spans="1:20">
      <c r="A733" t="s">
        <v>30</v>
      </c>
      <c r="B733" s="151" t="str">
        <f>'6월'!B109</f>
        <v>SM-25006</v>
      </c>
      <c r="C733" s="200"/>
      <c r="D733" s="17">
        <f>'6월'!D109</f>
        <v>45838</v>
      </c>
      <c r="E733" s="1" t="str">
        <f>'6월'!E109</f>
        <v>대륭상선</v>
      </c>
      <c r="F733" s="161"/>
      <c r="G733" s="161" t="str">
        <f>'6월'!G109</f>
        <v>MA</v>
      </c>
      <c r="H733" s="161" t="str">
        <f>'6월'!H109</f>
        <v>월간-IBM</v>
      </c>
      <c r="I733" s="163" t="str">
        <f>'6월'!I109</f>
        <v>6월 유지정비료 - 6/12회</v>
      </c>
      <c r="J733" s="71">
        <f>'6월'!J109</f>
        <v>1</v>
      </c>
      <c r="K733" s="26">
        <f>'6월'!K109</f>
        <v>2840000</v>
      </c>
      <c r="L733" s="26">
        <f>'6월'!L109</f>
        <v>2840000</v>
      </c>
      <c r="M733" s="27">
        <f>'6월'!M109</f>
        <v>284000</v>
      </c>
      <c r="N733" s="27">
        <f>'6월'!N109</f>
        <v>3124000</v>
      </c>
      <c r="O733" s="52">
        <f>'6월'!O109</f>
        <v>44000</v>
      </c>
      <c r="P733" s="171" t="str">
        <f>'6월'!P109</f>
        <v>DCSS(6/30)</v>
      </c>
      <c r="Q733" s="181">
        <f>'6월'!Q109</f>
        <v>2796000</v>
      </c>
      <c r="R733" s="68" t="str">
        <f>'6월'!R109</f>
        <v>완료(7/7)</v>
      </c>
      <c r="S733" s="5" t="str">
        <f>'6월'!S109</f>
        <v>홍승민</v>
      </c>
      <c r="T733" s="11"/>
    </row>
    <row r="734" spans="1:20" ht="24">
      <c r="A734" t="s">
        <v>30</v>
      </c>
      <c r="B734" s="151" t="str">
        <f>'6월'!B110</f>
        <v>SB-25007</v>
      </c>
      <c r="C734" s="153" t="str">
        <f>'6월'!C110</f>
        <v>ZROHA2</v>
      </c>
      <c r="D734" s="17">
        <f>'6월'!D110</f>
        <v>45838</v>
      </c>
      <c r="E734" s="1" t="str">
        <f>'6월'!E110</f>
        <v>페타데이타</v>
      </c>
      <c r="F734" s="2" t="str">
        <f>'6월'!F110</f>
        <v>SBS</v>
      </c>
      <c r="G734" s="2" t="str">
        <f>'6월'!G110</f>
        <v>MA</v>
      </c>
      <c r="H734" s="2" t="str">
        <f>'6월'!H110</f>
        <v>월간-레노버</v>
      </c>
      <c r="I734" s="163" t="str">
        <f>'6월'!I110</f>
        <v>6월 유지정비료 - 6/12회</v>
      </c>
      <c r="J734" s="23">
        <f>'6월'!J110</f>
        <v>1</v>
      </c>
      <c r="K734" s="27">
        <f>'6월'!K110</f>
        <v>454600</v>
      </c>
      <c r="L734" s="26">
        <f>'6월'!L110</f>
        <v>454600</v>
      </c>
      <c r="M734" s="27">
        <f>'6월'!M110</f>
        <v>45460</v>
      </c>
      <c r="N734" s="27">
        <f>'6월'!N110</f>
        <v>500060</v>
      </c>
      <c r="O734" s="33">
        <f>'6월'!O110</f>
        <v>426333.33333333337</v>
      </c>
      <c r="P734" s="197" t="str">
        <f>'6월'!P110</f>
        <v>레노버(6/30) 243,000
시스나인(2/28) 1,100,000(6/6회)</v>
      </c>
      <c r="Q734" s="20">
        <f>'6월'!Q110</f>
        <v>28266.666666666628</v>
      </c>
      <c r="R734" s="68" t="str">
        <f>'6월'!R110</f>
        <v>완료(7/31)</v>
      </c>
      <c r="S734" s="8" t="str">
        <f>'6월'!S110</f>
        <v>천범석</v>
      </c>
      <c r="T734" s="11"/>
    </row>
    <row r="735" spans="1:20">
      <c r="A735" t="s">
        <v>30</v>
      </c>
      <c r="B735" s="151" t="str">
        <f>'6월'!B111</f>
        <v>SM-25009</v>
      </c>
      <c r="C735" s="153"/>
      <c r="D735" s="17">
        <f>'6월'!D111</f>
        <v>45838</v>
      </c>
      <c r="E735" s="1" t="str">
        <f>'6월'!E111</f>
        <v>투데이시스템</v>
      </c>
      <c r="F735" s="2" t="str">
        <f>'6월'!F111</f>
        <v>스마트로</v>
      </c>
      <c r="G735" s="1" t="str">
        <f>'6월'!G111</f>
        <v>MA</v>
      </c>
      <c r="H735" s="83" t="str">
        <f>'6월'!H111</f>
        <v>월간</v>
      </c>
      <c r="I735" s="4" t="str">
        <f>'6월'!I111</f>
        <v>(부품) 6월 유지정비료 - 6/12회</v>
      </c>
      <c r="J735" s="23">
        <f>'6월'!J111</f>
        <v>1</v>
      </c>
      <c r="K735" s="27">
        <f>'6월'!K111</f>
        <v>2697200</v>
      </c>
      <c r="L735" s="26">
        <f>'6월'!L111</f>
        <v>2697200</v>
      </c>
      <c r="M735" s="27">
        <f>'6월'!M111</f>
        <v>269720</v>
      </c>
      <c r="N735" s="27">
        <f>'6월'!N111</f>
        <v>2966920</v>
      </c>
      <c r="O735" s="33">
        <f>'6월'!O111</f>
        <v>2666666.6666666665</v>
      </c>
      <c r="P735" s="197" t="str">
        <f>'6월'!P111</f>
        <v>시스나인(7/1) 1400중 800(2/3회)</v>
      </c>
      <c r="Q735" s="20">
        <f>'6월'!Q111</f>
        <v>30533.333333333489</v>
      </c>
      <c r="R735" s="68" t="str">
        <f>'6월'!R111</f>
        <v>완료(8/29)</v>
      </c>
      <c r="S735" s="8" t="str">
        <f>'6월'!S111</f>
        <v>이예지</v>
      </c>
      <c r="T735" s="11"/>
    </row>
    <row r="736" spans="1:20" ht="48">
      <c r="A736" t="s">
        <v>30</v>
      </c>
      <c r="B736" s="151" t="str">
        <f>'6월'!B112</f>
        <v>SB-25014</v>
      </c>
      <c r="C736" s="153" t="str">
        <f>'6월'!C112</f>
        <v>ZAVPY3</v>
      </c>
      <c r="D736" s="17">
        <f>'6월'!D112</f>
        <v>45838</v>
      </c>
      <c r="E736" s="214" t="str">
        <f>'6월'!E112</f>
        <v>와이젠정보기술</v>
      </c>
      <c r="F736" s="215" t="str">
        <f>'6월'!F112</f>
        <v>안국약품</v>
      </c>
      <c r="G736" s="1" t="str">
        <f>'6월'!G112</f>
        <v>MA</v>
      </c>
      <c r="H736" s="2" t="str">
        <f>'6월'!H112</f>
        <v>월간-레노버</v>
      </c>
      <c r="I736" s="4" t="str">
        <f>'6월'!I112</f>
        <v>6월 유지정비료 - 6/12회</v>
      </c>
      <c r="J736" s="23">
        <f>'6월'!J112</f>
        <v>1</v>
      </c>
      <c r="K736" s="27">
        <f>'6월'!K112</f>
        <v>2900000</v>
      </c>
      <c r="L736" s="26">
        <f>'6월'!L112</f>
        <v>2900000</v>
      </c>
      <c r="M736" s="27">
        <f>'6월'!M112</f>
        <v>290000</v>
      </c>
      <c r="N736" s="27">
        <f>'6월'!N112</f>
        <v>3190000</v>
      </c>
      <c r="O736" s="33">
        <f>'6월'!O112</f>
        <v>2572666.6666666665</v>
      </c>
      <c r="P736" s="197" t="str">
        <f>'6월'!P112</f>
        <v>레노버(6/30) 1,515,000
다솜테크(6/30) 250,000
DCSS(6/30) 391,000
시스나인 반기(2/28) 2,500,000(6/6회)</v>
      </c>
      <c r="Q736" s="20">
        <f>'6월'!Q112</f>
        <v>327333.33333333349</v>
      </c>
      <c r="R736" s="68" t="str">
        <f>'6월'!R112</f>
        <v>완료(7/31)</v>
      </c>
      <c r="S736" s="8" t="str">
        <f>'6월'!S112</f>
        <v>천범석</v>
      </c>
      <c r="T736" s="11"/>
    </row>
    <row r="737" spans="1:26">
      <c r="A737" t="s">
        <v>30</v>
      </c>
      <c r="B737" s="151" t="str">
        <f>'6월'!B113</f>
        <v>SB-25016</v>
      </c>
      <c r="C737" s="230" t="str">
        <f>'6월'!C113</f>
        <v>ZLXVVE</v>
      </c>
      <c r="D737" s="17">
        <f>'6월'!D113</f>
        <v>45838</v>
      </c>
      <c r="E737" s="214" t="str">
        <f>'6월'!E113</f>
        <v>에이큐씨앤씨</v>
      </c>
      <c r="F737" s="215" t="str">
        <f>'6월'!F113</f>
        <v>한림대학교</v>
      </c>
      <c r="G737" s="161" t="str">
        <f>'6월'!G113</f>
        <v>MA</v>
      </c>
      <c r="H737" s="83" t="str">
        <f>'6월'!H113</f>
        <v>월간-레노버</v>
      </c>
      <c r="I737" s="4" t="str">
        <f>'6월'!I113</f>
        <v>HW 6월 유지정비료 - 4/12회</v>
      </c>
      <c r="J737" s="23">
        <f>'6월'!J113</f>
        <v>1</v>
      </c>
      <c r="K737" s="27">
        <f>'6월'!K113</f>
        <v>501000</v>
      </c>
      <c r="L737" s="26">
        <f>'6월'!L113</f>
        <v>501000</v>
      </c>
      <c r="M737" s="27">
        <f>'6월'!M113</f>
        <v>50100</v>
      </c>
      <c r="N737" s="27">
        <f>'6월'!N113</f>
        <v>551100</v>
      </c>
      <c r="O737" s="33">
        <f>'6월'!O113</f>
        <v>405600</v>
      </c>
      <c r="P737" s="197" t="str">
        <f>'6월'!P113</f>
        <v>레노버(6/30)</v>
      </c>
      <c r="Q737" s="181">
        <f>'6월'!Q113</f>
        <v>95400</v>
      </c>
      <c r="R737" s="68" t="str">
        <f>'6월'!R113</f>
        <v>완료(7/31)</v>
      </c>
      <c r="S737" s="8" t="str">
        <f>'6월'!S113</f>
        <v>천범석</v>
      </c>
      <c r="T737" s="11"/>
    </row>
    <row r="738" spans="1:26">
      <c r="A738" t="s">
        <v>30</v>
      </c>
      <c r="B738" s="151" t="str">
        <f>'6월'!B114</f>
        <v>Y250324-01</v>
      </c>
      <c r="C738" s="153"/>
      <c r="D738" s="17">
        <f>'6월'!D114</f>
        <v>45838</v>
      </c>
      <c r="E738" s="1" t="str">
        <f>'6월'!E114</f>
        <v>파워시스</v>
      </c>
      <c r="F738" s="2" t="str">
        <f>'6월'!F114</f>
        <v>에이치에스티</v>
      </c>
      <c r="G738" s="161" t="str">
        <f>'6월'!G114</f>
        <v>MA</v>
      </c>
      <c r="H738" s="83" t="str">
        <f>'6월'!H114</f>
        <v>월간</v>
      </c>
      <c r="I738" s="4" t="str">
        <f>'6월'!I114</f>
        <v>Storwize V3700 원격 정기점검 - 4/10회</v>
      </c>
      <c r="J738" s="23">
        <f>'6월'!J114</f>
        <v>1</v>
      </c>
      <c r="K738" s="27">
        <f>'6월'!K114</f>
        <v>150000</v>
      </c>
      <c r="L738" s="26">
        <f>'6월'!L114</f>
        <v>150000</v>
      </c>
      <c r="M738" s="27">
        <f>'6월'!M114</f>
        <v>15000</v>
      </c>
      <c r="N738" s="27">
        <f>'6월'!N114</f>
        <v>165000</v>
      </c>
      <c r="O738" s="33">
        <f>'6월'!O114</f>
        <v>0</v>
      </c>
      <c r="P738" s="197" t="str">
        <f>'6월'!P114</f>
        <v>SM</v>
      </c>
      <c r="Q738" s="20">
        <f>'6월'!Q114</f>
        <v>150000</v>
      </c>
      <c r="R738" s="2" t="str">
        <f>'6월'!R114</f>
        <v>완료(8/29)</v>
      </c>
      <c r="S738" s="8" t="str">
        <f>'6월'!S114</f>
        <v>홍승민</v>
      </c>
      <c r="T738" s="11"/>
    </row>
    <row r="739" spans="1:26">
      <c r="A739" t="s">
        <v>30</v>
      </c>
      <c r="B739" s="151" t="str">
        <f>'6월'!B115</f>
        <v>IK-25003</v>
      </c>
      <c r="C739" s="200"/>
      <c r="D739" s="17">
        <f>'6월'!D115</f>
        <v>45838</v>
      </c>
      <c r="E739" s="214" t="str">
        <f>'6월'!E115</f>
        <v>엔콤</v>
      </c>
      <c r="F739" s="189" t="str">
        <f>'6월'!F115</f>
        <v>전북도시가스</v>
      </c>
      <c r="G739" s="161" t="str">
        <f>'6월'!G115</f>
        <v>MA</v>
      </c>
      <c r="H739" s="161" t="str">
        <f>'6월'!H115</f>
        <v>월간-IBM</v>
      </c>
      <c r="I739" s="163" t="str">
        <f>'6월'!I115</f>
        <v>6월 유지정비료 - 3/12회</v>
      </c>
      <c r="J739" s="24">
        <f>'6월'!J115</f>
        <v>1</v>
      </c>
      <c r="K739" s="26">
        <f>'6월'!K115</f>
        <v>1600000</v>
      </c>
      <c r="L739" s="26">
        <f>'6월'!L115</f>
        <v>1600000</v>
      </c>
      <c r="M739" s="27">
        <f>'6월'!M115</f>
        <v>160000</v>
      </c>
      <c r="N739" s="27">
        <f>'6월'!N115</f>
        <v>1760000</v>
      </c>
      <c r="O739" s="72">
        <f>'6월'!O115</f>
        <v>1352754</v>
      </c>
      <c r="P739" s="171" t="str">
        <f>'6월'!P115</f>
        <v>IBM(6/2)</v>
      </c>
      <c r="Q739" s="181">
        <f>'6월'!Q115</f>
        <v>247246</v>
      </c>
      <c r="R739" s="68" t="str">
        <f>'6월'!R115</f>
        <v>완료(7/28)</v>
      </c>
      <c r="S739" s="5" t="str">
        <f>'6월'!S115</f>
        <v>천범석</v>
      </c>
      <c r="T739" s="11"/>
    </row>
    <row r="740" spans="1:26">
      <c r="A740" t="s">
        <v>30</v>
      </c>
      <c r="B740" s="151" t="str">
        <f>'6월'!B116</f>
        <v>SB-25026</v>
      </c>
      <c r="C740" s="153" t="str">
        <f>'6월'!C116</f>
        <v>ZUZMVP</v>
      </c>
      <c r="D740" s="17">
        <f>'6월'!D116</f>
        <v>45838</v>
      </c>
      <c r="E740" s="1" t="str">
        <f>'6월'!E116</f>
        <v>지티아이앤씨</v>
      </c>
      <c r="F740" s="2" t="str">
        <f>'6월'!F116</f>
        <v>한림성심대학교</v>
      </c>
      <c r="G740" s="2" t="str">
        <f>'6월'!G116</f>
        <v>MA</v>
      </c>
      <c r="H740" s="83" t="str">
        <f>'6월'!H116</f>
        <v>월간-레노버</v>
      </c>
      <c r="I740" s="4" t="str">
        <f>'6월'!I116</f>
        <v>HW 6월 유지정비료 4/12회</v>
      </c>
      <c r="J740" s="23">
        <f>'6월'!J116</f>
        <v>1</v>
      </c>
      <c r="K740" s="27">
        <f>'6월'!K116</f>
        <v>429500</v>
      </c>
      <c r="L740" s="26">
        <f>'6월'!L116</f>
        <v>429500</v>
      </c>
      <c r="M740" s="27">
        <f>'6월'!M116</f>
        <v>42950</v>
      </c>
      <c r="N740" s="27">
        <f>'6월'!N116</f>
        <v>472450</v>
      </c>
      <c r="O740" s="33">
        <f>'6월'!O116</f>
        <v>390300</v>
      </c>
      <c r="P740" s="197" t="str">
        <f>'6월'!P116</f>
        <v>레노버(6/30)</v>
      </c>
      <c r="Q740" s="20">
        <f>'6월'!Q116</f>
        <v>39200</v>
      </c>
      <c r="R740" s="2" t="str">
        <f>'6월'!R116</f>
        <v>완료(7/31)</v>
      </c>
      <c r="S740" s="8" t="str">
        <f>'6월'!S116</f>
        <v>천범석</v>
      </c>
      <c r="T740" s="11"/>
    </row>
    <row r="741" spans="1:26" ht="24">
      <c r="A741" t="s">
        <v>30</v>
      </c>
      <c r="B741" s="151" t="str">
        <f>'6월'!B117</f>
        <v>SL-23014</v>
      </c>
      <c r="C741" s="153" t="str">
        <f>'6월'!C117</f>
        <v>ZHUDGM</v>
      </c>
      <c r="D741" s="17">
        <f>'6월'!D117</f>
        <v>45838</v>
      </c>
      <c r="E741" s="1" t="str">
        <f>'6월'!E117</f>
        <v>케이씨비</v>
      </c>
      <c r="F741" s="2" t="str">
        <f>'6월'!F117</f>
        <v>한국항공우주산업#1</v>
      </c>
      <c r="G741" s="161" t="str">
        <f>'6월'!G117</f>
        <v>MA</v>
      </c>
      <c r="H741" s="161" t="str">
        <f>'6월'!H117</f>
        <v>분기-레노버</v>
      </c>
      <c r="I741" s="163" t="str">
        <f>'6월'!I117</f>
        <v>한국항공 RPA부문 - Lenovo HX5520 유지보수(25.4~25.6) 유지정비료 - 10/11회</v>
      </c>
      <c r="J741" s="23">
        <f>'6월'!J117</f>
        <v>1</v>
      </c>
      <c r="K741" s="27">
        <f>'6월'!K117</f>
        <v>1224000</v>
      </c>
      <c r="L741" s="26">
        <f>'6월'!L117</f>
        <v>1224000</v>
      </c>
      <c r="M741" s="27">
        <f>'6월'!M117</f>
        <v>122400</v>
      </c>
      <c r="N741" s="27">
        <f>'6월'!N117</f>
        <v>1346400</v>
      </c>
      <c r="O741" s="82">
        <f>'6월'!O117</f>
        <v>1116000</v>
      </c>
      <c r="P741" s="197" t="str">
        <f>'6월'!P117</f>
        <v>레노버(6/30)
시스나인(10/15) (2/3회)</v>
      </c>
      <c r="Q741" s="21">
        <f>'6월'!Q117</f>
        <v>108000</v>
      </c>
      <c r="R741" s="68" t="str">
        <f>'6월'!R117</f>
        <v>완료(8/29)</v>
      </c>
      <c r="S741" s="8" t="str">
        <f>'6월'!S117</f>
        <v>천범석</v>
      </c>
      <c r="T741" s="11"/>
    </row>
    <row r="742" spans="1:26" ht="24">
      <c r="A742" t="s">
        <v>30</v>
      </c>
      <c r="B742" s="151" t="str">
        <f>'6월'!B118</f>
        <v>SB-23016</v>
      </c>
      <c r="C742" s="153" t="str">
        <f>'6월'!C118</f>
        <v>ZGUKWA</v>
      </c>
      <c r="D742" s="17">
        <f>'6월'!D118</f>
        <v>45838</v>
      </c>
      <c r="E742" s="1" t="str">
        <f>'6월'!E118</f>
        <v>케이씨비</v>
      </c>
      <c r="F742" s="2" t="str">
        <f>'6월'!F118</f>
        <v>한국항공우주산업#2</v>
      </c>
      <c r="G742" s="161" t="str">
        <f>'6월'!G118</f>
        <v>MA</v>
      </c>
      <c r="H742" s="161" t="str">
        <f>'6월'!H118</f>
        <v>분기-레노버</v>
      </c>
      <c r="I742" s="163" t="str">
        <f>'6월'!I118</f>
        <v>한국항공HW유지보수-Lenovo부문 백라인계약
(25.4~25.6) 유지보수 - 7/9회</v>
      </c>
      <c r="J742" s="23">
        <f>'6월'!J118</f>
        <v>1</v>
      </c>
      <c r="K742" s="27">
        <f>'6월'!K118</f>
        <v>12434465</v>
      </c>
      <c r="L742" s="26">
        <f>'6월'!L118</f>
        <v>12434465</v>
      </c>
      <c r="M742" s="27">
        <f>'6월'!M118</f>
        <v>1243446.5</v>
      </c>
      <c r="N742" s="27">
        <f>'6월'!N118</f>
        <v>13677911.5</v>
      </c>
      <c r="O742" s="82">
        <f>'6월'!O118</f>
        <v>9942600</v>
      </c>
      <c r="P742" s="223" t="str">
        <f>'6월'!P118</f>
        <v>레노버(6/30) 8,742,600
시스나인(1/2) 2,400,000 (2/2회)</v>
      </c>
      <c r="Q742" s="21">
        <f>'6월'!Q118</f>
        <v>2491865</v>
      </c>
      <c r="R742" s="68" t="str">
        <f>'6월'!R118</f>
        <v>완료(8/29)</v>
      </c>
      <c r="S742" s="8" t="str">
        <f>'6월'!S118</f>
        <v>천범석</v>
      </c>
      <c r="T742" s="11"/>
    </row>
    <row r="743" spans="1:26">
      <c r="A743" t="s">
        <v>30</v>
      </c>
      <c r="B743" s="151" t="str">
        <f>'6월'!B119</f>
        <v>SM-25002</v>
      </c>
      <c r="C743" s="152"/>
      <c r="D743" s="17">
        <f>'6월'!D119</f>
        <v>45838</v>
      </c>
      <c r="E743" s="1" t="str">
        <f>'6월'!E119</f>
        <v>지비에쓰시스템</v>
      </c>
      <c r="F743" s="161" t="str">
        <f>'6월'!F119</f>
        <v>현대하이카손해사정</v>
      </c>
      <c r="G743" s="161" t="str">
        <f>'6월'!G119</f>
        <v>MA</v>
      </c>
      <c r="H743" s="161" t="str">
        <f>'6월'!H119</f>
        <v>분기</v>
      </c>
      <c r="I743" s="164" t="str">
        <f>'6월'!I119</f>
        <v>2025년 e-HR서버 2분기 유지보수 2/4회</v>
      </c>
      <c r="J743" s="69">
        <f>'6월'!J119</f>
        <v>1</v>
      </c>
      <c r="K743" s="29">
        <f>'6월'!K119</f>
        <v>615000</v>
      </c>
      <c r="L743" s="26">
        <f>'6월'!L119</f>
        <v>615000</v>
      </c>
      <c r="M743" s="67">
        <f>'6월'!M119</f>
        <v>61500</v>
      </c>
      <c r="N743" s="27">
        <f>'6월'!N119</f>
        <v>676500</v>
      </c>
      <c r="O743" s="248">
        <f>'6월'!O119</f>
        <v>198000</v>
      </c>
      <c r="P743" s="171" t="str">
        <f>'6월'!P119</f>
        <v>DCSS(4/30)(5/31)(6/30) 월66,000</v>
      </c>
      <c r="Q743" s="21">
        <f>'6월'!Q119</f>
        <v>417000</v>
      </c>
      <c r="R743" s="68" t="str">
        <f>'6월'!R119</f>
        <v>완료(8/29)</v>
      </c>
      <c r="S743" s="5" t="str">
        <f>'6월'!S119</f>
        <v>이예지</v>
      </c>
      <c r="T743" s="6"/>
      <c r="Z743" s="242"/>
    </row>
    <row r="744" spans="1:26">
      <c r="A744" t="s">
        <v>30</v>
      </c>
      <c r="B744" s="151" t="str">
        <f>'6월'!B120</f>
        <v>SB-25017</v>
      </c>
      <c r="C744" s="153" t="str">
        <f>'6월'!C120</f>
        <v>ZQIURA</v>
      </c>
      <c r="D744" s="17">
        <f>'6월'!D120</f>
        <v>45838</v>
      </c>
      <c r="E744" s="1" t="str">
        <f>'6월'!E120</f>
        <v>케이아이티</v>
      </c>
      <c r="F744" s="2" t="str">
        <f>'6월'!F120</f>
        <v>인천국제공항공사</v>
      </c>
      <c r="G744" s="161" t="str">
        <f>'6월'!G120</f>
        <v>MA</v>
      </c>
      <c r="H744" s="83" t="str">
        <f>'6월'!H120</f>
        <v>월간-레노버</v>
      </c>
      <c r="I744" s="4" t="str">
        <f>'6월'!I120</f>
        <v>2분기 유지정비료 - 2/4회</v>
      </c>
      <c r="J744" s="23">
        <f>'6월'!J120</f>
        <v>1</v>
      </c>
      <c r="K744" s="27">
        <f>'6월'!K120</f>
        <v>41168190</v>
      </c>
      <c r="L744" s="26">
        <f>'6월'!L120</f>
        <v>41168190</v>
      </c>
      <c r="M744" s="27">
        <f>'6월'!M120</f>
        <v>4116819</v>
      </c>
      <c r="N744" s="27">
        <f>'6월'!N120</f>
        <v>45285009</v>
      </c>
      <c r="O744" s="33">
        <f>'6월'!O120</f>
        <v>32608800</v>
      </c>
      <c r="P744" s="197" t="str">
        <f>'6월'!P120</f>
        <v>레노버 월 10,869,600 (4/30)(5/31)(6/30)</v>
      </c>
      <c r="Q744" s="20">
        <f>'6월'!Q120</f>
        <v>8559390</v>
      </c>
      <c r="R744" s="68" t="str">
        <f>'6월'!R120</f>
        <v>완료(8/6)</v>
      </c>
      <c r="S744" s="8" t="str">
        <f>'6월'!S120</f>
        <v>천범석</v>
      </c>
      <c r="T744" s="11"/>
    </row>
    <row r="745" spans="1:26">
      <c r="A745" t="s">
        <v>30</v>
      </c>
      <c r="B745" s="151" t="str">
        <f>'6월'!B121</f>
        <v>SM-25025</v>
      </c>
      <c r="C745" s="199"/>
      <c r="D745" s="17">
        <f>'6월'!D121</f>
        <v>45838</v>
      </c>
      <c r="E745" s="214" t="str">
        <f>'6월'!E121</f>
        <v>케이엠디엠</v>
      </c>
      <c r="F745" s="215" t="str">
        <f>'6월'!F121</f>
        <v>경북소방본부</v>
      </c>
      <c r="G745" s="2" t="str">
        <f>'6월'!G121</f>
        <v>MA</v>
      </c>
      <c r="H745" s="83" t="str">
        <f>'6월'!H121</f>
        <v>월간-DCSS</v>
      </c>
      <c r="I745" s="4" t="str">
        <f>'6월'!I121</f>
        <v>연간유지정비료(25.06.01~26.05.31)</v>
      </c>
      <c r="J745" s="23">
        <f>'6월'!J121</f>
        <v>1</v>
      </c>
      <c r="K745" s="27">
        <f>'6월'!K121</f>
        <v>660000</v>
      </c>
      <c r="L745" s="26">
        <f>'6월'!L121</f>
        <v>660000</v>
      </c>
      <c r="M745" s="27">
        <f>'6월'!M121</f>
        <v>66000</v>
      </c>
      <c r="N745" s="27">
        <f>'6월'!N121</f>
        <v>726000</v>
      </c>
      <c r="O745" s="33">
        <f>'6월'!O121</f>
        <v>168000</v>
      </c>
      <c r="P745" s="197" t="str">
        <f>'6월'!P121</f>
        <v>DCSS(6/30~) 월 14,000</v>
      </c>
      <c r="Q745" s="20">
        <f>'6월'!Q121</f>
        <v>492000</v>
      </c>
      <c r="R745" s="68" t="str">
        <f>'6월'!R121</f>
        <v>완료(7/31)</v>
      </c>
      <c r="S745" s="8" t="str">
        <f>'6월'!S121</f>
        <v>천범석</v>
      </c>
      <c r="T745" s="11"/>
    </row>
    <row r="746" spans="1:26" ht="24">
      <c r="A746" t="s">
        <v>30</v>
      </c>
      <c r="B746" s="151" t="str">
        <f>'6월'!B122</f>
        <v>H250618</v>
      </c>
      <c r="C746" s="199"/>
      <c r="D746" s="17">
        <f>'6월'!D122</f>
        <v>45838</v>
      </c>
      <c r="E746" s="214" t="str">
        <f>'6월'!E122</f>
        <v>퓨처젠</v>
      </c>
      <c r="F746" s="215"/>
      <c r="G746" s="2" t="str">
        <f>'6월'!G122</f>
        <v>MA</v>
      </c>
      <c r="H746" s="83" t="str">
        <f>'6월'!H122</f>
        <v>기술지원</v>
      </c>
      <c r="I746" s="4" t="str">
        <f>'6월'!I122</f>
        <v>서비스기술지원</v>
      </c>
      <c r="J746" s="23">
        <f>'6월'!J122</f>
        <v>1</v>
      </c>
      <c r="K746" s="27">
        <f>'6월'!K122</f>
        <v>7000000</v>
      </c>
      <c r="L746" s="26">
        <f>'6월'!L122</f>
        <v>7000000</v>
      </c>
      <c r="M746" s="27">
        <f>'6월'!M122</f>
        <v>700000</v>
      </c>
      <c r="N746" s="27">
        <f>'6월'!N122</f>
        <v>7700000</v>
      </c>
      <c r="O746" s="33">
        <f>'6월'!O122</f>
        <v>6666400</v>
      </c>
      <c r="P746" s="197" t="str">
        <f>'6월'!P122</f>
        <v>레노버(9/16) 1,166,400
시스나인(10/15) 5,500,000</v>
      </c>
      <c r="Q746" s="20">
        <f>'6월'!Q122</f>
        <v>333600</v>
      </c>
      <c r="R746" s="68" t="str">
        <f>'6월'!R122</f>
        <v>완료(7/31)</v>
      </c>
      <c r="S746" s="8" t="str">
        <f>'6월'!S122</f>
        <v>이예지</v>
      </c>
      <c r="T746" s="11"/>
    </row>
    <row r="747" spans="1:26">
      <c r="A747" t="s">
        <v>30</v>
      </c>
      <c r="B747" s="151" t="str">
        <f>'6월'!B123</f>
        <v>H250623-01</v>
      </c>
      <c r="C747" s="153"/>
      <c r="D747" s="17">
        <f>'6월'!D123</f>
        <v>45838</v>
      </c>
      <c r="E747" s="1" t="str">
        <f>'6월'!E123</f>
        <v>디에이치라이팅 2공장</v>
      </c>
      <c r="F747" s="2"/>
      <c r="G747" s="2" t="str">
        <f>'6월'!G123</f>
        <v>상품</v>
      </c>
      <c r="H747" s="83" t="str">
        <f>'6월'!H123</f>
        <v>HDD</v>
      </c>
      <c r="I747" s="4" t="str">
        <f>'6월'!I123</f>
        <v>SATA 1TB 6GB 7.2K 3.5인치 for R530</v>
      </c>
      <c r="J747" s="23">
        <f>'6월'!J123</f>
        <v>1</v>
      </c>
      <c r="K747" s="27">
        <f>'6월'!K123</f>
        <v>200000</v>
      </c>
      <c r="L747" s="26">
        <f>'6월'!L123</f>
        <v>980000</v>
      </c>
      <c r="M747" s="27">
        <f>'6월'!M123</f>
        <v>98000</v>
      </c>
      <c r="N747" s="27">
        <f>'6월'!N123</f>
        <v>1078000</v>
      </c>
      <c r="O747" s="33">
        <f>'6월'!O123</f>
        <v>690000</v>
      </c>
      <c r="P747" s="197" t="str">
        <f>'6월'!P123</f>
        <v>이비웨이브(6/23) 150,000</v>
      </c>
      <c r="Q747" s="20">
        <f>'6월'!Q123</f>
        <v>290000</v>
      </c>
      <c r="R747" s="68" t="str">
        <f>'6월'!R123</f>
        <v>완료(7/31)</v>
      </c>
      <c r="S747" s="8" t="str">
        <f>'6월'!S123</f>
        <v>천범석</v>
      </c>
      <c r="T747" s="11"/>
    </row>
    <row r="748" spans="1:26">
      <c r="A748" t="s">
        <v>30</v>
      </c>
      <c r="B748" s="151" t="str">
        <f>'6월'!B124</f>
        <v>H250623-02</v>
      </c>
      <c r="C748" s="155"/>
      <c r="D748" s="43"/>
      <c r="E748" s="44" t="str">
        <f>'6월'!E124</f>
        <v>디에이치라이팅 2공장</v>
      </c>
      <c r="F748" s="41"/>
      <c r="G748" s="2" t="str">
        <f>'6월'!G124</f>
        <v>상품</v>
      </c>
      <c r="H748" s="83" t="str">
        <f>'6월'!H124</f>
        <v>42D0678</v>
      </c>
      <c r="I748" s="4" t="str">
        <f>'6월'!I124</f>
        <v>IBM 146GB 6Gb/s SAS</v>
      </c>
      <c r="J748" s="23">
        <f>'6월'!J124</f>
        <v>1</v>
      </c>
      <c r="K748" s="27">
        <f>'6월'!K124</f>
        <v>150000</v>
      </c>
      <c r="L748" s="37"/>
      <c r="M748" s="38"/>
      <c r="N748" s="38"/>
      <c r="O748" s="39"/>
      <c r="P748" s="197" t="str">
        <f>'6월'!P124</f>
        <v>이비웨이브(6/23) 100,000</v>
      </c>
      <c r="Q748" s="40"/>
      <c r="R748" s="41"/>
      <c r="S748" s="42"/>
      <c r="T748" s="11"/>
    </row>
    <row r="749" spans="1:26">
      <c r="A749" t="s">
        <v>30</v>
      </c>
      <c r="B749" s="151" t="str">
        <f>'6월'!B125</f>
        <v>H250623-03</v>
      </c>
      <c r="C749" s="155"/>
      <c r="D749" s="43"/>
      <c r="E749" s="44" t="str">
        <f>'6월'!E125</f>
        <v>디에이치라이팅 2공장</v>
      </c>
      <c r="F749" s="41"/>
      <c r="G749" s="2" t="str">
        <f>'6월'!G125</f>
        <v>상품</v>
      </c>
      <c r="H749" s="83" t="str">
        <f>'6월'!H125</f>
        <v>90Y8573</v>
      </c>
      <c r="I749" s="4" t="str">
        <f>'6월'!I125</f>
        <v>IBM 2TB 6Gb/s SAS</v>
      </c>
      <c r="J749" s="23">
        <f>'6월'!J125</f>
        <v>1</v>
      </c>
      <c r="K749" s="27">
        <f>'6월'!K125</f>
        <v>250000</v>
      </c>
      <c r="L749" s="37"/>
      <c r="M749" s="38"/>
      <c r="N749" s="38"/>
      <c r="O749" s="39"/>
      <c r="P749" s="197" t="str">
        <f>'6월'!P125</f>
        <v>이비웨이브(6/23) 200,000</v>
      </c>
      <c r="Q749" s="40"/>
      <c r="R749" s="41"/>
      <c r="S749" s="42"/>
      <c r="T749" s="11"/>
    </row>
    <row r="750" spans="1:26">
      <c r="A750" t="s">
        <v>30</v>
      </c>
      <c r="B750" s="151" t="str">
        <f>'6월'!B126</f>
        <v>H250623-04</v>
      </c>
      <c r="C750" s="155"/>
      <c r="D750" s="43"/>
      <c r="E750" s="44" t="str">
        <f>'6월'!E126</f>
        <v>디에이치라이팅 2공장</v>
      </c>
      <c r="F750" s="41"/>
      <c r="G750" s="2" t="str">
        <f>'6월'!G126</f>
        <v>상품</v>
      </c>
      <c r="H750" s="83" t="str">
        <f>'6월'!H126</f>
        <v>81Y9691</v>
      </c>
      <c r="I750" s="4" t="str">
        <f>'6월'!I126</f>
        <v>IBM 1TB 6Gb/s SAS</v>
      </c>
      <c r="J750" s="23">
        <f>'6월'!J126</f>
        <v>1</v>
      </c>
      <c r="K750" s="27">
        <f>'6월'!K126</f>
        <v>190000</v>
      </c>
      <c r="L750" s="37"/>
      <c r="M750" s="38"/>
      <c r="N750" s="38"/>
      <c r="O750" s="39"/>
      <c r="P750" s="197" t="str">
        <f>'6월'!P126</f>
        <v>이비웨이브(6/23) 120,000</v>
      </c>
      <c r="Q750" s="40"/>
      <c r="R750" s="41"/>
      <c r="S750" s="42"/>
      <c r="T750" s="11"/>
    </row>
    <row r="751" spans="1:26">
      <c r="A751" t="s">
        <v>30</v>
      </c>
      <c r="B751" s="151" t="str">
        <f>'6월'!B127</f>
        <v>H250623-05</v>
      </c>
      <c r="C751" s="155"/>
      <c r="D751" s="43"/>
      <c r="E751" s="44" t="str">
        <f>'6월'!E127</f>
        <v>디에이치라이팅 2공장</v>
      </c>
      <c r="F751" s="41"/>
      <c r="G751" s="2" t="str">
        <f>'6월'!G127</f>
        <v>상품</v>
      </c>
      <c r="H751" s="83" t="str">
        <f>'6월'!H127</f>
        <v>42D0708</v>
      </c>
      <c r="I751" s="4" t="str">
        <f>'6월'!I127</f>
        <v>IBM 500GB 6Gb/s SAS</v>
      </c>
      <c r="J751" s="23">
        <f>'6월'!J127</f>
        <v>1</v>
      </c>
      <c r="K751" s="27">
        <f>'6월'!K127</f>
        <v>190000</v>
      </c>
      <c r="L751" s="37"/>
      <c r="M751" s="38"/>
      <c r="N751" s="38"/>
      <c r="O751" s="39"/>
      <c r="P751" s="197" t="str">
        <f>'6월'!P127</f>
        <v>이비웨이브(6/23) 120,000</v>
      </c>
      <c r="Q751" s="40"/>
      <c r="R751" s="41"/>
      <c r="S751" s="42"/>
      <c r="T751" s="11"/>
    </row>
    <row r="752" spans="1:26">
      <c r="A752" t="s">
        <v>30</v>
      </c>
      <c r="B752" s="151" t="str">
        <f>'6월'!B128</f>
        <v>H250610-01</v>
      </c>
      <c r="C752" s="153"/>
      <c r="D752" s="17">
        <f>'6월'!D128</f>
        <v>45838</v>
      </c>
      <c r="E752" s="1" t="str">
        <f>'6월'!E128</f>
        <v>엠씨앤파트너</v>
      </c>
      <c r="F752" s="2"/>
      <c r="G752" s="2" t="str">
        <f>'6월'!G128</f>
        <v>상품</v>
      </c>
      <c r="H752" s="83" t="str">
        <f>'6월'!H128</f>
        <v>HDD</v>
      </c>
      <c r="I752" s="4" t="str">
        <f>'6월'!I128</f>
        <v>IBM 300GB 15K RPM 2.5" SAS 6Gbps SFF HDD</v>
      </c>
      <c r="J752" s="23">
        <f>'6월'!J128</f>
        <v>3</v>
      </c>
      <c r="K752" s="27">
        <f>'6월'!K128</f>
        <v>200000</v>
      </c>
      <c r="L752" s="26">
        <f>'6월'!L128</f>
        <v>600000</v>
      </c>
      <c r="M752" s="27">
        <f>'6월'!M128</f>
        <v>60000</v>
      </c>
      <c r="N752" s="27">
        <f>'6월'!N128</f>
        <v>660000</v>
      </c>
      <c r="O752" s="33">
        <f>'6월'!O128</f>
        <v>450000</v>
      </c>
      <c r="P752" s="197" t="str">
        <f>'6월'!P128</f>
        <v>에스엔에이(6/10)</v>
      </c>
      <c r="Q752" s="20">
        <f>'6월'!Q128</f>
        <v>150000</v>
      </c>
      <c r="R752" s="68" t="str">
        <f>'6월'!R128</f>
        <v>완료(7/31)</v>
      </c>
      <c r="S752" s="8" t="str">
        <f>'6월'!S128</f>
        <v>천범석</v>
      </c>
      <c r="T752" s="11"/>
    </row>
    <row r="753" spans="1:21">
      <c r="A753" t="s">
        <v>30</v>
      </c>
      <c r="B753" s="151" t="str">
        <f>'6월'!B129</f>
        <v>H250619-01</v>
      </c>
      <c r="C753" s="153"/>
      <c r="D753" s="17">
        <f>'6월'!D129</f>
        <v>45838</v>
      </c>
      <c r="E753" s="1" t="str">
        <f>'6월'!E129</f>
        <v>엠씨앤파트너</v>
      </c>
      <c r="F753" s="2"/>
      <c r="G753" s="2" t="str">
        <f>'6월'!G129</f>
        <v>상품</v>
      </c>
      <c r="H753" s="83" t="str">
        <f>'6월'!H129</f>
        <v>00E0806</v>
      </c>
      <c r="I753" s="4" t="str">
        <f>'6월'!I129</f>
        <v>8Gb 2Port PCI-E 4X Fiber Channel Adapter(Emulex)</v>
      </c>
      <c r="J753" s="23">
        <f>'6월'!J129</f>
        <v>1</v>
      </c>
      <c r="K753" s="27">
        <f>'6월'!K129</f>
        <v>100000</v>
      </c>
      <c r="L753" s="26">
        <f>'6월'!L129</f>
        <v>100000</v>
      </c>
      <c r="M753" s="27">
        <f>'6월'!M129</f>
        <v>10000</v>
      </c>
      <c r="N753" s="27">
        <f>'6월'!N129</f>
        <v>110000</v>
      </c>
      <c r="O753" s="33">
        <f>'6월'!O129</f>
        <v>60000</v>
      </c>
      <c r="P753" s="197" t="str">
        <f>'6월'!P129</f>
        <v>이비웨이브(6/20)</v>
      </c>
      <c r="Q753" s="20">
        <f>'6월'!Q129</f>
        <v>40000</v>
      </c>
      <c r="R753" s="68" t="str">
        <f>'6월'!R129</f>
        <v>완료(7/31)</v>
      </c>
      <c r="S753" s="8" t="str">
        <f>'6월'!S129</f>
        <v>천범석</v>
      </c>
      <c r="T753" s="11"/>
    </row>
    <row r="754" spans="1:21">
      <c r="A754" t="s">
        <v>30</v>
      </c>
      <c r="B754" s="151" t="str">
        <f>'6월'!B130</f>
        <v>H250618-02</v>
      </c>
      <c r="C754" s="153"/>
      <c r="D754" s="17">
        <f>'6월'!D130</f>
        <v>45838</v>
      </c>
      <c r="E754" s="1" t="str">
        <f>'6월'!E130</f>
        <v>인피니테크</v>
      </c>
      <c r="F754" s="2"/>
      <c r="G754" s="2" t="str">
        <f>'6월'!G130</f>
        <v>상품</v>
      </c>
      <c r="H754" s="83" t="str">
        <f>'6월'!H130</f>
        <v>00W2671</v>
      </c>
      <c r="I754" s="4" t="str">
        <f>'6월'!I130</f>
        <v xml:space="preserve">System Board for X3650M4 </v>
      </c>
      <c r="J754" s="23">
        <f>'6월'!J130</f>
        <v>1</v>
      </c>
      <c r="K754" s="27">
        <f>'6월'!K130</f>
        <v>350000</v>
      </c>
      <c r="L754" s="26">
        <f>'6월'!L130</f>
        <v>350000</v>
      </c>
      <c r="M754" s="27">
        <f>'6월'!M130</f>
        <v>35000</v>
      </c>
      <c r="N754" s="27">
        <f>'6월'!N130</f>
        <v>385000</v>
      </c>
      <c r="O754" s="33">
        <f>'6월'!O130</f>
        <v>250000</v>
      </c>
      <c r="P754" s="197" t="str">
        <f>'6월'!P130</f>
        <v>이비웨이브(6/18)</v>
      </c>
      <c r="Q754" s="20">
        <f>'6월'!Q130</f>
        <v>100000</v>
      </c>
      <c r="R754" s="68" t="str">
        <f>'6월'!R130</f>
        <v>완료(6/30)</v>
      </c>
      <c r="S754" s="8" t="str">
        <f>'6월'!S130</f>
        <v>천범석</v>
      </c>
      <c r="T754" s="11"/>
    </row>
    <row r="755" spans="1:21" ht="24">
      <c r="A755" t="s">
        <v>30</v>
      </c>
      <c r="B755" s="151" t="str">
        <f>'6월'!B131</f>
        <v>H250527-01</v>
      </c>
      <c r="C755" s="153"/>
      <c r="D755" s="17">
        <f>'6월'!D131</f>
        <v>45838</v>
      </c>
      <c r="E755" s="1" t="str">
        <f>'6월'!E131</f>
        <v>티에스씨인포</v>
      </c>
      <c r="F755" s="2"/>
      <c r="G755" s="2" t="str">
        <f>'6월'!G131</f>
        <v>상품</v>
      </c>
      <c r="H755" s="83" t="str">
        <f>'6월'!H131</f>
        <v>43W9720</v>
      </c>
      <c r="I755" s="4" t="str">
        <f>'6월'!I131</f>
        <v>IBM 750GB 7.2K SATA II E-DDM HDD</v>
      </c>
      <c r="J755" s="23">
        <f>'6월'!J131</f>
        <v>1</v>
      </c>
      <c r="K755" s="27">
        <f>'6월'!K131</f>
        <v>300000</v>
      </c>
      <c r="L755" s="26">
        <f>'6월'!L131</f>
        <v>1010000</v>
      </c>
      <c r="M755" s="27">
        <f>'6월'!M131</f>
        <v>101000</v>
      </c>
      <c r="N755" s="27">
        <f>'6월'!N131</f>
        <v>1111000</v>
      </c>
      <c r="O755" s="33">
        <f>'6월'!O131</f>
        <v>828800</v>
      </c>
      <c r="P755" s="197" t="str">
        <f>'6월'!P131</f>
        <v>이비웨이브(5/27) 250,000 로젠택배(6/30) 3,800</v>
      </c>
      <c r="Q755" s="20">
        <f>'6월'!Q131</f>
        <v>181200</v>
      </c>
      <c r="R755" s="68" t="str">
        <f>'6월'!R131</f>
        <v>완료(7/21)</v>
      </c>
      <c r="S755" s="8" t="str">
        <f>'6월'!S131</f>
        <v>천범석</v>
      </c>
      <c r="T755" s="11"/>
    </row>
    <row r="756" spans="1:21">
      <c r="A756" t="s">
        <v>30</v>
      </c>
      <c r="B756" s="151" t="str">
        <f>'6월'!B132</f>
        <v>H250528-03</v>
      </c>
      <c r="C756" s="155"/>
      <c r="D756" s="43"/>
      <c r="E756" s="44" t="str">
        <f>'6월'!E132</f>
        <v>티에스씨인포</v>
      </c>
      <c r="F756" s="41"/>
      <c r="G756" s="2" t="str">
        <f>'6월'!G132</f>
        <v>상품</v>
      </c>
      <c r="H756" s="83" t="str">
        <f>'6월'!H132</f>
        <v>622217-001</v>
      </c>
      <c r="I756" s="4" t="str">
        <f>'6월'!I132</f>
        <v>SYSTEM BOARD for DL380PG8</v>
      </c>
      <c r="J756" s="23">
        <f>'6월'!J132</f>
        <v>1</v>
      </c>
      <c r="K756" s="27">
        <f>'6월'!K132</f>
        <v>300000</v>
      </c>
      <c r="L756" s="37"/>
      <c r="M756" s="38"/>
      <c r="N756" s="38"/>
      <c r="O756" s="39"/>
      <c r="P756" s="197" t="str">
        <f>'6월'!P132</f>
        <v>이비웨이브(5/28) 220,000</v>
      </c>
      <c r="Q756" s="40"/>
      <c r="R756" s="41"/>
      <c r="S756" s="42"/>
      <c r="T756" s="11"/>
    </row>
    <row r="757" spans="1:21">
      <c r="A757" t="s">
        <v>30</v>
      </c>
      <c r="B757" s="151" t="str">
        <f>'6월'!B133</f>
        <v>H250609-02</v>
      </c>
      <c r="C757" s="155"/>
      <c r="D757" s="43"/>
      <c r="E757" s="44" t="str">
        <f>'6월'!E133</f>
        <v>티에스씨인포</v>
      </c>
      <c r="F757" s="41"/>
      <c r="G757" s="2" t="str">
        <f>'6월'!G133</f>
        <v>상품</v>
      </c>
      <c r="H757" s="83" t="str">
        <f>'6월'!H133</f>
        <v>870792-001</v>
      </c>
      <c r="I757" s="4" t="str">
        <f>'6월'!I133</f>
        <v>HP 300GB SAS 12G 15K SFF HDD for G8-G10</v>
      </c>
      <c r="J757" s="23">
        <f>'6월'!J133</f>
        <v>1</v>
      </c>
      <c r="K757" s="27">
        <f>'6월'!K133</f>
        <v>170000</v>
      </c>
      <c r="L757" s="37"/>
      <c r="M757" s="38"/>
      <c r="N757" s="38"/>
      <c r="O757" s="39"/>
      <c r="P757" s="197" t="str">
        <f>'6월'!P133</f>
        <v>이비웨이브(6/9) 130,000</v>
      </c>
      <c r="Q757" s="40"/>
      <c r="R757" s="41"/>
      <c r="S757" s="42"/>
      <c r="T757" s="11"/>
    </row>
    <row r="758" spans="1:21" ht="24">
      <c r="A758" t="s">
        <v>30</v>
      </c>
      <c r="B758" s="151" t="str">
        <f>'6월'!B134</f>
        <v>H250626-01</v>
      </c>
      <c r="C758" s="155"/>
      <c r="D758" s="43"/>
      <c r="E758" s="44" t="str">
        <f>'6월'!E134</f>
        <v>티에스씨인포</v>
      </c>
      <c r="F758" s="41"/>
      <c r="G758" s="2" t="str">
        <f>'6월'!G134</f>
        <v>상품</v>
      </c>
      <c r="H758" s="83" t="str">
        <f>'6월'!H134</f>
        <v>01DE973</v>
      </c>
      <c r="I758" s="4" t="str">
        <f>'6월'!I134</f>
        <v>ThinkSystem 16GB TruDDR4 DDR4-2666MHzz (2Rx8 1.2V) RDIMM</v>
      </c>
      <c r="J758" s="23">
        <f>'6월'!J134</f>
        <v>2</v>
      </c>
      <c r="K758" s="27">
        <f>'6월'!K134</f>
        <v>120000</v>
      </c>
      <c r="L758" s="37"/>
      <c r="M758" s="38"/>
      <c r="N758" s="38"/>
      <c r="O758" s="39"/>
      <c r="P758" s="197" t="str">
        <f>'6월'!P134</f>
        <v>이비웨이브(6/26) 200,000 우림퀵(6/30) 25,000</v>
      </c>
      <c r="Q758" s="40"/>
      <c r="R758" s="41"/>
      <c r="S758" s="42"/>
      <c r="T758" s="11"/>
    </row>
    <row r="759" spans="1:21" ht="24">
      <c r="A759" t="s">
        <v>30</v>
      </c>
      <c r="B759" s="151" t="str">
        <f>'6월'!B135</f>
        <v>H250612-01</v>
      </c>
      <c r="C759" s="153"/>
      <c r="D759" s="17">
        <f>'6월'!D135</f>
        <v>45838</v>
      </c>
      <c r="E759" s="1" t="str">
        <f>'6월'!E135</f>
        <v>케이엠디엠</v>
      </c>
      <c r="F759" s="2"/>
      <c r="G759" s="2" t="str">
        <f>'6월'!G135</f>
        <v>상품</v>
      </c>
      <c r="H759" s="83" t="str">
        <f>'6월'!H135</f>
        <v>RWR8F</v>
      </c>
      <c r="I759" s="4" t="str">
        <f>'6월'!I135</f>
        <v>DELL 2.4TB SFF SAS 10K 12G HDD For G14,15 (USED)</v>
      </c>
      <c r="J759" s="23">
        <f>'6월'!J135</f>
        <v>6</v>
      </c>
      <c r="K759" s="27">
        <f>'6월'!K135</f>
        <v>320000</v>
      </c>
      <c r="L759" s="26">
        <f>'6월'!L135</f>
        <v>7890000</v>
      </c>
      <c r="M759" s="27">
        <f>'6월'!M135</f>
        <v>789000</v>
      </c>
      <c r="N759" s="27">
        <f>'6월'!N135</f>
        <v>8679000</v>
      </c>
      <c r="O759" s="132">
        <f>'6월'!O135</f>
        <v>6956527</v>
      </c>
      <c r="P759" s="197" t="str">
        <f>'6월'!P135</f>
        <v>위퍼스트(6/13) 6*240,000 로젠택배(5/31) 3,800</v>
      </c>
      <c r="Q759" s="20">
        <f>'6월'!Q135</f>
        <v>933473</v>
      </c>
      <c r="R759" s="68" t="str">
        <f>'6월'!R135</f>
        <v>완료(8/28)</v>
      </c>
      <c r="S759" s="8" t="str">
        <f>'6월'!S135</f>
        <v>천범석</v>
      </c>
      <c r="T759" s="11"/>
    </row>
    <row r="760" spans="1:21">
      <c r="A760" t="s">
        <v>30</v>
      </c>
      <c r="B760" s="151" t="str">
        <f>'6월'!B136</f>
        <v>H250612-02</v>
      </c>
      <c r="C760" s="155"/>
      <c r="D760" s="43"/>
      <c r="E760" s="44" t="str">
        <f>'6월'!E136</f>
        <v>케이엠디엠</v>
      </c>
      <c r="F760" s="41"/>
      <c r="G760" s="2" t="str">
        <f>'6월'!G136</f>
        <v>상품</v>
      </c>
      <c r="H760" s="83" t="str">
        <f>'6월'!H136</f>
        <v>OS</v>
      </c>
      <c r="I760" s="4" t="str">
        <f>'6월'!I136</f>
        <v>Windows Server 2025 Standard COEM -16core</v>
      </c>
      <c r="J760" s="23">
        <f>'6월'!J136</f>
        <v>2</v>
      </c>
      <c r="K760" s="27">
        <f>'6월'!K136</f>
        <v>1350000</v>
      </c>
      <c r="L760" s="37"/>
      <c r="M760" s="38"/>
      <c r="N760" s="38"/>
      <c r="O760" s="39"/>
      <c r="P760" s="197" t="str">
        <f>'6월'!P136</f>
        <v>21세기소프트(6/18) 2*1,300,000</v>
      </c>
      <c r="Q760" s="40"/>
      <c r="R760" s="41"/>
      <c r="S760" s="42"/>
      <c r="T760" s="11"/>
    </row>
    <row r="761" spans="1:21">
      <c r="A761" t="s">
        <v>30</v>
      </c>
      <c r="B761" s="151" t="str">
        <f>'6월'!B137</f>
        <v>H250612-03</v>
      </c>
      <c r="C761" s="155"/>
      <c r="D761" s="43"/>
      <c r="E761" s="44" t="str">
        <f>'6월'!E137</f>
        <v>케이엠디엠</v>
      </c>
      <c r="F761" s="41"/>
      <c r="G761" s="2" t="str">
        <f>'6월'!G137</f>
        <v>상품</v>
      </c>
      <c r="H761" s="83" t="str">
        <f>'6월'!H137</f>
        <v>CAL</v>
      </c>
      <c r="I761" s="4" t="str">
        <f>'6월'!I137</f>
        <v>Windows Server 2025 5USER CAL</v>
      </c>
      <c r="J761" s="23">
        <f>'6월'!J137</f>
        <v>1</v>
      </c>
      <c r="K761" s="27">
        <f>'6월'!K137</f>
        <v>370000</v>
      </c>
      <c r="L761" s="37"/>
      <c r="M761" s="38"/>
      <c r="N761" s="38"/>
      <c r="O761" s="39"/>
      <c r="P761" s="197" t="str">
        <f>'6월'!P137</f>
        <v>21세기소프트(6/18) 350,000</v>
      </c>
      <c r="Q761" s="40"/>
      <c r="R761" s="41"/>
      <c r="S761" s="42"/>
      <c r="T761" s="11"/>
    </row>
    <row r="762" spans="1:21" ht="24">
      <c r="A762" t="s">
        <v>30</v>
      </c>
      <c r="B762" s="151" t="str">
        <f>'6월'!B138</f>
        <v>H250612-04</v>
      </c>
      <c r="C762" s="155"/>
      <c r="D762" s="43"/>
      <c r="E762" s="44" t="str">
        <f>'6월'!E138</f>
        <v>케이엠디엠</v>
      </c>
      <c r="F762" s="41"/>
      <c r="G762" s="2" t="str">
        <f>'6월'!G138</f>
        <v>상품</v>
      </c>
      <c r="H762" s="83" t="str">
        <f>'6월'!H138</f>
        <v>MRYN3KH/A</v>
      </c>
      <c r="I762" s="4" t="str">
        <f>'6월'!I138</f>
        <v>2024 맥북에어 15 M3 (8C CPU 10C GPU)/8GB/512GB 스페이스 그레이</v>
      </c>
      <c r="J762" s="23">
        <f>'6월'!J138</f>
        <v>1</v>
      </c>
      <c r="K762" s="27">
        <f>'6월'!K138</f>
        <v>1800000</v>
      </c>
      <c r="L762" s="37"/>
      <c r="M762" s="38"/>
      <c r="N762" s="38"/>
      <c r="O762" s="39"/>
      <c r="P762" s="197" t="str">
        <f>'6월'!P138</f>
        <v>컴퓨존(6/12) 1,562,727</v>
      </c>
      <c r="Q762" s="40"/>
      <c r="R762" s="41"/>
      <c r="S762" s="42"/>
      <c r="T762" s="11"/>
    </row>
    <row r="763" spans="1:21" ht="24">
      <c r="B763" s="151" t="str">
        <f>'6월'!B139</f>
        <v>H250612-05</v>
      </c>
      <c r="C763" s="155"/>
      <c r="D763" s="43"/>
      <c r="E763" s="44" t="str">
        <f>'6월'!E139</f>
        <v>케이엠디엠</v>
      </c>
      <c r="F763" s="41"/>
      <c r="G763" s="2" t="str">
        <f>'6월'!G139</f>
        <v>상품</v>
      </c>
      <c r="H763" s="83" t="str">
        <f>'6월'!H139</f>
        <v>RAID</v>
      </c>
      <c r="I763" s="4" t="str">
        <f>'6월'!I139</f>
        <v>Dell R750 PERC H755 12Gb/s PCI-E 4.0 X8 SAS Front Mounting Raid Controller with 8GB NV Cache</v>
      </c>
      <c r="J763" s="23">
        <f>'6월'!J139</f>
        <v>1</v>
      </c>
      <c r="K763" s="27">
        <f>'6월'!K139</f>
        <v>1100000</v>
      </c>
      <c r="L763" s="37"/>
      <c r="M763" s="38"/>
      <c r="N763" s="38"/>
      <c r="O763" s="39"/>
      <c r="P763" s="197" t="str">
        <f>'6월'!P139</f>
        <v>요다정보기술(6/30) 1,000,000</v>
      </c>
      <c r="Q763" s="40"/>
      <c r="R763" s="41"/>
      <c r="S763" s="42"/>
      <c r="T763" s="11"/>
    </row>
    <row r="764" spans="1:21">
      <c r="A764" t="s">
        <v>30</v>
      </c>
      <c r="B764" s="151" t="str">
        <f>'6월'!B140</f>
        <v>H250625-04</v>
      </c>
      <c r="C764" s="153"/>
      <c r="D764" s="17">
        <f>'6월'!D140</f>
        <v>45838</v>
      </c>
      <c r="E764" s="1" t="str">
        <f>'6월'!E140</f>
        <v>우리에스아이티</v>
      </c>
      <c r="F764" s="2"/>
      <c r="G764" s="2" t="str">
        <f>'6월'!G140</f>
        <v>상품</v>
      </c>
      <c r="H764" s="83" t="str">
        <f>'6월'!H140</f>
        <v>00YK012</v>
      </c>
      <c r="I764" s="4" t="str">
        <f>'6월'!I140</f>
        <v>900GB 15K 12G SAS 2.5inch Hard Drive</v>
      </c>
      <c r="J764" s="23">
        <f>'6월'!J140</f>
        <v>1</v>
      </c>
      <c r="K764" s="27">
        <f>'6월'!K140</f>
        <v>460000</v>
      </c>
      <c r="L764" s="26">
        <f>'6월'!L140</f>
        <v>460000</v>
      </c>
      <c r="M764" s="27">
        <f>'6월'!M140</f>
        <v>46000</v>
      </c>
      <c r="N764" s="27">
        <f>'6월'!N140</f>
        <v>506000</v>
      </c>
      <c r="O764" s="33">
        <f>'6월'!O140</f>
        <v>400000</v>
      </c>
      <c r="P764" s="197" t="str">
        <f>'6월'!P140</f>
        <v>이비웨이브(6/25)</v>
      </c>
      <c r="Q764" s="20">
        <f>'6월'!Q140</f>
        <v>60000</v>
      </c>
      <c r="R764" s="68" t="str">
        <f>'6월'!R140</f>
        <v>완료(7/31)</v>
      </c>
      <c r="S764" s="8" t="str">
        <f>'6월'!S140</f>
        <v>천범석</v>
      </c>
      <c r="T764" s="11"/>
    </row>
    <row r="765" spans="1:21" ht="24">
      <c r="A765" t="s">
        <v>30</v>
      </c>
      <c r="B765" s="151" t="str">
        <f>'6월'!B141</f>
        <v>D250624-01</v>
      </c>
      <c r="C765" s="153"/>
      <c r="D765" s="17">
        <f>'6월'!D141</f>
        <v>45838</v>
      </c>
      <c r="E765" s="1" t="str">
        <f>'6월'!E141</f>
        <v>고영</v>
      </c>
      <c r="F765" s="2"/>
      <c r="G765" s="2" t="str">
        <f>'6월'!G141</f>
        <v>상품</v>
      </c>
      <c r="H765" s="83" t="str">
        <f>'6월'!H141</f>
        <v>NVIDIA</v>
      </c>
      <c r="I765" s="4" t="str">
        <f>'6월'!I141</f>
        <v>RTX 4000 Ada Generation 20GB</v>
      </c>
      <c r="J765" s="23">
        <f>'6월'!J141</f>
        <v>1</v>
      </c>
      <c r="K765" s="27">
        <f>'6월'!K141</f>
        <v>2100000</v>
      </c>
      <c r="L765" s="26">
        <f>'6월'!L141</f>
        <v>2100000</v>
      </c>
      <c r="M765" s="27">
        <f>'6월'!M141</f>
        <v>210000</v>
      </c>
      <c r="N765" s="27">
        <f>'6월'!N141</f>
        <v>2310000</v>
      </c>
      <c r="O765" s="33">
        <f>'6월'!O141</f>
        <v>1973800</v>
      </c>
      <c r="P765" s="197" t="str">
        <f>'6월'!P141</f>
        <v>리더스시스템즈(6/25) 로젠택배(6/30) 3,800</v>
      </c>
      <c r="Q765" s="20">
        <f>'6월'!Q141</f>
        <v>126200</v>
      </c>
      <c r="R765" s="68" t="str">
        <f>'6월'!R141</f>
        <v>완료(7/23)</v>
      </c>
      <c r="S765" s="8" t="str">
        <f>'6월'!S141</f>
        <v>이지훈</v>
      </c>
      <c r="T765" s="11"/>
      <c r="U765" s="121">
        <f>Q765/L765</f>
        <v>6.0095238095238097E-2</v>
      </c>
    </row>
    <row r="766" spans="1:21" ht="24">
      <c r="A766" t="s">
        <v>30</v>
      </c>
      <c r="B766" s="198" t="str">
        <f>'6월'!B142</f>
        <v>SM-25029</v>
      </c>
      <c r="C766" s="153"/>
      <c r="D766" s="17">
        <f>'6월'!D142</f>
        <v>45838</v>
      </c>
      <c r="E766" s="1" t="str">
        <f>'6월'!E142</f>
        <v>에이제이아이씨티</v>
      </c>
      <c r="F766" s="2" t="str">
        <f>'6월'!F142</f>
        <v>SK UPP(울산시 남항)</v>
      </c>
      <c r="G766" s="2" t="str">
        <f>'6월'!G142</f>
        <v>MA</v>
      </c>
      <c r="H766" s="83" t="str">
        <f>'6월'!H142</f>
        <v>월간-DCSS</v>
      </c>
      <c r="I766" s="4" t="str">
        <f>'6월'!I142</f>
        <v>6월 유지정비료 -1/19회</v>
      </c>
      <c r="J766" s="23">
        <f>'6월'!J142</f>
        <v>1</v>
      </c>
      <c r="K766" s="27">
        <f>'6월'!K142</f>
        <v>1440000</v>
      </c>
      <c r="L766" s="26">
        <f>'6월'!L142</f>
        <v>1440000</v>
      </c>
      <c r="M766" s="27">
        <f>'6월'!M142</f>
        <v>144000</v>
      </c>
      <c r="N766" s="27">
        <f>'6월'!N142</f>
        <v>1584000</v>
      </c>
      <c r="O766" s="132">
        <f>'6월'!O142</f>
        <v>1247000</v>
      </c>
      <c r="P766" s="173" t="str">
        <f>'6월'!P142</f>
        <v>DCSS(7/25) 997,000
시스나인(11/3) 25년분 1,750,000(1/7회)</v>
      </c>
      <c r="Q766" s="20">
        <f>'6월'!Q142</f>
        <v>193000</v>
      </c>
      <c r="R766" s="266" t="str">
        <f>'6월'!R142</f>
        <v>완료(8/29)</v>
      </c>
      <c r="S766" s="8" t="str">
        <f>'6월'!S142</f>
        <v>이예지</v>
      </c>
      <c r="T766" s="11"/>
    </row>
    <row r="767" spans="1:21">
      <c r="A767" t="s">
        <v>30</v>
      </c>
      <c r="B767" s="151" t="str">
        <f>'6월'!B143</f>
        <v>H250625-01</v>
      </c>
      <c r="C767" s="153"/>
      <c r="D767" s="17">
        <f>'6월'!D143</f>
        <v>45838</v>
      </c>
      <c r="E767" s="1" t="str">
        <f>'6월'!E143</f>
        <v>더블포인트</v>
      </c>
      <c r="F767" s="2"/>
      <c r="G767" s="2" t="str">
        <f>'6월'!G143</f>
        <v>상품</v>
      </c>
      <c r="H767" s="83" t="str">
        <f>'6월'!H143</f>
        <v>CABLE</v>
      </c>
      <c r="I767" s="4" t="str">
        <f>'6월'!I143</f>
        <v>CAT.6 UTP LAN CABLE 5M 그레이</v>
      </c>
      <c r="J767" s="23">
        <f>'6월'!J143</f>
        <v>3</v>
      </c>
      <c r="K767" s="27">
        <f>'6월'!K143</f>
        <v>7000</v>
      </c>
      <c r="L767" s="26">
        <f>'6월'!L143</f>
        <v>171000</v>
      </c>
      <c r="M767" s="27">
        <f>'6월'!M143</f>
        <v>17100</v>
      </c>
      <c r="N767" s="27">
        <f>'6월'!N143</f>
        <v>188100</v>
      </c>
      <c r="O767" s="33">
        <f>'6월'!O143</f>
        <v>145963</v>
      </c>
      <c r="P767" s="197" t="str">
        <f>'6월'!P143</f>
        <v>컴퓨존(6/23) 17,981 우림퀵(6/30) 45,000</v>
      </c>
      <c r="Q767" s="20">
        <f>'6월'!Q143</f>
        <v>25037</v>
      </c>
      <c r="R767" s="2" t="str">
        <f>'6월'!R143</f>
        <v>완료(8/11)</v>
      </c>
      <c r="S767" s="8" t="str">
        <f>'6월'!S143</f>
        <v>천범석</v>
      </c>
      <c r="T767" s="11"/>
    </row>
    <row r="768" spans="1:21">
      <c r="A768" t="s">
        <v>30</v>
      </c>
      <c r="B768" s="151" t="str">
        <f>'6월'!B144</f>
        <v>H250625-02</v>
      </c>
      <c r="C768" s="155"/>
      <c r="D768" s="43"/>
      <c r="E768" s="44" t="str">
        <f>'6월'!E144</f>
        <v>더블포인트</v>
      </c>
      <c r="F768" s="41"/>
      <c r="G768" s="2" t="str">
        <f>'6월'!G144</f>
        <v>상품</v>
      </c>
      <c r="H768" s="83" t="str">
        <f>'6월'!H144</f>
        <v>CABLE</v>
      </c>
      <c r="I768" s="4" t="str">
        <f>'6월'!I144</f>
        <v>CAT.6 UTP LAN CABLE 15M 그레이</v>
      </c>
      <c r="J768" s="23">
        <f>'6월'!J144</f>
        <v>5</v>
      </c>
      <c r="K768" s="27">
        <f>'6월'!K144</f>
        <v>9200</v>
      </c>
      <c r="L768" s="37"/>
      <c r="M768" s="38"/>
      <c r="N768" s="38"/>
      <c r="O768" s="33">
        <f>'6월'!O144</f>
        <v>0</v>
      </c>
      <c r="P768" s="197">
        <f>'6월'!P144</f>
        <v>0</v>
      </c>
      <c r="Q768" s="40"/>
      <c r="R768" s="41"/>
      <c r="S768" s="42"/>
      <c r="T768" s="11"/>
    </row>
    <row r="769" spans="1:21">
      <c r="A769" t="s">
        <v>30</v>
      </c>
      <c r="B769" s="151" t="str">
        <f>'6월'!B145</f>
        <v>H250625-03</v>
      </c>
      <c r="C769" s="155"/>
      <c r="D769" s="43"/>
      <c r="E769" s="44" t="str">
        <f>'6월'!E145</f>
        <v>더블포인트</v>
      </c>
      <c r="F769" s="41"/>
      <c r="G769" s="2" t="str">
        <f>'6월'!G145</f>
        <v>상품</v>
      </c>
      <c r="H769" s="83" t="str">
        <f>'6월'!H145</f>
        <v>CABLE</v>
      </c>
      <c r="I769" s="4" t="str">
        <f>'6월'!I145</f>
        <v>LC-LC / OM1 / 1G / 15M</v>
      </c>
      <c r="J769" s="23">
        <f>'6월'!J145</f>
        <v>8</v>
      </c>
      <c r="K769" s="27">
        <f>'6월'!K145</f>
        <v>13000</v>
      </c>
      <c r="L769" s="37"/>
      <c r="M769" s="38"/>
      <c r="N769" s="38"/>
      <c r="O769" s="33">
        <f>'6월'!O145</f>
        <v>0</v>
      </c>
      <c r="P769" s="197" t="str">
        <f>'6월'!P145</f>
        <v>컴퓨존(6/24) 82,982</v>
      </c>
      <c r="Q769" s="40"/>
      <c r="R769" s="41"/>
      <c r="S769" s="42"/>
      <c r="T769" s="11"/>
    </row>
    <row r="770" spans="1:21">
      <c r="B770" s="151"/>
      <c r="C770" s="153"/>
      <c r="D770" s="17"/>
      <c r="E770" s="1"/>
      <c r="F770" s="2"/>
      <c r="G770" s="161"/>
      <c r="H770" s="165"/>
      <c r="I770" s="169"/>
      <c r="J770" s="69"/>
      <c r="K770" s="27"/>
      <c r="L770" s="26">
        <f t="shared" ref="L770:L775" si="2">J770*K770</f>
        <v>0</v>
      </c>
      <c r="M770" s="27">
        <f t="shared" ref="M770:M775" si="3">L770*10%</f>
        <v>0</v>
      </c>
      <c r="N770" s="27">
        <f t="shared" ref="N770:N775" si="4">SUM(L770:M770)</f>
        <v>0</v>
      </c>
      <c r="O770" s="66"/>
      <c r="P770" s="193"/>
      <c r="Q770" s="21">
        <f t="shared" ref="Q770:Q775" si="5">L770-O770</f>
        <v>0</v>
      </c>
      <c r="R770" s="2"/>
      <c r="S770" s="8"/>
      <c r="T770" s="11"/>
    </row>
    <row r="771" spans="1:21">
      <c r="B771" s="151"/>
      <c r="C771" s="153"/>
      <c r="D771" s="17"/>
      <c r="E771" s="1"/>
      <c r="F771" s="2"/>
      <c r="G771" s="161"/>
      <c r="H771" s="165"/>
      <c r="I771" s="169"/>
      <c r="J771" s="69"/>
      <c r="K771" s="27"/>
      <c r="L771" s="26">
        <f t="shared" si="2"/>
        <v>0</v>
      </c>
      <c r="M771" s="27">
        <f t="shared" si="3"/>
        <v>0</v>
      </c>
      <c r="N771" s="27">
        <f t="shared" si="4"/>
        <v>0</v>
      </c>
      <c r="O771" s="66"/>
      <c r="P771" s="193"/>
      <c r="Q771" s="21">
        <f t="shared" si="5"/>
        <v>0</v>
      </c>
      <c r="R771" s="2"/>
      <c r="S771" s="8"/>
      <c r="T771" s="11"/>
    </row>
    <row r="772" spans="1:21">
      <c r="B772" s="151"/>
      <c r="C772" s="153"/>
      <c r="D772" s="17"/>
      <c r="E772" s="1"/>
      <c r="F772" s="2"/>
      <c r="G772" s="161"/>
      <c r="H772" s="165"/>
      <c r="I772" s="169"/>
      <c r="J772" s="69"/>
      <c r="K772" s="27"/>
      <c r="L772" s="26">
        <f t="shared" si="2"/>
        <v>0</v>
      </c>
      <c r="M772" s="27">
        <f t="shared" si="3"/>
        <v>0</v>
      </c>
      <c r="N772" s="27">
        <f t="shared" si="4"/>
        <v>0</v>
      </c>
      <c r="O772" s="66"/>
      <c r="P772" s="193"/>
      <c r="Q772" s="21">
        <f t="shared" si="5"/>
        <v>0</v>
      </c>
      <c r="R772" s="2"/>
      <c r="S772" s="8"/>
      <c r="T772" s="11"/>
    </row>
    <row r="773" spans="1:21">
      <c r="B773" s="151"/>
      <c r="C773" s="153"/>
      <c r="D773" s="17"/>
      <c r="E773" s="1"/>
      <c r="F773" s="2"/>
      <c r="G773" s="161"/>
      <c r="H773" s="165"/>
      <c r="I773" s="169"/>
      <c r="J773" s="69"/>
      <c r="K773" s="27"/>
      <c r="L773" s="26">
        <f t="shared" si="2"/>
        <v>0</v>
      </c>
      <c r="M773" s="27">
        <f t="shared" si="3"/>
        <v>0</v>
      </c>
      <c r="N773" s="27">
        <f t="shared" si="4"/>
        <v>0</v>
      </c>
      <c r="O773" s="66"/>
      <c r="P773" s="193"/>
      <c r="Q773" s="21">
        <f t="shared" si="5"/>
        <v>0</v>
      </c>
      <c r="R773" s="2"/>
      <c r="S773" s="8"/>
      <c r="T773" s="11"/>
    </row>
    <row r="774" spans="1:21">
      <c r="B774" s="151"/>
      <c r="C774" s="153"/>
      <c r="D774" s="17"/>
      <c r="E774" s="1"/>
      <c r="F774" s="2"/>
      <c r="G774" s="161"/>
      <c r="H774" s="165"/>
      <c r="I774" s="169"/>
      <c r="J774" s="69"/>
      <c r="K774" s="27"/>
      <c r="L774" s="26">
        <f t="shared" si="2"/>
        <v>0</v>
      </c>
      <c r="M774" s="27">
        <f t="shared" si="3"/>
        <v>0</v>
      </c>
      <c r="N774" s="27">
        <f t="shared" si="4"/>
        <v>0</v>
      </c>
      <c r="O774" s="66"/>
      <c r="P774" s="193"/>
      <c r="Q774" s="21">
        <f t="shared" si="5"/>
        <v>0</v>
      </c>
      <c r="R774" s="2"/>
      <c r="S774" s="8"/>
      <c r="T774" s="11"/>
    </row>
    <row r="775" spans="1:21">
      <c r="B775" s="151"/>
      <c r="C775" s="153"/>
      <c r="D775" s="17"/>
      <c r="E775" s="1"/>
      <c r="F775" s="2"/>
      <c r="G775" s="161"/>
      <c r="H775" s="165"/>
      <c r="I775" s="169"/>
      <c r="J775" s="69"/>
      <c r="K775" s="27"/>
      <c r="L775" s="26">
        <f t="shared" si="2"/>
        <v>0</v>
      </c>
      <c r="M775" s="27">
        <f t="shared" si="3"/>
        <v>0</v>
      </c>
      <c r="N775" s="27">
        <f t="shared" si="4"/>
        <v>0</v>
      </c>
      <c r="O775" s="66"/>
      <c r="P775" s="193"/>
      <c r="Q775" s="21">
        <f t="shared" si="5"/>
        <v>0</v>
      </c>
      <c r="R775" s="2"/>
      <c r="S775" s="8"/>
      <c r="T775" s="11"/>
    </row>
    <row r="776" spans="1:21">
      <c r="B776" s="151"/>
      <c r="C776" s="153"/>
      <c r="D776" s="17"/>
      <c r="E776" s="1"/>
      <c r="F776" s="2"/>
      <c r="G776" s="161"/>
      <c r="H776" s="165"/>
      <c r="I776" s="169"/>
      <c r="J776" s="69"/>
      <c r="K776" s="27"/>
      <c r="L776" s="26">
        <f t="shared" ref="L776:L778" si="6">J776*K776</f>
        <v>0</v>
      </c>
      <c r="M776" s="27">
        <f t="shared" ref="M776:M778" si="7">L776*10%</f>
        <v>0</v>
      </c>
      <c r="N776" s="27">
        <f t="shared" ref="N776:N778" si="8">SUM(L776:M776)</f>
        <v>0</v>
      </c>
      <c r="O776" s="66"/>
      <c r="P776" s="193"/>
      <c r="Q776" s="21">
        <f t="shared" ref="Q776:Q778" si="9">L776-O776</f>
        <v>0</v>
      </c>
      <c r="R776" s="2"/>
      <c r="S776" s="8"/>
      <c r="T776" s="11"/>
    </row>
    <row r="777" spans="1:21">
      <c r="B777" s="151"/>
      <c r="C777" s="153"/>
      <c r="D777" s="17"/>
      <c r="E777" s="1"/>
      <c r="F777" s="2"/>
      <c r="G777" s="161"/>
      <c r="H777" s="165"/>
      <c r="I777" s="169"/>
      <c r="J777" s="69"/>
      <c r="K777" s="27"/>
      <c r="L777" s="26">
        <f t="shared" si="6"/>
        <v>0</v>
      </c>
      <c r="M777" s="27">
        <f t="shared" si="7"/>
        <v>0</v>
      </c>
      <c r="N777" s="27">
        <f t="shared" si="8"/>
        <v>0</v>
      </c>
      <c r="O777" s="66"/>
      <c r="P777" s="193"/>
      <c r="Q777" s="21">
        <f t="shared" si="9"/>
        <v>0</v>
      </c>
      <c r="R777" s="2"/>
      <c r="S777" s="8"/>
      <c r="T777" s="11"/>
    </row>
    <row r="778" spans="1:21">
      <c r="B778" s="151"/>
      <c r="C778" s="153"/>
      <c r="D778" s="17"/>
      <c r="E778" s="1"/>
      <c r="F778" s="2"/>
      <c r="G778" s="161"/>
      <c r="H778" s="165"/>
      <c r="I778" s="169"/>
      <c r="J778" s="69"/>
      <c r="K778" s="27"/>
      <c r="L778" s="26">
        <f t="shared" si="6"/>
        <v>0</v>
      </c>
      <c r="M778" s="27">
        <f t="shared" si="7"/>
        <v>0</v>
      </c>
      <c r="N778" s="27">
        <f t="shared" si="8"/>
        <v>0</v>
      </c>
      <c r="O778" s="66"/>
      <c r="P778" s="193"/>
      <c r="Q778" s="21">
        <f t="shared" si="9"/>
        <v>0</v>
      </c>
      <c r="R778" s="2"/>
      <c r="S778" s="8"/>
      <c r="T778" s="11"/>
    </row>
    <row r="779" spans="1:21">
      <c r="A779" t="s">
        <v>30</v>
      </c>
      <c r="B779" s="151"/>
      <c r="C779" s="153"/>
      <c r="D779" s="17"/>
      <c r="E779" s="1"/>
      <c r="F779" s="2"/>
      <c r="G779" s="2"/>
      <c r="H779" s="83"/>
      <c r="I779" s="4"/>
      <c r="J779" s="23"/>
      <c r="K779" s="27"/>
      <c r="L779" s="26">
        <f t="shared" ref="L779" si="10">J779*K779</f>
        <v>0</v>
      </c>
      <c r="M779" s="27">
        <f t="shared" ref="M779" si="11">L779*10%</f>
        <v>0</v>
      </c>
      <c r="N779" s="27">
        <f t="shared" ref="N779" si="12">SUM(L779:M779)</f>
        <v>0</v>
      </c>
      <c r="O779" s="132"/>
      <c r="P779" s="173"/>
      <c r="Q779" s="20">
        <f t="shared" ref="Q779" si="13">L779-O779</f>
        <v>0</v>
      </c>
      <c r="R779" s="2"/>
      <c r="S779" s="8"/>
      <c r="T779" s="11"/>
    </row>
    <row r="780" spans="1:21" s="65" customFormat="1" ht="26.25" customHeight="1" thickBot="1">
      <c r="A780" s="65" t="s">
        <v>30</v>
      </c>
      <c r="B780" s="269" t="s">
        <v>32</v>
      </c>
      <c r="C780" s="270"/>
      <c r="D780" s="270"/>
      <c r="E780" s="270"/>
      <c r="F780" s="270"/>
      <c r="G780" s="270"/>
      <c r="H780" s="270"/>
      <c r="I780" s="270"/>
      <c r="J780" s="270"/>
      <c r="K780" s="271"/>
      <c r="L780" s="25">
        <f>SUM(L2:L779)</f>
        <v>1710504058</v>
      </c>
      <c r="M780" s="25">
        <f>SUM(M2:M779)</f>
        <v>171050407.19999999</v>
      </c>
      <c r="N780" s="25">
        <f>SUM(N2:N779)</f>
        <v>1881554465.2000003</v>
      </c>
      <c r="O780" s="25">
        <f>SUM(O2:O779)</f>
        <v>1318656806.181818</v>
      </c>
      <c r="P780" s="25"/>
      <c r="Q780" s="25">
        <f>SUM(Q2:Q779)</f>
        <v>341297251.81818187</v>
      </c>
      <c r="R780" s="177"/>
      <c r="S780" s="12"/>
      <c r="T780" s="13"/>
    </row>
    <row r="782" spans="1:21" ht="13.5">
      <c r="D782">
        <f>COUNTA(D2:D779)</f>
        <v>702</v>
      </c>
      <c r="K782" t="s">
        <v>62</v>
      </c>
      <c r="L782" s="30">
        <f>SUBTOTAL(109,L2:L779)</f>
        <v>1710504058</v>
      </c>
      <c r="M782" s="30">
        <f>SUBTOTAL(109,M2:M779)</f>
        <v>171050407.19999999</v>
      </c>
      <c r="N782" s="30">
        <f>SUBTOTAL(109,N2:N779)</f>
        <v>1881554465.2000003</v>
      </c>
      <c r="O782" s="30">
        <f>SUBTOTAL(109,O2:O779)</f>
        <v>1318656806.181818</v>
      </c>
      <c r="P782" s="30"/>
      <c r="Q782" s="209">
        <f>SUBTOTAL(109,Q2:Q779)</f>
        <v>341297251.81818187</v>
      </c>
      <c r="U782" s="234"/>
    </row>
    <row r="783" spans="1:21" ht="13.5">
      <c r="L783" s="31"/>
      <c r="M783" s="31"/>
      <c r="N783" s="30"/>
      <c r="O783" s="31"/>
      <c r="Q783" s="22"/>
    </row>
    <row r="784" spans="1:21">
      <c r="L784" s="22"/>
      <c r="N784" s="18"/>
      <c r="Q784" s="121"/>
    </row>
    <row r="785" spans="3:17">
      <c r="C785" s="126"/>
      <c r="D785" s="126"/>
      <c r="G785" s="126"/>
      <c r="H785" s="126"/>
      <c r="K785" s="135"/>
      <c r="N785" s="18"/>
    </row>
    <row r="786" spans="3:17">
      <c r="F786" s="126"/>
      <c r="G786" s="126"/>
      <c r="H786" s="127"/>
      <c r="N786" s="18"/>
      <c r="Q786" s="47"/>
    </row>
    <row r="787" spans="3:17">
      <c r="C787" s="127"/>
      <c r="D787" s="18"/>
      <c r="F787" s="127"/>
      <c r="G787" s="127"/>
      <c r="H787" s="127"/>
      <c r="N787" s="18"/>
      <c r="Q787" s="22"/>
    </row>
    <row r="788" spans="3:17">
      <c r="C788" s="127"/>
      <c r="D788" s="18"/>
      <c r="E788" s="121"/>
      <c r="F788" s="127"/>
      <c r="G788" s="127"/>
      <c r="H788" s="127"/>
    </row>
    <row r="789" spans="3:17" ht="13.5">
      <c r="C789" s="127"/>
      <c r="D789" s="18"/>
      <c r="F789" s="268"/>
      <c r="G789" s="127"/>
      <c r="H789" s="127"/>
    </row>
    <row r="790" spans="3:17">
      <c r="C790" s="127"/>
      <c r="D790" s="18"/>
      <c r="F790" s="127"/>
      <c r="G790" s="127"/>
      <c r="H790" s="127"/>
      <c r="N790" s="22"/>
    </row>
    <row r="791" spans="3:17">
      <c r="C791" s="127"/>
      <c r="D791" s="18"/>
      <c r="F791" s="127"/>
      <c r="G791" s="127"/>
      <c r="H791" s="127"/>
    </row>
    <row r="792" spans="3:17">
      <c r="C792" s="127"/>
      <c r="D792" s="18"/>
      <c r="F792" s="127"/>
      <c r="G792" s="127"/>
      <c r="H792" s="127"/>
    </row>
    <row r="793" spans="3:17">
      <c r="C793" s="127"/>
      <c r="D793" s="18"/>
      <c r="F793" s="127"/>
      <c r="G793" s="127"/>
      <c r="H793" s="127"/>
    </row>
    <row r="794" spans="3:17" ht="16.5">
      <c r="C794" s="127"/>
      <c r="D794" s="18"/>
      <c r="F794" s="127"/>
      <c r="G794" s="127"/>
      <c r="H794" s="127"/>
      <c r="K794" s="203"/>
    </row>
    <row r="795" spans="3:17">
      <c r="C795" s="127"/>
      <c r="D795" s="18"/>
      <c r="F795" s="127"/>
      <c r="G795" s="127"/>
      <c r="H795" s="127"/>
    </row>
    <row r="796" spans="3:17">
      <c r="C796" s="127"/>
      <c r="D796" s="18"/>
      <c r="F796" s="127"/>
      <c r="G796" s="127"/>
      <c r="H796" s="127"/>
    </row>
    <row r="797" spans="3:17">
      <c r="C797" s="127"/>
      <c r="D797" s="18"/>
      <c r="F797" s="127"/>
      <c r="G797" s="127"/>
      <c r="H797" s="127"/>
    </row>
    <row r="798" spans="3:17">
      <c r="C798" s="127"/>
      <c r="D798" s="18"/>
      <c r="F798" s="127"/>
      <c r="G798" s="127"/>
      <c r="H798" s="127"/>
    </row>
    <row r="799" spans="3:17">
      <c r="C799" s="127"/>
      <c r="D799" s="18"/>
      <c r="F799" s="127"/>
      <c r="G799" s="127"/>
      <c r="H799" s="127"/>
    </row>
    <row r="800" spans="3:17">
      <c r="C800" s="127"/>
      <c r="D800" s="18"/>
      <c r="F800" s="127"/>
      <c r="G800" s="127"/>
      <c r="H800" s="127"/>
    </row>
    <row r="801" spans="3:8">
      <c r="C801" s="127"/>
      <c r="D801" s="18"/>
      <c r="F801" s="127"/>
      <c r="G801" s="127"/>
      <c r="H801" s="127"/>
    </row>
    <row r="802" spans="3:8">
      <c r="C802" s="127"/>
      <c r="D802" s="18"/>
      <c r="F802" s="127"/>
      <c r="G802" s="127"/>
      <c r="H802" s="127"/>
    </row>
    <row r="803" spans="3:8">
      <c r="C803" s="127"/>
      <c r="D803" s="18"/>
      <c r="F803" s="127"/>
      <c r="G803" s="127"/>
      <c r="H803" s="127"/>
    </row>
    <row r="804" spans="3:8">
      <c r="C804" s="127"/>
      <c r="D804" s="18"/>
      <c r="F804" s="127"/>
      <c r="G804" s="127"/>
      <c r="H804" s="127"/>
    </row>
    <row r="805" spans="3:8">
      <c r="C805" s="127"/>
      <c r="D805" s="18"/>
      <c r="F805" s="127"/>
      <c r="G805" s="127"/>
      <c r="H805" s="127"/>
    </row>
    <row r="806" spans="3:8">
      <c r="C806" s="127"/>
      <c r="D806" s="18"/>
      <c r="F806" s="127"/>
      <c r="G806" s="127"/>
      <c r="H806" s="127"/>
    </row>
    <row r="807" spans="3:8">
      <c r="C807" s="127"/>
      <c r="D807" s="18"/>
      <c r="F807" s="127"/>
      <c r="G807" s="127"/>
      <c r="H807" s="127"/>
    </row>
    <row r="808" spans="3:8">
      <c r="C808" s="127"/>
      <c r="D808" s="18"/>
      <c r="F808" s="127"/>
      <c r="G808" s="127"/>
      <c r="H808" s="127"/>
    </row>
    <row r="809" spans="3:8">
      <c r="C809" s="127"/>
      <c r="D809" s="18"/>
      <c r="F809" s="127"/>
      <c r="G809" s="127"/>
      <c r="H809" s="127"/>
    </row>
    <row r="810" spans="3:8">
      <c r="C810" s="127"/>
      <c r="D810" s="18"/>
      <c r="F810" s="127"/>
      <c r="G810" s="127"/>
      <c r="H810" s="127"/>
    </row>
    <row r="811" spans="3:8">
      <c r="C811" s="127"/>
      <c r="D811" s="18"/>
      <c r="F811" s="127"/>
      <c r="G811" s="127"/>
      <c r="H811" s="127"/>
    </row>
    <row r="812" spans="3:8">
      <c r="C812" s="127"/>
      <c r="D812" s="18"/>
      <c r="F812" s="127"/>
      <c r="G812" s="127"/>
      <c r="H812" s="127"/>
    </row>
    <row r="813" spans="3:8">
      <c r="C813" s="127"/>
      <c r="D813" s="18"/>
      <c r="F813" s="127"/>
      <c r="G813" s="127"/>
      <c r="H813" s="127"/>
    </row>
    <row r="814" spans="3:8">
      <c r="C814" s="127"/>
      <c r="D814" s="18"/>
      <c r="F814" s="127"/>
      <c r="G814" s="127"/>
      <c r="H814" s="127"/>
    </row>
    <row r="815" spans="3:8">
      <c r="C815" s="127"/>
      <c r="D815" s="18"/>
      <c r="F815" s="127"/>
      <c r="G815" s="127"/>
      <c r="H815" s="127"/>
    </row>
    <row r="816" spans="3:8">
      <c r="C816" s="127"/>
      <c r="D816" s="18"/>
      <c r="F816" s="127"/>
      <c r="G816" s="127"/>
      <c r="H816" s="127"/>
    </row>
    <row r="817" spans="3:8">
      <c r="C817" s="127"/>
      <c r="D817" s="18"/>
      <c r="F817" s="127"/>
      <c r="G817" s="127"/>
      <c r="H817" s="127"/>
    </row>
    <row r="818" spans="3:8">
      <c r="C818" s="127"/>
      <c r="D818" s="18"/>
      <c r="F818" s="127"/>
      <c r="G818" s="127"/>
      <c r="H818" s="127"/>
    </row>
    <row r="819" spans="3:8">
      <c r="C819" s="127"/>
      <c r="D819" s="18"/>
      <c r="F819" s="127"/>
      <c r="G819" s="127"/>
      <c r="H819" s="127"/>
    </row>
    <row r="820" spans="3:8">
      <c r="C820" s="127"/>
      <c r="D820" s="18"/>
      <c r="F820" s="127"/>
      <c r="G820" s="127"/>
      <c r="H820" s="127"/>
    </row>
    <row r="821" spans="3:8">
      <c r="C821" s="127"/>
      <c r="D821" s="18"/>
      <c r="F821" s="127"/>
      <c r="G821" s="127"/>
      <c r="H821" s="127"/>
    </row>
    <row r="822" spans="3:8">
      <c r="C822" s="127"/>
      <c r="D822" s="18"/>
      <c r="F822" s="127"/>
      <c r="G822" s="127"/>
      <c r="H822" s="127"/>
    </row>
    <row r="823" spans="3:8">
      <c r="C823" s="127"/>
      <c r="D823" s="18"/>
      <c r="F823" s="127"/>
      <c r="G823" s="127"/>
      <c r="H823" s="127"/>
    </row>
    <row r="824" spans="3:8">
      <c r="C824" s="127"/>
      <c r="D824" s="18"/>
      <c r="F824" s="127"/>
      <c r="G824" s="127"/>
      <c r="H824" s="127"/>
    </row>
    <row r="825" spans="3:8">
      <c r="C825" s="127"/>
      <c r="D825" s="18"/>
      <c r="F825" s="127"/>
      <c r="G825" s="127"/>
      <c r="H825" s="127"/>
    </row>
    <row r="826" spans="3:8">
      <c r="C826" s="127"/>
      <c r="D826" s="18"/>
      <c r="F826" s="127"/>
      <c r="G826" s="127"/>
      <c r="H826" s="127"/>
    </row>
    <row r="827" spans="3:8">
      <c r="C827" s="127"/>
      <c r="D827" s="18"/>
      <c r="F827" s="127"/>
      <c r="G827" s="127"/>
      <c r="H827" s="127"/>
    </row>
    <row r="828" spans="3:8">
      <c r="C828" s="127"/>
      <c r="D828" s="18"/>
      <c r="F828" s="127"/>
      <c r="G828" s="127"/>
      <c r="H828" s="127"/>
    </row>
    <row r="829" spans="3:8">
      <c r="C829" s="127"/>
      <c r="D829" s="18"/>
      <c r="F829" s="127"/>
      <c r="G829" s="127"/>
      <c r="H829" s="127"/>
    </row>
    <row r="830" spans="3:8">
      <c r="C830" s="127"/>
      <c r="D830" s="18"/>
      <c r="F830" s="127"/>
      <c r="G830" s="127"/>
      <c r="H830" s="127"/>
    </row>
    <row r="831" spans="3:8">
      <c r="C831" s="127"/>
      <c r="D831" s="18"/>
      <c r="F831" s="127"/>
      <c r="G831" s="127"/>
      <c r="H831" s="127"/>
    </row>
    <row r="832" spans="3:8">
      <c r="C832" s="127"/>
      <c r="D832" s="18"/>
      <c r="F832" s="127"/>
      <c r="G832" s="127"/>
      <c r="H832" s="127"/>
    </row>
    <row r="833" spans="3:8">
      <c r="C833" s="127"/>
      <c r="D833" s="18"/>
      <c r="F833" s="127"/>
      <c r="G833" s="127"/>
      <c r="H833" s="127"/>
    </row>
    <row r="834" spans="3:8">
      <c r="C834" s="127"/>
      <c r="D834" s="18"/>
      <c r="F834" s="127"/>
      <c r="G834" s="127"/>
      <c r="H834" s="127"/>
    </row>
    <row r="835" spans="3:8">
      <c r="C835" s="127"/>
      <c r="D835" s="18"/>
      <c r="F835" s="127"/>
      <c r="G835" s="127"/>
      <c r="H835" s="127"/>
    </row>
    <row r="836" spans="3:8">
      <c r="C836" s="127"/>
      <c r="D836" s="18"/>
      <c r="F836" s="127"/>
      <c r="G836" s="127"/>
      <c r="H836" s="127"/>
    </row>
    <row r="837" spans="3:8">
      <c r="C837" s="127"/>
      <c r="D837" s="18"/>
      <c r="F837" s="127"/>
      <c r="G837" s="127"/>
      <c r="H837" s="127"/>
    </row>
    <row r="838" spans="3:8">
      <c r="C838" s="127"/>
      <c r="D838" s="18"/>
      <c r="F838" s="127"/>
      <c r="G838" s="127"/>
      <c r="H838" s="127"/>
    </row>
    <row r="839" spans="3:8">
      <c r="C839" s="127"/>
      <c r="D839" s="18"/>
      <c r="F839" s="127"/>
      <c r="G839" s="127"/>
      <c r="H839" s="127"/>
    </row>
    <row r="840" spans="3:8">
      <c r="C840" s="127"/>
      <c r="D840" s="18"/>
      <c r="F840" s="127"/>
      <c r="G840" s="127"/>
      <c r="H840" s="127"/>
    </row>
    <row r="841" spans="3:8">
      <c r="C841" s="127"/>
      <c r="D841" s="18"/>
      <c r="F841" s="127"/>
      <c r="G841" s="127"/>
      <c r="H841" s="127"/>
    </row>
    <row r="842" spans="3:8">
      <c r="C842" s="127"/>
      <c r="D842" s="18"/>
      <c r="F842" s="127"/>
      <c r="G842" s="127"/>
      <c r="H842" s="127"/>
    </row>
    <row r="843" spans="3:8">
      <c r="C843" s="127"/>
      <c r="D843" s="18"/>
      <c r="F843" s="127"/>
      <c r="G843" s="127"/>
      <c r="H843" s="127"/>
    </row>
    <row r="844" spans="3:8">
      <c r="C844" s="127"/>
      <c r="D844" s="18"/>
      <c r="F844" s="127"/>
      <c r="G844" s="127"/>
      <c r="H844" s="127"/>
    </row>
    <row r="845" spans="3:8">
      <c r="C845" s="127"/>
      <c r="D845" s="18"/>
      <c r="F845" s="127"/>
      <c r="G845" s="127"/>
      <c r="H845" s="127"/>
    </row>
    <row r="846" spans="3:8">
      <c r="C846" s="127"/>
      <c r="D846" s="18"/>
      <c r="F846" s="127"/>
      <c r="G846" s="127"/>
      <c r="H846" s="127"/>
    </row>
    <row r="847" spans="3:8">
      <c r="C847" s="127"/>
      <c r="D847" s="18"/>
      <c r="F847" s="127"/>
      <c r="G847" s="127"/>
      <c r="H847" s="127"/>
    </row>
    <row r="848" spans="3:8">
      <c r="C848" s="127"/>
      <c r="D848" s="18"/>
      <c r="F848" s="127"/>
      <c r="G848" s="127"/>
      <c r="H848" s="127"/>
    </row>
    <row r="849" spans="3:8">
      <c r="C849" s="127"/>
      <c r="D849" s="18"/>
      <c r="F849" s="127"/>
      <c r="G849" s="127"/>
      <c r="H849" s="127"/>
    </row>
    <row r="850" spans="3:8">
      <c r="C850" s="127"/>
      <c r="D850" s="18"/>
      <c r="F850" s="127"/>
      <c r="G850" s="127"/>
      <c r="H850" s="127"/>
    </row>
    <row r="851" spans="3:8">
      <c r="C851" s="127"/>
      <c r="D851" s="18"/>
      <c r="F851" s="127"/>
      <c r="G851" s="127"/>
      <c r="H851" s="127"/>
    </row>
    <row r="852" spans="3:8">
      <c r="C852" s="127"/>
      <c r="D852" s="18"/>
      <c r="F852" s="127"/>
      <c r="G852" s="127"/>
      <c r="H852" s="127"/>
    </row>
    <row r="853" spans="3:8">
      <c r="C853" s="127"/>
      <c r="D853" s="18"/>
      <c r="F853" s="127"/>
      <c r="G853" s="127"/>
      <c r="H853" s="127"/>
    </row>
    <row r="854" spans="3:8">
      <c r="C854" s="127"/>
      <c r="D854" s="18"/>
      <c r="F854" s="127"/>
      <c r="G854" s="127"/>
      <c r="H854" s="127"/>
    </row>
    <row r="855" spans="3:8">
      <c r="C855" s="127"/>
      <c r="D855" s="18"/>
      <c r="F855" s="127"/>
      <c r="G855" s="127"/>
      <c r="H855" s="127"/>
    </row>
    <row r="856" spans="3:8">
      <c r="C856" s="127"/>
      <c r="D856" s="18"/>
      <c r="F856" s="127"/>
      <c r="G856" s="127"/>
      <c r="H856" s="127"/>
    </row>
    <row r="857" spans="3:8">
      <c r="C857" s="127"/>
      <c r="D857" s="18"/>
      <c r="F857" s="127"/>
      <c r="G857" s="127"/>
      <c r="H857" s="127"/>
    </row>
    <row r="858" spans="3:8">
      <c r="C858" s="127"/>
      <c r="D858" s="18"/>
      <c r="F858" s="127"/>
      <c r="G858" s="127"/>
      <c r="H858" s="127"/>
    </row>
    <row r="859" spans="3:8">
      <c r="C859" s="127"/>
      <c r="D859" s="18"/>
      <c r="F859" s="127"/>
      <c r="G859" s="127"/>
      <c r="H859" s="127"/>
    </row>
    <row r="860" spans="3:8">
      <c r="C860" s="127"/>
      <c r="D860" s="18"/>
      <c r="F860" s="127"/>
      <c r="G860" s="127"/>
      <c r="H860" s="127"/>
    </row>
    <row r="861" spans="3:8">
      <c r="C861" s="127"/>
      <c r="D861" s="18"/>
      <c r="F861" s="127"/>
      <c r="G861" s="127"/>
      <c r="H861" s="127"/>
    </row>
    <row r="862" spans="3:8">
      <c r="C862" s="127"/>
      <c r="D862" s="18"/>
      <c r="F862" s="127"/>
      <c r="G862" s="127"/>
      <c r="H862" s="127"/>
    </row>
    <row r="863" spans="3:8">
      <c r="C863" s="127"/>
      <c r="D863" s="18"/>
      <c r="F863" s="127"/>
      <c r="G863" s="127"/>
      <c r="H863" s="127"/>
    </row>
    <row r="864" spans="3:8">
      <c r="C864" s="127"/>
      <c r="D864" s="18"/>
      <c r="F864" s="127"/>
      <c r="G864" s="127"/>
      <c r="H864" s="127"/>
    </row>
    <row r="865" spans="3:8">
      <c r="C865" s="127"/>
      <c r="D865" s="18"/>
      <c r="F865" s="127"/>
      <c r="G865" s="127"/>
      <c r="H865" s="127"/>
    </row>
    <row r="866" spans="3:8">
      <c r="C866" s="127"/>
      <c r="D866" s="18"/>
      <c r="F866" s="127"/>
      <c r="G866" s="127"/>
      <c r="H866" s="127"/>
    </row>
    <row r="867" spans="3:8">
      <c r="C867" s="127"/>
      <c r="D867" s="18"/>
      <c r="F867" s="127"/>
      <c r="G867" s="127"/>
      <c r="H867" s="127"/>
    </row>
    <row r="868" spans="3:8">
      <c r="C868" s="127"/>
      <c r="D868" s="18"/>
      <c r="F868" s="127"/>
      <c r="G868" s="127"/>
      <c r="H868" s="127"/>
    </row>
    <row r="869" spans="3:8">
      <c r="C869" s="127"/>
      <c r="D869" s="18"/>
      <c r="F869" s="127"/>
      <c r="G869" s="127"/>
      <c r="H869" s="127"/>
    </row>
    <row r="870" spans="3:8">
      <c r="C870" s="127"/>
      <c r="D870" s="18"/>
      <c r="F870" s="127"/>
      <c r="G870" s="127"/>
      <c r="H870" s="127"/>
    </row>
    <row r="871" spans="3:8">
      <c r="C871" s="127"/>
      <c r="D871" s="18"/>
      <c r="F871" s="127"/>
      <c r="G871" s="127"/>
      <c r="H871" s="127"/>
    </row>
    <row r="872" spans="3:8">
      <c r="C872" s="127"/>
      <c r="D872" s="18"/>
      <c r="F872" s="127"/>
      <c r="G872" s="127"/>
      <c r="H872" s="127"/>
    </row>
    <row r="873" spans="3:8">
      <c r="C873" s="127"/>
      <c r="D873" s="18"/>
      <c r="F873" s="127"/>
      <c r="G873" s="127"/>
      <c r="H873" s="127"/>
    </row>
    <row r="874" spans="3:8">
      <c r="C874" s="127"/>
      <c r="D874" s="18"/>
      <c r="F874" s="127"/>
      <c r="G874" s="127"/>
      <c r="H874" s="127"/>
    </row>
    <row r="875" spans="3:8">
      <c r="C875" s="127"/>
      <c r="D875" s="18"/>
      <c r="F875" s="127"/>
      <c r="G875" s="127"/>
      <c r="H875" s="127"/>
    </row>
    <row r="876" spans="3:8">
      <c r="C876" s="127"/>
      <c r="D876" s="18"/>
      <c r="F876" s="127"/>
      <c r="G876" s="127"/>
      <c r="H876" s="127"/>
    </row>
    <row r="877" spans="3:8">
      <c r="C877" s="127"/>
      <c r="D877" s="18"/>
      <c r="F877" s="127"/>
      <c r="G877" s="127"/>
      <c r="H877" s="127"/>
    </row>
    <row r="878" spans="3:8">
      <c r="C878" s="127"/>
      <c r="D878" s="18"/>
      <c r="F878" s="127"/>
      <c r="G878" s="127"/>
      <c r="H878" s="127"/>
    </row>
    <row r="879" spans="3:8">
      <c r="C879" s="127"/>
      <c r="D879" s="18"/>
      <c r="F879" s="127"/>
      <c r="G879" s="127"/>
      <c r="H879" s="127"/>
    </row>
    <row r="880" spans="3:8">
      <c r="C880" s="127"/>
      <c r="D880" s="18"/>
      <c r="F880" s="127"/>
      <c r="G880" s="127"/>
      <c r="H880" s="127"/>
    </row>
    <row r="881" spans="3:8">
      <c r="C881" s="127"/>
      <c r="D881" s="18"/>
      <c r="F881" s="127"/>
      <c r="G881" s="127"/>
      <c r="H881" s="127"/>
    </row>
    <row r="882" spans="3:8">
      <c r="C882" s="127"/>
      <c r="D882" s="18"/>
      <c r="F882" s="127"/>
      <c r="G882" s="127"/>
      <c r="H882" s="127"/>
    </row>
    <row r="883" spans="3:8">
      <c r="C883" s="127"/>
      <c r="D883" s="18"/>
      <c r="F883" s="127"/>
      <c r="G883" s="127"/>
      <c r="H883" s="127"/>
    </row>
    <row r="884" spans="3:8">
      <c r="C884" s="127"/>
      <c r="D884" s="18"/>
      <c r="F884" s="127"/>
      <c r="G884" s="127"/>
      <c r="H884" s="127"/>
    </row>
    <row r="885" spans="3:8">
      <c r="C885" s="127"/>
      <c r="D885" s="18"/>
      <c r="F885" s="127"/>
      <c r="G885" s="127"/>
      <c r="H885" s="127"/>
    </row>
    <row r="886" spans="3:8">
      <c r="C886" s="127"/>
      <c r="D886" s="18"/>
      <c r="F886" s="127"/>
      <c r="G886" s="127"/>
      <c r="H886" s="127"/>
    </row>
    <row r="887" spans="3:8">
      <c r="C887" s="127"/>
      <c r="D887" s="18"/>
      <c r="F887" s="127"/>
      <c r="G887" s="127"/>
      <c r="H887" s="127"/>
    </row>
    <row r="888" spans="3:8">
      <c r="C888" s="127"/>
      <c r="D888" s="18"/>
      <c r="F888" s="127"/>
      <c r="G888" s="127"/>
      <c r="H888" s="127"/>
    </row>
    <row r="889" spans="3:8">
      <c r="C889" s="127"/>
      <c r="D889" s="18"/>
      <c r="F889" s="127"/>
      <c r="G889" s="127"/>
      <c r="H889" s="127"/>
    </row>
    <row r="890" spans="3:8">
      <c r="C890" s="127"/>
      <c r="D890" s="18"/>
      <c r="F890" s="127"/>
      <c r="G890" s="127"/>
      <c r="H890" s="127"/>
    </row>
    <row r="891" spans="3:8">
      <c r="C891" s="127"/>
      <c r="D891" s="18"/>
      <c r="F891" s="127"/>
      <c r="G891" s="127"/>
      <c r="H891" s="127"/>
    </row>
    <row r="892" spans="3:8">
      <c r="C892" s="127"/>
      <c r="D892" s="18"/>
      <c r="F892" s="127"/>
      <c r="G892" s="127"/>
      <c r="H892" s="127"/>
    </row>
    <row r="893" spans="3:8">
      <c r="C893" s="127"/>
      <c r="D893" s="18"/>
      <c r="F893" s="127"/>
      <c r="G893" s="127"/>
      <c r="H893" s="127"/>
    </row>
    <row r="894" spans="3:8">
      <c r="C894" s="127"/>
      <c r="D894" s="18"/>
      <c r="F894" s="127"/>
      <c r="G894" s="127"/>
      <c r="H894" s="127"/>
    </row>
    <row r="895" spans="3:8">
      <c r="C895" s="127"/>
      <c r="D895" s="18"/>
      <c r="F895" s="127"/>
      <c r="G895" s="127"/>
      <c r="H895" s="127"/>
    </row>
    <row r="896" spans="3:8">
      <c r="C896" s="127"/>
      <c r="D896" s="18"/>
      <c r="F896" s="127"/>
      <c r="G896" s="127"/>
      <c r="H896" s="127"/>
    </row>
    <row r="897" spans="3:8">
      <c r="C897" s="127"/>
      <c r="D897" s="18"/>
      <c r="F897" s="127"/>
      <c r="G897" s="127"/>
      <c r="H897" s="127"/>
    </row>
    <row r="898" spans="3:8">
      <c r="C898" s="127"/>
      <c r="D898" s="18"/>
      <c r="F898" s="127"/>
      <c r="G898" s="127"/>
      <c r="H898" s="127"/>
    </row>
    <row r="899" spans="3:8">
      <c r="C899" s="127"/>
      <c r="D899" s="18"/>
      <c r="F899" s="127"/>
      <c r="G899" s="127"/>
      <c r="H899" s="127"/>
    </row>
    <row r="900" spans="3:8">
      <c r="C900" s="127"/>
      <c r="D900" s="18"/>
      <c r="F900" s="127"/>
      <c r="G900" s="127"/>
      <c r="H900" s="127"/>
    </row>
    <row r="901" spans="3:8">
      <c r="C901" s="127"/>
      <c r="D901" s="18"/>
      <c r="F901" s="127"/>
      <c r="G901" s="127"/>
      <c r="H901" s="127"/>
    </row>
    <row r="902" spans="3:8">
      <c r="C902" s="127"/>
      <c r="D902" s="18"/>
      <c r="F902" s="127"/>
      <c r="G902" s="127"/>
      <c r="H902" s="127"/>
    </row>
    <row r="903" spans="3:8">
      <c r="C903" s="127"/>
      <c r="D903" s="18"/>
      <c r="F903" s="127"/>
      <c r="G903" s="127"/>
      <c r="H903" s="127"/>
    </row>
    <row r="904" spans="3:8">
      <c r="C904" s="127"/>
      <c r="D904" s="18"/>
      <c r="F904" s="127"/>
      <c r="G904" s="127"/>
      <c r="H904" s="127"/>
    </row>
    <row r="905" spans="3:8">
      <c r="C905" s="127"/>
      <c r="D905" s="18"/>
      <c r="F905" s="127"/>
      <c r="G905" s="127"/>
      <c r="H905" s="127"/>
    </row>
    <row r="906" spans="3:8">
      <c r="C906" s="127"/>
      <c r="D906" s="18"/>
      <c r="F906" s="127"/>
      <c r="G906" s="127"/>
      <c r="H906" s="127"/>
    </row>
    <row r="907" spans="3:8">
      <c r="C907" s="127"/>
      <c r="D907" s="18"/>
      <c r="F907" s="127"/>
      <c r="G907" s="127"/>
      <c r="H907" s="127"/>
    </row>
    <row r="908" spans="3:8">
      <c r="C908" s="127"/>
      <c r="D908" s="18"/>
      <c r="F908" s="127"/>
      <c r="G908" s="127"/>
      <c r="H908" s="127"/>
    </row>
    <row r="909" spans="3:8">
      <c r="C909" s="127"/>
      <c r="D909" s="18"/>
      <c r="F909" s="127"/>
      <c r="G909" s="127"/>
      <c r="H909" s="127"/>
    </row>
    <row r="910" spans="3:8">
      <c r="C910" s="127"/>
      <c r="D910" s="18"/>
      <c r="F910" s="127"/>
      <c r="G910" s="127"/>
      <c r="H910" s="127"/>
    </row>
    <row r="911" spans="3:8">
      <c r="C911" s="127"/>
      <c r="D911" s="18"/>
      <c r="F911" s="127"/>
      <c r="G911" s="127"/>
      <c r="H911" s="127"/>
    </row>
    <row r="912" spans="3:8">
      <c r="C912" s="127"/>
      <c r="D912" s="18"/>
      <c r="F912" s="127"/>
      <c r="G912" s="127"/>
      <c r="H912" s="127"/>
    </row>
    <row r="913" spans="3:8">
      <c r="C913" s="127"/>
      <c r="D913" s="18"/>
      <c r="F913" s="127"/>
      <c r="G913" s="127"/>
      <c r="H913" s="127"/>
    </row>
    <row r="914" spans="3:8">
      <c r="C914" s="127"/>
      <c r="D914" s="18"/>
      <c r="F914" s="127"/>
      <c r="G914" s="127"/>
      <c r="H914" s="127"/>
    </row>
    <row r="915" spans="3:8">
      <c r="C915" s="127"/>
      <c r="D915" s="18"/>
      <c r="F915" s="127"/>
      <c r="G915" s="127"/>
      <c r="H915" s="127"/>
    </row>
    <row r="916" spans="3:8">
      <c r="C916" s="127"/>
      <c r="D916" s="18"/>
      <c r="F916" s="127"/>
      <c r="G916" s="127"/>
      <c r="H916" s="127"/>
    </row>
    <row r="917" spans="3:8">
      <c r="C917" s="127"/>
      <c r="D917" s="18"/>
      <c r="F917" s="127"/>
      <c r="G917" s="127"/>
      <c r="H917" s="127"/>
    </row>
    <row r="918" spans="3:8">
      <c r="C918" s="127"/>
      <c r="D918" s="18"/>
      <c r="F918" s="127"/>
      <c r="G918" s="127"/>
      <c r="H918" s="127"/>
    </row>
    <row r="919" spans="3:8">
      <c r="C919" s="127"/>
      <c r="D919" s="18"/>
      <c r="F919" s="127"/>
      <c r="G919" s="127"/>
      <c r="H919" s="127"/>
    </row>
    <row r="920" spans="3:8">
      <c r="C920" s="127"/>
      <c r="D920" s="18"/>
      <c r="F920" s="127"/>
      <c r="G920" s="127"/>
      <c r="H920" s="127"/>
    </row>
    <row r="921" spans="3:8">
      <c r="C921" s="127"/>
      <c r="D921" s="18"/>
      <c r="F921" s="127"/>
      <c r="G921" s="127"/>
      <c r="H921" s="127"/>
    </row>
    <row r="922" spans="3:8">
      <c r="C922" s="127"/>
      <c r="D922" s="18"/>
      <c r="F922" s="127"/>
      <c r="G922" s="127"/>
      <c r="H922" s="127"/>
    </row>
    <row r="923" spans="3:8">
      <c r="C923" s="127"/>
      <c r="D923" s="18"/>
      <c r="F923" s="127"/>
      <c r="G923" s="127"/>
      <c r="H923" s="127"/>
    </row>
    <row r="924" spans="3:8">
      <c r="C924" s="127"/>
      <c r="D924" s="18"/>
      <c r="F924" s="127"/>
      <c r="G924" s="127"/>
      <c r="H924" s="127"/>
    </row>
    <row r="925" spans="3:8">
      <c r="C925" s="127"/>
      <c r="D925" s="18"/>
      <c r="F925" s="127"/>
      <c r="G925" s="127"/>
      <c r="H925" s="127"/>
    </row>
    <row r="926" spans="3:8">
      <c r="C926" s="127"/>
      <c r="D926" s="18"/>
      <c r="F926" s="127"/>
      <c r="G926" s="127"/>
      <c r="H926" s="127"/>
    </row>
    <row r="927" spans="3:8">
      <c r="C927" s="127"/>
      <c r="D927" s="18"/>
      <c r="F927" s="127"/>
      <c r="G927" s="127"/>
      <c r="H927" s="127"/>
    </row>
    <row r="928" spans="3:8">
      <c r="C928" s="127"/>
      <c r="D928" s="18"/>
      <c r="F928" s="127"/>
      <c r="G928" s="127"/>
      <c r="H928" s="127"/>
    </row>
    <row r="929" spans="3:8">
      <c r="C929" s="127"/>
      <c r="D929" s="18"/>
      <c r="F929" s="127"/>
      <c r="G929" s="127"/>
      <c r="H929" s="127"/>
    </row>
    <row r="930" spans="3:8">
      <c r="C930" s="127"/>
      <c r="D930" s="18"/>
      <c r="F930" s="127"/>
      <c r="G930" s="127"/>
      <c r="H930" s="127"/>
    </row>
    <row r="931" spans="3:8">
      <c r="C931" s="127"/>
      <c r="D931" s="18"/>
      <c r="F931" s="127"/>
      <c r="G931" s="127"/>
      <c r="H931" s="127"/>
    </row>
    <row r="932" spans="3:8">
      <c r="C932" s="127"/>
      <c r="D932" s="18"/>
      <c r="F932" s="127"/>
      <c r="G932" s="127"/>
      <c r="H932" s="127"/>
    </row>
    <row r="933" spans="3:8">
      <c r="C933" s="127"/>
      <c r="D933" s="18"/>
      <c r="F933" s="127"/>
      <c r="G933" s="127"/>
      <c r="H933" s="127"/>
    </row>
    <row r="934" spans="3:8">
      <c r="C934" s="127"/>
      <c r="D934" s="18"/>
      <c r="F934" s="127"/>
      <c r="G934" s="127"/>
      <c r="H934" s="127"/>
    </row>
    <row r="935" spans="3:8">
      <c r="C935" s="127"/>
      <c r="D935" s="18"/>
      <c r="F935" s="127"/>
      <c r="G935" s="127"/>
      <c r="H935" s="127"/>
    </row>
    <row r="936" spans="3:8">
      <c r="C936" s="127"/>
      <c r="D936" s="18"/>
      <c r="F936" s="127"/>
      <c r="G936" s="127"/>
      <c r="H936" s="127"/>
    </row>
    <row r="937" spans="3:8">
      <c r="C937" s="127"/>
      <c r="D937" s="18"/>
      <c r="F937" s="127"/>
      <c r="G937" s="127"/>
      <c r="H937" s="127"/>
    </row>
    <row r="938" spans="3:8">
      <c r="C938" s="127"/>
      <c r="D938" s="18"/>
      <c r="F938" s="127"/>
      <c r="G938" s="127"/>
      <c r="H938" s="127"/>
    </row>
    <row r="939" spans="3:8">
      <c r="C939" s="127"/>
      <c r="D939" s="18"/>
      <c r="F939" s="127"/>
      <c r="G939" s="127"/>
      <c r="H939" s="127"/>
    </row>
    <row r="940" spans="3:8">
      <c r="C940" s="127"/>
      <c r="D940" s="18"/>
      <c r="F940" s="127"/>
      <c r="G940" s="127"/>
      <c r="H940" s="127"/>
    </row>
    <row r="941" spans="3:8">
      <c r="C941" s="127"/>
      <c r="D941" s="18"/>
      <c r="F941" s="127"/>
      <c r="G941" s="127"/>
      <c r="H941" s="127"/>
    </row>
    <row r="942" spans="3:8">
      <c r="C942" s="127"/>
      <c r="D942" s="18"/>
      <c r="F942" s="127"/>
      <c r="G942" s="127"/>
      <c r="H942" s="127"/>
    </row>
    <row r="943" spans="3:8">
      <c r="C943" s="127"/>
      <c r="D943" s="18"/>
      <c r="F943" s="127"/>
      <c r="G943" s="127"/>
      <c r="H943" s="127"/>
    </row>
    <row r="944" spans="3:8">
      <c r="C944" s="127"/>
      <c r="D944" s="18"/>
      <c r="F944" s="127"/>
      <c r="G944" s="127"/>
      <c r="H944" s="127"/>
    </row>
    <row r="945" spans="3:8">
      <c r="C945" s="127"/>
      <c r="D945" s="18"/>
      <c r="F945" s="127"/>
      <c r="G945" s="127"/>
      <c r="H945" s="127"/>
    </row>
    <row r="946" spans="3:8">
      <c r="C946" s="127"/>
      <c r="D946" s="18"/>
      <c r="F946" s="127"/>
      <c r="G946" s="127"/>
      <c r="H946" s="127"/>
    </row>
    <row r="947" spans="3:8">
      <c r="C947" s="127"/>
      <c r="D947" s="18"/>
      <c r="F947" s="127"/>
      <c r="G947" s="127"/>
      <c r="H947" s="127"/>
    </row>
    <row r="948" spans="3:8">
      <c r="C948" s="127"/>
      <c r="D948" s="18"/>
      <c r="F948" s="127"/>
      <c r="G948" s="127"/>
      <c r="H948" s="127"/>
    </row>
    <row r="949" spans="3:8">
      <c r="C949" s="127"/>
      <c r="D949" s="18"/>
      <c r="F949" s="127"/>
      <c r="G949" s="127"/>
      <c r="H949" s="127"/>
    </row>
    <row r="950" spans="3:8">
      <c r="C950" s="127"/>
      <c r="D950" s="18"/>
      <c r="F950" s="127"/>
      <c r="G950" s="127"/>
      <c r="H950" s="127"/>
    </row>
    <row r="951" spans="3:8">
      <c r="C951" s="127"/>
      <c r="D951" s="18"/>
      <c r="F951" s="127"/>
      <c r="G951" s="127"/>
      <c r="H951" s="127"/>
    </row>
    <row r="952" spans="3:8">
      <c r="C952" s="127"/>
      <c r="D952" s="18"/>
      <c r="F952" s="127"/>
      <c r="G952" s="127"/>
      <c r="H952" s="127"/>
    </row>
    <row r="953" spans="3:8">
      <c r="C953" s="127"/>
      <c r="D953" s="18"/>
      <c r="F953" s="127"/>
      <c r="G953" s="127"/>
      <c r="H953" s="127"/>
    </row>
    <row r="954" spans="3:8">
      <c r="C954" s="127"/>
      <c r="D954" s="18"/>
      <c r="F954" s="127"/>
      <c r="G954" s="127"/>
      <c r="H954" s="127"/>
    </row>
    <row r="955" spans="3:8">
      <c r="C955" s="127"/>
      <c r="D955" s="18"/>
      <c r="F955" s="127"/>
      <c r="G955" s="127"/>
      <c r="H955" s="127"/>
    </row>
    <row r="956" spans="3:8">
      <c r="C956" s="127"/>
      <c r="D956" s="18"/>
      <c r="F956" s="127"/>
      <c r="G956" s="127"/>
      <c r="H956" s="127"/>
    </row>
    <row r="957" spans="3:8">
      <c r="C957" s="127"/>
      <c r="D957" s="18"/>
      <c r="F957" s="127"/>
      <c r="G957" s="127"/>
      <c r="H957" s="127"/>
    </row>
    <row r="958" spans="3:8">
      <c r="C958" s="127"/>
      <c r="D958" s="18"/>
      <c r="F958" s="127"/>
      <c r="G958" s="127"/>
      <c r="H958" s="127"/>
    </row>
    <row r="959" spans="3:8">
      <c r="C959" s="127"/>
      <c r="D959" s="18"/>
      <c r="F959" s="127"/>
      <c r="G959" s="127"/>
      <c r="H959" s="127"/>
    </row>
    <row r="960" spans="3:8">
      <c r="C960" s="127"/>
      <c r="D960" s="18"/>
      <c r="F960" s="127"/>
      <c r="G960" s="127"/>
      <c r="H960" s="127"/>
    </row>
    <row r="961" spans="3:8">
      <c r="C961" s="127"/>
      <c r="D961" s="18"/>
      <c r="F961" s="127"/>
      <c r="G961" s="127"/>
      <c r="H961" s="127"/>
    </row>
    <row r="962" spans="3:8">
      <c r="C962" s="127"/>
      <c r="D962" s="18"/>
      <c r="F962" s="127"/>
      <c r="G962" s="127"/>
      <c r="H962" s="127"/>
    </row>
    <row r="963" spans="3:8">
      <c r="C963" s="127"/>
      <c r="D963" s="18"/>
      <c r="F963" s="127"/>
      <c r="G963" s="127"/>
      <c r="H963" s="127"/>
    </row>
    <row r="964" spans="3:8">
      <c r="C964" s="127"/>
      <c r="D964" s="18"/>
      <c r="F964" s="127"/>
      <c r="G964" s="127"/>
      <c r="H964" s="127"/>
    </row>
    <row r="965" spans="3:8">
      <c r="C965" s="127"/>
      <c r="D965" s="18"/>
      <c r="F965" s="127"/>
      <c r="G965" s="127"/>
      <c r="H965" s="127"/>
    </row>
    <row r="966" spans="3:8">
      <c r="C966" s="127"/>
      <c r="D966" s="18"/>
      <c r="F966" s="127"/>
      <c r="G966" s="127"/>
      <c r="H966" s="127"/>
    </row>
    <row r="967" spans="3:8">
      <c r="C967" s="127"/>
      <c r="D967" s="18"/>
      <c r="F967" s="127"/>
      <c r="G967" s="127"/>
      <c r="H967" s="127"/>
    </row>
    <row r="968" spans="3:8">
      <c r="C968" s="127"/>
      <c r="D968" s="18"/>
      <c r="F968" s="127"/>
      <c r="G968" s="127"/>
      <c r="H968" s="127"/>
    </row>
    <row r="969" spans="3:8">
      <c r="C969" s="127"/>
      <c r="D969" s="18"/>
      <c r="F969" s="127"/>
      <c r="G969" s="127"/>
      <c r="H969" s="127"/>
    </row>
    <row r="970" spans="3:8">
      <c r="C970" s="127"/>
      <c r="D970" s="18"/>
      <c r="F970" s="127"/>
      <c r="G970" s="127"/>
      <c r="H970" s="127"/>
    </row>
    <row r="971" spans="3:8">
      <c r="C971" s="127"/>
      <c r="D971" s="18"/>
      <c r="F971" s="127"/>
      <c r="G971" s="127"/>
      <c r="H971" s="127"/>
    </row>
    <row r="972" spans="3:8">
      <c r="C972" s="127"/>
      <c r="D972" s="18"/>
      <c r="F972" s="127"/>
      <c r="G972" s="127"/>
      <c r="H972" s="127"/>
    </row>
    <row r="973" spans="3:8">
      <c r="C973" s="127"/>
      <c r="D973" s="18"/>
      <c r="F973" s="127"/>
      <c r="G973" s="127"/>
      <c r="H973" s="127"/>
    </row>
    <row r="974" spans="3:8">
      <c r="C974" s="127"/>
      <c r="D974" s="18"/>
      <c r="F974" s="127"/>
      <c r="G974" s="127"/>
      <c r="H974" s="127"/>
    </row>
    <row r="975" spans="3:8">
      <c r="C975" s="127"/>
      <c r="D975" s="18"/>
      <c r="F975" s="127"/>
      <c r="G975" s="127"/>
      <c r="H975" s="127"/>
    </row>
    <row r="976" spans="3:8">
      <c r="C976" s="127"/>
      <c r="D976" s="18"/>
      <c r="F976" s="127"/>
      <c r="G976" s="127"/>
      <c r="H976" s="127"/>
    </row>
    <row r="977" spans="3:8">
      <c r="C977" s="127"/>
      <c r="D977" s="18"/>
      <c r="F977" s="127"/>
      <c r="G977" s="127"/>
      <c r="H977" s="127"/>
    </row>
    <row r="978" spans="3:8">
      <c r="C978" s="127"/>
      <c r="D978" s="18"/>
      <c r="F978" s="127"/>
      <c r="G978" s="127"/>
      <c r="H978" s="127"/>
    </row>
    <row r="979" spans="3:8">
      <c r="C979" s="127"/>
      <c r="D979" s="18"/>
      <c r="F979" s="127"/>
      <c r="G979" s="127"/>
      <c r="H979" s="127"/>
    </row>
    <row r="980" spans="3:8">
      <c r="C980" s="127"/>
      <c r="D980" s="18"/>
      <c r="F980" s="127"/>
      <c r="G980" s="127"/>
      <c r="H980" s="127"/>
    </row>
    <row r="981" spans="3:8">
      <c r="C981" s="127"/>
      <c r="D981" s="18"/>
      <c r="F981" s="127"/>
      <c r="G981" s="127"/>
      <c r="H981" s="127"/>
    </row>
    <row r="982" spans="3:8">
      <c r="C982" s="127"/>
      <c r="D982" s="18"/>
      <c r="F982" s="127"/>
      <c r="G982" s="127"/>
      <c r="H982" s="127"/>
    </row>
    <row r="983" spans="3:8">
      <c r="C983" s="127"/>
      <c r="D983" s="18"/>
      <c r="F983" s="127"/>
      <c r="G983" s="127"/>
      <c r="H983" s="127"/>
    </row>
    <row r="984" spans="3:8">
      <c r="C984" s="127"/>
      <c r="D984" s="18"/>
      <c r="F984" s="127"/>
      <c r="G984" s="127"/>
    </row>
    <row r="985" spans="3:8">
      <c r="C985" s="127"/>
      <c r="D985" s="18"/>
      <c r="F985" s="127"/>
      <c r="G985" s="127"/>
    </row>
  </sheetData>
  <autoFilter ref="A1:Z780" xr:uid="{00000000-0001-0000-0100-000000000000}"/>
  <sortState xmlns:xlrd2="http://schemas.microsoft.com/office/spreadsheetml/2017/richdata2" ref="A787:Z981">
    <sortCondition descending="1" ref="D787:D981"/>
  </sortState>
  <mergeCells count="1">
    <mergeCell ref="B780:K780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70"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U258"/>
  <sheetViews>
    <sheetView tabSelected="1" workbookViewId="0">
      <pane ySplit="25" topLeftCell="A83" activePane="bottomLeft" state="frozen"/>
      <selection activeCell="J36" sqref="J36"/>
      <selection pane="bottomLeft" activeCell="C45" sqref="C45"/>
    </sheetView>
  </sheetViews>
  <sheetFormatPr defaultRowHeight="12"/>
  <cols>
    <col min="1" max="1" width="12.140625" bestFit="1" customWidth="1"/>
    <col min="2" max="16" width="13.42578125" customWidth="1"/>
    <col min="17" max="17" width="4.42578125" customWidth="1"/>
    <col min="19" max="19" width="13.7109375" bestFit="1" customWidth="1"/>
  </cols>
  <sheetData>
    <row r="1" spans="1:21" ht="12" customHeight="1">
      <c r="O1" s="16"/>
    </row>
    <row r="2" spans="1:21" ht="12" customHeight="1">
      <c r="A2" s="116" t="s">
        <v>61</v>
      </c>
      <c r="B2" s="117" t="s">
        <v>21</v>
      </c>
      <c r="C2" s="117" t="s">
        <v>23</v>
      </c>
      <c r="D2" s="117" t="s">
        <v>63</v>
      </c>
      <c r="E2" s="117" t="s">
        <v>64</v>
      </c>
      <c r="F2" s="118" t="s">
        <v>22</v>
      </c>
      <c r="J2" s="98" t="s">
        <v>103</v>
      </c>
      <c r="K2" s="99" t="s">
        <v>2133</v>
      </c>
      <c r="L2" s="99" t="s">
        <v>2134</v>
      </c>
      <c r="M2" s="99" t="s">
        <v>2136</v>
      </c>
      <c r="N2" s="99" t="s">
        <v>2132</v>
      </c>
      <c r="O2" s="99" t="s">
        <v>2135</v>
      </c>
      <c r="P2" s="100" t="s">
        <v>99</v>
      </c>
      <c r="R2" s="87" t="s">
        <v>100</v>
      </c>
      <c r="S2" s="88" t="s">
        <v>204</v>
      </c>
    </row>
    <row r="3" spans="1:21" ht="12" customHeight="1">
      <c r="A3" s="260" t="s">
        <v>42</v>
      </c>
      <c r="B3" s="261">
        <f>'1월'!L129</f>
        <v>380620734</v>
      </c>
      <c r="C3" s="261">
        <f>'1월'!M129</f>
        <v>38062073.700000003</v>
      </c>
      <c r="D3" s="261">
        <f>'1월'!N129</f>
        <v>418682807.69999999</v>
      </c>
      <c r="E3" s="261">
        <f>'1월'!D131</f>
        <v>115</v>
      </c>
      <c r="F3" s="262">
        <f>'1월'!Q129</f>
        <v>62686433.378787868</v>
      </c>
      <c r="G3" s="18"/>
      <c r="I3" s="272" t="s">
        <v>2138</v>
      </c>
      <c r="J3" s="93" t="s">
        <v>16</v>
      </c>
      <c r="K3" s="94">
        <f>SUMIFS(Master!$L$2:$L$779,Master!$S$2:$S$779,분류!K$2,Master!$G$2:$G$779,분류!$J3)</f>
        <v>267060602</v>
      </c>
      <c r="L3" s="94">
        <f>SUMIFS(Master!$L$2:$L$779,Master!$S$2:$S$779,분류!L$2,Master!$G$2:$G$779,분류!$J3)</f>
        <v>89662002</v>
      </c>
      <c r="M3" s="94">
        <f>SUMIFS(Master!$L$2:$L$779,Master!$S$2:$S$779,분류!M$2,Master!$G$2:$G$779,분류!$J3)</f>
        <v>769518660</v>
      </c>
      <c r="N3" s="94">
        <f>SUMIFS(Master!$L$2:$L$779,Master!$S$2:$S$779,분류!N$2,Master!$G$2:$G$779,분류!$J3)</f>
        <v>500000</v>
      </c>
      <c r="O3" s="94">
        <f>SUMIFS(Master!$L$2:$L$779,Master!$S$2:$S$779,분류!O$2,Master!$G$2:$G$779,분류!$J3)</f>
        <v>0</v>
      </c>
      <c r="P3" s="95">
        <f>SUM(K3:O3)</f>
        <v>1126741264</v>
      </c>
      <c r="R3" s="89" t="str">
        <f>IF(B20=P11,"OK","F")</f>
        <v>OK</v>
      </c>
      <c r="S3" s="90">
        <f>B20-P11</f>
        <v>0</v>
      </c>
    </row>
    <row r="4" spans="1:21" ht="12" customHeight="1">
      <c r="A4" s="119" t="s">
        <v>43</v>
      </c>
      <c r="B4" s="111">
        <f>'2월'!L134</f>
        <v>231155498</v>
      </c>
      <c r="C4" s="111">
        <f>'2월'!M134</f>
        <v>23115549.699999999</v>
      </c>
      <c r="D4" s="111">
        <f>'2월'!N134</f>
        <v>254271047.69999999</v>
      </c>
      <c r="E4" s="111">
        <f>'2월'!D136</f>
        <v>117</v>
      </c>
      <c r="F4" s="112">
        <f>'2월'!Q134</f>
        <v>53454099.499999993</v>
      </c>
      <c r="G4" s="18"/>
      <c r="I4" s="272"/>
      <c r="J4" s="93" t="s">
        <v>29</v>
      </c>
      <c r="K4" s="94">
        <f>SUMIFS(Master!$L$2:$L$779,Master!$S$2:$S$779,분류!K$2,Master!$G$2:$G$779,분류!$J4)</f>
        <v>0</v>
      </c>
      <c r="L4" s="94">
        <f>SUMIFS(Master!$L$2:$L$779,Master!$S$2:$S$779,분류!L$2,Master!$G$2:$G$779,분류!$J4)</f>
        <v>0</v>
      </c>
      <c r="M4" s="94">
        <f>SUMIFS(Master!$L$2:$L$779,Master!$S$2:$S$779,분류!M$2,Master!$G$2:$G$779,분류!$J4)</f>
        <v>43137000</v>
      </c>
      <c r="N4" s="94">
        <f>SUMIFS(Master!$L$2:$L$779,Master!$S$2:$S$779,분류!N$2,Master!$G$2:$G$779,분류!$J4)</f>
        <v>0</v>
      </c>
      <c r="O4" s="94">
        <f>SUMIFS(Master!$L$2:$L$779,Master!$S$2:$S$779,분류!O$2,Master!$G$2:$G$779,분류!$J4)</f>
        <v>0</v>
      </c>
      <c r="P4" s="95">
        <f t="shared" ref="P4:P10" si="0">SUM(K4:O4)</f>
        <v>43137000</v>
      </c>
      <c r="U4" s="222"/>
    </row>
    <row r="5" spans="1:21" ht="12" customHeight="1">
      <c r="A5" s="263" t="s">
        <v>44</v>
      </c>
      <c r="B5" s="264">
        <f>'3월'!L126</f>
        <v>285300289</v>
      </c>
      <c r="C5" s="264">
        <f>'3월'!M126</f>
        <v>28530029.199999999</v>
      </c>
      <c r="D5" s="264">
        <f>'3월'!N126</f>
        <v>313830318.19999999</v>
      </c>
      <c r="E5" s="264">
        <f>'3월'!D128</f>
        <v>115</v>
      </c>
      <c r="F5" s="122">
        <f>'3월'!Q126</f>
        <v>56080695.166666672</v>
      </c>
      <c r="G5" s="18">
        <f>SUM(B3:B5)</f>
        <v>897076521</v>
      </c>
      <c r="I5" s="272"/>
      <c r="J5" s="93" t="s">
        <v>10</v>
      </c>
      <c r="K5" s="94">
        <f>SUMIFS(Master!$L$2:$L$779,Master!$S$2:$S$779,분류!K$2,Master!$G$2:$G$779,분류!$J5)</f>
        <v>0</v>
      </c>
      <c r="L5" s="94">
        <f>SUMIFS(Master!$L$2:$L$779,Master!$S$2:$S$779,분류!L$2,Master!$G$2:$G$779,분류!$J5)</f>
        <v>0</v>
      </c>
      <c r="M5" s="94">
        <f>SUMIFS(Master!$L$2:$L$779,Master!$S$2:$S$779,분류!M$2,Master!$G$2:$G$779,분류!$J5)</f>
        <v>13000000</v>
      </c>
      <c r="N5" s="94">
        <f>SUMIFS(Master!$L$2:$L$779,Master!$S$2:$S$779,분류!N$2,Master!$G$2:$G$779,분류!$J5)</f>
        <v>0</v>
      </c>
      <c r="O5" s="94">
        <f>SUMIFS(Master!$L$2:$L$779,Master!$S$2:$S$779,분류!O$2,Master!$G$2:$G$779,분류!$J5)</f>
        <v>0</v>
      </c>
      <c r="P5" s="95">
        <f t="shared" si="0"/>
        <v>13000000</v>
      </c>
      <c r="U5" s="222"/>
    </row>
    <row r="6" spans="1:21" ht="12" customHeight="1">
      <c r="A6" s="119" t="s">
        <v>45</v>
      </c>
      <c r="B6" s="111">
        <f>'4월'!L142</f>
        <v>274111414</v>
      </c>
      <c r="C6" s="111">
        <f>'4월'!M142</f>
        <v>27411141.699999999</v>
      </c>
      <c r="D6" s="111">
        <f>'4월'!N142</f>
        <v>301522555.69999999</v>
      </c>
      <c r="E6" s="111">
        <f>'4월'!D144</f>
        <v>119</v>
      </c>
      <c r="F6" s="112">
        <f>'4월'!Q142</f>
        <v>53721843.439393945</v>
      </c>
      <c r="G6" s="18"/>
      <c r="I6" s="16" t="s">
        <v>2139</v>
      </c>
      <c r="J6" s="93" t="s">
        <v>34</v>
      </c>
      <c r="K6" s="94">
        <f>SUMIFS(Master!$L$2:$L$779,Master!$S$2:$S$779,분류!K$2,Master!$G$2:$G$779,분류!$J6)</f>
        <v>0</v>
      </c>
      <c r="L6" s="94">
        <f>SUMIFS(Master!$L$2:$L$779,Master!$S$2:$S$779,분류!L$2,Master!$G$2:$G$779,분류!$J6)</f>
        <v>0</v>
      </c>
      <c r="M6" s="94">
        <f>SUMIFS(Master!$L$2:$L$779,Master!$S$2:$S$779,분류!M$2,Master!$G$2:$G$779,분류!$J6)</f>
        <v>0</v>
      </c>
      <c r="N6" s="94">
        <f>SUMIFS(Master!$L$2:$L$779,Master!$S$2:$S$779,분류!N$2,Master!$G$2:$G$779,분류!$J6)</f>
        <v>0</v>
      </c>
      <c r="O6" s="94">
        <f>SUMIFS(Master!$L$2:$L$779,Master!$S$2:$S$779,분류!O$2,Master!$G$2:$G$779,분류!$J6)</f>
        <v>80084794</v>
      </c>
      <c r="P6" s="95">
        <f t="shared" si="0"/>
        <v>80084794</v>
      </c>
    </row>
    <row r="7" spans="1:21" ht="12" customHeight="1">
      <c r="A7" s="119" t="s">
        <v>46</v>
      </c>
      <c r="B7" s="111">
        <f>'5월'!L120</f>
        <v>207663334</v>
      </c>
      <c r="C7" s="111">
        <f>'5월'!M120</f>
        <v>20766333.699999999</v>
      </c>
      <c r="D7" s="111">
        <f>'5월'!N120</f>
        <v>228429667.69999999</v>
      </c>
      <c r="E7" s="111">
        <f>'5월'!D122</f>
        <v>109</v>
      </c>
      <c r="F7" s="112">
        <f>'5월'!Q120</f>
        <v>42257023.666666672</v>
      </c>
      <c r="G7" s="18"/>
      <c r="I7" s="272" t="s">
        <v>2137</v>
      </c>
      <c r="J7" s="93" t="s">
        <v>15</v>
      </c>
      <c r="K7" s="94">
        <f>SUMIFS(Master!$L$2:$L$779,Master!$S$2:$S$779,분류!K$2,Master!$G$2:$G$779,분류!$J7)</f>
        <v>92306000</v>
      </c>
      <c r="L7" s="94">
        <f>SUMIFS(Master!$L$2:$L$779,Master!$S$2:$S$779,분류!L$2,Master!$G$2:$G$779,분류!$J7)</f>
        <v>207424000</v>
      </c>
      <c r="M7" s="94">
        <f>SUMIFS(Master!$L$2:$L$779,Master!$S$2:$S$779,분류!M$2,Master!$G$2:$G$779,분류!$J7)</f>
        <v>93178000</v>
      </c>
      <c r="N7" s="94">
        <f>SUMIFS(Master!$L$2:$L$779,Master!$S$2:$S$779,분류!N$2,Master!$G$2:$G$779,분류!$J7)</f>
        <v>43123000</v>
      </c>
      <c r="O7" s="94">
        <f>SUMIFS(Master!$L$2:$L$779,Master!$S$2:$S$779,분류!O$2,Master!$G$2:$G$779,분류!$J7)</f>
        <v>0</v>
      </c>
      <c r="P7" s="95">
        <f t="shared" si="0"/>
        <v>436031000</v>
      </c>
    </row>
    <row r="8" spans="1:21" ht="12" customHeight="1">
      <c r="A8" s="263" t="s">
        <v>47</v>
      </c>
      <c r="B8" s="264">
        <f>'6월'!L149</f>
        <v>331652789</v>
      </c>
      <c r="C8" s="264">
        <f>'6월'!M149</f>
        <v>33165279.199999999</v>
      </c>
      <c r="D8" s="264">
        <f>'6월'!N149</f>
        <v>364818068.19999999</v>
      </c>
      <c r="E8" s="264">
        <f>'6월'!D149</f>
        <v>127</v>
      </c>
      <c r="F8" s="122">
        <f>'6월'!Q147</f>
        <v>73097156.666666672</v>
      </c>
      <c r="G8" s="18">
        <f>SUM(B6:B8)</f>
        <v>813427537</v>
      </c>
      <c r="I8" s="272"/>
      <c r="J8" s="235" t="s">
        <v>35</v>
      </c>
      <c r="K8" s="236">
        <f>SUMIFS(Master!$L$2:$L$779,Master!$S$2:$S$779,분류!K$2,Master!$G$2:$G$779,분류!$J8)</f>
        <v>0</v>
      </c>
      <c r="L8" s="236">
        <f>SUMIFS(Master!$L$2:$L$779,Master!$S$2:$S$779,분류!L$2,Master!$G$2:$G$779,분류!$J8)</f>
        <v>4210000</v>
      </c>
      <c r="M8" s="236">
        <f>SUMIFS(Master!$L$2:$L$779,Master!$S$2:$S$779,분류!M$2,Master!$G$2:$G$779,분류!$J8)</f>
        <v>7100000</v>
      </c>
      <c r="N8" s="236">
        <f>SUMIFS(Master!$L$2:$L$779,Master!$S$2:$S$779,분류!N$2,Master!$G$2:$G$779,분류!$J8)</f>
        <v>200000</v>
      </c>
      <c r="O8" s="236">
        <f>SUMIFS(Master!$L$2:$L$779,Master!$S$2:$S$779,분류!O$2,Master!$G$2:$G$779,분류!$J8)</f>
        <v>0</v>
      </c>
      <c r="P8" s="237">
        <f t="shared" si="0"/>
        <v>11510000</v>
      </c>
    </row>
    <row r="9" spans="1:21" ht="12" customHeight="1">
      <c r="A9" s="119" t="s">
        <v>57</v>
      </c>
      <c r="B9" s="111"/>
      <c r="C9" s="111"/>
      <c r="D9" s="111"/>
      <c r="E9" s="111"/>
      <c r="F9" s="112"/>
      <c r="G9" s="18"/>
      <c r="J9" s="93" t="s">
        <v>65</v>
      </c>
      <c r="K9" s="94"/>
      <c r="L9" s="94"/>
      <c r="M9" s="94">
        <f>B18</f>
        <v>0</v>
      </c>
      <c r="N9" s="94"/>
      <c r="O9" s="94"/>
      <c r="P9" s="95">
        <f t="shared" si="0"/>
        <v>0</v>
      </c>
    </row>
    <row r="10" spans="1:21" ht="12" customHeight="1">
      <c r="A10" s="119" t="s">
        <v>48</v>
      </c>
      <c r="B10" s="111"/>
      <c r="C10" s="111"/>
      <c r="D10" s="111"/>
      <c r="E10" s="111"/>
      <c r="F10" s="112"/>
      <c r="G10" s="18"/>
      <c r="J10" s="93" t="s">
        <v>811</v>
      </c>
      <c r="K10" s="94"/>
      <c r="L10" s="96"/>
      <c r="M10" s="204">
        <f>B17</f>
        <v>0</v>
      </c>
      <c r="N10" s="96"/>
      <c r="O10" s="97"/>
      <c r="P10" s="95">
        <f t="shared" si="0"/>
        <v>0</v>
      </c>
    </row>
    <row r="11" spans="1:21" ht="12" customHeight="1">
      <c r="A11" s="263" t="s">
        <v>49</v>
      </c>
      <c r="B11" s="264"/>
      <c r="C11" s="264"/>
      <c r="D11" s="264"/>
      <c r="E11" s="264"/>
      <c r="F11" s="122"/>
      <c r="G11" s="18"/>
      <c r="J11" s="101" t="s">
        <v>105</v>
      </c>
      <c r="K11" s="102">
        <f>SUM(K3:K10)</f>
        <v>359366602</v>
      </c>
      <c r="L11" s="102">
        <f t="shared" ref="L11:O11" si="1">SUM(L3:L10)</f>
        <v>301296002</v>
      </c>
      <c r="M11" s="102">
        <f t="shared" si="1"/>
        <v>925933660</v>
      </c>
      <c r="N11" s="102">
        <f t="shared" si="1"/>
        <v>43823000</v>
      </c>
      <c r="O11" s="102">
        <f t="shared" si="1"/>
        <v>80084794</v>
      </c>
      <c r="P11" s="103">
        <f>ROUNDDOWN(SUM(K11:O11),0)</f>
        <v>1710504058</v>
      </c>
    </row>
    <row r="12" spans="1:21" ht="12" customHeight="1">
      <c r="A12" s="119" t="s">
        <v>50</v>
      </c>
      <c r="B12" s="111"/>
      <c r="C12" s="111"/>
      <c r="D12" s="111"/>
      <c r="E12" s="111"/>
      <c r="F12" s="112"/>
      <c r="G12" s="18"/>
    </row>
    <row r="13" spans="1:21" ht="12" customHeight="1">
      <c r="A13" s="119" t="s">
        <v>51</v>
      </c>
      <c r="B13" s="111"/>
      <c r="C13" s="111"/>
      <c r="D13" s="111"/>
      <c r="E13" s="111"/>
      <c r="F13" s="112"/>
      <c r="G13" s="18"/>
      <c r="J13" s="104" t="s">
        <v>102</v>
      </c>
      <c r="K13" s="105" t="s">
        <v>2133</v>
      </c>
      <c r="L13" s="105" t="s">
        <v>2134</v>
      </c>
      <c r="M13" s="105" t="s">
        <v>2136</v>
      </c>
      <c r="N13" s="105" t="s">
        <v>2132</v>
      </c>
      <c r="O13" s="105" t="s">
        <v>2135</v>
      </c>
      <c r="P13" s="106" t="s">
        <v>99</v>
      </c>
      <c r="R13" s="91" t="s">
        <v>100</v>
      </c>
      <c r="S13" s="88" t="s">
        <v>204</v>
      </c>
    </row>
    <row r="14" spans="1:21" ht="12" customHeight="1">
      <c r="A14" s="119" t="s">
        <v>52</v>
      </c>
      <c r="B14" s="111"/>
      <c r="C14" s="111"/>
      <c r="D14" s="111"/>
      <c r="E14" s="111"/>
      <c r="F14" s="112"/>
      <c r="G14" s="18"/>
      <c r="I14" s="272" t="s">
        <v>2138</v>
      </c>
      <c r="J14" s="93" t="s">
        <v>16</v>
      </c>
      <c r="K14" s="94">
        <f>SUMIFS(Master!$Q$2:$Q$779,Master!$S$2:$S$779,분류!K$13,Master!$G$2:$G$779,분류!$J14)</f>
        <v>42978704.333333328</v>
      </c>
      <c r="L14" s="94">
        <f>SUMIFS(Master!$Q$2:$Q$779,Master!$S$2:$S$779,분류!L$13,Master!$G$2:$G$779,분류!$J14)</f>
        <v>37861465.333333328</v>
      </c>
      <c r="M14" s="94">
        <f>SUMIFS(Master!$Q$2:$Q$779,Master!$S$2:$S$779,분류!M$13,Master!$G$2:$G$779,분류!$J14)</f>
        <v>100625044.33333333</v>
      </c>
      <c r="N14" s="94">
        <f>SUMIFS(Master!$Q$2:$Q$779,Master!$S$2:$S$779,분류!N$13,Master!$G$2:$G$779,분류!$J14)</f>
        <v>500000</v>
      </c>
      <c r="O14" s="94">
        <f>SUMIFS(Master!$Q$2:$Q$779,Master!$S$2:$S$779,분류!O$13,Master!$G$2:$G$779,분류!$J14)</f>
        <v>0</v>
      </c>
      <c r="P14" s="95">
        <f>SUM(K14:O14)</f>
        <v>181965214</v>
      </c>
      <c r="R14" s="89" t="str">
        <f>IF(F20=P22,"OK","F")</f>
        <v>OK</v>
      </c>
      <c r="S14" s="122">
        <f>F20-P22</f>
        <v>0</v>
      </c>
    </row>
    <row r="15" spans="1:21" ht="12" customHeight="1">
      <c r="A15" s="115" t="s">
        <v>58</v>
      </c>
      <c r="B15" s="113">
        <f>SUM(B3:B14)</f>
        <v>1710504058</v>
      </c>
      <c r="C15" s="113">
        <f t="shared" ref="C15:E15" si="2">SUM(C3:C14)</f>
        <v>171050407.19999999</v>
      </c>
      <c r="D15" s="113">
        <f t="shared" si="2"/>
        <v>1881554465.2</v>
      </c>
      <c r="E15" s="113">
        <f t="shared" si="2"/>
        <v>702</v>
      </c>
      <c r="F15" s="114">
        <f>SUM(F3:F14)</f>
        <v>341297251.81818181</v>
      </c>
      <c r="G15" s="18"/>
      <c r="I15" s="272"/>
      <c r="J15" s="93" t="s">
        <v>29</v>
      </c>
      <c r="K15" s="94">
        <f>SUMIFS(Master!$Q$2:$Q$779,Master!$S$2:$S$779,분류!K$13,Master!$G$2:$G$779,분류!$J15)</f>
        <v>0</v>
      </c>
      <c r="L15" s="94">
        <f>SUMIFS(Master!$Q$2:$Q$779,Master!$S$2:$S$779,분류!L$13,Master!$G$2:$G$779,분류!$J15)</f>
        <v>0</v>
      </c>
      <c r="M15" s="94">
        <f>SUMIFS(Master!$Q$2:$Q$779,Master!$S$2:$S$779,분류!M$13,Master!$G$2:$G$779,분류!$J15)</f>
        <v>3886847</v>
      </c>
      <c r="N15" s="94">
        <f>SUMIFS(Master!$Q$2:$Q$779,Master!$S$2:$S$779,분류!N$13,Master!$G$2:$G$779,분류!$J15)</f>
        <v>0</v>
      </c>
      <c r="O15" s="94">
        <f>SUMIFS(Master!$Q$2:$Q$779,Master!$S$2:$S$779,분류!O$13,Master!$G$2:$G$779,분류!$J15)</f>
        <v>0</v>
      </c>
      <c r="P15" s="95">
        <f t="shared" ref="P15:P19" si="3">SUM(K15:O15)</f>
        <v>3886847</v>
      </c>
    </row>
    <row r="16" spans="1:21" ht="12" customHeight="1">
      <c r="A16" s="110"/>
      <c r="B16" s="111"/>
      <c r="C16" s="111"/>
      <c r="D16" s="111"/>
      <c r="E16" s="111"/>
      <c r="F16" s="112"/>
      <c r="G16" s="18"/>
      <c r="I16" s="272"/>
      <c r="J16" s="93" t="s">
        <v>10</v>
      </c>
      <c r="K16" s="94">
        <f>SUMIFS(Master!$Q$2:$Q$779,Master!$S$2:$S$779,분류!K$13,Master!$G$2:$G$779,분류!$J16)</f>
        <v>0</v>
      </c>
      <c r="L16" s="94">
        <f>SUMIFS(Master!$Q$2:$Q$779,Master!$S$2:$S$779,분류!L$13,Master!$G$2:$G$779,분류!$J16)</f>
        <v>0</v>
      </c>
      <c r="M16" s="94">
        <f>SUMIFS(Master!$Q$2:$Q$779,Master!$S$2:$S$779,분류!M$13,Master!$G$2:$G$779,분류!$J16)</f>
        <v>6888172</v>
      </c>
      <c r="N16" s="94">
        <f>SUMIFS(Master!$Q$2:$Q$779,Master!$S$2:$S$779,분류!N$13,Master!$G$2:$G$779,분류!$J16)</f>
        <v>0</v>
      </c>
      <c r="O16" s="94">
        <f>SUMIFS(Master!$Q$2:$Q$779,Master!$S$2:$S$779,분류!O$13,Master!$G$2:$G$779,분류!$J16)</f>
        <v>0</v>
      </c>
      <c r="P16" s="95">
        <f t="shared" si="3"/>
        <v>6888172</v>
      </c>
      <c r="R16" s="123"/>
      <c r="S16" s="124"/>
    </row>
    <row r="17" spans="1:19" ht="12" customHeight="1">
      <c r="A17" s="119" t="s">
        <v>60</v>
      </c>
      <c r="B17" s="111"/>
      <c r="C17" s="111"/>
      <c r="D17" s="111"/>
      <c r="E17" s="111"/>
      <c r="F17" s="112"/>
      <c r="G17" s="18"/>
      <c r="I17" s="16" t="s">
        <v>2139</v>
      </c>
      <c r="J17" s="93" t="s">
        <v>34</v>
      </c>
      <c r="K17" s="94">
        <f>SUMIFS(Master!$Q$2:$Q$779,Master!$S$2:$S$779,분류!K$13,Master!$G$2:$G$779,분류!$J17)</f>
        <v>0</v>
      </c>
      <c r="L17" s="94">
        <f>SUMIFS(Master!$Q$2:$Q$779,Master!$S$2:$S$779,분류!L$13,Master!$G$2:$G$779,분류!$J17)</f>
        <v>0</v>
      </c>
      <c r="M17" s="94">
        <f>SUMIFS(Master!$Q$2:$Q$779,Master!$S$2:$S$779,분류!M$13,Master!$G$2:$G$779,분류!$J17)</f>
        <v>0</v>
      </c>
      <c r="N17" s="94">
        <f>SUMIFS(Master!$Q$2:$Q$779,Master!$S$2:$S$779,분류!N$13,Master!$G$2:$G$779,분류!$J17)</f>
        <v>0</v>
      </c>
      <c r="O17" s="94">
        <f>SUMIFS(Master!$Q$2:$Q$779,Master!$S$2:$S$779,분류!O$13,Master!$G$2:$G$779,분류!$J17)</f>
        <v>80084794</v>
      </c>
      <c r="P17" s="95">
        <f t="shared" si="3"/>
        <v>80084794</v>
      </c>
    </row>
    <row r="18" spans="1:19" ht="12" customHeight="1">
      <c r="A18" s="119" t="s">
        <v>65</v>
      </c>
      <c r="B18" s="111"/>
      <c r="C18" s="111"/>
      <c r="D18" s="111"/>
      <c r="E18" s="111"/>
      <c r="F18" s="61"/>
      <c r="G18" s="18"/>
      <c r="I18" s="272" t="s">
        <v>2137</v>
      </c>
      <c r="J18" s="93" t="s">
        <v>15</v>
      </c>
      <c r="K18" s="94">
        <f>SUMIFS(Master!$Q$2:$Q$779,Master!$S$2:$S$779,분류!K$13,Master!$G$2:$G$779,분류!$J18)</f>
        <v>2050090.4545454546</v>
      </c>
      <c r="L18" s="94">
        <f>SUMIFS(Master!$Q$2:$Q$779,Master!$S$2:$S$779,분류!L$13,Master!$G$2:$G$779,분류!$J18)</f>
        <v>44965084.363636367</v>
      </c>
      <c r="M18" s="94">
        <f>SUMIFS(Master!$Q$2:$Q$779,Master!$S$2:$S$779,분류!M$13,Master!$G$2:$G$779,분류!$J18)</f>
        <v>12592197</v>
      </c>
      <c r="N18" s="94">
        <f>SUMIFS(Master!$Q$2:$Q$779,Master!$S$2:$S$779,분류!N$13,Master!$G$2:$G$779,분류!$J18)</f>
        <v>3997853</v>
      </c>
      <c r="O18" s="94">
        <f>SUMIFS(Master!$Q$2:$Q$779,Master!$S$2:$S$779,분류!O$13,Master!$G$2:$G$779,분류!$J18)</f>
        <v>0</v>
      </c>
      <c r="P18" s="95">
        <f t="shared" si="3"/>
        <v>63605224.81818182</v>
      </c>
    </row>
    <row r="19" spans="1:19" ht="12" customHeight="1">
      <c r="A19" s="120"/>
      <c r="B19" s="111"/>
      <c r="C19" s="111"/>
      <c r="D19" s="111"/>
      <c r="E19" s="111"/>
      <c r="F19" s="112"/>
      <c r="G19" s="18"/>
      <c r="I19" s="272"/>
      <c r="J19" s="235" t="s">
        <v>35</v>
      </c>
      <c r="K19" s="236">
        <f>SUMIFS(Master!$Q$2:$Q$779,Master!$S$2:$S$779,분류!K$13,Master!$G$2:$G$779,분류!$J19)</f>
        <v>0</v>
      </c>
      <c r="L19" s="236">
        <f>SUMIFS(Master!$Q$2:$Q$779,Master!$S$2:$S$779,분류!L$13,Master!$G$2:$G$779,분류!$J19)</f>
        <v>4035000</v>
      </c>
      <c r="M19" s="236">
        <f>SUMIFS(Master!$Q$2:$Q$779,Master!$S$2:$S$779,분류!M$13,Master!$G$2:$G$779,분류!$J19)</f>
        <v>631999.9999999993</v>
      </c>
      <c r="N19" s="236">
        <f>SUMIFS(Master!$Q$2:$Q$779,Master!$S$2:$S$779,분류!N$13,Master!$G$2:$G$779,분류!$J19)</f>
        <v>200000</v>
      </c>
      <c r="O19" s="236">
        <f>SUMIFS(Master!$Q$2:$Q$779,Master!$S$2:$S$779,분류!O$13,Master!$G$2:$G$779,분류!$J19)</f>
        <v>0</v>
      </c>
      <c r="P19" s="237">
        <f t="shared" si="3"/>
        <v>4866999.9999999991</v>
      </c>
    </row>
    <row r="20" spans="1:19" ht="12" customHeight="1">
      <c r="A20" s="115" t="s">
        <v>59</v>
      </c>
      <c r="B20" s="113">
        <f>ROUNDDOWN(SUM(B15,B17,B18),0)</f>
        <v>1710504058</v>
      </c>
      <c r="C20" s="113">
        <f t="shared" ref="C20:D20" si="4">SUM(C15,C17,C18)</f>
        <v>171050407.19999999</v>
      </c>
      <c r="D20" s="113">
        <f t="shared" si="4"/>
        <v>1881554465.2</v>
      </c>
      <c r="E20" s="113">
        <f>SUM(E15,E17,E18)</f>
        <v>702</v>
      </c>
      <c r="F20" s="114">
        <f>ROUNDDOWN(SUM(F15,F17,F18),0)</f>
        <v>341297251</v>
      </c>
      <c r="G20" s="18"/>
      <c r="J20" s="93" t="s">
        <v>65</v>
      </c>
      <c r="K20" s="94"/>
      <c r="L20" s="94">
        <v>0</v>
      </c>
      <c r="M20" s="94">
        <f>F18</f>
        <v>0</v>
      </c>
      <c r="N20" s="94">
        <v>0</v>
      </c>
      <c r="O20" s="94">
        <v>0</v>
      </c>
      <c r="P20" s="95">
        <f>SUM(K20:O20)</f>
        <v>0</v>
      </c>
    </row>
    <row r="21" spans="1:19" ht="12" customHeight="1">
      <c r="A21" s="16"/>
      <c r="G21" s="22"/>
      <c r="J21" s="205" t="s">
        <v>60</v>
      </c>
      <c r="K21" s="97"/>
      <c r="L21" s="97"/>
      <c r="M21" s="206">
        <f>F17</f>
        <v>0</v>
      </c>
      <c r="N21" s="97"/>
      <c r="O21" s="97"/>
      <c r="P21" s="95">
        <f>SUM(K21:O21)</f>
        <v>0</v>
      </c>
    </row>
    <row r="22" spans="1:19" ht="12" customHeight="1">
      <c r="J22" s="107" t="s">
        <v>104</v>
      </c>
      <c r="K22" s="108">
        <f>SUM(K14:K21)</f>
        <v>45028794.787878782</v>
      </c>
      <c r="L22" s="108">
        <f t="shared" ref="L22:O22" si="5">SUM(L14:L21)</f>
        <v>86861549.696969688</v>
      </c>
      <c r="M22" s="108">
        <f t="shared" si="5"/>
        <v>124624260.33333333</v>
      </c>
      <c r="N22" s="108">
        <f t="shared" si="5"/>
        <v>4697853</v>
      </c>
      <c r="O22" s="108">
        <f t="shared" si="5"/>
        <v>80084794</v>
      </c>
      <c r="P22" s="109">
        <f>ROUNDDOWN(SUM(K22:O22),0)</f>
        <v>341297251</v>
      </c>
    </row>
    <row r="23" spans="1:19" ht="12" customHeight="1">
      <c r="K23" s="125"/>
      <c r="L23" s="125"/>
      <c r="M23" s="125"/>
      <c r="N23" s="125"/>
      <c r="O23" s="125"/>
      <c r="P23" s="125">
        <f>P22/P11</f>
        <v>0.19953021999787621</v>
      </c>
    </row>
    <row r="24" spans="1:19" ht="12" customHeight="1">
      <c r="A24" s="56" t="s">
        <v>73</v>
      </c>
      <c r="B24" s="60" t="s">
        <v>101</v>
      </c>
      <c r="C24" s="58" t="s">
        <v>63</v>
      </c>
      <c r="D24" s="55" t="s">
        <v>15</v>
      </c>
      <c r="E24" s="137" t="s">
        <v>16</v>
      </c>
      <c r="F24" s="137" t="s">
        <v>29</v>
      </c>
      <c r="G24" s="137" t="s">
        <v>10</v>
      </c>
      <c r="H24" s="137" t="s">
        <v>35</v>
      </c>
      <c r="I24" s="137" t="s">
        <v>34</v>
      </c>
      <c r="J24" s="138" t="s">
        <v>111</v>
      </c>
      <c r="K24" s="56" t="s">
        <v>221</v>
      </c>
      <c r="R24" s="92" t="s">
        <v>100</v>
      </c>
      <c r="S24" s="88" t="s">
        <v>204</v>
      </c>
    </row>
    <row r="25" spans="1:19">
      <c r="A25" s="57"/>
      <c r="B25" s="57"/>
      <c r="C25" s="59">
        <f t="shared" ref="C25:J25" si="6">ROUNDDOWN(SUM(C26:C184),0)</f>
        <v>1710504058</v>
      </c>
      <c r="D25" s="136">
        <f t="shared" si="6"/>
        <v>436031000</v>
      </c>
      <c r="E25" s="136">
        <f t="shared" si="6"/>
        <v>1126741264</v>
      </c>
      <c r="F25" s="136">
        <f t="shared" si="6"/>
        <v>43137000</v>
      </c>
      <c r="G25" s="136">
        <f t="shared" si="6"/>
        <v>13000000</v>
      </c>
      <c r="H25" s="136">
        <f t="shared" si="6"/>
        <v>11510000</v>
      </c>
      <c r="I25" s="136">
        <f t="shared" si="6"/>
        <v>80084794</v>
      </c>
      <c r="J25" s="136">
        <f t="shared" si="6"/>
        <v>341297251</v>
      </c>
      <c r="K25" s="139">
        <f t="shared" ref="K25" si="7">J25/C25</f>
        <v>0.19953021999787621</v>
      </c>
      <c r="R25" s="89" t="str">
        <f>IF(B20=C25,"OK","F")</f>
        <v>OK</v>
      </c>
      <c r="S25" s="90">
        <f>B20-C25</f>
        <v>0</v>
      </c>
    </row>
    <row r="26" spans="1:19">
      <c r="A26" s="14">
        <f t="shared" ref="A26:A73" si="8">RANK(C26,$C$26:$C$184,0)</f>
        <v>89</v>
      </c>
      <c r="B26" s="63" t="s">
        <v>2140</v>
      </c>
      <c r="C26" s="61">
        <f>SUMIF(Master!$E$2:$E$779,분류!B26,Master!$L$2:$L$779)</f>
        <v>1800000</v>
      </c>
      <c r="D26" s="62">
        <f>SUMIFS(Master!$L$2:$L$779,Master!$E$2:$E$779,분류!B26,Master!$G$2:$G$779,분류!$D$24)</f>
        <v>0</v>
      </c>
      <c r="E26" s="62">
        <f>SUMIFS(Master!$L$2:$L$779,Master!$E$2:$E$779,분류!B26,Master!$G$2:$G$779,분류!$E$24)</f>
        <v>1800000</v>
      </c>
      <c r="F26" s="62">
        <f>SUMIFS(Master!$L$2:$L$779,Master!$E$2:$E$779,분류!B26,Master!$G$2:$G$779,분류!$F$24)</f>
        <v>0</v>
      </c>
      <c r="G26" s="62">
        <f>SUMIFS(Master!$L$2:$L$779,Master!$E$2:$E$779,분류!B26,Master!$G$2:$G$779,분류!$G$24)</f>
        <v>0</v>
      </c>
      <c r="H26" s="62">
        <f>SUMIFS(Master!$L$2:$L$779,Master!$E$2:$E$779,분류!B26,Master!$G$2:$G$779,분류!$H$24)</f>
        <v>0</v>
      </c>
      <c r="I26" s="62">
        <f>SUMIFS(Master!$L$2:$L$779,Master!$E$2:$E$779,분류!B26,Master!$G$2:$G$779,분류!$I$24)</f>
        <v>0</v>
      </c>
      <c r="J26" s="47">
        <f>SUMIF(Master!$E$2:$E$779,분류!B26,Master!$Q$2:$Q$779)</f>
        <v>1800000</v>
      </c>
      <c r="K26" s="121"/>
      <c r="L26" s="47"/>
    </row>
    <row r="27" spans="1:19">
      <c r="A27" s="14">
        <f t="shared" si="8"/>
        <v>72</v>
      </c>
      <c r="B27" s="63" t="s">
        <v>2141</v>
      </c>
      <c r="C27" s="61">
        <f>SUMIF(Master!$E$2:$E$779,분류!B27,Master!$L$2:$L$779)</f>
        <v>3140000</v>
      </c>
      <c r="D27" s="62">
        <f>SUMIFS(Master!$L$2:$L$779,Master!$E$2:$E$779,분류!B27,Master!$G$2:$G$779,분류!$D$24)</f>
        <v>140000</v>
      </c>
      <c r="E27" s="62">
        <f>SUMIFS(Master!$L$2:$L$779,Master!$E$2:$E$779,분류!B27,Master!$G$2:$G$779,분류!$E$24)</f>
        <v>3000000</v>
      </c>
      <c r="F27" s="62">
        <f>SUMIFS(Master!$L$2:$L$779,Master!$E$2:$E$779,분류!B27,Master!$G$2:$G$779,분류!$F$24)</f>
        <v>0</v>
      </c>
      <c r="G27" s="62">
        <f>SUMIFS(Master!$L$2:$L$779,Master!$E$2:$E$779,분류!B27,Master!$G$2:$G$779,분류!$G$24)</f>
        <v>0</v>
      </c>
      <c r="H27" s="62">
        <f>SUMIFS(Master!$L$2:$L$779,Master!$E$2:$E$779,분류!B27,Master!$G$2:$G$779,분류!$H$24)</f>
        <v>0</v>
      </c>
      <c r="I27" s="62">
        <f>SUMIFS(Master!$L$2:$L$779,Master!$E$2:$E$779,분류!B27,Master!$G$2:$G$779,분류!$I$24)</f>
        <v>0</v>
      </c>
      <c r="J27" s="47">
        <f>SUMIF(Master!$E$2:$E$779,분류!B27,Master!$Q$2:$Q$779)</f>
        <v>2336400</v>
      </c>
      <c r="K27" s="121"/>
      <c r="L27" s="47"/>
    </row>
    <row r="28" spans="1:19">
      <c r="A28" s="14">
        <f t="shared" si="8"/>
        <v>11</v>
      </c>
      <c r="B28" s="63" t="s">
        <v>2142</v>
      </c>
      <c r="C28" s="61">
        <f>SUMIF(Master!$E$2:$E$779,분류!B28,Master!$L$2:$L$779)</f>
        <v>46063000</v>
      </c>
      <c r="D28" s="62">
        <f>SUMIFS(Master!$L$2:$L$779,Master!$E$2:$E$779,분류!B28,Master!$G$2:$G$779,분류!$D$24)</f>
        <v>37663000</v>
      </c>
      <c r="E28" s="62">
        <f>SUMIFS(Master!$L$2:$L$779,Master!$E$2:$E$779,분류!B28,Master!$G$2:$G$779,분류!$E$24)</f>
        <v>8400000</v>
      </c>
      <c r="F28" s="62">
        <f>SUMIFS(Master!$L$2:$L$779,Master!$E$2:$E$779,분류!B28,Master!$G$2:$G$779,분류!$F$24)</f>
        <v>0</v>
      </c>
      <c r="G28" s="62">
        <f>SUMIFS(Master!$L$2:$L$779,Master!$E$2:$E$779,분류!B28,Master!$G$2:$G$779,분류!$G$24)</f>
        <v>0</v>
      </c>
      <c r="H28" s="62">
        <f>SUMIFS(Master!$L$2:$L$779,Master!$E$2:$E$779,분류!B28,Master!$G$2:$G$779,분류!$H$24)</f>
        <v>0</v>
      </c>
      <c r="I28" s="62">
        <f>SUMIFS(Master!$L$2:$L$779,Master!$E$2:$E$779,분류!B28,Master!$G$2:$G$779,분류!$I$24)</f>
        <v>0</v>
      </c>
      <c r="J28" s="47">
        <f>SUMIF(Master!$E$2:$E$779,분류!B28,Master!$Q$2:$Q$779)</f>
        <v>8597653</v>
      </c>
      <c r="K28" s="121"/>
      <c r="L28" s="47"/>
    </row>
    <row r="29" spans="1:19">
      <c r="A29" s="14">
        <f t="shared" si="8"/>
        <v>23</v>
      </c>
      <c r="B29" s="63" t="s">
        <v>2143</v>
      </c>
      <c r="C29" s="61">
        <f>SUMIF(Master!$E$2:$E$779,분류!B29,Master!$L$2:$L$779)</f>
        <v>23500002</v>
      </c>
      <c r="D29" s="62">
        <f>SUMIFS(Master!$L$2:$L$779,Master!$E$2:$E$779,분류!B29,Master!$G$2:$G$779,분류!$D$24)</f>
        <v>0</v>
      </c>
      <c r="E29" s="62">
        <f>SUMIFS(Master!$L$2:$L$779,Master!$E$2:$E$779,분류!B29,Master!$G$2:$G$779,분류!$E$24)</f>
        <v>23500002</v>
      </c>
      <c r="F29" s="62">
        <f>SUMIFS(Master!$L$2:$L$779,Master!$E$2:$E$779,분류!B29,Master!$G$2:$G$779,분류!$F$24)</f>
        <v>0</v>
      </c>
      <c r="G29" s="62">
        <f>SUMIFS(Master!$L$2:$L$779,Master!$E$2:$E$779,분류!B29,Master!$G$2:$G$779,분류!$G$24)</f>
        <v>0</v>
      </c>
      <c r="H29" s="62">
        <f>SUMIFS(Master!$L$2:$L$779,Master!$E$2:$E$779,분류!B29,Master!$G$2:$G$779,분류!$H$24)</f>
        <v>0</v>
      </c>
      <c r="I29" s="62">
        <f>SUMIFS(Master!$L$2:$L$779,Master!$E$2:$E$779,분류!B29,Master!$G$2:$G$779,분류!$I$24)</f>
        <v>0</v>
      </c>
      <c r="J29" s="47">
        <f>SUMIF(Master!$E$2:$E$779,분류!B29,Master!$Q$2:$Q$779)</f>
        <v>2685331.333333334</v>
      </c>
      <c r="K29" s="121"/>
      <c r="L29" s="47"/>
    </row>
    <row r="30" spans="1:19">
      <c r="A30" s="14">
        <f t="shared" si="8"/>
        <v>97</v>
      </c>
      <c r="B30" s="134" t="s">
        <v>296</v>
      </c>
      <c r="C30" s="61">
        <f>SUMIF(Master!$E$2:$E$779,분류!B30,Master!$L$2:$L$779)</f>
        <v>1242000</v>
      </c>
      <c r="D30" s="62">
        <f>SUMIFS(Master!$L$2:$L$779,Master!$E$2:$E$779,분류!B30,Master!$G$2:$G$779,분류!$D$24)</f>
        <v>0</v>
      </c>
      <c r="E30" s="62">
        <f>SUMIFS(Master!$L$2:$L$779,Master!$E$2:$E$779,분류!B30,Master!$G$2:$G$779,분류!$E$24)</f>
        <v>1242000</v>
      </c>
      <c r="F30" s="62">
        <f>SUMIFS(Master!$L$2:$L$779,Master!$E$2:$E$779,분류!B30,Master!$G$2:$G$779,분류!$F$24)</f>
        <v>0</v>
      </c>
      <c r="G30" s="62">
        <f>SUMIFS(Master!$L$2:$L$779,Master!$E$2:$E$779,분류!B30,Master!$G$2:$G$779,분류!$G$24)</f>
        <v>0</v>
      </c>
      <c r="H30" s="62">
        <f>SUMIFS(Master!$L$2:$L$779,Master!$E$2:$E$779,분류!B30,Master!$G$2:$G$779,분류!$H$24)</f>
        <v>0</v>
      </c>
      <c r="I30" s="62">
        <f>SUMIFS(Master!$L$2:$L$779,Master!$E$2:$E$779,분류!B30,Master!$G$2:$G$779,분류!$I$24)</f>
        <v>0</v>
      </c>
      <c r="J30" s="47">
        <f>SUMIF(Master!$E$2:$E$779,분류!B30,Master!$Q$2:$Q$779)</f>
        <v>96906</v>
      </c>
      <c r="K30" s="121"/>
      <c r="L30" s="47"/>
    </row>
    <row r="31" spans="1:19">
      <c r="A31" s="14">
        <f t="shared" si="8"/>
        <v>71</v>
      </c>
      <c r="B31" s="63" t="s">
        <v>53</v>
      </c>
      <c r="C31" s="61">
        <f>SUMIF(Master!$E$2:$E$779,분류!B31,Master!$L$2:$L$779)</f>
        <v>3200000</v>
      </c>
      <c r="D31" s="62">
        <f>SUMIFS(Master!$L$2:$L$779,Master!$E$2:$E$779,분류!B31,Master!$G$2:$G$779,분류!$D$24)</f>
        <v>0</v>
      </c>
      <c r="E31" s="62">
        <f>SUMIFS(Master!$L$2:$L$779,Master!$E$2:$E$779,분류!B31,Master!$G$2:$G$779,분류!$E$24)</f>
        <v>0</v>
      </c>
      <c r="F31" s="62">
        <f>SUMIFS(Master!$L$2:$L$779,Master!$E$2:$E$779,분류!B31,Master!$G$2:$G$779,분류!$F$24)</f>
        <v>3200000</v>
      </c>
      <c r="G31" s="62">
        <f>SUMIFS(Master!$L$2:$L$779,Master!$E$2:$E$779,분류!B31,Master!$G$2:$G$779,분류!$G$24)</f>
        <v>0</v>
      </c>
      <c r="H31" s="62">
        <f>SUMIFS(Master!$L$2:$L$779,Master!$E$2:$E$779,분류!B31,Master!$G$2:$G$779,분류!$H$24)</f>
        <v>0</v>
      </c>
      <c r="I31" s="62">
        <f>SUMIFS(Master!$L$2:$L$779,Master!$E$2:$E$779,분류!B31,Master!$G$2:$G$779,분류!$I$24)</f>
        <v>0</v>
      </c>
      <c r="J31" s="47">
        <f>SUMIF(Master!$E$2:$E$779,분류!B31,Master!$Q$2:$Q$779)</f>
        <v>575680</v>
      </c>
      <c r="K31" s="121"/>
      <c r="L31" s="47"/>
    </row>
    <row r="32" spans="1:19">
      <c r="A32" s="14">
        <f t="shared" si="8"/>
        <v>103</v>
      </c>
      <c r="B32" s="134" t="s">
        <v>567</v>
      </c>
      <c r="C32" s="61">
        <f>SUMIF(Master!$E$2:$E$779,분류!B32,Master!$L$2:$L$779)</f>
        <v>1050000</v>
      </c>
      <c r="D32" s="62">
        <f>SUMIFS(Master!$L$2:$L$779,Master!$E$2:$E$779,분류!B32,Master!$G$2:$G$779,분류!$D$24)</f>
        <v>1050000</v>
      </c>
      <c r="E32" s="62">
        <f>SUMIFS(Master!$L$2:$L$779,Master!$E$2:$E$779,분류!B32,Master!$G$2:$G$779,분류!$E$24)</f>
        <v>0</v>
      </c>
      <c r="F32" s="62">
        <f>SUMIFS(Master!$L$2:$L$779,Master!$E$2:$E$779,분류!B32,Master!$G$2:$G$779,분류!$F$24)</f>
        <v>0</v>
      </c>
      <c r="G32" s="62">
        <f>SUMIFS(Master!$L$2:$L$779,Master!$E$2:$E$779,분류!B32,Master!$G$2:$G$779,분류!$G$24)</f>
        <v>0</v>
      </c>
      <c r="H32" s="62">
        <f>SUMIFS(Master!$L$2:$L$779,Master!$E$2:$E$779,분류!B32,Master!$G$2:$G$779,분류!$H$24)</f>
        <v>0</v>
      </c>
      <c r="I32" s="62">
        <f>SUMIFS(Master!$L$2:$L$779,Master!$E$2:$E$779,분류!B32,Master!$G$2:$G$779,분류!$I$24)</f>
        <v>0</v>
      </c>
      <c r="J32" s="47">
        <f>SUMIF(Master!$E$2:$E$779,분류!B32,Master!$Q$2:$Q$779)</f>
        <v>250000</v>
      </c>
      <c r="K32" s="121"/>
      <c r="L32" s="47"/>
    </row>
    <row r="33" spans="1:12">
      <c r="A33" s="14">
        <f t="shared" si="8"/>
        <v>7</v>
      </c>
      <c r="B33" s="63" t="s">
        <v>2144</v>
      </c>
      <c r="C33" s="61">
        <f>SUMIF(Master!$E$2:$E$779,분류!B33,Master!$L$2:$L$779)</f>
        <v>56423350</v>
      </c>
      <c r="D33" s="62">
        <f>SUMIFS(Master!$L$2:$L$779,Master!$E$2:$E$779,분류!B33,Master!$G$2:$G$779,분류!$D$24)</f>
        <v>17000000</v>
      </c>
      <c r="E33" s="62">
        <f>SUMIFS(Master!$L$2:$L$779,Master!$E$2:$E$779,분류!B33,Master!$G$2:$G$779,분류!$E$24)</f>
        <v>39423350</v>
      </c>
      <c r="F33" s="62">
        <f>SUMIFS(Master!$L$2:$L$779,Master!$E$2:$E$779,분류!B33,Master!$G$2:$G$779,분류!$F$24)</f>
        <v>0</v>
      </c>
      <c r="G33" s="62">
        <f>SUMIFS(Master!$L$2:$L$779,Master!$E$2:$E$779,분류!B33,Master!$G$2:$G$779,분류!$G$24)</f>
        <v>0</v>
      </c>
      <c r="H33" s="62">
        <f>SUMIFS(Master!$L$2:$L$779,Master!$E$2:$E$779,분류!B33,Master!$G$2:$G$779,분류!$H$24)</f>
        <v>0</v>
      </c>
      <c r="I33" s="62">
        <f>SUMIFS(Master!$L$2:$L$779,Master!$E$2:$E$779,분류!B33,Master!$G$2:$G$779,분류!$I$24)</f>
        <v>0</v>
      </c>
      <c r="J33" s="47">
        <f>SUMIF(Master!$E$2:$E$779,분류!B33,Master!$Q$2:$Q$779)</f>
        <v>3422689.9999999995</v>
      </c>
      <c r="K33" s="121"/>
      <c r="L33" s="47"/>
    </row>
    <row r="34" spans="1:12">
      <c r="A34" s="14">
        <f t="shared" si="8"/>
        <v>70</v>
      </c>
      <c r="B34" s="63" t="s">
        <v>55</v>
      </c>
      <c r="C34" s="61">
        <f>SUMIF(Master!$E$2:$E$779,분류!B34,Master!$L$2:$L$779)</f>
        <v>3316000</v>
      </c>
      <c r="D34" s="62">
        <f>SUMIFS(Master!$L$2:$L$779,Master!$E$2:$E$779,분류!B34,Master!$G$2:$G$779,분류!$D$24)</f>
        <v>1000000</v>
      </c>
      <c r="E34" s="62">
        <f>SUMIFS(Master!$L$2:$L$779,Master!$E$2:$E$779,분류!B34,Master!$G$2:$G$779,분류!$E$24)</f>
        <v>2316000</v>
      </c>
      <c r="F34" s="62">
        <f>SUMIFS(Master!$L$2:$L$779,Master!$E$2:$E$779,분류!B34,Master!$G$2:$G$779,분류!$F$24)</f>
        <v>0</v>
      </c>
      <c r="G34" s="62">
        <f>SUMIFS(Master!$L$2:$L$779,Master!$E$2:$E$779,분류!B34,Master!$G$2:$G$779,분류!$G$24)</f>
        <v>0</v>
      </c>
      <c r="H34" s="62">
        <f>SUMIFS(Master!$L$2:$L$779,Master!$E$2:$E$779,분류!B34,Master!$G$2:$G$779,분류!$H$24)</f>
        <v>0</v>
      </c>
      <c r="I34" s="62">
        <f>SUMIFS(Master!$L$2:$L$779,Master!$E$2:$E$779,분류!B34,Master!$G$2:$G$779,분류!$I$24)</f>
        <v>0</v>
      </c>
      <c r="J34" s="47">
        <f>SUMIF(Master!$E$2:$E$779,분류!B34,Master!$Q$2:$Q$779)</f>
        <v>639400</v>
      </c>
      <c r="K34" s="121"/>
      <c r="L34" s="47"/>
    </row>
    <row r="35" spans="1:12">
      <c r="A35" s="14">
        <f t="shared" si="8"/>
        <v>22</v>
      </c>
      <c r="B35" s="63" t="s">
        <v>2155</v>
      </c>
      <c r="C35" s="61">
        <f>SUMIF(Master!$E$2:$E$779,분류!B35,Master!$L$2:$L$779)</f>
        <v>23600000</v>
      </c>
      <c r="D35" s="62">
        <f>SUMIFS(Master!$L$2:$L$779,Master!$E$2:$E$779,분류!B35,Master!$G$2:$G$779,분류!$D$24)</f>
        <v>23600000</v>
      </c>
      <c r="E35" s="62">
        <f>SUMIFS(Master!$L$2:$L$779,Master!$E$2:$E$779,분류!B35,Master!$G$2:$G$779,분류!$E$24)</f>
        <v>0</v>
      </c>
      <c r="F35" s="62">
        <f>SUMIFS(Master!$L$2:$L$779,Master!$E$2:$E$779,분류!B35,Master!$G$2:$G$779,분류!$F$24)</f>
        <v>0</v>
      </c>
      <c r="G35" s="62">
        <f>SUMIFS(Master!$L$2:$L$779,Master!$E$2:$E$779,분류!B35,Master!$G$2:$G$779,분류!$G$24)</f>
        <v>0</v>
      </c>
      <c r="H35" s="62">
        <f>SUMIFS(Master!$L$2:$L$779,Master!$E$2:$E$779,분류!B35,Master!$G$2:$G$779,분류!$H$24)</f>
        <v>0</v>
      </c>
      <c r="I35" s="62">
        <f>SUMIFS(Master!$L$2:$L$779,Master!$E$2:$E$779,분류!B35,Master!$G$2:$G$779,분류!$I$24)</f>
        <v>0</v>
      </c>
      <c r="J35" s="47">
        <f>SUMIF(Master!$E$2:$E$779,분류!B35,Master!$Q$2:$Q$779)</f>
        <v>6785000</v>
      </c>
      <c r="K35" s="121"/>
      <c r="L35" s="47"/>
    </row>
    <row r="36" spans="1:12">
      <c r="A36" s="14">
        <f t="shared" si="8"/>
        <v>109</v>
      </c>
      <c r="B36" s="63" t="s">
        <v>33</v>
      </c>
      <c r="C36" s="61">
        <f>SUMIF(Master!$E$2:$E$779,분류!B36,Master!$L$2:$L$779)</f>
        <v>835000</v>
      </c>
      <c r="D36" s="62">
        <f>SUMIFS(Master!$L$2:$L$779,Master!$E$2:$E$779,분류!B36,Master!$G$2:$G$779,분류!$D$24)</f>
        <v>0</v>
      </c>
      <c r="E36" s="62">
        <f>SUMIFS(Master!$L$2:$L$779,Master!$E$2:$E$779,분류!B36,Master!$G$2:$G$779,분류!$E$24)</f>
        <v>835000</v>
      </c>
      <c r="F36" s="62">
        <f>SUMIFS(Master!$L$2:$L$779,Master!$E$2:$E$779,분류!B36,Master!$G$2:$G$779,분류!$F$24)</f>
        <v>0</v>
      </c>
      <c r="G36" s="62">
        <f>SUMIFS(Master!$L$2:$L$779,Master!$E$2:$E$779,분류!B36,Master!$G$2:$G$779,분류!$G$24)</f>
        <v>0</v>
      </c>
      <c r="H36" s="62">
        <f>SUMIFS(Master!$L$2:$L$779,Master!$E$2:$E$779,분류!B36,Master!$G$2:$G$779,분류!$H$24)</f>
        <v>0</v>
      </c>
      <c r="I36" s="62">
        <f>SUMIFS(Master!$L$2:$L$779,Master!$E$2:$E$779,분류!B36,Master!$G$2:$G$779,분류!$I$24)</f>
        <v>0</v>
      </c>
      <c r="J36" s="47">
        <f>SUMIF(Master!$E$2:$E$779,분류!B36,Master!$Q$2:$Q$779)</f>
        <v>140200</v>
      </c>
      <c r="K36" s="121"/>
      <c r="L36" s="47"/>
    </row>
    <row r="37" spans="1:12">
      <c r="A37" s="14">
        <f t="shared" si="8"/>
        <v>17</v>
      </c>
      <c r="B37" s="63" t="s">
        <v>2156</v>
      </c>
      <c r="C37" s="61">
        <f>SUMIF(Master!$E$2:$E$779,분류!B37,Master!$L$2:$L$779)</f>
        <v>34888000</v>
      </c>
      <c r="D37" s="62">
        <f>SUMIFS(Master!$L$2:$L$779,Master!$E$2:$E$779,분류!B37,Master!$G$2:$G$779,분류!$D$24)</f>
        <v>1450000</v>
      </c>
      <c r="E37" s="62">
        <f>SUMIFS(Master!$L$2:$L$779,Master!$E$2:$E$779,분류!B37,Master!$G$2:$G$779,분류!$E$24)</f>
        <v>33438000</v>
      </c>
      <c r="F37" s="62">
        <f>SUMIFS(Master!$L$2:$L$779,Master!$E$2:$E$779,분류!B37,Master!$G$2:$G$779,분류!$F$24)</f>
        <v>0</v>
      </c>
      <c r="G37" s="62">
        <f>SUMIFS(Master!$L$2:$L$779,Master!$E$2:$E$779,분류!B37,Master!$G$2:$G$779,분류!$G$24)</f>
        <v>0</v>
      </c>
      <c r="H37" s="62">
        <f>SUMIFS(Master!$L$2:$L$779,Master!$E$2:$E$779,분류!B37,Master!$G$2:$G$779,분류!$H$24)</f>
        <v>0</v>
      </c>
      <c r="I37" s="62">
        <f>SUMIFS(Master!$L$2:$L$779,Master!$E$2:$E$779,분류!B37,Master!$G$2:$G$779,분류!$I$24)</f>
        <v>0</v>
      </c>
      <c r="J37" s="47">
        <f>SUMIF(Master!$E$2:$E$779,분류!B37,Master!$Q$2:$Q$779)</f>
        <v>4198800</v>
      </c>
      <c r="K37" s="121"/>
      <c r="L37" s="47"/>
    </row>
    <row r="38" spans="1:12">
      <c r="A38" s="14">
        <f t="shared" si="8"/>
        <v>59</v>
      </c>
      <c r="B38" s="63" t="s">
        <v>110</v>
      </c>
      <c r="C38" s="61">
        <f>SUMIF(Master!$E$2:$E$779,분류!B38,Master!$L$2:$L$779)</f>
        <v>5080500</v>
      </c>
      <c r="D38" s="62">
        <f>SUMIFS(Master!$L$2:$L$779,Master!$E$2:$E$779,분류!B38,Master!$G$2:$G$779,분류!$D$24)</f>
        <v>0</v>
      </c>
      <c r="E38" s="62">
        <f>SUMIFS(Master!$L$2:$L$779,Master!$E$2:$E$779,분류!B38,Master!$G$2:$G$779,분류!$E$24)</f>
        <v>5080500</v>
      </c>
      <c r="F38" s="62">
        <f>SUMIFS(Master!$L$2:$L$779,Master!$E$2:$E$779,분류!B38,Master!$G$2:$G$779,분류!$F$24)</f>
        <v>0</v>
      </c>
      <c r="G38" s="62">
        <f>SUMIFS(Master!$L$2:$L$779,Master!$E$2:$E$779,분류!B38,Master!$G$2:$G$779,분류!$G$24)</f>
        <v>0</v>
      </c>
      <c r="H38" s="62">
        <f>SUMIFS(Master!$L$2:$L$779,Master!$E$2:$E$779,분류!B38,Master!$G$2:$G$779,분류!$H$24)</f>
        <v>0</v>
      </c>
      <c r="I38" s="62">
        <f>SUMIFS(Master!$L$2:$L$779,Master!$E$2:$E$779,분류!B38,Master!$G$2:$G$779,분류!$I$24)</f>
        <v>0</v>
      </c>
      <c r="J38" s="47">
        <f>SUMIF(Master!$E$2:$E$779,분류!B38,Master!$Q$2:$Q$779)</f>
        <v>256500</v>
      </c>
      <c r="K38" s="121"/>
      <c r="L38" s="47"/>
    </row>
    <row r="39" spans="1:12">
      <c r="A39" s="14">
        <f t="shared" si="8"/>
        <v>131</v>
      </c>
      <c r="B39" s="63" t="s">
        <v>2049</v>
      </c>
      <c r="C39" s="61">
        <f>SUMIF(Master!$E$2:$E$779,분류!B39,Master!$L$2:$L$779)</f>
        <v>0</v>
      </c>
      <c r="D39" s="62">
        <f>SUMIFS(Master!$L$2:$L$779,Master!$E$2:$E$779,분류!B39,Master!$G$2:$G$779,분류!$D$24)</f>
        <v>0</v>
      </c>
      <c r="E39" s="62">
        <f>SUMIFS(Master!$L$2:$L$779,Master!$E$2:$E$779,분류!B39,Master!$G$2:$G$779,분류!$E$24)</f>
        <v>0</v>
      </c>
      <c r="F39" s="62">
        <f>SUMIFS(Master!$L$2:$L$779,Master!$E$2:$E$779,분류!B39,Master!$G$2:$G$779,분류!$F$24)</f>
        <v>0</v>
      </c>
      <c r="G39" s="62">
        <f>SUMIFS(Master!$L$2:$L$779,Master!$E$2:$E$779,분류!B39,Master!$G$2:$G$779,분류!$G$24)</f>
        <v>0</v>
      </c>
      <c r="H39" s="62">
        <f>SUMIFS(Master!$L$2:$L$779,Master!$E$2:$E$779,분류!B39,Master!$G$2:$G$779,분류!$H$24)</f>
        <v>0</v>
      </c>
      <c r="I39" s="62">
        <f>SUMIFS(Master!$L$2:$L$779,Master!$E$2:$E$779,분류!B39,Master!$G$2:$G$779,분류!$I$24)</f>
        <v>0</v>
      </c>
      <c r="J39" s="47">
        <f>SUMIF(Master!$E$2:$E$779,분류!B39,Master!$Q$2:$Q$779)</f>
        <v>0</v>
      </c>
      <c r="K39" s="121"/>
      <c r="L39" s="47"/>
    </row>
    <row r="40" spans="1:12">
      <c r="A40" s="14">
        <f t="shared" si="8"/>
        <v>115</v>
      </c>
      <c r="B40" s="63" t="s">
        <v>75</v>
      </c>
      <c r="C40" s="61">
        <f>SUMIF(Master!$E$2:$E$779,분류!B40,Master!$L$2:$L$779)</f>
        <v>610000</v>
      </c>
      <c r="D40" s="62">
        <f>SUMIFS(Master!$L$2:$L$779,Master!$E$2:$E$779,분류!B40,Master!$G$2:$G$779,분류!$D$24)</f>
        <v>0</v>
      </c>
      <c r="E40" s="62">
        <f>SUMIFS(Master!$L$2:$L$779,Master!$E$2:$E$779,분류!B40,Master!$G$2:$G$779,분류!$E$24)</f>
        <v>610000</v>
      </c>
      <c r="F40" s="62">
        <f>SUMIFS(Master!$L$2:$L$779,Master!$E$2:$E$779,분류!B40,Master!$G$2:$G$779,분류!$F$24)</f>
        <v>0</v>
      </c>
      <c r="G40" s="62">
        <f>SUMIFS(Master!$L$2:$L$779,Master!$E$2:$E$779,분류!B40,Master!$G$2:$G$779,분류!$G$24)</f>
        <v>0</v>
      </c>
      <c r="H40" s="62">
        <f>SUMIFS(Master!$L$2:$L$779,Master!$E$2:$E$779,분류!B40,Master!$G$2:$G$779,분류!$H$24)</f>
        <v>0</v>
      </c>
      <c r="I40" s="62">
        <f>SUMIFS(Master!$L$2:$L$779,Master!$E$2:$E$779,분류!B40,Master!$G$2:$G$779,분류!$I$24)</f>
        <v>0</v>
      </c>
      <c r="J40" s="47">
        <f>SUMIF(Master!$E$2:$E$779,분류!B40,Master!$Q$2:$Q$779)</f>
        <v>103000</v>
      </c>
      <c r="K40" s="121"/>
      <c r="L40" s="47"/>
    </row>
    <row r="41" spans="1:12">
      <c r="A41" s="14">
        <f t="shared" si="8"/>
        <v>49</v>
      </c>
      <c r="B41" s="63" t="s">
        <v>178</v>
      </c>
      <c r="C41" s="61">
        <f>SUMIF(Master!$E$2:$E$779,분류!B41,Master!$L$2:$L$779)</f>
        <v>7520000</v>
      </c>
      <c r="D41" s="62">
        <f>SUMIFS(Master!$L$2:$L$779,Master!$E$2:$E$779,분류!B41,Master!$G$2:$G$779,분류!$D$24)</f>
        <v>320000</v>
      </c>
      <c r="E41" s="62">
        <f>SUMIFS(Master!$L$2:$L$779,Master!$E$2:$E$779,분류!B41,Master!$G$2:$G$779,분류!$E$24)</f>
        <v>7200000</v>
      </c>
      <c r="F41" s="62">
        <f>SUMIFS(Master!$L$2:$L$779,Master!$E$2:$E$779,분류!B41,Master!$G$2:$G$779,분류!$F$24)</f>
        <v>0</v>
      </c>
      <c r="G41" s="62">
        <f>SUMIFS(Master!$L$2:$L$779,Master!$E$2:$E$779,분류!B41,Master!$G$2:$G$779,분류!$G$24)</f>
        <v>0</v>
      </c>
      <c r="H41" s="62">
        <f>SUMIFS(Master!$L$2:$L$779,Master!$E$2:$E$779,분류!B41,Master!$G$2:$G$779,분류!$H$24)</f>
        <v>0</v>
      </c>
      <c r="I41" s="62">
        <f>SUMIFS(Master!$L$2:$L$779,Master!$E$2:$E$779,분류!B41,Master!$G$2:$G$779,분류!$I$24)</f>
        <v>0</v>
      </c>
      <c r="J41" s="47">
        <f>SUMIF(Master!$E$2:$E$779,분류!B41,Master!$Q$2:$Q$779)</f>
        <v>2027000</v>
      </c>
      <c r="K41" s="121"/>
      <c r="L41" s="47"/>
    </row>
    <row r="42" spans="1:12">
      <c r="A42" s="14">
        <f t="shared" si="8"/>
        <v>110</v>
      </c>
      <c r="B42" s="63" t="s">
        <v>87</v>
      </c>
      <c r="C42" s="61">
        <f>SUMIF(Master!$E$2:$E$779,분류!B42,Master!$L$2:$L$779)</f>
        <v>800000</v>
      </c>
      <c r="D42" s="62">
        <f>SUMIFS(Master!$L$2:$L$779,Master!$E$2:$E$779,분류!B42,Master!$G$2:$G$779,분류!$D$24)</f>
        <v>0</v>
      </c>
      <c r="E42" s="62">
        <f>SUMIFS(Master!$L$2:$L$779,Master!$E$2:$E$779,분류!B42,Master!$G$2:$G$779,분류!$E$24)</f>
        <v>800000</v>
      </c>
      <c r="F42" s="62">
        <f>SUMIFS(Master!$L$2:$L$779,Master!$E$2:$E$779,분류!B42,Master!$G$2:$G$779,분류!$F$24)</f>
        <v>0</v>
      </c>
      <c r="G42" s="62">
        <f>SUMIFS(Master!$L$2:$L$779,Master!$E$2:$E$779,분류!B42,Master!$G$2:$G$779,분류!$G$24)</f>
        <v>0</v>
      </c>
      <c r="H42" s="62">
        <f>SUMIFS(Master!$L$2:$L$779,Master!$E$2:$E$779,분류!B42,Master!$G$2:$G$779,분류!$H$24)</f>
        <v>0</v>
      </c>
      <c r="I42" s="62">
        <f>SUMIFS(Master!$L$2:$L$779,Master!$E$2:$E$779,분류!B42,Master!$G$2:$G$779,분류!$I$24)</f>
        <v>0</v>
      </c>
      <c r="J42" s="47">
        <f>SUMIF(Master!$E$2:$E$779,분류!B42,Master!$Q$2:$Q$779)</f>
        <v>184400</v>
      </c>
      <c r="K42" s="121"/>
      <c r="L42" s="47"/>
    </row>
    <row r="43" spans="1:12">
      <c r="A43" s="14">
        <f t="shared" si="8"/>
        <v>124</v>
      </c>
      <c r="B43" s="63" t="s">
        <v>1568</v>
      </c>
      <c r="C43" s="61">
        <f>SUMIF(Master!$E$2:$E$779,분류!B43,Master!$L$2:$L$779)</f>
        <v>300000</v>
      </c>
      <c r="D43" s="62">
        <f>SUMIFS(Master!$L$2:$L$779,Master!$E$2:$E$779,분류!B43,Master!$G$2:$G$779,분류!$D$24)</f>
        <v>300000</v>
      </c>
      <c r="E43" s="62">
        <f>SUMIFS(Master!$L$2:$L$779,Master!$E$2:$E$779,분류!B43,Master!$G$2:$G$779,분류!$E$24)</f>
        <v>0</v>
      </c>
      <c r="F43" s="62">
        <f>SUMIFS(Master!$L$2:$L$779,Master!$E$2:$E$779,분류!B43,Master!$G$2:$G$779,분류!$F$24)</f>
        <v>0</v>
      </c>
      <c r="G43" s="62">
        <f>SUMIFS(Master!$L$2:$L$779,Master!$E$2:$E$779,분류!B43,Master!$G$2:$G$779,분류!$G$24)</f>
        <v>0</v>
      </c>
      <c r="H43" s="62">
        <f>SUMIFS(Master!$L$2:$L$779,Master!$E$2:$E$779,분류!B43,Master!$G$2:$G$779,분류!$H$24)</f>
        <v>0</v>
      </c>
      <c r="I43" s="62">
        <f>SUMIFS(Master!$L$2:$L$779,Master!$E$2:$E$779,분류!B43,Master!$G$2:$G$779,분류!$I$24)</f>
        <v>0</v>
      </c>
      <c r="J43" s="47">
        <f>SUMIF(Master!$E$2:$E$779,분류!B43,Master!$Q$2:$Q$779)</f>
        <v>300000</v>
      </c>
      <c r="K43" s="121"/>
      <c r="L43" s="47"/>
    </row>
    <row r="44" spans="1:12">
      <c r="A44" s="14">
        <f t="shared" si="8"/>
        <v>131</v>
      </c>
      <c r="B44" s="63" t="s">
        <v>2048</v>
      </c>
      <c r="C44" s="61">
        <f>SUMIF(Master!$E$2:$E$779,분류!B44,Master!$L$2:$L$779)</f>
        <v>0</v>
      </c>
      <c r="D44" s="62">
        <f>SUMIFS(Master!$L$2:$L$779,Master!$E$2:$E$779,분류!B44,Master!$G$2:$G$779,분류!$D$24)</f>
        <v>0</v>
      </c>
      <c r="E44" s="62">
        <f>SUMIFS(Master!$L$2:$L$779,Master!$E$2:$E$779,분류!B44,Master!$G$2:$G$779,분류!$E$24)</f>
        <v>0</v>
      </c>
      <c r="F44" s="62">
        <f>SUMIFS(Master!$L$2:$L$779,Master!$E$2:$E$779,분류!B44,Master!$G$2:$G$779,분류!$F$24)</f>
        <v>0</v>
      </c>
      <c r="G44" s="62">
        <f>SUMIFS(Master!$L$2:$L$779,Master!$E$2:$E$779,분류!B44,Master!$G$2:$G$779,분류!$G$24)</f>
        <v>0</v>
      </c>
      <c r="H44" s="62">
        <f>SUMIFS(Master!$L$2:$L$779,Master!$E$2:$E$779,분류!B44,Master!$G$2:$G$779,분류!$H$24)</f>
        <v>0</v>
      </c>
      <c r="I44" s="62">
        <f>SUMIFS(Master!$L$2:$L$779,Master!$E$2:$E$779,분류!B44,Master!$G$2:$G$779,분류!$I$24)</f>
        <v>0</v>
      </c>
      <c r="J44" s="47">
        <f>SUMIF(Master!$E$2:$E$779,분류!B44,Master!$Q$2:$Q$779)</f>
        <v>0</v>
      </c>
      <c r="K44" s="121"/>
      <c r="L44" s="47"/>
    </row>
    <row r="45" spans="1:12">
      <c r="A45" s="14">
        <f t="shared" si="8"/>
        <v>66</v>
      </c>
      <c r="B45" s="63" t="s">
        <v>159</v>
      </c>
      <c r="C45" s="61">
        <f>SUMIF(Master!$E$2:$E$779,분류!B45,Master!$L$2:$L$779)</f>
        <v>3810000</v>
      </c>
      <c r="D45" s="62">
        <f>SUMIFS(Master!$L$2:$L$779,Master!$E$2:$E$779,분류!B45,Master!$G$2:$G$779,분류!$D$24)</f>
        <v>0</v>
      </c>
      <c r="E45" s="62">
        <f>SUMIFS(Master!$L$2:$L$779,Master!$E$2:$E$779,분류!B45,Master!$G$2:$G$779,분류!$E$24)</f>
        <v>3810000</v>
      </c>
      <c r="F45" s="62">
        <f>SUMIFS(Master!$L$2:$L$779,Master!$E$2:$E$779,분류!B45,Master!$G$2:$G$779,분류!$F$24)</f>
        <v>0</v>
      </c>
      <c r="G45" s="62">
        <f>SUMIFS(Master!$L$2:$L$779,Master!$E$2:$E$779,분류!B45,Master!$G$2:$G$779,분류!$G$24)</f>
        <v>0</v>
      </c>
      <c r="H45" s="62">
        <f>SUMIFS(Master!$L$2:$L$779,Master!$E$2:$E$779,분류!B45,Master!$G$2:$G$779,분류!$H$24)</f>
        <v>0</v>
      </c>
      <c r="I45" s="62">
        <f>SUMIFS(Master!$L$2:$L$779,Master!$E$2:$E$779,분류!B45,Master!$G$2:$G$779,분류!$I$24)</f>
        <v>0</v>
      </c>
      <c r="J45" s="47">
        <f>SUMIF(Master!$E$2:$E$779,분류!B45,Master!$Q$2:$Q$779)</f>
        <v>456828</v>
      </c>
      <c r="K45" s="121"/>
      <c r="L45" s="47"/>
    </row>
    <row r="46" spans="1:12">
      <c r="A46" s="14">
        <f t="shared" si="8"/>
        <v>88</v>
      </c>
      <c r="B46" t="s">
        <v>185</v>
      </c>
      <c r="C46" s="61">
        <f>SUMIF(Master!$E$2:$E$779,분류!B46,Master!$L$2:$L$779)</f>
        <v>1820000</v>
      </c>
      <c r="D46" s="62">
        <f>SUMIFS(Master!$L$2:$L$779,Master!$E$2:$E$779,분류!B46,Master!$G$2:$G$779,분류!$D$24)</f>
        <v>1820000</v>
      </c>
      <c r="E46" s="62">
        <f>SUMIFS(Master!$L$2:$L$779,Master!$E$2:$E$779,분류!B46,Master!$G$2:$G$779,분류!$E$24)</f>
        <v>0</v>
      </c>
      <c r="F46" s="62">
        <f>SUMIFS(Master!$L$2:$L$779,Master!$E$2:$E$779,분류!B46,Master!$G$2:$G$779,분류!$F$24)</f>
        <v>0</v>
      </c>
      <c r="G46" s="62">
        <f>SUMIFS(Master!$L$2:$L$779,Master!$E$2:$E$779,분류!B46,Master!$G$2:$G$779,분류!$G$24)</f>
        <v>0</v>
      </c>
      <c r="H46" s="62">
        <f>SUMIFS(Master!$L$2:$L$779,Master!$E$2:$E$779,분류!B46,Master!$G$2:$G$779,분류!$H$24)</f>
        <v>0</v>
      </c>
      <c r="I46" s="62">
        <f>SUMIFS(Master!$L$2:$L$779,Master!$E$2:$E$779,분류!B46,Master!$G$2:$G$779,분류!$I$24)</f>
        <v>0</v>
      </c>
      <c r="J46" s="47">
        <f>SUMIF(Master!$E$2:$E$779,분류!B46,Master!$Q$2:$Q$779)</f>
        <v>530000</v>
      </c>
      <c r="K46" s="121"/>
    </row>
    <row r="47" spans="1:12">
      <c r="A47" s="14">
        <f t="shared" si="8"/>
        <v>131</v>
      </c>
      <c r="B47" s="63" t="s">
        <v>2050</v>
      </c>
      <c r="C47" s="61">
        <f>SUMIF(Master!$E$2:$E$779,분류!B47,Master!$L$2:$L$779)</f>
        <v>0</v>
      </c>
      <c r="D47" s="62">
        <f>SUMIFS(Master!$L$2:$L$779,Master!$E$2:$E$779,분류!B47,Master!$G$2:$G$779,분류!$D$24)</f>
        <v>0</v>
      </c>
      <c r="E47" s="62">
        <f>SUMIFS(Master!$L$2:$L$779,Master!$E$2:$E$779,분류!B47,Master!$G$2:$G$779,분류!$E$24)</f>
        <v>0</v>
      </c>
      <c r="F47" s="62">
        <f>SUMIFS(Master!$L$2:$L$779,Master!$E$2:$E$779,분류!B47,Master!$G$2:$G$779,분류!$F$24)</f>
        <v>0</v>
      </c>
      <c r="G47" s="62">
        <f>SUMIFS(Master!$L$2:$L$779,Master!$E$2:$E$779,분류!B47,Master!$G$2:$G$779,분류!$G$24)</f>
        <v>0</v>
      </c>
      <c r="H47" s="62">
        <f>SUMIFS(Master!$L$2:$L$779,Master!$E$2:$E$779,분류!B47,Master!$G$2:$G$779,분류!$H$24)</f>
        <v>0</v>
      </c>
      <c r="I47" s="62">
        <f>SUMIFS(Master!$L$2:$L$779,Master!$E$2:$E$779,분류!B47,Master!$G$2:$G$779,분류!$I$24)</f>
        <v>0</v>
      </c>
      <c r="J47" s="47">
        <f>SUMIF(Master!$E$2:$E$779,분류!B47,Master!$Q$2:$Q$779)</f>
        <v>0</v>
      </c>
      <c r="K47" s="121"/>
      <c r="L47" s="47"/>
    </row>
    <row r="48" spans="1:12">
      <c r="A48" s="14">
        <f t="shared" si="8"/>
        <v>26</v>
      </c>
      <c r="B48" s="63" t="s">
        <v>2157</v>
      </c>
      <c r="C48" s="61">
        <f>SUMIF(Master!$E$2:$E$779,분류!B48,Master!$L$2:$L$779)</f>
        <v>21123000</v>
      </c>
      <c r="D48" s="62">
        <f>SUMIFS(Master!$L$2:$L$779,Master!$E$2:$E$779,분류!B48,Master!$G$2:$G$779,분류!$D$24)</f>
        <v>21123000</v>
      </c>
      <c r="E48" s="62">
        <f>SUMIFS(Master!$L$2:$L$779,Master!$E$2:$E$779,분류!B48,Master!$G$2:$G$779,분류!$E$24)</f>
        <v>0</v>
      </c>
      <c r="F48" s="62">
        <f>SUMIFS(Master!$L$2:$L$779,Master!$E$2:$E$779,분류!B48,Master!$G$2:$G$779,분류!$F$24)</f>
        <v>0</v>
      </c>
      <c r="G48" s="62">
        <f>SUMIFS(Master!$L$2:$L$779,Master!$E$2:$E$779,분류!B48,Master!$G$2:$G$779,분류!$G$24)</f>
        <v>0</v>
      </c>
      <c r="H48" s="62">
        <f>SUMIFS(Master!$L$2:$L$779,Master!$E$2:$E$779,분류!B48,Master!$G$2:$G$779,분류!$H$24)</f>
        <v>0</v>
      </c>
      <c r="I48" s="62">
        <f>SUMIFS(Master!$L$2:$L$779,Master!$E$2:$E$779,분류!B48,Master!$G$2:$G$779,분류!$I$24)</f>
        <v>0</v>
      </c>
      <c r="J48" s="47">
        <f>SUMIF(Master!$E$2:$E$779,분류!B48,Master!$Q$2:$Q$779)</f>
        <v>1959489.2727272727</v>
      </c>
      <c r="K48" s="121"/>
      <c r="L48" s="47"/>
    </row>
    <row r="49" spans="1:12">
      <c r="A49" s="14">
        <f t="shared" si="8"/>
        <v>131</v>
      </c>
      <c r="B49" s="63" t="s">
        <v>2158</v>
      </c>
      <c r="C49" s="61">
        <f>SUMIF(Master!$E$2:$E$779,분류!B49,Master!$L$2:$L$779)</f>
        <v>0</v>
      </c>
      <c r="D49" s="62">
        <f>SUMIFS(Master!$L$2:$L$779,Master!$E$2:$E$779,분류!B49,Master!$G$2:$G$779,분류!$D$24)</f>
        <v>0</v>
      </c>
      <c r="E49" s="62">
        <f>SUMIFS(Master!$L$2:$L$779,Master!$E$2:$E$779,분류!B49,Master!$G$2:$G$779,분류!$E$24)</f>
        <v>0</v>
      </c>
      <c r="F49" s="62">
        <f>SUMIFS(Master!$L$2:$L$779,Master!$E$2:$E$779,분류!B49,Master!$G$2:$G$779,분류!$F$24)</f>
        <v>0</v>
      </c>
      <c r="G49" s="62">
        <f>SUMIFS(Master!$L$2:$L$779,Master!$E$2:$E$779,분류!B49,Master!$G$2:$G$779,분류!$G$24)</f>
        <v>0</v>
      </c>
      <c r="H49" s="62">
        <f>SUMIFS(Master!$L$2:$L$779,Master!$E$2:$E$779,분류!B49,Master!$G$2:$G$779,분류!$H$24)</f>
        <v>0</v>
      </c>
      <c r="I49" s="62">
        <f>SUMIFS(Master!$L$2:$L$779,Master!$E$2:$E$779,분류!B49,Master!$G$2:$G$779,분류!$I$24)</f>
        <v>0</v>
      </c>
      <c r="J49" s="47">
        <f>SUMIF(Master!$E$2:$E$779,분류!B49,Master!$Q$2:$Q$779)</f>
        <v>0</v>
      </c>
      <c r="K49" s="121"/>
      <c r="L49" s="47"/>
    </row>
    <row r="50" spans="1:12">
      <c r="A50" s="14">
        <f t="shared" si="8"/>
        <v>105</v>
      </c>
      <c r="B50" s="63" t="s">
        <v>405</v>
      </c>
      <c r="C50" s="61">
        <f>SUMIF(Master!$E$2:$E$779,분류!B50,Master!$L$2:$L$779)</f>
        <v>950400</v>
      </c>
      <c r="D50" s="62">
        <f>SUMIFS(Master!$L$2:$L$779,Master!$E$2:$E$779,분류!B50,Master!$G$2:$G$779,분류!$D$24)</f>
        <v>0</v>
      </c>
      <c r="E50" s="62">
        <f>SUMIFS(Master!$L$2:$L$779,Master!$E$2:$E$779,분류!B50,Master!$G$2:$G$779,분류!$E$24)</f>
        <v>950400</v>
      </c>
      <c r="F50" s="62">
        <f>SUMIFS(Master!$L$2:$L$779,Master!$E$2:$E$779,분류!B50,Master!$G$2:$G$779,분류!$F$24)</f>
        <v>0</v>
      </c>
      <c r="G50" s="62">
        <f>SUMIFS(Master!$L$2:$L$779,Master!$E$2:$E$779,분류!B50,Master!$G$2:$G$779,분류!$G$24)</f>
        <v>0</v>
      </c>
      <c r="H50" s="62">
        <f>SUMIFS(Master!$L$2:$L$779,Master!$E$2:$E$779,분류!B50,Master!$G$2:$G$779,분류!$H$24)</f>
        <v>0</v>
      </c>
      <c r="I50" s="62">
        <f>SUMIFS(Master!$L$2:$L$779,Master!$E$2:$E$779,분류!B50,Master!$G$2:$G$779,분류!$I$24)</f>
        <v>0</v>
      </c>
      <c r="J50" s="47">
        <f>SUMIF(Master!$E$2:$E$779,분류!B50,Master!$Q$2:$Q$779)</f>
        <v>127389</v>
      </c>
      <c r="K50" s="121"/>
      <c r="L50" s="47"/>
    </row>
    <row r="51" spans="1:12">
      <c r="A51" s="14">
        <f t="shared" si="8"/>
        <v>57</v>
      </c>
      <c r="B51" s="63" t="s">
        <v>2159</v>
      </c>
      <c r="C51" s="61">
        <f>SUMIF(Master!$E$2:$E$779,분류!B51,Master!$L$2:$L$779)</f>
        <v>5100000</v>
      </c>
      <c r="D51" s="62">
        <f>SUMIFS(Master!$L$2:$L$779,Master!$E$2:$E$779,분류!B51,Master!$G$2:$G$779,분류!$D$24)</f>
        <v>0</v>
      </c>
      <c r="E51" s="62">
        <f>SUMIFS(Master!$L$2:$L$779,Master!$E$2:$E$779,분류!B51,Master!$G$2:$G$779,분류!$E$24)</f>
        <v>5100000</v>
      </c>
      <c r="F51" s="62">
        <f>SUMIFS(Master!$L$2:$L$779,Master!$E$2:$E$779,분류!B51,Master!$G$2:$G$779,분류!$F$24)</f>
        <v>0</v>
      </c>
      <c r="G51" s="62">
        <f>SUMIFS(Master!$L$2:$L$779,Master!$E$2:$E$779,분류!B51,Master!$G$2:$G$779,분류!$G$24)</f>
        <v>0</v>
      </c>
      <c r="H51" s="62">
        <f>SUMIFS(Master!$L$2:$L$779,Master!$E$2:$E$779,분류!B51,Master!$G$2:$G$779,분류!$H$24)</f>
        <v>0</v>
      </c>
      <c r="I51" s="62">
        <f>SUMIFS(Master!$L$2:$L$779,Master!$E$2:$E$779,분류!B51,Master!$G$2:$G$779,분류!$I$24)</f>
        <v>0</v>
      </c>
      <c r="J51" s="47">
        <f>SUMIF(Master!$E$2:$E$779,분류!B51,Master!$Q$2:$Q$779)</f>
        <v>900000</v>
      </c>
      <c r="K51" s="121"/>
      <c r="L51" s="47"/>
    </row>
    <row r="52" spans="1:12">
      <c r="A52" s="14">
        <f t="shared" si="8"/>
        <v>122</v>
      </c>
      <c r="B52" s="63" t="s">
        <v>289</v>
      </c>
      <c r="C52" s="61">
        <f>SUMIF(Master!$E$2:$E$779,분류!B52,Master!$L$2:$L$779)</f>
        <v>380000</v>
      </c>
      <c r="D52" s="62">
        <f>SUMIFS(Master!$L$2:$L$779,Master!$E$2:$E$779,분류!B52,Master!$G$2:$G$779,분류!$D$24)</f>
        <v>380000</v>
      </c>
      <c r="E52" s="62">
        <f>SUMIFS(Master!$L$2:$L$779,Master!$E$2:$E$779,분류!B52,Master!$G$2:$G$779,분류!$E$24)</f>
        <v>0</v>
      </c>
      <c r="F52" s="62">
        <f>SUMIFS(Master!$L$2:$L$779,Master!$E$2:$E$779,분류!B52,Master!$G$2:$G$779,분류!$F$24)</f>
        <v>0</v>
      </c>
      <c r="G52" s="62">
        <f>SUMIFS(Master!$L$2:$L$779,Master!$E$2:$E$779,분류!B52,Master!$G$2:$G$779,분류!$G$24)</f>
        <v>0</v>
      </c>
      <c r="H52" s="62">
        <f>SUMIFS(Master!$L$2:$L$779,Master!$E$2:$E$779,분류!B52,Master!$G$2:$G$779,분류!$H$24)</f>
        <v>0</v>
      </c>
      <c r="I52" s="62">
        <f>SUMIFS(Master!$L$2:$L$779,Master!$E$2:$E$779,분류!B52,Master!$G$2:$G$779,분류!$I$24)</f>
        <v>0</v>
      </c>
      <c r="J52" s="47">
        <f>SUMIF(Master!$E$2:$E$779,분류!B52,Master!$Q$2:$Q$779)</f>
        <v>176200</v>
      </c>
      <c r="K52" s="121"/>
      <c r="L52" s="47"/>
    </row>
    <row r="53" spans="1:12">
      <c r="A53" s="14">
        <f t="shared" si="8"/>
        <v>77</v>
      </c>
      <c r="B53" s="63" t="s">
        <v>1190</v>
      </c>
      <c r="C53" s="61">
        <f>SUMIF(Master!$E$2:$E$779,분류!B53,Master!$L$2:$L$779)</f>
        <v>2650000</v>
      </c>
      <c r="D53" s="62">
        <f>SUMIFS(Master!$L$2:$L$779,Master!$E$2:$E$779,분류!B53,Master!$G$2:$G$779,분류!$D$24)</f>
        <v>2450000</v>
      </c>
      <c r="E53" s="62">
        <f>SUMIFS(Master!$L$2:$L$779,Master!$E$2:$E$779,분류!B53,Master!$G$2:$G$779,분류!$E$24)</f>
        <v>0</v>
      </c>
      <c r="F53" s="62">
        <f>SUMIFS(Master!$L$2:$L$779,Master!$E$2:$E$779,분류!B53,Master!$G$2:$G$779,분류!$F$24)</f>
        <v>0</v>
      </c>
      <c r="G53" s="62">
        <f>SUMIFS(Master!$L$2:$L$779,Master!$E$2:$E$779,분류!B53,Master!$G$2:$G$779,분류!$G$24)</f>
        <v>0</v>
      </c>
      <c r="H53" s="62">
        <f>SUMIFS(Master!$L$2:$L$779,Master!$E$2:$E$779,분류!B53,Master!$G$2:$G$779,분류!$H$24)</f>
        <v>200000</v>
      </c>
      <c r="I53" s="62">
        <f>SUMIFS(Master!$L$2:$L$779,Master!$E$2:$E$779,분류!B53,Master!$G$2:$G$779,분류!$I$24)</f>
        <v>0</v>
      </c>
      <c r="J53" s="47">
        <f>SUMIF(Master!$E$2:$E$779,분류!B53,Master!$Q$2:$Q$779)</f>
        <v>451755</v>
      </c>
      <c r="K53" s="121"/>
      <c r="L53" s="47"/>
    </row>
    <row r="54" spans="1:12">
      <c r="A54" s="14">
        <f t="shared" si="8"/>
        <v>50</v>
      </c>
      <c r="B54" s="63" t="s">
        <v>2160</v>
      </c>
      <c r="C54" s="61">
        <f>SUMIF(Master!$E$2:$E$779,분류!B54,Master!$L$2:$L$779)</f>
        <v>7085500</v>
      </c>
      <c r="D54" s="62">
        <f>SUMIFS(Master!$L$2:$L$779,Master!$E$2:$E$779,분류!B54,Master!$G$2:$G$779,분류!$D$24)</f>
        <v>0</v>
      </c>
      <c r="E54" s="62">
        <f>SUMIFS(Master!$L$2:$L$779,Master!$E$2:$E$779,분류!B54,Master!$G$2:$G$779,분류!$E$24)</f>
        <v>7085500</v>
      </c>
      <c r="F54" s="62">
        <f>SUMIFS(Master!$L$2:$L$779,Master!$E$2:$E$779,분류!B54,Master!$G$2:$G$779,분류!$F$24)</f>
        <v>0</v>
      </c>
      <c r="G54" s="62">
        <f>SUMIFS(Master!$L$2:$L$779,Master!$E$2:$E$779,분류!B54,Master!$G$2:$G$779,분류!$G$24)</f>
        <v>0</v>
      </c>
      <c r="H54" s="62">
        <f>SUMIFS(Master!$L$2:$L$779,Master!$E$2:$E$779,분류!B54,Master!$G$2:$G$779,분류!$H$24)</f>
        <v>0</v>
      </c>
      <c r="I54" s="62">
        <f>SUMIFS(Master!$L$2:$L$779,Master!$E$2:$E$779,분류!B54,Master!$G$2:$G$779,분류!$I$24)</f>
        <v>0</v>
      </c>
      <c r="J54" s="47">
        <f>SUMIF(Master!$E$2:$E$779,분류!B54,Master!$Q$2:$Q$779)</f>
        <v>950990</v>
      </c>
      <c r="K54" s="121"/>
      <c r="L54" s="47"/>
    </row>
    <row r="55" spans="1:12">
      <c r="A55" s="14">
        <f t="shared" si="8"/>
        <v>131</v>
      </c>
      <c r="B55" s="63" t="s">
        <v>2023</v>
      </c>
      <c r="C55" s="61">
        <f>SUMIF(Master!$E$2:$E$779,분류!B55,Master!$L$2:$L$779)</f>
        <v>0</v>
      </c>
      <c r="D55" s="62">
        <f>SUMIFS(Master!$L$2:$L$779,Master!$E$2:$E$779,분류!B55,Master!$G$2:$G$779,분류!$D$24)</f>
        <v>0</v>
      </c>
      <c r="E55" s="62">
        <f>SUMIFS(Master!$L$2:$L$779,Master!$E$2:$E$779,분류!B55,Master!$G$2:$G$779,분류!$E$24)</f>
        <v>0</v>
      </c>
      <c r="F55" s="62">
        <f>SUMIFS(Master!$L$2:$L$779,Master!$E$2:$E$779,분류!B55,Master!$G$2:$G$779,분류!$F$24)</f>
        <v>0</v>
      </c>
      <c r="G55" s="62">
        <f>SUMIFS(Master!$L$2:$L$779,Master!$E$2:$E$779,분류!B55,Master!$G$2:$G$779,분류!$G$24)</f>
        <v>0</v>
      </c>
      <c r="H55" s="62">
        <f>SUMIFS(Master!$L$2:$L$779,Master!$E$2:$E$779,분류!B55,Master!$G$2:$G$779,분류!$H$24)</f>
        <v>0</v>
      </c>
      <c r="I55" s="62">
        <f>SUMIFS(Master!$L$2:$L$779,Master!$E$2:$E$779,분류!B55,Master!$G$2:$G$779,분류!$I$24)</f>
        <v>0</v>
      </c>
      <c r="J55" s="47">
        <f>SUMIF(Master!$E$2:$E$779,분류!B55,Master!$Q$2:$Q$779)</f>
        <v>0</v>
      </c>
      <c r="K55" s="121"/>
      <c r="L55" s="47"/>
    </row>
    <row r="56" spans="1:12">
      <c r="A56" s="14">
        <f t="shared" si="8"/>
        <v>131</v>
      </c>
      <c r="B56" s="63" t="s">
        <v>376</v>
      </c>
      <c r="C56" s="61">
        <f>SUMIF(Master!$E$2:$E$779,분류!B56,Master!$L$2:$L$779)</f>
        <v>0</v>
      </c>
      <c r="D56" s="62">
        <f>SUMIFS(Master!$L$2:$L$779,Master!$E$2:$E$779,분류!B56,Master!$G$2:$G$779,분류!$D$24)</f>
        <v>0</v>
      </c>
      <c r="E56" s="62">
        <f>SUMIFS(Master!$L$2:$L$779,Master!$E$2:$E$779,분류!B56,Master!$G$2:$G$779,분류!$E$24)</f>
        <v>0</v>
      </c>
      <c r="F56" s="62">
        <f>SUMIFS(Master!$L$2:$L$779,Master!$E$2:$E$779,분류!B56,Master!$G$2:$G$779,분류!$F$24)</f>
        <v>0</v>
      </c>
      <c r="G56" s="62">
        <f>SUMIFS(Master!$L$2:$L$779,Master!$E$2:$E$779,분류!B56,Master!$G$2:$G$779,분류!$G$24)</f>
        <v>0</v>
      </c>
      <c r="H56" s="62">
        <f>SUMIFS(Master!$L$2:$L$779,Master!$E$2:$E$779,분류!B56,Master!$G$2:$G$779,분류!$H$24)</f>
        <v>0</v>
      </c>
      <c r="I56" s="62">
        <f>SUMIFS(Master!$L$2:$L$779,Master!$E$2:$E$779,분류!B56,Master!$G$2:$G$779,분류!$I$24)</f>
        <v>0</v>
      </c>
      <c r="J56" s="47">
        <f>SUMIF(Master!$E$2:$E$779,분류!B56,Master!$Q$2:$Q$779)</f>
        <v>-34000</v>
      </c>
      <c r="K56" s="121"/>
      <c r="L56" s="47"/>
    </row>
    <row r="57" spans="1:12">
      <c r="A57" s="14">
        <f t="shared" si="8"/>
        <v>27</v>
      </c>
      <c r="B57" s="63" t="s">
        <v>2161</v>
      </c>
      <c r="C57" s="61">
        <f>SUMIF(Master!$E$2:$E$779,분류!B57,Master!$L$2:$L$779)</f>
        <v>20000000</v>
      </c>
      <c r="D57" s="62">
        <f>SUMIFS(Master!$L$2:$L$779,Master!$E$2:$E$779,분류!B57,Master!$G$2:$G$779,분류!$D$24)</f>
        <v>0</v>
      </c>
      <c r="E57" s="62">
        <f>SUMIFS(Master!$L$2:$L$779,Master!$E$2:$E$779,분류!B57,Master!$G$2:$G$779,분류!$E$24)</f>
        <v>20000000</v>
      </c>
      <c r="F57" s="62">
        <f>SUMIFS(Master!$L$2:$L$779,Master!$E$2:$E$779,분류!B57,Master!$G$2:$G$779,분류!$F$24)</f>
        <v>0</v>
      </c>
      <c r="G57" s="62">
        <f>SUMIFS(Master!$L$2:$L$779,Master!$E$2:$E$779,분류!B57,Master!$G$2:$G$779,분류!$G$24)</f>
        <v>0</v>
      </c>
      <c r="H57" s="62">
        <f>SUMIFS(Master!$L$2:$L$779,Master!$E$2:$E$779,분류!B57,Master!$G$2:$G$779,분류!$H$24)</f>
        <v>0</v>
      </c>
      <c r="I57" s="62">
        <f>SUMIFS(Master!$L$2:$L$779,Master!$E$2:$E$779,분류!B57,Master!$G$2:$G$779,분류!$I$24)</f>
        <v>0</v>
      </c>
      <c r="J57" s="47">
        <f>SUMIF(Master!$E$2:$E$779,분류!B57,Master!$Q$2:$Q$779)</f>
        <v>1000000</v>
      </c>
      <c r="K57" s="121"/>
      <c r="L57" s="47"/>
    </row>
    <row r="58" spans="1:12">
      <c r="A58" s="14">
        <f t="shared" si="8"/>
        <v>34</v>
      </c>
      <c r="B58" s="63" t="s">
        <v>2162</v>
      </c>
      <c r="C58" s="61">
        <f>SUMIF(Master!$E$2:$E$779,분류!B58,Master!$L$2:$L$779)</f>
        <v>15652000</v>
      </c>
      <c r="D58" s="62">
        <f>SUMIFS(Master!$L$2:$L$779,Master!$E$2:$E$779,분류!B58,Master!$G$2:$G$779,분류!$D$24)</f>
        <v>0</v>
      </c>
      <c r="E58" s="62">
        <f>SUMIFS(Master!$L$2:$L$779,Master!$E$2:$E$779,분류!B58,Master!$G$2:$G$779,분류!$E$24)</f>
        <v>0</v>
      </c>
      <c r="F58" s="62">
        <f>SUMIFS(Master!$L$2:$L$779,Master!$E$2:$E$779,분류!B58,Master!$G$2:$G$779,분류!$F$24)</f>
        <v>15652000</v>
      </c>
      <c r="G58" s="62">
        <f>SUMIFS(Master!$L$2:$L$779,Master!$E$2:$E$779,분류!B58,Master!$G$2:$G$779,분류!$G$24)</f>
        <v>0</v>
      </c>
      <c r="H58" s="62">
        <f>SUMIFS(Master!$L$2:$L$779,Master!$E$2:$E$779,분류!B58,Master!$G$2:$G$779,분류!$H$24)</f>
        <v>0</v>
      </c>
      <c r="I58" s="62">
        <f>SUMIFS(Master!$L$2:$L$779,Master!$E$2:$E$779,분류!B58,Master!$G$2:$G$779,분류!$I$24)</f>
        <v>0</v>
      </c>
      <c r="J58" s="47">
        <f>SUMIF(Master!$E$2:$E$779,분류!B58,Master!$Q$2:$Q$779)</f>
        <v>1159840</v>
      </c>
      <c r="K58" s="121"/>
      <c r="L58" s="47"/>
    </row>
    <row r="59" spans="1:12">
      <c r="A59" s="14">
        <f t="shared" si="8"/>
        <v>87</v>
      </c>
      <c r="B59" s="63" t="s">
        <v>2163</v>
      </c>
      <c r="C59" s="61">
        <f>SUMIF(Master!$E$2:$E$779,분류!B59,Master!$L$2:$L$779)</f>
        <v>1830000</v>
      </c>
      <c r="D59" s="62">
        <f>SUMIFS(Master!$L$2:$L$779,Master!$E$2:$E$779,분류!B59,Master!$G$2:$G$779,분류!$D$24)</f>
        <v>0</v>
      </c>
      <c r="E59" s="62">
        <f>SUMIFS(Master!$L$2:$L$779,Master!$E$2:$E$779,분류!B59,Master!$G$2:$G$779,분류!$E$24)</f>
        <v>1830000</v>
      </c>
      <c r="F59" s="62">
        <f>SUMIFS(Master!$L$2:$L$779,Master!$E$2:$E$779,분류!B59,Master!$G$2:$G$779,분류!$F$24)</f>
        <v>0</v>
      </c>
      <c r="G59" s="62">
        <f>SUMIFS(Master!$L$2:$L$779,Master!$E$2:$E$779,분류!B59,Master!$G$2:$G$779,분류!$G$24)</f>
        <v>0</v>
      </c>
      <c r="H59" s="62">
        <f>SUMIFS(Master!$L$2:$L$779,Master!$E$2:$E$779,분류!B59,Master!$G$2:$G$779,분류!$H$24)</f>
        <v>0</v>
      </c>
      <c r="I59" s="62">
        <f>SUMIFS(Master!$L$2:$L$779,Master!$E$2:$E$779,분류!B59,Master!$G$2:$G$779,분류!$I$24)</f>
        <v>0</v>
      </c>
      <c r="J59" s="47">
        <f>SUMIF(Master!$E$2:$E$779,분류!B59,Master!$Q$2:$Q$779)</f>
        <v>1321134</v>
      </c>
      <c r="K59" s="121"/>
      <c r="L59" s="47"/>
    </row>
    <row r="60" spans="1:12">
      <c r="A60" s="14">
        <f t="shared" si="8"/>
        <v>64</v>
      </c>
      <c r="B60" s="63" t="s">
        <v>326</v>
      </c>
      <c r="C60" s="61">
        <f>SUMIF(Master!$E$2:$E$779,분류!B60,Master!$L$2:$L$779)</f>
        <v>4008000</v>
      </c>
      <c r="D60" s="62">
        <f>SUMIFS(Master!$L$2:$L$779,Master!$E$2:$E$779,분류!B60,Master!$G$2:$G$779,분류!$D$24)</f>
        <v>0</v>
      </c>
      <c r="E60" s="62">
        <f>SUMIFS(Master!$L$2:$L$779,Master!$E$2:$E$779,분류!B60,Master!$G$2:$G$779,분류!$E$24)</f>
        <v>4008000</v>
      </c>
      <c r="F60" s="62">
        <f>SUMIFS(Master!$L$2:$L$779,Master!$E$2:$E$779,분류!B60,Master!$G$2:$G$779,분류!$F$24)</f>
        <v>0</v>
      </c>
      <c r="G60" s="62">
        <f>SUMIFS(Master!$L$2:$L$779,Master!$E$2:$E$779,분류!B60,Master!$G$2:$G$779,분류!$G$24)</f>
        <v>0</v>
      </c>
      <c r="H60" s="62">
        <f>SUMIFS(Master!$L$2:$L$779,Master!$E$2:$E$779,분류!B60,Master!$G$2:$G$779,분류!$H$24)</f>
        <v>0</v>
      </c>
      <c r="I60" s="62">
        <f>SUMIFS(Master!$L$2:$L$779,Master!$E$2:$E$779,분류!B60,Master!$G$2:$G$779,분류!$I$24)</f>
        <v>0</v>
      </c>
      <c r="J60" s="47">
        <f>SUMIF(Master!$E$2:$E$779,분류!B60,Master!$Q$2:$Q$779)</f>
        <v>1485600</v>
      </c>
      <c r="K60" s="121"/>
      <c r="L60" s="47"/>
    </row>
    <row r="61" spans="1:12">
      <c r="A61" s="14">
        <f t="shared" si="8"/>
        <v>53</v>
      </c>
      <c r="B61" s="63" t="s">
        <v>2164</v>
      </c>
      <c r="C61" s="61">
        <f>SUMIF(Master!$E$2:$E$779,분류!B61,Master!$L$2:$L$779)</f>
        <v>5405000</v>
      </c>
      <c r="D61" s="62">
        <f>SUMIFS(Master!$L$2:$L$779,Master!$E$2:$E$779,분류!B61,Master!$G$2:$G$779,분류!$D$24)</f>
        <v>3125000</v>
      </c>
      <c r="E61" s="62">
        <f>SUMIFS(Master!$L$2:$L$779,Master!$E$2:$E$779,분류!B61,Master!$G$2:$G$779,분류!$E$24)</f>
        <v>2280000</v>
      </c>
      <c r="F61" s="62">
        <f>SUMIFS(Master!$L$2:$L$779,Master!$E$2:$E$779,분류!B61,Master!$G$2:$G$779,분류!$F$24)</f>
        <v>0</v>
      </c>
      <c r="G61" s="62">
        <f>SUMIFS(Master!$L$2:$L$779,Master!$E$2:$E$779,분류!B61,Master!$G$2:$G$779,분류!$G$24)</f>
        <v>0</v>
      </c>
      <c r="H61" s="62">
        <f>SUMIFS(Master!$L$2:$L$779,Master!$E$2:$E$779,분류!B61,Master!$G$2:$G$779,분류!$H$24)</f>
        <v>0</v>
      </c>
      <c r="I61" s="62">
        <f>SUMIFS(Master!$L$2:$L$779,Master!$E$2:$E$779,분류!B61,Master!$G$2:$G$779,분류!$I$24)</f>
        <v>0</v>
      </c>
      <c r="J61" s="47">
        <f>SUMIF(Master!$E$2:$E$779,분류!B61,Master!$Q$2:$Q$779)</f>
        <v>523900</v>
      </c>
      <c r="K61" s="121"/>
      <c r="L61" s="47"/>
    </row>
    <row r="62" spans="1:12">
      <c r="A62" s="14">
        <f t="shared" si="8"/>
        <v>5</v>
      </c>
      <c r="B62" s="63" t="s">
        <v>2165</v>
      </c>
      <c r="C62" s="61">
        <f>SUMIF(Master!$E$2:$E$779,분류!B62,Master!$L$2:$L$779)</f>
        <v>81092000</v>
      </c>
      <c r="D62" s="62">
        <f>SUMIFS(Master!$L$2:$L$779,Master!$E$2:$E$779,분류!B62,Master!$G$2:$G$779,분류!$D$24)</f>
        <v>49037000</v>
      </c>
      <c r="E62" s="62">
        <f>SUMIFS(Master!$L$2:$L$779,Master!$E$2:$E$779,분류!B62,Master!$G$2:$G$779,분류!$E$24)</f>
        <v>32055000</v>
      </c>
      <c r="F62" s="62">
        <f>SUMIFS(Master!$L$2:$L$779,Master!$E$2:$E$779,분류!B62,Master!$G$2:$G$779,분류!$F$24)</f>
        <v>0</v>
      </c>
      <c r="G62" s="62">
        <f>SUMIFS(Master!$L$2:$L$779,Master!$E$2:$E$779,분류!B62,Master!$G$2:$G$779,분류!$G$24)</f>
        <v>0</v>
      </c>
      <c r="H62" s="62">
        <f>SUMIFS(Master!$L$2:$L$779,Master!$E$2:$E$779,분류!B62,Master!$G$2:$G$779,분류!$H$24)</f>
        <v>0</v>
      </c>
      <c r="I62" s="62">
        <f>SUMIFS(Master!$L$2:$L$779,Master!$E$2:$E$779,분류!B62,Master!$G$2:$G$779,분류!$I$24)</f>
        <v>0</v>
      </c>
      <c r="J62" s="47">
        <f>SUMIF(Master!$E$2:$E$779,분류!B62,Master!$Q$2:$Q$779)</f>
        <v>1845287</v>
      </c>
      <c r="K62" s="121"/>
      <c r="L62" s="47"/>
    </row>
    <row r="63" spans="1:12">
      <c r="A63" s="14">
        <f t="shared" si="8"/>
        <v>120</v>
      </c>
      <c r="B63" s="63" t="s">
        <v>773</v>
      </c>
      <c r="C63" s="61">
        <f>SUMIF(Master!$E$2:$E$779,분류!B63,Master!$L$2:$L$779)</f>
        <v>500000</v>
      </c>
      <c r="D63" s="62">
        <f>SUMIFS(Master!$L$2:$L$779,Master!$E$2:$E$779,분류!B63,Master!$G$2:$G$779,분류!$D$24)</f>
        <v>0</v>
      </c>
      <c r="E63" s="62">
        <f>SUMIFS(Master!$L$2:$L$779,Master!$E$2:$E$779,분류!B63,Master!$G$2:$G$779,분류!$E$24)</f>
        <v>500000</v>
      </c>
      <c r="F63" s="62">
        <f>SUMIFS(Master!$L$2:$L$779,Master!$E$2:$E$779,분류!B63,Master!$G$2:$G$779,분류!$F$24)</f>
        <v>0</v>
      </c>
      <c r="G63" s="62">
        <f>SUMIFS(Master!$L$2:$L$779,Master!$E$2:$E$779,분류!B63,Master!$G$2:$G$779,분류!$G$24)</f>
        <v>0</v>
      </c>
      <c r="H63" s="62">
        <f>SUMIFS(Master!$L$2:$L$779,Master!$E$2:$E$779,분류!B63,Master!$G$2:$G$779,분류!$H$24)</f>
        <v>0</v>
      </c>
      <c r="I63" s="62">
        <f>SUMIFS(Master!$L$2:$L$779,Master!$E$2:$E$779,분류!B63,Master!$G$2:$G$779,분류!$I$24)</f>
        <v>0</v>
      </c>
      <c r="J63" s="47">
        <f>SUMIF(Master!$E$2:$E$779,분류!B63,Master!$Q$2:$Q$779)</f>
        <v>500000</v>
      </c>
      <c r="K63" s="121"/>
      <c r="L63" s="47"/>
    </row>
    <row r="64" spans="1:12">
      <c r="A64" s="14">
        <f t="shared" si="8"/>
        <v>84</v>
      </c>
      <c r="B64" s="63" t="s">
        <v>7</v>
      </c>
      <c r="C64" s="61">
        <f>SUMIF(Master!$E$2:$E$779,분류!B64,Master!$L$2:$L$779)</f>
        <v>1920000</v>
      </c>
      <c r="D64" s="62">
        <f>SUMIFS(Master!$L$2:$L$779,Master!$E$2:$E$779,분류!B64,Master!$G$2:$G$779,분류!$D$24)</f>
        <v>0</v>
      </c>
      <c r="E64" s="62">
        <f>SUMIFS(Master!$L$2:$L$779,Master!$E$2:$E$779,분류!B64,Master!$G$2:$G$779,분류!$E$24)</f>
        <v>1920000</v>
      </c>
      <c r="F64" s="62">
        <f>SUMIFS(Master!$L$2:$L$779,Master!$E$2:$E$779,분류!B64,Master!$G$2:$G$779,분류!$F$24)</f>
        <v>0</v>
      </c>
      <c r="G64" s="62">
        <f>SUMIFS(Master!$L$2:$L$779,Master!$E$2:$E$779,분류!B64,Master!$G$2:$G$779,분류!$G$24)</f>
        <v>0</v>
      </c>
      <c r="H64" s="62">
        <f>SUMIFS(Master!$L$2:$L$779,Master!$E$2:$E$779,분류!B64,Master!$G$2:$G$779,분류!$H$24)</f>
        <v>0</v>
      </c>
      <c r="I64" s="62">
        <f>SUMIFS(Master!$L$2:$L$779,Master!$E$2:$E$779,분류!B64,Master!$G$2:$G$779,분류!$I$24)</f>
        <v>0</v>
      </c>
      <c r="J64" s="47">
        <f>SUMIF(Master!$E$2:$E$779,분류!B64,Master!$Q$2:$Q$779)</f>
        <v>900000</v>
      </c>
      <c r="K64" s="121"/>
      <c r="L64" s="47"/>
    </row>
    <row r="65" spans="1:12">
      <c r="A65" s="14">
        <f t="shared" si="8"/>
        <v>55</v>
      </c>
      <c r="B65" s="63" t="s">
        <v>246</v>
      </c>
      <c r="C65" s="61">
        <f>SUMIF(Master!$E$2:$E$779,분류!B65,Master!$L$2:$L$779)</f>
        <v>5250000</v>
      </c>
      <c r="D65" s="62">
        <f>SUMIFS(Master!$L$2:$L$779,Master!$E$2:$E$779,분류!B65,Master!$G$2:$G$779,분류!$D$24)</f>
        <v>0</v>
      </c>
      <c r="E65" s="62">
        <f>SUMIFS(Master!$L$2:$L$779,Master!$E$2:$E$779,분류!B65,Master!$G$2:$G$779,분류!$E$24)</f>
        <v>5250000</v>
      </c>
      <c r="F65" s="62">
        <f>SUMIFS(Master!$L$2:$L$779,Master!$E$2:$E$779,분류!B65,Master!$G$2:$G$779,분류!$F$24)</f>
        <v>0</v>
      </c>
      <c r="G65" s="62">
        <f>SUMIFS(Master!$L$2:$L$779,Master!$E$2:$E$779,분류!B65,Master!$G$2:$G$779,분류!$G$24)</f>
        <v>0</v>
      </c>
      <c r="H65" s="62">
        <f>SUMIFS(Master!$L$2:$L$779,Master!$E$2:$E$779,분류!B65,Master!$G$2:$G$779,분류!$H$24)</f>
        <v>0</v>
      </c>
      <c r="I65" s="62">
        <f>SUMIFS(Master!$L$2:$L$779,Master!$E$2:$E$779,분류!B65,Master!$G$2:$G$779,분류!$I$24)</f>
        <v>0</v>
      </c>
      <c r="J65" s="47">
        <f>SUMIF(Master!$E$2:$E$779,분류!B65,Master!$Q$2:$Q$779)</f>
        <v>481000.00000000047</v>
      </c>
      <c r="K65" s="121"/>
      <c r="L65" s="47"/>
    </row>
    <row r="66" spans="1:12">
      <c r="A66" s="14">
        <f t="shared" si="8"/>
        <v>107</v>
      </c>
      <c r="B66" s="63" t="s">
        <v>299</v>
      </c>
      <c r="C66" s="61">
        <f>SUMIF(Master!$E$2:$E$779,분류!B66,Master!$L$2:$L$779)</f>
        <v>930000</v>
      </c>
      <c r="D66" s="62">
        <f>SUMIFS(Master!$L$2:$L$779,Master!$E$2:$E$779,분류!B66,Master!$G$2:$G$779,분류!$D$24)</f>
        <v>0</v>
      </c>
      <c r="E66" s="62">
        <f>SUMIFS(Master!$L$2:$L$779,Master!$E$2:$E$779,분류!B66,Master!$G$2:$G$779,분류!$E$24)</f>
        <v>930000</v>
      </c>
      <c r="F66" s="62">
        <f>SUMIFS(Master!$L$2:$L$779,Master!$E$2:$E$779,분류!B66,Master!$G$2:$G$779,분류!$F$24)</f>
        <v>0</v>
      </c>
      <c r="G66" s="62">
        <f>SUMIFS(Master!$L$2:$L$779,Master!$E$2:$E$779,분류!B66,Master!$G$2:$G$779,분류!$G$24)</f>
        <v>0</v>
      </c>
      <c r="H66" s="62">
        <f>SUMIFS(Master!$L$2:$L$779,Master!$E$2:$E$779,분류!B66,Master!$G$2:$G$779,분류!$H$24)</f>
        <v>0</v>
      </c>
      <c r="I66" s="62">
        <f>SUMIFS(Master!$L$2:$L$779,Master!$E$2:$E$779,분류!B66,Master!$G$2:$G$779,분류!$I$24)</f>
        <v>0</v>
      </c>
      <c r="J66" s="47">
        <f>SUMIF(Master!$E$2:$E$779,분류!B66,Master!$Q$2:$Q$779)</f>
        <v>210000</v>
      </c>
      <c r="K66" s="121"/>
      <c r="L66" s="47"/>
    </row>
    <row r="67" spans="1:12">
      <c r="A67" s="14">
        <f t="shared" si="8"/>
        <v>36</v>
      </c>
      <c r="B67" s="63" t="s">
        <v>2166</v>
      </c>
      <c r="C67" s="61">
        <f>SUMIF(Master!$E$2:$E$779,분류!B67,Master!$L$2:$L$779)</f>
        <v>13000000</v>
      </c>
      <c r="D67" s="62">
        <f>SUMIFS(Master!$L$2:$L$779,Master!$E$2:$E$779,분류!B67,Master!$G$2:$G$779,분류!$D$24)</f>
        <v>0</v>
      </c>
      <c r="E67" s="62">
        <f>SUMIFS(Master!$L$2:$L$779,Master!$E$2:$E$779,분류!B67,Master!$G$2:$G$779,분류!$E$24)</f>
        <v>0</v>
      </c>
      <c r="F67" s="62">
        <f>SUMIFS(Master!$L$2:$L$779,Master!$E$2:$E$779,분류!B67,Master!$G$2:$G$779,분류!$F$24)</f>
        <v>0</v>
      </c>
      <c r="G67" s="62">
        <f>SUMIFS(Master!$L$2:$L$779,Master!$E$2:$E$779,분류!B67,Master!$G$2:$G$779,분류!$G$24)</f>
        <v>13000000</v>
      </c>
      <c r="H67" s="62">
        <f>SUMIFS(Master!$L$2:$L$779,Master!$E$2:$E$779,분류!B67,Master!$G$2:$G$779,분류!$H$24)</f>
        <v>0</v>
      </c>
      <c r="I67" s="62">
        <f>SUMIFS(Master!$L$2:$L$779,Master!$E$2:$E$779,분류!B67,Master!$G$2:$G$779,분류!$I$24)</f>
        <v>0</v>
      </c>
      <c r="J67" s="47">
        <f>SUMIF(Master!$E$2:$E$779,분류!B67,Master!$Q$2:$Q$779)</f>
        <v>6888172</v>
      </c>
      <c r="K67" s="121"/>
      <c r="L67" s="47"/>
    </row>
    <row r="68" spans="1:12">
      <c r="A68" s="14">
        <f t="shared" si="8"/>
        <v>24</v>
      </c>
      <c r="B68" s="63" t="s">
        <v>2167</v>
      </c>
      <c r="C68" s="61">
        <f>SUMIF(Master!$E$2:$E$779,분류!B68,Master!$L$2:$L$779)</f>
        <v>23236000</v>
      </c>
      <c r="D68" s="62">
        <f>SUMIFS(Master!$L$2:$L$779,Master!$E$2:$E$779,분류!B68,Master!$G$2:$G$779,분류!$D$24)</f>
        <v>1570000</v>
      </c>
      <c r="E68" s="62">
        <f>SUMIFS(Master!$L$2:$L$779,Master!$E$2:$E$779,분류!B68,Master!$G$2:$G$779,분류!$E$24)</f>
        <v>21666000</v>
      </c>
      <c r="F68" s="62">
        <f>SUMIFS(Master!$L$2:$L$779,Master!$E$2:$E$779,분류!B68,Master!$G$2:$G$779,분류!$F$24)</f>
        <v>0</v>
      </c>
      <c r="G68" s="62">
        <f>SUMIFS(Master!$L$2:$L$779,Master!$E$2:$E$779,분류!B68,Master!$G$2:$G$779,분류!$G$24)</f>
        <v>0</v>
      </c>
      <c r="H68" s="62">
        <f>SUMIFS(Master!$L$2:$L$779,Master!$E$2:$E$779,분류!B68,Master!$G$2:$G$779,분류!$H$24)</f>
        <v>0</v>
      </c>
      <c r="I68" s="62">
        <f>SUMIFS(Master!$L$2:$L$779,Master!$E$2:$E$779,분류!B68,Master!$G$2:$G$779,분류!$I$24)</f>
        <v>0</v>
      </c>
      <c r="J68" s="47">
        <f>SUMIF(Master!$E$2:$E$779,분류!B68,Master!$Q$2:$Q$779)</f>
        <v>5414000</v>
      </c>
      <c r="K68" s="121"/>
      <c r="L68" s="47"/>
    </row>
    <row r="69" spans="1:12">
      <c r="A69" s="14">
        <f t="shared" si="8"/>
        <v>111</v>
      </c>
      <c r="B69" s="63" t="s">
        <v>2169</v>
      </c>
      <c r="C69" s="61">
        <f>SUMIF(Master!$E$2:$E$779,분류!B69,Master!$L$2:$L$779)</f>
        <v>780000</v>
      </c>
      <c r="D69" s="62">
        <f>SUMIFS(Master!$L$2:$L$779,Master!$E$2:$E$779,분류!B69,Master!$G$2:$G$779,분류!$D$24)</f>
        <v>780000</v>
      </c>
      <c r="E69" s="62">
        <f>SUMIFS(Master!$L$2:$L$779,Master!$E$2:$E$779,분류!B69,Master!$G$2:$G$779,분류!$E$24)</f>
        <v>0</v>
      </c>
      <c r="F69" s="62">
        <f>SUMIFS(Master!$L$2:$L$779,Master!$E$2:$E$779,분류!B69,Master!$G$2:$G$779,분류!$F$24)</f>
        <v>0</v>
      </c>
      <c r="G69" s="62">
        <f>SUMIFS(Master!$L$2:$L$779,Master!$E$2:$E$779,분류!B69,Master!$G$2:$G$779,분류!$G$24)</f>
        <v>0</v>
      </c>
      <c r="H69" s="62">
        <f>SUMIFS(Master!$L$2:$L$779,Master!$E$2:$E$779,분류!B69,Master!$G$2:$G$779,분류!$H$24)</f>
        <v>0</v>
      </c>
      <c r="I69" s="62">
        <f>SUMIFS(Master!$L$2:$L$779,Master!$E$2:$E$779,분류!B69,Master!$G$2:$G$779,분류!$I$24)</f>
        <v>0</v>
      </c>
      <c r="J69" s="47">
        <f>SUMIF(Master!$E$2:$E$779,분류!B69,Master!$Q$2:$Q$779)</f>
        <v>390910</v>
      </c>
      <c r="K69" s="121"/>
      <c r="L69" s="47"/>
    </row>
    <row r="70" spans="1:12">
      <c r="A70" s="14">
        <f t="shared" si="8"/>
        <v>93</v>
      </c>
      <c r="B70" s="63" t="s">
        <v>5</v>
      </c>
      <c r="C70" s="61">
        <f>SUMIF(Master!$E$2:$E$779,분류!B70,Master!$L$2:$L$779)</f>
        <v>1428000</v>
      </c>
      <c r="D70" s="62">
        <f>SUMIFS(Master!$L$2:$L$779,Master!$E$2:$E$779,분류!B70,Master!$G$2:$G$779,분류!$D$24)</f>
        <v>0</v>
      </c>
      <c r="E70" s="62">
        <f>SUMIFS(Master!$L$2:$L$779,Master!$E$2:$E$779,분류!B70,Master!$G$2:$G$779,분류!$E$24)</f>
        <v>1428000</v>
      </c>
      <c r="F70" s="62">
        <f>SUMIFS(Master!$L$2:$L$779,Master!$E$2:$E$779,분류!B70,Master!$G$2:$G$779,분류!$F$24)</f>
        <v>0</v>
      </c>
      <c r="G70" s="62">
        <f>SUMIFS(Master!$L$2:$L$779,Master!$E$2:$E$779,분류!B70,Master!$G$2:$G$779,분류!$G$24)</f>
        <v>0</v>
      </c>
      <c r="H70" s="62">
        <f>SUMIFS(Master!$L$2:$L$779,Master!$E$2:$E$779,분류!B70,Master!$G$2:$G$779,분류!$H$24)</f>
        <v>0</v>
      </c>
      <c r="I70" s="62">
        <f>SUMIFS(Master!$L$2:$L$779,Master!$E$2:$E$779,분류!B70,Master!$G$2:$G$779,분류!$I$24)</f>
        <v>0</v>
      </c>
      <c r="J70" s="47">
        <f>SUMIF(Master!$E$2:$E$779,분류!B70,Master!$Q$2:$Q$779)</f>
        <v>239892</v>
      </c>
      <c r="K70" s="121"/>
      <c r="L70" s="47"/>
    </row>
    <row r="71" spans="1:12">
      <c r="A71" s="14">
        <f t="shared" si="8"/>
        <v>16</v>
      </c>
      <c r="B71" s="63" t="s">
        <v>2170</v>
      </c>
      <c r="C71" s="61">
        <f>SUMIF(Master!$E$2:$E$779,분류!B71,Master!$L$2:$L$779)</f>
        <v>36457800</v>
      </c>
      <c r="D71" s="62">
        <f>SUMIFS(Master!$L$2:$L$779,Master!$E$2:$E$779,분류!B71,Master!$G$2:$G$779,분류!$D$24)</f>
        <v>0</v>
      </c>
      <c r="E71" s="62">
        <f>SUMIFS(Master!$L$2:$L$779,Master!$E$2:$E$779,분류!B71,Master!$G$2:$G$779,분류!$E$24)</f>
        <v>36457800</v>
      </c>
      <c r="F71" s="62">
        <f>SUMIFS(Master!$L$2:$L$779,Master!$E$2:$E$779,분류!B71,Master!$G$2:$G$779,분류!$F$24)</f>
        <v>0</v>
      </c>
      <c r="G71" s="62">
        <f>SUMIFS(Master!$L$2:$L$779,Master!$E$2:$E$779,분류!B71,Master!$G$2:$G$779,분류!$G$24)</f>
        <v>0</v>
      </c>
      <c r="H71" s="62">
        <f>SUMIFS(Master!$L$2:$L$779,Master!$E$2:$E$779,분류!B71,Master!$G$2:$G$779,분류!$H$24)</f>
        <v>0</v>
      </c>
      <c r="I71" s="62">
        <f>SUMIFS(Master!$L$2:$L$779,Master!$E$2:$E$779,분류!B71,Master!$G$2:$G$779,분류!$I$24)</f>
        <v>0</v>
      </c>
      <c r="J71" s="47">
        <f>SUMIF(Master!$E$2:$E$779,분류!B71,Master!$Q$2:$Q$779)</f>
        <v>4498366</v>
      </c>
      <c r="K71" s="121"/>
      <c r="L71" s="47"/>
    </row>
    <row r="72" spans="1:12">
      <c r="A72" s="14">
        <f t="shared" si="8"/>
        <v>131</v>
      </c>
      <c r="B72" s="63" t="s">
        <v>2123</v>
      </c>
      <c r="C72" s="61">
        <f>SUMIF(Master!$E$2:$E$779,분류!B72,Master!$L$2:$L$779)</f>
        <v>0</v>
      </c>
      <c r="D72" s="62">
        <f>SUMIFS(Master!$L$2:$L$779,Master!$E$2:$E$779,분류!B72,Master!$G$2:$G$779,분류!$D$24)</f>
        <v>0</v>
      </c>
      <c r="E72" s="62">
        <f>SUMIFS(Master!$L$2:$L$779,Master!$E$2:$E$779,분류!B72,Master!$G$2:$G$779,분류!$E$24)</f>
        <v>0</v>
      </c>
      <c r="F72" s="62">
        <f>SUMIFS(Master!$L$2:$L$779,Master!$E$2:$E$779,분류!B72,Master!$G$2:$G$779,분류!$F$24)</f>
        <v>0</v>
      </c>
      <c r="G72" s="62">
        <f>SUMIFS(Master!$L$2:$L$779,Master!$E$2:$E$779,분류!B72,Master!$G$2:$G$779,분류!$G$24)</f>
        <v>0</v>
      </c>
      <c r="H72" s="62">
        <f>SUMIFS(Master!$L$2:$L$779,Master!$E$2:$E$779,분류!B72,Master!$G$2:$G$779,분류!$H$24)</f>
        <v>0</v>
      </c>
      <c r="I72" s="62">
        <f>SUMIFS(Master!$L$2:$L$779,Master!$E$2:$E$779,분류!B72,Master!$G$2:$G$779,분류!$I$24)</f>
        <v>0</v>
      </c>
      <c r="J72" s="47">
        <f>SUMIF(Master!$E$2:$E$779,분류!B72,Master!$Q$2:$Q$779)</f>
        <v>0</v>
      </c>
      <c r="K72" s="121"/>
      <c r="L72" s="47"/>
    </row>
    <row r="73" spans="1:12">
      <c r="A73" s="14">
        <f t="shared" si="8"/>
        <v>6</v>
      </c>
      <c r="B73" s="63" t="s">
        <v>2171</v>
      </c>
      <c r="C73" s="61">
        <f>SUMIF(Master!$E$2:$E$779,분류!B73,Master!$L$2:$L$779)</f>
        <v>70578000</v>
      </c>
      <c r="D73" s="62">
        <f>SUMIFS(Master!$L$2:$L$779,Master!$E$2:$E$779,분류!B73,Master!$G$2:$G$779,분류!$D$24)</f>
        <v>0</v>
      </c>
      <c r="E73" s="62">
        <f>SUMIFS(Master!$L$2:$L$779,Master!$E$2:$E$779,분류!B73,Master!$G$2:$G$779,분류!$E$24)</f>
        <v>70578000</v>
      </c>
      <c r="F73" s="62">
        <f>SUMIFS(Master!$L$2:$L$779,Master!$E$2:$E$779,분류!B73,Master!$G$2:$G$779,분류!$F$24)</f>
        <v>0</v>
      </c>
      <c r="G73" s="62">
        <f>SUMIFS(Master!$L$2:$L$779,Master!$E$2:$E$779,분류!B73,Master!$G$2:$G$779,분류!$G$24)</f>
        <v>0</v>
      </c>
      <c r="H73" s="62">
        <f>SUMIFS(Master!$L$2:$L$779,Master!$E$2:$E$779,분류!B73,Master!$G$2:$G$779,분류!$H$24)</f>
        <v>0</v>
      </c>
      <c r="I73" s="62">
        <f>SUMIFS(Master!$L$2:$L$779,Master!$E$2:$E$779,분류!B73,Master!$G$2:$G$779,분류!$I$24)</f>
        <v>0</v>
      </c>
      <c r="J73" s="47">
        <f>SUMIF(Master!$E$2:$E$779,분류!B73,Master!$Q$2:$Q$779)</f>
        <v>7506000</v>
      </c>
      <c r="K73" s="121"/>
      <c r="L73" s="47"/>
    </row>
    <row r="74" spans="1:12">
      <c r="A74" s="14"/>
      <c r="B74" s="63" t="s">
        <v>2089</v>
      </c>
      <c r="C74" s="61">
        <f>SUMIF(Master!$E$2:$E$779,분류!B74,Master!$L$2:$L$779)</f>
        <v>0</v>
      </c>
      <c r="D74" s="62">
        <f>SUMIFS(Master!$L$2:$L$779,Master!$E$2:$E$779,분류!B74,Master!$G$2:$G$779,분류!$D$24)</f>
        <v>0</v>
      </c>
      <c r="E74" s="62">
        <f>SUMIFS(Master!$L$2:$L$779,Master!$E$2:$E$779,분류!B74,Master!$G$2:$G$779,분류!$E$24)</f>
        <v>0</v>
      </c>
      <c r="F74" s="62">
        <f>SUMIFS(Master!$L$2:$L$779,Master!$E$2:$E$779,분류!B74,Master!$G$2:$G$779,분류!$F$24)</f>
        <v>0</v>
      </c>
      <c r="G74" s="62">
        <f>SUMIFS(Master!$L$2:$L$779,Master!$E$2:$E$779,분류!B74,Master!$G$2:$G$779,분류!$G$24)</f>
        <v>0</v>
      </c>
      <c r="H74" s="62">
        <f>SUMIFS(Master!$L$2:$L$779,Master!$E$2:$E$779,분류!B74,Master!$G$2:$G$779,분류!$H$24)</f>
        <v>0</v>
      </c>
      <c r="I74" s="62">
        <f>SUMIFS(Master!$L$2:$L$779,Master!$E$2:$E$779,분류!B74,Master!$G$2:$G$779,분류!$I$24)</f>
        <v>0</v>
      </c>
      <c r="J74" s="47">
        <f>SUMIF(Master!$E$2:$E$779,분류!B74,Master!$Q$2:$Q$779)</f>
        <v>0</v>
      </c>
      <c r="K74" s="121"/>
      <c r="L74" s="47"/>
    </row>
    <row r="75" spans="1:12">
      <c r="A75" s="14">
        <f t="shared" ref="A75:A106" si="9">RANK(C75,$C$26:$C$184,0)</f>
        <v>69</v>
      </c>
      <c r="B75" s="64" t="s">
        <v>367</v>
      </c>
      <c r="C75" s="61">
        <f>SUMIF(Master!$E$2:$E$779,분류!B75,Master!$L$2:$L$779)</f>
        <v>3333630</v>
      </c>
      <c r="D75" s="62">
        <f>SUMIFS(Master!$L$2:$L$779,Master!$E$2:$E$779,분류!B75,Master!$G$2:$G$779,분류!$D$24)</f>
        <v>0</v>
      </c>
      <c r="E75" s="62">
        <f>SUMIFS(Master!$L$2:$L$779,Master!$E$2:$E$779,분류!B75,Master!$G$2:$G$779,분류!$E$24)</f>
        <v>0</v>
      </c>
      <c r="F75" s="62">
        <f>SUMIFS(Master!$L$2:$L$779,Master!$E$2:$E$779,분류!B75,Master!$G$2:$G$779,분류!$F$24)</f>
        <v>0</v>
      </c>
      <c r="G75" s="62">
        <f>SUMIFS(Master!$L$2:$L$779,Master!$E$2:$E$779,분류!B75,Master!$G$2:$G$779,분류!$G$24)</f>
        <v>0</v>
      </c>
      <c r="H75" s="62">
        <f>SUMIFS(Master!$L$2:$L$779,Master!$E$2:$E$779,분류!B75,Master!$G$2:$G$779,분류!$H$24)</f>
        <v>0</v>
      </c>
      <c r="I75" s="62">
        <f>SUMIFS(Master!$L$2:$L$779,Master!$E$2:$E$779,분류!B75,Master!$G$2:$G$779,분류!$I$24)</f>
        <v>3333630</v>
      </c>
      <c r="J75" s="47">
        <f>SUMIF(Master!$E$2:$E$779,분류!B75,Master!$Q$2:$Q$779)</f>
        <v>3333630</v>
      </c>
      <c r="K75" s="121"/>
      <c r="L75" s="47"/>
    </row>
    <row r="76" spans="1:12">
      <c r="A76" s="14">
        <f t="shared" si="9"/>
        <v>96</v>
      </c>
      <c r="B76" s="63" t="s">
        <v>86</v>
      </c>
      <c r="C76" s="61">
        <f>SUMIF(Master!$E$2:$E$779,분류!B76,Master!$L$2:$L$779)</f>
        <v>1320000</v>
      </c>
      <c r="D76" s="62">
        <f>SUMIFS(Master!$L$2:$L$779,Master!$E$2:$E$779,분류!B76,Master!$G$2:$G$779,분류!$D$24)</f>
        <v>0</v>
      </c>
      <c r="E76" s="62">
        <f>SUMIFS(Master!$L$2:$L$779,Master!$E$2:$E$779,분류!B76,Master!$G$2:$G$779,분류!$E$24)</f>
        <v>1320000</v>
      </c>
      <c r="F76" s="62">
        <f>SUMIFS(Master!$L$2:$L$779,Master!$E$2:$E$779,분류!B76,Master!$G$2:$G$779,분류!$F$24)</f>
        <v>0</v>
      </c>
      <c r="G76" s="62">
        <f>SUMIFS(Master!$L$2:$L$779,Master!$E$2:$E$779,분류!B76,Master!$G$2:$G$779,분류!$G$24)</f>
        <v>0</v>
      </c>
      <c r="H76" s="62">
        <f>SUMIFS(Master!$L$2:$L$779,Master!$E$2:$E$779,분류!B76,Master!$G$2:$G$779,분류!$H$24)</f>
        <v>0</v>
      </c>
      <c r="I76" s="62">
        <f>SUMIFS(Master!$L$2:$L$779,Master!$E$2:$E$779,분류!B76,Master!$G$2:$G$779,분류!$I$24)</f>
        <v>0</v>
      </c>
      <c r="J76" s="47">
        <f>SUMIF(Master!$E$2:$E$779,분류!B76,Master!$Q$2:$Q$779)</f>
        <v>121200</v>
      </c>
      <c r="K76" s="121"/>
      <c r="L76" s="47"/>
    </row>
    <row r="77" spans="1:12">
      <c r="A77" s="14">
        <f t="shared" si="9"/>
        <v>94</v>
      </c>
      <c r="B77" s="63" t="s">
        <v>628</v>
      </c>
      <c r="C77" s="61">
        <f>SUMIF(Master!$E$2:$E$779,분류!B77,Master!$L$2:$L$779)</f>
        <v>1360000</v>
      </c>
      <c r="D77" s="62">
        <f>SUMIFS(Master!$L$2:$L$779,Master!$E$2:$E$779,분류!B77,Master!$G$2:$G$779,분류!$D$24)</f>
        <v>0</v>
      </c>
      <c r="E77" s="62">
        <f>SUMIFS(Master!$L$2:$L$779,Master!$E$2:$E$779,분류!B77,Master!$G$2:$G$779,분류!$E$24)</f>
        <v>0</v>
      </c>
      <c r="F77" s="62">
        <f>SUMIFS(Master!$L$2:$L$779,Master!$E$2:$E$779,분류!B77,Master!$G$2:$G$779,분류!$F$24)</f>
        <v>0</v>
      </c>
      <c r="G77" s="62">
        <f>SUMIFS(Master!$L$2:$L$779,Master!$E$2:$E$779,분류!B77,Master!$G$2:$G$779,분류!$G$24)</f>
        <v>0</v>
      </c>
      <c r="H77" s="62">
        <f>SUMIFS(Master!$L$2:$L$779,Master!$E$2:$E$779,분류!B77,Master!$G$2:$G$779,분류!$H$24)</f>
        <v>1360000</v>
      </c>
      <c r="I77" s="62">
        <f>SUMIFS(Master!$L$2:$L$779,Master!$E$2:$E$779,분류!B77,Master!$G$2:$G$779,분류!$I$24)</f>
        <v>0</v>
      </c>
      <c r="J77" s="47">
        <f>SUMIF(Master!$E$2:$E$779,분류!B77,Master!$Q$2:$Q$779)</f>
        <v>1360000</v>
      </c>
      <c r="K77" s="121"/>
    </row>
    <row r="78" spans="1:12">
      <c r="A78" s="14">
        <f t="shared" si="9"/>
        <v>68</v>
      </c>
      <c r="B78" s="64" t="s">
        <v>96</v>
      </c>
      <c r="C78" s="61">
        <f>SUMIF(Master!$E$2:$E$779,분류!B78,Master!$L$2:$L$779)</f>
        <v>3600000</v>
      </c>
      <c r="D78" s="62">
        <f>SUMIFS(Master!$L$2:$L$779,Master!$E$2:$E$779,분류!B78,Master!$G$2:$G$779,분류!$D$24)</f>
        <v>0</v>
      </c>
      <c r="E78" s="62">
        <f>SUMIFS(Master!$L$2:$L$779,Master!$E$2:$E$779,분류!B78,Master!$G$2:$G$779,분류!$E$24)</f>
        <v>0</v>
      </c>
      <c r="F78" s="62">
        <f>SUMIFS(Master!$L$2:$L$779,Master!$E$2:$E$779,분류!B78,Master!$G$2:$G$779,분류!$F$24)</f>
        <v>0</v>
      </c>
      <c r="G78" s="62">
        <f>SUMIFS(Master!$L$2:$L$779,Master!$E$2:$E$779,분류!B78,Master!$G$2:$G$779,분류!$G$24)</f>
        <v>0</v>
      </c>
      <c r="H78" s="62">
        <f>SUMIFS(Master!$L$2:$L$779,Master!$E$2:$E$779,분류!B78,Master!$G$2:$G$779,분류!$H$24)</f>
        <v>0</v>
      </c>
      <c r="I78" s="62">
        <f>SUMIFS(Master!$L$2:$L$779,Master!$E$2:$E$779,분류!B78,Master!$G$2:$G$779,분류!$I$24)</f>
        <v>3600000</v>
      </c>
      <c r="J78" s="47">
        <f>SUMIF(Master!$E$2:$E$779,분류!B78,Master!$Q$2:$Q$779)</f>
        <v>3600000</v>
      </c>
      <c r="K78" s="121"/>
      <c r="L78" s="47"/>
    </row>
    <row r="79" spans="1:12" s="244" customFormat="1">
      <c r="A79" s="14">
        <f t="shared" si="9"/>
        <v>57</v>
      </c>
      <c r="B79" s="134" t="s">
        <v>1050</v>
      </c>
      <c r="C79" s="61">
        <f>SUMIF(Master!$E$2:$E$779,분류!B79,Master!$L$2:$L$779)</f>
        <v>5100000</v>
      </c>
      <c r="D79" s="62">
        <f>SUMIFS(Master!$L$2:$L$779,Master!$E$2:$E$779,분류!B79,Master!$G$2:$G$779,분류!$D$24)</f>
        <v>0</v>
      </c>
      <c r="E79" s="62">
        <f>SUMIFS(Master!$L$2:$L$779,Master!$E$2:$E$779,분류!B79,Master!$G$2:$G$779,분류!$E$24)</f>
        <v>5100000</v>
      </c>
      <c r="F79" s="62">
        <f>SUMIFS(Master!$L$2:$L$779,Master!$E$2:$E$779,분류!B79,Master!$G$2:$G$779,분류!$F$24)</f>
        <v>0</v>
      </c>
      <c r="G79" s="62">
        <f>SUMIFS(Master!$L$2:$L$779,Master!$E$2:$E$779,분류!B79,Master!$G$2:$G$779,분류!$G$24)</f>
        <v>0</v>
      </c>
      <c r="H79" s="62">
        <f>SUMIFS(Master!$L$2:$L$779,Master!$E$2:$E$779,분류!B79,Master!$G$2:$G$779,분류!$H$24)</f>
        <v>0</v>
      </c>
      <c r="I79" s="62">
        <f>SUMIFS(Master!$L$2:$L$779,Master!$E$2:$E$779,분류!B79,Master!$G$2:$G$779,분류!$I$24)</f>
        <v>0</v>
      </c>
      <c r="J79" s="47">
        <f>SUMIF(Master!$E$2:$E$779,분류!B79,Master!$Q$2:$Q$779)</f>
        <v>1656593</v>
      </c>
      <c r="K79" s="121"/>
      <c r="L79" s="243"/>
    </row>
    <row r="80" spans="1:12" s="244" customFormat="1">
      <c r="A80" s="14">
        <f t="shared" si="9"/>
        <v>32</v>
      </c>
      <c r="B80" s="134" t="s">
        <v>1456</v>
      </c>
      <c r="C80" s="61">
        <f>SUMIF(Master!$E$2:$E$779,분류!B80,Master!$L$2:$L$779)</f>
        <v>16853000</v>
      </c>
      <c r="D80" s="62">
        <f>SUMIFS(Master!$L$2:$L$779,Master!$E$2:$E$779,분류!B80,Master!$G$2:$G$779,분류!$D$24)</f>
        <v>0</v>
      </c>
      <c r="E80" s="62">
        <f>SUMIFS(Master!$L$2:$L$779,Master!$E$2:$E$779,분류!B80,Master!$G$2:$G$779,분류!$E$24)</f>
        <v>16853000</v>
      </c>
      <c r="F80" s="62">
        <f>SUMIFS(Master!$L$2:$L$779,Master!$E$2:$E$779,분류!B80,Master!$G$2:$G$779,분류!$F$24)</f>
        <v>0</v>
      </c>
      <c r="G80" s="62">
        <f>SUMIFS(Master!$L$2:$L$779,Master!$E$2:$E$779,분류!B80,Master!$G$2:$G$779,분류!$G$24)</f>
        <v>0</v>
      </c>
      <c r="H80" s="62">
        <f>SUMIFS(Master!$L$2:$L$779,Master!$E$2:$E$779,분류!B80,Master!$G$2:$G$779,분류!$H$24)</f>
        <v>0</v>
      </c>
      <c r="I80" s="62">
        <f>SUMIFS(Master!$L$2:$L$779,Master!$E$2:$E$779,분류!B80,Master!$G$2:$G$779,분류!$I$24)</f>
        <v>0</v>
      </c>
      <c r="J80" s="47">
        <f>SUMIF(Master!$E$2:$E$779,분류!B80,Master!$Q$2:$Q$779)</f>
        <v>2195490</v>
      </c>
      <c r="K80" s="121"/>
      <c r="L80" s="243"/>
    </row>
    <row r="81" spans="1:12">
      <c r="A81" s="14">
        <f t="shared" si="9"/>
        <v>65</v>
      </c>
      <c r="B81" s="63" t="s">
        <v>285</v>
      </c>
      <c r="C81" s="61">
        <f>SUMIF(Master!$E$2:$E$779,분류!B81,Master!$L$2:$L$779)</f>
        <v>3958200</v>
      </c>
      <c r="D81" s="62">
        <f>SUMIFS(Master!$L$2:$L$779,Master!$E$2:$E$779,분류!B81,Master!$G$2:$G$779,분류!$D$24)</f>
        <v>0</v>
      </c>
      <c r="E81" s="62">
        <f>SUMIFS(Master!$L$2:$L$779,Master!$E$2:$E$779,분류!B81,Master!$G$2:$G$779,분류!$E$24)</f>
        <v>3958200</v>
      </c>
      <c r="F81" s="62">
        <f>SUMIFS(Master!$L$2:$L$779,Master!$E$2:$E$779,분류!B81,Master!$G$2:$G$779,분류!$F$24)</f>
        <v>0</v>
      </c>
      <c r="G81" s="62">
        <f>SUMIFS(Master!$L$2:$L$779,Master!$E$2:$E$779,분류!B81,Master!$G$2:$G$779,분류!$G$24)</f>
        <v>0</v>
      </c>
      <c r="H81" s="62">
        <f>SUMIFS(Master!$L$2:$L$779,Master!$E$2:$E$779,분류!B81,Master!$G$2:$G$779,분류!$H$24)</f>
        <v>0</v>
      </c>
      <c r="I81" s="62">
        <f>SUMIFS(Master!$L$2:$L$779,Master!$E$2:$E$779,분류!B81,Master!$G$2:$G$779,분류!$I$24)</f>
        <v>0</v>
      </c>
      <c r="J81" s="47">
        <f>SUMIF(Master!$E$2:$E$779,분류!B81,Master!$Q$2:$Q$779)</f>
        <v>846954</v>
      </c>
      <c r="K81" s="121"/>
      <c r="L81" s="47"/>
    </row>
    <row r="82" spans="1:12">
      <c r="A82" s="14">
        <f t="shared" si="9"/>
        <v>52</v>
      </c>
      <c r="B82" s="63" t="s">
        <v>2172</v>
      </c>
      <c r="C82" s="61">
        <f>SUMIF(Master!$E$2:$E$779,분류!B82,Master!$L$2:$L$779)</f>
        <v>5700000</v>
      </c>
      <c r="D82" s="62">
        <f>SUMIFS(Master!$L$2:$L$779,Master!$E$2:$E$779,분류!B82,Master!$G$2:$G$779,분류!$D$24)</f>
        <v>0</v>
      </c>
      <c r="E82" s="62">
        <f>SUMIFS(Master!$L$2:$L$779,Master!$E$2:$E$779,분류!B82,Master!$G$2:$G$779,분류!$E$24)</f>
        <v>5700000</v>
      </c>
      <c r="F82" s="62">
        <f>SUMIFS(Master!$L$2:$L$779,Master!$E$2:$E$779,분류!B82,Master!$G$2:$G$779,분류!$F$24)</f>
        <v>0</v>
      </c>
      <c r="G82" s="62">
        <f>SUMIFS(Master!$L$2:$L$779,Master!$E$2:$E$779,분류!B82,Master!$G$2:$G$779,분류!$G$24)</f>
        <v>0</v>
      </c>
      <c r="H82" s="62">
        <f>SUMIFS(Master!$L$2:$L$779,Master!$E$2:$E$779,분류!B82,Master!$G$2:$G$779,분류!$H$24)</f>
        <v>0</v>
      </c>
      <c r="I82" s="62">
        <f>SUMIFS(Master!$L$2:$L$779,Master!$E$2:$E$779,분류!B82,Master!$G$2:$G$779,분류!$I$24)</f>
        <v>0</v>
      </c>
      <c r="J82" s="47">
        <f>SUMIF(Master!$E$2:$E$779,분류!B82,Master!$Q$2:$Q$779)</f>
        <v>1900000</v>
      </c>
      <c r="K82" s="121"/>
    </row>
    <row r="83" spans="1:12">
      <c r="A83" s="14">
        <f t="shared" si="9"/>
        <v>38</v>
      </c>
      <c r="B83" s="63" t="s">
        <v>83</v>
      </c>
      <c r="C83" s="61">
        <f>SUMIF(Master!$E$2:$E$779,분류!B83,Master!$L$2:$L$779)</f>
        <v>11532900</v>
      </c>
      <c r="D83" s="62">
        <f>SUMIFS(Master!$L$2:$L$779,Master!$E$2:$E$779,분류!B83,Master!$G$2:$G$779,분류!$D$24)</f>
        <v>0</v>
      </c>
      <c r="E83" s="62">
        <f>SUMIFS(Master!$L$2:$L$779,Master!$E$2:$E$779,분류!B83,Master!$G$2:$G$779,분류!$E$24)</f>
        <v>11532900</v>
      </c>
      <c r="F83" s="62">
        <f>SUMIFS(Master!$L$2:$L$779,Master!$E$2:$E$779,분류!B83,Master!$G$2:$G$779,분류!$F$24)</f>
        <v>0</v>
      </c>
      <c r="G83" s="62">
        <f>SUMIFS(Master!$L$2:$L$779,Master!$E$2:$E$779,분류!B83,Master!$G$2:$G$779,분류!$G$24)</f>
        <v>0</v>
      </c>
      <c r="H83" s="62">
        <f>SUMIFS(Master!$L$2:$L$779,Master!$E$2:$E$779,분류!B83,Master!$G$2:$G$779,분류!$H$24)</f>
        <v>0</v>
      </c>
      <c r="I83" s="62">
        <f>SUMIFS(Master!$L$2:$L$779,Master!$E$2:$E$779,분류!B83,Master!$G$2:$G$779,분류!$I$24)</f>
        <v>0</v>
      </c>
      <c r="J83" s="47">
        <f>SUMIF(Master!$E$2:$E$779,분류!B83,Master!$Q$2:$Q$779)</f>
        <v>1144833.3333333335</v>
      </c>
      <c r="K83" s="121"/>
    </row>
    <row r="84" spans="1:12">
      <c r="A84" s="14">
        <f t="shared" si="9"/>
        <v>75</v>
      </c>
      <c r="B84" s="63" t="s">
        <v>41</v>
      </c>
      <c r="C84" s="61">
        <f>SUMIF(Master!$E$2:$E$779,분류!B84,Master!$L$2:$L$779)</f>
        <v>2996500</v>
      </c>
      <c r="D84" s="62">
        <f>SUMIFS(Master!$L$2:$L$779,Master!$E$2:$E$779,분류!B84,Master!$G$2:$G$779,분류!$D$24)</f>
        <v>0</v>
      </c>
      <c r="E84" s="62">
        <f>SUMIFS(Master!$L$2:$L$779,Master!$E$2:$E$779,분류!B84,Master!$G$2:$G$779,분류!$E$24)</f>
        <v>1427500</v>
      </c>
      <c r="F84" s="62">
        <f>SUMIFS(Master!$L$2:$L$779,Master!$E$2:$E$779,분류!B84,Master!$G$2:$G$779,분류!$F$24)</f>
        <v>1569000</v>
      </c>
      <c r="G84" s="62">
        <f>SUMIFS(Master!$L$2:$L$779,Master!$E$2:$E$779,분류!B84,Master!$G$2:$G$779,분류!$G$24)</f>
        <v>0</v>
      </c>
      <c r="H84" s="62">
        <f>SUMIFS(Master!$L$2:$L$779,Master!$E$2:$E$779,분류!B84,Master!$G$2:$G$779,분류!$H$24)</f>
        <v>0</v>
      </c>
      <c r="I84" s="62">
        <f>SUMIFS(Master!$L$2:$L$779,Master!$E$2:$E$779,분류!B84,Master!$G$2:$G$779,분류!$I$24)</f>
        <v>0</v>
      </c>
      <c r="J84" s="47">
        <f>SUMIF(Master!$E$2:$E$779,분류!B84,Master!$Q$2:$Q$779)</f>
        <v>216280</v>
      </c>
      <c r="K84" s="121"/>
    </row>
    <row r="85" spans="1:12">
      <c r="A85" s="14">
        <f t="shared" si="9"/>
        <v>2</v>
      </c>
      <c r="B85" s="63" t="s">
        <v>2173</v>
      </c>
      <c r="C85" s="61">
        <f>SUMIF(Master!$E$2:$E$779,분류!B85,Master!$L$2:$L$779)</f>
        <v>99780000</v>
      </c>
      <c r="D85" s="62">
        <f>SUMIFS(Master!$L$2:$L$779,Master!$E$2:$E$779,분류!B85,Master!$G$2:$G$779,분류!$D$24)</f>
        <v>4100000</v>
      </c>
      <c r="E85" s="62">
        <f>SUMIFS(Master!$L$2:$L$779,Master!$E$2:$E$779,분류!B85,Master!$G$2:$G$779,분류!$E$24)</f>
        <v>95680000</v>
      </c>
      <c r="F85" s="62">
        <f>SUMIFS(Master!$L$2:$L$779,Master!$E$2:$E$779,분류!B85,Master!$G$2:$G$779,분류!$F$24)</f>
        <v>0</v>
      </c>
      <c r="G85" s="62">
        <f>SUMIFS(Master!$L$2:$L$779,Master!$E$2:$E$779,분류!B85,Master!$G$2:$G$779,분류!$G$24)</f>
        <v>0</v>
      </c>
      <c r="H85" s="62">
        <f>SUMIFS(Master!$L$2:$L$779,Master!$E$2:$E$779,분류!B85,Master!$G$2:$G$779,분류!$H$24)</f>
        <v>0</v>
      </c>
      <c r="I85" s="62">
        <f>SUMIFS(Master!$L$2:$L$779,Master!$E$2:$E$779,분류!B85,Master!$G$2:$G$779,분류!$I$24)</f>
        <v>0</v>
      </c>
      <c r="J85" s="47">
        <f>SUMIF(Master!$E$2:$E$779,분류!B85,Master!$Q$2:$Q$779)</f>
        <v>14296000</v>
      </c>
      <c r="K85" s="121"/>
    </row>
    <row r="86" spans="1:12">
      <c r="A86" s="14">
        <f t="shared" si="9"/>
        <v>21</v>
      </c>
      <c r="B86" s="64" t="s">
        <v>308</v>
      </c>
      <c r="C86" s="61">
        <f>SUMIF(Master!$E$2:$E$779,분류!B86,Master!$L$2:$L$779)</f>
        <v>24000000</v>
      </c>
      <c r="D86" s="62">
        <f>SUMIFS(Master!$L$2:$L$779,Master!$E$2:$E$779,분류!B86,Master!$G$2:$G$779,분류!$D$24)</f>
        <v>0</v>
      </c>
      <c r="E86" s="62">
        <f>SUMIFS(Master!$L$2:$L$779,Master!$E$2:$E$779,분류!B86,Master!$G$2:$G$779,분류!$E$24)</f>
        <v>0</v>
      </c>
      <c r="F86" s="62">
        <f>SUMIFS(Master!$L$2:$L$779,Master!$E$2:$E$779,분류!B86,Master!$G$2:$G$779,분류!$F$24)</f>
        <v>0</v>
      </c>
      <c r="G86" s="62">
        <f>SUMIFS(Master!$L$2:$L$779,Master!$E$2:$E$779,분류!B86,Master!$G$2:$G$779,분류!$G$24)</f>
        <v>0</v>
      </c>
      <c r="H86" s="62">
        <f>SUMIFS(Master!$L$2:$L$779,Master!$E$2:$E$779,분류!B86,Master!$G$2:$G$779,분류!$H$24)</f>
        <v>0</v>
      </c>
      <c r="I86" s="62">
        <f>SUMIFS(Master!$L$2:$L$779,Master!$E$2:$E$779,분류!B86,Master!$G$2:$G$779,분류!$I$24)</f>
        <v>24000000</v>
      </c>
      <c r="J86" s="47">
        <f>SUMIF(Master!$E$2:$E$779,분류!B86,Master!$Q$2:$Q$779)</f>
        <v>24000000</v>
      </c>
      <c r="K86" s="121"/>
    </row>
    <row r="87" spans="1:12">
      <c r="A87" s="14">
        <f t="shared" si="9"/>
        <v>15</v>
      </c>
      <c r="B87" s="63" t="s">
        <v>2174</v>
      </c>
      <c r="C87" s="61">
        <f>SUMIF(Master!$E$2:$E$779,분류!B87,Master!$L$2:$L$779)</f>
        <v>37376200</v>
      </c>
      <c r="D87" s="62">
        <f>SUMIFS(Master!$L$2:$L$779,Master!$E$2:$E$779,분류!B87,Master!$G$2:$G$779,분류!$D$24)</f>
        <v>0</v>
      </c>
      <c r="E87" s="62">
        <f>SUMIFS(Master!$L$2:$L$779,Master!$E$2:$E$779,분류!B87,Master!$G$2:$G$779,분류!$E$24)</f>
        <v>30035200</v>
      </c>
      <c r="F87" s="62">
        <f>SUMIFS(Master!$L$2:$L$779,Master!$E$2:$E$779,분류!B87,Master!$G$2:$G$779,분류!$F$24)</f>
        <v>7341000</v>
      </c>
      <c r="G87" s="62">
        <f>SUMIFS(Master!$L$2:$L$779,Master!$E$2:$E$779,분류!B87,Master!$G$2:$G$779,분류!$G$24)</f>
        <v>0</v>
      </c>
      <c r="H87" s="62">
        <f>SUMIFS(Master!$L$2:$L$779,Master!$E$2:$E$779,분류!B87,Master!$G$2:$G$779,분류!$H$24)</f>
        <v>0</v>
      </c>
      <c r="I87" s="62">
        <f>SUMIFS(Master!$L$2:$L$779,Master!$E$2:$E$779,분류!B87,Master!$G$2:$G$779,분류!$I$24)</f>
        <v>0</v>
      </c>
      <c r="J87" s="47">
        <f>SUMIF(Master!$E$2:$E$779,분류!B87,Master!$Q$2:$Q$779)</f>
        <v>4805167</v>
      </c>
      <c r="K87" s="121"/>
    </row>
    <row r="88" spans="1:12">
      <c r="A88" s="14">
        <f t="shared" si="9"/>
        <v>61</v>
      </c>
      <c r="B88" s="63" t="s">
        <v>2175</v>
      </c>
      <c r="C88" s="61">
        <f>SUMIF(Master!$E$2:$E$779,분류!B88,Master!$L$2:$L$779)</f>
        <v>5010000</v>
      </c>
      <c r="D88" s="62">
        <f>SUMIFS(Master!$L$2:$L$779,Master!$E$2:$E$779,분류!B88,Master!$G$2:$G$779,분류!$D$24)</f>
        <v>0</v>
      </c>
      <c r="E88" s="62">
        <f>SUMIFS(Master!$L$2:$L$779,Master!$E$2:$E$779,분류!B88,Master!$G$2:$G$779,분류!$E$24)</f>
        <v>5010000</v>
      </c>
      <c r="F88" s="62">
        <f>SUMIFS(Master!$L$2:$L$779,Master!$E$2:$E$779,분류!B88,Master!$G$2:$G$779,분류!$F$24)</f>
        <v>0</v>
      </c>
      <c r="G88" s="62">
        <f>SUMIFS(Master!$L$2:$L$779,Master!$E$2:$E$779,분류!B88,Master!$G$2:$G$779,분류!$G$24)</f>
        <v>0</v>
      </c>
      <c r="H88" s="62">
        <f>SUMIFS(Master!$L$2:$L$779,Master!$E$2:$E$779,분류!B88,Master!$G$2:$G$779,분류!$H$24)</f>
        <v>0</v>
      </c>
      <c r="I88" s="62">
        <f>SUMIFS(Master!$L$2:$L$779,Master!$E$2:$E$779,분류!B88,Master!$G$2:$G$779,분류!$I$24)</f>
        <v>0</v>
      </c>
      <c r="J88" s="47">
        <f>SUMIF(Master!$E$2:$E$779,분류!B88,Master!$Q$2:$Q$779)</f>
        <v>766400</v>
      </c>
      <c r="K88" s="121"/>
    </row>
    <row r="89" spans="1:12">
      <c r="A89" s="14">
        <f t="shared" si="9"/>
        <v>28</v>
      </c>
      <c r="B89" s="63" t="s">
        <v>2176</v>
      </c>
      <c r="C89" s="61">
        <f>SUMIF(Master!$E$2:$E$779,분류!B89,Master!$L$2:$L$779)</f>
        <v>19760000</v>
      </c>
      <c r="D89" s="62">
        <f>SUMIFS(Master!$L$2:$L$779,Master!$E$2:$E$779,분류!B89,Master!$G$2:$G$779,분류!$D$24)</f>
        <v>1280000</v>
      </c>
      <c r="E89" s="62">
        <f>SUMIFS(Master!$L$2:$L$779,Master!$E$2:$E$779,분류!B89,Master!$G$2:$G$779,분류!$E$24)</f>
        <v>18480000</v>
      </c>
      <c r="F89" s="62">
        <f>SUMIFS(Master!$L$2:$L$779,Master!$E$2:$E$779,분류!B89,Master!$G$2:$G$779,분류!$F$24)</f>
        <v>0</v>
      </c>
      <c r="G89" s="62">
        <f>SUMIFS(Master!$L$2:$L$779,Master!$E$2:$E$779,분류!B89,Master!$G$2:$G$779,분류!$G$24)</f>
        <v>0</v>
      </c>
      <c r="H89" s="62">
        <f>SUMIFS(Master!$L$2:$L$779,Master!$E$2:$E$779,분류!B89,Master!$G$2:$G$779,분류!$H$24)</f>
        <v>0</v>
      </c>
      <c r="I89" s="62">
        <f>SUMIFS(Master!$L$2:$L$779,Master!$E$2:$E$779,분류!B89,Master!$G$2:$G$779,분류!$I$24)</f>
        <v>0</v>
      </c>
      <c r="J89" s="47">
        <f>SUMIF(Master!$E$2:$E$779,분류!B89,Master!$Q$2:$Q$779)</f>
        <v>2190760</v>
      </c>
      <c r="K89" s="121"/>
    </row>
    <row r="90" spans="1:12">
      <c r="A90" s="14">
        <f t="shared" si="9"/>
        <v>112</v>
      </c>
      <c r="B90" s="63" t="s">
        <v>546</v>
      </c>
      <c r="C90" s="61">
        <f>SUMIF(Master!$E$2:$E$779,분류!B90,Master!$L$2:$L$779)</f>
        <v>710000</v>
      </c>
      <c r="D90" s="62">
        <f>SUMIFS(Master!$L$2:$L$779,Master!$E$2:$E$779,분류!B90,Master!$G$2:$G$779,분류!$D$24)</f>
        <v>710000</v>
      </c>
      <c r="E90" s="62">
        <f>SUMIFS(Master!$L$2:$L$779,Master!$E$2:$E$779,분류!B90,Master!$G$2:$G$779,분류!$E$24)</f>
        <v>0</v>
      </c>
      <c r="F90" s="62">
        <f>SUMIFS(Master!$L$2:$L$779,Master!$E$2:$E$779,분류!B90,Master!$G$2:$G$779,분류!$F$24)</f>
        <v>0</v>
      </c>
      <c r="G90" s="62">
        <f>SUMIFS(Master!$L$2:$L$779,Master!$E$2:$E$779,분류!B90,Master!$G$2:$G$779,분류!$G$24)</f>
        <v>0</v>
      </c>
      <c r="H90" s="62">
        <f>SUMIFS(Master!$L$2:$L$779,Master!$E$2:$E$779,분류!B90,Master!$G$2:$G$779,분류!$H$24)</f>
        <v>0</v>
      </c>
      <c r="I90" s="62">
        <f>SUMIFS(Master!$L$2:$L$779,Master!$E$2:$E$779,분류!B90,Master!$G$2:$G$779,분류!$I$24)</f>
        <v>0</v>
      </c>
      <c r="J90" s="47">
        <f>SUMIF(Master!$E$2:$E$779,분류!B90,Master!$Q$2:$Q$779)</f>
        <v>60000</v>
      </c>
      <c r="K90" s="121"/>
    </row>
    <row r="91" spans="1:12">
      <c r="A91" s="14">
        <f t="shared" si="9"/>
        <v>62</v>
      </c>
      <c r="B91" s="64" t="s">
        <v>378</v>
      </c>
      <c r="C91" s="61">
        <f>SUMIF(Master!$E$2:$E$779,분류!B91,Master!$L$2:$L$779)</f>
        <v>4800000</v>
      </c>
      <c r="D91" s="62">
        <f>SUMIFS(Master!$L$2:$L$779,Master!$E$2:$E$779,분류!B91,Master!$G$2:$G$779,분류!$D$24)</f>
        <v>0</v>
      </c>
      <c r="E91" s="62">
        <f>SUMIFS(Master!$L$2:$L$779,Master!$E$2:$E$779,분류!B91,Master!$G$2:$G$779,분류!$E$24)</f>
        <v>0</v>
      </c>
      <c r="F91" s="62">
        <f>SUMIFS(Master!$L$2:$L$779,Master!$E$2:$E$779,분류!B91,Master!$G$2:$G$779,분류!$F$24)</f>
        <v>0</v>
      </c>
      <c r="G91" s="62">
        <f>SUMIFS(Master!$L$2:$L$779,Master!$E$2:$E$779,분류!B91,Master!$G$2:$G$779,분류!$G$24)</f>
        <v>0</v>
      </c>
      <c r="H91" s="62">
        <f>SUMIFS(Master!$L$2:$L$779,Master!$E$2:$E$779,분류!B91,Master!$G$2:$G$779,분류!$H$24)</f>
        <v>0</v>
      </c>
      <c r="I91" s="62">
        <f>SUMIFS(Master!$L$2:$L$779,Master!$E$2:$E$779,분류!B91,Master!$G$2:$G$779,분류!$I$24)</f>
        <v>4800000</v>
      </c>
      <c r="J91" s="47">
        <f>SUMIF(Master!$E$2:$E$779,분류!B91,Master!$Q$2:$Q$779)</f>
        <v>4800000</v>
      </c>
      <c r="K91" s="121"/>
    </row>
    <row r="92" spans="1:12">
      <c r="A92" s="14">
        <f t="shared" si="9"/>
        <v>131</v>
      </c>
      <c r="B92" s="63" t="s">
        <v>2042</v>
      </c>
      <c r="C92" s="61">
        <f>SUMIF(Master!$E$2:$E$779,분류!B92,Master!$L$2:$L$779)</f>
        <v>0</v>
      </c>
      <c r="D92" s="62">
        <f>SUMIFS(Master!$L$2:$L$779,Master!$E$2:$E$779,분류!B92,Master!$G$2:$G$779,분류!$D$24)</f>
        <v>0</v>
      </c>
      <c r="E92" s="62">
        <f>SUMIFS(Master!$L$2:$L$779,Master!$E$2:$E$779,분류!B92,Master!$G$2:$G$779,분류!$E$24)</f>
        <v>0</v>
      </c>
      <c r="F92" s="62">
        <f>SUMIFS(Master!$L$2:$L$779,Master!$E$2:$E$779,분류!B92,Master!$G$2:$G$779,분류!$F$24)</f>
        <v>0</v>
      </c>
      <c r="G92" s="62">
        <f>SUMIFS(Master!$L$2:$L$779,Master!$E$2:$E$779,분류!B92,Master!$G$2:$G$779,분류!$G$24)</f>
        <v>0</v>
      </c>
      <c r="H92" s="62">
        <f>SUMIFS(Master!$L$2:$L$779,Master!$E$2:$E$779,분류!B92,Master!$G$2:$G$779,분류!$H$24)</f>
        <v>0</v>
      </c>
      <c r="I92" s="62">
        <f>SUMIFS(Master!$L$2:$L$779,Master!$E$2:$E$779,분류!B92,Master!$G$2:$G$779,분류!$I$24)</f>
        <v>0</v>
      </c>
      <c r="J92" s="47">
        <f>SUMIF(Master!$E$2:$E$779,분류!B92,Master!$Q$2:$Q$779)</f>
        <v>0</v>
      </c>
      <c r="K92" s="121"/>
    </row>
    <row r="93" spans="1:12">
      <c r="A93" s="14">
        <f t="shared" si="9"/>
        <v>128</v>
      </c>
      <c r="B93" s="63" t="s">
        <v>14</v>
      </c>
      <c r="C93" s="61">
        <f>SUMIF(Master!$E$2:$E$779,분류!B93,Master!$L$2:$L$779)</f>
        <v>200000</v>
      </c>
      <c r="D93" s="62">
        <f>SUMIFS(Master!$L$2:$L$779,Master!$E$2:$E$779,분류!B93,Master!$G$2:$G$779,분류!$D$24)</f>
        <v>200000</v>
      </c>
      <c r="E93" s="62">
        <f>SUMIFS(Master!$L$2:$L$779,Master!$E$2:$E$779,분류!B93,Master!$G$2:$G$779,분류!$E$24)</f>
        <v>0</v>
      </c>
      <c r="F93" s="62">
        <f>SUMIFS(Master!$L$2:$L$779,Master!$E$2:$E$779,분류!B93,Master!$G$2:$G$779,분류!$F$24)</f>
        <v>0</v>
      </c>
      <c r="G93" s="62">
        <f>SUMIFS(Master!$L$2:$L$779,Master!$E$2:$E$779,분류!B93,Master!$G$2:$G$779,분류!$G$24)</f>
        <v>0</v>
      </c>
      <c r="H93" s="62">
        <f>SUMIFS(Master!$L$2:$L$779,Master!$E$2:$E$779,분류!B93,Master!$G$2:$G$779,분류!$H$24)</f>
        <v>0</v>
      </c>
      <c r="I93" s="62">
        <f>SUMIFS(Master!$L$2:$L$779,Master!$E$2:$E$779,분류!B93,Master!$G$2:$G$779,분류!$I$24)</f>
        <v>0</v>
      </c>
      <c r="J93" s="47">
        <f>SUMIF(Master!$E$2:$E$779,분류!B93,Master!$Q$2:$Q$779)</f>
        <v>192000</v>
      </c>
      <c r="K93" s="121"/>
    </row>
    <row r="94" spans="1:12">
      <c r="A94" s="14">
        <f t="shared" si="9"/>
        <v>9</v>
      </c>
      <c r="B94" s="63" t="s">
        <v>197</v>
      </c>
      <c r="C94" s="61">
        <f>SUMIF(Master!$E$2:$E$779,분류!B94,Master!$L$2:$L$779)</f>
        <v>50000000</v>
      </c>
      <c r="D94" s="62">
        <f>SUMIFS(Master!$L$2:$L$779,Master!$E$2:$E$779,분류!B94,Master!$G$2:$G$779,분류!$D$24)</f>
        <v>50000000</v>
      </c>
      <c r="E94" s="62">
        <f>SUMIFS(Master!$L$2:$L$779,Master!$E$2:$E$779,분류!B94,Master!$G$2:$G$779,분류!$E$24)</f>
        <v>0</v>
      </c>
      <c r="F94" s="62">
        <f>SUMIFS(Master!$L$2:$L$779,Master!$E$2:$E$779,분류!B94,Master!$G$2:$G$779,분류!$F$24)</f>
        <v>0</v>
      </c>
      <c r="G94" s="62">
        <f>SUMIFS(Master!$L$2:$L$779,Master!$E$2:$E$779,분류!B94,Master!$G$2:$G$779,분류!$G$24)</f>
        <v>0</v>
      </c>
      <c r="H94" s="62">
        <f>SUMIFS(Master!$L$2:$L$779,Master!$E$2:$E$779,분류!B94,Master!$G$2:$G$779,분류!$H$24)</f>
        <v>0</v>
      </c>
      <c r="I94" s="62">
        <f>SUMIFS(Master!$L$2:$L$779,Master!$E$2:$E$779,분류!B94,Master!$G$2:$G$779,분류!$I$24)</f>
        <v>0</v>
      </c>
      <c r="J94" s="47">
        <f>SUMIF(Master!$E$2:$E$779,분류!B94,Master!$Q$2:$Q$779)</f>
        <v>0</v>
      </c>
      <c r="K94" s="121"/>
    </row>
    <row r="95" spans="1:12">
      <c r="A95" s="14">
        <f t="shared" si="9"/>
        <v>126</v>
      </c>
      <c r="B95" s="63" t="s">
        <v>355</v>
      </c>
      <c r="C95" s="61">
        <f>SUMIF(Master!$E$2:$E$779,분류!B95,Master!$L$2:$L$779)</f>
        <v>250000</v>
      </c>
      <c r="D95" s="62">
        <f>SUMIFS(Master!$L$2:$L$779,Master!$E$2:$E$779,분류!B95,Master!$G$2:$G$779,분류!$D$24)</f>
        <v>250000</v>
      </c>
      <c r="E95" s="62">
        <f>SUMIFS(Master!$L$2:$L$779,Master!$E$2:$E$779,분류!B95,Master!$G$2:$G$779,분류!$E$24)</f>
        <v>0</v>
      </c>
      <c r="F95" s="62">
        <f>SUMIFS(Master!$L$2:$L$779,Master!$E$2:$E$779,분류!B95,Master!$G$2:$G$779,분류!$F$24)</f>
        <v>0</v>
      </c>
      <c r="G95" s="62">
        <f>SUMIFS(Master!$L$2:$L$779,Master!$E$2:$E$779,분류!B95,Master!$G$2:$G$779,분류!$G$24)</f>
        <v>0</v>
      </c>
      <c r="H95" s="62">
        <f>SUMIFS(Master!$L$2:$L$779,Master!$E$2:$E$779,분류!B95,Master!$G$2:$G$779,분류!$H$24)</f>
        <v>0</v>
      </c>
      <c r="I95" s="62">
        <f>SUMIFS(Master!$L$2:$L$779,Master!$E$2:$E$779,분류!B95,Master!$G$2:$G$779,분류!$I$24)</f>
        <v>0</v>
      </c>
      <c r="J95" s="47">
        <f>SUMIF(Master!$E$2:$E$779,분류!B95,Master!$Q$2:$Q$779)</f>
        <v>100000</v>
      </c>
      <c r="K95" s="121"/>
    </row>
    <row r="96" spans="1:12">
      <c r="A96" s="14">
        <f t="shared" si="9"/>
        <v>131</v>
      </c>
      <c r="B96" s="63" t="s">
        <v>2128</v>
      </c>
      <c r="C96" s="61">
        <f>SUMIF(Master!$E$2:$E$779,분류!B96,Master!$L$2:$L$779)</f>
        <v>0</v>
      </c>
      <c r="D96" s="62">
        <f>SUMIFS(Master!$L$2:$L$779,Master!$E$2:$E$779,분류!B96,Master!$G$2:$G$779,분류!$D$24)</f>
        <v>0</v>
      </c>
      <c r="E96" s="62">
        <f>SUMIFS(Master!$L$2:$L$779,Master!$E$2:$E$779,분류!B96,Master!$G$2:$G$779,분류!$E$24)</f>
        <v>0</v>
      </c>
      <c r="F96" s="62">
        <f>SUMIFS(Master!$L$2:$L$779,Master!$E$2:$E$779,분류!B96,Master!$G$2:$G$779,분류!$F$24)</f>
        <v>0</v>
      </c>
      <c r="G96" s="62">
        <f>SUMIFS(Master!$L$2:$L$779,Master!$E$2:$E$779,분류!B96,Master!$G$2:$G$779,분류!$G$24)</f>
        <v>0</v>
      </c>
      <c r="H96" s="62">
        <f>SUMIFS(Master!$L$2:$L$779,Master!$E$2:$E$779,분류!B96,Master!$G$2:$G$779,분류!$H$24)</f>
        <v>0</v>
      </c>
      <c r="I96" s="62">
        <f>SUMIFS(Master!$L$2:$L$779,Master!$E$2:$E$779,분류!B96,Master!$G$2:$G$779,분류!$I$24)</f>
        <v>0</v>
      </c>
      <c r="J96" s="47">
        <f>SUMIF(Master!$E$2:$E$779,분류!B96,Master!$Q$2:$Q$779)</f>
        <v>0</v>
      </c>
      <c r="K96" s="121"/>
    </row>
    <row r="97" spans="1:11">
      <c r="A97" s="14">
        <f t="shared" si="9"/>
        <v>48</v>
      </c>
      <c r="B97" s="63" t="s">
        <v>2177</v>
      </c>
      <c r="C97" s="61">
        <f>SUMIF(Master!$E$2:$E$779,분류!B97,Master!$L$2:$L$779)</f>
        <v>8314000</v>
      </c>
      <c r="D97" s="62">
        <f>SUMIFS(Master!$L$2:$L$779,Master!$E$2:$E$779,분류!B97,Master!$G$2:$G$779,분류!$D$24)</f>
        <v>1910000</v>
      </c>
      <c r="E97" s="62">
        <f>SUMIFS(Master!$L$2:$L$779,Master!$E$2:$E$779,분류!B97,Master!$G$2:$G$779,분류!$E$24)</f>
        <v>6404000</v>
      </c>
      <c r="F97" s="62">
        <f>SUMIFS(Master!$L$2:$L$779,Master!$E$2:$E$779,분류!B97,Master!$G$2:$G$779,분류!$F$24)</f>
        <v>0</v>
      </c>
      <c r="G97" s="62">
        <f>SUMIFS(Master!$L$2:$L$779,Master!$E$2:$E$779,분류!B97,Master!$G$2:$G$779,분류!$G$24)</f>
        <v>0</v>
      </c>
      <c r="H97" s="62">
        <f>SUMIFS(Master!$L$2:$L$779,Master!$E$2:$E$779,분류!B97,Master!$G$2:$G$779,분류!$H$24)</f>
        <v>0</v>
      </c>
      <c r="I97" s="62">
        <f>SUMIFS(Master!$L$2:$L$779,Master!$E$2:$E$779,분류!B97,Master!$G$2:$G$779,분류!$I$24)</f>
        <v>0</v>
      </c>
      <c r="J97" s="47">
        <f>SUMIF(Master!$E$2:$E$779,분류!B97,Master!$Q$2:$Q$779)</f>
        <v>1609578.0000000002</v>
      </c>
      <c r="K97" s="121"/>
    </row>
    <row r="98" spans="1:11">
      <c r="A98" s="14">
        <f t="shared" si="9"/>
        <v>108</v>
      </c>
      <c r="B98" s="63" t="s">
        <v>76</v>
      </c>
      <c r="C98" s="61">
        <f>SUMIF(Master!$E$2:$E$779,분류!B98,Master!$L$2:$L$779)</f>
        <v>900000</v>
      </c>
      <c r="D98" s="62">
        <f>SUMIFS(Master!$L$2:$L$779,Master!$E$2:$E$779,분류!B98,Master!$G$2:$G$779,분류!$D$24)</f>
        <v>0</v>
      </c>
      <c r="E98" s="62">
        <f>SUMIFS(Master!$L$2:$L$779,Master!$E$2:$E$779,분류!B98,Master!$G$2:$G$779,분류!$E$24)</f>
        <v>900000</v>
      </c>
      <c r="F98" s="62">
        <f>SUMIFS(Master!$L$2:$L$779,Master!$E$2:$E$779,분류!B98,Master!$G$2:$G$779,분류!$F$24)</f>
        <v>0</v>
      </c>
      <c r="G98" s="62">
        <f>SUMIFS(Master!$L$2:$L$779,Master!$E$2:$E$779,분류!B98,Master!$G$2:$G$779,분류!$G$24)</f>
        <v>0</v>
      </c>
      <c r="H98" s="62">
        <f>SUMIFS(Master!$L$2:$L$779,Master!$E$2:$E$779,분류!B98,Master!$G$2:$G$779,분류!$H$24)</f>
        <v>0</v>
      </c>
      <c r="I98" s="62">
        <f>SUMIFS(Master!$L$2:$L$779,Master!$E$2:$E$779,분류!B98,Master!$G$2:$G$779,분류!$I$24)</f>
        <v>0</v>
      </c>
      <c r="J98" s="47">
        <f>SUMIF(Master!$E$2:$E$779,분류!B98,Master!$Q$2:$Q$779)</f>
        <v>237600</v>
      </c>
      <c r="K98" s="121"/>
    </row>
    <row r="99" spans="1:11">
      <c r="A99" s="14">
        <f t="shared" si="9"/>
        <v>18</v>
      </c>
      <c r="B99" s="63" t="s">
        <v>2192</v>
      </c>
      <c r="C99" s="61">
        <f>SUMIF(Master!$E$2:$E$779,분류!B99,Master!$L$2:$L$779)</f>
        <v>27540000</v>
      </c>
      <c r="D99" s="62">
        <f>SUMIFS(Master!$L$2:$L$779,Master!$E$2:$E$779,분류!B99,Master!$G$2:$G$779,분류!$D$24)</f>
        <v>27540000</v>
      </c>
      <c r="E99" s="62">
        <f>SUMIFS(Master!$L$2:$L$779,Master!$E$2:$E$779,분류!B99,Master!$G$2:$G$779,분류!$E$24)</f>
        <v>0</v>
      </c>
      <c r="F99" s="62">
        <f>SUMIFS(Master!$L$2:$L$779,Master!$E$2:$E$779,분류!B99,Master!$G$2:$G$779,분류!$F$24)</f>
        <v>0</v>
      </c>
      <c r="G99" s="62">
        <f>SUMIFS(Master!$L$2:$L$779,Master!$E$2:$E$779,분류!B99,Master!$G$2:$G$779,분류!$G$24)</f>
        <v>0</v>
      </c>
      <c r="H99" s="62">
        <f>SUMIFS(Master!$L$2:$L$779,Master!$E$2:$E$779,분류!B99,Master!$G$2:$G$779,분류!$H$24)</f>
        <v>0</v>
      </c>
      <c r="I99" s="62">
        <f>SUMIFS(Master!$L$2:$L$779,Master!$E$2:$E$779,분류!B99,Master!$G$2:$G$779,분류!$I$24)</f>
        <v>0</v>
      </c>
      <c r="J99" s="47">
        <f>SUMIF(Master!$E$2:$E$779,분류!B99,Master!$Q$2:$Q$779)</f>
        <v>4761782</v>
      </c>
      <c r="K99" s="121"/>
    </row>
    <row r="100" spans="1:11">
      <c r="A100" s="14">
        <f t="shared" si="9"/>
        <v>117</v>
      </c>
      <c r="B100" s="63" t="s">
        <v>179</v>
      </c>
      <c r="C100" s="61">
        <f>SUMIF(Master!$E$2:$E$779,분류!B100,Master!$L$2:$L$779)</f>
        <v>600000</v>
      </c>
      <c r="D100" s="62">
        <f>SUMIFS(Master!$L$2:$L$779,Master!$E$2:$E$779,분류!B100,Master!$G$2:$G$779,분류!$D$24)</f>
        <v>0</v>
      </c>
      <c r="E100" s="62">
        <f>SUMIFS(Master!$L$2:$L$779,Master!$E$2:$E$779,분류!B100,Master!$G$2:$G$779,분류!$E$24)</f>
        <v>600000</v>
      </c>
      <c r="F100" s="62">
        <f>SUMIFS(Master!$L$2:$L$779,Master!$E$2:$E$779,분류!B100,Master!$G$2:$G$779,분류!$F$24)</f>
        <v>0</v>
      </c>
      <c r="G100" s="62">
        <f>SUMIFS(Master!$L$2:$L$779,Master!$E$2:$E$779,분류!B100,Master!$G$2:$G$779,분류!$G$24)</f>
        <v>0</v>
      </c>
      <c r="H100" s="62">
        <f>SUMIFS(Master!$L$2:$L$779,Master!$E$2:$E$779,분류!B100,Master!$G$2:$G$779,분류!$H$24)</f>
        <v>0</v>
      </c>
      <c r="I100" s="62">
        <f>SUMIFS(Master!$L$2:$L$779,Master!$E$2:$E$779,분류!B100,Master!$G$2:$G$779,분류!$I$24)</f>
        <v>0</v>
      </c>
      <c r="J100" s="47">
        <f>SUMIF(Master!$E$2:$E$779,분류!B100,Master!$Q$2:$Q$779)</f>
        <v>600000</v>
      </c>
      <c r="K100" s="121"/>
    </row>
    <row r="101" spans="1:11">
      <c r="A101" s="14">
        <f t="shared" si="9"/>
        <v>12</v>
      </c>
      <c r="B101" s="65" t="s">
        <v>2193</v>
      </c>
      <c r="C101" s="61">
        <f>SUMIF(Master!$E$2:$E$779,분류!B101,Master!$L$2:$L$779)</f>
        <v>41120000</v>
      </c>
      <c r="D101" s="62">
        <f>SUMIFS(Master!$L$2:$L$779,Master!$E$2:$E$779,분류!B101,Master!$G$2:$G$779,분류!$D$24)</f>
        <v>41120000</v>
      </c>
      <c r="E101" s="62">
        <f>SUMIFS(Master!$L$2:$L$779,Master!$E$2:$E$779,분류!B101,Master!$G$2:$G$779,분류!$E$24)</f>
        <v>0</v>
      </c>
      <c r="F101" s="62">
        <f>SUMIFS(Master!$L$2:$L$779,Master!$E$2:$E$779,분류!B101,Master!$G$2:$G$779,분류!$F$24)</f>
        <v>0</v>
      </c>
      <c r="G101" s="62">
        <f>SUMIFS(Master!$L$2:$L$779,Master!$E$2:$E$779,분류!B101,Master!$G$2:$G$779,분류!$G$24)</f>
        <v>0</v>
      </c>
      <c r="H101" s="62">
        <f>SUMIFS(Master!$L$2:$L$779,Master!$E$2:$E$779,분류!B101,Master!$G$2:$G$779,분류!$H$24)</f>
        <v>0</v>
      </c>
      <c r="I101" s="62">
        <f>SUMIFS(Master!$L$2:$L$779,Master!$E$2:$E$779,분류!B101,Master!$G$2:$G$779,분류!$I$24)</f>
        <v>0</v>
      </c>
      <c r="J101" s="47">
        <f>SUMIF(Master!$E$2:$E$779,분류!B101,Master!$Q$2:$Q$779)</f>
        <v>4301509.0909090918</v>
      </c>
      <c r="K101" s="121"/>
    </row>
    <row r="102" spans="1:11">
      <c r="A102" s="14">
        <f t="shared" si="9"/>
        <v>92</v>
      </c>
      <c r="B102" s="63" t="s">
        <v>1933</v>
      </c>
      <c r="C102" s="61">
        <f>SUMIF(Master!$E$2:$E$779,분류!B102,Master!$L$2:$L$779)</f>
        <v>1440000</v>
      </c>
      <c r="D102" s="62">
        <f>SUMIFS(Master!$L$2:$L$779,Master!$E$2:$E$779,분류!B102,Master!$G$2:$G$779,분류!$D$24)</f>
        <v>0</v>
      </c>
      <c r="E102" s="62">
        <f>SUMIFS(Master!$L$2:$L$779,Master!$E$2:$E$779,분류!B102,Master!$G$2:$G$779,분류!$E$24)</f>
        <v>1440000</v>
      </c>
      <c r="F102" s="62">
        <f>SUMIFS(Master!$L$2:$L$779,Master!$E$2:$E$779,분류!B102,Master!$G$2:$G$779,분류!$F$24)</f>
        <v>0</v>
      </c>
      <c r="G102" s="62">
        <f>SUMIFS(Master!$L$2:$L$779,Master!$E$2:$E$779,분류!B102,Master!$G$2:$G$779,분류!$G$24)</f>
        <v>0</v>
      </c>
      <c r="H102" s="62">
        <f>SUMIFS(Master!$L$2:$L$779,Master!$E$2:$E$779,분류!B102,Master!$G$2:$G$779,분류!$H$24)</f>
        <v>0</v>
      </c>
      <c r="I102" s="62">
        <f>SUMIFS(Master!$L$2:$L$779,Master!$E$2:$E$779,분류!B102,Master!$G$2:$G$779,분류!$I$24)</f>
        <v>0</v>
      </c>
      <c r="J102" s="47">
        <f>SUMIF(Master!$E$2:$E$779,분류!B102,Master!$Q$2:$Q$779)</f>
        <v>193000</v>
      </c>
      <c r="K102" s="121"/>
    </row>
    <row r="103" spans="1:11">
      <c r="A103" s="14">
        <f t="shared" si="9"/>
        <v>80</v>
      </c>
      <c r="B103" s="63" t="s">
        <v>145</v>
      </c>
      <c r="C103" s="61">
        <f>SUMIF(Master!$E$2:$E$779,분류!B103,Master!$L$2:$L$779)</f>
        <v>2000000</v>
      </c>
      <c r="D103" s="62">
        <f>SUMIFS(Master!$L$2:$L$779,Master!$E$2:$E$779,분류!B103,Master!$G$2:$G$779,분류!$D$24)</f>
        <v>0</v>
      </c>
      <c r="E103" s="62">
        <f>SUMIFS(Master!$L$2:$L$779,Master!$E$2:$E$779,분류!B103,Master!$G$2:$G$779,분류!$E$24)</f>
        <v>2000000</v>
      </c>
      <c r="F103" s="62">
        <f>SUMIFS(Master!$L$2:$L$779,Master!$E$2:$E$779,분류!B103,Master!$G$2:$G$779,분류!$F$24)</f>
        <v>0</v>
      </c>
      <c r="G103" s="62">
        <f>SUMIFS(Master!$L$2:$L$779,Master!$E$2:$E$779,분류!B103,Master!$G$2:$G$779,분류!$G$24)</f>
        <v>0</v>
      </c>
      <c r="H103" s="62">
        <f>SUMIFS(Master!$L$2:$L$779,Master!$E$2:$E$779,분류!B103,Master!$G$2:$G$779,분류!$H$24)</f>
        <v>0</v>
      </c>
      <c r="I103" s="62">
        <f>SUMIFS(Master!$L$2:$L$779,Master!$E$2:$E$779,분류!B103,Master!$G$2:$G$779,분류!$I$24)</f>
        <v>0</v>
      </c>
      <c r="J103" s="47">
        <f>SUMIF(Master!$E$2:$E$779,분류!B103,Master!$Q$2:$Q$779)</f>
        <v>200000</v>
      </c>
      <c r="K103" s="121"/>
    </row>
    <row r="104" spans="1:11">
      <c r="A104" s="14">
        <f t="shared" si="9"/>
        <v>10</v>
      </c>
      <c r="B104" s="63" t="s">
        <v>2194</v>
      </c>
      <c r="C104" s="61">
        <f>SUMIF(Master!$E$2:$E$779,분류!B104,Master!$L$2:$L$779)</f>
        <v>47860000</v>
      </c>
      <c r="D104" s="62">
        <f>SUMIFS(Master!$L$2:$L$779,Master!$E$2:$E$779,분류!B104,Master!$G$2:$G$779,분류!$D$24)</f>
        <v>5500000</v>
      </c>
      <c r="E104" s="62">
        <f>SUMIFS(Master!$L$2:$L$779,Master!$E$2:$E$779,분류!B104,Master!$G$2:$G$779,분류!$E$24)</f>
        <v>42360000</v>
      </c>
      <c r="F104" s="62">
        <f>SUMIFS(Master!$L$2:$L$779,Master!$E$2:$E$779,분류!B104,Master!$G$2:$G$779,분류!$F$24)</f>
        <v>0</v>
      </c>
      <c r="G104" s="62">
        <f>SUMIFS(Master!$L$2:$L$779,Master!$E$2:$E$779,분류!B104,Master!$G$2:$G$779,분류!$G$24)</f>
        <v>0</v>
      </c>
      <c r="H104" s="62">
        <f>SUMIFS(Master!$L$2:$L$779,Master!$E$2:$E$779,분류!B104,Master!$G$2:$G$779,분류!$H$24)</f>
        <v>0</v>
      </c>
      <c r="I104" s="62">
        <f>SUMIFS(Master!$L$2:$L$779,Master!$E$2:$E$779,분류!B104,Master!$G$2:$G$779,분류!$I$24)</f>
        <v>0</v>
      </c>
      <c r="J104" s="47">
        <f>SUMIF(Master!$E$2:$E$779,분류!B104,Master!$Q$2:$Q$779)</f>
        <v>19727047.333333336</v>
      </c>
      <c r="K104" s="121"/>
    </row>
    <row r="105" spans="1:11">
      <c r="A105" s="14">
        <f t="shared" si="9"/>
        <v>35</v>
      </c>
      <c r="B105" s="63" t="s">
        <v>2195</v>
      </c>
      <c r="C105" s="61">
        <f>SUMIF(Master!$E$2:$E$779,분류!B105,Master!$L$2:$L$779)</f>
        <v>15470400</v>
      </c>
      <c r="D105" s="62">
        <f>SUMIFS(Master!$L$2:$L$779,Master!$E$2:$E$779,분류!B105,Master!$G$2:$G$779,분류!$D$24)</f>
        <v>0</v>
      </c>
      <c r="E105" s="62">
        <f>SUMIFS(Master!$L$2:$L$779,Master!$E$2:$E$779,분류!B105,Master!$G$2:$G$779,분류!$E$24)</f>
        <v>15470400</v>
      </c>
      <c r="F105" s="62">
        <f>SUMIFS(Master!$L$2:$L$779,Master!$E$2:$E$779,분류!B105,Master!$G$2:$G$779,분류!$F$24)</f>
        <v>0</v>
      </c>
      <c r="G105" s="62">
        <f>SUMIFS(Master!$L$2:$L$779,Master!$E$2:$E$779,분류!B105,Master!$G$2:$G$779,분류!$G$24)</f>
        <v>0</v>
      </c>
      <c r="H105" s="62">
        <f>SUMIFS(Master!$L$2:$L$779,Master!$E$2:$E$779,분류!B105,Master!$G$2:$G$779,분류!$H$24)</f>
        <v>0</v>
      </c>
      <c r="I105" s="62">
        <f>SUMIFS(Master!$L$2:$L$779,Master!$E$2:$E$779,분류!B105,Master!$G$2:$G$779,분류!$I$24)</f>
        <v>0</v>
      </c>
      <c r="J105" s="47">
        <f>SUMIF(Master!$E$2:$E$779,분류!B105,Master!$Q$2:$Q$779)</f>
        <v>1424700</v>
      </c>
      <c r="K105" s="121"/>
    </row>
    <row r="106" spans="1:11">
      <c r="A106" s="14">
        <f t="shared" si="9"/>
        <v>131</v>
      </c>
      <c r="B106" s="63" t="s">
        <v>2125</v>
      </c>
      <c r="C106" s="61">
        <f>SUMIF(Master!$E$2:$E$779,분류!B106,Master!$L$2:$L$779)</f>
        <v>0</v>
      </c>
      <c r="D106" s="62">
        <f>SUMIFS(Master!$L$2:$L$779,Master!$E$2:$E$779,분류!B106,Master!$G$2:$G$779,분류!$D$24)</f>
        <v>0</v>
      </c>
      <c r="E106" s="62">
        <f>SUMIFS(Master!$L$2:$L$779,Master!$E$2:$E$779,분류!B106,Master!$G$2:$G$779,분류!$E$24)</f>
        <v>0</v>
      </c>
      <c r="F106" s="62">
        <f>SUMIFS(Master!$L$2:$L$779,Master!$E$2:$E$779,분류!B106,Master!$G$2:$G$779,분류!$F$24)</f>
        <v>0</v>
      </c>
      <c r="G106" s="62">
        <f>SUMIFS(Master!$L$2:$L$779,Master!$E$2:$E$779,분류!B106,Master!$G$2:$G$779,분류!$G$24)</f>
        <v>0</v>
      </c>
      <c r="H106" s="62">
        <f>SUMIFS(Master!$L$2:$L$779,Master!$E$2:$E$779,분류!B106,Master!$G$2:$G$779,분류!$H$24)</f>
        <v>0</v>
      </c>
      <c r="I106" s="62">
        <f>SUMIFS(Master!$L$2:$L$779,Master!$E$2:$E$779,분류!B106,Master!$G$2:$G$779,분류!$I$24)</f>
        <v>0</v>
      </c>
      <c r="J106" s="47">
        <f>SUMIF(Master!$E$2:$E$779,분류!B106,Master!$Q$2:$Q$779)</f>
        <v>0</v>
      </c>
      <c r="K106" s="121"/>
    </row>
    <row r="107" spans="1:11">
      <c r="A107" s="14">
        <f t="shared" ref="A107:A138" si="10">RANK(C107,$C$26:$C$184,0)</f>
        <v>46</v>
      </c>
      <c r="B107" s="63" t="s">
        <v>4</v>
      </c>
      <c r="C107" s="61">
        <f>SUMIF(Master!$E$2:$E$779,분류!B107,Master!$L$2:$L$779)</f>
        <v>8898000</v>
      </c>
      <c r="D107" s="62">
        <f>SUMIFS(Master!$L$2:$L$779,Master!$E$2:$E$779,분류!B107,Master!$G$2:$G$779,분류!$D$24)</f>
        <v>0</v>
      </c>
      <c r="E107" s="62">
        <f>SUMIFS(Master!$L$2:$L$779,Master!$E$2:$E$779,분류!B107,Master!$G$2:$G$779,분류!$E$24)</f>
        <v>8898000</v>
      </c>
      <c r="F107" s="62">
        <f>SUMIFS(Master!$L$2:$L$779,Master!$E$2:$E$779,분류!B107,Master!$G$2:$G$779,분류!$F$24)</f>
        <v>0</v>
      </c>
      <c r="G107" s="62">
        <f>SUMIFS(Master!$L$2:$L$779,Master!$E$2:$E$779,분류!B107,Master!$G$2:$G$779,분류!$G$24)</f>
        <v>0</v>
      </c>
      <c r="H107" s="62">
        <f>SUMIFS(Master!$L$2:$L$779,Master!$E$2:$E$779,분류!B107,Master!$G$2:$G$779,분류!$H$24)</f>
        <v>0</v>
      </c>
      <c r="I107" s="62">
        <f>SUMIFS(Master!$L$2:$L$779,Master!$E$2:$E$779,분류!B107,Master!$G$2:$G$779,분류!$I$24)</f>
        <v>0</v>
      </c>
      <c r="J107" s="47">
        <f>SUMIF(Master!$E$2:$E$779,분류!B107,Master!$Q$2:$Q$779)</f>
        <v>1049988</v>
      </c>
      <c r="K107" s="121"/>
    </row>
    <row r="108" spans="1:11">
      <c r="A108" s="14">
        <f t="shared" si="10"/>
        <v>100</v>
      </c>
      <c r="B108" s="63" t="s">
        <v>272</v>
      </c>
      <c r="C108" s="61">
        <f>SUMIF(Master!$E$2:$E$779,분류!B108,Master!$L$2:$L$779)</f>
        <v>1150000</v>
      </c>
      <c r="D108" s="62">
        <f>SUMIFS(Master!$L$2:$L$779,Master!$E$2:$E$779,분류!B108,Master!$G$2:$G$779,분류!$D$24)</f>
        <v>1150000</v>
      </c>
      <c r="E108" s="62">
        <f>SUMIFS(Master!$L$2:$L$779,Master!$E$2:$E$779,분류!B108,Master!$G$2:$G$779,분류!$E$24)</f>
        <v>0</v>
      </c>
      <c r="F108" s="62">
        <f>SUMIFS(Master!$L$2:$L$779,Master!$E$2:$E$779,분류!B108,Master!$G$2:$G$779,분류!$F$24)</f>
        <v>0</v>
      </c>
      <c r="G108" s="62">
        <f>SUMIFS(Master!$L$2:$L$779,Master!$E$2:$E$779,분류!B108,Master!$G$2:$G$779,분류!$G$24)</f>
        <v>0</v>
      </c>
      <c r="H108" s="62">
        <f>SUMIFS(Master!$L$2:$L$779,Master!$E$2:$E$779,분류!B108,Master!$G$2:$G$779,분류!$H$24)</f>
        <v>0</v>
      </c>
      <c r="I108" s="62">
        <f>SUMIFS(Master!$L$2:$L$779,Master!$E$2:$E$779,분류!B108,Master!$G$2:$G$779,분류!$I$24)</f>
        <v>0</v>
      </c>
      <c r="J108" s="47">
        <f>SUMIF(Master!$E$2:$E$779,분류!B108,Master!$Q$2:$Q$779)</f>
        <v>520000</v>
      </c>
      <c r="K108" s="121"/>
    </row>
    <row r="109" spans="1:11">
      <c r="A109" s="14">
        <f t="shared" si="10"/>
        <v>131</v>
      </c>
      <c r="B109" s="63" t="s">
        <v>2040</v>
      </c>
      <c r="C109" s="61">
        <f>SUMIF(Master!$E$2:$E$779,분류!B109,Master!$L$2:$L$779)</f>
        <v>0</v>
      </c>
      <c r="D109" s="62">
        <f>SUMIFS(Master!$L$2:$L$779,Master!$E$2:$E$779,분류!B109,Master!$G$2:$G$779,분류!$D$24)</f>
        <v>0</v>
      </c>
      <c r="E109" s="62">
        <f>SUMIFS(Master!$L$2:$L$779,Master!$E$2:$E$779,분류!B109,Master!$G$2:$G$779,분류!$E$24)</f>
        <v>0</v>
      </c>
      <c r="F109" s="62">
        <f>SUMIFS(Master!$L$2:$L$779,Master!$E$2:$E$779,분류!B109,Master!$G$2:$G$779,분류!$F$24)</f>
        <v>0</v>
      </c>
      <c r="G109" s="62">
        <f>SUMIFS(Master!$L$2:$L$779,Master!$E$2:$E$779,분류!B109,Master!$G$2:$G$779,분류!$G$24)</f>
        <v>0</v>
      </c>
      <c r="H109" s="62">
        <f>SUMIFS(Master!$L$2:$L$779,Master!$E$2:$E$779,분류!B109,Master!$G$2:$G$779,분류!$H$24)</f>
        <v>0</v>
      </c>
      <c r="I109" s="62">
        <f>SUMIFS(Master!$L$2:$L$779,Master!$E$2:$E$779,분류!B109,Master!$G$2:$G$779,분류!$I$24)</f>
        <v>0</v>
      </c>
      <c r="J109" s="47">
        <f>SUMIF(Master!$E$2:$E$779,분류!B109,Master!$Q$2:$Q$779)</f>
        <v>0</v>
      </c>
      <c r="K109" s="121"/>
    </row>
    <row r="110" spans="1:11">
      <c r="A110" s="14">
        <f t="shared" si="10"/>
        <v>131</v>
      </c>
      <c r="B110" s="63" t="s">
        <v>2127</v>
      </c>
      <c r="C110" s="61">
        <f>SUMIF(Master!$E$2:$E$779,분류!B110,Master!$L$2:$L$779)</f>
        <v>0</v>
      </c>
      <c r="D110" s="62">
        <f>SUMIFS(Master!$L$2:$L$779,Master!$E$2:$E$779,분류!B110,Master!$G$2:$G$779,분류!$D$24)</f>
        <v>0</v>
      </c>
      <c r="E110" s="62">
        <f>SUMIFS(Master!$L$2:$L$779,Master!$E$2:$E$779,분류!B110,Master!$G$2:$G$779,분류!$E$24)</f>
        <v>0</v>
      </c>
      <c r="F110" s="62">
        <f>SUMIFS(Master!$L$2:$L$779,Master!$E$2:$E$779,분류!B110,Master!$G$2:$G$779,분류!$F$24)</f>
        <v>0</v>
      </c>
      <c r="G110" s="62">
        <f>SUMIFS(Master!$L$2:$L$779,Master!$E$2:$E$779,분류!B110,Master!$G$2:$G$779,분류!$G$24)</f>
        <v>0</v>
      </c>
      <c r="H110" s="62">
        <f>SUMIFS(Master!$L$2:$L$779,Master!$E$2:$E$779,분류!B110,Master!$G$2:$G$779,분류!$H$24)</f>
        <v>0</v>
      </c>
      <c r="I110" s="62">
        <f>SUMIFS(Master!$L$2:$L$779,Master!$E$2:$E$779,분류!B110,Master!$G$2:$G$779,분류!$I$24)</f>
        <v>0</v>
      </c>
      <c r="J110" s="47">
        <f>SUMIF(Master!$E$2:$E$779,분류!B110,Master!$Q$2:$Q$779)</f>
        <v>0</v>
      </c>
      <c r="K110" s="121"/>
    </row>
    <row r="111" spans="1:11">
      <c r="A111" s="14">
        <f t="shared" si="10"/>
        <v>113</v>
      </c>
      <c r="B111" s="63" t="s">
        <v>54</v>
      </c>
      <c r="C111" s="61">
        <f>SUMIF(Master!$E$2:$E$779,분류!B111,Master!$L$2:$L$779)</f>
        <v>700000</v>
      </c>
      <c r="D111" s="62">
        <f>SUMIFS(Master!$L$2:$L$779,Master!$E$2:$E$779,분류!B111,Master!$G$2:$G$779,분류!$D$24)</f>
        <v>700000</v>
      </c>
      <c r="E111" s="62">
        <f>SUMIFS(Master!$L$2:$L$779,Master!$E$2:$E$779,분류!B111,Master!$G$2:$G$779,분류!$E$24)</f>
        <v>0</v>
      </c>
      <c r="F111" s="62">
        <f>SUMIFS(Master!$L$2:$L$779,Master!$E$2:$E$779,분류!B111,Master!$G$2:$G$779,분류!$F$24)</f>
        <v>0</v>
      </c>
      <c r="G111" s="62">
        <f>SUMIFS(Master!$L$2:$L$779,Master!$E$2:$E$779,분류!B111,Master!$G$2:$G$779,분류!$G$24)</f>
        <v>0</v>
      </c>
      <c r="H111" s="62">
        <f>SUMIFS(Master!$L$2:$L$779,Master!$E$2:$E$779,분류!B111,Master!$G$2:$G$779,분류!$H$24)</f>
        <v>0</v>
      </c>
      <c r="I111" s="62">
        <f>SUMIFS(Master!$L$2:$L$779,Master!$E$2:$E$779,분류!B111,Master!$G$2:$G$779,분류!$I$24)</f>
        <v>0</v>
      </c>
      <c r="J111" s="47">
        <f>SUMIF(Master!$E$2:$E$779,분류!B111,Master!$Q$2:$Q$779)</f>
        <v>190000</v>
      </c>
      <c r="K111" s="121"/>
    </row>
    <row r="112" spans="1:11">
      <c r="A112" s="14">
        <f t="shared" si="10"/>
        <v>45</v>
      </c>
      <c r="B112" s="63" t="s">
        <v>2196</v>
      </c>
      <c r="C112" s="61">
        <f>SUMIF(Master!$E$2:$E$779,분류!B112,Master!$L$2:$L$779)</f>
        <v>9030000</v>
      </c>
      <c r="D112" s="62">
        <f>SUMIFS(Master!$L$2:$L$779,Master!$E$2:$E$779,분류!B112,Master!$G$2:$G$779,분류!$D$24)</f>
        <v>0</v>
      </c>
      <c r="E112" s="62">
        <f>SUMIFS(Master!$L$2:$L$779,Master!$E$2:$E$779,분류!B112,Master!$G$2:$G$779,분류!$E$24)</f>
        <v>9030000</v>
      </c>
      <c r="F112" s="62">
        <f>SUMIFS(Master!$L$2:$L$779,Master!$E$2:$E$779,분류!B112,Master!$G$2:$G$779,분류!$F$24)</f>
        <v>0</v>
      </c>
      <c r="G112" s="62">
        <f>SUMIFS(Master!$L$2:$L$779,Master!$E$2:$E$779,분류!B112,Master!$G$2:$G$779,분류!$G$24)</f>
        <v>0</v>
      </c>
      <c r="H112" s="62">
        <f>SUMIFS(Master!$L$2:$L$779,Master!$E$2:$E$779,분류!B112,Master!$G$2:$G$779,분류!$H$24)</f>
        <v>0</v>
      </c>
      <c r="I112" s="62">
        <f>SUMIFS(Master!$L$2:$L$779,Master!$E$2:$E$779,분류!B112,Master!$G$2:$G$779,분류!$I$24)</f>
        <v>0</v>
      </c>
      <c r="J112" s="47">
        <f>SUMIF(Master!$E$2:$E$779,분류!B112,Master!$Q$2:$Q$779)</f>
        <v>2862000</v>
      </c>
      <c r="K112" s="121"/>
    </row>
    <row r="113" spans="1:11">
      <c r="A113" s="14">
        <f t="shared" si="10"/>
        <v>131</v>
      </c>
      <c r="B113" s="63" t="s">
        <v>383</v>
      </c>
      <c r="C113" s="61">
        <f>SUMIF(Master!$E$2:$E$779,분류!B113,Master!$L$2:$L$779)</f>
        <v>0</v>
      </c>
      <c r="D113" s="62">
        <f>SUMIFS(Master!$L$2:$L$779,Master!$E$2:$E$779,분류!B113,Master!$G$2:$G$779,분류!$D$24)</f>
        <v>0</v>
      </c>
      <c r="E113" s="62">
        <f>SUMIFS(Master!$L$2:$L$779,Master!$E$2:$E$779,분류!B113,Master!$G$2:$G$779,분류!$E$24)</f>
        <v>0</v>
      </c>
      <c r="F113" s="62">
        <f>SUMIFS(Master!$L$2:$L$779,Master!$E$2:$E$779,분류!B113,Master!$G$2:$G$779,분류!$F$24)</f>
        <v>0</v>
      </c>
      <c r="G113" s="62">
        <f>SUMIFS(Master!$L$2:$L$779,Master!$E$2:$E$779,분류!B113,Master!$G$2:$G$779,분류!$G$24)</f>
        <v>0</v>
      </c>
      <c r="H113" s="62">
        <f>SUMIFS(Master!$L$2:$L$779,Master!$E$2:$E$779,분류!B113,Master!$G$2:$G$779,분류!$H$24)</f>
        <v>0</v>
      </c>
      <c r="I113" s="62">
        <f>SUMIFS(Master!$L$2:$L$779,Master!$E$2:$E$779,분류!B113,Master!$G$2:$G$779,분류!$I$24)</f>
        <v>0</v>
      </c>
      <c r="J113" s="47">
        <f>SUMIF(Master!$E$2:$E$779,분류!B113,Master!$Q$2:$Q$779)</f>
        <v>0</v>
      </c>
      <c r="K113" s="121"/>
    </row>
    <row r="114" spans="1:11">
      <c r="A114" s="14">
        <f t="shared" si="10"/>
        <v>125</v>
      </c>
      <c r="B114" s="63" t="s">
        <v>1583</v>
      </c>
      <c r="C114" s="61">
        <f>SUMIF(Master!$E$2:$E$779,분류!B114,Master!$L$2:$L$779)</f>
        <v>280000</v>
      </c>
      <c r="D114" s="62">
        <f>SUMIFS(Master!$L$2:$L$779,Master!$E$2:$E$779,분류!B114,Master!$G$2:$G$779,분류!$D$24)</f>
        <v>280000</v>
      </c>
      <c r="E114" s="62">
        <f>SUMIFS(Master!$L$2:$L$779,Master!$E$2:$E$779,분류!B114,Master!$G$2:$G$779,분류!$E$24)</f>
        <v>0</v>
      </c>
      <c r="F114" s="62">
        <f>SUMIFS(Master!$L$2:$L$779,Master!$E$2:$E$779,분류!B114,Master!$G$2:$G$779,분류!$F$24)</f>
        <v>0</v>
      </c>
      <c r="G114" s="62">
        <f>SUMIFS(Master!$L$2:$L$779,Master!$E$2:$E$779,분류!B114,Master!$G$2:$G$779,분류!$G$24)</f>
        <v>0</v>
      </c>
      <c r="H114" s="62">
        <f>SUMIFS(Master!$L$2:$L$779,Master!$E$2:$E$779,분류!B114,Master!$G$2:$G$779,분류!$H$24)</f>
        <v>0</v>
      </c>
      <c r="I114" s="62">
        <f>SUMIFS(Master!$L$2:$L$779,Master!$E$2:$E$779,분류!B114,Master!$G$2:$G$779,분류!$I$24)</f>
        <v>0</v>
      </c>
      <c r="J114" s="47">
        <f>SUMIF(Master!$E$2:$E$779,분류!B114,Master!$Q$2:$Q$779)</f>
        <v>37000</v>
      </c>
      <c r="K114" s="121"/>
    </row>
    <row r="115" spans="1:11">
      <c r="A115" s="14">
        <f t="shared" si="10"/>
        <v>121</v>
      </c>
      <c r="B115" s="63" t="s">
        <v>1813</v>
      </c>
      <c r="C115" s="61">
        <f>SUMIF(Master!$E$2:$E$779,분류!B115,Master!$L$2:$L$779)</f>
        <v>400000</v>
      </c>
      <c r="D115" s="62">
        <f>SUMIFS(Master!$L$2:$L$779,Master!$E$2:$E$779,분류!B115,Master!$G$2:$G$779,분류!$D$24)</f>
        <v>400000</v>
      </c>
      <c r="E115" s="62">
        <f>SUMIFS(Master!$L$2:$L$779,Master!$E$2:$E$779,분류!B115,Master!$G$2:$G$779,분류!$E$24)</f>
        <v>0</v>
      </c>
      <c r="F115" s="62">
        <f>SUMIFS(Master!$L$2:$L$779,Master!$E$2:$E$779,분류!B115,Master!$G$2:$G$779,분류!$F$24)</f>
        <v>0</v>
      </c>
      <c r="G115" s="62">
        <f>SUMIFS(Master!$L$2:$L$779,Master!$E$2:$E$779,분류!B115,Master!$G$2:$G$779,분류!$G$24)</f>
        <v>0</v>
      </c>
      <c r="H115" s="62">
        <f>SUMIFS(Master!$L$2:$L$779,Master!$E$2:$E$779,분류!B115,Master!$G$2:$G$779,분류!$H$24)</f>
        <v>0</v>
      </c>
      <c r="I115" s="62">
        <f>SUMIFS(Master!$L$2:$L$779,Master!$E$2:$E$779,분류!B115,Master!$G$2:$G$779,분류!$I$24)</f>
        <v>0</v>
      </c>
      <c r="J115" s="47">
        <f>SUMIF(Master!$E$2:$E$779,분류!B115,Master!$Q$2:$Q$779)</f>
        <v>400000</v>
      </c>
      <c r="K115" s="121"/>
    </row>
    <row r="116" spans="1:11">
      <c r="A116" s="14">
        <f t="shared" si="10"/>
        <v>131</v>
      </c>
      <c r="B116" s="63" t="s">
        <v>2051</v>
      </c>
      <c r="C116" s="61">
        <f>SUMIF(Master!$E$2:$E$779,분류!B116,Master!$L$2:$L$779)</f>
        <v>0</v>
      </c>
      <c r="D116" s="62">
        <f>SUMIFS(Master!$L$2:$L$779,Master!$E$2:$E$779,분류!B116,Master!$G$2:$G$779,분류!$D$24)</f>
        <v>0</v>
      </c>
      <c r="E116" s="62">
        <f>SUMIFS(Master!$L$2:$L$779,Master!$E$2:$E$779,분류!B116,Master!$G$2:$G$779,분류!$E$24)</f>
        <v>0</v>
      </c>
      <c r="F116" s="62">
        <f>SUMIFS(Master!$L$2:$L$779,Master!$E$2:$E$779,분류!B116,Master!$G$2:$G$779,분류!$F$24)</f>
        <v>0</v>
      </c>
      <c r="G116" s="62">
        <f>SUMIFS(Master!$L$2:$L$779,Master!$E$2:$E$779,분류!B116,Master!$G$2:$G$779,분류!$G$24)</f>
        <v>0</v>
      </c>
      <c r="H116" s="62">
        <f>SUMIFS(Master!$L$2:$L$779,Master!$E$2:$E$779,분류!B116,Master!$G$2:$G$779,분류!$H$24)</f>
        <v>0</v>
      </c>
      <c r="I116" s="62">
        <f>SUMIFS(Master!$L$2:$L$779,Master!$E$2:$E$779,분류!B116,Master!$G$2:$G$779,분류!$I$24)</f>
        <v>0</v>
      </c>
      <c r="J116" s="47">
        <f>SUMIF(Master!$E$2:$E$779,분류!B116,Master!$Q$2:$Q$779)</f>
        <v>0</v>
      </c>
      <c r="K116" s="121"/>
    </row>
    <row r="117" spans="1:11">
      <c r="A117" s="14">
        <f t="shared" si="10"/>
        <v>106</v>
      </c>
      <c r="B117" s="63" t="s">
        <v>228</v>
      </c>
      <c r="C117" s="61">
        <f>SUMIF(Master!$E$2:$E$779,분류!B117,Master!$L$2:$L$779)</f>
        <v>939000</v>
      </c>
      <c r="D117" s="62">
        <f>SUMIFS(Master!$L$2:$L$779,Master!$E$2:$E$779,분류!B117,Master!$G$2:$G$779,분류!$D$24)</f>
        <v>0</v>
      </c>
      <c r="E117" s="62">
        <f>SUMIFS(Master!$L$2:$L$779,Master!$E$2:$E$779,분류!B117,Master!$G$2:$G$779,분류!$E$24)</f>
        <v>939000</v>
      </c>
      <c r="F117" s="62">
        <f>SUMIFS(Master!$L$2:$L$779,Master!$E$2:$E$779,분류!B117,Master!$G$2:$G$779,분류!$F$24)</f>
        <v>0</v>
      </c>
      <c r="G117" s="62">
        <f>SUMIFS(Master!$L$2:$L$779,Master!$E$2:$E$779,분류!B117,Master!$G$2:$G$779,분류!$G$24)</f>
        <v>0</v>
      </c>
      <c r="H117" s="62">
        <f>SUMIFS(Master!$L$2:$L$779,Master!$E$2:$E$779,분류!B117,Master!$G$2:$G$779,분류!$H$24)</f>
        <v>0</v>
      </c>
      <c r="I117" s="62">
        <f>SUMIFS(Master!$L$2:$L$779,Master!$E$2:$E$779,분류!B117,Master!$G$2:$G$779,분류!$I$24)</f>
        <v>0</v>
      </c>
      <c r="J117" s="47">
        <f>SUMIF(Master!$E$2:$E$779,분류!B117,Master!$Q$2:$Q$779)</f>
        <v>280480</v>
      </c>
      <c r="K117" s="121"/>
    </row>
    <row r="118" spans="1:11">
      <c r="A118" s="14">
        <f t="shared" si="10"/>
        <v>8</v>
      </c>
      <c r="B118" s="65" t="s">
        <v>2197</v>
      </c>
      <c r="C118" s="61">
        <f>SUMIF(Master!$E$2:$E$779,분류!B118,Master!$L$2:$L$779)</f>
        <v>52620000</v>
      </c>
      <c r="D118" s="62">
        <f>SUMIFS(Master!$L$2:$L$779,Master!$E$2:$E$779,분류!B118,Master!$G$2:$G$779,분류!$D$24)</f>
        <v>45420000</v>
      </c>
      <c r="E118" s="62">
        <f>SUMIFS(Master!$L$2:$L$779,Master!$E$2:$E$779,분류!B118,Master!$G$2:$G$779,분류!$E$24)</f>
        <v>7200000</v>
      </c>
      <c r="F118" s="62">
        <f>SUMIFS(Master!$L$2:$L$779,Master!$E$2:$E$779,분류!B118,Master!$G$2:$G$779,분류!$F$24)</f>
        <v>0</v>
      </c>
      <c r="G118" s="62">
        <f>SUMIFS(Master!$L$2:$L$779,Master!$E$2:$E$779,분류!B118,Master!$G$2:$G$779,분류!$G$24)</f>
        <v>0</v>
      </c>
      <c r="H118" s="62">
        <f>SUMIFS(Master!$L$2:$L$779,Master!$E$2:$E$779,분류!B118,Master!$G$2:$G$779,분류!$H$24)</f>
        <v>0</v>
      </c>
      <c r="I118" s="62">
        <f>SUMIFS(Master!$L$2:$L$779,Master!$E$2:$E$779,분류!B118,Master!$G$2:$G$779,분류!$I$24)</f>
        <v>0</v>
      </c>
      <c r="J118" s="47">
        <f>SUMIF(Master!$E$2:$E$779,분류!B118,Master!$Q$2:$Q$779)</f>
        <v>8055399.9999999981</v>
      </c>
      <c r="K118" s="121"/>
    </row>
    <row r="119" spans="1:11">
      <c r="A119" s="14">
        <f t="shared" si="10"/>
        <v>31</v>
      </c>
      <c r="B119" s="63" t="s">
        <v>72</v>
      </c>
      <c r="C119" s="61">
        <f>SUMIF(Master!$E$2:$E$779,분류!B119,Master!$L$2:$L$779)</f>
        <v>17400000</v>
      </c>
      <c r="D119" s="62">
        <f>SUMIFS(Master!$L$2:$L$779,Master!$E$2:$E$779,분류!B119,Master!$G$2:$G$779,분류!$D$24)</f>
        <v>0</v>
      </c>
      <c r="E119" s="62">
        <f>SUMIFS(Master!$L$2:$L$779,Master!$E$2:$E$779,분류!B119,Master!$G$2:$G$779,분류!$E$24)</f>
        <v>17400000</v>
      </c>
      <c r="F119" s="62">
        <f>SUMIFS(Master!$L$2:$L$779,Master!$E$2:$E$779,분류!B119,Master!$G$2:$G$779,분류!$F$24)</f>
        <v>0</v>
      </c>
      <c r="G119" s="62">
        <f>SUMIFS(Master!$L$2:$L$779,Master!$E$2:$E$779,분류!B119,Master!$G$2:$G$779,분류!$G$24)</f>
        <v>0</v>
      </c>
      <c r="H119" s="62">
        <f>SUMIFS(Master!$L$2:$L$779,Master!$E$2:$E$779,분류!B119,Master!$G$2:$G$779,분류!$H$24)</f>
        <v>0</v>
      </c>
      <c r="I119" s="62">
        <f>SUMIFS(Master!$L$2:$L$779,Master!$E$2:$E$779,분류!B119,Master!$G$2:$G$779,분류!$I$24)</f>
        <v>0</v>
      </c>
      <c r="J119" s="47">
        <f>SUMIF(Master!$E$2:$E$779,분류!B119,Master!$Q$2:$Q$779)</f>
        <v>2746000.0000000009</v>
      </c>
      <c r="K119" s="121"/>
    </row>
    <row r="120" spans="1:11">
      <c r="A120" s="14">
        <f t="shared" si="10"/>
        <v>13</v>
      </c>
      <c r="B120" s="63" t="s">
        <v>2198</v>
      </c>
      <c r="C120" s="61">
        <f>SUMIF(Master!$E$2:$E$779,분류!B120,Master!$L$2:$L$779)</f>
        <v>38076000</v>
      </c>
      <c r="D120" s="62">
        <f>SUMIFS(Master!$L$2:$L$779,Master!$E$2:$E$779,분류!B120,Master!$G$2:$G$779,분류!$D$24)</f>
        <v>26106000</v>
      </c>
      <c r="E120" s="62">
        <f>SUMIFS(Master!$L$2:$L$779,Master!$E$2:$E$779,분류!B120,Master!$G$2:$G$779,분류!$E$24)</f>
        <v>11970000</v>
      </c>
      <c r="F120" s="62">
        <f>SUMIFS(Master!$L$2:$L$779,Master!$E$2:$E$779,분류!B120,Master!$G$2:$G$779,분류!$F$24)</f>
        <v>0</v>
      </c>
      <c r="G120" s="62">
        <f>SUMIFS(Master!$L$2:$L$779,Master!$E$2:$E$779,분류!B120,Master!$G$2:$G$779,분류!$G$24)</f>
        <v>0</v>
      </c>
      <c r="H120" s="62">
        <f>SUMIFS(Master!$L$2:$L$779,Master!$E$2:$E$779,분류!B120,Master!$G$2:$G$779,분류!$H$24)</f>
        <v>0</v>
      </c>
      <c r="I120" s="62">
        <f>SUMIFS(Master!$L$2:$L$779,Master!$E$2:$E$779,분류!B120,Master!$G$2:$G$779,분류!$I$24)</f>
        <v>0</v>
      </c>
      <c r="J120" s="47">
        <f>SUMIF(Master!$E$2:$E$779,분류!B120,Master!$Q$2:$Q$779)</f>
        <v>891000</v>
      </c>
      <c r="K120" s="121"/>
    </row>
    <row r="121" spans="1:11">
      <c r="A121" s="14">
        <f t="shared" si="10"/>
        <v>78</v>
      </c>
      <c r="B121" s="64" t="s">
        <v>365</v>
      </c>
      <c r="C121" s="61">
        <f>SUMIF(Master!$E$2:$E$779,분류!B121,Master!$L$2:$L$779)</f>
        <v>2400000</v>
      </c>
      <c r="D121" s="62">
        <f>SUMIFS(Master!$L$2:$L$779,Master!$E$2:$E$779,분류!B121,Master!$G$2:$G$779,분류!$D$24)</f>
        <v>0</v>
      </c>
      <c r="E121" s="62">
        <f>SUMIFS(Master!$L$2:$L$779,Master!$E$2:$E$779,분류!B121,Master!$G$2:$G$779,분류!$E$24)</f>
        <v>0</v>
      </c>
      <c r="F121" s="62">
        <f>SUMIFS(Master!$L$2:$L$779,Master!$E$2:$E$779,분류!B121,Master!$G$2:$G$779,분류!$F$24)</f>
        <v>0</v>
      </c>
      <c r="G121" s="62">
        <f>SUMIFS(Master!$L$2:$L$779,Master!$E$2:$E$779,분류!B121,Master!$G$2:$G$779,분류!$G$24)</f>
        <v>0</v>
      </c>
      <c r="H121" s="62">
        <f>SUMIFS(Master!$L$2:$L$779,Master!$E$2:$E$779,분류!B121,Master!$G$2:$G$779,분류!$H$24)</f>
        <v>0</v>
      </c>
      <c r="I121" s="62">
        <f>SUMIFS(Master!$L$2:$L$779,Master!$E$2:$E$779,분류!B121,Master!$G$2:$G$779,분류!$I$24)</f>
        <v>2400000</v>
      </c>
      <c r="J121" s="47">
        <f>SUMIF(Master!$E$2:$E$779,분류!B121,Master!$Q$2:$Q$779)</f>
        <v>2400000</v>
      </c>
      <c r="K121" s="121"/>
    </row>
    <row r="122" spans="1:11" s="244" customFormat="1">
      <c r="A122" s="14">
        <f t="shared" si="10"/>
        <v>86</v>
      </c>
      <c r="B122" s="134" t="s">
        <v>1310</v>
      </c>
      <c r="C122" s="61">
        <f>SUMIF(Master!$E$2:$E$779,분류!B122,Master!$L$2:$L$779)</f>
        <v>1850000</v>
      </c>
      <c r="D122" s="62">
        <f>SUMIFS(Master!$L$2:$L$779,Master!$E$2:$E$779,분류!B122,Master!$G$2:$G$779,분류!$D$24)</f>
        <v>0</v>
      </c>
      <c r="E122" s="62">
        <f>SUMIFS(Master!$L$2:$L$779,Master!$E$2:$E$779,분류!B122,Master!$G$2:$G$779,분류!$E$24)</f>
        <v>0</v>
      </c>
      <c r="F122" s="62">
        <f>SUMIFS(Master!$L$2:$L$779,Master!$E$2:$E$779,분류!B122,Master!$G$2:$G$779,분류!$F$24)</f>
        <v>0</v>
      </c>
      <c r="G122" s="62">
        <f>SUMIFS(Master!$L$2:$L$779,Master!$E$2:$E$779,분류!B122,Master!$G$2:$G$779,분류!$G$24)</f>
        <v>0</v>
      </c>
      <c r="H122" s="62">
        <f>SUMIFS(Master!$L$2:$L$779,Master!$E$2:$E$779,분류!B122,Master!$G$2:$G$779,분류!$H$24)</f>
        <v>1850000</v>
      </c>
      <c r="I122" s="62">
        <f>SUMIFS(Master!$L$2:$L$779,Master!$E$2:$E$779,분류!B122,Master!$G$2:$G$779,분류!$I$24)</f>
        <v>0</v>
      </c>
      <c r="J122" s="47">
        <f>SUMIF(Master!$E$2:$E$779,분류!B122,Master!$Q$2:$Q$779)</f>
        <v>1750000</v>
      </c>
      <c r="K122" s="121"/>
    </row>
    <row r="123" spans="1:11">
      <c r="A123" s="14">
        <f t="shared" si="10"/>
        <v>81</v>
      </c>
      <c r="B123" s="63" t="s">
        <v>69</v>
      </c>
      <c r="C123" s="61">
        <f>SUMIF(Master!$E$2:$E$779,분류!B123,Master!$L$2:$L$779)</f>
        <v>1950000</v>
      </c>
      <c r="D123" s="62">
        <f>SUMIFS(Master!$L$2:$L$779,Master!$E$2:$E$779,분류!B123,Master!$G$2:$G$779,분류!$D$24)</f>
        <v>1950000</v>
      </c>
      <c r="E123" s="62">
        <f>SUMIFS(Master!$L$2:$L$779,Master!$E$2:$E$779,분류!B123,Master!$G$2:$G$779,분류!$E$24)</f>
        <v>0</v>
      </c>
      <c r="F123" s="62">
        <f>SUMIFS(Master!$L$2:$L$779,Master!$E$2:$E$779,분류!B123,Master!$G$2:$G$779,분류!$F$24)</f>
        <v>0</v>
      </c>
      <c r="G123" s="62">
        <f>SUMIFS(Master!$L$2:$L$779,Master!$E$2:$E$779,분류!B123,Master!$G$2:$G$779,분류!$G$24)</f>
        <v>0</v>
      </c>
      <c r="H123" s="62">
        <f>SUMIFS(Master!$L$2:$L$779,Master!$E$2:$E$779,분류!B123,Master!$G$2:$G$779,분류!$H$24)</f>
        <v>0</v>
      </c>
      <c r="I123" s="62">
        <f>SUMIFS(Master!$L$2:$L$779,Master!$E$2:$E$779,분류!B123,Master!$G$2:$G$779,분류!$I$24)</f>
        <v>0</v>
      </c>
      <c r="J123" s="47">
        <f>SUMIF(Master!$E$2:$E$779,분류!B123,Master!$Q$2:$Q$779)</f>
        <v>476200</v>
      </c>
      <c r="K123" s="121"/>
    </row>
    <row r="124" spans="1:11">
      <c r="A124" s="14">
        <f t="shared" si="10"/>
        <v>118</v>
      </c>
      <c r="B124" s="63" t="s">
        <v>1097</v>
      </c>
      <c r="C124" s="61">
        <f>SUMIF(Master!$E$2:$E$779,분류!B124,Master!$L$2:$L$779)</f>
        <v>550000</v>
      </c>
      <c r="D124" s="62">
        <f>SUMIFS(Master!$L$2:$L$779,Master!$E$2:$E$779,분류!B124,Master!$G$2:$G$779,분류!$D$24)</f>
        <v>550000</v>
      </c>
      <c r="E124" s="62">
        <f>SUMIFS(Master!$L$2:$L$779,Master!$E$2:$E$779,분류!B124,Master!$G$2:$G$779,분류!$E$24)</f>
        <v>0</v>
      </c>
      <c r="F124" s="62">
        <f>SUMIFS(Master!$L$2:$L$779,Master!$E$2:$E$779,분류!B124,Master!$G$2:$G$779,분류!$F$24)</f>
        <v>0</v>
      </c>
      <c r="G124" s="62">
        <f>SUMIFS(Master!$L$2:$L$779,Master!$E$2:$E$779,분류!B124,Master!$G$2:$G$779,분류!$G$24)</f>
        <v>0</v>
      </c>
      <c r="H124" s="62">
        <f>SUMIFS(Master!$L$2:$L$779,Master!$E$2:$E$779,분류!B124,Master!$G$2:$G$779,분류!$H$24)</f>
        <v>0</v>
      </c>
      <c r="I124" s="62">
        <f>SUMIFS(Master!$L$2:$L$779,Master!$E$2:$E$779,분류!B124,Master!$G$2:$G$779,분류!$I$24)</f>
        <v>0</v>
      </c>
      <c r="J124" s="47">
        <f>SUMIF(Master!$E$2:$E$779,분류!B124,Master!$Q$2:$Q$779)</f>
        <v>0</v>
      </c>
      <c r="K124" s="121"/>
    </row>
    <row r="125" spans="1:11">
      <c r="A125" s="14">
        <f t="shared" si="10"/>
        <v>131</v>
      </c>
      <c r="B125" s="63" t="s">
        <v>2033</v>
      </c>
      <c r="C125" s="61">
        <f>SUMIF(Master!$E$2:$E$779,분류!B125,Master!$L$2:$L$779)</f>
        <v>0</v>
      </c>
      <c r="D125" s="62">
        <f>SUMIFS(Master!$L$2:$L$779,Master!$E$2:$E$779,분류!B125,Master!$G$2:$G$779,분류!$D$24)</f>
        <v>0</v>
      </c>
      <c r="E125" s="62">
        <f>SUMIFS(Master!$L$2:$L$779,Master!$E$2:$E$779,분류!B125,Master!$G$2:$G$779,분류!$E$24)</f>
        <v>0</v>
      </c>
      <c r="F125" s="62">
        <f>SUMIFS(Master!$L$2:$L$779,Master!$E$2:$E$779,분류!B125,Master!$G$2:$G$779,분류!$F$24)</f>
        <v>0</v>
      </c>
      <c r="G125" s="62">
        <f>SUMIFS(Master!$L$2:$L$779,Master!$E$2:$E$779,분류!B125,Master!$G$2:$G$779,분류!$G$24)</f>
        <v>0</v>
      </c>
      <c r="H125" s="62">
        <f>SUMIFS(Master!$L$2:$L$779,Master!$E$2:$E$779,분류!B125,Master!$G$2:$G$779,분류!$H$24)</f>
        <v>0</v>
      </c>
      <c r="I125" s="62">
        <f>SUMIFS(Master!$L$2:$L$779,Master!$E$2:$E$779,분류!B125,Master!$G$2:$G$779,분류!$I$24)</f>
        <v>0</v>
      </c>
      <c r="J125" s="47">
        <f>SUMIF(Master!$E$2:$E$779,분류!B125,Master!$Q$2:$Q$779)</f>
        <v>0</v>
      </c>
      <c r="K125" s="121"/>
    </row>
    <row r="126" spans="1:11">
      <c r="A126" s="14">
        <f t="shared" si="10"/>
        <v>1</v>
      </c>
      <c r="B126" s="65" t="s">
        <v>2199</v>
      </c>
      <c r="C126" s="61">
        <f>SUMIF(Master!$E$2:$E$779,분류!B126,Master!$L$2:$L$779)</f>
        <v>122855002</v>
      </c>
      <c r="D126" s="62">
        <f>SUMIFS(Master!$L$2:$L$779,Master!$E$2:$E$779,분류!B126,Master!$G$2:$G$779,분류!$D$24)</f>
        <v>1411000</v>
      </c>
      <c r="E126" s="62">
        <f>SUMIFS(Master!$L$2:$L$779,Master!$E$2:$E$779,분류!B126,Master!$G$2:$G$779,분류!$E$24)</f>
        <v>121444002</v>
      </c>
      <c r="F126" s="62">
        <f>SUMIFS(Master!$L$2:$L$779,Master!$E$2:$E$779,분류!B126,Master!$G$2:$G$779,분류!$F$24)</f>
        <v>0</v>
      </c>
      <c r="G126" s="62">
        <f>SUMIFS(Master!$L$2:$L$779,Master!$E$2:$E$779,분류!B126,Master!$G$2:$G$779,분류!$G$24)</f>
        <v>0</v>
      </c>
      <c r="H126" s="62">
        <f>SUMIFS(Master!$L$2:$L$779,Master!$E$2:$E$779,분류!B126,Master!$G$2:$G$779,분류!$H$24)</f>
        <v>0</v>
      </c>
      <c r="I126" s="62">
        <f>SUMIFS(Master!$L$2:$L$779,Master!$E$2:$E$779,분류!B126,Master!$G$2:$G$779,분류!$I$24)</f>
        <v>0</v>
      </c>
      <c r="J126" s="47">
        <f>SUMIF(Master!$E$2:$E$779,분류!B126,Master!$Q$2:$Q$779)</f>
        <v>7654584.454545456</v>
      </c>
      <c r="K126" s="121"/>
    </row>
    <row r="127" spans="1:11">
      <c r="A127" s="14">
        <f t="shared" si="10"/>
        <v>131</v>
      </c>
      <c r="B127" s="63" t="s">
        <v>2024</v>
      </c>
      <c r="C127" s="61">
        <f>SUMIF(Master!$E$2:$E$779,분류!B127,Master!$L$2:$L$779)</f>
        <v>0</v>
      </c>
      <c r="D127" s="62">
        <f>SUMIFS(Master!$L$2:$L$779,Master!$E$2:$E$779,분류!B127,Master!$G$2:$G$779,분류!$D$24)</f>
        <v>0</v>
      </c>
      <c r="E127" s="62">
        <f>SUMIFS(Master!$L$2:$L$779,Master!$E$2:$E$779,분류!B127,Master!$G$2:$G$779,분류!$E$24)</f>
        <v>0</v>
      </c>
      <c r="F127" s="62">
        <f>SUMIFS(Master!$L$2:$L$779,Master!$E$2:$E$779,분류!B127,Master!$G$2:$G$779,분류!$F$24)</f>
        <v>0</v>
      </c>
      <c r="G127" s="62">
        <f>SUMIFS(Master!$L$2:$L$779,Master!$E$2:$E$779,분류!B127,Master!$G$2:$G$779,분류!$G$24)</f>
        <v>0</v>
      </c>
      <c r="H127" s="62">
        <f>SUMIFS(Master!$L$2:$L$779,Master!$E$2:$E$779,분류!B127,Master!$G$2:$G$779,분류!$H$24)</f>
        <v>0</v>
      </c>
      <c r="I127" s="62">
        <f>SUMIFS(Master!$L$2:$L$779,Master!$E$2:$E$779,분류!B127,Master!$G$2:$G$779,분류!$I$24)</f>
        <v>0</v>
      </c>
      <c r="J127" s="47">
        <f>SUMIF(Master!$E$2:$E$779,분류!B127,Master!$Q$2:$Q$779)</f>
        <v>0</v>
      </c>
      <c r="K127" s="121"/>
    </row>
    <row r="128" spans="1:11">
      <c r="A128" s="14">
        <f t="shared" si="10"/>
        <v>95</v>
      </c>
      <c r="B128" s="63" t="s">
        <v>216</v>
      </c>
      <c r="C128" s="61">
        <f>SUMIF(Master!$E$2:$E$779,분류!B128,Master!$L$2:$L$779)</f>
        <v>1358000</v>
      </c>
      <c r="D128" s="62">
        <f>SUMIFS(Master!$L$2:$L$779,Master!$E$2:$E$779,분류!B128,Master!$G$2:$G$779,분류!$D$24)</f>
        <v>0</v>
      </c>
      <c r="E128" s="62">
        <f>SUMIFS(Master!$L$2:$L$779,Master!$E$2:$E$779,분류!B128,Master!$G$2:$G$779,분류!$E$24)</f>
        <v>1008000</v>
      </c>
      <c r="F128" s="62">
        <f>SUMIFS(Master!$L$2:$L$779,Master!$E$2:$E$779,분류!B128,Master!$G$2:$G$779,분류!$F$24)</f>
        <v>350000</v>
      </c>
      <c r="G128" s="62">
        <f>SUMIFS(Master!$L$2:$L$779,Master!$E$2:$E$779,분류!B128,Master!$G$2:$G$779,분류!$G$24)</f>
        <v>0</v>
      </c>
      <c r="H128" s="62">
        <f>SUMIFS(Master!$L$2:$L$779,Master!$E$2:$E$779,분류!B128,Master!$G$2:$G$779,분류!$H$24)</f>
        <v>0</v>
      </c>
      <c r="I128" s="62">
        <f>SUMIFS(Master!$L$2:$L$779,Master!$E$2:$E$779,분류!B128,Master!$G$2:$G$779,분류!$I$24)</f>
        <v>0</v>
      </c>
      <c r="J128" s="47">
        <f>SUMIF(Master!$E$2:$E$779,분류!B128,Master!$Q$2:$Q$779)</f>
        <v>351996.99999999988</v>
      </c>
      <c r="K128" s="121"/>
    </row>
    <row r="129" spans="1:15">
      <c r="A129" s="14">
        <f t="shared" si="10"/>
        <v>54</v>
      </c>
      <c r="B129" s="63" t="s">
        <v>161</v>
      </c>
      <c r="C129" s="61">
        <f>SUMIF(Master!$E$2:$E$779,분류!B129,Master!$L$2:$L$779)</f>
        <v>5400000</v>
      </c>
      <c r="D129" s="62">
        <f>SUMIFS(Master!$L$2:$L$779,Master!$E$2:$E$779,분류!B129,Master!$G$2:$G$779,분류!$D$24)</f>
        <v>0</v>
      </c>
      <c r="E129" s="62">
        <f>SUMIFS(Master!$L$2:$L$779,Master!$E$2:$E$779,분류!B129,Master!$G$2:$G$779,분류!$E$24)</f>
        <v>5400000</v>
      </c>
      <c r="F129" s="62">
        <f>SUMIFS(Master!$L$2:$L$779,Master!$E$2:$E$779,분류!B129,Master!$G$2:$G$779,분류!$F$24)</f>
        <v>0</v>
      </c>
      <c r="G129" s="62">
        <f>SUMIFS(Master!$L$2:$L$779,Master!$E$2:$E$779,분류!B129,Master!$G$2:$G$779,분류!$G$24)</f>
        <v>0</v>
      </c>
      <c r="H129" s="62">
        <f>SUMIFS(Master!$L$2:$L$779,Master!$E$2:$E$779,분류!B129,Master!$G$2:$G$779,분류!$H$24)</f>
        <v>0</v>
      </c>
      <c r="I129" s="62">
        <f>SUMIFS(Master!$L$2:$L$779,Master!$E$2:$E$779,분류!B129,Master!$G$2:$G$779,분류!$I$24)</f>
        <v>0</v>
      </c>
      <c r="J129" s="47">
        <f>SUMIF(Master!$E$2:$E$779,분류!B129,Master!$Q$2:$Q$779)</f>
        <v>519000</v>
      </c>
      <c r="K129" s="121"/>
    </row>
    <row r="130" spans="1:15">
      <c r="A130" s="14">
        <f t="shared" si="10"/>
        <v>4</v>
      </c>
      <c r="B130" s="63" t="s">
        <v>2200</v>
      </c>
      <c r="C130" s="61">
        <f>SUMIF(Master!$E$2:$E$779,분류!B130,Master!$L$2:$L$779)</f>
        <v>81255800</v>
      </c>
      <c r="D130" s="62">
        <f>SUMIFS(Master!$L$2:$L$779,Master!$E$2:$E$779,분류!B130,Master!$G$2:$G$779,분류!$D$24)</f>
        <v>0</v>
      </c>
      <c r="E130" s="62">
        <f>SUMIFS(Master!$L$2:$L$779,Master!$E$2:$E$779,분류!B130,Master!$G$2:$G$779,분류!$E$24)</f>
        <v>81255800</v>
      </c>
      <c r="F130" s="62">
        <f>SUMIFS(Master!$L$2:$L$779,Master!$E$2:$E$779,분류!B130,Master!$G$2:$G$779,분류!$F$24)</f>
        <v>0</v>
      </c>
      <c r="G130" s="62">
        <f>SUMIFS(Master!$L$2:$L$779,Master!$E$2:$E$779,분류!B130,Master!$G$2:$G$779,분류!$G$24)</f>
        <v>0</v>
      </c>
      <c r="H130" s="62">
        <f>SUMIFS(Master!$L$2:$L$779,Master!$E$2:$E$779,분류!B130,Master!$G$2:$G$779,분류!$H$24)</f>
        <v>0</v>
      </c>
      <c r="I130" s="62">
        <f>SUMIFS(Master!$L$2:$L$779,Master!$E$2:$E$779,분류!B130,Master!$G$2:$G$779,분류!$I$24)</f>
        <v>0</v>
      </c>
      <c r="J130" s="47">
        <f>SUMIF(Master!$E$2:$E$779,분류!B130,Master!$Q$2:$Q$779)</f>
        <v>7300160</v>
      </c>
      <c r="K130" s="121"/>
    </row>
    <row r="131" spans="1:15">
      <c r="A131" s="14">
        <f t="shared" si="10"/>
        <v>131</v>
      </c>
      <c r="B131" s="63" t="s">
        <v>227</v>
      </c>
      <c r="C131" s="61">
        <f>SUMIF(Master!$E$2:$E$779,분류!B131,Master!$L$2:$L$779)</f>
        <v>0</v>
      </c>
      <c r="D131" s="62">
        <f>SUMIFS(Master!$L$2:$L$779,Master!$E$2:$E$779,분류!B131,Master!$G$2:$G$779,분류!$D$24)</f>
        <v>0</v>
      </c>
      <c r="E131" s="62">
        <f>SUMIFS(Master!$L$2:$L$779,Master!$E$2:$E$779,분류!B131,Master!$G$2:$G$779,분류!$E$24)</f>
        <v>0</v>
      </c>
      <c r="F131" s="62">
        <f>SUMIFS(Master!$L$2:$L$779,Master!$E$2:$E$779,분류!B131,Master!$G$2:$G$779,분류!$F$24)</f>
        <v>0</v>
      </c>
      <c r="G131" s="62">
        <f>SUMIFS(Master!$L$2:$L$779,Master!$E$2:$E$779,분류!B131,Master!$G$2:$G$779,분류!$G$24)</f>
        <v>0</v>
      </c>
      <c r="H131" s="62">
        <f>SUMIFS(Master!$L$2:$L$779,Master!$E$2:$E$779,분류!B131,Master!$G$2:$G$779,분류!$H$24)</f>
        <v>0</v>
      </c>
      <c r="I131" s="62">
        <f>SUMIFS(Master!$L$2:$L$779,Master!$E$2:$E$779,분류!B131,Master!$G$2:$G$779,분류!$I$24)</f>
        <v>0</v>
      </c>
      <c r="J131" s="47">
        <f>SUMIF(Master!$E$2:$E$779,분류!B131,Master!$Q$2:$Q$779)</f>
        <v>0</v>
      </c>
      <c r="K131" s="121"/>
    </row>
    <row r="132" spans="1:15">
      <c r="A132" s="14">
        <f t="shared" si="10"/>
        <v>79</v>
      </c>
      <c r="B132" s="63" t="s">
        <v>66</v>
      </c>
      <c r="C132" s="61">
        <f>SUMIF(Master!$E$2:$E$779,분류!B132,Master!$L$2:$L$779)</f>
        <v>2150000</v>
      </c>
      <c r="D132" s="62">
        <f>SUMIFS(Master!$L$2:$L$779,Master!$E$2:$E$779,분류!B132,Master!$G$2:$G$779,분류!$D$24)</f>
        <v>350000</v>
      </c>
      <c r="E132" s="62">
        <f>SUMIFS(Master!$L$2:$L$779,Master!$E$2:$E$779,분류!B132,Master!$G$2:$G$779,분류!$E$24)</f>
        <v>1800000</v>
      </c>
      <c r="F132" s="62">
        <f>SUMIFS(Master!$L$2:$L$779,Master!$E$2:$E$779,분류!B132,Master!$G$2:$G$779,분류!$F$24)</f>
        <v>0</v>
      </c>
      <c r="G132" s="62">
        <f>SUMIFS(Master!$L$2:$L$779,Master!$E$2:$E$779,분류!B132,Master!$G$2:$G$779,분류!$G$24)</f>
        <v>0</v>
      </c>
      <c r="H132" s="62">
        <f>SUMIFS(Master!$L$2:$L$779,Master!$E$2:$E$779,분류!B132,Master!$G$2:$G$779,분류!$H$24)</f>
        <v>0</v>
      </c>
      <c r="I132" s="62">
        <f>SUMIFS(Master!$L$2:$L$779,Master!$E$2:$E$779,분류!B132,Master!$G$2:$G$779,분류!$I$24)</f>
        <v>0</v>
      </c>
      <c r="J132" s="47">
        <f>SUMIF(Master!$E$2:$E$779,분류!B132,Master!$Q$2:$Q$779)</f>
        <v>273200</v>
      </c>
      <c r="K132" s="121"/>
    </row>
    <row r="133" spans="1:15">
      <c r="A133" s="14">
        <f t="shared" si="10"/>
        <v>30</v>
      </c>
      <c r="B133" s="63" t="s">
        <v>2201</v>
      </c>
      <c r="C133" s="61">
        <f>SUMIF(Master!$E$2:$E$779,분류!B133,Master!$L$2:$L$779)</f>
        <v>18415800</v>
      </c>
      <c r="D133" s="62">
        <f>SUMIFS(Master!$L$2:$L$779,Master!$E$2:$E$779,분류!B133,Master!$G$2:$G$779,분류!$D$24)</f>
        <v>0</v>
      </c>
      <c r="E133" s="62">
        <f>SUMIFS(Master!$L$2:$L$779,Master!$E$2:$E$779,분류!B133,Master!$G$2:$G$779,분류!$E$24)</f>
        <v>18415800</v>
      </c>
      <c r="F133" s="62">
        <f>SUMIFS(Master!$L$2:$L$779,Master!$E$2:$E$779,분류!B133,Master!$G$2:$G$779,분류!$F$24)</f>
        <v>0</v>
      </c>
      <c r="G133" s="62">
        <f>SUMIFS(Master!$L$2:$L$779,Master!$E$2:$E$779,분류!B133,Master!$G$2:$G$779,분류!$G$24)</f>
        <v>0</v>
      </c>
      <c r="H133" s="62">
        <f>SUMIFS(Master!$L$2:$L$779,Master!$E$2:$E$779,분류!B133,Master!$G$2:$G$779,분류!$H$24)</f>
        <v>0</v>
      </c>
      <c r="I133" s="62">
        <f>SUMIFS(Master!$L$2:$L$779,Master!$E$2:$E$779,분류!B133,Master!$G$2:$G$779,분류!$I$24)</f>
        <v>0</v>
      </c>
      <c r="J133" s="47">
        <f>SUMIF(Master!$E$2:$E$779,분류!B133,Master!$Q$2:$Q$779)</f>
        <v>1516500</v>
      </c>
      <c r="K133" s="121"/>
    </row>
    <row r="134" spans="1:15">
      <c r="A134" s="14">
        <f t="shared" si="10"/>
        <v>83</v>
      </c>
      <c r="B134" s="63" t="s">
        <v>200</v>
      </c>
      <c r="C134" s="61">
        <f>SUMIF(Master!$E$2:$E$779,분류!B134,Master!$L$2:$L$779)</f>
        <v>1936800</v>
      </c>
      <c r="D134" s="62">
        <f>SUMIFS(Master!$L$2:$L$779,Master!$E$2:$E$779,분류!B134,Master!$G$2:$G$779,분류!$D$24)</f>
        <v>0</v>
      </c>
      <c r="E134" s="62">
        <f>SUMIFS(Master!$L$2:$L$779,Master!$E$2:$E$779,분류!B134,Master!$G$2:$G$779,분류!$E$24)</f>
        <v>1936800</v>
      </c>
      <c r="F134" s="62">
        <f>SUMIFS(Master!$L$2:$L$779,Master!$E$2:$E$779,분류!B134,Master!$G$2:$G$779,분류!$F$24)</f>
        <v>0</v>
      </c>
      <c r="G134" s="62">
        <f>SUMIFS(Master!$L$2:$L$779,Master!$E$2:$E$779,분류!B134,Master!$G$2:$G$779,분류!$G$24)</f>
        <v>0</v>
      </c>
      <c r="H134" s="62">
        <f>SUMIFS(Master!$L$2:$L$779,Master!$E$2:$E$779,분류!B134,Master!$G$2:$G$779,분류!$H$24)</f>
        <v>0</v>
      </c>
      <c r="I134" s="62">
        <f>SUMIFS(Master!$L$2:$L$779,Master!$E$2:$E$779,분류!B134,Master!$G$2:$G$779,분류!$I$24)</f>
        <v>0</v>
      </c>
      <c r="J134" s="47">
        <f>SUMIF(Master!$E$2:$E$779,분류!B134,Master!$Q$2:$Q$779)</f>
        <v>52090.999999999884</v>
      </c>
      <c r="K134" s="121"/>
    </row>
    <row r="135" spans="1:15">
      <c r="A135" s="14">
        <f t="shared" si="10"/>
        <v>131</v>
      </c>
      <c r="B135" s="63" t="s">
        <v>2129</v>
      </c>
      <c r="C135" s="61">
        <f>SUMIF(Master!$E$2:$E$779,분류!B135,Master!$L$2:$L$779)</f>
        <v>0</v>
      </c>
      <c r="D135" s="62">
        <f>SUMIFS(Master!$L$2:$L$779,Master!$E$2:$E$779,분류!B135,Master!$G$2:$G$779,분류!$D$24)</f>
        <v>0</v>
      </c>
      <c r="E135" s="62">
        <f>SUMIFS(Master!$L$2:$L$779,Master!$E$2:$E$779,분류!B135,Master!$G$2:$G$779,분류!$E$24)</f>
        <v>0</v>
      </c>
      <c r="F135" s="62">
        <f>SUMIFS(Master!$L$2:$L$779,Master!$E$2:$E$779,분류!B135,Master!$G$2:$G$779,분류!$F$24)</f>
        <v>0</v>
      </c>
      <c r="G135" s="62">
        <f>SUMIFS(Master!$L$2:$L$779,Master!$E$2:$E$779,분류!B135,Master!$G$2:$G$779,분류!$G$24)</f>
        <v>0</v>
      </c>
      <c r="H135" s="62">
        <f>SUMIFS(Master!$L$2:$L$779,Master!$E$2:$E$779,분류!B135,Master!$G$2:$G$779,분류!$H$24)</f>
        <v>0</v>
      </c>
      <c r="I135" s="62">
        <f>SUMIFS(Master!$L$2:$L$779,Master!$E$2:$E$779,분류!B135,Master!$G$2:$G$779,분류!$I$24)</f>
        <v>0</v>
      </c>
      <c r="J135" s="47">
        <f>SUMIF(Master!$E$2:$E$779,분류!B135,Master!$Q$2:$Q$779)</f>
        <v>0</v>
      </c>
      <c r="K135" s="121"/>
    </row>
    <row r="136" spans="1:15">
      <c r="A136" s="14">
        <f t="shared" si="10"/>
        <v>99</v>
      </c>
      <c r="B136" s="63" t="s">
        <v>180</v>
      </c>
      <c r="C136" s="61">
        <f>SUMIF(Master!$E$2:$E$779,분류!B136,Master!$L$2:$L$779)</f>
        <v>1200000</v>
      </c>
      <c r="D136" s="62">
        <f>SUMIFS(Master!$L$2:$L$779,Master!$E$2:$E$779,분류!B136,Master!$G$2:$G$779,분류!$D$24)</f>
        <v>0</v>
      </c>
      <c r="E136" s="62">
        <f>SUMIFS(Master!$L$2:$L$779,Master!$E$2:$E$779,분류!B136,Master!$G$2:$G$779,분류!$E$24)</f>
        <v>1200000</v>
      </c>
      <c r="F136" s="62">
        <f>SUMIFS(Master!$L$2:$L$779,Master!$E$2:$E$779,분류!B136,Master!$G$2:$G$779,분류!$F$24)</f>
        <v>0</v>
      </c>
      <c r="G136" s="62">
        <f>SUMIFS(Master!$L$2:$L$779,Master!$E$2:$E$779,분류!B136,Master!$G$2:$G$779,분류!$G$24)</f>
        <v>0</v>
      </c>
      <c r="H136" s="62">
        <f>SUMIFS(Master!$L$2:$L$779,Master!$E$2:$E$779,분류!B136,Master!$G$2:$G$779,분류!$H$24)</f>
        <v>0</v>
      </c>
      <c r="I136" s="62">
        <f>SUMIFS(Master!$L$2:$L$779,Master!$E$2:$E$779,분류!B136,Master!$G$2:$G$779,분류!$I$24)</f>
        <v>0</v>
      </c>
      <c r="J136" s="47">
        <f>SUMIF(Master!$E$2:$E$779,분류!B136,Master!$Q$2:$Q$779)</f>
        <v>1200000</v>
      </c>
      <c r="K136" s="121"/>
    </row>
    <row r="137" spans="1:15">
      <c r="A137" s="14">
        <f t="shared" si="10"/>
        <v>131</v>
      </c>
      <c r="B137" s="63" t="s">
        <v>208</v>
      </c>
      <c r="C137" s="61">
        <f>SUMIF(Master!$E$2:$E$779,분류!B137,Master!$L$2:$L$779)</f>
        <v>0</v>
      </c>
      <c r="D137" s="62">
        <f>SUMIFS(Master!$L$2:$L$779,Master!$E$2:$E$779,분류!B137,Master!$G$2:$G$779,분류!$D$24)</f>
        <v>0</v>
      </c>
      <c r="E137" s="62">
        <f>SUMIFS(Master!$L$2:$L$779,Master!$E$2:$E$779,분류!B137,Master!$G$2:$G$779,분류!$E$24)</f>
        <v>0</v>
      </c>
      <c r="F137" s="62">
        <f>SUMIFS(Master!$L$2:$L$779,Master!$E$2:$E$779,분류!B137,Master!$G$2:$G$779,분류!$F$24)</f>
        <v>0</v>
      </c>
      <c r="G137" s="62">
        <f>SUMIFS(Master!$L$2:$L$779,Master!$E$2:$E$779,분류!B137,Master!$G$2:$G$779,분류!$G$24)</f>
        <v>0</v>
      </c>
      <c r="H137" s="62">
        <f>SUMIFS(Master!$L$2:$L$779,Master!$E$2:$E$779,분류!B137,Master!$G$2:$G$779,분류!$H$24)</f>
        <v>0</v>
      </c>
      <c r="I137" s="62">
        <f>SUMIFS(Master!$L$2:$L$779,Master!$E$2:$E$779,분류!B137,Master!$G$2:$G$779,분류!$I$24)</f>
        <v>0</v>
      </c>
      <c r="J137" s="47">
        <f>SUMIF(Master!$E$2:$E$779,분류!B137,Master!$Q$2:$Q$779)</f>
        <v>0</v>
      </c>
      <c r="K137" s="121"/>
    </row>
    <row r="138" spans="1:15">
      <c r="A138" s="14">
        <f t="shared" si="10"/>
        <v>104</v>
      </c>
      <c r="B138" s="63" t="s">
        <v>605</v>
      </c>
      <c r="C138" s="61">
        <f>SUMIF(Master!$E$2:$E$779,분류!B138,Master!$L$2:$L$779)</f>
        <v>1000000</v>
      </c>
      <c r="D138" s="62">
        <f>SUMIFS(Master!$L$2:$L$779,Master!$E$2:$E$779,분류!B138,Master!$G$2:$G$779,분류!$D$24)</f>
        <v>0</v>
      </c>
      <c r="E138" s="62">
        <f>SUMIFS(Master!$L$2:$L$779,Master!$E$2:$E$779,분류!B138,Master!$G$2:$G$779,분류!$E$24)</f>
        <v>0</v>
      </c>
      <c r="F138" s="62">
        <f>SUMIFS(Master!$L$2:$L$779,Master!$E$2:$E$779,분류!B138,Master!$G$2:$G$779,분류!$F$24)</f>
        <v>0</v>
      </c>
      <c r="G138" s="62">
        <f>SUMIFS(Master!$L$2:$L$779,Master!$E$2:$E$779,분류!B138,Master!$G$2:$G$779,분류!$G$24)</f>
        <v>0</v>
      </c>
      <c r="H138" s="62">
        <f>SUMIFS(Master!$L$2:$L$779,Master!$E$2:$E$779,분류!B138,Master!$G$2:$G$779,분류!$H$24)</f>
        <v>1000000</v>
      </c>
      <c r="I138" s="62">
        <f>SUMIFS(Master!$L$2:$L$779,Master!$E$2:$E$779,분류!B138,Master!$G$2:$G$779,분류!$I$24)</f>
        <v>0</v>
      </c>
      <c r="J138" s="47">
        <f>SUMIF(Master!$E$2:$E$779,분류!B138,Master!$Q$2:$Q$779)</f>
        <v>925000</v>
      </c>
      <c r="K138" s="121"/>
    </row>
    <row r="139" spans="1:15">
      <c r="A139" s="14">
        <f t="shared" ref="A139:A150" si="11">RANK(C139,$C$26:$C$184,0)</f>
        <v>129</v>
      </c>
      <c r="B139" s="63" t="s">
        <v>356</v>
      </c>
      <c r="C139" s="61">
        <f>SUMIF(Master!$E$2:$E$779,분류!B139,Master!$L$2:$L$779)</f>
        <v>192000</v>
      </c>
      <c r="D139" s="62">
        <f>SUMIFS(Master!$L$2:$L$779,Master!$E$2:$E$779,분류!B139,Master!$G$2:$G$779,분류!$D$24)</f>
        <v>0</v>
      </c>
      <c r="E139" s="62">
        <f>SUMIFS(Master!$L$2:$L$779,Master!$E$2:$E$779,분류!B139,Master!$G$2:$G$779,분류!$E$24)</f>
        <v>192000</v>
      </c>
      <c r="F139" s="62">
        <f>SUMIFS(Master!$L$2:$L$779,Master!$E$2:$E$779,분류!B139,Master!$G$2:$G$779,분류!$F$24)</f>
        <v>0</v>
      </c>
      <c r="G139" s="62">
        <f>SUMIFS(Master!$L$2:$L$779,Master!$E$2:$E$779,분류!B139,Master!$G$2:$G$779,분류!$G$24)</f>
        <v>0</v>
      </c>
      <c r="H139" s="62">
        <f>SUMIFS(Master!$L$2:$L$779,Master!$E$2:$E$779,분류!B139,Master!$G$2:$G$779,분류!$H$24)</f>
        <v>0</v>
      </c>
      <c r="I139" s="62">
        <f>SUMIFS(Master!$L$2:$L$779,Master!$E$2:$E$779,분류!B139,Master!$G$2:$G$779,분류!$I$24)</f>
        <v>0</v>
      </c>
      <c r="J139" s="47">
        <f>SUMIF(Master!$E$2:$E$779,분류!B139,Master!$Q$2:$Q$779)</f>
        <v>31800</v>
      </c>
      <c r="K139" s="121"/>
    </row>
    <row r="140" spans="1:15">
      <c r="A140" s="14">
        <f t="shared" si="11"/>
        <v>56</v>
      </c>
      <c r="B140" s="63" t="s">
        <v>590</v>
      </c>
      <c r="C140" s="61">
        <f>SUMIF(Master!$E$2:$E$779,분류!B140,Master!$L$2:$L$779)</f>
        <v>5197500</v>
      </c>
      <c r="D140" s="62">
        <f>SUMIFS(Master!$L$2:$L$779,Master!$E$2:$E$779,분류!B140,Master!$G$2:$G$779,분류!$D$24)</f>
        <v>0</v>
      </c>
      <c r="E140" s="62">
        <f>SUMIFS(Master!$L$2:$L$779,Master!$E$2:$E$779,분류!B140,Master!$G$2:$G$779,분류!$E$24)</f>
        <v>5197500</v>
      </c>
      <c r="F140" s="62">
        <f>SUMIFS(Master!$L$2:$L$779,Master!$E$2:$E$779,분류!B140,Master!$G$2:$G$779,분류!$F$24)</f>
        <v>0</v>
      </c>
      <c r="G140" s="62">
        <f>SUMIFS(Master!$L$2:$L$779,Master!$E$2:$E$779,분류!B140,Master!$G$2:$G$779,분류!$G$24)</f>
        <v>0</v>
      </c>
      <c r="H140" s="62">
        <f>SUMIFS(Master!$L$2:$L$779,Master!$E$2:$E$779,분류!B140,Master!$G$2:$G$779,분류!$H$24)</f>
        <v>0</v>
      </c>
      <c r="I140" s="62">
        <f>SUMIFS(Master!$L$2:$L$779,Master!$E$2:$E$779,분류!B140,Master!$G$2:$G$779,분류!$I$24)</f>
        <v>0</v>
      </c>
      <c r="J140" s="47">
        <f>SUMIF(Master!$E$2:$E$779,분류!B140,Master!$Q$2:$Q$779)</f>
        <v>375240</v>
      </c>
      <c r="K140" s="121"/>
      <c r="O140" s="18"/>
    </row>
    <row r="141" spans="1:15">
      <c r="A141" s="14">
        <f t="shared" si="11"/>
        <v>115</v>
      </c>
      <c r="B141" s="63" t="s">
        <v>67</v>
      </c>
      <c r="C141" s="61">
        <f>SUMIF(Master!$E$2:$E$779,분류!B141,Master!$L$2:$L$779)</f>
        <v>610000</v>
      </c>
      <c r="D141" s="62">
        <f>SUMIFS(Master!$L$2:$L$779,Master!$E$2:$E$779,분류!B141,Master!$G$2:$G$779,분류!$D$24)</f>
        <v>610000</v>
      </c>
      <c r="E141" s="62">
        <f>SUMIFS(Master!$L$2:$L$779,Master!$E$2:$E$779,분류!B141,Master!$G$2:$G$779,분류!$E$24)</f>
        <v>0</v>
      </c>
      <c r="F141" s="62">
        <f>SUMIFS(Master!$L$2:$L$779,Master!$E$2:$E$779,분류!B141,Master!$G$2:$G$779,분류!$F$24)</f>
        <v>0</v>
      </c>
      <c r="G141" s="62">
        <f>SUMIFS(Master!$L$2:$L$779,Master!$E$2:$E$779,분류!B141,Master!$G$2:$G$779,분류!$G$24)</f>
        <v>0</v>
      </c>
      <c r="H141" s="62">
        <f>SUMIFS(Master!$L$2:$L$779,Master!$E$2:$E$779,분류!B141,Master!$G$2:$G$779,분류!$H$24)</f>
        <v>0</v>
      </c>
      <c r="I141" s="62">
        <f>SUMIFS(Master!$L$2:$L$779,Master!$E$2:$E$779,분류!B141,Master!$G$2:$G$779,분류!$I$24)</f>
        <v>0</v>
      </c>
      <c r="J141" s="47">
        <f>SUMIF(Master!$E$2:$E$779,분류!B141,Master!$Q$2:$Q$779)</f>
        <v>160000</v>
      </c>
      <c r="K141" s="121"/>
    </row>
    <row r="142" spans="1:15">
      <c r="A142" s="14">
        <f t="shared" si="11"/>
        <v>90</v>
      </c>
      <c r="B142" s="64" t="s">
        <v>1506</v>
      </c>
      <c r="C142" s="61">
        <f>SUMIF(Master!$E$2:$E$779,분류!B142,Master!$L$2:$L$779)</f>
        <v>1650000</v>
      </c>
      <c r="D142" s="62">
        <f>SUMIFS(Master!$L$2:$L$779,Master!$E$2:$E$779,분류!B142,Master!$G$2:$G$779,분류!$D$24)</f>
        <v>0</v>
      </c>
      <c r="E142" s="62">
        <f>SUMIFS(Master!$L$2:$L$779,Master!$E$2:$E$779,분류!B142,Master!$G$2:$G$779,분류!$E$24)</f>
        <v>0</v>
      </c>
      <c r="F142" s="62">
        <f>SUMIFS(Master!$L$2:$L$779,Master!$E$2:$E$779,분류!B142,Master!$G$2:$G$779,분류!$F$24)</f>
        <v>0</v>
      </c>
      <c r="G142" s="62">
        <f>SUMIFS(Master!$L$2:$L$779,Master!$E$2:$E$779,분류!B142,Master!$G$2:$G$779,분류!$G$24)</f>
        <v>0</v>
      </c>
      <c r="H142" s="62">
        <f>SUMIFS(Master!$L$2:$L$779,Master!$E$2:$E$779,분류!B142,Master!$G$2:$G$779,분류!$H$24)</f>
        <v>0</v>
      </c>
      <c r="I142" s="62">
        <f>SUMIFS(Master!$L$2:$L$779,Master!$E$2:$E$779,분류!B142,Master!$G$2:$G$779,분류!$I$24)</f>
        <v>1650000</v>
      </c>
      <c r="J142" s="47">
        <f>SUMIF(Master!$E$2:$E$779,분류!B142,Master!$Q$2:$Q$779)</f>
        <v>1650000</v>
      </c>
      <c r="K142" s="121"/>
    </row>
    <row r="143" spans="1:15">
      <c r="A143" s="14">
        <f t="shared" si="11"/>
        <v>123</v>
      </c>
      <c r="B143" s="63" t="s">
        <v>273</v>
      </c>
      <c r="C143" s="61">
        <f>SUMIF(Master!$E$2:$E$779,분류!B143,Master!$L$2:$L$779)</f>
        <v>350000</v>
      </c>
      <c r="D143" s="62">
        <f>SUMIFS(Master!$L$2:$L$779,Master!$E$2:$E$779,분류!B143,Master!$G$2:$G$779,분류!$D$24)</f>
        <v>350000</v>
      </c>
      <c r="E143" s="62">
        <f>SUMIFS(Master!$L$2:$L$779,Master!$E$2:$E$779,분류!B143,Master!$G$2:$G$779,분류!$E$24)</f>
        <v>0</v>
      </c>
      <c r="F143" s="62">
        <f>SUMIFS(Master!$L$2:$L$779,Master!$E$2:$E$779,분류!B143,Master!$G$2:$G$779,분류!$F$24)</f>
        <v>0</v>
      </c>
      <c r="G143" s="62">
        <f>SUMIFS(Master!$L$2:$L$779,Master!$E$2:$E$779,분류!B143,Master!$G$2:$G$779,분류!$G$24)</f>
        <v>0</v>
      </c>
      <c r="H143" s="62">
        <f>SUMIFS(Master!$L$2:$L$779,Master!$E$2:$E$779,분류!B143,Master!$G$2:$G$779,분류!$H$24)</f>
        <v>0</v>
      </c>
      <c r="I143" s="62">
        <f>SUMIFS(Master!$L$2:$L$779,Master!$E$2:$E$779,분류!B143,Master!$G$2:$G$779,분류!$I$24)</f>
        <v>0</v>
      </c>
      <c r="J143" s="47">
        <f>SUMIF(Master!$E$2:$E$779,분류!B143,Master!$Q$2:$Q$779)</f>
        <v>100000</v>
      </c>
      <c r="K143" s="121"/>
    </row>
    <row r="144" spans="1:15">
      <c r="A144" s="14">
        <f t="shared" si="11"/>
        <v>33</v>
      </c>
      <c r="B144" s="63" t="s">
        <v>2202</v>
      </c>
      <c r="C144" s="61">
        <f>SUMIF(Master!$E$2:$E$779,분류!B144,Master!$L$2:$L$779)</f>
        <v>16710000</v>
      </c>
      <c r="D144" s="62">
        <f>SUMIFS(Master!$L$2:$L$779,Master!$E$2:$E$779,분류!B144,Master!$G$2:$G$779,분류!$D$24)</f>
        <v>0</v>
      </c>
      <c r="E144" s="62">
        <f>SUMIFS(Master!$L$2:$L$779,Master!$E$2:$E$779,분류!B144,Master!$G$2:$G$779,분류!$E$24)</f>
        <v>16710000</v>
      </c>
      <c r="F144" s="62">
        <f>SUMIFS(Master!$L$2:$L$779,Master!$E$2:$E$779,분류!B144,Master!$G$2:$G$779,분류!$F$24)</f>
        <v>0</v>
      </c>
      <c r="G144" s="62">
        <f>SUMIFS(Master!$L$2:$L$779,Master!$E$2:$E$779,분류!B144,Master!$G$2:$G$779,분류!$G$24)</f>
        <v>0</v>
      </c>
      <c r="H144" s="62">
        <f>SUMIFS(Master!$L$2:$L$779,Master!$E$2:$E$779,분류!B144,Master!$G$2:$G$779,분류!$H$24)</f>
        <v>0</v>
      </c>
      <c r="I144" s="62">
        <f>SUMIFS(Master!$L$2:$L$779,Master!$E$2:$E$779,분류!B144,Master!$G$2:$G$779,분류!$I$24)</f>
        <v>0</v>
      </c>
      <c r="J144" s="47">
        <f>SUMIF(Master!$E$2:$E$779,분류!B144,Master!$Q$2:$Q$779)</f>
        <v>16490000</v>
      </c>
      <c r="K144" s="121"/>
    </row>
    <row r="145" spans="1:11">
      <c r="A145" s="14">
        <f t="shared" si="11"/>
        <v>102</v>
      </c>
      <c r="B145" s="64" t="s">
        <v>371</v>
      </c>
      <c r="C145" s="61">
        <f>SUMIF(Master!$E$2:$E$779,분류!B145,Master!$L$2:$L$779)</f>
        <v>1102500</v>
      </c>
      <c r="D145" s="62">
        <f>SUMIFS(Master!$L$2:$L$779,Master!$E$2:$E$779,분류!B145,Master!$G$2:$G$779,분류!$D$24)</f>
        <v>0</v>
      </c>
      <c r="E145" s="62">
        <f>SUMIFS(Master!$L$2:$L$779,Master!$E$2:$E$779,분류!B145,Master!$G$2:$G$779,분류!$E$24)</f>
        <v>0</v>
      </c>
      <c r="F145" s="62">
        <f>SUMIFS(Master!$L$2:$L$779,Master!$E$2:$E$779,분류!B145,Master!$G$2:$G$779,분류!$F$24)</f>
        <v>0</v>
      </c>
      <c r="G145" s="62">
        <f>SUMIFS(Master!$L$2:$L$779,Master!$E$2:$E$779,분류!B145,Master!$G$2:$G$779,분류!$G$24)</f>
        <v>0</v>
      </c>
      <c r="H145" s="62">
        <f>SUMIFS(Master!$L$2:$L$779,Master!$E$2:$E$779,분류!B145,Master!$G$2:$G$779,분류!$H$24)</f>
        <v>0</v>
      </c>
      <c r="I145" s="62">
        <f>SUMIFS(Master!$L$2:$L$779,Master!$E$2:$E$779,분류!B145,Master!$G$2:$G$779,분류!$I$24)</f>
        <v>1102500</v>
      </c>
      <c r="J145" s="47">
        <f>SUMIF(Master!$E$2:$E$779,분류!B145,Master!$Q$2:$Q$779)</f>
        <v>1102500</v>
      </c>
      <c r="K145" s="121"/>
    </row>
    <row r="146" spans="1:11">
      <c r="A146" s="14">
        <f t="shared" si="11"/>
        <v>131</v>
      </c>
      <c r="B146" s="63" t="s">
        <v>2043</v>
      </c>
      <c r="C146" s="61">
        <f>SUMIF(Master!$E$2:$E$779,분류!B146,Master!$L$2:$L$779)</f>
        <v>0</v>
      </c>
      <c r="D146" s="62">
        <f>SUMIFS(Master!$L$2:$L$779,Master!$E$2:$E$779,분류!B146,Master!$G$2:$G$779,분류!$D$24)</f>
        <v>0</v>
      </c>
      <c r="E146" s="62">
        <f>SUMIFS(Master!$L$2:$L$779,Master!$E$2:$E$779,분류!B146,Master!$G$2:$G$779,분류!$E$24)</f>
        <v>0</v>
      </c>
      <c r="F146" s="62">
        <f>SUMIFS(Master!$L$2:$L$779,Master!$E$2:$E$779,분류!B146,Master!$G$2:$G$779,분류!$F$24)</f>
        <v>0</v>
      </c>
      <c r="G146" s="62">
        <f>SUMIFS(Master!$L$2:$L$779,Master!$E$2:$E$779,분류!B146,Master!$G$2:$G$779,분류!$G$24)</f>
        <v>0</v>
      </c>
      <c r="H146" s="62">
        <f>SUMIFS(Master!$L$2:$L$779,Master!$E$2:$E$779,분류!B146,Master!$G$2:$G$779,분류!$H$24)</f>
        <v>0</v>
      </c>
      <c r="I146" s="62">
        <f>SUMIFS(Master!$L$2:$L$779,Master!$E$2:$E$779,분류!B146,Master!$G$2:$G$779,분류!$I$24)</f>
        <v>0</v>
      </c>
      <c r="J146" s="47">
        <f>SUMIF(Master!$E$2:$E$779,분류!B146,Master!$Q$2:$Q$779)</f>
        <v>0</v>
      </c>
      <c r="K146" s="121"/>
    </row>
    <row r="147" spans="1:11">
      <c r="A147" s="14">
        <f t="shared" si="11"/>
        <v>60</v>
      </c>
      <c r="B147" s="63" t="s">
        <v>71</v>
      </c>
      <c r="C147" s="61">
        <f>SUMIF(Master!$E$2:$E$779,분류!B147,Master!$L$2:$L$779)</f>
        <v>5046000</v>
      </c>
      <c r="D147" s="62">
        <f>SUMIFS(Master!$L$2:$L$779,Master!$E$2:$E$779,분류!B147,Master!$G$2:$G$779,분류!$D$24)</f>
        <v>0</v>
      </c>
      <c r="E147" s="62">
        <f>SUMIFS(Master!$L$2:$L$779,Master!$E$2:$E$779,분류!B147,Master!$G$2:$G$779,분류!$E$24)</f>
        <v>3324000</v>
      </c>
      <c r="F147" s="62">
        <f>SUMIFS(Master!$L$2:$L$779,Master!$E$2:$E$779,분류!B147,Master!$G$2:$G$779,분류!$F$24)</f>
        <v>1722000</v>
      </c>
      <c r="G147" s="62">
        <f>SUMIFS(Master!$L$2:$L$779,Master!$E$2:$E$779,분류!B147,Master!$G$2:$G$779,분류!$G$24)</f>
        <v>0</v>
      </c>
      <c r="H147" s="62">
        <f>SUMIFS(Master!$L$2:$L$779,Master!$E$2:$E$779,분류!B147,Master!$G$2:$G$779,분류!$H$24)</f>
        <v>0</v>
      </c>
      <c r="I147" s="62">
        <f>SUMIFS(Master!$L$2:$L$779,Master!$E$2:$E$779,분류!B147,Master!$G$2:$G$779,분류!$I$24)</f>
        <v>0</v>
      </c>
      <c r="J147" s="47">
        <f>SUMIF(Master!$E$2:$E$779,분류!B147,Master!$Q$2:$Q$779)</f>
        <v>498480</v>
      </c>
      <c r="K147" s="121"/>
    </row>
    <row r="148" spans="1:11">
      <c r="A148" s="14">
        <f t="shared" si="11"/>
        <v>113</v>
      </c>
      <c r="B148" s="63" t="s">
        <v>997</v>
      </c>
      <c r="C148" s="61">
        <f>SUMIF(Master!$E$2:$E$779,분류!B148,Master!$L$2:$L$779)</f>
        <v>700000</v>
      </c>
      <c r="D148" s="62">
        <f>SUMIFS(Master!$L$2:$L$779,Master!$E$2:$E$779,분류!B148,Master!$G$2:$G$779,분류!$D$24)</f>
        <v>700000</v>
      </c>
      <c r="E148" s="62">
        <f>SUMIFS(Master!$L$2:$L$779,Master!$E$2:$E$779,분류!B148,Master!$G$2:$G$779,분류!$E$24)</f>
        <v>0</v>
      </c>
      <c r="F148" s="62">
        <f>SUMIFS(Master!$L$2:$L$779,Master!$E$2:$E$779,분류!B148,Master!$G$2:$G$779,분류!$F$24)</f>
        <v>0</v>
      </c>
      <c r="G148" s="62">
        <f>SUMIFS(Master!$L$2:$L$779,Master!$E$2:$E$779,분류!B148,Master!$G$2:$G$779,분류!$G$24)</f>
        <v>0</v>
      </c>
      <c r="H148" s="62">
        <f>SUMIFS(Master!$L$2:$L$779,Master!$E$2:$E$779,분류!B148,Master!$G$2:$G$779,분류!$H$24)</f>
        <v>0</v>
      </c>
      <c r="I148" s="62">
        <f>SUMIFS(Master!$L$2:$L$779,Master!$E$2:$E$779,분류!B148,Master!$G$2:$G$779,분류!$I$24)</f>
        <v>0</v>
      </c>
      <c r="J148" s="47">
        <f>SUMIF(Master!$E$2:$E$779,분류!B148,Master!$Q$2:$Q$779)</f>
        <v>200000</v>
      </c>
      <c r="K148" s="121"/>
    </row>
    <row r="149" spans="1:11">
      <c r="A149" s="14">
        <f t="shared" si="11"/>
        <v>39</v>
      </c>
      <c r="B149" s="63" t="s">
        <v>621</v>
      </c>
      <c r="C149" s="61">
        <f>SUMIF(Master!$E$2:$E$779,분류!B149,Master!$L$2:$L$779)</f>
        <v>11355000</v>
      </c>
      <c r="D149" s="62">
        <f>SUMIFS(Master!$L$2:$L$779,Master!$E$2:$E$779,분류!B149,Master!$G$2:$G$779,분류!$D$24)</f>
        <v>0</v>
      </c>
      <c r="E149" s="62">
        <f>SUMIFS(Master!$L$2:$L$779,Master!$E$2:$E$779,분류!B149,Master!$G$2:$G$779,분류!$E$24)</f>
        <v>0</v>
      </c>
      <c r="F149" s="62">
        <f>SUMIFS(Master!$L$2:$L$779,Master!$E$2:$E$779,분류!B149,Master!$G$2:$G$779,분류!$F$24)</f>
        <v>11355000</v>
      </c>
      <c r="G149" s="62">
        <f>SUMIFS(Master!$L$2:$L$779,Master!$E$2:$E$779,분류!B149,Master!$G$2:$G$779,분류!$G$24)</f>
        <v>0</v>
      </c>
      <c r="H149" s="62">
        <f>SUMIFS(Master!$L$2:$L$779,Master!$E$2:$E$779,분류!B149,Master!$G$2:$G$779,분류!$H$24)</f>
        <v>0</v>
      </c>
      <c r="I149" s="62">
        <f>SUMIFS(Master!$L$2:$L$779,Master!$E$2:$E$779,분류!B149,Master!$G$2:$G$779,분류!$I$24)</f>
        <v>0</v>
      </c>
      <c r="J149" s="47">
        <f>SUMIF(Master!$E$2:$E$779,분류!B149,Master!$Q$2:$Q$779)</f>
        <v>1261400</v>
      </c>
      <c r="K149" s="121"/>
    </row>
    <row r="150" spans="1:11">
      <c r="A150" s="14">
        <f t="shared" si="11"/>
        <v>20</v>
      </c>
      <c r="B150" s="63" t="s">
        <v>2203</v>
      </c>
      <c r="C150" s="61">
        <f>SUMIF(Master!$E$2:$E$779,분류!B150,Master!$L$2:$L$779)</f>
        <v>24286000</v>
      </c>
      <c r="D150" s="62">
        <f>SUMIFS(Master!$L$2:$L$779,Master!$E$2:$E$779,분류!B150,Master!$G$2:$G$779,분류!$D$24)</f>
        <v>24286000</v>
      </c>
      <c r="E150" s="62">
        <f>SUMIFS(Master!$L$2:$L$779,Master!$E$2:$E$779,분류!B150,Master!$G$2:$G$779,분류!$E$24)</f>
        <v>0</v>
      </c>
      <c r="F150" s="62">
        <f>SUMIFS(Master!$L$2:$L$779,Master!$E$2:$E$779,분류!B150,Master!$G$2:$G$779,분류!$F$24)</f>
        <v>0</v>
      </c>
      <c r="G150" s="62">
        <f>SUMIFS(Master!$L$2:$L$779,Master!$E$2:$E$779,분류!B150,Master!$G$2:$G$779,분류!$G$24)</f>
        <v>0</v>
      </c>
      <c r="H150" s="62">
        <f>SUMIFS(Master!$L$2:$L$779,Master!$E$2:$E$779,분류!B150,Master!$G$2:$G$779,분류!$H$24)</f>
        <v>0</v>
      </c>
      <c r="I150" s="62">
        <f>SUMIFS(Master!$L$2:$L$779,Master!$E$2:$E$779,분류!B150,Master!$G$2:$G$779,분류!$I$24)</f>
        <v>0</v>
      </c>
      <c r="J150" s="47">
        <f>SUMIF(Master!$E$2:$E$779,분류!B150,Master!$Q$2:$Q$779)</f>
        <v>9096657</v>
      </c>
      <c r="K150" s="121"/>
    </row>
    <row r="151" spans="1:11">
      <c r="A151" s="14"/>
      <c r="B151" s="63" t="s">
        <v>107</v>
      </c>
      <c r="C151" s="61">
        <f>SUMIF(Master!$E$2:$E$779,분류!B151,Master!$L$2:$L$779)</f>
        <v>0</v>
      </c>
      <c r="D151" s="62">
        <f>SUMIFS(Master!$L$2:$L$779,Master!$E$2:$E$779,분류!B151,Master!$G$2:$G$779,분류!$D$24)</f>
        <v>0</v>
      </c>
      <c r="E151" s="62">
        <f>SUMIFS(Master!$L$2:$L$779,Master!$E$2:$E$779,분류!B151,Master!$G$2:$G$779,분류!$E$24)</f>
        <v>0</v>
      </c>
      <c r="F151" s="62">
        <f>SUMIFS(Master!$L$2:$L$779,Master!$E$2:$E$779,분류!B151,Master!$G$2:$G$779,분류!$F$24)</f>
        <v>0</v>
      </c>
      <c r="G151" s="62">
        <f>SUMIFS(Master!$L$2:$L$779,Master!$E$2:$E$779,분류!B151,Master!$G$2:$G$779,분류!$G$24)</f>
        <v>0</v>
      </c>
      <c r="H151" s="62">
        <f>SUMIFS(Master!$L$2:$L$779,Master!$E$2:$E$779,분류!B151,Master!$G$2:$G$779,분류!$H$24)</f>
        <v>0</v>
      </c>
      <c r="I151" s="62">
        <f>SUMIFS(Master!$L$2:$L$779,Master!$E$2:$E$779,분류!B151,Master!$G$2:$G$779,분류!$I$24)</f>
        <v>0</v>
      </c>
      <c r="J151" s="47">
        <f>SUMIF(Master!$E$2:$E$779,분류!B151,Master!$Q$2:$Q$779)</f>
        <v>0</v>
      </c>
      <c r="K151" s="121"/>
    </row>
    <row r="152" spans="1:11">
      <c r="A152" s="14">
        <f t="shared" ref="A152:A182" si="12">RANK(C152,$C$26:$C$184,0)</f>
        <v>119</v>
      </c>
      <c r="B152" s="63" t="s">
        <v>789</v>
      </c>
      <c r="C152" s="61">
        <f>SUMIF(Master!$E$2:$E$779,분류!B152,Master!$L$2:$L$779)</f>
        <v>510000</v>
      </c>
      <c r="D152" s="62">
        <f>SUMIFS(Master!$L$2:$L$779,Master!$E$2:$E$779,분류!B152,Master!$G$2:$G$779,분류!$D$24)</f>
        <v>510000</v>
      </c>
      <c r="E152" s="62">
        <f>SUMIFS(Master!$L$2:$L$779,Master!$E$2:$E$779,분류!B152,Master!$G$2:$G$779,분류!$E$24)</f>
        <v>0</v>
      </c>
      <c r="F152" s="62">
        <f>SUMIFS(Master!$L$2:$L$779,Master!$E$2:$E$779,분류!B152,Master!$G$2:$G$779,분류!$F$24)</f>
        <v>0</v>
      </c>
      <c r="G152" s="62">
        <f>SUMIFS(Master!$L$2:$L$779,Master!$E$2:$E$779,분류!B152,Master!$G$2:$G$779,분류!$G$24)</f>
        <v>0</v>
      </c>
      <c r="H152" s="62">
        <f>SUMIFS(Master!$L$2:$L$779,Master!$E$2:$E$779,분류!B152,Master!$G$2:$G$779,분류!$H$24)</f>
        <v>0</v>
      </c>
      <c r="I152" s="62">
        <f>SUMIFS(Master!$L$2:$L$779,Master!$E$2:$E$779,분류!B152,Master!$G$2:$G$779,분류!$I$24)</f>
        <v>0</v>
      </c>
      <c r="J152" s="47">
        <f>SUMIF(Master!$E$2:$E$779,분류!B152,Master!$Q$2:$Q$779)</f>
        <v>55000</v>
      </c>
      <c r="K152" s="121"/>
    </row>
    <row r="153" spans="1:11">
      <c r="A153" s="14">
        <f t="shared" si="12"/>
        <v>14</v>
      </c>
      <c r="B153" s="64" t="s">
        <v>2204</v>
      </c>
      <c r="C153" s="61">
        <f>SUMIF(Master!$E$2:$E$779,분류!B153,Master!$L$2:$L$779)</f>
        <v>38062500</v>
      </c>
      <c r="D153" s="62">
        <f>SUMIFS(Master!$L$2:$L$779,Master!$E$2:$E$779,분류!B153,Master!$G$2:$G$779,분류!$D$24)</f>
        <v>0</v>
      </c>
      <c r="E153" s="62">
        <f>SUMIFS(Master!$L$2:$L$779,Master!$E$2:$E$779,분류!B153,Master!$G$2:$G$779,분류!$E$24)</f>
        <v>0</v>
      </c>
      <c r="F153" s="62">
        <f>SUMIFS(Master!$L$2:$L$779,Master!$E$2:$E$779,분류!B153,Master!$G$2:$G$779,분류!$F$24)</f>
        <v>0</v>
      </c>
      <c r="G153" s="62">
        <f>SUMIFS(Master!$L$2:$L$779,Master!$E$2:$E$779,분류!B153,Master!$G$2:$G$779,분류!$G$24)</f>
        <v>0</v>
      </c>
      <c r="H153" s="62">
        <f>SUMIFS(Master!$L$2:$L$779,Master!$E$2:$E$779,분류!B153,Master!$G$2:$G$779,분류!$H$24)</f>
        <v>0</v>
      </c>
      <c r="I153" s="62">
        <f>SUMIFS(Master!$L$2:$L$779,Master!$E$2:$E$779,분류!B153,Master!$G$2:$G$779,분류!$I$24)</f>
        <v>38062500</v>
      </c>
      <c r="J153" s="47">
        <f>SUMIF(Master!$E$2:$E$779,분류!B153,Master!$Q$2:$Q$779)</f>
        <v>38062500</v>
      </c>
      <c r="K153" s="121"/>
    </row>
    <row r="154" spans="1:11">
      <c r="A154" s="14">
        <f t="shared" si="12"/>
        <v>51</v>
      </c>
      <c r="B154" s="63" t="s">
        <v>37</v>
      </c>
      <c r="C154" s="61">
        <f>SUMIF(Master!$E$2:$E$779,분류!B154,Master!$L$2:$L$779)</f>
        <v>7000000</v>
      </c>
      <c r="D154" s="62">
        <f>SUMIFS(Master!$L$2:$L$779,Master!$E$2:$E$779,분류!B154,Master!$G$2:$G$779,분류!$D$24)</f>
        <v>1000000</v>
      </c>
      <c r="E154" s="62">
        <f>SUMIFS(Master!$L$2:$L$779,Master!$E$2:$E$779,분류!B154,Master!$G$2:$G$779,분류!$E$24)</f>
        <v>0</v>
      </c>
      <c r="F154" s="62">
        <f>SUMIFS(Master!$L$2:$L$779,Master!$E$2:$E$779,분류!B154,Master!$G$2:$G$779,분류!$F$24)</f>
        <v>0</v>
      </c>
      <c r="G154" s="62">
        <f>SUMIFS(Master!$L$2:$L$779,Master!$E$2:$E$779,분류!B154,Master!$G$2:$G$779,분류!$G$24)</f>
        <v>0</v>
      </c>
      <c r="H154" s="62">
        <f>SUMIFS(Master!$L$2:$L$779,Master!$E$2:$E$779,분류!B154,Master!$G$2:$G$779,분류!$H$24)</f>
        <v>6000000</v>
      </c>
      <c r="I154" s="62">
        <f>SUMIFS(Master!$L$2:$L$779,Master!$E$2:$E$779,분류!B154,Master!$G$2:$G$779,분류!$I$24)</f>
        <v>0</v>
      </c>
      <c r="J154" s="47">
        <f>SUMIF(Master!$E$2:$E$779,분류!B154,Master!$Q$2:$Q$779)</f>
        <v>891999.9999999993</v>
      </c>
      <c r="K154" s="121"/>
    </row>
    <row r="155" spans="1:11">
      <c r="A155" s="14">
        <f t="shared" si="12"/>
        <v>131</v>
      </c>
      <c r="B155" s="63" t="s">
        <v>98</v>
      </c>
      <c r="C155" s="61">
        <f>SUMIF(Master!$E$2:$E$779,분류!B155,Master!$L$2:$L$779)</f>
        <v>0</v>
      </c>
      <c r="D155" s="62">
        <f>SUMIFS(Master!$L$2:$L$779,Master!$E$2:$E$779,분류!B155,Master!$G$2:$G$779,분류!$D$24)</f>
        <v>0</v>
      </c>
      <c r="E155" s="62">
        <f>SUMIFS(Master!$L$2:$L$779,Master!$E$2:$E$779,분류!B155,Master!$G$2:$G$779,분류!$E$24)</f>
        <v>0</v>
      </c>
      <c r="F155" s="62">
        <f>SUMIFS(Master!$L$2:$L$779,Master!$E$2:$E$779,분류!B155,Master!$G$2:$G$779,분류!$F$24)</f>
        <v>0</v>
      </c>
      <c r="G155" s="62">
        <f>SUMIFS(Master!$L$2:$L$779,Master!$E$2:$E$779,분류!B155,Master!$G$2:$G$779,분류!$G$24)</f>
        <v>0</v>
      </c>
      <c r="H155" s="62">
        <f>SUMIFS(Master!$L$2:$L$779,Master!$E$2:$E$779,분류!B155,Master!$G$2:$G$779,분류!$H$24)</f>
        <v>0</v>
      </c>
      <c r="I155" s="62">
        <f>SUMIFS(Master!$L$2:$L$779,Master!$E$2:$E$779,분류!B155,Master!$G$2:$G$779,분류!$I$24)</f>
        <v>0</v>
      </c>
      <c r="J155" s="47">
        <f>SUMIF(Master!$E$2:$E$779,분류!B155,Master!$Q$2:$Q$779)</f>
        <v>0</v>
      </c>
      <c r="K155" s="121"/>
    </row>
    <row r="156" spans="1:11">
      <c r="A156" s="14">
        <f t="shared" si="12"/>
        <v>98</v>
      </c>
      <c r="B156" s="63" t="s">
        <v>70</v>
      </c>
      <c r="C156" s="61">
        <f>SUMIF(Master!$E$2:$E$779,분류!B156,Master!$L$2:$L$779)</f>
        <v>1230000</v>
      </c>
      <c r="D156" s="62">
        <f>SUMIFS(Master!$L$2:$L$779,Master!$E$2:$E$779,분류!B156,Master!$G$2:$G$779,분류!$D$24)</f>
        <v>0</v>
      </c>
      <c r="E156" s="62">
        <f>SUMIFS(Master!$L$2:$L$779,Master!$E$2:$E$779,분류!B156,Master!$G$2:$G$779,분류!$E$24)</f>
        <v>1230000</v>
      </c>
      <c r="F156" s="62">
        <f>SUMIFS(Master!$L$2:$L$779,Master!$E$2:$E$779,분류!B156,Master!$G$2:$G$779,분류!$F$24)</f>
        <v>0</v>
      </c>
      <c r="G156" s="62">
        <f>SUMIFS(Master!$L$2:$L$779,Master!$E$2:$E$779,분류!B156,Master!$G$2:$G$779,분류!$G$24)</f>
        <v>0</v>
      </c>
      <c r="H156" s="62">
        <f>SUMIFS(Master!$L$2:$L$779,Master!$E$2:$E$779,분류!B156,Master!$G$2:$G$779,분류!$H$24)</f>
        <v>0</v>
      </c>
      <c r="I156" s="62">
        <f>SUMIFS(Master!$L$2:$L$779,Master!$E$2:$E$779,분류!B156,Master!$G$2:$G$779,분류!$I$24)</f>
        <v>0</v>
      </c>
      <c r="J156" s="47">
        <f>SUMIF(Master!$E$2:$E$779,분류!B156,Master!$Q$2:$Q$779)</f>
        <v>900000</v>
      </c>
      <c r="K156" s="121"/>
    </row>
    <row r="157" spans="1:11">
      <c r="A157" s="14">
        <f t="shared" si="12"/>
        <v>67</v>
      </c>
      <c r="B157" s="63" t="s">
        <v>94</v>
      </c>
      <c r="C157" s="61">
        <f>SUMIF(Master!$E$2:$E$779,분류!B157,Master!$L$2:$L$779)</f>
        <v>3636000</v>
      </c>
      <c r="D157" s="62">
        <f>SUMIFS(Master!$L$2:$L$779,Master!$E$2:$E$779,분류!B157,Master!$G$2:$G$779,분류!$D$24)</f>
        <v>0</v>
      </c>
      <c r="E157" s="62">
        <f>SUMIFS(Master!$L$2:$L$779,Master!$E$2:$E$779,분류!B157,Master!$G$2:$G$779,분류!$E$24)</f>
        <v>3636000</v>
      </c>
      <c r="F157" s="62">
        <f>SUMIFS(Master!$L$2:$L$779,Master!$E$2:$E$779,분류!B157,Master!$G$2:$G$779,분류!$F$24)</f>
        <v>0</v>
      </c>
      <c r="G157" s="62">
        <f>SUMIFS(Master!$L$2:$L$779,Master!$E$2:$E$779,분류!B157,Master!$G$2:$G$779,분류!$G$24)</f>
        <v>0</v>
      </c>
      <c r="H157" s="62">
        <f>SUMIFS(Master!$L$2:$L$779,Master!$E$2:$E$779,분류!B157,Master!$G$2:$G$779,분류!$H$24)</f>
        <v>0</v>
      </c>
      <c r="I157" s="62">
        <f>SUMIFS(Master!$L$2:$L$779,Master!$E$2:$E$779,분류!B157,Master!$G$2:$G$779,분류!$I$24)</f>
        <v>0</v>
      </c>
      <c r="J157" s="47">
        <f>SUMIF(Master!$E$2:$E$779,분류!B157,Master!$Q$2:$Q$779)</f>
        <v>1172880</v>
      </c>
      <c r="K157" s="121"/>
    </row>
    <row r="158" spans="1:11">
      <c r="A158" s="14">
        <f t="shared" si="12"/>
        <v>82</v>
      </c>
      <c r="B158" s="63" t="s">
        <v>207</v>
      </c>
      <c r="C158" s="61">
        <f>SUMIF(Master!$E$2:$E$779,분류!B158,Master!$L$2:$L$779)</f>
        <v>1948000</v>
      </c>
      <c r="D158" s="62">
        <f>SUMIFS(Master!$L$2:$L$779,Master!$E$2:$E$779,분류!B158,Master!$G$2:$G$779,분류!$D$24)</f>
        <v>0</v>
      </c>
      <c r="E158" s="62">
        <f>SUMIFS(Master!$L$2:$L$779,Master!$E$2:$E$779,분류!B158,Master!$G$2:$G$779,분류!$E$24)</f>
        <v>0</v>
      </c>
      <c r="F158" s="62">
        <f>SUMIFS(Master!$L$2:$L$779,Master!$E$2:$E$779,분류!B158,Master!$G$2:$G$779,분류!$F$24)</f>
        <v>1948000</v>
      </c>
      <c r="G158" s="62">
        <f>SUMIFS(Master!$L$2:$L$779,Master!$E$2:$E$779,분류!B158,Master!$G$2:$G$779,분류!$G$24)</f>
        <v>0</v>
      </c>
      <c r="H158" s="62">
        <f>SUMIFS(Master!$L$2:$L$779,Master!$E$2:$E$779,분류!B158,Master!$G$2:$G$779,분류!$H$24)</f>
        <v>0</v>
      </c>
      <c r="I158" s="62">
        <f>SUMIFS(Master!$L$2:$L$779,Master!$E$2:$E$779,분류!B158,Master!$G$2:$G$779,분류!$I$24)</f>
        <v>0</v>
      </c>
      <c r="J158" s="47">
        <f>SUMIF(Master!$E$2:$E$779,분류!B158,Master!$Q$2:$Q$779)</f>
        <v>47920</v>
      </c>
      <c r="K158" s="121"/>
    </row>
    <row r="159" spans="1:11">
      <c r="A159" s="14">
        <f t="shared" si="12"/>
        <v>19</v>
      </c>
      <c r="B159" s="63" t="s">
        <v>2206</v>
      </c>
      <c r="C159" s="61">
        <f>SUMIF(Master!$E$2:$E$779,분류!B159,Master!$L$2:$L$779)</f>
        <v>27316930</v>
      </c>
      <c r="D159" s="62">
        <f>SUMIFS(Master!$L$2:$L$779,Master!$E$2:$E$779,분류!B159,Master!$G$2:$G$779,분류!$D$24)</f>
        <v>0</v>
      </c>
      <c r="E159" s="62">
        <f>SUMIFS(Master!$L$2:$L$779,Master!$E$2:$E$779,분류!B159,Master!$G$2:$G$779,분류!$E$24)</f>
        <v>27316930</v>
      </c>
      <c r="F159" s="62">
        <f>SUMIFS(Master!$L$2:$L$779,Master!$E$2:$E$779,분류!B159,Master!$G$2:$G$779,분류!$F$24)</f>
        <v>0</v>
      </c>
      <c r="G159" s="62">
        <f>SUMIFS(Master!$L$2:$L$779,Master!$E$2:$E$779,분류!B159,Master!$G$2:$G$779,분류!$G$24)</f>
        <v>0</v>
      </c>
      <c r="H159" s="62">
        <f>SUMIFS(Master!$L$2:$L$779,Master!$E$2:$E$779,분류!B159,Master!$G$2:$G$779,분류!$H$24)</f>
        <v>0</v>
      </c>
      <c r="I159" s="62">
        <f>SUMIFS(Master!$L$2:$L$779,Master!$E$2:$E$779,분류!B159,Master!$G$2:$G$779,분류!$I$24)</f>
        <v>0</v>
      </c>
      <c r="J159" s="47">
        <f>SUMIF(Master!$E$2:$E$779,분류!B159,Master!$Q$2:$Q$779)</f>
        <v>5199730</v>
      </c>
      <c r="K159" s="121"/>
    </row>
    <row r="160" spans="1:11">
      <c r="A160" s="14">
        <f t="shared" si="12"/>
        <v>3</v>
      </c>
      <c r="B160" s="63" t="s">
        <v>2205</v>
      </c>
      <c r="C160" s="61">
        <f>SUMIF(Master!$E$2:$E$779,분류!B160,Master!$L$2:$L$779)</f>
        <v>82336380</v>
      </c>
      <c r="D160" s="62">
        <f>SUMIFS(Master!$L$2:$L$779,Master!$E$2:$E$779,분류!B160,Master!$G$2:$G$779,분류!$D$24)</f>
        <v>0</v>
      </c>
      <c r="E160" s="62">
        <f>SUMIFS(Master!$L$2:$L$779,Master!$E$2:$E$779,분류!B160,Master!$G$2:$G$779,분류!$E$24)</f>
        <v>82336380</v>
      </c>
      <c r="F160" s="62">
        <f>SUMIFS(Master!$L$2:$L$779,Master!$E$2:$E$779,분류!B160,Master!$G$2:$G$779,분류!$F$24)</f>
        <v>0</v>
      </c>
      <c r="G160" s="62">
        <f>SUMIFS(Master!$L$2:$L$779,Master!$E$2:$E$779,분류!B160,Master!$G$2:$G$779,분류!$G$24)</f>
        <v>0</v>
      </c>
      <c r="H160" s="62">
        <f>SUMIFS(Master!$L$2:$L$779,Master!$E$2:$E$779,분류!B160,Master!$G$2:$G$779,분류!$H$24)</f>
        <v>0</v>
      </c>
      <c r="I160" s="62">
        <f>SUMIFS(Master!$L$2:$L$779,Master!$E$2:$E$779,분류!B160,Master!$G$2:$G$779,분류!$I$24)</f>
        <v>0</v>
      </c>
      <c r="J160" s="47">
        <f>SUMIF(Master!$E$2:$E$779,분류!B160,Master!$Q$2:$Q$779)</f>
        <v>17118780</v>
      </c>
      <c r="K160" s="121"/>
    </row>
    <row r="161" spans="1:11">
      <c r="A161" s="14">
        <f t="shared" si="12"/>
        <v>40</v>
      </c>
      <c r="B161" s="63" t="s">
        <v>92</v>
      </c>
      <c r="C161" s="61">
        <f>SUMIF(Master!$E$2:$E$779,분류!B161,Master!$L$2:$L$779)</f>
        <v>10970000</v>
      </c>
      <c r="D161" s="62">
        <f>SUMIFS(Master!$L$2:$L$779,Master!$E$2:$E$779,분류!B161,Master!$G$2:$G$779,분류!$D$24)</f>
        <v>7890000</v>
      </c>
      <c r="E161" s="62">
        <f>SUMIFS(Master!$L$2:$L$779,Master!$E$2:$E$779,분류!B161,Master!$G$2:$G$779,분류!$E$24)</f>
        <v>1980000</v>
      </c>
      <c r="F161" s="62">
        <f>SUMIFS(Master!$L$2:$L$779,Master!$E$2:$E$779,분류!B161,Master!$G$2:$G$779,분류!$F$24)</f>
        <v>0</v>
      </c>
      <c r="G161" s="62">
        <f>SUMIFS(Master!$L$2:$L$779,Master!$E$2:$E$779,분류!B161,Master!$G$2:$G$779,분류!$G$24)</f>
        <v>0</v>
      </c>
      <c r="H161" s="62">
        <f>SUMIFS(Master!$L$2:$L$779,Master!$E$2:$E$779,분류!B161,Master!$G$2:$G$779,분류!$H$24)</f>
        <v>1100000</v>
      </c>
      <c r="I161" s="62">
        <f>SUMIFS(Master!$L$2:$L$779,Master!$E$2:$E$779,분류!B161,Master!$G$2:$G$779,분류!$I$24)</f>
        <v>0</v>
      </c>
      <c r="J161" s="47">
        <f>SUMIF(Master!$E$2:$E$779,분류!B161,Master!$Q$2:$Q$779)</f>
        <v>2549473</v>
      </c>
      <c r="K161" s="121"/>
    </row>
    <row r="162" spans="1:11">
      <c r="A162" s="14">
        <f t="shared" si="12"/>
        <v>43</v>
      </c>
      <c r="B162" s="63" t="s">
        <v>261</v>
      </c>
      <c r="C162" s="61">
        <f>SUMIF(Master!$E$2:$E$779,분류!B162,Master!$L$2:$L$779)</f>
        <v>9300000</v>
      </c>
      <c r="D162" s="62">
        <f>SUMIFS(Master!$L$2:$L$779,Master!$E$2:$E$779,분류!B162,Master!$G$2:$G$779,분류!$D$24)</f>
        <v>0</v>
      </c>
      <c r="E162" s="62">
        <f>SUMIFS(Master!$L$2:$L$779,Master!$E$2:$E$779,분류!B162,Master!$G$2:$G$779,분류!$E$24)</f>
        <v>9300000</v>
      </c>
      <c r="F162" s="62">
        <f>SUMIFS(Master!$L$2:$L$779,Master!$E$2:$E$779,분류!B162,Master!$G$2:$G$779,분류!$F$24)</f>
        <v>0</v>
      </c>
      <c r="G162" s="62">
        <f>SUMIFS(Master!$L$2:$L$779,Master!$E$2:$E$779,분류!B162,Master!$G$2:$G$779,분류!$G$24)</f>
        <v>0</v>
      </c>
      <c r="H162" s="62">
        <f>SUMIFS(Master!$L$2:$L$779,Master!$E$2:$E$779,분류!B162,Master!$G$2:$G$779,분류!$H$24)</f>
        <v>0</v>
      </c>
      <c r="I162" s="62">
        <f>SUMIFS(Master!$L$2:$L$779,Master!$E$2:$E$779,분류!B162,Master!$G$2:$G$779,분류!$I$24)</f>
        <v>0</v>
      </c>
      <c r="J162" s="47">
        <f>SUMIF(Master!$E$2:$E$779,분류!B162,Master!$Q$2:$Q$779)</f>
        <v>1248364</v>
      </c>
      <c r="K162" s="121"/>
    </row>
    <row r="163" spans="1:11">
      <c r="A163" s="14">
        <f t="shared" si="12"/>
        <v>73</v>
      </c>
      <c r="B163" s="63" t="s">
        <v>181</v>
      </c>
      <c r="C163" s="61">
        <f>SUMIF(Master!$E$2:$E$779,분류!B163,Master!$L$2:$L$779)</f>
        <v>3120000</v>
      </c>
      <c r="D163" s="62">
        <f>SUMIFS(Master!$L$2:$L$779,Master!$E$2:$E$779,분류!B163,Master!$G$2:$G$779,분류!$D$24)</f>
        <v>0</v>
      </c>
      <c r="E163" s="62">
        <f>SUMIFS(Master!$L$2:$L$779,Master!$E$2:$E$779,분류!B163,Master!$G$2:$G$779,분류!$E$24)</f>
        <v>3120000</v>
      </c>
      <c r="F163" s="62">
        <f>SUMIFS(Master!$L$2:$L$779,Master!$E$2:$E$779,분류!B163,Master!$G$2:$G$779,분류!$F$24)</f>
        <v>0</v>
      </c>
      <c r="G163" s="62">
        <f>SUMIFS(Master!$L$2:$L$779,Master!$E$2:$E$779,분류!B163,Master!$G$2:$G$779,분류!$G$24)</f>
        <v>0</v>
      </c>
      <c r="H163" s="62">
        <f>SUMIFS(Master!$L$2:$L$779,Master!$E$2:$E$779,분류!B163,Master!$G$2:$G$779,분류!$H$24)</f>
        <v>0</v>
      </c>
      <c r="I163" s="62">
        <f>SUMIFS(Master!$L$2:$L$779,Master!$E$2:$E$779,분류!B163,Master!$G$2:$G$779,분류!$I$24)</f>
        <v>0</v>
      </c>
      <c r="J163" s="47">
        <f>SUMIF(Master!$E$2:$E$779,분류!B163,Master!$Q$2:$Q$779)</f>
        <v>908400</v>
      </c>
      <c r="K163" s="121"/>
    </row>
    <row r="164" spans="1:11">
      <c r="A164" s="14">
        <f t="shared" si="12"/>
        <v>29</v>
      </c>
      <c r="B164" s="63" t="s">
        <v>2207</v>
      </c>
      <c r="C164" s="61">
        <f>SUMIF(Master!$E$2:$E$779,분류!B164,Master!$L$2:$L$779)</f>
        <v>18516600</v>
      </c>
      <c r="D164" s="62">
        <f>SUMIFS(Master!$L$2:$L$779,Master!$E$2:$E$779,분류!B164,Master!$G$2:$G$779,분류!$D$24)</f>
        <v>0</v>
      </c>
      <c r="E164" s="62">
        <f>SUMIFS(Master!$L$2:$L$779,Master!$E$2:$E$779,분류!B164,Master!$G$2:$G$779,분류!$E$24)</f>
        <v>18516600</v>
      </c>
      <c r="F164" s="62">
        <f>SUMIFS(Master!$L$2:$L$779,Master!$E$2:$E$779,분류!B164,Master!$G$2:$G$779,분류!$F$24)</f>
        <v>0</v>
      </c>
      <c r="G164" s="62">
        <f>SUMIFS(Master!$L$2:$L$779,Master!$E$2:$E$779,분류!B164,Master!$G$2:$G$779,분류!$G$24)</f>
        <v>0</v>
      </c>
      <c r="H164" s="62">
        <f>SUMIFS(Master!$L$2:$L$779,Master!$E$2:$E$779,분류!B164,Master!$G$2:$G$779,분류!$H$24)</f>
        <v>0</v>
      </c>
      <c r="I164" s="62">
        <f>SUMIFS(Master!$L$2:$L$779,Master!$E$2:$E$779,분류!B164,Master!$G$2:$G$779,분류!$I$24)</f>
        <v>0</v>
      </c>
      <c r="J164" s="47">
        <f>SUMIF(Master!$E$2:$E$779,분류!B164,Master!$Q$2:$Q$779)</f>
        <v>1446600.0000000005</v>
      </c>
      <c r="K164" s="121"/>
    </row>
    <row r="165" spans="1:11">
      <c r="A165" s="14">
        <f t="shared" si="12"/>
        <v>91</v>
      </c>
      <c r="B165" s="63" t="s">
        <v>2</v>
      </c>
      <c r="C165" s="61">
        <f>SUMIF(Master!$E$2:$E$779,분류!B165,Master!$L$2:$L$779)</f>
        <v>1524000</v>
      </c>
      <c r="D165" s="62">
        <f>SUMIFS(Master!$L$2:$L$779,Master!$E$2:$E$779,분류!B165,Master!$G$2:$G$779,분류!$D$24)</f>
        <v>0</v>
      </c>
      <c r="E165" s="62">
        <f>SUMIFS(Master!$L$2:$L$779,Master!$E$2:$E$779,분류!B165,Master!$G$2:$G$779,분류!$E$24)</f>
        <v>1524000</v>
      </c>
      <c r="F165" s="62">
        <f>SUMIFS(Master!$L$2:$L$779,Master!$E$2:$E$779,분류!B165,Master!$G$2:$G$779,분류!$F$24)</f>
        <v>0</v>
      </c>
      <c r="G165" s="62">
        <f>SUMIFS(Master!$L$2:$L$779,Master!$E$2:$E$779,분류!B165,Master!$G$2:$G$779,분류!$G$24)</f>
        <v>0</v>
      </c>
      <c r="H165" s="62">
        <f>SUMIFS(Master!$L$2:$L$779,Master!$E$2:$E$779,분류!B165,Master!$G$2:$G$779,분류!$H$24)</f>
        <v>0</v>
      </c>
      <c r="I165" s="62">
        <f>SUMIFS(Master!$L$2:$L$779,Master!$E$2:$E$779,분류!B165,Master!$G$2:$G$779,분류!$I$24)</f>
        <v>0</v>
      </c>
      <c r="J165" s="47">
        <f>SUMIF(Master!$E$2:$E$779,분류!B165,Master!$Q$2:$Q$779)</f>
        <v>402647</v>
      </c>
      <c r="K165" s="121"/>
    </row>
    <row r="166" spans="1:11">
      <c r="A166" s="14">
        <f t="shared" si="12"/>
        <v>131</v>
      </c>
      <c r="B166" s="63" t="s">
        <v>1985</v>
      </c>
      <c r="C166" s="61">
        <f>SUMIF(Master!$E$2:$E$779,분류!B166,Master!$L$2:$L$779)</f>
        <v>0</v>
      </c>
      <c r="D166" s="62">
        <f>SUMIFS(Master!$L$2:$L$779,Master!$E$2:$E$779,분류!B166,Master!$G$2:$G$779,분류!$D$24)</f>
        <v>0</v>
      </c>
      <c r="E166" s="62">
        <f>SUMIFS(Master!$L$2:$L$779,Master!$E$2:$E$779,분류!B166,Master!$G$2:$G$779,분류!$E$24)</f>
        <v>0</v>
      </c>
      <c r="F166" s="62">
        <f>SUMIFS(Master!$L$2:$L$779,Master!$E$2:$E$779,분류!B166,Master!$G$2:$G$779,분류!$F$24)</f>
        <v>0</v>
      </c>
      <c r="G166" s="62">
        <f>SUMIFS(Master!$L$2:$L$779,Master!$E$2:$E$779,분류!B166,Master!$G$2:$G$779,분류!$G$24)</f>
        <v>0</v>
      </c>
      <c r="H166" s="62">
        <f>SUMIFS(Master!$L$2:$L$779,Master!$E$2:$E$779,분류!B166,Master!$G$2:$G$779,분류!$H$24)</f>
        <v>0</v>
      </c>
      <c r="I166" s="62">
        <f>SUMIFS(Master!$L$2:$L$779,Master!$E$2:$E$779,분류!B166,Master!$G$2:$G$779,분류!$I$24)</f>
        <v>0</v>
      </c>
      <c r="J166" s="47">
        <f>SUMIF(Master!$E$2:$E$779,분류!B166,Master!$Q$2:$Q$779)</f>
        <v>0</v>
      </c>
      <c r="K166" s="121"/>
    </row>
    <row r="167" spans="1:11">
      <c r="A167" s="14">
        <f t="shared" si="12"/>
        <v>41</v>
      </c>
      <c r="B167" s="63" t="s">
        <v>38</v>
      </c>
      <c r="C167" s="61">
        <f>SUMIF(Master!$E$2:$E$779,분류!B167,Master!$L$2:$L$779)</f>
        <v>9760000</v>
      </c>
      <c r="D167" s="62">
        <f>SUMIFS(Master!$L$2:$L$779,Master!$E$2:$E$779,분류!B167,Master!$G$2:$G$779,분류!$D$24)</f>
        <v>9760000</v>
      </c>
      <c r="E167" s="62">
        <f>SUMIFS(Master!$L$2:$L$779,Master!$E$2:$E$779,분류!B167,Master!$G$2:$G$779,분류!$E$24)</f>
        <v>0</v>
      </c>
      <c r="F167" s="62">
        <f>SUMIFS(Master!$L$2:$L$779,Master!$E$2:$E$779,분류!B167,Master!$G$2:$G$779,분류!$F$24)</f>
        <v>0</v>
      </c>
      <c r="G167" s="62">
        <f>SUMIFS(Master!$L$2:$L$779,Master!$E$2:$E$779,분류!B167,Master!$G$2:$G$779,분류!$G$24)</f>
        <v>0</v>
      </c>
      <c r="H167" s="62">
        <f>SUMIFS(Master!$L$2:$L$779,Master!$E$2:$E$779,분류!B167,Master!$G$2:$G$779,분류!$H$24)</f>
        <v>0</v>
      </c>
      <c r="I167" s="62">
        <f>SUMIFS(Master!$L$2:$L$779,Master!$E$2:$E$779,분류!B167,Master!$G$2:$G$779,분류!$I$24)</f>
        <v>0</v>
      </c>
      <c r="J167" s="47">
        <f>SUMIF(Master!$E$2:$E$779,분류!B167,Master!$Q$2:$Q$779)</f>
        <v>1641200</v>
      </c>
      <c r="K167" s="121"/>
    </row>
    <row r="168" spans="1:11">
      <c r="A168" s="14">
        <f t="shared" si="12"/>
        <v>76</v>
      </c>
      <c r="B168" s="63" t="s">
        <v>78</v>
      </c>
      <c r="C168" s="61">
        <f>SUMIF(Master!$E$2:$E$779,분류!B168,Master!$L$2:$L$779)</f>
        <v>2727600</v>
      </c>
      <c r="D168" s="62">
        <f>SUMIFS(Master!$L$2:$L$779,Master!$E$2:$E$779,분류!B168,Master!$G$2:$G$779,분류!$D$24)</f>
        <v>0</v>
      </c>
      <c r="E168" s="62">
        <f>SUMIFS(Master!$L$2:$L$779,Master!$E$2:$E$779,분류!B168,Master!$G$2:$G$779,분류!$E$24)</f>
        <v>2727600</v>
      </c>
      <c r="F168" s="62">
        <f>SUMIFS(Master!$L$2:$L$779,Master!$E$2:$E$779,분류!B168,Master!$G$2:$G$779,분류!$F$24)</f>
        <v>0</v>
      </c>
      <c r="G168" s="62">
        <f>SUMIFS(Master!$L$2:$L$779,Master!$E$2:$E$779,분류!B168,Master!$G$2:$G$779,분류!$G$24)</f>
        <v>0</v>
      </c>
      <c r="H168" s="62">
        <f>SUMIFS(Master!$L$2:$L$779,Master!$E$2:$E$779,분류!B168,Master!$G$2:$G$779,분류!$H$24)</f>
        <v>0</v>
      </c>
      <c r="I168" s="62">
        <f>SUMIFS(Master!$L$2:$L$779,Master!$E$2:$E$779,분류!B168,Master!$G$2:$G$779,분류!$I$24)</f>
        <v>0</v>
      </c>
      <c r="J168" s="47">
        <f>SUMIF(Master!$E$2:$E$779,분류!B168,Master!$Q$2:$Q$779)</f>
        <v>169599.99999999977</v>
      </c>
      <c r="K168" s="121"/>
    </row>
    <row r="169" spans="1:11">
      <c r="A169" s="14">
        <f t="shared" si="12"/>
        <v>130</v>
      </c>
      <c r="B169" s="63" t="s">
        <v>891</v>
      </c>
      <c r="C169" s="61">
        <f>SUMIF(Master!$E$2:$E$779,분류!B169,Master!$L$2:$L$779)</f>
        <v>150000</v>
      </c>
      <c r="D169" s="62">
        <f>SUMIFS(Master!$L$2:$L$779,Master!$E$2:$E$779,분류!B169,Master!$G$2:$G$779,분류!$D$24)</f>
        <v>150000</v>
      </c>
      <c r="E169" s="62">
        <f>SUMIFS(Master!$L$2:$L$779,Master!$E$2:$E$779,분류!B169,Master!$G$2:$G$779,분류!$E$24)</f>
        <v>0</v>
      </c>
      <c r="F169" s="62">
        <f>SUMIFS(Master!$L$2:$L$779,Master!$E$2:$E$779,분류!B169,Master!$G$2:$G$779,분류!$F$24)</f>
        <v>0</v>
      </c>
      <c r="G169" s="62">
        <f>SUMIFS(Master!$L$2:$L$779,Master!$E$2:$E$779,분류!B169,Master!$G$2:$G$779,분류!$G$24)</f>
        <v>0</v>
      </c>
      <c r="H169" s="62">
        <f>SUMIFS(Master!$L$2:$L$779,Master!$E$2:$E$779,분류!B169,Master!$G$2:$G$779,분류!$H$24)</f>
        <v>0</v>
      </c>
      <c r="I169" s="62">
        <f>SUMIFS(Master!$L$2:$L$779,Master!$E$2:$E$779,분류!B169,Master!$G$2:$G$779,분류!$I$24)</f>
        <v>0</v>
      </c>
      <c r="J169" s="47">
        <f>SUMIF(Master!$E$2:$E$779,분류!B169,Master!$Q$2:$Q$779)</f>
        <v>50000</v>
      </c>
      <c r="K169" s="121"/>
    </row>
    <row r="170" spans="1:11">
      <c r="A170" s="14">
        <f t="shared" si="12"/>
        <v>37</v>
      </c>
      <c r="B170" s="63" t="s">
        <v>409</v>
      </c>
      <c r="C170" s="61">
        <f>SUMIF(Master!$E$2:$E$779,분류!B170,Master!$L$2:$L$779)</f>
        <v>12342600</v>
      </c>
      <c r="D170" s="62">
        <f>SUMIFS(Master!$L$2:$L$779,Master!$E$2:$E$779,분류!B170,Master!$G$2:$G$779,분류!$D$24)</f>
        <v>0</v>
      </c>
      <c r="E170" s="62">
        <f>SUMIFS(Master!$L$2:$L$779,Master!$E$2:$E$779,분류!B170,Master!$G$2:$G$779,분류!$E$24)</f>
        <v>12342600</v>
      </c>
      <c r="F170" s="62">
        <f>SUMIFS(Master!$L$2:$L$779,Master!$E$2:$E$779,분류!B170,Master!$G$2:$G$779,분류!$F$24)</f>
        <v>0</v>
      </c>
      <c r="G170" s="62">
        <f>SUMIFS(Master!$L$2:$L$779,Master!$E$2:$E$779,분류!B170,Master!$G$2:$G$779,분류!$G$24)</f>
        <v>0</v>
      </c>
      <c r="H170" s="62">
        <f>SUMIFS(Master!$L$2:$L$779,Master!$E$2:$E$779,분류!B170,Master!$G$2:$G$779,분류!$H$24)</f>
        <v>0</v>
      </c>
      <c r="I170" s="62">
        <f>SUMIFS(Master!$L$2:$L$779,Master!$E$2:$E$779,분류!B170,Master!$G$2:$G$779,분류!$I$24)</f>
        <v>0</v>
      </c>
      <c r="J170" s="47">
        <f>SUMIF(Master!$E$2:$E$779,분류!B170,Master!$Q$2:$Q$779)</f>
        <v>833300</v>
      </c>
      <c r="K170" s="121"/>
    </row>
    <row r="171" spans="1:11">
      <c r="A171" s="14">
        <f t="shared" si="12"/>
        <v>84</v>
      </c>
      <c r="B171" s="63" t="s">
        <v>262</v>
      </c>
      <c r="C171" s="61">
        <f>SUMIF(Master!$E$2:$E$779,분류!B171,Master!$L$2:$L$779)</f>
        <v>1920000</v>
      </c>
      <c r="D171" s="62">
        <f>SUMIFS(Master!$L$2:$L$779,Master!$E$2:$E$779,분류!B171,Master!$G$2:$G$779,분류!$D$24)</f>
        <v>0</v>
      </c>
      <c r="E171" s="62">
        <f>SUMIFS(Master!$L$2:$L$779,Master!$E$2:$E$779,분류!B171,Master!$G$2:$G$779,분류!$E$24)</f>
        <v>1920000</v>
      </c>
      <c r="F171" s="62">
        <f>SUMIFS(Master!$L$2:$L$779,Master!$E$2:$E$779,분류!B171,Master!$G$2:$G$779,분류!$F$24)</f>
        <v>0</v>
      </c>
      <c r="G171" s="62">
        <f>SUMIFS(Master!$L$2:$L$779,Master!$E$2:$E$779,분류!B171,Master!$G$2:$G$779,분류!$G$24)</f>
        <v>0</v>
      </c>
      <c r="H171" s="62">
        <f>SUMIFS(Master!$L$2:$L$779,Master!$E$2:$E$779,분류!B171,Master!$G$2:$G$779,분류!$H$24)</f>
        <v>0</v>
      </c>
      <c r="I171" s="62">
        <f>SUMIFS(Master!$L$2:$L$779,Master!$E$2:$E$779,분류!B171,Master!$G$2:$G$779,분류!$I$24)</f>
        <v>0</v>
      </c>
      <c r="J171" s="47">
        <f>SUMIF(Master!$E$2:$E$779,분류!B171,Master!$Q$2:$Q$779)</f>
        <v>581400</v>
      </c>
      <c r="K171" s="121"/>
    </row>
    <row r="172" spans="1:11">
      <c r="A172" s="14">
        <f t="shared" si="12"/>
        <v>25</v>
      </c>
      <c r="B172" s="63" t="s">
        <v>2211</v>
      </c>
      <c r="C172" s="61">
        <f>SUMIF(Master!$E$2:$E$779,분류!B172,Master!$L$2:$L$779)</f>
        <v>22106000</v>
      </c>
      <c r="D172" s="62">
        <f>SUMIFS(Master!$L$2:$L$779,Master!$E$2:$E$779,분류!B172,Master!$G$2:$G$779,분류!$D$24)</f>
        <v>7430000</v>
      </c>
      <c r="E172" s="62">
        <f>SUMIFS(Master!$L$2:$L$779,Master!$E$2:$E$779,분류!B172,Master!$G$2:$G$779,분류!$E$24)</f>
        <v>14676000</v>
      </c>
      <c r="F172" s="62">
        <f>SUMIFS(Master!$L$2:$L$779,Master!$E$2:$E$779,분류!B172,Master!$G$2:$G$779,분류!$F$24)</f>
        <v>0</v>
      </c>
      <c r="G172" s="62">
        <f>SUMIFS(Master!$L$2:$L$779,Master!$E$2:$E$779,분류!B172,Master!$G$2:$G$779,분류!$G$24)</f>
        <v>0</v>
      </c>
      <c r="H172" s="62">
        <f>SUMIFS(Master!$L$2:$L$779,Master!$E$2:$E$779,분류!B172,Master!$G$2:$G$779,분류!$H$24)</f>
        <v>0</v>
      </c>
      <c r="I172" s="62">
        <f>SUMIFS(Master!$L$2:$L$779,Master!$E$2:$E$779,분류!B172,Master!$G$2:$G$779,분류!$I$24)</f>
        <v>0</v>
      </c>
      <c r="J172" s="47">
        <f>SUMIF(Master!$E$2:$E$779,분류!B172,Master!$Q$2:$Q$779)</f>
        <v>7323918</v>
      </c>
      <c r="K172" s="121"/>
    </row>
    <row r="173" spans="1:11">
      <c r="A173" s="14">
        <f t="shared" si="12"/>
        <v>47</v>
      </c>
      <c r="B173" s="63" t="s">
        <v>2212</v>
      </c>
      <c r="C173" s="61">
        <f>SUMIF(Master!$E$2:$E$779,분류!B173,Master!$L$2:$L$779)</f>
        <v>8538000</v>
      </c>
      <c r="D173" s="62">
        <f>SUMIFS(Master!$L$2:$L$779,Master!$E$2:$E$779,분류!B173,Master!$G$2:$G$779,분류!$D$24)</f>
        <v>0</v>
      </c>
      <c r="E173" s="62">
        <f>SUMIFS(Master!$L$2:$L$779,Master!$E$2:$E$779,분류!B173,Master!$G$2:$G$779,분류!$E$24)</f>
        <v>8538000</v>
      </c>
      <c r="F173" s="62">
        <f>SUMIFS(Master!$L$2:$L$779,Master!$E$2:$E$779,분류!B173,Master!$G$2:$G$779,분류!$F$24)</f>
        <v>0</v>
      </c>
      <c r="G173" s="62">
        <f>SUMIFS(Master!$L$2:$L$779,Master!$E$2:$E$779,분류!B173,Master!$G$2:$G$779,분류!$G$24)</f>
        <v>0</v>
      </c>
      <c r="H173" s="62">
        <f>SUMIFS(Master!$L$2:$L$779,Master!$E$2:$E$779,분류!B173,Master!$G$2:$G$779,분류!$H$24)</f>
        <v>0</v>
      </c>
      <c r="I173" s="62">
        <f>SUMIFS(Master!$L$2:$L$779,Master!$E$2:$E$779,분류!B173,Master!$G$2:$G$779,분류!$I$24)</f>
        <v>0</v>
      </c>
      <c r="J173" s="47">
        <f>SUMIF(Master!$E$2:$E$779,분류!B173,Master!$Q$2:$Q$779)</f>
        <v>1816800</v>
      </c>
      <c r="K173" s="121"/>
    </row>
    <row r="174" spans="1:11">
      <c r="A174" s="14">
        <f t="shared" si="12"/>
        <v>74</v>
      </c>
      <c r="B174" s="63" t="s">
        <v>312</v>
      </c>
      <c r="C174" s="61">
        <f>SUMIF(Master!$E$2:$E$779,분류!B174,Master!$L$2:$L$779)</f>
        <v>3045000</v>
      </c>
      <c r="D174" s="62">
        <f>SUMIFS(Master!$L$2:$L$779,Master!$E$2:$E$779,분류!B174,Master!$G$2:$G$779,분류!$D$24)</f>
        <v>0</v>
      </c>
      <c r="E174" s="62">
        <f>SUMIFS(Master!$L$2:$L$779,Master!$E$2:$E$779,분류!B174,Master!$G$2:$G$779,분류!$E$24)</f>
        <v>3045000</v>
      </c>
      <c r="F174" s="62">
        <f>SUMIFS(Master!$L$2:$L$779,Master!$E$2:$E$779,분류!B174,Master!$G$2:$G$779,분류!$F$24)</f>
        <v>0</v>
      </c>
      <c r="G174" s="62">
        <f>SUMIFS(Master!$L$2:$L$779,Master!$E$2:$E$779,분류!B174,Master!$G$2:$G$779,분류!$G$24)</f>
        <v>0</v>
      </c>
      <c r="H174" s="62">
        <f>SUMIFS(Master!$L$2:$L$779,Master!$E$2:$E$779,분류!B174,Master!$G$2:$G$779,분류!$H$24)</f>
        <v>0</v>
      </c>
      <c r="I174" s="62">
        <f>SUMIFS(Master!$L$2:$L$779,Master!$E$2:$E$779,분류!B174,Master!$G$2:$G$779,분류!$I$24)</f>
        <v>0</v>
      </c>
      <c r="J174" s="47">
        <f>SUMIF(Master!$E$2:$E$779,분류!B174,Master!$Q$2:$Q$779)</f>
        <v>544908</v>
      </c>
      <c r="K174" s="121"/>
    </row>
    <row r="175" spans="1:11">
      <c r="A175" s="14">
        <f t="shared" si="12"/>
        <v>126</v>
      </c>
      <c r="B175" s="63" t="s">
        <v>276</v>
      </c>
      <c r="C175" s="61">
        <f>SUMIF(Master!$E$2:$E$779,분류!B175,Master!$L$2:$L$779)</f>
        <v>250000</v>
      </c>
      <c r="D175" s="62">
        <f>SUMIFS(Master!$L$2:$L$779,Master!$E$2:$E$779,분류!B175,Master!$G$2:$G$779,분류!$D$24)</f>
        <v>250000</v>
      </c>
      <c r="E175" s="62">
        <f>SUMIFS(Master!$L$2:$L$779,Master!$E$2:$E$779,분류!B175,Master!$G$2:$G$779,분류!$E$24)</f>
        <v>0</v>
      </c>
      <c r="F175" s="62">
        <f>SUMIFS(Master!$L$2:$L$779,Master!$E$2:$E$779,분류!B175,Master!$G$2:$G$779,분류!$F$24)</f>
        <v>0</v>
      </c>
      <c r="G175" s="62">
        <f>SUMIFS(Master!$L$2:$L$779,Master!$E$2:$E$779,분류!B175,Master!$G$2:$G$779,분류!$G$24)</f>
        <v>0</v>
      </c>
      <c r="H175" s="62">
        <f>SUMIFS(Master!$L$2:$L$779,Master!$E$2:$E$779,분류!B175,Master!$G$2:$G$779,분류!$H$24)</f>
        <v>0</v>
      </c>
      <c r="I175" s="62">
        <f>SUMIFS(Master!$L$2:$L$779,Master!$E$2:$E$779,분류!B175,Master!$G$2:$G$779,분류!$I$24)</f>
        <v>0</v>
      </c>
      <c r="J175" s="47">
        <f>SUMIF(Master!$E$2:$E$779,분류!B175,Master!$Q$2:$Q$779)</f>
        <v>70000</v>
      </c>
      <c r="K175" s="121"/>
    </row>
    <row r="176" spans="1:11">
      <c r="A176" s="14">
        <f t="shared" si="12"/>
        <v>131</v>
      </c>
      <c r="B176" s="63" t="s">
        <v>2126</v>
      </c>
      <c r="C176" s="61">
        <f>SUMIF(Master!$E$2:$E$779,분류!B176,Master!$L$2:$L$779)</f>
        <v>0</v>
      </c>
      <c r="D176" s="62">
        <f>SUMIFS(Master!$L$2:$L$779,Master!$E$2:$E$779,분류!B176,Master!$G$2:$G$779,분류!$D$24)</f>
        <v>0</v>
      </c>
      <c r="E176" s="62">
        <f>SUMIFS(Master!$L$2:$L$779,Master!$E$2:$E$779,분류!B176,Master!$G$2:$G$779,분류!$E$24)</f>
        <v>0</v>
      </c>
      <c r="F176" s="62">
        <f>SUMIFS(Master!$L$2:$L$779,Master!$E$2:$E$779,분류!B176,Master!$G$2:$G$779,분류!$F$24)</f>
        <v>0</v>
      </c>
      <c r="G176" s="62">
        <f>SUMIFS(Master!$L$2:$L$779,Master!$E$2:$E$779,분류!B176,Master!$G$2:$G$779,분류!$G$24)</f>
        <v>0</v>
      </c>
      <c r="H176" s="62">
        <f>SUMIFS(Master!$L$2:$L$779,Master!$E$2:$E$779,분류!B176,Master!$G$2:$G$779,분류!$H$24)</f>
        <v>0</v>
      </c>
      <c r="I176" s="62">
        <f>SUMIFS(Master!$L$2:$L$779,Master!$E$2:$E$779,분류!B176,Master!$G$2:$G$779,분류!$I$24)</f>
        <v>0</v>
      </c>
      <c r="J176" s="47">
        <f>SUMIF(Master!$E$2:$E$779,분류!B176,Master!$Q$2:$Q$779)</f>
        <v>0</v>
      </c>
      <c r="K176" s="121"/>
    </row>
    <row r="177" spans="1:11">
      <c r="A177" s="14">
        <f t="shared" si="12"/>
        <v>131</v>
      </c>
      <c r="B177" s="63" t="s">
        <v>2105</v>
      </c>
      <c r="C177" s="61">
        <f>SUMIF(Master!$E$2:$E$779,분류!B177,Master!$L$2:$L$779)</f>
        <v>0</v>
      </c>
      <c r="D177" s="62">
        <f>SUMIFS(Master!$L$2:$L$779,Master!$E$2:$E$779,분류!B177,Master!$G$2:$G$779,분류!$D$24)</f>
        <v>0</v>
      </c>
      <c r="E177" s="62">
        <f>SUMIFS(Master!$L$2:$L$779,Master!$E$2:$E$779,분류!B177,Master!$G$2:$G$779,분류!$E$24)</f>
        <v>0</v>
      </c>
      <c r="F177" s="62">
        <f>SUMIFS(Master!$L$2:$L$779,Master!$E$2:$E$779,분류!B177,Master!$G$2:$G$779,분류!$F$24)</f>
        <v>0</v>
      </c>
      <c r="G177" s="62">
        <f>SUMIFS(Master!$L$2:$L$779,Master!$E$2:$E$779,분류!B177,Master!$G$2:$G$779,분류!$G$24)</f>
        <v>0</v>
      </c>
      <c r="H177" s="62">
        <f>SUMIFS(Master!$L$2:$L$779,Master!$E$2:$E$779,분류!B177,Master!$G$2:$G$779,분류!$H$24)</f>
        <v>0</v>
      </c>
      <c r="I177" s="62">
        <f>SUMIFS(Master!$L$2:$L$779,Master!$E$2:$E$779,분류!B177,Master!$G$2:$G$779,분류!$I$24)</f>
        <v>0</v>
      </c>
      <c r="J177" s="47">
        <f>SUMIF(Master!$E$2:$E$779,분류!B177,Master!$Q$2:$Q$779)</f>
        <v>0</v>
      </c>
      <c r="K177" s="121"/>
    </row>
    <row r="178" spans="1:11">
      <c r="A178" s="14">
        <f t="shared" si="12"/>
        <v>44</v>
      </c>
      <c r="B178" s="63" t="s">
        <v>2213</v>
      </c>
      <c r="C178" s="61">
        <f>SUMIF(Master!$E$2:$E$779,분류!B178,Master!$L$2:$L$779)</f>
        <v>9246500</v>
      </c>
      <c r="D178" s="62">
        <f>SUMIFS(Master!$L$2:$L$779,Master!$E$2:$E$779,분류!B178,Master!$G$2:$G$779,분류!$D$24)</f>
        <v>0</v>
      </c>
      <c r="E178" s="62">
        <f>SUMIFS(Master!$L$2:$L$779,Master!$E$2:$E$779,분류!B178,Master!$G$2:$G$779,분류!$E$24)</f>
        <v>9246500</v>
      </c>
      <c r="F178" s="62">
        <f>SUMIFS(Master!$L$2:$L$779,Master!$E$2:$E$779,분류!B178,Master!$G$2:$G$779,분류!$F$24)</f>
        <v>0</v>
      </c>
      <c r="G178" s="62">
        <f>SUMIFS(Master!$L$2:$L$779,Master!$E$2:$E$779,분류!B178,Master!$G$2:$G$779,분류!$G$24)</f>
        <v>0</v>
      </c>
      <c r="H178" s="62">
        <f>SUMIFS(Master!$L$2:$L$779,Master!$E$2:$E$779,분류!B178,Master!$G$2:$G$779,분류!$H$24)</f>
        <v>0</v>
      </c>
      <c r="I178" s="62">
        <f>SUMIFS(Master!$L$2:$L$779,Master!$E$2:$E$779,분류!B178,Master!$G$2:$G$779,분류!$I$24)</f>
        <v>0</v>
      </c>
      <c r="J178" s="47">
        <f>SUMIF(Master!$E$2:$E$779,분류!B178,Master!$Q$2:$Q$779)</f>
        <v>1557008</v>
      </c>
      <c r="K178" s="121"/>
    </row>
    <row r="179" spans="1:11">
      <c r="A179" s="14">
        <f t="shared" si="12"/>
        <v>63</v>
      </c>
      <c r="B179" s="63" t="s">
        <v>68</v>
      </c>
      <c r="C179" s="61">
        <f>SUMIF(Master!$E$2:$E$779,분류!B179,Master!$L$2:$L$779)</f>
        <v>4200000</v>
      </c>
      <c r="D179" s="62">
        <f>SUMIFS(Master!$L$2:$L$779,Master!$E$2:$E$779,분류!B179,Master!$G$2:$G$779,분류!$D$24)</f>
        <v>0</v>
      </c>
      <c r="E179" s="62">
        <f>SUMIFS(Master!$L$2:$L$779,Master!$E$2:$E$779,분류!B179,Master!$G$2:$G$779,분류!$E$24)</f>
        <v>4200000</v>
      </c>
      <c r="F179" s="62">
        <f>SUMIFS(Master!$L$2:$L$779,Master!$E$2:$E$779,분류!B179,Master!$G$2:$G$779,분류!$F$24)</f>
        <v>0</v>
      </c>
      <c r="G179" s="62">
        <f>SUMIFS(Master!$L$2:$L$779,Master!$E$2:$E$779,분류!B179,Master!$G$2:$G$779,분류!$G$24)</f>
        <v>0</v>
      </c>
      <c r="H179" s="62">
        <f>SUMIFS(Master!$L$2:$L$779,Master!$E$2:$E$779,분류!B179,Master!$G$2:$G$779,분류!$H$24)</f>
        <v>0</v>
      </c>
      <c r="I179" s="62">
        <f>SUMIFS(Master!$L$2:$L$779,Master!$E$2:$E$779,분류!B179,Master!$G$2:$G$779,분류!$I$24)</f>
        <v>0</v>
      </c>
      <c r="J179" s="47">
        <f>SUMIF(Master!$E$2:$E$779,분류!B179,Master!$Q$2:$Q$779)</f>
        <v>1203000</v>
      </c>
      <c r="K179" s="121"/>
    </row>
    <row r="180" spans="1:11">
      <c r="A180" s="14">
        <f t="shared" si="12"/>
        <v>42</v>
      </c>
      <c r="B180" s="63" t="s">
        <v>1268</v>
      </c>
      <c r="C180" s="61">
        <f>SUMIF(Master!$E$2:$E$779,분류!B180,Master!$L$2:$L$779)</f>
        <v>9360000</v>
      </c>
      <c r="D180" s="62">
        <f>SUMIFS(Master!$L$2:$L$779,Master!$E$2:$E$779,분류!B180,Master!$G$2:$G$779,분류!$D$24)</f>
        <v>9360000</v>
      </c>
      <c r="E180" s="62">
        <f>SUMIFS(Master!$L$2:$L$779,Master!$E$2:$E$779,분류!B180,Master!$G$2:$G$779,분류!$E$24)</f>
        <v>0</v>
      </c>
      <c r="F180" s="62">
        <f>SUMIFS(Master!$L$2:$L$779,Master!$E$2:$E$779,분류!B180,Master!$G$2:$G$779,분류!$F$24)</f>
        <v>0</v>
      </c>
      <c r="G180" s="62">
        <f>SUMIFS(Master!$L$2:$L$779,Master!$E$2:$E$779,분류!B180,Master!$G$2:$G$779,분류!$G$24)</f>
        <v>0</v>
      </c>
      <c r="H180" s="62">
        <f>SUMIFS(Master!$L$2:$L$779,Master!$E$2:$E$779,분류!B180,Master!$G$2:$G$779,분류!$H$24)</f>
        <v>0</v>
      </c>
      <c r="I180" s="62">
        <f>SUMIFS(Master!$L$2:$L$779,Master!$E$2:$E$779,분류!B180,Master!$G$2:$G$779,분류!$I$24)</f>
        <v>0</v>
      </c>
      <c r="J180" s="47">
        <f>SUMIF(Master!$E$2:$E$779,분류!B180,Master!$Q$2:$Q$779)</f>
        <v>7026746</v>
      </c>
      <c r="K180" s="121"/>
    </row>
    <row r="181" spans="1:11">
      <c r="A181" s="14">
        <f t="shared" si="12"/>
        <v>131</v>
      </c>
      <c r="B181" s="63" t="s">
        <v>2130</v>
      </c>
      <c r="C181" s="61">
        <f>SUMIF(Master!$E$2:$E$779,분류!B181,Master!$L$2:$L$779)</f>
        <v>0</v>
      </c>
      <c r="D181" s="62">
        <f>SUMIFS(Master!$L$2:$L$779,Master!$E$2:$E$779,분류!B181,Master!$G$2:$G$779,분류!$D$24)</f>
        <v>0</v>
      </c>
      <c r="E181" s="62">
        <f>SUMIFS(Master!$L$2:$L$779,Master!$E$2:$E$779,분류!B181,Master!$G$2:$G$779,분류!$E$24)</f>
        <v>0</v>
      </c>
      <c r="F181" s="62">
        <f>SUMIFS(Master!$L$2:$L$779,Master!$E$2:$E$779,분류!B181,Master!$G$2:$G$779,분류!$F$24)</f>
        <v>0</v>
      </c>
      <c r="G181" s="62">
        <f>SUMIFS(Master!$L$2:$L$779,Master!$E$2:$E$779,분류!B181,Master!$G$2:$G$779,분류!$G$24)</f>
        <v>0</v>
      </c>
      <c r="H181" s="62">
        <f>SUMIFS(Master!$L$2:$L$779,Master!$E$2:$E$779,분류!B181,Master!$G$2:$G$779,분류!$H$24)</f>
        <v>0</v>
      </c>
      <c r="I181" s="62">
        <f>SUMIFS(Master!$L$2:$L$779,Master!$E$2:$E$779,분류!B181,Master!$G$2:$G$779,분류!$I$24)</f>
        <v>0</v>
      </c>
      <c r="J181" s="47">
        <f>SUMIF(Master!$E$2:$E$779,분류!B181,Master!$Q$2:$Q$779)</f>
        <v>0</v>
      </c>
      <c r="K181" s="121"/>
    </row>
    <row r="182" spans="1:11">
      <c r="A182" s="14">
        <f t="shared" si="12"/>
        <v>101</v>
      </c>
      <c r="B182" s="64" t="s">
        <v>266</v>
      </c>
      <c r="C182" s="61">
        <f>SUMIF(Master!$E$2:$E$779,분류!B182,Master!$L$2:$L$779)</f>
        <v>1136164</v>
      </c>
      <c r="D182" s="62">
        <f>SUMIFS(Master!$L$2:$L$779,Master!$E$2:$E$779,분류!B182,Master!$G$2:$G$779,분류!$D$24)</f>
        <v>0</v>
      </c>
      <c r="E182" s="62">
        <f>SUMIFS(Master!$L$2:$L$779,Master!$E$2:$E$779,분류!B182,Master!$G$2:$G$779,분류!$E$24)</f>
        <v>0</v>
      </c>
      <c r="F182" s="62">
        <f>SUMIFS(Master!$L$2:$L$779,Master!$E$2:$E$779,분류!B182,Master!$G$2:$G$779,분류!$F$24)</f>
        <v>0</v>
      </c>
      <c r="G182" s="62">
        <f>SUMIFS(Master!$L$2:$L$779,Master!$E$2:$E$779,분류!B182,Master!$G$2:$G$779,분류!$G$24)</f>
        <v>0</v>
      </c>
      <c r="H182" s="62">
        <f>SUMIFS(Master!$L$2:$L$779,Master!$E$2:$E$779,분류!B182,Master!$G$2:$G$779,분류!$H$24)</f>
        <v>0</v>
      </c>
      <c r="I182" s="62">
        <f>SUMIFS(Master!$L$2:$L$779,Master!$E$2:$E$779,분류!B182,Master!$G$2:$G$779,분류!$I$24)</f>
        <v>1136164</v>
      </c>
      <c r="J182" s="47">
        <f>SUMIF(Master!$E$2:$E$779,분류!B182,Master!$Q$2:$Q$779)</f>
        <v>1136164</v>
      </c>
      <c r="K182" s="121"/>
    </row>
    <row r="183" spans="1:11">
      <c r="A183" s="14"/>
      <c r="B183" s="63" t="s">
        <v>182</v>
      </c>
      <c r="C183" s="61">
        <f>B17</f>
        <v>0</v>
      </c>
      <c r="D183" s="62"/>
      <c r="E183" s="62">
        <v>0</v>
      </c>
      <c r="F183" s="62">
        <v>0</v>
      </c>
      <c r="G183" s="62">
        <v>0</v>
      </c>
      <c r="H183" s="62">
        <v>0</v>
      </c>
      <c r="I183" s="62">
        <v>0</v>
      </c>
      <c r="J183" s="47">
        <f>F17</f>
        <v>0</v>
      </c>
      <c r="K183" s="121"/>
    </row>
    <row r="184" spans="1:11">
      <c r="A184" s="14"/>
      <c r="B184" s="63" t="s">
        <v>65</v>
      </c>
      <c r="C184" s="61">
        <f>B18</f>
        <v>0</v>
      </c>
      <c r="D184" s="62">
        <v>0</v>
      </c>
      <c r="E184" s="62">
        <v>0</v>
      </c>
      <c r="F184" s="62">
        <v>0</v>
      </c>
      <c r="G184" s="62">
        <v>0</v>
      </c>
      <c r="H184" s="62">
        <v>0</v>
      </c>
      <c r="I184" s="62">
        <v>0</v>
      </c>
      <c r="J184" s="47">
        <f>F18</f>
        <v>0</v>
      </c>
      <c r="K184" s="121"/>
    </row>
    <row r="185" spans="1:11">
      <c r="C185" s="18"/>
      <c r="D185" s="18"/>
      <c r="E185" s="18"/>
      <c r="F185" s="18"/>
      <c r="G185" s="18"/>
      <c r="H185" s="18"/>
      <c r="I185" s="18"/>
    </row>
    <row r="187" spans="1:11">
      <c r="C187" s="22"/>
    </row>
    <row r="188" spans="1:11">
      <c r="C188" s="22"/>
    </row>
    <row r="208" spans="1:12">
      <c r="A208" s="14"/>
      <c r="B208" s="63" t="s">
        <v>275</v>
      </c>
      <c r="C208" s="61">
        <f>SUMIF(Master!$E$2:$E$779,분류!B208,Master!$L$2:$L$779)</f>
        <v>0</v>
      </c>
      <c r="D208" s="62">
        <f>SUMIFS(Master!$L$2:$L$779,Master!$E$2:$E$779,분류!B208,Master!$G$2:$G$779,분류!$D$24)</f>
        <v>0</v>
      </c>
      <c r="E208" s="62">
        <f>SUMIFS(Master!$L$2:$L$779,Master!$E$2:$E$779,분류!B208,Master!$G$2:$G$779,분류!$E$24)</f>
        <v>0</v>
      </c>
      <c r="F208" s="62">
        <f>SUMIFS(Master!$L$2:$L$779,Master!$E$2:$E$779,분류!B208,Master!$G$2:$G$779,분류!$F$24)</f>
        <v>0</v>
      </c>
      <c r="G208" s="62">
        <f>SUMIFS(Master!$L$2:$L$779,Master!$E$2:$E$779,분류!B208,Master!$G$2:$G$779,분류!$G$24)</f>
        <v>0</v>
      </c>
      <c r="H208" s="62">
        <f>SUMIFS(Master!$L$2:$L$779,Master!$E$2:$E$779,분류!B208,Master!$G$2:$G$779,분류!$H$24)</f>
        <v>0</v>
      </c>
      <c r="I208" s="62">
        <f>SUMIFS(Master!$L$2:$L$779,Master!$E$2:$E$779,분류!B208,Master!$G$2:$G$779,분류!$I$24)</f>
        <v>0</v>
      </c>
      <c r="J208" s="47">
        <f>SUMIF(Master!$E$2:$E$779,분류!B208,Master!$Q$2:$Q$779)</f>
        <v>0</v>
      </c>
      <c r="K208" s="121" t="e">
        <f t="shared" ref="K208:K237" si="13">J208/C208</f>
        <v>#DIV/0!</v>
      </c>
      <c r="L208" s="47"/>
    </row>
    <row r="209" spans="1:12">
      <c r="A209" s="14"/>
      <c r="B209" s="63" t="s">
        <v>370</v>
      </c>
      <c r="C209" s="61">
        <f>SUMIF(Master!$E$2:$E$779,분류!B209,Master!$L$2:$L$779)</f>
        <v>0</v>
      </c>
      <c r="D209" s="62">
        <f>SUMIFS(Master!$L$2:$L$779,Master!$E$2:$E$779,분류!B209,Master!$G$2:$G$779,분류!$D$24)</f>
        <v>0</v>
      </c>
      <c r="E209" s="62">
        <f>SUMIFS(Master!$L$2:$L$779,Master!$E$2:$E$779,분류!B209,Master!$G$2:$G$779,분류!$E$24)</f>
        <v>0</v>
      </c>
      <c r="F209" s="62">
        <f>SUMIFS(Master!$L$2:$L$779,Master!$E$2:$E$779,분류!B209,Master!$G$2:$G$779,분류!$F$24)</f>
        <v>0</v>
      </c>
      <c r="G209" s="62">
        <f>SUMIFS(Master!$L$2:$L$779,Master!$E$2:$E$779,분류!B209,Master!$G$2:$G$779,분류!$G$24)</f>
        <v>0</v>
      </c>
      <c r="H209" s="62">
        <f>SUMIFS(Master!$L$2:$L$779,Master!$E$2:$E$779,분류!B209,Master!$G$2:$G$779,분류!$H$24)</f>
        <v>0</v>
      </c>
      <c r="I209" s="62">
        <f>SUMIFS(Master!$L$2:$L$779,Master!$E$2:$E$779,분류!B209,Master!$G$2:$G$779,분류!$I$24)</f>
        <v>0</v>
      </c>
      <c r="J209" s="47">
        <f>SUMIF(Master!$E$2:$E$779,분류!B209,Master!$Q$2:$Q$779)</f>
        <v>0</v>
      </c>
      <c r="K209" s="121" t="e">
        <f t="shared" si="13"/>
        <v>#DIV/0!</v>
      </c>
      <c r="L209" s="47"/>
    </row>
    <row r="210" spans="1:12">
      <c r="A210" s="14"/>
      <c r="B210" s="63" t="s">
        <v>225</v>
      </c>
      <c r="C210" s="61">
        <f>SUMIF(Master!$E$2:$E$779,분류!B210,Master!$L$2:$L$779)</f>
        <v>0</v>
      </c>
      <c r="D210" s="62">
        <f>SUMIFS(Master!$L$2:$L$779,Master!$E$2:$E$779,분류!B210,Master!$G$2:$G$779,분류!$D$24)</f>
        <v>0</v>
      </c>
      <c r="E210" s="62">
        <f>SUMIFS(Master!$L$2:$L$779,Master!$E$2:$E$779,분류!B210,Master!$G$2:$G$779,분류!$E$24)</f>
        <v>0</v>
      </c>
      <c r="F210" s="62">
        <f>SUMIFS(Master!$L$2:$L$779,Master!$E$2:$E$779,분류!B210,Master!$G$2:$G$779,분류!$F$24)</f>
        <v>0</v>
      </c>
      <c r="G210" s="62">
        <f>SUMIFS(Master!$L$2:$L$779,Master!$E$2:$E$779,분류!B210,Master!$G$2:$G$779,분류!$G$24)</f>
        <v>0</v>
      </c>
      <c r="H210" s="62">
        <f>SUMIFS(Master!$L$2:$L$779,Master!$E$2:$E$779,분류!B210,Master!$G$2:$G$779,분류!$H$24)</f>
        <v>0</v>
      </c>
      <c r="I210" s="62">
        <f>SUMIFS(Master!$L$2:$L$779,Master!$E$2:$E$779,분류!B210,Master!$G$2:$G$779,분류!$I$24)</f>
        <v>0</v>
      </c>
      <c r="J210" s="47">
        <f>SUMIF(Master!$E$2:$E$779,분류!B210,Master!$Q$2:$Q$779)</f>
        <v>0</v>
      </c>
      <c r="K210" s="121" t="e">
        <f t="shared" si="13"/>
        <v>#DIV/0!</v>
      </c>
      <c r="L210" s="47"/>
    </row>
    <row r="211" spans="1:12">
      <c r="A211" s="14"/>
      <c r="B211" s="63" t="s">
        <v>223</v>
      </c>
      <c r="C211" s="61">
        <f>SUMIF(Master!$E$2:$E$779,분류!B211,Master!$L$2:$L$779)</f>
        <v>0</v>
      </c>
      <c r="D211" s="62">
        <f>SUMIFS(Master!$L$2:$L$779,Master!$E$2:$E$779,분류!B211,Master!$G$2:$G$779,분류!$D$24)</f>
        <v>0</v>
      </c>
      <c r="E211" s="62">
        <f>SUMIFS(Master!$L$2:$L$779,Master!$E$2:$E$779,분류!B211,Master!$G$2:$G$779,분류!$E$24)</f>
        <v>0</v>
      </c>
      <c r="F211" s="62">
        <f>SUMIFS(Master!$L$2:$L$779,Master!$E$2:$E$779,분류!B211,Master!$G$2:$G$779,분류!$F$24)</f>
        <v>0</v>
      </c>
      <c r="G211" s="62">
        <f>SUMIFS(Master!$L$2:$L$779,Master!$E$2:$E$779,분류!B211,Master!$G$2:$G$779,분류!$G$24)</f>
        <v>0</v>
      </c>
      <c r="H211" s="62">
        <f>SUMIFS(Master!$L$2:$L$779,Master!$E$2:$E$779,분류!B211,Master!$G$2:$G$779,분류!$H$24)</f>
        <v>0</v>
      </c>
      <c r="I211" s="62">
        <f>SUMIFS(Master!$L$2:$L$779,Master!$E$2:$E$779,분류!B211,Master!$G$2:$G$779,분류!$I$24)</f>
        <v>0</v>
      </c>
      <c r="J211" s="47">
        <f>SUMIF(Master!$E$2:$E$779,분류!B211,Master!$Q$2:$Q$779)</f>
        <v>0</v>
      </c>
      <c r="K211" s="121" t="e">
        <f t="shared" si="13"/>
        <v>#DIV/0!</v>
      </c>
      <c r="L211" s="47"/>
    </row>
    <row r="212" spans="1:12">
      <c r="A212" s="14"/>
      <c r="B212" t="s">
        <v>280</v>
      </c>
      <c r="C212" s="61">
        <f>SUMIF(Master!$E$2:$E$779,분류!B212,Master!$L$2:$L$779)</f>
        <v>0</v>
      </c>
      <c r="D212" s="62">
        <f>SUMIFS(Master!$L$2:$L$779,Master!$E$2:$E$779,분류!B212,Master!$G$2:$G$779,분류!$D$24)</f>
        <v>0</v>
      </c>
      <c r="E212" s="62">
        <f>SUMIFS(Master!$L$2:$L$779,Master!$E$2:$E$779,분류!B212,Master!$G$2:$G$779,분류!$E$24)</f>
        <v>0</v>
      </c>
      <c r="F212" s="62">
        <f>SUMIFS(Master!$L$2:$L$779,Master!$E$2:$E$779,분류!B212,Master!$G$2:$G$779,분류!$F$24)</f>
        <v>0</v>
      </c>
      <c r="G212" s="62">
        <f>SUMIFS(Master!$L$2:$L$779,Master!$E$2:$E$779,분류!B212,Master!$G$2:$G$779,분류!$G$24)</f>
        <v>0</v>
      </c>
      <c r="H212" s="62">
        <f>SUMIFS(Master!$L$2:$L$779,Master!$E$2:$E$779,분류!B212,Master!$G$2:$G$779,분류!$H$24)</f>
        <v>0</v>
      </c>
      <c r="I212" s="62">
        <f>SUMIFS(Master!$L$2:$L$779,Master!$E$2:$E$779,분류!B212,Master!$G$2:$G$779,분류!$I$24)</f>
        <v>0</v>
      </c>
      <c r="J212" s="47">
        <f>SUMIF(Master!$E$2:$E$779,분류!B212,Master!$Q$2:$Q$779)</f>
        <v>0</v>
      </c>
      <c r="K212" s="121" t="e">
        <f t="shared" si="13"/>
        <v>#DIV/0!</v>
      </c>
    </row>
    <row r="213" spans="1:12">
      <c r="A213" s="14"/>
      <c r="B213" s="63" t="s">
        <v>39</v>
      </c>
      <c r="C213" s="61">
        <f>SUMIF(Master!$E$2:$E$779,분류!B213,Master!$L$2:$L$779)</f>
        <v>0</v>
      </c>
      <c r="D213" s="62">
        <f>SUMIFS(Master!$L$2:$L$779,Master!$E$2:$E$779,분류!B213,Master!$G$2:$G$779,분류!$D$24)</f>
        <v>0</v>
      </c>
      <c r="E213" s="62">
        <f>SUMIFS(Master!$L$2:$L$779,Master!$E$2:$E$779,분류!B213,Master!$G$2:$G$779,분류!$E$24)</f>
        <v>0</v>
      </c>
      <c r="F213" s="62">
        <f>SUMIFS(Master!$L$2:$L$779,Master!$E$2:$E$779,분류!B213,Master!$G$2:$G$779,분류!$F$24)</f>
        <v>0</v>
      </c>
      <c r="G213" s="62">
        <f>SUMIFS(Master!$L$2:$L$779,Master!$E$2:$E$779,분류!B213,Master!$G$2:$G$779,분류!$G$24)</f>
        <v>0</v>
      </c>
      <c r="H213" s="62">
        <f>SUMIFS(Master!$L$2:$L$779,Master!$E$2:$E$779,분류!B213,Master!$G$2:$G$779,분류!$H$24)</f>
        <v>0</v>
      </c>
      <c r="I213" s="62">
        <f>SUMIFS(Master!$L$2:$L$779,Master!$E$2:$E$779,분류!B213,Master!$G$2:$G$779,분류!$I$24)</f>
        <v>0</v>
      </c>
      <c r="J213" s="47">
        <f>SUMIF(Master!$E$2:$E$779,분류!B213,Master!$Q$2:$Q$779)</f>
        <v>0</v>
      </c>
      <c r="K213" s="121" t="e">
        <f t="shared" si="13"/>
        <v>#DIV/0!</v>
      </c>
      <c r="L213" s="47"/>
    </row>
    <row r="214" spans="1:12">
      <c r="A214" s="14"/>
      <c r="B214" s="63" t="s">
        <v>6</v>
      </c>
      <c r="C214" s="61">
        <f>SUMIF(Master!$E$2:$E$779,분류!B214,Master!$L$2:$L$779)</f>
        <v>0</v>
      </c>
      <c r="D214" s="62">
        <f>SUMIFS(Master!$L$2:$L$779,Master!$E$2:$E$779,분류!B214,Master!$G$2:$G$779,분류!$D$24)</f>
        <v>0</v>
      </c>
      <c r="E214" s="62">
        <f>SUMIFS(Master!$L$2:$L$779,Master!$E$2:$E$779,분류!B214,Master!$G$2:$G$779,분류!$E$24)</f>
        <v>0</v>
      </c>
      <c r="F214" s="62">
        <f>SUMIFS(Master!$L$2:$L$779,Master!$E$2:$E$779,분류!B214,Master!$G$2:$G$779,분류!$F$24)</f>
        <v>0</v>
      </c>
      <c r="G214" s="62">
        <f>SUMIFS(Master!$L$2:$L$779,Master!$E$2:$E$779,분류!B214,Master!$G$2:$G$779,분류!$G$24)</f>
        <v>0</v>
      </c>
      <c r="H214" s="62">
        <f>SUMIFS(Master!$L$2:$L$779,Master!$E$2:$E$779,분류!B214,Master!$G$2:$G$779,분류!$H$24)</f>
        <v>0</v>
      </c>
      <c r="I214" s="62">
        <f>SUMIFS(Master!$L$2:$L$779,Master!$E$2:$E$779,분류!B214,Master!$G$2:$G$779,분류!$I$24)</f>
        <v>0</v>
      </c>
      <c r="J214" s="47">
        <f>SUMIF(Master!$E$2:$E$779,분류!B214,Master!$Q$2:$Q$779)</f>
        <v>0</v>
      </c>
      <c r="K214" s="121" t="e">
        <f t="shared" si="13"/>
        <v>#DIV/0!</v>
      </c>
      <c r="L214" s="47"/>
    </row>
    <row r="215" spans="1:12">
      <c r="A215" s="14"/>
      <c r="B215" s="63" t="s">
        <v>106</v>
      </c>
      <c r="C215" s="61">
        <f>SUMIF(Master!$E$2:$E$779,분류!B215,Master!$L$2:$L$779)</f>
        <v>0</v>
      </c>
      <c r="D215" s="62">
        <f>SUMIFS(Master!$L$2:$L$779,Master!$E$2:$E$779,분류!B215,Master!$G$2:$G$779,분류!$D$24)</f>
        <v>0</v>
      </c>
      <c r="E215" s="62">
        <f>SUMIFS(Master!$L$2:$L$779,Master!$E$2:$E$779,분류!B215,Master!$G$2:$G$779,분류!$E$24)</f>
        <v>0</v>
      </c>
      <c r="F215" s="62">
        <f>SUMIFS(Master!$L$2:$L$779,Master!$E$2:$E$779,분류!B215,Master!$G$2:$G$779,분류!$F$24)</f>
        <v>0</v>
      </c>
      <c r="G215" s="62">
        <f>SUMIFS(Master!$L$2:$L$779,Master!$E$2:$E$779,분류!B215,Master!$G$2:$G$779,분류!$G$24)</f>
        <v>0</v>
      </c>
      <c r="H215" s="62">
        <f>SUMIFS(Master!$L$2:$L$779,Master!$E$2:$E$779,분류!B215,Master!$G$2:$G$779,분류!$H$24)</f>
        <v>0</v>
      </c>
      <c r="I215" s="62">
        <f>SUMIFS(Master!$L$2:$L$779,Master!$E$2:$E$779,분류!B215,Master!$G$2:$G$779,분류!$I$24)</f>
        <v>0</v>
      </c>
      <c r="J215" s="47">
        <f>SUMIF(Master!$E$2:$E$779,분류!B215,Master!$Q$2:$Q$779)</f>
        <v>0</v>
      </c>
      <c r="K215" s="121" t="e">
        <f t="shared" si="13"/>
        <v>#DIV/0!</v>
      </c>
      <c r="L215" s="47"/>
    </row>
    <row r="216" spans="1:12">
      <c r="A216" s="14"/>
      <c r="B216" s="63" t="s">
        <v>203</v>
      </c>
      <c r="C216" s="61">
        <f>SUMIF(Master!$E$2:$E$779,분류!B216,Master!$L$2:$L$779)</f>
        <v>0</v>
      </c>
      <c r="D216" s="62">
        <f>SUMIFS(Master!$L$2:$L$779,Master!$E$2:$E$779,분류!B216,Master!$G$2:$G$779,분류!$D$24)</f>
        <v>0</v>
      </c>
      <c r="E216" s="62">
        <f>SUMIFS(Master!$L$2:$L$779,Master!$E$2:$E$779,분류!B216,Master!$G$2:$G$779,분류!$E$24)</f>
        <v>0</v>
      </c>
      <c r="F216" s="62">
        <f>SUMIFS(Master!$L$2:$L$779,Master!$E$2:$E$779,분류!B216,Master!$G$2:$G$779,분류!$F$24)</f>
        <v>0</v>
      </c>
      <c r="G216" s="62">
        <f>SUMIFS(Master!$L$2:$L$779,Master!$E$2:$E$779,분류!B216,Master!$G$2:$G$779,분류!$G$24)</f>
        <v>0</v>
      </c>
      <c r="H216" s="62">
        <f>SUMIFS(Master!$L$2:$L$779,Master!$E$2:$E$779,분류!B216,Master!$G$2:$G$779,분류!$H$24)</f>
        <v>0</v>
      </c>
      <c r="I216" s="62">
        <f>SUMIFS(Master!$L$2:$L$779,Master!$E$2:$E$779,분류!B216,Master!$G$2:$G$779,분류!$I$24)</f>
        <v>0</v>
      </c>
      <c r="J216" s="47">
        <f>SUMIF(Master!$E$2:$E$779,분류!B216,Master!$Q$2:$Q$779)</f>
        <v>0</v>
      </c>
      <c r="K216" s="121" t="e">
        <f t="shared" si="13"/>
        <v>#DIV/0!</v>
      </c>
      <c r="L216" s="47"/>
    </row>
    <row r="217" spans="1:12">
      <c r="A217" s="14"/>
      <c r="B217" s="63" t="s">
        <v>314</v>
      </c>
      <c r="C217" s="61">
        <f>SUMIF(Master!$E$2:$E$779,분류!B217,Master!$L$2:$L$779)</f>
        <v>0</v>
      </c>
      <c r="D217" s="62">
        <f>SUMIFS(Master!$L$2:$L$779,Master!$E$2:$E$779,분류!B217,Master!$G$2:$G$779,분류!$D$24)</f>
        <v>0</v>
      </c>
      <c r="E217" s="62">
        <f>SUMIFS(Master!$L$2:$L$779,Master!$E$2:$E$779,분류!B217,Master!$G$2:$G$779,분류!$E$24)</f>
        <v>0</v>
      </c>
      <c r="F217" s="62">
        <f>SUMIFS(Master!$L$2:$L$779,Master!$E$2:$E$779,분류!B217,Master!$G$2:$G$779,분류!$F$24)</f>
        <v>0</v>
      </c>
      <c r="G217" s="62">
        <f>SUMIFS(Master!$L$2:$L$779,Master!$E$2:$E$779,분류!B217,Master!$G$2:$G$779,분류!$G$24)</f>
        <v>0</v>
      </c>
      <c r="H217" s="62">
        <f>SUMIFS(Master!$L$2:$L$779,Master!$E$2:$E$779,분류!B217,Master!$G$2:$G$779,분류!$H$24)</f>
        <v>0</v>
      </c>
      <c r="I217" s="62">
        <f>SUMIFS(Master!$L$2:$L$779,Master!$E$2:$E$779,분류!B217,Master!$G$2:$G$779,분류!$I$24)</f>
        <v>0</v>
      </c>
      <c r="J217" s="47">
        <f>SUMIF(Master!$E$2:$E$779,분류!B217,Master!$Q$2:$Q$779)</f>
        <v>0</v>
      </c>
      <c r="K217" s="121" t="e">
        <f t="shared" si="13"/>
        <v>#DIV/0!</v>
      </c>
      <c r="L217" s="47"/>
    </row>
    <row r="218" spans="1:12">
      <c r="A218" s="14"/>
      <c r="B218" s="63" t="s">
        <v>298</v>
      </c>
      <c r="C218" s="61">
        <f>SUMIF(Master!$E$2:$E$779,분류!B218,Master!$L$2:$L$779)</f>
        <v>0</v>
      </c>
      <c r="D218" s="62">
        <f>SUMIFS(Master!$L$2:$L$779,Master!$E$2:$E$779,분류!B218,Master!$G$2:$G$779,분류!$D$24)</f>
        <v>0</v>
      </c>
      <c r="E218" s="62">
        <f>SUMIFS(Master!$L$2:$L$779,Master!$E$2:$E$779,분류!B218,Master!$G$2:$G$779,분류!$E$24)</f>
        <v>0</v>
      </c>
      <c r="F218" s="62">
        <f>SUMIFS(Master!$L$2:$L$779,Master!$E$2:$E$779,분류!B218,Master!$G$2:$G$779,분류!$F$24)</f>
        <v>0</v>
      </c>
      <c r="G218" s="62">
        <f>SUMIFS(Master!$L$2:$L$779,Master!$E$2:$E$779,분류!B218,Master!$G$2:$G$779,분류!$G$24)</f>
        <v>0</v>
      </c>
      <c r="H218" s="62">
        <f>SUMIFS(Master!$L$2:$L$779,Master!$E$2:$E$779,분류!B218,Master!$G$2:$G$779,분류!$H$24)</f>
        <v>0</v>
      </c>
      <c r="I218" s="62">
        <f>SUMIFS(Master!$L$2:$L$779,Master!$E$2:$E$779,분류!B218,Master!$G$2:$G$779,분류!$I$24)</f>
        <v>0</v>
      </c>
      <c r="J218" s="47">
        <f>SUMIF(Master!$E$2:$E$779,분류!B218,Master!$Q$2:$Q$779)</f>
        <v>0</v>
      </c>
      <c r="K218" s="121" t="e">
        <f t="shared" si="13"/>
        <v>#DIV/0!</v>
      </c>
      <c r="L218" s="47"/>
    </row>
    <row r="219" spans="1:12">
      <c r="A219" s="14"/>
      <c r="B219" s="63" t="s">
        <v>40</v>
      </c>
      <c r="C219" s="61">
        <f>SUMIF(Master!$E$2:$E$779,분류!B219,Master!$L$2:$L$779)</f>
        <v>0</v>
      </c>
      <c r="D219" s="62">
        <f>SUMIFS(Master!$L$2:$L$779,Master!$E$2:$E$779,분류!B219,Master!$G$2:$G$779,분류!$D$24)</f>
        <v>0</v>
      </c>
      <c r="E219" s="62">
        <f>SUMIFS(Master!$L$2:$L$779,Master!$E$2:$E$779,분류!B219,Master!$G$2:$G$779,분류!$E$24)</f>
        <v>0</v>
      </c>
      <c r="F219" s="62">
        <f>SUMIFS(Master!$L$2:$L$779,Master!$E$2:$E$779,분류!B219,Master!$G$2:$G$779,분류!$F$24)</f>
        <v>0</v>
      </c>
      <c r="G219" s="62">
        <f>SUMIFS(Master!$L$2:$L$779,Master!$E$2:$E$779,분류!B219,Master!$G$2:$G$779,분류!$G$24)</f>
        <v>0</v>
      </c>
      <c r="H219" s="62">
        <f>SUMIFS(Master!$L$2:$L$779,Master!$E$2:$E$779,분류!B219,Master!$G$2:$G$779,분류!$H$24)</f>
        <v>0</v>
      </c>
      <c r="I219" s="62">
        <f>SUMIFS(Master!$L$2:$L$779,Master!$E$2:$E$779,분류!B219,Master!$G$2:$G$779,분류!$I$24)</f>
        <v>0</v>
      </c>
      <c r="J219" s="47">
        <f>SUMIF(Master!$E$2:$E$779,분류!B219,Master!$Q$2:$Q$779)</f>
        <v>0</v>
      </c>
      <c r="K219" s="121" t="e">
        <f t="shared" si="13"/>
        <v>#DIV/0!</v>
      </c>
      <c r="L219" s="47"/>
    </row>
    <row r="220" spans="1:12">
      <c r="A220" s="14"/>
      <c r="B220" s="63" t="s">
        <v>2168</v>
      </c>
      <c r="C220" s="61">
        <f>SUMIF(Master!$E$2:$E$779,분류!B220,Master!$L$2:$L$779)</f>
        <v>0</v>
      </c>
      <c r="D220" s="62">
        <f>SUMIFS(Master!$L$2:$L$779,Master!$E$2:$E$779,분류!B220,Master!$G$2:$G$779,분류!$D$24)</f>
        <v>0</v>
      </c>
      <c r="E220" s="62">
        <f>SUMIFS(Master!$L$2:$L$779,Master!$E$2:$E$779,분류!B220,Master!$G$2:$G$779,분류!$E$24)</f>
        <v>0</v>
      </c>
      <c r="F220" s="62">
        <f>SUMIFS(Master!$L$2:$L$779,Master!$E$2:$E$779,분류!B220,Master!$G$2:$G$779,분류!$F$24)</f>
        <v>0</v>
      </c>
      <c r="G220" s="62">
        <f>SUMIFS(Master!$L$2:$L$779,Master!$E$2:$E$779,분류!B220,Master!$G$2:$G$779,분류!$G$24)</f>
        <v>0</v>
      </c>
      <c r="H220" s="62">
        <f>SUMIFS(Master!$L$2:$L$779,Master!$E$2:$E$779,분류!B220,Master!$G$2:$G$779,분류!$H$24)</f>
        <v>0</v>
      </c>
      <c r="I220" s="62">
        <f>SUMIFS(Master!$L$2:$L$779,Master!$E$2:$E$779,분류!B220,Master!$G$2:$G$779,분류!$I$24)</f>
        <v>0</v>
      </c>
      <c r="J220" s="47">
        <f>SUMIF(Master!$E$2:$E$779,분류!B220,Master!$Q$2:$Q$779)</f>
        <v>0</v>
      </c>
      <c r="K220" s="121" t="e">
        <f t="shared" si="13"/>
        <v>#DIV/0!</v>
      </c>
      <c r="L220" s="47"/>
    </row>
    <row r="221" spans="1:12">
      <c r="A221" s="14"/>
      <c r="B221" s="63" t="s">
        <v>361</v>
      </c>
      <c r="C221" s="61">
        <f>SUMIF(Master!$E$2:$E$779,분류!B221,Master!$L$2:$L$779)</f>
        <v>0</v>
      </c>
      <c r="D221" s="62">
        <f>SUMIFS(Master!$L$2:$L$779,Master!$E$2:$E$779,분류!B221,Master!$G$2:$G$779,분류!$D$24)</f>
        <v>0</v>
      </c>
      <c r="E221" s="62">
        <f>SUMIFS(Master!$L$2:$L$779,Master!$E$2:$E$779,분류!B221,Master!$G$2:$G$779,분류!$E$24)</f>
        <v>0</v>
      </c>
      <c r="F221" s="62">
        <f>SUMIFS(Master!$L$2:$L$779,Master!$E$2:$E$779,분류!B221,Master!$G$2:$G$779,분류!$F$24)</f>
        <v>0</v>
      </c>
      <c r="G221" s="62">
        <f>SUMIFS(Master!$L$2:$L$779,Master!$E$2:$E$779,분류!B221,Master!$G$2:$G$779,분류!$G$24)</f>
        <v>0</v>
      </c>
      <c r="H221" s="62">
        <f>SUMIFS(Master!$L$2:$L$779,Master!$E$2:$E$779,분류!B221,Master!$G$2:$G$779,분류!$H$24)</f>
        <v>0</v>
      </c>
      <c r="I221" s="62">
        <f>SUMIFS(Master!$L$2:$L$779,Master!$E$2:$E$779,분류!B221,Master!$G$2:$G$779,분류!$I$24)</f>
        <v>0</v>
      </c>
      <c r="J221" s="47">
        <f>SUMIF(Master!$E$2:$E$779,분류!B221,Master!$Q$2:$Q$779)</f>
        <v>0</v>
      </c>
      <c r="K221" s="121" t="e">
        <f t="shared" si="13"/>
        <v>#DIV/0!</v>
      </c>
      <c r="L221" s="47"/>
    </row>
    <row r="222" spans="1:12">
      <c r="A222" s="14"/>
      <c r="B222" s="63" t="s">
        <v>9</v>
      </c>
      <c r="C222" s="61">
        <f>SUMIF(Master!$E$2:$E$779,분류!B222,Master!$L$2:$L$779)</f>
        <v>0</v>
      </c>
      <c r="D222" s="62">
        <f>SUMIFS(Master!$L$2:$L$779,Master!$E$2:$E$779,분류!B222,Master!$G$2:$G$779,분류!$D$24)</f>
        <v>0</v>
      </c>
      <c r="E222" s="62">
        <f>SUMIFS(Master!$L$2:$L$779,Master!$E$2:$E$779,분류!B222,Master!$G$2:$G$779,분류!$E$24)</f>
        <v>0</v>
      </c>
      <c r="F222" s="62">
        <f>SUMIFS(Master!$L$2:$L$779,Master!$E$2:$E$779,분류!B222,Master!$G$2:$G$779,분류!$F$24)</f>
        <v>0</v>
      </c>
      <c r="G222" s="62">
        <f>SUMIFS(Master!$L$2:$L$779,Master!$E$2:$E$779,분류!B222,Master!$G$2:$G$779,분류!$G$24)</f>
        <v>0</v>
      </c>
      <c r="H222" s="62">
        <f>SUMIFS(Master!$L$2:$L$779,Master!$E$2:$E$779,분류!B222,Master!$G$2:$G$779,분류!$H$24)</f>
        <v>0</v>
      </c>
      <c r="I222" s="62">
        <f>SUMIFS(Master!$L$2:$L$779,Master!$E$2:$E$779,분류!B222,Master!$G$2:$G$779,분류!$I$24)</f>
        <v>0</v>
      </c>
      <c r="J222" s="47">
        <f>SUMIF(Master!$E$2:$E$779,분류!B222,Master!$Q$2:$Q$779)</f>
        <v>0</v>
      </c>
      <c r="K222" s="121" t="e">
        <f t="shared" si="13"/>
        <v>#DIV/0!</v>
      </c>
      <c r="L222" s="47"/>
    </row>
    <row r="223" spans="1:12">
      <c r="A223" s="14"/>
      <c r="B223" s="63" t="s">
        <v>183</v>
      </c>
      <c r="C223" s="61">
        <f>SUMIF(Master!$E$2:$E$779,분류!B223,Master!$L$2:$L$779)</f>
        <v>0</v>
      </c>
      <c r="D223" s="62">
        <f>SUMIFS(Master!$L$2:$L$779,Master!$E$2:$E$779,분류!B223,Master!$G$2:$G$779,분류!$D$24)</f>
        <v>0</v>
      </c>
      <c r="E223" s="62">
        <f>SUMIFS(Master!$L$2:$L$779,Master!$E$2:$E$779,분류!B223,Master!$G$2:$G$779,분류!$E$24)</f>
        <v>0</v>
      </c>
      <c r="F223" s="62">
        <f>SUMIFS(Master!$L$2:$L$779,Master!$E$2:$E$779,분류!B223,Master!$G$2:$G$779,분류!$F$24)</f>
        <v>0</v>
      </c>
      <c r="G223" s="62">
        <f>SUMIFS(Master!$L$2:$L$779,Master!$E$2:$E$779,분류!B223,Master!$G$2:$G$779,분류!$G$24)</f>
        <v>0</v>
      </c>
      <c r="H223" s="62">
        <f>SUMIFS(Master!$L$2:$L$779,Master!$E$2:$E$779,분류!B223,Master!$G$2:$G$779,분류!$H$24)</f>
        <v>0</v>
      </c>
      <c r="I223" s="62">
        <f>SUMIFS(Master!$L$2:$L$779,Master!$E$2:$E$779,분류!B223,Master!$G$2:$G$779,분류!$I$24)</f>
        <v>0</v>
      </c>
      <c r="J223" s="47">
        <f>SUMIF(Master!$E$2:$E$779,분류!B223,Master!$Q$2:$Q$779)</f>
        <v>0</v>
      </c>
      <c r="K223" s="121" t="e">
        <f t="shared" si="13"/>
        <v>#DIV/0!</v>
      </c>
      <c r="L223" s="47"/>
    </row>
    <row r="224" spans="1:12">
      <c r="A224" s="14"/>
      <c r="B224" s="63" t="s">
        <v>410</v>
      </c>
      <c r="C224" s="61">
        <f>SUMIF(Master!$E$2:$E$779,분류!B224,Master!$L$2:$L$779)</f>
        <v>0</v>
      </c>
      <c r="D224" s="62">
        <f>SUMIFS(Master!$L$2:$L$779,Master!$E$2:$E$779,분류!B224,Master!$G$2:$G$779,분류!$D$24)</f>
        <v>0</v>
      </c>
      <c r="E224" s="62">
        <f>SUMIFS(Master!$L$2:$L$779,Master!$E$2:$E$779,분류!B224,Master!$G$2:$G$779,분류!$E$24)</f>
        <v>0</v>
      </c>
      <c r="F224" s="62">
        <f>SUMIFS(Master!$L$2:$L$779,Master!$E$2:$E$779,분류!B224,Master!$G$2:$G$779,분류!$F$24)</f>
        <v>0</v>
      </c>
      <c r="G224" s="62">
        <f>SUMIFS(Master!$L$2:$L$779,Master!$E$2:$E$779,분류!B224,Master!$G$2:$G$779,분류!$G$24)</f>
        <v>0</v>
      </c>
      <c r="H224" s="62">
        <f>SUMIFS(Master!$L$2:$L$779,Master!$E$2:$E$779,분류!B224,Master!$G$2:$G$779,분류!$H$24)</f>
        <v>0</v>
      </c>
      <c r="I224" s="62">
        <f>SUMIFS(Master!$L$2:$L$779,Master!$E$2:$E$779,분류!B224,Master!$G$2:$G$779,분류!$I$24)</f>
        <v>0</v>
      </c>
      <c r="J224" s="47">
        <f>SUMIF(Master!$E$2:$E$779,분류!B224,Master!$Q$2:$Q$779)</f>
        <v>0</v>
      </c>
      <c r="K224" s="121" t="e">
        <f t="shared" si="13"/>
        <v>#DIV/0!</v>
      </c>
      <c r="L224" s="47"/>
    </row>
    <row r="225" spans="1:12">
      <c r="A225" s="14"/>
      <c r="B225" s="134" t="s">
        <v>415</v>
      </c>
      <c r="C225" s="61">
        <f>SUMIF(Master!$E$2:$E$779,분류!B225,Master!$L$2:$L$779)</f>
        <v>0</v>
      </c>
      <c r="D225" s="62">
        <f>SUMIFS(Master!$L$2:$L$779,Master!$E$2:$E$779,분류!B225,Master!$G$2:$G$779,분류!$D$24)</f>
        <v>0</v>
      </c>
      <c r="E225" s="62">
        <f>SUMIFS(Master!$L$2:$L$779,Master!$E$2:$E$779,분류!B225,Master!$G$2:$G$779,분류!$E$24)</f>
        <v>0</v>
      </c>
      <c r="F225" s="62">
        <f>SUMIFS(Master!$L$2:$L$779,Master!$E$2:$E$779,분류!B225,Master!$G$2:$G$779,분류!$F$24)</f>
        <v>0</v>
      </c>
      <c r="G225" s="62">
        <f>SUMIFS(Master!$L$2:$L$779,Master!$E$2:$E$779,분류!B225,Master!$G$2:$G$779,분류!$G$24)</f>
        <v>0</v>
      </c>
      <c r="H225" s="62">
        <f>SUMIFS(Master!$L$2:$L$779,Master!$E$2:$E$779,분류!B225,Master!$G$2:$G$779,분류!$H$24)</f>
        <v>0</v>
      </c>
      <c r="I225" s="62">
        <f>SUMIFS(Master!$L$2:$L$779,Master!$E$2:$E$779,분류!B225,Master!$G$2:$G$779,분류!$I$24)</f>
        <v>0</v>
      </c>
      <c r="J225" s="47">
        <f>SUMIF(Master!$E$2:$E$779,분류!B225,Master!$Q$2:$Q$779)</f>
        <v>0</v>
      </c>
      <c r="K225" s="121" t="e">
        <f t="shared" si="13"/>
        <v>#DIV/0!</v>
      </c>
      <c r="L225" s="47"/>
    </row>
    <row r="226" spans="1:12">
      <c r="A226" s="14"/>
      <c r="B226" s="63" t="s">
        <v>264</v>
      </c>
      <c r="C226" s="61">
        <f>SUMIF(Master!$E$2:$E$779,분류!B226,Master!$L$2:$L$779)</f>
        <v>0</v>
      </c>
      <c r="D226" s="62">
        <f>SUMIFS(Master!$L$2:$L$779,Master!$E$2:$E$779,분류!B226,Master!$G$2:$G$779,분류!$D$24)</f>
        <v>0</v>
      </c>
      <c r="E226" s="62">
        <f>SUMIFS(Master!$L$2:$L$779,Master!$E$2:$E$779,분류!B226,Master!$G$2:$G$779,분류!$E$24)</f>
        <v>0</v>
      </c>
      <c r="F226" s="62">
        <f>SUMIFS(Master!$L$2:$L$779,Master!$E$2:$E$779,분류!B226,Master!$G$2:$G$779,분류!$F$24)</f>
        <v>0</v>
      </c>
      <c r="G226" s="62">
        <f>SUMIFS(Master!$L$2:$L$779,Master!$E$2:$E$779,분류!B226,Master!$G$2:$G$779,분류!$G$24)</f>
        <v>0</v>
      </c>
      <c r="H226" s="62">
        <f>SUMIFS(Master!$L$2:$L$779,Master!$E$2:$E$779,분류!B226,Master!$G$2:$G$779,분류!$H$24)</f>
        <v>0</v>
      </c>
      <c r="I226" s="62">
        <f>SUMIFS(Master!$L$2:$L$779,Master!$E$2:$E$779,분류!B226,Master!$G$2:$G$779,분류!$I$24)</f>
        <v>0</v>
      </c>
      <c r="J226" s="47">
        <f>SUMIF(Master!$E$2:$E$779,분류!B226,Master!$Q$2:$Q$779)</f>
        <v>0</v>
      </c>
      <c r="K226" s="121" t="e">
        <f t="shared" si="13"/>
        <v>#DIV/0!</v>
      </c>
      <c r="L226" s="47"/>
    </row>
    <row r="227" spans="1:12">
      <c r="A227" s="14"/>
      <c r="B227" s="63" t="s">
        <v>88</v>
      </c>
      <c r="C227" s="61">
        <f>SUMIF(Master!$E$2:$E$779,분류!B227,Master!$L$2:$L$779)</f>
        <v>0</v>
      </c>
      <c r="D227" s="62">
        <f>SUMIFS(Master!$L$2:$L$779,Master!$E$2:$E$779,분류!B227,Master!$G$2:$G$779,분류!$D$24)</f>
        <v>0</v>
      </c>
      <c r="E227" s="62">
        <f>SUMIFS(Master!$L$2:$L$779,Master!$E$2:$E$779,분류!B227,Master!$G$2:$G$779,분류!$E$24)</f>
        <v>0</v>
      </c>
      <c r="F227" s="62">
        <f>SUMIFS(Master!$L$2:$L$779,Master!$E$2:$E$779,분류!B227,Master!$G$2:$G$779,분류!$F$24)</f>
        <v>0</v>
      </c>
      <c r="G227" s="62">
        <f>SUMIFS(Master!$L$2:$L$779,Master!$E$2:$E$779,분류!B227,Master!$G$2:$G$779,분류!$G$24)</f>
        <v>0</v>
      </c>
      <c r="H227" s="62">
        <f>SUMIFS(Master!$L$2:$L$779,Master!$E$2:$E$779,분류!B227,Master!$G$2:$G$779,분류!$H$24)</f>
        <v>0</v>
      </c>
      <c r="I227" s="62">
        <f>SUMIFS(Master!$L$2:$L$779,Master!$E$2:$E$779,분류!B227,Master!$G$2:$G$779,분류!$I$24)</f>
        <v>0</v>
      </c>
      <c r="J227" s="47">
        <f>SUMIF(Master!$E$2:$E$779,분류!B227,Master!$Q$2:$Q$779)</f>
        <v>0</v>
      </c>
      <c r="K227" s="121" t="e">
        <f t="shared" si="13"/>
        <v>#DIV/0!</v>
      </c>
    </row>
    <row r="228" spans="1:12">
      <c r="A228" s="14"/>
      <c r="B228" s="63" t="s">
        <v>95</v>
      </c>
      <c r="C228" s="61">
        <f>SUMIF(Master!$E$2:$E$779,분류!B228,Master!$L$2:$L$779)</f>
        <v>0</v>
      </c>
      <c r="D228" s="62">
        <f>SUMIFS(Master!$L$2:$L$779,Master!$E$2:$E$779,분류!B228,Master!$G$2:$G$779,분류!$D$24)</f>
        <v>0</v>
      </c>
      <c r="E228" s="62">
        <f>SUMIFS(Master!$L$2:$L$779,Master!$E$2:$E$779,분류!B228,Master!$G$2:$G$779,분류!$E$24)</f>
        <v>0</v>
      </c>
      <c r="F228" s="62">
        <f>SUMIFS(Master!$L$2:$L$779,Master!$E$2:$E$779,분류!B228,Master!$G$2:$G$779,분류!$F$24)</f>
        <v>0</v>
      </c>
      <c r="G228" s="62">
        <f>SUMIFS(Master!$L$2:$L$779,Master!$E$2:$E$779,분류!B228,Master!$G$2:$G$779,분류!$G$24)</f>
        <v>0</v>
      </c>
      <c r="H228" s="62">
        <f>SUMIFS(Master!$L$2:$L$779,Master!$E$2:$E$779,분류!B228,Master!$G$2:$G$779,분류!$H$24)</f>
        <v>0</v>
      </c>
      <c r="I228" s="62">
        <f>SUMIFS(Master!$L$2:$L$779,Master!$E$2:$E$779,분류!B228,Master!$G$2:$G$779,분류!$I$24)</f>
        <v>0</v>
      </c>
      <c r="J228" s="47">
        <f>SUMIF(Master!$E$2:$E$779,분류!B228,Master!$Q$2:$Q$779)</f>
        <v>0</v>
      </c>
      <c r="K228" s="121" t="e">
        <f t="shared" si="13"/>
        <v>#DIV/0!</v>
      </c>
    </row>
    <row r="229" spans="1:12">
      <c r="A229" s="14"/>
      <c r="B229" s="63" t="s">
        <v>74</v>
      </c>
      <c r="C229" s="61">
        <f>SUMIF(Master!$E$2:$E$779,분류!B229,Master!$L$2:$L$779)</f>
        <v>0</v>
      </c>
      <c r="D229" s="62">
        <f>SUMIFS(Master!$L$2:$L$779,Master!$E$2:$E$779,분류!B229,Master!$G$2:$G$779,분류!$D$24)</f>
        <v>0</v>
      </c>
      <c r="E229" s="62">
        <f>SUMIFS(Master!$L$2:$L$779,Master!$E$2:$E$779,분류!B229,Master!$G$2:$G$779,분류!$E$24)</f>
        <v>0</v>
      </c>
      <c r="F229" s="62">
        <f>SUMIFS(Master!$L$2:$L$779,Master!$E$2:$E$779,분류!B229,Master!$G$2:$G$779,분류!$F$24)</f>
        <v>0</v>
      </c>
      <c r="G229" s="62">
        <f>SUMIFS(Master!$L$2:$L$779,Master!$E$2:$E$779,분류!B229,Master!$G$2:$G$779,분류!$G$24)</f>
        <v>0</v>
      </c>
      <c r="H229" s="62">
        <f>SUMIFS(Master!$L$2:$L$779,Master!$E$2:$E$779,분류!B229,Master!$G$2:$G$779,분류!$H$24)</f>
        <v>0</v>
      </c>
      <c r="I229" s="62">
        <f>SUMIFS(Master!$L$2:$L$779,Master!$E$2:$E$779,분류!B229,Master!$G$2:$G$779,분류!$I$24)</f>
        <v>0</v>
      </c>
      <c r="J229" s="47">
        <f>SUMIF(Master!$E$2:$E$779,분류!B229,Master!$Q$2:$Q$779)</f>
        <v>0</v>
      </c>
      <c r="K229" s="121" t="e">
        <f t="shared" si="13"/>
        <v>#DIV/0!</v>
      </c>
    </row>
    <row r="230" spans="1:12">
      <c r="A230" s="14"/>
      <c r="B230" s="63" t="s">
        <v>274</v>
      </c>
      <c r="C230" s="61">
        <f>SUMIF(Master!$E$2:$E$779,분류!B230,Master!$L$2:$L$779)</f>
        <v>0</v>
      </c>
      <c r="D230" s="62">
        <f>SUMIFS(Master!$L$2:$L$779,Master!$E$2:$E$779,분류!B230,Master!$G$2:$G$779,분류!$D$24)</f>
        <v>0</v>
      </c>
      <c r="E230" s="62">
        <f>SUMIFS(Master!$L$2:$L$779,Master!$E$2:$E$779,분류!B230,Master!$G$2:$G$779,분류!$E$24)</f>
        <v>0</v>
      </c>
      <c r="F230" s="62">
        <f>SUMIFS(Master!$L$2:$L$779,Master!$E$2:$E$779,분류!B230,Master!$G$2:$G$779,분류!$F$24)</f>
        <v>0</v>
      </c>
      <c r="G230" s="62">
        <f>SUMIFS(Master!$L$2:$L$779,Master!$E$2:$E$779,분류!B230,Master!$G$2:$G$779,분류!$G$24)</f>
        <v>0</v>
      </c>
      <c r="H230" s="62">
        <f>SUMIFS(Master!$L$2:$L$779,Master!$E$2:$E$779,분류!B230,Master!$G$2:$G$779,분류!$H$24)</f>
        <v>0</v>
      </c>
      <c r="I230" s="62">
        <f>SUMIFS(Master!$L$2:$L$779,Master!$E$2:$E$779,분류!B230,Master!$G$2:$G$779,분류!$I$24)</f>
        <v>0</v>
      </c>
      <c r="J230" s="47">
        <f>SUMIF(Master!$E$2:$E$779,분류!B230,Master!$Q$2:$Q$779)</f>
        <v>0</v>
      </c>
      <c r="K230" s="121" t="e">
        <f t="shared" si="13"/>
        <v>#DIV/0!</v>
      </c>
    </row>
    <row r="231" spans="1:12">
      <c r="A231" s="14"/>
      <c r="B231" s="63" t="s">
        <v>311</v>
      </c>
      <c r="C231" s="61">
        <f>SUMIF(Master!$E$2:$E$779,분류!B231,Master!$L$2:$L$779)</f>
        <v>0</v>
      </c>
      <c r="D231" s="62">
        <f>SUMIFS(Master!$L$2:$L$779,Master!$E$2:$E$779,분류!B231,Master!$G$2:$G$779,분류!$D$24)</f>
        <v>0</v>
      </c>
      <c r="E231" s="62">
        <f>SUMIFS(Master!$L$2:$L$779,Master!$E$2:$E$779,분류!B231,Master!$G$2:$G$779,분류!$E$24)</f>
        <v>0</v>
      </c>
      <c r="F231" s="62">
        <f>SUMIFS(Master!$L$2:$L$779,Master!$E$2:$E$779,분류!B231,Master!$G$2:$G$779,분류!$F$24)</f>
        <v>0</v>
      </c>
      <c r="G231" s="62">
        <f>SUMIFS(Master!$L$2:$L$779,Master!$E$2:$E$779,분류!B231,Master!$G$2:$G$779,분류!$G$24)</f>
        <v>0</v>
      </c>
      <c r="H231" s="62">
        <f>SUMIFS(Master!$L$2:$L$779,Master!$E$2:$E$779,분류!B231,Master!$G$2:$G$779,분류!$H$24)</f>
        <v>0</v>
      </c>
      <c r="I231" s="62">
        <f>SUMIFS(Master!$L$2:$L$779,Master!$E$2:$E$779,분류!B231,Master!$G$2:$G$779,분류!$I$24)</f>
        <v>0</v>
      </c>
      <c r="J231" s="47">
        <f>SUMIF(Master!$E$2:$E$779,분류!B231,Master!$Q$2:$Q$779)</f>
        <v>0</v>
      </c>
      <c r="K231" s="121" t="e">
        <f t="shared" si="13"/>
        <v>#DIV/0!</v>
      </c>
    </row>
    <row r="232" spans="1:12">
      <c r="A232" s="14"/>
      <c r="B232" s="63" t="s">
        <v>263</v>
      </c>
      <c r="C232" s="61">
        <f>SUMIF(Master!$E$2:$E$779,분류!B232,Master!$L$2:$L$779)</f>
        <v>0</v>
      </c>
      <c r="D232" s="62">
        <f>SUMIFS(Master!$L$2:$L$779,Master!$E$2:$E$779,분류!B232,Master!$G$2:$G$779,분류!$D$24)</f>
        <v>0</v>
      </c>
      <c r="E232" s="62">
        <f>SUMIFS(Master!$L$2:$L$779,Master!$E$2:$E$779,분류!B232,Master!$G$2:$G$779,분류!$E$24)</f>
        <v>0</v>
      </c>
      <c r="F232" s="62">
        <f>SUMIFS(Master!$L$2:$L$779,Master!$E$2:$E$779,분류!B232,Master!$G$2:$G$779,분류!$F$24)</f>
        <v>0</v>
      </c>
      <c r="G232" s="62">
        <f>SUMIFS(Master!$L$2:$L$779,Master!$E$2:$E$779,분류!B232,Master!$G$2:$G$779,분류!$G$24)</f>
        <v>0</v>
      </c>
      <c r="H232" s="62">
        <f>SUMIFS(Master!$L$2:$L$779,Master!$E$2:$E$779,분류!B232,Master!$G$2:$G$779,분류!$H$24)</f>
        <v>0</v>
      </c>
      <c r="I232" s="62">
        <f>SUMIFS(Master!$L$2:$L$779,Master!$E$2:$E$779,분류!B232,Master!$G$2:$G$779,분류!$I$24)</f>
        <v>0</v>
      </c>
      <c r="J232" s="47">
        <f>SUMIF(Master!$E$2:$E$779,분류!B232,Master!$Q$2:$Q$779)</f>
        <v>0</v>
      </c>
      <c r="K232" s="121" t="e">
        <f t="shared" si="13"/>
        <v>#DIV/0!</v>
      </c>
    </row>
    <row r="233" spans="1:12">
      <c r="A233" s="14"/>
      <c r="B233" s="63" t="s">
        <v>218</v>
      </c>
      <c r="C233" s="61">
        <f>SUMIF(Master!$E$2:$E$779,분류!B233,Master!$L$2:$L$779)</f>
        <v>0</v>
      </c>
      <c r="D233" s="62">
        <f>SUMIFS(Master!$L$2:$L$779,Master!$E$2:$E$779,분류!B233,Master!$G$2:$G$779,분류!$D$24)</f>
        <v>0</v>
      </c>
      <c r="E233" s="62">
        <f>SUMIFS(Master!$L$2:$L$779,Master!$E$2:$E$779,분류!B233,Master!$G$2:$G$779,분류!$E$24)</f>
        <v>0</v>
      </c>
      <c r="F233" s="62">
        <f>SUMIFS(Master!$L$2:$L$779,Master!$E$2:$E$779,분류!B233,Master!$G$2:$G$779,분류!$F$24)</f>
        <v>0</v>
      </c>
      <c r="G233" s="62">
        <f>SUMIFS(Master!$L$2:$L$779,Master!$E$2:$E$779,분류!B233,Master!$G$2:$G$779,분류!$G$24)</f>
        <v>0</v>
      </c>
      <c r="H233" s="62">
        <f>SUMIFS(Master!$L$2:$L$779,Master!$E$2:$E$779,분류!B233,Master!$G$2:$G$779,분류!$H$24)</f>
        <v>0</v>
      </c>
      <c r="I233" s="62">
        <f>SUMIFS(Master!$L$2:$L$779,Master!$E$2:$E$779,분류!B233,Master!$G$2:$G$779,분류!$I$24)</f>
        <v>0</v>
      </c>
      <c r="J233" s="47">
        <f>SUMIF(Master!$E$2:$E$779,분류!B233,Master!$Q$2:$Q$779)</f>
        <v>0</v>
      </c>
      <c r="K233" s="121" t="e">
        <f t="shared" si="13"/>
        <v>#DIV/0!</v>
      </c>
    </row>
    <row r="234" spans="1:12">
      <c r="A234" s="14"/>
      <c r="B234" s="63" t="s">
        <v>108</v>
      </c>
      <c r="C234" s="61">
        <f>SUMIF(Master!$E$2:$E$779,분류!B234,Master!$L$2:$L$779)</f>
        <v>0</v>
      </c>
      <c r="D234" s="62">
        <f>SUMIFS(Master!$L$2:$L$779,Master!$E$2:$E$779,분류!B234,Master!$G$2:$G$779,분류!$D$24)</f>
        <v>0</v>
      </c>
      <c r="E234" s="62">
        <f>SUMIFS(Master!$L$2:$L$779,Master!$E$2:$E$779,분류!B234,Master!$G$2:$G$779,분류!$E$24)</f>
        <v>0</v>
      </c>
      <c r="F234" s="62">
        <f>SUMIFS(Master!$L$2:$L$779,Master!$E$2:$E$779,분류!B234,Master!$G$2:$G$779,분류!$F$24)</f>
        <v>0</v>
      </c>
      <c r="G234" s="62">
        <f>SUMIFS(Master!$L$2:$L$779,Master!$E$2:$E$779,분류!B234,Master!$G$2:$G$779,분류!$G$24)</f>
        <v>0</v>
      </c>
      <c r="H234" s="62">
        <f>SUMIFS(Master!$L$2:$L$779,Master!$E$2:$E$779,분류!B234,Master!$G$2:$G$779,분류!$H$24)</f>
        <v>0</v>
      </c>
      <c r="I234" s="62">
        <f>SUMIFS(Master!$L$2:$L$779,Master!$E$2:$E$779,분류!B234,Master!$G$2:$G$779,분류!$I$24)</f>
        <v>0</v>
      </c>
      <c r="J234" s="47">
        <f>SUMIF(Master!$E$2:$E$779,분류!B234,Master!$Q$2:$Q$779)</f>
        <v>0</v>
      </c>
      <c r="K234" s="121" t="e">
        <f t="shared" si="13"/>
        <v>#DIV/0!</v>
      </c>
    </row>
    <row r="235" spans="1:12">
      <c r="A235" s="14"/>
      <c r="B235" s="63" t="s">
        <v>3</v>
      </c>
      <c r="C235" s="61">
        <f>SUMIF(Master!$E$2:$E$779,분류!B235,Master!$L$2:$L$779)</f>
        <v>0</v>
      </c>
      <c r="D235" s="62">
        <f>SUMIFS(Master!$L$2:$L$779,Master!$E$2:$E$779,분류!B235,Master!$G$2:$G$779,분류!$D$24)</f>
        <v>0</v>
      </c>
      <c r="E235" s="62">
        <f>SUMIFS(Master!$L$2:$L$779,Master!$E$2:$E$779,분류!B235,Master!$G$2:$G$779,분류!$E$24)</f>
        <v>0</v>
      </c>
      <c r="F235" s="62">
        <f>SUMIFS(Master!$L$2:$L$779,Master!$E$2:$E$779,분류!B235,Master!$G$2:$G$779,분류!$F$24)</f>
        <v>0</v>
      </c>
      <c r="G235" s="62">
        <f>SUMIFS(Master!$L$2:$L$779,Master!$E$2:$E$779,분류!B235,Master!$G$2:$G$779,분류!$G$24)</f>
        <v>0</v>
      </c>
      <c r="H235" s="62">
        <f>SUMIFS(Master!$L$2:$L$779,Master!$E$2:$E$779,분류!B235,Master!$G$2:$G$779,분류!$H$24)</f>
        <v>0</v>
      </c>
      <c r="I235" s="62">
        <f>SUMIFS(Master!$L$2:$L$779,Master!$E$2:$E$779,분류!B235,Master!$G$2:$G$779,분류!$I$24)</f>
        <v>0</v>
      </c>
      <c r="J235" s="47">
        <f>SUMIF(Master!$E$2:$E$779,분류!B235,Master!$Q$2:$Q$779)</f>
        <v>0</v>
      </c>
      <c r="K235" s="121" t="e">
        <f t="shared" si="13"/>
        <v>#DIV/0!</v>
      </c>
    </row>
    <row r="236" spans="1:12">
      <c r="A236" s="14"/>
      <c r="B236" s="63" t="s">
        <v>202</v>
      </c>
      <c r="C236" s="61">
        <f>SUMIF(Master!$E$2:$E$779,분류!B236,Master!$L$2:$L$779)</f>
        <v>0</v>
      </c>
      <c r="D236" s="62">
        <f>SUMIFS(Master!$L$2:$L$779,Master!$E$2:$E$779,분류!B236,Master!$G$2:$G$779,분류!$D$24)</f>
        <v>0</v>
      </c>
      <c r="E236" s="62">
        <f>SUMIFS(Master!$L$2:$L$779,Master!$E$2:$E$779,분류!B236,Master!$G$2:$G$779,분류!$E$24)</f>
        <v>0</v>
      </c>
      <c r="F236" s="62">
        <f>SUMIFS(Master!$L$2:$L$779,Master!$E$2:$E$779,분류!B236,Master!$G$2:$G$779,분류!$F$24)</f>
        <v>0</v>
      </c>
      <c r="G236" s="62">
        <f>SUMIFS(Master!$L$2:$L$779,Master!$E$2:$E$779,분류!B236,Master!$G$2:$G$779,분류!$G$24)</f>
        <v>0</v>
      </c>
      <c r="H236" s="62">
        <f>SUMIFS(Master!$L$2:$L$779,Master!$E$2:$E$779,분류!B236,Master!$G$2:$G$779,분류!$H$24)</f>
        <v>0</v>
      </c>
      <c r="I236" s="62">
        <f>SUMIFS(Master!$L$2:$L$779,Master!$E$2:$E$779,분류!B236,Master!$G$2:$G$779,분류!$I$24)</f>
        <v>0</v>
      </c>
      <c r="J236" s="47">
        <f>SUMIF(Master!$E$2:$E$779,분류!B236,Master!$Q$2:$Q$779)</f>
        <v>0</v>
      </c>
      <c r="K236" s="121" t="e">
        <f t="shared" si="13"/>
        <v>#DIV/0!</v>
      </c>
    </row>
    <row r="237" spans="1:12">
      <c r="A237" s="14"/>
      <c r="B237" s="63" t="s">
        <v>277</v>
      </c>
      <c r="C237" s="61">
        <f>SUMIF(Master!$E$2:$E$779,분류!B237,Master!$L$2:$L$779)</f>
        <v>0</v>
      </c>
      <c r="D237" s="62">
        <f>SUMIFS(Master!$L$2:$L$779,Master!$E$2:$E$779,분류!B237,Master!$G$2:$G$779,분류!$D$24)</f>
        <v>0</v>
      </c>
      <c r="E237" s="62">
        <f>SUMIFS(Master!$L$2:$L$779,Master!$E$2:$E$779,분류!B237,Master!$G$2:$G$779,분류!$E$24)</f>
        <v>0</v>
      </c>
      <c r="F237" s="62">
        <f>SUMIFS(Master!$L$2:$L$779,Master!$E$2:$E$779,분류!B237,Master!$G$2:$G$779,분류!$F$24)</f>
        <v>0</v>
      </c>
      <c r="G237" s="62">
        <f>SUMIFS(Master!$L$2:$L$779,Master!$E$2:$E$779,분류!B237,Master!$G$2:$G$779,분류!$G$24)</f>
        <v>0</v>
      </c>
      <c r="H237" s="62">
        <f>SUMIFS(Master!$L$2:$L$779,Master!$E$2:$E$779,분류!B237,Master!$G$2:$G$779,분류!$H$24)</f>
        <v>0</v>
      </c>
      <c r="I237" s="62">
        <f>SUMIFS(Master!$L$2:$L$779,Master!$E$2:$E$779,분류!B237,Master!$G$2:$G$779,분류!$I$24)</f>
        <v>0</v>
      </c>
      <c r="J237" s="47">
        <f>SUMIF(Master!$E$2:$E$779,분류!B237,Master!$Q$2:$Q$779)</f>
        <v>0</v>
      </c>
      <c r="K237" s="121" t="e">
        <f t="shared" si="13"/>
        <v>#DIV/0!</v>
      </c>
    </row>
    <row r="238" spans="1:12">
      <c r="A238" s="14"/>
      <c r="B238" s="63" t="s">
        <v>357</v>
      </c>
      <c r="C238" s="61">
        <f>SUMIF(Master!$E$2:$E$779,분류!B238,Master!$L$2:$L$779)</f>
        <v>0</v>
      </c>
      <c r="D238" s="62">
        <f>SUMIFS(Master!$L$2:$L$779,Master!$E$2:$E$779,분류!B238,Master!$G$2:$G$779,분류!$D$24)</f>
        <v>0</v>
      </c>
      <c r="E238" s="62">
        <f>SUMIFS(Master!$L$2:$L$779,Master!$E$2:$E$779,분류!B238,Master!$G$2:$G$779,분류!$E$24)</f>
        <v>0</v>
      </c>
      <c r="F238" s="62">
        <f>SUMIFS(Master!$L$2:$L$779,Master!$E$2:$E$779,분류!B238,Master!$G$2:$G$779,분류!$F$24)</f>
        <v>0</v>
      </c>
      <c r="G238" s="62">
        <f>SUMIFS(Master!$L$2:$L$779,Master!$E$2:$E$779,분류!B238,Master!$G$2:$G$779,분류!$G$24)</f>
        <v>0</v>
      </c>
      <c r="H238" s="62">
        <f>SUMIFS(Master!$L$2:$L$779,Master!$E$2:$E$779,분류!B238,Master!$G$2:$G$779,분류!$H$24)</f>
        <v>0</v>
      </c>
      <c r="I238" s="62">
        <f>SUMIFS(Master!$L$2:$L$779,Master!$E$2:$E$779,분류!B238,Master!$G$2:$G$779,분류!$I$24)</f>
        <v>0</v>
      </c>
      <c r="J238" s="47">
        <f>SUMIF(Master!$E$2:$E$779,분류!B238,Master!$Q$2:$Q$779)</f>
        <v>0</v>
      </c>
      <c r="K238" s="121" t="e">
        <f t="shared" ref="K238:K258" si="14">J238/C238</f>
        <v>#DIV/0!</v>
      </c>
    </row>
    <row r="239" spans="1:12">
      <c r="A239" s="14"/>
      <c r="B239" s="63" t="s">
        <v>90</v>
      </c>
      <c r="C239" s="61">
        <f>SUMIF(Master!$E$2:$E$779,분류!B239,Master!$L$2:$L$779)</f>
        <v>0</v>
      </c>
      <c r="D239" s="62">
        <f>SUMIFS(Master!$L$2:$L$779,Master!$E$2:$E$779,분류!B239,Master!$G$2:$G$779,분류!$D$24)</f>
        <v>0</v>
      </c>
      <c r="E239" s="62">
        <f>SUMIFS(Master!$L$2:$L$779,Master!$E$2:$E$779,분류!B239,Master!$G$2:$G$779,분류!$E$24)</f>
        <v>0</v>
      </c>
      <c r="F239" s="62">
        <f>SUMIFS(Master!$L$2:$L$779,Master!$E$2:$E$779,분류!B239,Master!$G$2:$G$779,분류!$F$24)</f>
        <v>0</v>
      </c>
      <c r="G239" s="62">
        <f>SUMIFS(Master!$L$2:$L$779,Master!$E$2:$E$779,분류!B239,Master!$G$2:$G$779,분류!$G$24)</f>
        <v>0</v>
      </c>
      <c r="H239" s="62">
        <f>SUMIFS(Master!$L$2:$L$779,Master!$E$2:$E$779,분류!B239,Master!$G$2:$G$779,분류!$H$24)</f>
        <v>0</v>
      </c>
      <c r="I239" s="62">
        <f>SUMIFS(Master!$L$2:$L$779,Master!$E$2:$E$779,분류!B239,Master!$G$2:$G$779,분류!$I$24)</f>
        <v>0</v>
      </c>
      <c r="J239" s="47">
        <f>SUMIF(Master!$E$2:$E$779,분류!B239,Master!$Q$2:$Q$779)</f>
        <v>0</v>
      </c>
      <c r="K239" s="121" t="e">
        <f t="shared" si="14"/>
        <v>#DIV/0!</v>
      </c>
    </row>
    <row r="240" spans="1:12">
      <c r="A240" s="14"/>
      <c r="B240" s="63" t="s">
        <v>91</v>
      </c>
      <c r="C240" s="61">
        <f>SUMIF(Master!$E$2:$E$779,분류!B240,Master!$L$2:$L$779)</f>
        <v>0</v>
      </c>
      <c r="D240" s="62">
        <f>SUMIFS(Master!$L$2:$L$779,Master!$E$2:$E$779,분류!B240,Master!$G$2:$G$779,분류!$D$24)</f>
        <v>0</v>
      </c>
      <c r="E240" s="62">
        <f>SUMIFS(Master!$L$2:$L$779,Master!$E$2:$E$779,분류!B240,Master!$G$2:$G$779,분류!$E$24)</f>
        <v>0</v>
      </c>
      <c r="F240" s="62">
        <f>SUMIFS(Master!$L$2:$L$779,Master!$E$2:$E$779,분류!B240,Master!$G$2:$G$779,분류!$F$24)</f>
        <v>0</v>
      </c>
      <c r="G240" s="62">
        <f>SUMIFS(Master!$L$2:$L$779,Master!$E$2:$E$779,분류!B240,Master!$G$2:$G$779,분류!$G$24)</f>
        <v>0</v>
      </c>
      <c r="H240" s="62">
        <f>SUMIFS(Master!$L$2:$L$779,Master!$E$2:$E$779,분류!B240,Master!$G$2:$G$779,분류!$H$24)</f>
        <v>0</v>
      </c>
      <c r="I240" s="62">
        <f>SUMIFS(Master!$L$2:$L$779,Master!$E$2:$E$779,분류!B240,Master!$G$2:$G$779,분류!$I$24)</f>
        <v>0</v>
      </c>
      <c r="J240" s="47">
        <f>SUMIF(Master!$E$2:$E$779,분류!B240,Master!$Q$2:$Q$779)</f>
        <v>0</v>
      </c>
      <c r="K240" s="121" t="e">
        <f t="shared" si="14"/>
        <v>#DIV/0!</v>
      </c>
    </row>
    <row r="241" spans="1:15">
      <c r="A241" s="14"/>
      <c r="B241" s="63" t="s">
        <v>168</v>
      </c>
      <c r="C241" s="61">
        <f>SUMIF(Master!$E$2:$E$779,분류!B241,Master!$L$2:$L$779)</f>
        <v>0</v>
      </c>
      <c r="D241" s="62">
        <f>SUMIFS(Master!$L$2:$L$779,Master!$E$2:$E$779,분류!B241,Master!$G$2:$G$779,분류!$D$24)</f>
        <v>0</v>
      </c>
      <c r="E241" s="62">
        <f>SUMIFS(Master!$L$2:$L$779,Master!$E$2:$E$779,분류!B241,Master!$G$2:$G$779,분류!$E$24)</f>
        <v>0</v>
      </c>
      <c r="F241" s="62">
        <f>SUMIFS(Master!$L$2:$L$779,Master!$E$2:$E$779,분류!B241,Master!$G$2:$G$779,분류!$F$24)</f>
        <v>0</v>
      </c>
      <c r="G241" s="62">
        <f>SUMIFS(Master!$L$2:$L$779,Master!$E$2:$E$779,분류!B241,Master!$G$2:$G$779,분류!$G$24)</f>
        <v>0</v>
      </c>
      <c r="H241" s="62">
        <f>SUMIFS(Master!$L$2:$L$779,Master!$E$2:$E$779,분류!B241,Master!$G$2:$G$779,분류!$H$24)</f>
        <v>0</v>
      </c>
      <c r="I241" s="62">
        <f>SUMIFS(Master!$L$2:$L$779,Master!$E$2:$E$779,분류!B241,Master!$G$2:$G$779,분류!$I$24)</f>
        <v>0</v>
      </c>
      <c r="J241" s="47">
        <f>SUMIF(Master!$E$2:$E$779,분류!B241,Master!$Q$2:$Q$779)</f>
        <v>0</v>
      </c>
      <c r="K241" s="121" t="e">
        <f t="shared" si="14"/>
        <v>#DIV/0!</v>
      </c>
    </row>
    <row r="242" spans="1:15">
      <c r="A242" s="14"/>
      <c r="B242" s="63" t="s">
        <v>217</v>
      </c>
      <c r="C242" s="61">
        <f>SUMIF(Master!$E$2:$E$779,분류!B242,Master!$L$2:$L$779)</f>
        <v>0</v>
      </c>
      <c r="D242" s="62">
        <f>SUMIFS(Master!$L$2:$L$779,Master!$E$2:$E$779,분류!B242,Master!$G$2:$G$779,분류!$D$24)</f>
        <v>0</v>
      </c>
      <c r="E242" s="62">
        <f>SUMIFS(Master!$L$2:$L$779,Master!$E$2:$E$779,분류!B242,Master!$G$2:$G$779,분류!$E$24)</f>
        <v>0</v>
      </c>
      <c r="F242" s="62">
        <f>SUMIFS(Master!$L$2:$L$779,Master!$E$2:$E$779,분류!B242,Master!$G$2:$G$779,분류!$F$24)</f>
        <v>0</v>
      </c>
      <c r="G242" s="62">
        <f>SUMIFS(Master!$L$2:$L$779,Master!$E$2:$E$779,분류!B242,Master!$G$2:$G$779,분류!$G$24)</f>
        <v>0</v>
      </c>
      <c r="H242" s="62">
        <f>SUMIFS(Master!$L$2:$L$779,Master!$E$2:$E$779,분류!B242,Master!$G$2:$G$779,분류!$H$24)</f>
        <v>0</v>
      </c>
      <c r="I242" s="62">
        <f>SUMIFS(Master!$L$2:$L$779,Master!$E$2:$E$779,분류!B242,Master!$G$2:$G$779,분류!$I$24)</f>
        <v>0</v>
      </c>
      <c r="J242" s="47">
        <f>SUMIF(Master!$E$2:$E$779,분류!B242,Master!$Q$2:$Q$779)</f>
        <v>0</v>
      </c>
      <c r="K242" s="121" t="e">
        <f t="shared" si="14"/>
        <v>#DIV/0!</v>
      </c>
    </row>
    <row r="243" spans="1:15">
      <c r="A243" s="14"/>
      <c r="B243" s="63" t="s">
        <v>354</v>
      </c>
      <c r="C243" s="61">
        <f>SUMIF(Master!$E$2:$E$779,분류!B243,Master!$L$2:$L$779)</f>
        <v>0</v>
      </c>
      <c r="D243" s="62">
        <f>SUMIFS(Master!$L$2:$L$779,Master!$E$2:$E$779,분류!B243,Master!$G$2:$G$779,분류!$D$24)</f>
        <v>0</v>
      </c>
      <c r="E243" s="62">
        <f>SUMIFS(Master!$L$2:$L$779,Master!$E$2:$E$779,분류!B243,Master!$G$2:$G$779,분류!$E$24)</f>
        <v>0</v>
      </c>
      <c r="F243" s="62">
        <f>SUMIFS(Master!$L$2:$L$779,Master!$E$2:$E$779,분류!B243,Master!$G$2:$G$779,분류!$F$24)</f>
        <v>0</v>
      </c>
      <c r="G243" s="62">
        <f>SUMIFS(Master!$L$2:$L$779,Master!$E$2:$E$779,분류!B243,Master!$G$2:$G$779,분류!$G$24)</f>
        <v>0</v>
      </c>
      <c r="H243" s="62">
        <f>SUMIFS(Master!$L$2:$L$779,Master!$E$2:$E$779,분류!B243,Master!$G$2:$G$779,분류!$H$24)</f>
        <v>0</v>
      </c>
      <c r="I243" s="62">
        <f>SUMIFS(Master!$L$2:$L$779,Master!$E$2:$E$779,분류!B243,Master!$G$2:$G$779,분류!$I$24)</f>
        <v>0</v>
      </c>
      <c r="J243" s="47">
        <f>SUMIF(Master!$E$2:$E$779,분류!B243,Master!$Q$2:$Q$779)</f>
        <v>0</v>
      </c>
      <c r="K243" s="121" t="e">
        <f t="shared" si="14"/>
        <v>#DIV/0!</v>
      </c>
    </row>
    <row r="244" spans="1:15">
      <c r="A244" s="14"/>
      <c r="B244" s="63" t="s">
        <v>79</v>
      </c>
      <c r="C244" s="61">
        <f>SUMIF(Master!$E$2:$E$779,분류!B244,Master!$L$2:$L$779)</f>
        <v>0</v>
      </c>
      <c r="D244" s="62">
        <f>SUMIFS(Master!$L$2:$L$779,Master!$E$2:$E$779,분류!B244,Master!$G$2:$G$779,분류!$D$24)</f>
        <v>0</v>
      </c>
      <c r="E244" s="62">
        <f>SUMIFS(Master!$L$2:$L$779,Master!$E$2:$E$779,분류!B244,Master!$G$2:$G$779,분류!$E$24)</f>
        <v>0</v>
      </c>
      <c r="F244" s="62">
        <f>SUMIFS(Master!$L$2:$L$779,Master!$E$2:$E$779,분류!B244,Master!$G$2:$G$779,분류!$F$24)</f>
        <v>0</v>
      </c>
      <c r="G244" s="62">
        <f>SUMIFS(Master!$L$2:$L$779,Master!$E$2:$E$779,분류!B244,Master!$G$2:$G$779,분류!$G$24)</f>
        <v>0</v>
      </c>
      <c r="H244" s="62">
        <f>SUMIFS(Master!$L$2:$L$779,Master!$E$2:$E$779,분류!B244,Master!$G$2:$G$779,분류!$H$24)</f>
        <v>0</v>
      </c>
      <c r="I244" s="62">
        <f>SUMIFS(Master!$L$2:$L$779,Master!$E$2:$E$779,분류!B244,Master!$G$2:$G$779,분류!$I$24)</f>
        <v>0</v>
      </c>
      <c r="J244" s="47">
        <f>SUMIF(Master!$E$2:$E$779,분류!B244,Master!$Q$2:$Q$779)</f>
        <v>0</v>
      </c>
      <c r="K244" s="121" t="e">
        <f t="shared" si="14"/>
        <v>#DIV/0!</v>
      </c>
    </row>
    <row r="245" spans="1:15">
      <c r="A245" s="14"/>
      <c r="B245" s="63" t="s">
        <v>97</v>
      </c>
      <c r="C245" s="61">
        <f>SUMIF(Master!$E$2:$E$779,분류!B245,Master!$L$2:$L$779)</f>
        <v>0</v>
      </c>
      <c r="D245" s="62">
        <f>SUMIFS(Master!$L$2:$L$779,Master!$E$2:$E$779,분류!B245,Master!$G$2:$G$779,분류!$D$24)</f>
        <v>0</v>
      </c>
      <c r="E245" s="62">
        <f>SUMIFS(Master!$L$2:$L$779,Master!$E$2:$E$779,분류!B245,Master!$G$2:$G$779,분류!$E$24)</f>
        <v>0</v>
      </c>
      <c r="F245" s="62">
        <f>SUMIFS(Master!$L$2:$L$779,Master!$E$2:$E$779,분류!B245,Master!$G$2:$G$779,분류!$F$24)</f>
        <v>0</v>
      </c>
      <c r="G245" s="62">
        <f>SUMIFS(Master!$L$2:$L$779,Master!$E$2:$E$779,분류!B245,Master!$G$2:$G$779,분류!$G$24)</f>
        <v>0</v>
      </c>
      <c r="H245" s="62">
        <f>SUMIFS(Master!$L$2:$L$779,Master!$E$2:$E$779,분류!B245,Master!$G$2:$G$779,분류!$H$24)</f>
        <v>0</v>
      </c>
      <c r="I245" s="62">
        <f>SUMIFS(Master!$L$2:$L$779,Master!$E$2:$E$779,분류!B245,Master!$G$2:$G$779,분류!$I$24)</f>
        <v>0</v>
      </c>
      <c r="J245" s="47">
        <f>SUMIF(Master!$E$2:$E$779,분류!B245,Master!$Q$2:$Q$779)</f>
        <v>0</v>
      </c>
      <c r="K245" s="121" t="e">
        <f t="shared" si="14"/>
        <v>#DIV/0!</v>
      </c>
    </row>
    <row r="246" spans="1:15">
      <c r="A246" s="14"/>
      <c r="B246" s="63" t="s">
        <v>244</v>
      </c>
      <c r="C246" s="61">
        <f>SUMIF(Master!$E$2:$E$779,분류!B246,Master!$L$2:$L$779)</f>
        <v>0</v>
      </c>
      <c r="D246" s="62">
        <f>SUMIFS(Master!$L$2:$L$779,Master!$E$2:$E$779,분류!B246,Master!$G$2:$G$779,분류!$D$24)</f>
        <v>0</v>
      </c>
      <c r="E246" s="62">
        <f>SUMIFS(Master!$L$2:$L$779,Master!$E$2:$E$779,분류!B246,Master!$G$2:$G$779,분류!$E$24)</f>
        <v>0</v>
      </c>
      <c r="F246" s="62">
        <f>SUMIFS(Master!$L$2:$L$779,Master!$E$2:$E$779,분류!B246,Master!$G$2:$G$779,분류!$F$24)</f>
        <v>0</v>
      </c>
      <c r="G246" s="62">
        <f>SUMIFS(Master!$L$2:$L$779,Master!$E$2:$E$779,분류!B246,Master!$G$2:$G$779,분류!$G$24)</f>
        <v>0</v>
      </c>
      <c r="H246" s="62">
        <f>SUMIFS(Master!$L$2:$L$779,Master!$E$2:$E$779,분류!B246,Master!$G$2:$G$779,분류!$H$24)</f>
        <v>0</v>
      </c>
      <c r="I246" s="62">
        <f>SUMIFS(Master!$L$2:$L$779,Master!$E$2:$E$779,분류!B246,Master!$G$2:$G$779,분류!$I$24)</f>
        <v>0</v>
      </c>
      <c r="J246" s="47">
        <f>SUMIF(Master!$E$2:$E$779,분류!B246,Master!$Q$2:$Q$779)</f>
        <v>0</v>
      </c>
      <c r="K246" s="121" t="e">
        <f t="shared" si="14"/>
        <v>#DIV/0!</v>
      </c>
    </row>
    <row r="247" spans="1:15">
      <c r="A247" s="14"/>
      <c r="B247" s="63" t="s">
        <v>224</v>
      </c>
      <c r="C247" s="61">
        <f>SUMIF(Master!$E$2:$E$779,분류!B247,Master!$L$2:$L$779)</f>
        <v>0</v>
      </c>
      <c r="D247" s="62">
        <f>SUMIFS(Master!$L$2:$L$779,Master!$E$2:$E$779,분류!B247,Master!$G$2:$G$779,분류!$D$24)</f>
        <v>0</v>
      </c>
      <c r="E247" s="62">
        <f>SUMIFS(Master!$L$2:$L$779,Master!$E$2:$E$779,분류!B247,Master!$G$2:$G$779,분류!$E$24)</f>
        <v>0</v>
      </c>
      <c r="F247" s="62">
        <f>SUMIFS(Master!$L$2:$L$779,Master!$E$2:$E$779,분류!B247,Master!$G$2:$G$779,분류!$F$24)</f>
        <v>0</v>
      </c>
      <c r="G247" s="62">
        <f>SUMIFS(Master!$L$2:$L$779,Master!$E$2:$E$779,분류!B247,Master!$G$2:$G$779,분류!$G$24)</f>
        <v>0</v>
      </c>
      <c r="H247" s="62">
        <f>SUMIFS(Master!$L$2:$L$779,Master!$E$2:$E$779,분류!B247,Master!$G$2:$G$779,분류!$H$24)</f>
        <v>0</v>
      </c>
      <c r="I247" s="62">
        <f>SUMIFS(Master!$L$2:$L$779,Master!$E$2:$E$779,분류!B247,Master!$G$2:$G$779,분류!$I$24)</f>
        <v>0</v>
      </c>
      <c r="J247" s="47">
        <f>SUMIF(Master!$E$2:$E$779,분류!B247,Master!$Q$2:$Q$779)</f>
        <v>0</v>
      </c>
      <c r="K247" s="121" t="e">
        <f t="shared" si="14"/>
        <v>#DIV/0!</v>
      </c>
    </row>
    <row r="248" spans="1:15">
      <c r="A248" s="14"/>
      <c r="B248" s="63" t="s">
        <v>360</v>
      </c>
      <c r="C248" s="61">
        <f>SUMIF(Master!$E$2:$E$779,분류!B248,Master!$L$2:$L$779)</f>
        <v>0</v>
      </c>
      <c r="D248" s="62">
        <f>SUMIFS(Master!$L$2:$L$779,Master!$E$2:$E$779,분류!B248,Master!$G$2:$G$779,분류!$D$24)</f>
        <v>0</v>
      </c>
      <c r="E248" s="62">
        <f>SUMIFS(Master!$L$2:$L$779,Master!$E$2:$E$779,분류!B248,Master!$G$2:$G$779,분류!$E$24)</f>
        <v>0</v>
      </c>
      <c r="F248" s="62">
        <f>SUMIFS(Master!$L$2:$L$779,Master!$E$2:$E$779,분류!B248,Master!$G$2:$G$779,분류!$F$24)</f>
        <v>0</v>
      </c>
      <c r="G248" s="62">
        <f>SUMIFS(Master!$L$2:$L$779,Master!$E$2:$E$779,분류!B248,Master!$G$2:$G$779,분류!$G$24)</f>
        <v>0</v>
      </c>
      <c r="H248" s="62">
        <f>SUMIFS(Master!$L$2:$L$779,Master!$E$2:$E$779,분류!B248,Master!$G$2:$G$779,분류!$H$24)</f>
        <v>0</v>
      </c>
      <c r="I248" s="62">
        <f>SUMIFS(Master!$L$2:$L$779,Master!$E$2:$E$779,분류!B248,Master!$G$2:$G$779,분류!$I$24)</f>
        <v>0</v>
      </c>
      <c r="J248" s="47">
        <f>SUMIF(Master!$E$2:$E$779,분류!B248,Master!$Q$2:$Q$779)</f>
        <v>0</v>
      </c>
      <c r="K248" s="121" t="e">
        <f t="shared" si="14"/>
        <v>#DIV/0!</v>
      </c>
    </row>
    <row r="249" spans="1:15">
      <c r="A249" s="14"/>
      <c r="B249" s="63" t="s">
        <v>109</v>
      </c>
      <c r="C249" s="61">
        <f>SUMIF(Master!$E$2:$E$779,분류!B249,Master!$L$2:$L$779)</f>
        <v>0</v>
      </c>
      <c r="D249" s="62">
        <f>SUMIFS(Master!$L$2:$L$779,Master!$E$2:$E$779,분류!B249,Master!$G$2:$G$779,분류!$D$24)</f>
        <v>0</v>
      </c>
      <c r="E249" s="62">
        <f>SUMIFS(Master!$L$2:$L$779,Master!$E$2:$E$779,분류!B249,Master!$G$2:$G$779,분류!$E$24)</f>
        <v>0</v>
      </c>
      <c r="F249" s="62">
        <f>SUMIFS(Master!$L$2:$L$779,Master!$E$2:$E$779,분류!B249,Master!$G$2:$G$779,분류!$F$24)</f>
        <v>0</v>
      </c>
      <c r="G249" s="62">
        <f>SUMIFS(Master!$L$2:$L$779,Master!$E$2:$E$779,분류!B249,Master!$G$2:$G$779,분류!$G$24)</f>
        <v>0</v>
      </c>
      <c r="H249" s="62">
        <f>SUMIFS(Master!$L$2:$L$779,Master!$E$2:$E$779,분류!B249,Master!$G$2:$G$779,분류!$H$24)</f>
        <v>0</v>
      </c>
      <c r="I249" s="62">
        <f>SUMIFS(Master!$L$2:$L$779,Master!$E$2:$E$779,분류!B249,Master!$G$2:$G$779,분류!$I$24)</f>
        <v>0</v>
      </c>
      <c r="J249" s="47">
        <f>SUMIF(Master!$E$2:$E$779,분류!B249,Master!$Q$2:$Q$779)</f>
        <v>0</v>
      </c>
      <c r="K249" s="121" t="e">
        <f t="shared" si="14"/>
        <v>#DIV/0!</v>
      </c>
      <c r="O249" s="47"/>
    </row>
    <row r="250" spans="1:15">
      <c r="A250" s="14"/>
      <c r="B250" s="63" t="s">
        <v>353</v>
      </c>
      <c r="C250" s="61">
        <f>SUMIF(Master!$E$2:$E$779,분류!B250,Master!$L$2:$L$779)</f>
        <v>0</v>
      </c>
      <c r="D250" s="62">
        <f>SUMIFS(Master!$L$2:$L$779,Master!$E$2:$E$779,분류!B250,Master!$G$2:$G$779,분류!$D$24)</f>
        <v>0</v>
      </c>
      <c r="E250" s="62">
        <f>SUMIFS(Master!$L$2:$L$779,Master!$E$2:$E$779,분류!B250,Master!$G$2:$G$779,분류!$E$24)</f>
        <v>0</v>
      </c>
      <c r="F250" s="62">
        <f>SUMIFS(Master!$L$2:$L$779,Master!$E$2:$E$779,분류!B250,Master!$G$2:$G$779,분류!$F$24)</f>
        <v>0</v>
      </c>
      <c r="G250" s="62">
        <f>SUMIFS(Master!$L$2:$L$779,Master!$E$2:$E$779,분류!B250,Master!$G$2:$G$779,분류!$G$24)</f>
        <v>0</v>
      </c>
      <c r="H250" s="62">
        <f>SUMIFS(Master!$L$2:$L$779,Master!$E$2:$E$779,분류!B250,Master!$G$2:$G$779,분류!$H$24)</f>
        <v>0</v>
      </c>
      <c r="I250" s="62">
        <f>SUMIFS(Master!$L$2:$L$779,Master!$E$2:$E$779,분류!B250,Master!$G$2:$G$779,분류!$I$24)</f>
        <v>0</v>
      </c>
      <c r="J250" s="47">
        <f>SUMIF(Master!$E$2:$E$779,분류!B250,Master!$Q$2:$Q$779)</f>
        <v>0</v>
      </c>
      <c r="K250" s="121" t="e">
        <f t="shared" si="14"/>
        <v>#DIV/0!</v>
      </c>
    </row>
    <row r="251" spans="1:15">
      <c r="A251" s="14"/>
      <c r="B251" s="63" t="s">
        <v>93</v>
      </c>
      <c r="C251" s="61">
        <f>SUMIF(Master!$E$2:$E$779,분류!B251,Master!$L$2:$L$779)</f>
        <v>0</v>
      </c>
      <c r="D251" s="62">
        <f>SUMIFS(Master!$L$2:$L$779,Master!$E$2:$E$779,분류!B251,Master!$G$2:$G$779,분류!$D$24)</f>
        <v>0</v>
      </c>
      <c r="E251" s="62">
        <f>SUMIFS(Master!$L$2:$L$779,Master!$E$2:$E$779,분류!B251,Master!$G$2:$G$779,분류!$E$24)</f>
        <v>0</v>
      </c>
      <c r="F251" s="62">
        <f>SUMIFS(Master!$L$2:$L$779,Master!$E$2:$E$779,분류!B251,Master!$G$2:$G$779,분류!$F$24)</f>
        <v>0</v>
      </c>
      <c r="G251" s="62">
        <f>SUMIFS(Master!$L$2:$L$779,Master!$E$2:$E$779,분류!B251,Master!$G$2:$G$779,분류!$G$24)</f>
        <v>0</v>
      </c>
      <c r="H251" s="62">
        <f>SUMIFS(Master!$L$2:$L$779,Master!$E$2:$E$779,분류!B251,Master!$G$2:$G$779,분류!$H$24)</f>
        <v>0</v>
      </c>
      <c r="I251" s="62">
        <f>SUMIFS(Master!$L$2:$L$779,Master!$E$2:$E$779,분류!B251,Master!$G$2:$G$779,분류!$I$24)</f>
        <v>0</v>
      </c>
      <c r="J251" s="47">
        <f>SUMIF(Master!$E$2:$E$779,분류!B251,Master!$Q$2:$Q$779)</f>
        <v>0</v>
      </c>
      <c r="K251" s="121" t="e">
        <f t="shared" si="14"/>
        <v>#DIV/0!</v>
      </c>
    </row>
    <row r="252" spans="1:15">
      <c r="A252" s="14"/>
      <c r="B252" s="63" t="s">
        <v>377</v>
      </c>
      <c r="C252" s="61">
        <f>SUMIF(Master!$E$2:$E$779,분류!B252,Master!$L$2:$L$779)</f>
        <v>0</v>
      </c>
      <c r="D252" s="62">
        <f>SUMIFS(Master!$L$2:$L$779,Master!$E$2:$E$779,분류!B252,Master!$G$2:$G$779,분류!$D$24)</f>
        <v>0</v>
      </c>
      <c r="E252" s="62">
        <f>SUMIFS(Master!$L$2:$L$779,Master!$E$2:$E$779,분류!B252,Master!$G$2:$G$779,분류!$E$24)</f>
        <v>0</v>
      </c>
      <c r="F252" s="62">
        <f>SUMIFS(Master!$L$2:$L$779,Master!$E$2:$E$779,분류!B252,Master!$G$2:$G$779,분류!$F$24)</f>
        <v>0</v>
      </c>
      <c r="G252" s="62">
        <f>SUMIFS(Master!$L$2:$L$779,Master!$E$2:$E$779,분류!B252,Master!$G$2:$G$779,분류!$G$24)</f>
        <v>0</v>
      </c>
      <c r="H252" s="62">
        <f>SUMIFS(Master!$L$2:$L$779,Master!$E$2:$E$779,분류!B252,Master!$G$2:$G$779,분류!$H$24)</f>
        <v>0</v>
      </c>
      <c r="I252" s="62">
        <f>SUMIFS(Master!$L$2:$L$779,Master!$E$2:$E$779,분류!B252,Master!$G$2:$G$779,분류!$I$24)</f>
        <v>0</v>
      </c>
      <c r="J252" s="47">
        <f>SUMIF(Master!$E$2:$E$779,분류!B252,Master!$Q$2:$Q$779)</f>
        <v>0</v>
      </c>
      <c r="K252" s="121" t="e">
        <f t="shared" si="14"/>
        <v>#DIV/0!</v>
      </c>
    </row>
    <row r="253" spans="1:15">
      <c r="A253" s="14"/>
      <c r="B253" s="63" t="s">
        <v>339</v>
      </c>
      <c r="C253" s="61">
        <f>SUMIF(Master!$E$2:$E$779,분류!B253,Master!$L$2:$L$779)</f>
        <v>0</v>
      </c>
      <c r="D253" s="62">
        <f>SUMIFS(Master!$L$2:$L$779,Master!$E$2:$E$779,분류!B253,Master!$G$2:$G$779,분류!$D$24)</f>
        <v>0</v>
      </c>
      <c r="E253" s="62">
        <f>SUMIFS(Master!$L$2:$L$779,Master!$E$2:$E$779,분류!B253,Master!$G$2:$G$779,분류!$E$24)</f>
        <v>0</v>
      </c>
      <c r="F253" s="62">
        <f>SUMIFS(Master!$L$2:$L$779,Master!$E$2:$E$779,분류!B253,Master!$G$2:$G$779,분류!$F$24)</f>
        <v>0</v>
      </c>
      <c r="G253" s="62">
        <f>SUMIFS(Master!$L$2:$L$779,Master!$E$2:$E$779,분류!B253,Master!$G$2:$G$779,분류!$G$24)</f>
        <v>0</v>
      </c>
      <c r="H253" s="62">
        <f>SUMIFS(Master!$L$2:$L$779,Master!$E$2:$E$779,분류!B253,Master!$G$2:$G$779,분류!$H$24)</f>
        <v>0</v>
      </c>
      <c r="I253" s="62">
        <f>SUMIFS(Master!$L$2:$L$779,Master!$E$2:$E$779,분류!B253,Master!$G$2:$G$779,분류!$I$24)</f>
        <v>0</v>
      </c>
      <c r="J253" s="47">
        <f>SUMIF(Master!$E$2:$E$779,분류!B253,Master!$Q$2:$Q$779)</f>
        <v>0</v>
      </c>
      <c r="K253" s="121" t="e">
        <f t="shared" si="14"/>
        <v>#DIV/0!</v>
      </c>
    </row>
    <row r="254" spans="1:15">
      <c r="A254" s="14"/>
      <c r="B254" s="63" t="s">
        <v>309</v>
      </c>
      <c r="C254" s="61">
        <f>SUMIF(Master!$E$2:$E$779,분류!B254,Master!$L$2:$L$779)</f>
        <v>0</v>
      </c>
      <c r="D254" s="62">
        <f>SUMIFS(Master!$L$2:$L$779,Master!$E$2:$E$779,분류!B254,Master!$G$2:$G$779,분류!$D$24)</f>
        <v>0</v>
      </c>
      <c r="E254" s="62">
        <f>SUMIFS(Master!$L$2:$L$779,Master!$E$2:$E$779,분류!B254,Master!$G$2:$G$779,분류!$E$24)</f>
        <v>0</v>
      </c>
      <c r="F254" s="62">
        <f>SUMIFS(Master!$L$2:$L$779,Master!$E$2:$E$779,분류!B254,Master!$G$2:$G$779,분류!$F$24)</f>
        <v>0</v>
      </c>
      <c r="G254" s="62">
        <f>SUMIFS(Master!$L$2:$L$779,Master!$E$2:$E$779,분류!B254,Master!$G$2:$G$779,분류!$G$24)</f>
        <v>0</v>
      </c>
      <c r="H254" s="62">
        <f>SUMIFS(Master!$L$2:$L$779,Master!$E$2:$E$779,분류!B254,Master!$G$2:$G$779,분류!$H$24)</f>
        <v>0</v>
      </c>
      <c r="I254" s="62">
        <f>SUMIFS(Master!$L$2:$L$779,Master!$E$2:$E$779,분류!B254,Master!$G$2:$G$779,분류!$I$24)</f>
        <v>0</v>
      </c>
      <c r="J254" s="47">
        <f>SUMIF(Master!$E$2:$E$779,분류!B254,Master!$Q$2:$Q$779)</f>
        <v>0</v>
      </c>
      <c r="K254" s="121" t="e">
        <f t="shared" si="14"/>
        <v>#DIV/0!</v>
      </c>
    </row>
    <row r="255" spans="1:15">
      <c r="A255" s="14"/>
      <c r="B255" s="63" t="s">
        <v>245</v>
      </c>
      <c r="C255" s="61">
        <f>SUMIF(Master!$E$2:$E$779,분류!B255,Master!$L$2:$L$779)</f>
        <v>0</v>
      </c>
      <c r="D255" s="62">
        <f>SUMIFS(Master!$L$2:$L$779,Master!$E$2:$E$779,분류!B255,Master!$G$2:$G$779,분류!$D$24)</f>
        <v>0</v>
      </c>
      <c r="E255" s="62">
        <f>SUMIFS(Master!$L$2:$L$779,Master!$E$2:$E$779,분류!B255,Master!$G$2:$G$779,분류!$E$24)</f>
        <v>0</v>
      </c>
      <c r="F255" s="62">
        <f>SUMIFS(Master!$L$2:$L$779,Master!$E$2:$E$779,분류!B255,Master!$G$2:$G$779,분류!$F$24)</f>
        <v>0</v>
      </c>
      <c r="G255" s="62">
        <f>SUMIFS(Master!$L$2:$L$779,Master!$E$2:$E$779,분류!B255,Master!$G$2:$G$779,분류!$G$24)</f>
        <v>0</v>
      </c>
      <c r="H255" s="62">
        <f>SUMIFS(Master!$L$2:$L$779,Master!$E$2:$E$779,분류!B255,Master!$G$2:$G$779,분류!$H$24)</f>
        <v>0</v>
      </c>
      <c r="I255" s="62">
        <f>SUMIFS(Master!$L$2:$L$779,Master!$E$2:$E$779,분류!B255,Master!$G$2:$G$779,분류!$I$24)</f>
        <v>0</v>
      </c>
      <c r="J255" s="47">
        <f>SUMIF(Master!$E$2:$E$779,분류!B255,Master!$Q$2:$Q$779)</f>
        <v>0</v>
      </c>
      <c r="K255" s="121" t="e">
        <f t="shared" si="14"/>
        <v>#DIV/0!</v>
      </c>
    </row>
    <row r="256" spans="1:15">
      <c r="A256" s="14"/>
      <c r="B256" s="63" t="s">
        <v>278</v>
      </c>
      <c r="C256" s="61">
        <f>SUMIF(Master!$E$2:$E$779,분류!B256,Master!$L$2:$L$779)</f>
        <v>0</v>
      </c>
      <c r="D256" s="62">
        <f>SUMIFS(Master!$L$2:$L$779,Master!$E$2:$E$779,분류!B256,Master!$G$2:$G$779,분류!$D$24)</f>
        <v>0</v>
      </c>
      <c r="E256" s="62">
        <f>SUMIFS(Master!$L$2:$L$779,Master!$E$2:$E$779,분류!B256,Master!$G$2:$G$779,분류!$E$24)</f>
        <v>0</v>
      </c>
      <c r="F256" s="62">
        <f>SUMIFS(Master!$L$2:$L$779,Master!$E$2:$E$779,분류!B256,Master!$G$2:$G$779,분류!$F$24)</f>
        <v>0</v>
      </c>
      <c r="G256" s="62">
        <f>SUMIFS(Master!$L$2:$L$779,Master!$E$2:$E$779,분류!B256,Master!$G$2:$G$779,분류!$G$24)</f>
        <v>0</v>
      </c>
      <c r="H256" s="62">
        <f>SUMIFS(Master!$L$2:$L$779,Master!$E$2:$E$779,분류!B256,Master!$G$2:$G$779,분류!$H$24)</f>
        <v>0</v>
      </c>
      <c r="I256" s="62">
        <f>SUMIFS(Master!$L$2:$L$779,Master!$E$2:$E$779,분류!B256,Master!$G$2:$G$779,분류!$I$24)</f>
        <v>0</v>
      </c>
      <c r="J256" s="47">
        <f>SUMIF(Master!$E$2:$E$779,분류!B256,Master!$Q$2:$Q$779)</f>
        <v>0</v>
      </c>
      <c r="K256" s="121" t="e">
        <f t="shared" si="14"/>
        <v>#DIV/0!</v>
      </c>
    </row>
    <row r="257" spans="1:11">
      <c r="A257" s="14"/>
      <c r="B257" s="63" t="s">
        <v>340</v>
      </c>
      <c r="C257" s="61">
        <f>SUMIF(Master!$E$2:$E$779,분류!B257,Master!$L$2:$L$779)</f>
        <v>0</v>
      </c>
      <c r="D257" s="62">
        <f>SUMIFS(Master!$L$2:$L$779,Master!$E$2:$E$779,분류!B257,Master!$G$2:$G$779,분류!$D$24)</f>
        <v>0</v>
      </c>
      <c r="E257" s="62">
        <f>SUMIFS(Master!$L$2:$L$779,Master!$E$2:$E$779,분류!B257,Master!$G$2:$G$779,분류!$E$24)</f>
        <v>0</v>
      </c>
      <c r="F257" s="62">
        <f>SUMIFS(Master!$L$2:$L$779,Master!$E$2:$E$779,분류!B257,Master!$G$2:$G$779,분류!$F$24)</f>
        <v>0</v>
      </c>
      <c r="G257" s="62">
        <f>SUMIFS(Master!$L$2:$L$779,Master!$E$2:$E$779,분류!B257,Master!$G$2:$G$779,분류!$G$24)</f>
        <v>0</v>
      </c>
      <c r="H257" s="62">
        <f>SUMIFS(Master!$L$2:$L$779,Master!$E$2:$E$779,분류!B257,Master!$G$2:$G$779,분류!$H$24)</f>
        <v>0</v>
      </c>
      <c r="I257" s="62">
        <f>SUMIFS(Master!$L$2:$L$779,Master!$E$2:$E$779,분류!B257,Master!$G$2:$G$779,분류!$I$24)</f>
        <v>0</v>
      </c>
      <c r="J257" s="47">
        <f>SUMIF(Master!$E$2:$E$779,분류!B257,Master!$Q$2:$Q$779)</f>
        <v>0</v>
      </c>
      <c r="K257" s="121" t="e">
        <f t="shared" si="14"/>
        <v>#DIV/0!</v>
      </c>
    </row>
    <row r="258" spans="1:11">
      <c r="A258" s="14"/>
      <c r="B258" s="63" t="s">
        <v>307</v>
      </c>
      <c r="C258" s="61">
        <f>SUMIF(Master!$E$2:$E$779,분류!B258,Master!$L$2:$L$779)</f>
        <v>0</v>
      </c>
      <c r="D258" s="62">
        <f>SUMIFS(Master!$L$2:$L$779,Master!$E$2:$E$779,분류!B258,Master!$G$2:$G$779,분류!$D$24)</f>
        <v>0</v>
      </c>
      <c r="E258" s="62">
        <f>SUMIFS(Master!$L$2:$L$779,Master!$E$2:$E$779,분류!B258,Master!$G$2:$G$779,분류!$E$24)</f>
        <v>0</v>
      </c>
      <c r="F258" s="62">
        <f>SUMIFS(Master!$L$2:$L$779,Master!$E$2:$E$779,분류!B258,Master!$G$2:$G$779,분류!$F$24)</f>
        <v>0</v>
      </c>
      <c r="G258" s="62">
        <f>SUMIFS(Master!$L$2:$L$779,Master!$E$2:$E$779,분류!B258,Master!$G$2:$G$779,분류!$G$24)</f>
        <v>0</v>
      </c>
      <c r="H258" s="62">
        <f>SUMIFS(Master!$L$2:$L$779,Master!$E$2:$E$779,분류!B258,Master!$G$2:$G$779,분류!$H$24)</f>
        <v>0</v>
      </c>
      <c r="I258" s="62">
        <f>SUMIFS(Master!$L$2:$L$779,Master!$E$2:$E$779,분류!B258,Master!$G$2:$G$779,분류!$I$24)</f>
        <v>0</v>
      </c>
      <c r="J258" s="47">
        <f>SUMIF(Master!$E$2:$E$779,분류!B258,Master!$Q$2:$Q$779)</f>
        <v>0</v>
      </c>
      <c r="K258" s="121" t="e">
        <f t="shared" si="14"/>
        <v>#DIV/0!</v>
      </c>
    </row>
  </sheetData>
  <autoFilter ref="A24:U184" xr:uid="{00000000-0001-0000-0200-000000000000}"/>
  <sortState xmlns:xlrd2="http://schemas.microsoft.com/office/spreadsheetml/2017/richdata2" ref="A26:U182">
    <sortCondition ref="B26:B182"/>
  </sortState>
  <mergeCells count="4">
    <mergeCell ref="I18:I19"/>
    <mergeCell ref="I14:I16"/>
    <mergeCell ref="I3:I5"/>
    <mergeCell ref="I7:I8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6A0E7-AF45-4850-B187-748A696C4E7C}">
  <sheetPr codeName="Sheet2"/>
  <dimension ref="A1:Z161"/>
  <sheetViews>
    <sheetView zoomScale="97" zoomScaleNormal="97" workbookViewId="0">
      <pane ySplit="2" topLeftCell="A44" activePane="bottomLeft" state="frozen"/>
      <selection activeCell="J36" sqref="J36"/>
      <selection pane="bottomLeft" activeCell="K61" sqref="K61"/>
    </sheetView>
  </sheetViews>
  <sheetFormatPr defaultRowHeight="12"/>
  <cols>
    <col min="1" max="1" width="1.28515625" customWidth="1"/>
    <col min="2" max="2" width="11" customWidth="1"/>
    <col min="3" max="3" width="9.140625" customWidth="1"/>
    <col min="4" max="4" width="11.28515625" style="15" customWidth="1"/>
    <col min="5" max="5" width="18.7109375" customWidth="1"/>
    <col min="6" max="6" width="16.140625" customWidth="1"/>
    <col min="7" max="7" width="8.5703125" customWidth="1"/>
    <col min="8" max="8" width="12.42578125" customWidth="1"/>
    <col min="9" max="9" width="43.7109375" customWidth="1"/>
    <col min="10" max="10" width="4.5703125" style="185" customWidth="1"/>
    <col min="11" max="11" width="12.28515625" style="47" customWidth="1"/>
    <col min="12" max="12" width="13.140625" style="47" customWidth="1"/>
    <col min="13" max="13" width="12.28515625" style="47" customWidth="1"/>
    <col min="14" max="15" width="13.140625" style="47" customWidth="1"/>
    <col min="16" max="16" width="34.28515625" customWidth="1"/>
    <col min="17" max="17" width="12.42578125" style="47" customWidth="1"/>
    <col min="18" max="18" width="11.7109375" customWidth="1"/>
    <col min="19" max="19" width="7.85546875" customWidth="1"/>
    <col min="20" max="20" width="10.7109375" bestFit="1" customWidth="1"/>
    <col min="22" max="22" width="10.85546875" bestFit="1" customWidth="1"/>
  </cols>
  <sheetData>
    <row r="1" spans="1:20" ht="27" thickBot="1">
      <c r="B1" s="7" t="str">
        <f>"["&amp;YEAR(D3)&amp;"년 "&amp;MONTH(D3)&amp;"월 매출]"</f>
        <v>[2025년 1월 매출]</v>
      </c>
      <c r="C1" s="7"/>
      <c r="E1" s="156"/>
      <c r="K1" s="62"/>
      <c r="P1" s="156"/>
    </row>
    <row r="2" spans="1:20" ht="24">
      <c r="B2" s="149" t="s">
        <v>26</v>
      </c>
      <c r="C2" s="150" t="s">
        <v>27</v>
      </c>
      <c r="D2" s="143" t="s">
        <v>17</v>
      </c>
      <c r="E2" s="148" t="s">
        <v>18</v>
      </c>
      <c r="F2" s="159" t="s">
        <v>13</v>
      </c>
      <c r="G2" s="159" t="s">
        <v>0</v>
      </c>
      <c r="H2" s="159" t="s">
        <v>24</v>
      </c>
      <c r="I2" s="160" t="s">
        <v>19</v>
      </c>
      <c r="J2" s="186" t="s">
        <v>11</v>
      </c>
      <c r="K2" s="194" t="s">
        <v>20</v>
      </c>
      <c r="L2" s="129" t="s">
        <v>21</v>
      </c>
      <c r="M2" s="195" t="s">
        <v>23</v>
      </c>
      <c r="N2" s="195" t="s">
        <v>25</v>
      </c>
      <c r="O2" s="194" t="s">
        <v>77</v>
      </c>
      <c r="P2" s="148" t="s">
        <v>28</v>
      </c>
      <c r="Q2" s="129" t="s">
        <v>22</v>
      </c>
      <c r="R2" s="148" t="s">
        <v>8</v>
      </c>
      <c r="S2" s="148" t="s">
        <v>31</v>
      </c>
      <c r="T2" s="131" t="s">
        <v>12</v>
      </c>
    </row>
    <row r="3" spans="1:20">
      <c r="A3" t="s">
        <v>30</v>
      </c>
      <c r="B3" s="151" t="s">
        <v>113</v>
      </c>
      <c r="C3" s="153"/>
      <c r="D3" s="10">
        <v>45658</v>
      </c>
      <c r="E3" s="1" t="s">
        <v>266</v>
      </c>
      <c r="F3" s="2" t="s">
        <v>269</v>
      </c>
      <c r="G3" s="161" t="s">
        <v>34</v>
      </c>
      <c r="H3" s="161" t="s">
        <v>114</v>
      </c>
      <c r="I3" s="163" t="s">
        <v>416</v>
      </c>
      <c r="J3" s="210">
        <v>1</v>
      </c>
      <c r="K3" s="27">
        <v>550000</v>
      </c>
      <c r="L3" s="26">
        <f t="shared" ref="L3:L40" si="0">J3*K3</f>
        <v>550000</v>
      </c>
      <c r="M3" s="27">
        <f t="shared" ref="M3:M40" si="1">L3*10%</f>
        <v>55000</v>
      </c>
      <c r="N3" s="27">
        <f t="shared" ref="N3:N40" si="2">SUM(L3:M3)</f>
        <v>605000</v>
      </c>
      <c r="O3" s="52">
        <v>0</v>
      </c>
      <c r="P3" s="171" t="s">
        <v>115</v>
      </c>
      <c r="Q3" s="181">
        <f t="shared" ref="Q3:Q27" si="3">L3-O3</f>
        <v>550000</v>
      </c>
      <c r="R3" s="202" t="s">
        <v>425</v>
      </c>
      <c r="S3" s="8" t="s">
        <v>2135</v>
      </c>
      <c r="T3" s="11"/>
    </row>
    <row r="4" spans="1:20" ht="12" customHeight="1">
      <c r="A4" t="s">
        <v>30</v>
      </c>
      <c r="B4" s="151" t="s">
        <v>146</v>
      </c>
      <c r="C4" s="153"/>
      <c r="D4" s="10">
        <v>45658</v>
      </c>
      <c r="E4" s="1" t="s">
        <v>141</v>
      </c>
      <c r="F4" s="161" t="s">
        <v>140</v>
      </c>
      <c r="G4" s="1" t="s">
        <v>16</v>
      </c>
      <c r="H4" s="161" t="s">
        <v>138</v>
      </c>
      <c r="I4" s="162" t="s">
        <v>417</v>
      </c>
      <c r="J4" s="74">
        <v>1</v>
      </c>
      <c r="K4" s="27">
        <v>635000</v>
      </c>
      <c r="L4" s="26">
        <f t="shared" si="0"/>
        <v>635000</v>
      </c>
      <c r="M4" s="27">
        <f t="shared" si="1"/>
        <v>63500</v>
      </c>
      <c r="N4" s="27">
        <f t="shared" si="2"/>
        <v>698500</v>
      </c>
      <c r="O4" s="52">
        <v>532212</v>
      </c>
      <c r="P4" s="170" t="s">
        <v>139</v>
      </c>
      <c r="Q4" s="181">
        <f t="shared" si="3"/>
        <v>102788</v>
      </c>
      <c r="R4" s="202" t="s">
        <v>144</v>
      </c>
      <c r="S4" s="8" t="s">
        <v>2136</v>
      </c>
      <c r="T4" s="11"/>
    </row>
    <row r="5" spans="1:20">
      <c r="A5" t="s">
        <v>30</v>
      </c>
      <c r="B5" s="151" t="s">
        <v>174</v>
      </c>
      <c r="C5" s="152"/>
      <c r="D5" s="10">
        <v>45658</v>
      </c>
      <c r="E5" s="1" t="s">
        <v>162</v>
      </c>
      <c r="F5" s="1" t="s">
        <v>162</v>
      </c>
      <c r="G5" s="161" t="s">
        <v>16</v>
      </c>
      <c r="H5" s="161" t="s">
        <v>81</v>
      </c>
      <c r="I5" s="163" t="s">
        <v>242</v>
      </c>
      <c r="J5" s="71">
        <v>1</v>
      </c>
      <c r="K5" s="26">
        <v>1200000</v>
      </c>
      <c r="L5" s="26">
        <f t="shared" si="0"/>
        <v>1200000</v>
      </c>
      <c r="M5" s="27">
        <f t="shared" si="1"/>
        <v>120000</v>
      </c>
      <c r="N5" s="27">
        <f t="shared" si="2"/>
        <v>1320000</v>
      </c>
      <c r="O5" s="52">
        <f>4800000/6</f>
        <v>800000</v>
      </c>
      <c r="P5" s="171" t="s">
        <v>1077</v>
      </c>
      <c r="Q5" s="181">
        <f t="shared" si="3"/>
        <v>400000</v>
      </c>
      <c r="R5" s="68" t="s">
        <v>626</v>
      </c>
      <c r="S5" s="5" t="s">
        <v>2133</v>
      </c>
      <c r="T5" s="6"/>
    </row>
    <row r="6" spans="1:20">
      <c r="A6" t="s">
        <v>30</v>
      </c>
      <c r="B6" s="151" t="s">
        <v>215</v>
      </c>
      <c r="C6" s="153"/>
      <c r="D6" s="10">
        <v>45658</v>
      </c>
      <c r="E6" s="1" t="s">
        <v>261</v>
      </c>
      <c r="F6" s="2" t="s">
        <v>132</v>
      </c>
      <c r="G6" s="1" t="s">
        <v>16</v>
      </c>
      <c r="H6" s="161" t="s">
        <v>138</v>
      </c>
      <c r="I6" s="164" t="s">
        <v>653</v>
      </c>
      <c r="J6" s="210">
        <v>1</v>
      </c>
      <c r="K6" s="27">
        <v>1300000</v>
      </c>
      <c r="L6" s="26">
        <f t="shared" si="0"/>
        <v>1300000</v>
      </c>
      <c r="M6" s="27">
        <f t="shared" si="1"/>
        <v>130000</v>
      </c>
      <c r="N6" s="27">
        <f t="shared" si="2"/>
        <v>1430000</v>
      </c>
      <c r="O6" s="52">
        <f>1123962+8384</f>
        <v>1132346</v>
      </c>
      <c r="P6" s="170" t="s">
        <v>652</v>
      </c>
      <c r="Q6" s="181">
        <f t="shared" si="3"/>
        <v>167654</v>
      </c>
      <c r="R6" s="2" t="s">
        <v>890</v>
      </c>
      <c r="S6" s="8" t="s">
        <v>2136</v>
      </c>
      <c r="T6" s="11"/>
    </row>
    <row r="7" spans="1:20" ht="12" customHeight="1">
      <c r="A7" t="s">
        <v>30</v>
      </c>
      <c r="B7" s="151" t="s">
        <v>294</v>
      </c>
      <c r="C7" s="153"/>
      <c r="D7" s="10">
        <v>45658</v>
      </c>
      <c r="E7" s="1" t="s">
        <v>2140</v>
      </c>
      <c r="F7" s="161"/>
      <c r="G7" s="1" t="s">
        <v>16</v>
      </c>
      <c r="H7" s="161" t="s">
        <v>81</v>
      </c>
      <c r="I7" s="3" t="s">
        <v>233</v>
      </c>
      <c r="J7" s="74">
        <v>1</v>
      </c>
      <c r="K7" s="27">
        <v>300000</v>
      </c>
      <c r="L7" s="26">
        <f t="shared" si="0"/>
        <v>300000</v>
      </c>
      <c r="M7" s="27">
        <f t="shared" si="1"/>
        <v>30000</v>
      </c>
      <c r="N7" s="27">
        <f t="shared" si="2"/>
        <v>330000</v>
      </c>
      <c r="O7" s="52">
        <v>0</v>
      </c>
      <c r="P7" s="171" t="s">
        <v>129</v>
      </c>
      <c r="Q7" s="181">
        <f t="shared" si="3"/>
        <v>300000</v>
      </c>
      <c r="R7" s="202" t="s">
        <v>232</v>
      </c>
      <c r="S7" s="8" t="s">
        <v>2136</v>
      </c>
      <c r="T7" s="11"/>
    </row>
    <row r="8" spans="1:20" ht="24">
      <c r="A8" t="s">
        <v>30</v>
      </c>
      <c r="B8" s="151" t="s">
        <v>313</v>
      </c>
      <c r="C8" s="153"/>
      <c r="D8" s="10">
        <v>45658</v>
      </c>
      <c r="E8" s="1" t="s">
        <v>312</v>
      </c>
      <c r="F8" s="2"/>
      <c r="G8" s="1" t="s">
        <v>16</v>
      </c>
      <c r="H8" s="1" t="s">
        <v>138</v>
      </c>
      <c r="I8" s="4" t="s">
        <v>418</v>
      </c>
      <c r="J8" s="210">
        <v>1</v>
      </c>
      <c r="K8" s="27">
        <v>507500</v>
      </c>
      <c r="L8" s="26">
        <f t="shared" si="0"/>
        <v>507500</v>
      </c>
      <c r="M8" s="27">
        <f t="shared" si="1"/>
        <v>50750</v>
      </c>
      <c r="N8" s="27">
        <f t="shared" si="2"/>
        <v>558250</v>
      </c>
      <c r="O8" s="52">
        <f>316682+800000/8</f>
        <v>416682</v>
      </c>
      <c r="P8" s="170" t="s">
        <v>594</v>
      </c>
      <c r="Q8" s="181">
        <f t="shared" si="3"/>
        <v>90818</v>
      </c>
      <c r="R8" s="202" t="s">
        <v>603</v>
      </c>
      <c r="S8" s="8" t="s">
        <v>2136</v>
      </c>
      <c r="T8" s="11"/>
    </row>
    <row r="9" spans="1:20" ht="48">
      <c r="A9" t="s">
        <v>30</v>
      </c>
      <c r="B9" s="151" t="s">
        <v>329</v>
      </c>
      <c r="C9" s="152" t="s">
        <v>322</v>
      </c>
      <c r="D9" s="10">
        <v>45658</v>
      </c>
      <c r="E9" s="157" t="s">
        <v>2213</v>
      </c>
      <c r="F9" s="157"/>
      <c r="G9" s="1" t="s">
        <v>16</v>
      </c>
      <c r="H9" s="1" t="s">
        <v>195</v>
      </c>
      <c r="I9" s="3" t="s">
        <v>239</v>
      </c>
      <c r="J9" s="211">
        <v>1</v>
      </c>
      <c r="K9" s="26">
        <v>1554500</v>
      </c>
      <c r="L9" s="26">
        <f t="shared" si="0"/>
        <v>1554500</v>
      </c>
      <c r="M9" s="27">
        <f t="shared" si="1"/>
        <v>155450</v>
      </c>
      <c r="N9" s="27">
        <f t="shared" si="2"/>
        <v>1709950</v>
      </c>
      <c r="O9" s="52">
        <f>171600+6000000/12+436400+200000</f>
        <v>1308000</v>
      </c>
      <c r="P9" s="172" t="s">
        <v>1643</v>
      </c>
      <c r="Q9" s="181">
        <f t="shared" si="3"/>
        <v>246500</v>
      </c>
      <c r="R9" s="68" t="s">
        <v>624</v>
      </c>
      <c r="S9" s="5" t="s">
        <v>2136</v>
      </c>
      <c r="T9" s="6"/>
    </row>
    <row r="10" spans="1:20">
      <c r="A10" t="s">
        <v>30</v>
      </c>
      <c r="B10" s="151" t="s">
        <v>338</v>
      </c>
      <c r="C10" s="152" t="s">
        <v>321</v>
      </c>
      <c r="D10" s="10">
        <v>45658</v>
      </c>
      <c r="E10" s="1" t="s">
        <v>2212</v>
      </c>
      <c r="F10" s="1"/>
      <c r="G10" s="1" t="s">
        <v>16</v>
      </c>
      <c r="H10" s="161" t="s">
        <v>80</v>
      </c>
      <c r="I10" s="164" t="s">
        <v>236</v>
      </c>
      <c r="J10" s="69">
        <v>1</v>
      </c>
      <c r="K10" s="29">
        <v>1423000</v>
      </c>
      <c r="L10" s="26">
        <f t="shared" si="0"/>
        <v>1423000</v>
      </c>
      <c r="M10" s="27">
        <f t="shared" si="1"/>
        <v>142300</v>
      </c>
      <c r="N10" s="27">
        <f t="shared" si="2"/>
        <v>1565300</v>
      </c>
      <c r="O10" s="52">
        <v>1120200</v>
      </c>
      <c r="P10" s="171" t="s">
        <v>147</v>
      </c>
      <c r="Q10" s="181">
        <f t="shared" si="3"/>
        <v>302800</v>
      </c>
      <c r="R10" s="68" t="s">
        <v>603</v>
      </c>
      <c r="S10" s="5" t="s">
        <v>2136</v>
      </c>
      <c r="T10" s="6"/>
    </row>
    <row r="11" spans="1:20" ht="24">
      <c r="A11" t="s">
        <v>30</v>
      </c>
      <c r="B11" s="151" t="s">
        <v>320</v>
      </c>
      <c r="C11" s="153"/>
      <c r="D11" s="10">
        <v>45658</v>
      </c>
      <c r="E11" s="1" t="s">
        <v>5</v>
      </c>
      <c r="F11" s="2" t="s">
        <v>315</v>
      </c>
      <c r="G11" s="1" t="s">
        <v>16</v>
      </c>
      <c r="H11" s="161" t="s">
        <v>80</v>
      </c>
      <c r="I11" s="164" t="s">
        <v>236</v>
      </c>
      <c r="J11" s="210">
        <v>1</v>
      </c>
      <c r="K11" s="27">
        <v>238000</v>
      </c>
      <c r="L11" s="26">
        <f t="shared" si="0"/>
        <v>238000</v>
      </c>
      <c r="M11" s="27">
        <f t="shared" si="1"/>
        <v>23800</v>
      </c>
      <c r="N11" s="27">
        <f t="shared" si="2"/>
        <v>261800</v>
      </c>
      <c r="O11" s="52">
        <v>198018</v>
      </c>
      <c r="P11" s="197" t="s">
        <v>139</v>
      </c>
      <c r="Q11" s="181">
        <f t="shared" si="3"/>
        <v>39982</v>
      </c>
      <c r="R11" s="68" t="s">
        <v>144</v>
      </c>
      <c r="S11" s="5" t="s">
        <v>2136</v>
      </c>
      <c r="T11" s="11"/>
    </row>
    <row r="12" spans="1:20">
      <c r="A12" t="s">
        <v>30</v>
      </c>
      <c r="B12" s="151" t="s">
        <v>397</v>
      </c>
      <c r="C12" s="153"/>
      <c r="D12" s="10">
        <v>45658</v>
      </c>
      <c r="E12" s="1" t="s">
        <v>393</v>
      </c>
      <c r="F12" s="2" t="s">
        <v>394</v>
      </c>
      <c r="G12" s="161" t="s">
        <v>16</v>
      </c>
      <c r="H12" s="161" t="s">
        <v>138</v>
      </c>
      <c r="I12" s="4" t="s">
        <v>419</v>
      </c>
      <c r="J12" s="23">
        <v>1</v>
      </c>
      <c r="K12" s="27">
        <v>158400</v>
      </c>
      <c r="L12" s="26">
        <f t="shared" si="0"/>
        <v>158400</v>
      </c>
      <c r="M12" s="27">
        <f t="shared" si="1"/>
        <v>15840</v>
      </c>
      <c r="N12" s="27">
        <f t="shared" si="2"/>
        <v>174240</v>
      </c>
      <c r="O12" s="33">
        <v>94111</v>
      </c>
      <c r="P12" s="197" t="s">
        <v>139</v>
      </c>
      <c r="Q12" s="20">
        <f t="shared" si="3"/>
        <v>64289</v>
      </c>
      <c r="R12" s="68" t="s">
        <v>117</v>
      </c>
      <c r="S12" s="8" t="s">
        <v>2136</v>
      </c>
      <c r="T12" s="11"/>
    </row>
    <row r="13" spans="1:20" ht="24">
      <c r="A13" t="s">
        <v>30</v>
      </c>
      <c r="B13" s="151" t="s">
        <v>172</v>
      </c>
      <c r="C13" s="152"/>
      <c r="D13" s="10">
        <v>45658</v>
      </c>
      <c r="E13" s="1" t="s">
        <v>166</v>
      </c>
      <c r="F13" s="161" t="s">
        <v>164</v>
      </c>
      <c r="G13" s="161" t="s">
        <v>16</v>
      </c>
      <c r="H13" s="161" t="s">
        <v>81</v>
      </c>
      <c r="I13" s="163" t="s">
        <v>420</v>
      </c>
      <c r="J13" s="71">
        <v>1</v>
      </c>
      <c r="K13" s="26">
        <f>280000+2*120000</f>
        <v>520000</v>
      </c>
      <c r="L13" s="26">
        <f t="shared" si="0"/>
        <v>520000</v>
      </c>
      <c r="M13" s="27">
        <f t="shared" si="1"/>
        <v>52000</v>
      </c>
      <c r="N13" s="27">
        <f t="shared" si="2"/>
        <v>572000</v>
      </c>
      <c r="O13" s="52">
        <f>213400+155200</f>
        <v>368600</v>
      </c>
      <c r="P13" s="171" t="s">
        <v>595</v>
      </c>
      <c r="Q13" s="181">
        <f t="shared" si="3"/>
        <v>151400</v>
      </c>
      <c r="R13" s="68" t="s">
        <v>626</v>
      </c>
      <c r="S13" s="5" t="s">
        <v>2133</v>
      </c>
      <c r="T13" s="6"/>
    </row>
    <row r="14" spans="1:20" ht="36">
      <c r="A14" t="s">
        <v>30</v>
      </c>
      <c r="B14" s="151" t="s">
        <v>173</v>
      </c>
      <c r="C14" s="152"/>
      <c r="D14" s="10">
        <v>45658</v>
      </c>
      <c r="E14" s="1" t="s">
        <v>262</v>
      </c>
      <c r="F14" s="161" t="s">
        <v>165</v>
      </c>
      <c r="G14" s="161" t="s">
        <v>16</v>
      </c>
      <c r="H14" s="161" t="s">
        <v>81</v>
      </c>
      <c r="I14" s="163" t="s">
        <v>230</v>
      </c>
      <c r="J14" s="71">
        <v>1</v>
      </c>
      <c r="K14" s="26">
        <v>320000</v>
      </c>
      <c r="L14" s="26">
        <f t="shared" si="0"/>
        <v>320000</v>
      </c>
      <c r="M14" s="27">
        <f t="shared" si="1"/>
        <v>32000</v>
      </c>
      <c r="N14" s="27">
        <f t="shared" si="2"/>
        <v>352000</v>
      </c>
      <c r="O14" s="52">
        <f>145500+77600</f>
        <v>223100</v>
      </c>
      <c r="P14" s="171" t="s">
        <v>596</v>
      </c>
      <c r="Q14" s="181">
        <f t="shared" si="3"/>
        <v>96900</v>
      </c>
      <c r="R14" s="68" t="s">
        <v>630</v>
      </c>
      <c r="S14" s="5" t="s">
        <v>2133</v>
      </c>
      <c r="T14" s="6"/>
    </row>
    <row r="15" spans="1:20">
      <c r="A15" t="s">
        <v>30</v>
      </c>
      <c r="B15" s="151" t="s">
        <v>175</v>
      </c>
      <c r="C15" s="152"/>
      <c r="D15" s="10">
        <v>45658</v>
      </c>
      <c r="E15" s="1" t="s">
        <v>163</v>
      </c>
      <c r="F15" s="1" t="s">
        <v>163</v>
      </c>
      <c r="G15" s="161" t="s">
        <v>16</v>
      </c>
      <c r="H15" s="161" t="s">
        <v>81</v>
      </c>
      <c r="I15" s="163" t="s">
        <v>229</v>
      </c>
      <c r="J15" s="71">
        <v>1</v>
      </c>
      <c r="K15" s="28">
        <v>100000</v>
      </c>
      <c r="L15" s="26">
        <f t="shared" si="0"/>
        <v>100000</v>
      </c>
      <c r="M15" s="27">
        <f t="shared" si="1"/>
        <v>10000</v>
      </c>
      <c r="N15" s="27">
        <f t="shared" si="2"/>
        <v>110000</v>
      </c>
      <c r="O15" s="52">
        <v>0</v>
      </c>
      <c r="P15" s="171" t="s">
        <v>129</v>
      </c>
      <c r="Q15" s="181">
        <f t="shared" si="3"/>
        <v>100000</v>
      </c>
      <c r="R15" s="68" t="s">
        <v>798</v>
      </c>
      <c r="S15" s="5" t="s">
        <v>2133</v>
      </c>
      <c r="T15" s="6"/>
    </row>
    <row r="16" spans="1:20">
      <c r="A16" t="s">
        <v>30</v>
      </c>
      <c r="B16" s="151" t="s">
        <v>112</v>
      </c>
      <c r="C16" s="200"/>
      <c r="D16" s="10">
        <v>45658</v>
      </c>
      <c r="E16" s="1" t="s">
        <v>2160</v>
      </c>
      <c r="F16" s="2" t="s">
        <v>82</v>
      </c>
      <c r="G16" s="1" t="s">
        <v>16</v>
      </c>
      <c r="H16" s="165" t="s">
        <v>138</v>
      </c>
      <c r="I16" s="166" t="s">
        <v>421</v>
      </c>
      <c r="J16" s="179">
        <v>1</v>
      </c>
      <c r="K16" s="180">
        <v>1233000</v>
      </c>
      <c r="L16" s="50">
        <f t="shared" si="0"/>
        <v>1233000</v>
      </c>
      <c r="M16" s="51">
        <f t="shared" si="1"/>
        <v>123300</v>
      </c>
      <c r="N16" s="51">
        <f t="shared" si="2"/>
        <v>1356300</v>
      </c>
      <c r="O16" s="52">
        <f>309047*3</f>
        <v>927141</v>
      </c>
      <c r="P16" s="171" t="s">
        <v>980</v>
      </c>
      <c r="Q16" s="182">
        <f t="shared" si="3"/>
        <v>305859</v>
      </c>
      <c r="R16" s="68" t="s">
        <v>156</v>
      </c>
      <c r="S16" s="36" t="s">
        <v>2136</v>
      </c>
      <c r="T16" s="35"/>
    </row>
    <row r="17" spans="1:21">
      <c r="A17" t="s">
        <v>30</v>
      </c>
      <c r="B17" s="151" t="s">
        <v>333</v>
      </c>
      <c r="C17" s="199" t="s">
        <v>194</v>
      </c>
      <c r="D17" s="10">
        <v>45658</v>
      </c>
      <c r="E17" s="1" t="s">
        <v>83</v>
      </c>
      <c r="F17" s="2" t="s">
        <v>84</v>
      </c>
      <c r="G17" s="1" t="s">
        <v>16</v>
      </c>
      <c r="H17" s="161" t="s">
        <v>80</v>
      </c>
      <c r="I17" s="166" t="s">
        <v>421</v>
      </c>
      <c r="J17" s="179">
        <v>1</v>
      </c>
      <c r="K17" s="51">
        <v>200000</v>
      </c>
      <c r="L17" s="50">
        <f t="shared" si="0"/>
        <v>200000</v>
      </c>
      <c r="M17" s="51">
        <f t="shared" si="1"/>
        <v>20000</v>
      </c>
      <c r="N17" s="51">
        <f t="shared" si="2"/>
        <v>220000</v>
      </c>
      <c r="O17" s="52">
        <f>58800*3</f>
        <v>176400</v>
      </c>
      <c r="P17" s="171" t="s">
        <v>1090</v>
      </c>
      <c r="Q17" s="183">
        <f t="shared" si="3"/>
        <v>23600</v>
      </c>
      <c r="R17" s="2" t="s">
        <v>144</v>
      </c>
      <c r="S17" s="36" t="s">
        <v>2136</v>
      </c>
      <c r="T17" s="11"/>
    </row>
    <row r="18" spans="1:21" ht="35.25" customHeight="1">
      <c r="A18" t="s">
        <v>30</v>
      </c>
      <c r="B18" s="151" t="s">
        <v>346</v>
      </c>
      <c r="C18" s="199" t="s">
        <v>342</v>
      </c>
      <c r="D18" s="10">
        <v>45658</v>
      </c>
      <c r="E18" s="1" t="s">
        <v>83</v>
      </c>
      <c r="F18" s="2" t="s">
        <v>316</v>
      </c>
      <c r="G18" s="1" t="s">
        <v>16</v>
      </c>
      <c r="H18" s="161" t="s">
        <v>80</v>
      </c>
      <c r="I18" s="166" t="s">
        <v>231</v>
      </c>
      <c r="J18" s="53">
        <v>1</v>
      </c>
      <c r="K18" s="51">
        <v>5651400</v>
      </c>
      <c r="L18" s="50">
        <f t="shared" si="0"/>
        <v>5651400</v>
      </c>
      <c r="M18" s="51">
        <f t="shared" si="1"/>
        <v>565140</v>
      </c>
      <c r="N18" s="51">
        <f t="shared" si="2"/>
        <v>6216540</v>
      </c>
      <c r="O18" s="52">
        <f>1706400*3+1000000/12*3</f>
        <v>5369200</v>
      </c>
      <c r="P18" s="171" t="s">
        <v>1091</v>
      </c>
      <c r="Q18" s="181">
        <f t="shared" si="3"/>
        <v>282200</v>
      </c>
      <c r="R18" s="2" t="s">
        <v>1160</v>
      </c>
      <c r="S18" s="36" t="s">
        <v>2136</v>
      </c>
      <c r="T18" s="11"/>
    </row>
    <row r="19" spans="1:21" ht="36">
      <c r="A19" t="s">
        <v>30</v>
      </c>
      <c r="B19" s="151" t="s">
        <v>463</v>
      </c>
      <c r="C19" s="153" t="s">
        <v>423</v>
      </c>
      <c r="D19" s="17">
        <v>45659</v>
      </c>
      <c r="E19" s="1" t="s">
        <v>2201</v>
      </c>
      <c r="F19" s="2" t="s">
        <v>116</v>
      </c>
      <c r="G19" s="2" t="s">
        <v>16</v>
      </c>
      <c r="H19" s="2" t="s">
        <v>80</v>
      </c>
      <c r="I19" s="4" t="s">
        <v>422</v>
      </c>
      <c r="J19" s="23">
        <v>11</v>
      </c>
      <c r="K19" s="27">
        <v>108000</v>
      </c>
      <c r="L19" s="26">
        <f t="shared" si="0"/>
        <v>1188000</v>
      </c>
      <c r="M19" s="27">
        <f t="shared" si="1"/>
        <v>118800</v>
      </c>
      <c r="N19" s="27">
        <f t="shared" si="2"/>
        <v>1306800</v>
      </c>
      <c r="O19" s="132">
        <f>98100*11</f>
        <v>1079100</v>
      </c>
      <c r="P19" s="193" t="s">
        <v>2073</v>
      </c>
      <c r="Q19" s="20">
        <f t="shared" si="3"/>
        <v>108900</v>
      </c>
      <c r="R19" s="68" t="s">
        <v>1101</v>
      </c>
      <c r="S19" s="8" t="s">
        <v>2136</v>
      </c>
      <c r="T19" s="11"/>
    </row>
    <row r="20" spans="1:21" ht="48">
      <c r="A20" t="s">
        <v>30</v>
      </c>
      <c r="B20" s="151" t="s">
        <v>462</v>
      </c>
      <c r="C20" s="153" t="s">
        <v>748</v>
      </c>
      <c r="D20" s="17">
        <v>45661</v>
      </c>
      <c r="E20" s="1" t="s">
        <v>407</v>
      </c>
      <c r="F20" s="2"/>
      <c r="G20" s="1" t="s">
        <v>16</v>
      </c>
      <c r="H20" s="83" t="s">
        <v>80</v>
      </c>
      <c r="I20" s="4" t="s">
        <v>408</v>
      </c>
      <c r="J20" s="23">
        <v>1</v>
      </c>
      <c r="K20" s="27">
        <v>1320000</v>
      </c>
      <c r="L20" s="26">
        <f t="shared" si="0"/>
        <v>1320000</v>
      </c>
      <c r="M20" s="27">
        <f t="shared" si="1"/>
        <v>132000</v>
      </c>
      <c r="N20" s="27">
        <f t="shared" si="2"/>
        <v>1452000</v>
      </c>
      <c r="O20" s="132">
        <v>1198800</v>
      </c>
      <c r="P20" s="173" t="s">
        <v>2072</v>
      </c>
      <c r="Q20" s="20">
        <f t="shared" si="3"/>
        <v>121200</v>
      </c>
      <c r="R20" s="2" t="s">
        <v>533</v>
      </c>
      <c r="S20" s="36" t="s">
        <v>2136</v>
      </c>
      <c r="T20" s="11"/>
    </row>
    <row r="21" spans="1:21">
      <c r="A21" t="s">
        <v>30</v>
      </c>
      <c r="B21" s="151" t="s">
        <v>113</v>
      </c>
      <c r="C21" s="153"/>
      <c r="D21" s="17">
        <v>45662</v>
      </c>
      <c r="E21" s="1" t="s">
        <v>371</v>
      </c>
      <c r="F21" s="2" t="s">
        <v>372</v>
      </c>
      <c r="G21" s="161" t="s">
        <v>34</v>
      </c>
      <c r="H21" s="161" t="s">
        <v>114</v>
      </c>
      <c r="I21" s="3" t="s">
        <v>461</v>
      </c>
      <c r="J21" s="210">
        <v>1</v>
      </c>
      <c r="K21" s="27">
        <v>367500</v>
      </c>
      <c r="L21" s="26">
        <f t="shared" si="0"/>
        <v>367500</v>
      </c>
      <c r="M21" s="27">
        <f t="shared" si="1"/>
        <v>36750</v>
      </c>
      <c r="N21" s="27">
        <f t="shared" si="2"/>
        <v>404250</v>
      </c>
      <c r="O21" s="52">
        <v>0</v>
      </c>
      <c r="P21" s="171" t="s">
        <v>115</v>
      </c>
      <c r="Q21" s="181">
        <f t="shared" si="3"/>
        <v>367500</v>
      </c>
      <c r="R21" s="68" t="s">
        <v>626</v>
      </c>
      <c r="S21" s="5" t="s">
        <v>2135</v>
      </c>
      <c r="T21" s="11"/>
    </row>
    <row r="22" spans="1:21" ht="104.25" customHeight="1">
      <c r="A22" t="s">
        <v>30</v>
      </c>
      <c r="B22" s="151" t="s">
        <v>364</v>
      </c>
      <c r="C22" s="200"/>
      <c r="D22" s="17">
        <v>45662</v>
      </c>
      <c r="E22" s="1" t="s">
        <v>2194</v>
      </c>
      <c r="F22" s="161"/>
      <c r="G22" s="1" t="s">
        <v>16</v>
      </c>
      <c r="H22" s="161" t="s">
        <v>81</v>
      </c>
      <c r="I22" s="3" t="s">
        <v>226</v>
      </c>
      <c r="J22" s="210">
        <v>1</v>
      </c>
      <c r="K22" s="26">
        <v>7060000</v>
      </c>
      <c r="L22" s="26">
        <f t="shared" si="0"/>
        <v>7060000</v>
      </c>
      <c r="M22" s="67">
        <f t="shared" si="1"/>
        <v>706000</v>
      </c>
      <c r="N22" s="27">
        <f t="shared" si="2"/>
        <v>7766000</v>
      </c>
      <c r="O22" s="52">
        <f>691781+300000+70000+1000000/12+810000+352900+5000000/3</f>
        <v>3974681</v>
      </c>
      <c r="P22" s="172" t="s">
        <v>808</v>
      </c>
      <c r="Q22" s="181">
        <f t="shared" si="3"/>
        <v>3085319</v>
      </c>
      <c r="R22" s="2" t="s">
        <v>144</v>
      </c>
      <c r="S22" s="5" t="s">
        <v>2133</v>
      </c>
      <c r="T22" s="6"/>
    </row>
    <row r="23" spans="1:21">
      <c r="A23" t="s">
        <v>30</v>
      </c>
      <c r="B23" s="151" t="s">
        <v>369</v>
      </c>
      <c r="C23" s="153"/>
      <c r="D23" s="17">
        <v>45662</v>
      </c>
      <c r="E23" s="1" t="s">
        <v>2198</v>
      </c>
      <c r="F23" s="2"/>
      <c r="G23" s="1" t="s">
        <v>16</v>
      </c>
      <c r="H23" s="161" t="s">
        <v>81</v>
      </c>
      <c r="I23" s="4" t="s">
        <v>429</v>
      </c>
      <c r="J23" s="210">
        <v>1</v>
      </c>
      <c r="K23" s="27">
        <v>1100000</v>
      </c>
      <c r="L23" s="26">
        <f t="shared" si="0"/>
        <v>1100000</v>
      </c>
      <c r="M23" s="27">
        <f t="shared" si="1"/>
        <v>110000</v>
      </c>
      <c r="N23" s="27">
        <f t="shared" si="2"/>
        <v>1210000</v>
      </c>
      <c r="O23" s="33">
        <v>1060000</v>
      </c>
      <c r="P23" s="197" t="s">
        <v>2178</v>
      </c>
      <c r="Q23" s="20">
        <f t="shared" si="3"/>
        <v>40000</v>
      </c>
      <c r="R23" s="68" t="s">
        <v>890</v>
      </c>
      <c r="S23" s="36" t="s">
        <v>2133</v>
      </c>
      <c r="T23" s="11"/>
    </row>
    <row r="24" spans="1:21">
      <c r="B24" s="151" t="s">
        <v>474</v>
      </c>
      <c r="C24" s="153"/>
      <c r="D24" s="10">
        <v>45663</v>
      </c>
      <c r="E24" s="1" t="s">
        <v>589</v>
      </c>
      <c r="F24" s="2" t="s">
        <v>471</v>
      </c>
      <c r="G24" s="1" t="s">
        <v>16</v>
      </c>
      <c r="H24" s="161" t="s">
        <v>472</v>
      </c>
      <c r="I24" s="4" t="s">
        <v>473</v>
      </c>
      <c r="J24" s="23">
        <v>1</v>
      </c>
      <c r="K24" s="26">
        <v>1039500</v>
      </c>
      <c r="L24" s="26">
        <f t="shared" si="0"/>
        <v>1039500</v>
      </c>
      <c r="M24" s="27">
        <f t="shared" si="1"/>
        <v>103950</v>
      </c>
      <c r="N24" s="27">
        <f t="shared" si="2"/>
        <v>1143450</v>
      </c>
      <c r="O24" s="33">
        <v>862260</v>
      </c>
      <c r="P24" s="197" t="s">
        <v>475</v>
      </c>
      <c r="Q24" s="20">
        <f t="shared" si="3"/>
        <v>177240</v>
      </c>
      <c r="R24" s="2" t="s">
        <v>144</v>
      </c>
      <c r="S24" s="8" t="s">
        <v>2136</v>
      </c>
      <c r="T24" s="11"/>
      <c r="U24" t="s">
        <v>476</v>
      </c>
    </row>
    <row r="25" spans="1:21">
      <c r="B25" s="151" t="s">
        <v>500</v>
      </c>
      <c r="C25" s="153"/>
      <c r="D25" s="10">
        <v>45666</v>
      </c>
      <c r="E25" s="1" t="s">
        <v>2198</v>
      </c>
      <c r="F25" s="2"/>
      <c r="G25" s="1" t="s">
        <v>15</v>
      </c>
      <c r="H25" s="161" t="s">
        <v>501</v>
      </c>
      <c r="I25" s="4" t="s">
        <v>502</v>
      </c>
      <c r="J25" s="23">
        <v>1</v>
      </c>
      <c r="K25" s="26">
        <v>1520000</v>
      </c>
      <c r="L25" s="26">
        <f t="shared" si="0"/>
        <v>1520000</v>
      </c>
      <c r="M25" s="27">
        <f t="shared" si="1"/>
        <v>152000</v>
      </c>
      <c r="N25" s="27">
        <f t="shared" si="2"/>
        <v>1672000</v>
      </c>
      <c r="O25" s="33">
        <v>1490000</v>
      </c>
      <c r="P25" s="197" t="s">
        <v>2179</v>
      </c>
      <c r="Q25" s="20">
        <f t="shared" si="3"/>
        <v>30000</v>
      </c>
      <c r="R25" s="68" t="s">
        <v>890</v>
      </c>
      <c r="S25" s="8" t="s">
        <v>2133</v>
      </c>
      <c r="T25" s="11"/>
    </row>
    <row r="26" spans="1:21" ht="129" customHeight="1">
      <c r="A26" t="s">
        <v>30</v>
      </c>
      <c r="B26" s="151" t="s">
        <v>678</v>
      </c>
      <c r="C26" s="153" t="s">
        <v>679</v>
      </c>
      <c r="D26" s="17">
        <v>45666</v>
      </c>
      <c r="E26" s="214" t="s">
        <v>2173</v>
      </c>
      <c r="F26" s="215" t="s">
        <v>496</v>
      </c>
      <c r="G26" s="1" t="s">
        <v>16</v>
      </c>
      <c r="H26" s="83" t="s">
        <v>503</v>
      </c>
      <c r="I26" s="4" t="s">
        <v>467</v>
      </c>
      <c r="J26" s="23">
        <v>1</v>
      </c>
      <c r="K26" s="27">
        <v>95680000</v>
      </c>
      <c r="L26" s="26">
        <f t="shared" si="0"/>
        <v>95680000</v>
      </c>
      <c r="M26" s="27">
        <f t="shared" si="1"/>
        <v>9568000</v>
      </c>
      <c r="N26" s="27">
        <f t="shared" si="2"/>
        <v>105248000</v>
      </c>
      <c r="O26" s="132">
        <f>33750000+17010000+8454000+6730000+680000+18000000</f>
        <v>84624000</v>
      </c>
      <c r="P26" s="173" t="s">
        <v>2071</v>
      </c>
      <c r="Q26" s="20">
        <f t="shared" si="3"/>
        <v>11056000</v>
      </c>
      <c r="R26" s="68" t="s">
        <v>999</v>
      </c>
      <c r="S26" s="8" t="s">
        <v>2136</v>
      </c>
      <c r="T26" s="11"/>
    </row>
    <row r="27" spans="1:21">
      <c r="A27" t="s">
        <v>30</v>
      </c>
      <c r="B27" s="151" t="s">
        <v>113</v>
      </c>
      <c r="C27" s="200"/>
      <c r="D27" s="10">
        <v>45667</v>
      </c>
      <c r="E27" s="1" t="s">
        <v>2204</v>
      </c>
      <c r="F27" s="161" t="s">
        <v>267</v>
      </c>
      <c r="G27" s="161" t="s">
        <v>34</v>
      </c>
      <c r="H27" s="161" t="s">
        <v>114</v>
      </c>
      <c r="I27" s="163" t="s">
        <v>430</v>
      </c>
      <c r="J27" s="71">
        <v>1</v>
      </c>
      <c r="K27" s="26">
        <v>6090000</v>
      </c>
      <c r="L27" s="26">
        <f t="shared" si="0"/>
        <v>6090000</v>
      </c>
      <c r="M27" s="27">
        <f t="shared" si="1"/>
        <v>609000</v>
      </c>
      <c r="N27" s="27">
        <f t="shared" si="2"/>
        <v>6699000</v>
      </c>
      <c r="O27" s="52">
        <v>0</v>
      </c>
      <c r="P27" s="171" t="s">
        <v>115</v>
      </c>
      <c r="Q27" s="181">
        <f t="shared" si="3"/>
        <v>6090000</v>
      </c>
      <c r="R27" s="68" t="s">
        <v>507</v>
      </c>
      <c r="S27" s="5" t="s">
        <v>2135</v>
      </c>
      <c r="T27" s="6"/>
    </row>
    <row r="28" spans="1:21">
      <c r="A28" t="s">
        <v>30</v>
      </c>
      <c r="B28" s="151" t="s">
        <v>399</v>
      </c>
      <c r="C28" s="153"/>
      <c r="D28" s="86">
        <v>45667</v>
      </c>
      <c r="E28" s="1" t="s">
        <v>530</v>
      </c>
      <c r="F28" s="2" t="s">
        <v>404</v>
      </c>
      <c r="G28" s="2" t="s">
        <v>352</v>
      </c>
      <c r="H28" s="83" t="s">
        <v>184</v>
      </c>
      <c r="I28" s="4" t="s">
        <v>400</v>
      </c>
      <c r="J28" s="23">
        <v>1</v>
      </c>
      <c r="K28" s="27">
        <v>12500000</v>
      </c>
      <c r="L28" s="26">
        <f t="shared" si="0"/>
        <v>12500000</v>
      </c>
      <c r="M28" s="27">
        <f t="shared" si="1"/>
        <v>1250000</v>
      </c>
      <c r="N28" s="27">
        <f t="shared" si="2"/>
        <v>13750000</v>
      </c>
      <c r="O28" s="33">
        <v>0</v>
      </c>
      <c r="P28" s="197" t="s">
        <v>504</v>
      </c>
      <c r="Q28" s="181">
        <v>0</v>
      </c>
      <c r="R28" s="68" t="s">
        <v>626</v>
      </c>
      <c r="S28" s="8" t="s">
        <v>2133</v>
      </c>
      <c r="T28" s="11"/>
      <c r="U28" t="s">
        <v>531</v>
      </c>
    </row>
    <row r="29" spans="1:21" ht="12" customHeight="1">
      <c r="A29" t="s">
        <v>30</v>
      </c>
      <c r="B29" s="151" t="s">
        <v>113</v>
      </c>
      <c r="C29" s="200"/>
      <c r="D29" s="17">
        <v>45669</v>
      </c>
      <c r="E29" s="1" t="s">
        <v>365</v>
      </c>
      <c r="F29" s="2" t="s">
        <v>366</v>
      </c>
      <c r="G29" s="161" t="s">
        <v>34</v>
      </c>
      <c r="H29" s="161" t="s">
        <v>114</v>
      </c>
      <c r="I29" s="3" t="s">
        <v>431</v>
      </c>
      <c r="J29" s="32">
        <v>1</v>
      </c>
      <c r="K29" s="48">
        <v>400000</v>
      </c>
      <c r="L29" s="26">
        <f t="shared" si="0"/>
        <v>400000</v>
      </c>
      <c r="M29" s="27">
        <f t="shared" si="1"/>
        <v>40000</v>
      </c>
      <c r="N29" s="27">
        <f t="shared" si="2"/>
        <v>440000</v>
      </c>
      <c r="O29" s="52">
        <v>0</v>
      </c>
      <c r="P29" s="171" t="s">
        <v>115</v>
      </c>
      <c r="Q29" s="181">
        <f t="shared" ref="Q29:Q40" si="4">L29-O29</f>
        <v>400000</v>
      </c>
      <c r="R29" s="68" t="s">
        <v>626</v>
      </c>
      <c r="S29" s="5" t="s">
        <v>2135</v>
      </c>
      <c r="T29" s="6"/>
    </row>
    <row r="30" spans="1:21">
      <c r="B30" s="151" t="s">
        <v>113</v>
      </c>
      <c r="C30" s="153"/>
      <c r="D30" s="10">
        <v>45671</v>
      </c>
      <c r="E30" s="1" t="s">
        <v>2198</v>
      </c>
      <c r="F30" s="2" t="s">
        <v>505</v>
      </c>
      <c r="G30" s="161" t="s">
        <v>506</v>
      </c>
      <c r="H30" s="161" t="s">
        <v>153</v>
      </c>
      <c r="I30" s="4" t="s">
        <v>502</v>
      </c>
      <c r="J30" s="23">
        <v>1</v>
      </c>
      <c r="K30" s="26">
        <v>2273000</v>
      </c>
      <c r="L30" s="26">
        <f t="shared" si="0"/>
        <v>2273000</v>
      </c>
      <c r="M30" s="27">
        <f t="shared" si="1"/>
        <v>227300</v>
      </c>
      <c r="N30" s="27">
        <f t="shared" si="2"/>
        <v>2500300</v>
      </c>
      <c r="O30" s="33">
        <v>2227000</v>
      </c>
      <c r="P30" s="197" t="s">
        <v>2180</v>
      </c>
      <c r="Q30" s="20">
        <f t="shared" si="4"/>
        <v>46000</v>
      </c>
      <c r="R30" s="2" t="s">
        <v>890</v>
      </c>
      <c r="S30" s="8" t="s">
        <v>2133</v>
      </c>
      <c r="T30" s="11"/>
    </row>
    <row r="31" spans="1:21" ht="12" customHeight="1">
      <c r="A31" t="s">
        <v>30</v>
      </c>
      <c r="B31" s="151" t="s">
        <v>113</v>
      </c>
      <c r="C31" s="200"/>
      <c r="D31" s="17">
        <v>45672</v>
      </c>
      <c r="E31" s="1" t="s">
        <v>367</v>
      </c>
      <c r="F31" s="2" t="s">
        <v>368</v>
      </c>
      <c r="G31" s="161" t="s">
        <v>34</v>
      </c>
      <c r="H31" s="161" t="s">
        <v>114</v>
      </c>
      <c r="I31" s="3" t="s">
        <v>432</v>
      </c>
      <c r="J31" s="32">
        <v>1</v>
      </c>
      <c r="K31" s="48">
        <v>346500</v>
      </c>
      <c r="L31" s="26">
        <f t="shared" si="0"/>
        <v>346500</v>
      </c>
      <c r="M31" s="27">
        <f t="shared" si="1"/>
        <v>34650</v>
      </c>
      <c r="N31" s="27">
        <f t="shared" si="2"/>
        <v>381150</v>
      </c>
      <c r="O31" s="52">
        <v>0</v>
      </c>
      <c r="P31" s="171" t="s">
        <v>115</v>
      </c>
      <c r="Q31" s="181">
        <f t="shared" si="4"/>
        <v>346500</v>
      </c>
      <c r="R31" s="68" t="s">
        <v>603</v>
      </c>
      <c r="S31" s="5" t="s">
        <v>2135</v>
      </c>
      <c r="T31" s="6"/>
    </row>
    <row r="32" spans="1:21" ht="24">
      <c r="A32" t="s">
        <v>30</v>
      </c>
      <c r="B32" s="151" t="s">
        <v>253</v>
      </c>
      <c r="C32" s="199" t="s">
        <v>306</v>
      </c>
      <c r="D32" s="17">
        <v>45672</v>
      </c>
      <c r="E32" s="1" t="s">
        <v>246</v>
      </c>
      <c r="F32" s="2" t="s">
        <v>247</v>
      </c>
      <c r="G32" s="2" t="s">
        <v>16</v>
      </c>
      <c r="H32" s="2" t="s">
        <v>80</v>
      </c>
      <c r="I32" s="4" t="s">
        <v>433</v>
      </c>
      <c r="J32" s="23">
        <v>1</v>
      </c>
      <c r="K32" s="27">
        <v>875000</v>
      </c>
      <c r="L32" s="26">
        <f t="shared" si="0"/>
        <v>875000</v>
      </c>
      <c r="M32" s="27">
        <f t="shared" si="1"/>
        <v>87500</v>
      </c>
      <c r="N32" s="27">
        <f t="shared" si="2"/>
        <v>962500</v>
      </c>
      <c r="O32" s="52">
        <f>511500+3400000/12</f>
        <v>794833.33333333326</v>
      </c>
      <c r="P32" s="238" t="s">
        <v>826</v>
      </c>
      <c r="Q32" s="181">
        <f t="shared" si="4"/>
        <v>80166.666666666744</v>
      </c>
      <c r="R32" s="2" t="s">
        <v>148</v>
      </c>
      <c r="S32" s="8" t="s">
        <v>2136</v>
      </c>
      <c r="T32" s="11"/>
    </row>
    <row r="33" spans="1:20" ht="24">
      <c r="A33" t="s">
        <v>30</v>
      </c>
      <c r="B33" s="151" t="s">
        <v>482</v>
      </c>
      <c r="C33" s="153"/>
      <c r="D33" s="17">
        <v>45672</v>
      </c>
      <c r="E33" s="1" t="s">
        <v>546</v>
      </c>
      <c r="F33" s="2"/>
      <c r="G33" s="2" t="s">
        <v>532</v>
      </c>
      <c r="H33" s="83" t="s">
        <v>485</v>
      </c>
      <c r="I33" s="4" t="s">
        <v>486</v>
      </c>
      <c r="J33" s="23">
        <v>1</v>
      </c>
      <c r="K33" s="27">
        <v>430000</v>
      </c>
      <c r="L33" s="26">
        <f t="shared" si="0"/>
        <v>430000</v>
      </c>
      <c r="M33" s="27">
        <f t="shared" si="1"/>
        <v>43000</v>
      </c>
      <c r="N33" s="27">
        <f t="shared" si="2"/>
        <v>473000</v>
      </c>
      <c r="O33" s="33">
        <v>400000</v>
      </c>
      <c r="P33" s="197" t="s">
        <v>149</v>
      </c>
      <c r="Q33" s="20">
        <f t="shared" si="4"/>
        <v>30000</v>
      </c>
      <c r="R33" s="2" t="s">
        <v>243</v>
      </c>
      <c r="S33" s="8" t="s">
        <v>2136</v>
      </c>
      <c r="T33" s="11"/>
    </row>
    <row r="34" spans="1:20">
      <c r="A34" t="s">
        <v>30</v>
      </c>
      <c r="B34" s="151" t="s">
        <v>483</v>
      </c>
      <c r="C34" s="153"/>
      <c r="D34" s="17">
        <v>45672</v>
      </c>
      <c r="E34" s="1" t="s">
        <v>489</v>
      </c>
      <c r="F34" s="2"/>
      <c r="G34" s="2" t="s">
        <v>532</v>
      </c>
      <c r="H34" s="83" t="s">
        <v>169</v>
      </c>
      <c r="I34" s="4" t="s">
        <v>170</v>
      </c>
      <c r="J34" s="23">
        <v>1</v>
      </c>
      <c r="K34" s="27">
        <v>280000</v>
      </c>
      <c r="L34" s="26">
        <f t="shared" si="0"/>
        <v>280000</v>
      </c>
      <c r="M34" s="27">
        <f t="shared" si="1"/>
        <v>28000</v>
      </c>
      <c r="N34" s="27">
        <f t="shared" si="2"/>
        <v>308000</v>
      </c>
      <c r="O34" s="33">
        <v>250000</v>
      </c>
      <c r="P34" s="197" t="s">
        <v>655</v>
      </c>
      <c r="Q34" s="20">
        <f t="shared" si="4"/>
        <v>30000</v>
      </c>
      <c r="R34" s="2" t="s">
        <v>243</v>
      </c>
      <c r="S34" s="8" t="s">
        <v>2136</v>
      </c>
      <c r="T34" s="11"/>
    </row>
    <row r="35" spans="1:20" ht="36">
      <c r="B35" s="151" t="s">
        <v>1020</v>
      </c>
      <c r="C35" s="153"/>
      <c r="D35" s="10">
        <v>45673</v>
      </c>
      <c r="E35" s="1" t="s">
        <v>2199</v>
      </c>
      <c r="F35" s="2"/>
      <c r="G35" s="2" t="s">
        <v>15</v>
      </c>
      <c r="H35" s="161" t="s">
        <v>540</v>
      </c>
      <c r="I35" s="4" t="s">
        <v>541</v>
      </c>
      <c r="J35" s="23">
        <v>1</v>
      </c>
      <c r="K35" s="26">
        <v>900000</v>
      </c>
      <c r="L35" s="26">
        <f t="shared" si="0"/>
        <v>900000</v>
      </c>
      <c r="M35" s="27">
        <f t="shared" si="1"/>
        <v>90000</v>
      </c>
      <c r="N35" s="27">
        <f t="shared" si="2"/>
        <v>990000</v>
      </c>
      <c r="O35" s="33">
        <f>248000/1.1+285455</f>
        <v>510909.54545454541</v>
      </c>
      <c r="P35" s="197" t="s">
        <v>1084</v>
      </c>
      <c r="Q35" s="20">
        <f t="shared" si="4"/>
        <v>389090.45454545459</v>
      </c>
      <c r="R35" s="68" t="s">
        <v>999</v>
      </c>
      <c r="S35" s="8" t="s">
        <v>2133</v>
      </c>
      <c r="T35" s="11"/>
    </row>
    <row r="36" spans="1:20" ht="24">
      <c r="A36" t="s">
        <v>30</v>
      </c>
      <c r="B36" s="151" t="s">
        <v>406</v>
      </c>
      <c r="C36" s="153"/>
      <c r="D36" s="86">
        <v>45673</v>
      </c>
      <c r="E36" s="1" t="s">
        <v>2157</v>
      </c>
      <c r="F36" s="2"/>
      <c r="G36" s="2" t="s">
        <v>352</v>
      </c>
      <c r="H36" s="83" t="s">
        <v>386</v>
      </c>
      <c r="I36" s="4" t="s">
        <v>424</v>
      </c>
      <c r="J36" s="23">
        <v>1</v>
      </c>
      <c r="K36" s="27">
        <v>2500000</v>
      </c>
      <c r="L36" s="26">
        <f t="shared" si="0"/>
        <v>2500000</v>
      </c>
      <c r="M36" s="27">
        <f t="shared" si="1"/>
        <v>250000</v>
      </c>
      <c r="N36" s="27">
        <f t="shared" si="2"/>
        <v>2750000</v>
      </c>
      <c r="O36" s="33">
        <f>2160909+18000</f>
        <v>2178909</v>
      </c>
      <c r="P36" s="197" t="s">
        <v>647</v>
      </c>
      <c r="Q36" s="20">
        <f t="shared" si="4"/>
        <v>321091</v>
      </c>
      <c r="R36" s="2" t="s">
        <v>144</v>
      </c>
      <c r="S36" s="8" t="s">
        <v>2134</v>
      </c>
      <c r="T36" s="11"/>
    </row>
    <row r="37" spans="1:20">
      <c r="A37" t="s">
        <v>30</v>
      </c>
      <c r="B37" s="151" t="s">
        <v>426</v>
      </c>
      <c r="C37" s="153"/>
      <c r="D37" s="86">
        <v>45673</v>
      </c>
      <c r="E37" s="1" t="s">
        <v>2157</v>
      </c>
      <c r="F37" s="2"/>
      <c r="G37" s="2" t="s">
        <v>15</v>
      </c>
      <c r="H37" s="83" t="s">
        <v>386</v>
      </c>
      <c r="I37" s="4" t="s">
        <v>427</v>
      </c>
      <c r="J37" s="23">
        <v>1</v>
      </c>
      <c r="K37" s="27">
        <v>2500000</v>
      </c>
      <c r="L37" s="26">
        <f t="shared" si="0"/>
        <v>2500000</v>
      </c>
      <c r="M37" s="27">
        <f t="shared" si="1"/>
        <v>250000</v>
      </c>
      <c r="N37" s="27">
        <f t="shared" si="2"/>
        <v>2750000</v>
      </c>
      <c r="O37" s="33">
        <v>2312436</v>
      </c>
      <c r="P37" s="197" t="s">
        <v>428</v>
      </c>
      <c r="Q37" s="20">
        <f t="shared" si="4"/>
        <v>187564</v>
      </c>
      <c r="R37" s="2" t="s">
        <v>144</v>
      </c>
      <c r="S37" s="8" t="s">
        <v>2134</v>
      </c>
      <c r="T37" s="11"/>
    </row>
    <row r="38" spans="1:20">
      <c r="A38" t="s">
        <v>30</v>
      </c>
      <c r="B38" s="151" t="s">
        <v>477</v>
      </c>
      <c r="C38" s="153"/>
      <c r="D38" s="86">
        <v>45673</v>
      </c>
      <c r="E38" s="1" t="s">
        <v>2157</v>
      </c>
      <c r="F38" s="2"/>
      <c r="G38" s="2" t="s">
        <v>15</v>
      </c>
      <c r="H38" s="83" t="s">
        <v>387</v>
      </c>
      <c r="I38" s="4" t="s">
        <v>478</v>
      </c>
      <c r="J38" s="23">
        <v>1</v>
      </c>
      <c r="K38" s="27">
        <v>170000</v>
      </c>
      <c r="L38" s="26">
        <f t="shared" si="0"/>
        <v>170000</v>
      </c>
      <c r="M38" s="27">
        <f t="shared" si="1"/>
        <v>17000</v>
      </c>
      <c r="N38" s="27">
        <f t="shared" si="2"/>
        <v>187000</v>
      </c>
      <c r="O38" s="33">
        <v>150000</v>
      </c>
      <c r="P38" s="197" t="s">
        <v>479</v>
      </c>
      <c r="Q38" s="20">
        <f t="shared" si="4"/>
        <v>20000</v>
      </c>
      <c r="R38" s="2" t="s">
        <v>144</v>
      </c>
      <c r="S38" s="8" t="s">
        <v>2134</v>
      </c>
      <c r="T38" s="11"/>
    </row>
    <row r="39" spans="1:20" ht="48">
      <c r="A39" t="s">
        <v>30</v>
      </c>
      <c r="B39" s="151" t="s">
        <v>521</v>
      </c>
      <c r="C39" s="153"/>
      <c r="D39" s="86">
        <v>45673</v>
      </c>
      <c r="E39" s="1" t="s">
        <v>2157</v>
      </c>
      <c r="F39" s="2"/>
      <c r="G39" s="2" t="s">
        <v>15</v>
      </c>
      <c r="H39" s="83" t="s">
        <v>527</v>
      </c>
      <c r="I39" s="4" t="s">
        <v>528</v>
      </c>
      <c r="J39" s="23">
        <v>1</v>
      </c>
      <c r="K39" s="27">
        <v>294000</v>
      </c>
      <c r="L39" s="26">
        <f t="shared" si="0"/>
        <v>294000</v>
      </c>
      <c r="M39" s="27">
        <f t="shared" si="1"/>
        <v>29400</v>
      </c>
      <c r="N39" s="27">
        <f t="shared" si="2"/>
        <v>323400</v>
      </c>
      <c r="O39" s="33">
        <f>195273+20182+23182+6000</f>
        <v>244637</v>
      </c>
      <c r="P39" s="197" t="s">
        <v>2131</v>
      </c>
      <c r="Q39" s="20">
        <f t="shared" si="4"/>
        <v>49363</v>
      </c>
      <c r="R39" s="2" t="s">
        <v>144</v>
      </c>
      <c r="S39" s="8" t="s">
        <v>2134</v>
      </c>
      <c r="T39" s="11"/>
    </row>
    <row r="40" spans="1:20">
      <c r="A40" t="s">
        <v>30</v>
      </c>
      <c r="B40" s="151" t="s">
        <v>571</v>
      </c>
      <c r="C40" s="153"/>
      <c r="D40" s="17">
        <v>45675</v>
      </c>
      <c r="E40" s="1" t="s">
        <v>567</v>
      </c>
      <c r="F40" s="2"/>
      <c r="G40" s="2" t="s">
        <v>564</v>
      </c>
      <c r="H40" s="83" t="s">
        <v>568</v>
      </c>
      <c r="I40" s="4" t="s">
        <v>569</v>
      </c>
      <c r="J40" s="23">
        <v>1</v>
      </c>
      <c r="K40" s="27">
        <v>1050000</v>
      </c>
      <c r="L40" s="26">
        <f t="shared" si="0"/>
        <v>1050000</v>
      </c>
      <c r="M40" s="27">
        <f t="shared" si="1"/>
        <v>105000</v>
      </c>
      <c r="N40" s="27">
        <f t="shared" si="2"/>
        <v>1155000</v>
      </c>
      <c r="O40" s="33">
        <v>800000</v>
      </c>
      <c r="P40" s="197" t="s">
        <v>604</v>
      </c>
      <c r="Q40" s="20">
        <f t="shared" si="4"/>
        <v>250000</v>
      </c>
      <c r="R40" s="2" t="s">
        <v>570</v>
      </c>
      <c r="S40" s="8" t="s">
        <v>2136</v>
      </c>
      <c r="T40" s="11"/>
    </row>
    <row r="41" spans="1:20" ht="36">
      <c r="A41" t="s">
        <v>30</v>
      </c>
      <c r="B41" s="151" t="s">
        <v>625</v>
      </c>
      <c r="C41" s="153"/>
      <c r="D41" s="224">
        <v>45676</v>
      </c>
      <c r="E41" s="1" t="s">
        <v>627</v>
      </c>
      <c r="F41" s="2" t="s">
        <v>813</v>
      </c>
      <c r="G41" s="2" t="s">
        <v>35</v>
      </c>
      <c r="H41" s="2" t="s">
        <v>160</v>
      </c>
      <c r="I41" s="4" t="s">
        <v>1542</v>
      </c>
      <c r="J41" s="23">
        <v>1</v>
      </c>
      <c r="K41" s="226">
        <v>200000</v>
      </c>
      <c r="L41" s="225">
        <f t="shared" ref="L41" si="5">J41*K41</f>
        <v>200000</v>
      </c>
      <c r="M41" s="226">
        <f t="shared" ref="M41" si="6">L41*10%</f>
        <v>20000</v>
      </c>
      <c r="N41" s="226">
        <f t="shared" ref="N41" si="7">SUM(L41:M41)</f>
        <v>220000</v>
      </c>
      <c r="O41" s="33">
        <v>0</v>
      </c>
      <c r="P41" s="197" t="s">
        <v>171</v>
      </c>
      <c r="Q41" s="227">
        <f t="shared" ref="Q41" si="8">L41-O41</f>
        <v>200000</v>
      </c>
      <c r="R41" s="68" t="s">
        <v>812</v>
      </c>
      <c r="S41" s="8" t="s">
        <v>2134</v>
      </c>
      <c r="T41" s="11"/>
    </row>
    <row r="42" spans="1:20">
      <c r="B42" s="151" t="s">
        <v>547</v>
      </c>
      <c r="C42" s="153"/>
      <c r="D42" s="10">
        <v>45677</v>
      </c>
      <c r="E42" s="1" t="s">
        <v>2194</v>
      </c>
      <c r="F42" s="2"/>
      <c r="G42" s="2" t="s">
        <v>15</v>
      </c>
      <c r="H42" s="161" t="s">
        <v>548</v>
      </c>
      <c r="I42" s="4" t="s">
        <v>549</v>
      </c>
      <c r="J42" s="23">
        <v>100</v>
      </c>
      <c r="K42" s="26">
        <v>55000</v>
      </c>
      <c r="L42" s="26">
        <f t="shared" ref="L42:L48" si="9">J42*K42</f>
        <v>5500000</v>
      </c>
      <c r="M42" s="27">
        <f t="shared" ref="M42:M49" si="10">L42*10%</f>
        <v>550000</v>
      </c>
      <c r="N42" s="27">
        <f t="shared" ref="N42:N49" si="11">SUM(L42:M42)</f>
        <v>6050000</v>
      </c>
      <c r="O42" s="33">
        <f>48182*100</f>
        <v>4818200</v>
      </c>
      <c r="P42" s="197" t="s">
        <v>550</v>
      </c>
      <c r="Q42" s="20">
        <f t="shared" ref="Q42:Q49" si="12">L42-O42</f>
        <v>681800</v>
      </c>
      <c r="R42" s="2" t="s">
        <v>144</v>
      </c>
      <c r="S42" s="8" t="s">
        <v>2136</v>
      </c>
      <c r="T42" s="11"/>
    </row>
    <row r="43" spans="1:20">
      <c r="A43" t="s">
        <v>30</v>
      </c>
      <c r="B43" s="151" t="s">
        <v>113</v>
      </c>
      <c r="C43" s="200"/>
      <c r="D43" s="10">
        <v>45677</v>
      </c>
      <c r="E43" s="1" t="s">
        <v>378</v>
      </c>
      <c r="F43" s="2" t="s">
        <v>268</v>
      </c>
      <c r="G43" s="2" t="s">
        <v>34</v>
      </c>
      <c r="H43" s="161" t="s">
        <v>114</v>
      </c>
      <c r="I43" s="3" t="s">
        <v>434</v>
      </c>
      <c r="J43" s="23">
        <v>1</v>
      </c>
      <c r="K43" s="29">
        <v>800000</v>
      </c>
      <c r="L43" s="26">
        <f t="shared" si="9"/>
        <v>800000</v>
      </c>
      <c r="M43" s="27">
        <f t="shared" si="10"/>
        <v>80000</v>
      </c>
      <c r="N43" s="27">
        <f t="shared" si="11"/>
        <v>880000</v>
      </c>
      <c r="O43" s="52">
        <v>0</v>
      </c>
      <c r="P43" s="171" t="s">
        <v>115</v>
      </c>
      <c r="Q43" s="181">
        <f t="shared" si="12"/>
        <v>800000</v>
      </c>
      <c r="R43" s="2" t="s">
        <v>798</v>
      </c>
      <c r="S43" s="5" t="s">
        <v>2135</v>
      </c>
      <c r="T43" s="6"/>
    </row>
    <row r="44" spans="1:20">
      <c r="A44" t="s">
        <v>30</v>
      </c>
      <c r="B44" s="151" t="s">
        <v>191</v>
      </c>
      <c r="C44" s="199"/>
      <c r="D44" s="10">
        <v>45677</v>
      </c>
      <c r="E44" s="1" t="s">
        <v>176</v>
      </c>
      <c r="F44" s="2" t="s">
        <v>177</v>
      </c>
      <c r="G44" s="2" t="s">
        <v>16</v>
      </c>
      <c r="H44" s="2" t="s">
        <v>81</v>
      </c>
      <c r="I44" s="70" t="s">
        <v>240</v>
      </c>
      <c r="J44" s="23">
        <v>1</v>
      </c>
      <c r="K44" s="27">
        <v>200000</v>
      </c>
      <c r="L44" s="26">
        <f t="shared" si="9"/>
        <v>200000</v>
      </c>
      <c r="M44" s="27">
        <f t="shared" si="10"/>
        <v>20000</v>
      </c>
      <c r="N44" s="27">
        <f t="shared" si="11"/>
        <v>220000</v>
      </c>
      <c r="O44" s="52">
        <v>0</v>
      </c>
      <c r="P44" s="171" t="s">
        <v>115</v>
      </c>
      <c r="Q44" s="181">
        <f t="shared" si="12"/>
        <v>200000</v>
      </c>
      <c r="R44" s="2" t="s">
        <v>890</v>
      </c>
      <c r="S44" s="8" t="s">
        <v>2133</v>
      </c>
      <c r="T44" s="11"/>
    </row>
    <row r="45" spans="1:20" ht="76.5" customHeight="1">
      <c r="A45" t="s">
        <v>30</v>
      </c>
      <c r="B45" s="151" t="s">
        <v>214</v>
      </c>
      <c r="C45" s="200"/>
      <c r="D45" s="10">
        <v>45677</v>
      </c>
      <c r="E45" s="214" t="s">
        <v>37</v>
      </c>
      <c r="F45" s="215"/>
      <c r="G45" s="161" t="s">
        <v>35</v>
      </c>
      <c r="H45" s="161" t="s">
        <v>89</v>
      </c>
      <c r="I45" s="163" t="s">
        <v>435</v>
      </c>
      <c r="J45" s="23">
        <v>1</v>
      </c>
      <c r="K45" s="26">
        <v>1000000</v>
      </c>
      <c r="L45" s="26">
        <f t="shared" si="9"/>
        <v>1000000</v>
      </c>
      <c r="M45" s="27">
        <f t="shared" si="10"/>
        <v>100000</v>
      </c>
      <c r="N45" s="27">
        <f t="shared" si="11"/>
        <v>1100000</v>
      </c>
      <c r="O45" s="72">
        <f>16728000/36+370000+1000000/12</f>
        <v>918000.00000000012</v>
      </c>
      <c r="P45" s="171" t="s">
        <v>2099</v>
      </c>
      <c r="Q45" s="181">
        <f t="shared" si="12"/>
        <v>81999.999999999884</v>
      </c>
      <c r="R45" s="68" t="s">
        <v>144</v>
      </c>
      <c r="S45" s="5" t="s">
        <v>2136</v>
      </c>
      <c r="T45" s="11"/>
    </row>
    <row r="46" spans="1:20" ht="48">
      <c r="A46" t="s">
        <v>30</v>
      </c>
      <c r="B46" s="151" t="s">
        <v>260</v>
      </c>
      <c r="C46" s="200"/>
      <c r="D46" s="78">
        <v>45677</v>
      </c>
      <c r="E46" s="218" t="s">
        <v>2196</v>
      </c>
      <c r="F46" s="217"/>
      <c r="G46" s="167" t="s">
        <v>16</v>
      </c>
      <c r="H46" s="167" t="s">
        <v>81</v>
      </c>
      <c r="I46" s="168" t="s">
        <v>417</v>
      </c>
      <c r="J46" s="79">
        <v>1</v>
      </c>
      <c r="K46" s="80">
        <v>1505000</v>
      </c>
      <c r="L46" s="80">
        <f t="shared" si="9"/>
        <v>1505000</v>
      </c>
      <c r="M46" s="81">
        <f t="shared" si="10"/>
        <v>150500</v>
      </c>
      <c r="N46" s="81">
        <f t="shared" si="11"/>
        <v>1655500</v>
      </c>
      <c r="O46" s="54">
        <f>200000+288000+80000+2100000/3</f>
        <v>1268000</v>
      </c>
      <c r="P46" s="174" t="s">
        <v>2069</v>
      </c>
      <c r="Q46" s="181">
        <f t="shared" si="12"/>
        <v>237000</v>
      </c>
      <c r="R46" s="68" t="s">
        <v>865</v>
      </c>
      <c r="S46" s="5" t="s">
        <v>2133</v>
      </c>
      <c r="T46" s="11"/>
    </row>
    <row r="47" spans="1:20">
      <c r="A47" t="s">
        <v>30</v>
      </c>
      <c r="B47" s="151" t="s">
        <v>556</v>
      </c>
      <c r="C47" s="153"/>
      <c r="D47" s="10">
        <v>45677</v>
      </c>
      <c r="E47" s="1" t="s">
        <v>185</v>
      </c>
      <c r="F47" s="2"/>
      <c r="G47" s="2" t="s">
        <v>15</v>
      </c>
      <c r="H47" s="83" t="s">
        <v>560</v>
      </c>
      <c r="I47" s="4" t="s">
        <v>561</v>
      </c>
      <c r="J47" s="23">
        <v>3</v>
      </c>
      <c r="K47" s="27">
        <v>280000</v>
      </c>
      <c r="L47" s="26">
        <f t="shared" si="9"/>
        <v>840000</v>
      </c>
      <c r="M47" s="27">
        <f t="shared" si="10"/>
        <v>84000</v>
      </c>
      <c r="N47" s="27">
        <f t="shared" si="11"/>
        <v>924000</v>
      </c>
      <c r="O47" s="33">
        <v>600000</v>
      </c>
      <c r="P47" s="197" t="s">
        <v>656</v>
      </c>
      <c r="Q47" s="20">
        <f t="shared" si="12"/>
        <v>240000</v>
      </c>
      <c r="R47" s="2" t="s">
        <v>890</v>
      </c>
      <c r="S47" s="8" t="s">
        <v>2136</v>
      </c>
      <c r="T47" s="11"/>
    </row>
    <row r="48" spans="1:20" ht="48">
      <c r="B48" s="151" t="s">
        <v>563</v>
      </c>
      <c r="C48" s="153"/>
      <c r="D48" s="17">
        <v>45678</v>
      </c>
      <c r="E48" s="1" t="s">
        <v>375</v>
      </c>
      <c r="F48" s="2"/>
      <c r="G48" s="2" t="s">
        <v>15</v>
      </c>
      <c r="H48" s="83" t="s">
        <v>542</v>
      </c>
      <c r="I48" s="4" t="s">
        <v>1096</v>
      </c>
      <c r="J48" s="23">
        <v>1</v>
      </c>
      <c r="K48" s="27">
        <v>650000</v>
      </c>
      <c r="L48" s="26">
        <f t="shared" si="9"/>
        <v>650000</v>
      </c>
      <c r="M48" s="27">
        <f t="shared" si="10"/>
        <v>65000</v>
      </c>
      <c r="N48" s="27">
        <f t="shared" si="11"/>
        <v>715000</v>
      </c>
      <c r="O48" s="33">
        <f>12000+12000+10000</f>
        <v>34000</v>
      </c>
      <c r="P48" s="197" t="s">
        <v>1525</v>
      </c>
      <c r="Q48" s="20">
        <f>-O48</f>
        <v>-34000</v>
      </c>
      <c r="R48" s="2" t="s">
        <v>931</v>
      </c>
      <c r="S48" s="8" t="s">
        <v>2136</v>
      </c>
      <c r="T48" s="11"/>
    </row>
    <row r="49" spans="1:20" ht="24">
      <c r="A49" t="s">
        <v>30</v>
      </c>
      <c r="B49" s="151" t="s">
        <v>522</v>
      </c>
      <c r="C49" s="153"/>
      <c r="D49" s="17">
        <v>45679</v>
      </c>
      <c r="E49" s="1" t="s">
        <v>2169</v>
      </c>
      <c r="F49" s="207"/>
      <c r="G49" s="2" t="s">
        <v>15</v>
      </c>
      <c r="H49" s="83" t="s">
        <v>184</v>
      </c>
      <c r="I49" s="4" t="s">
        <v>524</v>
      </c>
      <c r="J49" s="23">
        <v>1</v>
      </c>
      <c r="K49" s="27">
        <v>550000</v>
      </c>
      <c r="L49" s="26">
        <v>780000</v>
      </c>
      <c r="M49" s="27">
        <f t="shared" si="10"/>
        <v>78000</v>
      </c>
      <c r="N49" s="27">
        <f t="shared" si="11"/>
        <v>858000</v>
      </c>
      <c r="O49" s="33">
        <f>149090+120000*2</f>
        <v>389090</v>
      </c>
      <c r="P49" s="197" t="s">
        <v>648</v>
      </c>
      <c r="Q49" s="20">
        <f t="shared" si="12"/>
        <v>390910</v>
      </c>
      <c r="R49" s="2" t="s">
        <v>156</v>
      </c>
      <c r="S49" s="8" t="s">
        <v>2134</v>
      </c>
      <c r="T49" s="11"/>
    </row>
    <row r="50" spans="1:20">
      <c r="A50" t="s">
        <v>30</v>
      </c>
      <c r="B50" s="151" t="s">
        <v>523</v>
      </c>
      <c r="C50" s="155"/>
      <c r="D50" s="43"/>
      <c r="E50" s="44" t="s">
        <v>2169</v>
      </c>
      <c r="F50" s="41"/>
      <c r="G50" s="2" t="s">
        <v>15</v>
      </c>
      <c r="H50" s="83" t="s">
        <v>525</v>
      </c>
      <c r="I50" s="4" t="s">
        <v>526</v>
      </c>
      <c r="J50" s="23">
        <v>1</v>
      </c>
      <c r="K50" s="27">
        <v>230000</v>
      </c>
      <c r="L50" s="37"/>
      <c r="M50" s="38"/>
      <c r="N50" s="38"/>
      <c r="O50" s="38"/>
      <c r="P50" s="38"/>
      <c r="Q50" s="38"/>
      <c r="R50" s="38"/>
      <c r="S50" s="38"/>
      <c r="T50" s="11"/>
    </row>
    <row r="51" spans="1:20" ht="24">
      <c r="A51" t="s">
        <v>30</v>
      </c>
      <c r="B51" s="151" t="s">
        <v>384</v>
      </c>
      <c r="C51" s="153"/>
      <c r="D51" s="86">
        <v>45680</v>
      </c>
      <c r="E51" s="1" t="s">
        <v>2193</v>
      </c>
      <c r="F51" s="2"/>
      <c r="G51" s="2" t="s">
        <v>352</v>
      </c>
      <c r="H51" s="83" t="s">
        <v>385</v>
      </c>
      <c r="I51" s="4" t="s">
        <v>348</v>
      </c>
      <c r="J51" s="23">
        <v>7</v>
      </c>
      <c r="K51" s="27">
        <v>4900000</v>
      </c>
      <c r="L51" s="26">
        <f>J51*K51</f>
        <v>34300000</v>
      </c>
      <c r="M51" s="27">
        <f>L51*10%</f>
        <v>3430000</v>
      </c>
      <c r="N51" s="27">
        <f>SUM(L51:M51)</f>
        <v>37730000</v>
      </c>
      <c r="O51" s="33">
        <f>7*4677000+40000</f>
        <v>32779000</v>
      </c>
      <c r="P51" s="197" t="s">
        <v>650</v>
      </c>
      <c r="Q51" s="20">
        <f>L51-O51</f>
        <v>1521000</v>
      </c>
      <c r="R51" s="68" t="s">
        <v>1160</v>
      </c>
      <c r="S51" s="8" t="s">
        <v>2134</v>
      </c>
      <c r="T51" s="11"/>
    </row>
    <row r="52" spans="1:20">
      <c r="A52" t="s">
        <v>30</v>
      </c>
      <c r="B52" s="151" t="s">
        <v>388</v>
      </c>
      <c r="C52" s="153"/>
      <c r="D52" s="86">
        <v>45680</v>
      </c>
      <c r="E52" s="1" t="s">
        <v>2193</v>
      </c>
      <c r="F52" s="2"/>
      <c r="G52" s="2" t="s">
        <v>352</v>
      </c>
      <c r="H52" s="83" t="s">
        <v>390</v>
      </c>
      <c r="I52" s="4" t="s">
        <v>398</v>
      </c>
      <c r="J52" s="23">
        <v>2</v>
      </c>
      <c r="K52" s="27">
        <v>1930000</v>
      </c>
      <c r="L52" s="26">
        <v>4240000</v>
      </c>
      <c r="M52" s="27">
        <f>L52*10%</f>
        <v>424000</v>
      </c>
      <c r="N52" s="27">
        <f>SUM(L52:M52)</f>
        <v>4664000</v>
      </c>
      <c r="O52" s="33">
        <f>4139840/1.1</f>
        <v>3763490.9090909087</v>
      </c>
      <c r="P52" s="197" t="s">
        <v>392</v>
      </c>
      <c r="Q52" s="181">
        <f>L52-O52</f>
        <v>476509.09090909129</v>
      </c>
      <c r="R52" s="68" t="s">
        <v>1160</v>
      </c>
      <c r="S52" s="8" t="s">
        <v>2134</v>
      </c>
      <c r="T52" s="11"/>
    </row>
    <row r="53" spans="1:20">
      <c r="A53" t="s">
        <v>30</v>
      </c>
      <c r="B53" s="154"/>
      <c r="C53" s="155"/>
      <c r="D53" s="212"/>
      <c r="E53" s="44" t="s">
        <v>2193</v>
      </c>
      <c r="F53" s="212"/>
      <c r="G53" s="2" t="s">
        <v>352</v>
      </c>
      <c r="H53" s="83" t="s">
        <v>391</v>
      </c>
      <c r="I53" s="4" t="s">
        <v>389</v>
      </c>
      <c r="J53" s="23">
        <v>2</v>
      </c>
      <c r="K53" s="27">
        <v>190000</v>
      </c>
      <c r="L53" s="41"/>
      <c r="M53" s="41"/>
      <c r="N53" s="41"/>
      <c r="O53" s="39"/>
      <c r="P53" s="175"/>
      <c r="Q53" s="184"/>
      <c r="R53" s="41"/>
      <c r="S53" s="42"/>
      <c r="T53" s="11"/>
    </row>
    <row r="54" spans="1:20">
      <c r="A54" t="s">
        <v>30</v>
      </c>
      <c r="B54" s="151" t="s">
        <v>534</v>
      </c>
      <c r="C54" s="153"/>
      <c r="D54" s="17">
        <v>45680</v>
      </c>
      <c r="E54" s="1" t="s">
        <v>2156</v>
      </c>
      <c r="F54" s="2" t="s">
        <v>535</v>
      </c>
      <c r="G54" s="2" t="s">
        <v>15</v>
      </c>
      <c r="H54" s="83" t="s">
        <v>539</v>
      </c>
      <c r="I54" s="4" t="s">
        <v>536</v>
      </c>
      <c r="J54" s="23">
        <v>1</v>
      </c>
      <c r="K54" s="27">
        <v>600000</v>
      </c>
      <c r="L54" s="26">
        <v>1450000</v>
      </c>
      <c r="M54" s="27">
        <f>L54*10%</f>
        <v>145000</v>
      </c>
      <c r="N54" s="27">
        <f>SUM(L54:M54)</f>
        <v>1595000</v>
      </c>
      <c r="O54" s="33">
        <v>0</v>
      </c>
      <c r="P54" s="197" t="s">
        <v>529</v>
      </c>
      <c r="Q54" s="20">
        <f>L54-O54</f>
        <v>1450000</v>
      </c>
      <c r="R54" s="68" t="s">
        <v>1455</v>
      </c>
      <c r="S54" s="8" t="s">
        <v>2134</v>
      </c>
      <c r="T54" s="11"/>
    </row>
    <row r="55" spans="1:20">
      <c r="A55" t="s">
        <v>30</v>
      </c>
      <c r="B55" s="154"/>
      <c r="C55" s="155"/>
      <c r="D55" s="43"/>
      <c r="E55" s="44" t="s">
        <v>2156</v>
      </c>
      <c r="F55" s="41"/>
      <c r="G55" s="2" t="s">
        <v>15</v>
      </c>
      <c r="H55" s="83" t="s">
        <v>538</v>
      </c>
      <c r="I55" s="4" t="s">
        <v>537</v>
      </c>
      <c r="J55" s="23">
        <v>1</v>
      </c>
      <c r="K55" s="27">
        <v>850000</v>
      </c>
      <c r="L55" s="37"/>
      <c r="M55" s="38"/>
      <c r="N55" s="38"/>
      <c r="O55" s="39"/>
      <c r="P55" s="175"/>
      <c r="Q55" s="40"/>
      <c r="R55" s="41"/>
      <c r="S55" s="42"/>
      <c r="T55" s="11"/>
    </row>
    <row r="56" spans="1:20">
      <c r="A56" t="s">
        <v>30</v>
      </c>
      <c r="B56" s="151" t="s">
        <v>651</v>
      </c>
      <c r="C56" s="153"/>
      <c r="D56" s="17">
        <v>45680</v>
      </c>
      <c r="E56" s="1" t="s">
        <v>605</v>
      </c>
      <c r="F56" s="2"/>
      <c r="G56" s="2" t="s">
        <v>606</v>
      </c>
      <c r="H56" s="83" t="s">
        <v>607</v>
      </c>
      <c r="I56" s="4" t="s">
        <v>608</v>
      </c>
      <c r="J56" s="23">
        <v>1</v>
      </c>
      <c r="K56" s="27">
        <v>1000000</v>
      </c>
      <c r="L56" s="26">
        <f>J56*K56</f>
        <v>1000000</v>
      </c>
      <c r="M56" s="27">
        <f>L56*10%</f>
        <v>100000</v>
      </c>
      <c r="N56" s="27">
        <f>SUM(L56:M56)</f>
        <v>1100000</v>
      </c>
      <c r="O56" s="33">
        <v>75000</v>
      </c>
      <c r="P56" s="238" t="s">
        <v>913</v>
      </c>
      <c r="Q56" s="20">
        <f>L56-O56</f>
        <v>925000</v>
      </c>
      <c r="R56" s="2" t="s">
        <v>890</v>
      </c>
      <c r="S56" s="8" t="s">
        <v>2134</v>
      </c>
      <c r="T56" s="11"/>
    </row>
    <row r="57" spans="1:20">
      <c r="A57" t="s">
        <v>30</v>
      </c>
      <c r="B57" s="151" t="s">
        <v>120</v>
      </c>
      <c r="C57" s="200"/>
      <c r="D57" s="17">
        <v>45681</v>
      </c>
      <c r="E57" s="214" t="s">
        <v>7</v>
      </c>
      <c r="F57" s="189" t="s">
        <v>121</v>
      </c>
      <c r="G57" s="161" t="s">
        <v>16</v>
      </c>
      <c r="H57" s="161" t="s">
        <v>81</v>
      </c>
      <c r="I57" s="163" t="s">
        <v>234</v>
      </c>
      <c r="J57" s="24">
        <v>1</v>
      </c>
      <c r="K57" s="26">
        <v>320000</v>
      </c>
      <c r="L57" s="26">
        <f>J57*K57</f>
        <v>320000</v>
      </c>
      <c r="M57" s="27">
        <f>L57*10%</f>
        <v>32000</v>
      </c>
      <c r="N57" s="27">
        <f>SUM(L57:M57)</f>
        <v>352000</v>
      </c>
      <c r="O57" s="33">
        <f>1800000/12</f>
        <v>150000</v>
      </c>
      <c r="P57" s="171" t="s">
        <v>1074</v>
      </c>
      <c r="Q57" s="181">
        <f>L57-O57</f>
        <v>170000</v>
      </c>
      <c r="R57" s="2" t="s">
        <v>890</v>
      </c>
      <c r="S57" s="5" t="s">
        <v>2136</v>
      </c>
      <c r="T57" s="11"/>
    </row>
    <row r="58" spans="1:20">
      <c r="A58" t="s">
        <v>30</v>
      </c>
      <c r="B58" s="151" t="s">
        <v>331</v>
      </c>
      <c r="C58" s="199"/>
      <c r="D58" s="17">
        <v>45681</v>
      </c>
      <c r="E58" s="214" t="s">
        <v>2211</v>
      </c>
      <c r="F58" s="215"/>
      <c r="G58" s="1" t="s">
        <v>16</v>
      </c>
      <c r="H58" s="2" t="s">
        <v>81</v>
      </c>
      <c r="I58" s="163" t="s">
        <v>235</v>
      </c>
      <c r="J58" s="76">
        <v>1</v>
      </c>
      <c r="K58" s="48">
        <v>1216000</v>
      </c>
      <c r="L58" s="26">
        <v>2446000</v>
      </c>
      <c r="M58" s="27">
        <f>L58*10%</f>
        <v>244600</v>
      </c>
      <c r="N58" s="27">
        <f>SUM(L58:M58)</f>
        <v>2690600</v>
      </c>
      <c r="O58" s="52">
        <f>840000+595000</f>
        <v>1435000</v>
      </c>
      <c r="P58" s="171" t="s">
        <v>828</v>
      </c>
      <c r="Q58" s="181">
        <f>L58-O58</f>
        <v>1011000</v>
      </c>
      <c r="R58" s="2" t="s">
        <v>148</v>
      </c>
      <c r="S58" s="8" t="s">
        <v>2134</v>
      </c>
      <c r="T58" s="11"/>
    </row>
    <row r="59" spans="1:20">
      <c r="A59" t="s">
        <v>30</v>
      </c>
      <c r="B59" s="151" t="s">
        <v>291</v>
      </c>
      <c r="C59" s="201"/>
      <c r="D59" s="43"/>
      <c r="E59" s="219" t="s">
        <v>2211</v>
      </c>
      <c r="F59" s="220"/>
      <c r="G59" s="1" t="s">
        <v>16</v>
      </c>
      <c r="H59" s="2" t="s">
        <v>81</v>
      </c>
      <c r="I59" s="163" t="s">
        <v>233</v>
      </c>
      <c r="J59" s="76">
        <v>1</v>
      </c>
      <c r="K59" s="48">
        <v>390000</v>
      </c>
      <c r="L59" s="38"/>
      <c r="M59" s="38"/>
      <c r="N59" s="38"/>
      <c r="O59" s="84"/>
      <c r="P59" s="171"/>
      <c r="Q59" s="184"/>
      <c r="R59" s="46"/>
      <c r="S59" s="42"/>
      <c r="T59" s="133"/>
    </row>
    <row r="60" spans="1:20">
      <c r="A60" t="s">
        <v>30</v>
      </c>
      <c r="B60" s="151" t="s">
        <v>206</v>
      </c>
      <c r="C60" s="201"/>
      <c r="D60" s="43"/>
      <c r="E60" s="219" t="s">
        <v>2211</v>
      </c>
      <c r="F60" s="220"/>
      <c r="G60" s="1" t="s">
        <v>16</v>
      </c>
      <c r="H60" s="2" t="s">
        <v>81</v>
      </c>
      <c r="I60" s="3" t="s">
        <v>841</v>
      </c>
      <c r="J60" s="76">
        <v>70</v>
      </c>
      <c r="K60" s="48">
        <v>12000</v>
      </c>
      <c r="L60" s="38"/>
      <c r="M60" s="38"/>
      <c r="N60" s="38"/>
      <c r="O60" s="84"/>
      <c r="P60" s="171" t="s">
        <v>829</v>
      </c>
      <c r="Q60" s="184"/>
      <c r="R60" s="46"/>
      <c r="S60" s="42"/>
      <c r="T60" s="133"/>
    </row>
    <row r="61" spans="1:20" ht="24">
      <c r="A61" t="s">
        <v>30</v>
      </c>
      <c r="B61" s="151" t="s">
        <v>325</v>
      </c>
      <c r="C61" s="200" t="s">
        <v>343</v>
      </c>
      <c r="D61" s="17">
        <v>45681</v>
      </c>
      <c r="E61" s="214" t="s">
        <v>209</v>
      </c>
      <c r="F61" s="215" t="s">
        <v>126</v>
      </c>
      <c r="G61" s="161" t="s">
        <v>16</v>
      </c>
      <c r="H61" s="161" t="s">
        <v>81</v>
      </c>
      <c r="I61" s="3" t="s">
        <v>236</v>
      </c>
      <c r="J61" s="73">
        <v>1</v>
      </c>
      <c r="K61" s="26">
        <v>168000</v>
      </c>
      <c r="L61" s="26">
        <f t="shared" ref="L61:L82" si="13">J61*K61</f>
        <v>168000</v>
      </c>
      <c r="M61" s="27">
        <f t="shared" ref="M61:M83" si="14">L61*10%</f>
        <v>16800</v>
      </c>
      <c r="N61" s="27">
        <f t="shared" ref="N61:N83" si="15">SUM(L61:M61)</f>
        <v>184800</v>
      </c>
      <c r="O61" s="52">
        <f>485440/12+80160</f>
        <v>120613.33333333334</v>
      </c>
      <c r="P61" s="171" t="s">
        <v>597</v>
      </c>
      <c r="Q61" s="183">
        <f t="shared" ref="Q61:Q83" si="16">L61-O61</f>
        <v>47386.666666666657</v>
      </c>
      <c r="R61" s="68" t="s">
        <v>890</v>
      </c>
      <c r="S61" s="5" t="s">
        <v>2136</v>
      </c>
      <c r="T61" s="11"/>
    </row>
    <row r="62" spans="1:20">
      <c r="A62" t="s">
        <v>30</v>
      </c>
      <c r="B62" s="151" t="s">
        <v>324</v>
      </c>
      <c r="C62" s="200"/>
      <c r="D62" s="17">
        <v>45681</v>
      </c>
      <c r="E62" s="214" t="s">
        <v>2177</v>
      </c>
      <c r="F62" s="189" t="s">
        <v>127</v>
      </c>
      <c r="G62" s="161" t="s">
        <v>16</v>
      </c>
      <c r="H62" s="161" t="s">
        <v>138</v>
      </c>
      <c r="I62" s="163" t="s">
        <v>236</v>
      </c>
      <c r="J62" s="24">
        <v>1</v>
      </c>
      <c r="K62" s="26">
        <v>115000</v>
      </c>
      <c r="L62" s="26">
        <f t="shared" si="13"/>
        <v>115000</v>
      </c>
      <c r="M62" s="27">
        <f t="shared" si="14"/>
        <v>11500</v>
      </c>
      <c r="N62" s="27">
        <f t="shared" si="15"/>
        <v>126500</v>
      </c>
      <c r="O62" s="52">
        <v>66498</v>
      </c>
      <c r="P62" s="171" t="s">
        <v>139</v>
      </c>
      <c r="Q62" s="181">
        <f t="shared" si="16"/>
        <v>48502</v>
      </c>
      <c r="R62" s="68" t="s">
        <v>156</v>
      </c>
      <c r="S62" s="5" t="s">
        <v>2136</v>
      </c>
      <c r="T62" s="11"/>
    </row>
    <row r="63" spans="1:20" ht="36">
      <c r="A63" t="s">
        <v>30</v>
      </c>
      <c r="B63" s="151" t="s">
        <v>395</v>
      </c>
      <c r="C63" s="199"/>
      <c r="D63" s="17">
        <v>45681</v>
      </c>
      <c r="E63" s="214" t="s">
        <v>2177</v>
      </c>
      <c r="F63" s="215" t="s">
        <v>133</v>
      </c>
      <c r="G63" s="161" t="s">
        <v>16</v>
      </c>
      <c r="H63" s="161" t="s">
        <v>138</v>
      </c>
      <c r="I63" s="164" t="s">
        <v>237</v>
      </c>
      <c r="J63" s="34">
        <v>1</v>
      </c>
      <c r="K63" s="48">
        <v>350000</v>
      </c>
      <c r="L63" s="26">
        <f t="shared" si="13"/>
        <v>350000</v>
      </c>
      <c r="M63" s="27">
        <f t="shared" si="14"/>
        <v>35000</v>
      </c>
      <c r="N63" s="27">
        <f t="shared" si="15"/>
        <v>385000</v>
      </c>
      <c r="O63" s="52">
        <f>133870+70180+1000000/12</f>
        <v>287383.33333333331</v>
      </c>
      <c r="P63" s="172" t="s">
        <v>2108</v>
      </c>
      <c r="Q63" s="181">
        <f t="shared" si="16"/>
        <v>62616.666666666686</v>
      </c>
      <c r="R63" s="68" t="s">
        <v>156</v>
      </c>
      <c r="S63" s="8" t="s">
        <v>2136</v>
      </c>
      <c r="T63" s="11"/>
    </row>
    <row r="64" spans="1:20" ht="24">
      <c r="A64" t="s">
        <v>30</v>
      </c>
      <c r="B64" s="151" t="s">
        <v>1220</v>
      </c>
      <c r="C64" s="199"/>
      <c r="D64" s="17">
        <v>45681</v>
      </c>
      <c r="E64" s="214" t="s">
        <v>2177</v>
      </c>
      <c r="F64" s="215" t="s">
        <v>137</v>
      </c>
      <c r="G64" s="161" t="s">
        <v>16</v>
      </c>
      <c r="H64" s="161" t="s">
        <v>138</v>
      </c>
      <c r="I64" s="164" t="s">
        <v>229</v>
      </c>
      <c r="J64" s="34">
        <v>1</v>
      </c>
      <c r="K64" s="48">
        <v>644000</v>
      </c>
      <c r="L64" s="26">
        <f t="shared" si="13"/>
        <v>644000</v>
      </c>
      <c r="M64" s="27">
        <f t="shared" si="14"/>
        <v>64400</v>
      </c>
      <c r="N64" s="27">
        <f t="shared" si="15"/>
        <v>708400</v>
      </c>
      <c r="O64" s="72">
        <f>79496+4200000/12</f>
        <v>429496</v>
      </c>
      <c r="P64" s="170" t="s">
        <v>2113</v>
      </c>
      <c r="Q64" s="181">
        <f t="shared" si="16"/>
        <v>214504</v>
      </c>
      <c r="R64" s="68" t="s">
        <v>156</v>
      </c>
      <c r="S64" s="8" t="s">
        <v>2136</v>
      </c>
      <c r="T64" s="11"/>
    </row>
    <row r="65" spans="1:20">
      <c r="A65" t="s">
        <v>30</v>
      </c>
      <c r="B65" s="151" t="s">
        <v>134</v>
      </c>
      <c r="C65" s="200"/>
      <c r="D65" s="17">
        <v>45681</v>
      </c>
      <c r="E65" s="214" t="s">
        <v>2163</v>
      </c>
      <c r="F65" s="189"/>
      <c r="G65" s="161" t="s">
        <v>16</v>
      </c>
      <c r="H65" s="161" t="s">
        <v>81</v>
      </c>
      <c r="I65" s="163" t="s">
        <v>238</v>
      </c>
      <c r="J65" s="24">
        <v>1</v>
      </c>
      <c r="K65" s="26">
        <v>305000</v>
      </c>
      <c r="L65" s="26">
        <f t="shared" si="13"/>
        <v>305000</v>
      </c>
      <c r="M65" s="27">
        <f t="shared" si="14"/>
        <v>30500</v>
      </c>
      <c r="N65" s="27">
        <f t="shared" si="15"/>
        <v>335500</v>
      </c>
      <c r="O65" s="52">
        <v>84811</v>
      </c>
      <c r="P65" s="171" t="s">
        <v>139</v>
      </c>
      <c r="Q65" s="181">
        <f t="shared" si="16"/>
        <v>220189</v>
      </c>
      <c r="R65" s="68" t="s">
        <v>144</v>
      </c>
      <c r="S65" s="5" t="s">
        <v>2134</v>
      </c>
      <c r="T65" s="11"/>
    </row>
    <row r="66" spans="1:20">
      <c r="A66" t="s">
        <v>30</v>
      </c>
      <c r="B66" s="151" t="s">
        <v>327</v>
      </c>
      <c r="C66" s="199"/>
      <c r="D66" s="17">
        <v>45681</v>
      </c>
      <c r="E66" s="214" t="s">
        <v>326</v>
      </c>
      <c r="F66" s="215"/>
      <c r="G66" s="2" t="s">
        <v>16</v>
      </c>
      <c r="H66" s="161" t="s">
        <v>138</v>
      </c>
      <c r="I66" s="4" t="s">
        <v>236</v>
      </c>
      <c r="J66" s="23">
        <v>1</v>
      </c>
      <c r="K66" s="27">
        <v>668000</v>
      </c>
      <c r="L66" s="26">
        <f t="shared" si="13"/>
        <v>668000</v>
      </c>
      <c r="M66" s="27">
        <f t="shared" si="14"/>
        <v>66800</v>
      </c>
      <c r="N66" s="27">
        <f t="shared" si="15"/>
        <v>734800</v>
      </c>
      <c r="O66" s="72">
        <f>277600+142800</f>
        <v>420400</v>
      </c>
      <c r="P66" s="223" t="s">
        <v>824</v>
      </c>
      <c r="Q66" s="181">
        <f t="shared" si="16"/>
        <v>247600</v>
      </c>
      <c r="R66" s="68" t="s">
        <v>812</v>
      </c>
      <c r="S66" s="8" t="s">
        <v>2136</v>
      </c>
      <c r="T66" s="11"/>
    </row>
    <row r="67" spans="1:20" ht="24">
      <c r="A67" t="s">
        <v>30</v>
      </c>
      <c r="B67" s="151" t="s">
        <v>396</v>
      </c>
      <c r="C67" s="199"/>
      <c r="D67" s="17">
        <v>45681</v>
      </c>
      <c r="E67" s="214" t="s">
        <v>2141</v>
      </c>
      <c r="F67" s="214" t="s">
        <v>135</v>
      </c>
      <c r="G67" s="161" t="s">
        <v>16</v>
      </c>
      <c r="H67" s="161" t="s">
        <v>81</v>
      </c>
      <c r="I67" s="163" t="s">
        <v>237</v>
      </c>
      <c r="J67" s="24">
        <v>1</v>
      </c>
      <c r="K67" s="26">
        <v>500000</v>
      </c>
      <c r="L67" s="26">
        <f t="shared" si="13"/>
        <v>500000</v>
      </c>
      <c r="M67" s="27">
        <f t="shared" si="14"/>
        <v>50000</v>
      </c>
      <c r="N67" s="27">
        <f t="shared" si="15"/>
        <v>550000</v>
      </c>
      <c r="O67" s="52">
        <f>600000/6+20600</f>
        <v>120600</v>
      </c>
      <c r="P67" s="171" t="s">
        <v>1693</v>
      </c>
      <c r="Q67" s="181">
        <f t="shared" si="16"/>
        <v>379400</v>
      </c>
      <c r="R67" s="68" t="s">
        <v>865</v>
      </c>
      <c r="S67" s="5" t="s">
        <v>2136</v>
      </c>
      <c r="T67" s="11"/>
    </row>
    <row r="68" spans="1:20">
      <c r="A68" t="s">
        <v>30</v>
      </c>
      <c r="B68" s="151" t="s">
        <v>854</v>
      </c>
      <c r="C68" s="199"/>
      <c r="D68" s="17">
        <v>45681</v>
      </c>
      <c r="E68" s="221" t="s">
        <v>2142</v>
      </c>
      <c r="F68" s="215"/>
      <c r="G68" s="161" t="s">
        <v>16</v>
      </c>
      <c r="H68" s="161" t="s">
        <v>81</v>
      </c>
      <c r="I68" s="163" t="s">
        <v>229</v>
      </c>
      <c r="J68" s="23">
        <v>1</v>
      </c>
      <c r="K68" s="27">
        <v>1400000</v>
      </c>
      <c r="L68" s="26">
        <f t="shared" si="13"/>
        <v>1400000</v>
      </c>
      <c r="M68" s="27">
        <f t="shared" si="14"/>
        <v>140000</v>
      </c>
      <c r="N68" s="27">
        <f t="shared" si="15"/>
        <v>1540000</v>
      </c>
      <c r="O68" s="52">
        <f>1500000/3</f>
        <v>500000</v>
      </c>
      <c r="P68" s="171" t="s">
        <v>1080</v>
      </c>
      <c r="Q68" s="181">
        <f t="shared" si="16"/>
        <v>900000</v>
      </c>
      <c r="R68" s="68" t="s">
        <v>833</v>
      </c>
      <c r="S68" s="8" t="s">
        <v>2134</v>
      </c>
      <c r="T68" s="11"/>
    </row>
    <row r="69" spans="1:20">
      <c r="A69" t="s">
        <v>30</v>
      </c>
      <c r="B69" s="151" t="s">
        <v>190</v>
      </c>
      <c r="C69" s="200" t="s">
        <v>220</v>
      </c>
      <c r="D69" s="17">
        <v>45681</v>
      </c>
      <c r="E69" s="214" t="s">
        <v>2171</v>
      </c>
      <c r="F69" s="214" t="s">
        <v>150</v>
      </c>
      <c r="G69" s="1" t="s">
        <v>16</v>
      </c>
      <c r="H69" s="161" t="s">
        <v>80</v>
      </c>
      <c r="I69" s="163" t="s">
        <v>437</v>
      </c>
      <c r="J69" s="32">
        <v>1</v>
      </c>
      <c r="K69" s="48">
        <v>11178000</v>
      </c>
      <c r="L69" s="26">
        <f t="shared" si="13"/>
        <v>11178000</v>
      </c>
      <c r="M69" s="27">
        <f t="shared" si="14"/>
        <v>1117800</v>
      </c>
      <c r="N69" s="27">
        <f t="shared" si="15"/>
        <v>12295800</v>
      </c>
      <c r="O69" s="72">
        <v>9980400</v>
      </c>
      <c r="P69" s="223" t="s">
        <v>147</v>
      </c>
      <c r="Q69" s="181">
        <f t="shared" si="16"/>
        <v>1197600</v>
      </c>
      <c r="R69" s="2" t="s">
        <v>890</v>
      </c>
      <c r="S69" s="8" t="s">
        <v>2136</v>
      </c>
      <c r="T69" s="11"/>
    </row>
    <row r="70" spans="1:20">
      <c r="A70" t="s">
        <v>30</v>
      </c>
      <c r="B70" s="151" t="s">
        <v>676</v>
      </c>
      <c r="C70" s="200" t="s">
        <v>677</v>
      </c>
      <c r="D70" s="17">
        <v>45681</v>
      </c>
      <c r="E70" s="214" t="s">
        <v>2171</v>
      </c>
      <c r="F70" s="189" t="s">
        <v>119</v>
      </c>
      <c r="G70" s="161" t="s">
        <v>16</v>
      </c>
      <c r="H70" s="161" t="s">
        <v>80</v>
      </c>
      <c r="I70" s="164" t="s">
        <v>229</v>
      </c>
      <c r="J70" s="24">
        <v>1</v>
      </c>
      <c r="K70" s="27">
        <v>585000</v>
      </c>
      <c r="L70" s="26">
        <f t="shared" si="13"/>
        <v>585000</v>
      </c>
      <c r="M70" s="27">
        <f t="shared" si="14"/>
        <v>58500</v>
      </c>
      <c r="N70" s="27">
        <f t="shared" si="15"/>
        <v>643500</v>
      </c>
      <c r="O70" s="52">
        <v>531600</v>
      </c>
      <c r="P70" s="223" t="s">
        <v>147</v>
      </c>
      <c r="Q70" s="181">
        <f t="shared" si="16"/>
        <v>53400</v>
      </c>
      <c r="R70" s="2" t="s">
        <v>890</v>
      </c>
      <c r="S70" s="5" t="s">
        <v>2136</v>
      </c>
      <c r="T70" s="11"/>
    </row>
    <row r="71" spans="1:20">
      <c r="A71" t="s">
        <v>30</v>
      </c>
      <c r="B71" s="151" t="s">
        <v>186</v>
      </c>
      <c r="C71" s="200"/>
      <c r="D71" s="17">
        <v>45681</v>
      </c>
      <c r="E71" s="214" t="s">
        <v>2160</v>
      </c>
      <c r="F71" s="189" t="s">
        <v>122</v>
      </c>
      <c r="G71" s="161" t="s">
        <v>16</v>
      </c>
      <c r="H71" s="161" t="s">
        <v>138</v>
      </c>
      <c r="I71" s="163" t="s">
        <v>438</v>
      </c>
      <c r="J71" s="69">
        <v>1</v>
      </c>
      <c r="K71" s="29">
        <v>180000</v>
      </c>
      <c r="L71" s="26">
        <f t="shared" si="13"/>
        <v>180000</v>
      </c>
      <c r="M71" s="27">
        <f t="shared" si="14"/>
        <v>18000</v>
      </c>
      <c r="N71" s="27">
        <f t="shared" si="15"/>
        <v>198000</v>
      </c>
      <c r="O71" s="52">
        <v>159761</v>
      </c>
      <c r="P71" s="171" t="s">
        <v>139</v>
      </c>
      <c r="Q71" s="181">
        <f t="shared" si="16"/>
        <v>20239</v>
      </c>
      <c r="R71" s="68" t="s">
        <v>156</v>
      </c>
      <c r="S71" s="5" t="s">
        <v>2136</v>
      </c>
      <c r="T71" s="11"/>
    </row>
    <row r="72" spans="1:20">
      <c r="A72" t="s">
        <v>30</v>
      </c>
      <c r="B72" s="151" t="s">
        <v>187</v>
      </c>
      <c r="C72" s="200"/>
      <c r="D72" s="17">
        <v>45681</v>
      </c>
      <c r="E72" s="214" t="s">
        <v>2160</v>
      </c>
      <c r="F72" s="189" t="s">
        <v>123</v>
      </c>
      <c r="G72" s="161" t="s">
        <v>16</v>
      </c>
      <c r="H72" s="161" t="s">
        <v>138</v>
      </c>
      <c r="I72" s="163" t="s">
        <v>438</v>
      </c>
      <c r="J72" s="69">
        <v>1</v>
      </c>
      <c r="K72" s="29">
        <v>240000</v>
      </c>
      <c r="L72" s="26">
        <f t="shared" si="13"/>
        <v>240000</v>
      </c>
      <c r="M72" s="27">
        <f t="shared" si="14"/>
        <v>24000</v>
      </c>
      <c r="N72" s="27">
        <f t="shared" si="15"/>
        <v>264000</v>
      </c>
      <c r="O72" s="52">
        <v>212293</v>
      </c>
      <c r="P72" s="171" t="s">
        <v>139</v>
      </c>
      <c r="Q72" s="181">
        <f t="shared" si="16"/>
        <v>27707</v>
      </c>
      <c r="R72" s="68" t="s">
        <v>156</v>
      </c>
      <c r="S72" s="5" t="s">
        <v>2136</v>
      </c>
      <c r="T72" s="11"/>
    </row>
    <row r="73" spans="1:20">
      <c r="A73" t="s">
        <v>30</v>
      </c>
      <c r="B73" s="151" t="s">
        <v>259</v>
      </c>
      <c r="C73" s="199"/>
      <c r="D73" s="17">
        <v>45681</v>
      </c>
      <c r="E73" s="214" t="s">
        <v>2160</v>
      </c>
      <c r="F73" s="215" t="s">
        <v>212</v>
      </c>
      <c r="G73" s="2" t="s">
        <v>16</v>
      </c>
      <c r="H73" s="161" t="s">
        <v>138</v>
      </c>
      <c r="I73" s="4" t="s">
        <v>439</v>
      </c>
      <c r="J73" s="23">
        <v>1</v>
      </c>
      <c r="K73" s="27">
        <v>77500</v>
      </c>
      <c r="L73" s="26">
        <f t="shared" si="13"/>
        <v>77500</v>
      </c>
      <c r="M73" s="27">
        <f t="shared" si="14"/>
        <v>7750</v>
      </c>
      <c r="N73" s="27">
        <f t="shared" si="15"/>
        <v>85250</v>
      </c>
      <c r="O73" s="52">
        <v>70422</v>
      </c>
      <c r="P73" s="171" t="s">
        <v>139</v>
      </c>
      <c r="Q73" s="181">
        <f t="shared" si="16"/>
        <v>7078</v>
      </c>
      <c r="R73" s="68" t="s">
        <v>156</v>
      </c>
      <c r="S73" s="8" t="s">
        <v>2136</v>
      </c>
      <c r="T73" s="11"/>
    </row>
    <row r="74" spans="1:20">
      <c r="A74" t="s">
        <v>30</v>
      </c>
      <c r="B74" s="151" t="s">
        <v>337</v>
      </c>
      <c r="C74" s="199" t="s">
        <v>323</v>
      </c>
      <c r="D74" s="17">
        <v>45681</v>
      </c>
      <c r="E74" s="214" t="s">
        <v>75</v>
      </c>
      <c r="F74" s="215" t="s">
        <v>125</v>
      </c>
      <c r="G74" s="161" t="s">
        <v>16</v>
      </c>
      <c r="H74" s="2" t="s">
        <v>80</v>
      </c>
      <c r="I74" s="4" t="s">
        <v>239</v>
      </c>
      <c r="J74" s="23">
        <v>1</v>
      </c>
      <c r="K74" s="27">
        <v>122000</v>
      </c>
      <c r="L74" s="26">
        <f t="shared" si="13"/>
        <v>122000</v>
      </c>
      <c r="M74" s="27">
        <f t="shared" si="14"/>
        <v>12200</v>
      </c>
      <c r="N74" s="27">
        <f t="shared" si="15"/>
        <v>134200</v>
      </c>
      <c r="O74" s="52">
        <v>101400</v>
      </c>
      <c r="P74" s="223" t="s">
        <v>147</v>
      </c>
      <c r="Q74" s="181">
        <f t="shared" si="16"/>
        <v>20600</v>
      </c>
      <c r="R74" s="68" t="s">
        <v>999</v>
      </c>
      <c r="S74" s="8" t="s">
        <v>2136</v>
      </c>
      <c r="T74" s="11"/>
    </row>
    <row r="75" spans="1:20" ht="36">
      <c r="A75" t="s">
        <v>30</v>
      </c>
      <c r="B75" s="151" t="s">
        <v>222</v>
      </c>
      <c r="C75" s="199"/>
      <c r="D75" s="17">
        <v>45681</v>
      </c>
      <c r="E75" s="214" t="s">
        <v>2197</v>
      </c>
      <c r="F75" s="215" t="s">
        <v>1</v>
      </c>
      <c r="G75" s="2" t="s">
        <v>16</v>
      </c>
      <c r="H75" s="2" t="s">
        <v>81</v>
      </c>
      <c r="I75" s="4" t="s">
        <v>454</v>
      </c>
      <c r="J75" s="23">
        <v>1</v>
      </c>
      <c r="K75" s="27">
        <v>1200000</v>
      </c>
      <c r="L75" s="26">
        <f t="shared" si="13"/>
        <v>1200000</v>
      </c>
      <c r="M75" s="27">
        <f t="shared" si="14"/>
        <v>120000</v>
      </c>
      <c r="N75" s="27">
        <f t="shared" si="15"/>
        <v>1320000</v>
      </c>
      <c r="O75" s="52">
        <f>600000+1250000/6+1750000/7</f>
        <v>1058333.3333333335</v>
      </c>
      <c r="P75" s="171" t="s">
        <v>598</v>
      </c>
      <c r="Q75" s="181">
        <f t="shared" si="16"/>
        <v>141666.66666666651</v>
      </c>
      <c r="R75" s="68" t="s">
        <v>890</v>
      </c>
      <c r="S75" s="8" t="s">
        <v>2133</v>
      </c>
      <c r="T75" s="11"/>
    </row>
    <row r="76" spans="1:20" ht="24">
      <c r="A76" t="s">
        <v>30</v>
      </c>
      <c r="B76" s="151" t="s">
        <v>196</v>
      </c>
      <c r="C76" s="199" t="s">
        <v>279</v>
      </c>
      <c r="D76" s="17">
        <v>45681</v>
      </c>
      <c r="E76" s="214" t="s">
        <v>2195</v>
      </c>
      <c r="F76" s="215" t="s">
        <v>1002</v>
      </c>
      <c r="G76" s="2" t="s">
        <v>16</v>
      </c>
      <c r="H76" s="83" t="s">
        <v>80</v>
      </c>
      <c r="I76" s="4" t="s">
        <v>747</v>
      </c>
      <c r="J76" s="23">
        <v>1</v>
      </c>
      <c r="K76" s="27">
        <f>288000+51200</f>
        <v>339200</v>
      </c>
      <c r="L76" s="26">
        <f t="shared" si="13"/>
        <v>339200</v>
      </c>
      <c r="M76" s="27">
        <f t="shared" si="14"/>
        <v>33920</v>
      </c>
      <c r="N76" s="27">
        <f t="shared" si="15"/>
        <v>373120</v>
      </c>
      <c r="O76" s="52">
        <f>245700+45600</f>
        <v>291300</v>
      </c>
      <c r="P76" s="223" t="s">
        <v>638</v>
      </c>
      <c r="Q76" s="181">
        <f t="shared" si="16"/>
        <v>47900</v>
      </c>
      <c r="R76" s="2" t="s">
        <v>890</v>
      </c>
      <c r="S76" s="8" t="s">
        <v>2136</v>
      </c>
      <c r="T76" s="11"/>
    </row>
    <row r="77" spans="1:20" ht="24">
      <c r="A77" t="s">
        <v>30</v>
      </c>
      <c r="B77" s="151" t="s">
        <v>211</v>
      </c>
      <c r="C77" s="199" t="s">
        <v>219</v>
      </c>
      <c r="D77" s="17">
        <v>45681</v>
      </c>
      <c r="E77" s="214" t="s">
        <v>2170</v>
      </c>
      <c r="F77" s="215" t="s">
        <v>210</v>
      </c>
      <c r="G77" s="2" t="s">
        <v>16</v>
      </c>
      <c r="H77" s="83" t="s">
        <v>80</v>
      </c>
      <c r="I77" s="163" t="s">
        <v>455</v>
      </c>
      <c r="J77" s="23">
        <v>1</v>
      </c>
      <c r="K77" s="27">
        <v>5082300</v>
      </c>
      <c r="L77" s="26">
        <f t="shared" si="13"/>
        <v>5082300</v>
      </c>
      <c r="M77" s="27">
        <f t="shared" si="14"/>
        <v>508230</v>
      </c>
      <c r="N77" s="27">
        <f t="shared" si="15"/>
        <v>5590530</v>
      </c>
      <c r="O77" s="72">
        <f>3017539+10560000/12</f>
        <v>3897539</v>
      </c>
      <c r="P77" s="223" t="s">
        <v>2082</v>
      </c>
      <c r="Q77" s="181">
        <f t="shared" si="16"/>
        <v>1184761</v>
      </c>
      <c r="R77" s="2" t="s">
        <v>890</v>
      </c>
      <c r="S77" s="8" t="s">
        <v>2136</v>
      </c>
      <c r="T77" s="11"/>
    </row>
    <row r="78" spans="1:20" ht="24">
      <c r="A78" t="s">
        <v>30</v>
      </c>
      <c r="B78" s="151" t="s">
        <v>301</v>
      </c>
      <c r="C78" s="199" t="s">
        <v>305</v>
      </c>
      <c r="D78" s="17">
        <v>45681</v>
      </c>
      <c r="E78" s="214" t="s">
        <v>110</v>
      </c>
      <c r="F78" s="215" t="s">
        <v>300</v>
      </c>
      <c r="G78" s="2" t="s">
        <v>16</v>
      </c>
      <c r="H78" s="83" t="s">
        <v>80</v>
      </c>
      <c r="I78" s="162" t="s">
        <v>456</v>
      </c>
      <c r="J78" s="23">
        <v>1</v>
      </c>
      <c r="K78" s="27">
        <v>1016100</v>
      </c>
      <c r="L78" s="26">
        <f t="shared" si="13"/>
        <v>1016100</v>
      </c>
      <c r="M78" s="27">
        <f t="shared" si="14"/>
        <v>101610</v>
      </c>
      <c r="N78" s="27">
        <f t="shared" si="15"/>
        <v>1117710</v>
      </c>
      <c r="O78" s="72">
        <f>604800+2160000/6</f>
        <v>964800</v>
      </c>
      <c r="P78" s="223" t="s">
        <v>1072</v>
      </c>
      <c r="Q78" s="181">
        <f t="shared" si="16"/>
        <v>51300</v>
      </c>
      <c r="R78" s="2" t="s">
        <v>890</v>
      </c>
      <c r="S78" s="36" t="s">
        <v>2136</v>
      </c>
      <c r="T78" s="75"/>
    </row>
    <row r="79" spans="1:20">
      <c r="A79" t="s">
        <v>30</v>
      </c>
      <c r="B79" s="151" t="s">
        <v>293</v>
      </c>
      <c r="C79" s="199" t="s">
        <v>283</v>
      </c>
      <c r="D79" s="17">
        <v>45681</v>
      </c>
      <c r="E79" s="214" t="s">
        <v>2144</v>
      </c>
      <c r="F79" s="215" t="s">
        <v>281</v>
      </c>
      <c r="G79" s="2" t="s">
        <v>16</v>
      </c>
      <c r="H79" s="83" t="s">
        <v>80</v>
      </c>
      <c r="I79" s="4" t="s">
        <v>233</v>
      </c>
      <c r="J79" s="23">
        <v>1</v>
      </c>
      <c r="K79" s="27">
        <v>204700</v>
      </c>
      <c r="L79" s="26">
        <f t="shared" si="13"/>
        <v>204700</v>
      </c>
      <c r="M79" s="27">
        <f t="shared" si="14"/>
        <v>20470</v>
      </c>
      <c r="N79" s="27">
        <f t="shared" si="15"/>
        <v>225170</v>
      </c>
      <c r="O79" s="52">
        <v>243955</v>
      </c>
      <c r="P79" s="223" t="s">
        <v>147</v>
      </c>
      <c r="Q79" s="181">
        <f t="shared" si="16"/>
        <v>-39255</v>
      </c>
      <c r="R79" s="68" t="s">
        <v>1160</v>
      </c>
      <c r="S79" s="8" t="s">
        <v>2136</v>
      </c>
      <c r="T79" s="11"/>
    </row>
    <row r="80" spans="1:20">
      <c r="A80" t="s">
        <v>30</v>
      </c>
      <c r="B80" s="151" t="s">
        <v>347</v>
      </c>
      <c r="C80" s="199" t="s">
        <v>344</v>
      </c>
      <c r="D80" s="17">
        <v>45681</v>
      </c>
      <c r="E80" s="214" t="s">
        <v>2144</v>
      </c>
      <c r="F80" s="215" t="s">
        <v>345</v>
      </c>
      <c r="G80" s="2" t="s">
        <v>16</v>
      </c>
      <c r="H80" s="83" t="s">
        <v>80</v>
      </c>
      <c r="I80" s="163" t="s">
        <v>236</v>
      </c>
      <c r="J80" s="23">
        <v>1</v>
      </c>
      <c r="K80" s="27">
        <v>573000</v>
      </c>
      <c r="L80" s="26">
        <f t="shared" si="13"/>
        <v>573000</v>
      </c>
      <c r="M80" s="27">
        <f t="shared" si="14"/>
        <v>57300</v>
      </c>
      <c r="N80" s="27">
        <f t="shared" si="15"/>
        <v>630300</v>
      </c>
      <c r="O80" s="52">
        <v>505200</v>
      </c>
      <c r="P80" s="223" t="s">
        <v>147</v>
      </c>
      <c r="Q80" s="181">
        <f t="shared" si="16"/>
        <v>67800</v>
      </c>
      <c r="R80" s="68" t="s">
        <v>1160</v>
      </c>
      <c r="S80" s="8" t="s">
        <v>2136</v>
      </c>
      <c r="T80" s="11"/>
    </row>
    <row r="81" spans="1:20">
      <c r="A81" t="s">
        <v>30</v>
      </c>
      <c r="B81" s="151" t="s">
        <v>349</v>
      </c>
      <c r="C81" s="199" t="s">
        <v>350</v>
      </c>
      <c r="D81" s="17">
        <v>45681</v>
      </c>
      <c r="E81" s="214" t="s">
        <v>2144</v>
      </c>
      <c r="F81" s="215" t="s">
        <v>351</v>
      </c>
      <c r="G81" s="2" t="s">
        <v>16</v>
      </c>
      <c r="H81" s="83" t="s">
        <v>80</v>
      </c>
      <c r="I81" s="163" t="s">
        <v>235</v>
      </c>
      <c r="J81" s="23">
        <v>1</v>
      </c>
      <c r="K81" s="27">
        <v>220000</v>
      </c>
      <c r="L81" s="26">
        <f t="shared" si="13"/>
        <v>220000</v>
      </c>
      <c r="M81" s="27">
        <f t="shared" si="14"/>
        <v>22000</v>
      </c>
      <c r="N81" s="27">
        <f t="shared" si="15"/>
        <v>242000</v>
      </c>
      <c r="O81" s="52">
        <v>204600</v>
      </c>
      <c r="P81" s="223" t="s">
        <v>147</v>
      </c>
      <c r="Q81" s="181">
        <f t="shared" si="16"/>
        <v>15400</v>
      </c>
      <c r="R81" s="68" t="s">
        <v>1160</v>
      </c>
      <c r="S81" s="8" t="s">
        <v>2136</v>
      </c>
      <c r="T81" s="11"/>
    </row>
    <row r="82" spans="1:20">
      <c r="A82" t="s">
        <v>30</v>
      </c>
      <c r="B82" s="151" t="s">
        <v>490</v>
      </c>
      <c r="C82" s="153" t="s">
        <v>639</v>
      </c>
      <c r="D82" s="17">
        <v>45681</v>
      </c>
      <c r="E82" s="214" t="s">
        <v>2144</v>
      </c>
      <c r="F82" s="215" t="s">
        <v>1094</v>
      </c>
      <c r="G82" s="2" t="s">
        <v>16</v>
      </c>
      <c r="H82" s="2" t="s">
        <v>80</v>
      </c>
      <c r="I82" s="4" t="s">
        <v>444</v>
      </c>
      <c r="J82" s="23">
        <v>1</v>
      </c>
      <c r="K82" s="27">
        <v>700000</v>
      </c>
      <c r="L82" s="26">
        <f t="shared" si="13"/>
        <v>700000</v>
      </c>
      <c r="M82" s="27">
        <f t="shared" si="14"/>
        <v>70000</v>
      </c>
      <c r="N82" s="27">
        <f t="shared" si="15"/>
        <v>770000</v>
      </c>
      <c r="O82" s="33">
        <v>661800</v>
      </c>
      <c r="P82" s="223" t="s">
        <v>147</v>
      </c>
      <c r="Q82" s="20">
        <f t="shared" si="16"/>
        <v>38200</v>
      </c>
      <c r="R82" s="68" t="s">
        <v>1160</v>
      </c>
      <c r="S82" s="5" t="s">
        <v>2136</v>
      </c>
      <c r="T82" s="11"/>
    </row>
    <row r="83" spans="1:20" ht="24">
      <c r="A83" t="s">
        <v>30</v>
      </c>
      <c r="B83" s="151" t="s">
        <v>511</v>
      </c>
      <c r="C83" s="153" t="s">
        <v>446</v>
      </c>
      <c r="D83" s="17">
        <v>45681</v>
      </c>
      <c r="E83" s="214" t="s">
        <v>2144</v>
      </c>
      <c r="F83" s="215" t="s">
        <v>480</v>
      </c>
      <c r="G83" s="2" t="s">
        <v>16</v>
      </c>
      <c r="H83" s="2" t="s">
        <v>80</v>
      </c>
      <c r="I83" s="4" t="s">
        <v>444</v>
      </c>
      <c r="J83" s="23">
        <v>1</v>
      </c>
      <c r="K83" s="27">
        <v>380000</v>
      </c>
      <c r="L83" s="26">
        <v>7880000</v>
      </c>
      <c r="M83" s="27">
        <f t="shared" si="14"/>
        <v>788000</v>
      </c>
      <c r="N83" s="27">
        <f t="shared" si="15"/>
        <v>8668000</v>
      </c>
      <c r="O83" s="33">
        <f>289800+6750000+500000+500000/12</f>
        <v>7581466.666666667</v>
      </c>
      <c r="P83" s="197" t="s">
        <v>640</v>
      </c>
      <c r="Q83" s="20">
        <f t="shared" si="16"/>
        <v>298533.33333333302</v>
      </c>
      <c r="R83" s="68" t="s">
        <v>1160</v>
      </c>
      <c r="S83" s="5" t="s">
        <v>2136</v>
      </c>
      <c r="T83" s="11"/>
    </row>
    <row r="84" spans="1:20" ht="24">
      <c r="B84" s="151" t="s">
        <v>445</v>
      </c>
      <c r="C84" s="153" t="s">
        <v>508</v>
      </c>
      <c r="D84" s="246"/>
      <c r="E84" s="219" t="s">
        <v>2144</v>
      </c>
      <c r="F84" s="220" t="s">
        <v>480</v>
      </c>
      <c r="G84" s="2" t="s">
        <v>29</v>
      </c>
      <c r="H84" s="2" t="s">
        <v>509</v>
      </c>
      <c r="I84" s="4" t="s">
        <v>491</v>
      </c>
      <c r="J84" s="23">
        <v>1</v>
      </c>
      <c r="K84" s="27">
        <v>7500000</v>
      </c>
      <c r="L84" s="37"/>
      <c r="M84" s="38"/>
      <c r="N84" s="38"/>
      <c r="O84" s="39"/>
      <c r="P84" s="197" t="s">
        <v>545</v>
      </c>
      <c r="Q84" s="40"/>
      <c r="R84" s="46"/>
      <c r="S84" s="85"/>
      <c r="T84" s="11"/>
    </row>
    <row r="85" spans="1:20">
      <c r="A85" t="s">
        <v>30</v>
      </c>
      <c r="B85" s="151" t="s">
        <v>447</v>
      </c>
      <c r="C85" s="153" t="s">
        <v>448</v>
      </c>
      <c r="D85" s="17">
        <v>45681</v>
      </c>
      <c r="E85" s="214" t="s">
        <v>2144</v>
      </c>
      <c r="F85" s="215" t="s">
        <v>481</v>
      </c>
      <c r="G85" s="2" t="s">
        <v>16</v>
      </c>
      <c r="H85" s="2" t="s">
        <v>80</v>
      </c>
      <c r="I85" s="4" t="s">
        <v>444</v>
      </c>
      <c r="J85" s="23">
        <v>1</v>
      </c>
      <c r="K85" s="27">
        <v>625000</v>
      </c>
      <c r="L85" s="26">
        <f t="shared" ref="L85:L105" si="17">J85*K85</f>
        <v>625000</v>
      </c>
      <c r="M85" s="27">
        <f t="shared" ref="M85:M106" si="18">L85*10%</f>
        <v>62500</v>
      </c>
      <c r="N85" s="27">
        <f t="shared" ref="N85:N106" si="19">SUM(L85:M85)</f>
        <v>687500</v>
      </c>
      <c r="O85" s="33">
        <v>590400</v>
      </c>
      <c r="P85" s="223" t="s">
        <v>147</v>
      </c>
      <c r="Q85" s="20">
        <f t="shared" ref="Q85:Q97" si="20">L85-O85</f>
        <v>34600</v>
      </c>
      <c r="R85" s="68" t="s">
        <v>1160</v>
      </c>
      <c r="S85" s="5" t="s">
        <v>2136</v>
      </c>
      <c r="T85" s="11"/>
    </row>
    <row r="86" spans="1:20">
      <c r="A86" t="s">
        <v>30</v>
      </c>
      <c r="B86" s="151" t="s">
        <v>493</v>
      </c>
      <c r="C86" s="153" t="s">
        <v>494</v>
      </c>
      <c r="D86" s="17">
        <v>45681</v>
      </c>
      <c r="E86" s="214" t="s">
        <v>2144</v>
      </c>
      <c r="F86" s="215" t="s">
        <v>495</v>
      </c>
      <c r="G86" s="2" t="s">
        <v>16</v>
      </c>
      <c r="H86" s="2" t="s">
        <v>80</v>
      </c>
      <c r="I86" s="4" t="s">
        <v>229</v>
      </c>
      <c r="J86" s="23">
        <v>1</v>
      </c>
      <c r="K86" s="27">
        <v>1232000</v>
      </c>
      <c r="L86" s="26">
        <f t="shared" si="17"/>
        <v>1232000</v>
      </c>
      <c r="M86" s="27">
        <f t="shared" si="18"/>
        <v>123200</v>
      </c>
      <c r="N86" s="27">
        <f t="shared" si="19"/>
        <v>1355200</v>
      </c>
      <c r="O86" s="33">
        <v>1196100</v>
      </c>
      <c r="P86" s="223" t="s">
        <v>147</v>
      </c>
      <c r="Q86" s="20">
        <f t="shared" si="20"/>
        <v>35900</v>
      </c>
      <c r="R86" s="68" t="s">
        <v>1160</v>
      </c>
      <c r="S86" s="8" t="s">
        <v>2136</v>
      </c>
      <c r="T86" s="11"/>
    </row>
    <row r="87" spans="1:20">
      <c r="A87" t="s">
        <v>30</v>
      </c>
      <c r="B87" s="151" t="s">
        <v>282</v>
      </c>
      <c r="C87" s="200"/>
      <c r="D87" s="17">
        <v>45681</v>
      </c>
      <c r="E87" s="214" t="s">
        <v>4</v>
      </c>
      <c r="F87" s="189" t="s">
        <v>124</v>
      </c>
      <c r="G87" s="161" t="s">
        <v>16</v>
      </c>
      <c r="H87" s="161" t="s">
        <v>138</v>
      </c>
      <c r="I87" s="163" t="s">
        <v>240</v>
      </c>
      <c r="J87" s="24">
        <v>1</v>
      </c>
      <c r="K87" s="26">
        <v>1366000</v>
      </c>
      <c r="L87" s="26">
        <f t="shared" si="17"/>
        <v>1366000</v>
      </c>
      <c r="M87" s="27">
        <f t="shared" si="18"/>
        <v>136600</v>
      </c>
      <c r="N87" s="27">
        <f t="shared" si="19"/>
        <v>1502600</v>
      </c>
      <c r="O87" s="72">
        <v>1263250</v>
      </c>
      <c r="P87" s="171" t="s">
        <v>139</v>
      </c>
      <c r="Q87" s="181">
        <f t="shared" si="20"/>
        <v>102750</v>
      </c>
      <c r="R87" s="2" t="s">
        <v>890</v>
      </c>
      <c r="S87" s="5" t="s">
        <v>2136</v>
      </c>
      <c r="T87" s="11"/>
    </row>
    <row r="88" spans="1:20" ht="24">
      <c r="A88" t="s">
        <v>30</v>
      </c>
      <c r="B88" s="151" t="s">
        <v>288</v>
      </c>
      <c r="C88" s="199"/>
      <c r="D88" s="17">
        <v>45681</v>
      </c>
      <c r="E88" s="214" t="s">
        <v>2143</v>
      </c>
      <c r="F88" s="215"/>
      <c r="G88" s="161" t="s">
        <v>16</v>
      </c>
      <c r="H88" s="161" t="s">
        <v>138</v>
      </c>
      <c r="I88" s="163" t="s">
        <v>457</v>
      </c>
      <c r="J88" s="23">
        <v>1</v>
      </c>
      <c r="K88" s="27">
        <v>3916667</v>
      </c>
      <c r="L88" s="26">
        <f t="shared" si="17"/>
        <v>3916667</v>
      </c>
      <c r="M88" s="27">
        <v>391667</v>
      </c>
      <c r="N88" s="27">
        <f t="shared" si="19"/>
        <v>4308334</v>
      </c>
      <c r="O88" s="72">
        <f>5423462/12+3239404</f>
        <v>3691359.1666666665</v>
      </c>
      <c r="P88" s="223" t="s">
        <v>599</v>
      </c>
      <c r="Q88" s="181">
        <f t="shared" si="20"/>
        <v>225307.83333333349</v>
      </c>
      <c r="R88" s="68" t="s">
        <v>890</v>
      </c>
      <c r="S88" s="8" t="s">
        <v>2134</v>
      </c>
      <c r="T88" s="11"/>
    </row>
    <row r="89" spans="1:20">
      <c r="A89" t="s">
        <v>30</v>
      </c>
      <c r="B89" s="151" t="s">
        <v>290</v>
      </c>
      <c r="C89" s="199" t="s">
        <v>284</v>
      </c>
      <c r="D89" s="17">
        <v>45681</v>
      </c>
      <c r="E89" s="214" t="s">
        <v>285</v>
      </c>
      <c r="F89" s="215" t="s">
        <v>286</v>
      </c>
      <c r="G89" s="2" t="s">
        <v>16</v>
      </c>
      <c r="H89" s="83" t="s">
        <v>80</v>
      </c>
      <c r="I89" s="4" t="s">
        <v>458</v>
      </c>
      <c r="J89" s="23">
        <v>1</v>
      </c>
      <c r="K89" s="27">
        <v>659700</v>
      </c>
      <c r="L89" s="26">
        <f t="shared" si="17"/>
        <v>659700</v>
      </c>
      <c r="M89" s="27">
        <f t="shared" si="18"/>
        <v>65970</v>
      </c>
      <c r="N89" s="27">
        <f t="shared" si="19"/>
        <v>725670</v>
      </c>
      <c r="O89" s="72">
        <v>518541</v>
      </c>
      <c r="P89" s="223" t="s">
        <v>147</v>
      </c>
      <c r="Q89" s="181">
        <f t="shared" si="20"/>
        <v>141159</v>
      </c>
      <c r="R89" s="68" t="s">
        <v>1160</v>
      </c>
      <c r="S89" s="8" t="s">
        <v>2136</v>
      </c>
      <c r="T89" s="75"/>
    </row>
    <row r="90" spans="1:20">
      <c r="A90" t="s">
        <v>30</v>
      </c>
      <c r="B90" s="151" t="s">
        <v>336</v>
      </c>
      <c r="C90" s="199" t="s">
        <v>310</v>
      </c>
      <c r="D90" s="17">
        <v>45681</v>
      </c>
      <c r="E90" s="214" t="s">
        <v>41</v>
      </c>
      <c r="F90" s="215" t="s">
        <v>192</v>
      </c>
      <c r="G90" s="2" t="s">
        <v>16</v>
      </c>
      <c r="H90" s="83" t="s">
        <v>80</v>
      </c>
      <c r="I90" s="4" t="s">
        <v>239</v>
      </c>
      <c r="J90" s="23">
        <v>1</v>
      </c>
      <c r="K90" s="27">
        <v>285500</v>
      </c>
      <c r="L90" s="26">
        <f t="shared" si="17"/>
        <v>285500</v>
      </c>
      <c r="M90" s="27">
        <f t="shared" si="18"/>
        <v>28550</v>
      </c>
      <c r="N90" s="27">
        <f t="shared" si="19"/>
        <v>314050</v>
      </c>
      <c r="O90" s="72">
        <v>249900</v>
      </c>
      <c r="P90" s="223" t="s">
        <v>147</v>
      </c>
      <c r="Q90" s="181">
        <f t="shared" si="20"/>
        <v>35600</v>
      </c>
      <c r="R90" s="68" t="s">
        <v>1160</v>
      </c>
      <c r="S90" s="8" t="s">
        <v>2136</v>
      </c>
      <c r="T90" s="75"/>
    </row>
    <row r="91" spans="1:20" ht="24">
      <c r="A91" t="s">
        <v>30</v>
      </c>
      <c r="B91" s="151" t="s">
        <v>292</v>
      </c>
      <c r="C91" s="199" t="s">
        <v>295</v>
      </c>
      <c r="D91" s="17">
        <v>45681</v>
      </c>
      <c r="E91" s="214" t="s">
        <v>94</v>
      </c>
      <c r="F91" s="215" t="s">
        <v>131</v>
      </c>
      <c r="G91" s="2" t="s">
        <v>16</v>
      </c>
      <c r="H91" s="83" t="s">
        <v>80</v>
      </c>
      <c r="I91" s="163" t="s">
        <v>233</v>
      </c>
      <c r="J91" s="23">
        <v>1</v>
      </c>
      <c r="K91" s="27">
        <v>909000</v>
      </c>
      <c r="L91" s="26">
        <f t="shared" si="17"/>
        <v>909000</v>
      </c>
      <c r="M91" s="27">
        <f t="shared" si="18"/>
        <v>90900</v>
      </c>
      <c r="N91" s="27">
        <f t="shared" si="19"/>
        <v>999900</v>
      </c>
      <c r="O91" s="72">
        <f>310500+305280</f>
        <v>615780</v>
      </c>
      <c r="P91" s="223" t="s">
        <v>1281</v>
      </c>
      <c r="Q91" s="181">
        <f t="shared" si="20"/>
        <v>293220</v>
      </c>
      <c r="R91" s="2" t="s">
        <v>890</v>
      </c>
      <c r="S91" s="8" t="s">
        <v>2136</v>
      </c>
      <c r="T91" s="11"/>
    </row>
    <row r="92" spans="1:20">
      <c r="A92" t="s">
        <v>30</v>
      </c>
      <c r="B92" s="151" t="s">
        <v>304</v>
      </c>
      <c r="C92" s="199"/>
      <c r="D92" s="17">
        <v>45681</v>
      </c>
      <c r="E92" s="214" t="s">
        <v>296</v>
      </c>
      <c r="F92" s="215" t="s">
        <v>297</v>
      </c>
      <c r="G92" s="2" t="s">
        <v>16</v>
      </c>
      <c r="H92" s="161" t="s">
        <v>138</v>
      </c>
      <c r="I92" s="163" t="s">
        <v>458</v>
      </c>
      <c r="J92" s="23">
        <v>1</v>
      </c>
      <c r="K92" s="27">
        <v>207000</v>
      </c>
      <c r="L92" s="26">
        <f t="shared" si="17"/>
        <v>207000</v>
      </c>
      <c r="M92" s="27">
        <f t="shared" si="18"/>
        <v>20700</v>
      </c>
      <c r="N92" s="27">
        <f t="shared" si="19"/>
        <v>227700</v>
      </c>
      <c r="O92" s="72">
        <v>190849</v>
      </c>
      <c r="P92" s="171" t="s">
        <v>139</v>
      </c>
      <c r="Q92" s="181">
        <f t="shared" si="20"/>
        <v>16151</v>
      </c>
      <c r="R92" s="2" t="s">
        <v>890</v>
      </c>
      <c r="S92" s="8" t="s">
        <v>2136</v>
      </c>
      <c r="T92" s="11"/>
    </row>
    <row r="93" spans="1:20">
      <c r="A93" t="s">
        <v>30</v>
      </c>
      <c r="B93" s="151" t="s">
        <v>303</v>
      </c>
      <c r="C93" s="199"/>
      <c r="D93" s="17">
        <v>45681</v>
      </c>
      <c r="E93" s="214" t="s">
        <v>299</v>
      </c>
      <c r="F93" s="215" t="s">
        <v>136</v>
      </c>
      <c r="G93" s="2" t="s">
        <v>16</v>
      </c>
      <c r="H93" s="161" t="s">
        <v>81</v>
      </c>
      <c r="I93" s="162" t="s">
        <v>459</v>
      </c>
      <c r="J93" s="23">
        <v>1</v>
      </c>
      <c r="K93" s="27">
        <v>155000</v>
      </c>
      <c r="L93" s="26">
        <f t="shared" si="17"/>
        <v>155000</v>
      </c>
      <c r="M93" s="27">
        <f t="shared" si="18"/>
        <v>15500</v>
      </c>
      <c r="N93" s="27">
        <f t="shared" si="19"/>
        <v>170500</v>
      </c>
      <c r="O93" s="52">
        <f>1440000/12</f>
        <v>120000</v>
      </c>
      <c r="P93" s="171" t="s">
        <v>510</v>
      </c>
      <c r="Q93" s="181">
        <f t="shared" si="20"/>
        <v>35000</v>
      </c>
      <c r="R93" s="2" t="s">
        <v>890</v>
      </c>
      <c r="S93" s="36" t="s">
        <v>2133</v>
      </c>
      <c r="T93" s="75"/>
    </row>
    <row r="94" spans="1:20" ht="24">
      <c r="A94" t="s">
        <v>30</v>
      </c>
      <c r="B94" s="151" t="s">
        <v>341</v>
      </c>
      <c r="C94" s="199" t="s">
        <v>328</v>
      </c>
      <c r="D94" s="17">
        <v>45681</v>
      </c>
      <c r="E94" s="214" t="s">
        <v>198</v>
      </c>
      <c r="F94" s="215" t="s">
        <v>199</v>
      </c>
      <c r="G94" s="2" t="s">
        <v>16</v>
      </c>
      <c r="H94" s="83" t="s">
        <v>80</v>
      </c>
      <c r="I94" s="4" t="s">
        <v>236</v>
      </c>
      <c r="J94" s="23">
        <v>1</v>
      </c>
      <c r="K94" s="27">
        <v>645600</v>
      </c>
      <c r="L94" s="26">
        <f t="shared" si="17"/>
        <v>645600</v>
      </c>
      <c r="M94" s="27">
        <f t="shared" si="18"/>
        <v>64560</v>
      </c>
      <c r="N94" s="27">
        <f t="shared" si="19"/>
        <v>710160</v>
      </c>
      <c r="O94" s="52">
        <f>494903+1200000/9</f>
        <v>628236.33333333337</v>
      </c>
      <c r="P94" s="223" t="s">
        <v>1337</v>
      </c>
      <c r="Q94" s="181">
        <f t="shared" si="20"/>
        <v>17363.666666666628</v>
      </c>
      <c r="R94" s="2" t="s">
        <v>890</v>
      </c>
      <c r="S94" s="8" t="s">
        <v>2136</v>
      </c>
      <c r="T94" s="11"/>
    </row>
    <row r="95" spans="1:20">
      <c r="A95" t="s">
        <v>30</v>
      </c>
      <c r="B95" s="151" t="s">
        <v>332</v>
      </c>
      <c r="C95" s="200" t="s">
        <v>334</v>
      </c>
      <c r="D95" s="17">
        <v>45681</v>
      </c>
      <c r="E95" s="214" t="s">
        <v>68</v>
      </c>
      <c r="F95" s="189" t="s">
        <v>189</v>
      </c>
      <c r="G95" s="161" t="s">
        <v>16</v>
      </c>
      <c r="H95" s="161" t="s">
        <v>138</v>
      </c>
      <c r="I95" s="163" t="s">
        <v>236</v>
      </c>
      <c r="J95" s="24">
        <v>1</v>
      </c>
      <c r="K95" s="26">
        <v>700000</v>
      </c>
      <c r="L95" s="26">
        <f t="shared" si="17"/>
        <v>700000</v>
      </c>
      <c r="M95" s="27">
        <f t="shared" si="18"/>
        <v>70000</v>
      </c>
      <c r="N95" s="27">
        <f t="shared" si="19"/>
        <v>770000</v>
      </c>
      <c r="O95" s="33">
        <v>499500</v>
      </c>
      <c r="P95" s="223" t="s">
        <v>147</v>
      </c>
      <c r="Q95" s="21">
        <f t="shared" si="20"/>
        <v>200500</v>
      </c>
      <c r="R95" s="68" t="s">
        <v>770</v>
      </c>
      <c r="S95" s="5" t="s">
        <v>2133</v>
      </c>
      <c r="T95" s="11"/>
    </row>
    <row r="96" spans="1:20">
      <c r="A96" t="s">
        <v>30</v>
      </c>
      <c r="B96" s="151" t="s">
        <v>363</v>
      </c>
      <c r="C96" s="153" t="s">
        <v>362</v>
      </c>
      <c r="D96" s="17">
        <v>45681</v>
      </c>
      <c r="E96" s="214" t="s">
        <v>2200</v>
      </c>
      <c r="F96" s="215" t="s">
        <v>119</v>
      </c>
      <c r="G96" s="161" t="s">
        <v>16</v>
      </c>
      <c r="H96" s="83" t="s">
        <v>80</v>
      </c>
      <c r="I96" s="4" t="s">
        <v>460</v>
      </c>
      <c r="J96" s="23">
        <v>1</v>
      </c>
      <c r="K96" s="27">
        <v>13057800</v>
      </c>
      <c r="L96" s="26">
        <f t="shared" si="17"/>
        <v>13057800</v>
      </c>
      <c r="M96" s="27">
        <f t="shared" si="18"/>
        <v>1305780</v>
      </c>
      <c r="N96" s="27">
        <f t="shared" si="19"/>
        <v>14363580</v>
      </c>
      <c r="O96" s="33">
        <v>11892500</v>
      </c>
      <c r="P96" s="197" t="s">
        <v>641</v>
      </c>
      <c r="Q96" s="21">
        <f t="shared" si="20"/>
        <v>1165300</v>
      </c>
      <c r="R96" s="2" t="s">
        <v>890</v>
      </c>
      <c r="S96" s="36" t="s">
        <v>2136</v>
      </c>
      <c r="T96" s="11"/>
    </row>
    <row r="97" spans="1:20" ht="24">
      <c r="A97" t="s">
        <v>30</v>
      </c>
      <c r="B97" s="151" t="s">
        <v>380</v>
      </c>
      <c r="C97" s="208" t="s">
        <v>381</v>
      </c>
      <c r="D97" s="17">
        <v>45681</v>
      </c>
      <c r="E97" s="214" t="s">
        <v>2201</v>
      </c>
      <c r="F97" s="189" t="s">
        <v>379</v>
      </c>
      <c r="G97" s="161" t="s">
        <v>16</v>
      </c>
      <c r="H97" s="83" t="s">
        <v>80</v>
      </c>
      <c r="I97" s="163" t="s">
        <v>229</v>
      </c>
      <c r="J97" s="24">
        <v>1</v>
      </c>
      <c r="K97" s="26">
        <v>2871300</v>
      </c>
      <c r="L97" s="26">
        <f t="shared" si="17"/>
        <v>2871300</v>
      </c>
      <c r="M97" s="27">
        <f t="shared" si="18"/>
        <v>287130</v>
      </c>
      <c r="N97" s="27">
        <f t="shared" si="19"/>
        <v>3158430</v>
      </c>
      <c r="O97" s="33">
        <f>1981200+655500</f>
        <v>2636700</v>
      </c>
      <c r="P97" s="197" t="s">
        <v>642</v>
      </c>
      <c r="Q97" s="21">
        <f t="shared" si="20"/>
        <v>234600</v>
      </c>
      <c r="R97" s="68" t="s">
        <v>1101</v>
      </c>
      <c r="S97" s="5" t="s">
        <v>2136</v>
      </c>
      <c r="T97" s="11"/>
    </row>
    <row r="98" spans="1:20" ht="51" customHeight="1">
      <c r="A98" t="s">
        <v>30</v>
      </c>
      <c r="B98" s="151" t="s">
        <v>963</v>
      </c>
      <c r="C98" s="200"/>
      <c r="D98" s="17">
        <v>45681</v>
      </c>
      <c r="E98" s="214" t="s">
        <v>2199</v>
      </c>
      <c r="F98" s="215" t="s">
        <v>152</v>
      </c>
      <c r="G98" s="2" t="s">
        <v>16</v>
      </c>
      <c r="H98" s="161" t="s">
        <v>138</v>
      </c>
      <c r="I98" s="4" t="s">
        <v>444</v>
      </c>
      <c r="J98" s="23">
        <v>1</v>
      </c>
      <c r="K98" s="27">
        <v>4761667</v>
      </c>
      <c r="L98" s="26">
        <f t="shared" si="17"/>
        <v>4761667</v>
      </c>
      <c r="M98" s="27">
        <f t="shared" si="18"/>
        <v>476166.7</v>
      </c>
      <c r="N98" s="27">
        <f t="shared" si="19"/>
        <v>5237833.7</v>
      </c>
      <c r="O98" s="72">
        <v>4445056</v>
      </c>
      <c r="P98" s="170" t="s">
        <v>1480</v>
      </c>
      <c r="Q98" s="21">
        <f>L98-O98</f>
        <v>316611</v>
      </c>
      <c r="R98" s="68" t="s">
        <v>890</v>
      </c>
      <c r="S98" s="8" t="s">
        <v>2133</v>
      </c>
      <c r="T98" s="11"/>
    </row>
    <row r="99" spans="1:20" ht="48">
      <c r="A99" t="s">
        <v>30</v>
      </c>
      <c r="B99" s="151" t="s">
        <v>964</v>
      </c>
      <c r="C99" s="200"/>
      <c r="D99" s="17">
        <v>45681</v>
      </c>
      <c r="E99" s="214" t="s">
        <v>2199</v>
      </c>
      <c r="F99" s="215" t="s">
        <v>241</v>
      </c>
      <c r="G99" s="2" t="s">
        <v>16</v>
      </c>
      <c r="H99" s="161" t="s">
        <v>138</v>
      </c>
      <c r="I99" s="4" t="s">
        <v>444</v>
      </c>
      <c r="J99" s="23">
        <v>1</v>
      </c>
      <c r="K99" s="27">
        <v>11210000</v>
      </c>
      <c r="L99" s="26">
        <f t="shared" si="17"/>
        <v>11210000</v>
      </c>
      <c r="M99" s="27">
        <f t="shared" si="18"/>
        <v>1121000</v>
      </c>
      <c r="N99" s="27">
        <f t="shared" si="19"/>
        <v>12331000</v>
      </c>
      <c r="O99" s="72">
        <v>10500000</v>
      </c>
      <c r="P99" s="170" t="s">
        <v>1479</v>
      </c>
      <c r="Q99" s="21">
        <f>L99-O99</f>
        <v>710000</v>
      </c>
      <c r="R99" s="68" t="s">
        <v>830</v>
      </c>
      <c r="S99" s="8" t="s">
        <v>2133</v>
      </c>
      <c r="T99" s="11"/>
    </row>
    <row r="100" spans="1:20">
      <c r="A100" t="s">
        <v>30</v>
      </c>
      <c r="B100" s="151" t="s">
        <v>450</v>
      </c>
      <c r="C100" s="153" t="s">
        <v>451</v>
      </c>
      <c r="D100" s="17">
        <v>45681</v>
      </c>
      <c r="E100" s="214" t="s">
        <v>452</v>
      </c>
      <c r="F100" s="215" t="s">
        <v>453</v>
      </c>
      <c r="G100" s="2" t="s">
        <v>16</v>
      </c>
      <c r="H100" s="2" t="s">
        <v>80</v>
      </c>
      <c r="I100" s="4" t="s">
        <v>229</v>
      </c>
      <c r="J100" s="23">
        <v>1</v>
      </c>
      <c r="K100" s="27">
        <v>818600</v>
      </c>
      <c r="L100" s="26">
        <f t="shared" si="17"/>
        <v>818600</v>
      </c>
      <c r="M100" s="27">
        <f t="shared" si="18"/>
        <v>81860</v>
      </c>
      <c r="N100" s="27">
        <f t="shared" si="19"/>
        <v>900460</v>
      </c>
      <c r="O100" s="33">
        <v>741900</v>
      </c>
      <c r="P100" s="223" t="s">
        <v>147</v>
      </c>
      <c r="Q100" s="20">
        <f t="shared" ref="Q100:Q106" si="21">L100-O100</f>
        <v>76700</v>
      </c>
      <c r="R100" s="2" t="s">
        <v>890</v>
      </c>
      <c r="S100" s="8" t="s">
        <v>2136</v>
      </c>
      <c r="T100" s="11"/>
    </row>
    <row r="101" spans="1:20" ht="72">
      <c r="A101" t="s">
        <v>30</v>
      </c>
      <c r="B101" s="151" t="s">
        <v>855</v>
      </c>
      <c r="C101" s="199"/>
      <c r="D101" s="17">
        <v>45681</v>
      </c>
      <c r="E101" s="1" t="s">
        <v>2167</v>
      </c>
      <c r="F101" s="2"/>
      <c r="G101" s="2" t="s">
        <v>16</v>
      </c>
      <c r="H101" s="2" t="s">
        <v>81</v>
      </c>
      <c r="I101" s="4" t="s">
        <v>229</v>
      </c>
      <c r="J101" s="23">
        <v>1</v>
      </c>
      <c r="K101" s="27">
        <v>3611000</v>
      </c>
      <c r="L101" s="26">
        <f t="shared" si="17"/>
        <v>3611000</v>
      </c>
      <c r="M101" s="27">
        <f t="shared" si="18"/>
        <v>361100</v>
      </c>
      <c r="N101" s="27">
        <f t="shared" si="19"/>
        <v>3972100</v>
      </c>
      <c r="O101" s="52">
        <f>644700+27300+700000+100000+290000+6000000/6</f>
        <v>2762000</v>
      </c>
      <c r="P101" s="259" t="s">
        <v>2081</v>
      </c>
      <c r="Q101" s="181">
        <f t="shared" si="21"/>
        <v>849000</v>
      </c>
      <c r="R101" s="2" t="s">
        <v>890</v>
      </c>
      <c r="S101" s="8" t="s">
        <v>2134</v>
      </c>
      <c r="T101" s="11"/>
    </row>
    <row r="102" spans="1:20" ht="36">
      <c r="A102" t="s">
        <v>30</v>
      </c>
      <c r="B102" s="151" t="s">
        <v>358</v>
      </c>
      <c r="C102" s="153" t="s">
        <v>373</v>
      </c>
      <c r="D102" s="17">
        <v>45681</v>
      </c>
      <c r="E102" s="1" t="s">
        <v>2174</v>
      </c>
      <c r="F102" s="2" t="s">
        <v>359</v>
      </c>
      <c r="G102" s="1" t="s">
        <v>16</v>
      </c>
      <c r="H102" s="83" t="s">
        <v>80</v>
      </c>
      <c r="I102" s="163" t="s">
        <v>827</v>
      </c>
      <c r="J102" s="23">
        <v>1</v>
      </c>
      <c r="K102" s="27">
        <v>9979200</v>
      </c>
      <c r="L102" s="26">
        <f t="shared" si="17"/>
        <v>9979200</v>
      </c>
      <c r="M102" s="27">
        <f t="shared" si="18"/>
        <v>997920</v>
      </c>
      <c r="N102" s="27">
        <f t="shared" si="19"/>
        <v>10977120</v>
      </c>
      <c r="O102" s="232">
        <v>6652800</v>
      </c>
      <c r="P102" s="233" t="s">
        <v>2083</v>
      </c>
      <c r="Q102" s="181">
        <f t="shared" si="21"/>
        <v>3326400</v>
      </c>
      <c r="R102" s="2" t="s">
        <v>1160</v>
      </c>
      <c r="S102" s="36" t="s">
        <v>2136</v>
      </c>
      <c r="T102" s="11"/>
    </row>
    <row r="103" spans="1:20" ht="36">
      <c r="A103" t="s">
        <v>30</v>
      </c>
      <c r="B103" s="151" t="s">
        <v>492</v>
      </c>
      <c r="C103" s="153" t="s">
        <v>1477</v>
      </c>
      <c r="D103" s="17">
        <v>45681</v>
      </c>
      <c r="E103" s="214" t="s">
        <v>228</v>
      </c>
      <c r="F103" s="215" t="s">
        <v>201</v>
      </c>
      <c r="G103" s="1" t="s">
        <v>16</v>
      </c>
      <c r="H103" s="83" t="s">
        <v>80</v>
      </c>
      <c r="I103" s="4" t="s">
        <v>602</v>
      </c>
      <c r="J103" s="23">
        <v>1</v>
      </c>
      <c r="K103" s="27">
        <v>939000</v>
      </c>
      <c r="L103" s="26">
        <f t="shared" si="17"/>
        <v>939000</v>
      </c>
      <c r="M103" s="27">
        <f t="shared" si="18"/>
        <v>93900</v>
      </c>
      <c r="N103" s="27">
        <f t="shared" si="19"/>
        <v>1032900</v>
      </c>
      <c r="O103" s="33">
        <v>658520</v>
      </c>
      <c r="P103" s="197" t="s">
        <v>2035</v>
      </c>
      <c r="Q103" s="20">
        <f t="shared" si="21"/>
        <v>280480</v>
      </c>
      <c r="R103" s="68" t="s">
        <v>865</v>
      </c>
      <c r="S103" s="8" t="s">
        <v>2136</v>
      </c>
      <c r="T103" s="11"/>
    </row>
    <row r="104" spans="1:20" ht="24">
      <c r="A104" t="s">
        <v>30</v>
      </c>
      <c r="B104" s="151" t="s">
        <v>468</v>
      </c>
      <c r="C104" s="153" t="s">
        <v>469</v>
      </c>
      <c r="D104" s="17">
        <v>45681</v>
      </c>
      <c r="E104" s="214" t="s">
        <v>654</v>
      </c>
      <c r="F104" s="215" t="s">
        <v>464</v>
      </c>
      <c r="G104" s="2" t="s">
        <v>465</v>
      </c>
      <c r="H104" s="83" t="s">
        <v>466</v>
      </c>
      <c r="I104" s="4" t="s">
        <v>467</v>
      </c>
      <c r="J104" s="23">
        <v>1</v>
      </c>
      <c r="K104" s="27">
        <v>1722000</v>
      </c>
      <c r="L104" s="26">
        <f t="shared" si="17"/>
        <v>1722000</v>
      </c>
      <c r="M104" s="27">
        <f t="shared" si="18"/>
        <v>172200</v>
      </c>
      <c r="N104" s="27">
        <f t="shared" si="19"/>
        <v>1894200</v>
      </c>
      <c r="O104" s="33">
        <v>1530720</v>
      </c>
      <c r="P104" s="197" t="s">
        <v>470</v>
      </c>
      <c r="Q104" s="20">
        <f t="shared" si="21"/>
        <v>191280</v>
      </c>
      <c r="R104" s="2" t="s">
        <v>890</v>
      </c>
      <c r="S104" s="8" t="s">
        <v>2136</v>
      </c>
      <c r="T104" s="11"/>
    </row>
    <row r="105" spans="1:20">
      <c r="A105" t="s">
        <v>30</v>
      </c>
      <c r="B105" s="151" t="s">
        <v>674</v>
      </c>
      <c r="C105" s="153" t="s">
        <v>675</v>
      </c>
      <c r="D105" s="17">
        <v>45681</v>
      </c>
      <c r="E105" s="214" t="s">
        <v>71</v>
      </c>
      <c r="F105" s="215" t="s">
        <v>562</v>
      </c>
      <c r="G105" s="1" t="s">
        <v>16</v>
      </c>
      <c r="H105" s="83" t="s">
        <v>80</v>
      </c>
      <c r="I105" s="4" t="s">
        <v>229</v>
      </c>
      <c r="J105" s="23">
        <v>1</v>
      </c>
      <c r="K105" s="27">
        <v>554000</v>
      </c>
      <c r="L105" s="26">
        <f t="shared" si="17"/>
        <v>554000</v>
      </c>
      <c r="M105" s="27">
        <f t="shared" si="18"/>
        <v>55400</v>
      </c>
      <c r="N105" s="27">
        <f t="shared" si="19"/>
        <v>609400</v>
      </c>
      <c r="O105" s="33">
        <v>502800</v>
      </c>
      <c r="P105" s="197" t="s">
        <v>147</v>
      </c>
      <c r="Q105" s="20">
        <f t="shared" si="21"/>
        <v>51200</v>
      </c>
      <c r="R105" s="2" t="s">
        <v>890</v>
      </c>
      <c r="S105" s="8" t="s">
        <v>2136</v>
      </c>
      <c r="T105" s="11"/>
    </row>
    <row r="106" spans="1:20">
      <c r="A106" t="s">
        <v>30</v>
      </c>
      <c r="B106" s="151" t="s">
        <v>440</v>
      </c>
      <c r="C106" s="153"/>
      <c r="D106" s="17">
        <v>45681</v>
      </c>
      <c r="E106" s="1" t="s">
        <v>443</v>
      </c>
      <c r="F106" s="2"/>
      <c r="G106" s="2" t="s">
        <v>15</v>
      </c>
      <c r="H106" s="83" t="s">
        <v>441</v>
      </c>
      <c r="I106" s="4" t="s">
        <v>442</v>
      </c>
      <c r="J106" s="23">
        <v>1</v>
      </c>
      <c r="K106" s="27">
        <v>130000</v>
      </c>
      <c r="L106" s="26">
        <v>1560000</v>
      </c>
      <c r="M106" s="27">
        <f t="shared" si="18"/>
        <v>156000</v>
      </c>
      <c r="N106" s="27">
        <f t="shared" si="19"/>
        <v>1716000</v>
      </c>
      <c r="O106" s="33">
        <f>100000+750000+160000+240000</f>
        <v>1250000</v>
      </c>
      <c r="P106" s="197" t="s">
        <v>498</v>
      </c>
      <c r="Q106" s="20">
        <f t="shared" si="21"/>
        <v>310000</v>
      </c>
      <c r="R106" s="2" t="s">
        <v>144</v>
      </c>
      <c r="S106" s="8" t="s">
        <v>2136</v>
      </c>
      <c r="T106" s="11"/>
    </row>
    <row r="107" spans="1:20">
      <c r="A107" t="s">
        <v>30</v>
      </c>
      <c r="B107" s="151" t="s">
        <v>484</v>
      </c>
      <c r="C107" s="155"/>
      <c r="D107" s="43"/>
      <c r="E107" s="44" t="s">
        <v>158</v>
      </c>
      <c r="F107" s="41"/>
      <c r="G107" s="2" t="s">
        <v>15</v>
      </c>
      <c r="H107" s="83" t="s">
        <v>487</v>
      </c>
      <c r="I107" s="4" t="s">
        <v>488</v>
      </c>
      <c r="J107" s="23">
        <v>1</v>
      </c>
      <c r="K107" s="27">
        <v>850000</v>
      </c>
      <c r="L107" s="37"/>
      <c r="M107" s="38"/>
      <c r="N107" s="38"/>
      <c r="O107" s="33"/>
      <c r="P107" s="197" t="s">
        <v>655</v>
      </c>
      <c r="Q107" s="40"/>
      <c r="R107" s="41"/>
      <c r="S107" s="42"/>
      <c r="T107" s="11"/>
    </row>
    <row r="108" spans="1:20">
      <c r="A108" t="s">
        <v>30</v>
      </c>
      <c r="B108" s="151" t="s">
        <v>512</v>
      </c>
      <c r="C108" s="155"/>
      <c r="D108" s="43"/>
      <c r="E108" s="44" t="s">
        <v>158</v>
      </c>
      <c r="F108" s="41"/>
      <c r="G108" s="2" t="s">
        <v>15</v>
      </c>
      <c r="H108" s="83" t="s">
        <v>515</v>
      </c>
      <c r="I108" s="4" t="s">
        <v>516</v>
      </c>
      <c r="J108" s="23">
        <v>2</v>
      </c>
      <c r="K108" s="27">
        <v>120000</v>
      </c>
      <c r="L108" s="37"/>
      <c r="M108" s="38"/>
      <c r="N108" s="38"/>
      <c r="O108" s="33"/>
      <c r="P108" s="197" t="s">
        <v>657</v>
      </c>
      <c r="Q108" s="40"/>
      <c r="R108" s="41"/>
      <c r="S108" s="42"/>
      <c r="T108" s="11"/>
    </row>
    <row r="109" spans="1:20" ht="24">
      <c r="A109" t="s">
        <v>30</v>
      </c>
      <c r="B109" s="151" t="s">
        <v>513</v>
      </c>
      <c r="C109" s="155"/>
      <c r="D109" s="43"/>
      <c r="E109" s="44" t="s">
        <v>158</v>
      </c>
      <c r="F109" s="41"/>
      <c r="G109" s="2" t="s">
        <v>15</v>
      </c>
      <c r="H109" s="83" t="s">
        <v>517</v>
      </c>
      <c r="I109" s="4" t="s">
        <v>518</v>
      </c>
      <c r="J109" s="23">
        <v>2</v>
      </c>
      <c r="K109" s="27">
        <v>170000</v>
      </c>
      <c r="L109" s="37"/>
      <c r="M109" s="38"/>
      <c r="N109" s="38"/>
      <c r="O109" s="33"/>
      <c r="P109" s="197" t="s">
        <v>658</v>
      </c>
      <c r="Q109" s="40"/>
      <c r="R109" s="41"/>
      <c r="S109" s="42"/>
      <c r="T109" s="11"/>
    </row>
    <row r="110" spans="1:20" ht="24">
      <c r="A110" t="s">
        <v>30</v>
      </c>
      <c r="B110" s="151" t="s">
        <v>514</v>
      </c>
      <c r="C110" s="153"/>
      <c r="D110" s="17">
        <v>45681</v>
      </c>
      <c r="E110" s="1" t="s">
        <v>2144</v>
      </c>
      <c r="F110" s="2"/>
      <c r="G110" s="2" t="s">
        <v>15</v>
      </c>
      <c r="H110" s="83" t="s">
        <v>519</v>
      </c>
      <c r="I110" s="4" t="s">
        <v>520</v>
      </c>
      <c r="J110" s="23">
        <v>1</v>
      </c>
      <c r="K110" s="27">
        <v>2400000</v>
      </c>
      <c r="L110" s="26">
        <f t="shared" ref="L110:L126" si="22">J110*K110</f>
        <v>2400000</v>
      </c>
      <c r="M110" s="27">
        <f t="shared" ref="M110:M126" si="23">L110*10%</f>
        <v>240000</v>
      </c>
      <c r="N110" s="27">
        <f t="shared" ref="N110:N126" si="24">SUM(L110:M110)</f>
        <v>2640000</v>
      </c>
      <c r="O110" s="33">
        <f>1950000+2*7000</f>
        <v>1964000</v>
      </c>
      <c r="P110" s="197" t="s">
        <v>649</v>
      </c>
      <c r="Q110" s="20">
        <f t="shared" ref="Q110:Q126" si="25">L110-O110</f>
        <v>436000</v>
      </c>
      <c r="R110" s="68" t="s">
        <v>1160</v>
      </c>
      <c r="S110" s="8" t="s">
        <v>2136</v>
      </c>
      <c r="T110" s="11"/>
    </row>
    <row r="111" spans="1:20">
      <c r="A111" t="s">
        <v>30</v>
      </c>
      <c r="B111" s="151" t="s">
        <v>555</v>
      </c>
      <c r="C111" s="153"/>
      <c r="D111" s="17">
        <v>45681</v>
      </c>
      <c r="E111" s="1" t="s">
        <v>557</v>
      </c>
      <c r="F111" s="2"/>
      <c r="G111" s="2" t="s">
        <v>15</v>
      </c>
      <c r="H111" s="83" t="s">
        <v>558</v>
      </c>
      <c r="I111" s="4" t="s">
        <v>559</v>
      </c>
      <c r="J111" s="23">
        <v>2</v>
      </c>
      <c r="K111" s="27">
        <v>150000</v>
      </c>
      <c r="L111" s="26">
        <f t="shared" si="22"/>
        <v>300000</v>
      </c>
      <c r="M111" s="27">
        <f t="shared" si="23"/>
        <v>30000</v>
      </c>
      <c r="N111" s="27">
        <f t="shared" si="24"/>
        <v>330000</v>
      </c>
      <c r="O111" s="33">
        <v>200000</v>
      </c>
      <c r="P111" s="197" t="s">
        <v>659</v>
      </c>
      <c r="Q111" s="20">
        <f t="shared" si="25"/>
        <v>100000</v>
      </c>
      <c r="R111" s="2" t="s">
        <v>890</v>
      </c>
      <c r="S111" s="8" t="s">
        <v>2136</v>
      </c>
      <c r="T111" s="11"/>
    </row>
    <row r="112" spans="1:20">
      <c r="A112" t="s">
        <v>30</v>
      </c>
      <c r="B112" s="151" t="s">
        <v>449</v>
      </c>
      <c r="C112" s="199"/>
      <c r="D112" s="17">
        <v>45681</v>
      </c>
      <c r="E112" s="214" t="s">
        <v>2159</v>
      </c>
      <c r="F112" s="215" t="s">
        <v>249</v>
      </c>
      <c r="G112" s="2" t="s">
        <v>16</v>
      </c>
      <c r="H112" s="2" t="s">
        <v>80</v>
      </c>
      <c r="I112" s="4" t="s">
        <v>248</v>
      </c>
      <c r="J112" s="23">
        <v>1</v>
      </c>
      <c r="K112" s="27">
        <v>850000</v>
      </c>
      <c r="L112" s="26">
        <f t="shared" si="22"/>
        <v>850000</v>
      </c>
      <c r="M112" s="27">
        <f t="shared" si="23"/>
        <v>85000</v>
      </c>
      <c r="N112" s="27">
        <f t="shared" si="24"/>
        <v>935000</v>
      </c>
      <c r="O112" s="52">
        <v>700000</v>
      </c>
      <c r="P112" s="171" t="s">
        <v>643</v>
      </c>
      <c r="Q112" s="181">
        <f t="shared" si="25"/>
        <v>150000</v>
      </c>
      <c r="R112" s="2" t="s">
        <v>1102</v>
      </c>
      <c r="S112" s="8" t="s">
        <v>2136</v>
      </c>
      <c r="T112" s="11"/>
    </row>
    <row r="113" spans="1:21" ht="24">
      <c r="A113" t="s">
        <v>30</v>
      </c>
      <c r="B113" s="151" t="s">
        <v>449</v>
      </c>
      <c r="C113" s="199"/>
      <c r="D113" s="17">
        <v>45681</v>
      </c>
      <c r="E113" s="214" t="s">
        <v>2165</v>
      </c>
      <c r="F113" s="215" t="s">
        <v>250</v>
      </c>
      <c r="G113" s="2" t="s">
        <v>16</v>
      </c>
      <c r="H113" s="2" t="s">
        <v>80</v>
      </c>
      <c r="I113" s="4" t="s">
        <v>248</v>
      </c>
      <c r="J113" s="23">
        <v>1</v>
      </c>
      <c r="K113" s="27">
        <v>4600000</v>
      </c>
      <c r="L113" s="26">
        <f t="shared" si="22"/>
        <v>4600000</v>
      </c>
      <c r="M113" s="27">
        <f t="shared" si="23"/>
        <v>460000</v>
      </c>
      <c r="N113" s="27">
        <f t="shared" si="24"/>
        <v>5060000</v>
      </c>
      <c r="O113" s="52">
        <f>4250000+2400000/12</f>
        <v>4450000</v>
      </c>
      <c r="P113" s="171" t="s">
        <v>644</v>
      </c>
      <c r="Q113" s="181">
        <f t="shared" si="25"/>
        <v>150000</v>
      </c>
      <c r="R113" s="2" t="s">
        <v>1102</v>
      </c>
      <c r="S113" s="8" t="s">
        <v>2136</v>
      </c>
      <c r="T113" s="11"/>
    </row>
    <row r="114" spans="1:21" ht="60">
      <c r="B114" s="151" t="s">
        <v>673</v>
      </c>
      <c r="C114" s="153" t="s">
        <v>749</v>
      </c>
      <c r="D114" s="17">
        <v>45681</v>
      </c>
      <c r="E114" s="1" t="s">
        <v>2175</v>
      </c>
      <c r="F114" s="17" t="s">
        <v>615</v>
      </c>
      <c r="G114" s="1" t="s">
        <v>16</v>
      </c>
      <c r="H114" s="2" t="s">
        <v>80</v>
      </c>
      <c r="I114" s="4" t="s">
        <v>617</v>
      </c>
      <c r="J114" s="23">
        <v>1</v>
      </c>
      <c r="K114" s="27">
        <v>2900000</v>
      </c>
      <c r="L114" s="26">
        <f t="shared" si="22"/>
        <v>2900000</v>
      </c>
      <c r="M114" s="27">
        <f t="shared" si="23"/>
        <v>290000</v>
      </c>
      <c r="N114" s="27">
        <f t="shared" si="24"/>
        <v>3190000</v>
      </c>
      <c r="O114" s="33">
        <v>2552400</v>
      </c>
      <c r="P114" s="231" t="s">
        <v>2084</v>
      </c>
      <c r="Q114" s="20">
        <f t="shared" si="25"/>
        <v>347600</v>
      </c>
      <c r="R114" s="2" t="s">
        <v>1160</v>
      </c>
      <c r="S114" s="8" t="s">
        <v>2136</v>
      </c>
      <c r="T114" s="11"/>
    </row>
    <row r="115" spans="1:21" ht="24">
      <c r="A115" t="s">
        <v>30</v>
      </c>
      <c r="B115" s="151" t="s">
        <v>672</v>
      </c>
      <c r="C115" s="153" t="s">
        <v>609</v>
      </c>
      <c r="D115" s="17">
        <v>45681</v>
      </c>
      <c r="E115" s="1" t="s">
        <v>209</v>
      </c>
      <c r="F115" s="2" t="s">
        <v>610</v>
      </c>
      <c r="G115" s="2" t="s">
        <v>611</v>
      </c>
      <c r="H115" s="83" t="s">
        <v>612</v>
      </c>
      <c r="I115" s="4" t="s">
        <v>613</v>
      </c>
      <c r="J115" s="23">
        <v>1</v>
      </c>
      <c r="K115" s="27">
        <v>350000</v>
      </c>
      <c r="L115" s="26">
        <f t="shared" si="22"/>
        <v>350000</v>
      </c>
      <c r="M115" s="27">
        <f t="shared" si="23"/>
        <v>35000</v>
      </c>
      <c r="N115" s="27">
        <f t="shared" si="24"/>
        <v>385000</v>
      </c>
      <c r="O115" s="33">
        <v>282320</v>
      </c>
      <c r="P115" s="197" t="s">
        <v>645</v>
      </c>
      <c r="Q115" s="20">
        <f t="shared" si="25"/>
        <v>67680</v>
      </c>
      <c r="R115" s="68" t="s">
        <v>890</v>
      </c>
      <c r="S115" s="8" t="s">
        <v>2136</v>
      </c>
      <c r="T115" s="11"/>
    </row>
    <row r="116" spans="1:21">
      <c r="A116" t="s">
        <v>30</v>
      </c>
      <c r="B116" s="151" t="s">
        <v>962</v>
      </c>
      <c r="C116" s="199"/>
      <c r="D116" s="17">
        <v>45681</v>
      </c>
      <c r="E116" s="1" t="s">
        <v>2199</v>
      </c>
      <c r="F116" s="2" t="s">
        <v>265</v>
      </c>
      <c r="G116" s="2" t="s">
        <v>16</v>
      </c>
      <c r="H116" s="2" t="s">
        <v>81</v>
      </c>
      <c r="I116" s="4" t="s">
        <v>229</v>
      </c>
      <c r="J116" s="23">
        <v>1</v>
      </c>
      <c r="K116" s="27">
        <v>880000</v>
      </c>
      <c r="L116" s="26">
        <f t="shared" si="22"/>
        <v>880000</v>
      </c>
      <c r="M116" s="27">
        <f t="shared" si="23"/>
        <v>88000</v>
      </c>
      <c r="N116" s="27">
        <f t="shared" si="24"/>
        <v>968000</v>
      </c>
      <c r="O116" s="52">
        <f>1000000/3</f>
        <v>333333.33333333331</v>
      </c>
      <c r="P116" s="171" t="s">
        <v>1373</v>
      </c>
      <c r="Q116" s="181">
        <f t="shared" si="25"/>
        <v>546666.66666666674</v>
      </c>
      <c r="R116" s="68" t="s">
        <v>999</v>
      </c>
      <c r="S116" s="8" t="s">
        <v>2133</v>
      </c>
      <c r="T116" s="11"/>
    </row>
    <row r="117" spans="1:21" ht="24">
      <c r="A117" t="s">
        <v>30</v>
      </c>
      <c r="B117" s="151" t="s">
        <v>960</v>
      </c>
      <c r="C117" s="199"/>
      <c r="D117" s="17">
        <v>45681</v>
      </c>
      <c r="E117" s="1" t="s">
        <v>2199</v>
      </c>
      <c r="F117" s="2" t="s">
        <v>130</v>
      </c>
      <c r="G117" s="161" t="s">
        <v>16</v>
      </c>
      <c r="H117" s="161" t="s">
        <v>138</v>
      </c>
      <c r="I117" s="164" t="s">
        <v>229</v>
      </c>
      <c r="J117" s="34">
        <v>1</v>
      </c>
      <c r="K117" s="48">
        <v>3500000</v>
      </c>
      <c r="L117" s="26">
        <f t="shared" si="22"/>
        <v>3500000</v>
      </c>
      <c r="M117" s="27">
        <f t="shared" si="23"/>
        <v>350000</v>
      </c>
      <c r="N117" s="27">
        <f t="shared" si="24"/>
        <v>3850000</v>
      </c>
      <c r="O117" s="82">
        <f>2421068/2+6000000/3</f>
        <v>3210534</v>
      </c>
      <c r="P117" s="170" t="s">
        <v>1994</v>
      </c>
      <c r="Q117" s="181">
        <f t="shared" si="25"/>
        <v>289466</v>
      </c>
      <c r="R117" s="68" t="s">
        <v>999</v>
      </c>
      <c r="S117" s="8" t="s">
        <v>2133</v>
      </c>
      <c r="T117" s="11"/>
    </row>
    <row r="118" spans="1:21">
      <c r="A118" t="s">
        <v>30</v>
      </c>
      <c r="B118" s="151" t="s">
        <v>113</v>
      </c>
      <c r="C118" s="199"/>
      <c r="D118" s="17">
        <v>45688</v>
      </c>
      <c r="E118" s="214" t="s">
        <v>96</v>
      </c>
      <c r="F118" s="215" t="s">
        <v>270</v>
      </c>
      <c r="G118" s="161" t="s">
        <v>34</v>
      </c>
      <c r="H118" s="161" t="s">
        <v>114</v>
      </c>
      <c r="I118" s="169" t="s">
        <v>436</v>
      </c>
      <c r="J118" s="69">
        <v>1</v>
      </c>
      <c r="K118" s="27">
        <v>600000</v>
      </c>
      <c r="L118" s="26">
        <f t="shared" si="22"/>
        <v>600000</v>
      </c>
      <c r="M118" s="27">
        <f t="shared" si="23"/>
        <v>60000</v>
      </c>
      <c r="N118" s="27">
        <f t="shared" si="24"/>
        <v>660000</v>
      </c>
      <c r="O118" s="52">
        <v>0</v>
      </c>
      <c r="P118" s="171" t="s">
        <v>115</v>
      </c>
      <c r="Q118" s="181">
        <f t="shared" si="25"/>
        <v>600000</v>
      </c>
      <c r="R118" s="68" t="s">
        <v>632</v>
      </c>
      <c r="S118" s="8" t="s">
        <v>2135</v>
      </c>
      <c r="T118" s="11"/>
    </row>
    <row r="119" spans="1:21" ht="24">
      <c r="A119" t="s">
        <v>30</v>
      </c>
      <c r="B119" s="151" t="s">
        <v>113</v>
      </c>
      <c r="C119" s="199"/>
      <c r="D119" s="17">
        <v>45688</v>
      </c>
      <c r="E119" s="214" t="s">
        <v>308</v>
      </c>
      <c r="F119" s="215" t="s">
        <v>271</v>
      </c>
      <c r="G119" s="161" t="s">
        <v>34</v>
      </c>
      <c r="H119" s="161" t="s">
        <v>114</v>
      </c>
      <c r="I119" s="4" t="s">
        <v>753</v>
      </c>
      <c r="J119" s="23">
        <v>1</v>
      </c>
      <c r="K119" s="27">
        <v>4000000</v>
      </c>
      <c r="L119" s="26">
        <f t="shared" si="22"/>
        <v>4000000</v>
      </c>
      <c r="M119" s="27">
        <f t="shared" si="23"/>
        <v>400000</v>
      </c>
      <c r="N119" s="27">
        <f t="shared" si="24"/>
        <v>4400000</v>
      </c>
      <c r="O119" s="52">
        <v>0</v>
      </c>
      <c r="P119" s="170" t="s">
        <v>115</v>
      </c>
      <c r="Q119" s="181">
        <f t="shared" si="25"/>
        <v>4000000</v>
      </c>
      <c r="R119" s="68" t="s">
        <v>2037</v>
      </c>
      <c r="S119" s="8" t="s">
        <v>2135</v>
      </c>
      <c r="T119" s="11"/>
    </row>
    <row r="120" spans="1:21">
      <c r="A120" t="s">
        <v>30</v>
      </c>
      <c r="B120" s="151" t="s">
        <v>856</v>
      </c>
      <c r="C120" s="200"/>
      <c r="D120" s="17">
        <v>45688</v>
      </c>
      <c r="E120" s="1" t="s">
        <v>2202</v>
      </c>
      <c r="F120" s="161"/>
      <c r="G120" s="161" t="s">
        <v>16</v>
      </c>
      <c r="H120" s="161" t="s">
        <v>138</v>
      </c>
      <c r="I120" s="163" t="s">
        <v>229</v>
      </c>
      <c r="J120" s="71">
        <v>1</v>
      </c>
      <c r="K120" s="26">
        <v>2730000</v>
      </c>
      <c r="L120" s="26">
        <f t="shared" si="22"/>
        <v>2730000</v>
      </c>
      <c r="M120" s="27">
        <f t="shared" si="23"/>
        <v>273000</v>
      </c>
      <c r="N120" s="27">
        <f t="shared" si="24"/>
        <v>3003000</v>
      </c>
      <c r="O120" s="52">
        <v>0</v>
      </c>
      <c r="P120" s="171" t="s">
        <v>129</v>
      </c>
      <c r="Q120" s="181">
        <f t="shared" si="25"/>
        <v>2730000</v>
      </c>
      <c r="R120" s="68" t="s">
        <v>812</v>
      </c>
      <c r="S120" s="5" t="s">
        <v>2134</v>
      </c>
      <c r="T120" s="11"/>
    </row>
    <row r="121" spans="1:21" ht="24">
      <c r="B121" s="151" t="s">
        <v>961</v>
      </c>
      <c r="C121" s="153"/>
      <c r="D121" s="17">
        <v>45688</v>
      </c>
      <c r="E121" s="1" t="s">
        <v>2207</v>
      </c>
      <c r="F121" s="2" t="s">
        <v>622</v>
      </c>
      <c r="G121" s="1" t="s">
        <v>16</v>
      </c>
      <c r="H121" s="83" t="s">
        <v>799</v>
      </c>
      <c r="I121" s="4" t="s">
        <v>671</v>
      </c>
      <c r="J121" s="23">
        <v>1</v>
      </c>
      <c r="K121" s="27">
        <v>3475000</v>
      </c>
      <c r="L121" s="26">
        <f t="shared" si="22"/>
        <v>3475000</v>
      </c>
      <c r="M121" s="27">
        <f t="shared" si="23"/>
        <v>347500</v>
      </c>
      <c r="N121" s="27">
        <f t="shared" si="24"/>
        <v>3822500</v>
      </c>
      <c r="O121" s="33">
        <f>8000000/3+1000000/3</f>
        <v>3000000</v>
      </c>
      <c r="P121" s="197" t="s">
        <v>2208</v>
      </c>
      <c r="Q121" s="20">
        <f t="shared" si="25"/>
        <v>475000</v>
      </c>
      <c r="R121" s="2" t="s">
        <v>1160</v>
      </c>
      <c r="S121" s="8" t="s">
        <v>2133</v>
      </c>
      <c r="T121" s="11"/>
    </row>
    <row r="122" spans="1:21" ht="24">
      <c r="B122" s="151" t="s">
        <v>663</v>
      </c>
      <c r="C122" s="153" t="s">
        <v>616</v>
      </c>
      <c r="D122" s="86">
        <v>45688</v>
      </c>
      <c r="E122" s="17" t="s">
        <v>621</v>
      </c>
      <c r="F122" s="1" t="s">
        <v>664</v>
      </c>
      <c r="G122" s="2" t="s">
        <v>611</v>
      </c>
      <c r="H122" s="83" t="s">
        <v>612</v>
      </c>
      <c r="I122" s="4" t="s">
        <v>618</v>
      </c>
      <c r="J122" s="23">
        <v>1</v>
      </c>
      <c r="K122" s="27">
        <v>11355000</v>
      </c>
      <c r="L122" s="26">
        <f t="shared" si="22"/>
        <v>11355000</v>
      </c>
      <c r="M122" s="27">
        <f t="shared" si="23"/>
        <v>1135500</v>
      </c>
      <c r="N122" s="27">
        <f t="shared" si="24"/>
        <v>12490500</v>
      </c>
      <c r="O122" s="33">
        <v>10093600</v>
      </c>
      <c r="P122" s="197" t="s">
        <v>147</v>
      </c>
      <c r="Q122" s="20">
        <f t="shared" si="25"/>
        <v>1261400</v>
      </c>
      <c r="R122" s="68" t="s">
        <v>1156</v>
      </c>
      <c r="S122" s="8" t="s">
        <v>2136</v>
      </c>
      <c r="T122" s="11"/>
    </row>
    <row r="123" spans="1:21" ht="84">
      <c r="A123" t="s">
        <v>30</v>
      </c>
      <c r="B123" s="151" t="s">
        <v>670</v>
      </c>
      <c r="C123" s="153" t="s">
        <v>750</v>
      </c>
      <c r="D123" s="86">
        <v>45688</v>
      </c>
      <c r="E123" s="1" t="s">
        <v>2156</v>
      </c>
      <c r="F123" s="2" t="s">
        <v>588</v>
      </c>
      <c r="G123" s="2" t="s">
        <v>16</v>
      </c>
      <c r="H123" s="2" t="s">
        <v>80</v>
      </c>
      <c r="I123" s="4" t="s">
        <v>629</v>
      </c>
      <c r="J123" s="23">
        <v>1</v>
      </c>
      <c r="K123" s="27">
        <v>32838000</v>
      </c>
      <c r="L123" s="26">
        <f t="shared" si="22"/>
        <v>32838000</v>
      </c>
      <c r="M123" s="27">
        <f t="shared" si="23"/>
        <v>3283800</v>
      </c>
      <c r="N123" s="27">
        <f t="shared" si="24"/>
        <v>36121800</v>
      </c>
      <c r="O123" s="33">
        <f>24519600+6169600</f>
        <v>30689200</v>
      </c>
      <c r="P123" s="173" t="s">
        <v>2074</v>
      </c>
      <c r="Q123" s="20">
        <f t="shared" si="25"/>
        <v>2148800</v>
      </c>
      <c r="R123" s="2" t="s">
        <v>1160</v>
      </c>
      <c r="S123" s="8" t="s">
        <v>2136</v>
      </c>
      <c r="T123" s="11"/>
    </row>
    <row r="124" spans="1:21" ht="24">
      <c r="A124" t="s">
        <v>30</v>
      </c>
      <c r="B124" s="151" t="s">
        <v>669</v>
      </c>
      <c r="C124" s="153" t="s">
        <v>751</v>
      </c>
      <c r="D124" s="86">
        <v>45688</v>
      </c>
      <c r="E124" s="1" t="s">
        <v>620</v>
      </c>
      <c r="F124" s="2" t="s">
        <v>619</v>
      </c>
      <c r="G124" s="2" t="s">
        <v>16</v>
      </c>
      <c r="H124" s="2" t="s">
        <v>80</v>
      </c>
      <c r="I124" s="4" t="s">
        <v>229</v>
      </c>
      <c r="J124" s="23">
        <v>1</v>
      </c>
      <c r="K124" s="27">
        <v>454600</v>
      </c>
      <c r="L124" s="26">
        <f t="shared" si="22"/>
        <v>454600</v>
      </c>
      <c r="M124" s="27">
        <f t="shared" si="23"/>
        <v>45460</v>
      </c>
      <c r="N124" s="27">
        <f t="shared" si="24"/>
        <v>500060</v>
      </c>
      <c r="O124" s="33">
        <f>243000+1100000/6</f>
        <v>426333.33333333337</v>
      </c>
      <c r="P124" s="197" t="s">
        <v>897</v>
      </c>
      <c r="Q124" s="20">
        <f t="shared" si="25"/>
        <v>28266.666666666628</v>
      </c>
      <c r="R124" s="68" t="s">
        <v>865</v>
      </c>
      <c r="S124" s="8" t="s">
        <v>2136</v>
      </c>
      <c r="T124" s="11"/>
    </row>
    <row r="125" spans="1:21">
      <c r="A125" t="s">
        <v>30</v>
      </c>
      <c r="B125" s="151" t="s">
        <v>302</v>
      </c>
      <c r="C125" s="200"/>
      <c r="D125" s="78">
        <v>45688</v>
      </c>
      <c r="E125" s="216" t="s">
        <v>2172</v>
      </c>
      <c r="F125" s="217"/>
      <c r="G125" s="167" t="s">
        <v>16</v>
      </c>
      <c r="H125" s="167" t="s">
        <v>81</v>
      </c>
      <c r="I125" s="168" t="s">
        <v>233</v>
      </c>
      <c r="J125" s="79">
        <v>1</v>
      </c>
      <c r="K125" s="80">
        <v>950000</v>
      </c>
      <c r="L125" s="80">
        <f t="shared" si="22"/>
        <v>950000</v>
      </c>
      <c r="M125" s="81">
        <f t="shared" si="23"/>
        <v>95000</v>
      </c>
      <c r="N125" s="81">
        <f t="shared" si="24"/>
        <v>1045000</v>
      </c>
      <c r="O125" s="52">
        <f>2000000/4</f>
        <v>500000</v>
      </c>
      <c r="P125" s="171" t="s">
        <v>1378</v>
      </c>
      <c r="Q125" s="181">
        <f t="shared" si="25"/>
        <v>450000</v>
      </c>
      <c r="R125" s="245" t="s">
        <v>382</v>
      </c>
      <c r="S125" s="5" t="s">
        <v>2133</v>
      </c>
      <c r="T125" s="11"/>
      <c r="U125" t="s">
        <v>2019</v>
      </c>
    </row>
    <row r="126" spans="1:21" ht="24">
      <c r="A126" t="s">
        <v>30</v>
      </c>
      <c r="B126" s="151" t="s">
        <v>665</v>
      </c>
      <c r="C126" s="153" t="s">
        <v>666</v>
      </c>
      <c r="D126" s="17">
        <v>45688</v>
      </c>
      <c r="E126" s="1" t="s">
        <v>2200</v>
      </c>
      <c r="F126" s="2" t="s">
        <v>690</v>
      </c>
      <c r="G126" s="2" t="s">
        <v>16</v>
      </c>
      <c r="H126" s="2" t="s">
        <v>80</v>
      </c>
      <c r="I126" s="4" t="s">
        <v>667</v>
      </c>
      <c r="J126" s="23">
        <v>1</v>
      </c>
      <c r="K126" s="27">
        <v>1899000</v>
      </c>
      <c r="L126" s="26">
        <f t="shared" si="22"/>
        <v>1899000</v>
      </c>
      <c r="M126" s="27">
        <f t="shared" si="23"/>
        <v>189900</v>
      </c>
      <c r="N126" s="27">
        <f t="shared" si="24"/>
        <v>2088900</v>
      </c>
      <c r="O126" s="33">
        <f>72240+180600*9</f>
        <v>1697640</v>
      </c>
      <c r="P126" s="197" t="s">
        <v>668</v>
      </c>
      <c r="Q126" s="20">
        <f t="shared" si="25"/>
        <v>201360</v>
      </c>
      <c r="R126" s="2" t="s">
        <v>890</v>
      </c>
      <c r="S126" s="8" t="s">
        <v>2136</v>
      </c>
      <c r="T126" s="11"/>
    </row>
    <row r="127" spans="1:21">
      <c r="A127" t="s">
        <v>30</v>
      </c>
      <c r="B127" s="151"/>
      <c r="C127" s="153"/>
      <c r="D127" s="17"/>
      <c r="E127" s="1"/>
      <c r="F127" s="2"/>
      <c r="G127" s="2"/>
      <c r="H127" s="83"/>
      <c r="I127" s="4"/>
      <c r="J127" s="23"/>
      <c r="K127" s="27"/>
      <c r="L127" s="26">
        <f>J127*K127</f>
        <v>0</v>
      </c>
      <c r="M127" s="27">
        <f>L127*10%</f>
        <v>0</v>
      </c>
      <c r="N127" s="27">
        <f>SUM(L127:M127)</f>
        <v>0</v>
      </c>
      <c r="O127" s="132"/>
      <c r="P127" s="173"/>
      <c r="Q127" s="20">
        <f>L127-O127</f>
        <v>0</v>
      </c>
      <c r="R127" s="2"/>
      <c r="S127" s="8"/>
      <c r="T127" s="11"/>
    </row>
    <row r="128" spans="1:21">
      <c r="A128" t="s">
        <v>30</v>
      </c>
      <c r="B128" s="151"/>
      <c r="C128" s="153"/>
      <c r="D128" s="17"/>
      <c r="E128" s="1"/>
      <c r="F128" s="2"/>
      <c r="G128" s="2"/>
      <c r="H128" s="83"/>
      <c r="I128" s="163"/>
      <c r="J128" s="128"/>
      <c r="K128" s="26"/>
      <c r="L128" s="26">
        <f>J128*K128</f>
        <v>0</v>
      </c>
      <c r="M128" s="27">
        <f>L128*10%</f>
        <v>0</v>
      </c>
      <c r="N128" s="27">
        <f>SUM(L128:M128)</f>
        <v>0</v>
      </c>
      <c r="O128" s="132"/>
      <c r="P128" s="173"/>
      <c r="Q128" s="20">
        <f>L128-O128</f>
        <v>0</v>
      </c>
      <c r="R128" s="2"/>
      <c r="S128" s="5"/>
      <c r="T128" s="11"/>
    </row>
    <row r="129" spans="1:20" ht="26.25" customHeight="1" thickBot="1">
      <c r="A129" t="s">
        <v>30</v>
      </c>
      <c r="B129" s="269" t="s">
        <v>32</v>
      </c>
      <c r="C129" s="270"/>
      <c r="D129" s="270"/>
      <c r="E129" s="270"/>
      <c r="F129" s="270"/>
      <c r="G129" s="270"/>
      <c r="H129" s="270"/>
      <c r="I129" s="270"/>
      <c r="J129" s="270"/>
      <c r="K129" s="271"/>
      <c r="L129" s="25">
        <f>SUM(L3:L128)</f>
        <v>380620734</v>
      </c>
      <c r="M129" s="25">
        <f>SUM(M3:M128)</f>
        <v>38062073.700000003</v>
      </c>
      <c r="N129" s="25">
        <f>SUM(N3:N128)</f>
        <v>418682807.69999999</v>
      </c>
      <c r="O129" s="25">
        <f>SUM(O3:O128)</f>
        <v>304784300.62121212</v>
      </c>
      <c r="P129" s="177"/>
      <c r="Q129" s="25">
        <f>SUM(Q3:Q128)</f>
        <v>62686433.378787868</v>
      </c>
      <c r="R129" s="177"/>
      <c r="S129" s="12"/>
      <c r="T129" s="13"/>
    </row>
    <row r="130" spans="1:20">
      <c r="A130" t="s">
        <v>30</v>
      </c>
    </row>
    <row r="131" spans="1:20">
      <c r="A131" t="s">
        <v>30</v>
      </c>
      <c r="D131" s="196">
        <f>COUNTA(D3:D128)</f>
        <v>115</v>
      </c>
      <c r="E131" s="16"/>
      <c r="K131" s="47" t="s">
        <v>56</v>
      </c>
      <c r="L131" s="62">
        <f>SUBTOTAL(109,L3:L128)</f>
        <v>380620734</v>
      </c>
      <c r="M131" s="62">
        <f>SUBTOTAL(109,M3:M128)</f>
        <v>38062073.700000003</v>
      </c>
      <c r="N131" s="62">
        <f>SUBTOTAL(109,N3:N128)</f>
        <v>418682807.69999999</v>
      </c>
    </row>
    <row r="132" spans="1:20">
      <c r="E132" s="156"/>
      <c r="N132" s="187"/>
      <c r="P132" s="178"/>
    </row>
    <row r="133" spans="1:20">
      <c r="H133" s="156"/>
      <c r="I133" s="156"/>
    </row>
    <row r="134" spans="1:20">
      <c r="L134" s="62"/>
      <c r="M134" s="62"/>
      <c r="N134" s="62"/>
    </row>
    <row r="135" spans="1:20">
      <c r="E135" s="178"/>
      <c r="L135" s="62"/>
      <c r="M135" s="62"/>
      <c r="N135" s="62"/>
    </row>
    <row r="136" spans="1:20">
      <c r="L136" s="62"/>
      <c r="M136" s="62"/>
      <c r="N136" s="62"/>
    </row>
    <row r="137" spans="1:20">
      <c r="L137" s="188"/>
      <c r="M137" s="62"/>
      <c r="N137" s="62"/>
    </row>
    <row r="138" spans="1:20">
      <c r="K138" s="190"/>
    </row>
    <row r="139" spans="1:20">
      <c r="K139" s="190"/>
    </row>
    <row r="140" spans="1:20">
      <c r="I140" t="s">
        <v>16</v>
      </c>
      <c r="K140" s="191">
        <f t="shared" ref="K140:K147" si="26">SUMIF($G$3:$G$128,I140,$L$3:$L$128)</f>
        <v>275402734</v>
      </c>
      <c r="N140" s="62"/>
      <c r="P140">
        <f>1045000*2</f>
        <v>2090000</v>
      </c>
    </row>
    <row r="141" spans="1:20">
      <c r="I141" t="s">
        <v>29</v>
      </c>
      <c r="K141" s="191">
        <f t="shared" si="26"/>
        <v>13427000</v>
      </c>
      <c r="N141" s="62"/>
      <c r="P141">
        <f>P140-1752903</f>
        <v>337097</v>
      </c>
    </row>
    <row r="142" spans="1:20">
      <c r="I142" t="s">
        <v>10</v>
      </c>
      <c r="K142" s="191">
        <f t="shared" si="26"/>
        <v>0</v>
      </c>
      <c r="N142" s="62"/>
      <c r="P142" s="47">
        <f>N125-P141</f>
        <v>707903</v>
      </c>
    </row>
    <row r="143" spans="1:20">
      <c r="I143" t="s">
        <v>34</v>
      </c>
      <c r="K143" s="191">
        <f t="shared" si="26"/>
        <v>13154000</v>
      </c>
      <c r="N143" s="62"/>
    </row>
    <row r="144" spans="1:20">
      <c r="I144" t="s">
        <v>15</v>
      </c>
      <c r="K144" s="191">
        <f t="shared" si="26"/>
        <v>76437000</v>
      </c>
      <c r="N144" s="62"/>
    </row>
    <row r="145" spans="1:26" s="47" customFormat="1">
      <c r="A145"/>
      <c r="B145"/>
      <c r="C145"/>
      <c r="D145" s="15"/>
      <c r="E145"/>
      <c r="F145"/>
      <c r="G145"/>
      <c r="H145"/>
      <c r="I145" t="s">
        <v>35</v>
      </c>
      <c r="J145" s="185"/>
      <c r="K145" s="191">
        <f t="shared" si="26"/>
        <v>2200000</v>
      </c>
      <c r="N145" s="62"/>
      <c r="P145"/>
      <c r="R145"/>
      <c r="S145"/>
      <c r="T145"/>
      <c r="U145"/>
      <c r="V145"/>
      <c r="W145"/>
      <c r="X145"/>
      <c r="Y145"/>
      <c r="Z145"/>
    </row>
    <row r="146" spans="1:26" s="47" customFormat="1">
      <c r="A146"/>
      <c r="B146"/>
      <c r="C146"/>
      <c r="D146" s="15"/>
      <c r="E146"/>
      <c r="F146"/>
      <c r="G146"/>
      <c r="H146"/>
      <c r="I146" t="s">
        <v>36</v>
      </c>
      <c r="J146" s="185"/>
      <c r="K146" s="191">
        <f t="shared" si="26"/>
        <v>0</v>
      </c>
      <c r="P146"/>
      <c r="R146"/>
      <c r="S146"/>
      <c r="T146"/>
      <c r="U146"/>
      <c r="V146"/>
      <c r="W146"/>
      <c r="X146"/>
      <c r="Y146"/>
      <c r="Z146"/>
    </row>
    <row r="147" spans="1:26" s="47" customFormat="1">
      <c r="A147"/>
      <c r="B147"/>
      <c r="C147"/>
      <c r="D147" s="15"/>
      <c r="E147"/>
      <c r="F147"/>
      <c r="G147"/>
      <c r="H147"/>
      <c r="I147"/>
      <c r="J147" s="185"/>
      <c r="K147" s="191">
        <f t="shared" si="26"/>
        <v>0</v>
      </c>
      <c r="P147"/>
      <c r="R147"/>
      <c r="S147"/>
      <c r="T147"/>
      <c r="U147"/>
      <c r="V147"/>
      <c r="W147"/>
      <c r="X147"/>
      <c r="Y147"/>
      <c r="Z147"/>
    </row>
    <row r="148" spans="1:26" s="47" customFormat="1" ht="16.5">
      <c r="A148"/>
      <c r="B148"/>
      <c r="C148"/>
      <c r="D148" s="15"/>
      <c r="E148" s="158"/>
      <c r="F148"/>
      <c r="G148"/>
      <c r="H148"/>
      <c r="I148"/>
      <c r="J148" s="185"/>
      <c r="K148" s="191">
        <f>SUBTOTAL(9,K140:K147)</f>
        <v>380620734</v>
      </c>
      <c r="P148"/>
      <c r="R148"/>
      <c r="S148"/>
      <c r="T148"/>
      <c r="U148"/>
      <c r="V148"/>
      <c r="W148"/>
      <c r="X148"/>
      <c r="Y148"/>
      <c r="Z148"/>
    </row>
    <row r="149" spans="1:26" s="47" customFormat="1" ht="16.5">
      <c r="A149"/>
      <c r="B149"/>
      <c r="C149"/>
      <c r="D149" s="15"/>
      <c r="E149" s="158"/>
      <c r="F149"/>
      <c r="G149"/>
      <c r="H149"/>
      <c r="I149"/>
      <c r="J149" s="185"/>
      <c r="K149" s="190"/>
      <c r="P149"/>
      <c r="R149"/>
      <c r="S149"/>
      <c r="T149"/>
      <c r="U149"/>
      <c r="V149"/>
      <c r="W149"/>
      <c r="X149"/>
      <c r="Y149"/>
      <c r="Z149"/>
    </row>
    <row r="150" spans="1:26" s="47" customFormat="1" ht="16.5">
      <c r="A150"/>
      <c r="B150"/>
      <c r="C150"/>
      <c r="D150" s="15"/>
      <c r="E150" s="158"/>
      <c r="F150"/>
      <c r="G150"/>
      <c r="H150"/>
      <c r="I150"/>
      <c r="J150" s="185"/>
      <c r="P150"/>
      <c r="R150"/>
      <c r="S150"/>
      <c r="T150"/>
      <c r="U150"/>
      <c r="V150"/>
      <c r="W150"/>
      <c r="X150"/>
      <c r="Y150"/>
      <c r="Z150"/>
    </row>
    <row r="151" spans="1:26" s="47" customFormat="1" ht="16.5">
      <c r="A151"/>
      <c r="B151"/>
      <c r="C151"/>
      <c r="D151" s="15"/>
      <c r="E151" s="158"/>
      <c r="F151"/>
      <c r="G151"/>
      <c r="H151"/>
      <c r="I151"/>
      <c r="J151" s="185"/>
      <c r="P151"/>
      <c r="R151"/>
      <c r="S151"/>
      <c r="T151"/>
      <c r="U151"/>
      <c r="V151"/>
      <c r="W151"/>
      <c r="X151"/>
      <c r="Y151"/>
      <c r="Z151"/>
    </row>
    <row r="161" spans="1:26" s="49" customFormat="1">
      <c r="A161"/>
      <c r="B161"/>
      <c r="C161"/>
      <c r="D161" s="15"/>
      <c r="E161"/>
      <c r="F161"/>
      <c r="G161"/>
      <c r="H161"/>
      <c r="I161"/>
      <c r="J161" s="185"/>
      <c r="K161" s="47"/>
      <c r="L161" s="47"/>
      <c r="M161" s="47"/>
      <c r="N161" s="47"/>
      <c r="O161" s="47"/>
      <c r="P161"/>
      <c r="Q161" s="47"/>
      <c r="R161"/>
      <c r="S161"/>
      <c r="T161"/>
      <c r="U161"/>
      <c r="V161"/>
      <c r="W161"/>
      <c r="X161"/>
      <c r="Y161"/>
      <c r="Z161"/>
    </row>
  </sheetData>
  <autoFilter ref="A2:Z130" xr:uid="{BA76A0E7-AF45-4850-B187-748A696C4E7C}"/>
  <mergeCells count="1">
    <mergeCell ref="B129:K129"/>
  </mergeCells>
  <phoneticPr fontId="9" type="noConversion"/>
  <pageMargins left="0.25" right="0.25" top="0.75" bottom="0.75" header="0.3" footer="0.3"/>
  <pageSetup paperSize="9" scale="7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74638-2B35-4E44-B279-DA35F4D407B3}">
  <sheetPr codeName="Sheet3"/>
  <dimension ref="A1:Z163"/>
  <sheetViews>
    <sheetView zoomScaleNormal="100" workbookViewId="0">
      <pane ySplit="2" topLeftCell="A44" activePane="bottomLeft" state="frozen"/>
      <selection activeCell="J36" sqref="J36"/>
      <selection pane="bottomLeft" activeCell="P67" sqref="P67"/>
    </sheetView>
  </sheetViews>
  <sheetFormatPr defaultRowHeight="12"/>
  <cols>
    <col min="1" max="1" width="1.28515625" customWidth="1"/>
    <col min="2" max="2" width="11" customWidth="1"/>
    <col min="3" max="3" width="9.140625" customWidth="1"/>
    <col min="4" max="4" width="11.28515625" style="15" customWidth="1"/>
    <col min="5" max="5" width="18.7109375" customWidth="1"/>
    <col min="6" max="6" width="16.140625" customWidth="1"/>
    <col min="7" max="7" width="8.5703125" customWidth="1"/>
    <col min="8" max="8" width="12.42578125" customWidth="1"/>
    <col min="9" max="9" width="43.7109375" customWidth="1"/>
    <col min="10" max="10" width="4.5703125" style="185" customWidth="1"/>
    <col min="11" max="11" width="12.28515625" style="47" customWidth="1"/>
    <col min="12" max="12" width="13.140625" style="47" customWidth="1"/>
    <col min="13" max="13" width="12.28515625" style="47" customWidth="1"/>
    <col min="14" max="15" width="13.140625" style="47" customWidth="1"/>
    <col min="16" max="16" width="34.28515625" customWidth="1"/>
    <col min="17" max="17" width="12.42578125" style="47" customWidth="1"/>
    <col min="18" max="18" width="11.7109375" customWidth="1"/>
    <col min="19" max="19" width="7.85546875" customWidth="1"/>
    <col min="22" max="22" width="10.85546875" bestFit="1" customWidth="1"/>
  </cols>
  <sheetData>
    <row r="1" spans="1:20" ht="27" thickBot="1">
      <c r="B1" s="7" t="str">
        <f>"["&amp;YEAR(D3)&amp;"년 "&amp;MONTH(D3)&amp;"월 매출]"</f>
        <v>[2025년 2월 매출]</v>
      </c>
      <c r="C1" s="7"/>
      <c r="E1" s="156"/>
      <c r="I1" s="18"/>
      <c r="K1" s="62"/>
      <c r="P1" s="156"/>
    </row>
    <row r="2" spans="1:20" ht="24">
      <c r="B2" s="149" t="s">
        <v>26</v>
      </c>
      <c r="C2" s="150" t="s">
        <v>27</v>
      </c>
      <c r="D2" s="143" t="s">
        <v>17</v>
      </c>
      <c r="E2" s="148" t="s">
        <v>18</v>
      </c>
      <c r="F2" s="159" t="s">
        <v>13</v>
      </c>
      <c r="G2" s="159" t="s">
        <v>0</v>
      </c>
      <c r="H2" s="159" t="s">
        <v>24</v>
      </c>
      <c r="I2" s="160" t="s">
        <v>19</v>
      </c>
      <c r="J2" s="186" t="s">
        <v>11</v>
      </c>
      <c r="K2" s="194" t="s">
        <v>20</v>
      </c>
      <c r="L2" s="129" t="s">
        <v>21</v>
      </c>
      <c r="M2" s="195" t="s">
        <v>23</v>
      </c>
      <c r="N2" s="195" t="s">
        <v>25</v>
      </c>
      <c r="O2" s="194" t="s">
        <v>77</v>
      </c>
      <c r="P2" s="148" t="s">
        <v>28</v>
      </c>
      <c r="Q2" s="129" t="s">
        <v>22</v>
      </c>
      <c r="R2" s="148" t="s">
        <v>8</v>
      </c>
      <c r="S2" s="148" t="s">
        <v>31</v>
      </c>
      <c r="T2" s="131" t="s">
        <v>12</v>
      </c>
    </row>
    <row r="3" spans="1:20">
      <c r="A3" t="s">
        <v>30</v>
      </c>
      <c r="B3" s="151" t="s">
        <v>113</v>
      </c>
      <c r="C3" s="153"/>
      <c r="D3" s="10">
        <v>45689</v>
      </c>
      <c r="E3" s="1" t="s">
        <v>266</v>
      </c>
      <c r="F3" s="2" t="s">
        <v>269</v>
      </c>
      <c r="G3" s="161" t="s">
        <v>34</v>
      </c>
      <c r="H3" s="161" t="s">
        <v>114</v>
      </c>
      <c r="I3" s="163" t="s">
        <v>572</v>
      </c>
      <c r="J3" s="210">
        <v>1</v>
      </c>
      <c r="K3" s="27">
        <v>550000</v>
      </c>
      <c r="L3" s="26">
        <f t="shared" ref="L3:L24" si="0">J3*K3</f>
        <v>550000</v>
      </c>
      <c r="M3" s="27">
        <f t="shared" ref="M3:M21" si="1">L3*10%</f>
        <v>55000</v>
      </c>
      <c r="N3" s="27">
        <f t="shared" ref="N3:N25" si="2">SUM(L3:M3)</f>
        <v>605000</v>
      </c>
      <c r="O3" s="52">
        <v>0</v>
      </c>
      <c r="P3" s="171" t="s">
        <v>115</v>
      </c>
      <c r="Q3" s="181">
        <f t="shared" ref="Q3:Q19" si="3">L3-O3</f>
        <v>550000</v>
      </c>
      <c r="R3" s="68" t="s">
        <v>623</v>
      </c>
      <c r="S3" s="8" t="s">
        <v>2135</v>
      </c>
      <c r="T3" s="11"/>
    </row>
    <row r="4" spans="1:20">
      <c r="A4" t="s">
        <v>30</v>
      </c>
      <c r="B4" s="151" t="s">
        <v>174</v>
      </c>
      <c r="C4" s="152"/>
      <c r="D4" s="10">
        <v>45689</v>
      </c>
      <c r="E4" s="1" t="s">
        <v>162</v>
      </c>
      <c r="F4" s="1" t="s">
        <v>162</v>
      </c>
      <c r="G4" s="161" t="s">
        <v>16</v>
      </c>
      <c r="H4" s="161" t="s">
        <v>81</v>
      </c>
      <c r="I4" s="163" t="s">
        <v>258</v>
      </c>
      <c r="J4" s="71">
        <v>1</v>
      </c>
      <c r="K4" s="26">
        <v>1200000</v>
      </c>
      <c r="L4" s="26">
        <f t="shared" si="0"/>
        <v>1200000</v>
      </c>
      <c r="M4" s="27">
        <f t="shared" si="1"/>
        <v>120000</v>
      </c>
      <c r="N4" s="27">
        <f t="shared" si="2"/>
        <v>1320000</v>
      </c>
      <c r="O4" s="52">
        <f>4800000/6</f>
        <v>800000</v>
      </c>
      <c r="P4" s="171" t="s">
        <v>1078</v>
      </c>
      <c r="Q4" s="181">
        <f t="shared" si="3"/>
        <v>400000</v>
      </c>
      <c r="R4" s="2" t="s">
        <v>890</v>
      </c>
      <c r="S4" s="5" t="s">
        <v>2133</v>
      </c>
      <c r="T4" s="6"/>
    </row>
    <row r="5" spans="1:20">
      <c r="A5" t="s">
        <v>30</v>
      </c>
      <c r="B5" s="151" t="s">
        <v>215</v>
      </c>
      <c r="C5" s="153"/>
      <c r="D5" s="10">
        <v>45689</v>
      </c>
      <c r="E5" s="1" t="s">
        <v>261</v>
      </c>
      <c r="F5" s="2" t="s">
        <v>132</v>
      </c>
      <c r="G5" s="1" t="s">
        <v>16</v>
      </c>
      <c r="H5" s="161" t="s">
        <v>138</v>
      </c>
      <c r="I5" s="164" t="s">
        <v>573</v>
      </c>
      <c r="J5" s="210">
        <v>1</v>
      </c>
      <c r="K5" s="27">
        <v>1600000</v>
      </c>
      <c r="L5" s="26">
        <f t="shared" si="0"/>
        <v>1600000</v>
      </c>
      <c r="M5" s="27">
        <f t="shared" si="1"/>
        <v>160000</v>
      </c>
      <c r="N5" s="27">
        <f t="shared" si="2"/>
        <v>1760000</v>
      </c>
      <c r="O5" s="52">
        <f>1123962+259896</f>
        <v>1383858</v>
      </c>
      <c r="P5" s="170" t="s">
        <v>730</v>
      </c>
      <c r="Q5" s="181">
        <f t="shared" si="3"/>
        <v>216142</v>
      </c>
      <c r="R5" s="68" t="s">
        <v>1160</v>
      </c>
      <c r="S5" s="8" t="s">
        <v>2136</v>
      </c>
      <c r="T5" s="11"/>
    </row>
    <row r="6" spans="1:20" ht="12" customHeight="1">
      <c r="A6" t="s">
        <v>30</v>
      </c>
      <c r="B6" s="151" t="s">
        <v>294</v>
      </c>
      <c r="C6" s="153"/>
      <c r="D6" s="10">
        <v>45689</v>
      </c>
      <c r="E6" s="1" t="s">
        <v>2140</v>
      </c>
      <c r="F6" s="161"/>
      <c r="G6" s="1" t="s">
        <v>16</v>
      </c>
      <c r="H6" s="161" t="s">
        <v>81</v>
      </c>
      <c r="I6" s="3" t="s">
        <v>254</v>
      </c>
      <c r="J6" s="74">
        <v>1</v>
      </c>
      <c r="K6" s="27">
        <v>300000</v>
      </c>
      <c r="L6" s="26">
        <f t="shared" si="0"/>
        <v>300000</v>
      </c>
      <c r="M6" s="27">
        <f t="shared" si="1"/>
        <v>30000</v>
      </c>
      <c r="N6" s="27">
        <f t="shared" si="2"/>
        <v>330000</v>
      </c>
      <c r="O6" s="52">
        <v>0</v>
      </c>
      <c r="P6" s="171" t="s">
        <v>129</v>
      </c>
      <c r="Q6" s="181">
        <f t="shared" si="3"/>
        <v>300000</v>
      </c>
      <c r="R6" s="2" t="s">
        <v>148</v>
      </c>
      <c r="S6" s="8" t="s">
        <v>2136</v>
      </c>
      <c r="T6" s="11"/>
    </row>
    <row r="7" spans="1:20" ht="24">
      <c r="A7" t="s">
        <v>30</v>
      </c>
      <c r="B7" s="151" t="s">
        <v>313</v>
      </c>
      <c r="C7" s="153"/>
      <c r="D7" s="10">
        <v>45689</v>
      </c>
      <c r="E7" s="1" t="s">
        <v>312</v>
      </c>
      <c r="F7" s="2"/>
      <c r="G7" s="1" t="s">
        <v>16</v>
      </c>
      <c r="H7" s="1" t="s">
        <v>138</v>
      </c>
      <c r="I7" s="4" t="s">
        <v>574</v>
      </c>
      <c r="J7" s="210">
        <v>1</v>
      </c>
      <c r="K7" s="27">
        <v>507500</v>
      </c>
      <c r="L7" s="26">
        <f t="shared" si="0"/>
        <v>507500</v>
      </c>
      <c r="M7" s="27">
        <f t="shared" si="1"/>
        <v>50750</v>
      </c>
      <c r="N7" s="27">
        <f t="shared" si="2"/>
        <v>558250</v>
      </c>
      <c r="O7" s="52">
        <f>316682+800000/8</f>
        <v>416682</v>
      </c>
      <c r="P7" s="170" t="s">
        <v>731</v>
      </c>
      <c r="Q7" s="181">
        <f t="shared" si="3"/>
        <v>90818</v>
      </c>
      <c r="R7" s="2" t="s">
        <v>890</v>
      </c>
      <c r="S7" s="8" t="s">
        <v>2136</v>
      </c>
      <c r="T7" s="11"/>
    </row>
    <row r="8" spans="1:20" ht="48">
      <c r="A8" t="s">
        <v>30</v>
      </c>
      <c r="B8" s="151" t="s">
        <v>329</v>
      </c>
      <c r="C8" s="152" t="s">
        <v>322</v>
      </c>
      <c r="D8" s="10">
        <v>45689</v>
      </c>
      <c r="E8" s="157" t="s">
        <v>2213</v>
      </c>
      <c r="F8" s="157"/>
      <c r="G8" s="1" t="s">
        <v>16</v>
      </c>
      <c r="H8" s="1" t="s">
        <v>195</v>
      </c>
      <c r="I8" s="3" t="s">
        <v>256</v>
      </c>
      <c r="J8" s="211">
        <v>1</v>
      </c>
      <c r="K8" s="26">
        <v>1554500</v>
      </c>
      <c r="L8" s="26">
        <f t="shared" si="0"/>
        <v>1554500</v>
      </c>
      <c r="M8" s="27">
        <f t="shared" si="1"/>
        <v>155450</v>
      </c>
      <c r="N8" s="27">
        <f t="shared" si="2"/>
        <v>1709950</v>
      </c>
      <c r="O8" s="52">
        <f>171600+6000000/12+436400+200000</f>
        <v>1308000</v>
      </c>
      <c r="P8" s="172" t="s">
        <v>1644</v>
      </c>
      <c r="Q8" s="181">
        <f t="shared" si="3"/>
        <v>246500</v>
      </c>
      <c r="R8" s="2" t="s">
        <v>890</v>
      </c>
      <c r="S8" s="5" t="s">
        <v>2136</v>
      </c>
      <c r="T8" s="6"/>
    </row>
    <row r="9" spans="1:20">
      <c r="A9" t="s">
        <v>30</v>
      </c>
      <c r="B9" s="151" t="s">
        <v>338</v>
      </c>
      <c r="C9" s="152" t="s">
        <v>321</v>
      </c>
      <c r="D9" s="10">
        <v>45689</v>
      </c>
      <c r="E9" s="1" t="s">
        <v>2212</v>
      </c>
      <c r="F9" s="1"/>
      <c r="G9" s="1" t="s">
        <v>16</v>
      </c>
      <c r="H9" s="161" t="s">
        <v>80</v>
      </c>
      <c r="I9" s="164" t="s">
        <v>255</v>
      </c>
      <c r="J9" s="69">
        <v>1</v>
      </c>
      <c r="K9" s="29">
        <v>1423000</v>
      </c>
      <c r="L9" s="26">
        <f t="shared" si="0"/>
        <v>1423000</v>
      </c>
      <c r="M9" s="27">
        <f t="shared" si="1"/>
        <v>142300</v>
      </c>
      <c r="N9" s="27">
        <f t="shared" si="2"/>
        <v>1565300</v>
      </c>
      <c r="O9" s="52">
        <v>1120200</v>
      </c>
      <c r="P9" s="171" t="s">
        <v>151</v>
      </c>
      <c r="Q9" s="181">
        <f t="shared" si="3"/>
        <v>302800</v>
      </c>
      <c r="R9" s="68" t="s">
        <v>155</v>
      </c>
      <c r="S9" s="5" t="s">
        <v>2136</v>
      </c>
      <c r="T9" s="6"/>
    </row>
    <row r="10" spans="1:20" ht="24">
      <c r="A10" t="s">
        <v>30</v>
      </c>
      <c r="B10" s="151" t="s">
        <v>320</v>
      </c>
      <c r="C10" s="153"/>
      <c r="D10" s="10">
        <v>45689</v>
      </c>
      <c r="E10" s="1" t="s">
        <v>5</v>
      </c>
      <c r="F10" s="2" t="s">
        <v>315</v>
      </c>
      <c r="G10" s="1" t="s">
        <v>16</v>
      </c>
      <c r="H10" s="161" t="s">
        <v>80</v>
      </c>
      <c r="I10" s="164" t="s">
        <v>255</v>
      </c>
      <c r="J10" s="210">
        <v>1</v>
      </c>
      <c r="K10" s="27">
        <v>238000</v>
      </c>
      <c r="L10" s="26">
        <f t="shared" si="0"/>
        <v>238000</v>
      </c>
      <c r="M10" s="27">
        <f t="shared" si="1"/>
        <v>23800</v>
      </c>
      <c r="N10" s="27">
        <f t="shared" si="2"/>
        <v>261800</v>
      </c>
      <c r="O10" s="52">
        <v>198018</v>
      </c>
      <c r="P10" s="170" t="s">
        <v>646</v>
      </c>
      <c r="Q10" s="181">
        <f t="shared" si="3"/>
        <v>39982</v>
      </c>
      <c r="R10" s="68" t="s">
        <v>890</v>
      </c>
      <c r="S10" s="5" t="s">
        <v>2136</v>
      </c>
      <c r="T10" s="11"/>
    </row>
    <row r="11" spans="1:20">
      <c r="A11" t="s">
        <v>30</v>
      </c>
      <c r="B11" s="151" t="s">
        <v>474</v>
      </c>
      <c r="C11" s="153"/>
      <c r="D11" s="10">
        <v>45689</v>
      </c>
      <c r="E11" s="1" t="s">
        <v>589</v>
      </c>
      <c r="F11" s="2" t="s">
        <v>471</v>
      </c>
      <c r="G11" s="1" t="s">
        <v>16</v>
      </c>
      <c r="H11" s="161" t="s">
        <v>138</v>
      </c>
      <c r="I11" s="4" t="s">
        <v>575</v>
      </c>
      <c r="J11" s="23">
        <v>1</v>
      </c>
      <c r="K11" s="26">
        <v>1039500</v>
      </c>
      <c r="L11" s="26">
        <f t="shared" si="0"/>
        <v>1039500</v>
      </c>
      <c r="M11" s="27">
        <f t="shared" si="1"/>
        <v>103950</v>
      </c>
      <c r="N11" s="27">
        <f t="shared" si="2"/>
        <v>1143450</v>
      </c>
      <c r="O11" s="33">
        <v>990000</v>
      </c>
      <c r="P11" s="170" t="s">
        <v>646</v>
      </c>
      <c r="Q11" s="20">
        <f t="shared" si="3"/>
        <v>49500</v>
      </c>
      <c r="R11" s="68" t="s">
        <v>865</v>
      </c>
      <c r="S11" s="8" t="s">
        <v>2136</v>
      </c>
      <c r="T11" s="11"/>
    </row>
    <row r="12" spans="1:20">
      <c r="A12" t="s">
        <v>30</v>
      </c>
      <c r="B12" s="151" t="s">
        <v>397</v>
      </c>
      <c r="C12" s="153"/>
      <c r="D12" s="10">
        <v>45689</v>
      </c>
      <c r="E12" s="1" t="s">
        <v>393</v>
      </c>
      <c r="F12" s="2" t="s">
        <v>394</v>
      </c>
      <c r="G12" s="161" t="s">
        <v>16</v>
      </c>
      <c r="H12" s="161" t="s">
        <v>138</v>
      </c>
      <c r="I12" s="4" t="s">
        <v>576</v>
      </c>
      <c r="J12" s="23">
        <v>1</v>
      </c>
      <c r="K12" s="27">
        <v>158400</v>
      </c>
      <c r="L12" s="26">
        <f t="shared" si="0"/>
        <v>158400</v>
      </c>
      <c r="M12" s="27">
        <f t="shared" si="1"/>
        <v>15840</v>
      </c>
      <c r="N12" s="27">
        <f t="shared" si="2"/>
        <v>174240</v>
      </c>
      <c r="O12" s="33">
        <v>145780</v>
      </c>
      <c r="P12" s="170" t="s">
        <v>646</v>
      </c>
      <c r="Q12" s="20">
        <f t="shared" si="3"/>
        <v>12620</v>
      </c>
      <c r="R12" s="68" t="s">
        <v>631</v>
      </c>
      <c r="S12" s="8" t="s">
        <v>2136</v>
      </c>
      <c r="T12" s="11"/>
    </row>
    <row r="13" spans="1:20" ht="24">
      <c r="A13" t="s">
        <v>30</v>
      </c>
      <c r="B13" s="151" t="s">
        <v>172</v>
      </c>
      <c r="C13" s="152"/>
      <c r="D13" s="10">
        <v>45689</v>
      </c>
      <c r="E13" s="1" t="s">
        <v>166</v>
      </c>
      <c r="F13" s="161" t="s">
        <v>164</v>
      </c>
      <c r="G13" s="161" t="s">
        <v>16</v>
      </c>
      <c r="H13" s="161" t="s">
        <v>81</v>
      </c>
      <c r="I13" s="163" t="s">
        <v>577</v>
      </c>
      <c r="J13" s="71">
        <v>1</v>
      </c>
      <c r="K13" s="26">
        <f>280000+2*120000</f>
        <v>520000</v>
      </c>
      <c r="L13" s="26">
        <f t="shared" si="0"/>
        <v>520000</v>
      </c>
      <c r="M13" s="27">
        <f t="shared" si="1"/>
        <v>52000</v>
      </c>
      <c r="N13" s="27">
        <f t="shared" si="2"/>
        <v>572000</v>
      </c>
      <c r="O13" s="52">
        <f>213400+155200</f>
        <v>368600</v>
      </c>
      <c r="P13" s="171" t="s">
        <v>791</v>
      </c>
      <c r="Q13" s="181">
        <f t="shared" si="3"/>
        <v>151400</v>
      </c>
      <c r="R13" s="68" t="s">
        <v>890</v>
      </c>
      <c r="S13" s="5" t="s">
        <v>2133</v>
      </c>
      <c r="T13" s="6"/>
    </row>
    <row r="14" spans="1:20">
      <c r="A14" t="s">
        <v>30</v>
      </c>
      <c r="B14" s="151" t="s">
        <v>173</v>
      </c>
      <c r="C14" s="152"/>
      <c r="D14" s="10">
        <v>45689</v>
      </c>
      <c r="E14" s="1" t="s">
        <v>262</v>
      </c>
      <c r="F14" s="161" t="s">
        <v>165</v>
      </c>
      <c r="G14" s="161" t="s">
        <v>16</v>
      </c>
      <c r="H14" s="161" t="s">
        <v>81</v>
      </c>
      <c r="I14" s="163" t="s">
        <v>251</v>
      </c>
      <c r="J14" s="71">
        <v>1</v>
      </c>
      <c r="K14" s="26">
        <v>320000</v>
      </c>
      <c r="L14" s="26">
        <f t="shared" si="0"/>
        <v>320000</v>
      </c>
      <c r="M14" s="27">
        <f t="shared" si="1"/>
        <v>32000</v>
      </c>
      <c r="N14" s="27">
        <f t="shared" si="2"/>
        <v>352000</v>
      </c>
      <c r="O14" s="52">
        <f>145500+77600</f>
        <v>223100</v>
      </c>
      <c r="P14" s="171" t="s">
        <v>792</v>
      </c>
      <c r="Q14" s="181">
        <f t="shared" si="3"/>
        <v>96900</v>
      </c>
      <c r="R14" s="68" t="s">
        <v>931</v>
      </c>
      <c r="S14" s="5" t="s">
        <v>2133</v>
      </c>
      <c r="T14" s="6"/>
    </row>
    <row r="15" spans="1:20">
      <c r="A15" t="s">
        <v>30</v>
      </c>
      <c r="B15" s="151" t="s">
        <v>175</v>
      </c>
      <c r="C15" s="152"/>
      <c r="D15" s="10">
        <v>45689</v>
      </c>
      <c r="E15" s="1" t="s">
        <v>163</v>
      </c>
      <c r="F15" s="1" t="s">
        <v>163</v>
      </c>
      <c r="G15" s="161" t="s">
        <v>16</v>
      </c>
      <c r="H15" s="161" t="s">
        <v>81</v>
      </c>
      <c r="I15" s="163" t="s">
        <v>252</v>
      </c>
      <c r="J15" s="71">
        <v>1</v>
      </c>
      <c r="K15" s="28">
        <v>100000</v>
      </c>
      <c r="L15" s="26">
        <f t="shared" si="0"/>
        <v>100000</v>
      </c>
      <c r="M15" s="27">
        <f t="shared" si="1"/>
        <v>10000</v>
      </c>
      <c r="N15" s="27">
        <f t="shared" si="2"/>
        <v>110000</v>
      </c>
      <c r="O15" s="52">
        <v>0</v>
      </c>
      <c r="P15" s="171" t="s">
        <v>129</v>
      </c>
      <c r="Q15" s="181">
        <f t="shared" si="3"/>
        <v>100000</v>
      </c>
      <c r="R15" s="68" t="s">
        <v>1007</v>
      </c>
      <c r="S15" s="5" t="s">
        <v>2133</v>
      </c>
      <c r="T15" s="6"/>
    </row>
    <row r="16" spans="1:20" ht="24">
      <c r="A16" t="s">
        <v>30</v>
      </c>
      <c r="B16" s="151" t="s">
        <v>146</v>
      </c>
      <c r="C16" s="153"/>
      <c r="D16" s="10">
        <v>45689</v>
      </c>
      <c r="E16" s="1" t="s">
        <v>141</v>
      </c>
      <c r="F16" s="161" t="s">
        <v>814</v>
      </c>
      <c r="G16" s="1" t="s">
        <v>16</v>
      </c>
      <c r="H16" s="161" t="s">
        <v>138</v>
      </c>
      <c r="I16" s="162" t="s">
        <v>167</v>
      </c>
      <c r="J16" s="74">
        <v>1</v>
      </c>
      <c r="K16" s="27">
        <v>635000</v>
      </c>
      <c r="L16" s="26">
        <f t="shared" si="0"/>
        <v>635000</v>
      </c>
      <c r="M16" s="27">
        <f t="shared" si="1"/>
        <v>63500</v>
      </c>
      <c r="N16" s="27">
        <f t="shared" si="2"/>
        <v>698500</v>
      </c>
      <c r="O16" s="52">
        <v>564192</v>
      </c>
      <c r="P16" s="170" t="s">
        <v>646</v>
      </c>
      <c r="Q16" s="181">
        <f t="shared" si="3"/>
        <v>70808</v>
      </c>
      <c r="R16" s="68" t="s">
        <v>911</v>
      </c>
      <c r="S16" s="8" t="s">
        <v>2136</v>
      </c>
      <c r="T16" s="11"/>
    </row>
    <row r="17" spans="1:21">
      <c r="A17" t="s">
        <v>30</v>
      </c>
      <c r="B17" s="151" t="s">
        <v>113</v>
      </c>
      <c r="C17" s="153"/>
      <c r="D17" s="17">
        <v>45693</v>
      </c>
      <c r="E17" s="1" t="s">
        <v>371</v>
      </c>
      <c r="F17" s="2" t="s">
        <v>372</v>
      </c>
      <c r="G17" s="161" t="s">
        <v>34</v>
      </c>
      <c r="H17" s="161" t="s">
        <v>114</v>
      </c>
      <c r="I17" s="3" t="s">
        <v>587</v>
      </c>
      <c r="J17" s="210">
        <v>1</v>
      </c>
      <c r="K17" s="27">
        <v>367500</v>
      </c>
      <c r="L17" s="26">
        <f t="shared" si="0"/>
        <v>367500</v>
      </c>
      <c r="M17" s="27">
        <f t="shared" si="1"/>
        <v>36750</v>
      </c>
      <c r="N17" s="27">
        <f t="shared" si="2"/>
        <v>404250</v>
      </c>
      <c r="O17" s="52">
        <v>0</v>
      </c>
      <c r="P17" s="171" t="s">
        <v>115</v>
      </c>
      <c r="Q17" s="181">
        <f t="shared" si="3"/>
        <v>367500</v>
      </c>
      <c r="R17" s="2" t="s">
        <v>890</v>
      </c>
      <c r="S17" s="5" t="s">
        <v>2135</v>
      </c>
      <c r="T17" s="11"/>
    </row>
    <row r="18" spans="1:21" ht="96.75" customHeight="1">
      <c r="A18" t="s">
        <v>30</v>
      </c>
      <c r="B18" s="151" t="s">
        <v>364</v>
      </c>
      <c r="C18" s="200"/>
      <c r="D18" s="17">
        <v>45693</v>
      </c>
      <c r="E18" s="1" t="s">
        <v>2194</v>
      </c>
      <c r="F18" s="161"/>
      <c r="G18" s="1" t="s">
        <v>16</v>
      </c>
      <c r="H18" s="161" t="s">
        <v>81</v>
      </c>
      <c r="I18" s="3" t="s">
        <v>234</v>
      </c>
      <c r="J18" s="210">
        <v>1</v>
      </c>
      <c r="K18" s="26">
        <v>7060000</v>
      </c>
      <c r="L18" s="26">
        <f t="shared" si="0"/>
        <v>7060000</v>
      </c>
      <c r="M18" s="67">
        <f t="shared" si="1"/>
        <v>706000</v>
      </c>
      <c r="N18" s="27">
        <f t="shared" si="2"/>
        <v>7766000</v>
      </c>
      <c r="O18" s="52">
        <f>691781+300000+70000+1000000/12+810000+352900+5000000/3</f>
        <v>3974681</v>
      </c>
      <c r="P18" s="171" t="s">
        <v>1380</v>
      </c>
      <c r="Q18" s="181">
        <f t="shared" si="3"/>
        <v>3085319</v>
      </c>
      <c r="R18" s="68" t="s">
        <v>931</v>
      </c>
      <c r="S18" s="5" t="s">
        <v>2133</v>
      </c>
      <c r="T18" s="6"/>
    </row>
    <row r="19" spans="1:21">
      <c r="A19" t="s">
        <v>30</v>
      </c>
      <c r="B19" s="151" t="s">
        <v>369</v>
      </c>
      <c r="C19" s="153"/>
      <c r="D19" s="17">
        <v>45693</v>
      </c>
      <c r="E19" s="1" t="s">
        <v>2198</v>
      </c>
      <c r="F19" s="2"/>
      <c r="G19" s="1" t="s">
        <v>16</v>
      </c>
      <c r="H19" s="161" t="s">
        <v>81</v>
      </c>
      <c r="I19" s="4" t="s">
        <v>579</v>
      </c>
      <c r="J19" s="210">
        <v>1</v>
      </c>
      <c r="K19" s="27">
        <v>1100000</v>
      </c>
      <c r="L19" s="26">
        <f t="shared" si="0"/>
        <v>1100000</v>
      </c>
      <c r="M19" s="27">
        <f t="shared" si="1"/>
        <v>110000</v>
      </c>
      <c r="N19" s="27">
        <f t="shared" si="2"/>
        <v>1210000</v>
      </c>
      <c r="O19" s="33">
        <v>1060000</v>
      </c>
      <c r="P19" s="197" t="s">
        <v>2181</v>
      </c>
      <c r="Q19" s="20">
        <f t="shared" si="3"/>
        <v>40000</v>
      </c>
      <c r="R19" s="68" t="s">
        <v>1160</v>
      </c>
      <c r="S19" s="36" t="s">
        <v>2133</v>
      </c>
      <c r="T19" s="11"/>
    </row>
    <row r="20" spans="1:21">
      <c r="A20" t="s">
        <v>30</v>
      </c>
      <c r="B20" s="151" t="s">
        <v>113</v>
      </c>
      <c r="C20" s="153"/>
      <c r="D20" s="86">
        <v>45693</v>
      </c>
      <c r="E20" s="1" t="s">
        <v>197</v>
      </c>
      <c r="F20" s="2" t="s">
        <v>404</v>
      </c>
      <c r="G20" s="2" t="s">
        <v>352</v>
      </c>
      <c r="H20" s="83" t="s">
        <v>184</v>
      </c>
      <c r="I20" s="4" t="s">
        <v>401</v>
      </c>
      <c r="J20" s="23">
        <v>1</v>
      </c>
      <c r="K20" s="27">
        <v>12500000</v>
      </c>
      <c r="L20" s="26">
        <f t="shared" si="0"/>
        <v>12500000</v>
      </c>
      <c r="M20" s="27">
        <f t="shared" si="1"/>
        <v>1250000</v>
      </c>
      <c r="N20" s="27">
        <f t="shared" si="2"/>
        <v>13750000</v>
      </c>
      <c r="O20" s="33">
        <v>0</v>
      </c>
      <c r="P20" s="197" t="s">
        <v>504</v>
      </c>
      <c r="Q20" s="20">
        <v>0</v>
      </c>
      <c r="R20" s="2" t="s">
        <v>890</v>
      </c>
      <c r="S20" s="8" t="s">
        <v>2133</v>
      </c>
      <c r="T20" s="11"/>
      <c r="U20" t="s">
        <v>499</v>
      </c>
    </row>
    <row r="21" spans="1:21">
      <c r="A21" t="s">
        <v>30</v>
      </c>
      <c r="B21" s="151" t="s">
        <v>688</v>
      </c>
      <c r="C21" s="199" t="s">
        <v>687</v>
      </c>
      <c r="D21" s="17">
        <v>45693</v>
      </c>
      <c r="E21" s="1" t="s">
        <v>2162</v>
      </c>
      <c r="F21" s="2" t="s">
        <v>685</v>
      </c>
      <c r="G21" s="2" t="s">
        <v>29</v>
      </c>
      <c r="H21" s="83" t="s">
        <v>85</v>
      </c>
      <c r="I21" s="4" t="s">
        <v>686</v>
      </c>
      <c r="J21" s="23">
        <v>1</v>
      </c>
      <c r="K21" s="27">
        <v>15652000</v>
      </c>
      <c r="L21" s="26">
        <f t="shared" si="0"/>
        <v>15652000</v>
      </c>
      <c r="M21" s="27">
        <f t="shared" si="1"/>
        <v>1565200</v>
      </c>
      <c r="N21" s="27">
        <f t="shared" si="2"/>
        <v>17217200</v>
      </c>
      <c r="O21" s="33">
        <v>14492160</v>
      </c>
      <c r="P21" s="197" t="s">
        <v>689</v>
      </c>
      <c r="Q21" s="20">
        <f>L21-O21</f>
        <v>1159840</v>
      </c>
      <c r="R21" s="2" t="s">
        <v>1192</v>
      </c>
      <c r="S21" s="8" t="s">
        <v>2136</v>
      </c>
      <c r="T21" s="11"/>
    </row>
    <row r="22" spans="1:21" ht="24">
      <c r="A22" t="s">
        <v>30</v>
      </c>
      <c r="B22" s="151" t="s">
        <v>113</v>
      </c>
      <c r="C22" s="153"/>
      <c r="D22" s="10">
        <v>45695</v>
      </c>
      <c r="E22" s="1" t="s">
        <v>266</v>
      </c>
      <c r="F22" s="2" t="s">
        <v>269</v>
      </c>
      <c r="G22" s="161" t="s">
        <v>34</v>
      </c>
      <c r="H22" s="161" t="s">
        <v>114</v>
      </c>
      <c r="I22" s="163" t="s">
        <v>661</v>
      </c>
      <c r="J22" s="23">
        <v>1</v>
      </c>
      <c r="K22" s="27">
        <v>36164</v>
      </c>
      <c r="L22" s="26">
        <f t="shared" si="0"/>
        <v>36164</v>
      </c>
      <c r="M22" s="27">
        <v>3616</v>
      </c>
      <c r="N22" s="27">
        <f t="shared" si="2"/>
        <v>39780</v>
      </c>
      <c r="O22" s="52">
        <v>0</v>
      </c>
      <c r="P22" s="171" t="s">
        <v>115</v>
      </c>
      <c r="Q22" s="20">
        <f>L22-O22</f>
        <v>36164</v>
      </c>
      <c r="R22" s="2" t="s">
        <v>662</v>
      </c>
      <c r="S22" s="8" t="s">
        <v>2135</v>
      </c>
      <c r="T22" s="11"/>
    </row>
    <row r="23" spans="1:21">
      <c r="A23" t="s">
        <v>30</v>
      </c>
      <c r="B23" s="151" t="s">
        <v>113</v>
      </c>
      <c r="C23" s="200"/>
      <c r="D23" s="10">
        <v>45698</v>
      </c>
      <c r="E23" s="1" t="s">
        <v>2204</v>
      </c>
      <c r="F23" s="161" t="s">
        <v>267</v>
      </c>
      <c r="G23" s="161" t="s">
        <v>34</v>
      </c>
      <c r="H23" s="161" t="s">
        <v>114</v>
      </c>
      <c r="I23" s="163" t="s">
        <v>586</v>
      </c>
      <c r="J23" s="71">
        <v>1</v>
      </c>
      <c r="K23" s="26">
        <v>6394500</v>
      </c>
      <c r="L23" s="26">
        <f t="shared" si="0"/>
        <v>6394500</v>
      </c>
      <c r="M23" s="27">
        <f>L23*10%</f>
        <v>639450</v>
      </c>
      <c r="N23" s="27">
        <f t="shared" si="2"/>
        <v>7033950</v>
      </c>
      <c r="O23" s="52">
        <v>0</v>
      </c>
      <c r="P23" s="171" t="s">
        <v>115</v>
      </c>
      <c r="Q23" s="181">
        <f>L23-O23</f>
        <v>6394500</v>
      </c>
      <c r="R23" s="2" t="s">
        <v>820</v>
      </c>
      <c r="S23" s="5" t="s">
        <v>2135</v>
      </c>
      <c r="T23" s="6"/>
    </row>
    <row r="24" spans="1:21">
      <c r="A24" t="s">
        <v>30</v>
      </c>
      <c r="B24" s="151" t="s">
        <v>113</v>
      </c>
      <c r="C24" s="153"/>
      <c r="D24" s="86">
        <v>45698</v>
      </c>
      <c r="E24" s="1" t="s">
        <v>2198</v>
      </c>
      <c r="F24" s="2" t="s">
        <v>694</v>
      </c>
      <c r="G24" s="2" t="s">
        <v>692</v>
      </c>
      <c r="H24" s="83" t="s">
        <v>693</v>
      </c>
      <c r="I24" s="4" t="s">
        <v>691</v>
      </c>
      <c r="J24" s="23">
        <v>1</v>
      </c>
      <c r="K24" s="27">
        <v>1520000</v>
      </c>
      <c r="L24" s="26">
        <f t="shared" si="0"/>
        <v>1520000</v>
      </c>
      <c r="M24" s="27">
        <f>L24*10%</f>
        <v>152000</v>
      </c>
      <c r="N24" s="27">
        <f t="shared" si="2"/>
        <v>1672000</v>
      </c>
      <c r="O24" s="33">
        <v>1490000</v>
      </c>
      <c r="P24" s="197" t="s">
        <v>2182</v>
      </c>
      <c r="Q24" s="20">
        <f>L24-O24</f>
        <v>30000</v>
      </c>
      <c r="R24" s="68" t="s">
        <v>1160</v>
      </c>
      <c r="S24" s="8" t="s">
        <v>2133</v>
      </c>
      <c r="T24" s="11"/>
    </row>
    <row r="25" spans="1:21">
      <c r="A25" t="s">
        <v>30</v>
      </c>
      <c r="B25" s="151" t="s">
        <v>723</v>
      </c>
      <c r="C25" s="153"/>
      <c r="D25" s="17">
        <v>45699</v>
      </c>
      <c r="E25" s="1" t="s">
        <v>2211</v>
      </c>
      <c r="F25" s="2"/>
      <c r="G25" s="2" t="s">
        <v>352</v>
      </c>
      <c r="H25" s="83" t="s">
        <v>728</v>
      </c>
      <c r="I25" s="4" t="s">
        <v>724</v>
      </c>
      <c r="J25" s="23">
        <v>1</v>
      </c>
      <c r="K25" s="27">
        <v>300000</v>
      </c>
      <c r="L25" s="26">
        <v>1230000</v>
      </c>
      <c r="M25" s="27">
        <f>L25*10%</f>
        <v>123000</v>
      </c>
      <c r="N25" s="27">
        <f t="shared" si="2"/>
        <v>1353000</v>
      </c>
      <c r="O25" s="33">
        <v>1066273</v>
      </c>
      <c r="P25" s="197" t="s">
        <v>729</v>
      </c>
      <c r="Q25" s="20">
        <f>L25-O25</f>
        <v>163727</v>
      </c>
      <c r="R25" s="2" t="s">
        <v>776</v>
      </c>
      <c r="S25" s="8" t="s">
        <v>2134</v>
      </c>
      <c r="T25" s="11"/>
    </row>
    <row r="26" spans="1:21">
      <c r="A26" t="s">
        <v>30</v>
      </c>
      <c r="B26" s="154"/>
      <c r="C26" s="155"/>
      <c r="D26" s="43"/>
      <c r="E26" s="44" t="s">
        <v>2211</v>
      </c>
      <c r="F26" s="41"/>
      <c r="G26" s="2" t="s">
        <v>352</v>
      </c>
      <c r="H26" s="83" t="s">
        <v>728</v>
      </c>
      <c r="I26" s="4" t="s">
        <v>725</v>
      </c>
      <c r="J26" s="23">
        <v>1</v>
      </c>
      <c r="K26" s="27">
        <v>480000</v>
      </c>
      <c r="L26" s="37"/>
      <c r="M26" s="38"/>
      <c r="N26" s="38"/>
      <c r="O26" s="39"/>
      <c r="P26" s="175"/>
      <c r="Q26" s="40"/>
      <c r="R26" s="41"/>
      <c r="S26" s="42"/>
      <c r="T26" s="11"/>
    </row>
    <row r="27" spans="1:21">
      <c r="A27" t="s">
        <v>30</v>
      </c>
      <c r="B27" s="154"/>
      <c r="C27" s="155"/>
      <c r="D27" s="43"/>
      <c r="E27" s="44" t="s">
        <v>2211</v>
      </c>
      <c r="F27" s="41"/>
      <c r="G27" s="2" t="s">
        <v>352</v>
      </c>
      <c r="H27" s="83" t="s">
        <v>728</v>
      </c>
      <c r="I27" s="4" t="s">
        <v>726</v>
      </c>
      <c r="J27" s="23">
        <v>1</v>
      </c>
      <c r="K27" s="27">
        <v>290000</v>
      </c>
      <c r="L27" s="37"/>
      <c r="M27" s="38"/>
      <c r="N27" s="38"/>
      <c r="O27" s="39"/>
      <c r="P27" s="175"/>
      <c r="Q27" s="40"/>
      <c r="R27" s="41"/>
      <c r="S27" s="42"/>
      <c r="T27" s="11"/>
    </row>
    <row r="28" spans="1:21" ht="24">
      <c r="A28" t="s">
        <v>30</v>
      </c>
      <c r="B28" s="154"/>
      <c r="C28" s="155"/>
      <c r="D28" s="43"/>
      <c r="E28" s="44" t="s">
        <v>2211</v>
      </c>
      <c r="F28" s="41"/>
      <c r="G28" s="2" t="s">
        <v>352</v>
      </c>
      <c r="H28" s="83" t="s">
        <v>728</v>
      </c>
      <c r="I28" s="4" t="s">
        <v>727</v>
      </c>
      <c r="J28" s="23">
        <v>1</v>
      </c>
      <c r="K28" s="27">
        <v>160000</v>
      </c>
      <c r="L28" s="37"/>
      <c r="M28" s="38"/>
      <c r="N28" s="38"/>
      <c r="O28" s="39"/>
      <c r="P28" s="175"/>
      <c r="Q28" s="40"/>
      <c r="R28" s="41"/>
      <c r="S28" s="42"/>
      <c r="T28" s="11"/>
    </row>
    <row r="29" spans="1:21" ht="24">
      <c r="A29" t="s">
        <v>30</v>
      </c>
      <c r="B29" s="151" t="s">
        <v>771</v>
      </c>
      <c r="C29" s="153"/>
      <c r="D29" s="17">
        <v>45700</v>
      </c>
      <c r="E29" s="1" t="s">
        <v>772</v>
      </c>
      <c r="F29" s="2"/>
      <c r="G29" s="1" t="s">
        <v>16</v>
      </c>
      <c r="H29" s="83" t="s">
        <v>775</v>
      </c>
      <c r="I29" s="4" t="s">
        <v>774</v>
      </c>
      <c r="J29" s="23">
        <v>1</v>
      </c>
      <c r="K29" s="27">
        <v>500000</v>
      </c>
      <c r="L29" s="26">
        <f t="shared" ref="L29:L50" si="4">J29*K29</f>
        <v>500000</v>
      </c>
      <c r="M29" s="27">
        <f t="shared" ref="M29:M51" si="5">L29*10%</f>
        <v>50000</v>
      </c>
      <c r="N29" s="27">
        <f t="shared" ref="N29:N51" si="6">SUM(L29:M29)</f>
        <v>550000</v>
      </c>
      <c r="O29" s="33">
        <v>0</v>
      </c>
      <c r="P29" s="197" t="s">
        <v>840</v>
      </c>
      <c r="Q29" s="20">
        <f t="shared" ref="Q29:Q51" si="7">L29-O29</f>
        <v>500000</v>
      </c>
      <c r="R29" s="68" t="s">
        <v>1455</v>
      </c>
      <c r="S29" s="8" t="s">
        <v>2132</v>
      </c>
      <c r="T29" s="11"/>
    </row>
    <row r="30" spans="1:21" ht="60">
      <c r="A30" t="s">
        <v>30</v>
      </c>
      <c r="B30" s="151" t="s">
        <v>800</v>
      </c>
      <c r="C30" s="153" t="s">
        <v>757</v>
      </c>
      <c r="D30" s="17">
        <v>45700</v>
      </c>
      <c r="E30" s="1" t="s">
        <v>754</v>
      </c>
      <c r="F30" s="2" t="s">
        <v>755</v>
      </c>
      <c r="G30" s="1" t="s">
        <v>16</v>
      </c>
      <c r="H30" s="2" t="s">
        <v>80</v>
      </c>
      <c r="I30" s="4" t="s">
        <v>756</v>
      </c>
      <c r="J30" s="23">
        <v>1</v>
      </c>
      <c r="K30" s="27">
        <v>1800000</v>
      </c>
      <c r="L30" s="26">
        <f t="shared" si="4"/>
        <v>1800000</v>
      </c>
      <c r="M30" s="27">
        <f t="shared" si="5"/>
        <v>180000</v>
      </c>
      <c r="N30" s="27">
        <f t="shared" si="6"/>
        <v>1980000</v>
      </c>
      <c r="O30" s="33">
        <f>65700*24</f>
        <v>1576800</v>
      </c>
      <c r="P30" s="173" t="s">
        <v>2075</v>
      </c>
      <c r="Q30" s="20">
        <f t="shared" si="7"/>
        <v>223200</v>
      </c>
      <c r="R30" s="2" t="s">
        <v>1454</v>
      </c>
      <c r="S30" s="8" t="s">
        <v>2136</v>
      </c>
      <c r="T30" s="11"/>
    </row>
    <row r="31" spans="1:21" ht="12" customHeight="1">
      <c r="A31" t="s">
        <v>30</v>
      </c>
      <c r="B31" s="151" t="s">
        <v>113</v>
      </c>
      <c r="C31" s="200"/>
      <c r="D31" s="17">
        <v>45700</v>
      </c>
      <c r="E31" s="1" t="s">
        <v>365</v>
      </c>
      <c r="F31" s="2" t="s">
        <v>366</v>
      </c>
      <c r="G31" s="161" t="s">
        <v>34</v>
      </c>
      <c r="H31" s="161" t="s">
        <v>114</v>
      </c>
      <c r="I31" s="3" t="s">
        <v>585</v>
      </c>
      <c r="J31" s="32">
        <v>1</v>
      </c>
      <c r="K31" s="48">
        <v>400000</v>
      </c>
      <c r="L31" s="26">
        <f t="shared" si="4"/>
        <v>400000</v>
      </c>
      <c r="M31" s="27">
        <f t="shared" si="5"/>
        <v>40000</v>
      </c>
      <c r="N31" s="27">
        <f t="shared" si="6"/>
        <v>440000</v>
      </c>
      <c r="O31" s="52">
        <v>0</v>
      </c>
      <c r="P31" s="171" t="s">
        <v>115</v>
      </c>
      <c r="Q31" s="181">
        <f t="shared" si="7"/>
        <v>400000</v>
      </c>
      <c r="R31" s="2" t="s">
        <v>776</v>
      </c>
      <c r="S31" s="5" t="s">
        <v>2135</v>
      </c>
      <c r="T31" s="6"/>
    </row>
    <row r="32" spans="1:21">
      <c r="A32" t="s">
        <v>30</v>
      </c>
      <c r="B32" s="151" t="s">
        <v>697</v>
      </c>
      <c r="C32" s="153"/>
      <c r="D32" s="17">
        <v>45700</v>
      </c>
      <c r="E32" s="1" t="s">
        <v>2173</v>
      </c>
      <c r="F32" s="2" t="s">
        <v>718</v>
      </c>
      <c r="G32" s="2" t="s">
        <v>692</v>
      </c>
      <c r="H32" s="83" t="s">
        <v>184</v>
      </c>
      <c r="I32" s="4" t="s">
        <v>708</v>
      </c>
      <c r="J32" s="23">
        <v>1</v>
      </c>
      <c r="K32" s="27">
        <v>300000</v>
      </c>
      <c r="L32" s="26">
        <f t="shared" si="4"/>
        <v>300000</v>
      </c>
      <c r="M32" s="27">
        <f t="shared" si="5"/>
        <v>30000</v>
      </c>
      <c r="N32" s="27">
        <f t="shared" si="6"/>
        <v>330000</v>
      </c>
      <c r="O32" s="33">
        <v>0</v>
      </c>
      <c r="P32" s="197" t="s">
        <v>719</v>
      </c>
      <c r="Q32" s="20">
        <f t="shared" si="7"/>
        <v>300000</v>
      </c>
      <c r="R32" s="2" t="s">
        <v>1021</v>
      </c>
      <c r="S32" s="8" t="s">
        <v>2136</v>
      </c>
      <c r="T32" s="11"/>
    </row>
    <row r="33" spans="1:20" ht="36">
      <c r="A33" t="s">
        <v>30</v>
      </c>
      <c r="B33" s="151" t="s">
        <v>777</v>
      </c>
      <c r="C33" s="153"/>
      <c r="D33" s="17">
        <v>45701</v>
      </c>
      <c r="E33" s="1" t="s">
        <v>2142</v>
      </c>
      <c r="F33" s="2"/>
      <c r="G33" s="2" t="s">
        <v>564</v>
      </c>
      <c r="H33" s="83" t="s">
        <v>565</v>
      </c>
      <c r="I33" s="4" t="s">
        <v>566</v>
      </c>
      <c r="J33" s="23">
        <v>1</v>
      </c>
      <c r="K33" s="27">
        <v>770000</v>
      </c>
      <c r="L33" s="26">
        <f t="shared" si="4"/>
        <v>770000</v>
      </c>
      <c r="M33" s="27">
        <f t="shared" si="5"/>
        <v>77000</v>
      </c>
      <c r="N33" s="27">
        <f t="shared" si="6"/>
        <v>847000</v>
      </c>
      <c r="O33" s="33">
        <f>90000+6*40000</f>
        <v>330000</v>
      </c>
      <c r="P33" s="197" t="s">
        <v>983</v>
      </c>
      <c r="Q33" s="20">
        <f t="shared" si="7"/>
        <v>440000</v>
      </c>
      <c r="R33" s="2" t="s">
        <v>1001</v>
      </c>
      <c r="S33" s="8" t="s">
        <v>2132</v>
      </c>
      <c r="T33" s="11"/>
    </row>
    <row r="34" spans="1:20" ht="24">
      <c r="A34" t="s">
        <v>30</v>
      </c>
      <c r="B34" s="151" t="s">
        <v>600</v>
      </c>
      <c r="C34" s="153"/>
      <c r="D34" s="17">
        <v>45701</v>
      </c>
      <c r="E34" s="1" t="s">
        <v>2142</v>
      </c>
      <c r="F34" s="2"/>
      <c r="G34" s="2" t="s">
        <v>15</v>
      </c>
      <c r="H34" s="83" t="s">
        <v>213</v>
      </c>
      <c r="I34" s="4" t="s">
        <v>213</v>
      </c>
      <c r="J34" s="23">
        <v>1</v>
      </c>
      <c r="K34" s="27">
        <v>6500000</v>
      </c>
      <c r="L34" s="26">
        <f t="shared" si="4"/>
        <v>6500000</v>
      </c>
      <c r="M34" s="27">
        <f t="shared" si="5"/>
        <v>650000</v>
      </c>
      <c r="N34" s="27">
        <f t="shared" si="6"/>
        <v>7150000</v>
      </c>
      <c r="O34" s="33">
        <f>6212655+45000+55000+45000</f>
        <v>6357655</v>
      </c>
      <c r="P34" s="197" t="s">
        <v>1515</v>
      </c>
      <c r="Q34" s="20">
        <f t="shared" si="7"/>
        <v>142345</v>
      </c>
      <c r="R34" s="2" t="s">
        <v>1021</v>
      </c>
      <c r="S34" s="8" t="s">
        <v>2132</v>
      </c>
      <c r="T34" s="11"/>
    </row>
    <row r="35" spans="1:20" ht="24">
      <c r="A35" t="s">
        <v>30</v>
      </c>
      <c r="B35" s="151" t="s">
        <v>786</v>
      </c>
      <c r="C35" s="153"/>
      <c r="D35" s="17">
        <v>45702</v>
      </c>
      <c r="E35" s="1" t="s">
        <v>789</v>
      </c>
      <c r="F35" s="2" t="s">
        <v>790</v>
      </c>
      <c r="G35" s="2" t="s">
        <v>15</v>
      </c>
      <c r="H35" s="83" t="s">
        <v>787</v>
      </c>
      <c r="I35" s="4" t="s">
        <v>788</v>
      </c>
      <c r="J35" s="23">
        <v>1</v>
      </c>
      <c r="K35" s="27">
        <v>510000</v>
      </c>
      <c r="L35" s="26">
        <f t="shared" si="4"/>
        <v>510000</v>
      </c>
      <c r="M35" s="27">
        <f t="shared" si="5"/>
        <v>51000</v>
      </c>
      <c r="N35" s="27">
        <f t="shared" si="6"/>
        <v>561000</v>
      </c>
      <c r="O35" s="33">
        <v>455000</v>
      </c>
      <c r="P35" s="197" t="s">
        <v>1260</v>
      </c>
      <c r="Q35" s="20">
        <f t="shared" si="7"/>
        <v>55000</v>
      </c>
      <c r="R35" s="68" t="s">
        <v>890</v>
      </c>
      <c r="S35" s="8" t="s">
        <v>2136</v>
      </c>
      <c r="T35" s="11"/>
    </row>
    <row r="36" spans="1:20" ht="12" customHeight="1">
      <c r="A36" t="s">
        <v>30</v>
      </c>
      <c r="B36" s="151" t="s">
        <v>113</v>
      </c>
      <c r="C36" s="200"/>
      <c r="D36" s="17">
        <v>45703</v>
      </c>
      <c r="E36" s="1" t="s">
        <v>367</v>
      </c>
      <c r="F36" s="2" t="s">
        <v>368</v>
      </c>
      <c r="G36" s="161" t="s">
        <v>34</v>
      </c>
      <c r="H36" s="161" t="s">
        <v>114</v>
      </c>
      <c r="I36" s="3" t="s">
        <v>583</v>
      </c>
      <c r="J36" s="32">
        <v>1</v>
      </c>
      <c r="K36" s="48">
        <v>346500</v>
      </c>
      <c r="L36" s="26">
        <f t="shared" si="4"/>
        <v>346500</v>
      </c>
      <c r="M36" s="27">
        <f t="shared" si="5"/>
        <v>34650</v>
      </c>
      <c r="N36" s="27">
        <f t="shared" si="6"/>
        <v>381150</v>
      </c>
      <c r="O36" s="52">
        <v>0</v>
      </c>
      <c r="P36" s="171" t="s">
        <v>115</v>
      </c>
      <c r="Q36" s="181">
        <f t="shared" si="7"/>
        <v>346500</v>
      </c>
      <c r="R36" s="68" t="s">
        <v>834</v>
      </c>
      <c r="S36" s="5" t="s">
        <v>2135</v>
      </c>
      <c r="T36" s="6"/>
    </row>
    <row r="37" spans="1:20" ht="24">
      <c r="A37" t="s">
        <v>30</v>
      </c>
      <c r="B37" s="151" t="s">
        <v>253</v>
      </c>
      <c r="C37" s="199" t="s">
        <v>306</v>
      </c>
      <c r="D37" s="17">
        <v>45703</v>
      </c>
      <c r="E37" s="1" t="s">
        <v>246</v>
      </c>
      <c r="F37" s="2" t="s">
        <v>247</v>
      </c>
      <c r="G37" s="2" t="s">
        <v>16</v>
      </c>
      <c r="H37" s="2" t="s">
        <v>80</v>
      </c>
      <c r="I37" s="4" t="s">
        <v>581</v>
      </c>
      <c r="J37" s="23">
        <v>1</v>
      </c>
      <c r="K37" s="27">
        <v>875000</v>
      </c>
      <c r="L37" s="26">
        <f t="shared" si="4"/>
        <v>875000</v>
      </c>
      <c r="M37" s="27">
        <f t="shared" si="5"/>
        <v>87500</v>
      </c>
      <c r="N37" s="27">
        <f t="shared" si="6"/>
        <v>962500</v>
      </c>
      <c r="O37" s="52">
        <f>511500+3400000/12</f>
        <v>794833.33333333326</v>
      </c>
      <c r="P37" s="238" t="s">
        <v>2063</v>
      </c>
      <c r="Q37" s="181">
        <f t="shared" si="7"/>
        <v>80166.666666666744</v>
      </c>
      <c r="R37" s="2" t="s">
        <v>801</v>
      </c>
      <c r="S37" s="8" t="s">
        <v>2136</v>
      </c>
      <c r="T37" s="11"/>
    </row>
    <row r="38" spans="1:20">
      <c r="A38" t="s">
        <v>30</v>
      </c>
      <c r="B38" s="151" t="s">
        <v>330</v>
      </c>
      <c r="C38" s="199" t="s">
        <v>335</v>
      </c>
      <c r="D38" s="17">
        <v>45703</v>
      </c>
      <c r="E38" s="1" t="s">
        <v>161</v>
      </c>
      <c r="F38" s="2" t="s">
        <v>154</v>
      </c>
      <c r="G38" s="2" t="s">
        <v>16</v>
      </c>
      <c r="H38" s="2" t="s">
        <v>80</v>
      </c>
      <c r="I38" s="4" t="s">
        <v>580</v>
      </c>
      <c r="J38" s="23">
        <v>1</v>
      </c>
      <c r="K38" s="27">
        <v>1080000</v>
      </c>
      <c r="L38" s="26">
        <f t="shared" si="4"/>
        <v>1080000</v>
      </c>
      <c r="M38" s="27">
        <f t="shared" si="5"/>
        <v>108000</v>
      </c>
      <c r="N38" s="27">
        <f t="shared" si="6"/>
        <v>1188000</v>
      </c>
      <c r="O38" s="52">
        <v>976200</v>
      </c>
      <c r="P38" s="171" t="s">
        <v>147</v>
      </c>
      <c r="Q38" s="181">
        <f t="shared" si="7"/>
        <v>103800</v>
      </c>
      <c r="R38" s="68" t="s">
        <v>1022</v>
      </c>
      <c r="S38" s="8" t="s">
        <v>2136</v>
      </c>
      <c r="T38" s="11"/>
    </row>
    <row r="39" spans="1:20" ht="36">
      <c r="A39" t="s">
        <v>30</v>
      </c>
      <c r="B39" s="151" t="s">
        <v>625</v>
      </c>
      <c r="C39" s="153"/>
      <c r="D39" s="224">
        <v>45706</v>
      </c>
      <c r="E39" s="1" t="s">
        <v>627</v>
      </c>
      <c r="F39" s="2" t="s">
        <v>813</v>
      </c>
      <c r="G39" s="2" t="s">
        <v>35</v>
      </c>
      <c r="H39" s="2" t="s">
        <v>160</v>
      </c>
      <c r="I39" s="4" t="s">
        <v>1543</v>
      </c>
      <c r="J39" s="23">
        <v>1</v>
      </c>
      <c r="K39" s="226">
        <v>200000</v>
      </c>
      <c r="L39" s="225">
        <f t="shared" si="4"/>
        <v>200000</v>
      </c>
      <c r="M39" s="226">
        <f t="shared" si="5"/>
        <v>20000</v>
      </c>
      <c r="N39" s="226">
        <f t="shared" si="6"/>
        <v>220000</v>
      </c>
      <c r="O39" s="33">
        <v>0</v>
      </c>
      <c r="P39" s="197" t="s">
        <v>171</v>
      </c>
      <c r="Q39" s="227">
        <f t="shared" si="7"/>
        <v>200000</v>
      </c>
      <c r="R39" s="255" t="s">
        <v>374</v>
      </c>
      <c r="S39" s="8" t="s">
        <v>2134</v>
      </c>
      <c r="T39" s="11"/>
    </row>
    <row r="40" spans="1:20" ht="36">
      <c r="A40" t="s">
        <v>30</v>
      </c>
      <c r="B40" s="151" t="s">
        <v>780</v>
      </c>
      <c r="C40" s="153"/>
      <c r="D40" s="224">
        <v>45706</v>
      </c>
      <c r="E40" s="214" t="s">
        <v>2165</v>
      </c>
      <c r="F40" s="215" t="s">
        <v>250</v>
      </c>
      <c r="G40" s="2" t="s">
        <v>15</v>
      </c>
      <c r="H40" s="83" t="s">
        <v>783</v>
      </c>
      <c r="I40" s="4" t="s">
        <v>784</v>
      </c>
      <c r="J40" s="23">
        <v>26</v>
      </c>
      <c r="K40" s="27">
        <v>33000</v>
      </c>
      <c r="L40" s="26">
        <f t="shared" si="4"/>
        <v>858000</v>
      </c>
      <c r="M40" s="27">
        <f t="shared" si="5"/>
        <v>85800</v>
      </c>
      <c r="N40" s="27">
        <f t="shared" si="6"/>
        <v>943800</v>
      </c>
      <c r="O40" s="33">
        <v>702945</v>
      </c>
      <c r="P40" s="197" t="s">
        <v>785</v>
      </c>
      <c r="Q40" s="20">
        <f t="shared" si="7"/>
        <v>155055</v>
      </c>
      <c r="R40" s="68" t="s">
        <v>1357</v>
      </c>
      <c r="S40" s="8" t="s">
        <v>2136</v>
      </c>
      <c r="T40" s="11"/>
    </row>
    <row r="41" spans="1:20">
      <c r="A41" t="s">
        <v>30</v>
      </c>
      <c r="B41" s="151" t="s">
        <v>113</v>
      </c>
      <c r="C41" s="200"/>
      <c r="D41" s="10">
        <v>45708</v>
      </c>
      <c r="E41" s="1" t="s">
        <v>378</v>
      </c>
      <c r="F41" s="2" t="s">
        <v>268</v>
      </c>
      <c r="G41" s="2" t="s">
        <v>34</v>
      </c>
      <c r="H41" s="161" t="s">
        <v>114</v>
      </c>
      <c r="I41" s="3" t="s">
        <v>584</v>
      </c>
      <c r="J41" s="23">
        <v>1</v>
      </c>
      <c r="K41" s="29">
        <v>800000</v>
      </c>
      <c r="L41" s="26">
        <f t="shared" si="4"/>
        <v>800000</v>
      </c>
      <c r="M41" s="27">
        <f t="shared" si="5"/>
        <v>80000</v>
      </c>
      <c r="N41" s="27">
        <f t="shared" si="6"/>
        <v>880000</v>
      </c>
      <c r="O41" s="52">
        <v>0</v>
      </c>
      <c r="P41" s="171" t="s">
        <v>115</v>
      </c>
      <c r="Q41" s="181">
        <f t="shared" si="7"/>
        <v>800000</v>
      </c>
      <c r="R41" s="68" t="s">
        <v>931</v>
      </c>
      <c r="S41" s="5" t="s">
        <v>2135</v>
      </c>
      <c r="T41" s="6"/>
    </row>
    <row r="42" spans="1:20">
      <c r="A42" t="s">
        <v>30</v>
      </c>
      <c r="B42" s="151" t="s">
        <v>191</v>
      </c>
      <c r="C42" s="199"/>
      <c r="D42" s="10">
        <v>45708</v>
      </c>
      <c r="E42" s="1" t="s">
        <v>176</v>
      </c>
      <c r="F42" s="2" t="s">
        <v>177</v>
      </c>
      <c r="G42" s="2" t="s">
        <v>16</v>
      </c>
      <c r="H42" s="2" t="s">
        <v>81</v>
      </c>
      <c r="I42" s="70" t="s">
        <v>257</v>
      </c>
      <c r="J42" s="23">
        <v>1</v>
      </c>
      <c r="K42" s="27">
        <v>200000</v>
      </c>
      <c r="L42" s="26">
        <f t="shared" si="4"/>
        <v>200000</v>
      </c>
      <c r="M42" s="27">
        <f t="shared" si="5"/>
        <v>20000</v>
      </c>
      <c r="N42" s="27">
        <f t="shared" si="6"/>
        <v>220000</v>
      </c>
      <c r="O42" s="52">
        <v>0</v>
      </c>
      <c r="P42" s="171" t="s">
        <v>115</v>
      </c>
      <c r="Q42" s="181">
        <f t="shared" si="7"/>
        <v>200000</v>
      </c>
      <c r="R42" s="68" t="s">
        <v>1160</v>
      </c>
      <c r="S42" s="8" t="s">
        <v>2133</v>
      </c>
      <c r="T42" s="11"/>
    </row>
    <row r="43" spans="1:20" ht="72">
      <c r="A43" t="s">
        <v>30</v>
      </c>
      <c r="B43" s="151" t="s">
        <v>214</v>
      </c>
      <c r="C43" s="200"/>
      <c r="D43" s="10">
        <v>45708</v>
      </c>
      <c r="E43" s="214" t="s">
        <v>37</v>
      </c>
      <c r="F43" s="215"/>
      <c r="G43" s="161" t="s">
        <v>35</v>
      </c>
      <c r="H43" s="161" t="s">
        <v>89</v>
      </c>
      <c r="I43" s="163" t="s">
        <v>582</v>
      </c>
      <c r="J43" s="23">
        <v>1</v>
      </c>
      <c r="K43" s="26">
        <v>1000000</v>
      </c>
      <c r="L43" s="26">
        <f t="shared" si="4"/>
        <v>1000000</v>
      </c>
      <c r="M43" s="27">
        <f t="shared" si="5"/>
        <v>100000</v>
      </c>
      <c r="N43" s="27">
        <f t="shared" si="6"/>
        <v>1100000</v>
      </c>
      <c r="O43" s="72">
        <f>16728000/36+370000+1000000/12</f>
        <v>918000.00000000012</v>
      </c>
      <c r="P43" s="171" t="s">
        <v>2100</v>
      </c>
      <c r="Q43" s="181">
        <f t="shared" si="7"/>
        <v>81999.999999999884</v>
      </c>
      <c r="R43" s="68" t="s">
        <v>890</v>
      </c>
      <c r="S43" s="5" t="s">
        <v>2136</v>
      </c>
      <c r="T43" s="11"/>
    </row>
    <row r="44" spans="1:20">
      <c r="A44" t="s">
        <v>30</v>
      </c>
      <c r="B44" s="151" t="s">
        <v>302</v>
      </c>
      <c r="C44" s="200"/>
      <c r="D44" s="78">
        <v>45708</v>
      </c>
      <c r="E44" s="216" t="s">
        <v>2172</v>
      </c>
      <c r="F44" s="217"/>
      <c r="G44" s="167" t="s">
        <v>16</v>
      </c>
      <c r="H44" s="167" t="s">
        <v>81</v>
      </c>
      <c r="I44" s="168" t="s">
        <v>254</v>
      </c>
      <c r="J44" s="79">
        <v>1</v>
      </c>
      <c r="K44" s="80">
        <v>950000</v>
      </c>
      <c r="L44" s="80">
        <f t="shared" si="4"/>
        <v>950000</v>
      </c>
      <c r="M44" s="81">
        <f t="shared" si="5"/>
        <v>95000</v>
      </c>
      <c r="N44" s="81">
        <f t="shared" si="6"/>
        <v>1045000</v>
      </c>
      <c r="O44" s="52">
        <f>2000000/4</f>
        <v>500000</v>
      </c>
      <c r="P44" s="171" t="s">
        <v>1379</v>
      </c>
      <c r="Q44" s="181">
        <f t="shared" si="7"/>
        <v>450000</v>
      </c>
      <c r="R44" s="68" t="s">
        <v>1160</v>
      </c>
      <c r="S44" s="5" t="s">
        <v>2133</v>
      </c>
      <c r="T44" s="11"/>
    </row>
    <row r="45" spans="1:20" ht="36">
      <c r="A45" t="s">
        <v>30</v>
      </c>
      <c r="B45" s="151" t="s">
        <v>260</v>
      </c>
      <c r="C45" s="200"/>
      <c r="D45" s="78">
        <v>45708</v>
      </c>
      <c r="E45" s="218" t="s">
        <v>2196</v>
      </c>
      <c r="F45" s="217"/>
      <c r="G45" s="167" t="s">
        <v>16</v>
      </c>
      <c r="H45" s="167" t="s">
        <v>81</v>
      </c>
      <c r="I45" s="168" t="s">
        <v>167</v>
      </c>
      <c r="J45" s="79">
        <v>1</v>
      </c>
      <c r="K45" s="80">
        <v>1505000</v>
      </c>
      <c r="L45" s="80">
        <f t="shared" si="4"/>
        <v>1505000</v>
      </c>
      <c r="M45" s="81">
        <f t="shared" si="5"/>
        <v>150500</v>
      </c>
      <c r="N45" s="81">
        <f t="shared" si="6"/>
        <v>1655500</v>
      </c>
      <c r="O45" s="52">
        <f>200000+2100000/3+80000</f>
        <v>980000</v>
      </c>
      <c r="P45" s="172" t="s">
        <v>2058</v>
      </c>
      <c r="Q45" s="181">
        <f t="shared" si="7"/>
        <v>525000</v>
      </c>
      <c r="R45" s="68" t="s">
        <v>1156</v>
      </c>
      <c r="S45" s="5" t="s">
        <v>2133</v>
      </c>
      <c r="T45" s="11"/>
    </row>
    <row r="46" spans="1:20" ht="24">
      <c r="A46" t="s">
        <v>30</v>
      </c>
      <c r="B46" s="151" t="s">
        <v>680</v>
      </c>
      <c r="C46" s="199" t="s">
        <v>614</v>
      </c>
      <c r="D46" s="17">
        <v>45712</v>
      </c>
      <c r="E46" s="1" t="s">
        <v>682</v>
      </c>
      <c r="F46" s="2" t="s">
        <v>681</v>
      </c>
      <c r="G46" s="2" t="s">
        <v>29</v>
      </c>
      <c r="H46" s="2" t="s">
        <v>85</v>
      </c>
      <c r="I46" s="4" t="s">
        <v>683</v>
      </c>
      <c r="J46" s="23">
        <v>1</v>
      </c>
      <c r="K46" s="27">
        <v>1569000</v>
      </c>
      <c r="L46" s="26">
        <f t="shared" si="4"/>
        <v>1569000</v>
      </c>
      <c r="M46" s="27">
        <f t="shared" si="5"/>
        <v>156900</v>
      </c>
      <c r="N46" s="27">
        <f t="shared" si="6"/>
        <v>1725900</v>
      </c>
      <c r="O46" s="33">
        <v>1530720</v>
      </c>
      <c r="P46" s="197" t="s">
        <v>684</v>
      </c>
      <c r="Q46" s="20">
        <f t="shared" si="7"/>
        <v>38280</v>
      </c>
      <c r="R46" s="2" t="s">
        <v>1455</v>
      </c>
      <c r="S46" s="8" t="s">
        <v>2136</v>
      </c>
      <c r="T46" s="11"/>
    </row>
    <row r="47" spans="1:20">
      <c r="A47" t="s">
        <v>30</v>
      </c>
      <c r="B47" s="151" t="s">
        <v>702</v>
      </c>
      <c r="C47" s="153"/>
      <c r="D47" s="17">
        <v>45713</v>
      </c>
      <c r="E47" s="1" t="s">
        <v>157</v>
      </c>
      <c r="F47" s="2"/>
      <c r="G47" s="2" t="s">
        <v>692</v>
      </c>
      <c r="H47" s="83" t="s">
        <v>716</v>
      </c>
      <c r="I47" s="4" t="s">
        <v>717</v>
      </c>
      <c r="J47" s="23">
        <v>1</v>
      </c>
      <c r="K47" s="27">
        <v>180000</v>
      </c>
      <c r="L47" s="26">
        <f t="shared" si="4"/>
        <v>180000</v>
      </c>
      <c r="M47" s="27">
        <f t="shared" si="5"/>
        <v>18000</v>
      </c>
      <c r="N47" s="27">
        <f t="shared" si="6"/>
        <v>198000</v>
      </c>
      <c r="O47" s="33">
        <v>120000</v>
      </c>
      <c r="P47" s="197" t="s">
        <v>984</v>
      </c>
      <c r="Q47" s="20">
        <f t="shared" si="7"/>
        <v>60000</v>
      </c>
      <c r="R47" s="2" t="s">
        <v>890</v>
      </c>
      <c r="S47" s="8" t="s">
        <v>2136</v>
      </c>
      <c r="T47" s="11"/>
    </row>
    <row r="48" spans="1:20">
      <c r="A48" t="s">
        <v>30</v>
      </c>
      <c r="B48" s="151" t="s">
        <v>1303</v>
      </c>
      <c r="C48" s="153"/>
      <c r="D48" s="17">
        <v>45713</v>
      </c>
      <c r="E48" s="1" t="s">
        <v>839</v>
      </c>
      <c r="F48" s="2"/>
      <c r="G48" s="2" t="s">
        <v>15</v>
      </c>
      <c r="H48" s="83" t="s">
        <v>703</v>
      </c>
      <c r="I48" s="4" t="s">
        <v>836</v>
      </c>
      <c r="J48" s="23">
        <v>1</v>
      </c>
      <c r="K48" s="27">
        <v>220000</v>
      </c>
      <c r="L48" s="26">
        <f t="shared" si="4"/>
        <v>220000</v>
      </c>
      <c r="M48" s="27">
        <f t="shared" si="5"/>
        <v>22000</v>
      </c>
      <c r="N48" s="27">
        <f t="shared" si="6"/>
        <v>242000</v>
      </c>
      <c r="O48" s="33">
        <f>150000+3800</f>
        <v>153800</v>
      </c>
      <c r="P48" s="197" t="s">
        <v>1962</v>
      </c>
      <c r="Q48" s="20">
        <f t="shared" si="7"/>
        <v>66200</v>
      </c>
      <c r="R48" s="68" t="s">
        <v>1160</v>
      </c>
      <c r="S48" s="8" t="s">
        <v>2136</v>
      </c>
      <c r="T48" s="11"/>
    </row>
    <row r="49" spans="1:20">
      <c r="A49" t="s">
        <v>30</v>
      </c>
      <c r="B49" s="151" t="s">
        <v>835</v>
      </c>
      <c r="C49" s="153"/>
      <c r="D49" s="17">
        <v>45713</v>
      </c>
      <c r="E49" s="214" t="s">
        <v>2141</v>
      </c>
      <c r="F49" s="2" t="s">
        <v>1222</v>
      </c>
      <c r="G49" s="2" t="s">
        <v>15</v>
      </c>
      <c r="H49" s="83" t="s">
        <v>837</v>
      </c>
      <c r="I49" s="4" t="s">
        <v>838</v>
      </c>
      <c r="J49" s="23">
        <v>2</v>
      </c>
      <c r="K49" s="27">
        <v>70000</v>
      </c>
      <c r="L49" s="26">
        <f t="shared" si="4"/>
        <v>140000</v>
      </c>
      <c r="M49" s="27">
        <f t="shared" si="5"/>
        <v>14000</v>
      </c>
      <c r="N49" s="27">
        <f t="shared" si="6"/>
        <v>154000</v>
      </c>
      <c r="O49" s="33">
        <f>2*40000</f>
        <v>80000</v>
      </c>
      <c r="P49" s="197" t="s">
        <v>985</v>
      </c>
      <c r="Q49" s="20">
        <f t="shared" si="7"/>
        <v>60000</v>
      </c>
      <c r="R49" s="68" t="s">
        <v>1051</v>
      </c>
      <c r="S49" s="8" t="s">
        <v>2136</v>
      </c>
      <c r="T49" s="11"/>
    </row>
    <row r="50" spans="1:20">
      <c r="A50" t="s">
        <v>30</v>
      </c>
      <c r="B50" s="151" t="s">
        <v>120</v>
      </c>
      <c r="C50" s="200"/>
      <c r="D50" s="17">
        <v>45713</v>
      </c>
      <c r="E50" s="214" t="s">
        <v>7</v>
      </c>
      <c r="F50" s="189" t="s">
        <v>121</v>
      </c>
      <c r="G50" s="161" t="s">
        <v>16</v>
      </c>
      <c r="H50" s="161" t="s">
        <v>81</v>
      </c>
      <c r="I50" s="163" t="s">
        <v>732</v>
      </c>
      <c r="J50" s="24">
        <v>1</v>
      </c>
      <c r="K50" s="26">
        <v>320000</v>
      </c>
      <c r="L50" s="26">
        <f t="shared" si="4"/>
        <v>320000</v>
      </c>
      <c r="M50" s="27">
        <f t="shared" si="5"/>
        <v>32000</v>
      </c>
      <c r="N50" s="27">
        <f t="shared" si="6"/>
        <v>352000</v>
      </c>
      <c r="O50" s="33">
        <f>1800000/12</f>
        <v>150000</v>
      </c>
      <c r="P50" s="171" t="s">
        <v>1075</v>
      </c>
      <c r="Q50" s="181">
        <f t="shared" si="7"/>
        <v>170000</v>
      </c>
      <c r="R50" s="68" t="s">
        <v>1160</v>
      </c>
      <c r="S50" s="5" t="s">
        <v>2136</v>
      </c>
      <c r="T50" s="11"/>
    </row>
    <row r="51" spans="1:20">
      <c r="A51" t="s">
        <v>30</v>
      </c>
      <c r="B51" s="151" t="s">
        <v>331</v>
      </c>
      <c r="C51" s="199"/>
      <c r="D51" s="17">
        <v>45713</v>
      </c>
      <c r="E51" s="214" t="s">
        <v>2211</v>
      </c>
      <c r="F51" s="215"/>
      <c r="G51" s="1" t="s">
        <v>16</v>
      </c>
      <c r="H51" s="2" t="s">
        <v>81</v>
      </c>
      <c r="I51" s="163" t="s">
        <v>733</v>
      </c>
      <c r="J51" s="76">
        <v>1</v>
      </c>
      <c r="K51" s="48">
        <v>1216000</v>
      </c>
      <c r="L51" s="26">
        <v>2446000</v>
      </c>
      <c r="M51" s="27">
        <f t="shared" si="5"/>
        <v>244600</v>
      </c>
      <c r="N51" s="27">
        <f t="shared" si="6"/>
        <v>2690600</v>
      </c>
      <c r="O51" s="52">
        <f>840000+595000</f>
        <v>1435000</v>
      </c>
      <c r="P51" s="171" t="s">
        <v>1092</v>
      </c>
      <c r="Q51" s="181">
        <f t="shared" si="7"/>
        <v>1011000</v>
      </c>
      <c r="R51" s="2" t="s">
        <v>999</v>
      </c>
      <c r="S51" s="8" t="s">
        <v>2134</v>
      </c>
      <c r="T51" s="11"/>
    </row>
    <row r="52" spans="1:20">
      <c r="A52" t="s">
        <v>30</v>
      </c>
      <c r="B52" s="151" t="s">
        <v>291</v>
      </c>
      <c r="C52" s="201"/>
      <c r="D52" s="43"/>
      <c r="E52" s="219" t="s">
        <v>2211</v>
      </c>
      <c r="F52" s="220"/>
      <c r="G52" s="1" t="s">
        <v>16</v>
      </c>
      <c r="H52" s="2" t="s">
        <v>81</v>
      </c>
      <c r="I52" s="163" t="s">
        <v>254</v>
      </c>
      <c r="J52" s="76">
        <v>1</v>
      </c>
      <c r="K52" s="48">
        <v>390000</v>
      </c>
      <c r="L52" s="38"/>
      <c r="M52" s="38"/>
      <c r="N52" s="38"/>
      <c r="O52" s="84"/>
      <c r="P52" s="171"/>
      <c r="Q52" s="184"/>
      <c r="R52" s="46"/>
      <c r="S52" s="42"/>
      <c r="T52" s="133"/>
    </row>
    <row r="53" spans="1:20">
      <c r="A53" t="s">
        <v>30</v>
      </c>
      <c r="B53" s="151" t="s">
        <v>206</v>
      </c>
      <c r="C53" s="201"/>
      <c r="D53" s="43"/>
      <c r="E53" s="219" t="s">
        <v>2211</v>
      </c>
      <c r="F53" s="220"/>
      <c r="G53" s="1" t="s">
        <v>16</v>
      </c>
      <c r="H53" s="2" t="s">
        <v>81</v>
      </c>
      <c r="I53" s="3" t="s">
        <v>842</v>
      </c>
      <c r="J53" s="76">
        <v>70</v>
      </c>
      <c r="K53" s="48">
        <v>12000</v>
      </c>
      <c r="L53" s="38"/>
      <c r="M53" s="38"/>
      <c r="N53" s="38"/>
      <c r="O53" s="84"/>
      <c r="P53" s="171" t="s">
        <v>1093</v>
      </c>
      <c r="Q53" s="184"/>
      <c r="R53" s="46"/>
      <c r="S53" s="42"/>
      <c r="T53" s="133"/>
    </row>
    <row r="54" spans="1:20" ht="24">
      <c r="A54" t="s">
        <v>30</v>
      </c>
      <c r="B54" s="151" t="s">
        <v>325</v>
      </c>
      <c r="C54" s="200" t="s">
        <v>343</v>
      </c>
      <c r="D54" s="17">
        <v>45713</v>
      </c>
      <c r="E54" s="214" t="s">
        <v>209</v>
      </c>
      <c r="F54" s="215" t="s">
        <v>126</v>
      </c>
      <c r="G54" s="161" t="s">
        <v>16</v>
      </c>
      <c r="H54" s="161" t="s">
        <v>81</v>
      </c>
      <c r="I54" s="3" t="s">
        <v>255</v>
      </c>
      <c r="J54" s="73">
        <v>1</v>
      </c>
      <c r="K54" s="26">
        <v>168000</v>
      </c>
      <c r="L54" s="26">
        <f t="shared" ref="L54:L69" si="8">J54*K54</f>
        <v>168000</v>
      </c>
      <c r="M54" s="27">
        <f t="shared" ref="M54:M70" si="9">L54*10%</f>
        <v>16800</v>
      </c>
      <c r="N54" s="27">
        <f t="shared" ref="N54:N70" si="10">SUM(L54:M54)</f>
        <v>184800</v>
      </c>
      <c r="O54" s="52">
        <f>485440/12+80160</f>
        <v>120613.33333333334</v>
      </c>
      <c r="P54" s="171" t="s">
        <v>736</v>
      </c>
      <c r="Q54" s="183">
        <f t="shared" ref="Q54:Q70" si="11">L54-O54</f>
        <v>47386.666666666657</v>
      </c>
      <c r="R54" s="68" t="s">
        <v>1160</v>
      </c>
      <c r="S54" s="5" t="s">
        <v>2136</v>
      </c>
      <c r="T54" s="11"/>
    </row>
    <row r="55" spans="1:20">
      <c r="A55" t="s">
        <v>30</v>
      </c>
      <c r="B55" s="151" t="s">
        <v>324</v>
      </c>
      <c r="C55" s="200"/>
      <c r="D55" s="17">
        <v>45713</v>
      </c>
      <c r="E55" s="214" t="s">
        <v>2177</v>
      </c>
      <c r="F55" s="189" t="s">
        <v>127</v>
      </c>
      <c r="G55" s="161" t="s">
        <v>16</v>
      </c>
      <c r="H55" s="161" t="s">
        <v>138</v>
      </c>
      <c r="I55" s="163" t="s">
        <v>255</v>
      </c>
      <c r="J55" s="24">
        <v>1</v>
      </c>
      <c r="K55" s="26">
        <v>115000</v>
      </c>
      <c r="L55" s="26">
        <f t="shared" si="8"/>
        <v>115000</v>
      </c>
      <c r="M55" s="27">
        <f t="shared" si="9"/>
        <v>11500</v>
      </c>
      <c r="N55" s="27">
        <f t="shared" si="10"/>
        <v>126500</v>
      </c>
      <c r="O55" s="52">
        <v>66498</v>
      </c>
      <c r="P55" s="171" t="s">
        <v>646</v>
      </c>
      <c r="Q55" s="181">
        <f t="shared" si="11"/>
        <v>48502</v>
      </c>
      <c r="R55" s="68" t="s">
        <v>1101</v>
      </c>
      <c r="S55" s="5" t="s">
        <v>2136</v>
      </c>
      <c r="T55" s="11"/>
    </row>
    <row r="56" spans="1:20" ht="36">
      <c r="A56" t="s">
        <v>30</v>
      </c>
      <c r="B56" s="151" t="s">
        <v>395</v>
      </c>
      <c r="C56" s="199"/>
      <c r="D56" s="17">
        <v>45713</v>
      </c>
      <c r="E56" s="214" t="s">
        <v>2177</v>
      </c>
      <c r="F56" s="215" t="s">
        <v>133</v>
      </c>
      <c r="G56" s="161" t="s">
        <v>16</v>
      </c>
      <c r="H56" s="161" t="s">
        <v>138</v>
      </c>
      <c r="I56" s="164" t="s">
        <v>734</v>
      </c>
      <c r="J56" s="34">
        <v>1</v>
      </c>
      <c r="K56" s="48">
        <v>350000</v>
      </c>
      <c r="L56" s="26">
        <f t="shared" si="8"/>
        <v>350000</v>
      </c>
      <c r="M56" s="27">
        <f t="shared" si="9"/>
        <v>35000</v>
      </c>
      <c r="N56" s="27">
        <f t="shared" si="10"/>
        <v>385000</v>
      </c>
      <c r="O56" s="52">
        <f>133870+70180+1000000/12</f>
        <v>287383.33333333331</v>
      </c>
      <c r="P56" s="172" t="s">
        <v>2109</v>
      </c>
      <c r="Q56" s="181">
        <f t="shared" si="11"/>
        <v>62616.666666666686</v>
      </c>
      <c r="R56" s="68" t="s">
        <v>1101</v>
      </c>
      <c r="S56" s="8" t="s">
        <v>2136</v>
      </c>
      <c r="T56" s="11"/>
    </row>
    <row r="57" spans="1:20" ht="24">
      <c r="A57" t="s">
        <v>30</v>
      </c>
      <c r="B57" s="151" t="s">
        <v>1220</v>
      </c>
      <c r="C57" s="199"/>
      <c r="D57" s="17">
        <v>45713</v>
      </c>
      <c r="E57" s="214" t="s">
        <v>2177</v>
      </c>
      <c r="F57" s="215" t="s">
        <v>137</v>
      </c>
      <c r="G57" s="161" t="s">
        <v>16</v>
      </c>
      <c r="H57" s="161" t="s">
        <v>138</v>
      </c>
      <c r="I57" s="164" t="s">
        <v>252</v>
      </c>
      <c r="J57" s="34">
        <v>1</v>
      </c>
      <c r="K57" s="48">
        <v>644000</v>
      </c>
      <c r="L57" s="26">
        <f t="shared" si="8"/>
        <v>644000</v>
      </c>
      <c r="M57" s="27">
        <f t="shared" si="9"/>
        <v>64400</v>
      </c>
      <c r="N57" s="27">
        <f t="shared" si="10"/>
        <v>708400</v>
      </c>
      <c r="O57" s="72">
        <f>79496+4200000/12</f>
        <v>429496</v>
      </c>
      <c r="P57" s="170" t="s">
        <v>2114</v>
      </c>
      <c r="Q57" s="181">
        <f t="shared" si="11"/>
        <v>214504</v>
      </c>
      <c r="R57" s="68" t="s">
        <v>1101</v>
      </c>
      <c r="S57" s="8" t="s">
        <v>2136</v>
      </c>
      <c r="T57" s="11"/>
    </row>
    <row r="58" spans="1:20">
      <c r="A58" t="s">
        <v>30</v>
      </c>
      <c r="B58" s="151" t="s">
        <v>134</v>
      </c>
      <c r="C58" s="200"/>
      <c r="D58" s="17">
        <v>45713</v>
      </c>
      <c r="E58" s="214" t="s">
        <v>2163</v>
      </c>
      <c r="F58" s="189"/>
      <c r="G58" s="161" t="s">
        <v>16</v>
      </c>
      <c r="H58" s="161" t="s">
        <v>81</v>
      </c>
      <c r="I58" s="163" t="s">
        <v>735</v>
      </c>
      <c r="J58" s="24">
        <v>1</v>
      </c>
      <c r="K58" s="26">
        <v>305000</v>
      </c>
      <c r="L58" s="26">
        <f t="shared" si="8"/>
        <v>305000</v>
      </c>
      <c r="M58" s="27">
        <f t="shared" si="9"/>
        <v>30500</v>
      </c>
      <c r="N58" s="27">
        <f t="shared" si="10"/>
        <v>335500</v>
      </c>
      <c r="O58" s="52">
        <v>84811</v>
      </c>
      <c r="P58" s="171" t="s">
        <v>823</v>
      </c>
      <c r="Q58" s="181">
        <f t="shared" si="11"/>
        <v>220189</v>
      </c>
      <c r="R58" s="2" t="s">
        <v>890</v>
      </c>
      <c r="S58" s="5" t="s">
        <v>2134</v>
      </c>
      <c r="T58" s="11"/>
    </row>
    <row r="59" spans="1:20">
      <c r="A59" t="s">
        <v>30</v>
      </c>
      <c r="B59" s="151" t="s">
        <v>327</v>
      </c>
      <c r="C59" s="199"/>
      <c r="D59" s="17">
        <v>45713</v>
      </c>
      <c r="E59" s="214" t="s">
        <v>326</v>
      </c>
      <c r="F59" s="215"/>
      <c r="G59" s="2" t="s">
        <v>16</v>
      </c>
      <c r="H59" s="161" t="s">
        <v>138</v>
      </c>
      <c r="I59" s="4" t="s">
        <v>255</v>
      </c>
      <c r="J59" s="23">
        <v>1</v>
      </c>
      <c r="K59" s="27">
        <v>668000</v>
      </c>
      <c r="L59" s="26">
        <f t="shared" si="8"/>
        <v>668000</v>
      </c>
      <c r="M59" s="27">
        <f t="shared" si="9"/>
        <v>66800</v>
      </c>
      <c r="N59" s="27">
        <f t="shared" si="10"/>
        <v>734800</v>
      </c>
      <c r="O59" s="72">
        <f>277600+142800</f>
        <v>420400</v>
      </c>
      <c r="P59" s="223" t="s">
        <v>825</v>
      </c>
      <c r="Q59" s="181">
        <f t="shared" si="11"/>
        <v>247600</v>
      </c>
      <c r="R59" s="2" t="s">
        <v>1022</v>
      </c>
      <c r="S59" s="8" t="s">
        <v>2136</v>
      </c>
      <c r="T59" s="11"/>
    </row>
    <row r="60" spans="1:20" ht="48">
      <c r="A60" t="s">
        <v>30</v>
      </c>
      <c r="B60" s="151" t="s">
        <v>396</v>
      </c>
      <c r="C60" s="199"/>
      <c r="D60" s="17">
        <v>45713</v>
      </c>
      <c r="E60" s="214" t="s">
        <v>2141</v>
      </c>
      <c r="F60" s="214" t="s">
        <v>135</v>
      </c>
      <c r="G60" s="161" t="s">
        <v>16</v>
      </c>
      <c r="H60" s="161" t="s">
        <v>81</v>
      </c>
      <c r="I60" s="163" t="s">
        <v>734</v>
      </c>
      <c r="J60" s="24">
        <v>1</v>
      </c>
      <c r="K60" s="26">
        <v>500000</v>
      </c>
      <c r="L60" s="26">
        <f t="shared" si="8"/>
        <v>500000</v>
      </c>
      <c r="M60" s="27">
        <f t="shared" si="9"/>
        <v>50000</v>
      </c>
      <c r="N60" s="27">
        <f t="shared" si="10"/>
        <v>550000</v>
      </c>
      <c r="O60" s="52">
        <f>600000/6+20600</f>
        <v>120600</v>
      </c>
      <c r="P60" s="171" t="s">
        <v>1692</v>
      </c>
      <c r="Q60" s="181">
        <f t="shared" si="11"/>
        <v>379400</v>
      </c>
      <c r="R60" s="68" t="s">
        <v>1157</v>
      </c>
      <c r="S60" s="5" t="s">
        <v>2136</v>
      </c>
      <c r="T60" s="11"/>
    </row>
    <row r="61" spans="1:20">
      <c r="A61" t="s">
        <v>30</v>
      </c>
      <c r="B61" s="151" t="s">
        <v>854</v>
      </c>
      <c r="C61" s="199"/>
      <c r="D61" s="17">
        <v>45713</v>
      </c>
      <c r="E61" s="221" t="s">
        <v>2142</v>
      </c>
      <c r="F61" s="215"/>
      <c r="G61" s="161" t="s">
        <v>16</v>
      </c>
      <c r="H61" s="161" t="s">
        <v>81</v>
      </c>
      <c r="I61" s="163" t="s">
        <v>252</v>
      </c>
      <c r="J61" s="23">
        <v>1</v>
      </c>
      <c r="K61" s="27">
        <v>1400000</v>
      </c>
      <c r="L61" s="26">
        <f t="shared" si="8"/>
        <v>1400000</v>
      </c>
      <c r="M61" s="27">
        <f t="shared" si="9"/>
        <v>140000</v>
      </c>
      <c r="N61" s="27">
        <f t="shared" si="10"/>
        <v>1540000</v>
      </c>
      <c r="O61" s="52">
        <f>1500000/3</f>
        <v>500000</v>
      </c>
      <c r="P61" s="171" t="s">
        <v>1081</v>
      </c>
      <c r="Q61" s="181">
        <f t="shared" si="11"/>
        <v>900000</v>
      </c>
      <c r="R61" s="2" t="s">
        <v>1066</v>
      </c>
      <c r="S61" s="8" t="s">
        <v>2134</v>
      </c>
      <c r="T61" s="11"/>
    </row>
    <row r="62" spans="1:20">
      <c r="A62" t="s">
        <v>30</v>
      </c>
      <c r="B62" s="151" t="s">
        <v>543</v>
      </c>
      <c r="C62" s="153"/>
      <c r="D62" s="17">
        <v>45715</v>
      </c>
      <c r="E62" s="1" t="s">
        <v>2203</v>
      </c>
      <c r="F62" s="2"/>
      <c r="G62" s="2" t="s">
        <v>352</v>
      </c>
      <c r="H62" s="83" t="s">
        <v>89</v>
      </c>
      <c r="I62" s="4" t="s">
        <v>544</v>
      </c>
      <c r="J62" s="23">
        <v>1</v>
      </c>
      <c r="K62" s="27">
        <v>7200000</v>
      </c>
      <c r="L62" s="26">
        <f t="shared" si="8"/>
        <v>7200000</v>
      </c>
      <c r="M62" s="27">
        <f t="shared" si="9"/>
        <v>720000</v>
      </c>
      <c r="N62" s="27">
        <f t="shared" si="10"/>
        <v>7920000</v>
      </c>
      <c r="O62" s="33">
        <v>4400000</v>
      </c>
      <c r="P62" s="197" t="s">
        <v>601</v>
      </c>
      <c r="Q62" s="20">
        <f t="shared" si="11"/>
        <v>2800000</v>
      </c>
      <c r="R62" s="68" t="s">
        <v>1589</v>
      </c>
      <c r="S62" s="8" t="s">
        <v>2134</v>
      </c>
      <c r="T62" s="11"/>
    </row>
    <row r="63" spans="1:20" ht="24">
      <c r="A63" t="s">
        <v>30</v>
      </c>
      <c r="B63" s="151" t="s">
        <v>551</v>
      </c>
      <c r="C63" s="153"/>
      <c r="D63" s="17">
        <v>45715</v>
      </c>
      <c r="E63" s="1" t="s">
        <v>2192</v>
      </c>
      <c r="F63" s="2" t="s">
        <v>846</v>
      </c>
      <c r="G63" s="2" t="s">
        <v>352</v>
      </c>
      <c r="H63" s="83" t="s">
        <v>552</v>
      </c>
      <c r="I63" s="4" t="s">
        <v>553</v>
      </c>
      <c r="J63" s="23">
        <v>1</v>
      </c>
      <c r="K63" s="27">
        <v>1200000</v>
      </c>
      <c r="L63" s="26">
        <f t="shared" si="8"/>
        <v>1200000</v>
      </c>
      <c r="M63" s="27">
        <f t="shared" si="9"/>
        <v>120000</v>
      </c>
      <c r="N63" s="27">
        <f t="shared" si="10"/>
        <v>1320000</v>
      </c>
      <c r="O63" s="33">
        <v>1096609</v>
      </c>
      <c r="P63" s="197" t="s">
        <v>554</v>
      </c>
      <c r="Q63" s="20">
        <f t="shared" si="11"/>
        <v>103391</v>
      </c>
      <c r="R63" s="68" t="s">
        <v>1160</v>
      </c>
      <c r="S63" s="8" t="s">
        <v>2134</v>
      </c>
      <c r="T63" s="11"/>
    </row>
    <row r="64" spans="1:20" ht="24">
      <c r="A64" t="s">
        <v>30</v>
      </c>
      <c r="B64" s="151" t="s">
        <v>592</v>
      </c>
      <c r="C64" s="153"/>
      <c r="D64" s="17">
        <v>45715</v>
      </c>
      <c r="E64" s="1" t="s">
        <v>2197</v>
      </c>
      <c r="F64" s="2" t="s">
        <v>847</v>
      </c>
      <c r="G64" s="2" t="s">
        <v>352</v>
      </c>
      <c r="H64" s="83" t="s">
        <v>593</v>
      </c>
      <c r="I64" s="4" t="s">
        <v>591</v>
      </c>
      <c r="J64" s="23">
        <v>1</v>
      </c>
      <c r="K64" s="27">
        <v>3500000</v>
      </c>
      <c r="L64" s="26">
        <f t="shared" si="8"/>
        <v>3500000</v>
      </c>
      <c r="M64" s="27">
        <f t="shared" si="9"/>
        <v>350000</v>
      </c>
      <c r="N64" s="27">
        <f t="shared" si="10"/>
        <v>3850000</v>
      </c>
      <c r="O64" s="33">
        <f>2950000+25000</f>
        <v>2975000</v>
      </c>
      <c r="P64" s="197" t="s">
        <v>1517</v>
      </c>
      <c r="Q64" s="20">
        <f t="shared" si="11"/>
        <v>525000</v>
      </c>
      <c r="R64" s="68" t="s">
        <v>1160</v>
      </c>
      <c r="S64" s="8" t="s">
        <v>2134</v>
      </c>
      <c r="T64" s="11"/>
    </row>
    <row r="65" spans="1:20" ht="24">
      <c r="A65" t="s">
        <v>30</v>
      </c>
      <c r="B65" s="151" t="s">
        <v>633</v>
      </c>
      <c r="C65" s="153"/>
      <c r="D65" s="17">
        <v>45715</v>
      </c>
      <c r="E65" s="1" t="s">
        <v>2193</v>
      </c>
      <c r="F65" s="2" t="s">
        <v>844</v>
      </c>
      <c r="G65" s="2" t="s">
        <v>352</v>
      </c>
      <c r="H65" s="83" t="s">
        <v>634</v>
      </c>
      <c r="I65" s="4" t="s">
        <v>635</v>
      </c>
      <c r="J65" s="23">
        <v>2</v>
      </c>
      <c r="K65" s="27">
        <v>120000</v>
      </c>
      <c r="L65" s="26">
        <f t="shared" si="8"/>
        <v>240000</v>
      </c>
      <c r="M65" s="27">
        <f t="shared" si="9"/>
        <v>24000</v>
      </c>
      <c r="N65" s="27">
        <f t="shared" si="10"/>
        <v>264000</v>
      </c>
      <c r="O65" s="33">
        <v>20000</v>
      </c>
      <c r="P65" s="197" t="s">
        <v>2009</v>
      </c>
      <c r="Q65" s="20">
        <f t="shared" si="11"/>
        <v>220000</v>
      </c>
      <c r="R65" s="68" t="s">
        <v>1703</v>
      </c>
      <c r="S65" s="8" t="s">
        <v>2134</v>
      </c>
      <c r="T65" s="11"/>
    </row>
    <row r="66" spans="1:20" ht="24">
      <c r="A66" t="s">
        <v>30</v>
      </c>
      <c r="B66" s="151" t="s">
        <v>636</v>
      </c>
      <c r="C66" s="153"/>
      <c r="D66" s="17">
        <v>45715</v>
      </c>
      <c r="E66" s="1" t="s">
        <v>2192</v>
      </c>
      <c r="F66" s="2" t="s">
        <v>848</v>
      </c>
      <c r="G66" s="2" t="s">
        <v>352</v>
      </c>
      <c r="H66" s="83" t="s">
        <v>552</v>
      </c>
      <c r="I66" s="4" t="s">
        <v>553</v>
      </c>
      <c r="J66" s="23">
        <v>1</v>
      </c>
      <c r="K66" s="27">
        <v>1200000</v>
      </c>
      <c r="L66" s="26">
        <f t="shared" si="8"/>
        <v>1200000</v>
      </c>
      <c r="M66" s="27">
        <f t="shared" si="9"/>
        <v>120000</v>
      </c>
      <c r="N66" s="27">
        <f t="shared" si="10"/>
        <v>1320000</v>
      </c>
      <c r="O66" s="33">
        <v>1096609</v>
      </c>
      <c r="P66" s="197" t="s">
        <v>637</v>
      </c>
      <c r="Q66" s="20">
        <f t="shared" si="11"/>
        <v>103391</v>
      </c>
      <c r="R66" s="68" t="s">
        <v>1455</v>
      </c>
      <c r="S66" s="8" t="s">
        <v>2134</v>
      </c>
      <c r="T66" s="11"/>
    </row>
    <row r="67" spans="1:20">
      <c r="A67" t="s">
        <v>30</v>
      </c>
      <c r="B67" s="151" t="s">
        <v>720</v>
      </c>
      <c r="C67" s="153"/>
      <c r="D67" s="17">
        <v>45715</v>
      </c>
      <c r="E67" s="1" t="s">
        <v>2197</v>
      </c>
      <c r="F67" s="2" t="s">
        <v>822</v>
      </c>
      <c r="G67" s="2" t="s">
        <v>352</v>
      </c>
      <c r="H67" s="83" t="s">
        <v>721</v>
      </c>
      <c r="I67" s="4" t="s">
        <v>722</v>
      </c>
      <c r="J67" s="23">
        <v>1</v>
      </c>
      <c r="K67" s="27">
        <v>200000</v>
      </c>
      <c r="L67" s="26">
        <f t="shared" si="8"/>
        <v>200000</v>
      </c>
      <c r="M67" s="27">
        <f t="shared" si="9"/>
        <v>20000</v>
      </c>
      <c r="N67" s="27">
        <f t="shared" si="10"/>
        <v>220000</v>
      </c>
      <c r="O67" s="228">
        <v>3800</v>
      </c>
      <c r="P67" s="247" t="s">
        <v>1963</v>
      </c>
      <c r="Q67" s="20">
        <f t="shared" si="11"/>
        <v>196200</v>
      </c>
      <c r="R67" s="68" t="s">
        <v>1160</v>
      </c>
      <c r="S67" s="8" t="s">
        <v>2134</v>
      </c>
      <c r="T67" s="11"/>
    </row>
    <row r="68" spans="1:20" ht="24">
      <c r="A68" t="s">
        <v>30</v>
      </c>
      <c r="B68" s="151" t="s">
        <v>818</v>
      </c>
      <c r="C68" s="153"/>
      <c r="D68" s="17">
        <v>45715</v>
      </c>
      <c r="E68" s="1" t="s">
        <v>2197</v>
      </c>
      <c r="F68" s="2" t="s">
        <v>819</v>
      </c>
      <c r="G68" s="2" t="s">
        <v>352</v>
      </c>
      <c r="H68" s="83" t="s">
        <v>89</v>
      </c>
      <c r="I68" s="4" t="s">
        <v>591</v>
      </c>
      <c r="J68" s="23">
        <v>1</v>
      </c>
      <c r="K68" s="27">
        <v>3500000</v>
      </c>
      <c r="L68" s="26">
        <f t="shared" si="8"/>
        <v>3500000</v>
      </c>
      <c r="M68" s="27">
        <f t="shared" si="9"/>
        <v>350000</v>
      </c>
      <c r="N68" s="27">
        <f t="shared" si="10"/>
        <v>3850000</v>
      </c>
      <c r="O68" s="33">
        <f>2950000+20000</f>
        <v>2970000</v>
      </c>
      <c r="P68" s="197" t="s">
        <v>1516</v>
      </c>
      <c r="Q68" s="20">
        <f t="shared" si="11"/>
        <v>530000</v>
      </c>
      <c r="R68" s="68" t="s">
        <v>1160</v>
      </c>
      <c r="S68" s="8" t="s">
        <v>2134</v>
      </c>
      <c r="T68" s="11"/>
    </row>
    <row r="69" spans="1:20">
      <c r="A69" t="s">
        <v>30</v>
      </c>
      <c r="B69" s="151" t="s">
        <v>843</v>
      </c>
      <c r="C69" s="153"/>
      <c r="D69" s="17">
        <v>45715</v>
      </c>
      <c r="E69" s="1" t="s">
        <v>2193</v>
      </c>
      <c r="F69" s="2" t="s">
        <v>844</v>
      </c>
      <c r="G69" s="2" t="s">
        <v>352</v>
      </c>
      <c r="H69" s="83" t="s">
        <v>143</v>
      </c>
      <c r="I69" s="4" t="s">
        <v>188</v>
      </c>
      <c r="J69" s="23">
        <v>1</v>
      </c>
      <c r="K69" s="27">
        <v>550000</v>
      </c>
      <c r="L69" s="26">
        <f t="shared" si="8"/>
        <v>550000</v>
      </c>
      <c r="M69" s="27">
        <f t="shared" si="9"/>
        <v>55000</v>
      </c>
      <c r="N69" s="27">
        <f t="shared" si="10"/>
        <v>605000</v>
      </c>
      <c r="O69" s="33"/>
      <c r="P69" s="197" t="s">
        <v>845</v>
      </c>
      <c r="Q69" s="20">
        <f t="shared" si="11"/>
        <v>550000</v>
      </c>
      <c r="R69" s="68" t="s">
        <v>1703</v>
      </c>
      <c r="S69" s="8" t="s">
        <v>2134</v>
      </c>
      <c r="T69" s="11"/>
    </row>
    <row r="70" spans="1:20">
      <c r="A70" t="s">
        <v>30</v>
      </c>
      <c r="B70" s="151" t="s">
        <v>695</v>
      </c>
      <c r="C70" s="153"/>
      <c r="D70" s="17">
        <v>45715</v>
      </c>
      <c r="E70" s="1" t="s">
        <v>158</v>
      </c>
      <c r="F70" s="2"/>
      <c r="G70" s="2" t="s">
        <v>692</v>
      </c>
      <c r="H70" s="83" t="s">
        <v>704</v>
      </c>
      <c r="I70" s="4" t="s">
        <v>705</v>
      </c>
      <c r="J70" s="23">
        <v>3</v>
      </c>
      <c r="K70" s="27">
        <v>120000</v>
      </c>
      <c r="L70" s="26">
        <v>1660000</v>
      </c>
      <c r="M70" s="27">
        <f t="shared" si="9"/>
        <v>166000</v>
      </c>
      <c r="N70" s="27">
        <f t="shared" si="10"/>
        <v>1826000</v>
      </c>
      <c r="O70" s="33">
        <v>1230000</v>
      </c>
      <c r="P70" s="197" t="s">
        <v>986</v>
      </c>
      <c r="Q70" s="20">
        <f t="shared" si="11"/>
        <v>430000</v>
      </c>
      <c r="R70" s="68" t="s">
        <v>890</v>
      </c>
      <c r="S70" s="8" t="s">
        <v>2136</v>
      </c>
      <c r="T70" s="11"/>
    </row>
    <row r="71" spans="1:20">
      <c r="A71" t="s">
        <v>30</v>
      </c>
      <c r="B71" s="151" t="s">
        <v>696</v>
      </c>
      <c r="C71" s="155"/>
      <c r="D71" s="43"/>
      <c r="E71" s="44" t="s">
        <v>158</v>
      </c>
      <c r="F71" s="41"/>
      <c r="G71" s="2" t="s">
        <v>692</v>
      </c>
      <c r="H71" s="83" t="s">
        <v>706</v>
      </c>
      <c r="I71" s="4" t="s">
        <v>707</v>
      </c>
      <c r="J71" s="23">
        <v>1</v>
      </c>
      <c r="K71" s="27">
        <v>150000</v>
      </c>
      <c r="L71" s="39"/>
      <c r="M71" s="39"/>
      <c r="N71" s="39"/>
      <c r="O71" s="33"/>
      <c r="P71" s="197" t="s">
        <v>987</v>
      </c>
      <c r="Q71" s="41"/>
      <c r="R71" s="41"/>
      <c r="S71" s="42"/>
      <c r="T71" s="11"/>
    </row>
    <row r="72" spans="1:20">
      <c r="A72" t="s">
        <v>30</v>
      </c>
      <c r="B72" s="151" t="s">
        <v>698</v>
      </c>
      <c r="C72" s="155"/>
      <c r="D72" s="43"/>
      <c r="E72" s="44" t="s">
        <v>158</v>
      </c>
      <c r="F72" s="41"/>
      <c r="G72" s="2" t="s">
        <v>692</v>
      </c>
      <c r="H72" s="83" t="s">
        <v>193</v>
      </c>
      <c r="I72" s="4" t="s">
        <v>709</v>
      </c>
      <c r="J72" s="23">
        <v>1</v>
      </c>
      <c r="K72" s="27">
        <v>100000</v>
      </c>
      <c r="L72" s="39"/>
      <c r="M72" s="39"/>
      <c r="N72" s="39"/>
      <c r="O72" s="33"/>
      <c r="P72" s="197" t="s">
        <v>988</v>
      </c>
      <c r="Q72" s="41"/>
      <c r="R72" s="41"/>
      <c r="S72" s="42"/>
      <c r="T72" s="11"/>
    </row>
    <row r="73" spans="1:20">
      <c r="A73" t="s">
        <v>30</v>
      </c>
      <c r="B73" s="151" t="s">
        <v>699</v>
      </c>
      <c r="C73" s="155"/>
      <c r="D73" s="43"/>
      <c r="E73" s="44" t="s">
        <v>158</v>
      </c>
      <c r="F73" s="41"/>
      <c r="G73" s="2" t="s">
        <v>692</v>
      </c>
      <c r="H73" s="83" t="s">
        <v>710</v>
      </c>
      <c r="I73" s="4" t="s">
        <v>711</v>
      </c>
      <c r="J73" s="23">
        <v>1</v>
      </c>
      <c r="K73" s="27">
        <v>150000</v>
      </c>
      <c r="L73" s="39"/>
      <c r="M73" s="39"/>
      <c r="N73" s="39"/>
      <c r="O73" s="33"/>
      <c r="P73" s="197" t="s">
        <v>989</v>
      </c>
      <c r="Q73" s="41"/>
      <c r="R73" s="41"/>
      <c r="S73" s="42"/>
      <c r="T73" s="11"/>
    </row>
    <row r="74" spans="1:20">
      <c r="A74" t="s">
        <v>30</v>
      </c>
      <c r="B74" s="151" t="s">
        <v>700</v>
      </c>
      <c r="C74" s="155"/>
      <c r="D74" s="43"/>
      <c r="E74" s="44" t="s">
        <v>158</v>
      </c>
      <c r="F74" s="41"/>
      <c r="G74" s="2" t="s">
        <v>692</v>
      </c>
      <c r="H74" s="83" t="s">
        <v>712</v>
      </c>
      <c r="I74" s="4" t="s">
        <v>713</v>
      </c>
      <c r="J74" s="23">
        <v>2</v>
      </c>
      <c r="K74" s="27">
        <v>130000</v>
      </c>
      <c r="L74" s="39"/>
      <c r="M74" s="39"/>
      <c r="N74" s="39"/>
      <c r="O74" s="33"/>
      <c r="P74" s="197" t="s">
        <v>990</v>
      </c>
      <c r="Q74" s="41"/>
      <c r="R74" s="41"/>
      <c r="S74" s="42"/>
      <c r="T74" s="11"/>
    </row>
    <row r="75" spans="1:20">
      <c r="A75" t="s">
        <v>30</v>
      </c>
      <c r="B75" s="151" t="s">
        <v>701</v>
      </c>
      <c r="C75" s="155"/>
      <c r="D75" s="43"/>
      <c r="E75" s="44" t="s">
        <v>158</v>
      </c>
      <c r="F75" s="41"/>
      <c r="G75" s="2" t="s">
        <v>692</v>
      </c>
      <c r="H75" s="83" t="s">
        <v>714</v>
      </c>
      <c r="I75" s="4" t="s">
        <v>715</v>
      </c>
      <c r="J75" s="23">
        <v>1</v>
      </c>
      <c r="K75" s="27">
        <v>200000</v>
      </c>
      <c r="L75" s="39"/>
      <c r="M75" s="39"/>
      <c r="N75" s="39"/>
      <c r="O75" s="33"/>
      <c r="P75" s="197" t="s">
        <v>991</v>
      </c>
      <c r="Q75" s="41"/>
      <c r="R75" s="41"/>
      <c r="S75" s="42"/>
      <c r="T75" s="11"/>
    </row>
    <row r="76" spans="1:20" ht="24">
      <c r="A76" t="s">
        <v>30</v>
      </c>
      <c r="B76" s="151" t="s">
        <v>778</v>
      </c>
      <c r="C76" s="155"/>
      <c r="D76" s="43"/>
      <c r="E76" s="44" t="s">
        <v>158</v>
      </c>
      <c r="F76" s="41"/>
      <c r="G76" s="2" t="s">
        <v>15</v>
      </c>
      <c r="H76" s="83" t="s">
        <v>517</v>
      </c>
      <c r="I76" s="4" t="s">
        <v>518</v>
      </c>
      <c r="J76" s="23">
        <v>1</v>
      </c>
      <c r="K76" s="27">
        <v>200000</v>
      </c>
      <c r="L76" s="39"/>
      <c r="M76" s="39"/>
      <c r="N76" s="39"/>
      <c r="O76" s="33"/>
      <c r="P76" s="197" t="s">
        <v>992</v>
      </c>
      <c r="Q76" s="41"/>
      <c r="R76" s="41"/>
      <c r="S76" s="42"/>
      <c r="T76" s="11"/>
    </row>
    <row r="77" spans="1:20" ht="24">
      <c r="A77" t="s">
        <v>30</v>
      </c>
      <c r="B77" s="151" t="s">
        <v>779</v>
      </c>
      <c r="C77" s="155"/>
      <c r="D77" s="43"/>
      <c r="E77" s="44" t="s">
        <v>158</v>
      </c>
      <c r="F77" s="41"/>
      <c r="G77" s="2" t="s">
        <v>15</v>
      </c>
      <c r="H77" s="83" t="s">
        <v>781</v>
      </c>
      <c r="I77" s="4" t="s">
        <v>782</v>
      </c>
      <c r="J77" s="23">
        <v>1</v>
      </c>
      <c r="K77" s="27">
        <v>240000</v>
      </c>
      <c r="L77" s="39"/>
      <c r="M77" s="39"/>
      <c r="N77" s="39"/>
      <c r="O77" s="33"/>
      <c r="P77" s="197" t="s">
        <v>993</v>
      </c>
      <c r="Q77" s="41"/>
      <c r="R77" s="41"/>
      <c r="S77" s="42"/>
      <c r="T77" s="11"/>
    </row>
    <row r="78" spans="1:20">
      <c r="A78" t="s">
        <v>30</v>
      </c>
      <c r="B78" s="151" t="s">
        <v>113</v>
      </c>
      <c r="C78" s="199"/>
      <c r="D78" s="17">
        <v>45716</v>
      </c>
      <c r="E78" s="214" t="s">
        <v>96</v>
      </c>
      <c r="F78" s="215" t="s">
        <v>270</v>
      </c>
      <c r="G78" s="161" t="s">
        <v>34</v>
      </c>
      <c r="H78" s="161" t="s">
        <v>114</v>
      </c>
      <c r="I78" s="169" t="s">
        <v>809</v>
      </c>
      <c r="J78" s="69">
        <v>1</v>
      </c>
      <c r="K78" s="27">
        <v>600000</v>
      </c>
      <c r="L78" s="26">
        <f t="shared" ref="L78:L79" si="12">J78*K78</f>
        <v>600000</v>
      </c>
      <c r="M78" s="27">
        <f t="shared" ref="M78:M79" si="13">L78*10%</f>
        <v>60000</v>
      </c>
      <c r="N78" s="27">
        <f t="shared" ref="N78:N79" si="14">SUM(L78:M78)</f>
        <v>660000</v>
      </c>
      <c r="O78" s="52">
        <v>0</v>
      </c>
      <c r="P78" s="171" t="s">
        <v>115</v>
      </c>
      <c r="Q78" s="181">
        <f t="shared" ref="Q78:Q79" si="15">L78-O78</f>
        <v>600000</v>
      </c>
      <c r="R78" s="202" t="s">
        <v>911</v>
      </c>
      <c r="S78" s="8" t="s">
        <v>2135</v>
      </c>
      <c r="T78" s="11"/>
    </row>
    <row r="79" spans="1:20" ht="24">
      <c r="A79" t="s">
        <v>30</v>
      </c>
      <c r="B79" s="151" t="s">
        <v>113</v>
      </c>
      <c r="C79" s="199"/>
      <c r="D79" s="17">
        <v>45716</v>
      </c>
      <c r="E79" s="214" t="s">
        <v>308</v>
      </c>
      <c r="F79" s="215" t="s">
        <v>271</v>
      </c>
      <c r="G79" s="161" t="s">
        <v>34</v>
      </c>
      <c r="H79" s="161" t="s">
        <v>114</v>
      </c>
      <c r="I79" s="4" t="s">
        <v>810</v>
      </c>
      <c r="J79" s="23">
        <v>1</v>
      </c>
      <c r="K79" s="27">
        <v>4000000</v>
      </c>
      <c r="L79" s="26">
        <f t="shared" si="12"/>
        <v>4000000</v>
      </c>
      <c r="M79" s="27">
        <f t="shared" si="13"/>
        <v>400000</v>
      </c>
      <c r="N79" s="27">
        <f t="shared" si="14"/>
        <v>4400000</v>
      </c>
      <c r="O79" s="52">
        <v>0</v>
      </c>
      <c r="P79" s="170" t="s">
        <v>115</v>
      </c>
      <c r="Q79" s="181">
        <f t="shared" si="15"/>
        <v>4000000</v>
      </c>
      <c r="R79" s="68" t="s">
        <v>2037</v>
      </c>
      <c r="S79" s="8" t="s">
        <v>2135</v>
      </c>
      <c r="T79" s="11"/>
    </row>
    <row r="80" spans="1:20">
      <c r="A80" t="s">
        <v>30</v>
      </c>
      <c r="B80" s="151" t="s">
        <v>190</v>
      </c>
      <c r="C80" s="200" t="s">
        <v>220</v>
      </c>
      <c r="D80" s="17">
        <v>45716</v>
      </c>
      <c r="E80" s="214" t="s">
        <v>2171</v>
      </c>
      <c r="F80" s="214" t="s">
        <v>150</v>
      </c>
      <c r="G80" s="1" t="s">
        <v>16</v>
      </c>
      <c r="H80" s="161" t="s">
        <v>80</v>
      </c>
      <c r="I80" s="163" t="s">
        <v>737</v>
      </c>
      <c r="J80" s="32">
        <v>1</v>
      </c>
      <c r="K80" s="48">
        <v>11178000</v>
      </c>
      <c r="L80" s="26">
        <f t="shared" ref="L80:L87" si="16">J80*K80</f>
        <v>11178000</v>
      </c>
      <c r="M80" s="27">
        <f t="shared" ref="M80:M97" si="17">L80*10%</f>
        <v>1117800</v>
      </c>
      <c r="N80" s="27">
        <f t="shared" ref="N80:N87" si="18">SUM(L80:M80)</f>
        <v>12295800</v>
      </c>
      <c r="O80" s="72">
        <v>9980400</v>
      </c>
      <c r="P80" s="197" t="s">
        <v>151</v>
      </c>
      <c r="Q80" s="181">
        <f t="shared" ref="Q80:Q103" si="19">L80-O80</f>
        <v>1197600</v>
      </c>
      <c r="R80" s="68" t="s">
        <v>1462</v>
      </c>
      <c r="S80" s="8" t="s">
        <v>2136</v>
      </c>
      <c r="T80" s="11"/>
    </row>
    <row r="81" spans="1:20">
      <c r="A81" t="s">
        <v>30</v>
      </c>
      <c r="B81" s="151" t="s">
        <v>676</v>
      </c>
      <c r="C81" s="200" t="s">
        <v>677</v>
      </c>
      <c r="D81" s="17">
        <v>45716</v>
      </c>
      <c r="E81" s="214" t="s">
        <v>2171</v>
      </c>
      <c r="F81" s="189" t="s">
        <v>119</v>
      </c>
      <c r="G81" s="161" t="s">
        <v>16</v>
      </c>
      <c r="H81" s="161" t="s">
        <v>80</v>
      </c>
      <c r="I81" s="164" t="s">
        <v>252</v>
      </c>
      <c r="J81" s="24">
        <v>1</v>
      </c>
      <c r="K81" s="27">
        <v>585000</v>
      </c>
      <c r="L81" s="26">
        <f t="shared" si="16"/>
        <v>585000</v>
      </c>
      <c r="M81" s="27">
        <f t="shared" si="17"/>
        <v>58500</v>
      </c>
      <c r="N81" s="27">
        <f t="shared" si="18"/>
        <v>643500</v>
      </c>
      <c r="O81" s="52">
        <v>531600</v>
      </c>
      <c r="P81" s="197" t="s">
        <v>151</v>
      </c>
      <c r="Q81" s="181">
        <f t="shared" si="19"/>
        <v>53400</v>
      </c>
      <c r="R81" s="68" t="s">
        <v>1462</v>
      </c>
      <c r="S81" s="5" t="s">
        <v>2136</v>
      </c>
      <c r="T81" s="11"/>
    </row>
    <row r="82" spans="1:20">
      <c r="A82" t="s">
        <v>30</v>
      </c>
      <c r="B82" s="151" t="s">
        <v>186</v>
      </c>
      <c r="C82" s="200"/>
      <c r="D82" s="17">
        <v>45716</v>
      </c>
      <c r="E82" s="214" t="s">
        <v>2160</v>
      </c>
      <c r="F82" s="189" t="s">
        <v>122</v>
      </c>
      <c r="G82" s="161" t="s">
        <v>16</v>
      </c>
      <c r="H82" s="161" t="s">
        <v>138</v>
      </c>
      <c r="I82" s="163" t="s">
        <v>738</v>
      </c>
      <c r="J82" s="69">
        <v>1</v>
      </c>
      <c r="K82" s="29">
        <v>180000</v>
      </c>
      <c r="L82" s="26">
        <f t="shared" si="16"/>
        <v>180000</v>
      </c>
      <c r="M82" s="27">
        <f t="shared" si="17"/>
        <v>18000</v>
      </c>
      <c r="N82" s="27">
        <f t="shared" si="18"/>
        <v>198000</v>
      </c>
      <c r="O82" s="52">
        <v>159761</v>
      </c>
      <c r="P82" s="171" t="s">
        <v>646</v>
      </c>
      <c r="Q82" s="181">
        <f t="shared" si="19"/>
        <v>20239</v>
      </c>
      <c r="R82" s="68" t="s">
        <v>1102</v>
      </c>
      <c r="S82" s="5" t="s">
        <v>2136</v>
      </c>
      <c r="T82" s="11"/>
    </row>
    <row r="83" spans="1:20">
      <c r="A83" t="s">
        <v>30</v>
      </c>
      <c r="B83" s="151" t="s">
        <v>187</v>
      </c>
      <c r="C83" s="200"/>
      <c r="D83" s="17">
        <v>45716</v>
      </c>
      <c r="E83" s="214" t="s">
        <v>2160</v>
      </c>
      <c r="F83" s="189" t="s">
        <v>123</v>
      </c>
      <c r="G83" s="161" t="s">
        <v>16</v>
      </c>
      <c r="H83" s="161" t="s">
        <v>138</v>
      </c>
      <c r="I83" s="163" t="s">
        <v>738</v>
      </c>
      <c r="J83" s="69">
        <v>1</v>
      </c>
      <c r="K83" s="29">
        <v>240000</v>
      </c>
      <c r="L83" s="26">
        <f t="shared" si="16"/>
        <v>240000</v>
      </c>
      <c r="M83" s="27">
        <f t="shared" si="17"/>
        <v>24000</v>
      </c>
      <c r="N83" s="27">
        <f t="shared" si="18"/>
        <v>264000</v>
      </c>
      <c r="O83" s="52">
        <v>212293</v>
      </c>
      <c r="P83" s="171" t="s">
        <v>646</v>
      </c>
      <c r="Q83" s="181">
        <f t="shared" si="19"/>
        <v>27707</v>
      </c>
      <c r="R83" s="68" t="s">
        <v>1102</v>
      </c>
      <c r="S83" s="5" t="s">
        <v>2136</v>
      </c>
      <c r="T83" s="11"/>
    </row>
    <row r="84" spans="1:20" ht="72">
      <c r="A84" t="s">
        <v>30</v>
      </c>
      <c r="B84" s="151" t="s">
        <v>259</v>
      </c>
      <c r="C84" s="199"/>
      <c r="D84" s="17">
        <v>45716</v>
      </c>
      <c r="E84" s="214" t="s">
        <v>2160</v>
      </c>
      <c r="F84" s="215" t="s">
        <v>212</v>
      </c>
      <c r="G84" s="2" t="s">
        <v>16</v>
      </c>
      <c r="H84" s="161" t="s">
        <v>138</v>
      </c>
      <c r="I84" s="4" t="s">
        <v>817</v>
      </c>
      <c r="J84" s="23">
        <v>1</v>
      </c>
      <c r="K84" s="27">
        <v>2022000</v>
      </c>
      <c r="L84" s="26">
        <f t="shared" si="16"/>
        <v>2022000</v>
      </c>
      <c r="M84" s="27">
        <f t="shared" si="17"/>
        <v>202200</v>
      </c>
      <c r="N84" s="27">
        <f t="shared" si="18"/>
        <v>2224200</v>
      </c>
      <c r="O84" s="52">
        <f>70422*26+73255*2</f>
        <v>1977482</v>
      </c>
      <c r="P84" s="193" t="s">
        <v>2076</v>
      </c>
      <c r="Q84" s="181">
        <f t="shared" si="19"/>
        <v>44518</v>
      </c>
      <c r="R84" s="68" t="s">
        <v>1102</v>
      </c>
      <c r="S84" s="8" t="s">
        <v>2136</v>
      </c>
      <c r="T84" s="11"/>
    </row>
    <row r="85" spans="1:20">
      <c r="A85" t="s">
        <v>30</v>
      </c>
      <c r="B85" s="151" t="s">
        <v>337</v>
      </c>
      <c r="C85" s="199" t="s">
        <v>323</v>
      </c>
      <c r="D85" s="17">
        <v>45716</v>
      </c>
      <c r="E85" s="214" t="s">
        <v>75</v>
      </c>
      <c r="F85" s="215" t="s">
        <v>125</v>
      </c>
      <c r="G85" s="161" t="s">
        <v>16</v>
      </c>
      <c r="H85" s="2" t="s">
        <v>80</v>
      </c>
      <c r="I85" s="4" t="s">
        <v>256</v>
      </c>
      <c r="J85" s="23">
        <v>1</v>
      </c>
      <c r="K85" s="27">
        <v>122000</v>
      </c>
      <c r="L85" s="26">
        <f t="shared" si="16"/>
        <v>122000</v>
      </c>
      <c r="M85" s="27">
        <f t="shared" si="17"/>
        <v>12200</v>
      </c>
      <c r="N85" s="27">
        <f t="shared" si="18"/>
        <v>134200</v>
      </c>
      <c r="O85" s="52">
        <v>101400</v>
      </c>
      <c r="P85" s="197" t="s">
        <v>151</v>
      </c>
      <c r="Q85" s="181">
        <f t="shared" si="19"/>
        <v>20600</v>
      </c>
      <c r="R85" s="68" t="s">
        <v>1294</v>
      </c>
      <c r="S85" s="8" t="s">
        <v>2136</v>
      </c>
      <c r="T85" s="11"/>
    </row>
    <row r="86" spans="1:20" ht="36">
      <c r="A86" t="s">
        <v>30</v>
      </c>
      <c r="B86" s="151" t="s">
        <v>222</v>
      </c>
      <c r="C86" s="199"/>
      <c r="D86" s="17">
        <v>45716</v>
      </c>
      <c r="E86" s="214" t="s">
        <v>2197</v>
      </c>
      <c r="F86" s="215" t="s">
        <v>1</v>
      </c>
      <c r="G86" s="2" t="s">
        <v>16</v>
      </c>
      <c r="H86" s="2" t="s">
        <v>81</v>
      </c>
      <c r="I86" s="4" t="s">
        <v>739</v>
      </c>
      <c r="J86" s="23">
        <v>1</v>
      </c>
      <c r="K86" s="27">
        <v>1200000</v>
      </c>
      <c r="L86" s="26">
        <f t="shared" si="16"/>
        <v>1200000</v>
      </c>
      <c r="M86" s="27">
        <f t="shared" si="17"/>
        <v>120000</v>
      </c>
      <c r="N86" s="27">
        <f t="shared" si="18"/>
        <v>1320000</v>
      </c>
      <c r="O86" s="52">
        <f>600000+1250000/6+1750000/7</f>
        <v>1058333.3333333335</v>
      </c>
      <c r="P86" s="171" t="s">
        <v>1881</v>
      </c>
      <c r="Q86" s="181">
        <f t="shared" si="19"/>
        <v>141666.66666666651</v>
      </c>
      <c r="R86" s="68" t="s">
        <v>1160</v>
      </c>
      <c r="S86" s="8" t="s">
        <v>2133</v>
      </c>
      <c r="T86" s="11"/>
    </row>
    <row r="87" spans="1:20" ht="24">
      <c r="A87" t="s">
        <v>30</v>
      </c>
      <c r="B87" s="151" t="s">
        <v>196</v>
      </c>
      <c r="C87" s="230" t="s">
        <v>279</v>
      </c>
      <c r="D87" s="17">
        <v>45716</v>
      </c>
      <c r="E87" s="214" t="s">
        <v>2195</v>
      </c>
      <c r="F87" s="215" t="s">
        <v>1002</v>
      </c>
      <c r="G87" s="2" t="s">
        <v>16</v>
      </c>
      <c r="H87" s="83" t="s">
        <v>80</v>
      </c>
      <c r="I87" s="4" t="s">
        <v>793</v>
      </c>
      <c r="J87" s="23">
        <v>1</v>
      </c>
      <c r="K87" s="27">
        <f>288000+51200</f>
        <v>339200</v>
      </c>
      <c r="L87" s="26">
        <f t="shared" si="16"/>
        <v>339200</v>
      </c>
      <c r="M87" s="27">
        <f t="shared" si="17"/>
        <v>33920</v>
      </c>
      <c r="N87" s="27">
        <f t="shared" si="18"/>
        <v>373120</v>
      </c>
      <c r="O87" s="52">
        <f>245700+45600</f>
        <v>291300</v>
      </c>
      <c r="P87" s="223" t="s">
        <v>904</v>
      </c>
      <c r="Q87" s="181">
        <f t="shared" si="19"/>
        <v>47900</v>
      </c>
      <c r="R87" s="68" t="s">
        <v>1160</v>
      </c>
      <c r="S87" s="8" t="s">
        <v>2136</v>
      </c>
      <c r="T87" s="11"/>
    </row>
    <row r="88" spans="1:20" ht="24">
      <c r="A88" t="s">
        <v>30</v>
      </c>
      <c r="B88" s="151" t="s">
        <v>211</v>
      </c>
      <c r="C88" s="199" t="s">
        <v>219</v>
      </c>
      <c r="D88" s="17">
        <v>45716</v>
      </c>
      <c r="E88" s="214" t="s">
        <v>2170</v>
      </c>
      <c r="F88" s="215" t="s">
        <v>210</v>
      </c>
      <c r="G88" s="2" t="s">
        <v>16</v>
      </c>
      <c r="H88" s="83" t="s">
        <v>80</v>
      </c>
      <c r="I88" s="163" t="s">
        <v>746</v>
      </c>
      <c r="J88" s="23">
        <v>1</v>
      </c>
      <c r="K88" s="27">
        <v>5082300</v>
      </c>
      <c r="L88" s="26">
        <f t="shared" ref="L88:L94" si="20">J88*K88</f>
        <v>5082300</v>
      </c>
      <c r="M88" s="27">
        <f t="shared" si="17"/>
        <v>508230</v>
      </c>
      <c r="N88" s="27">
        <f t="shared" ref="N88:N94" si="21">SUM(L88:M88)</f>
        <v>5590530</v>
      </c>
      <c r="O88" s="72">
        <f>3709756+10560000/12</f>
        <v>4589756</v>
      </c>
      <c r="P88" s="197" t="s">
        <v>900</v>
      </c>
      <c r="Q88" s="181">
        <f t="shared" si="19"/>
        <v>492544</v>
      </c>
      <c r="R88" s="68" t="s">
        <v>1160</v>
      </c>
      <c r="S88" s="8" t="s">
        <v>2136</v>
      </c>
      <c r="T88" s="11"/>
    </row>
    <row r="89" spans="1:20" ht="24">
      <c r="A89" t="s">
        <v>30</v>
      </c>
      <c r="B89" s="151" t="s">
        <v>301</v>
      </c>
      <c r="C89" s="199" t="s">
        <v>305</v>
      </c>
      <c r="D89" s="17">
        <v>45716</v>
      </c>
      <c r="E89" s="214" t="s">
        <v>110</v>
      </c>
      <c r="F89" s="215" t="s">
        <v>300</v>
      </c>
      <c r="G89" s="2" t="s">
        <v>16</v>
      </c>
      <c r="H89" s="83" t="s">
        <v>80</v>
      </c>
      <c r="I89" s="162" t="s">
        <v>745</v>
      </c>
      <c r="J89" s="23">
        <v>1</v>
      </c>
      <c r="K89" s="27">
        <v>1016100</v>
      </c>
      <c r="L89" s="26">
        <f t="shared" si="20"/>
        <v>1016100</v>
      </c>
      <c r="M89" s="27">
        <f t="shared" si="17"/>
        <v>101610</v>
      </c>
      <c r="N89" s="27">
        <f t="shared" si="21"/>
        <v>1117710</v>
      </c>
      <c r="O89" s="72">
        <f>604800+2160000/6</f>
        <v>964800</v>
      </c>
      <c r="P89" s="197" t="s">
        <v>1073</v>
      </c>
      <c r="Q89" s="181">
        <f t="shared" si="19"/>
        <v>51300</v>
      </c>
      <c r="R89" s="68" t="s">
        <v>1160</v>
      </c>
      <c r="S89" s="36" t="s">
        <v>2136</v>
      </c>
      <c r="T89" s="75"/>
    </row>
    <row r="90" spans="1:20">
      <c r="A90" t="s">
        <v>30</v>
      </c>
      <c r="B90" s="151" t="s">
        <v>293</v>
      </c>
      <c r="C90" s="199" t="s">
        <v>283</v>
      </c>
      <c r="D90" s="17">
        <v>45716</v>
      </c>
      <c r="E90" s="214" t="s">
        <v>2144</v>
      </c>
      <c r="F90" s="215" t="s">
        <v>281</v>
      </c>
      <c r="G90" s="2" t="s">
        <v>16</v>
      </c>
      <c r="H90" s="83" t="s">
        <v>80</v>
      </c>
      <c r="I90" s="4" t="s">
        <v>254</v>
      </c>
      <c r="J90" s="23">
        <v>1</v>
      </c>
      <c r="K90" s="27">
        <v>204700</v>
      </c>
      <c r="L90" s="26">
        <f t="shared" si="20"/>
        <v>204700</v>
      </c>
      <c r="M90" s="27">
        <f t="shared" si="17"/>
        <v>20470</v>
      </c>
      <c r="N90" s="27">
        <f t="shared" si="21"/>
        <v>225170</v>
      </c>
      <c r="O90" s="52">
        <v>243955</v>
      </c>
      <c r="P90" s="197" t="s">
        <v>151</v>
      </c>
      <c r="Q90" s="181">
        <f t="shared" si="19"/>
        <v>-39255</v>
      </c>
      <c r="R90" s="68" t="s">
        <v>1455</v>
      </c>
      <c r="S90" s="8" t="s">
        <v>2136</v>
      </c>
      <c r="T90" s="11"/>
    </row>
    <row r="91" spans="1:20">
      <c r="A91" t="s">
        <v>30</v>
      </c>
      <c r="B91" s="151" t="s">
        <v>347</v>
      </c>
      <c r="C91" s="199" t="s">
        <v>344</v>
      </c>
      <c r="D91" s="17">
        <v>45716</v>
      </c>
      <c r="E91" s="214" t="s">
        <v>2144</v>
      </c>
      <c r="F91" s="215" t="s">
        <v>345</v>
      </c>
      <c r="G91" s="2" t="s">
        <v>16</v>
      </c>
      <c r="H91" s="83" t="s">
        <v>80</v>
      </c>
      <c r="I91" s="163" t="s">
        <v>255</v>
      </c>
      <c r="J91" s="23">
        <v>1</v>
      </c>
      <c r="K91" s="27">
        <v>573000</v>
      </c>
      <c r="L91" s="26">
        <f t="shared" si="20"/>
        <v>573000</v>
      </c>
      <c r="M91" s="27">
        <f t="shared" si="17"/>
        <v>57300</v>
      </c>
      <c r="N91" s="27">
        <f t="shared" si="21"/>
        <v>630300</v>
      </c>
      <c r="O91" s="52">
        <v>505200</v>
      </c>
      <c r="P91" s="197" t="s">
        <v>151</v>
      </c>
      <c r="Q91" s="181">
        <f t="shared" si="19"/>
        <v>67800</v>
      </c>
      <c r="R91" s="68" t="s">
        <v>1455</v>
      </c>
      <c r="S91" s="8" t="s">
        <v>2136</v>
      </c>
      <c r="T91" s="11"/>
    </row>
    <row r="92" spans="1:20">
      <c r="A92" t="s">
        <v>30</v>
      </c>
      <c r="B92" s="151" t="s">
        <v>349</v>
      </c>
      <c r="C92" s="199" t="s">
        <v>350</v>
      </c>
      <c r="D92" s="17">
        <v>45716</v>
      </c>
      <c r="E92" s="214" t="s">
        <v>2144</v>
      </c>
      <c r="F92" s="215" t="s">
        <v>351</v>
      </c>
      <c r="G92" s="2" t="s">
        <v>16</v>
      </c>
      <c r="H92" s="83" t="s">
        <v>80</v>
      </c>
      <c r="I92" s="163" t="s">
        <v>733</v>
      </c>
      <c r="J92" s="23">
        <v>1</v>
      </c>
      <c r="K92" s="27">
        <v>220000</v>
      </c>
      <c r="L92" s="26">
        <f t="shared" si="20"/>
        <v>220000</v>
      </c>
      <c r="M92" s="27">
        <f t="shared" si="17"/>
        <v>22000</v>
      </c>
      <c r="N92" s="27">
        <f t="shared" si="21"/>
        <v>242000</v>
      </c>
      <c r="O92" s="52">
        <v>204600</v>
      </c>
      <c r="P92" s="197" t="s">
        <v>151</v>
      </c>
      <c r="Q92" s="181">
        <f t="shared" si="19"/>
        <v>15400</v>
      </c>
      <c r="R92" s="68" t="s">
        <v>1455</v>
      </c>
      <c r="S92" s="8" t="s">
        <v>2136</v>
      </c>
      <c r="T92" s="11"/>
    </row>
    <row r="93" spans="1:20">
      <c r="A93" t="s">
        <v>30</v>
      </c>
      <c r="B93" s="151" t="s">
        <v>490</v>
      </c>
      <c r="C93" s="153" t="s">
        <v>639</v>
      </c>
      <c r="D93" s="17">
        <v>45716</v>
      </c>
      <c r="E93" s="214" t="s">
        <v>2144</v>
      </c>
      <c r="F93" s="215" t="s">
        <v>1094</v>
      </c>
      <c r="G93" s="2" t="s">
        <v>16</v>
      </c>
      <c r="H93" s="2" t="s">
        <v>80</v>
      </c>
      <c r="I93" s="4" t="s">
        <v>252</v>
      </c>
      <c r="J93" s="23">
        <v>1</v>
      </c>
      <c r="K93" s="27">
        <v>700000</v>
      </c>
      <c r="L93" s="26">
        <f t="shared" si="20"/>
        <v>700000</v>
      </c>
      <c r="M93" s="27">
        <f t="shared" si="17"/>
        <v>70000</v>
      </c>
      <c r="N93" s="27">
        <f t="shared" si="21"/>
        <v>770000</v>
      </c>
      <c r="O93" s="33">
        <v>661800</v>
      </c>
      <c r="P93" s="197" t="s">
        <v>151</v>
      </c>
      <c r="Q93" s="20">
        <f t="shared" si="19"/>
        <v>38200</v>
      </c>
      <c r="R93" s="68" t="s">
        <v>1455</v>
      </c>
      <c r="S93" s="5" t="s">
        <v>2136</v>
      </c>
      <c r="T93" s="11"/>
    </row>
    <row r="94" spans="1:20" ht="24">
      <c r="A94" t="s">
        <v>30</v>
      </c>
      <c r="B94" s="151" t="s">
        <v>511</v>
      </c>
      <c r="C94" s="153" t="s">
        <v>446</v>
      </c>
      <c r="D94" s="17">
        <v>45716</v>
      </c>
      <c r="E94" s="214" t="s">
        <v>2144</v>
      </c>
      <c r="F94" s="215" t="s">
        <v>480</v>
      </c>
      <c r="G94" s="2" t="s">
        <v>16</v>
      </c>
      <c r="H94" s="2" t="s">
        <v>80</v>
      </c>
      <c r="I94" s="4" t="s">
        <v>252</v>
      </c>
      <c r="J94" s="23">
        <v>1</v>
      </c>
      <c r="K94" s="27">
        <v>380000</v>
      </c>
      <c r="L94" s="26">
        <f t="shared" si="20"/>
        <v>380000</v>
      </c>
      <c r="M94" s="27">
        <f t="shared" si="17"/>
        <v>38000</v>
      </c>
      <c r="N94" s="27">
        <f t="shared" si="21"/>
        <v>418000</v>
      </c>
      <c r="O94" s="33">
        <f>289800+500000/12</f>
        <v>331466.66666666669</v>
      </c>
      <c r="P94" s="197" t="s">
        <v>905</v>
      </c>
      <c r="Q94" s="20">
        <f t="shared" si="19"/>
        <v>48533.333333333314</v>
      </c>
      <c r="R94" s="68" t="s">
        <v>1455</v>
      </c>
      <c r="S94" s="5" t="s">
        <v>2136</v>
      </c>
      <c r="T94" s="11"/>
    </row>
    <row r="95" spans="1:20">
      <c r="A95" t="s">
        <v>30</v>
      </c>
      <c r="B95" s="151" t="s">
        <v>447</v>
      </c>
      <c r="C95" s="153" t="s">
        <v>448</v>
      </c>
      <c r="D95" s="17">
        <v>45716</v>
      </c>
      <c r="E95" s="214" t="s">
        <v>2144</v>
      </c>
      <c r="F95" s="215" t="s">
        <v>481</v>
      </c>
      <c r="G95" s="2" t="s">
        <v>16</v>
      </c>
      <c r="H95" s="2" t="s">
        <v>80</v>
      </c>
      <c r="I95" s="4" t="s">
        <v>252</v>
      </c>
      <c r="J95" s="23">
        <v>1</v>
      </c>
      <c r="K95" s="27">
        <v>625000</v>
      </c>
      <c r="L95" s="26">
        <f t="shared" ref="L95:L118" si="22">J95*K95</f>
        <v>625000</v>
      </c>
      <c r="M95" s="27">
        <f t="shared" si="17"/>
        <v>62500</v>
      </c>
      <c r="N95" s="27">
        <f t="shared" ref="N95:N114" si="23">SUM(L95:M95)</f>
        <v>687500</v>
      </c>
      <c r="O95" s="33">
        <v>590400</v>
      </c>
      <c r="P95" s="197" t="s">
        <v>151</v>
      </c>
      <c r="Q95" s="20">
        <f t="shared" si="19"/>
        <v>34600</v>
      </c>
      <c r="R95" s="68" t="s">
        <v>1455</v>
      </c>
      <c r="S95" s="5" t="s">
        <v>2136</v>
      </c>
      <c r="T95" s="11"/>
    </row>
    <row r="96" spans="1:20">
      <c r="A96" t="s">
        <v>30</v>
      </c>
      <c r="B96" s="151" t="s">
        <v>493</v>
      </c>
      <c r="C96" s="153" t="s">
        <v>494</v>
      </c>
      <c r="D96" s="17">
        <v>45716</v>
      </c>
      <c r="E96" s="214" t="s">
        <v>2144</v>
      </c>
      <c r="F96" s="215" t="s">
        <v>495</v>
      </c>
      <c r="G96" s="2" t="s">
        <v>16</v>
      </c>
      <c r="H96" s="2" t="s">
        <v>80</v>
      </c>
      <c r="I96" s="4" t="s">
        <v>252</v>
      </c>
      <c r="J96" s="23">
        <v>1</v>
      </c>
      <c r="K96" s="27">
        <v>1232000</v>
      </c>
      <c r="L96" s="26">
        <f t="shared" si="22"/>
        <v>1232000</v>
      </c>
      <c r="M96" s="27">
        <f t="shared" si="17"/>
        <v>123200</v>
      </c>
      <c r="N96" s="27">
        <f t="shared" si="23"/>
        <v>1355200</v>
      </c>
      <c r="O96" s="33">
        <v>1196100</v>
      </c>
      <c r="P96" s="197" t="s">
        <v>151</v>
      </c>
      <c r="Q96" s="20">
        <f t="shared" si="19"/>
        <v>35900</v>
      </c>
      <c r="R96" s="68" t="s">
        <v>1455</v>
      </c>
      <c r="S96" s="8" t="s">
        <v>2136</v>
      </c>
      <c r="T96" s="11"/>
    </row>
    <row r="97" spans="1:20">
      <c r="A97" t="s">
        <v>30</v>
      </c>
      <c r="B97" s="151" t="s">
        <v>282</v>
      </c>
      <c r="C97" s="200"/>
      <c r="D97" s="17">
        <v>45716</v>
      </c>
      <c r="E97" s="214" t="s">
        <v>4</v>
      </c>
      <c r="F97" s="189" t="s">
        <v>124</v>
      </c>
      <c r="G97" s="161" t="s">
        <v>16</v>
      </c>
      <c r="H97" s="161" t="s">
        <v>138</v>
      </c>
      <c r="I97" s="163" t="s">
        <v>257</v>
      </c>
      <c r="J97" s="24">
        <v>1</v>
      </c>
      <c r="K97" s="26">
        <v>1366000</v>
      </c>
      <c r="L97" s="26">
        <f t="shared" si="22"/>
        <v>1366000</v>
      </c>
      <c r="M97" s="27">
        <f t="shared" si="17"/>
        <v>136600</v>
      </c>
      <c r="N97" s="27">
        <f t="shared" si="23"/>
        <v>1502600</v>
      </c>
      <c r="O97" s="72">
        <v>1263250</v>
      </c>
      <c r="P97" s="171" t="s">
        <v>646</v>
      </c>
      <c r="Q97" s="181">
        <f t="shared" si="19"/>
        <v>102750</v>
      </c>
      <c r="R97" s="68" t="s">
        <v>1156</v>
      </c>
      <c r="S97" s="5" t="s">
        <v>2136</v>
      </c>
      <c r="T97" s="11"/>
    </row>
    <row r="98" spans="1:20" ht="24">
      <c r="A98" t="s">
        <v>30</v>
      </c>
      <c r="B98" s="151" t="s">
        <v>288</v>
      </c>
      <c r="C98" s="199"/>
      <c r="D98" s="17">
        <v>45716</v>
      </c>
      <c r="E98" s="214" t="s">
        <v>2143</v>
      </c>
      <c r="F98" s="215"/>
      <c r="G98" s="161" t="s">
        <v>16</v>
      </c>
      <c r="H98" s="161" t="s">
        <v>138</v>
      </c>
      <c r="I98" s="163" t="s">
        <v>744</v>
      </c>
      <c r="J98" s="23">
        <v>1</v>
      </c>
      <c r="K98" s="27">
        <v>3916667</v>
      </c>
      <c r="L98" s="26">
        <f t="shared" si="22"/>
        <v>3916667</v>
      </c>
      <c r="M98" s="27">
        <v>391667</v>
      </c>
      <c r="N98" s="27">
        <f t="shared" si="23"/>
        <v>4308334</v>
      </c>
      <c r="O98" s="72">
        <f>5423462/12+3239404</f>
        <v>3691359.1666666665</v>
      </c>
      <c r="P98" s="223" t="s">
        <v>797</v>
      </c>
      <c r="Q98" s="181">
        <f t="shared" si="19"/>
        <v>225307.83333333349</v>
      </c>
      <c r="R98" s="68" t="s">
        <v>1160</v>
      </c>
      <c r="S98" s="8" t="s">
        <v>2134</v>
      </c>
      <c r="T98" s="11"/>
    </row>
    <row r="99" spans="1:20">
      <c r="A99" t="s">
        <v>30</v>
      </c>
      <c r="B99" s="151" t="s">
        <v>290</v>
      </c>
      <c r="C99" s="199" t="s">
        <v>284</v>
      </c>
      <c r="D99" s="17">
        <v>45716</v>
      </c>
      <c r="E99" s="214" t="s">
        <v>285</v>
      </c>
      <c r="F99" s="215" t="s">
        <v>286</v>
      </c>
      <c r="G99" s="2" t="s">
        <v>16</v>
      </c>
      <c r="H99" s="83" t="s">
        <v>80</v>
      </c>
      <c r="I99" s="4" t="s">
        <v>743</v>
      </c>
      <c r="J99" s="23">
        <v>1</v>
      </c>
      <c r="K99" s="27">
        <v>659700</v>
      </c>
      <c r="L99" s="26">
        <f t="shared" si="22"/>
        <v>659700</v>
      </c>
      <c r="M99" s="27">
        <f t="shared" ref="M99:M118" si="24">L99*10%</f>
        <v>65970</v>
      </c>
      <c r="N99" s="27">
        <f t="shared" si="23"/>
        <v>725670</v>
      </c>
      <c r="O99" s="72">
        <v>518541</v>
      </c>
      <c r="P99" s="197" t="s">
        <v>151</v>
      </c>
      <c r="Q99" s="181">
        <f t="shared" si="19"/>
        <v>141159</v>
      </c>
      <c r="R99" s="68" t="s">
        <v>1455</v>
      </c>
      <c r="S99" s="8" t="s">
        <v>2136</v>
      </c>
      <c r="T99" s="75"/>
    </row>
    <row r="100" spans="1:20">
      <c r="A100" t="s">
        <v>30</v>
      </c>
      <c r="B100" s="151" t="s">
        <v>336</v>
      </c>
      <c r="C100" s="199" t="s">
        <v>310</v>
      </c>
      <c r="D100" s="17">
        <v>45716</v>
      </c>
      <c r="E100" s="214" t="s">
        <v>41</v>
      </c>
      <c r="F100" s="215" t="s">
        <v>192</v>
      </c>
      <c r="G100" s="2" t="s">
        <v>16</v>
      </c>
      <c r="H100" s="83" t="s">
        <v>80</v>
      </c>
      <c r="I100" s="4" t="s">
        <v>256</v>
      </c>
      <c r="J100" s="23">
        <v>1</v>
      </c>
      <c r="K100" s="27">
        <v>285500</v>
      </c>
      <c r="L100" s="26">
        <f t="shared" si="22"/>
        <v>285500</v>
      </c>
      <c r="M100" s="27">
        <f t="shared" si="24"/>
        <v>28550</v>
      </c>
      <c r="N100" s="27">
        <f t="shared" si="23"/>
        <v>314050</v>
      </c>
      <c r="O100" s="72">
        <v>249900</v>
      </c>
      <c r="P100" s="197" t="s">
        <v>151</v>
      </c>
      <c r="Q100" s="181">
        <f t="shared" si="19"/>
        <v>35600</v>
      </c>
      <c r="R100" s="2" t="s">
        <v>1455</v>
      </c>
      <c r="S100" s="8" t="s">
        <v>2136</v>
      </c>
      <c r="T100" s="75"/>
    </row>
    <row r="101" spans="1:20" ht="24">
      <c r="A101" t="s">
        <v>30</v>
      </c>
      <c r="B101" s="151" t="s">
        <v>292</v>
      </c>
      <c r="C101" s="199" t="s">
        <v>295</v>
      </c>
      <c r="D101" s="17">
        <v>45716</v>
      </c>
      <c r="E101" s="214" t="s">
        <v>94</v>
      </c>
      <c r="F101" s="215" t="s">
        <v>131</v>
      </c>
      <c r="G101" s="2" t="s">
        <v>16</v>
      </c>
      <c r="H101" s="83" t="s">
        <v>80</v>
      </c>
      <c r="I101" s="163" t="s">
        <v>254</v>
      </c>
      <c r="J101" s="23">
        <v>1</v>
      </c>
      <c r="K101" s="27">
        <v>909000</v>
      </c>
      <c r="L101" s="26">
        <f t="shared" si="22"/>
        <v>909000</v>
      </c>
      <c r="M101" s="27">
        <f t="shared" si="24"/>
        <v>90900</v>
      </c>
      <c r="N101" s="27">
        <f t="shared" si="23"/>
        <v>999900</v>
      </c>
      <c r="O101" s="72">
        <f>310500+305280</f>
        <v>615780</v>
      </c>
      <c r="P101" s="223" t="s">
        <v>1282</v>
      </c>
      <c r="Q101" s="181">
        <f t="shared" si="19"/>
        <v>293220</v>
      </c>
      <c r="R101" s="68" t="s">
        <v>1160</v>
      </c>
      <c r="S101" s="8" t="s">
        <v>2136</v>
      </c>
      <c r="T101" s="11"/>
    </row>
    <row r="102" spans="1:20">
      <c r="A102" t="s">
        <v>30</v>
      </c>
      <c r="B102" s="151" t="s">
        <v>304</v>
      </c>
      <c r="C102" s="199"/>
      <c r="D102" s="17">
        <v>45716</v>
      </c>
      <c r="E102" s="214" t="s">
        <v>296</v>
      </c>
      <c r="F102" s="215" t="s">
        <v>297</v>
      </c>
      <c r="G102" s="2" t="s">
        <v>16</v>
      </c>
      <c r="H102" s="161" t="s">
        <v>138</v>
      </c>
      <c r="I102" s="163" t="s">
        <v>743</v>
      </c>
      <c r="J102" s="23">
        <v>1</v>
      </c>
      <c r="K102" s="27">
        <v>207000</v>
      </c>
      <c r="L102" s="26">
        <f t="shared" si="22"/>
        <v>207000</v>
      </c>
      <c r="M102" s="27">
        <f t="shared" si="24"/>
        <v>20700</v>
      </c>
      <c r="N102" s="27">
        <f t="shared" si="23"/>
        <v>227700</v>
      </c>
      <c r="O102" s="72">
        <v>190849</v>
      </c>
      <c r="P102" s="171" t="s">
        <v>646</v>
      </c>
      <c r="Q102" s="181">
        <f t="shared" si="19"/>
        <v>16151</v>
      </c>
      <c r="R102" s="68" t="s">
        <v>1160</v>
      </c>
      <c r="S102" s="8" t="s">
        <v>2136</v>
      </c>
      <c r="T102" s="11"/>
    </row>
    <row r="103" spans="1:20">
      <c r="A103" t="s">
        <v>30</v>
      </c>
      <c r="B103" s="151" t="s">
        <v>303</v>
      </c>
      <c r="C103" s="199"/>
      <c r="D103" s="17">
        <v>45716</v>
      </c>
      <c r="E103" s="214" t="s">
        <v>299</v>
      </c>
      <c r="F103" s="215" t="s">
        <v>136</v>
      </c>
      <c r="G103" s="2" t="s">
        <v>16</v>
      </c>
      <c r="H103" s="161" t="s">
        <v>81</v>
      </c>
      <c r="I103" s="162" t="s">
        <v>740</v>
      </c>
      <c r="J103" s="23">
        <v>1</v>
      </c>
      <c r="K103" s="27">
        <v>155000</v>
      </c>
      <c r="L103" s="26">
        <f t="shared" si="22"/>
        <v>155000</v>
      </c>
      <c r="M103" s="27">
        <f t="shared" si="24"/>
        <v>15500</v>
      </c>
      <c r="N103" s="27">
        <f t="shared" si="23"/>
        <v>170500</v>
      </c>
      <c r="O103" s="52">
        <f>1440000/12</f>
        <v>120000</v>
      </c>
      <c r="P103" s="171" t="s">
        <v>796</v>
      </c>
      <c r="Q103" s="181">
        <f t="shared" si="19"/>
        <v>35000</v>
      </c>
      <c r="R103" s="68" t="s">
        <v>1160</v>
      </c>
      <c r="S103" s="36" t="s">
        <v>2133</v>
      </c>
      <c r="T103" s="75"/>
    </row>
    <row r="104" spans="1:20" ht="24">
      <c r="A104" t="s">
        <v>30</v>
      </c>
      <c r="B104" s="151" t="s">
        <v>341</v>
      </c>
      <c r="C104" s="199" t="s">
        <v>328</v>
      </c>
      <c r="D104" s="17">
        <v>45716</v>
      </c>
      <c r="E104" s="214" t="s">
        <v>198</v>
      </c>
      <c r="F104" s="215" t="s">
        <v>199</v>
      </c>
      <c r="G104" s="2" t="s">
        <v>16</v>
      </c>
      <c r="H104" s="83" t="s">
        <v>80</v>
      </c>
      <c r="I104" s="163" t="s">
        <v>255</v>
      </c>
      <c r="J104" s="23">
        <v>1</v>
      </c>
      <c r="K104" s="27">
        <v>645600</v>
      </c>
      <c r="L104" s="26">
        <f t="shared" si="22"/>
        <v>645600</v>
      </c>
      <c r="M104" s="27">
        <f t="shared" si="24"/>
        <v>64560</v>
      </c>
      <c r="N104" s="27">
        <f t="shared" si="23"/>
        <v>710160</v>
      </c>
      <c r="O104" s="52">
        <f>494903+1200000/9</f>
        <v>628236.33333333337</v>
      </c>
      <c r="P104" s="223" t="s">
        <v>1338</v>
      </c>
      <c r="Q104" s="181">
        <f t="shared" ref="Q104:Q108" si="25">L104-O104</f>
        <v>17363.666666666628</v>
      </c>
      <c r="R104" s="68" t="s">
        <v>1160</v>
      </c>
      <c r="S104" s="8" t="s">
        <v>2136</v>
      </c>
      <c r="T104" s="11"/>
    </row>
    <row r="105" spans="1:20">
      <c r="A105" t="s">
        <v>30</v>
      </c>
      <c r="B105" s="151" t="s">
        <v>332</v>
      </c>
      <c r="C105" s="200" t="s">
        <v>334</v>
      </c>
      <c r="D105" s="17">
        <v>45716</v>
      </c>
      <c r="E105" s="214" t="s">
        <v>68</v>
      </c>
      <c r="F105" s="189" t="s">
        <v>189</v>
      </c>
      <c r="G105" s="161" t="s">
        <v>16</v>
      </c>
      <c r="H105" s="161" t="s">
        <v>138</v>
      </c>
      <c r="I105" s="163" t="s">
        <v>255</v>
      </c>
      <c r="J105" s="24">
        <v>1</v>
      </c>
      <c r="K105" s="26">
        <v>700000</v>
      </c>
      <c r="L105" s="26">
        <f t="shared" si="22"/>
        <v>700000</v>
      </c>
      <c r="M105" s="27">
        <f t="shared" si="24"/>
        <v>70000</v>
      </c>
      <c r="N105" s="27">
        <f t="shared" si="23"/>
        <v>770000</v>
      </c>
      <c r="O105" s="33">
        <v>499500</v>
      </c>
      <c r="P105" s="197" t="s">
        <v>151</v>
      </c>
      <c r="Q105" s="21">
        <f t="shared" si="25"/>
        <v>200500</v>
      </c>
      <c r="R105" s="68" t="s">
        <v>995</v>
      </c>
      <c r="S105" s="5" t="s">
        <v>2133</v>
      </c>
      <c r="T105" s="11"/>
    </row>
    <row r="106" spans="1:20">
      <c r="A106" t="s">
        <v>30</v>
      </c>
      <c r="B106" s="151" t="s">
        <v>363</v>
      </c>
      <c r="C106" s="153" t="s">
        <v>362</v>
      </c>
      <c r="D106" s="17">
        <v>45716</v>
      </c>
      <c r="E106" s="214" t="s">
        <v>2200</v>
      </c>
      <c r="F106" s="215" t="s">
        <v>119</v>
      </c>
      <c r="G106" s="161" t="s">
        <v>16</v>
      </c>
      <c r="H106" s="83" t="s">
        <v>80</v>
      </c>
      <c r="I106" s="4" t="s">
        <v>742</v>
      </c>
      <c r="J106" s="23">
        <v>1</v>
      </c>
      <c r="K106" s="27">
        <v>13057800</v>
      </c>
      <c r="L106" s="26">
        <f t="shared" si="22"/>
        <v>13057800</v>
      </c>
      <c r="M106" s="27">
        <f t="shared" si="24"/>
        <v>1305780</v>
      </c>
      <c r="N106" s="27">
        <f t="shared" si="23"/>
        <v>14363580</v>
      </c>
      <c r="O106" s="33">
        <v>11892500</v>
      </c>
      <c r="P106" s="197" t="s">
        <v>151</v>
      </c>
      <c r="Q106" s="21">
        <f t="shared" si="25"/>
        <v>1165300</v>
      </c>
      <c r="R106" s="68" t="s">
        <v>1160</v>
      </c>
      <c r="S106" s="36" t="s">
        <v>2136</v>
      </c>
      <c r="T106" s="11"/>
    </row>
    <row r="107" spans="1:20" ht="24">
      <c r="A107" t="s">
        <v>30</v>
      </c>
      <c r="B107" s="151" t="s">
        <v>665</v>
      </c>
      <c r="C107" s="153" t="s">
        <v>666</v>
      </c>
      <c r="D107" s="17">
        <v>45716</v>
      </c>
      <c r="E107" s="1" t="s">
        <v>2200</v>
      </c>
      <c r="F107" s="2" t="s">
        <v>690</v>
      </c>
      <c r="G107" s="2" t="s">
        <v>16</v>
      </c>
      <c r="H107" s="2" t="s">
        <v>80</v>
      </c>
      <c r="I107" s="4" t="s">
        <v>740</v>
      </c>
      <c r="J107" s="23">
        <v>1</v>
      </c>
      <c r="K107" s="27">
        <v>202000</v>
      </c>
      <c r="L107" s="26">
        <f t="shared" si="22"/>
        <v>202000</v>
      </c>
      <c r="M107" s="27">
        <f t="shared" si="24"/>
        <v>20200</v>
      </c>
      <c r="N107" s="27">
        <f t="shared" si="23"/>
        <v>222200</v>
      </c>
      <c r="O107" s="33">
        <v>180600</v>
      </c>
      <c r="P107" s="197" t="s">
        <v>151</v>
      </c>
      <c r="Q107" s="20">
        <f>L107-O107</f>
        <v>21400</v>
      </c>
      <c r="R107" s="68" t="s">
        <v>1160</v>
      </c>
      <c r="S107" s="8" t="s">
        <v>2136</v>
      </c>
      <c r="T107" s="11"/>
    </row>
    <row r="108" spans="1:20" ht="24">
      <c r="A108" t="s">
        <v>30</v>
      </c>
      <c r="B108" s="151" t="s">
        <v>380</v>
      </c>
      <c r="C108" s="208" t="s">
        <v>381</v>
      </c>
      <c r="D108" s="17">
        <v>45716</v>
      </c>
      <c r="E108" s="214" t="s">
        <v>2201</v>
      </c>
      <c r="F108" s="189" t="s">
        <v>379</v>
      </c>
      <c r="G108" s="161" t="s">
        <v>16</v>
      </c>
      <c r="H108" s="83" t="s">
        <v>80</v>
      </c>
      <c r="I108" s="163" t="s">
        <v>252</v>
      </c>
      <c r="J108" s="24">
        <v>1</v>
      </c>
      <c r="K108" s="26">
        <v>2871300</v>
      </c>
      <c r="L108" s="26">
        <f t="shared" si="22"/>
        <v>2871300</v>
      </c>
      <c r="M108" s="27">
        <f t="shared" si="24"/>
        <v>287130</v>
      </c>
      <c r="N108" s="27">
        <f t="shared" si="23"/>
        <v>3158430</v>
      </c>
      <c r="O108" s="33">
        <f>1981200+655500</f>
        <v>2636700</v>
      </c>
      <c r="P108" s="197" t="s">
        <v>906</v>
      </c>
      <c r="Q108" s="21">
        <f t="shared" si="25"/>
        <v>234600</v>
      </c>
      <c r="R108" s="68" t="s">
        <v>1454</v>
      </c>
      <c r="S108" s="5" t="s">
        <v>2136</v>
      </c>
      <c r="T108" s="11"/>
    </row>
    <row r="109" spans="1:20" ht="60">
      <c r="A109" t="s">
        <v>30</v>
      </c>
      <c r="B109" s="151" t="s">
        <v>963</v>
      </c>
      <c r="C109" s="200"/>
      <c r="D109" s="17">
        <v>45716</v>
      </c>
      <c r="E109" s="214" t="s">
        <v>2199</v>
      </c>
      <c r="F109" s="215" t="s">
        <v>152</v>
      </c>
      <c r="G109" s="2" t="s">
        <v>16</v>
      </c>
      <c r="H109" s="161" t="s">
        <v>138</v>
      </c>
      <c r="I109" s="163" t="s">
        <v>252</v>
      </c>
      <c r="J109" s="23">
        <v>1</v>
      </c>
      <c r="K109" s="27">
        <v>4761667</v>
      </c>
      <c r="L109" s="26">
        <f t="shared" si="22"/>
        <v>4761667</v>
      </c>
      <c r="M109" s="27">
        <f t="shared" si="24"/>
        <v>476166.7</v>
      </c>
      <c r="N109" s="27">
        <f t="shared" si="23"/>
        <v>5237833.7</v>
      </c>
      <c r="O109" s="72">
        <v>4437257</v>
      </c>
      <c r="P109" s="170" t="s">
        <v>1482</v>
      </c>
      <c r="Q109" s="21">
        <f>L109-O109</f>
        <v>324410</v>
      </c>
      <c r="R109" s="68" t="s">
        <v>1160</v>
      </c>
      <c r="S109" s="8" t="s">
        <v>2133</v>
      </c>
      <c r="T109" s="11"/>
    </row>
    <row r="110" spans="1:20" ht="60">
      <c r="A110" t="s">
        <v>30</v>
      </c>
      <c r="B110" s="151" t="s">
        <v>964</v>
      </c>
      <c r="C110" s="200"/>
      <c r="D110" s="17">
        <v>45716</v>
      </c>
      <c r="E110" s="214" t="s">
        <v>2199</v>
      </c>
      <c r="F110" s="215" t="s">
        <v>241</v>
      </c>
      <c r="G110" s="2" t="s">
        <v>16</v>
      </c>
      <c r="H110" s="161" t="s">
        <v>138</v>
      </c>
      <c r="I110" s="163" t="s">
        <v>252</v>
      </c>
      <c r="J110" s="23">
        <v>1</v>
      </c>
      <c r="K110" s="27">
        <v>11210000</v>
      </c>
      <c r="L110" s="26">
        <f t="shared" si="22"/>
        <v>11210000</v>
      </c>
      <c r="M110" s="27">
        <f t="shared" si="24"/>
        <v>1121000</v>
      </c>
      <c r="N110" s="27">
        <f t="shared" si="23"/>
        <v>12331000</v>
      </c>
      <c r="O110" s="72">
        <v>10800000</v>
      </c>
      <c r="P110" s="170" t="s">
        <v>1481</v>
      </c>
      <c r="Q110" s="21">
        <f>L110-O110</f>
        <v>410000</v>
      </c>
      <c r="R110" s="68" t="s">
        <v>1160</v>
      </c>
      <c r="S110" s="8" t="s">
        <v>2133</v>
      </c>
      <c r="T110" s="11"/>
    </row>
    <row r="111" spans="1:20" ht="24">
      <c r="A111" t="s">
        <v>30</v>
      </c>
      <c r="B111" s="151" t="s">
        <v>962</v>
      </c>
      <c r="C111" s="199"/>
      <c r="D111" s="17">
        <v>45716</v>
      </c>
      <c r="E111" s="1" t="s">
        <v>2199</v>
      </c>
      <c r="F111" s="2" t="s">
        <v>265</v>
      </c>
      <c r="G111" s="2" t="s">
        <v>16</v>
      </c>
      <c r="H111" s="2" t="s">
        <v>81</v>
      </c>
      <c r="I111" s="163" t="s">
        <v>252</v>
      </c>
      <c r="J111" s="23">
        <v>1</v>
      </c>
      <c r="K111" s="27">
        <v>880000</v>
      </c>
      <c r="L111" s="26">
        <f t="shared" si="22"/>
        <v>880000</v>
      </c>
      <c r="M111" s="27">
        <f t="shared" si="24"/>
        <v>88000</v>
      </c>
      <c r="N111" s="27">
        <f t="shared" si="23"/>
        <v>968000</v>
      </c>
      <c r="O111" s="52">
        <f>376200+1000000/3</f>
        <v>709533.33333333326</v>
      </c>
      <c r="P111" s="171" t="s">
        <v>1375</v>
      </c>
      <c r="Q111" s="181">
        <f t="shared" ref="Q111:Q114" si="26">L111-O111</f>
        <v>170466.66666666674</v>
      </c>
      <c r="R111" s="68" t="s">
        <v>1294</v>
      </c>
      <c r="S111" s="8" t="s">
        <v>2133</v>
      </c>
      <c r="T111" s="11"/>
    </row>
    <row r="112" spans="1:20" ht="24">
      <c r="A112" t="s">
        <v>30</v>
      </c>
      <c r="B112" s="151" t="s">
        <v>960</v>
      </c>
      <c r="C112" s="199"/>
      <c r="D112" s="17">
        <v>45716</v>
      </c>
      <c r="E112" s="1" t="s">
        <v>2199</v>
      </c>
      <c r="F112" s="2" t="s">
        <v>130</v>
      </c>
      <c r="G112" s="161" t="s">
        <v>16</v>
      </c>
      <c r="H112" s="161" t="s">
        <v>138</v>
      </c>
      <c r="I112" s="163" t="s">
        <v>252</v>
      </c>
      <c r="J112" s="34">
        <v>1</v>
      </c>
      <c r="K112" s="48">
        <v>3500000</v>
      </c>
      <c r="L112" s="26">
        <f t="shared" si="22"/>
        <v>3500000</v>
      </c>
      <c r="M112" s="27">
        <f t="shared" si="24"/>
        <v>350000</v>
      </c>
      <c r="N112" s="27">
        <f t="shared" si="23"/>
        <v>3850000</v>
      </c>
      <c r="O112" s="82">
        <f>2421068/2+6000000/3</f>
        <v>3210534</v>
      </c>
      <c r="P112" s="170" t="s">
        <v>1995</v>
      </c>
      <c r="Q112" s="181">
        <f t="shared" si="26"/>
        <v>289466</v>
      </c>
      <c r="R112" s="68" t="s">
        <v>1294</v>
      </c>
      <c r="S112" s="8" t="s">
        <v>2133</v>
      </c>
      <c r="T112" s="11"/>
    </row>
    <row r="113" spans="1:20">
      <c r="A113" t="s">
        <v>30</v>
      </c>
      <c r="B113" s="151" t="s">
        <v>449</v>
      </c>
      <c r="C113" s="199"/>
      <c r="D113" s="17">
        <v>45716</v>
      </c>
      <c r="E113" s="214" t="s">
        <v>2159</v>
      </c>
      <c r="F113" s="215" t="s">
        <v>249</v>
      </c>
      <c r="G113" s="2" t="s">
        <v>16</v>
      </c>
      <c r="H113" s="2" t="s">
        <v>80</v>
      </c>
      <c r="I113" s="4" t="s">
        <v>794</v>
      </c>
      <c r="J113" s="23">
        <v>1</v>
      </c>
      <c r="K113" s="27">
        <v>850000</v>
      </c>
      <c r="L113" s="26">
        <f t="shared" si="22"/>
        <v>850000</v>
      </c>
      <c r="M113" s="27">
        <f t="shared" si="24"/>
        <v>85000</v>
      </c>
      <c r="N113" s="27">
        <f t="shared" si="23"/>
        <v>935000</v>
      </c>
      <c r="O113" s="52">
        <v>700000</v>
      </c>
      <c r="P113" s="171" t="s">
        <v>907</v>
      </c>
      <c r="Q113" s="181">
        <f t="shared" si="26"/>
        <v>150000</v>
      </c>
      <c r="R113" s="68" t="s">
        <v>1559</v>
      </c>
      <c r="S113" s="8" t="s">
        <v>2136</v>
      </c>
      <c r="T113" s="11"/>
    </row>
    <row r="114" spans="1:20" ht="24">
      <c r="A114" t="s">
        <v>30</v>
      </c>
      <c r="B114" s="151" t="s">
        <v>449</v>
      </c>
      <c r="C114" s="199"/>
      <c r="D114" s="17">
        <v>45716</v>
      </c>
      <c r="E114" s="214" t="s">
        <v>2165</v>
      </c>
      <c r="F114" s="215" t="s">
        <v>250</v>
      </c>
      <c r="G114" s="2" t="s">
        <v>16</v>
      </c>
      <c r="H114" s="2" t="s">
        <v>80</v>
      </c>
      <c r="I114" s="4" t="s">
        <v>741</v>
      </c>
      <c r="J114" s="23">
        <v>1</v>
      </c>
      <c r="K114" s="27">
        <v>4600000</v>
      </c>
      <c r="L114" s="26">
        <f t="shared" si="22"/>
        <v>4600000</v>
      </c>
      <c r="M114" s="27">
        <f t="shared" si="24"/>
        <v>460000</v>
      </c>
      <c r="N114" s="27">
        <f t="shared" si="23"/>
        <v>5060000</v>
      </c>
      <c r="O114" s="52">
        <f>4250000+2400000/12</f>
        <v>4450000</v>
      </c>
      <c r="P114" s="171" t="s">
        <v>908</v>
      </c>
      <c r="Q114" s="181">
        <f t="shared" si="26"/>
        <v>150000</v>
      </c>
      <c r="R114" s="68" t="s">
        <v>1559</v>
      </c>
      <c r="S114" s="8" t="s">
        <v>2136</v>
      </c>
      <c r="T114" s="11"/>
    </row>
    <row r="115" spans="1:20">
      <c r="A115" t="s">
        <v>30</v>
      </c>
      <c r="B115" s="151" t="s">
        <v>450</v>
      </c>
      <c r="C115" s="153" t="s">
        <v>451</v>
      </c>
      <c r="D115" s="17">
        <v>45716</v>
      </c>
      <c r="E115" s="214" t="s">
        <v>409</v>
      </c>
      <c r="F115" s="215" t="s">
        <v>453</v>
      </c>
      <c r="G115" s="2" t="s">
        <v>16</v>
      </c>
      <c r="H115" s="2" t="s">
        <v>80</v>
      </c>
      <c r="I115" s="163" t="s">
        <v>252</v>
      </c>
      <c r="J115" s="23">
        <v>1</v>
      </c>
      <c r="K115" s="27">
        <v>904800</v>
      </c>
      <c r="L115" s="26">
        <f t="shared" si="22"/>
        <v>904800</v>
      </c>
      <c r="M115" s="27">
        <f t="shared" si="24"/>
        <v>90480</v>
      </c>
      <c r="N115" s="27">
        <f t="shared" ref="N115:N117" si="27">SUM(L115:M115)</f>
        <v>995280</v>
      </c>
      <c r="O115" s="33">
        <v>820200</v>
      </c>
      <c r="P115" s="197" t="s">
        <v>151</v>
      </c>
      <c r="Q115" s="20">
        <f>L115-O115</f>
        <v>84600</v>
      </c>
      <c r="R115" s="68" t="s">
        <v>1160</v>
      </c>
      <c r="S115" s="8" t="s">
        <v>2136</v>
      </c>
      <c r="T115" s="11"/>
    </row>
    <row r="116" spans="1:20" ht="60">
      <c r="A116" t="s">
        <v>30</v>
      </c>
      <c r="B116" s="151" t="s">
        <v>855</v>
      </c>
      <c r="C116" s="199"/>
      <c r="D116" s="17">
        <v>45716</v>
      </c>
      <c r="E116" s="1" t="s">
        <v>2167</v>
      </c>
      <c r="F116" s="2"/>
      <c r="G116" s="2" t="s">
        <v>16</v>
      </c>
      <c r="H116" s="2" t="s">
        <v>81</v>
      </c>
      <c r="I116" s="163" t="s">
        <v>252</v>
      </c>
      <c r="J116" s="23">
        <v>1</v>
      </c>
      <c r="K116" s="27">
        <v>3611000</v>
      </c>
      <c r="L116" s="26">
        <f t="shared" si="22"/>
        <v>3611000</v>
      </c>
      <c r="M116" s="27">
        <f t="shared" si="24"/>
        <v>361100</v>
      </c>
      <c r="N116" s="27">
        <f t="shared" si="27"/>
        <v>3972100</v>
      </c>
      <c r="O116" s="52">
        <f>672000+700000+100000+290000+6000000/6</f>
        <v>2762000</v>
      </c>
      <c r="P116" s="170" t="s">
        <v>1083</v>
      </c>
      <c r="Q116" s="181">
        <f>L116-O116</f>
        <v>849000</v>
      </c>
      <c r="R116" s="68" t="s">
        <v>1160</v>
      </c>
      <c r="S116" s="8" t="s">
        <v>2134</v>
      </c>
      <c r="T116" s="11"/>
    </row>
    <row r="117" spans="1:20">
      <c r="A117" t="s">
        <v>30</v>
      </c>
      <c r="B117" s="151" t="s">
        <v>674</v>
      </c>
      <c r="C117" s="153" t="s">
        <v>675</v>
      </c>
      <c r="D117" s="17">
        <v>45716</v>
      </c>
      <c r="E117" s="214" t="s">
        <v>71</v>
      </c>
      <c r="F117" s="215" t="s">
        <v>562</v>
      </c>
      <c r="G117" s="1" t="s">
        <v>16</v>
      </c>
      <c r="H117" s="83" t="s">
        <v>80</v>
      </c>
      <c r="I117" s="163" t="s">
        <v>252</v>
      </c>
      <c r="J117" s="23">
        <v>1</v>
      </c>
      <c r="K117" s="27">
        <v>554000</v>
      </c>
      <c r="L117" s="26">
        <f t="shared" si="22"/>
        <v>554000</v>
      </c>
      <c r="M117" s="27">
        <f t="shared" si="24"/>
        <v>55400</v>
      </c>
      <c r="N117" s="27">
        <f t="shared" si="27"/>
        <v>609400</v>
      </c>
      <c r="O117" s="33">
        <v>502800</v>
      </c>
      <c r="P117" s="197" t="s">
        <v>151</v>
      </c>
      <c r="Q117" s="20">
        <f>L117-O117</f>
        <v>51200</v>
      </c>
      <c r="R117" s="68" t="s">
        <v>1160</v>
      </c>
      <c r="S117" s="8" t="s">
        <v>2136</v>
      </c>
      <c r="T117" s="11"/>
    </row>
    <row r="118" spans="1:20">
      <c r="A118" t="s">
        <v>30</v>
      </c>
      <c r="B118" s="151" t="s">
        <v>856</v>
      </c>
      <c r="C118" s="200"/>
      <c r="D118" s="17">
        <v>45716</v>
      </c>
      <c r="E118" s="1" t="s">
        <v>2202</v>
      </c>
      <c r="F118" s="161"/>
      <c r="G118" s="161" t="s">
        <v>16</v>
      </c>
      <c r="H118" s="161" t="s">
        <v>138</v>
      </c>
      <c r="I118" s="163" t="s">
        <v>252</v>
      </c>
      <c r="J118" s="71">
        <v>1</v>
      </c>
      <c r="K118" s="26">
        <v>2730000</v>
      </c>
      <c r="L118" s="26">
        <f t="shared" si="22"/>
        <v>2730000</v>
      </c>
      <c r="M118" s="27">
        <f t="shared" si="24"/>
        <v>273000</v>
      </c>
      <c r="N118" s="27">
        <f>SUM(L118:M118)</f>
        <v>3003000</v>
      </c>
      <c r="O118" s="52">
        <v>44000</v>
      </c>
      <c r="P118" s="171" t="s">
        <v>898</v>
      </c>
      <c r="Q118" s="181">
        <f>L118-O118</f>
        <v>2686000</v>
      </c>
      <c r="R118" s="68" t="s">
        <v>996</v>
      </c>
      <c r="S118" s="5" t="s">
        <v>2134</v>
      </c>
      <c r="T118" s="11"/>
    </row>
    <row r="119" spans="1:20" ht="24">
      <c r="A119" t="s">
        <v>30</v>
      </c>
      <c r="B119" s="151" t="s">
        <v>961</v>
      </c>
      <c r="C119" s="153"/>
      <c r="D119" s="17">
        <v>45716</v>
      </c>
      <c r="E119" s="1" t="s">
        <v>2207</v>
      </c>
      <c r="F119" s="2" t="s">
        <v>130</v>
      </c>
      <c r="G119" s="1" t="s">
        <v>16</v>
      </c>
      <c r="H119" s="83" t="s">
        <v>81</v>
      </c>
      <c r="I119" s="4" t="s">
        <v>795</v>
      </c>
      <c r="J119" s="23">
        <v>1</v>
      </c>
      <c r="K119" s="27">
        <v>3475000</v>
      </c>
      <c r="L119" s="26">
        <f t="shared" ref="L119" si="28">J119*K119</f>
        <v>3475000</v>
      </c>
      <c r="M119" s="27">
        <f t="shared" ref="M119" si="29">L119*10%</f>
        <v>347500</v>
      </c>
      <c r="N119" s="27">
        <f t="shared" ref="N119" si="30">SUM(L119:M119)</f>
        <v>3822500</v>
      </c>
      <c r="O119" s="33">
        <f>8000000/3+1000000/3</f>
        <v>3000000</v>
      </c>
      <c r="P119" s="197" t="s">
        <v>2209</v>
      </c>
      <c r="Q119" s="20">
        <f t="shared" ref="Q119" si="31">L119-O119</f>
        <v>475000</v>
      </c>
      <c r="R119" s="68" t="s">
        <v>1455</v>
      </c>
      <c r="S119" s="8" t="s">
        <v>2133</v>
      </c>
      <c r="T119" s="11"/>
    </row>
    <row r="120" spans="1:20" ht="24">
      <c r="A120" t="s">
        <v>30</v>
      </c>
      <c r="B120" s="151" t="s">
        <v>1550</v>
      </c>
      <c r="C120" s="153" t="s">
        <v>1551</v>
      </c>
      <c r="D120" s="17">
        <v>45716</v>
      </c>
      <c r="E120" s="1" t="s">
        <v>78</v>
      </c>
      <c r="F120" s="2" t="s">
        <v>128</v>
      </c>
      <c r="G120" s="2" t="s">
        <v>16</v>
      </c>
      <c r="H120" s="2" t="s">
        <v>80</v>
      </c>
      <c r="I120" s="4" t="s">
        <v>252</v>
      </c>
      <c r="J120" s="23">
        <v>1</v>
      </c>
      <c r="K120" s="27">
        <v>454600</v>
      </c>
      <c r="L120" s="26">
        <f>J120*K120</f>
        <v>454600</v>
      </c>
      <c r="M120" s="27">
        <f>L120*10%</f>
        <v>45460</v>
      </c>
      <c r="N120" s="27">
        <f>SUM(L120:M120)</f>
        <v>500060</v>
      </c>
      <c r="O120" s="33">
        <f>243000+1100000/6</f>
        <v>426333.33333333337</v>
      </c>
      <c r="P120" s="197" t="s">
        <v>909</v>
      </c>
      <c r="Q120" s="20">
        <f>L120-O120</f>
        <v>28266.666666666628</v>
      </c>
      <c r="R120" s="68" t="s">
        <v>1160</v>
      </c>
      <c r="S120" s="8" t="s">
        <v>2136</v>
      </c>
      <c r="T120" s="11"/>
    </row>
    <row r="121" spans="1:20">
      <c r="A121" t="s">
        <v>30</v>
      </c>
      <c r="B121" s="151" t="s">
        <v>806</v>
      </c>
      <c r="C121" s="199" t="s">
        <v>766</v>
      </c>
      <c r="D121" s="17">
        <v>45716</v>
      </c>
      <c r="E121" s="1" t="s">
        <v>763</v>
      </c>
      <c r="F121" s="2" t="s">
        <v>205</v>
      </c>
      <c r="G121" s="2" t="s">
        <v>29</v>
      </c>
      <c r="H121" s="2" t="s">
        <v>85</v>
      </c>
      <c r="I121" s="4" t="s">
        <v>764</v>
      </c>
      <c r="J121" s="23">
        <v>1</v>
      </c>
      <c r="K121" s="27">
        <v>1948000</v>
      </c>
      <c r="L121" s="26">
        <f t="shared" ref="L121:L126" si="32">J121*K121</f>
        <v>1948000</v>
      </c>
      <c r="M121" s="27">
        <f t="shared" ref="M121:M126" si="33">L121*10%</f>
        <v>194800</v>
      </c>
      <c r="N121" s="27">
        <f t="shared" ref="N121:N127" si="34">SUM(L121:M121)</f>
        <v>2142800</v>
      </c>
      <c r="O121" s="33">
        <v>1900080</v>
      </c>
      <c r="P121" s="229" t="s">
        <v>765</v>
      </c>
      <c r="Q121" s="20">
        <f t="shared" ref="Q121:Q126" si="35">L121-O121</f>
        <v>47920</v>
      </c>
      <c r="R121" s="68" t="s">
        <v>1455</v>
      </c>
      <c r="S121" s="8" t="s">
        <v>2136</v>
      </c>
      <c r="T121" s="11"/>
    </row>
    <row r="122" spans="1:20">
      <c r="A122" t="s">
        <v>30</v>
      </c>
      <c r="B122" s="151" t="s">
        <v>113</v>
      </c>
      <c r="C122" s="153"/>
      <c r="D122" s="86">
        <v>45716</v>
      </c>
      <c r="E122" s="1" t="s">
        <v>118</v>
      </c>
      <c r="F122" s="2" t="s">
        <v>319</v>
      </c>
      <c r="G122" s="2" t="s">
        <v>16</v>
      </c>
      <c r="H122" s="2" t="s">
        <v>142</v>
      </c>
      <c r="I122" s="4" t="s">
        <v>317</v>
      </c>
      <c r="J122" s="23">
        <v>1</v>
      </c>
      <c r="K122" s="27">
        <v>1000000</v>
      </c>
      <c r="L122" s="26">
        <f t="shared" si="32"/>
        <v>1000000</v>
      </c>
      <c r="M122" s="27">
        <f t="shared" si="33"/>
        <v>100000</v>
      </c>
      <c r="N122" s="27">
        <f t="shared" si="34"/>
        <v>1100000</v>
      </c>
      <c r="O122" s="33">
        <v>900000</v>
      </c>
      <c r="P122" s="197" t="s">
        <v>896</v>
      </c>
      <c r="Q122" s="20">
        <f t="shared" si="35"/>
        <v>100000</v>
      </c>
      <c r="R122" s="68" t="s">
        <v>1160</v>
      </c>
      <c r="S122" s="8" t="s">
        <v>2133</v>
      </c>
      <c r="T122" s="11"/>
    </row>
    <row r="123" spans="1:20" ht="36">
      <c r="A123" t="s">
        <v>30</v>
      </c>
      <c r="B123" s="151" t="s">
        <v>965</v>
      </c>
      <c r="C123" s="153" t="s">
        <v>967</v>
      </c>
      <c r="D123" s="17">
        <v>45716</v>
      </c>
      <c r="E123" s="214" t="s">
        <v>72</v>
      </c>
      <c r="F123" s="215" t="s">
        <v>497</v>
      </c>
      <c r="G123" s="1" t="s">
        <v>16</v>
      </c>
      <c r="H123" s="2" t="s">
        <v>80</v>
      </c>
      <c r="I123" s="4" t="s">
        <v>821</v>
      </c>
      <c r="J123" s="23">
        <v>2</v>
      </c>
      <c r="K123" s="27">
        <v>2900000</v>
      </c>
      <c r="L123" s="26">
        <f t="shared" si="32"/>
        <v>5800000</v>
      </c>
      <c r="M123" s="27">
        <f t="shared" si="33"/>
        <v>580000</v>
      </c>
      <c r="N123" s="27">
        <f t="shared" si="34"/>
        <v>6380000</v>
      </c>
      <c r="O123" s="33">
        <f>1515000*2+250000*2+2500000/6*2</f>
        <v>4363333.333333333</v>
      </c>
      <c r="P123" s="197" t="s">
        <v>2145</v>
      </c>
      <c r="Q123" s="20">
        <f t="shared" si="35"/>
        <v>1436666.666666667</v>
      </c>
      <c r="R123" s="68" t="s">
        <v>1160</v>
      </c>
      <c r="S123" s="8" t="s">
        <v>2136</v>
      </c>
      <c r="T123" s="11"/>
    </row>
    <row r="124" spans="1:20" ht="24">
      <c r="A124" t="s">
        <v>30</v>
      </c>
      <c r="B124" s="151" t="s">
        <v>760</v>
      </c>
      <c r="C124" s="199" t="s">
        <v>761</v>
      </c>
      <c r="D124" s="17">
        <v>45716</v>
      </c>
      <c r="E124" s="1" t="s">
        <v>758</v>
      </c>
      <c r="F124" s="2" t="s">
        <v>759</v>
      </c>
      <c r="G124" s="2" t="s">
        <v>16</v>
      </c>
      <c r="H124" s="2" t="s">
        <v>80</v>
      </c>
      <c r="I124" s="4" t="s">
        <v>762</v>
      </c>
      <c r="J124" s="23">
        <v>1</v>
      </c>
      <c r="K124" s="27">
        <v>2316000</v>
      </c>
      <c r="L124" s="26">
        <f t="shared" si="32"/>
        <v>2316000</v>
      </c>
      <c r="M124" s="27">
        <f t="shared" si="33"/>
        <v>231600</v>
      </c>
      <c r="N124" s="27">
        <f t="shared" si="34"/>
        <v>2547600</v>
      </c>
      <c r="O124" s="33">
        <v>1792800</v>
      </c>
      <c r="P124" s="197" t="s">
        <v>2070</v>
      </c>
      <c r="Q124" s="20">
        <f t="shared" si="35"/>
        <v>523200</v>
      </c>
      <c r="R124" s="68" t="s">
        <v>1455</v>
      </c>
      <c r="S124" s="8" t="s">
        <v>2136</v>
      </c>
      <c r="T124" s="11"/>
    </row>
    <row r="125" spans="1:20">
      <c r="A125" t="s">
        <v>30</v>
      </c>
      <c r="B125" s="151" t="s">
        <v>857</v>
      </c>
      <c r="C125" s="153" t="s">
        <v>853</v>
      </c>
      <c r="D125" s="17">
        <v>45716</v>
      </c>
      <c r="E125" s="214" t="s">
        <v>2144</v>
      </c>
      <c r="F125" s="215" t="s">
        <v>815</v>
      </c>
      <c r="G125" s="2" t="s">
        <v>16</v>
      </c>
      <c r="H125" s="2" t="s">
        <v>80</v>
      </c>
      <c r="I125" s="4" t="s">
        <v>816</v>
      </c>
      <c r="J125" s="23">
        <v>2</v>
      </c>
      <c r="K125" s="27">
        <v>535000</v>
      </c>
      <c r="L125" s="26">
        <f t="shared" si="32"/>
        <v>1070000</v>
      </c>
      <c r="M125" s="27">
        <f t="shared" si="33"/>
        <v>107000</v>
      </c>
      <c r="N125" s="27">
        <f t="shared" si="34"/>
        <v>1177000</v>
      </c>
      <c r="O125" s="82">
        <f>496800*2</f>
        <v>993600</v>
      </c>
      <c r="P125" s="197" t="s">
        <v>910</v>
      </c>
      <c r="Q125" s="20">
        <f t="shared" si="35"/>
        <v>76400</v>
      </c>
      <c r="R125" s="68" t="s">
        <v>1455</v>
      </c>
      <c r="S125" s="8" t="s">
        <v>2136</v>
      </c>
      <c r="T125" s="11"/>
    </row>
    <row r="126" spans="1:20">
      <c r="A126" t="s">
        <v>30</v>
      </c>
      <c r="B126" s="151" t="s">
        <v>804</v>
      </c>
      <c r="C126" s="153"/>
      <c r="D126" s="17">
        <v>45716</v>
      </c>
      <c r="E126" s="1" t="s">
        <v>2176</v>
      </c>
      <c r="F126" s="2"/>
      <c r="G126" s="2" t="s">
        <v>805</v>
      </c>
      <c r="H126" s="83" t="s">
        <v>802</v>
      </c>
      <c r="I126" s="4" t="s">
        <v>803</v>
      </c>
      <c r="J126" s="23">
        <v>4</v>
      </c>
      <c r="K126" s="27">
        <v>320000</v>
      </c>
      <c r="L126" s="26">
        <f t="shared" si="32"/>
        <v>1280000</v>
      </c>
      <c r="M126" s="27">
        <f t="shared" si="33"/>
        <v>128000</v>
      </c>
      <c r="N126" s="27">
        <f t="shared" si="34"/>
        <v>1408000</v>
      </c>
      <c r="O126" s="33">
        <f>1120000+25000</f>
        <v>1145000</v>
      </c>
      <c r="P126" s="197" t="s">
        <v>1518</v>
      </c>
      <c r="Q126" s="20">
        <f t="shared" si="35"/>
        <v>135000</v>
      </c>
      <c r="R126" s="68" t="s">
        <v>1160</v>
      </c>
      <c r="S126" s="8" t="s">
        <v>2132</v>
      </c>
      <c r="T126" s="11"/>
    </row>
    <row r="127" spans="1:20">
      <c r="A127" t="s">
        <v>30</v>
      </c>
      <c r="B127" s="151" t="s">
        <v>1221</v>
      </c>
      <c r="C127" s="153"/>
      <c r="D127" s="17">
        <v>45716</v>
      </c>
      <c r="E127" s="214" t="s">
        <v>2165</v>
      </c>
      <c r="F127" s="215" t="s">
        <v>250</v>
      </c>
      <c r="G127" s="2" t="s">
        <v>16</v>
      </c>
      <c r="H127" s="83" t="s">
        <v>862</v>
      </c>
      <c r="I127" s="4" t="s">
        <v>863</v>
      </c>
      <c r="J127" s="23">
        <v>1</v>
      </c>
      <c r="K127" s="27">
        <v>4455000</v>
      </c>
      <c r="L127" s="26">
        <f t="shared" ref="L127" si="36">J127*K127</f>
        <v>4455000</v>
      </c>
      <c r="M127" s="27">
        <f t="shared" ref="M127" si="37">L127*10%</f>
        <v>445500</v>
      </c>
      <c r="N127" s="27">
        <f t="shared" si="34"/>
        <v>4900500</v>
      </c>
      <c r="O127" s="33">
        <v>4050000</v>
      </c>
      <c r="P127" s="197" t="s">
        <v>864</v>
      </c>
      <c r="Q127" s="20">
        <f t="shared" ref="Q127" si="38">L127-O127</f>
        <v>405000</v>
      </c>
      <c r="R127" s="68" t="s">
        <v>1559</v>
      </c>
      <c r="S127" s="8" t="s">
        <v>2136</v>
      </c>
      <c r="T127" s="11"/>
    </row>
    <row r="128" spans="1:20" ht="24">
      <c r="A128" t="s">
        <v>30</v>
      </c>
      <c r="B128" s="151" t="s">
        <v>971</v>
      </c>
      <c r="C128" s="153" t="s">
        <v>860</v>
      </c>
      <c r="D128" s="17">
        <v>45716</v>
      </c>
      <c r="E128" s="1" t="s">
        <v>858</v>
      </c>
      <c r="F128" s="2"/>
      <c r="G128" s="2" t="s">
        <v>29</v>
      </c>
      <c r="H128" s="2" t="s">
        <v>85</v>
      </c>
      <c r="I128" s="4" t="s">
        <v>861</v>
      </c>
      <c r="J128" s="23">
        <v>1</v>
      </c>
      <c r="K128" s="27">
        <v>3200000</v>
      </c>
      <c r="L128" s="26">
        <f>J128*K128</f>
        <v>3200000</v>
      </c>
      <c r="M128" s="27">
        <f>L128*10%</f>
        <v>320000</v>
      </c>
      <c r="N128" s="27">
        <f>SUM(L128:M128)</f>
        <v>3520000</v>
      </c>
      <c r="O128" s="33">
        <v>2624320</v>
      </c>
      <c r="P128" s="197" t="s">
        <v>859</v>
      </c>
      <c r="Q128" s="20">
        <f>L128-O128</f>
        <v>575680</v>
      </c>
      <c r="R128" s="68" t="s">
        <v>1160</v>
      </c>
      <c r="S128" s="8" t="s">
        <v>2136</v>
      </c>
      <c r="T128" s="11"/>
    </row>
    <row r="129" spans="1:20" ht="24">
      <c r="A129" t="s">
        <v>30</v>
      </c>
      <c r="B129" s="151" t="s">
        <v>869</v>
      </c>
      <c r="C129" s="153" t="s">
        <v>870</v>
      </c>
      <c r="D129" s="17">
        <v>45716</v>
      </c>
      <c r="E129" s="1" t="s">
        <v>2175</v>
      </c>
      <c r="F129" s="189" t="s">
        <v>871</v>
      </c>
      <c r="G129" s="2" t="s">
        <v>16</v>
      </c>
      <c r="H129" s="161" t="s">
        <v>138</v>
      </c>
      <c r="I129" s="70" t="s">
        <v>872</v>
      </c>
      <c r="J129" s="53">
        <v>1</v>
      </c>
      <c r="K129" s="51">
        <v>1055000</v>
      </c>
      <c r="L129" s="26">
        <f>J129*K129</f>
        <v>1055000</v>
      </c>
      <c r="M129" s="27">
        <f>L129*10%</f>
        <v>105500</v>
      </c>
      <c r="N129" s="27">
        <f t="shared" ref="N129" si="39">SUM(L129:M129)</f>
        <v>1160500</v>
      </c>
      <c r="O129" s="52">
        <f>95200*3+1000000/2</f>
        <v>785600</v>
      </c>
      <c r="P129" s="258" t="s">
        <v>2086</v>
      </c>
      <c r="Q129" s="181">
        <f>L129-O129</f>
        <v>269400</v>
      </c>
      <c r="R129" s="68" t="s">
        <v>1455</v>
      </c>
      <c r="S129" s="8" t="s">
        <v>2136</v>
      </c>
      <c r="T129" s="11"/>
    </row>
    <row r="130" spans="1:20">
      <c r="A130" t="s">
        <v>30</v>
      </c>
      <c r="B130" s="151" t="s">
        <v>892</v>
      </c>
      <c r="C130" s="153"/>
      <c r="D130" s="17">
        <v>45716</v>
      </c>
      <c r="E130" s="1" t="s">
        <v>891</v>
      </c>
      <c r="F130" s="2"/>
      <c r="G130" s="2" t="s">
        <v>895</v>
      </c>
      <c r="H130" s="83" t="s">
        <v>893</v>
      </c>
      <c r="I130" s="4" t="s">
        <v>894</v>
      </c>
      <c r="J130" s="23">
        <v>1</v>
      </c>
      <c r="K130" s="27">
        <v>150000</v>
      </c>
      <c r="L130" s="26">
        <f t="shared" ref="L130" si="40">J130*K130</f>
        <v>150000</v>
      </c>
      <c r="M130" s="27">
        <f t="shared" ref="M130" si="41">L130*10%</f>
        <v>15000</v>
      </c>
      <c r="N130" s="27">
        <f t="shared" ref="N130" si="42">SUM(L130:M130)</f>
        <v>165000</v>
      </c>
      <c r="O130" s="33">
        <v>100000</v>
      </c>
      <c r="P130" s="197" t="s">
        <v>994</v>
      </c>
      <c r="Q130" s="20">
        <f t="shared" ref="Q130" si="43">L130-O130</f>
        <v>50000</v>
      </c>
      <c r="R130" s="2" t="s">
        <v>899</v>
      </c>
      <c r="S130" s="8" t="s">
        <v>2136</v>
      </c>
      <c r="T130" s="11"/>
    </row>
    <row r="131" spans="1:20">
      <c r="A131" t="s">
        <v>30</v>
      </c>
      <c r="B131" s="151" t="s">
        <v>807</v>
      </c>
      <c r="C131" s="199" t="s">
        <v>767</v>
      </c>
      <c r="D131" s="17">
        <v>45716</v>
      </c>
      <c r="E131" s="1" t="s">
        <v>2166</v>
      </c>
      <c r="F131" s="2" t="s">
        <v>832</v>
      </c>
      <c r="G131" s="2" t="s">
        <v>768</v>
      </c>
      <c r="H131" s="2" t="s">
        <v>85</v>
      </c>
      <c r="I131" s="4" t="s">
        <v>769</v>
      </c>
      <c r="J131" s="23">
        <v>1</v>
      </c>
      <c r="K131" s="27">
        <v>13000000</v>
      </c>
      <c r="L131" s="26">
        <f>J131*K131</f>
        <v>13000000</v>
      </c>
      <c r="M131" s="27">
        <f>L131*10%</f>
        <v>1300000</v>
      </c>
      <c r="N131" s="27">
        <f>SUM(L131:M131)</f>
        <v>14300000</v>
      </c>
      <c r="O131" s="33">
        <v>6111828</v>
      </c>
      <c r="P131" s="197" t="s">
        <v>831</v>
      </c>
      <c r="Q131" s="20">
        <f>L131-O131</f>
        <v>6888172</v>
      </c>
      <c r="R131" s="2" t="s">
        <v>1295</v>
      </c>
      <c r="S131" s="8" t="s">
        <v>2136</v>
      </c>
      <c r="T131" s="11"/>
    </row>
    <row r="132" spans="1:20">
      <c r="A132" t="s">
        <v>30</v>
      </c>
      <c r="B132" s="151"/>
      <c r="C132" s="153"/>
      <c r="D132" s="17"/>
      <c r="E132" s="1"/>
      <c r="F132" s="2"/>
      <c r="G132" s="2"/>
      <c r="H132" s="83"/>
      <c r="I132" s="4"/>
      <c r="J132" s="23"/>
      <c r="K132" s="27"/>
      <c r="L132" s="26">
        <f t="shared" ref="L132" si="44">J132*K132</f>
        <v>0</v>
      </c>
      <c r="M132" s="27">
        <f t="shared" ref="M132" si="45">L132*10%</f>
        <v>0</v>
      </c>
      <c r="N132" s="27">
        <f t="shared" ref="N132" si="46">SUM(L132:M132)</f>
        <v>0</v>
      </c>
      <c r="O132" s="132"/>
      <c r="P132" s="173"/>
      <c r="Q132" s="20">
        <f t="shared" ref="Q132" si="47">L132-O132</f>
        <v>0</v>
      </c>
      <c r="R132" s="2"/>
      <c r="S132" s="8"/>
      <c r="T132" s="11"/>
    </row>
    <row r="133" spans="1:20">
      <c r="A133" t="s">
        <v>30</v>
      </c>
      <c r="B133" s="151"/>
      <c r="C133" s="153"/>
      <c r="D133" s="17"/>
      <c r="E133" s="1"/>
      <c r="F133" s="2"/>
      <c r="G133" s="2"/>
      <c r="H133" s="83"/>
      <c r="I133" s="163"/>
      <c r="J133" s="128"/>
      <c r="K133" s="26"/>
      <c r="L133" s="26">
        <f t="shared" ref="L133" si="48">J133*K133</f>
        <v>0</v>
      </c>
      <c r="M133" s="27">
        <f t="shared" ref="M133" si="49">L133*10%</f>
        <v>0</v>
      </c>
      <c r="N133" s="27">
        <f t="shared" ref="N133" si="50">SUM(L133:M133)</f>
        <v>0</v>
      </c>
      <c r="O133" s="132"/>
      <c r="P133" s="173"/>
      <c r="Q133" s="20">
        <f t="shared" ref="Q133" si="51">L133-O133</f>
        <v>0</v>
      </c>
      <c r="R133" s="2"/>
      <c r="S133" s="5"/>
      <c r="T133" s="11"/>
    </row>
    <row r="134" spans="1:20" ht="26.25" customHeight="1" thickBot="1">
      <c r="A134" t="s">
        <v>30</v>
      </c>
      <c r="B134" s="269" t="s">
        <v>32</v>
      </c>
      <c r="C134" s="270"/>
      <c r="D134" s="270"/>
      <c r="E134" s="270"/>
      <c r="F134" s="270"/>
      <c r="G134" s="270"/>
      <c r="H134" s="270"/>
      <c r="I134" s="270"/>
      <c r="J134" s="270"/>
      <c r="K134" s="271"/>
      <c r="L134" s="25">
        <f>SUM(L3:L133)</f>
        <v>231155498</v>
      </c>
      <c r="M134" s="25">
        <f>SUM(M3:M133)</f>
        <v>23115549.699999999</v>
      </c>
      <c r="N134" s="25">
        <f>SUM(N3:N133)</f>
        <v>254271047.69999999</v>
      </c>
      <c r="O134" s="25">
        <f>SUM(O3:O133)</f>
        <v>165201398.5</v>
      </c>
      <c r="P134" s="177"/>
      <c r="Q134" s="25">
        <f>SUM(Q3:Q133)</f>
        <v>53454099.499999993</v>
      </c>
      <c r="R134" s="177"/>
      <c r="S134" s="12"/>
      <c r="T134" s="13"/>
    </row>
    <row r="135" spans="1:20">
      <c r="A135" t="s">
        <v>30</v>
      </c>
    </row>
    <row r="136" spans="1:20">
      <c r="A136" t="s">
        <v>30</v>
      </c>
      <c r="D136" s="196">
        <f>COUNTA(D3:D133)</f>
        <v>117</v>
      </c>
      <c r="E136" s="16"/>
      <c r="K136" s="47" t="s">
        <v>56</v>
      </c>
      <c r="L136" s="62">
        <f>SUBTOTAL(109,L3:L133)</f>
        <v>231155498</v>
      </c>
      <c r="M136" s="62">
        <f>SUBTOTAL(109,M3:M133)</f>
        <v>23115549.699999999</v>
      </c>
      <c r="N136" s="62">
        <f>SUBTOTAL(109,N3:N133)</f>
        <v>254271047.69999999</v>
      </c>
    </row>
    <row r="137" spans="1:20">
      <c r="E137" s="156"/>
      <c r="N137" s="187"/>
      <c r="P137" s="178"/>
    </row>
    <row r="138" spans="1:20">
      <c r="H138" s="156"/>
      <c r="I138" s="156"/>
    </row>
    <row r="139" spans="1:20">
      <c r="L139" s="62"/>
      <c r="M139" s="62"/>
      <c r="N139" s="62"/>
    </row>
    <row r="140" spans="1:20">
      <c r="E140" s="178"/>
      <c r="L140" s="62"/>
      <c r="M140" s="62"/>
      <c r="N140" s="62"/>
    </row>
    <row r="141" spans="1:20">
      <c r="L141" s="62"/>
      <c r="M141" s="62"/>
      <c r="N141" s="62"/>
    </row>
    <row r="142" spans="1:20">
      <c r="I142" t="s">
        <v>16</v>
      </c>
      <c r="K142" s="191">
        <f t="shared" ref="K142:K149" si="52">SUMIF($G$3:$G$133,I142,$L$3:$L$133)</f>
        <v>135683834</v>
      </c>
      <c r="N142" s="62"/>
    </row>
    <row r="143" spans="1:20">
      <c r="I143" t="s">
        <v>29</v>
      </c>
      <c r="K143" s="191">
        <f t="shared" si="52"/>
        <v>22369000</v>
      </c>
      <c r="N143" s="62"/>
    </row>
    <row r="144" spans="1:20">
      <c r="I144" t="s">
        <v>10</v>
      </c>
      <c r="K144" s="191">
        <f t="shared" si="52"/>
        <v>13000000</v>
      </c>
      <c r="N144" s="62"/>
    </row>
    <row r="145" spans="1:26">
      <c r="I145" t="s">
        <v>34</v>
      </c>
      <c r="K145" s="191">
        <f t="shared" si="52"/>
        <v>13494664</v>
      </c>
      <c r="N145" s="62"/>
    </row>
    <row r="146" spans="1:26">
      <c r="I146" t="s">
        <v>15</v>
      </c>
      <c r="K146" s="191">
        <f t="shared" si="52"/>
        <v>45408000</v>
      </c>
      <c r="N146" s="62"/>
    </row>
    <row r="147" spans="1:26" s="47" customFormat="1">
      <c r="A147"/>
      <c r="B147"/>
      <c r="C147"/>
      <c r="D147" s="15"/>
      <c r="E147"/>
      <c r="F147"/>
      <c r="G147"/>
      <c r="H147"/>
      <c r="I147" t="s">
        <v>35</v>
      </c>
      <c r="J147" s="185"/>
      <c r="K147" s="191">
        <f t="shared" si="52"/>
        <v>1200000</v>
      </c>
      <c r="N147" s="62"/>
      <c r="P147"/>
      <c r="R147"/>
      <c r="S147"/>
      <c r="T147"/>
      <c r="U147"/>
      <c r="V147"/>
      <c r="W147"/>
      <c r="X147"/>
      <c r="Y147"/>
      <c r="Z147"/>
    </row>
    <row r="148" spans="1:26" s="47" customFormat="1">
      <c r="A148"/>
      <c r="B148"/>
      <c r="C148"/>
      <c r="D148" s="15"/>
      <c r="E148"/>
      <c r="F148"/>
      <c r="G148"/>
      <c r="H148"/>
      <c r="I148" t="s">
        <v>36</v>
      </c>
      <c r="J148" s="185"/>
      <c r="K148" s="191">
        <f t="shared" si="52"/>
        <v>0</v>
      </c>
      <c r="P148"/>
      <c r="R148"/>
      <c r="S148"/>
      <c r="T148"/>
      <c r="U148"/>
      <c r="V148"/>
      <c r="W148"/>
      <c r="X148"/>
      <c r="Y148"/>
      <c r="Z148"/>
    </row>
    <row r="149" spans="1:26" s="47" customFormat="1">
      <c r="A149"/>
      <c r="B149"/>
      <c r="C149"/>
      <c r="D149" s="15"/>
      <c r="E149"/>
      <c r="F149"/>
      <c r="G149"/>
      <c r="H149"/>
      <c r="I149"/>
      <c r="J149" s="185"/>
      <c r="K149" s="191">
        <f t="shared" si="52"/>
        <v>0</v>
      </c>
      <c r="P149"/>
      <c r="R149"/>
      <c r="S149"/>
      <c r="T149"/>
      <c r="U149"/>
      <c r="V149"/>
      <c r="W149"/>
      <c r="X149"/>
      <c r="Y149"/>
      <c r="Z149"/>
    </row>
    <row r="150" spans="1:26" s="47" customFormat="1" ht="16.5">
      <c r="A150"/>
      <c r="B150"/>
      <c r="C150"/>
      <c r="D150" s="15"/>
      <c r="E150" s="158"/>
      <c r="F150"/>
      <c r="G150"/>
      <c r="H150"/>
      <c r="I150"/>
      <c r="J150" s="185"/>
      <c r="K150" s="191">
        <f>SUBTOTAL(9,K142:K149)</f>
        <v>231155498</v>
      </c>
      <c r="P150"/>
      <c r="R150"/>
      <c r="S150"/>
      <c r="T150"/>
      <c r="U150"/>
      <c r="V150"/>
      <c r="W150"/>
      <c r="X150"/>
      <c r="Y150"/>
      <c r="Z150"/>
    </row>
    <row r="151" spans="1:26" s="47" customFormat="1" ht="16.5">
      <c r="A151"/>
      <c r="B151"/>
      <c r="C151"/>
      <c r="D151" s="15"/>
      <c r="E151" s="158"/>
      <c r="F151"/>
      <c r="G151"/>
      <c r="H151"/>
      <c r="I151"/>
      <c r="J151" s="185"/>
      <c r="K151" s="190"/>
      <c r="P151"/>
      <c r="R151"/>
      <c r="S151"/>
      <c r="T151"/>
      <c r="U151"/>
      <c r="V151"/>
      <c r="W151"/>
      <c r="X151"/>
      <c r="Y151"/>
      <c r="Z151"/>
    </row>
    <row r="152" spans="1:26" s="47" customFormat="1" ht="16.5">
      <c r="A152"/>
      <c r="B152"/>
      <c r="C152"/>
      <c r="D152" s="15"/>
      <c r="E152" s="158"/>
      <c r="F152"/>
      <c r="G152"/>
      <c r="H152"/>
      <c r="I152"/>
      <c r="J152" s="185"/>
      <c r="P152"/>
      <c r="R152"/>
      <c r="S152"/>
      <c r="T152"/>
      <c r="U152"/>
      <c r="V152"/>
      <c r="W152"/>
      <c r="X152"/>
      <c r="Y152"/>
      <c r="Z152"/>
    </row>
    <row r="153" spans="1:26" s="47" customFormat="1" ht="16.5">
      <c r="A153"/>
      <c r="B153"/>
      <c r="C153"/>
      <c r="D153" s="15"/>
      <c r="E153" s="158"/>
      <c r="F153"/>
      <c r="G153"/>
      <c r="H153"/>
      <c r="I153"/>
      <c r="J153" s="185"/>
      <c r="P153"/>
      <c r="R153"/>
      <c r="S153"/>
      <c r="T153"/>
      <c r="U153"/>
      <c r="V153"/>
      <c r="W153"/>
      <c r="X153"/>
      <c r="Y153"/>
      <c r="Z153"/>
    </row>
    <row r="163" spans="1:26" s="49" customFormat="1">
      <c r="A163"/>
      <c r="B163"/>
      <c r="C163"/>
      <c r="D163" s="15"/>
      <c r="E163"/>
      <c r="F163"/>
      <c r="G163"/>
      <c r="H163"/>
      <c r="I163"/>
      <c r="J163" s="185"/>
      <c r="K163" s="47"/>
      <c r="L163" s="47"/>
      <c r="M163" s="47"/>
      <c r="N163" s="47"/>
      <c r="O163" s="47"/>
      <c r="P163"/>
      <c r="Q163" s="47"/>
      <c r="R163"/>
      <c r="S163"/>
      <c r="T163"/>
      <c r="U163"/>
      <c r="V163"/>
      <c r="W163"/>
      <c r="X163"/>
      <c r="Y163"/>
      <c r="Z163"/>
    </row>
  </sheetData>
  <autoFilter ref="A2:Z135" xr:uid="{00000000-0009-0000-0000-00000B000000}"/>
  <mergeCells count="1">
    <mergeCell ref="B134:K134"/>
  </mergeCells>
  <phoneticPr fontId="9" type="noConversion"/>
  <pageMargins left="0.25" right="0.25" top="0.75" bottom="0.75" header="0.3" footer="0.3"/>
  <pageSetup paperSize="9" scale="7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EA3EA-6992-448C-9F30-33625207C8A6}">
  <sheetPr codeName="Sheet5"/>
  <dimension ref="A1:Z156"/>
  <sheetViews>
    <sheetView zoomScale="97" zoomScaleNormal="97" workbookViewId="0">
      <pane ySplit="2" topLeftCell="A106" activePane="bottomLeft" state="frozen"/>
      <selection activeCell="J36" sqref="J36"/>
      <selection pane="bottomLeft" activeCell="O106" sqref="O106"/>
    </sheetView>
  </sheetViews>
  <sheetFormatPr defaultRowHeight="12"/>
  <cols>
    <col min="1" max="1" width="1.28515625" customWidth="1"/>
    <col min="2" max="2" width="11" customWidth="1"/>
    <col min="3" max="3" width="9.140625" customWidth="1"/>
    <col min="4" max="4" width="11.28515625" style="15" customWidth="1"/>
    <col min="5" max="5" width="18.7109375" customWidth="1"/>
    <col min="6" max="6" width="16.140625" customWidth="1"/>
    <col min="7" max="7" width="8.5703125" customWidth="1"/>
    <col min="8" max="8" width="12.42578125" customWidth="1"/>
    <col min="9" max="9" width="43.7109375" customWidth="1"/>
    <col min="10" max="10" width="4.5703125" style="185" customWidth="1"/>
    <col min="11" max="11" width="12.28515625" style="47" customWidth="1"/>
    <col min="12" max="12" width="13.140625" style="47" customWidth="1"/>
    <col min="13" max="13" width="12.28515625" style="47" customWidth="1"/>
    <col min="14" max="15" width="13.140625" style="47" customWidth="1"/>
    <col min="16" max="16" width="34.28515625" customWidth="1"/>
    <col min="17" max="17" width="12.42578125" style="47" customWidth="1"/>
    <col min="18" max="18" width="11.7109375" style="252" customWidth="1"/>
    <col min="19" max="19" width="7.85546875" customWidth="1"/>
    <col min="22" max="22" width="10.85546875" bestFit="1" customWidth="1"/>
  </cols>
  <sheetData>
    <row r="1" spans="1:20" ht="27" thickBot="1">
      <c r="B1" s="7" t="str">
        <f>"["&amp;YEAR(D3)&amp;"년 "&amp;MONTH(D3)&amp;"월 매출]"</f>
        <v>[2025년 3월 매출]</v>
      </c>
      <c r="C1" s="7"/>
      <c r="E1" s="156"/>
      <c r="K1" s="62"/>
      <c r="P1" s="156"/>
    </row>
    <row r="2" spans="1:20" ht="24">
      <c r="B2" s="149" t="s">
        <v>26</v>
      </c>
      <c r="C2" s="150" t="s">
        <v>27</v>
      </c>
      <c r="D2" s="143" t="s">
        <v>17</v>
      </c>
      <c r="E2" s="148" t="s">
        <v>18</v>
      </c>
      <c r="F2" s="159" t="s">
        <v>13</v>
      </c>
      <c r="G2" s="159" t="s">
        <v>0</v>
      </c>
      <c r="H2" s="159" t="s">
        <v>24</v>
      </c>
      <c r="I2" s="160" t="s">
        <v>19</v>
      </c>
      <c r="J2" s="186" t="s">
        <v>11</v>
      </c>
      <c r="K2" s="194" t="s">
        <v>20</v>
      </c>
      <c r="L2" s="129" t="s">
        <v>21</v>
      </c>
      <c r="M2" s="195" t="s">
        <v>23</v>
      </c>
      <c r="N2" s="195" t="s">
        <v>25</v>
      </c>
      <c r="O2" s="194" t="s">
        <v>77</v>
      </c>
      <c r="P2" s="148" t="s">
        <v>28</v>
      </c>
      <c r="Q2" s="129" t="s">
        <v>22</v>
      </c>
      <c r="R2" s="253" t="s">
        <v>8</v>
      </c>
      <c r="S2" s="148" t="s">
        <v>31</v>
      </c>
      <c r="T2" s="131" t="s">
        <v>12</v>
      </c>
    </row>
    <row r="3" spans="1:20">
      <c r="A3" t="s">
        <v>30</v>
      </c>
      <c r="B3" s="151" t="s">
        <v>174</v>
      </c>
      <c r="C3" s="152"/>
      <c r="D3" s="10">
        <v>45717</v>
      </c>
      <c r="E3" s="1" t="s">
        <v>162</v>
      </c>
      <c r="F3" s="1" t="s">
        <v>162</v>
      </c>
      <c r="G3" s="161" t="s">
        <v>16</v>
      </c>
      <c r="H3" s="161" t="s">
        <v>81</v>
      </c>
      <c r="I3" s="163" t="s">
        <v>873</v>
      </c>
      <c r="J3" s="71">
        <v>1</v>
      </c>
      <c r="K3" s="26">
        <v>1200000</v>
      </c>
      <c r="L3" s="26">
        <f t="shared" ref="L3:L38" si="0">J3*K3</f>
        <v>1200000</v>
      </c>
      <c r="M3" s="27">
        <f t="shared" ref="M3:M39" si="1">L3*10%</f>
        <v>120000</v>
      </c>
      <c r="N3" s="27">
        <f t="shared" ref="N3:N39" si="2">SUM(L3:M3)</f>
        <v>1320000</v>
      </c>
      <c r="O3" s="52">
        <f>4800000/6</f>
        <v>800000</v>
      </c>
      <c r="P3" s="171" t="s">
        <v>1079</v>
      </c>
      <c r="Q3" s="181">
        <f t="shared" ref="Q3:Q18" si="3">L3-O3</f>
        <v>400000</v>
      </c>
      <c r="R3" s="68" t="s">
        <v>1160</v>
      </c>
      <c r="S3" s="5" t="s">
        <v>2133</v>
      </c>
      <c r="T3" s="6"/>
    </row>
    <row r="4" spans="1:20">
      <c r="A4" t="s">
        <v>30</v>
      </c>
      <c r="B4" s="151" t="s">
        <v>215</v>
      </c>
      <c r="C4" s="153"/>
      <c r="D4" s="10">
        <v>45717</v>
      </c>
      <c r="E4" s="1" t="s">
        <v>261</v>
      </c>
      <c r="F4" s="2" t="s">
        <v>132</v>
      </c>
      <c r="G4" s="1" t="s">
        <v>16</v>
      </c>
      <c r="H4" s="161" t="s">
        <v>138</v>
      </c>
      <c r="I4" s="164" t="s">
        <v>874</v>
      </c>
      <c r="J4" s="210">
        <v>1</v>
      </c>
      <c r="K4" s="27">
        <v>1600000</v>
      </c>
      <c r="L4" s="26">
        <f t="shared" si="0"/>
        <v>1600000</v>
      </c>
      <c r="M4" s="27">
        <f t="shared" si="1"/>
        <v>160000</v>
      </c>
      <c r="N4" s="27">
        <f t="shared" si="2"/>
        <v>1760000</v>
      </c>
      <c r="O4" s="52">
        <f>1123962+259896</f>
        <v>1383858</v>
      </c>
      <c r="P4" s="170" t="s">
        <v>978</v>
      </c>
      <c r="Q4" s="181">
        <f t="shared" si="3"/>
        <v>216142</v>
      </c>
      <c r="R4" s="68" t="s">
        <v>1455</v>
      </c>
      <c r="S4" s="8" t="s">
        <v>2136</v>
      </c>
      <c r="T4" s="11"/>
    </row>
    <row r="5" spans="1:20" ht="12" customHeight="1">
      <c r="A5" t="s">
        <v>30</v>
      </c>
      <c r="B5" s="151" t="s">
        <v>294</v>
      </c>
      <c r="C5" s="153"/>
      <c r="D5" s="10">
        <v>45717</v>
      </c>
      <c r="E5" s="1" t="s">
        <v>2140</v>
      </c>
      <c r="F5" s="161"/>
      <c r="G5" s="1" t="s">
        <v>16</v>
      </c>
      <c r="H5" s="161" t="s">
        <v>81</v>
      </c>
      <c r="I5" s="3" t="s">
        <v>875</v>
      </c>
      <c r="J5" s="74">
        <v>1</v>
      </c>
      <c r="K5" s="27">
        <v>300000</v>
      </c>
      <c r="L5" s="26">
        <f t="shared" si="0"/>
        <v>300000</v>
      </c>
      <c r="M5" s="27">
        <f t="shared" si="1"/>
        <v>30000</v>
      </c>
      <c r="N5" s="27">
        <f t="shared" si="2"/>
        <v>330000</v>
      </c>
      <c r="O5" s="52">
        <v>0</v>
      </c>
      <c r="P5" s="171" t="s">
        <v>129</v>
      </c>
      <c r="Q5" s="181">
        <f t="shared" si="3"/>
        <v>300000</v>
      </c>
      <c r="R5" s="68" t="s">
        <v>1010</v>
      </c>
      <c r="S5" s="8" t="s">
        <v>2136</v>
      </c>
      <c r="T5" s="11"/>
    </row>
    <row r="6" spans="1:20" ht="24">
      <c r="A6" t="s">
        <v>30</v>
      </c>
      <c r="B6" s="151" t="s">
        <v>313</v>
      </c>
      <c r="C6" s="153"/>
      <c r="D6" s="10">
        <v>45717</v>
      </c>
      <c r="E6" s="1" t="s">
        <v>312</v>
      </c>
      <c r="F6" s="2"/>
      <c r="G6" s="1" t="s">
        <v>16</v>
      </c>
      <c r="H6" s="1" t="s">
        <v>138</v>
      </c>
      <c r="I6" s="4" t="s">
        <v>876</v>
      </c>
      <c r="J6" s="210">
        <v>1</v>
      </c>
      <c r="K6" s="27">
        <v>507500</v>
      </c>
      <c r="L6" s="26">
        <f t="shared" si="0"/>
        <v>507500</v>
      </c>
      <c r="M6" s="27">
        <f t="shared" si="1"/>
        <v>50750</v>
      </c>
      <c r="N6" s="27">
        <f t="shared" si="2"/>
        <v>558250</v>
      </c>
      <c r="O6" s="52">
        <f>316682+800000/8</f>
        <v>416682</v>
      </c>
      <c r="P6" s="170" t="s">
        <v>1226</v>
      </c>
      <c r="Q6" s="181">
        <f t="shared" si="3"/>
        <v>90818</v>
      </c>
      <c r="R6" s="68" t="s">
        <v>1160</v>
      </c>
      <c r="S6" s="8" t="s">
        <v>2136</v>
      </c>
      <c r="T6" s="11"/>
    </row>
    <row r="7" spans="1:20" ht="48">
      <c r="A7" t="s">
        <v>30</v>
      </c>
      <c r="B7" s="151" t="s">
        <v>329</v>
      </c>
      <c r="C7" s="152" t="s">
        <v>322</v>
      </c>
      <c r="D7" s="10">
        <v>45717</v>
      </c>
      <c r="E7" s="157" t="s">
        <v>2213</v>
      </c>
      <c r="F7" s="157"/>
      <c r="G7" s="1" t="s">
        <v>16</v>
      </c>
      <c r="H7" s="1" t="s">
        <v>195</v>
      </c>
      <c r="I7" s="3" t="s">
        <v>877</v>
      </c>
      <c r="J7" s="211">
        <v>1</v>
      </c>
      <c r="K7" s="26">
        <v>1554500</v>
      </c>
      <c r="L7" s="26">
        <f t="shared" si="0"/>
        <v>1554500</v>
      </c>
      <c r="M7" s="27">
        <f t="shared" si="1"/>
        <v>155450</v>
      </c>
      <c r="N7" s="27">
        <f t="shared" si="2"/>
        <v>1709950</v>
      </c>
      <c r="O7" s="52">
        <f>171600+6000000/12+436400+200000</f>
        <v>1308000</v>
      </c>
      <c r="P7" s="171" t="s">
        <v>1645</v>
      </c>
      <c r="Q7" s="181">
        <f t="shared" si="3"/>
        <v>246500</v>
      </c>
      <c r="R7" s="68" t="s">
        <v>1160</v>
      </c>
      <c r="S7" s="5" t="s">
        <v>2136</v>
      </c>
      <c r="T7" s="6"/>
    </row>
    <row r="8" spans="1:20">
      <c r="A8" t="s">
        <v>30</v>
      </c>
      <c r="B8" s="151" t="s">
        <v>338</v>
      </c>
      <c r="C8" s="152" t="s">
        <v>321</v>
      </c>
      <c r="D8" s="10">
        <v>45717</v>
      </c>
      <c r="E8" s="1" t="s">
        <v>2212</v>
      </c>
      <c r="F8" s="1"/>
      <c r="G8" s="1" t="s">
        <v>16</v>
      </c>
      <c r="H8" s="161" t="s">
        <v>80</v>
      </c>
      <c r="I8" s="164" t="s">
        <v>878</v>
      </c>
      <c r="J8" s="69">
        <v>1</v>
      </c>
      <c r="K8" s="29">
        <v>1423000</v>
      </c>
      <c r="L8" s="26">
        <f t="shared" si="0"/>
        <v>1423000</v>
      </c>
      <c r="M8" s="27">
        <f t="shared" si="1"/>
        <v>142300</v>
      </c>
      <c r="N8" s="27">
        <f t="shared" si="2"/>
        <v>1565300</v>
      </c>
      <c r="O8" s="52">
        <v>1120200</v>
      </c>
      <c r="P8" s="171" t="s">
        <v>1227</v>
      </c>
      <c r="Q8" s="181">
        <f t="shared" si="3"/>
        <v>302800</v>
      </c>
      <c r="R8" s="68" t="s">
        <v>1051</v>
      </c>
      <c r="S8" s="5" t="s">
        <v>2136</v>
      </c>
      <c r="T8" s="6"/>
    </row>
    <row r="9" spans="1:20" ht="24">
      <c r="A9" t="s">
        <v>30</v>
      </c>
      <c r="B9" s="151" t="s">
        <v>320</v>
      </c>
      <c r="C9" s="153"/>
      <c r="D9" s="10">
        <v>45717</v>
      </c>
      <c r="E9" s="1" t="s">
        <v>5</v>
      </c>
      <c r="F9" s="2" t="s">
        <v>315</v>
      </c>
      <c r="G9" s="1" t="s">
        <v>16</v>
      </c>
      <c r="H9" s="161" t="s">
        <v>80</v>
      </c>
      <c r="I9" s="164" t="s">
        <v>878</v>
      </c>
      <c r="J9" s="210">
        <v>1</v>
      </c>
      <c r="K9" s="27">
        <v>238000</v>
      </c>
      <c r="L9" s="26">
        <f t="shared" si="0"/>
        <v>238000</v>
      </c>
      <c r="M9" s="27">
        <f t="shared" si="1"/>
        <v>23800</v>
      </c>
      <c r="N9" s="27">
        <f t="shared" si="2"/>
        <v>261800</v>
      </c>
      <c r="O9" s="52">
        <v>198018</v>
      </c>
      <c r="P9" s="170" t="s">
        <v>977</v>
      </c>
      <c r="Q9" s="181">
        <f t="shared" si="3"/>
        <v>39982</v>
      </c>
      <c r="R9" s="68" t="s">
        <v>1160</v>
      </c>
      <c r="S9" s="5" t="s">
        <v>2136</v>
      </c>
      <c r="T9" s="11"/>
    </row>
    <row r="10" spans="1:20">
      <c r="A10" t="s">
        <v>30</v>
      </c>
      <c r="B10" s="151" t="s">
        <v>474</v>
      </c>
      <c r="C10" s="153"/>
      <c r="D10" s="10">
        <v>45717</v>
      </c>
      <c r="E10" s="1" t="s">
        <v>589</v>
      </c>
      <c r="F10" s="2" t="s">
        <v>471</v>
      </c>
      <c r="G10" s="1" t="s">
        <v>16</v>
      </c>
      <c r="H10" s="161" t="s">
        <v>138</v>
      </c>
      <c r="I10" s="4" t="s">
        <v>879</v>
      </c>
      <c r="J10" s="23">
        <v>1</v>
      </c>
      <c r="K10" s="26">
        <v>1039500</v>
      </c>
      <c r="L10" s="26">
        <f t="shared" si="0"/>
        <v>1039500</v>
      </c>
      <c r="M10" s="27">
        <f t="shared" si="1"/>
        <v>103950</v>
      </c>
      <c r="N10" s="27">
        <f t="shared" si="2"/>
        <v>1143450</v>
      </c>
      <c r="O10" s="33">
        <v>990000</v>
      </c>
      <c r="P10" s="170" t="s">
        <v>977</v>
      </c>
      <c r="Q10" s="20">
        <f t="shared" si="3"/>
        <v>49500</v>
      </c>
      <c r="R10" s="68" t="s">
        <v>1156</v>
      </c>
      <c r="S10" s="8" t="s">
        <v>2136</v>
      </c>
      <c r="T10" s="11"/>
    </row>
    <row r="11" spans="1:20">
      <c r="A11" t="s">
        <v>30</v>
      </c>
      <c r="B11" s="151" t="s">
        <v>397</v>
      </c>
      <c r="C11" s="153"/>
      <c r="D11" s="10">
        <v>45717</v>
      </c>
      <c r="E11" s="1" t="s">
        <v>393</v>
      </c>
      <c r="F11" s="2" t="s">
        <v>394</v>
      </c>
      <c r="G11" s="161" t="s">
        <v>16</v>
      </c>
      <c r="H11" s="161" t="s">
        <v>138</v>
      </c>
      <c r="I11" s="4" t="s">
        <v>880</v>
      </c>
      <c r="J11" s="23">
        <v>1</v>
      </c>
      <c r="K11" s="27">
        <v>158400</v>
      </c>
      <c r="L11" s="26">
        <f t="shared" si="0"/>
        <v>158400</v>
      </c>
      <c r="M11" s="27">
        <f t="shared" si="1"/>
        <v>15840</v>
      </c>
      <c r="N11" s="27">
        <f t="shared" si="2"/>
        <v>174240</v>
      </c>
      <c r="O11" s="33">
        <v>145780</v>
      </c>
      <c r="P11" s="170" t="s">
        <v>977</v>
      </c>
      <c r="Q11" s="20">
        <f t="shared" si="3"/>
        <v>12620</v>
      </c>
      <c r="R11" s="68" t="s">
        <v>912</v>
      </c>
      <c r="S11" s="8" t="s">
        <v>2136</v>
      </c>
      <c r="T11" s="11"/>
    </row>
    <row r="12" spans="1:20" ht="24">
      <c r="A12" t="s">
        <v>30</v>
      </c>
      <c r="B12" s="151" t="s">
        <v>172</v>
      </c>
      <c r="C12" s="152"/>
      <c r="D12" s="10">
        <v>45717</v>
      </c>
      <c r="E12" s="1" t="s">
        <v>166</v>
      </c>
      <c r="F12" s="161" t="s">
        <v>164</v>
      </c>
      <c r="G12" s="161" t="s">
        <v>16</v>
      </c>
      <c r="H12" s="161" t="s">
        <v>81</v>
      </c>
      <c r="I12" s="163" t="s">
        <v>881</v>
      </c>
      <c r="J12" s="71">
        <v>1</v>
      </c>
      <c r="K12" s="26">
        <f>280000+2*120000</f>
        <v>520000</v>
      </c>
      <c r="L12" s="26">
        <f t="shared" si="0"/>
        <v>520000</v>
      </c>
      <c r="M12" s="27">
        <f t="shared" si="1"/>
        <v>52000</v>
      </c>
      <c r="N12" s="27">
        <f t="shared" si="2"/>
        <v>572000</v>
      </c>
      <c r="O12" s="52">
        <f>213400+155200</f>
        <v>368600</v>
      </c>
      <c r="P12" s="171" t="s">
        <v>886</v>
      </c>
      <c r="Q12" s="181">
        <f t="shared" si="3"/>
        <v>151400</v>
      </c>
      <c r="R12" s="68" t="s">
        <v>1160</v>
      </c>
      <c r="S12" s="5" t="s">
        <v>2133</v>
      </c>
      <c r="T12" s="6"/>
    </row>
    <row r="13" spans="1:20">
      <c r="A13" t="s">
        <v>30</v>
      </c>
      <c r="B13" s="151" t="s">
        <v>173</v>
      </c>
      <c r="C13" s="152"/>
      <c r="D13" s="10">
        <v>45717</v>
      </c>
      <c r="E13" s="1" t="s">
        <v>262</v>
      </c>
      <c r="F13" s="161" t="s">
        <v>165</v>
      </c>
      <c r="G13" s="161" t="s">
        <v>16</v>
      </c>
      <c r="H13" s="161" t="s">
        <v>81</v>
      </c>
      <c r="I13" s="163" t="s">
        <v>882</v>
      </c>
      <c r="J13" s="71">
        <v>1</v>
      </c>
      <c r="K13" s="26">
        <v>320000</v>
      </c>
      <c r="L13" s="26">
        <f t="shared" si="0"/>
        <v>320000</v>
      </c>
      <c r="M13" s="27">
        <f t="shared" si="1"/>
        <v>32000</v>
      </c>
      <c r="N13" s="27">
        <f t="shared" si="2"/>
        <v>352000</v>
      </c>
      <c r="O13" s="52">
        <f>145500+77600</f>
        <v>223100</v>
      </c>
      <c r="P13" s="171" t="s">
        <v>887</v>
      </c>
      <c r="Q13" s="181">
        <f t="shared" si="3"/>
        <v>96900</v>
      </c>
      <c r="R13" s="68" t="s">
        <v>1192</v>
      </c>
      <c r="S13" s="5" t="s">
        <v>2133</v>
      </c>
      <c r="T13" s="6"/>
    </row>
    <row r="14" spans="1:20">
      <c r="A14" t="s">
        <v>30</v>
      </c>
      <c r="B14" s="151" t="s">
        <v>175</v>
      </c>
      <c r="C14" s="152"/>
      <c r="D14" s="10">
        <v>45717</v>
      </c>
      <c r="E14" s="1" t="s">
        <v>163</v>
      </c>
      <c r="F14" s="1" t="s">
        <v>163</v>
      </c>
      <c r="G14" s="161" t="s">
        <v>16</v>
      </c>
      <c r="H14" s="161" t="s">
        <v>81</v>
      </c>
      <c r="I14" s="163" t="s">
        <v>883</v>
      </c>
      <c r="J14" s="71">
        <v>1</v>
      </c>
      <c r="K14" s="28">
        <v>100000</v>
      </c>
      <c r="L14" s="26">
        <f t="shared" si="0"/>
        <v>100000</v>
      </c>
      <c r="M14" s="27">
        <f t="shared" si="1"/>
        <v>10000</v>
      </c>
      <c r="N14" s="27">
        <f t="shared" si="2"/>
        <v>110000</v>
      </c>
      <c r="O14" s="52">
        <v>0</v>
      </c>
      <c r="P14" s="171" t="s">
        <v>129</v>
      </c>
      <c r="Q14" s="181">
        <f t="shared" si="3"/>
        <v>100000</v>
      </c>
      <c r="R14" s="68" t="s">
        <v>1372</v>
      </c>
      <c r="S14" s="5" t="s">
        <v>2133</v>
      </c>
      <c r="T14" s="6"/>
    </row>
    <row r="15" spans="1:20" ht="24">
      <c r="A15" t="s">
        <v>30</v>
      </c>
      <c r="B15" s="151" t="s">
        <v>146</v>
      </c>
      <c r="C15" s="153"/>
      <c r="D15" s="10">
        <v>45717</v>
      </c>
      <c r="E15" s="1" t="s">
        <v>141</v>
      </c>
      <c r="F15" s="161" t="s">
        <v>814</v>
      </c>
      <c r="G15" s="1" t="s">
        <v>16</v>
      </c>
      <c r="H15" s="161" t="s">
        <v>138</v>
      </c>
      <c r="I15" s="162" t="s">
        <v>884</v>
      </c>
      <c r="J15" s="74">
        <v>1</v>
      </c>
      <c r="K15" s="27">
        <v>635000</v>
      </c>
      <c r="L15" s="26">
        <f t="shared" si="0"/>
        <v>635000</v>
      </c>
      <c r="M15" s="27">
        <f t="shared" si="1"/>
        <v>63500</v>
      </c>
      <c r="N15" s="27">
        <f t="shared" si="2"/>
        <v>698500</v>
      </c>
      <c r="O15" s="52">
        <v>564192</v>
      </c>
      <c r="P15" s="170" t="s">
        <v>972</v>
      </c>
      <c r="Q15" s="181">
        <f t="shared" si="3"/>
        <v>70808</v>
      </c>
      <c r="R15" s="68" t="s">
        <v>1160</v>
      </c>
      <c r="S15" s="8" t="s">
        <v>2136</v>
      </c>
      <c r="T15" s="11"/>
    </row>
    <row r="16" spans="1:20">
      <c r="A16" t="s">
        <v>30</v>
      </c>
      <c r="B16" s="151" t="s">
        <v>113</v>
      </c>
      <c r="C16" s="153"/>
      <c r="D16" s="17">
        <v>45721</v>
      </c>
      <c r="E16" s="1" t="s">
        <v>371</v>
      </c>
      <c r="F16" s="2" t="s">
        <v>372</v>
      </c>
      <c r="G16" s="161" t="s">
        <v>34</v>
      </c>
      <c r="H16" s="161" t="s">
        <v>114</v>
      </c>
      <c r="I16" s="3" t="s">
        <v>888</v>
      </c>
      <c r="J16" s="210">
        <v>1</v>
      </c>
      <c r="K16" s="27">
        <v>367500</v>
      </c>
      <c r="L16" s="26">
        <f t="shared" si="0"/>
        <v>367500</v>
      </c>
      <c r="M16" s="27">
        <f t="shared" si="1"/>
        <v>36750</v>
      </c>
      <c r="N16" s="27">
        <f t="shared" si="2"/>
        <v>404250</v>
      </c>
      <c r="O16" s="52">
        <v>0</v>
      </c>
      <c r="P16" s="171" t="s">
        <v>115</v>
      </c>
      <c r="Q16" s="181">
        <f t="shared" si="3"/>
        <v>367500</v>
      </c>
      <c r="R16" s="68" t="s">
        <v>1160</v>
      </c>
      <c r="S16" s="5" t="s">
        <v>2135</v>
      </c>
      <c r="T16" s="11"/>
    </row>
    <row r="17" spans="1:21" ht="102" customHeight="1">
      <c r="A17" t="s">
        <v>30</v>
      </c>
      <c r="B17" s="151" t="s">
        <v>364</v>
      </c>
      <c r="C17" s="200"/>
      <c r="D17" s="17">
        <v>45721</v>
      </c>
      <c r="E17" s="1" t="s">
        <v>2194</v>
      </c>
      <c r="F17" s="161"/>
      <c r="G17" s="1" t="s">
        <v>16</v>
      </c>
      <c r="H17" s="161" t="s">
        <v>81</v>
      </c>
      <c r="I17" s="3" t="s">
        <v>732</v>
      </c>
      <c r="J17" s="210">
        <v>1</v>
      </c>
      <c r="K17" s="26">
        <v>7060000</v>
      </c>
      <c r="L17" s="26">
        <f t="shared" si="0"/>
        <v>7060000</v>
      </c>
      <c r="M17" s="67">
        <f t="shared" si="1"/>
        <v>706000</v>
      </c>
      <c r="N17" s="27">
        <f t="shared" si="2"/>
        <v>7766000</v>
      </c>
      <c r="O17" s="52">
        <f>691781+300000+70000+1000000/12+810000+352900+5000000/3</f>
        <v>3974681</v>
      </c>
      <c r="P17" s="171" t="s">
        <v>1381</v>
      </c>
      <c r="Q17" s="181">
        <f t="shared" si="3"/>
        <v>3085319</v>
      </c>
      <c r="R17" s="2" t="s">
        <v>1156</v>
      </c>
      <c r="S17" s="5" t="s">
        <v>2133</v>
      </c>
      <c r="T17" s="6"/>
    </row>
    <row r="18" spans="1:21">
      <c r="A18" t="s">
        <v>30</v>
      </c>
      <c r="B18" s="151" t="s">
        <v>369</v>
      </c>
      <c r="C18" s="153"/>
      <c r="D18" s="17">
        <v>45721</v>
      </c>
      <c r="E18" s="1" t="s">
        <v>2198</v>
      </c>
      <c r="F18" s="2"/>
      <c r="G18" s="1" t="s">
        <v>16</v>
      </c>
      <c r="H18" s="161" t="s">
        <v>81</v>
      </c>
      <c r="I18" s="4" t="s">
        <v>889</v>
      </c>
      <c r="J18" s="210">
        <v>1</v>
      </c>
      <c r="K18" s="27">
        <v>1100000</v>
      </c>
      <c r="L18" s="26">
        <f t="shared" si="0"/>
        <v>1100000</v>
      </c>
      <c r="M18" s="27">
        <f t="shared" si="1"/>
        <v>110000</v>
      </c>
      <c r="N18" s="27">
        <f t="shared" si="2"/>
        <v>1210000</v>
      </c>
      <c r="O18" s="33">
        <v>1060000</v>
      </c>
      <c r="P18" s="197" t="s">
        <v>2183</v>
      </c>
      <c r="Q18" s="20">
        <f t="shared" si="3"/>
        <v>40000</v>
      </c>
      <c r="R18" s="68" t="s">
        <v>1455</v>
      </c>
      <c r="S18" s="36" t="s">
        <v>2133</v>
      </c>
      <c r="T18" s="11"/>
    </row>
    <row r="19" spans="1:21">
      <c r="A19" t="s">
        <v>30</v>
      </c>
      <c r="B19" s="151" t="s">
        <v>113</v>
      </c>
      <c r="C19" s="153"/>
      <c r="D19" s="86">
        <v>45721</v>
      </c>
      <c r="E19" s="1" t="s">
        <v>197</v>
      </c>
      <c r="F19" s="2" t="s">
        <v>404</v>
      </c>
      <c r="G19" s="2" t="s">
        <v>352</v>
      </c>
      <c r="H19" s="83" t="s">
        <v>184</v>
      </c>
      <c r="I19" s="4" t="s">
        <v>402</v>
      </c>
      <c r="J19" s="23">
        <v>1</v>
      </c>
      <c r="K19" s="27">
        <v>12500000</v>
      </c>
      <c r="L19" s="26">
        <f t="shared" si="0"/>
        <v>12500000</v>
      </c>
      <c r="M19" s="27">
        <f t="shared" si="1"/>
        <v>1250000</v>
      </c>
      <c r="N19" s="27">
        <f t="shared" si="2"/>
        <v>13750000</v>
      </c>
      <c r="O19" s="33">
        <v>0</v>
      </c>
      <c r="P19" s="197" t="s">
        <v>504</v>
      </c>
      <c r="Q19" s="20">
        <v>0</v>
      </c>
      <c r="R19" s="68" t="s">
        <v>1176</v>
      </c>
      <c r="S19" s="8" t="s">
        <v>2133</v>
      </c>
      <c r="T19" s="11"/>
      <c r="U19" t="s">
        <v>499</v>
      </c>
    </row>
    <row r="20" spans="1:21">
      <c r="A20" t="s">
        <v>30</v>
      </c>
      <c r="B20" s="151" t="s">
        <v>849</v>
      </c>
      <c r="C20" s="153"/>
      <c r="D20" s="17">
        <v>45721</v>
      </c>
      <c r="E20" s="1" t="s">
        <v>852</v>
      </c>
      <c r="F20" s="2"/>
      <c r="G20" s="2" t="s">
        <v>15</v>
      </c>
      <c r="H20" s="83" t="s">
        <v>850</v>
      </c>
      <c r="I20" s="4" t="s">
        <v>851</v>
      </c>
      <c r="J20" s="23">
        <v>1</v>
      </c>
      <c r="K20" s="27">
        <v>380000</v>
      </c>
      <c r="L20" s="26">
        <f t="shared" si="0"/>
        <v>380000</v>
      </c>
      <c r="M20" s="27">
        <f t="shared" si="1"/>
        <v>38000</v>
      </c>
      <c r="N20" s="27">
        <f t="shared" si="2"/>
        <v>418000</v>
      </c>
      <c r="O20" s="33">
        <f>200000+3800</f>
        <v>203800</v>
      </c>
      <c r="P20" s="197" t="s">
        <v>1958</v>
      </c>
      <c r="Q20" s="20">
        <f t="shared" ref="Q20:Q47" si="4">L20-O20</f>
        <v>176200</v>
      </c>
      <c r="R20" s="2" t="s">
        <v>999</v>
      </c>
      <c r="S20" s="8" t="s">
        <v>2132</v>
      </c>
      <c r="T20" s="11"/>
    </row>
    <row r="21" spans="1:21">
      <c r="A21" t="s">
        <v>30</v>
      </c>
      <c r="B21" s="151" t="s">
        <v>113</v>
      </c>
      <c r="C21" s="200"/>
      <c r="D21" s="10">
        <v>45726</v>
      </c>
      <c r="E21" s="1" t="s">
        <v>2204</v>
      </c>
      <c r="F21" s="161" t="s">
        <v>267</v>
      </c>
      <c r="G21" s="161" t="s">
        <v>34</v>
      </c>
      <c r="H21" s="161" t="s">
        <v>114</v>
      </c>
      <c r="I21" s="163" t="s">
        <v>903</v>
      </c>
      <c r="J21" s="71">
        <v>1</v>
      </c>
      <c r="K21" s="26">
        <v>6394500</v>
      </c>
      <c r="L21" s="26">
        <f t="shared" si="0"/>
        <v>6394500</v>
      </c>
      <c r="M21" s="27">
        <f t="shared" si="1"/>
        <v>639450</v>
      </c>
      <c r="N21" s="27">
        <f t="shared" si="2"/>
        <v>7033950</v>
      </c>
      <c r="O21" s="52">
        <v>0</v>
      </c>
      <c r="P21" s="171" t="s">
        <v>115</v>
      </c>
      <c r="Q21" s="181">
        <f t="shared" si="4"/>
        <v>6394500</v>
      </c>
      <c r="R21" s="2" t="s">
        <v>1023</v>
      </c>
      <c r="S21" s="5" t="s">
        <v>2135</v>
      </c>
      <c r="T21" s="6"/>
    </row>
    <row r="22" spans="1:21" ht="41.25" customHeight="1">
      <c r="A22" t="s">
        <v>30</v>
      </c>
      <c r="B22" s="151" t="s">
        <v>625</v>
      </c>
      <c r="C22" s="153"/>
      <c r="D22" s="224">
        <v>45726</v>
      </c>
      <c r="E22" s="1" t="s">
        <v>627</v>
      </c>
      <c r="F22" s="2" t="s">
        <v>813</v>
      </c>
      <c r="G22" s="2" t="s">
        <v>35</v>
      </c>
      <c r="H22" s="2" t="s">
        <v>160</v>
      </c>
      <c r="I22" s="4" t="s">
        <v>1544</v>
      </c>
      <c r="J22" s="23">
        <v>1</v>
      </c>
      <c r="K22" s="226">
        <v>200000</v>
      </c>
      <c r="L22" s="26">
        <f t="shared" si="0"/>
        <v>200000</v>
      </c>
      <c r="M22" s="27">
        <f t="shared" si="1"/>
        <v>20000</v>
      </c>
      <c r="N22" s="27">
        <f t="shared" si="2"/>
        <v>220000</v>
      </c>
      <c r="O22" s="33">
        <v>0</v>
      </c>
      <c r="P22" s="197" t="s">
        <v>171</v>
      </c>
      <c r="Q22" s="227">
        <f t="shared" si="4"/>
        <v>200000</v>
      </c>
      <c r="R22" s="254" t="s">
        <v>578</v>
      </c>
      <c r="S22" s="8" t="s">
        <v>2134</v>
      </c>
      <c r="T22" s="11"/>
    </row>
    <row r="23" spans="1:21" ht="24">
      <c r="B23" s="151" t="s">
        <v>866</v>
      </c>
      <c r="C23" s="153"/>
      <c r="D23" s="17">
        <v>45727</v>
      </c>
      <c r="E23" s="214" t="s">
        <v>2165</v>
      </c>
      <c r="F23" s="215" t="s">
        <v>250</v>
      </c>
      <c r="G23" s="2" t="s">
        <v>868</v>
      </c>
      <c r="H23" s="83" t="s">
        <v>783</v>
      </c>
      <c r="I23" s="4" t="s">
        <v>867</v>
      </c>
      <c r="J23" s="23">
        <v>40</v>
      </c>
      <c r="K23" s="27">
        <v>33000</v>
      </c>
      <c r="L23" s="26">
        <f t="shared" si="0"/>
        <v>1320000</v>
      </c>
      <c r="M23" s="27">
        <f t="shared" si="1"/>
        <v>132000</v>
      </c>
      <c r="N23" s="27">
        <f t="shared" si="2"/>
        <v>1452000</v>
      </c>
      <c r="O23" s="241">
        <f>1081440+3800</f>
        <v>1085240</v>
      </c>
      <c r="P23" s="229" t="s">
        <v>1959</v>
      </c>
      <c r="Q23" s="20">
        <f t="shared" si="4"/>
        <v>234760</v>
      </c>
      <c r="R23" s="68" t="s">
        <v>1559</v>
      </c>
      <c r="S23" s="8" t="s">
        <v>2136</v>
      </c>
      <c r="T23" s="11"/>
    </row>
    <row r="24" spans="1:21" ht="12" customHeight="1">
      <c r="A24" t="s">
        <v>30</v>
      </c>
      <c r="B24" s="151" t="s">
        <v>113</v>
      </c>
      <c r="C24" s="200"/>
      <c r="D24" s="17">
        <v>45727</v>
      </c>
      <c r="E24" s="1" t="s">
        <v>365</v>
      </c>
      <c r="F24" s="2" t="s">
        <v>366</v>
      </c>
      <c r="G24" s="161" t="s">
        <v>34</v>
      </c>
      <c r="H24" s="161" t="s">
        <v>114</v>
      </c>
      <c r="I24" s="3" t="s">
        <v>2091</v>
      </c>
      <c r="J24" s="32">
        <v>1</v>
      </c>
      <c r="K24" s="48">
        <v>400000</v>
      </c>
      <c r="L24" s="26">
        <f t="shared" si="0"/>
        <v>400000</v>
      </c>
      <c r="M24" s="27">
        <f t="shared" si="1"/>
        <v>40000</v>
      </c>
      <c r="N24" s="27">
        <f t="shared" si="2"/>
        <v>440000</v>
      </c>
      <c r="O24" s="52">
        <v>0</v>
      </c>
      <c r="P24" s="171" t="s">
        <v>115</v>
      </c>
      <c r="Q24" s="181">
        <f t="shared" si="4"/>
        <v>400000</v>
      </c>
      <c r="R24" s="2" t="s">
        <v>1001</v>
      </c>
      <c r="S24" s="5" t="s">
        <v>2135</v>
      </c>
      <c r="T24" s="6"/>
    </row>
    <row r="25" spans="1:21">
      <c r="A25" t="s">
        <v>30</v>
      </c>
      <c r="B25" s="151" t="s">
        <v>113</v>
      </c>
      <c r="C25" s="153"/>
      <c r="D25" s="17">
        <v>45729</v>
      </c>
      <c r="E25" s="1" t="s">
        <v>2198</v>
      </c>
      <c r="F25" s="2"/>
      <c r="G25" s="2" t="s">
        <v>15</v>
      </c>
      <c r="H25" s="83" t="s">
        <v>1009</v>
      </c>
      <c r="I25" s="4" t="s">
        <v>1008</v>
      </c>
      <c r="J25" s="23">
        <v>1</v>
      </c>
      <c r="K25" s="27">
        <v>1530000</v>
      </c>
      <c r="L25" s="26">
        <f t="shared" si="0"/>
        <v>1530000</v>
      </c>
      <c r="M25" s="27">
        <f t="shared" si="1"/>
        <v>153000</v>
      </c>
      <c r="N25" s="27">
        <f t="shared" si="2"/>
        <v>1683000</v>
      </c>
      <c r="O25" s="33">
        <v>1499000</v>
      </c>
      <c r="P25" s="197" t="s">
        <v>2184</v>
      </c>
      <c r="Q25" s="20">
        <f t="shared" si="4"/>
        <v>31000</v>
      </c>
      <c r="R25" s="68" t="s">
        <v>1455</v>
      </c>
      <c r="S25" s="8" t="s">
        <v>2133</v>
      </c>
      <c r="T25" s="11"/>
    </row>
    <row r="26" spans="1:21" ht="12" customHeight="1">
      <c r="A26" t="s">
        <v>30</v>
      </c>
      <c r="B26" s="151" t="s">
        <v>113</v>
      </c>
      <c r="C26" s="200"/>
      <c r="D26" s="17">
        <v>45731</v>
      </c>
      <c r="E26" s="1" t="s">
        <v>367</v>
      </c>
      <c r="F26" s="2" t="s">
        <v>368</v>
      </c>
      <c r="G26" s="161" t="s">
        <v>34</v>
      </c>
      <c r="H26" s="161" t="s">
        <v>114</v>
      </c>
      <c r="I26" s="3" t="s">
        <v>920</v>
      </c>
      <c r="J26" s="32">
        <v>1</v>
      </c>
      <c r="K26" s="48">
        <v>346500</v>
      </c>
      <c r="L26" s="26">
        <f t="shared" si="0"/>
        <v>346500</v>
      </c>
      <c r="M26" s="27">
        <f t="shared" si="1"/>
        <v>34650</v>
      </c>
      <c r="N26" s="27">
        <f t="shared" si="2"/>
        <v>381150</v>
      </c>
      <c r="O26" s="52">
        <v>0</v>
      </c>
      <c r="P26" s="171" t="s">
        <v>115</v>
      </c>
      <c r="Q26" s="181">
        <f t="shared" si="4"/>
        <v>346500</v>
      </c>
      <c r="R26" s="2" t="s">
        <v>1089</v>
      </c>
      <c r="S26" s="5" t="s">
        <v>2135</v>
      </c>
      <c r="T26" s="6"/>
    </row>
    <row r="27" spans="1:21" ht="24">
      <c r="A27" t="s">
        <v>30</v>
      </c>
      <c r="B27" s="151" t="s">
        <v>253</v>
      </c>
      <c r="C27" s="199" t="s">
        <v>306</v>
      </c>
      <c r="D27" s="17">
        <v>45731</v>
      </c>
      <c r="E27" s="1" t="s">
        <v>246</v>
      </c>
      <c r="F27" s="2" t="s">
        <v>247</v>
      </c>
      <c r="G27" s="2" t="s">
        <v>16</v>
      </c>
      <c r="H27" s="2" t="s">
        <v>80</v>
      </c>
      <c r="I27" s="4" t="s">
        <v>921</v>
      </c>
      <c r="J27" s="23">
        <v>1</v>
      </c>
      <c r="K27" s="27">
        <v>875000</v>
      </c>
      <c r="L27" s="26">
        <f t="shared" si="0"/>
        <v>875000</v>
      </c>
      <c r="M27" s="27">
        <f t="shared" si="1"/>
        <v>87500</v>
      </c>
      <c r="N27" s="27">
        <f t="shared" si="2"/>
        <v>962500</v>
      </c>
      <c r="O27" s="52">
        <f>511500+3400000/12</f>
        <v>794833.33333333326</v>
      </c>
      <c r="P27" s="197" t="s">
        <v>1376</v>
      </c>
      <c r="Q27" s="181">
        <f t="shared" si="4"/>
        <v>80166.666666666744</v>
      </c>
      <c r="R27" s="2" t="s">
        <v>1294</v>
      </c>
      <c r="S27" s="8" t="s">
        <v>2136</v>
      </c>
      <c r="T27" s="11"/>
    </row>
    <row r="28" spans="1:21">
      <c r="A28" t="s">
        <v>30</v>
      </c>
      <c r="B28" s="151" t="s">
        <v>330</v>
      </c>
      <c r="C28" s="199" t="s">
        <v>335</v>
      </c>
      <c r="D28" s="17">
        <v>45731</v>
      </c>
      <c r="E28" s="1" t="s">
        <v>161</v>
      </c>
      <c r="F28" s="2" t="s">
        <v>154</v>
      </c>
      <c r="G28" s="2" t="s">
        <v>16</v>
      </c>
      <c r="H28" s="2" t="s">
        <v>80</v>
      </c>
      <c r="I28" s="4" t="s">
        <v>922</v>
      </c>
      <c r="J28" s="23">
        <v>1</v>
      </c>
      <c r="K28" s="27">
        <v>1080000</v>
      </c>
      <c r="L28" s="26">
        <f t="shared" si="0"/>
        <v>1080000</v>
      </c>
      <c r="M28" s="27">
        <f t="shared" si="1"/>
        <v>108000</v>
      </c>
      <c r="N28" s="27">
        <f t="shared" si="2"/>
        <v>1188000</v>
      </c>
      <c r="O28" s="52">
        <v>976200</v>
      </c>
      <c r="P28" s="171" t="s">
        <v>151</v>
      </c>
      <c r="Q28" s="181">
        <f t="shared" si="4"/>
        <v>103800</v>
      </c>
      <c r="R28" s="2" t="s">
        <v>1101</v>
      </c>
      <c r="S28" s="8" t="s">
        <v>2136</v>
      </c>
      <c r="T28" s="11"/>
    </row>
    <row r="29" spans="1:21" ht="24">
      <c r="B29" s="151" t="s">
        <v>914</v>
      </c>
      <c r="C29" s="153"/>
      <c r="D29" s="17">
        <v>45733</v>
      </c>
      <c r="E29" s="1" t="s">
        <v>2157</v>
      </c>
      <c r="F29" s="2"/>
      <c r="G29" s="2" t="s">
        <v>15</v>
      </c>
      <c r="H29" s="83" t="s">
        <v>918</v>
      </c>
      <c r="I29" s="4" t="s">
        <v>916</v>
      </c>
      <c r="J29" s="23">
        <v>1</v>
      </c>
      <c r="K29" s="27">
        <v>65000</v>
      </c>
      <c r="L29" s="26">
        <f t="shared" si="0"/>
        <v>65000</v>
      </c>
      <c r="M29" s="27">
        <f t="shared" si="1"/>
        <v>6500</v>
      </c>
      <c r="N29" s="27">
        <f t="shared" si="2"/>
        <v>71500</v>
      </c>
      <c r="O29" s="33">
        <v>50191</v>
      </c>
      <c r="P29" s="197" t="s">
        <v>919</v>
      </c>
      <c r="Q29" s="20">
        <f t="shared" si="4"/>
        <v>14809</v>
      </c>
      <c r="R29" s="68" t="s">
        <v>1176</v>
      </c>
      <c r="S29" s="8" t="s">
        <v>2134</v>
      </c>
      <c r="T29" s="11"/>
    </row>
    <row r="30" spans="1:21">
      <c r="B30" s="151" t="s">
        <v>969</v>
      </c>
      <c r="C30" s="153"/>
      <c r="D30" s="17">
        <v>45733</v>
      </c>
      <c r="E30" s="1" t="s">
        <v>2157</v>
      </c>
      <c r="F30" s="2"/>
      <c r="G30" s="2" t="s">
        <v>15</v>
      </c>
      <c r="H30" s="83" t="s">
        <v>970</v>
      </c>
      <c r="I30" s="4" t="s">
        <v>213</v>
      </c>
      <c r="J30" s="23">
        <v>1</v>
      </c>
      <c r="K30" s="27">
        <v>3420000</v>
      </c>
      <c r="L30" s="26">
        <f t="shared" si="0"/>
        <v>3420000</v>
      </c>
      <c r="M30" s="27">
        <f t="shared" si="1"/>
        <v>342000</v>
      </c>
      <c r="N30" s="27">
        <f t="shared" si="2"/>
        <v>3762000</v>
      </c>
      <c r="O30" s="33">
        <f>3159164+30000</f>
        <v>3189164</v>
      </c>
      <c r="P30" s="229" t="s">
        <v>1523</v>
      </c>
      <c r="Q30" s="20">
        <f t="shared" si="4"/>
        <v>230836</v>
      </c>
      <c r="R30" s="68" t="s">
        <v>1176</v>
      </c>
      <c r="S30" s="8" t="s">
        <v>2134</v>
      </c>
      <c r="T30" s="11"/>
    </row>
    <row r="31" spans="1:21">
      <c r="B31" s="151" t="s">
        <v>1024</v>
      </c>
      <c r="C31" s="153"/>
      <c r="D31" s="17">
        <v>45734</v>
      </c>
      <c r="E31" s="1" t="s">
        <v>997</v>
      </c>
      <c r="F31" s="2"/>
      <c r="G31" s="2" t="s">
        <v>15</v>
      </c>
      <c r="H31" s="83" t="s">
        <v>142</v>
      </c>
      <c r="I31" s="4" t="s">
        <v>998</v>
      </c>
      <c r="J31" s="23">
        <v>1</v>
      </c>
      <c r="K31" s="27">
        <v>700000</v>
      </c>
      <c r="L31" s="26">
        <f t="shared" si="0"/>
        <v>700000</v>
      </c>
      <c r="M31" s="27">
        <f t="shared" si="1"/>
        <v>70000</v>
      </c>
      <c r="N31" s="27">
        <f t="shared" si="2"/>
        <v>770000</v>
      </c>
      <c r="O31" s="33">
        <v>500000</v>
      </c>
      <c r="P31" s="197" t="s">
        <v>1011</v>
      </c>
      <c r="Q31" s="20">
        <f t="shared" si="4"/>
        <v>200000</v>
      </c>
      <c r="R31" s="68" t="s">
        <v>1822</v>
      </c>
      <c r="S31" s="8" t="s">
        <v>2133</v>
      </c>
      <c r="T31" s="11"/>
    </row>
    <row r="32" spans="1:21" ht="12" customHeight="1">
      <c r="A32" t="s">
        <v>30</v>
      </c>
      <c r="B32" s="151" t="s">
        <v>1027</v>
      </c>
      <c r="C32" s="153"/>
      <c r="D32" s="17">
        <v>45735</v>
      </c>
      <c r="E32" s="1" t="s">
        <v>2164</v>
      </c>
      <c r="F32" s="2"/>
      <c r="G32" s="2" t="s">
        <v>16</v>
      </c>
      <c r="H32" s="83" t="s">
        <v>1029</v>
      </c>
      <c r="I32" s="4" t="s">
        <v>1028</v>
      </c>
      <c r="J32" s="23">
        <v>1</v>
      </c>
      <c r="K32" s="27">
        <v>2280000</v>
      </c>
      <c r="L32" s="26">
        <f t="shared" si="0"/>
        <v>2280000</v>
      </c>
      <c r="M32" s="27">
        <f t="shared" si="1"/>
        <v>228000</v>
      </c>
      <c r="N32" s="27">
        <f t="shared" si="2"/>
        <v>2508000</v>
      </c>
      <c r="O32" s="33">
        <v>2040000</v>
      </c>
      <c r="P32" s="197" t="s">
        <v>1478</v>
      </c>
      <c r="Q32" s="20">
        <f t="shared" si="4"/>
        <v>240000</v>
      </c>
      <c r="R32" s="2" t="s">
        <v>1102</v>
      </c>
      <c r="S32" s="8" t="s">
        <v>2134</v>
      </c>
      <c r="T32" s="11"/>
    </row>
    <row r="33" spans="1:20" ht="36">
      <c r="A33" t="s">
        <v>30</v>
      </c>
      <c r="B33" s="151" t="s">
        <v>1000</v>
      </c>
      <c r="C33" s="153"/>
      <c r="D33" s="17">
        <v>45735</v>
      </c>
      <c r="E33" s="1" t="s">
        <v>2142</v>
      </c>
      <c r="F33" s="2"/>
      <c r="G33" s="2" t="s">
        <v>15</v>
      </c>
      <c r="H33" s="83" t="s">
        <v>970</v>
      </c>
      <c r="I33" s="4" t="s">
        <v>213</v>
      </c>
      <c r="J33" s="23">
        <v>1</v>
      </c>
      <c r="K33" s="27">
        <v>7990000</v>
      </c>
      <c r="L33" s="26">
        <f t="shared" si="0"/>
        <v>7990000</v>
      </c>
      <c r="M33" s="27">
        <f t="shared" si="1"/>
        <v>799000</v>
      </c>
      <c r="N33" s="27">
        <f t="shared" si="2"/>
        <v>8789000</v>
      </c>
      <c r="O33" s="33">
        <f>3161791+3714000+45000</f>
        <v>6920791</v>
      </c>
      <c r="P33" s="197" t="s">
        <v>1522</v>
      </c>
      <c r="Q33" s="20">
        <f t="shared" si="4"/>
        <v>1069209</v>
      </c>
      <c r="R33" s="2" t="s">
        <v>1304</v>
      </c>
      <c r="S33" s="8" t="s">
        <v>2132</v>
      </c>
      <c r="T33" s="11"/>
    </row>
    <row r="34" spans="1:20" ht="24">
      <c r="A34" t="s">
        <v>30</v>
      </c>
      <c r="B34" s="151" t="s">
        <v>113</v>
      </c>
      <c r="C34" s="200"/>
      <c r="D34" s="10">
        <v>45736</v>
      </c>
      <c r="E34" s="1" t="s">
        <v>378</v>
      </c>
      <c r="F34" s="2" t="s">
        <v>268</v>
      </c>
      <c r="G34" s="2" t="s">
        <v>34</v>
      </c>
      <c r="H34" s="161" t="s">
        <v>114</v>
      </c>
      <c r="I34" s="3" t="s">
        <v>923</v>
      </c>
      <c r="J34" s="23">
        <v>1</v>
      </c>
      <c r="K34" s="29">
        <v>800000</v>
      </c>
      <c r="L34" s="26">
        <f t="shared" si="0"/>
        <v>800000</v>
      </c>
      <c r="M34" s="27">
        <f t="shared" si="1"/>
        <v>80000</v>
      </c>
      <c r="N34" s="27">
        <f t="shared" si="2"/>
        <v>880000</v>
      </c>
      <c r="O34" s="52">
        <v>0</v>
      </c>
      <c r="P34" s="171" t="s">
        <v>115</v>
      </c>
      <c r="Q34" s="181">
        <f t="shared" si="4"/>
        <v>800000</v>
      </c>
      <c r="R34" s="266" t="s">
        <v>2036</v>
      </c>
      <c r="S34" s="5" t="s">
        <v>2135</v>
      </c>
      <c r="T34" s="6"/>
    </row>
    <row r="35" spans="1:20">
      <c r="A35" t="s">
        <v>30</v>
      </c>
      <c r="B35" s="151" t="s">
        <v>191</v>
      </c>
      <c r="C35" s="199"/>
      <c r="D35" s="10">
        <v>45736</v>
      </c>
      <c r="E35" s="1" t="s">
        <v>176</v>
      </c>
      <c r="F35" s="2" t="s">
        <v>177</v>
      </c>
      <c r="G35" s="2" t="s">
        <v>16</v>
      </c>
      <c r="H35" s="2" t="s">
        <v>81</v>
      </c>
      <c r="I35" s="70" t="s">
        <v>924</v>
      </c>
      <c r="J35" s="23">
        <v>1</v>
      </c>
      <c r="K35" s="27">
        <v>200000</v>
      </c>
      <c r="L35" s="26">
        <f t="shared" si="0"/>
        <v>200000</v>
      </c>
      <c r="M35" s="27">
        <f t="shared" si="1"/>
        <v>20000</v>
      </c>
      <c r="N35" s="27">
        <f t="shared" si="2"/>
        <v>220000</v>
      </c>
      <c r="O35" s="52">
        <v>0</v>
      </c>
      <c r="P35" s="171" t="s">
        <v>115</v>
      </c>
      <c r="Q35" s="181">
        <f t="shared" si="4"/>
        <v>200000</v>
      </c>
      <c r="R35" s="68" t="s">
        <v>1455</v>
      </c>
      <c r="S35" s="8" t="s">
        <v>2133</v>
      </c>
      <c r="T35" s="11"/>
    </row>
    <row r="36" spans="1:20" ht="72">
      <c r="A36" t="s">
        <v>30</v>
      </c>
      <c r="B36" s="151" t="s">
        <v>214</v>
      </c>
      <c r="C36" s="200"/>
      <c r="D36" s="10">
        <v>45736</v>
      </c>
      <c r="E36" s="214" t="s">
        <v>37</v>
      </c>
      <c r="F36" s="215"/>
      <c r="G36" s="161" t="s">
        <v>35</v>
      </c>
      <c r="H36" s="161" t="s">
        <v>89</v>
      </c>
      <c r="I36" s="163" t="s">
        <v>925</v>
      </c>
      <c r="J36" s="23">
        <v>1</v>
      </c>
      <c r="K36" s="26">
        <v>1000000</v>
      </c>
      <c r="L36" s="26">
        <f t="shared" si="0"/>
        <v>1000000</v>
      </c>
      <c r="M36" s="27">
        <f t="shared" si="1"/>
        <v>100000</v>
      </c>
      <c r="N36" s="27">
        <f t="shared" si="2"/>
        <v>1100000</v>
      </c>
      <c r="O36" s="72">
        <f>16728000/36+370000+1000000/12</f>
        <v>918000.00000000012</v>
      </c>
      <c r="P36" s="171" t="s">
        <v>2101</v>
      </c>
      <c r="Q36" s="181">
        <f t="shared" si="4"/>
        <v>81999.999999999884</v>
      </c>
      <c r="R36" s="68" t="s">
        <v>1160</v>
      </c>
      <c r="S36" s="5" t="s">
        <v>2136</v>
      </c>
      <c r="T36" s="11"/>
    </row>
    <row r="37" spans="1:20">
      <c r="B37" s="151" t="s">
        <v>1219</v>
      </c>
      <c r="C37" s="230"/>
      <c r="D37" s="17">
        <v>45736</v>
      </c>
      <c r="E37" s="214" t="s">
        <v>1050</v>
      </c>
      <c r="F37" s="215" t="s">
        <v>1005</v>
      </c>
      <c r="G37" s="161" t="s">
        <v>16</v>
      </c>
      <c r="H37" s="161" t="s">
        <v>138</v>
      </c>
      <c r="I37" s="4" t="s">
        <v>930</v>
      </c>
      <c r="J37" s="23">
        <v>1</v>
      </c>
      <c r="K37" s="27">
        <v>350000</v>
      </c>
      <c r="L37" s="26">
        <f t="shared" si="0"/>
        <v>350000</v>
      </c>
      <c r="M37" s="27">
        <f t="shared" si="1"/>
        <v>35000</v>
      </c>
      <c r="N37" s="27">
        <f t="shared" si="2"/>
        <v>385000</v>
      </c>
      <c r="O37" s="33">
        <f>300000</f>
        <v>300000</v>
      </c>
      <c r="P37" s="197" t="s">
        <v>1228</v>
      </c>
      <c r="Q37" s="181">
        <f t="shared" si="4"/>
        <v>50000</v>
      </c>
      <c r="R37" s="68" t="s">
        <v>1703</v>
      </c>
      <c r="S37" s="8" t="s">
        <v>2136</v>
      </c>
      <c r="T37" s="11"/>
    </row>
    <row r="38" spans="1:20" ht="24">
      <c r="A38" t="s">
        <v>30</v>
      </c>
      <c r="B38" s="151" t="s">
        <v>302</v>
      </c>
      <c r="C38" s="200"/>
      <c r="D38" s="78">
        <v>45736</v>
      </c>
      <c r="E38" s="216" t="s">
        <v>2172</v>
      </c>
      <c r="F38" s="217"/>
      <c r="G38" s="167" t="s">
        <v>16</v>
      </c>
      <c r="H38" s="167" t="s">
        <v>81</v>
      </c>
      <c r="I38" s="168" t="s">
        <v>875</v>
      </c>
      <c r="J38" s="79">
        <v>1</v>
      </c>
      <c r="K38" s="80">
        <v>950000</v>
      </c>
      <c r="L38" s="80">
        <f t="shared" si="0"/>
        <v>950000</v>
      </c>
      <c r="M38" s="81">
        <f t="shared" si="1"/>
        <v>95000</v>
      </c>
      <c r="N38" s="81">
        <f t="shared" si="2"/>
        <v>1045000</v>
      </c>
      <c r="O38" s="52">
        <f>2000000/4+150000</f>
        <v>650000</v>
      </c>
      <c r="P38" s="171" t="s">
        <v>1384</v>
      </c>
      <c r="Q38" s="181">
        <f t="shared" si="4"/>
        <v>300000</v>
      </c>
      <c r="R38" s="68" t="s">
        <v>1455</v>
      </c>
      <c r="S38" s="5" t="s">
        <v>2133</v>
      </c>
      <c r="T38" s="11"/>
    </row>
    <row r="39" spans="1:20">
      <c r="B39" s="151" t="s">
        <v>1039</v>
      </c>
      <c r="C39" s="153"/>
      <c r="D39" s="17">
        <v>45737</v>
      </c>
      <c r="E39" s="1" t="s">
        <v>2173</v>
      </c>
      <c r="F39" s="2" t="s">
        <v>1046</v>
      </c>
      <c r="G39" s="2" t="s">
        <v>1047</v>
      </c>
      <c r="H39" s="83" t="s">
        <v>1041</v>
      </c>
      <c r="I39" s="4" t="s">
        <v>1042</v>
      </c>
      <c r="J39" s="23">
        <v>8</v>
      </c>
      <c r="K39" s="27">
        <v>200000</v>
      </c>
      <c r="L39" s="26">
        <v>2200000</v>
      </c>
      <c r="M39" s="27">
        <f t="shared" si="1"/>
        <v>220000</v>
      </c>
      <c r="N39" s="27">
        <f t="shared" si="2"/>
        <v>2420000</v>
      </c>
      <c r="O39" s="33">
        <f>8*70000</f>
        <v>560000</v>
      </c>
      <c r="P39" s="197" t="s">
        <v>1271</v>
      </c>
      <c r="Q39" s="20">
        <f t="shared" si="4"/>
        <v>1640000</v>
      </c>
      <c r="R39" s="2" t="s">
        <v>1336</v>
      </c>
      <c r="S39" s="8" t="s">
        <v>2136</v>
      </c>
      <c r="T39" s="11"/>
    </row>
    <row r="40" spans="1:20">
      <c r="B40" s="151" t="s">
        <v>1040</v>
      </c>
      <c r="C40" s="155"/>
      <c r="D40" s="43"/>
      <c r="E40" s="44" t="s">
        <v>2173</v>
      </c>
      <c r="F40" s="41"/>
      <c r="G40" s="2" t="s">
        <v>1047</v>
      </c>
      <c r="H40" s="83" t="s">
        <v>1043</v>
      </c>
      <c r="I40" s="4" t="s">
        <v>1044</v>
      </c>
      <c r="J40" s="23">
        <v>1</v>
      </c>
      <c r="K40" s="27">
        <v>600000</v>
      </c>
      <c r="L40" s="37"/>
      <c r="M40" s="38"/>
      <c r="N40" s="38"/>
      <c r="O40" s="39">
        <v>0</v>
      </c>
      <c r="P40" s="197" t="s">
        <v>1045</v>
      </c>
      <c r="Q40" s="40">
        <f t="shared" si="4"/>
        <v>0</v>
      </c>
      <c r="R40" s="41"/>
      <c r="S40" s="42"/>
      <c r="T40" s="11"/>
    </row>
    <row r="41" spans="1:20">
      <c r="B41" s="151" t="s">
        <v>1031</v>
      </c>
      <c r="C41" s="153"/>
      <c r="D41" s="17">
        <v>45737</v>
      </c>
      <c r="E41" s="1" t="s">
        <v>1037</v>
      </c>
      <c r="F41" s="2"/>
      <c r="G41" s="2" t="s">
        <v>15</v>
      </c>
      <c r="H41" s="83" t="s">
        <v>1033</v>
      </c>
      <c r="I41" s="4" t="s">
        <v>1034</v>
      </c>
      <c r="J41" s="23">
        <v>1</v>
      </c>
      <c r="K41" s="27">
        <v>250000</v>
      </c>
      <c r="L41" s="26">
        <f t="shared" ref="L41:L46" si="5">J41*K41</f>
        <v>250000</v>
      </c>
      <c r="M41" s="27">
        <f t="shared" ref="M41:M47" si="6">L41*10%</f>
        <v>25000</v>
      </c>
      <c r="N41" s="27">
        <f t="shared" ref="N41:N47" si="7">SUM(L41:M41)</f>
        <v>275000</v>
      </c>
      <c r="O41" s="33">
        <v>180000</v>
      </c>
      <c r="P41" s="197" t="s">
        <v>1273</v>
      </c>
      <c r="Q41" s="20">
        <f t="shared" si="4"/>
        <v>70000</v>
      </c>
      <c r="R41" s="2" t="s">
        <v>1101</v>
      </c>
      <c r="S41" s="8" t="s">
        <v>2136</v>
      </c>
      <c r="T41" s="11"/>
    </row>
    <row r="42" spans="1:20">
      <c r="B42" s="151" t="s">
        <v>1469</v>
      </c>
      <c r="C42" s="153"/>
      <c r="D42" s="17">
        <v>45737</v>
      </c>
      <c r="E42" s="1" t="s">
        <v>1038</v>
      </c>
      <c r="F42" s="2"/>
      <c r="G42" s="2" t="s">
        <v>15</v>
      </c>
      <c r="H42" s="83" t="s">
        <v>1035</v>
      </c>
      <c r="I42" s="4" t="s">
        <v>1036</v>
      </c>
      <c r="J42" s="23">
        <v>1</v>
      </c>
      <c r="K42" s="27">
        <v>250000</v>
      </c>
      <c r="L42" s="26">
        <f t="shared" si="5"/>
        <v>250000</v>
      </c>
      <c r="M42" s="27">
        <f t="shared" si="6"/>
        <v>25000</v>
      </c>
      <c r="N42" s="27">
        <f t="shared" si="7"/>
        <v>275000</v>
      </c>
      <c r="O42" s="33">
        <v>150000</v>
      </c>
      <c r="P42" s="197" t="s">
        <v>1272</v>
      </c>
      <c r="Q42" s="20">
        <f t="shared" si="4"/>
        <v>100000</v>
      </c>
      <c r="R42" s="2" t="s">
        <v>1735</v>
      </c>
      <c r="S42" s="8" t="s">
        <v>2136</v>
      </c>
      <c r="T42" s="11"/>
    </row>
    <row r="43" spans="1:20">
      <c r="A43" t="s">
        <v>30</v>
      </c>
      <c r="B43" s="151" t="s">
        <v>1067</v>
      </c>
      <c r="C43" s="153"/>
      <c r="D43" s="17">
        <v>45740</v>
      </c>
      <c r="E43" s="1" t="s">
        <v>2173</v>
      </c>
      <c r="F43" s="2" t="s">
        <v>718</v>
      </c>
      <c r="G43" s="2" t="s">
        <v>1068</v>
      </c>
      <c r="H43" s="83" t="s">
        <v>1069</v>
      </c>
      <c r="I43" s="4" t="s">
        <v>1070</v>
      </c>
      <c r="J43" s="23">
        <v>1</v>
      </c>
      <c r="K43" s="27">
        <v>400000</v>
      </c>
      <c r="L43" s="26">
        <f t="shared" si="5"/>
        <v>400000</v>
      </c>
      <c r="M43" s="27">
        <f t="shared" si="6"/>
        <v>40000</v>
      </c>
      <c r="N43" s="27">
        <f t="shared" si="7"/>
        <v>440000</v>
      </c>
      <c r="O43" s="33">
        <v>0</v>
      </c>
      <c r="P43" s="197" t="s">
        <v>1071</v>
      </c>
      <c r="Q43" s="20">
        <f t="shared" si="4"/>
        <v>400000</v>
      </c>
      <c r="R43" s="2" t="s">
        <v>1357</v>
      </c>
      <c r="S43" s="8" t="s">
        <v>2136</v>
      </c>
      <c r="T43" s="11"/>
    </row>
    <row r="44" spans="1:20">
      <c r="B44" s="151" t="s">
        <v>1061</v>
      </c>
      <c r="C44" s="153"/>
      <c r="D44" s="17">
        <v>45741</v>
      </c>
      <c r="E44" s="214" t="s">
        <v>2165</v>
      </c>
      <c r="F44" s="215" t="s">
        <v>250</v>
      </c>
      <c r="G44" s="2" t="s">
        <v>352</v>
      </c>
      <c r="H44" s="83" t="s">
        <v>1059</v>
      </c>
      <c r="I44" s="4" t="s">
        <v>1060</v>
      </c>
      <c r="J44" s="23">
        <v>1</v>
      </c>
      <c r="K44" s="27">
        <v>1295000</v>
      </c>
      <c r="L44" s="26">
        <f t="shared" si="5"/>
        <v>1295000</v>
      </c>
      <c r="M44" s="27">
        <f t="shared" si="6"/>
        <v>129500</v>
      </c>
      <c r="N44" s="27">
        <f t="shared" si="7"/>
        <v>1424500</v>
      </c>
      <c r="O44" s="33">
        <f>1070364+3800</f>
        <v>1074164</v>
      </c>
      <c r="P44" s="197" t="s">
        <v>1960</v>
      </c>
      <c r="Q44" s="20">
        <f t="shared" si="4"/>
        <v>220836</v>
      </c>
      <c r="R44" s="2" t="s">
        <v>1691</v>
      </c>
      <c r="S44" s="8" t="s">
        <v>2136</v>
      </c>
      <c r="T44" s="11"/>
    </row>
    <row r="45" spans="1:20">
      <c r="B45" s="151" t="s">
        <v>1062</v>
      </c>
      <c r="C45" s="153"/>
      <c r="D45" s="17">
        <v>45741</v>
      </c>
      <c r="E45" s="1" t="s">
        <v>2173</v>
      </c>
      <c r="F45" s="2" t="s">
        <v>1064</v>
      </c>
      <c r="G45" s="2" t="s">
        <v>352</v>
      </c>
      <c r="H45" s="83" t="s">
        <v>184</v>
      </c>
      <c r="I45" s="4" t="s">
        <v>1063</v>
      </c>
      <c r="J45" s="23">
        <v>1</v>
      </c>
      <c r="K45" s="27">
        <v>400000</v>
      </c>
      <c r="L45" s="26">
        <f t="shared" si="5"/>
        <v>400000</v>
      </c>
      <c r="M45" s="27">
        <f t="shared" si="6"/>
        <v>40000</v>
      </c>
      <c r="N45" s="27">
        <f t="shared" si="7"/>
        <v>440000</v>
      </c>
      <c r="O45" s="33">
        <v>0</v>
      </c>
      <c r="P45" s="197" t="s">
        <v>1065</v>
      </c>
      <c r="Q45" s="20">
        <f t="shared" si="4"/>
        <v>400000</v>
      </c>
      <c r="R45" s="2" t="s">
        <v>1372</v>
      </c>
      <c r="S45" s="8" t="s">
        <v>2136</v>
      </c>
      <c r="T45" s="11"/>
    </row>
    <row r="46" spans="1:20">
      <c r="A46" t="s">
        <v>30</v>
      </c>
      <c r="B46" s="151" t="s">
        <v>120</v>
      </c>
      <c r="C46" s="200"/>
      <c r="D46" s="17">
        <v>45741</v>
      </c>
      <c r="E46" s="214" t="s">
        <v>7</v>
      </c>
      <c r="F46" s="189" t="s">
        <v>121</v>
      </c>
      <c r="G46" s="161" t="s">
        <v>16</v>
      </c>
      <c r="H46" s="161" t="s">
        <v>81</v>
      </c>
      <c r="I46" s="163" t="s">
        <v>926</v>
      </c>
      <c r="J46" s="24">
        <v>1</v>
      </c>
      <c r="K46" s="26">
        <v>320000</v>
      </c>
      <c r="L46" s="26">
        <f t="shared" si="5"/>
        <v>320000</v>
      </c>
      <c r="M46" s="27">
        <f t="shared" si="6"/>
        <v>32000</v>
      </c>
      <c r="N46" s="27">
        <f t="shared" si="7"/>
        <v>352000</v>
      </c>
      <c r="O46" s="33">
        <f>1800000/12</f>
        <v>150000</v>
      </c>
      <c r="P46" s="171" t="s">
        <v>1076</v>
      </c>
      <c r="Q46" s="181">
        <f t="shared" si="4"/>
        <v>170000</v>
      </c>
      <c r="R46" s="68" t="s">
        <v>1455</v>
      </c>
      <c r="S46" s="5" t="s">
        <v>2136</v>
      </c>
      <c r="T46" s="11"/>
    </row>
    <row r="47" spans="1:20">
      <c r="A47" t="s">
        <v>30</v>
      </c>
      <c r="B47" s="151" t="s">
        <v>331</v>
      </c>
      <c r="C47" s="199"/>
      <c r="D47" s="17">
        <v>45741</v>
      </c>
      <c r="E47" s="214" t="s">
        <v>2211</v>
      </c>
      <c r="F47" s="215"/>
      <c r="G47" s="1" t="s">
        <v>16</v>
      </c>
      <c r="H47" s="2" t="s">
        <v>81</v>
      </c>
      <c r="I47" s="163" t="s">
        <v>927</v>
      </c>
      <c r="J47" s="76">
        <v>1</v>
      </c>
      <c r="K47" s="48">
        <v>1216000</v>
      </c>
      <c r="L47" s="26">
        <v>2446000</v>
      </c>
      <c r="M47" s="27">
        <f t="shared" si="6"/>
        <v>244600</v>
      </c>
      <c r="N47" s="27">
        <f t="shared" si="7"/>
        <v>2690600</v>
      </c>
      <c r="O47" s="52">
        <f>840000+595000</f>
        <v>1435000</v>
      </c>
      <c r="P47" s="171" t="s">
        <v>1229</v>
      </c>
      <c r="Q47" s="181">
        <f t="shared" si="4"/>
        <v>1011000</v>
      </c>
      <c r="R47" s="2" t="s">
        <v>1277</v>
      </c>
      <c r="S47" s="8" t="s">
        <v>2134</v>
      </c>
      <c r="T47" s="11"/>
    </row>
    <row r="48" spans="1:20">
      <c r="A48" t="s">
        <v>30</v>
      </c>
      <c r="B48" s="151" t="s">
        <v>291</v>
      </c>
      <c r="C48" s="201"/>
      <c r="D48" s="43"/>
      <c r="E48" s="219" t="s">
        <v>2211</v>
      </c>
      <c r="F48" s="220"/>
      <c r="G48" s="1" t="s">
        <v>16</v>
      </c>
      <c r="H48" s="2" t="s">
        <v>81</v>
      </c>
      <c r="I48" s="163" t="s">
        <v>875</v>
      </c>
      <c r="J48" s="76">
        <v>1</v>
      </c>
      <c r="K48" s="48">
        <v>390000</v>
      </c>
      <c r="L48" s="38"/>
      <c r="M48" s="38"/>
      <c r="N48" s="38"/>
      <c r="O48" s="84"/>
      <c r="P48" s="240" t="s">
        <v>287</v>
      </c>
      <c r="Q48" s="184"/>
      <c r="R48" s="46"/>
      <c r="S48" s="42"/>
      <c r="T48" s="133"/>
    </row>
    <row r="49" spans="1:20">
      <c r="A49" t="s">
        <v>30</v>
      </c>
      <c r="B49" s="151" t="s">
        <v>206</v>
      </c>
      <c r="C49" s="201"/>
      <c r="D49" s="43"/>
      <c r="E49" s="219" t="s">
        <v>2211</v>
      </c>
      <c r="F49" s="220"/>
      <c r="G49" s="1" t="s">
        <v>16</v>
      </c>
      <c r="H49" s="2" t="s">
        <v>81</v>
      </c>
      <c r="I49" s="3" t="s">
        <v>928</v>
      </c>
      <c r="J49" s="76">
        <v>70</v>
      </c>
      <c r="K49" s="48">
        <v>12000</v>
      </c>
      <c r="L49" s="38"/>
      <c r="M49" s="38"/>
      <c r="N49" s="38"/>
      <c r="O49" s="84"/>
      <c r="P49" s="171" t="s">
        <v>1230</v>
      </c>
      <c r="Q49" s="184"/>
      <c r="R49" s="46"/>
      <c r="S49" s="42"/>
      <c r="T49" s="133"/>
    </row>
    <row r="50" spans="1:20" ht="24">
      <c r="A50" t="s">
        <v>30</v>
      </c>
      <c r="B50" s="151" t="s">
        <v>325</v>
      </c>
      <c r="C50" s="200" t="s">
        <v>343</v>
      </c>
      <c r="D50" s="17">
        <v>45741</v>
      </c>
      <c r="E50" s="214" t="s">
        <v>209</v>
      </c>
      <c r="F50" s="215" t="s">
        <v>126</v>
      </c>
      <c r="G50" s="161" t="s">
        <v>16</v>
      </c>
      <c r="H50" s="161" t="s">
        <v>81</v>
      </c>
      <c r="I50" s="3" t="s">
        <v>878</v>
      </c>
      <c r="J50" s="73">
        <v>1</v>
      </c>
      <c r="K50" s="26">
        <v>168000</v>
      </c>
      <c r="L50" s="26">
        <f t="shared" ref="L50:L81" si="8">J50*K50</f>
        <v>168000</v>
      </c>
      <c r="M50" s="27">
        <f t="shared" ref="M50:M81" si="9">L50*10%</f>
        <v>16800</v>
      </c>
      <c r="N50" s="27">
        <f t="shared" ref="N50:N81" si="10">SUM(L50:M50)</f>
        <v>184800</v>
      </c>
      <c r="O50" s="52">
        <f>485440/12+80160</f>
        <v>120613.33333333334</v>
      </c>
      <c r="P50" s="171" t="s">
        <v>979</v>
      </c>
      <c r="Q50" s="183">
        <f t="shared" ref="Q50:Q58" si="11">L50-O50</f>
        <v>47386.666666666657</v>
      </c>
      <c r="R50" s="68" t="s">
        <v>1454</v>
      </c>
      <c r="S50" s="5" t="s">
        <v>2136</v>
      </c>
      <c r="T50" s="11"/>
    </row>
    <row r="51" spans="1:20">
      <c r="A51" t="s">
        <v>30</v>
      </c>
      <c r="B51" s="151" t="s">
        <v>324</v>
      </c>
      <c r="C51" s="200"/>
      <c r="D51" s="17">
        <v>45741</v>
      </c>
      <c r="E51" s="214" t="s">
        <v>2177</v>
      </c>
      <c r="F51" s="189" t="s">
        <v>127</v>
      </c>
      <c r="G51" s="161" t="s">
        <v>16</v>
      </c>
      <c r="H51" s="161" t="s">
        <v>138</v>
      </c>
      <c r="I51" s="163" t="s">
        <v>878</v>
      </c>
      <c r="J51" s="24">
        <v>1</v>
      </c>
      <c r="K51" s="26">
        <v>115000</v>
      </c>
      <c r="L51" s="26">
        <f t="shared" si="8"/>
        <v>115000</v>
      </c>
      <c r="M51" s="27">
        <f t="shared" si="9"/>
        <v>11500</v>
      </c>
      <c r="N51" s="27">
        <f t="shared" si="10"/>
        <v>126500</v>
      </c>
      <c r="O51" s="52">
        <v>66498</v>
      </c>
      <c r="P51" s="171" t="s">
        <v>977</v>
      </c>
      <c r="Q51" s="181">
        <f t="shared" si="11"/>
        <v>48502</v>
      </c>
      <c r="R51" s="68" t="s">
        <v>1383</v>
      </c>
      <c r="S51" s="5" t="s">
        <v>2136</v>
      </c>
      <c r="T51" s="11"/>
    </row>
    <row r="52" spans="1:20" ht="36">
      <c r="A52" t="s">
        <v>30</v>
      </c>
      <c r="B52" s="151" t="s">
        <v>395</v>
      </c>
      <c r="C52" s="199"/>
      <c r="D52" s="17">
        <v>45741</v>
      </c>
      <c r="E52" s="214" t="s">
        <v>2177</v>
      </c>
      <c r="F52" s="215" t="s">
        <v>133</v>
      </c>
      <c r="G52" s="161" t="s">
        <v>16</v>
      </c>
      <c r="H52" s="161" t="s">
        <v>138</v>
      </c>
      <c r="I52" s="164" t="s">
        <v>929</v>
      </c>
      <c r="J52" s="34">
        <v>1</v>
      </c>
      <c r="K52" s="48">
        <v>350000</v>
      </c>
      <c r="L52" s="26">
        <f t="shared" si="8"/>
        <v>350000</v>
      </c>
      <c r="M52" s="27">
        <f t="shared" si="9"/>
        <v>35000</v>
      </c>
      <c r="N52" s="27">
        <f t="shared" si="10"/>
        <v>385000</v>
      </c>
      <c r="O52" s="52">
        <f>133870+70180+1000000/12</f>
        <v>287383.33333333331</v>
      </c>
      <c r="P52" s="172" t="s">
        <v>2110</v>
      </c>
      <c r="Q52" s="181">
        <f t="shared" si="11"/>
        <v>62616.666666666686</v>
      </c>
      <c r="R52" s="68" t="s">
        <v>1383</v>
      </c>
      <c r="S52" s="8" t="s">
        <v>2136</v>
      </c>
      <c r="T52" s="11"/>
    </row>
    <row r="53" spans="1:20" ht="24">
      <c r="A53" t="s">
        <v>30</v>
      </c>
      <c r="B53" s="151" t="s">
        <v>1220</v>
      </c>
      <c r="C53" s="199"/>
      <c r="D53" s="17">
        <v>45741</v>
      </c>
      <c r="E53" s="214" t="s">
        <v>2177</v>
      </c>
      <c r="F53" s="215" t="s">
        <v>137</v>
      </c>
      <c r="G53" s="161" t="s">
        <v>16</v>
      </c>
      <c r="H53" s="161" t="s">
        <v>138</v>
      </c>
      <c r="I53" s="164" t="s">
        <v>883</v>
      </c>
      <c r="J53" s="34">
        <v>1</v>
      </c>
      <c r="K53" s="48">
        <v>444000</v>
      </c>
      <c r="L53" s="26">
        <f t="shared" si="8"/>
        <v>444000</v>
      </c>
      <c r="M53" s="27">
        <f t="shared" si="9"/>
        <v>44400</v>
      </c>
      <c r="N53" s="27">
        <f t="shared" si="10"/>
        <v>488400</v>
      </c>
      <c r="O53" s="72">
        <f>79496+4200000/12</f>
        <v>429496</v>
      </c>
      <c r="P53" s="170" t="s">
        <v>2115</v>
      </c>
      <c r="Q53" s="181">
        <f t="shared" si="11"/>
        <v>14504</v>
      </c>
      <c r="R53" s="68" t="s">
        <v>1383</v>
      </c>
      <c r="S53" s="8" t="s">
        <v>2136</v>
      </c>
      <c r="T53" s="11"/>
    </row>
    <row r="54" spans="1:20">
      <c r="A54" t="s">
        <v>30</v>
      </c>
      <c r="B54" s="151" t="s">
        <v>134</v>
      </c>
      <c r="C54" s="200"/>
      <c r="D54" s="17">
        <v>45741</v>
      </c>
      <c r="E54" s="214" t="s">
        <v>2163</v>
      </c>
      <c r="F54" s="189"/>
      <c r="G54" s="161" t="s">
        <v>16</v>
      </c>
      <c r="H54" s="161" t="s">
        <v>81</v>
      </c>
      <c r="I54" s="163" t="s">
        <v>930</v>
      </c>
      <c r="J54" s="24">
        <v>1</v>
      </c>
      <c r="K54" s="26">
        <v>305000</v>
      </c>
      <c r="L54" s="26">
        <f t="shared" si="8"/>
        <v>305000</v>
      </c>
      <c r="M54" s="27">
        <f t="shared" si="9"/>
        <v>30500</v>
      </c>
      <c r="N54" s="27">
        <f t="shared" si="10"/>
        <v>335500</v>
      </c>
      <c r="O54" s="52">
        <v>84811</v>
      </c>
      <c r="P54" s="171" t="s">
        <v>977</v>
      </c>
      <c r="Q54" s="181">
        <f t="shared" si="11"/>
        <v>220189</v>
      </c>
      <c r="R54" s="68" t="s">
        <v>1160</v>
      </c>
      <c r="S54" s="5" t="s">
        <v>2134</v>
      </c>
      <c r="T54" s="11"/>
    </row>
    <row r="55" spans="1:20">
      <c r="A55" t="s">
        <v>30</v>
      </c>
      <c r="B55" s="151" t="s">
        <v>327</v>
      </c>
      <c r="C55" s="199"/>
      <c r="D55" s="17">
        <v>45741</v>
      </c>
      <c r="E55" s="214" t="s">
        <v>326</v>
      </c>
      <c r="F55" s="215"/>
      <c r="G55" s="2" t="s">
        <v>16</v>
      </c>
      <c r="H55" s="161" t="s">
        <v>138</v>
      </c>
      <c r="I55" s="4" t="s">
        <v>878</v>
      </c>
      <c r="J55" s="23">
        <v>1</v>
      </c>
      <c r="K55" s="27">
        <v>668000</v>
      </c>
      <c r="L55" s="26">
        <f t="shared" si="8"/>
        <v>668000</v>
      </c>
      <c r="M55" s="27">
        <f t="shared" si="9"/>
        <v>66800</v>
      </c>
      <c r="N55" s="27">
        <f t="shared" si="10"/>
        <v>734800</v>
      </c>
      <c r="O55" s="72">
        <f>277600+142800</f>
        <v>420400</v>
      </c>
      <c r="P55" s="223" t="s">
        <v>981</v>
      </c>
      <c r="Q55" s="181">
        <f t="shared" si="11"/>
        <v>247600</v>
      </c>
      <c r="R55" s="68" t="s">
        <v>1314</v>
      </c>
      <c r="S55" s="8" t="s">
        <v>2136</v>
      </c>
      <c r="T55" s="11"/>
    </row>
    <row r="56" spans="1:20" ht="24">
      <c r="A56" t="s">
        <v>30</v>
      </c>
      <c r="B56" s="151" t="s">
        <v>396</v>
      </c>
      <c r="C56" s="199"/>
      <c r="D56" s="17">
        <v>45741</v>
      </c>
      <c r="E56" s="214" t="s">
        <v>2141</v>
      </c>
      <c r="F56" s="214" t="s">
        <v>135</v>
      </c>
      <c r="G56" s="161" t="s">
        <v>16</v>
      </c>
      <c r="H56" s="161" t="s">
        <v>81</v>
      </c>
      <c r="I56" s="163" t="s">
        <v>929</v>
      </c>
      <c r="J56" s="24">
        <v>1</v>
      </c>
      <c r="K56" s="26">
        <v>500000</v>
      </c>
      <c r="L56" s="26">
        <f t="shared" si="8"/>
        <v>500000</v>
      </c>
      <c r="M56" s="27">
        <f t="shared" si="9"/>
        <v>50000</v>
      </c>
      <c r="N56" s="27">
        <f t="shared" si="10"/>
        <v>550000</v>
      </c>
      <c r="O56" s="52">
        <f>600000/6+20600</f>
        <v>120600</v>
      </c>
      <c r="P56" s="171" t="s">
        <v>1695</v>
      </c>
      <c r="Q56" s="181">
        <f t="shared" si="11"/>
        <v>379400</v>
      </c>
      <c r="R56" s="68" t="s">
        <v>1453</v>
      </c>
      <c r="S56" s="5" t="s">
        <v>2136</v>
      </c>
      <c r="T56" s="11"/>
    </row>
    <row r="57" spans="1:20">
      <c r="A57" t="s">
        <v>30</v>
      </c>
      <c r="B57" s="151" t="s">
        <v>854</v>
      </c>
      <c r="C57" s="199"/>
      <c r="D57" s="17">
        <v>45741</v>
      </c>
      <c r="E57" s="221" t="s">
        <v>2142</v>
      </c>
      <c r="F57" s="215"/>
      <c r="G57" s="161" t="s">
        <v>16</v>
      </c>
      <c r="H57" s="161" t="s">
        <v>81</v>
      </c>
      <c r="I57" s="163" t="s">
        <v>883</v>
      </c>
      <c r="J57" s="23">
        <v>1</v>
      </c>
      <c r="K57" s="27">
        <v>1400000</v>
      </c>
      <c r="L57" s="26">
        <f t="shared" si="8"/>
        <v>1400000</v>
      </c>
      <c r="M57" s="27">
        <f t="shared" si="9"/>
        <v>140000</v>
      </c>
      <c r="N57" s="27">
        <f t="shared" si="10"/>
        <v>1540000</v>
      </c>
      <c r="O57" s="52">
        <f>1500000/3</f>
        <v>500000</v>
      </c>
      <c r="P57" s="171" t="s">
        <v>1082</v>
      </c>
      <c r="Q57" s="181">
        <f t="shared" si="11"/>
        <v>900000</v>
      </c>
      <c r="R57" s="68" t="s">
        <v>1336</v>
      </c>
      <c r="S57" s="8" t="s">
        <v>2134</v>
      </c>
      <c r="T57" s="11"/>
    </row>
    <row r="58" spans="1:20">
      <c r="A58" t="s">
        <v>30</v>
      </c>
      <c r="B58" s="151" t="s">
        <v>932</v>
      </c>
      <c r="C58" s="153" t="s">
        <v>933</v>
      </c>
      <c r="D58" s="86">
        <v>45741</v>
      </c>
      <c r="E58" s="1" t="s">
        <v>33</v>
      </c>
      <c r="F58" s="2" t="s">
        <v>934</v>
      </c>
      <c r="G58" s="2" t="s">
        <v>16</v>
      </c>
      <c r="H58" s="2" t="s">
        <v>80</v>
      </c>
      <c r="I58" s="70" t="s">
        <v>935</v>
      </c>
      <c r="J58" s="23">
        <v>1</v>
      </c>
      <c r="K58" s="27">
        <v>417500</v>
      </c>
      <c r="L58" s="26">
        <f t="shared" si="8"/>
        <v>417500</v>
      </c>
      <c r="M58" s="27">
        <f t="shared" si="9"/>
        <v>41750</v>
      </c>
      <c r="N58" s="27">
        <f t="shared" si="10"/>
        <v>459250</v>
      </c>
      <c r="O58" s="33">
        <f>115800*3</f>
        <v>347400</v>
      </c>
      <c r="P58" s="171" t="s">
        <v>1231</v>
      </c>
      <c r="Q58" s="21">
        <f t="shared" si="11"/>
        <v>70100</v>
      </c>
      <c r="R58" s="68" t="s">
        <v>1336</v>
      </c>
      <c r="S58" s="8" t="s">
        <v>2136</v>
      </c>
      <c r="T58" s="11"/>
    </row>
    <row r="59" spans="1:20">
      <c r="B59" s="151" t="s">
        <v>563</v>
      </c>
      <c r="C59" s="153"/>
      <c r="D59" s="17">
        <v>45741</v>
      </c>
      <c r="E59" s="1" t="s">
        <v>375</v>
      </c>
      <c r="F59" s="2"/>
      <c r="G59" s="2" t="s">
        <v>15</v>
      </c>
      <c r="H59" s="83" t="s">
        <v>542</v>
      </c>
      <c r="I59" s="4" t="s">
        <v>1100</v>
      </c>
      <c r="J59" s="23">
        <v>-1</v>
      </c>
      <c r="K59" s="27">
        <v>650000</v>
      </c>
      <c r="L59" s="26">
        <f t="shared" si="8"/>
        <v>-650000</v>
      </c>
      <c r="M59" s="27">
        <f t="shared" si="9"/>
        <v>-65000</v>
      </c>
      <c r="N59" s="27">
        <f t="shared" si="10"/>
        <v>-715000</v>
      </c>
      <c r="O59" s="33"/>
      <c r="P59" s="197" t="s">
        <v>1095</v>
      </c>
      <c r="Q59" s="20">
        <v>0</v>
      </c>
      <c r="R59" s="68" t="s">
        <v>1159</v>
      </c>
      <c r="S59" s="8" t="s">
        <v>2136</v>
      </c>
      <c r="T59" s="11"/>
    </row>
    <row r="60" spans="1:20">
      <c r="A60" t="s">
        <v>30</v>
      </c>
      <c r="B60" s="151" t="s">
        <v>1098</v>
      </c>
      <c r="C60" s="153"/>
      <c r="D60" s="17">
        <v>45741</v>
      </c>
      <c r="E60" s="1" t="s">
        <v>1097</v>
      </c>
      <c r="F60" s="2"/>
      <c r="G60" s="2" t="s">
        <v>15</v>
      </c>
      <c r="H60" s="83" t="s">
        <v>542</v>
      </c>
      <c r="I60" s="4" t="s">
        <v>1099</v>
      </c>
      <c r="J60" s="23">
        <v>1</v>
      </c>
      <c r="K60" s="27">
        <v>550000</v>
      </c>
      <c r="L60" s="26">
        <f t="shared" si="8"/>
        <v>550000</v>
      </c>
      <c r="M60" s="27">
        <f t="shared" si="9"/>
        <v>55000</v>
      </c>
      <c r="N60" s="27">
        <f t="shared" si="10"/>
        <v>605000</v>
      </c>
      <c r="O60" s="33">
        <v>0</v>
      </c>
      <c r="P60" s="197" t="s">
        <v>1520</v>
      </c>
      <c r="Q60" s="20">
        <f>-O60</f>
        <v>0</v>
      </c>
      <c r="R60" s="68" t="s">
        <v>1102</v>
      </c>
      <c r="S60" s="8" t="s">
        <v>2136</v>
      </c>
      <c r="T60" s="11"/>
    </row>
    <row r="61" spans="1:20">
      <c r="A61" t="s">
        <v>30</v>
      </c>
      <c r="B61" s="151" t="s">
        <v>113</v>
      </c>
      <c r="C61" s="153"/>
      <c r="D61" s="17">
        <v>45742</v>
      </c>
      <c r="E61" s="1" t="s">
        <v>2198</v>
      </c>
      <c r="F61" s="2" t="s">
        <v>1103</v>
      </c>
      <c r="G61" s="2" t="s">
        <v>15</v>
      </c>
      <c r="H61" s="83" t="s">
        <v>1104</v>
      </c>
      <c r="I61" s="4" t="s">
        <v>1105</v>
      </c>
      <c r="J61" s="23">
        <v>1</v>
      </c>
      <c r="K61" s="27">
        <v>210000</v>
      </c>
      <c r="L61" s="26">
        <f t="shared" si="8"/>
        <v>210000</v>
      </c>
      <c r="M61" s="27">
        <f t="shared" si="9"/>
        <v>21000</v>
      </c>
      <c r="N61" s="27">
        <f t="shared" si="10"/>
        <v>231000</v>
      </c>
      <c r="O61" s="33">
        <v>200000</v>
      </c>
      <c r="P61" s="197" t="s">
        <v>2185</v>
      </c>
      <c r="Q61" s="20">
        <f t="shared" ref="Q61:Q91" si="12">L61-O61</f>
        <v>10000</v>
      </c>
      <c r="R61" s="68" t="s">
        <v>1455</v>
      </c>
      <c r="S61" s="8" t="s">
        <v>2133</v>
      </c>
      <c r="T61" s="11"/>
    </row>
    <row r="62" spans="1:20" ht="36">
      <c r="A62" t="s">
        <v>30</v>
      </c>
      <c r="B62" s="151" t="s">
        <v>260</v>
      </c>
      <c r="C62" s="200"/>
      <c r="D62" s="78">
        <v>45742</v>
      </c>
      <c r="E62" s="218" t="s">
        <v>2196</v>
      </c>
      <c r="F62" s="217"/>
      <c r="G62" s="167" t="s">
        <v>16</v>
      </c>
      <c r="H62" s="167" t="s">
        <v>81</v>
      </c>
      <c r="I62" s="168" t="s">
        <v>884</v>
      </c>
      <c r="J62" s="79">
        <v>1</v>
      </c>
      <c r="K62" s="80">
        <v>1505000</v>
      </c>
      <c r="L62" s="80">
        <f t="shared" si="8"/>
        <v>1505000</v>
      </c>
      <c r="M62" s="81">
        <f t="shared" si="9"/>
        <v>150500</v>
      </c>
      <c r="N62" s="81">
        <f t="shared" si="10"/>
        <v>1655500</v>
      </c>
      <c r="O62" s="52">
        <f>200000+2100000/3+80000</f>
        <v>980000</v>
      </c>
      <c r="P62" s="172" t="s">
        <v>2059</v>
      </c>
      <c r="Q62" s="181">
        <f t="shared" si="12"/>
        <v>525000</v>
      </c>
      <c r="R62" s="2" t="s">
        <v>1454</v>
      </c>
      <c r="S62" s="5" t="s">
        <v>2133</v>
      </c>
      <c r="T62" s="11"/>
    </row>
    <row r="63" spans="1:20">
      <c r="A63" t="s">
        <v>30</v>
      </c>
      <c r="B63" s="151" t="s">
        <v>113</v>
      </c>
      <c r="C63" s="199"/>
      <c r="D63" s="17">
        <v>45747</v>
      </c>
      <c r="E63" s="214" t="s">
        <v>96</v>
      </c>
      <c r="F63" s="215" t="s">
        <v>270</v>
      </c>
      <c r="G63" s="161" t="s">
        <v>34</v>
      </c>
      <c r="H63" s="161" t="s">
        <v>114</v>
      </c>
      <c r="I63" s="169" t="s">
        <v>936</v>
      </c>
      <c r="J63" s="69">
        <v>1</v>
      </c>
      <c r="K63" s="27">
        <v>600000</v>
      </c>
      <c r="L63" s="26">
        <f t="shared" si="8"/>
        <v>600000</v>
      </c>
      <c r="M63" s="27">
        <f t="shared" si="9"/>
        <v>60000</v>
      </c>
      <c r="N63" s="27">
        <f t="shared" si="10"/>
        <v>660000</v>
      </c>
      <c r="O63" s="52">
        <v>0</v>
      </c>
      <c r="P63" s="171" t="s">
        <v>115</v>
      </c>
      <c r="Q63" s="181">
        <f t="shared" si="12"/>
        <v>600000</v>
      </c>
      <c r="R63" s="68" t="s">
        <v>1176</v>
      </c>
      <c r="S63" s="8" t="s">
        <v>2135</v>
      </c>
      <c r="T63" s="11"/>
    </row>
    <row r="64" spans="1:20" ht="24">
      <c r="A64" t="s">
        <v>30</v>
      </c>
      <c r="B64" s="151" t="s">
        <v>113</v>
      </c>
      <c r="C64" s="199"/>
      <c r="D64" s="17">
        <v>45747</v>
      </c>
      <c r="E64" s="214" t="s">
        <v>308</v>
      </c>
      <c r="F64" s="215" t="s">
        <v>271</v>
      </c>
      <c r="G64" s="161" t="s">
        <v>34</v>
      </c>
      <c r="H64" s="161" t="s">
        <v>114</v>
      </c>
      <c r="I64" s="4" t="s">
        <v>1158</v>
      </c>
      <c r="J64" s="23">
        <v>1</v>
      </c>
      <c r="K64" s="27">
        <v>4000000</v>
      </c>
      <c r="L64" s="26">
        <f t="shared" si="8"/>
        <v>4000000</v>
      </c>
      <c r="M64" s="27">
        <f t="shared" si="9"/>
        <v>400000</v>
      </c>
      <c r="N64" s="27">
        <f t="shared" si="10"/>
        <v>4400000</v>
      </c>
      <c r="O64" s="52">
        <v>0</v>
      </c>
      <c r="P64" s="170" t="s">
        <v>115</v>
      </c>
      <c r="Q64" s="181">
        <f t="shared" si="12"/>
        <v>4000000</v>
      </c>
      <c r="R64" s="68" t="s">
        <v>2037</v>
      </c>
      <c r="S64" s="8" t="s">
        <v>2135</v>
      </c>
      <c r="T64" s="11"/>
    </row>
    <row r="65" spans="1:20">
      <c r="A65" t="s">
        <v>30</v>
      </c>
      <c r="B65" s="151" t="s">
        <v>190</v>
      </c>
      <c r="C65" s="200" t="s">
        <v>220</v>
      </c>
      <c r="D65" s="17">
        <v>45747</v>
      </c>
      <c r="E65" s="214" t="s">
        <v>2171</v>
      </c>
      <c r="F65" s="214" t="s">
        <v>150</v>
      </c>
      <c r="G65" s="1" t="s">
        <v>16</v>
      </c>
      <c r="H65" s="161" t="s">
        <v>80</v>
      </c>
      <c r="I65" s="163" t="s">
        <v>937</v>
      </c>
      <c r="J65" s="32">
        <v>1</v>
      </c>
      <c r="K65" s="48">
        <v>11178000</v>
      </c>
      <c r="L65" s="26">
        <f t="shared" si="8"/>
        <v>11178000</v>
      </c>
      <c r="M65" s="27">
        <f t="shared" si="9"/>
        <v>1117800</v>
      </c>
      <c r="N65" s="27">
        <f t="shared" si="10"/>
        <v>12295800</v>
      </c>
      <c r="O65" s="72">
        <v>9980400</v>
      </c>
      <c r="P65" s="197" t="s">
        <v>1227</v>
      </c>
      <c r="Q65" s="181">
        <f t="shared" si="12"/>
        <v>1197600</v>
      </c>
      <c r="R65" s="68" t="s">
        <v>1455</v>
      </c>
      <c r="S65" s="8" t="s">
        <v>2136</v>
      </c>
      <c r="T65" s="11"/>
    </row>
    <row r="66" spans="1:20">
      <c r="A66" t="s">
        <v>30</v>
      </c>
      <c r="B66" s="151" t="s">
        <v>676</v>
      </c>
      <c r="C66" s="200" t="s">
        <v>677</v>
      </c>
      <c r="D66" s="17">
        <v>45747</v>
      </c>
      <c r="E66" s="214" t="s">
        <v>2171</v>
      </c>
      <c r="F66" s="189" t="s">
        <v>119</v>
      </c>
      <c r="G66" s="161" t="s">
        <v>16</v>
      </c>
      <c r="H66" s="161" t="s">
        <v>80</v>
      </c>
      <c r="I66" s="164" t="s">
        <v>883</v>
      </c>
      <c r="J66" s="24">
        <v>1</v>
      </c>
      <c r="K66" s="27">
        <v>585000</v>
      </c>
      <c r="L66" s="26">
        <f t="shared" si="8"/>
        <v>585000</v>
      </c>
      <c r="M66" s="27">
        <f t="shared" si="9"/>
        <v>58500</v>
      </c>
      <c r="N66" s="27">
        <f t="shared" si="10"/>
        <v>643500</v>
      </c>
      <c r="O66" s="52">
        <v>531600</v>
      </c>
      <c r="P66" s="197" t="s">
        <v>1227</v>
      </c>
      <c r="Q66" s="181">
        <f t="shared" si="12"/>
        <v>53400</v>
      </c>
      <c r="R66" s="68" t="s">
        <v>1455</v>
      </c>
      <c r="S66" s="5" t="s">
        <v>2136</v>
      </c>
      <c r="T66" s="11"/>
    </row>
    <row r="67" spans="1:20">
      <c r="A67" t="s">
        <v>30</v>
      </c>
      <c r="B67" s="151" t="s">
        <v>186</v>
      </c>
      <c r="C67" s="200"/>
      <c r="D67" s="17">
        <v>45747</v>
      </c>
      <c r="E67" s="214" t="s">
        <v>2160</v>
      </c>
      <c r="F67" s="189" t="s">
        <v>122</v>
      </c>
      <c r="G67" s="161" t="s">
        <v>16</v>
      </c>
      <c r="H67" s="161" t="s">
        <v>138</v>
      </c>
      <c r="I67" s="163" t="s">
        <v>938</v>
      </c>
      <c r="J67" s="69">
        <v>1</v>
      </c>
      <c r="K67" s="29">
        <v>180000</v>
      </c>
      <c r="L67" s="26">
        <f t="shared" si="8"/>
        <v>180000</v>
      </c>
      <c r="M67" s="27">
        <f t="shared" si="9"/>
        <v>18000</v>
      </c>
      <c r="N67" s="27">
        <f t="shared" si="10"/>
        <v>198000</v>
      </c>
      <c r="O67" s="52">
        <v>159761</v>
      </c>
      <c r="P67" s="171" t="s">
        <v>977</v>
      </c>
      <c r="Q67" s="181">
        <f t="shared" si="12"/>
        <v>20239</v>
      </c>
      <c r="R67" s="68" t="s">
        <v>1383</v>
      </c>
      <c r="S67" s="5" t="s">
        <v>2136</v>
      </c>
      <c r="T67" s="11"/>
    </row>
    <row r="68" spans="1:20">
      <c r="A68" t="s">
        <v>30</v>
      </c>
      <c r="B68" s="151" t="s">
        <v>187</v>
      </c>
      <c r="C68" s="200"/>
      <c r="D68" s="17">
        <v>45747</v>
      </c>
      <c r="E68" s="214" t="s">
        <v>2160</v>
      </c>
      <c r="F68" s="189" t="s">
        <v>123</v>
      </c>
      <c r="G68" s="161" t="s">
        <v>16</v>
      </c>
      <c r="H68" s="161" t="s">
        <v>138</v>
      </c>
      <c r="I68" s="163" t="s">
        <v>938</v>
      </c>
      <c r="J68" s="69">
        <v>1</v>
      </c>
      <c r="K68" s="29">
        <v>240000</v>
      </c>
      <c r="L68" s="26">
        <f t="shared" si="8"/>
        <v>240000</v>
      </c>
      <c r="M68" s="27">
        <f t="shared" si="9"/>
        <v>24000</v>
      </c>
      <c r="N68" s="27">
        <f t="shared" si="10"/>
        <v>264000</v>
      </c>
      <c r="O68" s="52">
        <v>212293</v>
      </c>
      <c r="P68" s="171" t="s">
        <v>977</v>
      </c>
      <c r="Q68" s="181">
        <f t="shared" si="12"/>
        <v>27707</v>
      </c>
      <c r="R68" s="68" t="s">
        <v>1383</v>
      </c>
      <c r="S68" s="5" t="s">
        <v>2136</v>
      </c>
      <c r="T68" s="11"/>
    </row>
    <row r="69" spans="1:20">
      <c r="A69" t="s">
        <v>30</v>
      </c>
      <c r="B69" s="151" t="s">
        <v>337</v>
      </c>
      <c r="C69" s="199" t="s">
        <v>323</v>
      </c>
      <c r="D69" s="17">
        <v>45747</v>
      </c>
      <c r="E69" s="214" t="s">
        <v>75</v>
      </c>
      <c r="F69" s="215" t="s">
        <v>125</v>
      </c>
      <c r="G69" s="161" t="s">
        <v>16</v>
      </c>
      <c r="H69" s="2" t="s">
        <v>80</v>
      </c>
      <c r="I69" s="4" t="s">
        <v>877</v>
      </c>
      <c r="J69" s="23">
        <v>1</v>
      </c>
      <c r="K69" s="27">
        <v>122000</v>
      </c>
      <c r="L69" s="26">
        <f t="shared" si="8"/>
        <v>122000</v>
      </c>
      <c r="M69" s="27">
        <f t="shared" si="9"/>
        <v>12200</v>
      </c>
      <c r="N69" s="27">
        <f t="shared" si="10"/>
        <v>134200</v>
      </c>
      <c r="O69" s="52">
        <v>101400</v>
      </c>
      <c r="P69" s="197" t="s">
        <v>1227</v>
      </c>
      <c r="Q69" s="181">
        <f t="shared" si="12"/>
        <v>20600</v>
      </c>
      <c r="R69" s="68" t="s">
        <v>1539</v>
      </c>
      <c r="S69" s="8" t="s">
        <v>2136</v>
      </c>
      <c r="T69" s="11"/>
    </row>
    <row r="70" spans="1:20" ht="36">
      <c r="A70" t="s">
        <v>30</v>
      </c>
      <c r="B70" s="151" t="s">
        <v>222</v>
      </c>
      <c r="C70" s="199"/>
      <c r="D70" s="17">
        <v>45747</v>
      </c>
      <c r="E70" s="214" t="s">
        <v>2197</v>
      </c>
      <c r="F70" s="215" t="s">
        <v>1</v>
      </c>
      <c r="G70" s="2" t="s">
        <v>16</v>
      </c>
      <c r="H70" s="2" t="s">
        <v>81</v>
      </c>
      <c r="I70" s="4" t="s">
        <v>939</v>
      </c>
      <c r="J70" s="23">
        <v>1</v>
      </c>
      <c r="K70" s="27">
        <v>1200000</v>
      </c>
      <c r="L70" s="26">
        <f t="shared" si="8"/>
        <v>1200000</v>
      </c>
      <c r="M70" s="27">
        <f t="shared" si="9"/>
        <v>120000</v>
      </c>
      <c r="N70" s="27">
        <f t="shared" si="10"/>
        <v>1320000</v>
      </c>
      <c r="O70" s="52">
        <f>600000+1250000/6+1750000/7</f>
        <v>1058333.3333333335</v>
      </c>
      <c r="P70" s="171" t="s">
        <v>1882</v>
      </c>
      <c r="Q70" s="181">
        <f t="shared" si="12"/>
        <v>141666.66666666651</v>
      </c>
      <c r="R70" s="68" t="s">
        <v>1455</v>
      </c>
      <c r="S70" s="8" t="s">
        <v>2133</v>
      </c>
      <c r="T70" s="11"/>
    </row>
    <row r="71" spans="1:20" ht="24">
      <c r="A71" t="s">
        <v>30</v>
      </c>
      <c r="B71" s="151" t="s">
        <v>211</v>
      </c>
      <c r="C71" s="199" t="s">
        <v>219</v>
      </c>
      <c r="D71" s="17">
        <v>45747</v>
      </c>
      <c r="E71" s="214" t="s">
        <v>2170</v>
      </c>
      <c r="F71" s="215" t="s">
        <v>210</v>
      </c>
      <c r="G71" s="2" t="s">
        <v>16</v>
      </c>
      <c r="H71" s="83" t="s">
        <v>80</v>
      </c>
      <c r="I71" s="163" t="s">
        <v>940</v>
      </c>
      <c r="J71" s="23">
        <v>1</v>
      </c>
      <c r="K71" s="27">
        <v>5082300</v>
      </c>
      <c r="L71" s="26">
        <f t="shared" si="8"/>
        <v>5082300</v>
      </c>
      <c r="M71" s="27">
        <f t="shared" si="9"/>
        <v>508230</v>
      </c>
      <c r="N71" s="27">
        <f t="shared" si="10"/>
        <v>5590530</v>
      </c>
      <c r="O71" s="72">
        <f>3709756+10560000/12</f>
        <v>4589756</v>
      </c>
      <c r="P71" s="197" t="s">
        <v>1278</v>
      </c>
      <c r="Q71" s="181">
        <f t="shared" si="12"/>
        <v>492544</v>
      </c>
      <c r="R71" s="68" t="s">
        <v>1587</v>
      </c>
      <c r="S71" s="8" t="s">
        <v>2136</v>
      </c>
      <c r="T71" s="11"/>
    </row>
    <row r="72" spans="1:20" ht="24">
      <c r="A72" t="s">
        <v>30</v>
      </c>
      <c r="B72" s="151" t="s">
        <v>301</v>
      </c>
      <c r="C72" s="199" t="s">
        <v>305</v>
      </c>
      <c r="D72" s="17">
        <v>45747</v>
      </c>
      <c r="E72" s="214" t="s">
        <v>110</v>
      </c>
      <c r="F72" s="215" t="s">
        <v>300</v>
      </c>
      <c r="G72" s="2" t="s">
        <v>16</v>
      </c>
      <c r="H72" s="83" t="s">
        <v>80</v>
      </c>
      <c r="I72" s="162" t="s">
        <v>941</v>
      </c>
      <c r="J72" s="23">
        <v>1</v>
      </c>
      <c r="K72" s="27">
        <v>1016100</v>
      </c>
      <c r="L72" s="26">
        <f t="shared" si="8"/>
        <v>1016100</v>
      </c>
      <c r="M72" s="27">
        <f t="shared" si="9"/>
        <v>101610</v>
      </c>
      <c r="N72" s="27">
        <f t="shared" si="10"/>
        <v>1117710</v>
      </c>
      <c r="O72" s="72">
        <f>604800+2160000/6</f>
        <v>964800</v>
      </c>
      <c r="P72" s="197" t="s">
        <v>1279</v>
      </c>
      <c r="Q72" s="181">
        <f t="shared" si="12"/>
        <v>51300</v>
      </c>
      <c r="R72" s="68" t="s">
        <v>1455</v>
      </c>
      <c r="S72" s="36" t="s">
        <v>2136</v>
      </c>
      <c r="T72" s="75"/>
    </row>
    <row r="73" spans="1:20">
      <c r="A73" t="s">
        <v>30</v>
      </c>
      <c r="B73" s="151" t="s">
        <v>293</v>
      </c>
      <c r="C73" s="199" t="s">
        <v>283</v>
      </c>
      <c r="D73" s="17">
        <v>45747</v>
      </c>
      <c r="E73" s="214" t="s">
        <v>2144</v>
      </c>
      <c r="F73" s="215" t="s">
        <v>281</v>
      </c>
      <c r="G73" s="2" t="s">
        <v>16</v>
      </c>
      <c r="H73" s="83" t="s">
        <v>80</v>
      </c>
      <c r="I73" s="4" t="s">
        <v>875</v>
      </c>
      <c r="J73" s="23">
        <v>1</v>
      </c>
      <c r="K73" s="27">
        <v>204700</v>
      </c>
      <c r="L73" s="26">
        <f t="shared" si="8"/>
        <v>204700</v>
      </c>
      <c r="M73" s="27">
        <f t="shared" si="9"/>
        <v>20470</v>
      </c>
      <c r="N73" s="27">
        <f t="shared" si="10"/>
        <v>225170</v>
      </c>
      <c r="O73" s="52">
        <v>243955</v>
      </c>
      <c r="P73" s="197" t="s">
        <v>1227</v>
      </c>
      <c r="Q73" s="181">
        <f t="shared" si="12"/>
        <v>-39255</v>
      </c>
      <c r="R73" s="68" t="s">
        <v>1703</v>
      </c>
      <c r="S73" s="8" t="s">
        <v>2136</v>
      </c>
      <c r="T73" s="11"/>
    </row>
    <row r="74" spans="1:20">
      <c r="A74" t="s">
        <v>30</v>
      </c>
      <c r="B74" s="151" t="s">
        <v>347</v>
      </c>
      <c r="C74" s="199" t="s">
        <v>344</v>
      </c>
      <c r="D74" s="17">
        <v>45747</v>
      </c>
      <c r="E74" s="214" t="s">
        <v>2144</v>
      </c>
      <c r="F74" s="215" t="s">
        <v>345</v>
      </c>
      <c r="G74" s="2" t="s">
        <v>16</v>
      </c>
      <c r="H74" s="83" t="s">
        <v>80</v>
      </c>
      <c r="I74" s="163" t="s">
        <v>878</v>
      </c>
      <c r="J74" s="23">
        <v>1</v>
      </c>
      <c r="K74" s="27">
        <v>573000</v>
      </c>
      <c r="L74" s="26">
        <f t="shared" si="8"/>
        <v>573000</v>
      </c>
      <c r="M74" s="27">
        <f t="shared" si="9"/>
        <v>57300</v>
      </c>
      <c r="N74" s="27">
        <f t="shared" si="10"/>
        <v>630300</v>
      </c>
      <c r="O74" s="52">
        <v>505200</v>
      </c>
      <c r="P74" s="197" t="s">
        <v>1227</v>
      </c>
      <c r="Q74" s="181">
        <f t="shared" si="12"/>
        <v>67800</v>
      </c>
      <c r="R74" s="68" t="s">
        <v>1703</v>
      </c>
      <c r="S74" s="8" t="s">
        <v>2136</v>
      </c>
      <c r="T74" s="11"/>
    </row>
    <row r="75" spans="1:20">
      <c r="A75" t="s">
        <v>30</v>
      </c>
      <c r="B75" s="151" t="s">
        <v>349</v>
      </c>
      <c r="C75" s="199" t="s">
        <v>350</v>
      </c>
      <c r="D75" s="17">
        <v>45747</v>
      </c>
      <c r="E75" s="214" t="s">
        <v>2144</v>
      </c>
      <c r="F75" s="215" t="s">
        <v>351</v>
      </c>
      <c r="G75" s="2" t="s">
        <v>16</v>
      </c>
      <c r="H75" s="83" t="s">
        <v>80</v>
      </c>
      <c r="I75" s="163" t="s">
        <v>927</v>
      </c>
      <c r="J75" s="23">
        <v>1</v>
      </c>
      <c r="K75" s="27">
        <v>220000</v>
      </c>
      <c r="L75" s="26">
        <f t="shared" si="8"/>
        <v>220000</v>
      </c>
      <c r="M75" s="27">
        <f t="shared" si="9"/>
        <v>22000</v>
      </c>
      <c r="N75" s="27">
        <f t="shared" si="10"/>
        <v>242000</v>
      </c>
      <c r="O75" s="52">
        <v>204600</v>
      </c>
      <c r="P75" s="197" t="s">
        <v>1227</v>
      </c>
      <c r="Q75" s="181">
        <f t="shared" si="12"/>
        <v>15400</v>
      </c>
      <c r="R75" s="68" t="s">
        <v>1703</v>
      </c>
      <c r="S75" s="8" t="s">
        <v>2136</v>
      </c>
      <c r="T75" s="11"/>
    </row>
    <row r="76" spans="1:20">
      <c r="A76" t="s">
        <v>30</v>
      </c>
      <c r="B76" s="151" t="s">
        <v>490</v>
      </c>
      <c r="C76" s="153" t="s">
        <v>639</v>
      </c>
      <c r="D76" s="17">
        <v>45747</v>
      </c>
      <c r="E76" s="214" t="s">
        <v>2144</v>
      </c>
      <c r="F76" s="215" t="s">
        <v>1094</v>
      </c>
      <c r="G76" s="2" t="s">
        <v>16</v>
      </c>
      <c r="H76" s="2" t="s">
        <v>80</v>
      </c>
      <c r="I76" s="4" t="s">
        <v>883</v>
      </c>
      <c r="J76" s="23">
        <v>1</v>
      </c>
      <c r="K76" s="27">
        <v>700000</v>
      </c>
      <c r="L76" s="26">
        <f t="shared" si="8"/>
        <v>700000</v>
      </c>
      <c r="M76" s="27">
        <f t="shared" si="9"/>
        <v>70000</v>
      </c>
      <c r="N76" s="27">
        <f t="shared" si="10"/>
        <v>770000</v>
      </c>
      <c r="O76" s="33">
        <v>661800</v>
      </c>
      <c r="P76" s="197" t="s">
        <v>1227</v>
      </c>
      <c r="Q76" s="20">
        <f t="shared" si="12"/>
        <v>38200</v>
      </c>
      <c r="R76" s="68" t="s">
        <v>1703</v>
      </c>
      <c r="S76" s="5" t="s">
        <v>2136</v>
      </c>
      <c r="T76" s="11"/>
    </row>
    <row r="77" spans="1:20" ht="24">
      <c r="A77" t="s">
        <v>30</v>
      </c>
      <c r="B77" s="151" t="s">
        <v>511</v>
      </c>
      <c r="C77" s="153" t="s">
        <v>446</v>
      </c>
      <c r="D77" s="17">
        <v>45747</v>
      </c>
      <c r="E77" s="214" t="s">
        <v>2144</v>
      </c>
      <c r="F77" s="215" t="s">
        <v>480</v>
      </c>
      <c r="G77" s="2" t="s">
        <v>16</v>
      </c>
      <c r="H77" s="2" t="s">
        <v>80</v>
      </c>
      <c r="I77" s="4" t="s">
        <v>883</v>
      </c>
      <c r="J77" s="23">
        <v>1</v>
      </c>
      <c r="K77" s="27">
        <v>380000</v>
      </c>
      <c r="L77" s="26">
        <f t="shared" si="8"/>
        <v>380000</v>
      </c>
      <c r="M77" s="27">
        <f t="shared" si="9"/>
        <v>38000</v>
      </c>
      <c r="N77" s="27">
        <f t="shared" si="10"/>
        <v>418000</v>
      </c>
      <c r="O77" s="33">
        <f>289800+500000/12</f>
        <v>331466.66666666669</v>
      </c>
      <c r="P77" s="197" t="s">
        <v>1280</v>
      </c>
      <c r="Q77" s="20">
        <f t="shared" si="12"/>
        <v>48533.333333333314</v>
      </c>
      <c r="R77" s="68" t="s">
        <v>1703</v>
      </c>
      <c r="S77" s="5" t="s">
        <v>2136</v>
      </c>
      <c r="T77" s="11"/>
    </row>
    <row r="78" spans="1:20">
      <c r="A78" t="s">
        <v>30</v>
      </c>
      <c r="B78" s="151" t="s">
        <v>447</v>
      </c>
      <c r="C78" s="153" t="s">
        <v>448</v>
      </c>
      <c r="D78" s="17">
        <v>45747</v>
      </c>
      <c r="E78" s="214" t="s">
        <v>2144</v>
      </c>
      <c r="F78" s="215" t="s">
        <v>481</v>
      </c>
      <c r="G78" s="2" t="s">
        <v>16</v>
      </c>
      <c r="H78" s="2" t="s">
        <v>80</v>
      </c>
      <c r="I78" s="4" t="s">
        <v>883</v>
      </c>
      <c r="J78" s="23">
        <v>1</v>
      </c>
      <c r="K78" s="27">
        <v>625000</v>
      </c>
      <c r="L78" s="26">
        <f t="shared" si="8"/>
        <v>625000</v>
      </c>
      <c r="M78" s="27">
        <f t="shared" si="9"/>
        <v>62500</v>
      </c>
      <c r="N78" s="27">
        <f t="shared" si="10"/>
        <v>687500</v>
      </c>
      <c r="O78" s="33">
        <v>590400</v>
      </c>
      <c r="P78" s="197" t="s">
        <v>1227</v>
      </c>
      <c r="Q78" s="20">
        <f t="shared" si="12"/>
        <v>34600</v>
      </c>
      <c r="R78" s="68" t="s">
        <v>1703</v>
      </c>
      <c r="S78" s="5" t="s">
        <v>2136</v>
      </c>
      <c r="T78" s="11"/>
    </row>
    <row r="79" spans="1:20">
      <c r="A79" t="s">
        <v>30</v>
      </c>
      <c r="B79" s="151" t="s">
        <v>493</v>
      </c>
      <c r="C79" s="153" t="s">
        <v>494</v>
      </c>
      <c r="D79" s="17">
        <v>45747</v>
      </c>
      <c r="E79" s="214" t="s">
        <v>2144</v>
      </c>
      <c r="F79" s="215" t="s">
        <v>495</v>
      </c>
      <c r="G79" s="2" t="s">
        <v>16</v>
      </c>
      <c r="H79" s="2" t="s">
        <v>80</v>
      </c>
      <c r="I79" s="4" t="s">
        <v>883</v>
      </c>
      <c r="J79" s="23">
        <v>1</v>
      </c>
      <c r="K79" s="27">
        <v>1232000</v>
      </c>
      <c r="L79" s="26">
        <f t="shared" si="8"/>
        <v>1232000</v>
      </c>
      <c r="M79" s="27">
        <f t="shared" si="9"/>
        <v>123200</v>
      </c>
      <c r="N79" s="27">
        <f t="shared" si="10"/>
        <v>1355200</v>
      </c>
      <c r="O79" s="33">
        <v>1196100</v>
      </c>
      <c r="P79" s="197" t="s">
        <v>1227</v>
      </c>
      <c r="Q79" s="20">
        <f t="shared" si="12"/>
        <v>35900</v>
      </c>
      <c r="R79" s="68" t="s">
        <v>1703</v>
      </c>
      <c r="S79" s="8" t="s">
        <v>2136</v>
      </c>
      <c r="T79" s="11"/>
    </row>
    <row r="80" spans="1:20">
      <c r="A80" t="s">
        <v>30</v>
      </c>
      <c r="B80" s="151" t="s">
        <v>857</v>
      </c>
      <c r="C80" s="153" t="s">
        <v>853</v>
      </c>
      <c r="D80" s="17">
        <v>45747</v>
      </c>
      <c r="E80" s="214" t="s">
        <v>2144</v>
      </c>
      <c r="F80" s="215" t="s">
        <v>815</v>
      </c>
      <c r="G80" s="2" t="s">
        <v>16</v>
      </c>
      <c r="H80" s="2" t="s">
        <v>80</v>
      </c>
      <c r="I80" s="4" t="s">
        <v>883</v>
      </c>
      <c r="J80" s="23">
        <v>1</v>
      </c>
      <c r="K80" s="27">
        <v>535000</v>
      </c>
      <c r="L80" s="26">
        <f t="shared" si="8"/>
        <v>535000</v>
      </c>
      <c r="M80" s="27">
        <f t="shared" si="9"/>
        <v>53500</v>
      </c>
      <c r="N80" s="27">
        <f t="shared" si="10"/>
        <v>588500</v>
      </c>
      <c r="O80" s="82">
        <f>496800</f>
        <v>496800</v>
      </c>
      <c r="P80" s="197" t="s">
        <v>1227</v>
      </c>
      <c r="Q80" s="20">
        <f t="shared" si="12"/>
        <v>38200</v>
      </c>
      <c r="R80" s="68" t="s">
        <v>1703</v>
      </c>
      <c r="S80" s="8" t="s">
        <v>2136</v>
      </c>
      <c r="T80" s="11"/>
    </row>
    <row r="81" spans="1:20">
      <c r="A81" t="s">
        <v>30</v>
      </c>
      <c r="B81" s="151" t="s">
        <v>282</v>
      </c>
      <c r="C81" s="200"/>
      <c r="D81" s="17">
        <v>45747</v>
      </c>
      <c r="E81" s="214" t="s">
        <v>4</v>
      </c>
      <c r="F81" s="189" t="s">
        <v>124</v>
      </c>
      <c r="G81" s="161" t="s">
        <v>16</v>
      </c>
      <c r="H81" s="161" t="s">
        <v>138</v>
      </c>
      <c r="I81" s="163" t="s">
        <v>924</v>
      </c>
      <c r="J81" s="24">
        <v>1</v>
      </c>
      <c r="K81" s="26">
        <v>1366000</v>
      </c>
      <c r="L81" s="26">
        <f t="shared" si="8"/>
        <v>1366000</v>
      </c>
      <c r="M81" s="27">
        <f t="shared" si="9"/>
        <v>136600</v>
      </c>
      <c r="N81" s="27">
        <f t="shared" si="10"/>
        <v>1502600</v>
      </c>
      <c r="O81" s="72">
        <v>1263250</v>
      </c>
      <c r="P81" s="171" t="s">
        <v>977</v>
      </c>
      <c r="Q81" s="181">
        <f t="shared" si="12"/>
        <v>102750</v>
      </c>
      <c r="R81" s="68" t="s">
        <v>1453</v>
      </c>
      <c r="S81" s="5" t="s">
        <v>2136</v>
      </c>
      <c r="T81" s="11"/>
    </row>
    <row r="82" spans="1:20" ht="24">
      <c r="A82" t="s">
        <v>30</v>
      </c>
      <c r="B82" s="151" t="s">
        <v>288</v>
      </c>
      <c r="C82" s="199"/>
      <c r="D82" s="17">
        <v>45747</v>
      </c>
      <c r="E82" s="214" t="s">
        <v>2143</v>
      </c>
      <c r="F82" s="215"/>
      <c r="G82" s="161" t="s">
        <v>16</v>
      </c>
      <c r="H82" s="161" t="s">
        <v>138</v>
      </c>
      <c r="I82" s="163" t="s">
        <v>942</v>
      </c>
      <c r="J82" s="23">
        <v>1</v>
      </c>
      <c r="K82" s="27">
        <v>3916667</v>
      </c>
      <c r="L82" s="26">
        <f t="shared" ref="L82:L109" si="13">J82*K82</f>
        <v>3916667</v>
      </c>
      <c r="M82" s="27">
        <v>391667</v>
      </c>
      <c r="N82" s="27">
        <f t="shared" ref="N82:N110" si="14">SUM(L82:M82)</f>
        <v>4308334</v>
      </c>
      <c r="O82" s="72">
        <f>5423462/12+3239404</f>
        <v>3691359.1666666665</v>
      </c>
      <c r="P82" s="223" t="s">
        <v>976</v>
      </c>
      <c r="Q82" s="181">
        <f t="shared" si="12"/>
        <v>225307.83333333349</v>
      </c>
      <c r="R82" s="68" t="s">
        <v>1455</v>
      </c>
      <c r="S82" s="8" t="s">
        <v>2134</v>
      </c>
      <c r="T82" s="11"/>
    </row>
    <row r="83" spans="1:20">
      <c r="A83" t="s">
        <v>30</v>
      </c>
      <c r="B83" s="151" t="s">
        <v>290</v>
      </c>
      <c r="C83" s="199" t="s">
        <v>284</v>
      </c>
      <c r="D83" s="17">
        <v>45747</v>
      </c>
      <c r="E83" s="214" t="s">
        <v>285</v>
      </c>
      <c r="F83" s="215" t="s">
        <v>286</v>
      </c>
      <c r="G83" s="2" t="s">
        <v>16</v>
      </c>
      <c r="H83" s="83" t="s">
        <v>80</v>
      </c>
      <c r="I83" s="4" t="s">
        <v>943</v>
      </c>
      <c r="J83" s="23">
        <v>1</v>
      </c>
      <c r="K83" s="27">
        <v>659700</v>
      </c>
      <c r="L83" s="26">
        <f t="shared" si="13"/>
        <v>659700</v>
      </c>
      <c r="M83" s="27">
        <f t="shared" ref="M83:M110" si="15">L83*10%</f>
        <v>65970</v>
      </c>
      <c r="N83" s="27">
        <f t="shared" si="14"/>
        <v>725670</v>
      </c>
      <c r="O83" s="72">
        <v>518541</v>
      </c>
      <c r="P83" s="197" t="s">
        <v>1227</v>
      </c>
      <c r="Q83" s="181">
        <f t="shared" si="12"/>
        <v>141159</v>
      </c>
      <c r="R83" s="68" t="s">
        <v>1703</v>
      </c>
      <c r="S83" s="8" t="s">
        <v>2136</v>
      </c>
      <c r="T83" s="75"/>
    </row>
    <row r="84" spans="1:20">
      <c r="A84" t="s">
        <v>30</v>
      </c>
      <c r="B84" s="151" t="s">
        <v>336</v>
      </c>
      <c r="C84" s="199" t="s">
        <v>310</v>
      </c>
      <c r="D84" s="17">
        <v>45747</v>
      </c>
      <c r="E84" s="214" t="s">
        <v>41</v>
      </c>
      <c r="F84" s="215" t="s">
        <v>192</v>
      </c>
      <c r="G84" s="2" t="s">
        <v>16</v>
      </c>
      <c r="H84" s="83" t="s">
        <v>80</v>
      </c>
      <c r="I84" s="4" t="s">
        <v>877</v>
      </c>
      <c r="J84" s="23">
        <v>1</v>
      </c>
      <c r="K84" s="27">
        <v>285500</v>
      </c>
      <c r="L84" s="26">
        <f t="shared" si="13"/>
        <v>285500</v>
      </c>
      <c r="M84" s="27">
        <f t="shared" si="15"/>
        <v>28550</v>
      </c>
      <c r="N84" s="27">
        <f t="shared" si="14"/>
        <v>314050</v>
      </c>
      <c r="O84" s="72">
        <v>249900</v>
      </c>
      <c r="P84" s="197" t="s">
        <v>1227</v>
      </c>
      <c r="Q84" s="181">
        <f t="shared" si="12"/>
        <v>35600</v>
      </c>
      <c r="R84" s="68" t="s">
        <v>1703</v>
      </c>
      <c r="S84" s="8" t="s">
        <v>2136</v>
      </c>
      <c r="T84" s="75"/>
    </row>
    <row r="85" spans="1:20" ht="24">
      <c r="A85" t="s">
        <v>30</v>
      </c>
      <c r="B85" s="151" t="s">
        <v>292</v>
      </c>
      <c r="C85" s="199" t="s">
        <v>295</v>
      </c>
      <c r="D85" s="17">
        <v>45747</v>
      </c>
      <c r="E85" s="214" t="s">
        <v>94</v>
      </c>
      <c r="F85" s="215" t="s">
        <v>131</v>
      </c>
      <c r="G85" s="2" t="s">
        <v>16</v>
      </c>
      <c r="H85" s="83" t="s">
        <v>80</v>
      </c>
      <c r="I85" s="163" t="s">
        <v>875</v>
      </c>
      <c r="J85" s="23">
        <v>1</v>
      </c>
      <c r="K85" s="27">
        <v>909000</v>
      </c>
      <c r="L85" s="26">
        <f t="shared" si="13"/>
        <v>909000</v>
      </c>
      <c r="M85" s="27">
        <f t="shared" si="15"/>
        <v>90900</v>
      </c>
      <c r="N85" s="27">
        <f t="shared" si="14"/>
        <v>999900</v>
      </c>
      <c r="O85" s="72">
        <f>310500+305280</f>
        <v>615780</v>
      </c>
      <c r="P85" s="223" t="s">
        <v>1283</v>
      </c>
      <c r="Q85" s="181">
        <f t="shared" si="12"/>
        <v>293220</v>
      </c>
      <c r="R85" s="68" t="s">
        <v>1455</v>
      </c>
      <c r="S85" s="8" t="s">
        <v>2136</v>
      </c>
      <c r="T85" s="11"/>
    </row>
    <row r="86" spans="1:20">
      <c r="A86" t="s">
        <v>30</v>
      </c>
      <c r="B86" s="151" t="s">
        <v>304</v>
      </c>
      <c r="C86" s="199"/>
      <c r="D86" s="17">
        <v>45747</v>
      </c>
      <c r="E86" s="214" t="s">
        <v>296</v>
      </c>
      <c r="F86" s="215" t="s">
        <v>297</v>
      </c>
      <c r="G86" s="2" t="s">
        <v>16</v>
      </c>
      <c r="H86" s="161" t="s">
        <v>138</v>
      </c>
      <c r="I86" s="163" t="s">
        <v>943</v>
      </c>
      <c r="J86" s="23">
        <v>1</v>
      </c>
      <c r="K86" s="27">
        <v>207000</v>
      </c>
      <c r="L86" s="26">
        <f t="shared" si="13"/>
        <v>207000</v>
      </c>
      <c r="M86" s="27">
        <f t="shared" si="15"/>
        <v>20700</v>
      </c>
      <c r="N86" s="27">
        <f t="shared" si="14"/>
        <v>227700</v>
      </c>
      <c r="O86" s="72">
        <v>190849</v>
      </c>
      <c r="P86" s="171" t="s">
        <v>972</v>
      </c>
      <c r="Q86" s="181">
        <f t="shared" si="12"/>
        <v>16151</v>
      </c>
      <c r="R86" s="68" t="s">
        <v>1455</v>
      </c>
      <c r="S86" s="8" t="s">
        <v>2136</v>
      </c>
      <c r="T86" s="11"/>
    </row>
    <row r="87" spans="1:20">
      <c r="A87" t="s">
        <v>30</v>
      </c>
      <c r="B87" s="151" t="s">
        <v>303</v>
      </c>
      <c r="C87" s="199"/>
      <c r="D87" s="17">
        <v>45747</v>
      </c>
      <c r="E87" s="214" t="s">
        <v>299</v>
      </c>
      <c r="F87" s="215" t="s">
        <v>136</v>
      </c>
      <c r="G87" s="2" t="s">
        <v>16</v>
      </c>
      <c r="H87" s="161" t="s">
        <v>81</v>
      </c>
      <c r="I87" s="162" t="s">
        <v>944</v>
      </c>
      <c r="J87" s="23">
        <v>1</v>
      </c>
      <c r="K87" s="27">
        <v>155000</v>
      </c>
      <c r="L87" s="26">
        <f t="shared" si="13"/>
        <v>155000</v>
      </c>
      <c r="M87" s="27">
        <f t="shared" si="15"/>
        <v>15500</v>
      </c>
      <c r="N87" s="27">
        <f t="shared" si="14"/>
        <v>170500</v>
      </c>
      <c r="O87" s="52">
        <f>1440000/12</f>
        <v>120000</v>
      </c>
      <c r="P87" s="171" t="s">
        <v>945</v>
      </c>
      <c r="Q87" s="181">
        <f t="shared" si="12"/>
        <v>35000</v>
      </c>
      <c r="R87" s="68" t="s">
        <v>1455</v>
      </c>
      <c r="S87" s="36" t="s">
        <v>2133</v>
      </c>
      <c r="T87" s="75"/>
    </row>
    <row r="88" spans="1:20" ht="24">
      <c r="A88" t="s">
        <v>30</v>
      </c>
      <c r="B88" s="151" t="s">
        <v>341</v>
      </c>
      <c r="C88" s="199" t="s">
        <v>328</v>
      </c>
      <c r="D88" s="17">
        <v>45747</v>
      </c>
      <c r="E88" s="214" t="s">
        <v>198</v>
      </c>
      <c r="F88" s="215" t="s">
        <v>199</v>
      </c>
      <c r="G88" s="2" t="s">
        <v>16</v>
      </c>
      <c r="H88" s="83" t="s">
        <v>80</v>
      </c>
      <c r="I88" s="163" t="s">
        <v>878</v>
      </c>
      <c r="J88" s="23">
        <v>1</v>
      </c>
      <c r="K88" s="27">
        <v>645600</v>
      </c>
      <c r="L88" s="26">
        <f t="shared" si="13"/>
        <v>645600</v>
      </c>
      <c r="M88" s="27">
        <f t="shared" si="15"/>
        <v>64560</v>
      </c>
      <c r="N88" s="27">
        <f t="shared" si="14"/>
        <v>710160</v>
      </c>
      <c r="O88" s="52">
        <f>494903+1200000/9</f>
        <v>628236.33333333337</v>
      </c>
      <c r="P88" s="223" t="s">
        <v>1339</v>
      </c>
      <c r="Q88" s="181">
        <f t="shared" si="12"/>
        <v>17363.666666666628</v>
      </c>
      <c r="R88" s="68" t="s">
        <v>1455</v>
      </c>
      <c r="S88" s="8" t="s">
        <v>2136</v>
      </c>
      <c r="T88" s="11"/>
    </row>
    <row r="89" spans="1:20">
      <c r="A89" t="s">
        <v>30</v>
      </c>
      <c r="B89" s="151" t="s">
        <v>332</v>
      </c>
      <c r="C89" s="200" t="s">
        <v>334</v>
      </c>
      <c r="D89" s="17">
        <v>45747</v>
      </c>
      <c r="E89" s="214" t="s">
        <v>68</v>
      </c>
      <c r="F89" s="189" t="s">
        <v>189</v>
      </c>
      <c r="G89" s="161" t="s">
        <v>16</v>
      </c>
      <c r="H89" s="161" t="s">
        <v>138</v>
      </c>
      <c r="I89" s="163" t="s">
        <v>878</v>
      </c>
      <c r="J89" s="24">
        <v>1</v>
      </c>
      <c r="K89" s="26">
        <v>700000</v>
      </c>
      <c r="L89" s="26">
        <f t="shared" si="13"/>
        <v>700000</v>
      </c>
      <c r="M89" s="27">
        <f t="shared" si="15"/>
        <v>70000</v>
      </c>
      <c r="N89" s="27">
        <f t="shared" si="14"/>
        <v>770000</v>
      </c>
      <c r="O89" s="33">
        <v>499500</v>
      </c>
      <c r="P89" s="197" t="s">
        <v>1227</v>
      </c>
      <c r="Q89" s="21">
        <f t="shared" si="12"/>
        <v>200500</v>
      </c>
      <c r="R89" s="68" t="s">
        <v>1295</v>
      </c>
      <c r="S89" s="5" t="s">
        <v>2133</v>
      </c>
      <c r="T89" s="11"/>
    </row>
    <row r="90" spans="1:20">
      <c r="A90" t="s">
        <v>30</v>
      </c>
      <c r="B90" s="151" t="s">
        <v>363</v>
      </c>
      <c r="C90" s="153" t="s">
        <v>362</v>
      </c>
      <c r="D90" s="17">
        <v>45747</v>
      </c>
      <c r="E90" s="214" t="s">
        <v>2200</v>
      </c>
      <c r="F90" s="215" t="s">
        <v>119</v>
      </c>
      <c r="G90" s="161" t="s">
        <v>16</v>
      </c>
      <c r="H90" s="83" t="s">
        <v>80</v>
      </c>
      <c r="I90" s="4" t="s">
        <v>946</v>
      </c>
      <c r="J90" s="23">
        <v>1</v>
      </c>
      <c r="K90" s="27">
        <v>13057800</v>
      </c>
      <c r="L90" s="26">
        <f t="shared" si="13"/>
        <v>13057800</v>
      </c>
      <c r="M90" s="27">
        <f t="shared" si="15"/>
        <v>1305780</v>
      </c>
      <c r="N90" s="27">
        <f t="shared" si="14"/>
        <v>14363580</v>
      </c>
      <c r="O90" s="33">
        <v>11892500</v>
      </c>
      <c r="P90" s="197" t="s">
        <v>1227</v>
      </c>
      <c r="Q90" s="21">
        <f t="shared" si="12"/>
        <v>1165300</v>
      </c>
      <c r="R90" s="68" t="s">
        <v>1455</v>
      </c>
      <c r="S90" s="36" t="s">
        <v>2136</v>
      </c>
      <c r="T90" s="11"/>
    </row>
    <row r="91" spans="1:20" ht="24">
      <c r="A91" t="s">
        <v>30</v>
      </c>
      <c r="B91" s="151" t="s">
        <v>665</v>
      </c>
      <c r="C91" s="153" t="s">
        <v>666</v>
      </c>
      <c r="D91" s="17">
        <v>45747</v>
      </c>
      <c r="E91" s="1" t="s">
        <v>2200</v>
      </c>
      <c r="F91" s="2" t="s">
        <v>690</v>
      </c>
      <c r="G91" s="2" t="s">
        <v>16</v>
      </c>
      <c r="H91" s="2" t="s">
        <v>80</v>
      </c>
      <c r="I91" s="4" t="s">
        <v>944</v>
      </c>
      <c r="J91" s="23">
        <v>1</v>
      </c>
      <c r="K91" s="27">
        <v>202000</v>
      </c>
      <c r="L91" s="26">
        <f t="shared" si="13"/>
        <v>202000</v>
      </c>
      <c r="M91" s="27">
        <f t="shared" si="15"/>
        <v>20200</v>
      </c>
      <c r="N91" s="27">
        <f t="shared" si="14"/>
        <v>222200</v>
      </c>
      <c r="O91" s="33">
        <v>180600</v>
      </c>
      <c r="P91" s="197" t="s">
        <v>1227</v>
      </c>
      <c r="Q91" s="20">
        <f t="shared" si="12"/>
        <v>21400</v>
      </c>
      <c r="R91" s="68" t="s">
        <v>1455</v>
      </c>
      <c r="S91" s="8" t="s">
        <v>2136</v>
      </c>
      <c r="T91" s="11"/>
    </row>
    <row r="92" spans="1:20" ht="24">
      <c r="A92" t="s">
        <v>30</v>
      </c>
      <c r="B92" s="151" t="s">
        <v>380</v>
      </c>
      <c r="C92" s="208" t="s">
        <v>381</v>
      </c>
      <c r="D92" s="17">
        <v>45747</v>
      </c>
      <c r="E92" s="214" t="s">
        <v>2201</v>
      </c>
      <c r="F92" s="189" t="s">
        <v>379</v>
      </c>
      <c r="G92" s="161" t="s">
        <v>16</v>
      </c>
      <c r="H92" s="83" t="s">
        <v>80</v>
      </c>
      <c r="I92" s="163" t="s">
        <v>883</v>
      </c>
      <c r="J92" s="24">
        <v>1</v>
      </c>
      <c r="K92" s="26">
        <v>2871300</v>
      </c>
      <c r="L92" s="26">
        <f t="shared" si="13"/>
        <v>2871300</v>
      </c>
      <c r="M92" s="27">
        <f t="shared" si="15"/>
        <v>287130</v>
      </c>
      <c r="N92" s="27">
        <f t="shared" si="14"/>
        <v>3158430</v>
      </c>
      <c r="O92" s="33">
        <f>1981200+655500</f>
        <v>2636700</v>
      </c>
      <c r="P92" s="197" t="s">
        <v>1232</v>
      </c>
      <c r="Q92" s="21">
        <f t="shared" ref="Q92:Q110" si="16">L92-O92</f>
        <v>234600</v>
      </c>
      <c r="R92" s="68" t="s">
        <v>1691</v>
      </c>
      <c r="S92" s="5" t="s">
        <v>2136</v>
      </c>
      <c r="T92" s="11"/>
    </row>
    <row r="93" spans="1:20" ht="60">
      <c r="A93" t="s">
        <v>30</v>
      </c>
      <c r="B93" s="151" t="s">
        <v>963</v>
      </c>
      <c r="C93" s="200"/>
      <c r="D93" s="17">
        <v>45747</v>
      </c>
      <c r="E93" s="214" t="s">
        <v>2199</v>
      </c>
      <c r="F93" s="215" t="s">
        <v>152</v>
      </c>
      <c r="G93" s="2" t="s">
        <v>16</v>
      </c>
      <c r="H93" s="161" t="s">
        <v>138</v>
      </c>
      <c r="I93" s="163" t="s">
        <v>883</v>
      </c>
      <c r="J93" s="23">
        <v>1</v>
      </c>
      <c r="K93" s="27">
        <v>4761667</v>
      </c>
      <c r="L93" s="26">
        <f t="shared" si="13"/>
        <v>4761667</v>
      </c>
      <c r="M93" s="27">
        <f t="shared" si="15"/>
        <v>476166.7</v>
      </c>
      <c r="N93" s="27">
        <f t="shared" si="14"/>
        <v>5237833.7</v>
      </c>
      <c r="O93" s="72">
        <v>4437257</v>
      </c>
      <c r="P93" s="170" t="s">
        <v>1483</v>
      </c>
      <c r="Q93" s="21">
        <f t="shared" si="16"/>
        <v>324410</v>
      </c>
      <c r="R93" s="68" t="s">
        <v>1455</v>
      </c>
      <c r="S93" s="8" t="s">
        <v>2133</v>
      </c>
      <c r="T93" s="11"/>
    </row>
    <row r="94" spans="1:20" ht="60">
      <c r="A94" t="s">
        <v>30</v>
      </c>
      <c r="B94" s="151" t="s">
        <v>964</v>
      </c>
      <c r="C94" s="200"/>
      <c r="D94" s="17">
        <v>45747</v>
      </c>
      <c r="E94" s="214" t="s">
        <v>2199</v>
      </c>
      <c r="F94" s="215" t="s">
        <v>241</v>
      </c>
      <c r="G94" s="2" t="s">
        <v>16</v>
      </c>
      <c r="H94" s="161" t="s">
        <v>138</v>
      </c>
      <c r="I94" s="163" t="s">
        <v>883</v>
      </c>
      <c r="J94" s="23">
        <v>1</v>
      </c>
      <c r="K94" s="27">
        <v>11210000</v>
      </c>
      <c r="L94" s="26">
        <f t="shared" si="13"/>
        <v>11210000</v>
      </c>
      <c r="M94" s="27">
        <f t="shared" si="15"/>
        <v>1121000</v>
      </c>
      <c r="N94" s="27">
        <f t="shared" si="14"/>
        <v>12331000</v>
      </c>
      <c r="O94" s="72">
        <v>10800000</v>
      </c>
      <c r="P94" s="170" t="s">
        <v>1484</v>
      </c>
      <c r="Q94" s="21">
        <f t="shared" si="16"/>
        <v>410000</v>
      </c>
      <c r="R94" s="68" t="s">
        <v>1455</v>
      </c>
      <c r="S94" s="8" t="s">
        <v>2133</v>
      </c>
      <c r="T94" s="11"/>
    </row>
    <row r="95" spans="1:20" ht="24">
      <c r="A95" t="s">
        <v>30</v>
      </c>
      <c r="B95" s="151" t="s">
        <v>962</v>
      </c>
      <c r="C95" s="199"/>
      <c r="D95" s="17">
        <v>45747</v>
      </c>
      <c r="E95" s="1" t="s">
        <v>2199</v>
      </c>
      <c r="F95" s="2" t="s">
        <v>265</v>
      </c>
      <c r="G95" s="2" t="s">
        <v>16</v>
      </c>
      <c r="H95" s="2" t="s">
        <v>81</v>
      </c>
      <c r="I95" s="163" t="s">
        <v>883</v>
      </c>
      <c r="J95" s="23">
        <v>1</v>
      </c>
      <c r="K95" s="27">
        <v>880000</v>
      </c>
      <c r="L95" s="26">
        <f t="shared" si="13"/>
        <v>880000</v>
      </c>
      <c r="M95" s="27">
        <f t="shared" si="15"/>
        <v>88000</v>
      </c>
      <c r="N95" s="27">
        <f t="shared" si="14"/>
        <v>968000</v>
      </c>
      <c r="O95" s="52">
        <f>376200+1000000/3</f>
        <v>709533.33333333326</v>
      </c>
      <c r="P95" s="171" t="s">
        <v>1374</v>
      </c>
      <c r="Q95" s="181">
        <f t="shared" si="16"/>
        <v>170466.66666666674</v>
      </c>
      <c r="R95" s="68" t="s">
        <v>1539</v>
      </c>
      <c r="S95" s="8" t="s">
        <v>2133</v>
      </c>
      <c r="T95" s="11"/>
    </row>
    <row r="96" spans="1:20" ht="24">
      <c r="A96" t="s">
        <v>30</v>
      </c>
      <c r="B96" s="151" t="s">
        <v>960</v>
      </c>
      <c r="C96" s="199"/>
      <c r="D96" s="17">
        <v>45747</v>
      </c>
      <c r="E96" s="1" t="s">
        <v>2199</v>
      </c>
      <c r="F96" s="2" t="s">
        <v>130</v>
      </c>
      <c r="G96" s="161" t="s">
        <v>16</v>
      </c>
      <c r="H96" s="161" t="s">
        <v>138</v>
      </c>
      <c r="I96" s="163" t="s">
        <v>883</v>
      </c>
      <c r="J96" s="34">
        <v>1</v>
      </c>
      <c r="K96" s="48">
        <v>3500000</v>
      </c>
      <c r="L96" s="26">
        <f t="shared" si="13"/>
        <v>3500000</v>
      </c>
      <c r="M96" s="27">
        <f t="shared" si="15"/>
        <v>350000</v>
      </c>
      <c r="N96" s="27">
        <f t="shared" si="14"/>
        <v>3850000</v>
      </c>
      <c r="O96" s="82">
        <f>1210534+6000000/3</f>
        <v>3210534</v>
      </c>
      <c r="P96" s="170" t="s">
        <v>1996</v>
      </c>
      <c r="Q96" s="181">
        <f t="shared" si="16"/>
        <v>289466</v>
      </c>
      <c r="R96" s="68" t="s">
        <v>1539</v>
      </c>
      <c r="S96" s="8" t="s">
        <v>2133</v>
      </c>
      <c r="T96" s="11"/>
    </row>
    <row r="97" spans="1:26">
      <c r="A97" t="s">
        <v>30</v>
      </c>
      <c r="B97" s="151" t="s">
        <v>449</v>
      </c>
      <c r="C97" s="199"/>
      <c r="D97" s="17">
        <v>45747</v>
      </c>
      <c r="E97" s="214" t="s">
        <v>2159</v>
      </c>
      <c r="F97" s="215" t="s">
        <v>249</v>
      </c>
      <c r="G97" s="2" t="s">
        <v>16</v>
      </c>
      <c r="H97" s="2" t="s">
        <v>80</v>
      </c>
      <c r="I97" s="4" t="s">
        <v>947</v>
      </c>
      <c r="J97" s="23">
        <v>1</v>
      </c>
      <c r="K97" s="27">
        <v>850000</v>
      </c>
      <c r="L97" s="26">
        <f t="shared" si="13"/>
        <v>850000</v>
      </c>
      <c r="M97" s="27">
        <f t="shared" si="15"/>
        <v>85000</v>
      </c>
      <c r="N97" s="27">
        <f t="shared" si="14"/>
        <v>935000</v>
      </c>
      <c r="O97" s="52">
        <v>700000</v>
      </c>
      <c r="P97" s="171" t="s">
        <v>1233</v>
      </c>
      <c r="Q97" s="181">
        <f t="shared" si="16"/>
        <v>150000</v>
      </c>
      <c r="R97" s="2" t="s">
        <v>1750</v>
      </c>
      <c r="S97" s="8" t="s">
        <v>2136</v>
      </c>
      <c r="T97" s="11"/>
    </row>
    <row r="98" spans="1:26" ht="48">
      <c r="A98" t="s">
        <v>30</v>
      </c>
      <c r="B98" s="151" t="s">
        <v>449</v>
      </c>
      <c r="C98" s="199"/>
      <c r="D98" s="17">
        <v>45747</v>
      </c>
      <c r="E98" s="214" t="s">
        <v>2165</v>
      </c>
      <c r="F98" s="215" t="s">
        <v>250</v>
      </c>
      <c r="G98" s="2" t="s">
        <v>16</v>
      </c>
      <c r="H98" s="2" t="s">
        <v>80</v>
      </c>
      <c r="I98" s="4" t="s">
        <v>947</v>
      </c>
      <c r="J98" s="23">
        <v>1</v>
      </c>
      <c r="K98" s="27">
        <v>4600000</v>
      </c>
      <c r="L98" s="26">
        <f t="shared" si="13"/>
        <v>4600000</v>
      </c>
      <c r="M98" s="27">
        <f t="shared" si="15"/>
        <v>460000</v>
      </c>
      <c r="N98" s="27">
        <f t="shared" si="14"/>
        <v>5060000</v>
      </c>
      <c r="O98" s="52">
        <f>4250000+2400000/12+3800+1500000/6</f>
        <v>4703800</v>
      </c>
      <c r="P98" s="171" t="s">
        <v>2028</v>
      </c>
      <c r="Q98" s="181">
        <f t="shared" si="16"/>
        <v>-103800</v>
      </c>
      <c r="R98" s="2" t="s">
        <v>1750</v>
      </c>
      <c r="S98" s="8" t="s">
        <v>2136</v>
      </c>
      <c r="T98" s="11"/>
    </row>
    <row r="99" spans="1:26">
      <c r="A99" t="s">
        <v>30</v>
      </c>
      <c r="B99" s="151" t="s">
        <v>450</v>
      </c>
      <c r="C99" s="153" t="s">
        <v>451</v>
      </c>
      <c r="D99" s="17">
        <v>45747</v>
      </c>
      <c r="E99" s="214" t="s">
        <v>409</v>
      </c>
      <c r="F99" s="215" t="s">
        <v>453</v>
      </c>
      <c r="G99" s="2" t="s">
        <v>16</v>
      </c>
      <c r="H99" s="2" t="s">
        <v>80</v>
      </c>
      <c r="I99" s="163" t="s">
        <v>883</v>
      </c>
      <c r="J99" s="23">
        <v>1</v>
      </c>
      <c r="K99" s="27">
        <v>904800</v>
      </c>
      <c r="L99" s="26">
        <f t="shared" si="13"/>
        <v>904800</v>
      </c>
      <c r="M99" s="27">
        <f t="shared" si="15"/>
        <v>90480</v>
      </c>
      <c r="N99" s="27">
        <f t="shared" si="14"/>
        <v>995280</v>
      </c>
      <c r="O99" s="33">
        <v>820200</v>
      </c>
      <c r="P99" s="197" t="s">
        <v>1227</v>
      </c>
      <c r="Q99" s="20">
        <f t="shared" si="16"/>
        <v>84600</v>
      </c>
      <c r="R99" s="68" t="s">
        <v>1455</v>
      </c>
      <c r="S99" s="8" t="s">
        <v>2136</v>
      </c>
      <c r="T99" s="11"/>
    </row>
    <row r="100" spans="1:26" ht="60">
      <c r="A100" t="s">
        <v>30</v>
      </c>
      <c r="B100" s="151" t="s">
        <v>855</v>
      </c>
      <c r="C100" s="199"/>
      <c r="D100" s="17">
        <v>45747</v>
      </c>
      <c r="E100" s="1" t="s">
        <v>2167</v>
      </c>
      <c r="F100" s="2"/>
      <c r="G100" s="2" t="s">
        <v>16</v>
      </c>
      <c r="H100" s="2" t="s">
        <v>81</v>
      </c>
      <c r="I100" s="163" t="s">
        <v>883</v>
      </c>
      <c r="J100" s="23">
        <v>1</v>
      </c>
      <c r="K100" s="27">
        <v>3611000</v>
      </c>
      <c r="L100" s="26">
        <f t="shared" si="13"/>
        <v>3611000</v>
      </c>
      <c r="M100" s="27">
        <f t="shared" si="15"/>
        <v>361100</v>
      </c>
      <c r="N100" s="27">
        <f t="shared" si="14"/>
        <v>3972100</v>
      </c>
      <c r="O100" s="52">
        <f>672000+700000+100000+290000+6000000/6</f>
        <v>2762000</v>
      </c>
      <c r="P100" s="259" t="s">
        <v>2065</v>
      </c>
      <c r="Q100" s="181">
        <f t="shared" si="16"/>
        <v>849000</v>
      </c>
      <c r="R100" s="68" t="s">
        <v>1455</v>
      </c>
      <c r="S100" s="8" t="s">
        <v>2134</v>
      </c>
      <c r="T100" s="11"/>
    </row>
    <row r="101" spans="1:26">
      <c r="A101" t="s">
        <v>30</v>
      </c>
      <c r="B101" s="151" t="s">
        <v>674</v>
      </c>
      <c r="C101" s="153" t="s">
        <v>675</v>
      </c>
      <c r="D101" s="17">
        <v>45747</v>
      </c>
      <c r="E101" s="214" t="s">
        <v>71</v>
      </c>
      <c r="F101" s="215" t="s">
        <v>562</v>
      </c>
      <c r="G101" s="1" t="s">
        <v>16</v>
      </c>
      <c r="H101" s="83" t="s">
        <v>80</v>
      </c>
      <c r="I101" s="163" t="s">
        <v>883</v>
      </c>
      <c r="J101" s="23">
        <v>1</v>
      </c>
      <c r="K101" s="27">
        <v>554000</v>
      </c>
      <c r="L101" s="26">
        <f t="shared" si="13"/>
        <v>554000</v>
      </c>
      <c r="M101" s="27">
        <f t="shared" si="15"/>
        <v>55400</v>
      </c>
      <c r="N101" s="27">
        <f t="shared" si="14"/>
        <v>609400</v>
      </c>
      <c r="O101" s="33">
        <v>502800</v>
      </c>
      <c r="P101" s="197" t="s">
        <v>1227</v>
      </c>
      <c r="Q101" s="20">
        <f t="shared" si="16"/>
        <v>51200</v>
      </c>
      <c r="R101" s="68" t="s">
        <v>1455</v>
      </c>
      <c r="S101" s="8" t="s">
        <v>2136</v>
      </c>
      <c r="T101" s="11"/>
    </row>
    <row r="102" spans="1:26">
      <c r="A102" t="s">
        <v>30</v>
      </c>
      <c r="B102" s="151" t="s">
        <v>856</v>
      </c>
      <c r="C102" s="200"/>
      <c r="D102" s="17">
        <v>45747</v>
      </c>
      <c r="E102" s="1" t="s">
        <v>2202</v>
      </c>
      <c r="F102" s="161"/>
      <c r="G102" s="161" t="s">
        <v>16</v>
      </c>
      <c r="H102" s="161" t="s">
        <v>138</v>
      </c>
      <c r="I102" s="163" t="s">
        <v>883</v>
      </c>
      <c r="J102" s="71">
        <v>1</v>
      </c>
      <c r="K102" s="26">
        <v>2730000</v>
      </c>
      <c r="L102" s="26">
        <f t="shared" si="13"/>
        <v>2730000</v>
      </c>
      <c r="M102" s="27">
        <f t="shared" si="15"/>
        <v>273000</v>
      </c>
      <c r="N102" s="27">
        <f t="shared" si="14"/>
        <v>3003000</v>
      </c>
      <c r="O102" s="52">
        <v>44000</v>
      </c>
      <c r="P102" s="171" t="s">
        <v>1234</v>
      </c>
      <c r="Q102" s="181">
        <f t="shared" si="16"/>
        <v>2686000</v>
      </c>
      <c r="R102" s="68" t="s">
        <v>1215</v>
      </c>
      <c r="S102" s="5" t="s">
        <v>2134</v>
      </c>
      <c r="T102" s="11"/>
    </row>
    <row r="103" spans="1:26" ht="24">
      <c r="A103" t="s">
        <v>30</v>
      </c>
      <c r="B103" s="151" t="s">
        <v>961</v>
      </c>
      <c r="C103" s="153"/>
      <c r="D103" s="17">
        <v>45747</v>
      </c>
      <c r="E103" s="1" t="s">
        <v>2207</v>
      </c>
      <c r="F103" s="2" t="s">
        <v>130</v>
      </c>
      <c r="G103" s="1" t="s">
        <v>16</v>
      </c>
      <c r="H103" s="83" t="s">
        <v>81</v>
      </c>
      <c r="I103" s="4" t="s">
        <v>948</v>
      </c>
      <c r="J103" s="23">
        <v>1</v>
      </c>
      <c r="K103" s="27">
        <v>3475000</v>
      </c>
      <c r="L103" s="26">
        <f t="shared" si="13"/>
        <v>3475000</v>
      </c>
      <c r="M103" s="27">
        <f t="shared" si="15"/>
        <v>347500</v>
      </c>
      <c r="N103" s="27">
        <f t="shared" si="14"/>
        <v>3822500</v>
      </c>
      <c r="O103" s="33">
        <f>8000000/3+1000000/3</f>
        <v>3000000</v>
      </c>
      <c r="P103" s="197" t="s">
        <v>2210</v>
      </c>
      <c r="Q103" s="20">
        <f t="shared" si="16"/>
        <v>475000</v>
      </c>
      <c r="R103" s="68" t="s">
        <v>1812</v>
      </c>
      <c r="S103" s="8" t="s">
        <v>2133</v>
      </c>
      <c r="T103" s="11"/>
    </row>
    <row r="104" spans="1:26" ht="24">
      <c r="A104" t="s">
        <v>30</v>
      </c>
      <c r="B104" s="151" t="s">
        <v>1550</v>
      </c>
      <c r="C104" s="153" t="s">
        <v>1551</v>
      </c>
      <c r="D104" s="17">
        <v>45747</v>
      </c>
      <c r="E104" s="1" t="s">
        <v>78</v>
      </c>
      <c r="F104" s="2" t="s">
        <v>128</v>
      </c>
      <c r="G104" s="2" t="s">
        <v>16</v>
      </c>
      <c r="H104" s="2" t="s">
        <v>80</v>
      </c>
      <c r="I104" s="4" t="s">
        <v>883</v>
      </c>
      <c r="J104" s="23">
        <v>1</v>
      </c>
      <c r="K104" s="27">
        <v>454600</v>
      </c>
      <c r="L104" s="26">
        <f t="shared" si="13"/>
        <v>454600</v>
      </c>
      <c r="M104" s="27">
        <f t="shared" si="15"/>
        <v>45460</v>
      </c>
      <c r="N104" s="27">
        <f t="shared" si="14"/>
        <v>500060</v>
      </c>
      <c r="O104" s="33">
        <f>243000+1100000/6</f>
        <v>426333.33333333337</v>
      </c>
      <c r="P104" s="197" t="s">
        <v>1235</v>
      </c>
      <c r="Q104" s="20">
        <f t="shared" si="16"/>
        <v>28266.666666666628</v>
      </c>
      <c r="R104" s="68" t="s">
        <v>1455</v>
      </c>
      <c r="S104" s="8" t="s">
        <v>2136</v>
      </c>
      <c r="T104" s="11"/>
    </row>
    <row r="105" spans="1:26" ht="48">
      <c r="A105" t="s">
        <v>30</v>
      </c>
      <c r="B105" s="151" t="s">
        <v>966</v>
      </c>
      <c r="C105" s="153" t="s">
        <v>967</v>
      </c>
      <c r="D105" s="17">
        <v>45747</v>
      </c>
      <c r="E105" s="214" t="s">
        <v>72</v>
      </c>
      <c r="F105" s="215" t="s">
        <v>497</v>
      </c>
      <c r="G105" s="1" t="s">
        <v>16</v>
      </c>
      <c r="H105" s="2" t="s">
        <v>80</v>
      </c>
      <c r="I105" s="4" t="s">
        <v>883</v>
      </c>
      <c r="J105" s="23">
        <v>1</v>
      </c>
      <c r="K105" s="27">
        <v>2900000</v>
      </c>
      <c r="L105" s="26">
        <f t="shared" si="13"/>
        <v>2900000</v>
      </c>
      <c r="M105" s="27">
        <f t="shared" si="15"/>
        <v>290000</v>
      </c>
      <c r="N105" s="27">
        <f t="shared" si="14"/>
        <v>3190000</v>
      </c>
      <c r="O105" s="33">
        <f>1515000+250000+391000+2500000/6</f>
        <v>2572666.6666666665</v>
      </c>
      <c r="P105" s="197" t="s">
        <v>2146</v>
      </c>
      <c r="Q105" s="20">
        <f t="shared" si="16"/>
        <v>327333.33333333349</v>
      </c>
      <c r="R105" s="68" t="s">
        <v>1455</v>
      </c>
      <c r="S105" s="8" t="s">
        <v>2136</v>
      </c>
      <c r="T105" s="11"/>
    </row>
    <row r="106" spans="1:26" ht="24">
      <c r="A106" t="s">
        <v>30</v>
      </c>
      <c r="B106" s="151" t="s">
        <v>949</v>
      </c>
      <c r="C106" s="153" t="s">
        <v>950</v>
      </c>
      <c r="D106" s="17">
        <v>45747</v>
      </c>
      <c r="E106" s="1" t="s">
        <v>2206</v>
      </c>
      <c r="F106" s="2" t="s">
        <v>951</v>
      </c>
      <c r="G106" s="161" t="s">
        <v>16</v>
      </c>
      <c r="H106" s="161" t="s">
        <v>952</v>
      </c>
      <c r="I106" s="163" t="s">
        <v>959</v>
      </c>
      <c r="J106" s="23">
        <v>1</v>
      </c>
      <c r="K106" s="27">
        <v>1224000</v>
      </c>
      <c r="L106" s="26">
        <f t="shared" si="13"/>
        <v>1224000</v>
      </c>
      <c r="M106" s="27">
        <f t="shared" si="15"/>
        <v>122400</v>
      </c>
      <c r="N106" s="27">
        <f t="shared" si="14"/>
        <v>1346400</v>
      </c>
      <c r="O106" s="82">
        <f>666000+1350000/3</f>
        <v>1116000</v>
      </c>
      <c r="P106" s="197" t="s">
        <v>2055</v>
      </c>
      <c r="Q106" s="21">
        <f t="shared" si="16"/>
        <v>108000</v>
      </c>
      <c r="R106" s="68" t="s">
        <v>1703</v>
      </c>
      <c r="S106" s="8" t="s">
        <v>2136</v>
      </c>
      <c r="T106" s="11"/>
    </row>
    <row r="107" spans="1:26" ht="24">
      <c r="A107" t="s">
        <v>30</v>
      </c>
      <c r="B107" s="151" t="s">
        <v>953</v>
      </c>
      <c r="C107" s="153" t="s">
        <v>954</v>
      </c>
      <c r="D107" s="17">
        <v>45747</v>
      </c>
      <c r="E107" s="1" t="s">
        <v>2206</v>
      </c>
      <c r="F107" s="2" t="s">
        <v>955</v>
      </c>
      <c r="G107" s="161" t="s">
        <v>16</v>
      </c>
      <c r="H107" s="161" t="s">
        <v>952</v>
      </c>
      <c r="I107" s="163" t="s">
        <v>2097</v>
      </c>
      <c r="J107" s="23">
        <v>1</v>
      </c>
      <c r="K107" s="27">
        <v>12434465</v>
      </c>
      <c r="L107" s="26">
        <f t="shared" si="13"/>
        <v>12434465</v>
      </c>
      <c r="M107" s="27">
        <f t="shared" si="15"/>
        <v>1243446.5</v>
      </c>
      <c r="N107" s="27">
        <f t="shared" si="14"/>
        <v>13677911.5</v>
      </c>
      <c r="O107" s="82">
        <f>8742600+2400000/2</f>
        <v>9942600</v>
      </c>
      <c r="P107" s="223" t="s">
        <v>1452</v>
      </c>
      <c r="Q107" s="21">
        <f t="shared" si="16"/>
        <v>2491865</v>
      </c>
      <c r="R107" s="68" t="s">
        <v>1703</v>
      </c>
      <c r="S107" s="8" t="s">
        <v>2136</v>
      </c>
      <c r="T107" s="11"/>
    </row>
    <row r="108" spans="1:26">
      <c r="A108" t="s">
        <v>30</v>
      </c>
      <c r="B108" s="151" t="s">
        <v>968</v>
      </c>
      <c r="C108" s="152"/>
      <c r="D108" s="17">
        <v>45747</v>
      </c>
      <c r="E108" s="1" t="s">
        <v>70</v>
      </c>
      <c r="F108" s="161" t="s">
        <v>957</v>
      </c>
      <c r="G108" s="161" t="s">
        <v>16</v>
      </c>
      <c r="H108" s="161" t="s">
        <v>956</v>
      </c>
      <c r="I108" s="164" t="s">
        <v>958</v>
      </c>
      <c r="J108" s="69">
        <v>1</v>
      </c>
      <c r="K108" s="29">
        <v>615000</v>
      </c>
      <c r="L108" s="26">
        <f t="shared" si="13"/>
        <v>615000</v>
      </c>
      <c r="M108" s="67">
        <f t="shared" si="15"/>
        <v>61500</v>
      </c>
      <c r="N108" s="27">
        <f t="shared" si="14"/>
        <v>676500</v>
      </c>
      <c r="O108" s="248">
        <f>66000*2</f>
        <v>132000</v>
      </c>
      <c r="P108" s="171" t="s">
        <v>1236</v>
      </c>
      <c r="Q108" s="21">
        <f t="shared" si="16"/>
        <v>483000</v>
      </c>
      <c r="R108" s="68" t="s">
        <v>1703</v>
      </c>
      <c r="S108" s="5" t="s">
        <v>2133</v>
      </c>
      <c r="T108" s="6"/>
      <c r="Z108" s="242"/>
    </row>
    <row r="109" spans="1:26">
      <c r="B109" s="151" t="s">
        <v>1354</v>
      </c>
      <c r="C109" s="153" t="s">
        <v>1552</v>
      </c>
      <c r="D109" s="17">
        <v>45747</v>
      </c>
      <c r="E109" s="1" t="s">
        <v>2205</v>
      </c>
      <c r="F109" s="2" t="s">
        <v>982</v>
      </c>
      <c r="G109" s="161" t="s">
        <v>16</v>
      </c>
      <c r="H109" s="83" t="s">
        <v>80</v>
      </c>
      <c r="I109" s="4" t="s">
        <v>1006</v>
      </c>
      <c r="J109" s="23">
        <v>1</v>
      </c>
      <c r="K109" s="27">
        <v>41168190</v>
      </c>
      <c r="L109" s="26">
        <f t="shared" si="13"/>
        <v>41168190</v>
      </c>
      <c r="M109" s="27">
        <f t="shared" si="15"/>
        <v>4116819</v>
      </c>
      <c r="N109" s="27">
        <f t="shared" si="14"/>
        <v>45285009</v>
      </c>
      <c r="O109" s="33">
        <f>10869600*3</f>
        <v>32608800</v>
      </c>
      <c r="P109" s="197" t="s">
        <v>1155</v>
      </c>
      <c r="Q109" s="20">
        <f t="shared" si="16"/>
        <v>8559390</v>
      </c>
      <c r="R109" s="68" t="s">
        <v>1455</v>
      </c>
      <c r="S109" s="8" t="s">
        <v>2136</v>
      </c>
      <c r="T109" s="11"/>
    </row>
    <row r="110" spans="1:26" ht="24">
      <c r="A110" t="s">
        <v>30</v>
      </c>
      <c r="B110" s="151" t="s">
        <v>1350</v>
      </c>
      <c r="C110" s="230" t="s">
        <v>1052</v>
      </c>
      <c r="D110" s="17">
        <v>45747</v>
      </c>
      <c r="E110" s="214" t="s">
        <v>2195</v>
      </c>
      <c r="F110" s="215" t="s">
        <v>1002</v>
      </c>
      <c r="G110" s="161" t="s">
        <v>16</v>
      </c>
      <c r="H110" s="83" t="s">
        <v>85</v>
      </c>
      <c r="I110" s="4" t="s">
        <v>1055</v>
      </c>
      <c r="J110" s="23">
        <v>1</v>
      </c>
      <c r="K110" s="27">
        <v>12788000</v>
      </c>
      <c r="L110" s="26">
        <v>13289000</v>
      </c>
      <c r="M110" s="27">
        <f t="shared" si="15"/>
        <v>1328900</v>
      </c>
      <c r="N110" s="27">
        <f t="shared" si="14"/>
        <v>14617900</v>
      </c>
      <c r="O110" s="33">
        <f>11840700+405600</f>
        <v>12246300</v>
      </c>
      <c r="P110" s="197" t="s">
        <v>1056</v>
      </c>
      <c r="Q110" s="181">
        <f t="shared" si="16"/>
        <v>1042700</v>
      </c>
      <c r="R110" s="68" t="s">
        <v>1468</v>
      </c>
      <c r="S110" s="8" t="s">
        <v>2136</v>
      </c>
      <c r="T110" s="11"/>
    </row>
    <row r="111" spans="1:26">
      <c r="B111" s="154"/>
      <c r="C111" s="251" t="s">
        <v>1053</v>
      </c>
      <c r="D111" s="43"/>
      <c r="E111" s="219" t="s">
        <v>2195</v>
      </c>
      <c r="F111" s="220" t="s">
        <v>1002</v>
      </c>
      <c r="G111" s="161" t="s">
        <v>16</v>
      </c>
      <c r="H111" s="83" t="s">
        <v>80</v>
      </c>
      <c r="I111" s="4" t="s">
        <v>1054</v>
      </c>
      <c r="J111" s="23">
        <v>1</v>
      </c>
      <c r="K111" s="27">
        <v>501000</v>
      </c>
      <c r="L111" s="37"/>
      <c r="M111" s="38"/>
      <c r="N111" s="38"/>
      <c r="O111" s="33"/>
      <c r="P111" s="197" t="s">
        <v>1237</v>
      </c>
      <c r="Q111" s="184"/>
      <c r="R111" s="41"/>
      <c r="S111" s="42"/>
      <c r="T111" s="11"/>
    </row>
    <row r="112" spans="1:26" ht="35.25" customHeight="1">
      <c r="B112" s="151" t="s">
        <v>975</v>
      </c>
      <c r="C112" s="153"/>
      <c r="D112" s="17">
        <v>45747</v>
      </c>
      <c r="E112" s="1" t="s">
        <v>973</v>
      </c>
      <c r="F112" s="2"/>
      <c r="G112" s="161" t="s">
        <v>16</v>
      </c>
      <c r="H112" s="161" t="s">
        <v>138</v>
      </c>
      <c r="I112" s="4" t="s">
        <v>974</v>
      </c>
      <c r="J112" s="23">
        <v>1</v>
      </c>
      <c r="K112" s="27">
        <v>1524000</v>
      </c>
      <c r="L112" s="26">
        <f t="shared" ref="L112:L118" si="17">J112*K112</f>
        <v>1524000</v>
      </c>
      <c r="M112" s="27">
        <f t="shared" ref="M112:M119" si="18">L112*10%</f>
        <v>152400</v>
      </c>
      <c r="N112" s="27">
        <f t="shared" ref="N112:N119" si="19">SUM(L112:M112)</f>
        <v>1676400</v>
      </c>
      <c r="O112" s="132">
        <v>1121353</v>
      </c>
      <c r="P112" s="173" t="s">
        <v>2077</v>
      </c>
      <c r="Q112" s="20">
        <f t="shared" ref="Q112:Q119" si="20">L112-O112</f>
        <v>402647</v>
      </c>
      <c r="R112" s="68" t="s">
        <v>1539</v>
      </c>
      <c r="S112" s="8" t="s">
        <v>2136</v>
      </c>
      <c r="T112" s="11"/>
    </row>
    <row r="113" spans="1:20" ht="60">
      <c r="B113" s="151" t="s">
        <v>1025</v>
      </c>
      <c r="C113" s="153" t="s">
        <v>1026</v>
      </c>
      <c r="D113" s="17">
        <v>45747</v>
      </c>
      <c r="E113" s="1" t="s">
        <v>2176</v>
      </c>
      <c r="F113" s="2" t="s">
        <v>1003</v>
      </c>
      <c r="G113" s="161" t="s">
        <v>16</v>
      </c>
      <c r="H113" s="83" t="s">
        <v>80</v>
      </c>
      <c r="I113" s="4" t="s">
        <v>1004</v>
      </c>
      <c r="J113" s="23">
        <v>1</v>
      </c>
      <c r="K113" s="27">
        <v>18480000</v>
      </c>
      <c r="L113" s="26">
        <f t="shared" si="17"/>
        <v>18480000</v>
      </c>
      <c r="M113" s="27">
        <f t="shared" si="18"/>
        <v>1848000</v>
      </c>
      <c r="N113" s="27">
        <f t="shared" si="19"/>
        <v>20328000</v>
      </c>
      <c r="O113" s="132">
        <v>16424240</v>
      </c>
      <c r="P113" s="173" t="s">
        <v>2078</v>
      </c>
      <c r="Q113" s="20">
        <f t="shared" si="20"/>
        <v>2055760</v>
      </c>
      <c r="R113" s="68" t="s">
        <v>1455</v>
      </c>
      <c r="S113" s="8" t="s">
        <v>2136</v>
      </c>
      <c r="T113" s="11"/>
    </row>
    <row r="114" spans="1:20">
      <c r="A114" t="s">
        <v>30</v>
      </c>
      <c r="B114" s="151" t="s">
        <v>1085</v>
      </c>
      <c r="C114" s="153"/>
      <c r="D114" s="17">
        <v>45747</v>
      </c>
      <c r="E114" s="1" t="s">
        <v>2156</v>
      </c>
      <c r="F114" s="2" t="s">
        <v>1086</v>
      </c>
      <c r="G114" s="161" t="s">
        <v>16</v>
      </c>
      <c r="H114" s="83" t="s">
        <v>1087</v>
      </c>
      <c r="I114" s="4" t="s">
        <v>1088</v>
      </c>
      <c r="J114" s="23">
        <v>1</v>
      </c>
      <c r="K114" s="27">
        <v>150000</v>
      </c>
      <c r="L114" s="26">
        <f t="shared" si="17"/>
        <v>150000</v>
      </c>
      <c r="M114" s="27">
        <f t="shared" si="18"/>
        <v>15000</v>
      </c>
      <c r="N114" s="27">
        <f t="shared" si="19"/>
        <v>165000</v>
      </c>
      <c r="O114" s="33">
        <v>0</v>
      </c>
      <c r="P114" s="197" t="s">
        <v>1071</v>
      </c>
      <c r="Q114" s="20">
        <f t="shared" si="20"/>
        <v>150000</v>
      </c>
      <c r="R114" s="68" t="s">
        <v>1703</v>
      </c>
      <c r="S114" s="8" t="s">
        <v>2134</v>
      </c>
      <c r="T114" s="11"/>
    </row>
    <row r="115" spans="1:20">
      <c r="B115" s="151" t="s">
        <v>915</v>
      </c>
      <c r="C115" s="153"/>
      <c r="D115" s="17">
        <v>45747</v>
      </c>
      <c r="E115" s="1" t="s">
        <v>2197</v>
      </c>
      <c r="F115" s="2" t="s">
        <v>917</v>
      </c>
      <c r="G115" s="2" t="s">
        <v>15</v>
      </c>
      <c r="H115" s="83" t="s">
        <v>89</v>
      </c>
      <c r="I115" s="4" t="s">
        <v>591</v>
      </c>
      <c r="J115" s="23">
        <v>1</v>
      </c>
      <c r="K115" s="27">
        <v>3500000</v>
      </c>
      <c r="L115" s="26">
        <f t="shared" si="17"/>
        <v>3500000</v>
      </c>
      <c r="M115" s="27">
        <f t="shared" si="18"/>
        <v>350000</v>
      </c>
      <c r="N115" s="27">
        <f t="shared" si="19"/>
        <v>3850000</v>
      </c>
      <c r="O115" s="33">
        <f>2950000+20000</f>
        <v>2970000</v>
      </c>
      <c r="P115" s="197" t="s">
        <v>1521</v>
      </c>
      <c r="Q115" s="20">
        <f t="shared" si="20"/>
        <v>530000</v>
      </c>
      <c r="R115" s="68" t="s">
        <v>1455</v>
      </c>
      <c r="S115" s="8" t="s">
        <v>2134</v>
      </c>
      <c r="T115" s="11"/>
    </row>
    <row r="116" spans="1:20">
      <c r="B116" s="151" t="s">
        <v>1012</v>
      </c>
      <c r="C116" s="153"/>
      <c r="D116" s="17">
        <v>45747</v>
      </c>
      <c r="E116" s="1" t="s">
        <v>2197</v>
      </c>
      <c r="F116" s="2" t="s">
        <v>1014</v>
      </c>
      <c r="G116" s="2" t="s">
        <v>15</v>
      </c>
      <c r="H116" s="83" t="s">
        <v>1016</v>
      </c>
      <c r="I116" s="4" t="s">
        <v>1017</v>
      </c>
      <c r="J116" s="23">
        <v>1</v>
      </c>
      <c r="K116" s="27">
        <v>3500000</v>
      </c>
      <c r="L116" s="26">
        <f t="shared" si="17"/>
        <v>3500000</v>
      </c>
      <c r="M116" s="27">
        <f t="shared" si="18"/>
        <v>350000</v>
      </c>
      <c r="N116" s="27">
        <f t="shared" si="19"/>
        <v>3850000</v>
      </c>
      <c r="O116" s="33">
        <f>2950000+20000</f>
        <v>2970000</v>
      </c>
      <c r="P116" s="197" t="s">
        <v>1521</v>
      </c>
      <c r="Q116" s="20">
        <f t="shared" si="20"/>
        <v>530000</v>
      </c>
      <c r="R116" s="68" t="s">
        <v>1455</v>
      </c>
      <c r="S116" s="8" t="s">
        <v>2134</v>
      </c>
      <c r="T116" s="11"/>
    </row>
    <row r="117" spans="1:20" ht="24">
      <c r="B117" s="151" t="s">
        <v>1013</v>
      </c>
      <c r="C117" s="153"/>
      <c r="D117" s="17">
        <v>45747</v>
      </c>
      <c r="E117" s="1" t="s">
        <v>2197</v>
      </c>
      <c r="F117" s="2" t="s">
        <v>1015</v>
      </c>
      <c r="G117" s="2" t="s">
        <v>15</v>
      </c>
      <c r="H117" s="83" t="s">
        <v>1018</v>
      </c>
      <c r="I117" s="4" t="s">
        <v>1019</v>
      </c>
      <c r="J117" s="23">
        <v>1</v>
      </c>
      <c r="K117" s="27">
        <v>150000</v>
      </c>
      <c r="L117" s="26">
        <f t="shared" si="17"/>
        <v>150000</v>
      </c>
      <c r="M117" s="27">
        <f t="shared" si="18"/>
        <v>15000</v>
      </c>
      <c r="N117" s="27">
        <f t="shared" si="19"/>
        <v>165000</v>
      </c>
      <c r="O117" s="33">
        <f>112000+3800</f>
        <v>115800</v>
      </c>
      <c r="P117" s="197" t="s">
        <v>1961</v>
      </c>
      <c r="Q117" s="20">
        <f t="shared" si="20"/>
        <v>34200</v>
      </c>
      <c r="R117" s="68" t="s">
        <v>1455</v>
      </c>
      <c r="S117" s="8" t="s">
        <v>2134</v>
      </c>
      <c r="T117" s="11"/>
    </row>
    <row r="118" spans="1:20" ht="24">
      <c r="B118" s="151" t="s">
        <v>901</v>
      </c>
      <c r="C118" s="153"/>
      <c r="D118" s="17">
        <v>45747</v>
      </c>
      <c r="E118" s="1" t="s">
        <v>902</v>
      </c>
      <c r="F118" s="2" t="s">
        <v>813</v>
      </c>
      <c r="G118" s="2" t="s">
        <v>35</v>
      </c>
      <c r="H118" s="83" t="s">
        <v>160</v>
      </c>
      <c r="I118" s="4" t="s">
        <v>1545</v>
      </c>
      <c r="J118" s="23">
        <v>2</v>
      </c>
      <c r="K118" s="27">
        <v>180000</v>
      </c>
      <c r="L118" s="26">
        <f t="shared" si="17"/>
        <v>360000</v>
      </c>
      <c r="M118" s="27">
        <f t="shared" si="18"/>
        <v>36000</v>
      </c>
      <c r="N118" s="27">
        <f t="shared" si="19"/>
        <v>396000</v>
      </c>
      <c r="O118" s="33">
        <v>0</v>
      </c>
      <c r="P118" s="197" t="s">
        <v>171</v>
      </c>
      <c r="Q118" s="20">
        <f t="shared" si="20"/>
        <v>360000</v>
      </c>
      <c r="R118" s="254" t="s">
        <v>578</v>
      </c>
      <c r="S118" s="8" t="s">
        <v>2134</v>
      </c>
      <c r="T118" s="11"/>
    </row>
    <row r="119" spans="1:20">
      <c r="B119" s="151" t="s">
        <v>1032</v>
      </c>
      <c r="C119" s="153"/>
      <c r="D119" s="17">
        <v>45747</v>
      </c>
      <c r="E119" s="1" t="s">
        <v>158</v>
      </c>
      <c r="F119" s="2"/>
      <c r="G119" s="2" t="s">
        <v>1058</v>
      </c>
      <c r="H119" s="83" t="s">
        <v>169</v>
      </c>
      <c r="I119" s="4" t="s">
        <v>170</v>
      </c>
      <c r="J119" s="23">
        <v>1</v>
      </c>
      <c r="K119" s="27">
        <v>280000</v>
      </c>
      <c r="L119" s="26">
        <v>1880000</v>
      </c>
      <c r="M119" s="27">
        <f t="shared" si="18"/>
        <v>188000</v>
      </c>
      <c r="N119" s="27">
        <f t="shared" si="19"/>
        <v>2068000</v>
      </c>
      <c r="O119" s="33">
        <f>250000+300000+1150000</f>
        <v>1700000</v>
      </c>
      <c r="P119" s="197" t="s">
        <v>1274</v>
      </c>
      <c r="Q119" s="20">
        <f t="shared" si="20"/>
        <v>180000</v>
      </c>
      <c r="R119" s="2" t="s">
        <v>1259</v>
      </c>
      <c r="S119" s="8" t="s">
        <v>2136</v>
      </c>
      <c r="T119" s="11"/>
    </row>
    <row r="120" spans="1:20" ht="24">
      <c r="B120" s="151" t="s">
        <v>1210</v>
      </c>
      <c r="C120" s="155"/>
      <c r="D120" s="43"/>
      <c r="E120" s="44" t="s">
        <v>158</v>
      </c>
      <c r="F120" s="41"/>
      <c r="G120" s="2" t="s">
        <v>15</v>
      </c>
      <c r="H120" s="83" t="s">
        <v>517</v>
      </c>
      <c r="I120" s="4" t="s">
        <v>518</v>
      </c>
      <c r="J120" s="23">
        <v>1</v>
      </c>
      <c r="K120" s="27">
        <v>350000</v>
      </c>
      <c r="L120" s="37"/>
      <c r="M120" s="38"/>
      <c r="N120" s="38"/>
      <c r="O120" s="39"/>
      <c r="P120" s="197" t="s">
        <v>1212</v>
      </c>
      <c r="Q120" s="40"/>
      <c r="R120" s="41"/>
      <c r="S120" s="42"/>
      <c r="T120" s="11"/>
    </row>
    <row r="121" spans="1:20">
      <c r="B121" s="151" t="s">
        <v>1211</v>
      </c>
      <c r="C121" s="155"/>
      <c r="D121" s="43"/>
      <c r="E121" s="44" t="s">
        <v>158</v>
      </c>
      <c r="F121" s="41"/>
      <c r="G121" s="2" t="s">
        <v>15</v>
      </c>
      <c r="H121" s="83" t="s">
        <v>1208</v>
      </c>
      <c r="I121" s="4" t="s">
        <v>1209</v>
      </c>
      <c r="J121" s="23">
        <v>1</v>
      </c>
      <c r="K121" s="27">
        <v>1250000</v>
      </c>
      <c r="L121" s="37"/>
      <c r="M121" s="38"/>
      <c r="N121" s="38"/>
      <c r="O121" s="39"/>
      <c r="P121" s="197" t="s">
        <v>1275</v>
      </c>
      <c r="Q121" s="40"/>
      <c r="R121" s="41"/>
      <c r="S121" s="42"/>
      <c r="T121" s="11"/>
    </row>
    <row r="122" spans="1:20">
      <c r="A122" t="s">
        <v>30</v>
      </c>
      <c r="B122" s="151" t="s">
        <v>1213</v>
      </c>
      <c r="C122" s="153"/>
      <c r="D122" s="17">
        <v>45747</v>
      </c>
      <c r="E122" s="1" t="s">
        <v>1205</v>
      </c>
      <c r="F122" s="2"/>
      <c r="G122" s="2" t="s">
        <v>1206</v>
      </c>
      <c r="H122" s="83" t="s">
        <v>1207</v>
      </c>
      <c r="I122" s="4" t="s">
        <v>1214</v>
      </c>
      <c r="J122" s="23">
        <v>1</v>
      </c>
      <c r="K122" s="27">
        <v>160000</v>
      </c>
      <c r="L122" s="26">
        <f>J122*K122</f>
        <v>160000</v>
      </c>
      <c r="M122" s="27">
        <f>L122*10%</f>
        <v>16000</v>
      </c>
      <c r="N122" s="27">
        <f>SUM(L122:M122)</f>
        <v>176000</v>
      </c>
      <c r="O122" s="33">
        <v>120000</v>
      </c>
      <c r="P122" s="197" t="s">
        <v>1276</v>
      </c>
      <c r="Q122" s="20">
        <f>L122-O122</f>
        <v>40000</v>
      </c>
      <c r="R122" s="68" t="s">
        <v>1455</v>
      </c>
      <c r="S122" s="8" t="s">
        <v>2136</v>
      </c>
      <c r="T122" s="11"/>
    </row>
    <row r="123" spans="1:20" ht="48">
      <c r="A123" t="s">
        <v>30</v>
      </c>
      <c r="B123" s="151" t="s">
        <v>1355</v>
      </c>
      <c r="C123" s="153" t="s">
        <v>1270</v>
      </c>
      <c r="D123" s="17">
        <v>45747</v>
      </c>
      <c r="E123" s="1" t="s">
        <v>2174</v>
      </c>
      <c r="F123" s="2" t="s">
        <v>1264</v>
      </c>
      <c r="G123" s="2" t="s">
        <v>1262</v>
      </c>
      <c r="H123" s="83" t="s">
        <v>1263</v>
      </c>
      <c r="I123" s="4" t="s">
        <v>1265</v>
      </c>
      <c r="J123" s="23">
        <v>1</v>
      </c>
      <c r="K123" s="27">
        <v>18338000</v>
      </c>
      <c r="L123" s="26">
        <f>J123*K123</f>
        <v>18338000</v>
      </c>
      <c r="M123" s="27">
        <f>L123*10%</f>
        <v>1833800</v>
      </c>
      <c r="N123" s="27">
        <f>SUM(L123:M123)</f>
        <v>20171800</v>
      </c>
      <c r="O123" s="132">
        <f>1260000+16300800</f>
        <v>17560800</v>
      </c>
      <c r="P123" s="265" t="s">
        <v>2079</v>
      </c>
      <c r="Q123" s="20">
        <f>L123-O123</f>
        <v>777200</v>
      </c>
      <c r="R123" s="68" t="s">
        <v>1702</v>
      </c>
      <c r="S123" s="8" t="s">
        <v>2136</v>
      </c>
      <c r="T123" s="11"/>
    </row>
    <row r="124" spans="1:20">
      <c r="A124" t="s">
        <v>30</v>
      </c>
      <c r="B124" s="151"/>
      <c r="C124" s="153"/>
      <c r="D124" s="17"/>
      <c r="E124" s="1"/>
      <c r="F124" s="2"/>
      <c r="G124" s="2"/>
      <c r="H124" s="83"/>
      <c r="I124" s="4"/>
      <c r="J124" s="23"/>
      <c r="K124" s="27"/>
      <c r="L124" s="26">
        <f t="shared" ref="L124:L125" si="21">J124*K124</f>
        <v>0</v>
      </c>
      <c r="M124" s="27">
        <f t="shared" ref="M124:M125" si="22">L124*10%</f>
        <v>0</v>
      </c>
      <c r="N124" s="27">
        <f t="shared" ref="N124:N125" si="23">SUM(L124:M124)</f>
        <v>0</v>
      </c>
      <c r="O124" s="132"/>
      <c r="P124" s="173"/>
      <c r="Q124" s="20">
        <f t="shared" ref="Q124:Q125" si="24">L124-O124</f>
        <v>0</v>
      </c>
      <c r="R124" s="2"/>
      <c r="S124" s="8"/>
      <c r="T124" s="11"/>
    </row>
    <row r="125" spans="1:20">
      <c r="A125" t="s">
        <v>30</v>
      </c>
      <c r="B125" s="151"/>
      <c r="C125" s="153"/>
      <c r="D125" s="17"/>
      <c r="E125" s="1"/>
      <c r="F125" s="2"/>
      <c r="G125" s="2"/>
      <c r="H125" s="83"/>
      <c r="I125" s="163"/>
      <c r="J125" s="128"/>
      <c r="K125" s="26"/>
      <c r="L125" s="26">
        <f t="shared" si="21"/>
        <v>0</v>
      </c>
      <c r="M125" s="27">
        <f t="shared" si="22"/>
        <v>0</v>
      </c>
      <c r="N125" s="27">
        <f t="shared" si="23"/>
        <v>0</v>
      </c>
      <c r="O125" s="132"/>
      <c r="P125" s="173"/>
      <c r="Q125" s="20">
        <f t="shared" si="24"/>
        <v>0</v>
      </c>
      <c r="R125" s="2"/>
      <c r="S125" s="5"/>
      <c r="T125" s="11"/>
    </row>
    <row r="126" spans="1:20" ht="26.25" customHeight="1" thickBot="1">
      <c r="A126" t="s">
        <v>30</v>
      </c>
      <c r="B126" s="269" t="s">
        <v>32</v>
      </c>
      <c r="C126" s="270"/>
      <c r="D126" s="270"/>
      <c r="E126" s="270"/>
      <c r="F126" s="270"/>
      <c r="G126" s="270"/>
      <c r="H126" s="270"/>
      <c r="I126" s="270"/>
      <c r="J126" s="270"/>
      <c r="K126" s="271"/>
      <c r="L126" s="25">
        <f>SUM(L3:L125)</f>
        <v>285300289</v>
      </c>
      <c r="M126" s="25">
        <f>SUM(M3:M125)</f>
        <v>28530029.199999999</v>
      </c>
      <c r="N126" s="25">
        <f>SUM(N3:N125)</f>
        <v>313830318.19999999</v>
      </c>
      <c r="O126" s="25">
        <f>SUM(O3:O125)</f>
        <v>216819593.83333331</v>
      </c>
      <c r="P126" s="177"/>
      <c r="Q126" s="25">
        <f>SUM(Q3:Q125)</f>
        <v>56080695.166666672</v>
      </c>
      <c r="R126" s="177"/>
      <c r="S126" s="12"/>
      <c r="T126" s="13"/>
    </row>
    <row r="127" spans="1:20">
      <c r="A127" t="s">
        <v>30</v>
      </c>
    </row>
    <row r="128" spans="1:20">
      <c r="A128" t="s">
        <v>30</v>
      </c>
      <c r="D128" s="196">
        <f>COUNTA(D3:D125)</f>
        <v>115</v>
      </c>
      <c r="E128" s="16"/>
      <c r="K128" s="47" t="s">
        <v>56</v>
      </c>
      <c r="L128" s="62">
        <f>SUBTOTAL(109,L3:L125)</f>
        <v>285300289</v>
      </c>
      <c r="M128" s="62">
        <f>SUBTOTAL(109,M3:M125)</f>
        <v>28530029.199999999</v>
      </c>
      <c r="N128" s="62">
        <f>SUBTOTAL(109,N3:N125)</f>
        <v>313830318.19999999</v>
      </c>
    </row>
    <row r="129" spans="1:26">
      <c r="E129" s="156"/>
      <c r="N129" s="187"/>
      <c r="P129" s="178"/>
    </row>
    <row r="130" spans="1:26">
      <c r="H130" s="156"/>
      <c r="I130" s="156"/>
    </row>
    <row r="131" spans="1:26">
      <c r="L131" s="62"/>
      <c r="M131" s="62"/>
      <c r="N131" s="62"/>
    </row>
    <row r="132" spans="1:26">
      <c r="E132" s="178"/>
      <c r="L132" s="62"/>
      <c r="M132" s="62"/>
      <c r="N132" s="62"/>
    </row>
    <row r="133" spans="1:26">
      <c r="L133" s="62"/>
      <c r="M133" s="62"/>
      <c r="N133" s="62"/>
    </row>
    <row r="134" spans="1:26">
      <c r="L134" s="188"/>
      <c r="M134" s="62"/>
      <c r="N134" s="62"/>
    </row>
    <row r="135" spans="1:26" ht="12" customHeight="1">
      <c r="I135" t="s">
        <v>16</v>
      </c>
      <c r="K135" s="191">
        <f t="shared" ref="K135:K142" si="25">SUMIF($G$3:$G$125,I135,$L$3:$L$125)</f>
        <v>228831789</v>
      </c>
      <c r="N135" s="62"/>
    </row>
    <row r="136" spans="1:26" ht="12" customHeight="1">
      <c r="I136" t="s">
        <v>29</v>
      </c>
      <c r="K136" s="191">
        <f t="shared" si="25"/>
        <v>0</v>
      </c>
      <c r="N136" s="62"/>
    </row>
    <row r="137" spans="1:26" ht="12" customHeight="1">
      <c r="I137" t="s">
        <v>10</v>
      </c>
      <c r="K137" s="191">
        <f t="shared" si="25"/>
        <v>0</v>
      </c>
      <c r="N137" s="62"/>
    </row>
    <row r="138" spans="1:26" ht="12" customHeight="1">
      <c r="I138" t="s">
        <v>34</v>
      </c>
      <c r="K138" s="191">
        <f t="shared" si="25"/>
        <v>12908500</v>
      </c>
      <c r="N138" s="62"/>
    </row>
    <row r="139" spans="1:26" ht="12" customHeight="1">
      <c r="I139" t="s">
        <v>15</v>
      </c>
      <c r="K139" s="191">
        <f t="shared" si="25"/>
        <v>42000000</v>
      </c>
      <c r="N139" s="62"/>
    </row>
    <row r="140" spans="1:26" s="47" customFormat="1" ht="12" customHeight="1">
      <c r="A140"/>
      <c r="B140"/>
      <c r="C140"/>
      <c r="D140" s="15"/>
      <c r="E140"/>
      <c r="F140"/>
      <c r="G140"/>
      <c r="H140"/>
      <c r="I140" t="s">
        <v>35</v>
      </c>
      <c r="J140" s="185"/>
      <c r="K140" s="191">
        <f t="shared" si="25"/>
        <v>1560000</v>
      </c>
      <c r="N140" s="62"/>
      <c r="P140"/>
      <c r="R140" s="252"/>
      <c r="S140"/>
      <c r="T140"/>
      <c r="U140"/>
      <c r="V140"/>
      <c r="W140"/>
      <c r="X140"/>
      <c r="Y140"/>
      <c r="Z140"/>
    </row>
    <row r="141" spans="1:26" s="47" customFormat="1" ht="12" customHeight="1">
      <c r="A141"/>
      <c r="B141"/>
      <c r="C141"/>
      <c r="D141" s="15"/>
      <c r="E141"/>
      <c r="F141"/>
      <c r="G141"/>
      <c r="H141"/>
      <c r="I141" t="s">
        <v>36</v>
      </c>
      <c r="J141" s="185"/>
      <c r="K141" s="191">
        <f t="shared" si="25"/>
        <v>0</v>
      </c>
      <c r="P141"/>
      <c r="R141" s="252"/>
      <c r="S141"/>
      <c r="T141"/>
      <c r="U141"/>
      <c r="V141"/>
      <c r="W141"/>
      <c r="X141"/>
      <c r="Y141"/>
      <c r="Z141"/>
    </row>
    <row r="142" spans="1:26" s="47" customFormat="1" ht="12" customHeight="1">
      <c r="A142"/>
      <c r="B142"/>
      <c r="C142"/>
      <c r="D142" s="15"/>
      <c r="E142"/>
      <c r="F142"/>
      <c r="G142"/>
      <c r="H142"/>
      <c r="I142"/>
      <c r="J142" s="185"/>
      <c r="K142" s="191">
        <f t="shared" si="25"/>
        <v>0</v>
      </c>
      <c r="P142"/>
      <c r="R142" s="252"/>
      <c r="S142"/>
      <c r="T142"/>
      <c r="U142"/>
      <c r="V142"/>
      <c r="W142"/>
      <c r="X142"/>
      <c r="Y142"/>
      <c r="Z142"/>
    </row>
    <row r="143" spans="1:26" s="47" customFormat="1" ht="12" customHeight="1">
      <c r="A143"/>
      <c r="B143"/>
      <c r="C143"/>
      <c r="D143" s="15"/>
      <c r="E143" s="158"/>
      <c r="F143"/>
      <c r="G143"/>
      <c r="H143"/>
      <c r="I143"/>
      <c r="J143" s="185"/>
      <c r="K143" s="191">
        <f>SUBTOTAL(9,K135:K142)</f>
        <v>285300289</v>
      </c>
      <c r="P143"/>
      <c r="R143" s="252"/>
      <c r="S143"/>
      <c r="T143"/>
      <c r="U143"/>
      <c r="V143"/>
      <c r="W143"/>
      <c r="X143"/>
      <c r="Y143"/>
      <c r="Z143"/>
    </row>
    <row r="144" spans="1:26" s="47" customFormat="1" ht="12" customHeight="1">
      <c r="A144"/>
      <c r="B144"/>
      <c r="C144"/>
      <c r="D144" s="15"/>
      <c r="E144"/>
      <c r="F144"/>
      <c r="G144"/>
      <c r="H144"/>
      <c r="I144"/>
      <c r="J144" s="185"/>
      <c r="K144" s="190"/>
      <c r="P144"/>
      <c r="R144" s="252"/>
      <c r="S144"/>
      <c r="T144"/>
      <c r="U144"/>
      <c r="V144"/>
      <c r="W144"/>
      <c r="X144"/>
      <c r="Y144"/>
      <c r="Z144"/>
    </row>
    <row r="145" spans="1:26" s="47" customFormat="1" ht="12" customHeight="1">
      <c r="A145"/>
      <c r="B145"/>
      <c r="C145"/>
      <c r="D145" s="15"/>
      <c r="E145"/>
      <c r="F145"/>
      <c r="G145"/>
      <c r="H145"/>
      <c r="I145"/>
      <c r="J145" s="185"/>
      <c r="P145"/>
      <c r="R145" s="252"/>
      <c r="S145"/>
      <c r="T145"/>
      <c r="U145"/>
      <c r="V145"/>
      <c r="W145"/>
      <c r="X145"/>
      <c r="Y145"/>
      <c r="Z145"/>
    </row>
    <row r="146" spans="1:26" s="47" customFormat="1" ht="12" customHeight="1">
      <c r="A146"/>
      <c r="B146"/>
      <c r="C146"/>
      <c r="D146" s="15"/>
      <c r="E146" s="158"/>
      <c r="F146"/>
      <c r="G146"/>
      <c r="H146"/>
      <c r="I146"/>
      <c r="J146" s="185"/>
      <c r="P146"/>
      <c r="R146" s="252"/>
      <c r="S146"/>
      <c r="T146"/>
      <c r="U146"/>
      <c r="V146"/>
      <c r="W146"/>
      <c r="X146"/>
      <c r="Y146"/>
      <c r="Z146"/>
    </row>
    <row r="147" spans="1:26" ht="12" customHeight="1"/>
    <row r="148" spans="1:26" ht="12" customHeight="1"/>
    <row r="149" spans="1:26" ht="12" customHeight="1"/>
    <row r="150" spans="1:26" ht="12" customHeight="1"/>
    <row r="151" spans="1:26" ht="12" customHeight="1"/>
    <row r="152" spans="1:26" ht="12" customHeight="1"/>
    <row r="156" spans="1:26" s="49" customFormat="1">
      <c r="A156"/>
      <c r="B156"/>
      <c r="C156"/>
      <c r="D156" s="15"/>
      <c r="E156"/>
      <c r="F156"/>
      <c r="G156"/>
      <c r="H156"/>
      <c r="I156"/>
      <c r="J156" s="185"/>
      <c r="K156" s="47"/>
      <c r="L156" s="47"/>
      <c r="M156" s="47"/>
      <c r="N156" s="47"/>
      <c r="O156" s="47"/>
      <c r="P156"/>
      <c r="Q156" s="47"/>
      <c r="R156" s="252"/>
      <c r="S156"/>
      <c r="T156"/>
      <c r="U156"/>
      <c r="V156"/>
      <c r="W156"/>
      <c r="X156"/>
      <c r="Y156"/>
      <c r="Z156"/>
    </row>
  </sheetData>
  <autoFilter ref="A2:Z127" xr:uid="{CD9EA3EA-6992-448C-9F30-33625207C8A6}"/>
  <mergeCells count="1">
    <mergeCell ref="B126:K126"/>
  </mergeCells>
  <phoneticPr fontId="9" type="noConversion"/>
  <pageMargins left="0.25" right="0.25" top="0.75" bottom="0.75" header="0.3" footer="0.3"/>
  <pageSetup paperSize="9" scale="7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B4829-EAA3-4EDC-BB3C-D31197ECCB48}">
  <sheetPr codeName="Sheet6"/>
  <dimension ref="A1:Z159"/>
  <sheetViews>
    <sheetView zoomScaleNormal="100" workbookViewId="0">
      <pane ySplit="2" topLeftCell="A62" activePane="bottomLeft" state="frozen"/>
      <selection activeCell="J36" sqref="J36"/>
      <selection pane="bottomLeft" activeCell="Q75" sqref="Q75"/>
    </sheetView>
  </sheetViews>
  <sheetFormatPr defaultRowHeight="12"/>
  <cols>
    <col min="1" max="1" width="1.28515625" customWidth="1"/>
    <col min="2" max="2" width="11" customWidth="1"/>
    <col min="3" max="3" width="9.140625" customWidth="1"/>
    <col min="4" max="4" width="11.28515625" style="15" customWidth="1"/>
    <col min="5" max="5" width="18.7109375" customWidth="1"/>
    <col min="6" max="6" width="16.140625" customWidth="1"/>
    <col min="7" max="7" width="8.5703125" customWidth="1"/>
    <col min="8" max="8" width="12.42578125" customWidth="1"/>
    <col min="9" max="9" width="43.7109375" customWidth="1"/>
    <col min="10" max="10" width="4.5703125" style="185" customWidth="1"/>
    <col min="11" max="11" width="12.28515625" style="47" customWidth="1"/>
    <col min="12" max="12" width="13.140625" style="47" customWidth="1"/>
    <col min="13" max="13" width="12.28515625" style="47" customWidth="1"/>
    <col min="14" max="15" width="13.140625" style="47" customWidth="1"/>
    <col min="16" max="16" width="34.28515625" customWidth="1"/>
    <col min="17" max="17" width="12.42578125" style="47" customWidth="1"/>
    <col min="18" max="18" width="11.7109375" customWidth="1"/>
    <col min="19" max="19" width="7.85546875" customWidth="1"/>
    <col min="22" max="22" width="10.85546875" bestFit="1" customWidth="1"/>
  </cols>
  <sheetData>
    <row r="1" spans="1:21" ht="27" thickBot="1">
      <c r="B1" s="7" t="str">
        <f>"["&amp;YEAR(D3)&amp;"년 "&amp;MONTH(D3)&amp;"월 매출]"</f>
        <v>[2025년 4월 매출]</v>
      </c>
      <c r="C1" s="7"/>
      <c r="E1" s="156"/>
      <c r="K1" s="62"/>
      <c r="P1" s="156"/>
    </row>
    <row r="2" spans="1:21" ht="24">
      <c r="B2" s="149" t="s">
        <v>26</v>
      </c>
      <c r="C2" s="150" t="s">
        <v>27</v>
      </c>
      <c r="D2" s="143" t="s">
        <v>17</v>
      </c>
      <c r="E2" s="148" t="s">
        <v>18</v>
      </c>
      <c r="F2" s="159" t="s">
        <v>13</v>
      </c>
      <c r="G2" s="159" t="s">
        <v>0</v>
      </c>
      <c r="H2" s="159" t="s">
        <v>24</v>
      </c>
      <c r="I2" s="160" t="s">
        <v>19</v>
      </c>
      <c r="J2" s="186" t="s">
        <v>11</v>
      </c>
      <c r="K2" s="194" t="s">
        <v>20</v>
      </c>
      <c r="L2" s="129" t="s">
        <v>21</v>
      </c>
      <c r="M2" s="195" t="s">
        <v>23</v>
      </c>
      <c r="N2" s="195" t="s">
        <v>25</v>
      </c>
      <c r="O2" s="194" t="s">
        <v>77</v>
      </c>
      <c r="P2" s="148" t="s">
        <v>28</v>
      </c>
      <c r="Q2" s="129" t="s">
        <v>22</v>
      </c>
      <c r="R2" s="148" t="s">
        <v>8</v>
      </c>
      <c r="S2" s="148" t="s">
        <v>31</v>
      </c>
      <c r="T2" s="131" t="s">
        <v>12</v>
      </c>
    </row>
    <row r="3" spans="1:21">
      <c r="A3" t="s">
        <v>30</v>
      </c>
      <c r="B3" s="151" t="s">
        <v>1167</v>
      </c>
      <c r="C3" s="153"/>
      <c r="D3" s="17">
        <v>45748</v>
      </c>
      <c r="E3" s="1" t="s">
        <v>2198</v>
      </c>
      <c r="F3" s="2" t="s">
        <v>1168</v>
      </c>
      <c r="G3" s="2" t="s">
        <v>1169</v>
      </c>
      <c r="H3" s="83" t="s">
        <v>1170</v>
      </c>
      <c r="I3" s="4" t="s">
        <v>1171</v>
      </c>
      <c r="J3" s="23">
        <v>1</v>
      </c>
      <c r="K3" s="27">
        <v>7700000</v>
      </c>
      <c r="L3" s="26">
        <f t="shared" ref="L3:L20" si="0">J3*K3</f>
        <v>7700000</v>
      </c>
      <c r="M3" s="27">
        <f t="shared" ref="M3:M21" si="1">L3*10%</f>
        <v>770000</v>
      </c>
      <c r="N3" s="27">
        <f t="shared" ref="N3:N21" si="2">SUM(L3:M3)</f>
        <v>8470000</v>
      </c>
      <c r="O3" s="33">
        <v>7546000</v>
      </c>
      <c r="P3" s="197" t="s">
        <v>2186</v>
      </c>
      <c r="Q3" s="20">
        <f t="shared" ref="Q3:Q21" si="3">L3-O3</f>
        <v>154000</v>
      </c>
      <c r="R3" s="68" t="s">
        <v>1703</v>
      </c>
      <c r="S3" s="8" t="s">
        <v>2133</v>
      </c>
      <c r="T3" s="11"/>
    </row>
    <row r="4" spans="1:21" ht="36">
      <c r="A4" t="s">
        <v>30</v>
      </c>
      <c r="B4" s="151" t="s">
        <v>174</v>
      </c>
      <c r="C4" s="152"/>
      <c r="D4" s="10">
        <v>45748</v>
      </c>
      <c r="E4" s="1" t="s">
        <v>162</v>
      </c>
      <c r="F4" s="1" t="s">
        <v>162</v>
      </c>
      <c r="G4" s="161" t="s">
        <v>16</v>
      </c>
      <c r="H4" s="161" t="s">
        <v>81</v>
      </c>
      <c r="I4" s="163" t="s">
        <v>1106</v>
      </c>
      <c r="J4" s="71">
        <v>1</v>
      </c>
      <c r="K4" s="26">
        <v>1200000</v>
      </c>
      <c r="L4" s="26">
        <f t="shared" si="0"/>
        <v>1200000</v>
      </c>
      <c r="M4" s="27">
        <f t="shared" si="1"/>
        <v>120000</v>
      </c>
      <c r="N4" s="27">
        <f t="shared" si="2"/>
        <v>1320000</v>
      </c>
      <c r="O4" s="52">
        <f>4800000/6+250000+60000*2</f>
        <v>1170000</v>
      </c>
      <c r="P4" s="171" t="s">
        <v>1476</v>
      </c>
      <c r="Q4" s="181">
        <f t="shared" si="3"/>
        <v>30000</v>
      </c>
      <c r="R4" s="2" t="s">
        <v>1455</v>
      </c>
      <c r="S4" s="5" t="s">
        <v>2133</v>
      </c>
      <c r="T4" s="6"/>
    </row>
    <row r="5" spans="1:21">
      <c r="A5" t="s">
        <v>30</v>
      </c>
      <c r="B5" s="151" t="s">
        <v>215</v>
      </c>
      <c r="C5" s="153"/>
      <c r="D5" s="10">
        <v>45748</v>
      </c>
      <c r="E5" s="1" t="s">
        <v>261</v>
      </c>
      <c r="F5" s="2" t="s">
        <v>132</v>
      </c>
      <c r="G5" s="1" t="s">
        <v>16</v>
      </c>
      <c r="H5" s="161" t="s">
        <v>138</v>
      </c>
      <c r="I5" s="164" t="s">
        <v>1107</v>
      </c>
      <c r="J5" s="210">
        <v>1</v>
      </c>
      <c r="K5" s="27">
        <v>1600000</v>
      </c>
      <c r="L5" s="26">
        <f t="shared" si="0"/>
        <v>1600000</v>
      </c>
      <c r="M5" s="27">
        <f t="shared" si="1"/>
        <v>160000</v>
      </c>
      <c r="N5" s="27">
        <f t="shared" si="2"/>
        <v>1760000</v>
      </c>
      <c r="O5" s="52">
        <f>1123962+259896</f>
        <v>1383858</v>
      </c>
      <c r="P5" s="170" t="s">
        <v>1238</v>
      </c>
      <c r="Q5" s="181">
        <f t="shared" si="3"/>
        <v>216142</v>
      </c>
      <c r="R5" s="68" t="s">
        <v>1703</v>
      </c>
      <c r="S5" s="8" t="s">
        <v>2136</v>
      </c>
      <c r="T5" s="11"/>
    </row>
    <row r="6" spans="1:21" ht="12" customHeight="1">
      <c r="A6" t="s">
        <v>30</v>
      </c>
      <c r="B6" s="151" t="s">
        <v>294</v>
      </c>
      <c r="C6" s="153"/>
      <c r="D6" s="10">
        <v>45748</v>
      </c>
      <c r="E6" s="1" t="s">
        <v>2140</v>
      </c>
      <c r="F6" s="161"/>
      <c r="G6" s="1" t="s">
        <v>16</v>
      </c>
      <c r="H6" s="161" t="s">
        <v>81</v>
      </c>
      <c r="I6" s="3" t="s">
        <v>1108</v>
      </c>
      <c r="J6" s="74">
        <v>1</v>
      </c>
      <c r="K6" s="27">
        <v>300000</v>
      </c>
      <c r="L6" s="26">
        <f t="shared" si="0"/>
        <v>300000</v>
      </c>
      <c r="M6" s="27">
        <f t="shared" si="1"/>
        <v>30000</v>
      </c>
      <c r="N6" s="27">
        <f t="shared" si="2"/>
        <v>330000</v>
      </c>
      <c r="O6" s="52">
        <v>0</v>
      </c>
      <c r="P6" s="171" t="s">
        <v>129</v>
      </c>
      <c r="Q6" s="181">
        <f t="shared" si="3"/>
        <v>300000</v>
      </c>
      <c r="R6" s="2" t="s">
        <v>1277</v>
      </c>
      <c r="S6" s="8" t="s">
        <v>2136</v>
      </c>
      <c r="T6" s="11"/>
    </row>
    <row r="7" spans="1:21" ht="24">
      <c r="A7" t="s">
        <v>30</v>
      </c>
      <c r="B7" s="151" t="s">
        <v>313</v>
      </c>
      <c r="C7" s="153"/>
      <c r="D7" s="10">
        <v>45748</v>
      </c>
      <c r="E7" s="1" t="s">
        <v>312</v>
      </c>
      <c r="F7" s="2"/>
      <c r="G7" s="1" t="s">
        <v>16</v>
      </c>
      <c r="H7" s="1" t="s">
        <v>138</v>
      </c>
      <c r="I7" s="4" t="s">
        <v>1109</v>
      </c>
      <c r="J7" s="210">
        <v>1</v>
      </c>
      <c r="K7" s="27">
        <v>507500</v>
      </c>
      <c r="L7" s="26">
        <f t="shared" si="0"/>
        <v>507500</v>
      </c>
      <c r="M7" s="27">
        <f t="shared" si="1"/>
        <v>50750</v>
      </c>
      <c r="N7" s="27">
        <f t="shared" si="2"/>
        <v>558250</v>
      </c>
      <c r="O7" s="52">
        <f>316682+800000/8</f>
        <v>416682</v>
      </c>
      <c r="P7" s="170" t="s">
        <v>1239</v>
      </c>
      <c r="Q7" s="181">
        <f t="shared" si="3"/>
        <v>90818</v>
      </c>
      <c r="R7" s="2" t="s">
        <v>1455</v>
      </c>
      <c r="S7" s="8" t="s">
        <v>2136</v>
      </c>
      <c r="T7" s="11"/>
    </row>
    <row r="8" spans="1:21" ht="48">
      <c r="A8" t="s">
        <v>30</v>
      </c>
      <c r="B8" s="151" t="s">
        <v>329</v>
      </c>
      <c r="C8" s="152" t="s">
        <v>322</v>
      </c>
      <c r="D8" s="10">
        <v>45748</v>
      </c>
      <c r="E8" s="157" t="s">
        <v>2213</v>
      </c>
      <c r="F8" s="157"/>
      <c r="G8" s="1" t="s">
        <v>16</v>
      </c>
      <c r="H8" s="1" t="s">
        <v>195</v>
      </c>
      <c r="I8" s="3" t="s">
        <v>1110</v>
      </c>
      <c r="J8" s="211">
        <v>1</v>
      </c>
      <c r="K8" s="26">
        <v>1554500</v>
      </c>
      <c r="L8" s="26">
        <f t="shared" si="0"/>
        <v>1554500</v>
      </c>
      <c r="M8" s="27">
        <f t="shared" si="1"/>
        <v>155450</v>
      </c>
      <c r="N8" s="27">
        <f t="shared" si="2"/>
        <v>1709950</v>
      </c>
      <c r="O8" s="52">
        <f>171600+6000000/12+436400+200000</f>
        <v>1308000</v>
      </c>
      <c r="P8" s="171" t="s">
        <v>1646</v>
      </c>
      <c r="Q8" s="181">
        <f t="shared" si="3"/>
        <v>246500</v>
      </c>
      <c r="R8" s="2" t="s">
        <v>1455</v>
      </c>
      <c r="S8" s="5" t="s">
        <v>2136</v>
      </c>
      <c r="T8" s="6"/>
    </row>
    <row r="9" spans="1:21">
      <c r="A9" t="s">
        <v>30</v>
      </c>
      <c r="B9" s="151" t="s">
        <v>338</v>
      </c>
      <c r="C9" s="152" t="s">
        <v>321</v>
      </c>
      <c r="D9" s="10">
        <v>45748</v>
      </c>
      <c r="E9" s="1" t="s">
        <v>2212</v>
      </c>
      <c r="F9" s="1"/>
      <c r="G9" s="1" t="s">
        <v>16</v>
      </c>
      <c r="H9" s="161" t="s">
        <v>80</v>
      </c>
      <c r="I9" s="164" t="s">
        <v>1111</v>
      </c>
      <c r="J9" s="69">
        <v>1</v>
      </c>
      <c r="K9" s="29">
        <v>1423000</v>
      </c>
      <c r="L9" s="26">
        <f t="shared" si="0"/>
        <v>1423000</v>
      </c>
      <c r="M9" s="27">
        <f t="shared" si="1"/>
        <v>142300</v>
      </c>
      <c r="N9" s="27">
        <f t="shared" si="2"/>
        <v>1565300</v>
      </c>
      <c r="O9" s="52">
        <v>1120200</v>
      </c>
      <c r="P9" s="171" t="s">
        <v>1308</v>
      </c>
      <c r="Q9" s="181">
        <f t="shared" si="3"/>
        <v>302800</v>
      </c>
      <c r="R9" s="2" t="s">
        <v>1372</v>
      </c>
      <c r="S9" s="5" t="s">
        <v>2136</v>
      </c>
      <c r="T9" s="6"/>
    </row>
    <row r="10" spans="1:21" ht="24">
      <c r="A10" t="s">
        <v>30</v>
      </c>
      <c r="B10" s="151" t="s">
        <v>320</v>
      </c>
      <c r="C10" s="153"/>
      <c r="D10" s="10">
        <v>45748</v>
      </c>
      <c r="E10" s="1" t="s">
        <v>5</v>
      </c>
      <c r="F10" s="2" t="s">
        <v>315</v>
      </c>
      <c r="G10" s="1" t="s">
        <v>16</v>
      </c>
      <c r="H10" s="161" t="s">
        <v>80</v>
      </c>
      <c r="I10" s="164" t="s">
        <v>1111</v>
      </c>
      <c r="J10" s="210">
        <v>1</v>
      </c>
      <c r="K10" s="27">
        <v>238000</v>
      </c>
      <c r="L10" s="26">
        <f t="shared" si="0"/>
        <v>238000</v>
      </c>
      <c r="M10" s="27">
        <f t="shared" si="1"/>
        <v>23800</v>
      </c>
      <c r="N10" s="27">
        <f t="shared" si="2"/>
        <v>261800</v>
      </c>
      <c r="O10" s="52">
        <v>198018</v>
      </c>
      <c r="P10" s="170" t="s">
        <v>1240</v>
      </c>
      <c r="Q10" s="181">
        <f t="shared" si="3"/>
        <v>39982</v>
      </c>
      <c r="R10" s="2" t="s">
        <v>1454</v>
      </c>
      <c r="S10" s="5" t="s">
        <v>2136</v>
      </c>
      <c r="T10" s="11"/>
    </row>
    <row r="11" spans="1:21">
      <c r="A11" t="s">
        <v>30</v>
      </c>
      <c r="B11" s="151" t="s">
        <v>474</v>
      </c>
      <c r="C11" s="153"/>
      <c r="D11" s="10">
        <v>45748</v>
      </c>
      <c r="E11" s="1" t="s">
        <v>589</v>
      </c>
      <c r="F11" s="2" t="s">
        <v>471</v>
      </c>
      <c r="G11" s="1" t="s">
        <v>16</v>
      </c>
      <c r="H11" s="161" t="s">
        <v>138</v>
      </c>
      <c r="I11" s="4" t="s">
        <v>1112</v>
      </c>
      <c r="J11" s="23">
        <v>1</v>
      </c>
      <c r="K11" s="26">
        <v>1039500</v>
      </c>
      <c r="L11" s="26">
        <f t="shared" si="0"/>
        <v>1039500</v>
      </c>
      <c r="M11" s="27">
        <f t="shared" si="1"/>
        <v>103950</v>
      </c>
      <c r="N11" s="27">
        <f t="shared" si="2"/>
        <v>1143450</v>
      </c>
      <c r="O11" s="33">
        <v>990000</v>
      </c>
      <c r="P11" s="170" t="s">
        <v>1240</v>
      </c>
      <c r="Q11" s="20">
        <f t="shared" si="3"/>
        <v>49500</v>
      </c>
      <c r="R11" s="2" t="s">
        <v>1454</v>
      </c>
      <c r="S11" s="8" t="s">
        <v>2136</v>
      </c>
      <c r="T11" s="11"/>
      <c r="U11" t="s">
        <v>476</v>
      </c>
    </row>
    <row r="12" spans="1:21">
      <c r="A12" t="s">
        <v>30</v>
      </c>
      <c r="B12" s="151" t="s">
        <v>397</v>
      </c>
      <c r="C12" s="153"/>
      <c r="D12" s="10">
        <v>45748</v>
      </c>
      <c r="E12" s="1" t="s">
        <v>393</v>
      </c>
      <c r="F12" s="2" t="s">
        <v>394</v>
      </c>
      <c r="G12" s="161" t="s">
        <v>16</v>
      </c>
      <c r="H12" s="161" t="s">
        <v>138</v>
      </c>
      <c r="I12" s="4" t="s">
        <v>1113</v>
      </c>
      <c r="J12" s="23">
        <v>1</v>
      </c>
      <c r="K12" s="27">
        <v>158400</v>
      </c>
      <c r="L12" s="26">
        <f t="shared" si="0"/>
        <v>158400</v>
      </c>
      <c r="M12" s="27">
        <f t="shared" si="1"/>
        <v>15840</v>
      </c>
      <c r="N12" s="27">
        <f t="shared" si="2"/>
        <v>174240</v>
      </c>
      <c r="O12" s="33">
        <v>145780</v>
      </c>
      <c r="P12" s="170" t="s">
        <v>1240</v>
      </c>
      <c r="Q12" s="20">
        <f t="shared" si="3"/>
        <v>12620</v>
      </c>
      <c r="R12" s="2" t="s">
        <v>1261</v>
      </c>
      <c r="S12" s="8" t="s">
        <v>2136</v>
      </c>
      <c r="T12" s="11"/>
    </row>
    <row r="13" spans="1:21" ht="24">
      <c r="A13" t="s">
        <v>30</v>
      </c>
      <c r="B13" s="151" t="s">
        <v>172</v>
      </c>
      <c r="C13" s="152"/>
      <c r="D13" s="10">
        <v>45748</v>
      </c>
      <c r="E13" s="1" t="s">
        <v>166</v>
      </c>
      <c r="F13" s="161" t="s">
        <v>164</v>
      </c>
      <c r="G13" s="161" t="s">
        <v>16</v>
      </c>
      <c r="H13" s="161" t="s">
        <v>81</v>
      </c>
      <c r="I13" s="163" t="s">
        <v>1114</v>
      </c>
      <c r="J13" s="71">
        <v>1</v>
      </c>
      <c r="K13" s="26">
        <f>280000+2*120000</f>
        <v>520000</v>
      </c>
      <c r="L13" s="26">
        <f t="shared" si="0"/>
        <v>520000</v>
      </c>
      <c r="M13" s="27">
        <f t="shared" si="1"/>
        <v>52000</v>
      </c>
      <c r="N13" s="27">
        <f t="shared" si="2"/>
        <v>572000</v>
      </c>
      <c r="O13" s="52">
        <f>213400+155200</f>
        <v>368600</v>
      </c>
      <c r="P13" s="171" t="s">
        <v>1115</v>
      </c>
      <c r="Q13" s="181">
        <f t="shared" si="3"/>
        <v>151400</v>
      </c>
      <c r="R13" s="2" t="s">
        <v>1455</v>
      </c>
      <c r="S13" s="5" t="s">
        <v>2133</v>
      </c>
      <c r="T13" s="6"/>
    </row>
    <row r="14" spans="1:21">
      <c r="A14" t="s">
        <v>30</v>
      </c>
      <c r="B14" s="151" t="s">
        <v>173</v>
      </c>
      <c r="C14" s="152"/>
      <c r="D14" s="10">
        <v>45748</v>
      </c>
      <c r="E14" s="1" t="s">
        <v>262</v>
      </c>
      <c r="F14" s="161" t="s">
        <v>165</v>
      </c>
      <c r="G14" s="161" t="s">
        <v>16</v>
      </c>
      <c r="H14" s="161" t="s">
        <v>81</v>
      </c>
      <c r="I14" s="163" t="s">
        <v>1116</v>
      </c>
      <c r="J14" s="71">
        <v>1</v>
      </c>
      <c r="K14" s="26">
        <v>320000</v>
      </c>
      <c r="L14" s="26">
        <f t="shared" si="0"/>
        <v>320000</v>
      </c>
      <c r="M14" s="27">
        <f t="shared" si="1"/>
        <v>32000</v>
      </c>
      <c r="N14" s="27">
        <f t="shared" si="2"/>
        <v>352000</v>
      </c>
      <c r="O14" s="52">
        <f>145500+77600</f>
        <v>223100</v>
      </c>
      <c r="P14" s="171" t="s">
        <v>1117</v>
      </c>
      <c r="Q14" s="181">
        <f t="shared" si="3"/>
        <v>96900</v>
      </c>
      <c r="R14" s="2" t="s">
        <v>1536</v>
      </c>
      <c r="S14" s="5" t="s">
        <v>2133</v>
      </c>
      <c r="T14" s="6"/>
    </row>
    <row r="15" spans="1:21">
      <c r="A15" t="s">
        <v>30</v>
      </c>
      <c r="B15" s="151" t="s">
        <v>175</v>
      </c>
      <c r="C15" s="152"/>
      <c r="D15" s="10">
        <v>45748</v>
      </c>
      <c r="E15" s="1" t="s">
        <v>163</v>
      </c>
      <c r="F15" s="1" t="s">
        <v>163</v>
      </c>
      <c r="G15" s="161" t="s">
        <v>16</v>
      </c>
      <c r="H15" s="161" t="s">
        <v>81</v>
      </c>
      <c r="I15" s="163" t="s">
        <v>1118</v>
      </c>
      <c r="J15" s="71">
        <v>1</v>
      </c>
      <c r="K15" s="28">
        <v>100000</v>
      </c>
      <c r="L15" s="26">
        <f t="shared" si="0"/>
        <v>100000</v>
      </c>
      <c r="M15" s="27">
        <f t="shared" si="1"/>
        <v>10000</v>
      </c>
      <c r="N15" s="27">
        <f t="shared" si="2"/>
        <v>110000</v>
      </c>
      <c r="O15" s="52">
        <v>0</v>
      </c>
      <c r="P15" s="171" t="s">
        <v>129</v>
      </c>
      <c r="Q15" s="181">
        <f t="shared" si="3"/>
        <v>100000</v>
      </c>
      <c r="R15" s="2" t="s">
        <v>1559</v>
      </c>
      <c r="S15" s="5" t="s">
        <v>2133</v>
      </c>
      <c r="T15" s="6"/>
    </row>
    <row r="16" spans="1:21" ht="24">
      <c r="A16" t="s">
        <v>30</v>
      </c>
      <c r="B16" s="151" t="s">
        <v>146</v>
      </c>
      <c r="C16" s="153"/>
      <c r="D16" s="10">
        <v>45748</v>
      </c>
      <c r="E16" s="1" t="s">
        <v>141</v>
      </c>
      <c r="F16" s="161" t="s">
        <v>814</v>
      </c>
      <c r="G16" s="1" t="s">
        <v>16</v>
      </c>
      <c r="H16" s="161" t="s">
        <v>138</v>
      </c>
      <c r="I16" s="162" t="s">
        <v>1119</v>
      </c>
      <c r="J16" s="74">
        <v>1</v>
      </c>
      <c r="K16" s="27">
        <v>635000</v>
      </c>
      <c r="L16" s="26">
        <f t="shared" si="0"/>
        <v>635000</v>
      </c>
      <c r="M16" s="27">
        <f t="shared" si="1"/>
        <v>63500</v>
      </c>
      <c r="N16" s="27">
        <f t="shared" si="2"/>
        <v>698500</v>
      </c>
      <c r="O16" s="52">
        <v>564192</v>
      </c>
      <c r="P16" s="170" t="s">
        <v>1240</v>
      </c>
      <c r="Q16" s="181">
        <f t="shared" si="3"/>
        <v>70808</v>
      </c>
      <c r="R16" s="2" t="s">
        <v>1536</v>
      </c>
      <c r="S16" s="8" t="s">
        <v>2136</v>
      </c>
      <c r="T16" s="11"/>
    </row>
    <row r="17" spans="1:20">
      <c r="A17" t="s">
        <v>30</v>
      </c>
      <c r="B17" s="151" t="s">
        <v>112</v>
      </c>
      <c r="C17" s="200"/>
      <c r="D17" s="10">
        <v>45748</v>
      </c>
      <c r="E17" s="1" t="s">
        <v>2160</v>
      </c>
      <c r="F17" s="2" t="s">
        <v>82</v>
      </c>
      <c r="G17" s="1" t="s">
        <v>16</v>
      </c>
      <c r="H17" s="165" t="s">
        <v>138</v>
      </c>
      <c r="I17" s="166" t="s">
        <v>1120</v>
      </c>
      <c r="J17" s="179">
        <v>1</v>
      </c>
      <c r="K17" s="180">
        <v>1233000</v>
      </c>
      <c r="L17" s="50">
        <f t="shared" si="0"/>
        <v>1233000</v>
      </c>
      <c r="M17" s="51">
        <f t="shared" si="1"/>
        <v>123300</v>
      </c>
      <c r="N17" s="51">
        <f t="shared" si="2"/>
        <v>1356300</v>
      </c>
      <c r="O17" s="52">
        <f>309047*3</f>
        <v>927141</v>
      </c>
      <c r="P17" s="171" t="s">
        <v>1729</v>
      </c>
      <c r="Q17" s="182">
        <f t="shared" si="3"/>
        <v>305859</v>
      </c>
      <c r="R17" s="2" t="s">
        <v>1622</v>
      </c>
      <c r="S17" s="36" t="s">
        <v>2136</v>
      </c>
      <c r="T17" s="35"/>
    </row>
    <row r="18" spans="1:20">
      <c r="A18" t="s">
        <v>30</v>
      </c>
      <c r="B18" s="151" t="s">
        <v>333</v>
      </c>
      <c r="C18" s="199" t="s">
        <v>194</v>
      </c>
      <c r="D18" s="10">
        <v>45748</v>
      </c>
      <c r="E18" s="1" t="s">
        <v>83</v>
      </c>
      <c r="F18" s="2" t="s">
        <v>84</v>
      </c>
      <c r="G18" s="1" t="s">
        <v>16</v>
      </c>
      <c r="H18" s="161" t="s">
        <v>80</v>
      </c>
      <c r="I18" s="166" t="s">
        <v>1166</v>
      </c>
      <c r="J18" s="179">
        <v>1</v>
      </c>
      <c r="K18" s="51">
        <v>200000</v>
      </c>
      <c r="L18" s="50">
        <f t="shared" si="0"/>
        <v>200000</v>
      </c>
      <c r="M18" s="51">
        <f t="shared" si="1"/>
        <v>20000</v>
      </c>
      <c r="N18" s="51">
        <f t="shared" si="2"/>
        <v>220000</v>
      </c>
      <c r="O18" s="52">
        <f>58800*3</f>
        <v>176400</v>
      </c>
      <c r="P18" s="171" t="s">
        <v>2010</v>
      </c>
      <c r="Q18" s="183">
        <f t="shared" si="3"/>
        <v>23600</v>
      </c>
      <c r="R18" s="2" t="s">
        <v>1455</v>
      </c>
      <c r="S18" s="36" t="s">
        <v>2136</v>
      </c>
      <c r="T18" s="11"/>
    </row>
    <row r="19" spans="1:20" ht="36">
      <c r="A19" t="s">
        <v>30</v>
      </c>
      <c r="B19" s="151" t="s">
        <v>346</v>
      </c>
      <c r="C19" s="199" t="s">
        <v>342</v>
      </c>
      <c r="D19" s="10">
        <v>45748</v>
      </c>
      <c r="E19" s="1" t="s">
        <v>83</v>
      </c>
      <c r="F19" s="2" t="s">
        <v>316</v>
      </c>
      <c r="G19" s="1" t="s">
        <v>16</v>
      </c>
      <c r="H19" s="161" t="s">
        <v>80</v>
      </c>
      <c r="I19" s="166" t="s">
        <v>1121</v>
      </c>
      <c r="J19" s="53">
        <v>1</v>
      </c>
      <c r="K19" s="51">
        <v>3767600</v>
      </c>
      <c r="L19" s="50">
        <f t="shared" si="0"/>
        <v>3767600</v>
      </c>
      <c r="M19" s="51">
        <f t="shared" si="1"/>
        <v>376760</v>
      </c>
      <c r="N19" s="51">
        <f t="shared" si="2"/>
        <v>4144360</v>
      </c>
      <c r="O19" s="52">
        <f>1706400*2+1000000/12*2</f>
        <v>3579466.6666666665</v>
      </c>
      <c r="P19" s="171" t="s">
        <v>1716</v>
      </c>
      <c r="Q19" s="181">
        <f t="shared" si="3"/>
        <v>188133.33333333349</v>
      </c>
      <c r="R19" s="2" t="s">
        <v>1872</v>
      </c>
      <c r="S19" s="36" t="s">
        <v>2136</v>
      </c>
      <c r="T19" s="11"/>
    </row>
    <row r="20" spans="1:20" ht="48">
      <c r="A20" t="s">
        <v>30</v>
      </c>
      <c r="B20" s="151" t="s">
        <v>1346</v>
      </c>
      <c r="C20" s="153" t="s">
        <v>1347</v>
      </c>
      <c r="D20" s="17">
        <v>45748</v>
      </c>
      <c r="E20" s="1" t="s">
        <v>1173</v>
      </c>
      <c r="F20" s="2" t="s">
        <v>1174</v>
      </c>
      <c r="G20" s="1" t="s">
        <v>16</v>
      </c>
      <c r="H20" s="161" t="s">
        <v>80</v>
      </c>
      <c r="I20" s="4" t="s">
        <v>1175</v>
      </c>
      <c r="J20" s="23">
        <v>1</v>
      </c>
      <c r="K20" s="27">
        <v>800000</v>
      </c>
      <c r="L20" s="26">
        <f t="shared" si="0"/>
        <v>800000</v>
      </c>
      <c r="M20" s="27">
        <f t="shared" si="1"/>
        <v>80000</v>
      </c>
      <c r="N20" s="27">
        <f t="shared" si="2"/>
        <v>880000</v>
      </c>
      <c r="O20" s="132">
        <f>51300*12</f>
        <v>615600</v>
      </c>
      <c r="P20" s="173" t="s">
        <v>2080</v>
      </c>
      <c r="Q20" s="20">
        <f t="shared" si="3"/>
        <v>184400</v>
      </c>
      <c r="R20" s="2" t="s">
        <v>1880</v>
      </c>
      <c r="S20" s="8" t="s">
        <v>2136</v>
      </c>
      <c r="T20" s="11"/>
    </row>
    <row r="21" spans="1:20">
      <c r="A21" t="s">
        <v>30</v>
      </c>
      <c r="B21" s="151" t="s">
        <v>1177</v>
      </c>
      <c r="C21" s="153"/>
      <c r="D21" s="17">
        <v>45749</v>
      </c>
      <c r="E21" s="1" t="s">
        <v>1180</v>
      </c>
      <c r="F21" s="2"/>
      <c r="G21" s="2" t="s">
        <v>1185</v>
      </c>
      <c r="H21" s="83" t="s">
        <v>184</v>
      </c>
      <c r="I21" s="4" t="s">
        <v>1181</v>
      </c>
      <c r="J21" s="23">
        <v>1</v>
      </c>
      <c r="K21" s="27">
        <v>200000</v>
      </c>
      <c r="L21" s="26">
        <v>1150000</v>
      </c>
      <c r="M21" s="27">
        <f t="shared" si="1"/>
        <v>115000</v>
      </c>
      <c r="N21" s="27">
        <f t="shared" si="2"/>
        <v>1265000</v>
      </c>
      <c r="O21" s="33">
        <f>120000+3*170000</f>
        <v>630000</v>
      </c>
      <c r="P21" s="197" t="s">
        <v>129</v>
      </c>
      <c r="Q21" s="20">
        <f t="shared" si="3"/>
        <v>520000</v>
      </c>
      <c r="R21" s="2" t="s">
        <v>1261</v>
      </c>
      <c r="S21" s="8" t="s">
        <v>2136</v>
      </c>
      <c r="T21" s="11"/>
    </row>
    <row r="22" spans="1:20">
      <c r="A22" t="s">
        <v>30</v>
      </c>
      <c r="B22" s="151" t="s">
        <v>1178</v>
      </c>
      <c r="C22" s="155"/>
      <c r="D22" s="43"/>
      <c r="E22" s="44" t="s">
        <v>1180</v>
      </c>
      <c r="F22" s="41"/>
      <c r="G22" s="2" t="s">
        <v>1185</v>
      </c>
      <c r="H22" s="83" t="s">
        <v>1182</v>
      </c>
      <c r="I22" s="4" t="s">
        <v>1183</v>
      </c>
      <c r="J22" s="23">
        <v>1</v>
      </c>
      <c r="K22" s="27">
        <v>200000</v>
      </c>
      <c r="L22" s="37"/>
      <c r="M22" s="38"/>
      <c r="N22" s="38"/>
      <c r="O22" s="33"/>
      <c r="P22" s="197" t="s">
        <v>1186</v>
      </c>
      <c r="Q22" s="40"/>
      <c r="R22" s="41"/>
      <c r="S22" s="42"/>
      <c r="T22" s="11"/>
    </row>
    <row r="23" spans="1:20" ht="24">
      <c r="A23" t="s">
        <v>30</v>
      </c>
      <c r="B23" s="151" t="s">
        <v>1179</v>
      </c>
      <c r="C23" s="155"/>
      <c r="D23" s="43"/>
      <c r="E23" s="44" t="s">
        <v>1180</v>
      </c>
      <c r="F23" s="41"/>
      <c r="G23" s="2" t="s">
        <v>1185</v>
      </c>
      <c r="H23" s="83" t="s">
        <v>1172</v>
      </c>
      <c r="I23" s="4" t="s">
        <v>1184</v>
      </c>
      <c r="J23" s="23">
        <v>3</v>
      </c>
      <c r="K23" s="27">
        <v>250000</v>
      </c>
      <c r="L23" s="37"/>
      <c r="M23" s="38"/>
      <c r="N23" s="38"/>
      <c r="O23" s="33"/>
      <c r="P23" s="197" t="s">
        <v>1187</v>
      </c>
      <c r="Q23" s="40"/>
      <c r="R23" s="41"/>
      <c r="S23" s="42"/>
      <c r="T23" s="11"/>
    </row>
    <row r="24" spans="1:20">
      <c r="A24" t="s">
        <v>30</v>
      </c>
      <c r="B24" s="151" t="s">
        <v>1188</v>
      </c>
      <c r="C24" s="153"/>
      <c r="D24" s="17">
        <v>45749</v>
      </c>
      <c r="E24" s="1" t="s">
        <v>1190</v>
      </c>
      <c r="F24" s="2"/>
      <c r="G24" s="2" t="s">
        <v>1185</v>
      </c>
      <c r="H24" s="83" t="s">
        <v>1189</v>
      </c>
      <c r="I24" s="4" t="s">
        <v>1191</v>
      </c>
      <c r="J24" s="23">
        <v>1</v>
      </c>
      <c r="K24" s="27">
        <v>2450000</v>
      </c>
      <c r="L24" s="26">
        <f>J24*K24</f>
        <v>2450000</v>
      </c>
      <c r="M24" s="27">
        <f>L24*10%</f>
        <v>245000</v>
      </c>
      <c r="N24" s="27">
        <f>SUM(L24:M24)</f>
        <v>2695000</v>
      </c>
      <c r="O24" s="33">
        <f>2173245+25000</f>
        <v>2198245</v>
      </c>
      <c r="P24" s="197" t="s">
        <v>1524</v>
      </c>
      <c r="Q24" s="20">
        <f>L24-O24</f>
        <v>251755</v>
      </c>
      <c r="R24" s="2" t="s">
        <v>1215</v>
      </c>
      <c r="S24" s="8" t="s">
        <v>2134</v>
      </c>
      <c r="T24" s="11"/>
    </row>
    <row r="25" spans="1:20">
      <c r="A25" t="s">
        <v>30</v>
      </c>
      <c r="B25" s="151" t="s">
        <v>113</v>
      </c>
      <c r="C25" s="153"/>
      <c r="D25" s="17">
        <v>45750</v>
      </c>
      <c r="E25" s="1" t="s">
        <v>2198</v>
      </c>
      <c r="F25" s="2" t="s">
        <v>1198</v>
      </c>
      <c r="G25" s="2" t="s">
        <v>15</v>
      </c>
      <c r="H25" s="83" t="s">
        <v>1200</v>
      </c>
      <c r="I25" s="4" t="s">
        <v>1199</v>
      </c>
      <c r="J25" s="23">
        <v>1</v>
      </c>
      <c r="K25" s="27">
        <v>1390000</v>
      </c>
      <c r="L25" s="26">
        <v>2233000</v>
      </c>
      <c r="M25" s="27">
        <f>L25*10%</f>
        <v>223300</v>
      </c>
      <c r="N25" s="27">
        <f>SUM(L25:M25)</f>
        <v>2456300</v>
      </c>
      <c r="O25" s="33">
        <v>2188000</v>
      </c>
      <c r="P25" s="197" t="s">
        <v>2187</v>
      </c>
      <c r="Q25" s="20">
        <f>L25-O25</f>
        <v>45000</v>
      </c>
      <c r="R25" s="68" t="s">
        <v>1703</v>
      </c>
      <c r="S25" s="8" t="s">
        <v>2133</v>
      </c>
      <c r="T25" s="11"/>
    </row>
    <row r="26" spans="1:20">
      <c r="A26" t="s">
        <v>30</v>
      </c>
      <c r="B26" s="154"/>
      <c r="C26" s="155"/>
      <c r="D26" s="43"/>
      <c r="E26" s="44" t="s">
        <v>2198</v>
      </c>
      <c r="F26" s="41" t="s">
        <v>1198</v>
      </c>
      <c r="G26" s="2" t="s">
        <v>15</v>
      </c>
      <c r="H26" s="83" t="s">
        <v>1201</v>
      </c>
      <c r="I26" s="4" t="s">
        <v>1202</v>
      </c>
      <c r="J26" s="23">
        <v>2</v>
      </c>
      <c r="K26" s="27">
        <v>210000</v>
      </c>
      <c r="L26" s="37"/>
      <c r="M26" s="38"/>
      <c r="N26" s="38"/>
      <c r="O26" s="39"/>
      <c r="P26" s="175"/>
      <c r="Q26" s="40"/>
      <c r="R26" s="41"/>
      <c r="S26" s="42"/>
      <c r="T26" s="11"/>
    </row>
    <row r="27" spans="1:20">
      <c r="A27" t="s">
        <v>30</v>
      </c>
      <c r="B27" s="154"/>
      <c r="C27" s="155"/>
      <c r="D27" s="43"/>
      <c r="E27" s="44" t="s">
        <v>2198</v>
      </c>
      <c r="F27" s="41" t="s">
        <v>1198</v>
      </c>
      <c r="G27" s="2" t="s">
        <v>15</v>
      </c>
      <c r="H27" s="83" t="s">
        <v>1203</v>
      </c>
      <c r="I27" s="4" t="s">
        <v>1204</v>
      </c>
      <c r="J27" s="23">
        <v>1</v>
      </c>
      <c r="K27" s="27">
        <v>423000</v>
      </c>
      <c r="L27" s="37"/>
      <c r="M27" s="38"/>
      <c r="N27" s="38"/>
      <c r="O27" s="39"/>
      <c r="P27" s="175"/>
      <c r="Q27" s="40"/>
      <c r="R27" s="41"/>
      <c r="S27" s="42"/>
      <c r="T27" s="11"/>
    </row>
    <row r="28" spans="1:20">
      <c r="A28" t="s">
        <v>30</v>
      </c>
      <c r="B28" s="151" t="s">
        <v>1194</v>
      </c>
      <c r="C28" s="153"/>
      <c r="D28" s="17">
        <v>45750</v>
      </c>
      <c r="E28" s="1" t="s">
        <v>1195</v>
      </c>
      <c r="F28" s="2"/>
      <c r="G28" s="2" t="s">
        <v>1185</v>
      </c>
      <c r="H28" s="83" t="s">
        <v>1196</v>
      </c>
      <c r="I28" s="4" t="s">
        <v>1197</v>
      </c>
      <c r="J28" s="23">
        <v>1</v>
      </c>
      <c r="K28" s="27">
        <v>320000</v>
      </c>
      <c r="L28" s="26">
        <f>J28*K28</f>
        <v>320000</v>
      </c>
      <c r="M28" s="27">
        <f>L28*10%</f>
        <v>32000</v>
      </c>
      <c r="N28" s="27">
        <f>SUM(L28:M28)</f>
        <v>352000</v>
      </c>
      <c r="O28" s="33">
        <v>310000</v>
      </c>
      <c r="P28" s="197" t="s">
        <v>1293</v>
      </c>
      <c r="Q28" s="20">
        <f>L28-O28</f>
        <v>10000</v>
      </c>
      <c r="R28" s="2" t="s">
        <v>1455</v>
      </c>
      <c r="S28" s="8" t="s">
        <v>2132</v>
      </c>
      <c r="T28" s="11"/>
    </row>
    <row r="29" spans="1:20" ht="36">
      <c r="A29" t="s">
        <v>30</v>
      </c>
      <c r="B29" s="151" t="s">
        <v>625</v>
      </c>
      <c r="C29" s="153"/>
      <c r="D29" s="10">
        <v>45751</v>
      </c>
      <c r="E29" s="1" t="s">
        <v>627</v>
      </c>
      <c r="F29" s="2" t="s">
        <v>813</v>
      </c>
      <c r="G29" s="2" t="s">
        <v>35</v>
      </c>
      <c r="H29" s="2" t="s">
        <v>160</v>
      </c>
      <c r="I29" s="4" t="s">
        <v>1540</v>
      </c>
      <c r="J29" s="23">
        <v>1</v>
      </c>
      <c r="K29" s="226">
        <v>200000</v>
      </c>
      <c r="L29" s="26">
        <f>J29*K29</f>
        <v>200000</v>
      </c>
      <c r="M29" s="27">
        <f>L29*10%</f>
        <v>20000</v>
      </c>
      <c r="N29" s="27">
        <f>SUM(L29:M29)</f>
        <v>220000</v>
      </c>
      <c r="O29" s="33">
        <v>0</v>
      </c>
      <c r="P29" s="197" t="s">
        <v>171</v>
      </c>
      <c r="Q29" s="227">
        <f>L29-O29</f>
        <v>200000</v>
      </c>
      <c r="R29" s="213" t="s">
        <v>885</v>
      </c>
      <c r="S29" s="8" t="s">
        <v>2134</v>
      </c>
      <c r="T29" s="11"/>
    </row>
    <row r="30" spans="1:20">
      <c r="A30" t="s">
        <v>30</v>
      </c>
      <c r="B30" s="151" t="s">
        <v>113</v>
      </c>
      <c r="C30" s="153"/>
      <c r="D30" s="17">
        <v>45751</v>
      </c>
      <c r="E30" s="1" t="s">
        <v>1223</v>
      </c>
      <c r="F30" s="2" t="s">
        <v>368</v>
      </c>
      <c r="G30" s="161" t="s">
        <v>34</v>
      </c>
      <c r="H30" s="161" t="s">
        <v>114</v>
      </c>
      <c r="I30" s="3" t="s">
        <v>1224</v>
      </c>
      <c r="J30" s="23">
        <v>1</v>
      </c>
      <c r="K30" s="27">
        <v>134130</v>
      </c>
      <c r="L30" s="26">
        <f>J30*K30</f>
        <v>134130</v>
      </c>
      <c r="M30" s="27">
        <f>L30*10%</f>
        <v>13413</v>
      </c>
      <c r="N30" s="27">
        <f>SUM(L30:M30)</f>
        <v>147543</v>
      </c>
      <c r="O30" s="52">
        <v>0</v>
      </c>
      <c r="P30" s="171" t="s">
        <v>115</v>
      </c>
      <c r="Q30" s="20">
        <f>L30-O30</f>
        <v>134130</v>
      </c>
      <c r="R30" s="2" t="s">
        <v>1314</v>
      </c>
      <c r="S30" s="5" t="s">
        <v>2135</v>
      </c>
      <c r="T30" s="11"/>
    </row>
    <row r="31" spans="1:20" ht="12" customHeight="1">
      <c r="A31" t="s">
        <v>30</v>
      </c>
      <c r="B31" s="151" t="s">
        <v>113</v>
      </c>
      <c r="C31" s="200"/>
      <c r="D31" s="17">
        <v>45751</v>
      </c>
      <c r="E31" s="1" t="s">
        <v>367</v>
      </c>
      <c r="F31" s="2" t="s">
        <v>372</v>
      </c>
      <c r="G31" s="161" t="s">
        <v>34</v>
      </c>
      <c r="H31" s="161" t="s">
        <v>114</v>
      </c>
      <c r="I31" s="3" t="s">
        <v>1216</v>
      </c>
      <c r="J31" s="32">
        <v>1</v>
      </c>
      <c r="K31" s="48">
        <v>360000</v>
      </c>
      <c r="L31" s="26">
        <v>720000</v>
      </c>
      <c r="M31" s="27">
        <f>L31*10%</f>
        <v>72000</v>
      </c>
      <c r="N31" s="27">
        <f>SUM(L31:M31)</f>
        <v>792000</v>
      </c>
      <c r="O31" s="52">
        <v>0</v>
      </c>
      <c r="P31" s="171" t="s">
        <v>115</v>
      </c>
      <c r="Q31" s="181">
        <f>L31-O31</f>
        <v>720000</v>
      </c>
      <c r="R31" s="2" t="s">
        <v>1372</v>
      </c>
      <c r="S31" s="5" t="s">
        <v>2135</v>
      </c>
      <c r="T31" s="6"/>
    </row>
    <row r="32" spans="1:20">
      <c r="A32" t="s">
        <v>30</v>
      </c>
      <c r="B32" s="151" t="s">
        <v>113</v>
      </c>
      <c r="C32" s="155"/>
      <c r="D32" s="43"/>
      <c r="E32" s="44" t="s">
        <v>367</v>
      </c>
      <c r="F32" s="41" t="s">
        <v>368</v>
      </c>
      <c r="G32" s="161" t="s">
        <v>34</v>
      </c>
      <c r="H32" s="161" t="s">
        <v>114</v>
      </c>
      <c r="I32" s="3" t="s">
        <v>1216</v>
      </c>
      <c r="J32" s="23">
        <v>1</v>
      </c>
      <c r="K32" s="27">
        <v>360000</v>
      </c>
      <c r="L32" s="37"/>
      <c r="M32" s="38"/>
      <c r="N32" s="38"/>
      <c r="O32" s="39"/>
      <c r="P32" s="175"/>
      <c r="Q32" s="40"/>
      <c r="R32" s="41"/>
      <c r="S32" s="42"/>
      <c r="T32" s="11"/>
    </row>
    <row r="33" spans="1:21" ht="94.5" customHeight="1">
      <c r="A33" t="s">
        <v>30</v>
      </c>
      <c r="B33" s="151" t="s">
        <v>364</v>
      </c>
      <c r="C33" s="200"/>
      <c r="D33" s="17">
        <v>45752</v>
      </c>
      <c r="E33" s="1" t="s">
        <v>2194</v>
      </c>
      <c r="F33" s="161"/>
      <c r="G33" s="1" t="s">
        <v>16</v>
      </c>
      <c r="H33" s="161" t="s">
        <v>81</v>
      </c>
      <c r="I33" s="3" t="s">
        <v>926</v>
      </c>
      <c r="J33" s="210">
        <v>1</v>
      </c>
      <c r="K33" s="26">
        <v>7060000</v>
      </c>
      <c r="L33" s="26">
        <f t="shared" ref="L33:L50" si="4">J33*K33</f>
        <v>7060000</v>
      </c>
      <c r="M33" s="67">
        <f t="shared" ref="M33:M51" si="5">L33*10%</f>
        <v>706000</v>
      </c>
      <c r="N33" s="27">
        <f t="shared" ref="N33:N51" si="6">SUM(L33:M33)</f>
        <v>7766000</v>
      </c>
      <c r="O33" s="52">
        <f>691781+300000+70000+1000000/12+810000+352900+5000000/3</f>
        <v>3974681</v>
      </c>
      <c r="P33" s="171" t="s">
        <v>1382</v>
      </c>
      <c r="Q33" s="181">
        <f>L33-O33</f>
        <v>3085319</v>
      </c>
      <c r="R33" s="2" t="s">
        <v>1455</v>
      </c>
      <c r="S33" s="5" t="s">
        <v>2133</v>
      </c>
      <c r="T33" s="6"/>
    </row>
    <row r="34" spans="1:21">
      <c r="A34" t="s">
        <v>30</v>
      </c>
      <c r="B34" s="151" t="s">
        <v>369</v>
      </c>
      <c r="C34" s="153"/>
      <c r="D34" s="17">
        <v>45754</v>
      </c>
      <c r="E34" s="1" t="s">
        <v>2198</v>
      </c>
      <c r="F34" s="2"/>
      <c r="G34" s="1" t="s">
        <v>16</v>
      </c>
      <c r="H34" s="161" t="s">
        <v>81</v>
      </c>
      <c r="I34" s="4" t="s">
        <v>1122</v>
      </c>
      <c r="J34" s="210">
        <v>1</v>
      </c>
      <c r="K34" s="27">
        <v>1100000</v>
      </c>
      <c r="L34" s="26">
        <f t="shared" si="4"/>
        <v>1100000</v>
      </c>
      <c r="M34" s="27">
        <f t="shared" si="5"/>
        <v>110000</v>
      </c>
      <c r="N34" s="27">
        <f t="shared" si="6"/>
        <v>1210000</v>
      </c>
      <c r="O34" s="33">
        <v>1060000</v>
      </c>
      <c r="P34" s="197" t="s">
        <v>2188</v>
      </c>
      <c r="Q34" s="20">
        <f>L34-O34</f>
        <v>40000</v>
      </c>
      <c r="R34" s="68" t="s">
        <v>1703</v>
      </c>
      <c r="S34" s="36" t="s">
        <v>2133</v>
      </c>
      <c r="T34" s="11"/>
    </row>
    <row r="35" spans="1:21">
      <c r="A35" t="s">
        <v>30</v>
      </c>
      <c r="B35" s="151" t="s">
        <v>113</v>
      </c>
      <c r="C35" s="153"/>
      <c r="D35" s="86">
        <v>45754</v>
      </c>
      <c r="E35" s="1" t="s">
        <v>197</v>
      </c>
      <c r="F35" s="2" t="s">
        <v>404</v>
      </c>
      <c r="G35" s="2" t="s">
        <v>352</v>
      </c>
      <c r="H35" s="83" t="s">
        <v>184</v>
      </c>
      <c r="I35" s="4" t="s">
        <v>403</v>
      </c>
      <c r="J35" s="23">
        <v>1</v>
      </c>
      <c r="K35" s="27">
        <v>12500000</v>
      </c>
      <c r="L35" s="26">
        <f t="shared" si="4"/>
        <v>12500000</v>
      </c>
      <c r="M35" s="27">
        <f t="shared" si="5"/>
        <v>1250000</v>
      </c>
      <c r="N35" s="27">
        <f t="shared" si="6"/>
        <v>13750000</v>
      </c>
      <c r="O35" s="33">
        <v>0</v>
      </c>
      <c r="P35" s="197" t="s">
        <v>504</v>
      </c>
      <c r="Q35" s="20">
        <v>0</v>
      </c>
      <c r="R35" s="2" t="s">
        <v>1455</v>
      </c>
      <c r="S35" s="8" t="s">
        <v>2133</v>
      </c>
      <c r="T35" s="11"/>
      <c r="U35" t="s">
        <v>499</v>
      </c>
    </row>
    <row r="36" spans="1:21">
      <c r="A36" t="s">
        <v>30</v>
      </c>
      <c r="B36" s="151" t="s">
        <v>113</v>
      </c>
      <c r="C36" s="200"/>
      <c r="D36" s="10">
        <v>45757</v>
      </c>
      <c r="E36" s="1" t="s">
        <v>2204</v>
      </c>
      <c r="F36" s="161" t="s">
        <v>267</v>
      </c>
      <c r="G36" s="161" t="s">
        <v>34</v>
      </c>
      <c r="H36" s="161" t="s">
        <v>114</v>
      </c>
      <c r="I36" s="163" t="s">
        <v>1123</v>
      </c>
      <c r="J36" s="71">
        <v>1</v>
      </c>
      <c r="K36" s="26">
        <v>6394500</v>
      </c>
      <c r="L36" s="26">
        <f t="shared" si="4"/>
        <v>6394500</v>
      </c>
      <c r="M36" s="27">
        <f t="shared" si="5"/>
        <v>639450</v>
      </c>
      <c r="N36" s="27">
        <f t="shared" si="6"/>
        <v>7033950</v>
      </c>
      <c r="O36" s="52">
        <v>0</v>
      </c>
      <c r="P36" s="171" t="s">
        <v>115</v>
      </c>
      <c r="Q36" s="181">
        <f t="shared" ref="Q36:Q51" si="7">L36-O36</f>
        <v>6394500</v>
      </c>
      <c r="R36" s="2" t="s">
        <v>1315</v>
      </c>
      <c r="S36" s="5" t="s">
        <v>2135</v>
      </c>
      <c r="T36" s="6"/>
    </row>
    <row r="37" spans="1:21" ht="24">
      <c r="A37" t="s">
        <v>30</v>
      </c>
      <c r="B37" s="151" t="s">
        <v>1161</v>
      </c>
      <c r="C37" s="153"/>
      <c r="D37" s="17">
        <v>45757</v>
      </c>
      <c r="E37" s="1" t="s">
        <v>2165</v>
      </c>
      <c r="F37" s="2" t="s">
        <v>1165</v>
      </c>
      <c r="G37" s="2" t="s">
        <v>352</v>
      </c>
      <c r="H37" s="83" t="s">
        <v>1162</v>
      </c>
      <c r="I37" s="4" t="s">
        <v>1163</v>
      </c>
      <c r="J37" s="23">
        <v>8</v>
      </c>
      <c r="K37" s="27">
        <v>33000</v>
      </c>
      <c r="L37" s="26">
        <f t="shared" si="4"/>
        <v>264000</v>
      </c>
      <c r="M37" s="27">
        <f t="shared" si="5"/>
        <v>26400</v>
      </c>
      <c r="N37" s="27">
        <f t="shared" si="6"/>
        <v>290400</v>
      </c>
      <c r="O37" s="33">
        <v>218564</v>
      </c>
      <c r="P37" s="197" t="s">
        <v>1164</v>
      </c>
      <c r="Q37" s="20">
        <f t="shared" si="7"/>
        <v>45436</v>
      </c>
      <c r="R37" s="68" t="s">
        <v>1750</v>
      </c>
      <c r="S37" s="8" t="s">
        <v>2136</v>
      </c>
      <c r="T37" s="11"/>
    </row>
    <row r="38" spans="1:21" ht="12" customHeight="1">
      <c r="A38" t="s">
        <v>30</v>
      </c>
      <c r="B38" s="151" t="s">
        <v>113</v>
      </c>
      <c r="C38" s="200"/>
      <c r="D38" s="17">
        <v>45757</v>
      </c>
      <c r="E38" s="1" t="s">
        <v>365</v>
      </c>
      <c r="F38" s="2" t="s">
        <v>366</v>
      </c>
      <c r="G38" s="161" t="s">
        <v>34</v>
      </c>
      <c r="H38" s="161" t="s">
        <v>114</v>
      </c>
      <c r="I38" s="3" t="s">
        <v>2092</v>
      </c>
      <c r="J38" s="32">
        <v>1</v>
      </c>
      <c r="K38" s="48">
        <v>400000</v>
      </c>
      <c r="L38" s="26">
        <f t="shared" si="4"/>
        <v>400000</v>
      </c>
      <c r="M38" s="27">
        <f t="shared" si="5"/>
        <v>40000</v>
      </c>
      <c r="N38" s="27">
        <f t="shared" si="6"/>
        <v>440000</v>
      </c>
      <c r="O38" s="52">
        <v>0</v>
      </c>
      <c r="P38" s="171" t="s">
        <v>115</v>
      </c>
      <c r="Q38" s="181">
        <f t="shared" si="7"/>
        <v>400000</v>
      </c>
      <c r="R38" s="2" t="s">
        <v>1455</v>
      </c>
      <c r="S38" s="5" t="s">
        <v>2135</v>
      </c>
      <c r="T38" s="6"/>
    </row>
    <row r="39" spans="1:21">
      <c r="A39" t="s">
        <v>30</v>
      </c>
      <c r="B39" s="151" t="s">
        <v>1217</v>
      </c>
      <c r="C39" s="153"/>
      <c r="D39" s="17">
        <v>45761</v>
      </c>
      <c r="E39" s="1" t="s">
        <v>2142</v>
      </c>
      <c r="F39" s="2"/>
      <c r="G39" s="2" t="s">
        <v>15</v>
      </c>
      <c r="H39" s="83" t="s">
        <v>213</v>
      </c>
      <c r="I39" s="4" t="s">
        <v>1030</v>
      </c>
      <c r="J39" s="23">
        <v>1</v>
      </c>
      <c r="K39" s="27">
        <v>2350000</v>
      </c>
      <c r="L39" s="26">
        <f t="shared" si="4"/>
        <v>2350000</v>
      </c>
      <c r="M39" s="27">
        <f t="shared" si="5"/>
        <v>235000</v>
      </c>
      <c r="N39" s="27">
        <f t="shared" si="6"/>
        <v>2585000</v>
      </c>
      <c r="O39" s="33">
        <v>2055836</v>
      </c>
      <c r="P39" s="197" t="s">
        <v>1218</v>
      </c>
      <c r="Q39" s="20">
        <f t="shared" si="7"/>
        <v>294164</v>
      </c>
      <c r="R39" s="2" t="s">
        <v>1536</v>
      </c>
      <c r="S39" s="8" t="s">
        <v>2132</v>
      </c>
      <c r="T39" s="11"/>
    </row>
    <row r="40" spans="1:21" ht="24">
      <c r="A40" t="s">
        <v>30</v>
      </c>
      <c r="B40" s="151" t="s">
        <v>1193</v>
      </c>
      <c r="C40" s="153"/>
      <c r="D40" s="17">
        <v>45761</v>
      </c>
      <c r="E40" s="1" t="s">
        <v>2142</v>
      </c>
      <c r="F40" s="2"/>
      <c r="G40" s="2" t="s">
        <v>1185</v>
      </c>
      <c r="H40" s="83" t="s">
        <v>213</v>
      </c>
      <c r="I40" s="4" t="s">
        <v>1030</v>
      </c>
      <c r="J40" s="23">
        <v>1</v>
      </c>
      <c r="K40" s="27">
        <v>2720000</v>
      </c>
      <c r="L40" s="26">
        <f t="shared" si="4"/>
        <v>2720000</v>
      </c>
      <c r="M40" s="27">
        <f t="shared" si="5"/>
        <v>272000</v>
      </c>
      <c r="N40" s="27">
        <f t="shared" si="6"/>
        <v>2992000</v>
      </c>
      <c r="O40" s="33">
        <f>1611000+699091+3800</f>
        <v>2313891</v>
      </c>
      <c r="P40" s="197" t="s">
        <v>1957</v>
      </c>
      <c r="Q40" s="20">
        <f t="shared" si="7"/>
        <v>406109</v>
      </c>
      <c r="R40" s="2" t="s">
        <v>1536</v>
      </c>
      <c r="S40" s="8" t="s">
        <v>2132</v>
      </c>
      <c r="T40" s="11"/>
    </row>
    <row r="41" spans="1:21" ht="24">
      <c r="A41" t="s">
        <v>30</v>
      </c>
      <c r="B41" s="151" t="s">
        <v>253</v>
      </c>
      <c r="C41" s="199" t="s">
        <v>306</v>
      </c>
      <c r="D41" s="17">
        <v>45762</v>
      </c>
      <c r="E41" s="1" t="s">
        <v>246</v>
      </c>
      <c r="F41" s="2" t="s">
        <v>247</v>
      </c>
      <c r="G41" s="2" t="s">
        <v>16</v>
      </c>
      <c r="H41" s="2" t="s">
        <v>80</v>
      </c>
      <c r="I41" s="4" t="s">
        <v>1124</v>
      </c>
      <c r="J41" s="23">
        <v>1</v>
      </c>
      <c r="K41" s="27">
        <v>875000</v>
      </c>
      <c r="L41" s="26">
        <f t="shared" si="4"/>
        <v>875000</v>
      </c>
      <c r="M41" s="27">
        <f t="shared" si="5"/>
        <v>87500</v>
      </c>
      <c r="N41" s="27">
        <f t="shared" si="6"/>
        <v>962500</v>
      </c>
      <c r="O41" s="52">
        <f>511500+3400000/12</f>
        <v>794833.33333333326</v>
      </c>
      <c r="P41" s="197" t="s">
        <v>1377</v>
      </c>
      <c r="Q41" s="181">
        <f t="shared" si="7"/>
        <v>80166.666666666744</v>
      </c>
      <c r="R41" s="68" t="s">
        <v>1539</v>
      </c>
      <c r="S41" s="8" t="s">
        <v>2136</v>
      </c>
      <c r="T41" s="11"/>
    </row>
    <row r="42" spans="1:21">
      <c r="A42" t="s">
        <v>30</v>
      </c>
      <c r="B42" s="151" t="s">
        <v>330</v>
      </c>
      <c r="C42" s="199" t="s">
        <v>335</v>
      </c>
      <c r="D42" s="17">
        <v>45762</v>
      </c>
      <c r="E42" s="1" t="s">
        <v>161</v>
      </c>
      <c r="F42" s="2" t="s">
        <v>154</v>
      </c>
      <c r="G42" s="2" t="s">
        <v>16</v>
      </c>
      <c r="H42" s="2" t="s">
        <v>80</v>
      </c>
      <c r="I42" s="4" t="s">
        <v>1125</v>
      </c>
      <c r="J42" s="23">
        <v>1</v>
      </c>
      <c r="K42" s="27">
        <v>1080000</v>
      </c>
      <c r="L42" s="26">
        <f t="shared" si="4"/>
        <v>1080000</v>
      </c>
      <c r="M42" s="27">
        <f t="shared" si="5"/>
        <v>108000</v>
      </c>
      <c r="N42" s="27">
        <f t="shared" si="6"/>
        <v>1188000</v>
      </c>
      <c r="O42" s="52">
        <v>976200</v>
      </c>
      <c r="P42" s="171" t="s">
        <v>1227</v>
      </c>
      <c r="Q42" s="181">
        <f t="shared" si="7"/>
        <v>103800</v>
      </c>
      <c r="R42" s="202" t="s">
        <v>1383</v>
      </c>
      <c r="S42" s="8" t="s">
        <v>2136</v>
      </c>
      <c r="T42" s="11"/>
    </row>
    <row r="43" spans="1:21" ht="24">
      <c r="A43" t="s">
        <v>30</v>
      </c>
      <c r="B43" s="151" t="s">
        <v>1309</v>
      </c>
      <c r="C43" s="153"/>
      <c r="D43" s="17">
        <v>45762</v>
      </c>
      <c r="E43" s="1" t="s">
        <v>1310</v>
      </c>
      <c r="F43" s="2" t="s">
        <v>1312</v>
      </c>
      <c r="G43" s="2" t="s">
        <v>35</v>
      </c>
      <c r="H43" s="83" t="s">
        <v>1311</v>
      </c>
      <c r="I43" s="4" t="s">
        <v>1313</v>
      </c>
      <c r="J43" s="23">
        <v>1</v>
      </c>
      <c r="K43" s="27">
        <v>1850000</v>
      </c>
      <c r="L43" s="26">
        <f t="shared" si="4"/>
        <v>1850000</v>
      </c>
      <c r="M43" s="27">
        <f t="shared" si="5"/>
        <v>185000</v>
      </c>
      <c r="N43" s="27">
        <f t="shared" si="6"/>
        <v>2035000</v>
      </c>
      <c r="O43" s="33">
        <f>35000+40000+25000</f>
        <v>100000</v>
      </c>
      <c r="P43" s="197" t="s">
        <v>1519</v>
      </c>
      <c r="Q43" s="20">
        <f t="shared" si="7"/>
        <v>1750000</v>
      </c>
      <c r="R43" s="68" t="s">
        <v>1703</v>
      </c>
      <c r="S43" s="8" t="s">
        <v>2134</v>
      </c>
      <c r="T43" s="11"/>
    </row>
    <row r="44" spans="1:21" ht="24">
      <c r="A44" t="s">
        <v>30</v>
      </c>
      <c r="B44" s="151" t="s">
        <v>113</v>
      </c>
      <c r="C44" s="200"/>
      <c r="D44" s="10">
        <v>45767</v>
      </c>
      <c r="E44" s="1" t="s">
        <v>378</v>
      </c>
      <c r="F44" s="2" t="s">
        <v>268</v>
      </c>
      <c r="G44" s="2" t="s">
        <v>34</v>
      </c>
      <c r="H44" s="161" t="s">
        <v>114</v>
      </c>
      <c r="I44" s="3" t="s">
        <v>1126</v>
      </c>
      <c r="J44" s="23">
        <v>1</v>
      </c>
      <c r="K44" s="29">
        <v>800000</v>
      </c>
      <c r="L44" s="26">
        <f t="shared" si="4"/>
        <v>800000</v>
      </c>
      <c r="M44" s="27">
        <f t="shared" si="5"/>
        <v>80000</v>
      </c>
      <c r="N44" s="27">
        <f t="shared" si="6"/>
        <v>880000</v>
      </c>
      <c r="O44" s="52">
        <v>0</v>
      </c>
      <c r="P44" s="171" t="s">
        <v>115</v>
      </c>
      <c r="Q44" s="181">
        <f t="shared" si="7"/>
        <v>800000</v>
      </c>
      <c r="R44" s="266" t="s">
        <v>2036</v>
      </c>
      <c r="S44" s="5" t="s">
        <v>2135</v>
      </c>
      <c r="T44" s="6"/>
    </row>
    <row r="45" spans="1:21">
      <c r="A45" t="s">
        <v>30</v>
      </c>
      <c r="B45" s="151" t="s">
        <v>191</v>
      </c>
      <c r="C45" s="199"/>
      <c r="D45" s="10">
        <v>45767</v>
      </c>
      <c r="E45" s="1" t="s">
        <v>176</v>
      </c>
      <c r="F45" s="2" t="s">
        <v>177</v>
      </c>
      <c r="G45" s="2" t="s">
        <v>16</v>
      </c>
      <c r="H45" s="2" t="s">
        <v>81</v>
      </c>
      <c r="I45" s="70" t="s">
        <v>1225</v>
      </c>
      <c r="J45" s="23">
        <v>1</v>
      </c>
      <c r="K45" s="27">
        <v>200000</v>
      </c>
      <c r="L45" s="26">
        <f t="shared" si="4"/>
        <v>200000</v>
      </c>
      <c r="M45" s="27">
        <f t="shared" si="5"/>
        <v>20000</v>
      </c>
      <c r="N45" s="27">
        <f t="shared" si="6"/>
        <v>220000</v>
      </c>
      <c r="O45" s="52">
        <v>0</v>
      </c>
      <c r="P45" s="171" t="s">
        <v>115</v>
      </c>
      <c r="Q45" s="181">
        <f t="shared" si="7"/>
        <v>200000</v>
      </c>
      <c r="R45" s="68" t="s">
        <v>1703</v>
      </c>
      <c r="S45" s="8" t="s">
        <v>2133</v>
      </c>
      <c r="T45" s="11"/>
    </row>
    <row r="46" spans="1:21" ht="72">
      <c r="A46" t="s">
        <v>30</v>
      </c>
      <c r="B46" s="151" t="s">
        <v>214</v>
      </c>
      <c r="C46" s="200"/>
      <c r="D46" s="10">
        <v>45767</v>
      </c>
      <c r="E46" s="214" t="s">
        <v>37</v>
      </c>
      <c r="F46" s="215"/>
      <c r="G46" s="161" t="s">
        <v>35</v>
      </c>
      <c r="H46" s="161" t="s">
        <v>89</v>
      </c>
      <c r="I46" s="163" t="s">
        <v>1298</v>
      </c>
      <c r="J46" s="23">
        <v>1</v>
      </c>
      <c r="K46" s="26">
        <v>1000000</v>
      </c>
      <c r="L46" s="26">
        <f t="shared" si="4"/>
        <v>1000000</v>
      </c>
      <c r="M46" s="27">
        <f t="shared" si="5"/>
        <v>100000</v>
      </c>
      <c r="N46" s="27">
        <f t="shared" si="6"/>
        <v>1100000</v>
      </c>
      <c r="O46" s="72">
        <f>16728000/36+370000+1000000/12</f>
        <v>918000.00000000012</v>
      </c>
      <c r="P46" s="171" t="s">
        <v>2102</v>
      </c>
      <c r="Q46" s="181">
        <f t="shared" si="7"/>
        <v>81999.999999999884</v>
      </c>
      <c r="R46" s="2" t="s">
        <v>1455</v>
      </c>
      <c r="S46" s="5" t="s">
        <v>2136</v>
      </c>
      <c r="T46" s="11"/>
    </row>
    <row r="47" spans="1:21">
      <c r="A47" t="s">
        <v>30</v>
      </c>
      <c r="B47" s="151" t="s">
        <v>1348</v>
      </c>
      <c r="C47" s="230"/>
      <c r="D47" s="17">
        <v>45767</v>
      </c>
      <c r="E47" s="214" t="s">
        <v>1050</v>
      </c>
      <c r="F47" s="215" t="s">
        <v>1005</v>
      </c>
      <c r="G47" s="161" t="s">
        <v>16</v>
      </c>
      <c r="H47" s="161" t="s">
        <v>138</v>
      </c>
      <c r="I47" s="4" t="s">
        <v>1127</v>
      </c>
      <c r="J47" s="23">
        <v>1</v>
      </c>
      <c r="K47" s="27">
        <v>350000</v>
      </c>
      <c r="L47" s="26">
        <f t="shared" si="4"/>
        <v>350000</v>
      </c>
      <c r="M47" s="27">
        <f t="shared" si="5"/>
        <v>35000</v>
      </c>
      <c r="N47" s="27">
        <f t="shared" si="6"/>
        <v>385000</v>
      </c>
      <c r="O47" s="33">
        <v>300000</v>
      </c>
      <c r="P47" s="197" t="s">
        <v>1487</v>
      </c>
      <c r="Q47" s="181">
        <f t="shared" si="7"/>
        <v>50000</v>
      </c>
      <c r="R47" s="68" t="s">
        <v>1824</v>
      </c>
      <c r="S47" s="8" t="s">
        <v>2136</v>
      </c>
      <c r="T47" s="11"/>
    </row>
    <row r="48" spans="1:21">
      <c r="A48" t="s">
        <v>30</v>
      </c>
      <c r="B48" s="151" t="s">
        <v>1349</v>
      </c>
      <c r="C48" s="230"/>
      <c r="D48" s="17">
        <v>45768</v>
      </c>
      <c r="E48" s="214" t="s">
        <v>1050</v>
      </c>
      <c r="F48" s="215" t="s">
        <v>1327</v>
      </c>
      <c r="G48" s="161" t="s">
        <v>16</v>
      </c>
      <c r="H48" s="161" t="s">
        <v>1328</v>
      </c>
      <c r="I48" s="4" t="s">
        <v>1149</v>
      </c>
      <c r="J48" s="23">
        <v>1</v>
      </c>
      <c r="K48" s="27">
        <v>800000</v>
      </c>
      <c r="L48" s="26">
        <f t="shared" si="4"/>
        <v>800000</v>
      </c>
      <c r="M48" s="27">
        <f t="shared" si="5"/>
        <v>80000</v>
      </c>
      <c r="N48" s="27">
        <f t="shared" si="6"/>
        <v>880000</v>
      </c>
      <c r="O48" s="33">
        <v>500000</v>
      </c>
      <c r="P48" s="197" t="s">
        <v>1488</v>
      </c>
      <c r="Q48" s="181">
        <f t="shared" si="7"/>
        <v>300000</v>
      </c>
      <c r="R48" s="68" t="s">
        <v>1745</v>
      </c>
      <c r="S48" s="8" t="s">
        <v>2136</v>
      </c>
      <c r="T48" s="11"/>
    </row>
    <row r="49" spans="1:20" ht="24">
      <c r="A49" t="s">
        <v>30</v>
      </c>
      <c r="B49" s="151" t="s">
        <v>302</v>
      </c>
      <c r="C49" s="200"/>
      <c r="D49" s="78">
        <v>45767</v>
      </c>
      <c r="E49" s="216" t="s">
        <v>2172</v>
      </c>
      <c r="F49" s="217"/>
      <c r="G49" s="167" t="s">
        <v>16</v>
      </c>
      <c r="H49" s="167" t="s">
        <v>81</v>
      </c>
      <c r="I49" s="168" t="s">
        <v>1108</v>
      </c>
      <c r="J49" s="79">
        <v>1</v>
      </c>
      <c r="K49" s="80">
        <v>950000</v>
      </c>
      <c r="L49" s="80">
        <f t="shared" si="4"/>
        <v>950000</v>
      </c>
      <c r="M49" s="81">
        <f t="shared" si="5"/>
        <v>95000</v>
      </c>
      <c r="N49" s="81">
        <f t="shared" si="6"/>
        <v>1045000</v>
      </c>
      <c r="O49" s="52">
        <f>150000+2000000/4</f>
        <v>650000</v>
      </c>
      <c r="P49" s="171" t="s">
        <v>1489</v>
      </c>
      <c r="Q49" s="181">
        <f t="shared" si="7"/>
        <v>300000</v>
      </c>
      <c r="R49" s="68" t="s">
        <v>1718</v>
      </c>
      <c r="S49" s="5" t="s">
        <v>2133</v>
      </c>
      <c r="T49" s="11"/>
    </row>
    <row r="50" spans="1:20">
      <c r="A50" t="s">
        <v>30</v>
      </c>
      <c r="B50" s="151" t="s">
        <v>1241</v>
      </c>
      <c r="C50" s="153"/>
      <c r="D50" s="17">
        <v>45768</v>
      </c>
      <c r="E50" s="1" t="s">
        <v>2157</v>
      </c>
      <c r="F50" s="2"/>
      <c r="G50" s="2" t="s">
        <v>15</v>
      </c>
      <c r="H50" s="83" t="s">
        <v>213</v>
      </c>
      <c r="I50" s="4" t="s">
        <v>1030</v>
      </c>
      <c r="J50" s="23">
        <v>1</v>
      </c>
      <c r="K50" s="27">
        <v>3770000</v>
      </c>
      <c r="L50" s="26">
        <f t="shared" si="4"/>
        <v>3770000</v>
      </c>
      <c r="M50" s="27">
        <f t="shared" si="5"/>
        <v>377000</v>
      </c>
      <c r="N50" s="27">
        <f t="shared" si="6"/>
        <v>4147000</v>
      </c>
      <c r="O50" s="33">
        <f>3332182+30000</f>
        <v>3362182</v>
      </c>
      <c r="P50" s="197" t="s">
        <v>1527</v>
      </c>
      <c r="Q50" s="20">
        <f t="shared" si="7"/>
        <v>407818</v>
      </c>
      <c r="R50" s="68" t="s">
        <v>1455</v>
      </c>
      <c r="S50" s="8" t="s">
        <v>2134</v>
      </c>
      <c r="T50" s="11"/>
    </row>
    <row r="51" spans="1:20" ht="24">
      <c r="A51" t="s">
        <v>30</v>
      </c>
      <c r="B51" s="151" t="s">
        <v>1243</v>
      </c>
      <c r="C51" s="153"/>
      <c r="D51" s="17">
        <v>45768</v>
      </c>
      <c r="E51" s="1" t="s">
        <v>2157</v>
      </c>
      <c r="F51" s="2"/>
      <c r="G51" s="2" t="s">
        <v>15</v>
      </c>
      <c r="H51" s="83" t="s">
        <v>1244</v>
      </c>
      <c r="I51" s="4" t="s">
        <v>1245</v>
      </c>
      <c r="J51" s="23">
        <v>1</v>
      </c>
      <c r="K51" s="27">
        <v>1928000</v>
      </c>
      <c r="L51" s="26">
        <v>1928000</v>
      </c>
      <c r="M51" s="27">
        <f t="shared" si="5"/>
        <v>192800</v>
      </c>
      <c r="N51" s="27">
        <f t="shared" si="6"/>
        <v>2120800</v>
      </c>
      <c r="O51" s="33">
        <f>1106309+367273+235455</f>
        <v>1709037</v>
      </c>
      <c r="P51" s="197" t="s">
        <v>1258</v>
      </c>
      <c r="Q51" s="20">
        <f t="shared" si="7"/>
        <v>218963</v>
      </c>
      <c r="R51" s="68" t="s">
        <v>1455</v>
      </c>
      <c r="S51" s="8" t="s">
        <v>2134</v>
      </c>
      <c r="T51" s="11"/>
    </row>
    <row r="52" spans="1:20" ht="24">
      <c r="A52" t="s">
        <v>30</v>
      </c>
      <c r="B52" s="154"/>
      <c r="C52" s="155"/>
      <c r="D52" s="43"/>
      <c r="E52" s="44" t="s">
        <v>2157</v>
      </c>
      <c r="F52" s="41"/>
      <c r="G52" s="2" t="s">
        <v>15</v>
      </c>
      <c r="H52" s="83" t="s">
        <v>1246</v>
      </c>
      <c r="I52" s="4" t="s">
        <v>1247</v>
      </c>
      <c r="J52" s="249"/>
      <c r="K52" s="38"/>
      <c r="L52" s="37"/>
      <c r="M52" s="38"/>
      <c r="N52" s="38"/>
      <c r="O52" s="39"/>
      <c r="P52" s="197"/>
      <c r="Q52" s="40"/>
      <c r="R52" s="41"/>
      <c r="S52" s="42"/>
      <c r="T52" s="11"/>
    </row>
    <row r="53" spans="1:20" ht="24">
      <c r="A53" t="s">
        <v>30</v>
      </c>
      <c r="B53" s="154"/>
      <c r="C53" s="155"/>
      <c r="D53" s="43"/>
      <c r="E53" s="44" t="s">
        <v>2157</v>
      </c>
      <c r="F53" s="41"/>
      <c r="G53" s="2" t="s">
        <v>15</v>
      </c>
      <c r="H53" s="83" t="s">
        <v>1248</v>
      </c>
      <c r="I53" s="4" t="s">
        <v>1249</v>
      </c>
      <c r="J53" s="249"/>
      <c r="K53" s="38"/>
      <c r="L53" s="37"/>
      <c r="M53" s="38"/>
      <c r="N53" s="38"/>
      <c r="O53" s="39"/>
      <c r="P53" s="197" t="s">
        <v>1257</v>
      </c>
      <c r="Q53" s="40"/>
      <c r="R53" s="41"/>
      <c r="S53" s="42"/>
      <c r="T53" s="11"/>
    </row>
    <row r="54" spans="1:20">
      <c r="A54" t="s">
        <v>30</v>
      </c>
      <c r="B54" s="154"/>
      <c r="C54" s="155"/>
      <c r="D54" s="43"/>
      <c r="E54" s="44" t="s">
        <v>2157</v>
      </c>
      <c r="F54" s="41"/>
      <c r="G54" s="2" t="s">
        <v>15</v>
      </c>
      <c r="H54" s="83" t="s">
        <v>1250</v>
      </c>
      <c r="I54" s="4" t="s">
        <v>1251</v>
      </c>
      <c r="J54" s="249"/>
      <c r="K54" s="38"/>
      <c r="L54" s="37"/>
      <c r="M54" s="38"/>
      <c r="N54" s="38"/>
      <c r="O54" s="39"/>
      <c r="P54" s="197"/>
      <c r="Q54" s="40"/>
      <c r="R54" s="41"/>
      <c r="S54" s="42"/>
      <c r="T54" s="11"/>
    </row>
    <row r="55" spans="1:20" ht="24">
      <c r="A55" t="s">
        <v>30</v>
      </c>
      <c r="B55" s="154"/>
      <c r="C55" s="155"/>
      <c r="D55" s="43"/>
      <c r="E55" s="44" t="s">
        <v>2157</v>
      </c>
      <c r="F55" s="41"/>
      <c r="G55" s="2" t="s">
        <v>15</v>
      </c>
      <c r="H55" s="83" t="s">
        <v>1252</v>
      </c>
      <c r="I55" s="4" t="s">
        <v>1253</v>
      </c>
      <c r="J55" s="249"/>
      <c r="K55" s="38"/>
      <c r="L55" s="37"/>
      <c r="M55" s="38"/>
      <c r="N55" s="38"/>
      <c r="O55" s="39"/>
      <c r="P55" s="197" t="s">
        <v>1256</v>
      </c>
      <c r="Q55" s="40"/>
      <c r="R55" s="41"/>
      <c r="S55" s="42"/>
      <c r="T55" s="11"/>
    </row>
    <row r="56" spans="1:20">
      <c r="A56" t="s">
        <v>30</v>
      </c>
      <c r="B56" s="154"/>
      <c r="C56" s="155"/>
      <c r="D56" s="43"/>
      <c r="E56" s="44" t="s">
        <v>2157</v>
      </c>
      <c r="F56" s="41"/>
      <c r="G56" s="2" t="s">
        <v>15</v>
      </c>
      <c r="H56" s="83" t="s">
        <v>1254</v>
      </c>
      <c r="I56" s="4" t="s">
        <v>1255</v>
      </c>
      <c r="J56" s="249"/>
      <c r="K56" s="38"/>
      <c r="L56" s="37"/>
      <c r="M56" s="38"/>
      <c r="N56" s="38"/>
      <c r="O56" s="39"/>
      <c r="P56" s="197" t="s">
        <v>1242</v>
      </c>
      <c r="Q56" s="40"/>
      <c r="R56" s="41"/>
      <c r="S56" s="42"/>
      <c r="T56" s="11"/>
    </row>
    <row r="57" spans="1:20" ht="24">
      <c r="A57" t="s">
        <v>30</v>
      </c>
      <c r="B57" s="151" t="s">
        <v>1321</v>
      </c>
      <c r="C57" s="153"/>
      <c r="D57" s="17">
        <v>45768</v>
      </c>
      <c r="E57" s="1" t="s">
        <v>2157</v>
      </c>
      <c r="F57" s="2"/>
      <c r="G57" s="2" t="s">
        <v>15</v>
      </c>
      <c r="H57" s="83" t="s">
        <v>1326</v>
      </c>
      <c r="I57" s="4" t="s">
        <v>1322</v>
      </c>
      <c r="J57" s="23">
        <v>40</v>
      </c>
      <c r="K57" s="27">
        <v>12000</v>
      </c>
      <c r="L57" s="26">
        <v>656000</v>
      </c>
      <c r="M57" s="27">
        <f>L57*10%</f>
        <v>65600</v>
      </c>
      <c r="N57" s="27">
        <f>SUM(L57:M57)</f>
        <v>721600</v>
      </c>
      <c r="O57" s="241">
        <f>641000/1.1+10500/1.1+3800</f>
        <v>596072.72727272729</v>
      </c>
      <c r="P57" s="257" t="s">
        <v>1956</v>
      </c>
      <c r="Q57" s="20">
        <f>L57-O57-O58</f>
        <v>59927.272727272706</v>
      </c>
      <c r="R57" s="68" t="s">
        <v>1455</v>
      </c>
      <c r="S57" s="8" t="s">
        <v>2134</v>
      </c>
      <c r="T57" s="11"/>
    </row>
    <row r="58" spans="1:20" ht="24">
      <c r="A58" t="s">
        <v>30</v>
      </c>
      <c r="B58" s="154"/>
      <c r="C58" s="155"/>
      <c r="D58" s="43"/>
      <c r="E58" s="44" t="s">
        <v>2157</v>
      </c>
      <c r="F58" s="41"/>
      <c r="G58" s="2" t="s">
        <v>15</v>
      </c>
      <c r="H58" s="83" t="s">
        <v>1326</v>
      </c>
      <c r="I58" s="4" t="s">
        <v>1323</v>
      </c>
      <c r="J58" s="23">
        <v>10</v>
      </c>
      <c r="K58" s="38"/>
      <c r="L58" s="37"/>
      <c r="M58" s="38"/>
      <c r="N58" s="38"/>
      <c r="O58" s="39"/>
      <c r="P58" s="39"/>
      <c r="Q58" s="39"/>
      <c r="R58" s="39"/>
      <c r="S58" s="39"/>
      <c r="T58" s="11"/>
    </row>
    <row r="59" spans="1:20">
      <c r="A59" t="s">
        <v>30</v>
      </c>
      <c r="B59" s="154"/>
      <c r="C59" s="155"/>
      <c r="D59" s="43"/>
      <c r="E59" s="44" t="s">
        <v>2157</v>
      </c>
      <c r="F59" s="41"/>
      <c r="G59" s="2" t="s">
        <v>15</v>
      </c>
      <c r="H59" s="83" t="s">
        <v>1324</v>
      </c>
      <c r="I59" s="4" t="s">
        <v>1325</v>
      </c>
      <c r="J59" s="23">
        <v>1</v>
      </c>
      <c r="K59" s="38"/>
      <c r="L59" s="37"/>
      <c r="M59" s="38"/>
      <c r="N59" s="38"/>
      <c r="O59" s="39"/>
      <c r="P59" s="39"/>
      <c r="Q59" s="39"/>
      <c r="R59" s="39"/>
      <c r="S59" s="39"/>
      <c r="T59" s="11"/>
    </row>
    <row r="60" spans="1:20">
      <c r="A60" t="s">
        <v>30</v>
      </c>
      <c r="B60" s="151" t="s">
        <v>1316</v>
      </c>
      <c r="C60" s="153"/>
      <c r="D60" s="17">
        <v>45768</v>
      </c>
      <c r="E60" s="1" t="s">
        <v>1317</v>
      </c>
      <c r="F60" s="2"/>
      <c r="G60" s="2" t="s">
        <v>1318</v>
      </c>
      <c r="H60" s="83" t="s">
        <v>1319</v>
      </c>
      <c r="I60" s="4" t="s">
        <v>1320</v>
      </c>
      <c r="J60" s="23">
        <v>1</v>
      </c>
      <c r="K60" s="27">
        <v>1100000</v>
      </c>
      <c r="L60" s="26">
        <f>J60*K60</f>
        <v>1100000</v>
      </c>
      <c r="M60" s="27">
        <f t="shared" ref="M60:M64" si="8">L60*10%</f>
        <v>110000</v>
      </c>
      <c r="N60" s="27">
        <f t="shared" ref="N60:N64" si="9">SUM(L60:M60)</f>
        <v>1210000</v>
      </c>
      <c r="O60" s="33">
        <f>930000+30000</f>
        <v>960000</v>
      </c>
      <c r="P60" s="197" t="s">
        <v>1511</v>
      </c>
      <c r="Q60" s="20">
        <f t="shared" ref="Q60:Q64" si="10">L60-O60</f>
        <v>140000</v>
      </c>
      <c r="R60" s="68" t="s">
        <v>1703</v>
      </c>
      <c r="S60" s="8" t="s">
        <v>2136</v>
      </c>
      <c r="T60" s="11"/>
    </row>
    <row r="61" spans="1:20" ht="36">
      <c r="A61" t="s">
        <v>30</v>
      </c>
      <c r="B61" s="151" t="s">
        <v>260</v>
      </c>
      <c r="C61" s="200"/>
      <c r="D61" s="78">
        <v>45769</v>
      </c>
      <c r="E61" s="218" t="s">
        <v>2196</v>
      </c>
      <c r="F61" s="217"/>
      <c r="G61" s="167" t="s">
        <v>16</v>
      </c>
      <c r="H61" s="167" t="s">
        <v>81</v>
      </c>
      <c r="I61" s="168" t="s">
        <v>1119</v>
      </c>
      <c r="J61" s="79">
        <v>1</v>
      </c>
      <c r="K61" s="80">
        <v>1505000</v>
      </c>
      <c r="L61" s="80">
        <f>J61*K61</f>
        <v>1505000</v>
      </c>
      <c r="M61" s="81">
        <f t="shared" si="8"/>
        <v>150500</v>
      </c>
      <c r="N61" s="81">
        <f t="shared" si="9"/>
        <v>1655500</v>
      </c>
      <c r="O61" s="52">
        <f>200000+2100000/3+80000</f>
        <v>980000</v>
      </c>
      <c r="P61" s="172" t="s">
        <v>2060</v>
      </c>
      <c r="Q61" s="181">
        <f t="shared" si="10"/>
        <v>525000</v>
      </c>
      <c r="R61" s="2" t="s">
        <v>1702</v>
      </c>
      <c r="S61" s="5" t="s">
        <v>2133</v>
      </c>
      <c r="T61" s="11"/>
    </row>
    <row r="62" spans="1:20">
      <c r="A62" t="s">
        <v>30</v>
      </c>
      <c r="B62" s="151" t="s">
        <v>1351</v>
      </c>
      <c r="C62" s="153" t="s">
        <v>1305</v>
      </c>
      <c r="D62" s="17">
        <v>45772</v>
      </c>
      <c r="E62" s="1" t="s">
        <v>1306</v>
      </c>
      <c r="F62" s="2"/>
      <c r="G62" s="161" t="s">
        <v>16</v>
      </c>
      <c r="H62" s="83" t="s">
        <v>80</v>
      </c>
      <c r="I62" s="4" t="s">
        <v>1307</v>
      </c>
      <c r="J62" s="23">
        <v>1</v>
      </c>
      <c r="K62" s="27">
        <v>64000</v>
      </c>
      <c r="L62" s="26">
        <f>J62*K62</f>
        <v>64000</v>
      </c>
      <c r="M62" s="27">
        <f t="shared" si="8"/>
        <v>6400</v>
      </c>
      <c r="N62" s="27">
        <f t="shared" si="9"/>
        <v>70400</v>
      </c>
      <c r="O62" s="33">
        <v>53400</v>
      </c>
      <c r="P62" s="197" t="s">
        <v>1308</v>
      </c>
      <c r="Q62" s="20">
        <f t="shared" si="10"/>
        <v>10600</v>
      </c>
      <c r="R62" s="2" t="s">
        <v>1454</v>
      </c>
      <c r="S62" s="8" t="s">
        <v>2136</v>
      </c>
      <c r="T62" s="11"/>
    </row>
    <row r="63" spans="1:20">
      <c r="A63" t="s">
        <v>30</v>
      </c>
      <c r="B63" s="151" t="s">
        <v>120</v>
      </c>
      <c r="C63" s="200"/>
      <c r="D63" s="17">
        <v>45772</v>
      </c>
      <c r="E63" s="214" t="s">
        <v>7</v>
      </c>
      <c r="F63" s="189" t="s">
        <v>121</v>
      </c>
      <c r="G63" s="161" t="s">
        <v>16</v>
      </c>
      <c r="H63" s="161" t="s">
        <v>81</v>
      </c>
      <c r="I63" s="163" t="s">
        <v>1128</v>
      </c>
      <c r="J63" s="24">
        <v>1</v>
      </c>
      <c r="K63" s="26">
        <v>320000</v>
      </c>
      <c r="L63" s="26">
        <f>J63*K63</f>
        <v>320000</v>
      </c>
      <c r="M63" s="27">
        <f t="shared" si="8"/>
        <v>32000</v>
      </c>
      <c r="N63" s="27">
        <f t="shared" si="9"/>
        <v>352000</v>
      </c>
      <c r="O63" s="33">
        <f>1800000/12</f>
        <v>150000</v>
      </c>
      <c r="P63" s="171" t="s">
        <v>1132</v>
      </c>
      <c r="Q63" s="181">
        <f t="shared" si="10"/>
        <v>170000</v>
      </c>
      <c r="R63" s="68" t="s">
        <v>1703</v>
      </c>
      <c r="S63" s="5" t="s">
        <v>2136</v>
      </c>
      <c r="T63" s="11"/>
    </row>
    <row r="64" spans="1:20">
      <c r="A64" t="s">
        <v>30</v>
      </c>
      <c r="B64" s="151" t="s">
        <v>331</v>
      </c>
      <c r="C64" s="199"/>
      <c r="D64" s="17">
        <v>45772</v>
      </c>
      <c r="E64" s="214" t="s">
        <v>2211</v>
      </c>
      <c r="F64" s="215"/>
      <c r="G64" s="1" t="s">
        <v>16</v>
      </c>
      <c r="H64" s="2" t="s">
        <v>81</v>
      </c>
      <c r="I64" s="163" t="s">
        <v>1129</v>
      </c>
      <c r="J64" s="76">
        <v>1</v>
      </c>
      <c r="K64" s="48">
        <v>1216000</v>
      </c>
      <c r="L64" s="26">
        <v>2446000</v>
      </c>
      <c r="M64" s="27">
        <f t="shared" si="8"/>
        <v>244600</v>
      </c>
      <c r="N64" s="27">
        <f t="shared" si="9"/>
        <v>2690600</v>
      </c>
      <c r="O64" s="52">
        <f>840000+595000</f>
        <v>1435000</v>
      </c>
      <c r="P64" s="171" t="s">
        <v>1490</v>
      </c>
      <c r="Q64" s="181">
        <f t="shared" si="10"/>
        <v>1011000</v>
      </c>
      <c r="R64" s="2" t="s">
        <v>1539</v>
      </c>
      <c r="S64" s="8" t="s">
        <v>2134</v>
      </c>
      <c r="T64" s="11"/>
    </row>
    <row r="65" spans="1:20">
      <c r="A65" t="s">
        <v>30</v>
      </c>
      <c r="B65" s="151" t="s">
        <v>291</v>
      </c>
      <c r="C65" s="201"/>
      <c r="D65" s="43"/>
      <c r="E65" s="219" t="s">
        <v>2211</v>
      </c>
      <c r="F65" s="220"/>
      <c r="G65" s="1" t="s">
        <v>16</v>
      </c>
      <c r="H65" s="2" t="s">
        <v>81</v>
      </c>
      <c r="I65" s="163" t="s">
        <v>1108</v>
      </c>
      <c r="J65" s="76">
        <v>1</v>
      </c>
      <c r="K65" s="48">
        <v>390000</v>
      </c>
      <c r="L65" s="38"/>
      <c r="M65" s="38"/>
      <c r="N65" s="38"/>
      <c r="O65" s="52"/>
      <c r="P65" s="171" t="s">
        <v>287</v>
      </c>
      <c r="Q65" s="184"/>
      <c r="R65" s="46"/>
      <c r="S65" s="42"/>
      <c r="T65" s="133"/>
    </row>
    <row r="66" spans="1:20">
      <c r="A66" t="s">
        <v>30</v>
      </c>
      <c r="B66" s="151" t="s">
        <v>206</v>
      </c>
      <c r="C66" s="201"/>
      <c r="D66" s="43"/>
      <c r="E66" s="219" t="s">
        <v>2211</v>
      </c>
      <c r="F66" s="220"/>
      <c r="G66" s="1" t="s">
        <v>16</v>
      </c>
      <c r="H66" s="2" t="s">
        <v>81</v>
      </c>
      <c r="I66" s="3" t="s">
        <v>1130</v>
      </c>
      <c r="J66" s="76">
        <v>70</v>
      </c>
      <c r="K66" s="48">
        <v>12000</v>
      </c>
      <c r="L66" s="38"/>
      <c r="M66" s="38"/>
      <c r="N66" s="38"/>
      <c r="O66" s="52"/>
      <c r="P66" s="171" t="s">
        <v>1491</v>
      </c>
      <c r="Q66" s="184"/>
      <c r="R66" s="46"/>
      <c r="S66" s="42"/>
      <c r="T66" s="133"/>
    </row>
    <row r="67" spans="1:20" ht="24">
      <c r="A67" t="s">
        <v>30</v>
      </c>
      <c r="B67" s="151" t="s">
        <v>325</v>
      </c>
      <c r="C67" s="200" t="s">
        <v>343</v>
      </c>
      <c r="D67" s="17">
        <v>45772</v>
      </c>
      <c r="E67" s="214" t="s">
        <v>209</v>
      </c>
      <c r="F67" s="215" t="s">
        <v>126</v>
      </c>
      <c r="G67" s="161" t="s">
        <v>16</v>
      </c>
      <c r="H67" s="161" t="s">
        <v>81</v>
      </c>
      <c r="I67" s="3" t="s">
        <v>1111</v>
      </c>
      <c r="J67" s="73">
        <v>1</v>
      </c>
      <c r="K67" s="26">
        <v>168000</v>
      </c>
      <c r="L67" s="26">
        <f t="shared" ref="L67:L138" si="11">J67*K67</f>
        <v>168000</v>
      </c>
      <c r="M67" s="27">
        <f t="shared" ref="M67:M138" si="12">L67*10%</f>
        <v>16800</v>
      </c>
      <c r="N67" s="27">
        <f t="shared" ref="N67:N140" si="13">SUM(L67:M67)</f>
        <v>184800</v>
      </c>
      <c r="O67" s="52">
        <f>485440/12+80160</f>
        <v>120613.33333333334</v>
      </c>
      <c r="P67" s="171" t="s">
        <v>1299</v>
      </c>
      <c r="Q67" s="183">
        <f t="shared" ref="Q67:Q138" si="14">L67-O67</f>
        <v>47386.666666666657</v>
      </c>
      <c r="R67" s="2" t="s">
        <v>1703</v>
      </c>
      <c r="S67" s="5" t="s">
        <v>2136</v>
      </c>
      <c r="T67" s="11"/>
    </row>
    <row r="68" spans="1:20">
      <c r="A68" t="s">
        <v>30</v>
      </c>
      <c r="B68" s="151" t="s">
        <v>324</v>
      </c>
      <c r="C68" s="200"/>
      <c r="D68" s="17">
        <v>45772</v>
      </c>
      <c r="E68" s="214" t="s">
        <v>2177</v>
      </c>
      <c r="F68" s="189" t="s">
        <v>127</v>
      </c>
      <c r="G68" s="161" t="s">
        <v>16</v>
      </c>
      <c r="H68" s="161" t="s">
        <v>138</v>
      </c>
      <c r="I68" s="3" t="s">
        <v>1111</v>
      </c>
      <c r="J68" s="24">
        <v>1</v>
      </c>
      <c r="K68" s="26">
        <v>115000</v>
      </c>
      <c r="L68" s="26">
        <f t="shared" si="11"/>
        <v>115000</v>
      </c>
      <c r="M68" s="27">
        <f t="shared" si="12"/>
        <v>11500</v>
      </c>
      <c r="N68" s="27">
        <f t="shared" si="13"/>
        <v>126500</v>
      </c>
      <c r="O68" s="52">
        <v>66498</v>
      </c>
      <c r="P68" s="171" t="s">
        <v>1240</v>
      </c>
      <c r="Q68" s="181">
        <f t="shared" si="14"/>
        <v>48502</v>
      </c>
      <c r="R68" s="2" t="s">
        <v>1622</v>
      </c>
      <c r="S68" s="5" t="s">
        <v>2136</v>
      </c>
      <c r="T68" s="11"/>
    </row>
    <row r="69" spans="1:20" ht="36">
      <c r="A69" t="s">
        <v>30</v>
      </c>
      <c r="B69" s="151" t="s">
        <v>395</v>
      </c>
      <c r="C69" s="199"/>
      <c r="D69" s="17">
        <v>45772</v>
      </c>
      <c r="E69" s="214" t="s">
        <v>2177</v>
      </c>
      <c r="F69" s="215" t="s">
        <v>133</v>
      </c>
      <c r="G69" s="161" t="s">
        <v>16</v>
      </c>
      <c r="H69" s="161" t="s">
        <v>138</v>
      </c>
      <c r="I69" s="164" t="s">
        <v>1131</v>
      </c>
      <c r="J69" s="34">
        <v>1</v>
      </c>
      <c r="K69" s="48">
        <v>350000</v>
      </c>
      <c r="L69" s="26">
        <f t="shared" si="11"/>
        <v>350000</v>
      </c>
      <c r="M69" s="27">
        <f t="shared" si="12"/>
        <v>35000</v>
      </c>
      <c r="N69" s="27">
        <f t="shared" si="13"/>
        <v>385000</v>
      </c>
      <c r="O69" s="52">
        <f>133870+70180+1000000/12</f>
        <v>287383.33333333331</v>
      </c>
      <c r="P69" s="172" t="s">
        <v>2111</v>
      </c>
      <c r="Q69" s="181">
        <f t="shared" si="14"/>
        <v>62616.666666666686</v>
      </c>
      <c r="R69" s="2" t="s">
        <v>1622</v>
      </c>
      <c r="S69" s="8" t="s">
        <v>2136</v>
      </c>
      <c r="T69" s="11"/>
    </row>
    <row r="70" spans="1:20" ht="24">
      <c r="A70" t="s">
        <v>30</v>
      </c>
      <c r="B70" s="151" t="s">
        <v>1220</v>
      </c>
      <c r="C70" s="199"/>
      <c r="D70" s="17">
        <v>45772</v>
      </c>
      <c r="E70" s="214" t="s">
        <v>2177</v>
      </c>
      <c r="F70" s="215" t="s">
        <v>137</v>
      </c>
      <c r="G70" s="161" t="s">
        <v>16</v>
      </c>
      <c r="H70" s="161" t="s">
        <v>138</v>
      </c>
      <c r="I70" s="164" t="s">
        <v>1118</v>
      </c>
      <c r="J70" s="34">
        <v>1</v>
      </c>
      <c r="K70" s="48">
        <v>444000</v>
      </c>
      <c r="L70" s="26">
        <f t="shared" si="11"/>
        <v>444000</v>
      </c>
      <c r="M70" s="27">
        <f t="shared" si="12"/>
        <v>44400</v>
      </c>
      <c r="N70" s="27">
        <f t="shared" si="13"/>
        <v>488400</v>
      </c>
      <c r="O70" s="72">
        <f>80632+4200000/12</f>
        <v>430632</v>
      </c>
      <c r="P70" s="170" t="s">
        <v>2116</v>
      </c>
      <c r="Q70" s="181">
        <f t="shared" si="14"/>
        <v>13368</v>
      </c>
      <c r="R70" s="2" t="s">
        <v>1622</v>
      </c>
      <c r="S70" s="8" t="s">
        <v>2136</v>
      </c>
      <c r="T70" s="11"/>
    </row>
    <row r="71" spans="1:20">
      <c r="A71" t="s">
        <v>30</v>
      </c>
      <c r="B71" s="151" t="s">
        <v>134</v>
      </c>
      <c r="C71" s="200"/>
      <c r="D71" s="17">
        <v>45772</v>
      </c>
      <c r="E71" s="214" t="s">
        <v>2163</v>
      </c>
      <c r="F71" s="189"/>
      <c r="G71" s="161" t="s">
        <v>16</v>
      </c>
      <c r="H71" s="161" t="s">
        <v>81</v>
      </c>
      <c r="I71" s="163" t="s">
        <v>1127</v>
      </c>
      <c r="J71" s="24">
        <v>1</v>
      </c>
      <c r="K71" s="26">
        <v>305000</v>
      </c>
      <c r="L71" s="26">
        <f t="shared" si="11"/>
        <v>305000</v>
      </c>
      <c r="M71" s="27">
        <f t="shared" si="12"/>
        <v>30500</v>
      </c>
      <c r="N71" s="27">
        <f t="shared" si="13"/>
        <v>335500</v>
      </c>
      <c r="O71" s="52">
        <v>84811</v>
      </c>
      <c r="P71" s="171" t="s">
        <v>1240</v>
      </c>
      <c r="Q71" s="181">
        <f t="shared" si="14"/>
        <v>220189</v>
      </c>
      <c r="R71" s="2" t="s">
        <v>1455</v>
      </c>
      <c r="S71" s="5" t="s">
        <v>2134</v>
      </c>
      <c r="T71" s="11"/>
    </row>
    <row r="72" spans="1:20">
      <c r="A72" t="s">
        <v>30</v>
      </c>
      <c r="B72" s="151" t="s">
        <v>327</v>
      </c>
      <c r="C72" s="199"/>
      <c r="D72" s="17">
        <v>45772</v>
      </c>
      <c r="E72" s="214" t="s">
        <v>326</v>
      </c>
      <c r="F72" s="215"/>
      <c r="G72" s="2" t="s">
        <v>16</v>
      </c>
      <c r="H72" s="161" t="s">
        <v>138</v>
      </c>
      <c r="I72" s="4" t="s">
        <v>1111</v>
      </c>
      <c r="J72" s="23">
        <v>1</v>
      </c>
      <c r="K72" s="27">
        <v>668000</v>
      </c>
      <c r="L72" s="26">
        <f t="shared" si="11"/>
        <v>668000</v>
      </c>
      <c r="M72" s="27">
        <f t="shared" si="12"/>
        <v>66800</v>
      </c>
      <c r="N72" s="27">
        <f t="shared" si="13"/>
        <v>734800</v>
      </c>
      <c r="O72" s="72">
        <f>277600+142800</f>
        <v>420400</v>
      </c>
      <c r="P72" s="223" t="s">
        <v>1300</v>
      </c>
      <c r="Q72" s="181">
        <f t="shared" si="14"/>
        <v>247600</v>
      </c>
      <c r="R72" s="202" t="s">
        <v>1562</v>
      </c>
      <c r="S72" s="8" t="s">
        <v>2136</v>
      </c>
      <c r="T72" s="11"/>
    </row>
    <row r="73" spans="1:20" ht="24">
      <c r="A73" t="s">
        <v>30</v>
      </c>
      <c r="B73" s="151" t="s">
        <v>396</v>
      </c>
      <c r="C73" s="199"/>
      <c r="D73" s="17">
        <v>45772</v>
      </c>
      <c r="E73" s="214" t="s">
        <v>2141</v>
      </c>
      <c r="F73" s="214" t="s">
        <v>135</v>
      </c>
      <c r="G73" s="161" t="s">
        <v>16</v>
      </c>
      <c r="H73" s="161" t="s">
        <v>81</v>
      </c>
      <c r="I73" s="163" t="s">
        <v>1131</v>
      </c>
      <c r="J73" s="24">
        <v>1</v>
      </c>
      <c r="K73" s="26">
        <v>500000</v>
      </c>
      <c r="L73" s="26">
        <f t="shared" si="11"/>
        <v>500000</v>
      </c>
      <c r="M73" s="27">
        <f t="shared" si="12"/>
        <v>50000</v>
      </c>
      <c r="N73" s="27">
        <f t="shared" si="13"/>
        <v>550000</v>
      </c>
      <c r="O73" s="52">
        <f>600000/6+20600</f>
        <v>120600</v>
      </c>
      <c r="P73" s="172" t="s">
        <v>1694</v>
      </c>
      <c r="Q73" s="181">
        <f t="shared" si="14"/>
        <v>379400</v>
      </c>
      <c r="R73" s="2" t="s">
        <v>1702</v>
      </c>
      <c r="S73" s="5" t="s">
        <v>2136</v>
      </c>
      <c r="T73" s="11"/>
    </row>
    <row r="74" spans="1:20" ht="24">
      <c r="A74" t="s">
        <v>30</v>
      </c>
      <c r="B74" s="151" t="s">
        <v>854</v>
      </c>
      <c r="C74" s="199"/>
      <c r="D74" s="17">
        <v>45772</v>
      </c>
      <c r="E74" s="221" t="s">
        <v>2142</v>
      </c>
      <c r="F74" s="215"/>
      <c r="G74" s="161" t="s">
        <v>16</v>
      </c>
      <c r="H74" s="161" t="s">
        <v>81</v>
      </c>
      <c r="I74" s="163" t="s">
        <v>1118</v>
      </c>
      <c r="J74" s="23">
        <v>1</v>
      </c>
      <c r="K74" s="27">
        <v>1400000</v>
      </c>
      <c r="L74" s="26">
        <f t="shared" si="11"/>
        <v>1400000</v>
      </c>
      <c r="M74" s="27">
        <f t="shared" si="12"/>
        <v>140000</v>
      </c>
      <c r="N74" s="27">
        <f t="shared" si="13"/>
        <v>1540000</v>
      </c>
      <c r="O74" s="52">
        <f>1500000/3+35000</f>
        <v>535000</v>
      </c>
      <c r="P74" s="171" t="s">
        <v>1513</v>
      </c>
      <c r="Q74" s="181">
        <f t="shared" si="14"/>
        <v>865000</v>
      </c>
      <c r="R74" s="2" t="s">
        <v>1587</v>
      </c>
      <c r="S74" s="8" t="s">
        <v>2134</v>
      </c>
      <c r="T74" s="11"/>
    </row>
    <row r="75" spans="1:20">
      <c r="A75" t="s">
        <v>30</v>
      </c>
      <c r="B75" s="151" t="s">
        <v>1548</v>
      </c>
      <c r="C75" s="153" t="s">
        <v>1549</v>
      </c>
      <c r="D75" s="17">
        <v>45772</v>
      </c>
      <c r="E75" s="1" t="s">
        <v>1456</v>
      </c>
      <c r="F75" s="2" t="s">
        <v>1457</v>
      </c>
      <c r="G75" s="2" t="s">
        <v>1458</v>
      </c>
      <c r="H75" s="83" t="s">
        <v>80</v>
      </c>
      <c r="I75" s="4" t="s">
        <v>1459</v>
      </c>
      <c r="J75" s="23">
        <v>1</v>
      </c>
      <c r="K75" s="27">
        <v>16853000</v>
      </c>
      <c r="L75" s="26">
        <f>J75*K75</f>
        <v>16853000</v>
      </c>
      <c r="M75" s="27">
        <f>L75*10%</f>
        <v>1685300</v>
      </c>
      <c r="N75" s="27">
        <f>SUM(L75:M75)</f>
        <v>18538300</v>
      </c>
      <c r="O75" s="33">
        <f>15847010-1189500</f>
        <v>14657510</v>
      </c>
      <c r="P75" s="197" t="s">
        <v>1989</v>
      </c>
      <c r="Q75" s="20">
        <f>L75-O75</f>
        <v>2195490</v>
      </c>
      <c r="R75" s="2" t="s">
        <v>1745</v>
      </c>
      <c r="S75" s="8" t="s">
        <v>2136</v>
      </c>
      <c r="T75" s="11"/>
    </row>
    <row r="76" spans="1:20" ht="41.25" customHeight="1">
      <c r="A76" t="s">
        <v>30</v>
      </c>
      <c r="B76" s="151" t="s">
        <v>625</v>
      </c>
      <c r="C76" s="153"/>
      <c r="D76" s="224">
        <v>45775</v>
      </c>
      <c r="E76" s="1" t="s">
        <v>627</v>
      </c>
      <c r="F76" s="2" t="s">
        <v>813</v>
      </c>
      <c r="G76" s="2" t="s">
        <v>35</v>
      </c>
      <c r="H76" s="2" t="s">
        <v>160</v>
      </c>
      <c r="I76" s="4" t="s">
        <v>1541</v>
      </c>
      <c r="J76" s="23">
        <v>1</v>
      </c>
      <c r="K76" s="226">
        <v>200000</v>
      </c>
      <c r="L76" s="26">
        <f t="shared" si="11"/>
        <v>200000</v>
      </c>
      <c r="M76" s="27">
        <f t="shared" si="12"/>
        <v>20000</v>
      </c>
      <c r="N76" s="27">
        <f t="shared" si="13"/>
        <v>220000</v>
      </c>
      <c r="O76" s="33">
        <v>0</v>
      </c>
      <c r="P76" s="197" t="s">
        <v>171</v>
      </c>
      <c r="Q76" s="227">
        <f t="shared" si="14"/>
        <v>200000</v>
      </c>
      <c r="R76" s="45" t="s">
        <v>885</v>
      </c>
      <c r="S76" s="8" t="s">
        <v>2134</v>
      </c>
      <c r="T76" s="11"/>
    </row>
    <row r="77" spans="1:20" ht="36">
      <c r="A77" t="s">
        <v>30</v>
      </c>
      <c r="B77" s="151" t="s">
        <v>1057</v>
      </c>
      <c r="C77" s="153"/>
      <c r="D77" s="17">
        <v>45776</v>
      </c>
      <c r="E77" s="1" t="s">
        <v>2192</v>
      </c>
      <c r="F77" s="2" t="s">
        <v>1048</v>
      </c>
      <c r="G77" s="2" t="s">
        <v>352</v>
      </c>
      <c r="H77" s="83" t="s">
        <v>89</v>
      </c>
      <c r="I77" s="4" t="s">
        <v>1049</v>
      </c>
      <c r="J77" s="23">
        <v>1</v>
      </c>
      <c r="K77" s="27">
        <v>9300000</v>
      </c>
      <c r="L77" s="26">
        <f t="shared" si="11"/>
        <v>9300000</v>
      </c>
      <c r="M77" s="27">
        <f t="shared" si="12"/>
        <v>930000</v>
      </c>
      <c r="N77" s="27">
        <f t="shared" si="13"/>
        <v>10230000</v>
      </c>
      <c r="O77" s="33">
        <f>6300000+1000000+40000</f>
        <v>7340000</v>
      </c>
      <c r="P77" s="197" t="s">
        <v>2147</v>
      </c>
      <c r="Q77" s="20">
        <f t="shared" si="14"/>
        <v>1960000</v>
      </c>
      <c r="R77" s="68" t="s">
        <v>2018</v>
      </c>
      <c r="S77" s="8" t="s">
        <v>2134</v>
      </c>
      <c r="T77" s="11"/>
    </row>
    <row r="78" spans="1:20" ht="24">
      <c r="A78" t="s">
        <v>30</v>
      </c>
      <c r="B78" s="151" t="s">
        <v>1296</v>
      </c>
      <c r="C78" s="153"/>
      <c r="D78" s="17">
        <v>45776</v>
      </c>
      <c r="E78" s="1" t="s">
        <v>2193</v>
      </c>
      <c r="F78" s="2"/>
      <c r="G78" s="2" t="s">
        <v>352</v>
      </c>
      <c r="H78" s="83" t="s">
        <v>634</v>
      </c>
      <c r="I78" s="4" t="s">
        <v>1297</v>
      </c>
      <c r="J78" s="23">
        <v>1</v>
      </c>
      <c r="K78" s="27">
        <v>120000</v>
      </c>
      <c r="L78" s="26">
        <f t="shared" si="11"/>
        <v>120000</v>
      </c>
      <c r="M78" s="27">
        <f t="shared" si="12"/>
        <v>12000</v>
      </c>
      <c r="N78" s="27">
        <f t="shared" si="13"/>
        <v>132000</v>
      </c>
      <c r="O78" s="33">
        <v>12000</v>
      </c>
      <c r="P78" s="197" t="s">
        <v>1526</v>
      </c>
      <c r="Q78" s="20">
        <f t="shared" si="14"/>
        <v>108000</v>
      </c>
      <c r="R78" s="68" t="s">
        <v>1902</v>
      </c>
      <c r="S78" s="8" t="s">
        <v>2134</v>
      </c>
      <c r="T78" s="11"/>
    </row>
    <row r="79" spans="1:20" ht="60">
      <c r="A79" t="s">
        <v>30</v>
      </c>
      <c r="B79" s="151" t="s">
        <v>1266</v>
      </c>
      <c r="C79" s="153"/>
      <c r="D79" s="17">
        <v>45776</v>
      </c>
      <c r="E79" s="1" t="s">
        <v>1268</v>
      </c>
      <c r="F79" s="2"/>
      <c r="G79" s="2" t="s">
        <v>352</v>
      </c>
      <c r="H79" s="83" t="s">
        <v>1269</v>
      </c>
      <c r="I79" s="4" t="s">
        <v>1267</v>
      </c>
      <c r="J79" s="23">
        <v>3</v>
      </c>
      <c r="K79" s="27">
        <v>3000000</v>
      </c>
      <c r="L79" s="26">
        <f t="shared" si="11"/>
        <v>9000000</v>
      </c>
      <c r="M79" s="27">
        <f t="shared" si="12"/>
        <v>900000</v>
      </c>
      <c r="N79" s="27">
        <f t="shared" si="13"/>
        <v>9900000</v>
      </c>
      <c r="O79" s="132">
        <f>1714418+272836+25000+15000</f>
        <v>2027254</v>
      </c>
      <c r="P79" s="173" t="s">
        <v>1514</v>
      </c>
      <c r="Q79" s="20">
        <f t="shared" si="14"/>
        <v>6972746</v>
      </c>
      <c r="R79" s="2" t="s">
        <v>1703</v>
      </c>
      <c r="S79" s="8" t="s">
        <v>2134</v>
      </c>
      <c r="T79" s="11"/>
    </row>
    <row r="80" spans="1:20" ht="24">
      <c r="A80" t="s">
        <v>30</v>
      </c>
      <c r="B80" s="151" t="s">
        <v>1329</v>
      </c>
      <c r="C80" s="153"/>
      <c r="D80" s="17">
        <v>45776</v>
      </c>
      <c r="E80" s="1" t="s">
        <v>2193</v>
      </c>
      <c r="F80" s="2"/>
      <c r="G80" s="2" t="s">
        <v>1356</v>
      </c>
      <c r="H80" s="83" t="s">
        <v>1331</v>
      </c>
      <c r="I80" s="4" t="s">
        <v>1332</v>
      </c>
      <c r="J80" s="23">
        <v>1</v>
      </c>
      <c r="K80" s="27">
        <v>100000</v>
      </c>
      <c r="L80" s="26">
        <f t="shared" si="11"/>
        <v>100000</v>
      </c>
      <c r="M80" s="27">
        <f t="shared" si="12"/>
        <v>10000</v>
      </c>
      <c r="N80" s="27">
        <f t="shared" si="13"/>
        <v>110000</v>
      </c>
      <c r="O80" s="33">
        <v>12000</v>
      </c>
      <c r="P80" s="197" t="s">
        <v>1510</v>
      </c>
      <c r="Q80" s="20">
        <f t="shared" si="14"/>
        <v>88000</v>
      </c>
      <c r="R80" s="68" t="s">
        <v>1902</v>
      </c>
      <c r="S80" s="8" t="s">
        <v>2134</v>
      </c>
      <c r="T80" s="11"/>
    </row>
    <row r="81" spans="1:20">
      <c r="A81" t="s">
        <v>30</v>
      </c>
      <c r="B81" s="151" t="s">
        <v>1330</v>
      </c>
      <c r="C81" s="153"/>
      <c r="D81" s="17">
        <v>45776</v>
      </c>
      <c r="E81" s="1" t="s">
        <v>1335</v>
      </c>
      <c r="F81" s="2"/>
      <c r="G81" s="2" t="s">
        <v>1356</v>
      </c>
      <c r="H81" s="83" t="s">
        <v>1333</v>
      </c>
      <c r="I81" s="4" t="s">
        <v>1334</v>
      </c>
      <c r="J81" s="23">
        <v>1</v>
      </c>
      <c r="K81" s="27">
        <v>200000</v>
      </c>
      <c r="L81" s="26">
        <f t="shared" si="11"/>
        <v>200000</v>
      </c>
      <c r="M81" s="27">
        <f t="shared" si="12"/>
        <v>20000</v>
      </c>
      <c r="N81" s="27">
        <f t="shared" si="13"/>
        <v>220000</v>
      </c>
      <c r="O81" s="33">
        <v>8000</v>
      </c>
      <c r="P81" s="197" t="s">
        <v>1512</v>
      </c>
      <c r="Q81" s="20">
        <f t="shared" si="14"/>
        <v>192000</v>
      </c>
      <c r="R81" s="68" t="s">
        <v>1611</v>
      </c>
      <c r="S81" s="8" t="s">
        <v>2134</v>
      </c>
      <c r="T81" s="11"/>
    </row>
    <row r="82" spans="1:20">
      <c r="A82" t="s">
        <v>30</v>
      </c>
      <c r="B82" s="151" t="s">
        <v>113</v>
      </c>
      <c r="C82" s="199"/>
      <c r="D82" s="17">
        <v>45777</v>
      </c>
      <c r="E82" s="214" t="s">
        <v>96</v>
      </c>
      <c r="F82" s="215" t="s">
        <v>270</v>
      </c>
      <c r="G82" s="161" t="s">
        <v>34</v>
      </c>
      <c r="H82" s="161" t="s">
        <v>114</v>
      </c>
      <c r="I82" s="169" t="s">
        <v>1133</v>
      </c>
      <c r="J82" s="69">
        <v>1</v>
      </c>
      <c r="K82" s="27">
        <v>600000</v>
      </c>
      <c r="L82" s="26">
        <f t="shared" ref="L82:L121" si="15">J82*K82</f>
        <v>600000</v>
      </c>
      <c r="M82" s="27">
        <f t="shared" ref="M82:M100" si="16">L82*10%</f>
        <v>60000</v>
      </c>
      <c r="N82" s="27">
        <f t="shared" ref="N82:N121" si="17">SUM(L82:M82)</f>
        <v>660000</v>
      </c>
      <c r="O82" s="52">
        <v>0</v>
      </c>
      <c r="P82" s="171" t="s">
        <v>115</v>
      </c>
      <c r="Q82" s="181">
        <f t="shared" ref="Q82:Q121" si="18">L82-O82</f>
        <v>600000</v>
      </c>
      <c r="R82" s="68" t="s">
        <v>1475</v>
      </c>
      <c r="S82" s="8" t="s">
        <v>2135</v>
      </c>
      <c r="T82" s="11"/>
    </row>
    <row r="83" spans="1:20" ht="24">
      <c r="A83" t="s">
        <v>30</v>
      </c>
      <c r="B83" s="151" t="s">
        <v>113</v>
      </c>
      <c r="C83" s="199"/>
      <c r="D83" s="17">
        <v>45777</v>
      </c>
      <c r="E83" s="214" t="s">
        <v>308</v>
      </c>
      <c r="F83" s="215" t="s">
        <v>271</v>
      </c>
      <c r="G83" s="161" t="s">
        <v>34</v>
      </c>
      <c r="H83" s="161" t="s">
        <v>114</v>
      </c>
      <c r="I83" s="4" t="s">
        <v>1134</v>
      </c>
      <c r="J83" s="23">
        <v>1</v>
      </c>
      <c r="K83" s="27">
        <v>4000000</v>
      </c>
      <c r="L83" s="26">
        <f t="shared" si="15"/>
        <v>4000000</v>
      </c>
      <c r="M83" s="27">
        <f t="shared" si="16"/>
        <v>400000</v>
      </c>
      <c r="N83" s="27">
        <f t="shared" si="17"/>
        <v>4400000</v>
      </c>
      <c r="O83" s="52">
        <v>0</v>
      </c>
      <c r="P83" s="170" t="s">
        <v>115</v>
      </c>
      <c r="Q83" s="181">
        <f t="shared" si="18"/>
        <v>4000000</v>
      </c>
      <c r="R83" s="68" t="s">
        <v>2037</v>
      </c>
      <c r="S83" s="8" t="s">
        <v>2135</v>
      </c>
      <c r="T83" s="11"/>
    </row>
    <row r="84" spans="1:20">
      <c r="A84" t="s">
        <v>30</v>
      </c>
      <c r="B84" s="151" t="s">
        <v>190</v>
      </c>
      <c r="C84" s="200" t="s">
        <v>220</v>
      </c>
      <c r="D84" s="17">
        <v>45777</v>
      </c>
      <c r="E84" s="214" t="s">
        <v>2171</v>
      </c>
      <c r="F84" s="214" t="s">
        <v>150</v>
      </c>
      <c r="G84" s="1" t="s">
        <v>16</v>
      </c>
      <c r="H84" s="161" t="s">
        <v>80</v>
      </c>
      <c r="I84" s="163" t="s">
        <v>1135</v>
      </c>
      <c r="J84" s="32">
        <v>1</v>
      </c>
      <c r="K84" s="48">
        <v>11178000</v>
      </c>
      <c r="L84" s="26">
        <f t="shared" si="15"/>
        <v>11178000</v>
      </c>
      <c r="M84" s="27">
        <f t="shared" si="16"/>
        <v>1117800</v>
      </c>
      <c r="N84" s="27">
        <f t="shared" si="17"/>
        <v>12295800</v>
      </c>
      <c r="O84" s="72">
        <v>9980400</v>
      </c>
      <c r="P84" s="197" t="s">
        <v>1308</v>
      </c>
      <c r="Q84" s="181">
        <f t="shared" si="18"/>
        <v>1197600</v>
      </c>
      <c r="R84" s="68" t="s">
        <v>1703</v>
      </c>
      <c r="S84" s="8" t="s">
        <v>2136</v>
      </c>
      <c r="T84" s="11"/>
    </row>
    <row r="85" spans="1:20">
      <c r="A85" t="s">
        <v>30</v>
      </c>
      <c r="B85" s="151" t="s">
        <v>676</v>
      </c>
      <c r="C85" s="200" t="s">
        <v>677</v>
      </c>
      <c r="D85" s="17">
        <v>45777</v>
      </c>
      <c r="E85" s="214" t="s">
        <v>2171</v>
      </c>
      <c r="F85" s="189" t="s">
        <v>119</v>
      </c>
      <c r="G85" s="161" t="s">
        <v>16</v>
      </c>
      <c r="H85" s="161" t="s">
        <v>80</v>
      </c>
      <c r="I85" s="164" t="s">
        <v>1118</v>
      </c>
      <c r="J85" s="24">
        <v>1</v>
      </c>
      <c r="K85" s="27">
        <v>585000</v>
      </c>
      <c r="L85" s="26">
        <f t="shared" si="15"/>
        <v>585000</v>
      </c>
      <c r="M85" s="27">
        <f t="shared" si="16"/>
        <v>58500</v>
      </c>
      <c r="N85" s="27">
        <f t="shared" si="17"/>
        <v>643500</v>
      </c>
      <c r="O85" s="52">
        <v>531600</v>
      </c>
      <c r="P85" s="197" t="s">
        <v>1308</v>
      </c>
      <c r="Q85" s="181">
        <f t="shared" si="18"/>
        <v>53400</v>
      </c>
      <c r="R85" s="68" t="s">
        <v>1703</v>
      </c>
      <c r="S85" s="5" t="s">
        <v>2136</v>
      </c>
      <c r="T85" s="11"/>
    </row>
    <row r="86" spans="1:20">
      <c r="A86" t="s">
        <v>30</v>
      </c>
      <c r="B86" s="151" t="s">
        <v>186</v>
      </c>
      <c r="C86" s="200"/>
      <c r="D86" s="17">
        <v>45777</v>
      </c>
      <c r="E86" s="214" t="s">
        <v>2160</v>
      </c>
      <c r="F86" s="189" t="s">
        <v>122</v>
      </c>
      <c r="G86" s="161" t="s">
        <v>16</v>
      </c>
      <c r="H86" s="161" t="s">
        <v>138</v>
      </c>
      <c r="I86" s="163" t="s">
        <v>1136</v>
      </c>
      <c r="J86" s="69">
        <v>1</v>
      </c>
      <c r="K86" s="29">
        <v>180000</v>
      </c>
      <c r="L86" s="26">
        <f t="shared" si="15"/>
        <v>180000</v>
      </c>
      <c r="M86" s="27">
        <f t="shared" si="16"/>
        <v>18000</v>
      </c>
      <c r="N86" s="27">
        <f t="shared" si="17"/>
        <v>198000</v>
      </c>
      <c r="O86" s="52">
        <v>159761</v>
      </c>
      <c r="P86" s="171" t="s">
        <v>1240</v>
      </c>
      <c r="Q86" s="181">
        <f t="shared" si="18"/>
        <v>20239</v>
      </c>
      <c r="R86" s="2" t="s">
        <v>1622</v>
      </c>
      <c r="S86" s="5" t="s">
        <v>2136</v>
      </c>
      <c r="T86" s="11"/>
    </row>
    <row r="87" spans="1:20">
      <c r="A87" t="s">
        <v>30</v>
      </c>
      <c r="B87" s="151" t="s">
        <v>187</v>
      </c>
      <c r="C87" s="200"/>
      <c r="D87" s="17">
        <v>45777</v>
      </c>
      <c r="E87" s="214" t="s">
        <v>2160</v>
      </c>
      <c r="F87" s="189" t="s">
        <v>123</v>
      </c>
      <c r="G87" s="161" t="s">
        <v>16</v>
      </c>
      <c r="H87" s="161" t="s">
        <v>138</v>
      </c>
      <c r="I87" s="163" t="s">
        <v>1136</v>
      </c>
      <c r="J87" s="69">
        <v>1</v>
      </c>
      <c r="K87" s="29">
        <v>240000</v>
      </c>
      <c r="L87" s="26">
        <f t="shared" si="15"/>
        <v>240000</v>
      </c>
      <c r="M87" s="27">
        <f t="shared" si="16"/>
        <v>24000</v>
      </c>
      <c r="N87" s="27">
        <f t="shared" si="17"/>
        <v>264000</v>
      </c>
      <c r="O87" s="52">
        <v>212293</v>
      </c>
      <c r="P87" s="171" t="s">
        <v>1240</v>
      </c>
      <c r="Q87" s="181">
        <f t="shared" si="18"/>
        <v>27707</v>
      </c>
      <c r="R87" s="2" t="s">
        <v>1622</v>
      </c>
      <c r="S87" s="5" t="s">
        <v>2136</v>
      </c>
      <c r="T87" s="11"/>
    </row>
    <row r="88" spans="1:20">
      <c r="A88" t="s">
        <v>30</v>
      </c>
      <c r="B88" s="151" t="s">
        <v>337</v>
      </c>
      <c r="C88" s="199" t="s">
        <v>323</v>
      </c>
      <c r="D88" s="17">
        <v>45777</v>
      </c>
      <c r="E88" s="214" t="s">
        <v>75</v>
      </c>
      <c r="F88" s="215" t="s">
        <v>125</v>
      </c>
      <c r="G88" s="161" t="s">
        <v>16</v>
      </c>
      <c r="H88" s="2" t="s">
        <v>80</v>
      </c>
      <c r="I88" s="4" t="s">
        <v>1110</v>
      </c>
      <c r="J88" s="23">
        <v>1</v>
      </c>
      <c r="K88" s="27">
        <v>122000</v>
      </c>
      <c r="L88" s="26">
        <f t="shared" si="15"/>
        <v>122000</v>
      </c>
      <c r="M88" s="27">
        <f t="shared" si="16"/>
        <v>12200</v>
      </c>
      <c r="N88" s="27">
        <f t="shared" si="17"/>
        <v>134200</v>
      </c>
      <c r="O88" s="52">
        <v>101400</v>
      </c>
      <c r="P88" s="197" t="s">
        <v>1308</v>
      </c>
      <c r="Q88" s="181">
        <f t="shared" si="18"/>
        <v>20600</v>
      </c>
      <c r="R88" s="2" t="s">
        <v>1745</v>
      </c>
      <c r="S88" s="8" t="s">
        <v>2136</v>
      </c>
      <c r="T88" s="11"/>
    </row>
    <row r="89" spans="1:20" ht="36">
      <c r="A89" t="s">
        <v>30</v>
      </c>
      <c r="B89" s="151" t="s">
        <v>222</v>
      </c>
      <c r="C89" s="199"/>
      <c r="D89" s="17">
        <v>45777</v>
      </c>
      <c r="E89" s="214" t="s">
        <v>2197</v>
      </c>
      <c r="F89" s="215" t="s">
        <v>1</v>
      </c>
      <c r="G89" s="2" t="s">
        <v>16</v>
      </c>
      <c r="H89" s="2" t="s">
        <v>81</v>
      </c>
      <c r="I89" s="4" t="s">
        <v>1137</v>
      </c>
      <c r="J89" s="23">
        <v>1</v>
      </c>
      <c r="K89" s="27">
        <v>1200000</v>
      </c>
      <c r="L89" s="26">
        <f t="shared" si="15"/>
        <v>1200000</v>
      </c>
      <c r="M89" s="27">
        <f t="shared" si="16"/>
        <v>120000</v>
      </c>
      <c r="N89" s="27">
        <f t="shared" si="17"/>
        <v>1320000</v>
      </c>
      <c r="O89" s="52">
        <f>600000+1250000/6+1750000/7</f>
        <v>1058333.3333333335</v>
      </c>
      <c r="P89" s="171" t="s">
        <v>1883</v>
      </c>
      <c r="Q89" s="181">
        <f t="shared" si="18"/>
        <v>141666.66666666651</v>
      </c>
      <c r="R89" s="2" t="s">
        <v>1703</v>
      </c>
      <c r="S89" s="8" t="s">
        <v>2133</v>
      </c>
      <c r="T89" s="11"/>
    </row>
    <row r="90" spans="1:20" ht="24">
      <c r="A90" t="s">
        <v>30</v>
      </c>
      <c r="B90" s="151" t="s">
        <v>211</v>
      </c>
      <c r="C90" s="199" t="s">
        <v>219</v>
      </c>
      <c r="D90" s="17">
        <v>45777</v>
      </c>
      <c r="E90" s="214" t="s">
        <v>2170</v>
      </c>
      <c r="F90" s="215" t="s">
        <v>210</v>
      </c>
      <c r="G90" s="2" t="s">
        <v>16</v>
      </c>
      <c r="H90" s="83" t="s">
        <v>80</v>
      </c>
      <c r="I90" s="163" t="s">
        <v>1138</v>
      </c>
      <c r="J90" s="23">
        <v>1</v>
      </c>
      <c r="K90" s="27">
        <v>6786300</v>
      </c>
      <c r="L90" s="26">
        <f t="shared" si="15"/>
        <v>6786300</v>
      </c>
      <c r="M90" s="27">
        <f t="shared" si="16"/>
        <v>678630</v>
      </c>
      <c r="N90" s="27">
        <f t="shared" si="17"/>
        <v>7464930</v>
      </c>
      <c r="O90" s="72">
        <f>4859056+10560000/12</f>
        <v>5739056</v>
      </c>
      <c r="P90" s="197" t="s">
        <v>1492</v>
      </c>
      <c r="Q90" s="181">
        <f t="shared" si="18"/>
        <v>1047244</v>
      </c>
      <c r="R90" s="68" t="s">
        <v>1703</v>
      </c>
      <c r="S90" s="8" t="s">
        <v>2136</v>
      </c>
      <c r="T90" s="11"/>
    </row>
    <row r="91" spans="1:20" ht="24">
      <c r="A91" t="s">
        <v>30</v>
      </c>
      <c r="B91" s="151" t="s">
        <v>301</v>
      </c>
      <c r="C91" s="199" t="s">
        <v>305</v>
      </c>
      <c r="D91" s="17">
        <v>45777</v>
      </c>
      <c r="E91" s="214" t="s">
        <v>110</v>
      </c>
      <c r="F91" s="215" t="s">
        <v>300</v>
      </c>
      <c r="G91" s="2" t="s">
        <v>16</v>
      </c>
      <c r="H91" s="83" t="s">
        <v>80</v>
      </c>
      <c r="I91" s="162" t="s">
        <v>1139</v>
      </c>
      <c r="J91" s="23">
        <v>1</v>
      </c>
      <c r="K91" s="27">
        <v>1016100</v>
      </c>
      <c r="L91" s="26">
        <f t="shared" si="15"/>
        <v>1016100</v>
      </c>
      <c r="M91" s="27">
        <f t="shared" si="16"/>
        <v>101610</v>
      </c>
      <c r="N91" s="27">
        <f t="shared" si="17"/>
        <v>1117710</v>
      </c>
      <c r="O91" s="72">
        <f>604800+2160000/6</f>
        <v>964800</v>
      </c>
      <c r="P91" s="197" t="s">
        <v>1494</v>
      </c>
      <c r="Q91" s="181">
        <f t="shared" si="18"/>
        <v>51300</v>
      </c>
      <c r="R91" s="2" t="s">
        <v>1702</v>
      </c>
      <c r="S91" s="36" t="s">
        <v>2136</v>
      </c>
      <c r="T91" s="75"/>
    </row>
    <row r="92" spans="1:20">
      <c r="A92" t="s">
        <v>30</v>
      </c>
      <c r="B92" s="151" t="s">
        <v>293</v>
      </c>
      <c r="C92" s="199" t="s">
        <v>283</v>
      </c>
      <c r="D92" s="17">
        <v>45777</v>
      </c>
      <c r="E92" s="214" t="s">
        <v>2144</v>
      </c>
      <c r="F92" s="215" t="s">
        <v>281</v>
      </c>
      <c r="G92" s="2" t="s">
        <v>16</v>
      </c>
      <c r="H92" s="83" t="s">
        <v>80</v>
      </c>
      <c r="I92" s="4" t="s">
        <v>1108</v>
      </c>
      <c r="J92" s="23">
        <v>1</v>
      </c>
      <c r="K92" s="27">
        <v>204700</v>
      </c>
      <c r="L92" s="26">
        <f t="shared" si="15"/>
        <v>204700</v>
      </c>
      <c r="M92" s="27">
        <f t="shared" si="16"/>
        <v>20470</v>
      </c>
      <c r="N92" s="27">
        <f t="shared" si="17"/>
        <v>225170</v>
      </c>
      <c r="O92" s="52">
        <v>243955</v>
      </c>
      <c r="P92" s="197" t="s">
        <v>1308</v>
      </c>
      <c r="Q92" s="181">
        <f t="shared" si="18"/>
        <v>-39255</v>
      </c>
      <c r="R92" s="68" t="s">
        <v>1902</v>
      </c>
      <c r="S92" s="8" t="s">
        <v>2136</v>
      </c>
      <c r="T92" s="11"/>
    </row>
    <row r="93" spans="1:20">
      <c r="A93" t="s">
        <v>30</v>
      </c>
      <c r="B93" s="151" t="s">
        <v>347</v>
      </c>
      <c r="C93" s="199" t="s">
        <v>344</v>
      </c>
      <c r="D93" s="17">
        <v>45777</v>
      </c>
      <c r="E93" s="214" t="s">
        <v>2144</v>
      </c>
      <c r="F93" s="215" t="s">
        <v>345</v>
      </c>
      <c r="G93" s="2" t="s">
        <v>16</v>
      </c>
      <c r="H93" s="83" t="s">
        <v>80</v>
      </c>
      <c r="I93" s="163" t="s">
        <v>1111</v>
      </c>
      <c r="J93" s="23">
        <v>1</v>
      </c>
      <c r="K93" s="27">
        <v>573000</v>
      </c>
      <c r="L93" s="26">
        <f t="shared" si="15"/>
        <v>573000</v>
      </c>
      <c r="M93" s="27">
        <f t="shared" si="16"/>
        <v>57300</v>
      </c>
      <c r="N93" s="27">
        <f t="shared" si="17"/>
        <v>630300</v>
      </c>
      <c r="O93" s="52">
        <v>505200</v>
      </c>
      <c r="P93" s="197" t="s">
        <v>1308</v>
      </c>
      <c r="Q93" s="181">
        <f t="shared" si="18"/>
        <v>67800</v>
      </c>
      <c r="R93" s="68" t="s">
        <v>1902</v>
      </c>
      <c r="S93" s="8" t="s">
        <v>2136</v>
      </c>
      <c r="T93" s="11"/>
    </row>
    <row r="94" spans="1:20">
      <c r="A94" t="s">
        <v>30</v>
      </c>
      <c r="B94" s="151" t="s">
        <v>349</v>
      </c>
      <c r="C94" s="199" t="s">
        <v>350</v>
      </c>
      <c r="D94" s="17">
        <v>45777</v>
      </c>
      <c r="E94" s="214" t="s">
        <v>2144</v>
      </c>
      <c r="F94" s="215" t="s">
        <v>351</v>
      </c>
      <c r="G94" s="2" t="s">
        <v>16</v>
      </c>
      <c r="H94" s="83" t="s">
        <v>80</v>
      </c>
      <c r="I94" s="163" t="s">
        <v>1129</v>
      </c>
      <c r="J94" s="23">
        <v>1</v>
      </c>
      <c r="K94" s="27">
        <v>220000</v>
      </c>
      <c r="L94" s="26">
        <f t="shared" si="15"/>
        <v>220000</v>
      </c>
      <c r="M94" s="27">
        <f t="shared" si="16"/>
        <v>22000</v>
      </c>
      <c r="N94" s="27">
        <f t="shared" si="17"/>
        <v>242000</v>
      </c>
      <c r="O94" s="52">
        <v>204600</v>
      </c>
      <c r="P94" s="197" t="s">
        <v>1308</v>
      </c>
      <c r="Q94" s="181">
        <f t="shared" si="18"/>
        <v>15400</v>
      </c>
      <c r="R94" s="68" t="s">
        <v>1902</v>
      </c>
      <c r="S94" s="8" t="s">
        <v>2136</v>
      </c>
      <c r="T94" s="11"/>
    </row>
    <row r="95" spans="1:20">
      <c r="A95" t="s">
        <v>30</v>
      </c>
      <c r="B95" s="151" t="s">
        <v>490</v>
      </c>
      <c r="C95" s="153" t="s">
        <v>639</v>
      </c>
      <c r="D95" s="17">
        <v>45777</v>
      </c>
      <c r="E95" s="214" t="s">
        <v>2144</v>
      </c>
      <c r="F95" s="215" t="s">
        <v>1094</v>
      </c>
      <c r="G95" s="2" t="s">
        <v>16</v>
      </c>
      <c r="H95" s="2" t="s">
        <v>80</v>
      </c>
      <c r="I95" s="4" t="s">
        <v>1118</v>
      </c>
      <c r="J95" s="23">
        <v>1</v>
      </c>
      <c r="K95" s="27">
        <v>700000</v>
      </c>
      <c r="L95" s="26">
        <f t="shared" si="15"/>
        <v>700000</v>
      </c>
      <c r="M95" s="27">
        <f t="shared" si="16"/>
        <v>70000</v>
      </c>
      <c r="N95" s="27">
        <f t="shared" si="17"/>
        <v>770000</v>
      </c>
      <c r="O95" s="33">
        <v>661800</v>
      </c>
      <c r="P95" s="197" t="s">
        <v>1308</v>
      </c>
      <c r="Q95" s="20">
        <f t="shared" si="18"/>
        <v>38200</v>
      </c>
      <c r="R95" s="68" t="s">
        <v>1902</v>
      </c>
      <c r="S95" s="5" t="s">
        <v>2136</v>
      </c>
      <c r="T95" s="11"/>
    </row>
    <row r="96" spans="1:20" ht="24">
      <c r="A96" t="s">
        <v>30</v>
      </c>
      <c r="B96" s="151" t="s">
        <v>511</v>
      </c>
      <c r="C96" s="153" t="s">
        <v>446</v>
      </c>
      <c r="D96" s="17">
        <v>45777</v>
      </c>
      <c r="E96" s="214" t="s">
        <v>2144</v>
      </c>
      <c r="F96" s="215" t="s">
        <v>480</v>
      </c>
      <c r="G96" s="2" t="s">
        <v>16</v>
      </c>
      <c r="H96" s="2" t="s">
        <v>80</v>
      </c>
      <c r="I96" s="4" t="s">
        <v>1118</v>
      </c>
      <c r="J96" s="23">
        <v>1</v>
      </c>
      <c r="K96" s="27">
        <v>380000</v>
      </c>
      <c r="L96" s="26">
        <f t="shared" si="15"/>
        <v>380000</v>
      </c>
      <c r="M96" s="27">
        <f t="shared" si="16"/>
        <v>38000</v>
      </c>
      <c r="N96" s="27">
        <f t="shared" si="17"/>
        <v>418000</v>
      </c>
      <c r="O96" s="33">
        <f>289800+500000/12</f>
        <v>331466.66666666669</v>
      </c>
      <c r="P96" s="197" t="s">
        <v>1493</v>
      </c>
      <c r="Q96" s="20">
        <f t="shared" si="18"/>
        <v>48533.333333333314</v>
      </c>
      <c r="R96" s="68" t="s">
        <v>1902</v>
      </c>
      <c r="S96" s="5" t="s">
        <v>2136</v>
      </c>
      <c r="T96" s="11"/>
    </row>
    <row r="97" spans="1:20">
      <c r="A97" t="s">
        <v>30</v>
      </c>
      <c r="B97" s="151" t="s">
        <v>447</v>
      </c>
      <c r="C97" s="153" t="s">
        <v>448</v>
      </c>
      <c r="D97" s="17">
        <v>45777</v>
      </c>
      <c r="E97" s="214" t="s">
        <v>2144</v>
      </c>
      <c r="F97" s="215" t="s">
        <v>481</v>
      </c>
      <c r="G97" s="2" t="s">
        <v>16</v>
      </c>
      <c r="H97" s="2" t="s">
        <v>80</v>
      </c>
      <c r="I97" s="4" t="s">
        <v>1118</v>
      </c>
      <c r="J97" s="23">
        <v>1</v>
      </c>
      <c r="K97" s="27">
        <v>625000</v>
      </c>
      <c r="L97" s="26">
        <f t="shared" si="15"/>
        <v>625000</v>
      </c>
      <c r="M97" s="27">
        <f t="shared" si="16"/>
        <v>62500</v>
      </c>
      <c r="N97" s="27">
        <f t="shared" si="17"/>
        <v>687500</v>
      </c>
      <c r="O97" s="33">
        <v>590400</v>
      </c>
      <c r="P97" s="197" t="s">
        <v>1308</v>
      </c>
      <c r="Q97" s="20">
        <f t="shared" si="18"/>
        <v>34600</v>
      </c>
      <c r="R97" s="68" t="s">
        <v>1902</v>
      </c>
      <c r="S97" s="5" t="s">
        <v>2136</v>
      </c>
      <c r="T97" s="11"/>
    </row>
    <row r="98" spans="1:20">
      <c r="A98" t="s">
        <v>30</v>
      </c>
      <c r="B98" s="151" t="s">
        <v>493</v>
      </c>
      <c r="C98" s="153" t="s">
        <v>494</v>
      </c>
      <c r="D98" s="17">
        <v>45777</v>
      </c>
      <c r="E98" s="214" t="s">
        <v>2144</v>
      </c>
      <c r="F98" s="215" t="s">
        <v>495</v>
      </c>
      <c r="G98" s="2" t="s">
        <v>16</v>
      </c>
      <c r="H98" s="2" t="s">
        <v>80</v>
      </c>
      <c r="I98" s="4" t="s">
        <v>1118</v>
      </c>
      <c r="J98" s="23">
        <v>1</v>
      </c>
      <c r="K98" s="27">
        <v>1232000</v>
      </c>
      <c r="L98" s="26">
        <f t="shared" si="15"/>
        <v>1232000</v>
      </c>
      <c r="M98" s="27">
        <f t="shared" si="16"/>
        <v>123200</v>
      </c>
      <c r="N98" s="27">
        <f t="shared" si="17"/>
        <v>1355200</v>
      </c>
      <c r="O98" s="33">
        <v>1196100</v>
      </c>
      <c r="P98" s="197" t="s">
        <v>1308</v>
      </c>
      <c r="Q98" s="20">
        <f t="shared" si="18"/>
        <v>35900</v>
      </c>
      <c r="R98" s="68" t="s">
        <v>1902</v>
      </c>
      <c r="S98" s="8" t="s">
        <v>2136</v>
      </c>
      <c r="T98" s="11"/>
    </row>
    <row r="99" spans="1:20">
      <c r="A99" t="s">
        <v>30</v>
      </c>
      <c r="B99" s="151" t="s">
        <v>857</v>
      </c>
      <c r="C99" s="153" t="s">
        <v>853</v>
      </c>
      <c r="D99" s="17">
        <v>45777</v>
      </c>
      <c r="E99" s="214" t="s">
        <v>2144</v>
      </c>
      <c r="F99" s="215" t="s">
        <v>815</v>
      </c>
      <c r="G99" s="2" t="s">
        <v>16</v>
      </c>
      <c r="H99" s="2" t="s">
        <v>80</v>
      </c>
      <c r="I99" s="4" t="s">
        <v>1118</v>
      </c>
      <c r="J99" s="23">
        <v>1</v>
      </c>
      <c r="K99" s="27">
        <v>535000</v>
      </c>
      <c r="L99" s="26">
        <f t="shared" si="15"/>
        <v>535000</v>
      </c>
      <c r="M99" s="27">
        <f t="shared" si="16"/>
        <v>53500</v>
      </c>
      <c r="N99" s="27">
        <f t="shared" si="17"/>
        <v>588500</v>
      </c>
      <c r="O99" s="82">
        <f>496800</f>
        <v>496800</v>
      </c>
      <c r="P99" s="197" t="s">
        <v>1308</v>
      </c>
      <c r="Q99" s="20">
        <f t="shared" si="18"/>
        <v>38200</v>
      </c>
      <c r="R99" s="68" t="s">
        <v>1902</v>
      </c>
      <c r="S99" s="8" t="s">
        <v>2136</v>
      </c>
      <c r="T99" s="11"/>
    </row>
    <row r="100" spans="1:20">
      <c r="A100" t="s">
        <v>30</v>
      </c>
      <c r="B100" s="151" t="s">
        <v>2090</v>
      </c>
      <c r="C100" s="200"/>
      <c r="D100" s="17">
        <v>45777</v>
      </c>
      <c r="E100" s="214" t="s">
        <v>4</v>
      </c>
      <c r="F100" s="189" t="s">
        <v>124</v>
      </c>
      <c r="G100" s="161" t="s">
        <v>16</v>
      </c>
      <c r="H100" s="161" t="s">
        <v>138</v>
      </c>
      <c r="I100" s="163" t="s">
        <v>1225</v>
      </c>
      <c r="J100" s="24">
        <v>1</v>
      </c>
      <c r="K100" s="26">
        <v>1600000</v>
      </c>
      <c r="L100" s="26">
        <f t="shared" si="15"/>
        <v>1600000</v>
      </c>
      <c r="M100" s="27">
        <f t="shared" si="16"/>
        <v>160000</v>
      </c>
      <c r="N100" s="27">
        <f t="shared" si="17"/>
        <v>1760000</v>
      </c>
      <c r="O100" s="72">
        <v>1352754</v>
      </c>
      <c r="P100" s="171" t="s">
        <v>1240</v>
      </c>
      <c r="Q100" s="181">
        <f t="shared" si="18"/>
        <v>247246</v>
      </c>
      <c r="R100" s="68" t="s">
        <v>1691</v>
      </c>
      <c r="S100" s="5" t="s">
        <v>2136</v>
      </c>
      <c r="T100" s="11"/>
    </row>
    <row r="101" spans="1:20" ht="24">
      <c r="A101" t="s">
        <v>30</v>
      </c>
      <c r="B101" s="151" t="s">
        <v>288</v>
      </c>
      <c r="C101" s="199"/>
      <c r="D101" s="17">
        <v>45777</v>
      </c>
      <c r="E101" s="214" t="s">
        <v>2143</v>
      </c>
      <c r="F101" s="215"/>
      <c r="G101" s="161" t="s">
        <v>16</v>
      </c>
      <c r="H101" s="161" t="s">
        <v>138</v>
      </c>
      <c r="I101" s="163" t="s">
        <v>1140</v>
      </c>
      <c r="J101" s="23">
        <v>1</v>
      </c>
      <c r="K101" s="27">
        <v>3916667</v>
      </c>
      <c r="L101" s="26">
        <f t="shared" si="15"/>
        <v>3916667</v>
      </c>
      <c r="M101" s="27">
        <v>391667</v>
      </c>
      <c r="N101" s="27">
        <f t="shared" si="17"/>
        <v>4308334</v>
      </c>
      <c r="O101" s="72">
        <f>5423462/12+3239414</f>
        <v>3691369.1666666665</v>
      </c>
      <c r="P101" s="223" t="s">
        <v>1301</v>
      </c>
      <c r="Q101" s="181">
        <f t="shared" si="18"/>
        <v>225297.83333333349</v>
      </c>
      <c r="R101" s="68" t="s">
        <v>1703</v>
      </c>
      <c r="S101" s="8" t="s">
        <v>2134</v>
      </c>
      <c r="T101" s="11"/>
    </row>
    <row r="102" spans="1:20">
      <c r="A102" t="s">
        <v>30</v>
      </c>
      <c r="B102" s="151" t="s">
        <v>290</v>
      </c>
      <c r="C102" s="199" t="s">
        <v>284</v>
      </c>
      <c r="D102" s="17">
        <v>45777</v>
      </c>
      <c r="E102" s="214" t="s">
        <v>285</v>
      </c>
      <c r="F102" s="215" t="s">
        <v>286</v>
      </c>
      <c r="G102" s="2" t="s">
        <v>16</v>
      </c>
      <c r="H102" s="83" t="s">
        <v>80</v>
      </c>
      <c r="I102" s="4" t="s">
        <v>1141</v>
      </c>
      <c r="J102" s="23">
        <v>1</v>
      </c>
      <c r="K102" s="27">
        <v>659700</v>
      </c>
      <c r="L102" s="26">
        <f t="shared" si="15"/>
        <v>659700</v>
      </c>
      <c r="M102" s="27">
        <f t="shared" ref="M102:M136" si="19">L102*10%</f>
        <v>65970</v>
      </c>
      <c r="N102" s="27">
        <f t="shared" si="17"/>
        <v>725670</v>
      </c>
      <c r="O102" s="72">
        <v>518541</v>
      </c>
      <c r="P102" s="197" t="s">
        <v>1308</v>
      </c>
      <c r="Q102" s="181">
        <f t="shared" si="18"/>
        <v>141159</v>
      </c>
      <c r="R102" s="68" t="s">
        <v>1902</v>
      </c>
      <c r="S102" s="8" t="s">
        <v>2136</v>
      </c>
      <c r="T102" s="75"/>
    </row>
    <row r="103" spans="1:20">
      <c r="A103" t="s">
        <v>30</v>
      </c>
      <c r="B103" s="151" t="s">
        <v>336</v>
      </c>
      <c r="C103" s="199" t="s">
        <v>310</v>
      </c>
      <c r="D103" s="17">
        <v>45777</v>
      </c>
      <c r="E103" s="214" t="s">
        <v>41</v>
      </c>
      <c r="F103" s="215" t="s">
        <v>192</v>
      </c>
      <c r="G103" s="2" t="s">
        <v>16</v>
      </c>
      <c r="H103" s="83" t="s">
        <v>80</v>
      </c>
      <c r="I103" s="4" t="s">
        <v>1110</v>
      </c>
      <c r="J103" s="23">
        <v>1</v>
      </c>
      <c r="K103" s="27">
        <v>285500</v>
      </c>
      <c r="L103" s="26">
        <f t="shared" si="15"/>
        <v>285500</v>
      </c>
      <c r="M103" s="27">
        <f t="shared" si="19"/>
        <v>28550</v>
      </c>
      <c r="N103" s="27">
        <f t="shared" si="17"/>
        <v>314050</v>
      </c>
      <c r="O103" s="72">
        <v>249900</v>
      </c>
      <c r="P103" s="197" t="s">
        <v>1308</v>
      </c>
      <c r="Q103" s="181">
        <f t="shared" si="18"/>
        <v>35600</v>
      </c>
      <c r="R103" s="68" t="s">
        <v>1902</v>
      </c>
      <c r="S103" s="8" t="s">
        <v>2136</v>
      </c>
      <c r="T103" s="75"/>
    </row>
    <row r="104" spans="1:20" ht="24">
      <c r="A104" t="s">
        <v>30</v>
      </c>
      <c r="B104" s="151" t="s">
        <v>292</v>
      </c>
      <c r="C104" s="199" t="s">
        <v>295</v>
      </c>
      <c r="D104" s="17">
        <v>45777</v>
      </c>
      <c r="E104" s="214" t="s">
        <v>94</v>
      </c>
      <c r="F104" s="215" t="s">
        <v>131</v>
      </c>
      <c r="G104" s="2" t="s">
        <v>16</v>
      </c>
      <c r="H104" s="83" t="s">
        <v>80</v>
      </c>
      <c r="I104" s="163" t="s">
        <v>1108</v>
      </c>
      <c r="J104" s="23">
        <v>1</v>
      </c>
      <c r="K104" s="27">
        <v>909000</v>
      </c>
      <c r="L104" s="26">
        <f t="shared" si="15"/>
        <v>909000</v>
      </c>
      <c r="M104" s="27">
        <f t="shared" si="19"/>
        <v>90900</v>
      </c>
      <c r="N104" s="27">
        <f t="shared" si="17"/>
        <v>999900</v>
      </c>
      <c r="O104" s="72">
        <f>310500+305280</f>
        <v>615780</v>
      </c>
      <c r="P104" s="223" t="s">
        <v>1302</v>
      </c>
      <c r="Q104" s="181">
        <f t="shared" si="18"/>
        <v>293220</v>
      </c>
      <c r="R104" s="68" t="s">
        <v>1703</v>
      </c>
      <c r="S104" s="8" t="s">
        <v>2136</v>
      </c>
      <c r="T104" s="11"/>
    </row>
    <row r="105" spans="1:20">
      <c r="A105" t="s">
        <v>30</v>
      </c>
      <c r="B105" s="151" t="s">
        <v>304</v>
      </c>
      <c r="C105" s="199"/>
      <c r="D105" s="17">
        <v>45777</v>
      </c>
      <c r="E105" s="214" t="s">
        <v>296</v>
      </c>
      <c r="F105" s="215" t="s">
        <v>297</v>
      </c>
      <c r="G105" s="2" t="s">
        <v>16</v>
      </c>
      <c r="H105" s="161" t="s">
        <v>138</v>
      </c>
      <c r="I105" s="163" t="s">
        <v>1141</v>
      </c>
      <c r="J105" s="23">
        <v>1</v>
      </c>
      <c r="K105" s="27">
        <v>207000</v>
      </c>
      <c r="L105" s="26">
        <f t="shared" si="15"/>
        <v>207000</v>
      </c>
      <c r="M105" s="27">
        <f t="shared" si="19"/>
        <v>20700</v>
      </c>
      <c r="N105" s="27">
        <f t="shared" si="17"/>
        <v>227700</v>
      </c>
      <c r="O105" s="72">
        <v>190849</v>
      </c>
      <c r="P105" s="171" t="s">
        <v>1240</v>
      </c>
      <c r="Q105" s="181">
        <f t="shared" si="18"/>
        <v>16151</v>
      </c>
      <c r="R105" s="68" t="s">
        <v>1703</v>
      </c>
      <c r="S105" s="8" t="s">
        <v>2136</v>
      </c>
      <c r="T105" s="11"/>
    </row>
    <row r="106" spans="1:20">
      <c r="A106" t="s">
        <v>30</v>
      </c>
      <c r="B106" s="151" t="s">
        <v>303</v>
      </c>
      <c r="C106" s="199"/>
      <c r="D106" s="17">
        <v>45777</v>
      </c>
      <c r="E106" s="214" t="s">
        <v>299</v>
      </c>
      <c r="F106" s="215" t="s">
        <v>136</v>
      </c>
      <c r="G106" s="2" t="s">
        <v>16</v>
      </c>
      <c r="H106" s="161" t="s">
        <v>81</v>
      </c>
      <c r="I106" s="162" t="s">
        <v>1142</v>
      </c>
      <c r="J106" s="23">
        <v>1</v>
      </c>
      <c r="K106" s="27">
        <v>155000</v>
      </c>
      <c r="L106" s="26">
        <f t="shared" si="15"/>
        <v>155000</v>
      </c>
      <c r="M106" s="27">
        <f t="shared" si="19"/>
        <v>15500</v>
      </c>
      <c r="N106" s="27">
        <f t="shared" si="17"/>
        <v>170500</v>
      </c>
      <c r="O106" s="52">
        <f>1440000/12</f>
        <v>120000</v>
      </c>
      <c r="P106" s="171" t="s">
        <v>1148</v>
      </c>
      <c r="Q106" s="181">
        <f t="shared" si="18"/>
        <v>35000</v>
      </c>
      <c r="R106" s="68" t="s">
        <v>1703</v>
      </c>
      <c r="S106" s="36" t="s">
        <v>2133</v>
      </c>
      <c r="T106" s="75"/>
    </row>
    <row r="107" spans="1:20">
      <c r="A107" t="s">
        <v>30</v>
      </c>
      <c r="B107" s="151" t="s">
        <v>332</v>
      </c>
      <c r="C107" s="200" t="s">
        <v>334</v>
      </c>
      <c r="D107" s="17">
        <v>45777</v>
      </c>
      <c r="E107" s="214" t="s">
        <v>68</v>
      </c>
      <c r="F107" s="189" t="s">
        <v>189</v>
      </c>
      <c r="G107" s="161" t="s">
        <v>16</v>
      </c>
      <c r="H107" s="161" t="s">
        <v>138</v>
      </c>
      <c r="I107" s="163" t="s">
        <v>1111</v>
      </c>
      <c r="J107" s="24">
        <v>1</v>
      </c>
      <c r="K107" s="26">
        <v>700000</v>
      </c>
      <c r="L107" s="26">
        <f t="shared" si="15"/>
        <v>700000</v>
      </c>
      <c r="M107" s="27">
        <f t="shared" si="19"/>
        <v>70000</v>
      </c>
      <c r="N107" s="27">
        <f t="shared" si="17"/>
        <v>770000</v>
      </c>
      <c r="O107" s="33">
        <v>499500</v>
      </c>
      <c r="P107" s="197" t="s">
        <v>1308</v>
      </c>
      <c r="Q107" s="21">
        <f t="shared" si="18"/>
        <v>200500</v>
      </c>
      <c r="R107" s="68" t="s">
        <v>1539</v>
      </c>
      <c r="S107" s="5" t="s">
        <v>2133</v>
      </c>
      <c r="T107" s="11"/>
    </row>
    <row r="108" spans="1:20">
      <c r="A108" t="s">
        <v>30</v>
      </c>
      <c r="B108" s="151" t="s">
        <v>363</v>
      </c>
      <c r="C108" s="153" t="s">
        <v>362</v>
      </c>
      <c r="D108" s="17">
        <v>45777</v>
      </c>
      <c r="E108" s="214" t="s">
        <v>2200</v>
      </c>
      <c r="F108" s="215" t="s">
        <v>119</v>
      </c>
      <c r="G108" s="161" t="s">
        <v>16</v>
      </c>
      <c r="H108" s="83" t="s">
        <v>80</v>
      </c>
      <c r="I108" s="4" t="s">
        <v>1143</v>
      </c>
      <c r="J108" s="23">
        <v>1</v>
      </c>
      <c r="K108" s="27">
        <v>13057800</v>
      </c>
      <c r="L108" s="26">
        <f t="shared" si="15"/>
        <v>13057800</v>
      </c>
      <c r="M108" s="27">
        <f t="shared" si="19"/>
        <v>1305780</v>
      </c>
      <c r="N108" s="27">
        <f t="shared" si="17"/>
        <v>14363580</v>
      </c>
      <c r="O108" s="33">
        <v>11892500</v>
      </c>
      <c r="P108" s="197" t="s">
        <v>1308</v>
      </c>
      <c r="Q108" s="21">
        <f t="shared" si="18"/>
        <v>1165300</v>
      </c>
      <c r="R108" s="68" t="s">
        <v>1703</v>
      </c>
      <c r="S108" s="36" t="s">
        <v>2136</v>
      </c>
      <c r="T108" s="11"/>
    </row>
    <row r="109" spans="1:20" ht="24">
      <c r="A109" t="s">
        <v>30</v>
      </c>
      <c r="B109" s="151" t="s">
        <v>665</v>
      </c>
      <c r="C109" s="153" t="s">
        <v>666</v>
      </c>
      <c r="D109" s="17">
        <v>45777</v>
      </c>
      <c r="E109" s="1" t="s">
        <v>2200</v>
      </c>
      <c r="F109" s="2" t="s">
        <v>690</v>
      </c>
      <c r="G109" s="2" t="s">
        <v>16</v>
      </c>
      <c r="H109" s="2" t="s">
        <v>80</v>
      </c>
      <c r="I109" s="4" t="s">
        <v>1142</v>
      </c>
      <c r="J109" s="23">
        <v>1</v>
      </c>
      <c r="K109" s="27">
        <v>202000</v>
      </c>
      <c r="L109" s="26">
        <f t="shared" si="15"/>
        <v>202000</v>
      </c>
      <c r="M109" s="27">
        <f t="shared" si="19"/>
        <v>20200</v>
      </c>
      <c r="N109" s="27">
        <f t="shared" si="17"/>
        <v>222200</v>
      </c>
      <c r="O109" s="33">
        <v>180600</v>
      </c>
      <c r="P109" s="197" t="s">
        <v>1308</v>
      </c>
      <c r="Q109" s="20">
        <f t="shared" si="18"/>
        <v>21400</v>
      </c>
      <c r="R109" s="68" t="s">
        <v>1703</v>
      </c>
      <c r="S109" s="8" t="s">
        <v>2136</v>
      </c>
      <c r="T109" s="11"/>
    </row>
    <row r="110" spans="1:20" ht="24">
      <c r="A110" t="s">
        <v>30</v>
      </c>
      <c r="B110" s="151" t="s">
        <v>380</v>
      </c>
      <c r="C110" s="208" t="s">
        <v>381</v>
      </c>
      <c r="D110" s="17">
        <v>45777</v>
      </c>
      <c r="E110" s="214" t="s">
        <v>2201</v>
      </c>
      <c r="F110" s="189" t="s">
        <v>379</v>
      </c>
      <c r="G110" s="161" t="s">
        <v>16</v>
      </c>
      <c r="H110" s="83" t="s">
        <v>80</v>
      </c>
      <c r="I110" s="163" t="s">
        <v>1118</v>
      </c>
      <c r="J110" s="24">
        <v>1</v>
      </c>
      <c r="K110" s="26">
        <v>2871300</v>
      </c>
      <c r="L110" s="26">
        <f t="shared" si="15"/>
        <v>2871300</v>
      </c>
      <c r="M110" s="27">
        <f t="shared" si="19"/>
        <v>287130</v>
      </c>
      <c r="N110" s="27">
        <f t="shared" si="17"/>
        <v>3158430</v>
      </c>
      <c r="O110" s="33">
        <f>1981200+655500</f>
        <v>2636700</v>
      </c>
      <c r="P110" s="197" t="s">
        <v>1495</v>
      </c>
      <c r="Q110" s="21">
        <f t="shared" si="18"/>
        <v>234600</v>
      </c>
      <c r="R110" s="68" t="s">
        <v>1829</v>
      </c>
      <c r="S110" s="5" t="s">
        <v>2136</v>
      </c>
      <c r="T110" s="11"/>
    </row>
    <row r="111" spans="1:20" ht="60">
      <c r="A111" t="s">
        <v>30</v>
      </c>
      <c r="B111" s="151" t="s">
        <v>963</v>
      </c>
      <c r="C111" s="200"/>
      <c r="D111" s="17">
        <v>45777</v>
      </c>
      <c r="E111" s="214" t="s">
        <v>2199</v>
      </c>
      <c r="F111" s="215" t="s">
        <v>152</v>
      </c>
      <c r="G111" s="2" t="s">
        <v>16</v>
      </c>
      <c r="H111" s="161" t="s">
        <v>138</v>
      </c>
      <c r="I111" s="163" t="s">
        <v>1118</v>
      </c>
      <c r="J111" s="23">
        <v>1</v>
      </c>
      <c r="K111" s="27">
        <v>4761667</v>
      </c>
      <c r="L111" s="26">
        <f t="shared" si="15"/>
        <v>4761667</v>
      </c>
      <c r="M111" s="27">
        <f t="shared" si="19"/>
        <v>476166.7</v>
      </c>
      <c r="N111" s="27">
        <f t="shared" si="17"/>
        <v>5237833.7</v>
      </c>
      <c r="O111" s="72">
        <v>4437257</v>
      </c>
      <c r="P111" s="170" t="s">
        <v>1485</v>
      </c>
      <c r="Q111" s="21">
        <f t="shared" si="18"/>
        <v>324410</v>
      </c>
      <c r="R111" s="2" t="s">
        <v>1703</v>
      </c>
      <c r="S111" s="8" t="s">
        <v>2133</v>
      </c>
      <c r="T111" s="11"/>
    </row>
    <row r="112" spans="1:20" ht="60">
      <c r="A112" t="s">
        <v>30</v>
      </c>
      <c r="B112" s="151" t="s">
        <v>964</v>
      </c>
      <c r="C112" s="200"/>
      <c r="D112" s="17">
        <v>45777</v>
      </c>
      <c r="E112" s="214" t="s">
        <v>2199</v>
      </c>
      <c r="F112" s="215" t="s">
        <v>241</v>
      </c>
      <c r="G112" s="2" t="s">
        <v>16</v>
      </c>
      <c r="H112" s="161" t="s">
        <v>138</v>
      </c>
      <c r="I112" s="163" t="s">
        <v>1118</v>
      </c>
      <c r="J112" s="23">
        <v>1</v>
      </c>
      <c r="K112" s="27">
        <v>11210000</v>
      </c>
      <c r="L112" s="26">
        <f t="shared" si="15"/>
        <v>11210000</v>
      </c>
      <c r="M112" s="27">
        <f t="shared" si="19"/>
        <v>1121000</v>
      </c>
      <c r="N112" s="27">
        <f t="shared" si="17"/>
        <v>12331000</v>
      </c>
      <c r="O112" s="72">
        <v>10800000</v>
      </c>
      <c r="P112" s="170" t="s">
        <v>1486</v>
      </c>
      <c r="Q112" s="21">
        <f t="shared" si="18"/>
        <v>410000</v>
      </c>
      <c r="R112" s="2" t="s">
        <v>1703</v>
      </c>
      <c r="S112" s="8" t="s">
        <v>2133</v>
      </c>
      <c r="T112" s="11"/>
    </row>
    <row r="113" spans="1:20" ht="24">
      <c r="A113" t="s">
        <v>30</v>
      </c>
      <c r="B113" s="151" t="s">
        <v>962</v>
      </c>
      <c r="C113" s="199"/>
      <c r="D113" s="17">
        <v>45777</v>
      </c>
      <c r="E113" s="1" t="s">
        <v>2199</v>
      </c>
      <c r="F113" s="2" t="s">
        <v>265</v>
      </c>
      <c r="G113" s="2" t="s">
        <v>16</v>
      </c>
      <c r="H113" s="2" t="s">
        <v>81</v>
      </c>
      <c r="I113" s="163" t="s">
        <v>1118</v>
      </c>
      <c r="J113" s="23">
        <v>1</v>
      </c>
      <c r="K113" s="27">
        <v>880000</v>
      </c>
      <c r="L113" s="26">
        <f t="shared" si="15"/>
        <v>880000</v>
      </c>
      <c r="M113" s="27">
        <f t="shared" si="19"/>
        <v>88000</v>
      </c>
      <c r="N113" s="27">
        <f t="shared" si="17"/>
        <v>968000</v>
      </c>
      <c r="O113" s="52">
        <f>376200+1000000/3</f>
        <v>709533.33333333326</v>
      </c>
      <c r="P113" s="171" t="s">
        <v>1991</v>
      </c>
      <c r="Q113" s="181">
        <f t="shared" si="18"/>
        <v>170466.66666666674</v>
      </c>
      <c r="R113" s="2" t="s">
        <v>1745</v>
      </c>
      <c r="S113" s="8" t="s">
        <v>2133</v>
      </c>
      <c r="T113" s="11"/>
    </row>
    <row r="114" spans="1:20" ht="24">
      <c r="A114" t="s">
        <v>30</v>
      </c>
      <c r="B114" s="151" t="s">
        <v>960</v>
      </c>
      <c r="C114" s="199"/>
      <c r="D114" s="17">
        <v>45777</v>
      </c>
      <c r="E114" s="1" t="s">
        <v>2199</v>
      </c>
      <c r="F114" s="2" t="s">
        <v>130</v>
      </c>
      <c r="G114" s="161" t="s">
        <v>16</v>
      </c>
      <c r="H114" s="161" t="s">
        <v>138</v>
      </c>
      <c r="I114" s="163" t="s">
        <v>1118</v>
      </c>
      <c r="J114" s="34">
        <v>1</v>
      </c>
      <c r="K114" s="48">
        <v>3278000</v>
      </c>
      <c r="L114" s="26">
        <f t="shared" si="15"/>
        <v>3278000</v>
      </c>
      <c r="M114" s="27">
        <f t="shared" si="19"/>
        <v>327800</v>
      </c>
      <c r="N114" s="27">
        <f t="shared" si="17"/>
        <v>3605800</v>
      </c>
      <c r="O114" s="82">
        <f>1210534+6000000/3</f>
        <v>3210534</v>
      </c>
      <c r="P114" s="170" t="s">
        <v>1998</v>
      </c>
      <c r="Q114" s="181">
        <f t="shared" si="18"/>
        <v>67466</v>
      </c>
      <c r="R114" s="2" t="s">
        <v>1745</v>
      </c>
      <c r="S114" s="8" t="s">
        <v>2133</v>
      </c>
      <c r="T114" s="11"/>
    </row>
    <row r="115" spans="1:20">
      <c r="A115" t="s">
        <v>30</v>
      </c>
      <c r="B115" s="151" t="s">
        <v>449</v>
      </c>
      <c r="C115" s="199"/>
      <c r="D115" s="17">
        <v>45777</v>
      </c>
      <c r="E115" s="214" t="s">
        <v>2159</v>
      </c>
      <c r="F115" s="215" t="s">
        <v>249</v>
      </c>
      <c r="G115" s="2" t="s">
        <v>16</v>
      </c>
      <c r="H115" s="2" t="s">
        <v>80</v>
      </c>
      <c r="I115" s="4" t="s">
        <v>1144</v>
      </c>
      <c r="J115" s="23">
        <v>1</v>
      </c>
      <c r="K115" s="27">
        <v>850000</v>
      </c>
      <c r="L115" s="26">
        <f t="shared" si="15"/>
        <v>850000</v>
      </c>
      <c r="M115" s="27">
        <f t="shared" si="19"/>
        <v>85000</v>
      </c>
      <c r="N115" s="27">
        <f t="shared" si="17"/>
        <v>935000</v>
      </c>
      <c r="O115" s="52">
        <v>700000</v>
      </c>
      <c r="P115" s="171" t="s">
        <v>1496</v>
      </c>
      <c r="Q115" s="181">
        <f t="shared" si="18"/>
        <v>150000</v>
      </c>
      <c r="R115" s="68" t="s">
        <v>1987</v>
      </c>
      <c r="S115" s="8" t="s">
        <v>2136</v>
      </c>
      <c r="T115" s="11"/>
    </row>
    <row r="116" spans="1:20" ht="48">
      <c r="A116" t="s">
        <v>30</v>
      </c>
      <c r="B116" s="151" t="s">
        <v>449</v>
      </c>
      <c r="C116" s="199"/>
      <c r="D116" s="17">
        <v>45777</v>
      </c>
      <c r="E116" s="214" t="s">
        <v>2165</v>
      </c>
      <c r="F116" s="215" t="s">
        <v>250</v>
      </c>
      <c r="G116" s="2" t="s">
        <v>16</v>
      </c>
      <c r="H116" s="2" t="s">
        <v>80</v>
      </c>
      <c r="I116" s="4" t="s">
        <v>1144</v>
      </c>
      <c r="J116" s="23">
        <v>1</v>
      </c>
      <c r="K116" s="27">
        <v>4600000</v>
      </c>
      <c r="L116" s="26">
        <f t="shared" si="15"/>
        <v>4600000</v>
      </c>
      <c r="M116" s="27">
        <f t="shared" si="19"/>
        <v>460000</v>
      </c>
      <c r="N116" s="27">
        <f t="shared" si="17"/>
        <v>5060000</v>
      </c>
      <c r="O116" s="52">
        <f>4250000+2400000/12+6000+1500000/6</f>
        <v>4706000</v>
      </c>
      <c r="P116" s="171" t="s">
        <v>2027</v>
      </c>
      <c r="Q116" s="181">
        <f t="shared" si="18"/>
        <v>-106000</v>
      </c>
      <c r="R116" s="68" t="s">
        <v>1987</v>
      </c>
      <c r="S116" s="8" t="s">
        <v>2136</v>
      </c>
      <c r="T116" s="11"/>
    </row>
    <row r="117" spans="1:20">
      <c r="A117" t="s">
        <v>30</v>
      </c>
      <c r="B117" s="151" t="s">
        <v>450</v>
      </c>
      <c r="C117" s="153" t="s">
        <v>451</v>
      </c>
      <c r="D117" s="17">
        <v>45777</v>
      </c>
      <c r="E117" s="214" t="s">
        <v>409</v>
      </c>
      <c r="F117" s="215" t="s">
        <v>453</v>
      </c>
      <c r="G117" s="2" t="s">
        <v>16</v>
      </c>
      <c r="H117" s="2" t="s">
        <v>80</v>
      </c>
      <c r="I117" s="163" t="s">
        <v>1118</v>
      </c>
      <c r="J117" s="23">
        <v>1</v>
      </c>
      <c r="K117" s="27">
        <v>904800</v>
      </c>
      <c r="L117" s="26">
        <f t="shared" si="15"/>
        <v>904800</v>
      </c>
      <c r="M117" s="27">
        <f t="shared" si="19"/>
        <v>90480</v>
      </c>
      <c r="N117" s="27">
        <f t="shared" si="17"/>
        <v>995280</v>
      </c>
      <c r="O117" s="33">
        <v>820200</v>
      </c>
      <c r="P117" s="197" t="s">
        <v>1308</v>
      </c>
      <c r="Q117" s="20">
        <f t="shared" si="18"/>
        <v>84600</v>
      </c>
      <c r="R117" s="2" t="s">
        <v>1703</v>
      </c>
      <c r="S117" s="8" t="s">
        <v>2136</v>
      </c>
      <c r="T117" s="11"/>
    </row>
    <row r="118" spans="1:20" ht="60">
      <c r="A118" t="s">
        <v>30</v>
      </c>
      <c r="B118" s="151" t="s">
        <v>855</v>
      </c>
      <c r="C118" s="199"/>
      <c r="D118" s="17">
        <v>45777</v>
      </c>
      <c r="E118" s="1" t="s">
        <v>2167</v>
      </c>
      <c r="F118" s="2"/>
      <c r="G118" s="2" t="s">
        <v>16</v>
      </c>
      <c r="H118" s="2" t="s">
        <v>81</v>
      </c>
      <c r="I118" s="163" t="s">
        <v>1118</v>
      </c>
      <c r="J118" s="23">
        <v>1</v>
      </c>
      <c r="K118" s="27">
        <v>3611000</v>
      </c>
      <c r="L118" s="26">
        <f t="shared" si="15"/>
        <v>3611000</v>
      </c>
      <c r="M118" s="27">
        <f t="shared" si="19"/>
        <v>361100</v>
      </c>
      <c r="N118" s="27">
        <f t="shared" si="17"/>
        <v>3972100</v>
      </c>
      <c r="O118" s="52">
        <f>672000+700000+100000+290000+6000000/6</f>
        <v>2762000</v>
      </c>
      <c r="P118" s="170" t="s">
        <v>1497</v>
      </c>
      <c r="Q118" s="181">
        <f t="shared" si="18"/>
        <v>849000</v>
      </c>
      <c r="R118" s="68" t="s">
        <v>1703</v>
      </c>
      <c r="S118" s="8" t="s">
        <v>2134</v>
      </c>
      <c r="T118" s="11"/>
    </row>
    <row r="119" spans="1:20">
      <c r="A119" t="s">
        <v>30</v>
      </c>
      <c r="B119" s="151" t="s">
        <v>674</v>
      </c>
      <c r="C119" s="153" t="s">
        <v>675</v>
      </c>
      <c r="D119" s="17">
        <v>45777</v>
      </c>
      <c r="E119" s="214" t="s">
        <v>71</v>
      </c>
      <c r="F119" s="215" t="s">
        <v>562</v>
      </c>
      <c r="G119" s="1" t="s">
        <v>16</v>
      </c>
      <c r="H119" s="83" t="s">
        <v>80</v>
      </c>
      <c r="I119" s="163" t="s">
        <v>1118</v>
      </c>
      <c r="J119" s="23">
        <v>1</v>
      </c>
      <c r="K119" s="27">
        <v>554000</v>
      </c>
      <c r="L119" s="26">
        <f t="shared" si="15"/>
        <v>554000</v>
      </c>
      <c r="M119" s="27">
        <f t="shared" si="19"/>
        <v>55400</v>
      </c>
      <c r="N119" s="27">
        <f t="shared" si="17"/>
        <v>609400</v>
      </c>
      <c r="O119" s="33">
        <v>502800</v>
      </c>
      <c r="P119" s="197" t="s">
        <v>1308</v>
      </c>
      <c r="Q119" s="20">
        <f t="shared" si="18"/>
        <v>51200</v>
      </c>
      <c r="R119" s="2" t="s">
        <v>1703</v>
      </c>
      <c r="S119" s="8" t="s">
        <v>2136</v>
      </c>
      <c r="T119" s="11"/>
    </row>
    <row r="120" spans="1:20">
      <c r="A120" t="s">
        <v>30</v>
      </c>
      <c r="B120" s="151" t="s">
        <v>856</v>
      </c>
      <c r="C120" s="200"/>
      <c r="D120" s="17">
        <v>45777</v>
      </c>
      <c r="E120" s="1" t="s">
        <v>2202</v>
      </c>
      <c r="F120" s="161"/>
      <c r="G120" s="161" t="s">
        <v>16</v>
      </c>
      <c r="H120" s="161" t="s">
        <v>138</v>
      </c>
      <c r="I120" s="163" t="s">
        <v>1118</v>
      </c>
      <c r="J120" s="71">
        <v>1</v>
      </c>
      <c r="K120" s="26">
        <v>2840000</v>
      </c>
      <c r="L120" s="26">
        <f t="shared" si="15"/>
        <v>2840000</v>
      </c>
      <c r="M120" s="27">
        <f t="shared" si="19"/>
        <v>284000</v>
      </c>
      <c r="N120" s="27">
        <f t="shared" si="17"/>
        <v>3124000</v>
      </c>
      <c r="O120" s="52">
        <v>44000</v>
      </c>
      <c r="P120" s="171" t="s">
        <v>1460</v>
      </c>
      <c r="Q120" s="181">
        <f t="shared" si="18"/>
        <v>2796000</v>
      </c>
      <c r="R120" s="68" t="s">
        <v>1611</v>
      </c>
      <c r="S120" s="5" t="s">
        <v>2134</v>
      </c>
      <c r="T120" s="11"/>
    </row>
    <row r="121" spans="1:20">
      <c r="A121" t="s">
        <v>30</v>
      </c>
      <c r="B121" s="151" t="s">
        <v>961</v>
      </c>
      <c r="C121" s="153"/>
      <c r="D121" s="17">
        <v>45777</v>
      </c>
      <c r="E121" s="1" t="s">
        <v>2207</v>
      </c>
      <c r="F121" s="2" t="s">
        <v>130</v>
      </c>
      <c r="G121" s="1" t="s">
        <v>16</v>
      </c>
      <c r="H121" s="83" t="s">
        <v>81</v>
      </c>
      <c r="I121" s="4" t="s">
        <v>1145</v>
      </c>
      <c r="J121" s="23">
        <v>1</v>
      </c>
      <c r="K121" s="27">
        <v>2697200</v>
      </c>
      <c r="L121" s="26">
        <f t="shared" si="15"/>
        <v>2697200</v>
      </c>
      <c r="M121" s="27">
        <f t="shared" si="19"/>
        <v>269720</v>
      </c>
      <c r="N121" s="27">
        <f t="shared" si="17"/>
        <v>2966920</v>
      </c>
      <c r="O121" s="33">
        <f>8000000/3</f>
        <v>2666666.6666666665</v>
      </c>
      <c r="P121" s="197" t="s">
        <v>1997</v>
      </c>
      <c r="Q121" s="20">
        <f t="shared" si="18"/>
        <v>30533.333333333489</v>
      </c>
      <c r="R121" s="68" t="s">
        <v>1902</v>
      </c>
      <c r="S121" s="8" t="s">
        <v>2133</v>
      </c>
      <c r="T121" s="11"/>
    </row>
    <row r="122" spans="1:20" ht="24">
      <c r="A122" t="s">
        <v>30</v>
      </c>
      <c r="B122" s="151" t="s">
        <v>1550</v>
      </c>
      <c r="C122" s="153" t="s">
        <v>1551</v>
      </c>
      <c r="D122" s="17">
        <v>45777</v>
      </c>
      <c r="E122" s="1" t="s">
        <v>78</v>
      </c>
      <c r="F122" s="2" t="s">
        <v>128</v>
      </c>
      <c r="G122" s="2" t="s">
        <v>16</v>
      </c>
      <c r="H122" s="2" t="s">
        <v>80</v>
      </c>
      <c r="I122" s="4" t="s">
        <v>1118</v>
      </c>
      <c r="J122" s="23">
        <v>1</v>
      </c>
      <c r="K122" s="27">
        <v>454600</v>
      </c>
      <c r="L122" s="26">
        <f t="shared" ref="L122:L125" si="20">J122*K122</f>
        <v>454600</v>
      </c>
      <c r="M122" s="27">
        <f t="shared" si="19"/>
        <v>45460</v>
      </c>
      <c r="N122" s="27">
        <f t="shared" ref="N122:N125" si="21">SUM(L122:M122)</f>
        <v>500060</v>
      </c>
      <c r="O122" s="33">
        <f>243000+1100000/6</f>
        <v>426333.33333333337</v>
      </c>
      <c r="P122" s="197" t="s">
        <v>1498</v>
      </c>
      <c r="Q122" s="20">
        <f t="shared" ref="Q122:Q125" si="22">L122-O122</f>
        <v>28266.666666666628</v>
      </c>
      <c r="R122" s="68" t="s">
        <v>1703</v>
      </c>
      <c r="S122" s="8" t="s">
        <v>2136</v>
      </c>
      <c r="T122" s="11"/>
    </row>
    <row r="123" spans="1:20" ht="48">
      <c r="A123" t="s">
        <v>30</v>
      </c>
      <c r="B123" s="151" t="s">
        <v>966</v>
      </c>
      <c r="C123" s="153" t="s">
        <v>967</v>
      </c>
      <c r="D123" s="17">
        <v>45777</v>
      </c>
      <c r="E123" s="214" t="s">
        <v>72</v>
      </c>
      <c r="F123" s="215" t="s">
        <v>497</v>
      </c>
      <c r="G123" s="1" t="s">
        <v>16</v>
      </c>
      <c r="H123" s="2" t="s">
        <v>80</v>
      </c>
      <c r="I123" s="4" t="s">
        <v>1118</v>
      </c>
      <c r="J123" s="23">
        <v>1</v>
      </c>
      <c r="K123" s="27">
        <v>2900000</v>
      </c>
      <c r="L123" s="26">
        <f t="shared" si="20"/>
        <v>2900000</v>
      </c>
      <c r="M123" s="27">
        <f t="shared" si="19"/>
        <v>290000</v>
      </c>
      <c r="N123" s="27">
        <f t="shared" si="21"/>
        <v>3190000</v>
      </c>
      <c r="O123" s="33">
        <f>1515000+250000+391000+2500000/6</f>
        <v>2572666.6666666665</v>
      </c>
      <c r="P123" s="197" t="s">
        <v>2148</v>
      </c>
      <c r="Q123" s="20">
        <f t="shared" si="22"/>
        <v>327333.33333333349</v>
      </c>
      <c r="R123" s="68" t="s">
        <v>1717</v>
      </c>
      <c r="S123" s="8" t="s">
        <v>2136</v>
      </c>
      <c r="T123" s="11"/>
    </row>
    <row r="124" spans="1:20">
      <c r="A124" t="s">
        <v>30</v>
      </c>
      <c r="B124" s="151" t="s">
        <v>1350</v>
      </c>
      <c r="C124" s="230" t="s">
        <v>1053</v>
      </c>
      <c r="D124" s="17">
        <v>45777</v>
      </c>
      <c r="E124" s="214" t="s">
        <v>2195</v>
      </c>
      <c r="F124" s="215" t="s">
        <v>1002</v>
      </c>
      <c r="G124" s="161" t="s">
        <v>16</v>
      </c>
      <c r="H124" s="83" t="s">
        <v>80</v>
      </c>
      <c r="I124" s="4" t="s">
        <v>1146</v>
      </c>
      <c r="J124" s="23">
        <v>1</v>
      </c>
      <c r="K124" s="27">
        <v>501000</v>
      </c>
      <c r="L124" s="26">
        <f t="shared" si="20"/>
        <v>501000</v>
      </c>
      <c r="M124" s="27">
        <f t="shared" si="19"/>
        <v>50100</v>
      </c>
      <c r="N124" s="27">
        <f t="shared" si="21"/>
        <v>551100</v>
      </c>
      <c r="O124" s="33">
        <v>405600</v>
      </c>
      <c r="P124" s="197" t="s">
        <v>1308</v>
      </c>
      <c r="Q124" s="181">
        <f t="shared" si="22"/>
        <v>95400</v>
      </c>
      <c r="R124" s="68" t="s">
        <v>1902</v>
      </c>
      <c r="S124" s="8" t="s">
        <v>2136</v>
      </c>
      <c r="T124" s="11"/>
    </row>
    <row r="125" spans="1:20">
      <c r="A125" t="s">
        <v>30</v>
      </c>
      <c r="B125" s="151" t="s">
        <v>1085</v>
      </c>
      <c r="C125" s="153"/>
      <c r="D125" s="17">
        <v>45777</v>
      </c>
      <c r="E125" s="1" t="s">
        <v>2156</v>
      </c>
      <c r="F125" s="2" t="s">
        <v>1086</v>
      </c>
      <c r="G125" s="161" t="s">
        <v>16</v>
      </c>
      <c r="H125" s="83" t="s">
        <v>81</v>
      </c>
      <c r="I125" s="4" t="s">
        <v>1147</v>
      </c>
      <c r="J125" s="23">
        <v>1</v>
      </c>
      <c r="K125" s="27">
        <v>150000</v>
      </c>
      <c r="L125" s="26">
        <f t="shared" si="20"/>
        <v>150000</v>
      </c>
      <c r="M125" s="27">
        <f t="shared" si="19"/>
        <v>15000</v>
      </c>
      <c r="N125" s="27">
        <f t="shared" si="21"/>
        <v>165000</v>
      </c>
      <c r="O125" s="33">
        <v>0</v>
      </c>
      <c r="P125" s="197" t="s">
        <v>129</v>
      </c>
      <c r="Q125" s="20">
        <f t="shared" si="22"/>
        <v>150000</v>
      </c>
      <c r="R125" s="68" t="s">
        <v>1902</v>
      </c>
      <c r="S125" s="8" t="s">
        <v>2134</v>
      </c>
      <c r="T125" s="11"/>
    </row>
    <row r="126" spans="1:20" ht="24">
      <c r="A126" t="s">
        <v>30</v>
      </c>
      <c r="B126" s="151" t="s">
        <v>1546</v>
      </c>
      <c r="C126" s="153" t="s">
        <v>1547</v>
      </c>
      <c r="D126" s="17">
        <v>45777</v>
      </c>
      <c r="E126" s="1" t="s">
        <v>2144</v>
      </c>
      <c r="F126" s="2" t="s">
        <v>1401</v>
      </c>
      <c r="G126" s="161" t="s">
        <v>16</v>
      </c>
      <c r="H126" s="83" t="s">
        <v>80</v>
      </c>
      <c r="I126" s="4" t="s">
        <v>1402</v>
      </c>
      <c r="J126" s="23">
        <v>1</v>
      </c>
      <c r="K126" s="27">
        <v>3168950</v>
      </c>
      <c r="L126" s="26">
        <f>J126*K126</f>
        <v>3168950</v>
      </c>
      <c r="M126" s="27">
        <f t="shared" si="19"/>
        <v>316895</v>
      </c>
      <c r="N126" s="27">
        <f t="shared" ref="N126:N136" si="23">SUM(L126:M126)</f>
        <v>3485845</v>
      </c>
      <c r="O126" s="33">
        <f>777840+1111200*2</f>
        <v>3000240</v>
      </c>
      <c r="P126" s="197" t="s">
        <v>1499</v>
      </c>
      <c r="Q126" s="20">
        <f t="shared" ref="Q126:Q136" si="24">L126-O126</f>
        <v>168710</v>
      </c>
      <c r="R126" s="68" t="s">
        <v>1902</v>
      </c>
      <c r="S126" s="8" t="s">
        <v>2136</v>
      </c>
      <c r="T126" s="11"/>
    </row>
    <row r="127" spans="1:20">
      <c r="A127" t="s">
        <v>30</v>
      </c>
      <c r="B127" s="151" t="s">
        <v>1352</v>
      </c>
      <c r="C127" s="153"/>
      <c r="D127" s="17">
        <v>45777</v>
      </c>
      <c r="E127" s="1" t="s">
        <v>1150</v>
      </c>
      <c r="F127" s="2" t="s">
        <v>1151</v>
      </c>
      <c r="G127" s="161" t="s">
        <v>16</v>
      </c>
      <c r="H127" s="83" t="s">
        <v>1154</v>
      </c>
      <c r="I127" s="4" t="s">
        <v>1152</v>
      </c>
      <c r="J127" s="23">
        <v>1</v>
      </c>
      <c r="K127" s="27">
        <v>660000</v>
      </c>
      <c r="L127" s="26">
        <f>J127*K127</f>
        <v>660000</v>
      </c>
      <c r="M127" s="27">
        <f t="shared" si="19"/>
        <v>66000</v>
      </c>
      <c r="N127" s="27">
        <f t="shared" si="23"/>
        <v>726000</v>
      </c>
      <c r="O127" s="33">
        <v>168000</v>
      </c>
      <c r="P127" s="197" t="s">
        <v>1461</v>
      </c>
      <c r="Q127" s="20">
        <f t="shared" si="24"/>
        <v>492000</v>
      </c>
      <c r="R127" s="68" t="s">
        <v>1703</v>
      </c>
      <c r="S127" s="8" t="s">
        <v>2136</v>
      </c>
      <c r="T127" s="11"/>
    </row>
    <row r="128" spans="1:20">
      <c r="A128" t="s">
        <v>30</v>
      </c>
      <c r="B128" s="151" t="s">
        <v>1353</v>
      </c>
      <c r="C128" s="153"/>
      <c r="D128" s="17">
        <v>45777</v>
      </c>
      <c r="E128" s="1" t="s">
        <v>1150</v>
      </c>
      <c r="F128" s="2" t="s">
        <v>1153</v>
      </c>
      <c r="G128" s="161" t="s">
        <v>16</v>
      </c>
      <c r="H128" s="83" t="s">
        <v>1154</v>
      </c>
      <c r="I128" s="4" t="s">
        <v>1152</v>
      </c>
      <c r="J128" s="23">
        <v>1</v>
      </c>
      <c r="K128" s="27">
        <v>660000</v>
      </c>
      <c r="L128" s="26">
        <f>J128*K128</f>
        <v>660000</v>
      </c>
      <c r="M128" s="27">
        <f t="shared" si="19"/>
        <v>66000</v>
      </c>
      <c r="N128" s="27">
        <f t="shared" si="23"/>
        <v>726000</v>
      </c>
      <c r="O128" s="33">
        <v>168000</v>
      </c>
      <c r="P128" s="197" t="s">
        <v>1461</v>
      </c>
      <c r="Q128" s="20">
        <f t="shared" si="24"/>
        <v>492000</v>
      </c>
      <c r="R128" s="68" t="s">
        <v>1703</v>
      </c>
      <c r="S128" s="8" t="s">
        <v>2136</v>
      </c>
      <c r="T128" s="11"/>
    </row>
    <row r="129" spans="1:20">
      <c r="A129" t="s">
        <v>30</v>
      </c>
      <c r="B129" s="151" t="s">
        <v>1284</v>
      </c>
      <c r="C129" s="153"/>
      <c r="D129" s="17">
        <v>45777</v>
      </c>
      <c r="E129" s="1" t="s">
        <v>158</v>
      </c>
      <c r="F129" s="2"/>
      <c r="G129" s="2" t="s">
        <v>352</v>
      </c>
      <c r="H129" s="83" t="s">
        <v>1287</v>
      </c>
      <c r="I129" s="4" t="s">
        <v>1288</v>
      </c>
      <c r="J129" s="23">
        <v>2</v>
      </c>
      <c r="K129" s="27">
        <v>350000</v>
      </c>
      <c r="L129" s="26">
        <v>2860000</v>
      </c>
      <c r="M129" s="27">
        <f t="shared" si="19"/>
        <v>286000</v>
      </c>
      <c r="N129" s="27">
        <f t="shared" si="23"/>
        <v>3146000</v>
      </c>
      <c r="O129" s="33">
        <f>680000+360000+120000+100000+1200000</f>
        <v>2460000</v>
      </c>
      <c r="P129" s="197" t="s">
        <v>1500</v>
      </c>
      <c r="Q129" s="20">
        <f t="shared" si="24"/>
        <v>400000</v>
      </c>
      <c r="R129" s="68" t="s">
        <v>1539</v>
      </c>
      <c r="S129" s="8" t="s">
        <v>2136</v>
      </c>
      <c r="T129" s="11"/>
    </row>
    <row r="130" spans="1:20">
      <c r="A130" t="s">
        <v>30</v>
      </c>
      <c r="B130" s="151" t="s">
        <v>1285</v>
      </c>
      <c r="C130" s="155"/>
      <c r="D130" s="43"/>
      <c r="E130" s="44" t="s">
        <v>158</v>
      </c>
      <c r="F130" s="41"/>
      <c r="G130" s="2" t="s">
        <v>352</v>
      </c>
      <c r="H130" s="83" t="s">
        <v>1289</v>
      </c>
      <c r="I130" s="4" t="s">
        <v>1290</v>
      </c>
      <c r="J130" s="23">
        <v>4</v>
      </c>
      <c r="K130" s="27">
        <v>120000</v>
      </c>
      <c r="L130" s="37"/>
      <c r="M130" s="38">
        <f t="shared" si="19"/>
        <v>0</v>
      </c>
      <c r="N130" s="38">
        <f t="shared" si="23"/>
        <v>0</v>
      </c>
      <c r="O130" s="39"/>
      <c r="P130" s="197" t="s">
        <v>1501</v>
      </c>
      <c r="Q130" s="40">
        <f t="shared" si="24"/>
        <v>0</v>
      </c>
      <c r="R130" s="41"/>
      <c r="S130" s="42" t="s">
        <v>2136</v>
      </c>
      <c r="T130" s="11"/>
    </row>
    <row r="131" spans="1:20">
      <c r="A131" t="s">
        <v>30</v>
      </c>
      <c r="B131" s="151" t="s">
        <v>1340</v>
      </c>
      <c r="C131" s="155"/>
      <c r="D131" s="43"/>
      <c r="E131" s="44" t="s">
        <v>158</v>
      </c>
      <c r="F131" s="41"/>
      <c r="G131" s="2" t="s">
        <v>352</v>
      </c>
      <c r="H131" s="83" t="s">
        <v>1342</v>
      </c>
      <c r="I131" s="4" t="s">
        <v>1343</v>
      </c>
      <c r="J131" s="23">
        <v>1</v>
      </c>
      <c r="K131" s="27">
        <v>150000</v>
      </c>
      <c r="L131" s="37"/>
      <c r="M131" s="38">
        <f t="shared" si="19"/>
        <v>0</v>
      </c>
      <c r="N131" s="38">
        <f t="shared" si="23"/>
        <v>0</v>
      </c>
      <c r="O131" s="39"/>
      <c r="P131" s="197" t="s">
        <v>1502</v>
      </c>
      <c r="Q131" s="40">
        <f t="shared" si="24"/>
        <v>0</v>
      </c>
      <c r="R131" s="41"/>
      <c r="S131" s="42" t="s">
        <v>2136</v>
      </c>
      <c r="T131" s="11"/>
    </row>
    <row r="132" spans="1:20">
      <c r="A132" t="s">
        <v>30</v>
      </c>
      <c r="B132" s="151" t="s">
        <v>1341</v>
      </c>
      <c r="C132" s="155"/>
      <c r="D132" s="43"/>
      <c r="E132" s="44" t="s">
        <v>158</v>
      </c>
      <c r="F132" s="41"/>
      <c r="G132" s="2" t="s">
        <v>352</v>
      </c>
      <c r="H132" s="83" t="s">
        <v>1344</v>
      </c>
      <c r="I132" s="4" t="s">
        <v>1345</v>
      </c>
      <c r="J132" s="23">
        <v>1</v>
      </c>
      <c r="K132" s="27">
        <v>130000</v>
      </c>
      <c r="L132" s="37"/>
      <c r="M132" s="38">
        <f t="shared" si="19"/>
        <v>0</v>
      </c>
      <c r="N132" s="38">
        <f t="shared" si="23"/>
        <v>0</v>
      </c>
      <c r="O132" s="39"/>
      <c r="P132" s="197" t="s">
        <v>1503</v>
      </c>
      <c r="Q132" s="40">
        <f t="shared" si="24"/>
        <v>0</v>
      </c>
      <c r="R132" s="41"/>
      <c r="S132" s="42" t="s">
        <v>2136</v>
      </c>
      <c r="T132" s="11"/>
    </row>
    <row r="133" spans="1:20">
      <c r="A133" t="s">
        <v>30</v>
      </c>
      <c r="B133" s="151" t="s">
        <v>1385</v>
      </c>
      <c r="C133" s="155"/>
      <c r="D133" s="43"/>
      <c r="E133" s="44" t="s">
        <v>1394</v>
      </c>
      <c r="F133" s="41"/>
      <c r="G133" s="2" t="s">
        <v>1396</v>
      </c>
      <c r="H133" s="83" t="s">
        <v>1389</v>
      </c>
      <c r="I133" s="4" t="s">
        <v>1390</v>
      </c>
      <c r="J133" s="23">
        <v>1</v>
      </c>
      <c r="K133" s="27">
        <v>1400000</v>
      </c>
      <c r="L133" s="37"/>
      <c r="M133" s="38">
        <f t="shared" si="19"/>
        <v>0</v>
      </c>
      <c r="N133" s="38">
        <f t="shared" si="23"/>
        <v>0</v>
      </c>
      <c r="O133" s="39"/>
      <c r="P133" s="197" t="s">
        <v>1504</v>
      </c>
      <c r="Q133" s="40">
        <f t="shared" si="24"/>
        <v>0</v>
      </c>
      <c r="R133" s="41"/>
      <c r="S133" s="42" t="s">
        <v>2136</v>
      </c>
      <c r="T133" s="11"/>
    </row>
    <row r="134" spans="1:20" ht="24">
      <c r="A134" t="s">
        <v>30</v>
      </c>
      <c r="B134" s="151" t="s">
        <v>1395</v>
      </c>
      <c r="C134" s="153"/>
      <c r="D134" s="17">
        <v>45777</v>
      </c>
      <c r="E134" s="1" t="s">
        <v>1393</v>
      </c>
      <c r="F134" s="2"/>
      <c r="G134" s="2" t="s">
        <v>1396</v>
      </c>
      <c r="H134" s="83" t="s">
        <v>1387</v>
      </c>
      <c r="I134" s="4" t="s">
        <v>1388</v>
      </c>
      <c r="J134" s="23">
        <v>1</v>
      </c>
      <c r="K134" s="27">
        <v>1000000</v>
      </c>
      <c r="L134" s="26">
        <f>J134*K134</f>
        <v>1000000</v>
      </c>
      <c r="M134" s="27">
        <f t="shared" si="19"/>
        <v>100000</v>
      </c>
      <c r="N134" s="27">
        <f t="shared" si="23"/>
        <v>1100000</v>
      </c>
      <c r="O134" s="33">
        <f>880000+3800</f>
        <v>883800</v>
      </c>
      <c r="P134" s="197" t="s">
        <v>1954</v>
      </c>
      <c r="Q134" s="20">
        <f t="shared" si="24"/>
        <v>116200</v>
      </c>
      <c r="R134" s="2" t="s">
        <v>1703</v>
      </c>
      <c r="S134" s="8" t="s">
        <v>2136</v>
      </c>
      <c r="T134" s="11"/>
    </row>
    <row r="135" spans="1:20" ht="24">
      <c r="A135" t="s">
        <v>30</v>
      </c>
      <c r="B135" s="151" t="s">
        <v>1386</v>
      </c>
      <c r="C135" s="153"/>
      <c r="D135" s="17">
        <v>45777</v>
      </c>
      <c r="E135" s="1" t="s">
        <v>2177</v>
      </c>
      <c r="F135" s="2"/>
      <c r="G135" s="2" t="s">
        <v>1396</v>
      </c>
      <c r="H135" s="83" t="s">
        <v>1391</v>
      </c>
      <c r="I135" s="4" t="s">
        <v>1392</v>
      </c>
      <c r="J135" s="23">
        <v>3</v>
      </c>
      <c r="K135" s="27">
        <v>120000</v>
      </c>
      <c r="L135" s="26">
        <f>J135*K135</f>
        <v>360000</v>
      </c>
      <c r="M135" s="27">
        <f t="shared" si="19"/>
        <v>36000</v>
      </c>
      <c r="N135" s="27">
        <f t="shared" si="23"/>
        <v>396000</v>
      </c>
      <c r="O135" s="33">
        <f>270000+3800</f>
        <v>273800</v>
      </c>
      <c r="P135" s="197" t="s">
        <v>1953</v>
      </c>
      <c r="Q135" s="20">
        <f t="shared" si="24"/>
        <v>86200</v>
      </c>
      <c r="R135" s="2" t="s">
        <v>1622</v>
      </c>
      <c r="S135" s="8" t="s">
        <v>2136</v>
      </c>
      <c r="T135" s="11"/>
    </row>
    <row r="136" spans="1:20">
      <c r="A136" t="s">
        <v>30</v>
      </c>
      <c r="B136" s="151" t="s">
        <v>1361</v>
      </c>
      <c r="C136" s="153"/>
      <c r="D136" s="17">
        <v>45777</v>
      </c>
      <c r="E136" s="1" t="s">
        <v>1364</v>
      </c>
      <c r="F136" s="2"/>
      <c r="G136" s="2" t="s">
        <v>1365</v>
      </c>
      <c r="H136" s="83" t="s">
        <v>1362</v>
      </c>
      <c r="I136" s="4" t="s">
        <v>1363</v>
      </c>
      <c r="J136" s="23">
        <v>3</v>
      </c>
      <c r="K136" s="27">
        <v>120000</v>
      </c>
      <c r="L136" s="26">
        <f>J136*K136</f>
        <v>360000</v>
      </c>
      <c r="M136" s="27">
        <f t="shared" si="19"/>
        <v>36000</v>
      </c>
      <c r="N136" s="27">
        <f t="shared" si="23"/>
        <v>396000</v>
      </c>
      <c r="O136" s="33">
        <f>300000+6000</f>
        <v>306000</v>
      </c>
      <c r="P136" s="197" t="s">
        <v>1955</v>
      </c>
      <c r="Q136" s="20">
        <f t="shared" si="24"/>
        <v>54000</v>
      </c>
      <c r="R136" s="2" t="s">
        <v>1703</v>
      </c>
      <c r="S136" s="8" t="s">
        <v>2132</v>
      </c>
      <c r="T136" s="11"/>
    </row>
    <row r="137" spans="1:20" ht="24">
      <c r="A137" t="s">
        <v>30</v>
      </c>
      <c r="B137" s="151" t="s">
        <v>1286</v>
      </c>
      <c r="C137" s="153"/>
      <c r="D137" s="17">
        <v>45777</v>
      </c>
      <c r="E137" s="1" t="s">
        <v>2165</v>
      </c>
      <c r="F137" s="2" t="s">
        <v>250</v>
      </c>
      <c r="G137" s="2" t="s">
        <v>352</v>
      </c>
      <c r="H137" s="83" t="s">
        <v>1291</v>
      </c>
      <c r="I137" s="4" t="s">
        <v>1292</v>
      </c>
      <c r="J137" s="23">
        <v>1</v>
      </c>
      <c r="K137" s="27">
        <v>45300000</v>
      </c>
      <c r="L137" s="26">
        <f>J137*K137</f>
        <v>45300000</v>
      </c>
      <c r="M137" s="27">
        <f>L137*10%</f>
        <v>4530000</v>
      </c>
      <c r="N137" s="27">
        <f>SUM(L137:M137)</f>
        <v>49830000</v>
      </c>
      <c r="O137" s="33">
        <v>44400000</v>
      </c>
      <c r="P137" s="197" t="s">
        <v>1474</v>
      </c>
      <c r="Q137" s="20">
        <f>L137-O137</f>
        <v>900000</v>
      </c>
      <c r="R137" s="68" t="s">
        <v>1987</v>
      </c>
      <c r="S137" s="8" t="s">
        <v>2136</v>
      </c>
      <c r="T137" s="11"/>
    </row>
    <row r="138" spans="1:20">
      <c r="A138" t="s">
        <v>30</v>
      </c>
      <c r="B138" s="151" t="s">
        <v>1505</v>
      </c>
      <c r="C138" s="153"/>
      <c r="D138" s="17">
        <v>45777</v>
      </c>
      <c r="E138" s="1" t="s">
        <v>1506</v>
      </c>
      <c r="F138" s="215" t="s">
        <v>269</v>
      </c>
      <c r="G138" s="161" t="s">
        <v>34</v>
      </c>
      <c r="H138" s="161" t="s">
        <v>114</v>
      </c>
      <c r="I138" s="4" t="s">
        <v>1507</v>
      </c>
      <c r="J138" s="23">
        <v>1</v>
      </c>
      <c r="K138" s="27">
        <v>550000</v>
      </c>
      <c r="L138" s="26">
        <f t="shared" si="11"/>
        <v>550000</v>
      </c>
      <c r="M138" s="27">
        <f t="shared" si="12"/>
        <v>55000</v>
      </c>
      <c r="N138" s="27">
        <f t="shared" si="13"/>
        <v>605000</v>
      </c>
      <c r="O138" s="52">
        <v>0</v>
      </c>
      <c r="P138" s="171" t="s">
        <v>115</v>
      </c>
      <c r="Q138" s="20">
        <f t="shared" si="14"/>
        <v>550000</v>
      </c>
      <c r="R138" s="2" t="s">
        <v>1702</v>
      </c>
      <c r="S138" s="8" t="s">
        <v>2135</v>
      </c>
      <c r="T138" s="11"/>
    </row>
    <row r="139" spans="1:20" ht="24">
      <c r="A139" t="s">
        <v>30</v>
      </c>
      <c r="B139" s="151" t="s">
        <v>1358</v>
      </c>
      <c r="C139" s="153"/>
      <c r="D139" s="17">
        <v>45777</v>
      </c>
      <c r="E139" s="1" t="s">
        <v>2167</v>
      </c>
      <c r="F139" s="2"/>
      <c r="G139" s="2" t="s">
        <v>15</v>
      </c>
      <c r="H139" s="83" t="s">
        <v>1359</v>
      </c>
      <c r="I139" s="4" t="s">
        <v>1360</v>
      </c>
      <c r="J139" s="23">
        <v>1</v>
      </c>
      <c r="K139" s="27">
        <v>1350000</v>
      </c>
      <c r="L139" s="26">
        <f>J139*K139</f>
        <v>1350000</v>
      </c>
      <c r="M139" s="27">
        <f>L139*10%</f>
        <v>135000</v>
      </c>
      <c r="N139" s="27">
        <f>SUM(L139:M139)</f>
        <v>1485000</v>
      </c>
      <c r="O139" s="33">
        <v>1250000</v>
      </c>
      <c r="P139" s="197" t="s">
        <v>1730</v>
      </c>
      <c r="Q139" s="20">
        <f>L139-O139</f>
        <v>100000</v>
      </c>
      <c r="R139" s="2" t="s">
        <v>1587</v>
      </c>
      <c r="S139" s="8" t="s">
        <v>2134</v>
      </c>
      <c r="T139" s="11"/>
    </row>
    <row r="140" spans="1:20">
      <c r="A140" t="s">
        <v>30</v>
      </c>
      <c r="B140" s="151"/>
      <c r="C140" s="153"/>
      <c r="D140" s="17"/>
      <c r="E140" s="1"/>
      <c r="F140" s="2"/>
      <c r="G140" s="2"/>
      <c r="H140" s="83"/>
      <c r="I140" s="4"/>
      <c r="J140" s="23"/>
      <c r="K140" s="27"/>
      <c r="L140" s="26">
        <f t="shared" ref="L140:L141" si="25">J140*K140</f>
        <v>0</v>
      </c>
      <c r="M140" s="27">
        <f t="shared" ref="M140:M141" si="26">L140*10%</f>
        <v>0</v>
      </c>
      <c r="N140" s="27">
        <f t="shared" si="13"/>
        <v>0</v>
      </c>
      <c r="O140" s="132"/>
      <c r="P140" s="173"/>
      <c r="Q140" s="20">
        <f t="shared" ref="Q140:Q141" si="27">L140-O140</f>
        <v>0</v>
      </c>
      <c r="R140" s="2"/>
      <c r="S140" s="8"/>
      <c r="T140" s="11"/>
    </row>
    <row r="141" spans="1:20">
      <c r="A141" t="s">
        <v>30</v>
      </c>
      <c r="B141" s="151"/>
      <c r="C141" s="153"/>
      <c r="D141" s="17"/>
      <c r="E141" s="1"/>
      <c r="F141" s="2"/>
      <c r="G141" s="2"/>
      <c r="H141" s="83"/>
      <c r="I141" s="163"/>
      <c r="J141" s="128"/>
      <c r="K141" s="26"/>
      <c r="L141" s="26">
        <f t="shared" si="25"/>
        <v>0</v>
      </c>
      <c r="M141" s="27">
        <f t="shared" si="26"/>
        <v>0</v>
      </c>
      <c r="N141" s="27">
        <f>SUM(L141:M141)</f>
        <v>0</v>
      </c>
      <c r="O141" s="132"/>
      <c r="P141" s="173"/>
      <c r="Q141" s="20">
        <f t="shared" si="27"/>
        <v>0</v>
      </c>
      <c r="R141" s="2"/>
      <c r="S141" s="5"/>
      <c r="T141" s="11"/>
    </row>
    <row r="142" spans="1:20" ht="26.25" customHeight="1" thickBot="1">
      <c r="A142" t="s">
        <v>30</v>
      </c>
      <c r="B142" s="269" t="s">
        <v>32</v>
      </c>
      <c r="C142" s="270"/>
      <c r="D142" s="270"/>
      <c r="E142" s="270"/>
      <c r="F142" s="270"/>
      <c r="G142" s="270"/>
      <c r="H142" s="270"/>
      <c r="I142" s="270"/>
      <c r="J142" s="270"/>
      <c r="K142" s="271"/>
      <c r="L142" s="25">
        <f>SUM(L3:L141)</f>
        <v>274111414</v>
      </c>
      <c r="M142" s="25">
        <f>SUM(M3:M141)</f>
        <v>27411141.699999999</v>
      </c>
      <c r="N142" s="25">
        <f>SUM(N3:N141)</f>
        <v>301522555.69999999</v>
      </c>
      <c r="O142" s="25">
        <f>SUM(O3:O141)</f>
        <v>207889570.56060606</v>
      </c>
      <c r="P142" s="177"/>
      <c r="Q142" s="25">
        <f>SUM(Q3:Q141)</f>
        <v>53721843.439393945</v>
      </c>
      <c r="R142" s="177"/>
      <c r="S142" s="12"/>
      <c r="T142" s="13"/>
    </row>
    <row r="143" spans="1:20">
      <c r="A143" t="s">
        <v>30</v>
      </c>
    </row>
    <row r="144" spans="1:20">
      <c r="A144" t="s">
        <v>30</v>
      </c>
      <c r="D144" s="196">
        <f>COUNTA(D3:D141)</f>
        <v>119</v>
      </c>
      <c r="E144" s="16"/>
      <c r="K144" s="47" t="s">
        <v>56</v>
      </c>
      <c r="L144" s="62">
        <f>SUBTOTAL(109,L3:L141)</f>
        <v>274111414</v>
      </c>
      <c r="M144" s="62">
        <f>SUBTOTAL(109,M3:M141)</f>
        <v>27411141.699999999</v>
      </c>
      <c r="N144" s="62">
        <f>SUBTOTAL(109,N3:N141)</f>
        <v>301522555.69999999</v>
      </c>
      <c r="O144" s="62">
        <f>SUBTOTAL(109,O3:O141)</f>
        <v>207889570.56060606</v>
      </c>
    </row>
    <row r="145" spans="1:26">
      <c r="E145" s="156"/>
      <c r="N145" s="187"/>
      <c r="P145" s="178"/>
    </row>
    <row r="146" spans="1:26">
      <c r="H146" s="156"/>
      <c r="I146" s="156"/>
    </row>
    <row r="147" spans="1:26">
      <c r="L147" s="62"/>
      <c r="M147" s="62"/>
      <c r="N147" s="62"/>
    </row>
    <row r="148" spans="1:26">
      <c r="E148" s="178"/>
      <c r="L148" s="62"/>
      <c r="M148" s="62"/>
      <c r="N148" s="62"/>
    </row>
    <row r="149" spans="1:26">
      <c r="L149" s="62"/>
      <c r="M149" s="62"/>
      <c r="N149" s="62"/>
    </row>
    <row r="150" spans="1:26">
      <c r="L150" s="188"/>
      <c r="M150" s="62"/>
      <c r="N150" s="62"/>
    </row>
    <row r="151" spans="1:26">
      <c r="I151" t="s">
        <v>16</v>
      </c>
      <c r="K151" s="191">
        <f t="shared" ref="K151:K158" si="28">SUMIF($G$3:$G$141,I151,$L$3:$L$141)</f>
        <v>148171784</v>
      </c>
      <c r="N151" s="62"/>
    </row>
    <row r="152" spans="1:26">
      <c r="I152" t="s">
        <v>29</v>
      </c>
      <c r="K152" s="191">
        <f t="shared" si="28"/>
        <v>0</v>
      </c>
      <c r="N152" s="62"/>
    </row>
    <row r="153" spans="1:26">
      <c r="I153" t="s">
        <v>10</v>
      </c>
      <c r="K153" s="191">
        <f t="shared" si="28"/>
        <v>0</v>
      </c>
      <c r="N153" s="62"/>
    </row>
    <row r="154" spans="1:26">
      <c r="I154" t="s">
        <v>34</v>
      </c>
      <c r="K154" s="191">
        <f t="shared" si="28"/>
        <v>13598630</v>
      </c>
      <c r="N154" s="62"/>
    </row>
    <row r="155" spans="1:26">
      <c r="I155" t="s">
        <v>15</v>
      </c>
      <c r="K155" s="191">
        <f t="shared" si="28"/>
        <v>107991000</v>
      </c>
      <c r="N155" s="62"/>
    </row>
    <row r="156" spans="1:26" s="47" customFormat="1">
      <c r="A156"/>
      <c r="B156"/>
      <c r="C156"/>
      <c r="D156" s="15"/>
      <c r="E156"/>
      <c r="F156"/>
      <c r="G156"/>
      <c r="H156"/>
      <c r="I156" t="s">
        <v>35</v>
      </c>
      <c r="J156" s="185"/>
      <c r="K156" s="191">
        <f t="shared" si="28"/>
        <v>4350000</v>
      </c>
      <c r="N156" s="62"/>
      <c r="P156"/>
      <c r="R156"/>
      <c r="S156"/>
      <c r="T156"/>
      <c r="U156"/>
      <c r="V156"/>
      <c r="W156"/>
      <c r="X156"/>
      <c r="Y156"/>
      <c r="Z156"/>
    </row>
    <row r="157" spans="1:26" s="47" customFormat="1">
      <c r="A157"/>
      <c r="B157"/>
      <c r="C157"/>
      <c r="D157" s="15"/>
      <c r="E157"/>
      <c r="F157"/>
      <c r="G157"/>
      <c r="H157"/>
      <c r="I157" t="s">
        <v>36</v>
      </c>
      <c r="J157" s="185"/>
      <c r="K157" s="191">
        <f t="shared" si="28"/>
        <v>0</v>
      </c>
      <c r="P157"/>
      <c r="R157"/>
      <c r="S157"/>
      <c r="T157"/>
      <c r="U157"/>
      <c r="V157"/>
      <c r="W157"/>
      <c r="X157"/>
      <c r="Y157"/>
      <c r="Z157"/>
    </row>
    <row r="158" spans="1:26" s="47" customFormat="1">
      <c r="A158"/>
      <c r="B158"/>
      <c r="C158"/>
      <c r="D158" s="15"/>
      <c r="E158"/>
      <c r="F158"/>
      <c r="G158"/>
      <c r="H158"/>
      <c r="I158"/>
      <c r="J158" s="185"/>
      <c r="K158" s="191">
        <f t="shared" si="28"/>
        <v>0</v>
      </c>
      <c r="P158"/>
      <c r="R158"/>
      <c r="S158"/>
      <c r="T158"/>
      <c r="U158"/>
      <c r="V158"/>
      <c r="W158"/>
      <c r="X158"/>
      <c r="Y158"/>
      <c r="Z158"/>
    </row>
    <row r="159" spans="1:26" s="47" customFormat="1" ht="16.5">
      <c r="A159"/>
      <c r="B159"/>
      <c r="C159"/>
      <c r="D159" s="15"/>
      <c r="E159" s="158"/>
      <c r="F159"/>
      <c r="G159"/>
      <c r="H159"/>
      <c r="I159"/>
      <c r="J159" s="185"/>
      <c r="K159" s="191">
        <f>SUBTOTAL(9,K151:K158)</f>
        <v>274111414</v>
      </c>
      <c r="P159"/>
      <c r="R159"/>
      <c r="S159"/>
      <c r="T159"/>
      <c r="U159"/>
      <c r="V159"/>
      <c r="W159"/>
      <c r="X159"/>
      <c r="Y159"/>
      <c r="Z159"/>
    </row>
  </sheetData>
  <autoFilter ref="A2:Z143" xr:uid="{00000000-0009-0000-0000-00000B000000}"/>
  <mergeCells count="1">
    <mergeCell ref="B142:K142"/>
  </mergeCells>
  <phoneticPr fontId="9" type="noConversion"/>
  <pageMargins left="0.25" right="0.25" top="0.75" bottom="0.75" header="0.3" footer="0.3"/>
  <pageSetup paperSize="9" scale="7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BEB7F-D268-41F7-8F22-CCEBBEA6CB15}">
  <sheetPr codeName="Sheet7"/>
  <dimension ref="A1:Z152"/>
  <sheetViews>
    <sheetView zoomScaleNormal="100" workbookViewId="0">
      <pane ySplit="2" topLeftCell="A110" activePane="bottomLeft" state="frozen"/>
      <selection activeCell="J36" sqref="J36"/>
      <selection pane="bottomLeft" activeCell="O63" sqref="O63"/>
    </sheetView>
  </sheetViews>
  <sheetFormatPr defaultRowHeight="12"/>
  <cols>
    <col min="1" max="1" width="1.28515625" customWidth="1"/>
    <col min="2" max="2" width="11" customWidth="1"/>
    <col min="3" max="3" width="9.140625" customWidth="1"/>
    <col min="4" max="4" width="11.28515625" style="15" customWidth="1"/>
    <col min="5" max="5" width="18.7109375" customWidth="1"/>
    <col min="6" max="6" width="16.140625" customWidth="1"/>
    <col min="7" max="7" width="8.5703125" customWidth="1"/>
    <col min="8" max="8" width="12.42578125" customWidth="1"/>
    <col min="9" max="9" width="43.7109375" customWidth="1"/>
    <col min="10" max="10" width="4.5703125" style="185" customWidth="1"/>
    <col min="11" max="11" width="12.28515625" style="47" customWidth="1"/>
    <col min="12" max="12" width="13.140625" style="47" customWidth="1"/>
    <col min="13" max="13" width="12.28515625" style="47" customWidth="1"/>
    <col min="14" max="15" width="13.140625" style="47" customWidth="1"/>
    <col min="16" max="16" width="34.28515625" customWidth="1"/>
    <col min="17" max="17" width="12.42578125" style="47" customWidth="1"/>
    <col min="18" max="18" width="11.7109375" customWidth="1"/>
    <col min="19" max="19" width="7.85546875" customWidth="1"/>
    <col min="22" max="22" width="10.85546875" bestFit="1" customWidth="1"/>
  </cols>
  <sheetData>
    <row r="1" spans="1:21" ht="27" thickBot="1">
      <c r="B1" s="7" t="str">
        <f>"["&amp;YEAR(D3)&amp;"년 "&amp;MONTH(D3)&amp;"월 매출]"</f>
        <v>[2025년 5월 매출]</v>
      </c>
      <c r="C1" s="7"/>
      <c r="E1" s="156"/>
      <c r="K1" s="62"/>
      <c r="P1" s="156" t="s">
        <v>2124</v>
      </c>
      <c r="R1" s="16" t="s">
        <v>2095</v>
      </c>
    </row>
    <row r="2" spans="1:21" ht="24">
      <c r="B2" s="149" t="s">
        <v>26</v>
      </c>
      <c r="C2" s="150" t="s">
        <v>27</v>
      </c>
      <c r="D2" s="143" t="s">
        <v>17</v>
      </c>
      <c r="E2" s="148" t="s">
        <v>18</v>
      </c>
      <c r="F2" s="159" t="s">
        <v>13</v>
      </c>
      <c r="G2" s="159" t="s">
        <v>0</v>
      </c>
      <c r="H2" s="159" t="s">
        <v>24</v>
      </c>
      <c r="I2" s="160" t="s">
        <v>19</v>
      </c>
      <c r="J2" s="186" t="s">
        <v>11</v>
      </c>
      <c r="K2" s="194" t="s">
        <v>20</v>
      </c>
      <c r="L2" s="129" t="s">
        <v>21</v>
      </c>
      <c r="M2" s="195" t="s">
        <v>23</v>
      </c>
      <c r="N2" s="195" t="s">
        <v>25</v>
      </c>
      <c r="O2" s="194" t="s">
        <v>77</v>
      </c>
      <c r="P2" s="148" t="s">
        <v>28</v>
      </c>
      <c r="Q2" s="129" t="s">
        <v>22</v>
      </c>
      <c r="R2" s="148" t="s">
        <v>8</v>
      </c>
      <c r="S2" s="148" t="s">
        <v>31</v>
      </c>
      <c r="T2" s="131" t="s">
        <v>12</v>
      </c>
    </row>
    <row r="3" spans="1:21">
      <c r="A3" t="s">
        <v>30</v>
      </c>
      <c r="B3" s="151" t="s">
        <v>215</v>
      </c>
      <c r="C3" s="153"/>
      <c r="D3" s="10">
        <v>45778</v>
      </c>
      <c r="E3" s="1" t="s">
        <v>261</v>
      </c>
      <c r="F3" s="2" t="s">
        <v>132</v>
      </c>
      <c r="G3" s="1" t="s">
        <v>16</v>
      </c>
      <c r="H3" s="161" t="s">
        <v>138</v>
      </c>
      <c r="I3" s="164" t="s">
        <v>1404</v>
      </c>
      <c r="J3" s="210">
        <v>1</v>
      </c>
      <c r="K3" s="27">
        <v>1600000</v>
      </c>
      <c r="L3" s="26">
        <f t="shared" ref="L3:L18" si="0">J3*K3</f>
        <v>1600000</v>
      </c>
      <c r="M3" s="27">
        <f t="shared" ref="M3:M19" si="1">L3*10%</f>
        <v>160000</v>
      </c>
      <c r="N3" s="27">
        <f t="shared" ref="N3:N19" si="2">SUM(L3:M3)</f>
        <v>1760000</v>
      </c>
      <c r="O3" s="52">
        <f>1123962+259896</f>
        <v>1383858</v>
      </c>
      <c r="P3" s="170" t="s">
        <v>1553</v>
      </c>
      <c r="Q3" s="181">
        <f t="shared" ref="Q3:Q19" si="3">L3-O3</f>
        <v>216142</v>
      </c>
      <c r="R3" s="68" t="s">
        <v>1902</v>
      </c>
      <c r="S3" s="8" t="s">
        <v>2136</v>
      </c>
      <c r="T3" s="11"/>
    </row>
    <row r="4" spans="1:21" ht="24">
      <c r="A4" t="s">
        <v>30</v>
      </c>
      <c r="B4" s="151" t="s">
        <v>313</v>
      </c>
      <c r="C4" s="153"/>
      <c r="D4" s="10">
        <v>45778</v>
      </c>
      <c r="E4" s="1" t="s">
        <v>312</v>
      </c>
      <c r="F4" s="2"/>
      <c r="G4" s="1" t="s">
        <v>16</v>
      </c>
      <c r="H4" s="1" t="s">
        <v>138</v>
      </c>
      <c r="I4" s="4" t="s">
        <v>1405</v>
      </c>
      <c r="J4" s="210">
        <v>1</v>
      </c>
      <c r="K4" s="27">
        <v>507500</v>
      </c>
      <c r="L4" s="26">
        <f t="shared" si="0"/>
        <v>507500</v>
      </c>
      <c r="M4" s="27">
        <f t="shared" si="1"/>
        <v>50750</v>
      </c>
      <c r="N4" s="27">
        <f t="shared" si="2"/>
        <v>558250</v>
      </c>
      <c r="O4" s="52">
        <f>316682+800000/8</f>
        <v>416682</v>
      </c>
      <c r="P4" s="170" t="s">
        <v>1554</v>
      </c>
      <c r="Q4" s="181">
        <f t="shared" si="3"/>
        <v>90818</v>
      </c>
      <c r="R4" s="2" t="s">
        <v>1703</v>
      </c>
      <c r="S4" s="8" t="s">
        <v>2136</v>
      </c>
      <c r="T4" s="11"/>
    </row>
    <row r="5" spans="1:21" ht="48">
      <c r="A5" t="s">
        <v>30</v>
      </c>
      <c r="B5" s="151" t="s">
        <v>329</v>
      </c>
      <c r="C5" s="152" t="s">
        <v>322</v>
      </c>
      <c r="D5" s="10">
        <v>45778</v>
      </c>
      <c r="E5" s="157" t="s">
        <v>2213</v>
      </c>
      <c r="F5" s="157"/>
      <c r="G5" s="1" t="s">
        <v>16</v>
      </c>
      <c r="H5" s="1" t="s">
        <v>195</v>
      </c>
      <c r="I5" s="3" t="s">
        <v>1406</v>
      </c>
      <c r="J5" s="211">
        <v>1</v>
      </c>
      <c r="K5" s="26">
        <v>1554500</v>
      </c>
      <c r="L5" s="26">
        <f t="shared" si="0"/>
        <v>1554500</v>
      </c>
      <c r="M5" s="27">
        <f t="shared" si="1"/>
        <v>155450</v>
      </c>
      <c r="N5" s="27">
        <f t="shared" si="2"/>
        <v>1709950</v>
      </c>
      <c r="O5" s="52">
        <f>171600+6000000/12+436400+200000</f>
        <v>1308000</v>
      </c>
      <c r="P5" s="171" t="s">
        <v>2087</v>
      </c>
      <c r="Q5" s="181">
        <f t="shared" si="3"/>
        <v>246500</v>
      </c>
      <c r="R5" s="68" t="s">
        <v>1703</v>
      </c>
      <c r="S5" s="5" t="s">
        <v>2136</v>
      </c>
      <c r="T5" s="6"/>
    </row>
    <row r="6" spans="1:21">
      <c r="A6" t="s">
        <v>30</v>
      </c>
      <c r="B6" s="151" t="s">
        <v>338</v>
      </c>
      <c r="C6" s="152" t="s">
        <v>321</v>
      </c>
      <c r="D6" s="10">
        <v>45778</v>
      </c>
      <c r="E6" s="1" t="s">
        <v>2212</v>
      </c>
      <c r="F6" s="1"/>
      <c r="G6" s="1" t="s">
        <v>16</v>
      </c>
      <c r="H6" s="161" t="s">
        <v>80</v>
      </c>
      <c r="I6" s="164" t="s">
        <v>1407</v>
      </c>
      <c r="J6" s="69">
        <v>1</v>
      </c>
      <c r="K6" s="29">
        <v>1423000</v>
      </c>
      <c r="L6" s="26">
        <f t="shared" si="0"/>
        <v>1423000</v>
      </c>
      <c r="M6" s="27">
        <f t="shared" si="1"/>
        <v>142300</v>
      </c>
      <c r="N6" s="27">
        <f t="shared" si="2"/>
        <v>1565300</v>
      </c>
      <c r="O6" s="52">
        <v>1120200</v>
      </c>
      <c r="P6" s="171" t="s">
        <v>1705</v>
      </c>
      <c r="Q6" s="181">
        <f t="shared" si="3"/>
        <v>302800</v>
      </c>
      <c r="R6" s="2" t="s">
        <v>1589</v>
      </c>
      <c r="S6" s="5" t="s">
        <v>2136</v>
      </c>
      <c r="T6" s="6"/>
    </row>
    <row r="7" spans="1:21" ht="24">
      <c r="A7" t="s">
        <v>30</v>
      </c>
      <c r="B7" s="151" t="s">
        <v>320</v>
      </c>
      <c r="C7" s="153"/>
      <c r="D7" s="10">
        <v>45778</v>
      </c>
      <c r="E7" s="1" t="s">
        <v>5</v>
      </c>
      <c r="F7" s="2" t="s">
        <v>315</v>
      </c>
      <c r="G7" s="1" t="s">
        <v>16</v>
      </c>
      <c r="H7" s="161" t="s">
        <v>80</v>
      </c>
      <c r="I7" s="164" t="s">
        <v>1407</v>
      </c>
      <c r="J7" s="210">
        <v>1</v>
      </c>
      <c r="K7" s="27">
        <v>238000</v>
      </c>
      <c r="L7" s="26">
        <f t="shared" si="0"/>
        <v>238000</v>
      </c>
      <c r="M7" s="27">
        <f t="shared" si="1"/>
        <v>23800</v>
      </c>
      <c r="N7" s="27">
        <f t="shared" si="2"/>
        <v>261800</v>
      </c>
      <c r="O7" s="52">
        <v>198018</v>
      </c>
      <c r="P7" s="170" t="s">
        <v>1555</v>
      </c>
      <c r="Q7" s="181">
        <f t="shared" si="3"/>
        <v>39982</v>
      </c>
      <c r="R7" s="2" t="s">
        <v>1703</v>
      </c>
      <c r="S7" s="5" t="s">
        <v>2136</v>
      </c>
      <c r="T7" s="11"/>
    </row>
    <row r="8" spans="1:21">
      <c r="A8" t="s">
        <v>30</v>
      </c>
      <c r="B8" s="151" t="s">
        <v>474</v>
      </c>
      <c r="C8" s="153"/>
      <c r="D8" s="10">
        <v>45778</v>
      </c>
      <c r="E8" s="1" t="s">
        <v>589</v>
      </c>
      <c r="F8" s="2" t="s">
        <v>471</v>
      </c>
      <c r="G8" s="1" t="s">
        <v>16</v>
      </c>
      <c r="H8" s="161" t="s">
        <v>138</v>
      </c>
      <c r="I8" s="4" t="s">
        <v>1408</v>
      </c>
      <c r="J8" s="23">
        <v>1</v>
      </c>
      <c r="K8" s="26">
        <v>1039500</v>
      </c>
      <c r="L8" s="26">
        <f t="shared" si="0"/>
        <v>1039500</v>
      </c>
      <c r="M8" s="27">
        <f t="shared" si="1"/>
        <v>103950</v>
      </c>
      <c r="N8" s="27">
        <f t="shared" si="2"/>
        <v>1143450</v>
      </c>
      <c r="O8" s="33">
        <v>990000</v>
      </c>
      <c r="P8" s="170" t="s">
        <v>1555</v>
      </c>
      <c r="Q8" s="20">
        <f t="shared" si="3"/>
        <v>49500</v>
      </c>
      <c r="R8" s="2" t="s">
        <v>1580</v>
      </c>
      <c r="S8" s="8" t="s">
        <v>2136</v>
      </c>
      <c r="T8" s="11"/>
      <c r="U8" t="s">
        <v>476</v>
      </c>
    </row>
    <row r="9" spans="1:21">
      <c r="A9" t="s">
        <v>30</v>
      </c>
      <c r="B9" s="151" t="s">
        <v>397</v>
      </c>
      <c r="C9" s="153"/>
      <c r="D9" s="10">
        <v>45778</v>
      </c>
      <c r="E9" s="1" t="s">
        <v>393</v>
      </c>
      <c r="F9" s="2" t="s">
        <v>394</v>
      </c>
      <c r="G9" s="161" t="s">
        <v>16</v>
      </c>
      <c r="H9" s="161" t="s">
        <v>138</v>
      </c>
      <c r="I9" s="4" t="s">
        <v>1409</v>
      </c>
      <c r="J9" s="23">
        <v>1</v>
      </c>
      <c r="K9" s="27">
        <v>158400</v>
      </c>
      <c r="L9" s="26">
        <f t="shared" si="0"/>
        <v>158400</v>
      </c>
      <c r="M9" s="27">
        <f t="shared" si="1"/>
        <v>15840</v>
      </c>
      <c r="N9" s="27">
        <f t="shared" si="2"/>
        <v>174240</v>
      </c>
      <c r="O9" s="33">
        <v>145780</v>
      </c>
      <c r="P9" s="170" t="s">
        <v>1555</v>
      </c>
      <c r="Q9" s="20">
        <f t="shared" si="3"/>
        <v>12620</v>
      </c>
      <c r="R9" s="2" t="s">
        <v>1468</v>
      </c>
      <c r="S9" s="8" t="s">
        <v>2136</v>
      </c>
      <c r="T9" s="11"/>
    </row>
    <row r="10" spans="1:21" ht="24">
      <c r="A10" t="s">
        <v>30</v>
      </c>
      <c r="B10" s="151" t="s">
        <v>172</v>
      </c>
      <c r="C10" s="152"/>
      <c r="D10" s="10">
        <v>45778</v>
      </c>
      <c r="E10" s="1" t="s">
        <v>166</v>
      </c>
      <c r="F10" s="161" t="s">
        <v>164</v>
      </c>
      <c r="G10" s="161" t="s">
        <v>16</v>
      </c>
      <c r="H10" s="161" t="s">
        <v>81</v>
      </c>
      <c r="I10" s="163" t="s">
        <v>1410</v>
      </c>
      <c r="J10" s="71">
        <v>1</v>
      </c>
      <c r="K10" s="26">
        <f>280000+2*120000</f>
        <v>520000</v>
      </c>
      <c r="L10" s="26">
        <f t="shared" si="0"/>
        <v>520000</v>
      </c>
      <c r="M10" s="27">
        <f t="shared" si="1"/>
        <v>52000</v>
      </c>
      <c r="N10" s="27">
        <f t="shared" si="2"/>
        <v>572000</v>
      </c>
      <c r="O10" s="52">
        <f>213400+155200</f>
        <v>368600</v>
      </c>
      <c r="P10" s="171" t="s">
        <v>1411</v>
      </c>
      <c r="Q10" s="181">
        <f t="shared" si="3"/>
        <v>151400</v>
      </c>
      <c r="R10" s="68" t="s">
        <v>1703</v>
      </c>
      <c r="S10" s="5" t="s">
        <v>2133</v>
      </c>
      <c r="T10" s="6"/>
    </row>
    <row r="11" spans="1:21">
      <c r="A11" t="s">
        <v>30</v>
      </c>
      <c r="B11" s="151" t="s">
        <v>173</v>
      </c>
      <c r="C11" s="152"/>
      <c r="D11" s="10">
        <v>45778</v>
      </c>
      <c r="E11" s="1" t="s">
        <v>262</v>
      </c>
      <c r="F11" s="161" t="s">
        <v>165</v>
      </c>
      <c r="G11" s="161" t="s">
        <v>16</v>
      </c>
      <c r="H11" s="161" t="s">
        <v>81</v>
      </c>
      <c r="I11" s="163" t="s">
        <v>1413</v>
      </c>
      <c r="J11" s="71">
        <v>1</v>
      </c>
      <c r="K11" s="26">
        <v>320000</v>
      </c>
      <c r="L11" s="26">
        <f t="shared" si="0"/>
        <v>320000</v>
      </c>
      <c r="M11" s="27">
        <f t="shared" si="1"/>
        <v>32000</v>
      </c>
      <c r="N11" s="27">
        <f t="shared" si="2"/>
        <v>352000</v>
      </c>
      <c r="O11" s="52">
        <f>145500+77600</f>
        <v>223100</v>
      </c>
      <c r="P11" s="171" t="s">
        <v>1412</v>
      </c>
      <c r="Q11" s="181">
        <f t="shared" si="3"/>
        <v>96900</v>
      </c>
      <c r="R11" s="68" t="s">
        <v>1734</v>
      </c>
      <c r="S11" s="5" t="s">
        <v>2133</v>
      </c>
      <c r="T11" s="6"/>
    </row>
    <row r="12" spans="1:21">
      <c r="A12" t="s">
        <v>30</v>
      </c>
      <c r="B12" s="151" t="s">
        <v>175</v>
      </c>
      <c r="C12" s="152"/>
      <c r="D12" s="10">
        <v>45778</v>
      </c>
      <c r="E12" s="1" t="s">
        <v>163</v>
      </c>
      <c r="F12" s="1" t="s">
        <v>163</v>
      </c>
      <c r="G12" s="161" t="s">
        <v>16</v>
      </c>
      <c r="H12" s="161" t="s">
        <v>81</v>
      </c>
      <c r="I12" s="163" t="s">
        <v>1414</v>
      </c>
      <c r="J12" s="71">
        <v>1</v>
      </c>
      <c r="K12" s="28">
        <v>100000</v>
      </c>
      <c r="L12" s="26">
        <f t="shared" si="0"/>
        <v>100000</v>
      </c>
      <c r="M12" s="27">
        <f t="shared" si="1"/>
        <v>10000</v>
      </c>
      <c r="N12" s="27">
        <f t="shared" si="2"/>
        <v>110000</v>
      </c>
      <c r="O12" s="52">
        <v>0</v>
      </c>
      <c r="P12" s="171" t="s">
        <v>129</v>
      </c>
      <c r="Q12" s="181">
        <f t="shared" si="3"/>
        <v>100000</v>
      </c>
      <c r="R12" s="68" t="s">
        <v>1811</v>
      </c>
      <c r="S12" s="5" t="s">
        <v>2133</v>
      </c>
      <c r="T12" s="6"/>
    </row>
    <row r="13" spans="1:21" ht="24">
      <c r="A13" t="s">
        <v>30</v>
      </c>
      <c r="B13" s="151" t="s">
        <v>146</v>
      </c>
      <c r="C13" s="153"/>
      <c r="D13" s="10">
        <v>45778</v>
      </c>
      <c r="E13" s="1" t="s">
        <v>141</v>
      </c>
      <c r="F13" s="161" t="s">
        <v>814</v>
      </c>
      <c r="G13" s="1" t="s">
        <v>16</v>
      </c>
      <c r="H13" s="161" t="s">
        <v>138</v>
      </c>
      <c r="I13" s="162" t="s">
        <v>1415</v>
      </c>
      <c r="J13" s="74">
        <v>1</v>
      </c>
      <c r="K13" s="27">
        <v>635000</v>
      </c>
      <c r="L13" s="26">
        <f t="shared" si="0"/>
        <v>635000</v>
      </c>
      <c r="M13" s="27">
        <f t="shared" si="1"/>
        <v>63500</v>
      </c>
      <c r="N13" s="27">
        <f t="shared" si="2"/>
        <v>698500</v>
      </c>
      <c r="O13" s="52">
        <v>564192</v>
      </c>
      <c r="P13" s="170" t="s">
        <v>1555</v>
      </c>
      <c r="Q13" s="181">
        <f t="shared" si="3"/>
        <v>70808</v>
      </c>
      <c r="R13" s="68" t="s">
        <v>1719</v>
      </c>
      <c r="S13" s="8" t="s">
        <v>2136</v>
      </c>
      <c r="T13" s="11"/>
    </row>
    <row r="14" spans="1:21" ht="36">
      <c r="A14" t="s">
        <v>30</v>
      </c>
      <c r="B14" s="151" t="s">
        <v>174</v>
      </c>
      <c r="C14" s="152"/>
      <c r="D14" s="10">
        <v>45778</v>
      </c>
      <c r="E14" s="1" t="s">
        <v>162</v>
      </c>
      <c r="F14" s="1" t="s">
        <v>162</v>
      </c>
      <c r="G14" s="161" t="s">
        <v>16</v>
      </c>
      <c r="H14" s="161" t="s">
        <v>81</v>
      </c>
      <c r="I14" s="163" t="s">
        <v>1403</v>
      </c>
      <c r="J14" s="71">
        <v>1</v>
      </c>
      <c r="K14" s="26">
        <v>1200000</v>
      </c>
      <c r="L14" s="26">
        <f t="shared" si="0"/>
        <v>1200000</v>
      </c>
      <c r="M14" s="27">
        <f t="shared" si="1"/>
        <v>120000</v>
      </c>
      <c r="N14" s="27">
        <f t="shared" si="2"/>
        <v>1320000</v>
      </c>
      <c r="O14" s="52">
        <f>4800000/6+13000</f>
        <v>813000</v>
      </c>
      <c r="P14" s="171" t="s">
        <v>1943</v>
      </c>
      <c r="Q14" s="181">
        <f t="shared" si="3"/>
        <v>387000</v>
      </c>
      <c r="R14" s="68" t="s">
        <v>1703</v>
      </c>
      <c r="S14" s="5" t="s">
        <v>2133</v>
      </c>
      <c r="T14" s="6"/>
    </row>
    <row r="15" spans="1:21" ht="12" customHeight="1">
      <c r="A15" t="s">
        <v>30</v>
      </c>
      <c r="B15" s="151" t="s">
        <v>294</v>
      </c>
      <c r="C15" s="153"/>
      <c r="D15" s="10">
        <v>45778</v>
      </c>
      <c r="E15" s="1" t="s">
        <v>2140</v>
      </c>
      <c r="F15" s="161"/>
      <c r="G15" s="1" t="s">
        <v>16</v>
      </c>
      <c r="H15" s="161" t="s">
        <v>81</v>
      </c>
      <c r="I15" s="3" t="s">
        <v>1403</v>
      </c>
      <c r="J15" s="74">
        <v>1</v>
      </c>
      <c r="K15" s="27">
        <v>300000</v>
      </c>
      <c r="L15" s="26">
        <f t="shared" si="0"/>
        <v>300000</v>
      </c>
      <c r="M15" s="27">
        <f t="shared" si="1"/>
        <v>30000</v>
      </c>
      <c r="N15" s="27">
        <f t="shared" si="2"/>
        <v>330000</v>
      </c>
      <c r="O15" s="52">
        <v>0</v>
      </c>
      <c r="P15" s="171" t="s">
        <v>129</v>
      </c>
      <c r="Q15" s="181">
        <f t="shared" si="3"/>
        <v>300000</v>
      </c>
      <c r="R15" s="2" t="s">
        <v>1536</v>
      </c>
      <c r="S15" s="8" t="s">
        <v>2136</v>
      </c>
      <c r="T15" s="11"/>
    </row>
    <row r="16" spans="1:21" ht="96">
      <c r="A16" t="s">
        <v>30</v>
      </c>
      <c r="B16" s="151" t="s">
        <v>364</v>
      </c>
      <c r="C16" s="200"/>
      <c r="D16" s="17">
        <v>45782</v>
      </c>
      <c r="E16" s="1" t="s">
        <v>2194</v>
      </c>
      <c r="F16" s="161"/>
      <c r="G16" s="1" t="s">
        <v>16</v>
      </c>
      <c r="H16" s="161" t="s">
        <v>81</v>
      </c>
      <c r="I16" s="3" t="s">
        <v>1128</v>
      </c>
      <c r="J16" s="210">
        <v>1</v>
      </c>
      <c r="K16" s="26">
        <v>7060000</v>
      </c>
      <c r="L16" s="26">
        <f t="shared" si="0"/>
        <v>7060000</v>
      </c>
      <c r="M16" s="67">
        <f t="shared" si="1"/>
        <v>706000</v>
      </c>
      <c r="N16" s="27">
        <f t="shared" si="2"/>
        <v>7766000</v>
      </c>
      <c r="O16" s="52">
        <f>691781+300000+70000+1000000/12+810000+352900+7000000/5</f>
        <v>3708014.333333333</v>
      </c>
      <c r="P16" s="171" t="s">
        <v>2121</v>
      </c>
      <c r="Q16" s="181">
        <f t="shared" si="3"/>
        <v>3351985.666666667</v>
      </c>
      <c r="R16" s="68" t="s">
        <v>1703</v>
      </c>
      <c r="S16" s="5" t="s">
        <v>2133</v>
      </c>
      <c r="T16" s="6"/>
    </row>
    <row r="17" spans="1:20">
      <c r="A17" t="s">
        <v>30</v>
      </c>
      <c r="B17" s="151" t="s">
        <v>2034</v>
      </c>
      <c r="C17" s="153"/>
      <c r="D17" s="17">
        <v>45784</v>
      </c>
      <c r="E17" s="1" t="s">
        <v>2198</v>
      </c>
      <c r="F17" s="2" t="s">
        <v>1463</v>
      </c>
      <c r="G17" s="2" t="s">
        <v>1464</v>
      </c>
      <c r="H17" s="83" t="s">
        <v>1465</v>
      </c>
      <c r="I17" s="4" t="s">
        <v>1467</v>
      </c>
      <c r="J17" s="23">
        <v>1</v>
      </c>
      <c r="K17" s="27">
        <v>3570000</v>
      </c>
      <c r="L17" s="26">
        <f t="shared" si="0"/>
        <v>3570000</v>
      </c>
      <c r="M17" s="27">
        <f t="shared" si="1"/>
        <v>357000</v>
      </c>
      <c r="N17" s="27">
        <f t="shared" si="2"/>
        <v>3927000</v>
      </c>
      <c r="O17" s="33">
        <v>3490000</v>
      </c>
      <c r="P17" s="197" t="s">
        <v>2189</v>
      </c>
      <c r="Q17" s="20">
        <f t="shared" si="3"/>
        <v>80000</v>
      </c>
      <c r="R17" s="68" t="s">
        <v>1902</v>
      </c>
      <c r="S17" s="8" t="s">
        <v>2133</v>
      </c>
      <c r="T17" s="11"/>
    </row>
    <row r="18" spans="1:20">
      <c r="A18" t="s">
        <v>30</v>
      </c>
      <c r="B18" s="151" t="s">
        <v>2034</v>
      </c>
      <c r="C18" s="153"/>
      <c r="D18" s="17">
        <v>45784</v>
      </c>
      <c r="E18" s="1" t="s">
        <v>2198</v>
      </c>
      <c r="F18" s="2" t="s">
        <v>1463</v>
      </c>
      <c r="G18" s="2" t="s">
        <v>1464</v>
      </c>
      <c r="H18" s="83" t="s">
        <v>1465</v>
      </c>
      <c r="I18" s="4" t="s">
        <v>1466</v>
      </c>
      <c r="J18" s="23">
        <v>1</v>
      </c>
      <c r="K18" s="27">
        <v>1800000</v>
      </c>
      <c r="L18" s="26">
        <f t="shared" si="0"/>
        <v>1800000</v>
      </c>
      <c r="M18" s="27">
        <f t="shared" si="1"/>
        <v>180000</v>
      </c>
      <c r="N18" s="27">
        <f t="shared" si="2"/>
        <v>1980000</v>
      </c>
      <c r="O18" s="33">
        <v>1760000</v>
      </c>
      <c r="P18" s="197" t="s">
        <v>2189</v>
      </c>
      <c r="Q18" s="20">
        <f t="shared" si="3"/>
        <v>40000</v>
      </c>
      <c r="R18" s="68" t="s">
        <v>1902</v>
      </c>
      <c r="S18" s="8" t="s">
        <v>2133</v>
      </c>
      <c r="T18" s="11"/>
    </row>
    <row r="19" spans="1:20" ht="12" customHeight="1">
      <c r="A19" t="s">
        <v>30</v>
      </c>
      <c r="B19" s="151" t="s">
        <v>113</v>
      </c>
      <c r="C19" s="200"/>
      <c r="D19" s="17">
        <v>45784</v>
      </c>
      <c r="E19" s="1" t="s">
        <v>367</v>
      </c>
      <c r="F19" s="2" t="s">
        <v>372</v>
      </c>
      <c r="G19" s="161" t="s">
        <v>34</v>
      </c>
      <c r="H19" s="161" t="s">
        <v>114</v>
      </c>
      <c r="I19" s="3" t="s">
        <v>1416</v>
      </c>
      <c r="J19" s="32">
        <v>1</v>
      </c>
      <c r="K19" s="48">
        <v>360000</v>
      </c>
      <c r="L19" s="26">
        <v>720000</v>
      </c>
      <c r="M19" s="27">
        <f t="shared" si="1"/>
        <v>72000</v>
      </c>
      <c r="N19" s="27">
        <f t="shared" si="2"/>
        <v>792000</v>
      </c>
      <c r="O19" s="52">
        <v>0</v>
      </c>
      <c r="P19" s="171" t="s">
        <v>115</v>
      </c>
      <c r="Q19" s="181">
        <f t="shared" si="3"/>
        <v>720000</v>
      </c>
      <c r="R19" s="202" t="s">
        <v>1622</v>
      </c>
      <c r="S19" s="5" t="s">
        <v>2135</v>
      </c>
      <c r="T19" s="6"/>
    </row>
    <row r="20" spans="1:20">
      <c r="A20" t="s">
        <v>30</v>
      </c>
      <c r="B20" s="151" t="s">
        <v>113</v>
      </c>
      <c r="C20" s="155"/>
      <c r="D20" s="43"/>
      <c r="E20" s="44" t="s">
        <v>367</v>
      </c>
      <c r="F20" s="41" t="s">
        <v>368</v>
      </c>
      <c r="G20" s="161" t="s">
        <v>34</v>
      </c>
      <c r="H20" s="161" t="s">
        <v>114</v>
      </c>
      <c r="I20" s="3" t="s">
        <v>1416</v>
      </c>
      <c r="J20" s="23">
        <v>1</v>
      </c>
      <c r="K20" s="27">
        <v>360000</v>
      </c>
      <c r="L20" s="37"/>
      <c r="M20" s="38"/>
      <c r="N20" s="38"/>
      <c r="O20" s="39"/>
      <c r="P20" s="175"/>
      <c r="Q20" s="40"/>
      <c r="R20" s="41"/>
      <c r="S20" s="42"/>
      <c r="T20" s="11"/>
    </row>
    <row r="21" spans="1:20">
      <c r="A21" t="s">
        <v>30</v>
      </c>
      <c r="B21" s="151" t="s">
        <v>369</v>
      </c>
      <c r="C21" s="153"/>
      <c r="D21" s="17">
        <v>45784</v>
      </c>
      <c r="E21" s="1" t="s">
        <v>2198</v>
      </c>
      <c r="F21" s="2"/>
      <c r="G21" s="1" t="s">
        <v>16</v>
      </c>
      <c r="H21" s="161" t="s">
        <v>81</v>
      </c>
      <c r="I21" s="4" t="s">
        <v>1417</v>
      </c>
      <c r="J21" s="210">
        <v>1</v>
      </c>
      <c r="K21" s="27">
        <v>1100000</v>
      </c>
      <c r="L21" s="26">
        <f t="shared" ref="L21:L41" si="4">J21*K21</f>
        <v>1100000</v>
      </c>
      <c r="M21" s="27">
        <f t="shared" ref="M21:M42" si="5">L21*10%</f>
        <v>110000</v>
      </c>
      <c r="N21" s="27">
        <f t="shared" ref="N21:N42" si="6">SUM(L21:M21)</f>
        <v>1210000</v>
      </c>
      <c r="O21" s="33">
        <v>1060000</v>
      </c>
      <c r="P21" s="197" t="s">
        <v>2189</v>
      </c>
      <c r="Q21" s="20">
        <f t="shared" ref="Q21:Q42" si="7">L21-O21</f>
        <v>40000</v>
      </c>
      <c r="R21" s="68" t="s">
        <v>1902</v>
      </c>
      <c r="S21" s="36" t="s">
        <v>2133</v>
      </c>
      <c r="T21" s="11"/>
    </row>
    <row r="22" spans="1:20" ht="24">
      <c r="A22" t="s">
        <v>30</v>
      </c>
      <c r="B22" s="151" t="s">
        <v>1528</v>
      </c>
      <c r="C22" s="153"/>
      <c r="D22" s="17">
        <v>45785</v>
      </c>
      <c r="E22" s="1" t="s">
        <v>2199</v>
      </c>
      <c r="F22" s="2"/>
      <c r="G22" s="2" t="s">
        <v>15</v>
      </c>
      <c r="H22" s="83" t="s">
        <v>1529</v>
      </c>
      <c r="I22" s="4" t="s">
        <v>1530</v>
      </c>
      <c r="J22" s="23">
        <v>2</v>
      </c>
      <c r="K22" s="27">
        <v>170000</v>
      </c>
      <c r="L22" s="26">
        <f t="shared" si="4"/>
        <v>340000</v>
      </c>
      <c r="M22" s="27">
        <f t="shared" si="5"/>
        <v>34000</v>
      </c>
      <c r="N22" s="27">
        <f t="shared" si="6"/>
        <v>374000</v>
      </c>
      <c r="O22" s="33">
        <f>250000+18000</f>
        <v>268000</v>
      </c>
      <c r="P22" s="197" t="s">
        <v>1944</v>
      </c>
      <c r="Q22" s="20">
        <f t="shared" si="7"/>
        <v>72000</v>
      </c>
      <c r="R22" s="2" t="s">
        <v>1902</v>
      </c>
      <c r="S22" s="8" t="s">
        <v>2136</v>
      </c>
      <c r="T22" s="11"/>
    </row>
    <row r="23" spans="1:20">
      <c r="A23" t="s">
        <v>30</v>
      </c>
      <c r="B23" s="151" t="s">
        <v>113</v>
      </c>
      <c r="C23" s="200"/>
      <c r="D23" s="10">
        <v>45787</v>
      </c>
      <c r="E23" s="1" t="s">
        <v>2204</v>
      </c>
      <c r="F23" s="161" t="s">
        <v>267</v>
      </c>
      <c r="G23" s="161" t="s">
        <v>34</v>
      </c>
      <c r="H23" s="161" t="s">
        <v>114</v>
      </c>
      <c r="I23" s="163" t="s">
        <v>1418</v>
      </c>
      <c r="J23" s="71">
        <v>1</v>
      </c>
      <c r="K23" s="26">
        <v>6394500</v>
      </c>
      <c r="L23" s="26">
        <f t="shared" si="4"/>
        <v>6394500</v>
      </c>
      <c r="M23" s="27">
        <f t="shared" si="5"/>
        <v>639450</v>
      </c>
      <c r="N23" s="27">
        <f t="shared" si="6"/>
        <v>7033950</v>
      </c>
      <c r="O23" s="52">
        <v>0</v>
      </c>
      <c r="P23" s="171" t="s">
        <v>115</v>
      </c>
      <c r="Q23" s="181">
        <f t="shared" si="7"/>
        <v>6394500</v>
      </c>
      <c r="R23" s="202" t="s">
        <v>1562</v>
      </c>
      <c r="S23" s="5" t="s">
        <v>2135</v>
      </c>
      <c r="T23" s="6"/>
    </row>
    <row r="24" spans="1:20" ht="12" customHeight="1">
      <c r="A24" t="s">
        <v>30</v>
      </c>
      <c r="B24" s="151" t="s">
        <v>113</v>
      </c>
      <c r="C24" s="200"/>
      <c r="D24" s="10">
        <v>45789</v>
      </c>
      <c r="E24" s="1" t="s">
        <v>365</v>
      </c>
      <c r="F24" s="2" t="s">
        <v>366</v>
      </c>
      <c r="G24" s="161" t="s">
        <v>34</v>
      </c>
      <c r="H24" s="161" t="s">
        <v>114</v>
      </c>
      <c r="I24" s="3" t="s">
        <v>2093</v>
      </c>
      <c r="J24" s="32">
        <v>1</v>
      </c>
      <c r="K24" s="48">
        <v>400000</v>
      </c>
      <c r="L24" s="26">
        <f t="shared" si="4"/>
        <v>400000</v>
      </c>
      <c r="M24" s="27">
        <f t="shared" si="5"/>
        <v>40000</v>
      </c>
      <c r="N24" s="27">
        <f t="shared" si="6"/>
        <v>440000</v>
      </c>
      <c r="O24" s="52">
        <v>0</v>
      </c>
      <c r="P24" s="171" t="s">
        <v>115</v>
      </c>
      <c r="Q24" s="181">
        <f t="shared" si="7"/>
        <v>400000</v>
      </c>
      <c r="R24" s="68" t="s">
        <v>1717</v>
      </c>
      <c r="S24" s="5" t="s">
        <v>2135</v>
      </c>
      <c r="T24" s="6"/>
    </row>
    <row r="25" spans="1:20">
      <c r="A25" t="s">
        <v>30</v>
      </c>
      <c r="B25" s="151" t="s">
        <v>1531</v>
      </c>
      <c r="C25" s="153"/>
      <c r="D25" s="17">
        <v>45791</v>
      </c>
      <c r="E25" s="1" t="s">
        <v>1532</v>
      </c>
      <c r="F25" s="2"/>
      <c r="G25" s="2" t="s">
        <v>1533</v>
      </c>
      <c r="H25" s="83" t="s">
        <v>1534</v>
      </c>
      <c r="I25" s="4" t="s">
        <v>1535</v>
      </c>
      <c r="J25" s="23">
        <v>2</v>
      </c>
      <c r="K25" s="27">
        <v>270000</v>
      </c>
      <c r="L25" s="26">
        <f t="shared" si="4"/>
        <v>540000</v>
      </c>
      <c r="M25" s="27">
        <f t="shared" si="5"/>
        <v>54000</v>
      </c>
      <c r="N25" s="27">
        <f t="shared" si="6"/>
        <v>594000</v>
      </c>
      <c r="O25" s="33">
        <v>400000</v>
      </c>
      <c r="P25" s="197" t="s">
        <v>1561</v>
      </c>
      <c r="Q25" s="20">
        <f t="shared" si="7"/>
        <v>140000</v>
      </c>
      <c r="R25" s="2" t="s">
        <v>1902</v>
      </c>
      <c r="S25" s="8" t="s">
        <v>2136</v>
      </c>
      <c r="T25" s="11"/>
    </row>
    <row r="26" spans="1:20">
      <c r="A26" t="s">
        <v>30</v>
      </c>
      <c r="B26" s="151" t="s">
        <v>330</v>
      </c>
      <c r="C26" s="199" t="s">
        <v>335</v>
      </c>
      <c r="D26" s="17">
        <v>45792</v>
      </c>
      <c r="E26" s="1" t="s">
        <v>161</v>
      </c>
      <c r="F26" s="2" t="s">
        <v>154</v>
      </c>
      <c r="G26" s="2" t="s">
        <v>16</v>
      </c>
      <c r="H26" s="2" t="s">
        <v>80</v>
      </c>
      <c r="I26" s="4" t="s">
        <v>1420</v>
      </c>
      <c r="J26" s="23">
        <v>1</v>
      </c>
      <c r="K26" s="27">
        <v>1080000</v>
      </c>
      <c r="L26" s="26">
        <f t="shared" si="4"/>
        <v>1080000</v>
      </c>
      <c r="M26" s="27">
        <f t="shared" si="5"/>
        <v>108000</v>
      </c>
      <c r="N26" s="27">
        <f t="shared" si="6"/>
        <v>1188000</v>
      </c>
      <c r="O26" s="52">
        <v>976200</v>
      </c>
      <c r="P26" s="171" t="s">
        <v>1705</v>
      </c>
      <c r="Q26" s="181">
        <f t="shared" si="7"/>
        <v>103800</v>
      </c>
      <c r="R26" s="202" t="s">
        <v>1622</v>
      </c>
      <c r="S26" s="8" t="s">
        <v>2136</v>
      </c>
      <c r="T26" s="11"/>
    </row>
    <row r="27" spans="1:20" ht="24">
      <c r="A27" t="s">
        <v>30</v>
      </c>
      <c r="B27" s="151" t="s">
        <v>253</v>
      </c>
      <c r="C27" s="199" t="s">
        <v>306</v>
      </c>
      <c r="D27" s="17">
        <v>45792</v>
      </c>
      <c r="E27" s="1" t="s">
        <v>246</v>
      </c>
      <c r="F27" s="2" t="s">
        <v>247</v>
      </c>
      <c r="G27" s="2" t="s">
        <v>16</v>
      </c>
      <c r="H27" s="2" t="s">
        <v>80</v>
      </c>
      <c r="I27" s="4" t="s">
        <v>1419</v>
      </c>
      <c r="J27" s="23">
        <v>1</v>
      </c>
      <c r="K27" s="27">
        <v>875000</v>
      </c>
      <c r="L27" s="26">
        <f t="shared" si="4"/>
        <v>875000</v>
      </c>
      <c r="M27" s="27">
        <f t="shared" si="5"/>
        <v>87500</v>
      </c>
      <c r="N27" s="27">
        <f t="shared" si="6"/>
        <v>962500</v>
      </c>
      <c r="O27" s="52">
        <f>511500+3400000/12</f>
        <v>794833.33333333326</v>
      </c>
      <c r="P27" s="197" t="s">
        <v>2064</v>
      </c>
      <c r="Q27" s="181">
        <f t="shared" si="7"/>
        <v>80166.666666666744</v>
      </c>
      <c r="R27" s="202" t="s">
        <v>1745</v>
      </c>
      <c r="S27" s="8" t="s">
        <v>2136</v>
      </c>
      <c r="T27" s="11"/>
    </row>
    <row r="28" spans="1:20">
      <c r="A28" t="s">
        <v>30</v>
      </c>
      <c r="B28" s="151" t="s">
        <v>1584</v>
      </c>
      <c r="C28" s="199"/>
      <c r="D28" s="17">
        <v>45792</v>
      </c>
      <c r="E28" s="1" t="s">
        <v>1583</v>
      </c>
      <c r="F28" s="2" t="s">
        <v>1588</v>
      </c>
      <c r="G28" s="2" t="s">
        <v>15</v>
      </c>
      <c r="H28" s="83" t="s">
        <v>1585</v>
      </c>
      <c r="I28" s="4" t="s">
        <v>1586</v>
      </c>
      <c r="J28" s="23">
        <v>1</v>
      </c>
      <c r="K28" s="27">
        <v>280000</v>
      </c>
      <c r="L28" s="26">
        <f t="shared" si="4"/>
        <v>280000</v>
      </c>
      <c r="M28" s="27">
        <f t="shared" si="5"/>
        <v>28000</v>
      </c>
      <c r="N28" s="27">
        <f t="shared" si="6"/>
        <v>308000</v>
      </c>
      <c r="O28" s="52">
        <v>243000</v>
      </c>
      <c r="P28" s="171" t="s">
        <v>1705</v>
      </c>
      <c r="Q28" s="181">
        <f t="shared" si="7"/>
        <v>37000</v>
      </c>
      <c r="R28" s="202" t="s">
        <v>1562</v>
      </c>
      <c r="S28" s="8" t="s">
        <v>2136</v>
      </c>
      <c r="T28" s="11"/>
    </row>
    <row r="29" spans="1:20">
      <c r="A29" t="s">
        <v>30</v>
      </c>
      <c r="B29" s="151" t="s">
        <v>2034</v>
      </c>
      <c r="C29" s="153"/>
      <c r="D29" s="17">
        <v>45793</v>
      </c>
      <c r="E29" s="1" t="s">
        <v>2198</v>
      </c>
      <c r="F29" s="2" t="s">
        <v>1563</v>
      </c>
      <c r="G29" s="2" t="s">
        <v>1564</v>
      </c>
      <c r="H29" s="83" t="s">
        <v>1565</v>
      </c>
      <c r="I29" s="4" t="s">
        <v>1566</v>
      </c>
      <c r="J29" s="23">
        <v>2</v>
      </c>
      <c r="K29" s="27">
        <v>1560000</v>
      </c>
      <c r="L29" s="26">
        <f t="shared" si="4"/>
        <v>3120000</v>
      </c>
      <c r="M29" s="27">
        <f t="shared" si="5"/>
        <v>312000</v>
      </c>
      <c r="N29" s="27">
        <f t="shared" si="6"/>
        <v>3432000</v>
      </c>
      <c r="O29" s="33">
        <v>3055000</v>
      </c>
      <c r="P29" s="197" t="s">
        <v>2190</v>
      </c>
      <c r="Q29" s="181">
        <f t="shared" si="7"/>
        <v>65000</v>
      </c>
      <c r="R29" s="68" t="s">
        <v>1902</v>
      </c>
      <c r="S29" s="8" t="s">
        <v>2133</v>
      </c>
      <c r="T29" s="11"/>
    </row>
    <row r="30" spans="1:20" ht="24">
      <c r="A30" t="s">
        <v>30</v>
      </c>
      <c r="B30" s="151" t="s">
        <v>1572</v>
      </c>
      <c r="C30" s="153"/>
      <c r="D30" s="17">
        <v>45793</v>
      </c>
      <c r="E30" s="1" t="s">
        <v>1567</v>
      </c>
      <c r="F30" s="2"/>
      <c r="G30" s="2" t="s">
        <v>1564</v>
      </c>
      <c r="H30" s="83" t="s">
        <v>1569</v>
      </c>
      <c r="I30" s="4" t="s">
        <v>1570</v>
      </c>
      <c r="J30" s="23">
        <v>1</v>
      </c>
      <c r="K30" s="27">
        <v>300000</v>
      </c>
      <c r="L30" s="26">
        <f t="shared" si="4"/>
        <v>300000</v>
      </c>
      <c r="M30" s="27">
        <f t="shared" si="5"/>
        <v>30000</v>
      </c>
      <c r="N30" s="27">
        <f t="shared" si="6"/>
        <v>330000</v>
      </c>
      <c r="O30" s="33">
        <v>0</v>
      </c>
      <c r="P30" s="197" t="s">
        <v>1571</v>
      </c>
      <c r="Q30" s="181">
        <f t="shared" si="7"/>
        <v>300000</v>
      </c>
      <c r="R30" s="68" t="s">
        <v>1932</v>
      </c>
      <c r="S30" s="8" t="s">
        <v>2136</v>
      </c>
      <c r="T30" s="11"/>
    </row>
    <row r="31" spans="1:20" ht="24">
      <c r="A31" t="s">
        <v>30</v>
      </c>
      <c r="B31" s="151" t="s">
        <v>113</v>
      </c>
      <c r="C31" s="200"/>
      <c r="D31" s="10">
        <v>45797</v>
      </c>
      <c r="E31" s="1" t="s">
        <v>378</v>
      </c>
      <c r="F31" s="2" t="s">
        <v>268</v>
      </c>
      <c r="G31" s="2" t="s">
        <v>34</v>
      </c>
      <c r="H31" s="161" t="s">
        <v>114</v>
      </c>
      <c r="I31" s="3" t="s">
        <v>1421</v>
      </c>
      <c r="J31" s="23">
        <v>1</v>
      </c>
      <c r="K31" s="29">
        <v>800000</v>
      </c>
      <c r="L31" s="26">
        <f t="shared" si="4"/>
        <v>800000</v>
      </c>
      <c r="M31" s="27">
        <f t="shared" si="5"/>
        <v>80000</v>
      </c>
      <c r="N31" s="27">
        <f t="shared" si="6"/>
        <v>880000</v>
      </c>
      <c r="O31" s="52">
        <v>0</v>
      </c>
      <c r="P31" s="171" t="s">
        <v>115</v>
      </c>
      <c r="Q31" s="181">
        <f t="shared" si="7"/>
        <v>800000</v>
      </c>
      <c r="R31" s="266" t="s">
        <v>2036</v>
      </c>
      <c r="S31" s="5" t="s">
        <v>2135</v>
      </c>
      <c r="T31" s="6"/>
    </row>
    <row r="32" spans="1:20" ht="72">
      <c r="A32" t="s">
        <v>30</v>
      </c>
      <c r="B32" s="151" t="s">
        <v>214</v>
      </c>
      <c r="C32" s="200"/>
      <c r="D32" s="10">
        <v>45797</v>
      </c>
      <c r="E32" s="214" t="s">
        <v>37</v>
      </c>
      <c r="F32" s="215"/>
      <c r="G32" s="161" t="s">
        <v>35</v>
      </c>
      <c r="H32" s="161" t="s">
        <v>89</v>
      </c>
      <c r="I32" s="163" t="s">
        <v>1423</v>
      </c>
      <c r="J32" s="23">
        <v>1</v>
      </c>
      <c r="K32" s="26">
        <v>1000000</v>
      </c>
      <c r="L32" s="26">
        <f t="shared" si="4"/>
        <v>1000000</v>
      </c>
      <c r="M32" s="27">
        <f t="shared" si="5"/>
        <v>100000</v>
      </c>
      <c r="N32" s="27">
        <f t="shared" si="6"/>
        <v>1100000</v>
      </c>
      <c r="O32" s="72">
        <f>16728000/36+370000+1000000/12</f>
        <v>918000.00000000012</v>
      </c>
      <c r="P32" s="171" t="s">
        <v>2103</v>
      </c>
      <c r="Q32" s="181">
        <f t="shared" si="7"/>
        <v>81999.999999999884</v>
      </c>
      <c r="R32" s="68" t="s">
        <v>1703</v>
      </c>
      <c r="S32" s="5" t="s">
        <v>2136</v>
      </c>
      <c r="T32" s="11"/>
    </row>
    <row r="33" spans="1:20" ht="24">
      <c r="A33" t="s">
        <v>30</v>
      </c>
      <c r="B33" s="151" t="s">
        <v>1219</v>
      </c>
      <c r="C33" s="230"/>
      <c r="D33" s="17">
        <v>45797</v>
      </c>
      <c r="E33" s="214" t="s">
        <v>1050</v>
      </c>
      <c r="F33" s="215" t="s">
        <v>1005</v>
      </c>
      <c r="G33" s="161" t="s">
        <v>16</v>
      </c>
      <c r="H33" s="161" t="s">
        <v>138</v>
      </c>
      <c r="I33" s="4" t="s">
        <v>1424</v>
      </c>
      <c r="J33" s="23">
        <v>1</v>
      </c>
      <c r="K33" s="27">
        <v>1000000</v>
      </c>
      <c r="L33" s="26">
        <f t="shared" si="4"/>
        <v>1000000</v>
      </c>
      <c r="M33" s="27">
        <f t="shared" si="5"/>
        <v>100000</v>
      </c>
      <c r="N33" s="27">
        <f t="shared" si="6"/>
        <v>1100000</v>
      </c>
      <c r="O33" s="33">
        <f>300000+291532</f>
        <v>591532</v>
      </c>
      <c r="P33" s="197" t="s">
        <v>1712</v>
      </c>
      <c r="Q33" s="181">
        <f t="shared" si="7"/>
        <v>408468</v>
      </c>
      <c r="R33" s="68" t="s">
        <v>2031</v>
      </c>
      <c r="S33" s="8" t="s">
        <v>2136</v>
      </c>
      <c r="T33" s="11"/>
    </row>
    <row r="34" spans="1:20">
      <c r="A34" t="s">
        <v>30</v>
      </c>
      <c r="B34" s="151" t="s">
        <v>1349</v>
      </c>
      <c r="C34" s="230"/>
      <c r="D34" s="17">
        <v>45797</v>
      </c>
      <c r="E34" s="214" t="s">
        <v>1050</v>
      </c>
      <c r="F34" s="215" t="s">
        <v>1327</v>
      </c>
      <c r="G34" s="161" t="s">
        <v>16</v>
      </c>
      <c r="H34" s="161" t="s">
        <v>81</v>
      </c>
      <c r="I34" s="4" t="s">
        <v>1425</v>
      </c>
      <c r="J34" s="23">
        <v>1</v>
      </c>
      <c r="K34" s="27">
        <v>800000</v>
      </c>
      <c r="L34" s="26">
        <f t="shared" si="4"/>
        <v>800000</v>
      </c>
      <c r="M34" s="27">
        <f t="shared" si="5"/>
        <v>80000</v>
      </c>
      <c r="N34" s="27">
        <f t="shared" si="6"/>
        <v>880000</v>
      </c>
      <c r="O34" s="33">
        <v>500000</v>
      </c>
      <c r="P34" s="197" t="s">
        <v>1625</v>
      </c>
      <c r="Q34" s="181">
        <f t="shared" si="7"/>
        <v>300000</v>
      </c>
      <c r="R34" s="68" t="s">
        <v>1990</v>
      </c>
      <c r="S34" s="8" t="s">
        <v>2136</v>
      </c>
      <c r="T34" s="11"/>
    </row>
    <row r="35" spans="1:20">
      <c r="A35" t="s">
        <v>30</v>
      </c>
      <c r="B35" s="151" t="s">
        <v>191</v>
      </c>
      <c r="C35" s="199"/>
      <c r="D35" s="17">
        <v>45797</v>
      </c>
      <c r="E35" s="1" t="s">
        <v>176</v>
      </c>
      <c r="F35" s="2" t="s">
        <v>177</v>
      </c>
      <c r="G35" s="2" t="s">
        <v>16</v>
      </c>
      <c r="H35" s="2" t="s">
        <v>81</v>
      </c>
      <c r="I35" s="70" t="s">
        <v>1422</v>
      </c>
      <c r="J35" s="23">
        <v>1</v>
      </c>
      <c r="K35" s="27">
        <v>200000</v>
      </c>
      <c r="L35" s="26">
        <f t="shared" si="4"/>
        <v>200000</v>
      </c>
      <c r="M35" s="27">
        <f t="shared" si="5"/>
        <v>20000</v>
      </c>
      <c r="N35" s="27">
        <f t="shared" si="6"/>
        <v>220000</v>
      </c>
      <c r="O35" s="52">
        <v>0</v>
      </c>
      <c r="P35" s="171" t="s">
        <v>115</v>
      </c>
      <c r="Q35" s="181">
        <f t="shared" si="7"/>
        <v>200000</v>
      </c>
      <c r="R35" s="68" t="s">
        <v>1902</v>
      </c>
      <c r="S35" s="8" t="s">
        <v>2133</v>
      </c>
      <c r="T35" s="11"/>
    </row>
    <row r="36" spans="1:20">
      <c r="A36" t="s">
        <v>30</v>
      </c>
      <c r="B36" s="151" t="s">
        <v>1351</v>
      </c>
      <c r="C36" s="153" t="s">
        <v>1305</v>
      </c>
      <c r="D36" s="17">
        <v>45797</v>
      </c>
      <c r="E36" s="1" t="s">
        <v>1306</v>
      </c>
      <c r="F36" s="2"/>
      <c r="G36" s="161" t="s">
        <v>16</v>
      </c>
      <c r="H36" s="83" t="s">
        <v>80</v>
      </c>
      <c r="I36" s="4" t="s">
        <v>1434</v>
      </c>
      <c r="J36" s="23">
        <v>1</v>
      </c>
      <c r="K36" s="27">
        <v>64000</v>
      </c>
      <c r="L36" s="26">
        <f t="shared" si="4"/>
        <v>64000</v>
      </c>
      <c r="M36" s="27">
        <f t="shared" si="5"/>
        <v>6400</v>
      </c>
      <c r="N36" s="27">
        <f t="shared" si="6"/>
        <v>70400</v>
      </c>
      <c r="O36" s="33">
        <v>53400</v>
      </c>
      <c r="P36" s="197" t="s">
        <v>1705</v>
      </c>
      <c r="Q36" s="20">
        <f t="shared" si="7"/>
        <v>10600</v>
      </c>
      <c r="R36" s="2" t="s">
        <v>1703</v>
      </c>
      <c r="S36" s="8" t="s">
        <v>2136</v>
      </c>
      <c r="T36" s="11"/>
    </row>
    <row r="37" spans="1:20" ht="36">
      <c r="A37" t="s">
        <v>30</v>
      </c>
      <c r="B37" s="151" t="s">
        <v>302</v>
      </c>
      <c r="C37" s="200"/>
      <c r="D37" s="78">
        <v>45797</v>
      </c>
      <c r="E37" s="216" t="s">
        <v>2172</v>
      </c>
      <c r="F37" s="217"/>
      <c r="G37" s="167" t="s">
        <v>16</v>
      </c>
      <c r="H37" s="167" t="s">
        <v>81</v>
      </c>
      <c r="I37" s="168" t="s">
        <v>1403</v>
      </c>
      <c r="J37" s="79">
        <v>1</v>
      </c>
      <c r="K37" s="80">
        <v>950000</v>
      </c>
      <c r="L37" s="80">
        <f t="shared" si="4"/>
        <v>950000</v>
      </c>
      <c r="M37" s="81">
        <f t="shared" si="5"/>
        <v>95000</v>
      </c>
      <c r="N37" s="81">
        <f t="shared" si="6"/>
        <v>1045000</v>
      </c>
      <c r="O37" s="52">
        <f>150000+100000+500000</f>
        <v>750000</v>
      </c>
      <c r="P37" s="171" t="s">
        <v>2106</v>
      </c>
      <c r="Q37" s="181">
        <f t="shared" si="7"/>
        <v>200000</v>
      </c>
      <c r="R37" s="68" t="s">
        <v>1902</v>
      </c>
      <c r="S37" s="5" t="s">
        <v>2133</v>
      </c>
      <c r="T37" s="11"/>
    </row>
    <row r="38" spans="1:20" ht="36">
      <c r="A38" t="s">
        <v>30</v>
      </c>
      <c r="B38" s="151" t="s">
        <v>260</v>
      </c>
      <c r="C38" s="200"/>
      <c r="D38" s="78">
        <v>45797</v>
      </c>
      <c r="E38" s="218" t="s">
        <v>2196</v>
      </c>
      <c r="F38" s="217"/>
      <c r="G38" s="167" t="s">
        <v>16</v>
      </c>
      <c r="H38" s="167" t="s">
        <v>81</v>
      </c>
      <c r="I38" s="168" t="s">
        <v>1415</v>
      </c>
      <c r="J38" s="79">
        <v>1</v>
      </c>
      <c r="K38" s="80">
        <v>1505000</v>
      </c>
      <c r="L38" s="80">
        <f t="shared" si="4"/>
        <v>1505000</v>
      </c>
      <c r="M38" s="81">
        <f t="shared" si="5"/>
        <v>150500</v>
      </c>
      <c r="N38" s="81">
        <f t="shared" si="6"/>
        <v>1655500</v>
      </c>
      <c r="O38" s="52">
        <f>200000+2100000/3+80000</f>
        <v>980000</v>
      </c>
      <c r="P38" s="171" t="s">
        <v>2061</v>
      </c>
      <c r="Q38" s="181">
        <f t="shared" si="7"/>
        <v>525000</v>
      </c>
      <c r="R38" s="2" t="s">
        <v>1880</v>
      </c>
      <c r="S38" s="5" t="s">
        <v>2133</v>
      </c>
      <c r="T38" s="11"/>
    </row>
    <row r="39" spans="1:20">
      <c r="A39" t="s">
        <v>30</v>
      </c>
      <c r="B39" s="151" t="s">
        <v>1557</v>
      </c>
      <c r="C39" s="153"/>
      <c r="D39" s="17">
        <v>45798</v>
      </c>
      <c r="E39" s="1" t="s">
        <v>2211</v>
      </c>
      <c r="F39" s="2"/>
      <c r="G39" s="2" t="s">
        <v>15</v>
      </c>
      <c r="H39" s="83" t="s">
        <v>1558</v>
      </c>
      <c r="I39" s="4" t="s">
        <v>1508</v>
      </c>
      <c r="J39" s="23">
        <v>1</v>
      </c>
      <c r="K39" s="27">
        <v>6200000</v>
      </c>
      <c r="L39" s="26">
        <f t="shared" si="4"/>
        <v>6200000</v>
      </c>
      <c r="M39" s="27">
        <f t="shared" si="5"/>
        <v>620000</v>
      </c>
      <c r="N39" s="27">
        <f t="shared" si="6"/>
        <v>6820000</v>
      </c>
      <c r="O39" s="33">
        <v>5105809</v>
      </c>
      <c r="P39" s="197" t="s">
        <v>1509</v>
      </c>
      <c r="Q39" s="20">
        <f t="shared" si="7"/>
        <v>1094191</v>
      </c>
      <c r="R39" s="68" t="s">
        <v>1745</v>
      </c>
      <c r="S39" s="8" t="s">
        <v>2134</v>
      </c>
      <c r="T39" s="11"/>
    </row>
    <row r="40" spans="1:20" ht="48">
      <c r="A40" t="s">
        <v>30</v>
      </c>
      <c r="B40" s="151" t="s">
        <v>1369</v>
      </c>
      <c r="C40" s="153"/>
      <c r="D40" s="17">
        <v>45798</v>
      </c>
      <c r="E40" s="1" t="s">
        <v>2142</v>
      </c>
      <c r="F40" s="2"/>
      <c r="G40" s="2" t="s">
        <v>1365</v>
      </c>
      <c r="H40" s="83" t="s">
        <v>1370</v>
      </c>
      <c r="I40" s="4" t="s">
        <v>1371</v>
      </c>
      <c r="J40" s="23">
        <v>3</v>
      </c>
      <c r="K40" s="27">
        <v>3890000</v>
      </c>
      <c r="L40" s="26">
        <f t="shared" si="4"/>
        <v>11670000</v>
      </c>
      <c r="M40" s="27">
        <f t="shared" si="5"/>
        <v>1167000</v>
      </c>
      <c r="N40" s="27">
        <f t="shared" si="6"/>
        <v>12837000</v>
      </c>
      <c r="O40" s="33">
        <f>3875364+1409955+6099000+65000</f>
        <v>11449319</v>
      </c>
      <c r="P40" s="197" t="s">
        <v>1945</v>
      </c>
      <c r="Q40" s="20">
        <f t="shared" si="7"/>
        <v>220681</v>
      </c>
      <c r="R40" s="68" t="s">
        <v>1811</v>
      </c>
      <c r="S40" s="8" t="s">
        <v>2132</v>
      </c>
      <c r="T40" s="11"/>
    </row>
    <row r="41" spans="1:20">
      <c r="A41" t="s">
        <v>30</v>
      </c>
      <c r="B41" s="151" t="s">
        <v>120</v>
      </c>
      <c r="C41" s="200"/>
      <c r="D41" s="17">
        <v>45802</v>
      </c>
      <c r="E41" s="214" t="s">
        <v>7</v>
      </c>
      <c r="F41" s="189" t="s">
        <v>121</v>
      </c>
      <c r="G41" s="161" t="s">
        <v>16</v>
      </c>
      <c r="H41" s="161" t="s">
        <v>81</v>
      </c>
      <c r="I41" s="163" t="s">
        <v>1426</v>
      </c>
      <c r="J41" s="24">
        <v>1</v>
      </c>
      <c r="K41" s="26">
        <v>320000</v>
      </c>
      <c r="L41" s="26">
        <f t="shared" si="4"/>
        <v>320000</v>
      </c>
      <c r="M41" s="27">
        <f t="shared" si="5"/>
        <v>32000</v>
      </c>
      <c r="N41" s="27">
        <f t="shared" si="6"/>
        <v>352000</v>
      </c>
      <c r="O41" s="33">
        <f>1800000/12</f>
        <v>150000</v>
      </c>
      <c r="P41" s="171" t="s">
        <v>1427</v>
      </c>
      <c r="Q41" s="181">
        <f t="shared" si="7"/>
        <v>170000</v>
      </c>
      <c r="R41" s="68" t="s">
        <v>1902</v>
      </c>
      <c r="S41" s="5" t="s">
        <v>2136</v>
      </c>
      <c r="T41" s="11"/>
    </row>
    <row r="42" spans="1:20">
      <c r="A42" t="s">
        <v>30</v>
      </c>
      <c r="B42" s="151" t="s">
        <v>331</v>
      </c>
      <c r="C42" s="199"/>
      <c r="D42" s="17">
        <v>45802</v>
      </c>
      <c r="E42" s="214" t="s">
        <v>2211</v>
      </c>
      <c r="F42" s="215"/>
      <c r="G42" s="1" t="s">
        <v>16</v>
      </c>
      <c r="H42" s="2" t="s">
        <v>81</v>
      </c>
      <c r="I42" s="163" t="s">
        <v>1428</v>
      </c>
      <c r="J42" s="76">
        <v>1</v>
      </c>
      <c r="K42" s="48">
        <v>1216000</v>
      </c>
      <c r="L42" s="26">
        <v>2446000</v>
      </c>
      <c r="M42" s="27">
        <f t="shared" si="5"/>
        <v>244600</v>
      </c>
      <c r="N42" s="27">
        <f t="shared" si="6"/>
        <v>2690600</v>
      </c>
      <c r="O42" s="52">
        <f>840000+595000</f>
        <v>1435000</v>
      </c>
      <c r="P42" s="171" t="s">
        <v>1713</v>
      </c>
      <c r="Q42" s="181">
        <f t="shared" si="7"/>
        <v>1011000</v>
      </c>
      <c r="R42" s="68" t="s">
        <v>1745</v>
      </c>
      <c r="S42" s="8" t="s">
        <v>2134</v>
      </c>
      <c r="T42" s="11"/>
    </row>
    <row r="43" spans="1:20">
      <c r="A43" t="s">
        <v>30</v>
      </c>
      <c r="B43" s="151" t="s">
        <v>291</v>
      </c>
      <c r="C43" s="201"/>
      <c r="D43" s="43"/>
      <c r="E43" s="219" t="s">
        <v>2211</v>
      </c>
      <c r="F43" s="220"/>
      <c r="G43" s="1" t="s">
        <v>16</v>
      </c>
      <c r="H43" s="2" t="s">
        <v>81</v>
      </c>
      <c r="I43" s="163" t="s">
        <v>1403</v>
      </c>
      <c r="J43" s="76">
        <v>1</v>
      </c>
      <c r="K43" s="48">
        <v>390000</v>
      </c>
      <c r="L43" s="38"/>
      <c r="M43" s="38"/>
      <c r="N43" s="38"/>
      <c r="O43" s="52"/>
      <c r="P43" s="171" t="s">
        <v>287</v>
      </c>
      <c r="Q43" s="184"/>
      <c r="R43" s="46"/>
      <c r="S43" s="42"/>
      <c r="T43" s="133"/>
    </row>
    <row r="44" spans="1:20">
      <c r="A44" t="s">
        <v>30</v>
      </c>
      <c r="B44" s="151" t="s">
        <v>206</v>
      </c>
      <c r="C44" s="201"/>
      <c r="D44" s="43"/>
      <c r="E44" s="219" t="s">
        <v>2211</v>
      </c>
      <c r="F44" s="220"/>
      <c r="G44" s="1" t="s">
        <v>16</v>
      </c>
      <c r="H44" s="2" t="s">
        <v>81</v>
      </c>
      <c r="I44" s="3" t="s">
        <v>1429</v>
      </c>
      <c r="J44" s="76">
        <v>70</v>
      </c>
      <c r="K44" s="48">
        <v>12000</v>
      </c>
      <c r="L44" s="38"/>
      <c r="M44" s="38"/>
      <c r="N44" s="38"/>
      <c r="O44" s="52"/>
      <c r="P44" s="171" t="s">
        <v>1714</v>
      </c>
      <c r="Q44" s="184"/>
      <c r="R44" s="46"/>
      <c r="S44" s="42"/>
      <c r="T44" s="133"/>
    </row>
    <row r="45" spans="1:20" ht="24">
      <c r="A45" t="s">
        <v>30</v>
      </c>
      <c r="B45" s="151" t="s">
        <v>325</v>
      </c>
      <c r="C45" s="200" t="s">
        <v>343</v>
      </c>
      <c r="D45" s="17">
        <v>45802</v>
      </c>
      <c r="E45" s="214" t="s">
        <v>209</v>
      </c>
      <c r="F45" s="215" t="s">
        <v>126</v>
      </c>
      <c r="G45" s="161" t="s">
        <v>16</v>
      </c>
      <c r="H45" s="161" t="s">
        <v>81</v>
      </c>
      <c r="I45" s="3" t="s">
        <v>1407</v>
      </c>
      <c r="J45" s="73">
        <v>1</v>
      </c>
      <c r="K45" s="26">
        <v>168000</v>
      </c>
      <c r="L45" s="26">
        <f t="shared" ref="L45:L61" si="8">J45*K45</f>
        <v>168000</v>
      </c>
      <c r="M45" s="27">
        <f t="shared" ref="M45:M62" si="9">L45*10%</f>
        <v>16800</v>
      </c>
      <c r="N45" s="27">
        <f t="shared" ref="N45:N62" si="10">SUM(L45:M45)</f>
        <v>184800</v>
      </c>
      <c r="O45" s="52">
        <f>485440/12+80160</f>
        <v>120613.33333333334</v>
      </c>
      <c r="P45" s="171" t="s">
        <v>1560</v>
      </c>
      <c r="Q45" s="183">
        <f t="shared" ref="Q45:Q116" si="11">L45-O45</f>
        <v>47386.666666666657</v>
      </c>
      <c r="R45" s="2" t="s">
        <v>1880</v>
      </c>
      <c r="S45" s="5" t="s">
        <v>2136</v>
      </c>
      <c r="T45" s="11"/>
    </row>
    <row r="46" spans="1:20">
      <c r="A46" t="s">
        <v>30</v>
      </c>
      <c r="B46" s="151" t="s">
        <v>324</v>
      </c>
      <c r="C46" s="200"/>
      <c r="D46" s="17">
        <v>45802</v>
      </c>
      <c r="E46" s="214" t="s">
        <v>2177</v>
      </c>
      <c r="F46" s="189" t="s">
        <v>127</v>
      </c>
      <c r="G46" s="161" t="s">
        <v>16</v>
      </c>
      <c r="H46" s="161" t="s">
        <v>138</v>
      </c>
      <c r="I46" s="3" t="s">
        <v>1407</v>
      </c>
      <c r="J46" s="24">
        <v>1</v>
      </c>
      <c r="K46" s="26">
        <v>115000</v>
      </c>
      <c r="L46" s="26">
        <f t="shared" si="8"/>
        <v>115000</v>
      </c>
      <c r="M46" s="27">
        <f t="shared" si="9"/>
        <v>11500</v>
      </c>
      <c r="N46" s="27">
        <f t="shared" si="10"/>
        <v>126500</v>
      </c>
      <c r="O46" s="52">
        <v>66498</v>
      </c>
      <c r="P46" s="171" t="s">
        <v>1430</v>
      </c>
      <c r="Q46" s="181">
        <f t="shared" si="11"/>
        <v>48502</v>
      </c>
      <c r="R46" s="2" t="s">
        <v>1873</v>
      </c>
      <c r="S46" s="5" t="s">
        <v>2136</v>
      </c>
      <c r="T46" s="11"/>
    </row>
    <row r="47" spans="1:20" ht="36">
      <c r="A47" t="s">
        <v>30</v>
      </c>
      <c r="B47" s="151" t="s">
        <v>395</v>
      </c>
      <c r="C47" s="199"/>
      <c r="D47" s="17">
        <v>45802</v>
      </c>
      <c r="E47" s="214" t="s">
        <v>2177</v>
      </c>
      <c r="F47" s="215" t="s">
        <v>133</v>
      </c>
      <c r="G47" s="161" t="s">
        <v>16</v>
      </c>
      <c r="H47" s="161" t="s">
        <v>138</v>
      </c>
      <c r="I47" s="164" t="s">
        <v>1431</v>
      </c>
      <c r="J47" s="34">
        <v>1</v>
      </c>
      <c r="K47" s="48">
        <v>350000</v>
      </c>
      <c r="L47" s="26">
        <f t="shared" si="8"/>
        <v>350000</v>
      </c>
      <c r="M47" s="27">
        <f t="shared" si="9"/>
        <v>35000</v>
      </c>
      <c r="N47" s="27">
        <f t="shared" si="10"/>
        <v>385000</v>
      </c>
      <c r="O47" s="52">
        <f>133870+70180+1000000/12</f>
        <v>287383.33333333331</v>
      </c>
      <c r="P47" s="172" t="s">
        <v>2112</v>
      </c>
      <c r="Q47" s="181">
        <f t="shared" si="11"/>
        <v>62616.666666666686</v>
      </c>
      <c r="R47" s="2" t="s">
        <v>1873</v>
      </c>
      <c r="S47" s="8" t="s">
        <v>2136</v>
      </c>
      <c r="T47" s="11"/>
    </row>
    <row r="48" spans="1:20" ht="24">
      <c r="A48" t="s">
        <v>30</v>
      </c>
      <c r="B48" s="151" t="s">
        <v>1220</v>
      </c>
      <c r="C48" s="199"/>
      <c r="D48" s="17">
        <v>45802</v>
      </c>
      <c r="E48" s="214" t="s">
        <v>2177</v>
      </c>
      <c r="F48" s="215" t="s">
        <v>137</v>
      </c>
      <c r="G48" s="161" t="s">
        <v>16</v>
      </c>
      <c r="H48" s="161" t="s">
        <v>138</v>
      </c>
      <c r="I48" s="164" t="s">
        <v>1414</v>
      </c>
      <c r="J48" s="34">
        <v>1</v>
      </c>
      <c r="K48" s="48">
        <v>444000</v>
      </c>
      <c r="L48" s="26">
        <f t="shared" si="8"/>
        <v>444000</v>
      </c>
      <c r="M48" s="27">
        <f t="shared" si="9"/>
        <v>44400</v>
      </c>
      <c r="N48" s="27">
        <f t="shared" si="10"/>
        <v>488400</v>
      </c>
      <c r="O48" s="72">
        <f>80632+4200000/12</f>
        <v>430632</v>
      </c>
      <c r="P48" s="170" t="s">
        <v>2117</v>
      </c>
      <c r="Q48" s="181">
        <f t="shared" si="11"/>
        <v>13368</v>
      </c>
      <c r="R48" s="2" t="s">
        <v>1873</v>
      </c>
      <c r="S48" s="8" t="s">
        <v>2136</v>
      </c>
      <c r="T48" s="11"/>
    </row>
    <row r="49" spans="1:20">
      <c r="A49" t="s">
        <v>30</v>
      </c>
      <c r="B49" s="151" t="s">
        <v>1663</v>
      </c>
      <c r="C49" s="199"/>
      <c r="D49" s="17">
        <v>45802</v>
      </c>
      <c r="E49" s="214" t="s">
        <v>2177</v>
      </c>
      <c r="F49" s="215" t="s">
        <v>1537</v>
      </c>
      <c r="G49" s="161" t="s">
        <v>16</v>
      </c>
      <c r="H49" s="161" t="s">
        <v>1538</v>
      </c>
      <c r="I49" s="164" t="s">
        <v>1403</v>
      </c>
      <c r="J49" s="34">
        <v>1</v>
      </c>
      <c r="K49" s="48">
        <v>70000</v>
      </c>
      <c r="L49" s="26">
        <f t="shared" si="8"/>
        <v>70000</v>
      </c>
      <c r="M49" s="27">
        <f t="shared" si="9"/>
        <v>7000</v>
      </c>
      <c r="N49" s="27">
        <f t="shared" si="10"/>
        <v>77000</v>
      </c>
      <c r="O49" s="72">
        <v>33000</v>
      </c>
      <c r="P49" s="170" t="s">
        <v>1696</v>
      </c>
      <c r="Q49" s="181">
        <f t="shared" si="11"/>
        <v>37000</v>
      </c>
      <c r="R49" s="2" t="s">
        <v>1873</v>
      </c>
      <c r="S49" s="8" t="s">
        <v>2136</v>
      </c>
      <c r="T49" s="11"/>
    </row>
    <row r="50" spans="1:20">
      <c r="A50" t="s">
        <v>30</v>
      </c>
      <c r="B50" s="151" t="s">
        <v>1664</v>
      </c>
      <c r="C50" s="199"/>
      <c r="D50" s="17">
        <v>45802</v>
      </c>
      <c r="E50" s="214" t="s">
        <v>2177</v>
      </c>
      <c r="F50" s="215" t="s">
        <v>137</v>
      </c>
      <c r="G50" s="161" t="s">
        <v>16</v>
      </c>
      <c r="H50" s="161" t="s">
        <v>1538</v>
      </c>
      <c r="I50" s="164" t="s">
        <v>1403</v>
      </c>
      <c r="J50" s="34">
        <v>1</v>
      </c>
      <c r="K50" s="48">
        <v>120000</v>
      </c>
      <c r="L50" s="26">
        <f t="shared" si="8"/>
        <v>120000</v>
      </c>
      <c r="M50" s="27">
        <f t="shared" si="9"/>
        <v>12000</v>
      </c>
      <c r="N50" s="27">
        <f t="shared" si="10"/>
        <v>132000</v>
      </c>
      <c r="O50" s="72">
        <v>69000</v>
      </c>
      <c r="P50" s="170" t="s">
        <v>1696</v>
      </c>
      <c r="Q50" s="181">
        <f t="shared" si="11"/>
        <v>51000</v>
      </c>
      <c r="R50" s="2" t="s">
        <v>1873</v>
      </c>
      <c r="S50" s="8" t="s">
        <v>2136</v>
      </c>
      <c r="T50" s="11"/>
    </row>
    <row r="51" spans="1:20">
      <c r="A51" t="s">
        <v>30</v>
      </c>
      <c r="B51" s="151" t="s">
        <v>134</v>
      </c>
      <c r="C51" s="200"/>
      <c r="D51" s="17">
        <v>45802</v>
      </c>
      <c r="E51" s="214" t="s">
        <v>2163</v>
      </c>
      <c r="F51" s="189"/>
      <c r="G51" s="161" t="s">
        <v>16</v>
      </c>
      <c r="H51" s="161" t="s">
        <v>81</v>
      </c>
      <c r="I51" s="163" t="s">
        <v>1424</v>
      </c>
      <c r="J51" s="24">
        <v>1</v>
      </c>
      <c r="K51" s="26">
        <v>305000</v>
      </c>
      <c r="L51" s="26">
        <f t="shared" si="8"/>
        <v>305000</v>
      </c>
      <c r="M51" s="27">
        <f t="shared" si="9"/>
        <v>30500</v>
      </c>
      <c r="N51" s="27">
        <f t="shared" si="10"/>
        <v>335500</v>
      </c>
      <c r="O51" s="52">
        <v>84811</v>
      </c>
      <c r="P51" s="171" t="s">
        <v>1430</v>
      </c>
      <c r="Q51" s="181">
        <f t="shared" si="11"/>
        <v>220189</v>
      </c>
      <c r="R51" s="68" t="s">
        <v>1702</v>
      </c>
      <c r="S51" s="5" t="s">
        <v>2134</v>
      </c>
      <c r="T51" s="11"/>
    </row>
    <row r="52" spans="1:20">
      <c r="A52" t="s">
        <v>30</v>
      </c>
      <c r="B52" s="151" t="s">
        <v>327</v>
      </c>
      <c r="C52" s="199"/>
      <c r="D52" s="17">
        <v>45802</v>
      </c>
      <c r="E52" s="214" t="s">
        <v>326</v>
      </c>
      <c r="F52" s="215"/>
      <c r="G52" s="2" t="s">
        <v>16</v>
      </c>
      <c r="H52" s="161" t="s">
        <v>138</v>
      </c>
      <c r="I52" s="4" t="s">
        <v>1407</v>
      </c>
      <c r="J52" s="23">
        <v>1</v>
      </c>
      <c r="K52" s="27">
        <v>668000</v>
      </c>
      <c r="L52" s="26">
        <f t="shared" si="8"/>
        <v>668000</v>
      </c>
      <c r="M52" s="27">
        <f t="shared" si="9"/>
        <v>66800</v>
      </c>
      <c r="N52" s="27">
        <f t="shared" si="10"/>
        <v>734800</v>
      </c>
      <c r="O52" s="72">
        <f>277600+142800</f>
        <v>420400</v>
      </c>
      <c r="P52" s="223" t="s">
        <v>1432</v>
      </c>
      <c r="Q52" s="181">
        <f t="shared" si="11"/>
        <v>247600</v>
      </c>
      <c r="R52" s="68" t="s">
        <v>1811</v>
      </c>
      <c r="S52" s="8" t="s">
        <v>2136</v>
      </c>
      <c r="T52" s="11"/>
    </row>
    <row r="53" spans="1:20" ht="24">
      <c r="A53" t="s">
        <v>30</v>
      </c>
      <c r="B53" s="151" t="s">
        <v>396</v>
      </c>
      <c r="C53" s="199"/>
      <c r="D53" s="17">
        <v>45802</v>
      </c>
      <c r="E53" s="214" t="s">
        <v>2141</v>
      </c>
      <c r="F53" s="214" t="s">
        <v>135</v>
      </c>
      <c r="G53" s="161" t="s">
        <v>16</v>
      </c>
      <c r="H53" s="161" t="s">
        <v>81</v>
      </c>
      <c r="I53" s="163" t="s">
        <v>1431</v>
      </c>
      <c r="J53" s="24">
        <v>1</v>
      </c>
      <c r="K53" s="26">
        <v>500000</v>
      </c>
      <c r="L53" s="26">
        <f t="shared" si="8"/>
        <v>500000</v>
      </c>
      <c r="M53" s="27">
        <f t="shared" si="9"/>
        <v>50000</v>
      </c>
      <c r="N53" s="27">
        <f t="shared" si="10"/>
        <v>550000</v>
      </c>
      <c r="O53" s="52">
        <f>600000/6+20600</f>
        <v>120600</v>
      </c>
      <c r="P53" s="171" t="s">
        <v>1697</v>
      </c>
      <c r="Q53" s="181">
        <f t="shared" si="11"/>
        <v>379400</v>
      </c>
      <c r="R53" s="2" t="s">
        <v>1880</v>
      </c>
      <c r="S53" s="5" t="s">
        <v>2136</v>
      </c>
      <c r="T53" s="11"/>
    </row>
    <row r="54" spans="1:20">
      <c r="A54" t="s">
        <v>30</v>
      </c>
      <c r="B54" s="151" t="s">
        <v>854</v>
      </c>
      <c r="C54" s="199"/>
      <c r="D54" s="17">
        <v>45802</v>
      </c>
      <c r="E54" s="221" t="s">
        <v>2142</v>
      </c>
      <c r="F54" s="215"/>
      <c r="G54" s="161" t="s">
        <v>16</v>
      </c>
      <c r="H54" s="161" t="s">
        <v>81</v>
      </c>
      <c r="I54" s="163" t="s">
        <v>1414</v>
      </c>
      <c r="J54" s="23">
        <v>1</v>
      </c>
      <c r="K54" s="27">
        <v>1400000</v>
      </c>
      <c r="L54" s="26">
        <f t="shared" si="8"/>
        <v>1400000</v>
      </c>
      <c r="M54" s="27">
        <f t="shared" si="9"/>
        <v>140000</v>
      </c>
      <c r="N54" s="27">
        <f t="shared" si="10"/>
        <v>1540000</v>
      </c>
      <c r="O54" s="52">
        <f>1500000/3</f>
        <v>500000</v>
      </c>
      <c r="P54" s="171" t="s">
        <v>1433</v>
      </c>
      <c r="Q54" s="181">
        <f t="shared" si="11"/>
        <v>900000</v>
      </c>
      <c r="R54" s="68" t="s">
        <v>1824</v>
      </c>
      <c r="S54" s="8" t="s">
        <v>2134</v>
      </c>
      <c r="T54" s="11"/>
    </row>
    <row r="55" spans="1:20">
      <c r="A55" t="s">
        <v>30</v>
      </c>
      <c r="B55" s="151" t="s">
        <v>1600</v>
      </c>
      <c r="C55" s="153"/>
      <c r="D55" s="17">
        <v>45803</v>
      </c>
      <c r="E55" s="1" t="s">
        <v>157</v>
      </c>
      <c r="F55" s="2"/>
      <c r="G55" s="2" t="s">
        <v>15</v>
      </c>
      <c r="H55" s="83" t="s">
        <v>1602</v>
      </c>
      <c r="I55" s="4" t="s">
        <v>1603</v>
      </c>
      <c r="J55" s="23">
        <v>1</v>
      </c>
      <c r="K55" s="27">
        <v>230000</v>
      </c>
      <c r="L55" s="26">
        <f t="shared" si="8"/>
        <v>230000</v>
      </c>
      <c r="M55" s="27">
        <f t="shared" si="9"/>
        <v>23000</v>
      </c>
      <c r="N55" s="27">
        <f t="shared" si="10"/>
        <v>253000</v>
      </c>
      <c r="O55" s="33">
        <v>180000</v>
      </c>
      <c r="P55" s="197" t="s">
        <v>1884</v>
      </c>
      <c r="Q55" s="20">
        <f t="shared" si="11"/>
        <v>50000</v>
      </c>
      <c r="R55" s="68" t="s">
        <v>1703</v>
      </c>
      <c r="S55" s="8" t="s">
        <v>2136</v>
      </c>
      <c r="T55" s="11"/>
    </row>
    <row r="56" spans="1:20">
      <c r="A56" t="s">
        <v>30</v>
      </c>
      <c r="B56" s="151" t="s">
        <v>1601</v>
      </c>
      <c r="C56" s="153"/>
      <c r="D56" s="17">
        <v>45803</v>
      </c>
      <c r="E56" s="1" t="s">
        <v>157</v>
      </c>
      <c r="F56" s="2"/>
      <c r="G56" s="2" t="s">
        <v>15</v>
      </c>
      <c r="H56" s="83" t="s">
        <v>1604</v>
      </c>
      <c r="I56" s="4" t="s">
        <v>1612</v>
      </c>
      <c r="J56" s="23">
        <v>1</v>
      </c>
      <c r="K56" s="27">
        <v>200000</v>
      </c>
      <c r="L56" s="26">
        <f t="shared" si="8"/>
        <v>200000</v>
      </c>
      <c r="M56" s="27">
        <f t="shared" si="9"/>
        <v>20000</v>
      </c>
      <c r="N56" s="27">
        <f t="shared" si="10"/>
        <v>220000</v>
      </c>
      <c r="O56" s="33">
        <v>150000</v>
      </c>
      <c r="P56" s="197" t="s">
        <v>1885</v>
      </c>
      <c r="Q56" s="20">
        <f t="shared" si="11"/>
        <v>50000</v>
      </c>
      <c r="R56" s="68" t="s">
        <v>1703</v>
      </c>
      <c r="S56" s="8" t="s">
        <v>2136</v>
      </c>
      <c r="T56" s="11"/>
    </row>
    <row r="57" spans="1:20" ht="48">
      <c r="A57" t="s">
        <v>30</v>
      </c>
      <c r="B57" s="151" t="s">
        <v>1397</v>
      </c>
      <c r="C57" s="153"/>
      <c r="D57" s="17">
        <v>45805</v>
      </c>
      <c r="E57" s="1" t="s">
        <v>2192</v>
      </c>
      <c r="F57" s="2" t="s">
        <v>1399</v>
      </c>
      <c r="G57" s="2" t="s">
        <v>15</v>
      </c>
      <c r="H57" s="83" t="s">
        <v>1400</v>
      </c>
      <c r="I57" s="4" t="s">
        <v>1398</v>
      </c>
      <c r="J57" s="23">
        <v>1</v>
      </c>
      <c r="K57" s="27">
        <v>6340000</v>
      </c>
      <c r="L57" s="26">
        <f t="shared" si="8"/>
        <v>6340000</v>
      </c>
      <c r="M57" s="27">
        <f t="shared" si="9"/>
        <v>634000</v>
      </c>
      <c r="N57" s="27">
        <f t="shared" si="10"/>
        <v>6974000</v>
      </c>
      <c r="O57" s="33">
        <f>3860000+1395000+20000</f>
        <v>5275000</v>
      </c>
      <c r="P57" s="238" t="s">
        <v>2149</v>
      </c>
      <c r="Q57" s="20">
        <f t="shared" si="11"/>
        <v>1065000</v>
      </c>
      <c r="R57" s="68" t="s">
        <v>1902</v>
      </c>
      <c r="S57" s="8" t="s">
        <v>2134</v>
      </c>
      <c r="T57" s="11"/>
    </row>
    <row r="58" spans="1:20">
      <c r="A58" t="s">
        <v>30</v>
      </c>
      <c r="B58" s="151" t="s">
        <v>1470</v>
      </c>
      <c r="C58" s="153"/>
      <c r="D58" s="17">
        <v>45805</v>
      </c>
      <c r="E58" s="1" t="s">
        <v>2167</v>
      </c>
      <c r="F58" s="2"/>
      <c r="G58" s="2" t="s">
        <v>15</v>
      </c>
      <c r="H58" s="83" t="s">
        <v>1472</v>
      </c>
      <c r="I58" s="4" t="s">
        <v>1473</v>
      </c>
      <c r="J58" s="23">
        <v>1</v>
      </c>
      <c r="K58" s="27">
        <v>220000</v>
      </c>
      <c r="L58" s="26">
        <f t="shared" si="8"/>
        <v>220000</v>
      </c>
      <c r="M58" s="27">
        <f t="shared" si="9"/>
        <v>22000</v>
      </c>
      <c r="N58" s="27">
        <f t="shared" si="10"/>
        <v>242000</v>
      </c>
      <c r="O58" s="33">
        <v>0</v>
      </c>
      <c r="P58" s="197" t="s">
        <v>1471</v>
      </c>
      <c r="Q58" s="20">
        <f t="shared" si="11"/>
        <v>220000</v>
      </c>
      <c r="R58" s="2" t="s">
        <v>1902</v>
      </c>
      <c r="S58" s="8" t="s">
        <v>2134</v>
      </c>
      <c r="T58" s="11"/>
    </row>
    <row r="59" spans="1:20" ht="24">
      <c r="A59" t="s">
        <v>30</v>
      </c>
      <c r="B59" s="151" t="s">
        <v>1556</v>
      </c>
      <c r="C59" s="153"/>
      <c r="D59" s="17">
        <v>45805</v>
      </c>
      <c r="E59" s="1" t="s">
        <v>2193</v>
      </c>
      <c r="F59" s="2" t="s">
        <v>1666</v>
      </c>
      <c r="G59" s="2" t="s">
        <v>15</v>
      </c>
      <c r="H59" s="83" t="s">
        <v>634</v>
      </c>
      <c r="I59" s="4" t="s">
        <v>1297</v>
      </c>
      <c r="J59" s="23">
        <v>1</v>
      </c>
      <c r="K59" s="27">
        <v>120000</v>
      </c>
      <c r="L59" s="26">
        <f t="shared" si="8"/>
        <v>120000</v>
      </c>
      <c r="M59" s="27">
        <f t="shared" si="9"/>
        <v>12000</v>
      </c>
      <c r="N59" s="27">
        <f t="shared" si="10"/>
        <v>132000</v>
      </c>
      <c r="O59" s="33">
        <v>12000</v>
      </c>
      <c r="P59" s="197" t="s">
        <v>1946</v>
      </c>
      <c r="Q59" s="20">
        <f t="shared" si="11"/>
        <v>108000</v>
      </c>
      <c r="R59" s="2" t="s">
        <v>2045</v>
      </c>
      <c r="S59" s="8" t="s">
        <v>2134</v>
      </c>
      <c r="T59" s="11"/>
    </row>
    <row r="60" spans="1:20" ht="24">
      <c r="A60" t="s">
        <v>30</v>
      </c>
      <c r="B60" s="151" t="s">
        <v>1573</v>
      </c>
      <c r="C60" s="153"/>
      <c r="D60" s="17">
        <v>45805</v>
      </c>
      <c r="E60" s="1" t="s">
        <v>2177</v>
      </c>
      <c r="F60" s="2"/>
      <c r="G60" s="2" t="s">
        <v>15</v>
      </c>
      <c r="H60" s="83" t="s">
        <v>1575</v>
      </c>
      <c r="I60" s="4" t="s">
        <v>1576</v>
      </c>
      <c r="J60" s="23">
        <v>8</v>
      </c>
      <c r="K60" s="27">
        <v>135000</v>
      </c>
      <c r="L60" s="26">
        <f t="shared" si="8"/>
        <v>1080000</v>
      </c>
      <c r="M60" s="27">
        <f t="shared" si="9"/>
        <v>108000</v>
      </c>
      <c r="N60" s="27">
        <f t="shared" si="10"/>
        <v>1188000</v>
      </c>
      <c r="O60" s="33">
        <f>8*120000+30000+3800</f>
        <v>993800</v>
      </c>
      <c r="P60" s="197" t="s">
        <v>1952</v>
      </c>
      <c r="Q60" s="20">
        <f t="shared" si="11"/>
        <v>86200</v>
      </c>
      <c r="R60" s="2" t="s">
        <v>1902</v>
      </c>
      <c r="S60" s="8" t="s">
        <v>2134</v>
      </c>
      <c r="T60" s="11"/>
    </row>
    <row r="61" spans="1:20" ht="24">
      <c r="A61" t="s">
        <v>30</v>
      </c>
      <c r="B61" s="151" t="s">
        <v>1581</v>
      </c>
      <c r="C61" s="153"/>
      <c r="D61" s="17">
        <v>45805</v>
      </c>
      <c r="E61" s="1" t="s">
        <v>2157</v>
      </c>
      <c r="F61" s="2"/>
      <c r="G61" s="2" t="s">
        <v>1564</v>
      </c>
      <c r="H61" s="83" t="s">
        <v>1582</v>
      </c>
      <c r="I61" s="4" t="s">
        <v>1191</v>
      </c>
      <c r="J61" s="23">
        <v>3</v>
      </c>
      <c r="K61" s="27">
        <v>1600000</v>
      </c>
      <c r="L61" s="26">
        <f t="shared" si="8"/>
        <v>4800000</v>
      </c>
      <c r="M61" s="27">
        <f t="shared" si="9"/>
        <v>480000</v>
      </c>
      <c r="N61" s="27">
        <f t="shared" si="10"/>
        <v>5280000</v>
      </c>
      <c r="O61" s="33">
        <f>4297682+135818</f>
        <v>4433500</v>
      </c>
      <c r="P61" s="197" t="s">
        <v>2096</v>
      </c>
      <c r="Q61" s="20">
        <f t="shared" si="11"/>
        <v>366500</v>
      </c>
      <c r="R61" s="68" t="s">
        <v>1801</v>
      </c>
      <c r="S61" s="8" t="s">
        <v>2134</v>
      </c>
      <c r="T61" s="11"/>
    </row>
    <row r="62" spans="1:20" ht="24">
      <c r="A62" t="s">
        <v>30</v>
      </c>
      <c r="B62" s="151" t="s">
        <v>1590</v>
      </c>
      <c r="C62" s="153"/>
      <c r="D62" s="17">
        <v>45805</v>
      </c>
      <c r="E62" s="1" t="s">
        <v>2203</v>
      </c>
      <c r="F62" s="2"/>
      <c r="G62" s="2" t="s">
        <v>15</v>
      </c>
      <c r="H62" s="83" t="s">
        <v>1591</v>
      </c>
      <c r="I62" s="4" t="s">
        <v>1592</v>
      </c>
      <c r="J62" s="23">
        <v>3</v>
      </c>
      <c r="K62" s="27">
        <v>330000</v>
      </c>
      <c r="L62" s="26">
        <v>1086000</v>
      </c>
      <c r="M62" s="27">
        <f t="shared" si="9"/>
        <v>108600</v>
      </c>
      <c r="N62" s="27">
        <f t="shared" si="10"/>
        <v>1194600</v>
      </c>
      <c r="O62" s="33">
        <f>3*180000+42270+3800</f>
        <v>586070</v>
      </c>
      <c r="P62" s="197" t="s">
        <v>1950</v>
      </c>
      <c r="Q62" s="20">
        <f t="shared" si="11"/>
        <v>499930</v>
      </c>
      <c r="R62" s="2" t="s">
        <v>2046</v>
      </c>
      <c r="S62" s="8" t="s">
        <v>2134</v>
      </c>
      <c r="T62" s="11"/>
    </row>
    <row r="63" spans="1:20">
      <c r="A63" t="s">
        <v>30</v>
      </c>
      <c r="B63" s="154"/>
      <c r="C63" s="155"/>
      <c r="D63" s="43"/>
      <c r="E63" s="44" t="s">
        <v>2203</v>
      </c>
      <c r="F63" s="41"/>
      <c r="G63" s="2" t="s">
        <v>15</v>
      </c>
      <c r="H63" s="83" t="s">
        <v>1593</v>
      </c>
      <c r="I63" s="4" t="s">
        <v>1594</v>
      </c>
      <c r="J63" s="23">
        <v>6</v>
      </c>
      <c r="K63" s="27">
        <v>16000</v>
      </c>
      <c r="L63" s="37"/>
      <c r="M63" s="38"/>
      <c r="N63" s="38"/>
      <c r="O63" s="33"/>
      <c r="P63" s="197" t="s">
        <v>1595</v>
      </c>
      <c r="Q63" s="40">
        <f t="shared" si="11"/>
        <v>0</v>
      </c>
      <c r="R63" s="41"/>
      <c r="S63" s="42"/>
      <c r="T63" s="11"/>
    </row>
    <row r="64" spans="1:20">
      <c r="A64" t="s">
        <v>30</v>
      </c>
      <c r="B64" s="151" t="s">
        <v>1608</v>
      </c>
      <c r="C64" s="153"/>
      <c r="D64" s="17">
        <v>45805</v>
      </c>
      <c r="E64" s="1" t="s">
        <v>2197</v>
      </c>
      <c r="F64" s="2" t="s">
        <v>1609</v>
      </c>
      <c r="G64" s="2" t="s">
        <v>15</v>
      </c>
      <c r="H64" s="83" t="s">
        <v>1610</v>
      </c>
      <c r="I64" s="4" t="s">
        <v>591</v>
      </c>
      <c r="J64" s="23">
        <v>1</v>
      </c>
      <c r="K64" s="27">
        <v>3500000</v>
      </c>
      <c r="L64" s="26">
        <f t="shared" ref="L64:L116" si="12">J64*K64</f>
        <v>3500000</v>
      </c>
      <c r="M64" s="27">
        <f t="shared" ref="M64:M116" si="13">L64*10%</f>
        <v>350000</v>
      </c>
      <c r="N64" s="27">
        <f t="shared" ref="N64:N116" si="14">SUM(L64:M64)</f>
        <v>3850000</v>
      </c>
      <c r="O64" s="33">
        <f>2950000+20000</f>
        <v>2970000</v>
      </c>
      <c r="P64" s="197" t="s">
        <v>1947</v>
      </c>
      <c r="Q64" s="20">
        <f t="shared" si="11"/>
        <v>530000</v>
      </c>
      <c r="R64" s="2" t="s">
        <v>1902</v>
      </c>
      <c r="S64" s="8" t="s">
        <v>2134</v>
      </c>
      <c r="T64" s="11"/>
    </row>
    <row r="65" spans="1:20">
      <c r="A65" t="s">
        <v>30</v>
      </c>
      <c r="B65" s="151" t="s">
        <v>113</v>
      </c>
      <c r="C65" s="199"/>
      <c r="D65" s="17">
        <v>45807</v>
      </c>
      <c r="E65" s="214" t="s">
        <v>96</v>
      </c>
      <c r="F65" s="215" t="s">
        <v>270</v>
      </c>
      <c r="G65" s="161" t="s">
        <v>34</v>
      </c>
      <c r="H65" s="161" t="s">
        <v>114</v>
      </c>
      <c r="I65" s="169" t="s">
        <v>1435</v>
      </c>
      <c r="J65" s="69">
        <v>1</v>
      </c>
      <c r="K65" s="27">
        <v>600000</v>
      </c>
      <c r="L65" s="26">
        <f t="shared" ref="L65:L109" si="15">J65*K65</f>
        <v>600000</v>
      </c>
      <c r="M65" s="27">
        <f t="shared" ref="M65:M82" si="16">L65*10%</f>
        <v>60000</v>
      </c>
      <c r="N65" s="27">
        <f t="shared" ref="N65:N66" si="17">SUM(L65:M65)</f>
        <v>660000</v>
      </c>
      <c r="O65" s="52">
        <v>0</v>
      </c>
      <c r="P65" s="171" t="s">
        <v>115</v>
      </c>
      <c r="Q65" s="181">
        <f t="shared" ref="Q65:Q103" si="18">L65-O65</f>
        <v>600000</v>
      </c>
      <c r="R65" s="68" t="s">
        <v>1717</v>
      </c>
      <c r="S65" s="8" t="s">
        <v>2135</v>
      </c>
      <c r="T65" s="11"/>
    </row>
    <row r="66" spans="1:20" ht="24">
      <c r="A66" t="s">
        <v>30</v>
      </c>
      <c r="B66" s="151" t="s">
        <v>113</v>
      </c>
      <c r="C66" s="199"/>
      <c r="D66" s="17">
        <v>45807</v>
      </c>
      <c r="E66" s="214" t="s">
        <v>308</v>
      </c>
      <c r="F66" s="215" t="s">
        <v>271</v>
      </c>
      <c r="G66" s="161" t="s">
        <v>34</v>
      </c>
      <c r="H66" s="161" t="s">
        <v>114</v>
      </c>
      <c r="I66" s="4" t="s">
        <v>1436</v>
      </c>
      <c r="J66" s="23">
        <v>1</v>
      </c>
      <c r="K66" s="27">
        <v>4000000</v>
      </c>
      <c r="L66" s="26">
        <f t="shared" si="15"/>
        <v>4000000</v>
      </c>
      <c r="M66" s="27">
        <f t="shared" si="16"/>
        <v>400000</v>
      </c>
      <c r="N66" s="27">
        <f t="shared" si="17"/>
        <v>4400000</v>
      </c>
      <c r="O66" s="52">
        <v>0</v>
      </c>
      <c r="P66" s="170" t="s">
        <v>115</v>
      </c>
      <c r="Q66" s="181">
        <f t="shared" si="18"/>
        <v>4000000</v>
      </c>
      <c r="R66" s="68" t="s">
        <v>2037</v>
      </c>
      <c r="S66" s="8" t="s">
        <v>2135</v>
      </c>
      <c r="T66" s="11"/>
    </row>
    <row r="67" spans="1:20">
      <c r="A67" t="s">
        <v>30</v>
      </c>
      <c r="B67" s="151" t="s">
        <v>190</v>
      </c>
      <c r="C67" s="200" t="s">
        <v>220</v>
      </c>
      <c r="D67" s="17">
        <v>45807</v>
      </c>
      <c r="E67" s="214" t="s">
        <v>2171</v>
      </c>
      <c r="F67" s="214" t="s">
        <v>150</v>
      </c>
      <c r="G67" s="1" t="s">
        <v>16</v>
      </c>
      <c r="H67" s="161" t="s">
        <v>80</v>
      </c>
      <c r="I67" s="163" t="s">
        <v>1438</v>
      </c>
      <c r="J67" s="32">
        <v>1</v>
      </c>
      <c r="K67" s="48">
        <v>11178000</v>
      </c>
      <c r="L67" s="26">
        <f t="shared" si="15"/>
        <v>11178000</v>
      </c>
      <c r="M67" s="27">
        <f t="shared" si="16"/>
        <v>1117800</v>
      </c>
      <c r="N67" s="27">
        <f>SUM(L67:M67)</f>
        <v>12295800</v>
      </c>
      <c r="O67" s="72">
        <v>9980400</v>
      </c>
      <c r="P67" s="171" t="s">
        <v>1705</v>
      </c>
      <c r="Q67" s="181">
        <f t="shared" si="18"/>
        <v>1197600</v>
      </c>
      <c r="R67" s="68" t="s">
        <v>1880</v>
      </c>
      <c r="S67" s="8" t="s">
        <v>2136</v>
      </c>
      <c r="T67" s="11"/>
    </row>
    <row r="68" spans="1:20">
      <c r="A68" t="s">
        <v>30</v>
      </c>
      <c r="B68" s="151" t="s">
        <v>676</v>
      </c>
      <c r="C68" s="200" t="s">
        <v>677</v>
      </c>
      <c r="D68" s="17">
        <v>45807</v>
      </c>
      <c r="E68" s="214" t="s">
        <v>2171</v>
      </c>
      <c r="F68" s="189" t="s">
        <v>119</v>
      </c>
      <c r="G68" s="161" t="s">
        <v>16</v>
      </c>
      <c r="H68" s="161" t="s">
        <v>80</v>
      </c>
      <c r="I68" s="164" t="s">
        <v>1414</v>
      </c>
      <c r="J68" s="24">
        <v>1</v>
      </c>
      <c r="K68" s="27">
        <v>585000</v>
      </c>
      <c r="L68" s="26">
        <f t="shared" si="15"/>
        <v>585000</v>
      </c>
      <c r="M68" s="27">
        <f t="shared" si="16"/>
        <v>58500</v>
      </c>
      <c r="N68" s="27">
        <f>SUM(L68:M68)</f>
        <v>643500</v>
      </c>
      <c r="O68" s="52">
        <v>531600</v>
      </c>
      <c r="P68" s="171" t="s">
        <v>1705</v>
      </c>
      <c r="Q68" s="181">
        <f t="shared" si="18"/>
        <v>53400</v>
      </c>
      <c r="R68" s="68" t="s">
        <v>1902</v>
      </c>
      <c r="S68" s="5" t="s">
        <v>2136</v>
      </c>
      <c r="T68" s="11"/>
    </row>
    <row r="69" spans="1:20">
      <c r="A69" t="s">
        <v>30</v>
      </c>
      <c r="B69" s="151" t="s">
        <v>186</v>
      </c>
      <c r="C69" s="200"/>
      <c r="D69" s="17">
        <v>45807</v>
      </c>
      <c r="E69" s="214" t="s">
        <v>2160</v>
      </c>
      <c r="F69" s="189" t="s">
        <v>122</v>
      </c>
      <c r="G69" s="161" t="s">
        <v>16</v>
      </c>
      <c r="H69" s="161" t="s">
        <v>138</v>
      </c>
      <c r="I69" s="163" t="s">
        <v>1439</v>
      </c>
      <c r="J69" s="69">
        <v>1</v>
      </c>
      <c r="K69" s="29">
        <v>180000</v>
      </c>
      <c r="L69" s="26">
        <f t="shared" si="15"/>
        <v>180000</v>
      </c>
      <c r="M69" s="27">
        <f t="shared" si="16"/>
        <v>18000</v>
      </c>
      <c r="N69" s="27">
        <f>SUM(L69:M69)</f>
        <v>198000</v>
      </c>
      <c r="O69" s="52">
        <v>159761</v>
      </c>
      <c r="P69" s="171" t="s">
        <v>1555</v>
      </c>
      <c r="Q69" s="181">
        <f t="shared" si="18"/>
        <v>20239</v>
      </c>
      <c r="R69" s="68" t="s">
        <v>1872</v>
      </c>
      <c r="S69" s="5" t="s">
        <v>2136</v>
      </c>
      <c r="T69" s="11"/>
    </row>
    <row r="70" spans="1:20">
      <c r="A70" t="s">
        <v>30</v>
      </c>
      <c r="B70" s="151" t="s">
        <v>187</v>
      </c>
      <c r="C70" s="200"/>
      <c r="D70" s="17">
        <v>45807</v>
      </c>
      <c r="E70" s="214" t="s">
        <v>2160</v>
      </c>
      <c r="F70" s="189" t="s">
        <v>123</v>
      </c>
      <c r="G70" s="161" t="s">
        <v>16</v>
      </c>
      <c r="H70" s="161" t="s">
        <v>138</v>
      </c>
      <c r="I70" s="163" t="s">
        <v>1439</v>
      </c>
      <c r="J70" s="69">
        <v>1</v>
      </c>
      <c r="K70" s="29">
        <v>240000</v>
      </c>
      <c r="L70" s="26">
        <f t="shared" si="15"/>
        <v>240000</v>
      </c>
      <c r="M70" s="27">
        <f t="shared" si="16"/>
        <v>24000</v>
      </c>
      <c r="N70" s="27">
        <f>SUM(L70:M70)</f>
        <v>264000</v>
      </c>
      <c r="O70" s="52">
        <v>212293</v>
      </c>
      <c r="P70" s="171" t="s">
        <v>1555</v>
      </c>
      <c r="Q70" s="181">
        <f t="shared" si="18"/>
        <v>27707</v>
      </c>
      <c r="R70" s="68" t="s">
        <v>1872</v>
      </c>
      <c r="S70" s="5" t="s">
        <v>2136</v>
      </c>
      <c r="T70" s="11"/>
    </row>
    <row r="71" spans="1:20">
      <c r="A71" t="s">
        <v>30</v>
      </c>
      <c r="B71" s="151" t="s">
        <v>337</v>
      </c>
      <c r="C71" s="199" t="s">
        <v>323</v>
      </c>
      <c r="D71" s="17">
        <v>45807</v>
      </c>
      <c r="E71" s="214" t="s">
        <v>75</v>
      </c>
      <c r="F71" s="215" t="s">
        <v>125</v>
      </c>
      <c r="G71" s="161" t="s">
        <v>16</v>
      </c>
      <c r="H71" s="2" t="s">
        <v>80</v>
      </c>
      <c r="I71" s="4" t="s">
        <v>1406</v>
      </c>
      <c r="J71" s="23">
        <v>1</v>
      </c>
      <c r="K71" s="27">
        <v>122000</v>
      </c>
      <c r="L71" s="26">
        <f t="shared" si="15"/>
        <v>122000</v>
      </c>
      <c r="M71" s="27">
        <f t="shared" si="16"/>
        <v>12200</v>
      </c>
      <c r="N71" s="27">
        <f t="shared" ref="N71:N72" si="19">SUM(L71:M71)</f>
        <v>134200</v>
      </c>
      <c r="O71" s="52">
        <v>101400</v>
      </c>
      <c r="P71" s="171" t="s">
        <v>1705</v>
      </c>
      <c r="Q71" s="181">
        <f t="shared" si="18"/>
        <v>20600</v>
      </c>
      <c r="R71" s="68" t="s">
        <v>1990</v>
      </c>
      <c r="S71" s="8" t="s">
        <v>2136</v>
      </c>
      <c r="T71" s="11"/>
    </row>
    <row r="72" spans="1:20" ht="36">
      <c r="A72" t="s">
        <v>30</v>
      </c>
      <c r="B72" s="151" t="s">
        <v>222</v>
      </c>
      <c r="C72" s="199"/>
      <c r="D72" s="17">
        <v>45807</v>
      </c>
      <c r="E72" s="214" t="s">
        <v>2197</v>
      </c>
      <c r="F72" s="215" t="s">
        <v>1</v>
      </c>
      <c r="G72" s="2" t="s">
        <v>16</v>
      </c>
      <c r="H72" s="2" t="s">
        <v>81</v>
      </c>
      <c r="I72" s="4" t="s">
        <v>1440</v>
      </c>
      <c r="J72" s="23">
        <v>1</v>
      </c>
      <c r="K72" s="27">
        <v>1200000</v>
      </c>
      <c r="L72" s="26">
        <f t="shared" si="15"/>
        <v>1200000</v>
      </c>
      <c r="M72" s="27">
        <f t="shared" si="16"/>
        <v>120000</v>
      </c>
      <c r="N72" s="27">
        <f t="shared" si="19"/>
        <v>1320000</v>
      </c>
      <c r="O72" s="52">
        <f>600000+1250000/6+1750000/7</f>
        <v>1058333.3333333335</v>
      </c>
      <c r="P72" s="172" t="s">
        <v>2012</v>
      </c>
      <c r="Q72" s="181">
        <f t="shared" si="18"/>
        <v>141666.66666666651</v>
      </c>
      <c r="R72" s="2" t="s">
        <v>1902</v>
      </c>
      <c r="S72" s="8" t="s">
        <v>2133</v>
      </c>
      <c r="T72" s="11"/>
    </row>
    <row r="73" spans="1:20" ht="24">
      <c r="A73" t="s">
        <v>30</v>
      </c>
      <c r="B73" s="151" t="s">
        <v>211</v>
      </c>
      <c r="C73" s="199" t="s">
        <v>219</v>
      </c>
      <c r="D73" s="17">
        <v>45807</v>
      </c>
      <c r="E73" s="214" t="s">
        <v>2170</v>
      </c>
      <c r="F73" s="215" t="s">
        <v>210</v>
      </c>
      <c r="G73" s="2" t="s">
        <v>16</v>
      </c>
      <c r="H73" s="83" t="s">
        <v>80</v>
      </c>
      <c r="I73" s="163" t="s">
        <v>1441</v>
      </c>
      <c r="J73" s="23">
        <v>1</v>
      </c>
      <c r="K73" s="27">
        <v>6786300</v>
      </c>
      <c r="L73" s="26">
        <f t="shared" si="15"/>
        <v>6786300</v>
      </c>
      <c r="M73" s="27">
        <f t="shared" si="16"/>
        <v>678630</v>
      </c>
      <c r="N73" s="27">
        <f>SUM(L73:M73)</f>
        <v>7464930</v>
      </c>
      <c r="O73" s="72">
        <f>4875031+10560000/12</f>
        <v>5755031</v>
      </c>
      <c r="P73" s="197" t="s">
        <v>1706</v>
      </c>
      <c r="Q73" s="181">
        <f t="shared" si="18"/>
        <v>1031269</v>
      </c>
      <c r="R73" s="68" t="s">
        <v>1902</v>
      </c>
      <c r="S73" s="8" t="s">
        <v>2136</v>
      </c>
      <c r="T73" s="11"/>
    </row>
    <row r="74" spans="1:20" ht="24">
      <c r="A74" t="s">
        <v>30</v>
      </c>
      <c r="B74" s="151" t="s">
        <v>301</v>
      </c>
      <c r="C74" s="199" t="s">
        <v>305</v>
      </c>
      <c r="D74" s="17">
        <v>45807</v>
      </c>
      <c r="E74" s="214" t="s">
        <v>110</v>
      </c>
      <c r="F74" s="215" t="s">
        <v>300</v>
      </c>
      <c r="G74" s="2" t="s">
        <v>16</v>
      </c>
      <c r="H74" s="83" t="s">
        <v>80</v>
      </c>
      <c r="I74" s="162" t="s">
        <v>1442</v>
      </c>
      <c r="J74" s="23">
        <v>1</v>
      </c>
      <c r="K74" s="27">
        <v>1016100</v>
      </c>
      <c r="L74" s="26">
        <f t="shared" si="15"/>
        <v>1016100</v>
      </c>
      <c r="M74" s="27">
        <f t="shared" si="16"/>
        <v>101610</v>
      </c>
      <c r="N74" s="27">
        <f>SUM(L74:M74)</f>
        <v>1117710</v>
      </c>
      <c r="O74" s="72">
        <f>604800+2160000/6</f>
        <v>964800</v>
      </c>
      <c r="P74" s="197" t="s">
        <v>1710</v>
      </c>
      <c r="Q74" s="181">
        <f t="shared" si="18"/>
        <v>51300</v>
      </c>
      <c r="R74" s="68" t="s">
        <v>1902</v>
      </c>
      <c r="S74" s="36" t="s">
        <v>2136</v>
      </c>
      <c r="T74" s="75"/>
    </row>
    <row r="75" spans="1:20">
      <c r="A75" t="s">
        <v>30</v>
      </c>
      <c r="B75" s="151" t="s">
        <v>347</v>
      </c>
      <c r="C75" s="199" t="s">
        <v>344</v>
      </c>
      <c r="D75" s="17">
        <v>45807</v>
      </c>
      <c r="E75" s="214" t="s">
        <v>2144</v>
      </c>
      <c r="F75" s="215" t="s">
        <v>345</v>
      </c>
      <c r="G75" s="2" t="s">
        <v>16</v>
      </c>
      <c r="H75" s="83" t="s">
        <v>80</v>
      </c>
      <c r="I75" s="163" t="s">
        <v>1407</v>
      </c>
      <c r="J75" s="23">
        <v>1</v>
      </c>
      <c r="K75" s="27">
        <v>573000</v>
      </c>
      <c r="L75" s="26">
        <f t="shared" si="15"/>
        <v>573000</v>
      </c>
      <c r="M75" s="27">
        <f t="shared" si="16"/>
        <v>57300</v>
      </c>
      <c r="N75" s="27">
        <f t="shared" ref="N75:N77" si="20">SUM(L75:M75)</f>
        <v>630300</v>
      </c>
      <c r="O75" s="52">
        <v>505200</v>
      </c>
      <c r="P75" s="171" t="s">
        <v>1705</v>
      </c>
      <c r="Q75" s="181">
        <f t="shared" si="18"/>
        <v>67800</v>
      </c>
      <c r="R75" s="68" t="s">
        <v>2018</v>
      </c>
      <c r="S75" s="8" t="s">
        <v>2136</v>
      </c>
      <c r="T75" s="11"/>
    </row>
    <row r="76" spans="1:20">
      <c r="A76" t="s">
        <v>30</v>
      </c>
      <c r="B76" s="151" t="s">
        <v>349</v>
      </c>
      <c r="C76" s="199" t="s">
        <v>350</v>
      </c>
      <c r="D76" s="17">
        <v>45807</v>
      </c>
      <c r="E76" s="214" t="s">
        <v>2144</v>
      </c>
      <c r="F76" s="215" t="s">
        <v>351</v>
      </c>
      <c r="G76" s="2" t="s">
        <v>16</v>
      </c>
      <c r="H76" s="83" t="s">
        <v>80</v>
      </c>
      <c r="I76" s="163" t="s">
        <v>1428</v>
      </c>
      <c r="J76" s="23">
        <v>1</v>
      </c>
      <c r="K76" s="27">
        <v>220000</v>
      </c>
      <c r="L76" s="26">
        <f t="shared" si="15"/>
        <v>220000</v>
      </c>
      <c r="M76" s="27">
        <f t="shared" si="16"/>
        <v>22000</v>
      </c>
      <c r="N76" s="27">
        <f t="shared" si="20"/>
        <v>242000</v>
      </c>
      <c r="O76" s="52">
        <v>204600</v>
      </c>
      <c r="P76" s="171" t="s">
        <v>1705</v>
      </c>
      <c r="Q76" s="181">
        <f t="shared" si="18"/>
        <v>15400</v>
      </c>
      <c r="R76" s="68" t="s">
        <v>2018</v>
      </c>
      <c r="S76" s="8" t="s">
        <v>2136</v>
      </c>
      <c r="T76" s="11"/>
    </row>
    <row r="77" spans="1:20">
      <c r="A77" t="s">
        <v>30</v>
      </c>
      <c r="B77" s="151" t="s">
        <v>490</v>
      </c>
      <c r="C77" s="153" t="s">
        <v>639</v>
      </c>
      <c r="D77" s="17">
        <v>45807</v>
      </c>
      <c r="E77" s="214" t="s">
        <v>2144</v>
      </c>
      <c r="F77" s="215" t="s">
        <v>1094</v>
      </c>
      <c r="G77" s="2" t="s">
        <v>16</v>
      </c>
      <c r="H77" s="2" t="s">
        <v>80</v>
      </c>
      <c r="I77" s="4" t="s">
        <v>1414</v>
      </c>
      <c r="J77" s="23">
        <v>1</v>
      </c>
      <c r="K77" s="27">
        <v>700000</v>
      </c>
      <c r="L77" s="26">
        <f t="shared" si="15"/>
        <v>700000</v>
      </c>
      <c r="M77" s="27">
        <f t="shared" si="16"/>
        <v>70000</v>
      </c>
      <c r="N77" s="27">
        <f t="shared" si="20"/>
        <v>770000</v>
      </c>
      <c r="O77" s="33">
        <v>661800</v>
      </c>
      <c r="P77" s="171" t="s">
        <v>1705</v>
      </c>
      <c r="Q77" s="20">
        <f t="shared" si="18"/>
        <v>38200</v>
      </c>
      <c r="R77" s="68" t="s">
        <v>2018</v>
      </c>
      <c r="S77" s="5" t="s">
        <v>2136</v>
      </c>
      <c r="T77" s="11"/>
    </row>
    <row r="78" spans="1:20" ht="24">
      <c r="A78" t="s">
        <v>30</v>
      </c>
      <c r="B78" s="151" t="s">
        <v>511</v>
      </c>
      <c r="C78" s="153" t="s">
        <v>446</v>
      </c>
      <c r="D78" s="17">
        <v>45807</v>
      </c>
      <c r="E78" s="214" t="s">
        <v>2144</v>
      </c>
      <c r="F78" s="215" t="s">
        <v>480</v>
      </c>
      <c r="G78" s="2" t="s">
        <v>16</v>
      </c>
      <c r="H78" s="2" t="s">
        <v>80</v>
      </c>
      <c r="I78" s="4" t="s">
        <v>1414</v>
      </c>
      <c r="J78" s="23">
        <v>1</v>
      </c>
      <c r="K78" s="27">
        <v>380000</v>
      </c>
      <c r="L78" s="26">
        <f t="shared" si="15"/>
        <v>380000</v>
      </c>
      <c r="M78" s="27">
        <f t="shared" si="16"/>
        <v>38000</v>
      </c>
      <c r="N78" s="27">
        <f t="shared" ref="N78" si="21">SUM(L78:M78)</f>
        <v>418000</v>
      </c>
      <c r="O78" s="33">
        <f>289800+500000/12</f>
        <v>331466.66666666669</v>
      </c>
      <c r="P78" s="197" t="s">
        <v>1711</v>
      </c>
      <c r="Q78" s="20">
        <f t="shared" si="18"/>
        <v>48533.333333333314</v>
      </c>
      <c r="R78" s="68" t="s">
        <v>2018</v>
      </c>
      <c r="S78" s="5" t="s">
        <v>2136</v>
      </c>
      <c r="T78" s="11"/>
    </row>
    <row r="79" spans="1:20">
      <c r="A79" t="s">
        <v>30</v>
      </c>
      <c r="B79" s="151" t="s">
        <v>447</v>
      </c>
      <c r="C79" s="153" t="s">
        <v>448</v>
      </c>
      <c r="D79" s="17">
        <v>45807</v>
      </c>
      <c r="E79" s="214" t="s">
        <v>2144</v>
      </c>
      <c r="F79" s="215" t="s">
        <v>481</v>
      </c>
      <c r="G79" s="2" t="s">
        <v>16</v>
      </c>
      <c r="H79" s="2" t="s">
        <v>80</v>
      </c>
      <c r="I79" s="4" t="s">
        <v>1414</v>
      </c>
      <c r="J79" s="23">
        <v>1</v>
      </c>
      <c r="K79" s="27">
        <v>625000</v>
      </c>
      <c r="L79" s="26">
        <f t="shared" si="15"/>
        <v>625000</v>
      </c>
      <c r="M79" s="27">
        <f t="shared" si="16"/>
        <v>62500</v>
      </c>
      <c r="N79" s="27">
        <f t="shared" ref="N79:N84" si="22">SUM(L79:M79)</f>
        <v>687500</v>
      </c>
      <c r="O79" s="33">
        <v>590400</v>
      </c>
      <c r="P79" s="171" t="s">
        <v>1705</v>
      </c>
      <c r="Q79" s="20">
        <f t="shared" si="18"/>
        <v>34600</v>
      </c>
      <c r="R79" s="68" t="s">
        <v>2018</v>
      </c>
      <c r="S79" s="5" t="s">
        <v>2136</v>
      </c>
      <c r="T79" s="11"/>
    </row>
    <row r="80" spans="1:20">
      <c r="A80" t="s">
        <v>30</v>
      </c>
      <c r="B80" s="151" t="s">
        <v>493</v>
      </c>
      <c r="C80" s="153" t="s">
        <v>494</v>
      </c>
      <c r="D80" s="17">
        <v>45807</v>
      </c>
      <c r="E80" s="214" t="s">
        <v>2144</v>
      </c>
      <c r="F80" s="215" t="s">
        <v>495</v>
      </c>
      <c r="G80" s="2" t="s">
        <v>16</v>
      </c>
      <c r="H80" s="2" t="s">
        <v>80</v>
      </c>
      <c r="I80" s="4" t="s">
        <v>1414</v>
      </c>
      <c r="J80" s="23">
        <v>1</v>
      </c>
      <c r="K80" s="27">
        <v>1232000</v>
      </c>
      <c r="L80" s="26">
        <f t="shared" si="15"/>
        <v>1232000</v>
      </c>
      <c r="M80" s="27">
        <f t="shared" si="16"/>
        <v>123200</v>
      </c>
      <c r="N80" s="27">
        <f t="shared" si="22"/>
        <v>1355200</v>
      </c>
      <c r="O80" s="33">
        <v>1196100</v>
      </c>
      <c r="P80" s="171" t="s">
        <v>1705</v>
      </c>
      <c r="Q80" s="20">
        <f t="shared" si="18"/>
        <v>35900</v>
      </c>
      <c r="R80" s="68" t="s">
        <v>2018</v>
      </c>
      <c r="S80" s="8" t="s">
        <v>2136</v>
      </c>
      <c r="T80" s="11"/>
    </row>
    <row r="81" spans="1:20">
      <c r="A81" t="s">
        <v>30</v>
      </c>
      <c r="B81" s="151" t="s">
        <v>857</v>
      </c>
      <c r="C81" s="153" t="s">
        <v>853</v>
      </c>
      <c r="D81" s="17">
        <v>45807</v>
      </c>
      <c r="E81" s="214" t="s">
        <v>2144</v>
      </c>
      <c r="F81" s="215" t="s">
        <v>815</v>
      </c>
      <c r="G81" s="2" t="s">
        <v>16</v>
      </c>
      <c r="H81" s="2" t="s">
        <v>80</v>
      </c>
      <c r="I81" s="4" t="s">
        <v>1414</v>
      </c>
      <c r="J81" s="23">
        <v>1</v>
      </c>
      <c r="K81" s="27">
        <v>535000</v>
      </c>
      <c r="L81" s="26">
        <f t="shared" si="15"/>
        <v>535000</v>
      </c>
      <c r="M81" s="27">
        <f t="shared" si="16"/>
        <v>53500</v>
      </c>
      <c r="N81" s="27">
        <f t="shared" si="22"/>
        <v>588500</v>
      </c>
      <c r="O81" s="82">
        <f>496800</f>
        <v>496800</v>
      </c>
      <c r="P81" s="171" t="s">
        <v>1705</v>
      </c>
      <c r="Q81" s="20">
        <f t="shared" si="18"/>
        <v>38200</v>
      </c>
      <c r="R81" s="68" t="s">
        <v>2018</v>
      </c>
      <c r="S81" s="8" t="s">
        <v>2136</v>
      </c>
      <c r="T81" s="11"/>
    </row>
    <row r="82" spans="1:20">
      <c r="B82" s="151" t="s">
        <v>1546</v>
      </c>
      <c r="C82" s="153" t="s">
        <v>1707</v>
      </c>
      <c r="D82" s="17">
        <v>45807</v>
      </c>
      <c r="E82" s="1" t="s">
        <v>2144</v>
      </c>
      <c r="F82" s="2" t="s">
        <v>1401</v>
      </c>
      <c r="G82" s="161" t="s">
        <v>16</v>
      </c>
      <c r="H82" s="83" t="s">
        <v>80</v>
      </c>
      <c r="I82" s="4" t="s">
        <v>1437</v>
      </c>
      <c r="J82" s="23">
        <v>1</v>
      </c>
      <c r="K82" s="27">
        <v>1172800</v>
      </c>
      <c r="L82" s="26">
        <f t="shared" si="15"/>
        <v>1172800</v>
      </c>
      <c r="M82" s="27">
        <f t="shared" si="16"/>
        <v>117280</v>
      </c>
      <c r="N82" s="27">
        <f t="shared" si="22"/>
        <v>1290080</v>
      </c>
      <c r="O82" s="82">
        <v>1111200</v>
      </c>
      <c r="P82" s="171" t="s">
        <v>1705</v>
      </c>
      <c r="Q82" s="20">
        <f t="shared" si="18"/>
        <v>61600</v>
      </c>
      <c r="R82" s="68" t="s">
        <v>2018</v>
      </c>
      <c r="S82" s="8" t="s">
        <v>2136</v>
      </c>
      <c r="T82" s="11"/>
    </row>
    <row r="83" spans="1:20" ht="24">
      <c r="A83" t="s">
        <v>30</v>
      </c>
      <c r="B83" s="151" t="s">
        <v>288</v>
      </c>
      <c r="C83" s="199"/>
      <c r="D83" s="17">
        <v>45807</v>
      </c>
      <c r="E83" s="214" t="s">
        <v>2143</v>
      </c>
      <c r="F83" s="215"/>
      <c r="G83" s="161" t="s">
        <v>16</v>
      </c>
      <c r="H83" s="161" t="s">
        <v>138</v>
      </c>
      <c r="I83" s="163" t="s">
        <v>1443</v>
      </c>
      <c r="J83" s="23">
        <v>1</v>
      </c>
      <c r="K83" s="27">
        <v>3916667</v>
      </c>
      <c r="L83" s="26">
        <f t="shared" si="15"/>
        <v>3916667</v>
      </c>
      <c r="M83" s="27">
        <v>391667</v>
      </c>
      <c r="N83" s="27">
        <f t="shared" si="22"/>
        <v>4308334</v>
      </c>
      <c r="O83" s="72">
        <f>2884612+1680000/12</f>
        <v>3024612</v>
      </c>
      <c r="P83" s="223" t="s">
        <v>1704</v>
      </c>
      <c r="Q83" s="181">
        <f t="shared" si="18"/>
        <v>892055</v>
      </c>
      <c r="R83" s="68" t="s">
        <v>1902</v>
      </c>
      <c r="S83" s="8" t="s">
        <v>2134</v>
      </c>
      <c r="T83" s="11"/>
    </row>
    <row r="84" spans="1:20">
      <c r="A84" t="s">
        <v>30</v>
      </c>
      <c r="B84" s="151" t="s">
        <v>290</v>
      </c>
      <c r="C84" s="199" t="s">
        <v>284</v>
      </c>
      <c r="D84" s="17">
        <v>45807</v>
      </c>
      <c r="E84" s="214" t="s">
        <v>285</v>
      </c>
      <c r="F84" s="215" t="s">
        <v>286</v>
      </c>
      <c r="G84" s="2" t="s">
        <v>16</v>
      </c>
      <c r="H84" s="83" t="s">
        <v>80</v>
      </c>
      <c r="I84" s="4" t="s">
        <v>1444</v>
      </c>
      <c r="J84" s="23">
        <v>1</v>
      </c>
      <c r="K84" s="27">
        <v>659700</v>
      </c>
      <c r="L84" s="26">
        <f t="shared" si="15"/>
        <v>659700</v>
      </c>
      <c r="M84" s="27">
        <f t="shared" ref="M84:M102" si="23">L84*10%</f>
        <v>65970</v>
      </c>
      <c r="N84" s="27">
        <f t="shared" si="22"/>
        <v>725670</v>
      </c>
      <c r="O84" s="72">
        <v>518541</v>
      </c>
      <c r="P84" s="171" t="s">
        <v>1705</v>
      </c>
      <c r="Q84" s="181">
        <f t="shared" si="18"/>
        <v>141159</v>
      </c>
      <c r="R84" s="68" t="s">
        <v>2018</v>
      </c>
      <c r="S84" s="8" t="s">
        <v>2136</v>
      </c>
      <c r="T84" s="75"/>
    </row>
    <row r="85" spans="1:20">
      <c r="A85" t="s">
        <v>30</v>
      </c>
      <c r="B85" s="151" t="s">
        <v>336</v>
      </c>
      <c r="C85" s="199" t="s">
        <v>310</v>
      </c>
      <c r="D85" s="17">
        <v>45807</v>
      </c>
      <c r="E85" s="214" t="s">
        <v>41</v>
      </c>
      <c r="F85" s="215" t="s">
        <v>192</v>
      </c>
      <c r="G85" s="2" t="s">
        <v>16</v>
      </c>
      <c r="H85" s="83" t="s">
        <v>80</v>
      </c>
      <c r="I85" s="4" t="s">
        <v>1406</v>
      </c>
      <c r="J85" s="23">
        <v>1</v>
      </c>
      <c r="K85" s="27">
        <v>285500</v>
      </c>
      <c r="L85" s="26">
        <f t="shared" si="15"/>
        <v>285500</v>
      </c>
      <c r="M85" s="27">
        <f t="shared" si="23"/>
        <v>28550</v>
      </c>
      <c r="N85" s="27">
        <f t="shared" ref="N85:N91" si="24">SUM(L85:M85)</f>
        <v>314050</v>
      </c>
      <c r="O85" s="72">
        <v>249900</v>
      </c>
      <c r="P85" s="171" t="s">
        <v>1705</v>
      </c>
      <c r="Q85" s="181">
        <f t="shared" si="18"/>
        <v>35600</v>
      </c>
      <c r="R85" s="68" t="s">
        <v>2018</v>
      </c>
      <c r="S85" s="8" t="s">
        <v>2136</v>
      </c>
      <c r="T85" s="75"/>
    </row>
    <row r="86" spans="1:20">
      <c r="A86" t="s">
        <v>30</v>
      </c>
      <c r="B86" s="151" t="s">
        <v>304</v>
      </c>
      <c r="C86" s="199"/>
      <c r="D86" s="17">
        <v>45807</v>
      </c>
      <c r="E86" s="214" t="s">
        <v>296</v>
      </c>
      <c r="F86" s="215" t="s">
        <v>297</v>
      </c>
      <c r="G86" s="2" t="s">
        <v>16</v>
      </c>
      <c r="H86" s="161" t="s">
        <v>138</v>
      </c>
      <c r="I86" s="163" t="s">
        <v>1444</v>
      </c>
      <c r="J86" s="23">
        <v>1</v>
      </c>
      <c r="K86" s="27">
        <v>207000</v>
      </c>
      <c r="L86" s="26">
        <f t="shared" si="15"/>
        <v>207000</v>
      </c>
      <c r="M86" s="27">
        <f t="shared" si="23"/>
        <v>20700</v>
      </c>
      <c r="N86" s="27">
        <f t="shared" si="24"/>
        <v>227700</v>
      </c>
      <c r="O86" s="72">
        <v>190849</v>
      </c>
      <c r="P86" s="171" t="s">
        <v>1555</v>
      </c>
      <c r="Q86" s="181">
        <f t="shared" si="18"/>
        <v>16151</v>
      </c>
      <c r="R86" s="68" t="s">
        <v>1902</v>
      </c>
      <c r="S86" s="8" t="s">
        <v>2136</v>
      </c>
      <c r="T86" s="11"/>
    </row>
    <row r="87" spans="1:20">
      <c r="A87" t="s">
        <v>30</v>
      </c>
      <c r="B87" s="151" t="s">
        <v>303</v>
      </c>
      <c r="C87" s="199"/>
      <c r="D87" s="17">
        <v>45807</v>
      </c>
      <c r="E87" s="214" t="s">
        <v>299</v>
      </c>
      <c r="F87" s="215" t="s">
        <v>136</v>
      </c>
      <c r="G87" s="2" t="s">
        <v>16</v>
      </c>
      <c r="H87" s="161" t="s">
        <v>81</v>
      </c>
      <c r="I87" s="162" t="s">
        <v>1445</v>
      </c>
      <c r="J87" s="23">
        <v>1</v>
      </c>
      <c r="K87" s="27">
        <v>155000</v>
      </c>
      <c r="L87" s="26">
        <f t="shared" si="15"/>
        <v>155000</v>
      </c>
      <c r="M87" s="27">
        <f t="shared" si="23"/>
        <v>15500</v>
      </c>
      <c r="N87" s="27">
        <f t="shared" si="24"/>
        <v>170500</v>
      </c>
      <c r="O87" s="52">
        <f>1440000/12</f>
        <v>120000</v>
      </c>
      <c r="P87" s="171" t="s">
        <v>1665</v>
      </c>
      <c r="Q87" s="181">
        <f t="shared" si="18"/>
        <v>35000</v>
      </c>
      <c r="R87" s="68" t="s">
        <v>1902</v>
      </c>
      <c r="S87" s="36" t="s">
        <v>2133</v>
      </c>
      <c r="T87" s="75"/>
    </row>
    <row r="88" spans="1:20">
      <c r="A88" t="s">
        <v>30</v>
      </c>
      <c r="B88" s="151" t="s">
        <v>332</v>
      </c>
      <c r="C88" s="200" t="s">
        <v>334</v>
      </c>
      <c r="D88" s="17">
        <v>45807</v>
      </c>
      <c r="E88" s="214" t="s">
        <v>68</v>
      </c>
      <c r="F88" s="189" t="s">
        <v>189</v>
      </c>
      <c r="G88" s="161" t="s">
        <v>16</v>
      </c>
      <c r="H88" s="161" t="s">
        <v>138</v>
      </c>
      <c r="I88" s="163" t="s">
        <v>1407</v>
      </c>
      <c r="J88" s="24">
        <v>1</v>
      </c>
      <c r="K88" s="26">
        <v>700000</v>
      </c>
      <c r="L88" s="26">
        <f t="shared" si="15"/>
        <v>700000</v>
      </c>
      <c r="M88" s="27">
        <f t="shared" si="23"/>
        <v>70000</v>
      </c>
      <c r="N88" s="27">
        <f t="shared" si="24"/>
        <v>770000</v>
      </c>
      <c r="O88" s="33">
        <v>499500</v>
      </c>
      <c r="P88" s="171" t="s">
        <v>1705</v>
      </c>
      <c r="Q88" s="21">
        <f t="shared" si="18"/>
        <v>200500</v>
      </c>
      <c r="R88" s="68" t="s">
        <v>1745</v>
      </c>
      <c r="S88" s="5" t="s">
        <v>2133</v>
      </c>
      <c r="T88" s="11"/>
    </row>
    <row r="89" spans="1:20">
      <c r="A89" t="s">
        <v>30</v>
      </c>
      <c r="B89" s="151" t="s">
        <v>363</v>
      </c>
      <c r="C89" s="153" t="s">
        <v>362</v>
      </c>
      <c r="D89" s="17">
        <v>45807</v>
      </c>
      <c r="E89" s="214" t="s">
        <v>2200</v>
      </c>
      <c r="F89" s="215" t="s">
        <v>119</v>
      </c>
      <c r="G89" s="161" t="s">
        <v>16</v>
      </c>
      <c r="H89" s="83" t="s">
        <v>80</v>
      </c>
      <c r="I89" s="4" t="s">
        <v>1446</v>
      </c>
      <c r="J89" s="23">
        <v>1</v>
      </c>
      <c r="K89" s="27">
        <v>13057800</v>
      </c>
      <c r="L89" s="26">
        <f t="shared" si="15"/>
        <v>13057800</v>
      </c>
      <c r="M89" s="27">
        <f t="shared" si="23"/>
        <v>1305780</v>
      </c>
      <c r="N89" s="27">
        <f t="shared" si="24"/>
        <v>14363580</v>
      </c>
      <c r="O89" s="33">
        <v>11892500</v>
      </c>
      <c r="P89" s="171" t="s">
        <v>1705</v>
      </c>
      <c r="Q89" s="21">
        <f t="shared" si="18"/>
        <v>1165300</v>
      </c>
      <c r="R89" s="68" t="s">
        <v>1902</v>
      </c>
      <c r="S89" s="36" t="s">
        <v>2136</v>
      </c>
      <c r="T89" s="11"/>
    </row>
    <row r="90" spans="1:20" ht="24">
      <c r="A90" t="s">
        <v>30</v>
      </c>
      <c r="B90" s="151" t="s">
        <v>665</v>
      </c>
      <c r="C90" s="153" t="s">
        <v>666</v>
      </c>
      <c r="D90" s="17">
        <v>45807</v>
      </c>
      <c r="E90" s="1" t="s">
        <v>2200</v>
      </c>
      <c r="F90" s="2" t="s">
        <v>690</v>
      </c>
      <c r="G90" s="2" t="s">
        <v>16</v>
      </c>
      <c r="H90" s="2" t="s">
        <v>80</v>
      </c>
      <c r="I90" s="4" t="s">
        <v>1445</v>
      </c>
      <c r="J90" s="23">
        <v>1</v>
      </c>
      <c r="K90" s="27">
        <v>202000</v>
      </c>
      <c r="L90" s="26">
        <f t="shared" si="15"/>
        <v>202000</v>
      </c>
      <c r="M90" s="27">
        <f t="shared" si="23"/>
        <v>20200</v>
      </c>
      <c r="N90" s="27">
        <f t="shared" si="24"/>
        <v>222200</v>
      </c>
      <c r="O90" s="33">
        <v>180600</v>
      </c>
      <c r="P90" s="171" t="s">
        <v>1705</v>
      </c>
      <c r="Q90" s="20">
        <f t="shared" si="18"/>
        <v>21400</v>
      </c>
      <c r="R90" s="68" t="s">
        <v>1902</v>
      </c>
      <c r="S90" s="8" t="s">
        <v>2136</v>
      </c>
      <c r="T90" s="11"/>
    </row>
    <row r="91" spans="1:20" ht="24">
      <c r="A91" t="s">
        <v>30</v>
      </c>
      <c r="B91" s="151" t="s">
        <v>380</v>
      </c>
      <c r="C91" s="208" t="s">
        <v>381</v>
      </c>
      <c r="D91" s="17">
        <v>45807</v>
      </c>
      <c r="E91" s="214" t="s">
        <v>2201</v>
      </c>
      <c r="F91" s="189" t="s">
        <v>379</v>
      </c>
      <c r="G91" s="161" t="s">
        <v>16</v>
      </c>
      <c r="H91" s="83" t="s">
        <v>80</v>
      </c>
      <c r="I91" s="163" t="s">
        <v>1414</v>
      </c>
      <c r="J91" s="24">
        <v>1</v>
      </c>
      <c r="K91" s="26">
        <v>2871300</v>
      </c>
      <c r="L91" s="26">
        <f t="shared" si="15"/>
        <v>2871300</v>
      </c>
      <c r="M91" s="27">
        <f t="shared" si="23"/>
        <v>287130</v>
      </c>
      <c r="N91" s="27">
        <f t="shared" si="24"/>
        <v>3158430</v>
      </c>
      <c r="O91" s="33">
        <f>1981200+655500</f>
        <v>2636700</v>
      </c>
      <c r="P91" s="197" t="s">
        <v>1708</v>
      </c>
      <c r="Q91" s="21">
        <f t="shared" si="18"/>
        <v>234600</v>
      </c>
      <c r="R91" s="2" t="s">
        <v>2016</v>
      </c>
      <c r="S91" s="5" t="s">
        <v>2136</v>
      </c>
      <c r="T91" s="11"/>
    </row>
    <row r="92" spans="1:20" ht="60">
      <c r="A92" t="s">
        <v>30</v>
      </c>
      <c r="B92" s="151" t="s">
        <v>963</v>
      </c>
      <c r="C92" s="200"/>
      <c r="D92" s="17">
        <v>45807</v>
      </c>
      <c r="E92" s="214" t="s">
        <v>2199</v>
      </c>
      <c r="F92" s="215" t="s">
        <v>152</v>
      </c>
      <c r="G92" s="2" t="s">
        <v>16</v>
      </c>
      <c r="H92" s="161" t="s">
        <v>138</v>
      </c>
      <c r="I92" s="163" t="s">
        <v>1414</v>
      </c>
      <c r="J92" s="23">
        <v>1</v>
      </c>
      <c r="K92" s="27">
        <v>4761667</v>
      </c>
      <c r="L92" s="26">
        <f t="shared" si="15"/>
        <v>4761667</v>
      </c>
      <c r="M92" s="27">
        <f t="shared" si="23"/>
        <v>476166.7</v>
      </c>
      <c r="N92" s="27">
        <f>SUM(L92:M92)</f>
        <v>5237833.7</v>
      </c>
      <c r="O92" s="72">
        <v>4437257</v>
      </c>
      <c r="P92" s="170" t="s">
        <v>1698</v>
      </c>
      <c r="Q92" s="21">
        <f t="shared" si="18"/>
        <v>324410</v>
      </c>
      <c r="R92" s="2" t="s">
        <v>1902</v>
      </c>
      <c r="S92" s="8" t="s">
        <v>2133</v>
      </c>
      <c r="T92" s="11"/>
    </row>
    <row r="93" spans="1:20" ht="60">
      <c r="A93" t="s">
        <v>30</v>
      </c>
      <c r="B93" s="151" t="s">
        <v>964</v>
      </c>
      <c r="C93" s="200"/>
      <c r="D93" s="17">
        <v>45807</v>
      </c>
      <c r="E93" s="214" t="s">
        <v>2199</v>
      </c>
      <c r="F93" s="215" t="s">
        <v>241</v>
      </c>
      <c r="G93" s="2" t="s">
        <v>16</v>
      </c>
      <c r="H93" s="161" t="s">
        <v>138</v>
      </c>
      <c r="I93" s="163" t="s">
        <v>1414</v>
      </c>
      <c r="J93" s="23">
        <v>1</v>
      </c>
      <c r="K93" s="27">
        <v>11210000</v>
      </c>
      <c r="L93" s="26">
        <f t="shared" si="15"/>
        <v>11210000</v>
      </c>
      <c r="M93" s="27">
        <f t="shared" si="23"/>
        <v>1121000</v>
      </c>
      <c r="N93" s="27">
        <f>SUM(L93:M93)</f>
        <v>12331000</v>
      </c>
      <c r="O93" s="72">
        <v>10800000</v>
      </c>
      <c r="P93" s="170" t="s">
        <v>1699</v>
      </c>
      <c r="Q93" s="21">
        <f t="shared" si="18"/>
        <v>410000</v>
      </c>
      <c r="R93" s="2" t="s">
        <v>1990</v>
      </c>
      <c r="S93" s="8" t="s">
        <v>2133</v>
      </c>
      <c r="T93" s="11"/>
    </row>
    <row r="94" spans="1:20" ht="24">
      <c r="A94" t="s">
        <v>30</v>
      </c>
      <c r="B94" s="151" t="s">
        <v>962</v>
      </c>
      <c r="C94" s="199"/>
      <c r="D94" s="17">
        <v>45807</v>
      </c>
      <c r="E94" s="1" t="s">
        <v>2199</v>
      </c>
      <c r="F94" s="2" t="s">
        <v>265</v>
      </c>
      <c r="G94" s="2" t="s">
        <v>16</v>
      </c>
      <c r="H94" s="2" t="s">
        <v>81</v>
      </c>
      <c r="I94" s="163" t="s">
        <v>1414</v>
      </c>
      <c r="J94" s="23">
        <v>1</v>
      </c>
      <c r="K94" s="27">
        <v>880000</v>
      </c>
      <c r="L94" s="26">
        <f t="shared" si="15"/>
        <v>880000</v>
      </c>
      <c r="M94" s="27">
        <f t="shared" si="23"/>
        <v>88000</v>
      </c>
      <c r="N94" s="27">
        <f>SUM(L94:M94)</f>
        <v>968000</v>
      </c>
      <c r="O94" s="52">
        <f>376200+1000000/3</f>
        <v>709533.33333333326</v>
      </c>
      <c r="P94" s="171" t="s">
        <v>1992</v>
      </c>
      <c r="Q94" s="181">
        <f t="shared" si="18"/>
        <v>170466.66666666674</v>
      </c>
      <c r="R94" s="2" t="s">
        <v>1990</v>
      </c>
      <c r="S94" s="8" t="s">
        <v>2133</v>
      </c>
      <c r="T94" s="11"/>
    </row>
    <row r="95" spans="1:20" ht="24">
      <c r="A95" t="s">
        <v>30</v>
      </c>
      <c r="B95" s="151" t="s">
        <v>960</v>
      </c>
      <c r="C95" s="199"/>
      <c r="D95" s="17">
        <v>45807</v>
      </c>
      <c r="E95" s="1" t="s">
        <v>2199</v>
      </c>
      <c r="F95" s="2" t="s">
        <v>130</v>
      </c>
      <c r="G95" s="161" t="s">
        <v>16</v>
      </c>
      <c r="H95" s="161" t="s">
        <v>138</v>
      </c>
      <c r="I95" s="163" t="s">
        <v>1414</v>
      </c>
      <c r="J95" s="34">
        <v>1</v>
      </c>
      <c r="K95" s="48">
        <v>3278000</v>
      </c>
      <c r="L95" s="26">
        <f t="shared" si="15"/>
        <v>3278000</v>
      </c>
      <c r="M95" s="27">
        <f t="shared" si="23"/>
        <v>327800</v>
      </c>
      <c r="N95" s="27">
        <f>SUM(L95:M95)</f>
        <v>3605800</v>
      </c>
      <c r="O95" s="82">
        <f>1210534+6000000/3</f>
        <v>3210534</v>
      </c>
      <c r="P95" s="170" t="s">
        <v>1999</v>
      </c>
      <c r="Q95" s="181">
        <f t="shared" si="18"/>
        <v>67466</v>
      </c>
      <c r="R95" s="2" t="s">
        <v>1990</v>
      </c>
      <c r="S95" s="8" t="s">
        <v>2133</v>
      </c>
      <c r="T95" s="11"/>
    </row>
    <row r="96" spans="1:20">
      <c r="A96" t="s">
        <v>30</v>
      </c>
      <c r="B96" s="151" t="s">
        <v>449</v>
      </c>
      <c r="C96" s="199"/>
      <c r="D96" s="17">
        <v>45807</v>
      </c>
      <c r="E96" s="214" t="s">
        <v>2159</v>
      </c>
      <c r="F96" s="215" t="s">
        <v>249</v>
      </c>
      <c r="G96" s="2" t="s">
        <v>16</v>
      </c>
      <c r="H96" s="2" t="s">
        <v>80</v>
      </c>
      <c r="I96" s="4" t="s">
        <v>1447</v>
      </c>
      <c r="J96" s="23">
        <v>1</v>
      </c>
      <c r="K96" s="27">
        <v>850000</v>
      </c>
      <c r="L96" s="26">
        <f t="shared" si="15"/>
        <v>850000</v>
      </c>
      <c r="M96" s="27">
        <f t="shared" si="23"/>
        <v>85000</v>
      </c>
      <c r="N96" s="27">
        <f t="shared" ref="N96:N97" si="25">SUM(L96:M96)</f>
        <v>935000</v>
      </c>
      <c r="O96" s="52">
        <v>700000</v>
      </c>
      <c r="P96" s="171" t="s">
        <v>1731</v>
      </c>
      <c r="Q96" s="181">
        <f t="shared" si="18"/>
        <v>150000</v>
      </c>
      <c r="R96" s="2" t="s">
        <v>2032</v>
      </c>
      <c r="S96" s="8" t="s">
        <v>2136</v>
      </c>
      <c r="T96" s="11"/>
    </row>
    <row r="97" spans="1:20" ht="48">
      <c r="A97" t="s">
        <v>30</v>
      </c>
      <c r="B97" s="151" t="s">
        <v>449</v>
      </c>
      <c r="C97" s="199"/>
      <c r="D97" s="17">
        <v>45807</v>
      </c>
      <c r="E97" s="214" t="s">
        <v>2165</v>
      </c>
      <c r="F97" s="215" t="s">
        <v>250</v>
      </c>
      <c r="G97" s="2" t="s">
        <v>16</v>
      </c>
      <c r="H97" s="2" t="s">
        <v>80</v>
      </c>
      <c r="I97" s="4" t="s">
        <v>1447</v>
      </c>
      <c r="J97" s="23">
        <v>1</v>
      </c>
      <c r="K97" s="27">
        <v>4600000</v>
      </c>
      <c r="L97" s="26">
        <f t="shared" si="15"/>
        <v>4600000</v>
      </c>
      <c r="M97" s="27">
        <f t="shared" si="23"/>
        <v>460000</v>
      </c>
      <c r="N97" s="27">
        <f t="shared" si="25"/>
        <v>5060000</v>
      </c>
      <c r="O97" s="52">
        <f>4250000+2400000/12+6000+1500000/6</f>
        <v>4706000</v>
      </c>
      <c r="P97" s="171" t="s">
        <v>2029</v>
      </c>
      <c r="Q97" s="181">
        <f t="shared" si="18"/>
        <v>-106000</v>
      </c>
      <c r="R97" s="2" t="s">
        <v>2032</v>
      </c>
      <c r="S97" s="8" t="s">
        <v>2136</v>
      </c>
      <c r="T97" s="11"/>
    </row>
    <row r="98" spans="1:20">
      <c r="A98" t="s">
        <v>30</v>
      </c>
      <c r="B98" s="151" t="s">
        <v>450</v>
      </c>
      <c r="C98" s="153" t="s">
        <v>451</v>
      </c>
      <c r="D98" s="17">
        <v>45807</v>
      </c>
      <c r="E98" s="214" t="s">
        <v>409</v>
      </c>
      <c r="F98" s="215" t="s">
        <v>453</v>
      </c>
      <c r="G98" s="2" t="s">
        <v>16</v>
      </c>
      <c r="H98" s="2" t="s">
        <v>80</v>
      </c>
      <c r="I98" s="163" t="s">
        <v>1414</v>
      </c>
      <c r="J98" s="23">
        <v>1</v>
      </c>
      <c r="K98" s="27">
        <v>904800</v>
      </c>
      <c r="L98" s="26">
        <f t="shared" si="15"/>
        <v>904800</v>
      </c>
      <c r="M98" s="27">
        <f t="shared" si="23"/>
        <v>90480</v>
      </c>
      <c r="N98" s="27">
        <f t="shared" ref="N98:N100" si="26">SUM(L98:M98)</f>
        <v>995280</v>
      </c>
      <c r="O98" s="52">
        <v>820200</v>
      </c>
      <c r="P98" s="170" t="s">
        <v>1705</v>
      </c>
      <c r="Q98" s="20">
        <f t="shared" si="18"/>
        <v>84600</v>
      </c>
      <c r="R98" s="2" t="s">
        <v>1902</v>
      </c>
      <c r="S98" s="8" t="s">
        <v>2136</v>
      </c>
      <c r="T98" s="11"/>
    </row>
    <row r="99" spans="1:20" ht="60">
      <c r="A99" t="s">
        <v>30</v>
      </c>
      <c r="B99" s="151" t="s">
        <v>855</v>
      </c>
      <c r="C99" s="199"/>
      <c r="D99" s="17">
        <v>45807</v>
      </c>
      <c r="E99" s="1" t="s">
        <v>2167</v>
      </c>
      <c r="F99" s="2"/>
      <c r="G99" s="2" t="s">
        <v>16</v>
      </c>
      <c r="H99" s="2" t="s">
        <v>81</v>
      </c>
      <c r="I99" s="163" t="s">
        <v>1414</v>
      </c>
      <c r="J99" s="23">
        <v>1</v>
      </c>
      <c r="K99" s="27">
        <v>3611000</v>
      </c>
      <c r="L99" s="26">
        <f t="shared" si="15"/>
        <v>3611000</v>
      </c>
      <c r="M99" s="27">
        <f t="shared" si="23"/>
        <v>361100</v>
      </c>
      <c r="N99" s="27">
        <f t="shared" si="26"/>
        <v>3972100</v>
      </c>
      <c r="O99" s="33">
        <f>672000+700000+100000+290000+6000000/6</f>
        <v>2762000</v>
      </c>
      <c r="P99" s="197" t="s">
        <v>1732</v>
      </c>
      <c r="Q99" s="181">
        <f t="shared" si="18"/>
        <v>849000</v>
      </c>
      <c r="R99" s="2" t="s">
        <v>1902</v>
      </c>
      <c r="S99" s="8" t="s">
        <v>2134</v>
      </c>
      <c r="T99" s="11"/>
    </row>
    <row r="100" spans="1:20">
      <c r="A100" t="s">
        <v>30</v>
      </c>
      <c r="B100" s="151" t="s">
        <v>674</v>
      </c>
      <c r="C100" s="153" t="s">
        <v>675</v>
      </c>
      <c r="D100" s="17">
        <v>45807</v>
      </c>
      <c r="E100" s="214" t="s">
        <v>71</v>
      </c>
      <c r="F100" s="215" t="s">
        <v>562</v>
      </c>
      <c r="G100" s="1" t="s">
        <v>16</v>
      </c>
      <c r="H100" s="83" t="s">
        <v>80</v>
      </c>
      <c r="I100" s="163" t="s">
        <v>1414</v>
      </c>
      <c r="J100" s="23">
        <v>1</v>
      </c>
      <c r="K100" s="27">
        <v>554000</v>
      </c>
      <c r="L100" s="26">
        <f t="shared" si="15"/>
        <v>554000</v>
      </c>
      <c r="M100" s="27">
        <f t="shared" si="23"/>
        <v>55400</v>
      </c>
      <c r="N100" s="27">
        <f t="shared" si="26"/>
        <v>609400</v>
      </c>
      <c r="O100" s="33">
        <v>502800</v>
      </c>
      <c r="P100" s="171" t="s">
        <v>1705</v>
      </c>
      <c r="Q100" s="20">
        <f t="shared" si="18"/>
        <v>51200</v>
      </c>
      <c r="R100" s="68" t="s">
        <v>1902</v>
      </c>
      <c r="S100" s="8" t="s">
        <v>2136</v>
      </c>
      <c r="T100" s="11"/>
    </row>
    <row r="101" spans="1:20">
      <c r="A101" t="s">
        <v>30</v>
      </c>
      <c r="B101" s="151" t="s">
        <v>856</v>
      </c>
      <c r="C101" s="200"/>
      <c r="D101" s="17">
        <v>45807</v>
      </c>
      <c r="E101" s="1" t="s">
        <v>2202</v>
      </c>
      <c r="F101" s="161"/>
      <c r="G101" s="161" t="s">
        <v>16</v>
      </c>
      <c r="H101" s="161" t="s">
        <v>138</v>
      </c>
      <c r="I101" s="163" t="s">
        <v>1414</v>
      </c>
      <c r="J101" s="71">
        <v>1</v>
      </c>
      <c r="K101" s="26">
        <v>2840000</v>
      </c>
      <c r="L101" s="26">
        <f t="shared" si="15"/>
        <v>2840000</v>
      </c>
      <c r="M101" s="27">
        <f t="shared" si="23"/>
        <v>284000</v>
      </c>
      <c r="N101" s="27">
        <f>SUM(L101:M101)</f>
        <v>3124000</v>
      </c>
      <c r="O101" s="52">
        <v>44000</v>
      </c>
      <c r="P101" s="170" t="s">
        <v>1696</v>
      </c>
      <c r="Q101" s="181">
        <f t="shared" si="18"/>
        <v>2796000</v>
      </c>
      <c r="R101" s="68" t="s">
        <v>1737</v>
      </c>
      <c r="S101" s="5" t="s">
        <v>2134</v>
      </c>
      <c r="T101" s="11"/>
    </row>
    <row r="102" spans="1:20" ht="24">
      <c r="A102" t="s">
        <v>30</v>
      </c>
      <c r="B102" s="151" t="s">
        <v>1550</v>
      </c>
      <c r="C102" s="153" t="s">
        <v>1551</v>
      </c>
      <c r="D102" s="17">
        <v>45807</v>
      </c>
      <c r="E102" s="1" t="s">
        <v>78</v>
      </c>
      <c r="F102" s="2" t="s">
        <v>128</v>
      </c>
      <c r="G102" s="2" t="s">
        <v>16</v>
      </c>
      <c r="H102" s="2" t="s">
        <v>80</v>
      </c>
      <c r="I102" s="4" t="s">
        <v>1414</v>
      </c>
      <c r="J102" s="23">
        <v>1</v>
      </c>
      <c r="K102" s="27">
        <v>454600</v>
      </c>
      <c r="L102" s="26">
        <f t="shared" si="15"/>
        <v>454600</v>
      </c>
      <c r="M102" s="27">
        <f t="shared" si="23"/>
        <v>45460</v>
      </c>
      <c r="N102" s="27">
        <f>SUM(L102:M102)</f>
        <v>500060</v>
      </c>
      <c r="O102" s="33">
        <f>243000+1100000/6</f>
        <v>426333.33333333337</v>
      </c>
      <c r="P102" s="197" t="s">
        <v>1709</v>
      </c>
      <c r="Q102" s="20">
        <f t="shared" si="18"/>
        <v>28266.666666666628</v>
      </c>
      <c r="R102" s="68" t="s">
        <v>1902</v>
      </c>
      <c r="S102" s="8" t="s">
        <v>2136</v>
      </c>
      <c r="T102" s="11"/>
    </row>
    <row r="103" spans="1:20" ht="24">
      <c r="A103" t="s">
        <v>30</v>
      </c>
      <c r="B103" s="151" t="s">
        <v>961</v>
      </c>
      <c r="C103" s="153"/>
      <c r="D103" s="17">
        <v>45807</v>
      </c>
      <c r="E103" s="1" t="s">
        <v>2207</v>
      </c>
      <c r="F103" s="2" t="s">
        <v>130</v>
      </c>
      <c r="G103" s="1" t="s">
        <v>16</v>
      </c>
      <c r="H103" s="83" t="s">
        <v>81</v>
      </c>
      <c r="I103" s="4" t="s">
        <v>1448</v>
      </c>
      <c r="J103" s="23">
        <v>1</v>
      </c>
      <c r="K103" s="27">
        <v>2697200</v>
      </c>
      <c r="L103" s="26">
        <f t="shared" si="15"/>
        <v>2697200</v>
      </c>
      <c r="M103" s="27">
        <f t="shared" ref="M103" si="27">L103*10%</f>
        <v>269720</v>
      </c>
      <c r="N103" s="27">
        <f t="shared" ref="N103" si="28">SUM(L103:M103)</f>
        <v>2966920</v>
      </c>
      <c r="O103" s="33">
        <f>8000000/3+70000</f>
        <v>2736666.6666666665</v>
      </c>
      <c r="P103" s="197" t="s">
        <v>2011</v>
      </c>
      <c r="Q103" s="20">
        <f t="shared" si="18"/>
        <v>-39466.666666666511</v>
      </c>
      <c r="R103" s="68" t="s">
        <v>2018</v>
      </c>
      <c r="S103" s="8" t="s">
        <v>2133</v>
      </c>
      <c r="T103" s="11"/>
    </row>
    <row r="104" spans="1:20" ht="48">
      <c r="A104" t="s">
        <v>30</v>
      </c>
      <c r="B104" s="151" t="s">
        <v>966</v>
      </c>
      <c r="C104" s="153" t="s">
        <v>967</v>
      </c>
      <c r="D104" s="17">
        <v>45807</v>
      </c>
      <c r="E104" s="214" t="s">
        <v>72</v>
      </c>
      <c r="F104" s="215" t="s">
        <v>497</v>
      </c>
      <c r="G104" s="1" t="s">
        <v>16</v>
      </c>
      <c r="H104" s="2" t="s">
        <v>80</v>
      </c>
      <c r="I104" s="4" t="s">
        <v>1414</v>
      </c>
      <c r="J104" s="23">
        <v>1</v>
      </c>
      <c r="K104" s="27">
        <v>2900000</v>
      </c>
      <c r="L104" s="26">
        <f t="shared" si="15"/>
        <v>2900000</v>
      </c>
      <c r="M104" s="27">
        <f t="shared" ref="M104" si="29">L104*10%</f>
        <v>290000</v>
      </c>
      <c r="N104" s="27">
        <f t="shared" ref="N104" si="30">SUM(L104:M104)</f>
        <v>3190000</v>
      </c>
      <c r="O104" s="33">
        <f>1515000+250000+391000+2500000/6</f>
        <v>2572666.6666666665</v>
      </c>
      <c r="P104" s="197" t="s">
        <v>2150</v>
      </c>
      <c r="Q104" s="20">
        <f t="shared" ref="Q104" si="31">L104-O104</f>
        <v>327333.33333333349</v>
      </c>
      <c r="R104" s="68" t="s">
        <v>1902</v>
      </c>
      <c r="S104" s="8" t="s">
        <v>2136</v>
      </c>
      <c r="T104" s="11"/>
    </row>
    <row r="105" spans="1:20">
      <c r="A105" t="s">
        <v>30</v>
      </c>
      <c r="B105" s="151" t="s">
        <v>1350</v>
      </c>
      <c r="C105" s="230" t="s">
        <v>1053</v>
      </c>
      <c r="D105" s="17">
        <v>45807</v>
      </c>
      <c r="E105" s="214" t="s">
        <v>2195</v>
      </c>
      <c r="F105" s="215" t="s">
        <v>1002</v>
      </c>
      <c r="G105" s="161" t="s">
        <v>16</v>
      </c>
      <c r="H105" s="83" t="s">
        <v>80</v>
      </c>
      <c r="I105" s="4" t="s">
        <v>1449</v>
      </c>
      <c r="J105" s="23">
        <v>1</v>
      </c>
      <c r="K105" s="27">
        <v>501000</v>
      </c>
      <c r="L105" s="26">
        <f t="shared" si="15"/>
        <v>501000</v>
      </c>
      <c r="M105" s="27">
        <f>L105*10%</f>
        <v>50100</v>
      </c>
      <c r="N105" s="27">
        <f>SUM(L105:M105)</f>
        <v>551100</v>
      </c>
      <c r="O105" s="33">
        <v>405600</v>
      </c>
      <c r="P105" s="171" t="s">
        <v>1705</v>
      </c>
      <c r="Q105" s="181">
        <f>L105-O105</f>
        <v>95400</v>
      </c>
      <c r="R105" s="68" t="s">
        <v>1902</v>
      </c>
      <c r="S105" s="8" t="s">
        <v>2136</v>
      </c>
      <c r="T105" s="11"/>
    </row>
    <row r="106" spans="1:20">
      <c r="A106" t="s">
        <v>30</v>
      </c>
      <c r="B106" s="151" t="s">
        <v>1085</v>
      </c>
      <c r="C106" s="153"/>
      <c r="D106" s="17">
        <v>45807</v>
      </c>
      <c r="E106" s="1" t="s">
        <v>2156</v>
      </c>
      <c r="F106" s="2" t="s">
        <v>1086</v>
      </c>
      <c r="G106" s="161" t="s">
        <v>16</v>
      </c>
      <c r="H106" s="83" t="s">
        <v>81</v>
      </c>
      <c r="I106" s="4" t="s">
        <v>1450</v>
      </c>
      <c r="J106" s="23">
        <v>1</v>
      </c>
      <c r="K106" s="27">
        <v>150000</v>
      </c>
      <c r="L106" s="26">
        <f t="shared" si="15"/>
        <v>150000</v>
      </c>
      <c r="M106" s="27">
        <f t="shared" ref="M106" si="32">L106*10%</f>
        <v>15000</v>
      </c>
      <c r="N106" s="27">
        <f t="shared" ref="N106" si="33">SUM(L106:M106)</f>
        <v>165000</v>
      </c>
      <c r="O106" s="33">
        <v>0</v>
      </c>
      <c r="P106" s="197" t="s">
        <v>129</v>
      </c>
      <c r="Q106" s="20">
        <f t="shared" ref="Q106" si="34">L106-O106</f>
        <v>150000</v>
      </c>
      <c r="R106" s="68" t="s">
        <v>2018</v>
      </c>
      <c r="S106" s="8" t="s">
        <v>2134</v>
      </c>
      <c r="T106" s="11"/>
    </row>
    <row r="107" spans="1:20">
      <c r="A107" t="s">
        <v>30</v>
      </c>
      <c r="B107" s="151" t="s">
        <v>2090</v>
      </c>
      <c r="C107" s="200"/>
      <c r="D107" s="17">
        <v>45807</v>
      </c>
      <c r="E107" s="214" t="s">
        <v>4</v>
      </c>
      <c r="F107" s="189" t="s">
        <v>124</v>
      </c>
      <c r="G107" s="161" t="s">
        <v>16</v>
      </c>
      <c r="H107" s="161" t="s">
        <v>138</v>
      </c>
      <c r="I107" s="163" t="s">
        <v>1422</v>
      </c>
      <c r="J107" s="24">
        <v>1</v>
      </c>
      <c r="K107" s="26">
        <v>1600000</v>
      </c>
      <c r="L107" s="26">
        <f t="shared" si="15"/>
        <v>1600000</v>
      </c>
      <c r="M107" s="27">
        <f>L107*10%</f>
        <v>160000</v>
      </c>
      <c r="N107" s="27">
        <f>SUM(L107:M107)</f>
        <v>1760000</v>
      </c>
      <c r="O107" s="72">
        <v>1352754</v>
      </c>
      <c r="P107" s="171" t="s">
        <v>1555</v>
      </c>
      <c r="Q107" s="181">
        <f>L107-O107</f>
        <v>247246</v>
      </c>
      <c r="R107" s="68" t="s">
        <v>1902</v>
      </c>
      <c r="S107" s="5" t="s">
        <v>2136</v>
      </c>
      <c r="T107" s="11"/>
    </row>
    <row r="108" spans="1:20" ht="36">
      <c r="A108" t="s">
        <v>30</v>
      </c>
      <c r="B108" s="151" t="s">
        <v>869</v>
      </c>
      <c r="C108" s="153" t="s">
        <v>870</v>
      </c>
      <c r="D108" s="17">
        <v>45807</v>
      </c>
      <c r="E108" s="1" t="s">
        <v>2175</v>
      </c>
      <c r="F108" s="189" t="s">
        <v>871</v>
      </c>
      <c r="G108" s="2" t="s">
        <v>16</v>
      </c>
      <c r="H108" s="161" t="s">
        <v>138</v>
      </c>
      <c r="I108" s="70" t="s">
        <v>1451</v>
      </c>
      <c r="J108" s="53">
        <v>1</v>
      </c>
      <c r="K108" s="51">
        <v>1055000</v>
      </c>
      <c r="L108" s="26">
        <f t="shared" si="15"/>
        <v>1055000</v>
      </c>
      <c r="M108" s="27">
        <f>L108*10%</f>
        <v>105500</v>
      </c>
      <c r="N108" s="27">
        <f t="shared" ref="N108" si="35">SUM(L108:M108)</f>
        <v>1160500</v>
      </c>
      <c r="O108" s="52">
        <f>95200*3+1000000/2+120000</f>
        <v>905600</v>
      </c>
      <c r="P108" s="258" t="s">
        <v>2085</v>
      </c>
      <c r="Q108" s="181">
        <f>L108-O108</f>
        <v>149400</v>
      </c>
      <c r="R108" s="68" t="s">
        <v>2018</v>
      </c>
      <c r="S108" s="8" t="s">
        <v>2136</v>
      </c>
      <c r="T108" s="11"/>
    </row>
    <row r="109" spans="1:20">
      <c r="A109" t="s">
        <v>30</v>
      </c>
      <c r="B109" s="151" t="s">
        <v>113</v>
      </c>
      <c r="C109" s="153"/>
      <c r="D109" s="17">
        <v>45807</v>
      </c>
      <c r="E109" s="1" t="s">
        <v>118</v>
      </c>
      <c r="F109" s="2" t="s">
        <v>319</v>
      </c>
      <c r="G109" s="2" t="s">
        <v>16</v>
      </c>
      <c r="H109" s="2" t="s">
        <v>142</v>
      </c>
      <c r="I109" s="4" t="s">
        <v>318</v>
      </c>
      <c r="J109" s="23">
        <v>1</v>
      </c>
      <c r="K109" s="27">
        <v>1000000</v>
      </c>
      <c r="L109" s="26">
        <f t="shared" si="15"/>
        <v>1000000</v>
      </c>
      <c r="M109" s="27">
        <f>L109*10%</f>
        <v>100000</v>
      </c>
      <c r="N109" s="27">
        <f>SUM(L109:M109)</f>
        <v>1100000</v>
      </c>
      <c r="O109" s="33">
        <v>900000</v>
      </c>
      <c r="P109" s="197" t="s">
        <v>2003</v>
      </c>
      <c r="Q109" s="20">
        <f>L109-O109</f>
        <v>100000</v>
      </c>
      <c r="R109" s="68" t="s">
        <v>1902</v>
      </c>
      <c r="S109" s="8" t="s">
        <v>2133</v>
      </c>
      <c r="T109" s="11"/>
    </row>
    <row r="110" spans="1:20" ht="36">
      <c r="A110" t="s">
        <v>30</v>
      </c>
      <c r="B110" s="151" t="s">
        <v>1596</v>
      </c>
      <c r="C110" s="153"/>
      <c r="D110" s="17">
        <v>45807</v>
      </c>
      <c r="E110" s="1" t="s">
        <v>1598</v>
      </c>
      <c r="F110" s="2"/>
      <c r="G110" s="2" t="s">
        <v>15</v>
      </c>
      <c r="H110" s="83" t="s">
        <v>1597</v>
      </c>
      <c r="I110" s="4" t="s">
        <v>1748</v>
      </c>
      <c r="J110" s="23">
        <v>1</v>
      </c>
      <c r="K110" s="27">
        <v>450000</v>
      </c>
      <c r="L110" s="26">
        <v>790000</v>
      </c>
      <c r="M110" s="27">
        <f>L110*10%</f>
        <v>79000</v>
      </c>
      <c r="N110" s="27">
        <f>SUM(L110:M110)</f>
        <v>869000</v>
      </c>
      <c r="O110" s="33">
        <f>220000+260000+170000</f>
        <v>650000</v>
      </c>
      <c r="P110" s="197" t="s">
        <v>1886</v>
      </c>
      <c r="Q110" s="20">
        <f t="shared" ref="Q110" si="36">L110-O110</f>
        <v>140000</v>
      </c>
      <c r="R110" s="68" t="s">
        <v>1745</v>
      </c>
      <c r="S110" s="8" t="s">
        <v>2136</v>
      </c>
      <c r="T110" s="11"/>
    </row>
    <row r="111" spans="1:20">
      <c r="A111" t="s">
        <v>30</v>
      </c>
      <c r="B111" s="154" t="s">
        <v>1599</v>
      </c>
      <c r="C111" s="155"/>
      <c r="D111" s="43"/>
      <c r="E111" s="44" t="s">
        <v>1598</v>
      </c>
      <c r="F111" s="41"/>
      <c r="G111" s="2" t="s">
        <v>15</v>
      </c>
      <c r="H111" s="83" t="s">
        <v>1623</v>
      </c>
      <c r="I111" s="4" t="s">
        <v>1624</v>
      </c>
      <c r="J111" s="23">
        <v>1</v>
      </c>
      <c r="K111" s="27">
        <v>340000</v>
      </c>
      <c r="L111" s="37"/>
      <c r="M111" s="38"/>
      <c r="N111" s="38"/>
      <c r="O111" s="39"/>
      <c r="P111" s="175"/>
      <c r="Q111" s="40"/>
      <c r="R111" s="41"/>
      <c r="S111" s="42"/>
      <c r="T111" s="11"/>
    </row>
    <row r="112" spans="1:20">
      <c r="A112" t="s">
        <v>30</v>
      </c>
      <c r="B112" s="151" t="s">
        <v>1613</v>
      </c>
      <c r="C112" s="153"/>
      <c r="D112" s="17">
        <v>45807</v>
      </c>
      <c r="E112" s="1" t="s">
        <v>2144</v>
      </c>
      <c r="F112" s="2"/>
      <c r="G112" s="2" t="s">
        <v>1614</v>
      </c>
      <c r="H112" s="83" t="s">
        <v>184</v>
      </c>
      <c r="I112" s="4" t="s">
        <v>1615</v>
      </c>
      <c r="J112" s="23">
        <v>1</v>
      </c>
      <c r="K112" s="27">
        <v>13900000</v>
      </c>
      <c r="L112" s="26">
        <f t="shared" ref="L112:L114" si="37">J112*K112</f>
        <v>13900000</v>
      </c>
      <c r="M112" s="27">
        <f t="shared" ref="M112:M114" si="38">L112*10%</f>
        <v>1390000</v>
      </c>
      <c r="N112" s="27">
        <f t="shared" ref="N112:N113" si="39">SUM(L112:M112)</f>
        <v>15290000</v>
      </c>
      <c r="O112" s="33">
        <f>13270000</f>
        <v>13270000</v>
      </c>
      <c r="P112" s="197" t="s">
        <v>1715</v>
      </c>
      <c r="Q112" s="20">
        <f t="shared" ref="Q112:Q114" si="40">L112-O112</f>
        <v>630000</v>
      </c>
      <c r="R112" s="68" t="s">
        <v>2018</v>
      </c>
      <c r="S112" s="8" t="s">
        <v>2133</v>
      </c>
      <c r="T112" s="11"/>
    </row>
    <row r="113" spans="1:20">
      <c r="A113" t="s">
        <v>30</v>
      </c>
      <c r="B113" s="151" t="s">
        <v>1613</v>
      </c>
      <c r="C113" s="153"/>
      <c r="D113" s="17">
        <v>45807</v>
      </c>
      <c r="E113" s="1" t="s">
        <v>2144</v>
      </c>
      <c r="F113" s="2"/>
      <c r="G113" s="2" t="s">
        <v>1614</v>
      </c>
      <c r="H113" s="83" t="s">
        <v>184</v>
      </c>
      <c r="I113" s="4" t="s">
        <v>1616</v>
      </c>
      <c r="J113" s="23">
        <v>1</v>
      </c>
      <c r="K113" s="27">
        <v>700000</v>
      </c>
      <c r="L113" s="26">
        <f t="shared" si="37"/>
        <v>700000</v>
      </c>
      <c r="M113" s="27">
        <f t="shared" si="38"/>
        <v>70000</v>
      </c>
      <c r="N113" s="27">
        <f t="shared" si="39"/>
        <v>770000</v>
      </c>
      <c r="O113" s="33">
        <v>400000</v>
      </c>
      <c r="P113" s="197" t="s">
        <v>1617</v>
      </c>
      <c r="Q113" s="20">
        <f t="shared" si="40"/>
        <v>300000</v>
      </c>
      <c r="R113" s="68" t="s">
        <v>2018</v>
      </c>
      <c r="S113" s="8" t="s">
        <v>2133</v>
      </c>
      <c r="T113" s="11"/>
    </row>
    <row r="114" spans="1:20">
      <c r="A114" t="s">
        <v>30</v>
      </c>
      <c r="B114" s="151" t="s">
        <v>113</v>
      </c>
      <c r="C114" s="153"/>
      <c r="D114" s="17">
        <v>45807</v>
      </c>
      <c r="E114" s="1" t="s">
        <v>1506</v>
      </c>
      <c r="F114" s="215" t="s">
        <v>269</v>
      </c>
      <c r="G114" s="161" t="s">
        <v>34</v>
      </c>
      <c r="H114" s="161" t="s">
        <v>114</v>
      </c>
      <c r="I114" s="4" t="s">
        <v>1700</v>
      </c>
      <c r="J114" s="23">
        <v>1</v>
      </c>
      <c r="K114" s="27">
        <v>550000</v>
      </c>
      <c r="L114" s="26">
        <f t="shared" si="37"/>
        <v>550000</v>
      </c>
      <c r="M114" s="27">
        <f t="shared" si="38"/>
        <v>55000</v>
      </c>
      <c r="N114" s="27">
        <f t="shared" ref="N114" si="41">SUM(L114:M114)</f>
        <v>605000</v>
      </c>
      <c r="O114" s="52">
        <v>0</v>
      </c>
      <c r="P114" s="171" t="s">
        <v>115</v>
      </c>
      <c r="Q114" s="20">
        <f t="shared" si="40"/>
        <v>550000</v>
      </c>
      <c r="R114" s="68" t="s">
        <v>1880</v>
      </c>
      <c r="S114" s="8" t="s">
        <v>2135</v>
      </c>
      <c r="T114" s="11"/>
    </row>
    <row r="115" spans="1:20" ht="24">
      <c r="A115" t="s">
        <v>30</v>
      </c>
      <c r="B115" s="151" t="s">
        <v>1770</v>
      </c>
      <c r="C115" s="153" t="s">
        <v>1889</v>
      </c>
      <c r="D115" s="17">
        <v>45808</v>
      </c>
      <c r="E115" s="1" t="s">
        <v>2174</v>
      </c>
      <c r="F115" s="2" t="s">
        <v>1739</v>
      </c>
      <c r="G115" s="2" t="s">
        <v>1743</v>
      </c>
      <c r="H115" s="83" t="s">
        <v>1744</v>
      </c>
      <c r="I115" s="4" t="s">
        <v>1740</v>
      </c>
      <c r="J115" s="23">
        <v>1</v>
      </c>
      <c r="K115" s="27">
        <v>7341000</v>
      </c>
      <c r="L115" s="26">
        <f t="shared" si="12"/>
        <v>7341000</v>
      </c>
      <c r="M115" s="27">
        <f t="shared" si="13"/>
        <v>734100</v>
      </c>
      <c r="N115" s="27">
        <f t="shared" si="14"/>
        <v>8075100</v>
      </c>
      <c r="O115" s="33">
        <v>6796233</v>
      </c>
      <c r="P115" s="197" t="s">
        <v>1890</v>
      </c>
      <c r="Q115" s="20">
        <f t="shared" si="11"/>
        <v>544767</v>
      </c>
      <c r="R115" s="68" t="s">
        <v>1902</v>
      </c>
      <c r="S115" s="8" t="s">
        <v>2136</v>
      </c>
      <c r="T115" s="11"/>
    </row>
    <row r="116" spans="1:20">
      <c r="A116" t="s">
        <v>30</v>
      </c>
      <c r="B116" s="151" t="s">
        <v>1770</v>
      </c>
      <c r="C116" s="153" t="s">
        <v>1887</v>
      </c>
      <c r="D116" s="17">
        <v>45808</v>
      </c>
      <c r="E116" s="1" t="s">
        <v>2174</v>
      </c>
      <c r="F116" s="2" t="s">
        <v>1739</v>
      </c>
      <c r="G116" s="2" t="s">
        <v>1738</v>
      </c>
      <c r="H116" s="83" t="s">
        <v>1742</v>
      </c>
      <c r="I116" s="4" t="s">
        <v>1741</v>
      </c>
      <c r="J116" s="23">
        <v>3</v>
      </c>
      <c r="K116" s="27">
        <v>429500</v>
      </c>
      <c r="L116" s="26">
        <f t="shared" si="12"/>
        <v>1288500</v>
      </c>
      <c r="M116" s="27">
        <f t="shared" si="13"/>
        <v>128850</v>
      </c>
      <c r="N116" s="27">
        <f t="shared" si="14"/>
        <v>1417350</v>
      </c>
      <c r="O116" s="33">
        <f>390300*3</f>
        <v>1170900</v>
      </c>
      <c r="P116" s="197" t="s">
        <v>1888</v>
      </c>
      <c r="Q116" s="20">
        <f t="shared" si="11"/>
        <v>117600</v>
      </c>
      <c r="R116" s="68" t="s">
        <v>1902</v>
      </c>
      <c r="S116" s="8" t="s">
        <v>2136</v>
      </c>
      <c r="T116" s="11"/>
    </row>
    <row r="117" spans="1:20">
      <c r="A117" t="s">
        <v>30</v>
      </c>
      <c r="B117" s="151"/>
      <c r="C117" s="153"/>
      <c r="D117" s="17"/>
      <c r="E117" s="1"/>
      <c r="F117" s="2"/>
      <c r="G117" s="2"/>
      <c r="H117" s="83"/>
      <c r="I117" s="4"/>
      <c r="J117" s="23"/>
      <c r="K117" s="27"/>
      <c r="L117" s="26">
        <f t="shared" ref="L117:L119" si="42">J117*K117</f>
        <v>0</v>
      </c>
      <c r="M117" s="27">
        <f t="shared" ref="M117:M119" si="43">L117*10%</f>
        <v>0</v>
      </c>
      <c r="N117" s="27">
        <f t="shared" ref="N117:N118" si="44">SUM(L117:M117)</f>
        <v>0</v>
      </c>
      <c r="O117" s="132"/>
      <c r="P117" s="173"/>
      <c r="Q117" s="20">
        <f t="shared" ref="Q117:Q119" si="45">L117-O117</f>
        <v>0</v>
      </c>
      <c r="R117" s="2"/>
      <c r="S117" s="8"/>
      <c r="T117" s="11"/>
    </row>
    <row r="118" spans="1:20">
      <c r="A118" t="s">
        <v>30</v>
      </c>
      <c r="B118" s="151"/>
      <c r="C118" s="153"/>
      <c r="D118" s="17"/>
      <c r="E118" s="1"/>
      <c r="F118" s="2"/>
      <c r="G118" s="2"/>
      <c r="H118" s="83"/>
      <c r="I118" s="4"/>
      <c r="J118" s="23"/>
      <c r="K118" s="27"/>
      <c r="L118" s="26">
        <f t="shared" si="42"/>
        <v>0</v>
      </c>
      <c r="M118" s="27">
        <f t="shared" si="43"/>
        <v>0</v>
      </c>
      <c r="N118" s="27">
        <f t="shared" si="44"/>
        <v>0</v>
      </c>
      <c r="O118" s="132"/>
      <c r="P118" s="173"/>
      <c r="Q118" s="20">
        <f t="shared" si="45"/>
        <v>0</v>
      </c>
      <c r="R118" s="2"/>
      <c r="S118" s="8"/>
      <c r="T118" s="11"/>
    </row>
    <row r="119" spans="1:20">
      <c r="A119" t="s">
        <v>30</v>
      </c>
      <c r="B119" s="151"/>
      <c r="C119" s="153"/>
      <c r="D119" s="17"/>
      <c r="E119" s="1"/>
      <c r="F119" s="2"/>
      <c r="G119" s="2"/>
      <c r="H119" s="83"/>
      <c r="I119" s="163"/>
      <c r="J119" s="128"/>
      <c r="K119" s="26"/>
      <c r="L119" s="26">
        <f t="shared" si="42"/>
        <v>0</v>
      </c>
      <c r="M119" s="27">
        <f t="shared" si="43"/>
        <v>0</v>
      </c>
      <c r="N119" s="27">
        <f>SUM(L119:M119)</f>
        <v>0</v>
      </c>
      <c r="O119" s="132"/>
      <c r="P119" s="173"/>
      <c r="Q119" s="20">
        <f t="shared" si="45"/>
        <v>0</v>
      </c>
      <c r="R119" s="2"/>
      <c r="S119" s="5"/>
      <c r="T119" s="11"/>
    </row>
    <row r="120" spans="1:20" ht="26.25" customHeight="1" thickBot="1">
      <c r="A120" t="s">
        <v>30</v>
      </c>
      <c r="B120" s="269" t="s">
        <v>32</v>
      </c>
      <c r="C120" s="270"/>
      <c r="D120" s="270"/>
      <c r="E120" s="270"/>
      <c r="F120" s="270"/>
      <c r="G120" s="270"/>
      <c r="H120" s="270"/>
      <c r="I120" s="270"/>
      <c r="J120" s="270"/>
      <c r="K120" s="271"/>
      <c r="L120" s="25">
        <f>SUM(L3:L119)</f>
        <v>207663334</v>
      </c>
      <c r="M120" s="25">
        <f>SUM(M3:M119)</f>
        <v>20766333.699999999</v>
      </c>
      <c r="N120" s="25">
        <f>SUM(N3:N119)</f>
        <v>228429667.69999999</v>
      </c>
      <c r="O120" s="25">
        <f>SUM(O3:O119)</f>
        <v>165406310.33333331</v>
      </c>
      <c r="P120" s="177"/>
      <c r="Q120" s="25">
        <f>SUM(Q3:Q119)</f>
        <v>42257023.666666672</v>
      </c>
      <c r="R120" s="177"/>
      <c r="S120" s="12"/>
      <c r="T120" s="13"/>
    </row>
    <row r="121" spans="1:20">
      <c r="A121" t="s">
        <v>30</v>
      </c>
    </row>
    <row r="122" spans="1:20">
      <c r="A122" t="s">
        <v>30</v>
      </c>
      <c r="D122" s="196">
        <f>COUNTA(D3:D119)</f>
        <v>109</v>
      </c>
      <c r="E122" s="16"/>
      <c r="K122" s="47" t="s">
        <v>56</v>
      </c>
      <c r="L122" s="62">
        <f>SUBTOTAL(109,L3:L119)</f>
        <v>207663334</v>
      </c>
      <c r="M122" s="62">
        <f>SUBTOTAL(109,M3:M119)</f>
        <v>20766333.699999999</v>
      </c>
      <c r="N122" s="62">
        <f>SUBTOTAL(109,N3:N119)</f>
        <v>228429667.69999999</v>
      </c>
    </row>
    <row r="123" spans="1:20">
      <c r="E123" s="156"/>
      <c r="N123" s="187"/>
      <c r="P123" s="178"/>
    </row>
    <row r="124" spans="1:20">
      <c r="H124" s="156"/>
      <c r="I124" s="156"/>
    </row>
    <row r="125" spans="1:20">
      <c r="L125" s="62"/>
      <c r="M125" s="62"/>
      <c r="N125" s="62"/>
    </row>
    <row r="126" spans="1:20">
      <c r="E126" s="178"/>
      <c r="L126" s="62"/>
      <c r="M126" s="62"/>
      <c r="N126" s="62"/>
    </row>
    <row r="127" spans="1:20">
      <c r="L127" s="62"/>
      <c r="M127" s="62"/>
      <c r="N127" s="62"/>
    </row>
    <row r="128" spans="1:20">
      <c r="L128" s="188"/>
      <c r="M128" s="62"/>
      <c r="N128" s="62"/>
    </row>
    <row r="129" spans="1:26">
      <c r="K129" s="190"/>
    </row>
    <row r="130" spans="1:26">
      <c r="K130" s="190"/>
    </row>
    <row r="131" spans="1:26">
      <c r="I131" t="s">
        <v>16</v>
      </c>
      <c r="K131" s="191">
        <f t="shared" ref="K131:K138" si="46">SUMIF($G$3:$G$119,I131,$L$3:$L$119)</f>
        <v>130441834</v>
      </c>
      <c r="N131" s="62"/>
    </row>
    <row r="132" spans="1:26">
      <c r="I132" t="s">
        <v>29</v>
      </c>
      <c r="K132" s="191">
        <f t="shared" si="46"/>
        <v>7341000</v>
      </c>
      <c r="N132" s="62"/>
    </row>
    <row r="133" spans="1:26">
      <c r="I133" t="s">
        <v>10</v>
      </c>
      <c r="K133" s="191">
        <f t="shared" si="46"/>
        <v>0</v>
      </c>
      <c r="N133" s="62"/>
    </row>
    <row r="134" spans="1:26">
      <c r="I134" t="s">
        <v>34</v>
      </c>
      <c r="K134" s="191">
        <f t="shared" si="46"/>
        <v>13464500</v>
      </c>
      <c r="N134" s="62"/>
    </row>
    <row r="135" spans="1:26">
      <c r="I135" t="s">
        <v>15</v>
      </c>
      <c r="K135" s="191">
        <f t="shared" si="46"/>
        <v>55416000</v>
      </c>
      <c r="N135" s="62"/>
    </row>
    <row r="136" spans="1:26" s="47" customFormat="1">
      <c r="A136"/>
      <c r="B136"/>
      <c r="C136"/>
      <c r="D136" s="15"/>
      <c r="E136"/>
      <c r="F136"/>
      <c r="G136"/>
      <c r="H136"/>
      <c r="I136" t="s">
        <v>35</v>
      </c>
      <c r="J136" s="185"/>
      <c r="K136" s="191">
        <f t="shared" si="46"/>
        <v>1000000</v>
      </c>
      <c r="N136" s="62"/>
      <c r="P136"/>
      <c r="R136"/>
      <c r="S136"/>
      <c r="T136"/>
      <c r="U136"/>
      <c r="V136"/>
      <c r="W136"/>
      <c r="X136"/>
      <c r="Y136"/>
      <c r="Z136"/>
    </row>
    <row r="137" spans="1:26" s="47" customFormat="1">
      <c r="A137"/>
      <c r="B137"/>
      <c r="C137"/>
      <c r="D137" s="15"/>
      <c r="E137"/>
      <c r="F137"/>
      <c r="G137"/>
      <c r="H137"/>
      <c r="I137" t="s">
        <v>36</v>
      </c>
      <c r="J137" s="185"/>
      <c r="K137" s="191">
        <f t="shared" si="46"/>
        <v>0</v>
      </c>
      <c r="P137"/>
      <c r="R137"/>
      <c r="S137"/>
      <c r="T137"/>
      <c r="U137"/>
      <c r="V137"/>
      <c r="W137"/>
      <c r="X137"/>
      <c r="Y137"/>
      <c r="Z137"/>
    </row>
    <row r="138" spans="1:26" s="47" customFormat="1">
      <c r="A138"/>
      <c r="B138"/>
      <c r="C138"/>
      <c r="D138" s="15"/>
      <c r="E138"/>
      <c r="F138"/>
      <c r="G138"/>
      <c r="H138"/>
      <c r="I138"/>
      <c r="J138" s="185"/>
      <c r="K138" s="191">
        <f t="shared" si="46"/>
        <v>0</v>
      </c>
      <c r="P138"/>
      <c r="R138"/>
      <c r="S138"/>
      <c r="T138"/>
      <c r="U138"/>
      <c r="V138"/>
      <c r="W138"/>
      <c r="X138"/>
      <c r="Y138"/>
      <c r="Z138"/>
    </row>
    <row r="139" spans="1:26" s="47" customFormat="1" ht="16.5">
      <c r="A139"/>
      <c r="B139"/>
      <c r="C139"/>
      <c r="D139" s="15"/>
      <c r="E139" s="158"/>
      <c r="F139"/>
      <c r="G139"/>
      <c r="H139"/>
      <c r="I139"/>
      <c r="J139" s="185"/>
      <c r="K139" s="191">
        <f>SUBTOTAL(9,K131:K138)</f>
        <v>207663334</v>
      </c>
      <c r="P139"/>
      <c r="R139"/>
      <c r="S139"/>
      <c r="T139"/>
      <c r="U139"/>
      <c r="V139"/>
      <c r="W139"/>
      <c r="X139"/>
      <c r="Y139"/>
      <c r="Z139"/>
    </row>
    <row r="140" spans="1:26" s="47" customFormat="1" ht="16.5">
      <c r="A140"/>
      <c r="B140"/>
      <c r="C140"/>
      <c r="D140" s="15"/>
      <c r="E140" s="158"/>
      <c r="F140"/>
      <c r="G140"/>
      <c r="H140"/>
      <c r="I140"/>
      <c r="J140" s="185"/>
      <c r="K140" s="190"/>
      <c r="P140"/>
      <c r="R140"/>
      <c r="S140"/>
      <c r="T140"/>
      <c r="U140"/>
      <c r="V140"/>
      <c r="W140"/>
      <c r="X140"/>
      <c r="Y140"/>
      <c r="Z140"/>
    </row>
    <row r="141" spans="1:26" s="47" customFormat="1" ht="16.5">
      <c r="A141"/>
      <c r="B141"/>
      <c r="C141"/>
      <c r="D141" s="15"/>
      <c r="E141" s="158"/>
      <c r="F141"/>
      <c r="G141"/>
      <c r="H141"/>
      <c r="I141"/>
      <c r="J141" s="185"/>
      <c r="P141"/>
      <c r="R141"/>
      <c r="S141"/>
      <c r="T141"/>
      <c r="U141"/>
      <c r="V141"/>
      <c r="W141"/>
      <c r="X141"/>
      <c r="Y141"/>
      <c r="Z141"/>
    </row>
    <row r="142" spans="1:26" s="47" customFormat="1" ht="16.5">
      <c r="A142"/>
      <c r="B142"/>
      <c r="C142"/>
      <c r="D142" s="15"/>
      <c r="E142" s="158"/>
      <c r="F142"/>
      <c r="G142"/>
      <c r="H142"/>
      <c r="I142"/>
      <c r="J142" s="185"/>
      <c r="P142"/>
      <c r="R142"/>
      <c r="S142"/>
      <c r="T142"/>
      <c r="U142"/>
      <c r="V142"/>
      <c r="W142"/>
      <c r="X142"/>
      <c r="Y142"/>
      <c r="Z142"/>
    </row>
    <row r="152" spans="1:26" s="49" customFormat="1">
      <c r="A152"/>
      <c r="B152"/>
      <c r="C152"/>
      <c r="D152" s="15"/>
      <c r="E152"/>
      <c r="F152"/>
      <c r="G152"/>
      <c r="H152"/>
      <c r="I152"/>
      <c r="J152" s="185"/>
      <c r="K152" s="47"/>
      <c r="L152" s="47"/>
      <c r="M152" s="47"/>
      <c r="N152" s="47"/>
      <c r="O152" s="47"/>
      <c r="P152"/>
      <c r="Q152" s="47"/>
      <c r="R152"/>
      <c r="S152"/>
      <c r="T152"/>
      <c r="U152"/>
      <c r="V152"/>
      <c r="W152"/>
      <c r="X152"/>
      <c r="Y152"/>
      <c r="Z152"/>
    </row>
  </sheetData>
  <autoFilter ref="A2:Z121" xr:uid="{00000000-0009-0000-0000-00000B000000}"/>
  <mergeCells count="1">
    <mergeCell ref="B120:K120"/>
  </mergeCells>
  <phoneticPr fontId="9" type="noConversion"/>
  <pageMargins left="0.25" right="0.25" top="0.75" bottom="0.75" header="0.3" footer="0.3"/>
  <pageSetup paperSize="9" scale="7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6DD95-D21C-473A-8EE3-0D9EA8D52451}">
  <sheetPr codeName="Sheet8"/>
  <dimension ref="A1:Z179"/>
  <sheetViews>
    <sheetView zoomScale="97" zoomScaleNormal="97" workbookViewId="0">
      <pane ySplit="2" topLeftCell="A3" activePane="bottomLeft" state="frozen"/>
      <selection activeCell="J36" sqref="J36"/>
      <selection pane="bottomLeft" activeCell="F26" sqref="F26"/>
    </sheetView>
  </sheetViews>
  <sheetFormatPr defaultRowHeight="12"/>
  <cols>
    <col min="1" max="1" width="1.28515625" customWidth="1"/>
    <col min="2" max="2" width="11" customWidth="1"/>
    <col min="3" max="3" width="9.140625" customWidth="1"/>
    <col min="4" max="4" width="11.28515625" style="15" customWidth="1"/>
    <col min="5" max="5" width="18.7109375" customWidth="1"/>
    <col min="6" max="6" width="16.140625" customWidth="1"/>
    <col min="7" max="7" width="8.5703125" customWidth="1"/>
    <col min="8" max="8" width="12.42578125" customWidth="1"/>
    <col min="9" max="9" width="43.7109375" customWidth="1"/>
    <col min="10" max="10" width="4.5703125" style="185" customWidth="1"/>
    <col min="11" max="11" width="12.28515625" style="47" customWidth="1"/>
    <col min="12" max="12" width="13.140625" style="47" customWidth="1"/>
    <col min="13" max="13" width="12.28515625" style="47" customWidth="1"/>
    <col min="14" max="15" width="13.140625" style="47" customWidth="1"/>
    <col min="16" max="16" width="34.28515625" customWidth="1"/>
    <col min="17" max="17" width="12.42578125" style="47" customWidth="1"/>
    <col min="18" max="18" width="11.7109375" customWidth="1"/>
    <col min="19" max="19" width="7.85546875" customWidth="1"/>
    <col min="22" max="22" width="10.85546875" bestFit="1" customWidth="1"/>
  </cols>
  <sheetData>
    <row r="1" spans="1:20" ht="27" thickBot="1">
      <c r="B1" s="7" t="str">
        <f>"["&amp;YEAR(D3)&amp;"년 "&amp;MONTH(D3)&amp;"월 매출]"</f>
        <v>[2025년 6월 매출]</v>
      </c>
      <c r="C1" s="7"/>
      <c r="E1" s="156"/>
      <c r="K1" s="62"/>
      <c r="P1" s="156" t="s">
        <v>2124</v>
      </c>
    </row>
    <row r="2" spans="1:20" ht="24">
      <c r="B2" s="149" t="s">
        <v>26</v>
      </c>
      <c r="C2" s="150" t="s">
        <v>27</v>
      </c>
      <c r="D2" s="143" t="s">
        <v>17</v>
      </c>
      <c r="E2" s="148" t="s">
        <v>18</v>
      </c>
      <c r="F2" s="159" t="s">
        <v>13</v>
      </c>
      <c r="G2" s="159" t="s">
        <v>0</v>
      </c>
      <c r="H2" s="159" t="s">
        <v>24</v>
      </c>
      <c r="I2" s="160" t="s">
        <v>19</v>
      </c>
      <c r="J2" s="186" t="s">
        <v>11</v>
      </c>
      <c r="K2" s="194" t="s">
        <v>20</v>
      </c>
      <c r="L2" s="129" t="s">
        <v>21</v>
      </c>
      <c r="M2" s="195" t="s">
        <v>23</v>
      </c>
      <c r="N2" s="195" t="s">
        <v>25</v>
      </c>
      <c r="O2" s="194" t="s">
        <v>77</v>
      </c>
      <c r="P2" s="148" t="s">
        <v>28</v>
      </c>
      <c r="Q2" s="129" t="s">
        <v>22</v>
      </c>
      <c r="R2" s="148" t="s">
        <v>8</v>
      </c>
      <c r="S2" s="148" t="s">
        <v>31</v>
      </c>
      <c r="T2" s="131" t="s">
        <v>12</v>
      </c>
    </row>
    <row r="3" spans="1:20">
      <c r="A3" t="s">
        <v>30</v>
      </c>
      <c r="B3" s="151" t="s">
        <v>215</v>
      </c>
      <c r="C3" s="153"/>
      <c r="D3" s="17">
        <v>45809</v>
      </c>
      <c r="E3" s="1" t="s">
        <v>261</v>
      </c>
      <c r="F3" s="2" t="s">
        <v>132</v>
      </c>
      <c r="G3" s="1" t="s">
        <v>16</v>
      </c>
      <c r="H3" s="161" t="s">
        <v>138</v>
      </c>
      <c r="I3" s="164" t="s">
        <v>1631</v>
      </c>
      <c r="J3" s="210">
        <v>1</v>
      </c>
      <c r="K3" s="27">
        <v>1600000</v>
      </c>
      <c r="L3" s="26">
        <f t="shared" ref="L3:L17" si="0">J3*K3</f>
        <v>1600000</v>
      </c>
      <c r="M3" s="27">
        <f t="shared" ref="M3:M18" si="1">L3*10%</f>
        <v>160000</v>
      </c>
      <c r="N3" s="27">
        <f t="shared" ref="N3:N18" si="2">SUM(L3:M3)</f>
        <v>1760000</v>
      </c>
      <c r="O3" s="52">
        <f>1123962+259896</f>
        <v>1383858</v>
      </c>
      <c r="P3" s="170" t="s">
        <v>1733</v>
      </c>
      <c r="Q3" s="181">
        <f t="shared" ref="Q3:Q18" si="3">L3-O3</f>
        <v>216142</v>
      </c>
      <c r="R3" s="68" t="s">
        <v>2018</v>
      </c>
      <c r="S3" s="8" t="s">
        <v>2136</v>
      </c>
      <c r="T3" s="11"/>
    </row>
    <row r="4" spans="1:20" ht="24">
      <c r="A4" t="s">
        <v>30</v>
      </c>
      <c r="B4" s="151" t="s">
        <v>313</v>
      </c>
      <c r="C4" s="153"/>
      <c r="D4" s="17">
        <v>45809</v>
      </c>
      <c r="E4" s="1" t="s">
        <v>312</v>
      </c>
      <c r="F4" s="2"/>
      <c r="G4" s="1" t="s">
        <v>16</v>
      </c>
      <c r="H4" s="1" t="s">
        <v>138</v>
      </c>
      <c r="I4" s="4" t="s">
        <v>1632</v>
      </c>
      <c r="J4" s="210">
        <v>1</v>
      </c>
      <c r="K4" s="27">
        <v>507500</v>
      </c>
      <c r="L4" s="26">
        <f t="shared" si="0"/>
        <v>507500</v>
      </c>
      <c r="M4" s="27">
        <f t="shared" si="1"/>
        <v>50750</v>
      </c>
      <c r="N4" s="27">
        <f t="shared" si="2"/>
        <v>558250</v>
      </c>
      <c r="O4" s="52">
        <f>316682+800000/8</f>
        <v>416682</v>
      </c>
      <c r="P4" s="170" t="s">
        <v>1891</v>
      </c>
      <c r="Q4" s="181">
        <f t="shared" si="3"/>
        <v>90818</v>
      </c>
      <c r="R4" s="68" t="s">
        <v>1902</v>
      </c>
      <c r="S4" s="8" t="s">
        <v>2136</v>
      </c>
      <c r="T4" s="11"/>
    </row>
    <row r="5" spans="1:20">
      <c r="A5" t="s">
        <v>30</v>
      </c>
      <c r="B5" s="151" t="s">
        <v>338</v>
      </c>
      <c r="C5" s="152" t="s">
        <v>321</v>
      </c>
      <c r="D5" s="17">
        <v>45809</v>
      </c>
      <c r="E5" s="1" t="s">
        <v>2212</v>
      </c>
      <c r="F5" s="1"/>
      <c r="G5" s="1" t="s">
        <v>16</v>
      </c>
      <c r="H5" s="161" t="s">
        <v>80</v>
      </c>
      <c r="I5" s="164" t="s">
        <v>1633</v>
      </c>
      <c r="J5" s="69">
        <v>1</v>
      </c>
      <c r="K5" s="29">
        <v>1423000</v>
      </c>
      <c r="L5" s="26">
        <f t="shared" si="0"/>
        <v>1423000</v>
      </c>
      <c r="M5" s="27">
        <f t="shared" si="1"/>
        <v>142300</v>
      </c>
      <c r="N5" s="27">
        <f t="shared" si="2"/>
        <v>1565300</v>
      </c>
      <c r="O5" s="52">
        <v>1120200</v>
      </c>
      <c r="P5" s="171" t="s">
        <v>1924</v>
      </c>
      <c r="Q5" s="181">
        <f t="shared" si="3"/>
        <v>302800</v>
      </c>
      <c r="R5" s="68" t="s">
        <v>1830</v>
      </c>
      <c r="S5" s="5" t="s">
        <v>2136</v>
      </c>
      <c r="T5" s="6"/>
    </row>
    <row r="6" spans="1:20" ht="24">
      <c r="A6" t="s">
        <v>30</v>
      </c>
      <c r="B6" s="151" t="s">
        <v>320</v>
      </c>
      <c r="C6" s="153"/>
      <c r="D6" s="17">
        <v>45809</v>
      </c>
      <c r="E6" s="1" t="s">
        <v>5</v>
      </c>
      <c r="F6" s="2" t="s">
        <v>315</v>
      </c>
      <c r="G6" s="1" t="s">
        <v>16</v>
      </c>
      <c r="H6" s="161" t="s">
        <v>80</v>
      </c>
      <c r="I6" s="164" t="s">
        <v>1633</v>
      </c>
      <c r="J6" s="210">
        <v>1</v>
      </c>
      <c r="K6" s="27">
        <v>238000</v>
      </c>
      <c r="L6" s="26">
        <f t="shared" si="0"/>
        <v>238000</v>
      </c>
      <c r="M6" s="27">
        <f t="shared" si="1"/>
        <v>23800</v>
      </c>
      <c r="N6" s="27">
        <f t="shared" si="2"/>
        <v>261800</v>
      </c>
      <c r="O6" s="52">
        <v>198018</v>
      </c>
      <c r="P6" s="170" t="s">
        <v>1892</v>
      </c>
      <c r="Q6" s="181">
        <f t="shared" si="3"/>
        <v>39982</v>
      </c>
      <c r="R6" s="68" t="s">
        <v>1902</v>
      </c>
      <c r="S6" s="5" t="s">
        <v>2136</v>
      </c>
      <c r="T6" s="11"/>
    </row>
    <row r="7" spans="1:20">
      <c r="A7" t="s">
        <v>30</v>
      </c>
      <c r="B7" s="151" t="s">
        <v>397</v>
      </c>
      <c r="C7" s="153"/>
      <c r="D7" s="17">
        <v>45809</v>
      </c>
      <c r="E7" s="1" t="s">
        <v>393</v>
      </c>
      <c r="F7" s="2" t="s">
        <v>394</v>
      </c>
      <c r="G7" s="161" t="s">
        <v>16</v>
      </c>
      <c r="H7" s="161" t="s">
        <v>138</v>
      </c>
      <c r="I7" s="4" t="s">
        <v>1634</v>
      </c>
      <c r="J7" s="23">
        <v>1</v>
      </c>
      <c r="K7" s="27">
        <v>158400</v>
      </c>
      <c r="L7" s="26">
        <f t="shared" si="0"/>
        <v>158400</v>
      </c>
      <c r="M7" s="27">
        <f t="shared" si="1"/>
        <v>15840</v>
      </c>
      <c r="N7" s="27">
        <f t="shared" si="2"/>
        <v>174240</v>
      </c>
      <c r="O7" s="33">
        <v>145780</v>
      </c>
      <c r="P7" s="170" t="s">
        <v>1892</v>
      </c>
      <c r="Q7" s="20">
        <f t="shared" si="3"/>
        <v>12620</v>
      </c>
      <c r="R7" s="68" t="s">
        <v>1719</v>
      </c>
      <c r="S7" s="8" t="s">
        <v>2136</v>
      </c>
      <c r="T7" s="11"/>
    </row>
    <row r="8" spans="1:20" ht="24">
      <c r="A8" t="s">
        <v>30</v>
      </c>
      <c r="B8" s="151" t="s">
        <v>172</v>
      </c>
      <c r="C8" s="152"/>
      <c r="D8" s="17">
        <v>45809</v>
      </c>
      <c r="E8" s="1" t="s">
        <v>166</v>
      </c>
      <c r="F8" s="161" t="s">
        <v>164</v>
      </c>
      <c r="G8" s="161" t="s">
        <v>16</v>
      </c>
      <c r="H8" s="161" t="s">
        <v>81</v>
      </c>
      <c r="I8" s="163" t="s">
        <v>1635</v>
      </c>
      <c r="J8" s="71">
        <v>1</v>
      </c>
      <c r="K8" s="26">
        <f>280000+2*120000</f>
        <v>520000</v>
      </c>
      <c r="L8" s="26">
        <f t="shared" si="0"/>
        <v>520000</v>
      </c>
      <c r="M8" s="27">
        <f t="shared" si="1"/>
        <v>52000</v>
      </c>
      <c r="N8" s="27">
        <f t="shared" si="2"/>
        <v>572000</v>
      </c>
      <c r="O8" s="52">
        <f>213400+155200</f>
        <v>368600</v>
      </c>
      <c r="P8" s="171" t="s">
        <v>1642</v>
      </c>
      <c r="Q8" s="181">
        <f t="shared" si="3"/>
        <v>151400</v>
      </c>
      <c r="R8" s="68" t="s">
        <v>1902</v>
      </c>
      <c r="S8" s="5" t="s">
        <v>2133</v>
      </c>
      <c r="T8" s="6"/>
    </row>
    <row r="9" spans="1:20">
      <c r="A9" t="s">
        <v>30</v>
      </c>
      <c r="B9" s="151" t="s">
        <v>173</v>
      </c>
      <c r="C9" s="152"/>
      <c r="D9" s="17">
        <v>45809</v>
      </c>
      <c r="E9" s="1" t="s">
        <v>262</v>
      </c>
      <c r="F9" s="161" t="s">
        <v>165</v>
      </c>
      <c r="G9" s="161" t="s">
        <v>16</v>
      </c>
      <c r="H9" s="161" t="s">
        <v>81</v>
      </c>
      <c r="I9" s="163" t="s">
        <v>1636</v>
      </c>
      <c r="J9" s="71">
        <v>1</v>
      </c>
      <c r="K9" s="26">
        <v>320000</v>
      </c>
      <c r="L9" s="26">
        <f t="shared" si="0"/>
        <v>320000</v>
      </c>
      <c r="M9" s="27">
        <f t="shared" si="1"/>
        <v>32000</v>
      </c>
      <c r="N9" s="27">
        <f t="shared" si="2"/>
        <v>352000</v>
      </c>
      <c r="O9" s="52">
        <f>145500+77600</f>
        <v>223100</v>
      </c>
      <c r="P9" s="171" t="s">
        <v>1641</v>
      </c>
      <c r="Q9" s="181">
        <f t="shared" si="3"/>
        <v>96900</v>
      </c>
      <c r="R9" s="68" t="s">
        <v>1966</v>
      </c>
      <c r="S9" s="5" t="s">
        <v>2133</v>
      </c>
      <c r="T9" s="6"/>
    </row>
    <row r="10" spans="1:20">
      <c r="A10" t="s">
        <v>30</v>
      </c>
      <c r="B10" s="151" t="s">
        <v>175</v>
      </c>
      <c r="C10" s="152"/>
      <c r="D10" s="17">
        <v>45809</v>
      </c>
      <c r="E10" s="1" t="s">
        <v>163</v>
      </c>
      <c r="F10" s="1" t="s">
        <v>163</v>
      </c>
      <c r="G10" s="161" t="s">
        <v>16</v>
      </c>
      <c r="H10" s="161" t="s">
        <v>81</v>
      </c>
      <c r="I10" s="163" t="s">
        <v>1637</v>
      </c>
      <c r="J10" s="71">
        <v>1</v>
      </c>
      <c r="K10" s="28">
        <v>100000</v>
      </c>
      <c r="L10" s="26">
        <f t="shared" si="0"/>
        <v>100000</v>
      </c>
      <c r="M10" s="27">
        <f t="shared" si="1"/>
        <v>10000</v>
      </c>
      <c r="N10" s="27">
        <f t="shared" si="2"/>
        <v>110000</v>
      </c>
      <c r="O10" s="52">
        <v>0</v>
      </c>
      <c r="P10" s="171" t="s">
        <v>129</v>
      </c>
      <c r="Q10" s="181">
        <f t="shared" si="3"/>
        <v>100000</v>
      </c>
      <c r="R10" s="68" t="s">
        <v>2006</v>
      </c>
      <c r="S10" s="5" t="s">
        <v>2133</v>
      </c>
      <c r="T10" s="6"/>
    </row>
    <row r="11" spans="1:20" ht="24">
      <c r="A11" t="s">
        <v>30</v>
      </c>
      <c r="B11" s="151" t="s">
        <v>146</v>
      </c>
      <c r="C11" s="153"/>
      <c r="D11" s="17">
        <v>45809</v>
      </c>
      <c r="E11" s="1" t="s">
        <v>141</v>
      </c>
      <c r="F11" s="161" t="s">
        <v>814</v>
      </c>
      <c r="G11" s="1" t="s">
        <v>16</v>
      </c>
      <c r="H11" s="161" t="s">
        <v>138</v>
      </c>
      <c r="I11" s="162" t="s">
        <v>1638</v>
      </c>
      <c r="J11" s="74">
        <v>1</v>
      </c>
      <c r="K11" s="27">
        <v>635000</v>
      </c>
      <c r="L11" s="26">
        <f t="shared" si="0"/>
        <v>635000</v>
      </c>
      <c r="M11" s="27">
        <f t="shared" si="1"/>
        <v>63500</v>
      </c>
      <c r="N11" s="27">
        <f t="shared" si="2"/>
        <v>698500</v>
      </c>
      <c r="O11" s="52">
        <v>564192</v>
      </c>
      <c r="P11" s="170" t="s">
        <v>1892</v>
      </c>
      <c r="Q11" s="181">
        <f t="shared" si="3"/>
        <v>70808</v>
      </c>
      <c r="R11" s="68" t="s">
        <v>1964</v>
      </c>
      <c r="S11" s="8" t="s">
        <v>2136</v>
      </c>
      <c r="T11" s="11"/>
    </row>
    <row r="12" spans="1:20">
      <c r="A12" t="s">
        <v>30</v>
      </c>
      <c r="B12" s="151" t="s">
        <v>174</v>
      </c>
      <c r="C12" s="152"/>
      <c r="D12" s="17">
        <v>45809</v>
      </c>
      <c r="E12" s="1" t="s">
        <v>162</v>
      </c>
      <c r="F12" s="1" t="s">
        <v>162</v>
      </c>
      <c r="G12" s="161" t="s">
        <v>16</v>
      </c>
      <c r="H12" s="161" t="s">
        <v>81</v>
      </c>
      <c r="I12" s="163" t="s">
        <v>1639</v>
      </c>
      <c r="J12" s="71">
        <v>1</v>
      </c>
      <c r="K12" s="26">
        <v>1200000</v>
      </c>
      <c r="L12" s="26">
        <f t="shared" si="0"/>
        <v>1200000</v>
      </c>
      <c r="M12" s="27">
        <f t="shared" si="1"/>
        <v>120000</v>
      </c>
      <c r="N12" s="27">
        <f t="shared" si="2"/>
        <v>1320000</v>
      </c>
      <c r="O12" s="52">
        <f>4800000/6</f>
        <v>800000</v>
      </c>
      <c r="P12" s="171" t="s">
        <v>1640</v>
      </c>
      <c r="Q12" s="181">
        <f t="shared" si="3"/>
        <v>400000</v>
      </c>
      <c r="R12" s="68" t="s">
        <v>1902</v>
      </c>
      <c r="S12" s="5" t="s">
        <v>2133</v>
      </c>
      <c r="T12" s="6"/>
    </row>
    <row r="13" spans="1:20" ht="12" customHeight="1">
      <c r="A13" t="s">
        <v>30</v>
      </c>
      <c r="B13" s="151" t="s">
        <v>294</v>
      </c>
      <c r="C13" s="153"/>
      <c r="D13" s="17">
        <v>45809</v>
      </c>
      <c r="E13" s="1" t="s">
        <v>2140</v>
      </c>
      <c r="F13" s="161"/>
      <c r="G13" s="1" t="s">
        <v>16</v>
      </c>
      <c r="H13" s="161" t="s">
        <v>81</v>
      </c>
      <c r="I13" s="163" t="s">
        <v>1639</v>
      </c>
      <c r="J13" s="74">
        <v>1</v>
      </c>
      <c r="K13" s="27">
        <v>300000</v>
      </c>
      <c r="L13" s="26">
        <f t="shared" si="0"/>
        <v>300000</v>
      </c>
      <c r="M13" s="27">
        <f t="shared" si="1"/>
        <v>30000</v>
      </c>
      <c r="N13" s="27">
        <f t="shared" si="2"/>
        <v>330000</v>
      </c>
      <c r="O13" s="52">
        <v>0</v>
      </c>
      <c r="P13" s="170" t="s">
        <v>129</v>
      </c>
      <c r="Q13" s="181">
        <f t="shared" si="3"/>
        <v>300000</v>
      </c>
      <c r="R13" s="2" t="s">
        <v>1745</v>
      </c>
      <c r="S13" s="8" t="s">
        <v>2136</v>
      </c>
      <c r="T13" s="11"/>
    </row>
    <row r="14" spans="1:20">
      <c r="A14" t="s">
        <v>30</v>
      </c>
      <c r="B14" s="151" t="s">
        <v>1626</v>
      </c>
      <c r="C14" s="153" t="s">
        <v>1627</v>
      </c>
      <c r="D14" s="17">
        <v>45809</v>
      </c>
      <c r="E14" s="1" t="s">
        <v>1629</v>
      </c>
      <c r="F14" s="2" t="s">
        <v>1628</v>
      </c>
      <c r="G14" s="1" t="s">
        <v>16</v>
      </c>
      <c r="H14" s="161" t="s">
        <v>81</v>
      </c>
      <c r="I14" s="3" t="s">
        <v>1630</v>
      </c>
      <c r="J14" s="23">
        <v>1</v>
      </c>
      <c r="K14" s="27">
        <v>1713900</v>
      </c>
      <c r="L14" s="26">
        <f t="shared" si="0"/>
        <v>1713900</v>
      </c>
      <c r="M14" s="27">
        <f t="shared" si="1"/>
        <v>171390</v>
      </c>
      <c r="N14" s="27">
        <f t="shared" si="2"/>
        <v>1885290</v>
      </c>
      <c r="O14" s="52">
        <v>1086600</v>
      </c>
      <c r="P14" s="171" t="s">
        <v>1925</v>
      </c>
      <c r="Q14" s="20">
        <f t="shared" si="3"/>
        <v>627300</v>
      </c>
      <c r="R14" s="2" t="s">
        <v>1990</v>
      </c>
      <c r="S14" s="8" t="s">
        <v>2136</v>
      </c>
      <c r="T14" s="11"/>
    </row>
    <row r="15" spans="1:20" ht="36">
      <c r="A15" t="s">
        <v>30</v>
      </c>
      <c r="B15" s="151" t="s">
        <v>1899</v>
      </c>
      <c r="C15" s="152"/>
      <c r="D15" s="17">
        <v>45809</v>
      </c>
      <c r="E15" s="157" t="s">
        <v>2213</v>
      </c>
      <c r="F15" s="157"/>
      <c r="G15" s="1" t="s">
        <v>16</v>
      </c>
      <c r="H15" s="1" t="s">
        <v>195</v>
      </c>
      <c r="I15" s="3" t="s">
        <v>1630</v>
      </c>
      <c r="J15" s="211">
        <v>1</v>
      </c>
      <c r="K15" s="26">
        <v>1474000</v>
      </c>
      <c r="L15" s="26">
        <f t="shared" si="0"/>
        <v>1474000</v>
      </c>
      <c r="M15" s="27">
        <f t="shared" si="1"/>
        <v>147400</v>
      </c>
      <c r="N15" s="27">
        <f t="shared" si="2"/>
        <v>1621400</v>
      </c>
      <c r="O15" s="52">
        <f>449492+200000+3000000/6</f>
        <v>1149492</v>
      </c>
      <c r="P15" s="172" t="s">
        <v>2088</v>
      </c>
      <c r="Q15" s="181">
        <f t="shared" si="3"/>
        <v>324508</v>
      </c>
      <c r="R15" s="2" t="s">
        <v>1830</v>
      </c>
      <c r="S15" s="5" t="s">
        <v>2136</v>
      </c>
      <c r="T15" s="6"/>
    </row>
    <row r="16" spans="1:20">
      <c r="A16" t="s">
        <v>30</v>
      </c>
      <c r="B16" s="151" t="s">
        <v>1720</v>
      </c>
      <c r="C16" s="153"/>
      <c r="D16" s="17">
        <v>45813</v>
      </c>
      <c r="E16" s="1" t="s">
        <v>2198</v>
      </c>
      <c r="F16" s="1" t="s">
        <v>694</v>
      </c>
      <c r="G16" s="2" t="s">
        <v>1722</v>
      </c>
      <c r="H16" s="83" t="s">
        <v>1723</v>
      </c>
      <c r="I16" s="4" t="s">
        <v>1724</v>
      </c>
      <c r="J16" s="23">
        <v>1</v>
      </c>
      <c r="K16" s="27">
        <v>3000000</v>
      </c>
      <c r="L16" s="26">
        <f t="shared" si="0"/>
        <v>3000000</v>
      </c>
      <c r="M16" s="27">
        <f t="shared" si="1"/>
        <v>300000</v>
      </c>
      <c r="N16" s="27">
        <f t="shared" si="2"/>
        <v>3300000</v>
      </c>
      <c r="O16" s="33">
        <v>2940000</v>
      </c>
      <c r="P16" s="197" t="s">
        <v>2191</v>
      </c>
      <c r="Q16" s="20">
        <f t="shared" si="3"/>
        <v>60000</v>
      </c>
      <c r="R16" s="2" t="s">
        <v>2013</v>
      </c>
      <c r="S16" s="8" t="s">
        <v>2133</v>
      </c>
      <c r="T16" s="11"/>
    </row>
    <row r="17" spans="1:20">
      <c r="A17" t="s">
        <v>30</v>
      </c>
      <c r="B17" s="151" t="s">
        <v>1720</v>
      </c>
      <c r="C17" s="153"/>
      <c r="D17" s="17">
        <v>45813</v>
      </c>
      <c r="E17" s="1" t="s">
        <v>2198</v>
      </c>
      <c r="F17" s="2" t="s">
        <v>1721</v>
      </c>
      <c r="G17" s="2" t="s">
        <v>1722</v>
      </c>
      <c r="H17" s="83" t="s">
        <v>1723</v>
      </c>
      <c r="I17" s="4" t="s">
        <v>1724</v>
      </c>
      <c r="J17" s="23">
        <v>1</v>
      </c>
      <c r="K17" s="27">
        <v>3000000</v>
      </c>
      <c r="L17" s="26">
        <f t="shared" si="0"/>
        <v>3000000</v>
      </c>
      <c r="M17" s="27">
        <f t="shared" si="1"/>
        <v>300000</v>
      </c>
      <c r="N17" s="27">
        <f t="shared" si="2"/>
        <v>3300000</v>
      </c>
      <c r="O17" s="33">
        <v>2940000</v>
      </c>
      <c r="P17" s="197" t="s">
        <v>2191</v>
      </c>
      <c r="Q17" s="20">
        <f t="shared" si="3"/>
        <v>60000</v>
      </c>
      <c r="R17" s="2" t="s">
        <v>2014</v>
      </c>
      <c r="S17" s="8" t="s">
        <v>2133</v>
      </c>
      <c r="T17" s="11"/>
    </row>
    <row r="18" spans="1:20" ht="12" customHeight="1">
      <c r="A18" t="s">
        <v>30</v>
      </c>
      <c r="B18" s="151" t="s">
        <v>113</v>
      </c>
      <c r="C18" s="200"/>
      <c r="D18" s="17">
        <v>45813</v>
      </c>
      <c r="E18" s="1" t="s">
        <v>367</v>
      </c>
      <c r="F18" s="2" t="s">
        <v>372</v>
      </c>
      <c r="G18" s="161" t="s">
        <v>34</v>
      </c>
      <c r="H18" s="161" t="s">
        <v>114</v>
      </c>
      <c r="I18" s="3" t="s">
        <v>1648</v>
      </c>
      <c r="J18" s="32">
        <v>1</v>
      </c>
      <c r="K18" s="48">
        <v>360000</v>
      </c>
      <c r="L18" s="26">
        <v>720000</v>
      </c>
      <c r="M18" s="27">
        <f t="shared" si="1"/>
        <v>72000</v>
      </c>
      <c r="N18" s="27">
        <f t="shared" si="2"/>
        <v>792000</v>
      </c>
      <c r="O18" s="52">
        <v>0</v>
      </c>
      <c r="P18" s="171" t="s">
        <v>115</v>
      </c>
      <c r="Q18" s="181">
        <f t="shared" si="3"/>
        <v>720000</v>
      </c>
      <c r="R18" s="2" t="s">
        <v>1873</v>
      </c>
      <c r="S18" s="5" t="s">
        <v>2135</v>
      </c>
      <c r="T18" s="6"/>
    </row>
    <row r="19" spans="1:20">
      <c r="A19" t="s">
        <v>30</v>
      </c>
      <c r="B19" s="151" t="s">
        <v>113</v>
      </c>
      <c r="C19" s="155"/>
      <c r="D19" s="43"/>
      <c r="E19" s="44" t="s">
        <v>367</v>
      </c>
      <c r="F19" s="41" t="s">
        <v>368</v>
      </c>
      <c r="G19" s="161" t="s">
        <v>34</v>
      </c>
      <c r="H19" s="161" t="s">
        <v>114</v>
      </c>
      <c r="I19" s="3" t="s">
        <v>1648</v>
      </c>
      <c r="J19" s="23">
        <v>1</v>
      </c>
      <c r="K19" s="27">
        <v>360000</v>
      </c>
      <c r="L19" s="37"/>
      <c r="M19" s="38"/>
      <c r="N19" s="38"/>
      <c r="O19" s="39"/>
      <c r="P19" s="175"/>
      <c r="Q19" s="40"/>
      <c r="R19" s="41"/>
      <c r="S19" s="42"/>
      <c r="T19" s="11"/>
    </row>
    <row r="20" spans="1:20" ht="96">
      <c r="A20" t="s">
        <v>30</v>
      </c>
      <c r="B20" s="151" t="s">
        <v>364</v>
      </c>
      <c r="C20" s="200"/>
      <c r="D20" s="17">
        <v>45813</v>
      </c>
      <c r="E20" s="1" t="s">
        <v>2194</v>
      </c>
      <c r="F20" s="161"/>
      <c r="G20" s="1" t="s">
        <v>16</v>
      </c>
      <c r="H20" s="161" t="s">
        <v>81</v>
      </c>
      <c r="I20" s="3" t="s">
        <v>1426</v>
      </c>
      <c r="J20" s="210">
        <v>1</v>
      </c>
      <c r="K20" s="26">
        <v>7060000</v>
      </c>
      <c r="L20" s="26">
        <f t="shared" ref="L20:L49" si="4">J20*K20</f>
        <v>7060000</v>
      </c>
      <c r="M20" s="67">
        <f t="shared" ref="M20:M50" si="5">L20*10%</f>
        <v>706000</v>
      </c>
      <c r="N20" s="27">
        <f t="shared" ref="N20:N50" si="6">SUM(L20:M20)</f>
        <v>7766000</v>
      </c>
      <c r="O20" s="52">
        <f>691781+300000+70000+1000000/12+810000+352900+7000000/5</f>
        <v>3708014.333333333</v>
      </c>
      <c r="P20" s="171" t="s">
        <v>2122</v>
      </c>
      <c r="Q20" s="181">
        <f t="shared" ref="Q20:Q50" si="7">L20-O20</f>
        <v>3351985.666666667</v>
      </c>
      <c r="R20" s="68" t="s">
        <v>1902</v>
      </c>
      <c r="S20" s="5" t="s">
        <v>2133</v>
      </c>
      <c r="T20" s="6"/>
    </row>
    <row r="21" spans="1:20">
      <c r="A21" t="s">
        <v>30</v>
      </c>
      <c r="B21" s="151" t="s">
        <v>369</v>
      </c>
      <c r="C21" s="153"/>
      <c r="D21" s="17">
        <v>45813</v>
      </c>
      <c r="E21" s="1" t="s">
        <v>2198</v>
      </c>
      <c r="F21" s="1" t="s">
        <v>694</v>
      </c>
      <c r="G21" s="1" t="s">
        <v>16</v>
      </c>
      <c r="H21" s="161" t="s">
        <v>81</v>
      </c>
      <c r="I21" s="4" t="s">
        <v>1647</v>
      </c>
      <c r="J21" s="210">
        <v>1</v>
      </c>
      <c r="K21" s="27">
        <v>1100000</v>
      </c>
      <c r="L21" s="26">
        <f t="shared" si="4"/>
        <v>1100000</v>
      </c>
      <c r="M21" s="27">
        <f t="shared" si="5"/>
        <v>110000</v>
      </c>
      <c r="N21" s="27">
        <f t="shared" si="6"/>
        <v>1210000</v>
      </c>
      <c r="O21" s="33">
        <v>1060000</v>
      </c>
      <c r="P21" s="197" t="s">
        <v>2191</v>
      </c>
      <c r="Q21" s="20">
        <f t="shared" si="7"/>
        <v>40000</v>
      </c>
      <c r="R21" s="2" t="s">
        <v>2014</v>
      </c>
      <c r="S21" s="36" t="s">
        <v>2133</v>
      </c>
      <c r="T21" s="11"/>
    </row>
    <row r="22" spans="1:20">
      <c r="A22" t="s">
        <v>30</v>
      </c>
      <c r="B22" s="151" t="s">
        <v>1897</v>
      </c>
      <c r="C22" s="153" t="s">
        <v>1898</v>
      </c>
      <c r="D22" s="17">
        <v>45813</v>
      </c>
      <c r="E22" s="1" t="s">
        <v>1725</v>
      </c>
      <c r="F22" s="2"/>
      <c r="G22" s="1" t="s">
        <v>16</v>
      </c>
      <c r="H22" s="83" t="s">
        <v>1726</v>
      </c>
      <c r="I22" s="4" t="s">
        <v>1727</v>
      </c>
      <c r="J22" s="23">
        <v>1</v>
      </c>
      <c r="K22" s="27">
        <v>900000</v>
      </c>
      <c r="L22" s="26">
        <f t="shared" si="4"/>
        <v>900000</v>
      </c>
      <c r="M22" s="27">
        <f t="shared" si="5"/>
        <v>90000</v>
      </c>
      <c r="N22" s="27">
        <f t="shared" si="6"/>
        <v>990000</v>
      </c>
      <c r="O22" s="33">
        <v>662400</v>
      </c>
      <c r="P22" s="171" t="s">
        <v>1924</v>
      </c>
      <c r="Q22" s="20">
        <f t="shared" si="7"/>
        <v>237600</v>
      </c>
      <c r="R22" s="2" t="s">
        <v>1902</v>
      </c>
      <c r="S22" s="8" t="s">
        <v>2136</v>
      </c>
      <c r="T22" s="11"/>
    </row>
    <row r="23" spans="1:20" ht="24">
      <c r="A23" t="s">
        <v>30</v>
      </c>
      <c r="B23" s="151" t="s">
        <v>1605</v>
      </c>
      <c r="C23" s="153"/>
      <c r="D23" s="17">
        <v>45813</v>
      </c>
      <c r="E23" s="1" t="s">
        <v>2142</v>
      </c>
      <c r="F23" s="2"/>
      <c r="G23" s="2" t="s">
        <v>15</v>
      </c>
      <c r="H23" s="83" t="s">
        <v>1607</v>
      </c>
      <c r="I23" s="4" t="s">
        <v>1607</v>
      </c>
      <c r="J23" s="23">
        <v>1</v>
      </c>
      <c r="K23" s="27">
        <v>3430000</v>
      </c>
      <c r="L23" s="26">
        <f t="shared" si="4"/>
        <v>3430000</v>
      </c>
      <c r="M23" s="27">
        <f t="shared" si="5"/>
        <v>343000</v>
      </c>
      <c r="N23" s="27">
        <f t="shared" si="6"/>
        <v>3773000</v>
      </c>
      <c r="O23" s="33">
        <f>2543655+405636</f>
        <v>2949291</v>
      </c>
      <c r="P23" s="197" t="s">
        <v>1606</v>
      </c>
      <c r="Q23" s="20">
        <f t="shared" si="7"/>
        <v>480709</v>
      </c>
      <c r="R23" s="68" t="s">
        <v>1932</v>
      </c>
      <c r="S23" s="8" t="s">
        <v>2132</v>
      </c>
      <c r="T23" s="11"/>
    </row>
    <row r="24" spans="1:20">
      <c r="A24" t="s">
        <v>30</v>
      </c>
      <c r="B24" s="151" t="s">
        <v>1618</v>
      </c>
      <c r="C24" s="153"/>
      <c r="D24" s="17">
        <v>45813</v>
      </c>
      <c r="E24" s="1" t="s">
        <v>2142</v>
      </c>
      <c r="F24" s="2"/>
      <c r="G24" s="2" t="s">
        <v>15</v>
      </c>
      <c r="H24" s="83" t="s">
        <v>1619</v>
      </c>
      <c r="I24" s="4" t="s">
        <v>1620</v>
      </c>
      <c r="J24" s="23">
        <v>1</v>
      </c>
      <c r="K24" s="27">
        <v>133000</v>
      </c>
      <c r="L24" s="26">
        <f t="shared" si="4"/>
        <v>133000</v>
      </c>
      <c r="M24" s="27">
        <f t="shared" si="5"/>
        <v>13300</v>
      </c>
      <c r="N24" s="27">
        <f t="shared" si="6"/>
        <v>146300</v>
      </c>
      <c r="O24" s="33">
        <v>79764</v>
      </c>
      <c r="P24" s="197" t="s">
        <v>1621</v>
      </c>
      <c r="Q24" s="20">
        <f t="shared" si="7"/>
        <v>53236</v>
      </c>
      <c r="R24" s="68" t="s">
        <v>1932</v>
      </c>
      <c r="S24" s="8" t="s">
        <v>2132</v>
      </c>
      <c r="T24" s="11"/>
    </row>
    <row r="25" spans="1:20">
      <c r="A25" t="s">
        <v>30</v>
      </c>
      <c r="B25" s="151" t="s">
        <v>1736</v>
      </c>
      <c r="C25" s="153"/>
      <c r="D25" s="17">
        <v>45817</v>
      </c>
      <c r="E25" s="1" t="s">
        <v>66</v>
      </c>
      <c r="F25" s="2"/>
      <c r="G25" s="2" t="s">
        <v>15</v>
      </c>
      <c r="H25" s="83" t="s">
        <v>1671</v>
      </c>
      <c r="I25" s="4" t="s">
        <v>1672</v>
      </c>
      <c r="J25" s="23">
        <v>1</v>
      </c>
      <c r="K25" s="27">
        <v>350000</v>
      </c>
      <c r="L25" s="26">
        <f t="shared" si="4"/>
        <v>350000</v>
      </c>
      <c r="M25" s="27">
        <f t="shared" si="5"/>
        <v>35000</v>
      </c>
      <c r="N25" s="27">
        <f t="shared" si="6"/>
        <v>385000</v>
      </c>
      <c r="O25" s="33">
        <v>300000</v>
      </c>
      <c r="P25" s="197" t="s">
        <v>1968</v>
      </c>
      <c r="Q25" s="20">
        <f t="shared" si="7"/>
        <v>50000</v>
      </c>
      <c r="R25" s="68" t="s">
        <v>2016</v>
      </c>
      <c r="S25" s="8" t="s">
        <v>2136</v>
      </c>
      <c r="T25" s="11"/>
    </row>
    <row r="26" spans="1:20">
      <c r="A26" t="s">
        <v>30</v>
      </c>
      <c r="B26" s="151" t="s">
        <v>113</v>
      </c>
      <c r="C26" s="200"/>
      <c r="D26" s="10">
        <v>45818</v>
      </c>
      <c r="E26" s="1" t="s">
        <v>2204</v>
      </c>
      <c r="F26" s="2"/>
      <c r="G26" s="161" t="s">
        <v>34</v>
      </c>
      <c r="H26" s="161" t="s">
        <v>114</v>
      </c>
      <c r="I26" s="163" t="s">
        <v>1649</v>
      </c>
      <c r="J26" s="71">
        <v>1</v>
      </c>
      <c r="K26" s="26">
        <v>6394500</v>
      </c>
      <c r="L26" s="26">
        <f t="shared" si="4"/>
        <v>6394500</v>
      </c>
      <c r="M26" s="27">
        <f t="shared" si="5"/>
        <v>639450</v>
      </c>
      <c r="N26" s="27">
        <f t="shared" si="6"/>
        <v>7033950</v>
      </c>
      <c r="O26" s="52">
        <v>0</v>
      </c>
      <c r="P26" s="171" t="s">
        <v>115</v>
      </c>
      <c r="Q26" s="181">
        <f t="shared" si="7"/>
        <v>6394500</v>
      </c>
      <c r="R26" s="2" t="s">
        <v>1872</v>
      </c>
      <c r="S26" s="5" t="s">
        <v>2135</v>
      </c>
      <c r="T26" s="6"/>
    </row>
    <row r="27" spans="1:20">
      <c r="A27" t="s">
        <v>30</v>
      </c>
      <c r="B27" s="151" t="s">
        <v>1746</v>
      </c>
      <c r="C27" s="153"/>
      <c r="D27" s="17">
        <v>45818</v>
      </c>
      <c r="E27" s="1" t="s">
        <v>1190</v>
      </c>
      <c r="F27" s="2" t="s">
        <v>1749</v>
      </c>
      <c r="G27" s="2" t="s">
        <v>35</v>
      </c>
      <c r="H27" s="83" t="s">
        <v>607</v>
      </c>
      <c r="I27" s="4" t="s">
        <v>1747</v>
      </c>
      <c r="J27" s="23">
        <v>1</v>
      </c>
      <c r="K27" s="27">
        <v>200000</v>
      </c>
      <c r="L27" s="26">
        <f t="shared" si="4"/>
        <v>200000</v>
      </c>
      <c r="M27" s="27">
        <f t="shared" si="5"/>
        <v>20000</v>
      </c>
      <c r="N27" s="27">
        <f t="shared" si="6"/>
        <v>220000</v>
      </c>
      <c r="O27" s="52">
        <v>0</v>
      </c>
      <c r="P27" s="171" t="s">
        <v>129</v>
      </c>
      <c r="Q27" s="20">
        <f t="shared" si="7"/>
        <v>200000</v>
      </c>
      <c r="R27" s="2" t="s">
        <v>1750</v>
      </c>
      <c r="S27" s="8" t="s">
        <v>2132</v>
      </c>
      <c r="T27" s="11"/>
    </row>
    <row r="28" spans="1:20" ht="12" customHeight="1">
      <c r="A28" t="s">
        <v>30</v>
      </c>
      <c r="B28" s="151" t="s">
        <v>113</v>
      </c>
      <c r="C28" s="200"/>
      <c r="D28" s="10">
        <v>45820</v>
      </c>
      <c r="E28" s="1" t="s">
        <v>365</v>
      </c>
      <c r="F28" s="2" t="s">
        <v>366</v>
      </c>
      <c r="G28" s="161" t="s">
        <v>34</v>
      </c>
      <c r="H28" s="161" t="s">
        <v>114</v>
      </c>
      <c r="I28" s="3" t="s">
        <v>2094</v>
      </c>
      <c r="J28" s="32">
        <v>1</v>
      </c>
      <c r="K28" s="48">
        <v>400000</v>
      </c>
      <c r="L28" s="26">
        <f t="shared" si="4"/>
        <v>400000</v>
      </c>
      <c r="M28" s="27">
        <f t="shared" si="5"/>
        <v>40000</v>
      </c>
      <c r="N28" s="27">
        <f t="shared" si="6"/>
        <v>440000</v>
      </c>
      <c r="O28" s="52">
        <v>0</v>
      </c>
      <c r="P28" s="171" t="s">
        <v>115</v>
      </c>
      <c r="Q28" s="181">
        <f t="shared" si="7"/>
        <v>400000</v>
      </c>
      <c r="R28" s="2" t="s">
        <v>1932</v>
      </c>
      <c r="S28" s="5" t="s">
        <v>2135</v>
      </c>
      <c r="T28" s="6"/>
    </row>
    <row r="29" spans="1:20">
      <c r="A29" t="s">
        <v>30</v>
      </c>
      <c r="B29" s="151" t="s">
        <v>1760</v>
      </c>
      <c r="C29" s="153"/>
      <c r="D29" s="17">
        <v>45821</v>
      </c>
      <c r="E29" s="1" t="s">
        <v>1766</v>
      </c>
      <c r="F29" s="2"/>
      <c r="G29" s="2" t="s">
        <v>15</v>
      </c>
      <c r="H29" s="83" t="s">
        <v>1534</v>
      </c>
      <c r="I29" s="4" t="s">
        <v>1535</v>
      </c>
      <c r="J29" s="23">
        <v>1</v>
      </c>
      <c r="K29" s="27">
        <v>270000</v>
      </c>
      <c r="L29" s="26">
        <f t="shared" si="4"/>
        <v>270000</v>
      </c>
      <c r="M29" s="27">
        <f t="shared" si="5"/>
        <v>27000</v>
      </c>
      <c r="N29" s="27">
        <f t="shared" si="6"/>
        <v>297000</v>
      </c>
      <c r="O29" s="33">
        <v>200000</v>
      </c>
      <c r="P29" s="197" t="s">
        <v>1967</v>
      </c>
      <c r="Q29" s="20">
        <f t="shared" si="7"/>
        <v>70000</v>
      </c>
      <c r="R29" s="68" t="s">
        <v>2018</v>
      </c>
      <c r="S29" s="8" t="s">
        <v>2136</v>
      </c>
      <c r="T29" s="11"/>
    </row>
    <row r="30" spans="1:20">
      <c r="A30" t="s">
        <v>30</v>
      </c>
      <c r="B30" s="151" t="s">
        <v>330</v>
      </c>
      <c r="C30" s="199" t="s">
        <v>335</v>
      </c>
      <c r="D30" s="17">
        <v>45823</v>
      </c>
      <c r="E30" s="1" t="s">
        <v>161</v>
      </c>
      <c r="F30" s="2" t="s">
        <v>154</v>
      </c>
      <c r="G30" s="2" t="s">
        <v>16</v>
      </c>
      <c r="H30" s="2" t="s">
        <v>80</v>
      </c>
      <c r="I30" s="4" t="s">
        <v>1650</v>
      </c>
      <c r="J30" s="23">
        <v>1</v>
      </c>
      <c r="K30" s="27">
        <v>1080000</v>
      </c>
      <c r="L30" s="26">
        <f t="shared" si="4"/>
        <v>1080000</v>
      </c>
      <c r="M30" s="27">
        <f t="shared" si="5"/>
        <v>108000</v>
      </c>
      <c r="N30" s="27">
        <f t="shared" si="6"/>
        <v>1188000</v>
      </c>
      <c r="O30" s="52">
        <v>976200</v>
      </c>
      <c r="P30" s="171" t="s">
        <v>1705</v>
      </c>
      <c r="Q30" s="181">
        <f t="shared" si="7"/>
        <v>103800</v>
      </c>
      <c r="R30" s="2" t="s">
        <v>1873</v>
      </c>
      <c r="S30" s="8" t="s">
        <v>2136</v>
      </c>
      <c r="T30" s="11"/>
    </row>
    <row r="31" spans="1:20" ht="24">
      <c r="A31" t="s">
        <v>30</v>
      </c>
      <c r="B31" s="151" t="s">
        <v>253</v>
      </c>
      <c r="C31" s="199" t="s">
        <v>306</v>
      </c>
      <c r="D31" s="17">
        <v>45823</v>
      </c>
      <c r="E31" s="1" t="s">
        <v>246</v>
      </c>
      <c r="F31" s="2" t="s">
        <v>247</v>
      </c>
      <c r="G31" s="2" t="s">
        <v>16</v>
      </c>
      <c r="H31" s="2" t="s">
        <v>80</v>
      </c>
      <c r="I31" s="4" t="s">
        <v>1651</v>
      </c>
      <c r="J31" s="23">
        <v>1</v>
      </c>
      <c r="K31" s="27">
        <v>875000</v>
      </c>
      <c r="L31" s="26">
        <f t="shared" si="4"/>
        <v>875000</v>
      </c>
      <c r="M31" s="27">
        <f t="shared" si="5"/>
        <v>87500</v>
      </c>
      <c r="N31" s="27">
        <f t="shared" si="6"/>
        <v>962500</v>
      </c>
      <c r="O31" s="52">
        <f>511500+3400000/12</f>
        <v>794833.33333333326</v>
      </c>
      <c r="P31" s="197" t="s">
        <v>1802</v>
      </c>
      <c r="Q31" s="181">
        <f t="shared" si="7"/>
        <v>80166.666666666744</v>
      </c>
      <c r="R31" s="202" t="s">
        <v>1990</v>
      </c>
      <c r="S31" s="8" t="s">
        <v>2136</v>
      </c>
      <c r="T31" s="11"/>
    </row>
    <row r="32" spans="1:20" ht="72">
      <c r="B32" s="151" t="s">
        <v>2026</v>
      </c>
      <c r="C32" s="199"/>
      <c r="D32" s="17">
        <v>45824</v>
      </c>
      <c r="E32" s="1" t="s">
        <v>2203</v>
      </c>
      <c r="F32" s="2"/>
      <c r="G32" s="2" t="s">
        <v>15</v>
      </c>
      <c r="H32" s="83" t="s">
        <v>1910</v>
      </c>
      <c r="I32" s="4" t="s">
        <v>1911</v>
      </c>
      <c r="J32" s="23">
        <v>1</v>
      </c>
      <c r="K32" s="27">
        <v>15400000</v>
      </c>
      <c r="L32" s="26">
        <f t="shared" si="4"/>
        <v>15400000</v>
      </c>
      <c r="M32" s="27">
        <f t="shared" si="5"/>
        <v>1540000</v>
      </c>
      <c r="N32" s="27">
        <f t="shared" si="6"/>
        <v>16940000</v>
      </c>
      <c r="O32" s="52">
        <f>600000+4300000+3684273+1560000+35000+12000</f>
        <v>10191273</v>
      </c>
      <c r="P32" s="238" t="s">
        <v>2047</v>
      </c>
      <c r="Q32" s="181">
        <f t="shared" si="7"/>
        <v>5208727</v>
      </c>
      <c r="R32" s="202" t="s">
        <v>1932</v>
      </c>
      <c r="S32" s="8" t="s">
        <v>2134</v>
      </c>
      <c r="T32" s="11"/>
    </row>
    <row r="33" spans="1:20">
      <c r="A33" t="s">
        <v>30</v>
      </c>
      <c r="B33" s="151" t="s">
        <v>1817</v>
      </c>
      <c r="C33" s="153"/>
      <c r="D33" s="17">
        <v>45826</v>
      </c>
      <c r="E33" s="1" t="s">
        <v>1813</v>
      </c>
      <c r="F33" s="2"/>
      <c r="G33" s="2" t="s">
        <v>1814</v>
      </c>
      <c r="H33" s="83" t="s">
        <v>1815</v>
      </c>
      <c r="I33" s="4" t="s">
        <v>1816</v>
      </c>
      <c r="J33" s="23">
        <v>1</v>
      </c>
      <c r="K33" s="27">
        <v>400000</v>
      </c>
      <c r="L33" s="26">
        <f t="shared" si="4"/>
        <v>400000</v>
      </c>
      <c r="M33" s="27">
        <f t="shared" si="5"/>
        <v>40000</v>
      </c>
      <c r="N33" s="27">
        <f t="shared" si="6"/>
        <v>440000</v>
      </c>
      <c r="O33" s="52">
        <v>0</v>
      </c>
      <c r="P33" s="171" t="s">
        <v>129</v>
      </c>
      <c r="Q33" s="20">
        <f t="shared" si="7"/>
        <v>400000</v>
      </c>
      <c r="R33" s="2" t="s">
        <v>2018</v>
      </c>
      <c r="S33" s="8" t="s">
        <v>2136</v>
      </c>
      <c r="T33" s="11"/>
    </row>
    <row r="34" spans="1:20">
      <c r="A34" t="s">
        <v>30</v>
      </c>
      <c r="B34" s="151" t="s">
        <v>1798</v>
      </c>
      <c r="C34" s="153"/>
      <c r="D34" s="17">
        <v>45827</v>
      </c>
      <c r="E34" s="1" t="s">
        <v>2177</v>
      </c>
      <c r="F34" s="2"/>
      <c r="G34" s="2" t="s">
        <v>15</v>
      </c>
      <c r="H34" s="83" t="s">
        <v>1799</v>
      </c>
      <c r="I34" s="4" t="s">
        <v>1800</v>
      </c>
      <c r="J34" s="23">
        <v>1</v>
      </c>
      <c r="K34" s="27">
        <v>100000</v>
      </c>
      <c r="L34" s="26">
        <f t="shared" si="4"/>
        <v>100000</v>
      </c>
      <c r="M34" s="27">
        <f t="shared" si="5"/>
        <v>10000</v>
      </c>
      <c r="N34" s="27">
        <f t="shared" si="6"/>
        <v>110000</v>
      </c>
      <c r="O34" s="33">
        <v>70000</v>
      </c>
      <c r="P34" s="197" t="s">
        <v>1974</v>
      </c>
      <c r="Q34" s="20">
        <f t="shared" si="7"/>
        <v>30000</v>
      </c>
      <c r="R34" s="2" t="s">
        <v>2017</v>
      </c>
      <c r="S34" s="8" t="s">
        <v>2136</v>
      </c>
      <c r="T34" s="11"/>
    </row>
    <row r="35" spans="1:20" ht="24">
      <c r="A35" t="s">
        <v>30</v>
      </c>
      <c r="B35" s="151" t="s">
        <v>113</v>
      </c>
      <c r="C35" s="200"/>
      <c r="D35" s="10">
        <v>45828</v>
      </c>
      <c r="E35" s="1" t="s">
        <v>378</v>
      </c>
      <c r="F35" s="2" t="s">
        <v>268</v>
      </c>
      <c r="G35" s="2" t="s">
        <v>34</v>
      </c>
      <c r="H35" s="161" t="s">
        <v>114</v>
      </c>
      <c r="I35" s="3" t="s">
        <v>1652</v>
      </c>
      <c r="J35" s="23">
        <v>1</v>
      </c>
      <c r="K35" s="29">
        <v>800000</v>
      </c>
      <c r="L35" s="26">
        <f t="shared" si="4"/>
        <v>800000</v>
      </c>
      <c r="M35" s="27">
        <f t="shared" si="5"/>
        <v>80000</v>
      </c>
      <c r="N35" s="27">
        <f t="shared" si="6"/>
        <v>880000</v>
      </c>
      <c r="O35" s="52">
        <v>0</v>
      </c>
      <c r="P35" s="171" t="s">
        <v>115</v>
      </c>
      <c r="Q35" s="181">
        <f t="shared" si="7"/>
        <v>800000</v>
      </c>
      <c r="R35" s="266" t="s">
        <v>2036</v>
      </c>
      <c r="S35" s="5" t="s">
        <v>2135</v>
      </c>
      <c r="T35" s="6"/>
    </row>
    <row r="36" spans="1:20" ht="24">
      <c r="A36" t="s">
        <v>30</v>
      </c>
      <c r="B36" s="151" t="s">
        <v>1728</v>
      </c>
      <c r="C36" s="153"/>
      <c r="D36" s="17">
        <v>45828</v>
      </c>
      <c r="E36" s="1" t="s">
        <v>2157</v>
      </c>
      <c r="F36" s="2"/>
      <c r="G36" s="2" t="s">
        <v>15</v>
      </c>
      <c r="H36" s="83" t="s">
        <v>1810</v>
      </c>
      <c r="I36" s="4" t="s">
        <v>1667</v>
      </c>
      <c r="J36" s="23">
        <v>1</v>
      </c>
      <c r="K36" s="27">
        <v>520000</v>
      </c>
      <c r="L36" s="26">
        <f t="shared" si="4"/>
        <v>520000</v>
      </c>
      <c r="M36" s="27">
        <f t="shared" si="5"/>
        <v>52000</v>
      </c>
      <c r="N36" s="27">
        <f t="shared" si="6"/>
        <v>572000</v>
      </c>
      <c r="O36" s="33">
        <f>467273+3800</f>
        <v>471073</v>
      </c>
      <c r="P36" s="197" t="s">
        <v>1949</v>
      </c>
      <c r="Q36" s="20">
        <f t="shared" si="7"/>
        <v>48927</v>
      </c>
      <c r="R36" s="2" t="s">
        <v>1902</v>
      </c>
      <c r="S36" s="8" t="s">
        <v>2134</v>
      </c>
      <c r="T36" s="11"/>
    </row>
    <row r="37" spans="1:20">
      <c r="A37" t="s">
        <v>30</v>
      </c>
      <c r="B37" s="151" t="s">
        <v>1803</v>
      </c>
      <c r="C37" s="153"/>
      <c r="D37" s="17">
        <v>45828</v>
      </c>
      <c r="E37" s="1" t="s">
        <v>2157</v>
      </c>
      <c r="F37" s="2"/>
      <c r="G37" s="2" t="s">
        <v>15</v>
      </c>
      <c r="H37" s="83" t="s">
        <v>1781</v>
      </c>
      <c r="I37" s="4" t="s">
        <v>1804</v>
      </c>
      <c r="J37" s="23">
        <v>1</v>
      </c>
      <c r="K37" s="27">
        <v>500000</v>
      </c>
      <c r="L37" s="26">
        <f t="shared" si="4"/>
        <v>500000</v>
      </c>
      <c r="M37" s="27">
        <f t="shared" si="5"/>
        <v>50000</v>
      </c>
      <c r="N37" s="27">
        <f t="shared" si="6"/>
        <v>550000</v>
      </c>
      <c r="O37" s="33">
        <f>445309+21000</f>
        <v>466309</v>
      </c>
      <c r="P37" s="197" t="s">
        <v>1939</v>
      </c>
      <c r="Q37" s="20">
        <f t="shared" si="7"/>
        <v>33691</v>
      </c>
      <c r="R37" s="2" t="s">
        <v>1902</v>
      </c>
      <c r="S37" s="8" t="s">
        <v>2134</v>
      </c>
      <c r="T37" s="11"/>
    </row>
    <row r="38" spans="1:20">
      <c r="A38" t="s">
        <v>30</v>
      </c>
      <c r="B38" s="151" t="s">
        <v>1823</v>
      </c>
      <c r="C38" s="153"/>
      <c r="D38" s="17">
        <v>45828</v>
      </c>
      <c r="E38" s="1" t="s">
        <v>2164</v>
      </c>
      <c r="F38" s="2"/>
      <c r="G38" s="2" t="s">
        <v>15</v>
      </c>
      <c r="H38" s="83" t="s">
        <v>970</v>
      </c>
      <c r="I38" s="4" t="s">
        <v>970</v>
      </c>
      <c r="J38" s="23">
        <v>1</v>
      </c>
      <c r="K38" s="27">
        <v>495000</v>
      </c>
      <c r="L38" s="26">
        <f t="shared" si="4"/>
        <v>495000</v>
      </c>
      <c r="M38" s="27">
        <f t="shared" si="5"/>
        <v>49500</v>
      </c>
      <c r="N38" s="27">
        <f t="shared" si="6"/>
        <v>544500</v>
      </c>
      <c r="O38" s="33">
        <f>426282+15000</f>
        <v>441282</v>
      </c>
      <c r="P38" s="197" t="s">
        <v>1941</v>
      </c>
      <c r="Q38" s="20">
        <f t="shared" si="7"/>
        <v>53718</v>
      </c>
      <c r="R38" s="2" t="s">
        <v>1902</v>
      </c>
      <c r="S38" s="8" t="s">
        <v>2134</v>
      </c>
      <c r="T38" s="11"/>
    </row>
    <row r="39" spans="1:20" ht="72">
      <c r="A39" t="s">
        <v>30</v>
      </c>
      <c r="B39" s="151" t="s">
        <v>214</v>
      </c>
      <c r="C39" s="200"/>
      <c r="D39" s="10">
        <v>45828</v>
      </c>
      <c r="E39" s="214" t="s">
        <v>37</v>
      </c>
      <c r="F39" s="215"/>
      <c r="G39" s="161" t="s">
        <v>35</v>
      </c>
      <c r="H39" s="161" t="s">
        <v>89</v>
      </c>
      <c r="I39" s="163" t="s">
        <v>1653</v>
      </c>
      <c r="J39" s="23">
        <v>1</v>
      </c>
      <c r="K39" s="26">
        <v>1000000</v>
      </c>
      <c r="L39" s="26">
        <f t="shared" si="4"/>
        <v>1000000</v>
      </c>
      <c r="M39" s="27">
        <f t="shared" si="5"/>
        <v>100000</v>
      </c>
      <c r="N39" s="27">
        <f t="shared" si="6"/>
        <v>1100000</v>
      </c>
      <c r="O39" s="72">
        <f>16728000/36+370000+1000000/12</f>
        <v>918000.00000000012</v>
      </c>
      <c r="P39" s="171" t="s">
        <v>2104</v>
      </c>
      <c r="Q39" s="181">
        <f t="shared" si="7"/>
        <v>81999.999999999884</v>
      </c>
      <c r="R39" s="2" t="s">
        <v>1902</v>
      </c>
      <c r="S39" s="5" t="s">
        <v>2136</v>
      </c>
      <c r="T39" s="11"/>
    </row>
    <row r="40" spans="1:20">
      <c r="A40" t="s">
        <v>30</v>
      </c>
      <c r="B40" s="151" t="s">
        <v>1783</v>
      </c>
      <c r="C40" s="199"/>
      <c r="D40" s="10">
        <v>45828</v>
      </c>
      <c r="E40" s="214" t="s">
        <v>37</v>
      </c>
      <c r="F40" s="215"/>
      <c r="G40" s="161" t="s">
        <v>1780</v>
      </c>
      <c r="H40" s="161" t="s">
        <v>1781</v>
      </c>
      <c r="I40" s="162" t="s">
        <v>1782</v>
      </c>
      <c r="J40" s="23">
        <v>4</v>
      </c>
      <c r="K40" s="27">
        <v>250000</v>
      </c>
      <c r="L40" s="26">
        <f t="shared" si="4"/>
        <v>1000000</v>
      </c>
      <c r="M40" s="27">
        <f t="shared" si="5"/>
        <v>100000</v>
      </c>
      <c r="N40" s="27">
        <f t="shared" si="6"/>
        <v>1100000</v>
      </c>
      <c r="O40" s="72">
        <v>600000</v>
      </c>
      <c r="P40" s="171" t="s">
        <v>1893</v>
      </c>
      <c r="Q40" s="181">
        <f t="shared" si="7"/>
        <v>400000</v>
      </c>
      <c r="R40" s="2" t="s">
        <v>1902</v>
      </c>
      <c r="S40" s="5" t="s">
        <v>2136</v>
      </c>
      <c r="T40" s="11"/>
    </row>
    <row r="41" spans="1:20">
      <c r="A41" t="s">
        <v>30</v>
      </c>
      <c r="B41" s="151" t="s">
        <v>191</v>
      </c>
      <c r="C41" s="199"/>
      <c r="D41" s="10">
        <v>45828</v>
      </c>
      <c r="E41" s="1" t="s">
        <v>176</v>
      </c>
      <c r="F41" s="2" t="s">
        <v>177</v>
      </c>
      <c r="G41" s="2" t="s">
        <v>16</v>
      </c>
      <c r="H41" s="2" t="s">
        <v>81</v>
      </c>
      <c r="I41" s="70" t="s">
        <v>1655</v>
      </c>
      <c r="J41" s="23">
        <v>1</v>
      </c>
      <c r="K41" s="27">
        <v>200000</v>
      </c>
      <c r="L41" s="26">
        <f t="shared" si="4"/>
        <v>200000</v>
      </c>
      <c r="M41" s="27">
        <f t="shared" si="5"/>
        <v>20000</v>
      </c>
      <c r="N41" s="27">
        <f t="shared" si="6"/>
        <v>220000</v>
      </c>
      <c r="O41" s="52">
        <v>0</v>
      </c>
      <c r="P41" s="171" t="s">
        <v>115</v>
      </c>
      <c r="Q41" s="181">
        <f t="shared" si="7"/>
        <v>200000</v>
      </c>
      <c r="R41" s="68" t="s">
        <v>2018</v>
      </c>
      <c r="S41" s="8" t="s">
        <v>2133</v>
      </c>
      <c r="T41" s="11"/>
    </row>
    <row r="42" spans="1:20">
      <c r="A42" t="s">
        <v>30</v>
      </c>
      <c r="B42" s="151" t="s">
        <v>1351</v>
      </c>
      <c r="C42" s="153" t="s">
        <v>1305</v>
      </c>
      <c r="D42" s="10">
        <v>45828</v>
      </c>
      <c r="E42" s="1" t="s">
        <v>1306</v>
      </c>
      <c r="F42" s="2"/>
      <c r="G42" s="161" t="s">
        <v>16</v>
      </c>
      <c r="H42" s="83" t="s">
        <v>80</v>
      </c>
      <c r="I42" s="4" t="s">
        <v>1656</v>
      </c>
      <c r="J42" s="23">
        <v>1</v>
      </c>
      <c r="K42" s="27">
        <v>64000</v>
      </c>
      <c r="L42" s="26">
        <f t="shared" si="4"/>
        <v>64000</v>
      </c>
      <c r="M42" s="27">
        <f t="shared" si="5"/>
        <v>6400</v>
      </c>
      <c r="N42" s="27">
        <f t="shared" si="6"/>
        <v>70400</v>
      </c>
      <c r="O42" s="33">
        <v>53400</v>
      </c>
      <c r="P42" s="171" t="s">
        <v>1924</v>
      </c>
      <c r="Q42" s="20">
        <f t="shared" si="7"/>
        <v>10600</v>
      </c>
      <c r="R42" s="68" t="s">
        <v>1873</v>
      </c>
      <c r="S42" s="8" t="s">
        <v>2136</v>
      </c>
      <c r="T42" s="11"/>
    </row>
    <row r="43" spans="1:20" ht="24">
      <c r="A43" t="s">
        <v>30</v>
      </c>
      <c r="B43" s="151" t="s">
        <v>113</v>
      </c>
      <c r="C43" s="153"/>
      <c r="D43" s="86">
        <v>45828</v>
      </c>
      <c r="E43" s="1" t="s">
        <v>2161</v>
      </c>
      <c r="F43" s="2" t="s">
        <v>660</v>
      </c>
      <c r="G43" s="2" t="s">
        <v>16</v>
      </c>
      <c r="H43" s="83" t="s">
        <v>142</v>
      </c>
      <c r="I43" s="4" t="s">
        <v>1821</v>
      </c>
      <c r="J43" s="23">
        <v>1</v>
      </c>
      <c r="K43" s="27">
        <v>20000000</v>
      </c>
      <c r="L43" s="26">
        <f t="shared" si="4"/>
        <v>20000000</v>
      </c>
      <c r="M43" s="27">
        <f t="shared" si="5"/>
        <v>2000000</v>
      </c>
      <c r="N43" s="27">
        <f t="shared" si="6"/>
        <v>22000000</v>
      </c>
      <c r="O43" s="33">
        <v>19000000</v>
      </c>
      <c r="P43" s="197" t="s">
        <v>2002</v>
      </c>
      <c r="Q43" s="20">
        <f t="shared" si="7"/>
        <v>1000000</v>
      </c>
      <c r="R43" s="68" t="s">
        <v>2017</v>
      </c>
      <c r="S43" s="8" t="s">
        <v>2133</v>
      </c>
      <c r="T43" s="11"/>
    </row>
    <row r="44" spans="1:20" ht="24">
      <c r="A44" t="s">
        <v>30</v>
      </c>
      <c r="B44" s="151" t="s">
        <v>1219</v>
      </c>
      <c r="C44" s="230"/>
      <c r="D44" s="10">
        <v>45828</v>
      </c>
      <c r="E44" s="214" t="s">
        <v>1050</v>
      </c>
      <c r="F44" s="215" t="s">
        <v>1005</v>
      </c>
      <c r="G44" s="161" t="s">
        <v>16</v>
      </c>
      <c r="H44" s="161" t="s">
        <v>138</v>
      </c>
      <c r="I44" s="4" t="s">
        <v>1654</v>
      </c>
      <c r="J44" s="23">
        <v>1</v>
      </c>
      <c r="K44" s="27">
        <v>1000000</v>
      </c>
      <c r="L44" s="26">
        <f t="shared" si="4"/>
        <v>1000000</v>
      </c>
      <c r="M44" s="27">
        <f t="shared" si="5"/>
        <v>100000</v>
      </c>
      <c r="N44" s="27">
        <f t="shared" si="6"/>
        <v>1100000</v>
      </c>
      <c r="O44" s="33">
        <f>300000+451875</f>
        <v>751875</v>
      </c>
      <c r="P44" s="197" t="s">
        <v>1918</v>
      </c>
      <c r="Q44" s="181">
        <f t="shared" si="7"/>
        <v>248125</v>
      </c>
      <c r="R44" s="68" t="s">
        <v>2044</v>
      </c>
      <c r="S44" s="8" t="s">
        <v>2136</v>
      </c>
      <c r="T44" s="11"/>
    </row>
    <row r="45" spans="1:20">
      <c r="A45" t="s">
        <v>30</v>
      </c>
      <c r="B45" s="151" t="s">
        <v>1349</v>
      </c>
      <c r="C45" s="230"/>
      <c r="D45" s="10">
        <v>45828</v>
      </c>
      <c r="E45" s="214" t="s">
        <v>1050</v>
      </c>
      <c r="F45" s="215" t="s">
        <v>1327</v>
      </c>
      <c r="G45" s="161" t="s">
        <v>16</v>
      </c>
      <c r="H45" s="161" t="s">
        <v>81</v>
      </c>
      <c r="I45" s="4" t="s">
        <v>1828</v>
      </c>
      <c r="J45" s="23">
        <v>1</v>
      </c>
      <c r="K45" s="27">
        <v>800000</v>
      </c>
      <c r="L45" s="26">
        <f t="shared" si="4"/>
        <v>800000</v>
      </c>
      <c r="M45" s="27">
        <f t="shared" si="5"/>
        <v>80000</v>
      </c>
      <c r="N45" s="27">
        <f t="shared" si="6"/>
        <v>880000</v>
      </c>
      <c r="O45" s="33">
        <v>500000</v>
      </c>
      <c r="P45" s="197" t="s">
        <v>1894</v>
      </c>
      <c r="Q45" s="181">
        <f t="shared" si="7"/>
        <v>300000</v>
      </c>
      <c r="R45" s="68" t="s">
        <v>2031</v>
      </c>
      <c r="S45" s="8" t="s">
        <v>2136</v>
      </c>
      <c r="T45" s="11"/>
    </row>
    <row r="46" spans="1:20" ht="36">
      <c r="A46" t="s">
        <v>30</v>
      </c>
      <c r="B46" s="151" t="s">
        <v>302</v>
      </c>
      <c r="C46" s="200"/>
      <c r="D46" s="78">
        <v>45828</v>
      </c>
      <c r="E46" s="216" t="s">
        <v>2172</v>
      </c>
      <c r="F46" s="217"/>
      <c r="G46" s="167" t="s">
        <v>16</v>
      </c>
      <c r="H46" s="167" t="s">
        <v>81</v>
      </c>
      <c r="I46" s="168" t="s">
        <v>1639</v>
      </c>
      <c r="J46" s="79">
        <v>1</v>
      </c>
      <c r="K46" s="80">
        <v>950000</v>
      </c>
      <c r="L46" s="80">
        <f t="shared" si="4"/>
        <v>950000</v>
      </c>
      <c r="M46" s="81">
        <f t="shared" si="5"/>
        <v>95000</v>
      </c>
      <c r="N46" s="81">
        <f t="shared" si="6"/>
        <v>1045000</v>
      </c>
      <c r="O46" s="52">
        <f>150000+100000+500000</f>
        <v>750000</v>
      </c>
      <c r="P46" s="172" t="s">
        <v>2107</v>
      </c>
      <c r="Q46" s="181">
        <f t="shared" si="7"/>
        <v>200000</v>
      </c>
      <c r="R46" s="68" t="s">
        <v>2017</v>
      </c>
      <c r="S46" s="5" t="s">
        <v>2133</v>
      </c>
      <c r="T46" s="11"/>
    </row>
    <row r="47" spans="1:20" ht="36">
      <c r="A47" t="s">
        <v>30</v>
      </c>
      <c r="B47" s="151" t="s">
        <v>260</v>
      </c>
      <c r="C47" s="200"/>
      <c r="D47" s="78">
        <v>45828</v>
      </c>
      <c r="E47" s="218" t="s">
        <v>2196</v>
      </c>
      <c r="F47" s="217"/>
      <c r="G47" s="167" t="s">
        <v>16</v>
      </c>
      <c r="H47" s="167" t="s">
        <v>81</v>
      </c>
      <c r="I47" s="168" t="s">
        <v>1638</v>
      </c>
      <c r="J47" s="79">
        <v>1</v>
      </c>
      <c r="K47" s="80">
        <v>1505000</v>
      </c>
      <c r="L47" s="80">
        <f t="shared" si="4"/>
        <v>1505000</v>
      </c>
      <c r="M47" s="81">
        <f t="shared" si="5"/>
        <v>150500</v>
      </c>
      <c r="N47" s="81">
        <f t="shared" si="6"/>
        <v>1655500</v>
      </c>
      <c r="O47" s="52">
        <f>200000+2100000/3+80000</f>
        <v>980000</v>
      </c>
      <c r="P47" s="171" t="s">
        <v>2062</v>
      </c>
      <c r="Q47" s="181">
        <f t="shared" si="7"/>
        <v>525000</v>
      </c>
      <c r="R47" s="68" t="s">
        <v>2017</v>
      </c>
      <c r="S47" s="5" t="s">
        <v>2133</v>
      </c>
      <c r="T47" s="11"/>
    </row>
    <row r="48" spans="1:20" ht="60">
      <c r="A48" t="s">
        <v>30</v>
      </c>
      <c r="B48" s="151" t="s">
        <v>1366</v>
      </c>
      <c r="C48" s="153"/>
      <c r="D48" s="17">
        <v>45832</v>
      </c>
      <c r="E48" s="1" t="s">
        <v>2155</v>
      </c>
      <c r="F48" s="2"/>
      <c r="G48" s="2" t="s">
        <v>1365</v>
      </c>
      <c r="H48" s="83" t="s">
        <v>1368</v>
      </c>
      <c r="I48" s="4" t="s">
        <v>1367</v>
      </c>
      <c r="J48" s="23">
        <v>1</v>
      </c>
      <c r="K48" s="27">
        <v>23600000</v>
      </c>
      <c r="L48" s="26">
        <f t="shared" si="4"/>
        <v>23600000</v>
      </c>
      <c r="M48" s="27">
        <f t="shared" si="5"/>
        <v>2360000</v>
      </c>
      <c r="N48" s="27">
        <f t="shared" si="6"/>
        <v>25960000</v>
      </c>
      <c r="O48" s="33">
        <f>5780000+8600000+2400000+35000</f>
        <v>16815000</v>
      </c>
      <c r="P48" s="197" t="s">
        <v>2214</v>
      </c>
      <c r="Q48" s="20">
        <f t="shared" si="7"/>
        <v>6785000</v>
      </c>
      <c r="R48" s="68" t="s">
        <v>1965</v>
      </c>
      <c r="S48" s="8" t="s">
        <v>2134</v>
      </c>
      <c r="T48" s="11"/>
    </row>
    <row r="49" spans="1:20" ht="24">
      <c r="A49" t="s">
        <v>30</v>
      </c>
      <c r="B49" s="151" t="s">
        <v>120</v>
      </c>
      <c r="C49" s="200"/>
      <c r="D49" s="17">
        <v>45833</v>
      </c>
      <c r="E49" s="214" t="s">
        <v>7</v>
      </c>
      <c r="F49" s="189" t="s">
        <v>121</v>
      </c>
      <c r="G49" s="161" t="s">
        <v>16</v>
      </c>
      <c r="H49" s="161" t="s">
        <v>81</v>
      </c>
      <c r="I49" s="163" t="s">
        <v>1657</v>
      </c>
      <c r="J49" s="24">
        <v>1</v>
      </c>
      <c r="K49" s="26">
        <v>320000</v>
      </c>
      <c r="L49" s="26">
        <f t="shared" si="4"/>
        <v>320000</v>
      </c>
      <c r="M49" s="27">
        <f t="shared" si="5"/>
        <v>32000</v>
      </c>
      <c r="N49" s="27">
        <f t="shared" si="6"/>
        <v>352000</v>
      </c>
      <c r="O49" s="33">
        <f>1800000/12+120000</f>
        <v>270000</v>
      </c>
      <c r="P49" s="171" t="s">
        <v>1973</v>
      </c>
      <c r="Q49" s="181">
        <f t="shared" si="7"/>
        <v>50000</v>
      </c>
      <c r="R49" s="68" t="s">
        <v>2018</v>
      </c>
      <c r="S49" s="5" t="s">
        <v>2136</v>
      </c>
      <c r="T49" s="11"/>
    </row>
    <row r="50" spans="1:20">
      <c r="A50" t="s">
        <v>30</v>
      </c>
      <c r="B50" s="151" t="s">
        <v>331</v>
      </c>
      <c r="C50" s="199"/>
      <c r="D50" s="17">
        <v>45833</v>
      </c>
      <c r="E50" s="214" t="s">
        <v>2211</v>
      </c>
      <c r="F50" s="215"/>
      <c r="G50" s="1" t="s">
        <v>16</v>
      </c>
      <c r="H50" s="2" t="s">
        <v>81</v>
      </c>
      <c r="I50" s="163" t="s">
        <v>1658</v>
      </c>
      <c r="J50" s="76">
        <v>1</v>
      </c>
      <c r="K50" s="48">
        <v>1216000</v>
      </c>
      <c r="L50" s="26">
        <v>2446000</v>
      </c>
      <c r="M50" s="27">
        <f t="shared" si="5"/>
        <v>244600</v>
      </c>
      <c r="N50" s="27">
        <f t="shared" si="6"/>
        <v>2690600</v>
      </c>
      <c r="O50" s="52">
        <f>840000+595000</f>
        <v>1435000</v>
      </c>
      <c r="P50" s="171" t="s">
        <v>1919</v>
      </c>
      <c r="Q50" s="181">
        <f t="shared" si="7"/>
        <v>1011000</v>
      </c>
      <c r="R50" s="2" t="s">
        <v>1988</v>
      </c>
      <c r="S50" s="8" t="s">
        <v>2134</v>
      </c>
      <c r="T50" s="11"/>
    </row>
    <row r="51" spans="1:20">
      <c r="A51" t="s">
        <v>30</v>
      </c>
      <c r="B51" s="151" t="s">
        <v>291</v>
      </c>
      <c r="C51" s="201"/>
      <c r="D51" s="43"/>
      <c r="E51" s="219" t="s">
        <v>2211</v>
      </c>
      <c r="F51" s="220"/>
      <c r="G51" s="1" t="s">
        <v>16</v>
      </c>
      <c r="H51" s="2" t="s">
        <v>81</v>
      </c>
      <c r="I51" s="163" t="s">
        <v>1639</v>
      </c>
      <c r="J51" s="76">
        <v>1</v>
      </c>
      <c r="K51" s="48">
        <v>390000</v>
      </c>
      <c r="L51" s="38"/>
      <c r="M51" s="38"/>
      <c r="N51" s="38"/>
      <c r="O51" s="52"/>
      <c r="P51" s="171" t="s">
        <v>287</v>
      </c>
      <c r="Q51" s="184"/>
      <c r="R51" s="46"/>
      <c r="S51" s="42"/>
      <c r="T51" s="133"/>
    </row>
    <row r="52" spans="1:20">
      <c r="A52" t="s">
        <v>30</v>
      </c>
      <c r="B52" s="151" t="s">
        <v>206</v>
      </c>
      <c r="C52" s="201"/>
      <c r="D52" s="43"/>
      <c r="E52" s="219" t="s">
        <v>2211</v>
      </c>
      <c r="F52" s="220"/>
      <c r="G52" s="1" t="s">
        <v>16</v>
      </c>
      <c r="H52" s="2" t="s">
        <v>81</v>
      </c>
      <c r="I52" s="3" t="s">
        <v>1659</v>
      </c>
      <c r="J52" s="76">
        <v>70</v>
      </c>
      <c r="K52" s="48">
        <v>12000</v>
      </c>
      <c r="L52" s="38"/>
      <c r="M52" s="38"/>
      <c r="N52" s="38"/>
      <c r="O52" s="52"/>
      <c r="P52" s="171" t="s">
        <v>1920</v>
      </c>
      <c r="Q52" s="184"/>
      <c r="R52" s="46"/>
      <c r="S52" s="42"/>
      <c r="T52" s="133"/>
    </row>
    <row r="53" spans="1:20" ht="24">
      <c r="A53" t="s">
        <v>30</v>
      </c>
      <c r="B53" s="151" t="s">
        <v>325</v>
      </c>
      <c r="C53" s="200" t="s">
        <v>343</v>
      </c>
      <c r="D53" s="17">
        <v>45833</v>
      </c>
      <c r="E53" s="214" t="s">
        <v>209</v>
      </c>
      <c r="F53" s="215" t="s">
        <v>126</v>
      </c>
      <c r="G53" s="161" t="s">
        <v>16</v>
      </c>
      <c r="H53" s="161" t="s">
        <v>81</v>
      </c>
      <c r="I53" s="3" t="s">
        <v>1633</v>
      </c>
      <c r="J53" s="73">
        <v>1</v>
      </c>
      <c r="K53" s="26">
        <v>168000</v>
      </c>
      <c r="L53" s="26">
        <f t="shared" ref="L53:L74" si="8">J53*K53</f>
        <v>168000</v>
      </c>
      <c r="M53" s="27">
        <f t="shared" ref="M53:M74" si="9">L53*10%</f>
        <v>16800</v>
      </c>
      <c r="N53" s="27">
        <f t="shared" ref="N53:N74" si="10">SUM(L53:M53)</f>
        <v>184800</v>
      </c>
      <c r="O53" s="52">
        <f>485440/12+80163</f>
        <v>120616.33333333334</v>
      </c>
      <c r="P53" s="172" t="s">
        <v>2068</v>
      </c>
      <c r="Q53" s="183">
        <f t="shared" ref="Q53:Q74" si="11">L53-O53</f>
        <v>47383.666666666657</v>
      </c>
      <c r="R53" s="2" t="s">
        <v>2018</v>
      </c>
      <c r="S53" s="5" t="s">
        <v>2136</v>
      </c>
      <c r="T53" s="11"/>
    </row>
    <row r="54" spans="1:20">
      <c r="A54" t="s">
        <v>30</v>
      </c>
      <c r="B54" s="151" t="s">
        <v>324</v>
      </c>
      <c r="C54" s="200"/>
      <c r="D54" s="17">
        <v>45833</v>
      </c>
      <c r="E54" s="214" t="s">
        <v>2177</v>
      </c>
      <c r="F54" s="189" t="s">
        <v>127</v>
      </c>
      <c r="G54" s="161" t="s">
        <v>16</v>
      </c>
      <c r="H54" s="161" t="s">
        <v>138</v>
      </c>
      <c r="I54" s="3" t="s">
        <v>1633</v>
      </c>
      <c r="J54" s="24">
        <v>1</v>
      </c>
      <c r="K54" s="26">
        <v>115000</v>
      </c>
      <c r="L54" s="26">
        <f t="shared" si="8"/>
        <v>115000</v>
      </c>
      <c r="M54" s="27">
        <f t="shared" si="9"/>
        <v>11500</v>
      </c>
      <c r="N54" s="27">
        <f t="shared" si="10"/>
        <v>126500</v>
      </c>
      <c r="O54" s="52">
        <v>66498</v>
      </c>
      <c r="P54" s="171" t="s">
        <v>1892</v>
      </c>
      <c r="Q54" s="181">
        <f t="shared" si="11"/>
        <v>48502</v>
      </c>
      <c r="R54" s="2" t="s">
        <v>2014</v>
      </c>
      <c r="S54" s="5" t="s">
        <v>2136</v>
      </c>
      <c r="T54" s="11"/>
    </row>
    <row r="55" spans="1:20" ht="36">
      <c r="A55" t="s">
        <v>30</v>
      </c>
      <c r="B55" s="151" t="s">
        <v>395</v>
      </c>
      <c r="C55" s="199"/>
      <c r="D55" s="17">
        <v>45833</v>
      </c>
      <c r="E55" s="214" t="s">
        <v>2177</v>
      </c>
      <c r="F55" s="215" t="s">
        <v>133</v>
      </c>
      <c r="G55" s="161" t="s">
        <v>16</v>
      </c>
      <c r="H55" s="161" t="s">
        <v>138</v>
      </c>
      <c r="I55" s="164" t="s">
        <v>1660</v>
      </c>
      <c r="J55" s="34">
        <v>1</v>
      </c>
      <c r="K55" s="48">
        <v>350000</v>
      </c>
      <c r="L55" s="26">
        <f t="shared" si="8"/>
        <v>350000</v>
      </c>
      <c r="M55" s="27">
        <f t="shared" si="9"/>
        <v>35000</v>
      </c>
      <c r="N55" s="27">
        <f t="shared" si="10"/>
        <v>385000</v>
      </c>
      <c r="O55" s="52">
        <f>133870+70180+1000000/12</f>
        <v>287383.33333333331</v>
      </c>
      <c r="P55" s="172" t="s">
        <v>2119</v>
      </c>
      <c r="Q55" s="181">
        <f t="shared" si="11"/>
        <v>62616.666666666686</v>
      </c>
      <c r="R55" s="2" t="s">
        <v>2014</v>
      </c>
      <c r="S55" s="8" t="s">
        <v>2136</v>
      </c>
      <c r="T55" s="11"/>
    </row>
    <row r="56" spans="1:20" ht="36">
      <c r="A56" t="s">
        <v>30</v>
      </c>
      <c r="B56" s="151" t="s">
        <v>1220</v>
      </c>
      <c r="C56" s="199" t="s">
        <v>2020</v>
      </c>
      <c r="D56" s="17">
        <v>45833</v>
      </c>
      <c r="E56" s="214" t="s">
        <v>2177</v>
      </c>
      <c r="F56" s="215" t="s">
        <v>137</v>
      </c>
      <c r="G56" s="161" t="s">
        <v>16</v>
      </c>
      <c r="H56" s="161" t="s">
        <v>138</v>
      </c>
      <c r="I56" s="164" t="s">
        <v>1637</v>
      </c>
      <c r="J56" s="34">
        <v>1</v>
      </c>
      <c r="K56" s="48">
        <v>614000</v>
      </c>
      <c r="L56" s="26">
        <f t="shared" si="8"/>
        <v>614000</v>
      </c>
      <c r="M56" s="27">
        <f t="shared" si="9"/>
        <v>61400</v>
      </c>
      <c r="N56" s="27">
        <f t="shared" si="10"/>
        <v>675400</v>
      </c>
      <c r="O56" s="72">
        <f>79496+74124+55980+4200000/12</f>
        <v>559600</v>
      </c>
      <c r="P56" s="170" t="s">
        <v>2118</v>
      </c>
      <c r="Q56" s="181">
        <f t="shared" si="11"/>
        <v>54400</v>
      </c>
      <c r="R56" s="2" t="s">
        <v>2014</v>
      </c>
      <c r="S56" s="8" t="s">
        <v>2136</v>
      </c>
      <c r="T56" s="11"/>
    </row>
    <row r="57" spans="1:20">
      <c r="A57" t="s">
        <v>30</v>
      </c>
      <c r="B57" s="151" t="s">
        <v>1663</v>
      </c>
      <c r="C57" s="199"/>
      <c r="D57" s="17">
        <v>45833</v>
      </c>
      <c r="E57" s="214" t="s">
        <v>2177</v>
      </c>
      <c r="F57" s="215" t="s">
        <v>1537</v>
      </c>
      <c r="G57" s="161" t="s">
        <v>16</v>
      </c>
      <c r="H57" s="161" t="s">
        <v>1154</v>
      </c>
      <c r="I57" s="164" t="s">
        <v>1639</v>
      </c>
      <c r="J57" s="34">
        <v>1</v>
      </c>
      <c r="K57" s="48">
        <v>70000</v>
      </c>
      <c r="L57" s="26">
        <f t="shared" si="8"/>
        <v>70000</v>
      </c>
      <c r="M57" s="27">
        <f t="shared" si="9"/>
        <v>7000</v>
      </c>
      <c r="N57" s="27">
        <f t="shared" si="10"/>
        <v>77000</v>
      </c>
      <c r="O57" s="72">
        <v>33000</v>
      </c>
      <c r="P57" s="170" t="s">
        <v>1916</v>
      </c>
      <c r="Q57" s="181">
        <f t="shared" si="11"/>
        <v>37000</v>
      </c>
      <c r="R57" s="2" t="s">
        <v>2014</v>
      </c>
      <c r="S57" s="8" t="s">
        <v>2136</v>
      </c>
      <c r="T57" s="11"/>
    </row>
    <row r="58" spans="1:20">
      <c r="A58" t="s">
        <v>30</v>
      </c>
      <c r="B58" s="151" t="s">
        <v>1664</v>
      </c>
      <c r="C58" s="199"/>
      <c r="D58" s="17">
        <v>45833</v>
      </c>
      <c r="E58" s="214" t="s">
        <v>2177</v>
      </c>
      <c r="F58" s="215" t="s">
        <v>137</v>
      </c>
      <c r="G58" s="161" t="s">
        <v>16</v>
      </c>
      <c r="H58" s="161" t="s">
        <v>1154</v>
      </c>
      <c r="I58" s="164" t="s">
        <v>1639</v>
      </c>
      <c r="J58" s="34">
        <v>1</v>
      </c>
      <c r="K58" s="48">
        <v>120000</v>
      </c>
      <c r="L58" s="26">
        <f t="shared" si="8"/>
        <v>120000</v>
      </c>
      <c r="M58" s="27">
        <f t="shared" si="9"/>
        <v>12000</v>
      </c>
      <c r="N58" s="27">
        <f t="shared" si="10"/>
        <v>132000</v>
      </c>
      <c r="O58" s="72">
        <v>69000</v>
      </c>
      <c r="P58" s="170" t="s">
        <v>1916</v>
      </c>
      <c r="Q58" s="181">
        <f t="shared" si="11"/>
        <v>51000</v>
      </c>
      <c r="R58" s="2" t="s">
        <v>2014</v>
      </c>
      <c r="S58" s="8" t="s">
        <v>2136</v>
      </c>
      <c r="T58" s="11"/>
    </row>
    <row r="59" spans="1:20">
      <c r="A59" t="s">
        <v>30</v>
      </c>
      <c r="B59" s="151" t="s">
        <v>134</v>
      </c>
      <c r="C59" s="200"/>
      <c r="D59" s="17">
        <v>45833</v>
      </c>
      <c r="E59" s="214" t="s">
        <v>2163</v>
      </c>
      <c r="F59" s="189"/>
      <c r="G59" s="161" t="s">
        <v>16</v>
      </c>
      <c r="H59" s="161" t="s">
        <v>81</v>
      </c>
      <c r="I59" s="163" t="s">
        <v>1654</v>
      </c>
      <c r="J59" s="24">
        <v>1</v>
      </c>
      <c r="K59" s="26">
        <v>305000</v>
      </c>
      <c r="L59" s="26">
        <f t="shared" si="8"/>
        <v>305000</v>
      </c>
      <c r="M59" s="27">
        <f t="shared" si="9"/>
        <v>30500</v>
      </c>
      <c r="N59" s="27">
        <f t="shared" si="10"/>
        <v>335500</v>
      </c>
      <c r="O59" s="52">
        <v>84811</v>
      </c>
      <c r="P59" s="171" t="s">
        <v>1892</v>
      </c>
      <c r="Q59" s="181">
        <f t="shared" si="11"/>
        <v>220189</v>
      </c>
      <c r="R59" s="2" t="s">
        <v>1872</v>
      </c>
      <c r="S59" s="5" t="s">
        <v>2134</v>
      </c>
      <c r="T59" s="11"/>
    </row>
    <row r="60" spans="1:20">
      <c r="A60" t="s">
        <v>30</v>
      </c>
      <c r="B60" s="151" t="s">
        <v>327</v>
      </c>
      <c r="C60" s="199"/>
      <c r="D60" s="17">
        <v>45833</v>
      </c>
      <c r="E60" s="214" t="s">
        <v>326</v>
      </c>
      <c r="F60" s="215"/>
      <c r="G60" s="2" t="s">
        <v>16</v>
      </c>
      <c r="H60" s="161" t="s">
        <v>138</v>
      </c>
      <c r="I60" s="4" t="s">
        <v>1633</v>
      </c>
      <c r="J60" s="23">
        <v>1</v>
      </c>
      <c r="K60" s="27">
        <v>668000</v>
      </c>
      <c r="L60" s="26">
        <f t="shared" si="8"/>
        <v>668000</v>
      </c>
      <c r="M60" s="27">
        <f t="shared" si="9"/>
        <v>66800</v>
      </c>
      <c r="N60" s="27">
        <f t="shared" si="10"/>
        <v>734800</v>
      </c>
      <c r="O60" s="72">
        <f>277600+142800</f>
        <v>420400</v>
      </c>
      <c r="P60" s="223" t="s">
        <v>2066</v>
      </c>
      <c r="Q60" s="181">
        <f t="shared" si="11"/>
        <v>247600</v>
      </c>
      <c r="R60" s="2" t="s">
        <v>2005</v>
      </c>
      <c r="S60" s="8" t="s">
        <v>2136</v>
      </c>
      <c r="T60" s="11"/>
    </row>
    <row r="61" spans="1:20" ht="24">
      <c r="A61" t="s">
        <v>30</v>
      </c>
      <c r="B61" s="151" t="s">
        <v>396</v>
      </c>
      <c r="C61" s="199"/>
      <c r="D61" s="17">
        <v>45833</v>
      </c>
      <c r="E61" s="214" t="s">
        <v>2141</v>
      </c>
      <c r="F61" s="214" t="s">
        <v>135</v>
      </c>
      <c r="G61" s="161" t="s">
        <v>16</v>
      </c>
      <c r="H61" s="161" t="s">
        <v>81</v>
      </c>
      <c r="I61" s="163" t="s">
        <v>1660</v>
      </c>
      <c r="J61" s="24">
        <v>1</v>
      </c>
      <c r="K61" s="26">
        <v>500000</v>
      </c>
      <c r="L61" s="26">
        <f t="shared" si="8"/>
        <v>500000</v>
      </c>
      <c r="M61" s="27">
        <f t="shared" si="9"/>
        <v>50000</v>
      </c>
      <c r="N61" s="27">
        <f t="shared" si="10"/>
        <v>550000</v>
      </c>
      <c r="O61" s="52">
        <f>600000/6+20600</f>
        <v>120600</v>
      </c>
      <c r="P61" s="171" t="s">
        <v>2053</v>
      </c>
      <c r="Q61" s="181">
        <f t="shared" si="11"/>
        <v>379400</v>
      </c>
      <c r="R61" s="2" t="s">
        <v>2016</v>
      </c>
      <c r="S61" s="5" t="s">
        <v>2136</v>
      </c>
      <c r="T61" s="11"/>
    </row>
    <row r="62" spans="1:20">
      <c r="A62" t="s">
        <v>30</v>
      </c>
      <c r="B62" s="151" t="s">
        <v>854</v>
      </c>
      <c r="C62" s="199"/>
      <c r="D62" s="17">
        <v>45833</v>
      </c>
      <c r="E62" s="221" t="s">
        <v>2142</v>
      </c>
      <c r="F62" s="215"/>
      <c r="G62" s="161" t="s">
        <v>16</v>
      </c>
      <c r="H62" s="161" t="s">
        <v>81</v>
      </c>
      <c r="I62" s="163" t="s">
        <v>1637</v>
      </c>
      <c r="J62" s="23">
        <v>1</v>
      </c>
      <c r="K62" s="27">
        <v>1400000</v>
      </c>
      <c r="L62" s="26">
        <f t="shared" si="8"/>
        <v>1400000</v>
      </c>
      <c r="M62" s="27">
        <f t="shared" si="9"/>
        <v>140000</v>
      </c>
      <c r="N62" s="27">
        <f t="shared" si="10"/>
        <v>1540000</v>
      </c>
      <c r="O62" s="52">
        <f>1500000/3</f>
        <v>500000</v>
      </c>
      <c r="P62" s="171" t="s">
        <v>1661</v>
      </c>
      <c r="Q62" s="181">
        <f t="shared" si="11"/>
        <v>900000</v>
      </c>
      <c r="R62" s="68" t="s">
        <v>1988</v>
      </c>
      <c r="S62" s="8" t="s">
        <v>2134</v>
      </c>
      <c r="T62" s="11"/>
    </row>
    <row r="63" spans="1:20">
      <c r="A63" t="s">
        <v>30</v>
      </c>
      <c r="B63" s="151" t="s">
        <v>932</v>
      </c>
      <c r="C63" s="153" t="s">
        <v>933</v>
      </c>
      <c r="D63" s="86">
        <v>45833</v>
      </c>
      <c r="E63" s="1" t="s">
        <v>33</v>
      </c>
      <c r="F63" s="2" t="s">
        <v>934</v>
      </c>
      <c r="G63" s="2" t="s">
        <v>16</v>
      </c>
      <c r="H63" s="2" t="s">
        <v>80</v>
      </c>
      <c r="I63" s="70" t="s">
        <v>1662</v>
      </c>
      <c r="J63" s="23">
        <v>1</v>
      </c>
      <c r="K63" s="27">
        <v>417500</v>
      </c>
      <c r="L63" s="26">
        <f t="shared" si="8"/>
        <v>417500</v>
      </c>
      <c r="M63" s="27">
        <f t="shared" si="9"/>
        <v>41750</v>
      </c>
      <c r="N63" s="27">
        <f t="shared" si="10"/>
        <v>459250</v>
      </c>
      <c r="O63" s="33">
        <f>115800*3</f>
        <v>347400</v>
      </c>
      <c r="P63" s="171" t="s">
        <v>2067</v>
      </c>
      <c r="Q63" s="21">
        <f t="shared" si="11"/>
        <v>70100</v>
      </c>
      <c r="R63" s="2" t="s">
        <v>1902</v>
      </c>
      <c r="S63" s="8" t="s">
        <v>2136</v>
      </c>
      <c r="T63" s="11"/>
    </row>
    <row r="64" spans="1:20">
      <c r="A64" t="s">
        <v>30</v>
      </c>
      <c r="B64" s="151" t="s">
        <v>1833</v>
      </c>
      <c r="C64" s="153"/>
      <c r="D64" s="86">
        <v>45833</v>
      </c>
      <c r="E64" s="1" t="s">
        <v>2173</v>
      </c>
      <c r="F64" s="2" t="s">
        <v>1870</v>
      </c>
      <c r="G64" s="2" t="s">
        <v>15</v>
      </c>
      <c r="H64" s="83" t="s">
        <v>1043</v>
      </c>
      <c r="I64" s="4" t="s">
        <v>1842</v>
      </c>
      <c r="J64" s="23">
        <v>1</v>
      </c>
      <c r="K64" s="27">
        <v>800000</v>
      </c>
      <c r="L64" s="26">
        <f t="shared" si="8"/>
        <v>800000</v>
      </c>
      <c r="M64" s="27">
        <f t="shared" si="9"/>
        <v>80000</v>
      </c>
      <c r="N64" s="27">
        <f t="shared" si="10"/>
        <v>880000</v>
      </c>
      <c r="O64" s="33">
        <v>300000</v>
      </c>
      <c r="P64" s="197" t="s">
        <v>1871</v>
      </c>
      <c r="Q64" s="20">
        <f t="shared" si="11"/>
        <v>500000</v>
      </c>
      <c r="R64" s="68" t="s">
        <v>2014</v>
      </c>
      <c r="S64" s="8" t="s">
        <v>2136</v>
      </c>
      <c r="T64" s="11"/>
    </row>
    <row r="65" spans="1:20">
      <c r="A65" t="s">
        <v>30</v>
      </c>
      <c r="B65" s="151" t="s">
        <v>1825</v>
      </c>
      <c r="C65" s="153"/>
      <c r="D65" s="17">
        <v>45833</v>
      </c>
      <c r="E65" s="1" t="s">
        <v>2177</v>
      </c>
      <c r="F65" s="2"/>
      <c r="G65" s="2" t="s">
        <v>15</v>
      </c>
      <c r="H65" s="83" t="s">
        <v>1826</v>
      </c>
      <c r="I65" s="4" t="s">
        <v>1827</v>
      </c>
      <c r="J65" s="23">
        <v>1</v>
      </c>
      <c r="K65" s="27">
        <v>370000</v>
      </c>
      <c r="L65" s="26">
        <f>J65*K65</f>
        <v>370000</v>
      </c>
      <c r="M65" s="27">
        <f>L65*10%</f>
        <v>37000</v>
      </c>
      <c r="N65" s="27">
        <f>SUM(L65:M65)</f>
        <v>407000</v>
      </c>
      <c r="O65" s="33">
        <f>318182+12000</f>
        <v>330182</v>
      </c>
      <c r="P65" s="197" t="s">
        <v>1940</v>
      </c>
      <c r="Q65" s="20">
        <f>L65-O65</f>
        <v>39818</v>
      </c>
      <c r="R65" s="2" t="s">
        <v>2017</v>
      </c>
      <c r="S65" s="8" t="s">
        <v>2132</v>
      </c>
      <c r="T65" s="11"/>
    </row>
    <row r="66" spans="1:20">
      <c r="A66" t="s">
        <v>30</v>
      </c>
      <c r="B66" s="151" t="s">
        <v>1767</v>
      </c>
      <c r="C66" s="153"/>
      <c r="D66" s="17">
        <v>45834</v>
      </c>
      <c r="E66" s="1" t="s">
        <v>2197</v>
      </c>
      <c r="F66" s="2"/>
      <c r="G66" s="2" t="s">
        <v>15</v>
      </c>
      <c r="H66" s="83" t="s">
        <v>1768</v>
      </c>
      <c r="I66" s="4" t="s">
        <v>1769</v>
      </c>
      <c r="J66" s="23">
        <v>2</v>
      </c>
      <c r="K66" s="27">
        <v>60000</v>
      </c>
      <c r="L66" s="26">
        <f>J66*K66</f>
        <v>120000</v>
      </c>
      <c r="M66" s="27">
        <f>L66*10%</f>
        <v>12000</v>
      </c>
      <c r="N66" s="27">
        <f>SUM(L66:M66)</f>
        <v>132000</v>
      </c>
      <c r="O66" s="33">
        <v>0</v>
      </c>
      <c r="P66" s="197" t="s">
        <v>1758</v>
      </c>
      <c r="Q66" s="20">
        <f>L66-O66</f>
        <v>120000</v>
      </c>
      <c r="R66" s="2" t="s">
        <v>2018</v>
      </c>
      <c r="S66" s="8" t="s">
        <v>2132</v>
      </c>
      <c r="T66" s="11"/>
    </row>
    <row r="67" spans="1:20">
      <c r="A67" t="s">
        <v>30</v>
      </c>
      <c r="B67" s="151" t="s">
        <v>1574</v>
      </c>
      <c r="C67" s="153"/>
      <c r="D67" s="17">
        <v>45835</v>
      </c>
      <c r="E67" s="1" t="s">
        <v>2192</v>
      </c>
      <c r="F67" s="2" t="s">
        <v>1579</v>
      </c>
      <c r="G67" s="2" t="s">
        <v>15</v>
      </c>
      <c r="H67" s="83" t="s">
        <v>1578</v>
      </c>
      <c r="I67" s="4" t="s">
        <v>1577</v>
      </c>
      <c r="J67" s="23">
        <v>1</v>
      </c>
      <c r="K67" s="27">
        <v>9500000</v>
      </c>
      <c r="L67" s="26">
        <f t="shared" ref="L67:L73" si="12">J67*K67</f>
        <v>9500000</v>
      </c>
      <c r="M67" s="27">
        <f t="shared" ref="M67:M73" si="13">L67*10%</f>
        <v>950000</v>
      </c>
      <c r="N67" s="27">
        <f t="shared" ref="N67:N73" si="14">SUM(L67:M67)</f>
        <v>10450000</v>
      </c>
      <c r="O67" s="33">
        <v>7970000</v>
      </c>
      <c r="P67" s="197" t="s">
        <v>2151</v>
      </c>
      <c r="Q67" s="20">
        <f t="shared" ref="Q67:Q73" si="15">L67-O67</f>
        <v>1530000</v>
      </c>
      <c r="R67" s="68" t="s">
        <v>2018</v>
      </c>
      <c r="S67" s="8" t="s">
        <v>2134</v>
      </c>
      <c r="T67" s="11"/>
    </row>
    <row r="68" spans="1:20">
      <c r="A68" t="s">
        <v>30</v>
      </c>
      <c r="B68" s="151" t="s">
        <v>1751</v>
      </c>
      <c r="C68" s="153"/>
      <c r="D68" s="17">
        <v>45835</v>
      </c>
      <c r="E68" s="1" t="s">
        <v>2193</v>
      </c>
      <c r="F68" s="2"/>
      <c r="G68" s="2" t="s">
        <v>15</v>
      </c>
      <c r="H68" s="83" t="s">
        <v>1755</v>
      </c>
      <c r="I68" s="4" t="s">
        <v>1753</v>
      </c>
      <c r="J68" s="23">
        <v>1</v>
      </c>
      <c r="K68" s="27">
        <v>1000000</v>
      </c>
      <c r="L68" s="26">
        <f t="shared" si="12"/>
        <v>1000000</v>
      </c>
      <c r="M68" s="27">
        <f t="shared" si="13"/>
        <v>100000</v>
      </c>
      <c r="N68" s="27">
        <f t="shared" si="14"/>
        <v>1100000</v>
      </c>
      <c r="O68" s="33">
        <v>0</v>
      </c>
      <c r="P68" s="197" t="s">
        <v>1757</v>
      </c>
      <c r="Q68" s="20">
        <f t="shared" si="15"/>
        <v>1000000</v>
      </c>
      <c r="R68" s="2" t="s">
        <v>2039</v>
      </c>
      <c r="S68" s="8" t="s">
        <v>2134</v>
      </c>
      <c r="T68" s="11"/>
    </row>
    <row r="69" spans="1:20">
      <c r="A69" t="s">
        <v>30</v>
      </c>
      <c r="B69" s="151" t="s">
        <v>1862</v>
      </c>
      <c r="C69" s="153"/>
      <c r="D69" s="17">
        <v>45835</v>
      </c>
      <c r="E69" s="1" t="s">
        <v>2193</v>
      </c>
      <c r="F69" s="2" t="s">
        <v>1863</v>
      </c>
      <c r="G69" s="2" t="s">
        <v>15</v>
      </c>
      <c r="H69" s="83" t="s">
        <v>1865</v>
      </c>
      <c r="I69" s="4" t="s">
        <v>1864</v>
      </c>
      <c r="J69" s="23">
        <v>1</v>
      </c>
      <c r="K69" s="27">
        <v>450000</v>
      </c>
      <c r="L69" s="26">
        <f t="shared" si="12"/>
        <v>450000</v>
      </c>
      <c r="M69" s="27">
        <f t="shared" si="13"/>
        <v>45000</v>
      </c>
      <c r="N69" s="27">
        <f t="shared" si="14"/>
        <v>495000</v>
      </c>
      <c r="O69" s="33">
        <v>220000</v>
      </c>
      <c r="P69" s="197" t="s">
        <v>1975</v>
      </c>
      <c r="Q69" s="20">
        <f t="shared" si="15"/>
        <v>230000</v>
      </c>
      <c r="R69" s="2" t="s">
        <v>2039</v>
      </c>
      <c r="S69" s="8" t="s">
        <v>2134</v>
      </c>
      <c r="T69" s="11"/>
    </row>
    <row r="70" spans="1:20">
      <c r="A70" t="s">
        <v>30</v>
      </c>
      <c r="B70" s="151" t="s">
        <v>1773</v>
      </c>
      <c r="C70" s="153"/>
      <c r="D70" s="17">
        <v>45835</v>
      </c>
      <c r="E70" s="1" t="s">
        <v>2197</v>
      </c>
      <c r="F70" s="2" t="s">
        <v>1808</v>
      </c>
      <c r="G70" s="2" t="s">
        <v>15</v>
      </c>
      <c r="H70" s="83" t="s">
        <v>1774</v>
      </c>
      <c r="I70" s="4" t="s">
        <v>1775</v>
      </c>
      <c r="J70" s="23">
        <v>1</v>
      </c>
      <c r="K70" s="27">
        <v>3500000</v>
      </c>
      <c r="L70" s="26">
        <f t="shared" si="12"/>
        <v>3500000</v>
      </c>
      <c r="M70" s="27">
        <f t="shared" si="13"/>
        <v>350000</v>
      </c>
      <c r="N70" s="27">
        <f t="shared" si="14"/>
        <v>3850000</v>
      </c>
      <c r="O70" s="33">
        <v>2900000</v>
      </c>
      <c r="P70" s="197" t="s">
        <v>2152</v>
      </c>
      <c r="Q70" s="20">
        <f t="shared" si="15"/>
        <v>600000</v>
      </c>
      <c r="R70" s="2" t="s">
        <v>2018</v>
      </c>
      <c r="S70" s="8" t="s">
        <v>2134</v>
      </c>
      <c r="T70" s="11"/>
    </row>
    <row r="71" spans="1:20">
      <c r="A71" t="s">
        <v>30</v>
      </c>
      <c r="B71" s="151" t="s">
        <v>1797</v>
      </c>
      <c r="C71" s="153"/>
      <c r="D71" s="17">
        <v>45835</v>
      </c>
      <c r="E71" s="1" t="s">
        <v>2197</v>
      </c>
      <c r="F71" s="2" t="s">
        <v>1809</v>
      </c>
      <c r="G71" s="2" t="s">
        <v>15</v>
      </c>
      <c r="H71" s="83" t="s">
        <v>89</v>
      </c>
      <c r="I71" s="4" t="s">
        <v>1879</v>
      </c>
      <c r="J71" s="23">
        <v>1</v>
      </c>
      <c r="K71" s="27">
        <v>20850000</v>
      </c>
      <c r="L71" s="26">
        <f t="shared" si="12"/>
        <v>20850000</v>
      </c>
      <c r="M71" s="27">
        <f t="shared" si="13"/>
        <v>2085000</v>
      </c>
      <c r="N71" s="27">
        <f t="shared" si="14"/>
        <v>22935000</v>
      </c>
      <c r="O71" s="33">
        <f>17850000+20000</f>
        <v>17870000</v>
      </c>
      <c r="P71" s="197" t="s">
        <v>2153</v>
      </c>
      <c r="Q71" s="20">
        <f t="shared" si="15"/>
        <v>2980000</v>
      </c>
      <c r="R71" s="2" t="s">
        <v>2018</v>
      </c>
      <c r="S71" s="8" t="s">
        <v>2134</v>
      </c>
      <c r="T71" s="11"/>
    </row>
    <row r="72" spans="1:20">
      <c r="A72" t="s">
        <v>30</v>
      </c>
      <c r="B72" s="151" t="s">
        <v>1805</v>
      </c>
      <c r="C72" s="153"/>
      <c r="D72" s="17">
        <v>45835</v>
      </c>
      <c r="E72" s="1" t="s">
        <v>2197</v>
      </c>
      <c r="F72" s="2" t="s">
        <v>1806</v>
      </c>
      <c r="G72" s="2" t="s">
        <v>15</v>
      </c>
      <c r="H72" s="83" t="s">
        <v>89</v>
      </c>
      <c r="I72" s="4" t="s">
        <v>1807</v>
      </c>
      <c r="J72" s="23">
        <v>1</v>
      </c>
      <c r="K72" s="27">
        <v>3100000</v>
      </c>
      <c r="L72" s="26">
        <f t="shared" si="12"/>
        <v>3100000</v>
      </c>
      <c r="M72" s="27">
        <f t="shared" si="13"/>
        <v>310000</v>
      </c>
      <c r="N72" s="27">
        <f t="shared" si="14"/>
        <v>3410000</v>
      </c>
      <c r="O72" s="33">
        <f>2450000+20000</f>
        <v>2470000</v>
      </c>
      <c r="P72" s="197" t="s">
        <v>2153</v>
      </c>
      <c r="Q72" s="20">
        <f t="shared" si="15"/>
        <v>630000</v>
      </c>
      <c r="R72" s="2" t="s">
        <v>2018</v>
      </c>
      <c r="S72" s="8" t="s">
        <v>2134</v>
      </c>
      <c r="T72" s="11"/>
    </row>
    <row r="73" spans="1:20">
      <c r="A73" t="s">
        <v>30</v>
      </c>
      <c r="B73" s="151" t="s">
        <v>1752</v>
      </c>
      <c r="C73" s="153"/>
      <c r="D73" s="17">
        <v>45835</v>
      </c>
      <c r="E73" s="1" t="s">
        <v>2203</v>
      </c>
      <c r="F73" s="2"/>
      <c r="G73" s="2" t="s">
        <v>15</v>
      </c>
      <c r="H73" s="83" t="s">
        <v>1756</v>
      </c>
      <c r="I73" s="4" t="s">
        <v>1754</v>
      </c>
      <c r="J73" s="23">
        <v>1</v>
      </c>
      <c r="K73" s="27">
        <v>600000</v>
      </c>
      <c r="L73" s="26">
        <f t="shared" si="12"/>
        <v>600000</v>
      </c>
      <c r="M73" s="27">
        <f t="shared" si="13"/>
        <v>60000</v>
      </c>
      <c r="N73" s="27">
        <f t="shared" si="14"/>
        <v>660000</v>
      </c>
      <c r="O73" s="33">
        <v>12000</v>
      </c>
      <c r="P73" s="197" t="s">
        <v>1938</v>
      </c>
      <c r="Q73" s="20">
        <f t="shared" si="15"/>
        <v>588000</v>
      </c>
      <c r="R73" s="2" t="s">
        <v>2046</v>
      </c>
      <c r="S73" s="8" t="s">
        <v>2134</v>
      </c>
      <c r="T73" s="11"/>
    </row>
    <row r="74" spans="1:20">
      <c r="A74" t="s">
        <v>30</v>
      </c>
      <c r="B74" s="151" t="s">
        <v>1900</v>
      </c>
      <c r="C74" s="153"/>
      <c r="D74" s="17">
        <v>45835</v>
      </c>
      <c r="E74" s="1" t="s">
        <v>2164</v>
      </c>
      <c r="F74" s="2"/>
      <c r="G74" s="2" t="s">
        <v>15</v>
      </c>
      <c r="H74" s="83" t="s">
        <v>970</v>
      </c>
      <c r="I74" s="4" t="s">
        <v>970</v>
      </c>
      <c r="J74" s="23">
        <v>1</v>
      </c>
      <c r="K74" s="27">
        <v>2630000</v>
      </c>
      <c r="L74" s="26">
        <f t="shared" si="8"/>
        <v>2630000</v>
      </c>
      <c r="M74" s="27">
        <f t="shared" si="9"/>
        <v>263000</v>
      </c>
      <c r="N74" s="27">
        <f t="shared" si="10"/>
        <v>2893000</v>
      </c>
      <c r="O74" s="33">
        <v>2399818</v>
      </c>
      <c r="P74" s="197" t="s">
        <v>1901</v>
      </c>
      <c r="Q74" s="20">
        <f t="shared" si="11"/>
        <v>230182</v>
      </c>
      <c r="R74" s="2" t="s">
        <v>1966</v>
      </c>
      <c r="S74" s="8" t="s">
        <v>2132</v>
      </c>
      <c r="T74" s="11"/>
    </row>
    <row r="75" spans="1:20">
      <c r="A75" t="s">
        <v>30</v>
      </c>
      <c r="B75" s="151" t="s">
        <v>113</v>
      </c>
      <c r="C75" s="199"/>
      <c r="D75" s="17">
        <v>45838</v>
      </c>
      <c r="E75" s="214" t="s">
        <v>96</v>
      </c>
      <c r="F75" s="215" t="s">
        <v>270</v>
      </c>
      <c r="G75" s="161" t="s">
        <v>34</v>
      </c>
      <c r="H75" s="161" t="s">
        <v>114</v>
      </c>
      <c r="I75" s="169" t="s">
        <v>1674</v>
      </c>
      <c r="J75" s="69">
        <v>1</v>
      </c>
      <c r="K75" s="27">
        <v>600000</v>
      </c>
      <c r="L75" s="26">
        <f>J75*K75</f>
        <v>600000</v>
      </c>
      <c r="M75" s="27">
        <f>L75*10%</f>
        <v>60000</v>
      </c>
      <c r="N75" s="27">
        <f>SUM(L75:M75)</f>
        <v>660000</v>
      </c>
      <c r="O75" s="52">
        <v>0</v>
      </c>
      <c r="P75" s="171" t="s">
        <v>115</v>
      </c>
      <c r="Q75" s="181">
        <f>L75-O75</f>
        <v>600000</v>
      </c>
      <c r="R75" s="68" t="s">
        <v>1931</v>
      </c>
      <c r="S75" s="8" t="s">
        <v>2135</v>
      </c>
      <c r="T75" s="11"/>
    </row>
    <row r="76" spans="1:20" ht="24">
      <c r="A76" t="s">
        <v>30</v>
      </c>
      <c r="B76" s="151" t="s">
        <v>113</v>
      </c>
      <c r="C76" s="199"/>
      <c r="D76" s="17">
        <v>45838</v>
      </c>
      <c r="E76" s="214" t="s">
        <v>308</v>
      </c>
      <c r="F76" s="215" t="s">
        <v>271</v>
      </c>
      <c r="G76" s="161" t="s">
        <v>34</v>
      </c>
      <c r="H76" s="161" t="s">
        <v>114</v>
      </c>
      <c r="I76" s="4" t="s">
        <v>752</v>
      </c>
      <c r="J76" s="23">
        <v>1</v>
      </c>
      <c r="K76" s="27">
        <v>4000000</v>
      </c>
      <c r="L76" s="26">
        <f>J76*K76</f>
        <v>4000000</v>
      </c>
      <c r="M76" s="27">
        <f>L76*10%</f>
        <v>400000</v>
      </c>
      <c r="N76" s="27">
        <f>SUM(L76:M76)</f>
        <v>4400000</v>
      </c>
      <c r="O76" s="52">
        <v>0</v>
      </c>
      <c r="P76" s="170" t="s">
        <v>115</v>
      </c>
      <c r="Q76" s="181">
        <f>L76-O76</f>
        <v>4000000</v>
      </c>
      <c r="R76" s="68" t="s">
        <v>2037</v>
      </c>
      <c r="S76" s="8" t="s">
        <v>2135</v>
      </c>
      <c r="T76" s="11"/>
    </row>
    <row r="77" spans="1:20">
      <c r="A77" t="s">
        <v>30</v>
      </c>
      <c r="B77" s="151" t="s">
        <v>113</v>
      </c>
      <c r="C77" s="153"/>
      <c r="D77" s="17">
        <v>45838</v>
      </c>
      <c r="E77" s="1" t="s">
        <v>1506</v>
      </c>
      <c r="F77" s="215" t="s">
        <v>269</v>
      </c>
      <c r="G77" s="161" t="s">
        <v>34</v>
      </c>
      <c r="H77" s="161" t="s">
        <v>114</v>
      </c>
      <c r="I77" s="4" t="s">
        <v>1701</v>
      </c>
      <c r="J77" s="23">
        <v>1</v>
      </c>
      <c r="K77" s="27">
        <v>550000</v>
      </c>
      <c r="L77" s="26">
        <f>J77*K77</f>
        <v>550000</v>
      </c>
      <c r="M77" s="27">
        <f>L77*10%</f>
        <v>55000</v>
      </c>
      <c r="N77" s="27">
        <f t="shared" ref="N77" si="16">SUM(L77:M77)</f>
        <v>605000</v>
      </c>
      <c r="O77" s="52">
        <v>0</v>
      </c>
      <c r="P77" s="171" t="s">
        <v>115</v>
      </c>
      <c r="Q77" s="20">
        <f>L77-O77</f>
        <v>550000</v>
      </c>
      <c r="R77" s="45">
        <v>45845</v>
      </c>
      <c r="S77" s="8" t="s">
        <v>2135</v>
      </c>
      <c r="T77" s="11"/>
    </row>
    <row r="78" spans="1:20">
      <c r="A78" t="s">
        <v>30</v>
      </c>
      <c r="B78" s="151" t="s">
        <v>190</v>
      </c>
      <c r="C78" s="200" t="s">
        <v>220</v>
      </c>
      <c r="D78" s="17">
        <v>45838</v>
      </c>
      <c r="E78" s="214" t="s">
        <v>2171</v>
      </c>
      <c r="F78" s="214" t="s">
        <v>150</v>
      </c>
      <c r="G78" s="1" t="s">
        <v>16</v>
      </c>
      <c r="H78" s="161" t="s">
        <v>80</v>
      </c>
      <c r="I78" s="163" t="s">
        <v>1675</v>
      </c>
      <c r="J78" s="32">
        <v>1</v>
      </c>
      <c r="K78" s="48">
        <v>11178000</v>
      </c>
      <c r="L78" s="26">
        <f t="shared" ref="L78:L82" si="17">J78*K78</f>
        <v>11178000</v>
      </c>
      <c r="M78" s="27">
        <f t="shared" ref="M78:M82" si="18">L78*10%</f>
        <v>1117800</v>
      </c>
      <c r="N78" s="27">
        <f t="shared" ref="N78:N82" si="19">SUM(L78:M78)</f>
        <v>12295800</v>
      </c>
      <c r="O78" s="72">
        <v>9980400</v>
      </c>
      <c r="P78" s="171" t="s">
        <v>1924</v>
      </c>
      <c r="Q78" s="181">
        <f t="shared" ref="Q78:Q82" si="20">L78-O78</f>
        <v>1197600</v>
      </c>
      <c r="R78" s="68" t="s">
        <v>2018</v>
      </c>
      <c r="S78" s="8" t="s">
        <v>2136</v>
      </c>
      <c r="T78" s="11"/>
    </row>
    <row r="79" spans="1:20">
      <c r="A79" t="s">
        <v>30</v>
      </c>
      <c r="B79" s="151" t="s">
        <v>676</v>
      </c>
      <c r="C79" s="200" t="s">
        <v>677</v>
      </c>
      <c r="D79" s="17">
        <v>45838</v>
      </c>
      <c r="E79" s="214" t="s">
        <v>2171</v>
      </c>
      <c r="F79" s="189" t="s">
        <v>119</v>
      </c>
      <c r="G79" s="161" t="s">
        <v>16</v>
      </c>
      <c r="H79" s="161" t="s">
        <v>80</v>
      </c>
      <c r="I79" s="164" t="s">
        <v>1637</v>
      </c>
      <c r="J79" s="24">
        <v>1</v>
      </c>
      <c r="K79" s="27">
        <v>585000</v>
      </c>
      <c r="L79" s="26">
        <f t="shared" si="17"/>
        <v>585000</v>
      </c>
      <c r="M79" s="27">
        <f t="shared" si="18"/>
        <v>58500</v>
      </c>
      <c r="N79" s="27">
        <f t="shared" si="19"/>
        <v>643500</v>
      </c>
      <c r="O79" s="52">
        <v>531600</v>
      </c>
      <c r="P79" s="171" t="s">
        <v>1924</v>
      </c>
      <c r="Q79" s="181">
        <f t="shared" si="20"/>
        <v>53400</v>
      </c>
      <c r="R79" s="68" t="s">
        <v>2018</v>
      </c>
      <c r="S79" s="5" t="s">
        <v>2136</v>
      </c>
      <c r="T79" s="11"/>
    </row>
    <row r="80" spans="1:20">
      <c r="A80" t="s">
        <v>30</v>
      </c>
      <c r="B80" s="151" t="s">
        <v>186</v>
      </c>
      <c r="C80" s="200"/>
      <c r="D80" s="17">
        <v>45838</v>
      </c>
      <c r="E80" s="214" t="s">
        <v>2160</v>
      </c>
      <c r="F80" s="189" t="s">
        <v>122</v>
      </c>
      <c r="G80" s="161" t="s">
        <v>16</v>
      </c>
      <c r="H80" s="161" t="s">
        <v>138</v>
      </c>
      <c r="I80" s="163" t="s">
        <v>1676</v>
      </c>
      <c r="J80" s="69">
        <v>1</v>
      </c>
      <c r="K80" s="29">
        <v>180000</v>
      </c>
      <c r="L80" s="26">
        <f t="shared" si="17"/>
        <v>180000</v>
      </c>
      <c r="M80" s="27">
        <f t="shared" si="18"/>
        <v>18000</v>
      </c>
      <c r="N80" s="27">
        <f t="shared" si="19"/>
        <v>198000</v>
      </c>
      <c r="O80" s="52">
        <v>159761</v>
      </c>
      <c r="P80" s="171" t="s">
        <v>1892</v>
      </c>
      <c r="Q80" s="181">
        <f t="shared" si="20"/>
        <v>20239</v>
      </c>
      <c r="R80" s="68" t="s">
        <v>2015</v>
      </c>
      <c r="S80" s="5" t="s">
        <v>2136</v>
      </c>
      <c r="T80" s="11"/>
    </row>
    <row r="81" spans="1:20">
      <c r="A81" t="s">
        <v>30</v>
      </c>
      <c r="B81" s="151" t="s">
        <v>187</v>
      </c>
      <c r="C81" s="200"/>
      <c r="D81" s="17">
        <v>45838</v>
      </c>
      <c r="E81" s="214" t="s">
        <v>2160</v>
      </c>
      <c r="F81" s="189" t="s">
        <v>123</v>
      </c>
      <c r="G81" s="161" t="s">
        <v>16</v>
      </c>
      <c r="H81" s="161" t="s">
        <v>138</v>
      </c>
      <c r="I81" s="163" t="s">
        <v>1676</v>
      </c>
      <c r="J81" s="69">
        <v>1</v>
      </c>
      <c r="K81" s="29">
        <v>240000</v>
      </c>
      <c r="L81" s="26">
        <f t="shared" si="17"/>
        <v>240000</v>
      </c>
      <c r="M81" s="27">
        <f t="shared" si="18"/>
        <v>24000</v>
      </c>
      <c r="N81" s="27">
        <f t="shared" si="19"/>
        <v>264000</v>
      </c>
      <c r="O81" s="52">
        <v>212293</v>
      </c>
      <c r="P81" s="171" t="s">
        <v>1892</v>
      </c>
      <c r="Q81" s="181">
        <f t="shared" si="20"/>
        <v>27707</v>
      </c>
      <c r="R81" s="68" t="s">
        <v>2015</v>
      </c>
      <c r="S81" s="5" t="s">
        <v>2136</v>
      </c>
      <c r="T81" s="11"/>
    </row>
    <row r="82" spans="1:20" ht="36">
      <c r="A82" t="s">
        <v>30</v>
      </c>
      <c r="B82" s="151" t="s">
        <v>222</v>
      </c>
      <c r="C82" s="199"/>
      <c r="D82" s="17">
        <v>45838</v>
      </c>
      <c r="E82" s="214" t="s">
        <v>2197</v>
      </c>
      <c r="F82" s="215" t="s">
        <v>1</v>
      </c>
      <c r="G82" s="2" t="s">
        <v>16</v>
      </c>
      <c r="H82" s="2" t="s">
        <v>81</v>
      </c>
      <c r="I82" s="4" t="s">
        <v>1677</v>
      </c>
      <c r="J82" s="23">
        <v>1</v>
      </c>
      <c r="K82" s="27">
        <v>1200000</v>
      </c>
      <c r="L82" s="26">
        <f t="shared" si="17"/>
        <v>1200000</v>
      </c>
      <c r="M82" s="27">
        <f t="shared" si="18"/>
        <v>120000</v>
      </c>
      <c r="N82" s="27">
        <f t="shared" si="19"/>
        <v>1320000</v>
      </c>
      <c r="O82" s="52">
        <f>600000+1250000/6+1750000/7</f>
        <v>1058333.3333333335</v>
      </c>
      <c r="P82" s="171" t="s">
        <v>1921</v>
      </c>
      <c r="Q82" s="181">
        <f t="shared" si="20"/>
        <v>141666.66666666651</v>
      </c>
      <c r="R82" s="2" t="s">
        <v>2018</v>
      </c>
      <c r="S82" s="8" t="s">
        <v>2133</v>
      </c>
      <c r="T82" s="11"/>
    </row>
    <row r="83" spans="1:20" ht="24">
      <c r="A83" t="s">
        <v>30</v>
      </c>
      <c r="B83" s="151" t="s">
        <v>211</v>
      </c>
      <c r="C83" s="199" t="s">
        <v>219</v>
      </c>
      <c r="D83" s="17">
        <v>45838</v>
      </c>
      <c r="E83" s="214" t="s">
        <v>2170</v>
      </c>
      <c r="F83" s="215" t="s">
        <v>210</v>
      </c>
      <c r="G83" s="2" t="s">
        <v>16</v>
      </c>
      <c r="H83" s="83" t="s">
        <v>80</v>
      </c>
      <c r="I83" s="163" t="s">
        <v>1678</v>
      </c>
      <c r="J83" s="23">
        <v>1</v>
      </c>
      <c r="K83" s="27">
        <v>7638300</v>
      </c>
      <c r="L83" s="26">
        <f t="shared" ref="L83" si="21">J83*K83</f>
        <v>7638300</v>
      </c>
      <c r="M83" s="27">
        <f t="shared" ref="M83" si="22">L83*10%</f>
        <v>763830</v>
      </c>
      <c r="N83" s="27">
        <f t="shared" ref="N83" si="23">SUM(L83:M83)</f>
        <v>8402130</v>
      </c>
      <c r="O83" s="72">
        <f>5338296+24600000/12</f>
        <v>7388296</v>
      </c>
      <c r="P83" s="238" t="s">
        <v>2054</v>
      </c>
      <c r="Q83" s="181">
        <f t="shared" ref="Q83" si="24">L83-O83</f>
        <v>250004</v>
      </c>
      <c r="R83" s="2" t="s">
        <v>2018</v>
      </c>
      <c r="S83" s="8" t="s">
        <v>2136</v>
      </c>
      <c r="T83" s="11"/>
    </row>
    <row r="84" spans="1:20">
      <c r="A84" t="s">
        <v>30</v>
      </c>
      <c r="B84" s="151" t="s">
        <v>347</v>
      </c>
      <c r="C84" s="199" t="s">
        <v>344</v>
      </c>
      <c r="D84" s="17">
        <v>45838</v>
      </c>
      <c r="E84" s="214" t="s">
        <v>2144</v>
      </c>
      <c r="F84" s="215" t="s">
        <v>345</v>
      </c>
      <c r="G84" s="2" t="s">
        <v>16</v>
      </c>
      <c r="H84" s="83" t="s">
        <v>80</v>
      </c>
      <c r="I84" s="163" t="s">
        <v>1633</v>
      </c>
      <c r="J84" s="23">
        <v>1</v>
      </c>
      <c r="K84" s="27">
        <v>573000</v>
      </c>
      <c r="L84" s="26">
        <f t="shared" ref="L84:L103" si="25">J84*K84</f>
        <v>573000</v>
      </c>
      <c r="M84" s="27">
        <f t="shared" ref="M84:M91" si="26">L84*10%</f>
        <v>57300</v>
      </c>
      <c r="N84" s="27">
        <f t="shared" ref="N84:N86" si="27">SUM(L84:M84)</f>
        <v>630300</v>
      </c>
      <c r="O84" s="52">
        <v>505200</v>
      </c>
      <c r="P84" s="171" t="s">
        <v>1924</v>
      </c>
      <c r="Q84" s="181">
        <f t="shared" ref="Q84:Q103" si="28">L84-O84</f>
        <v>67800</v>
      </c>
      <c r="R84" s="2" t="s">
        <v>2039</v>
      </c>
      <c r="S84" s="8" t="s">
        <v>2136</v>
      </c>
      <c r="T84" s="11"/>
    </row>
    <row r="85" spans="1:20">
      <c r="A85" t="s">
        <v>30</v>
      </c>
      <c r="B85" s="151" t="s">
        <v>349</v>
      </c>
      <c r="C85" s="199" t="s">
        <v>350</v>
      </c>
      <c r="D85" s="17">
        <v>45838</v>
      </c>
      <c r="E85" s="214" t="s">
        <v>2144</v>
      </c>
      <c r="F85" s="215" t="s">
        <v>351</v>
      </c>
      <c r="G85" s="2" t="s">
        <v>16</v>
      </c>
      <c r="H85" s="83" t="s">
        <v>80</v>
      </c>
      <c r="I85" s="163" t="s">
        <v>1658</v>
      </c>
      <c r="J85" s="23">
        <v>1</v>
      </c>
      <c r="K85" s="27">
        <v>220000</v>
      </c>
      <c r="L85" s="26">
        <f t="shared" si="25"/>
        <v>220000</v>
      </c>
      <c r="M85" s="27">
        <f t="shared" si="26"/>
        <v>22000</v>
      </c>
      <c r="N85" s="27">
        <f t="shared" si="27"/>
        <v>242000</v>
      </c>
      <c r="O85" s="52">
        <v>204600</v>
      </c>
      <c r="P85" s="171" t="s">
        <v>1924</v>
      </c>
      <c r="Q85" s="181">
        <f t="shared" si="28"/>
        <v>15400</v>
      </c>
      <c r="R85" s="2" t="s">
        <v>2039</v>
      </c>
      <c r="S85" s="8" t="s">
        <v>2136</v>
      </c>
      <c r="T85" s="11"/>
    </row>
    <row r="86" spans="1:20">
      <c r="A86" t="s">
        <v>30</v>
      </c>
      <c r="B86" s="151" t="s">
        <v>490</v>
      </c>
      <c r="C86" s="153" t="s">
        <v>639</v>
      </c>
      <c r="D86" s="17">
        <v>45838</v>
      </c>
      <c r="E86" s="214" t="s">
        <v>2144</v>
      </c>
      <c r="F86" s="215" t="s">
        <v>1094</v>
      </c>
      <c r="G86" s="2" t="s">
        <v>16</v>
      </c>
      <c r="H86" s="2" t="s">
        <v>80</v>
      </c>
      <c r="I86" s="4" t="s">
        <v>1637</v>
      </c>
      <c r="J86" s="23">
        <v>1</v>
      </c>
      <c r="K86" s="27">
        <v>700000</v>
      </c>
      <c r="L86" s="26">
        <f t="shared" si="25"/>
        <v>700000</v>
      </c>
      <c r="M86" s="27">
        <f t="shared" si="26"/>
        <v>70000</v>
      </c>
      <c r="N86" s="27">
        <f t="shared" si="27"/>
        <v>770000</v>
      </c>
      <c r="O86" s="33">
        <v>661800</v>
      </c>
      <c r="P86" s="171" t="s">
        <v>1924</v>
      </c>
      <c r="Q86" s="20">
        <f t="shared" si="28"/>
        <v>38200</v>
      </c>
      <c r="R86" s="2" t="s">
        <v>2039</v>
      </c>
      <c r="S86" s="5" t="s">
        <v>2136</v>
      </c>
      <c r="T86" s="11"/>
    </row>
    <row r="87" spans="1:20" ht="24">
      <c r="A87" t="s">
        <v>30</v>
      </c>
      <c r="B87" s="151" t="s">
        <v>511</v>
      </c>
      <c r="C87" s="153" t="s">
        <v>446</v>
      </c>
      <c r="D87" s="17">
        <v>45838</v>
      </c>
      <c r="E87" s="214" t="s">
        <v>2144</v>
      </c>
      <c r="F87" s="215" t="s">
        <v>480</v>
      </c>
      <c r="G87" s="2" t="s">
        <v>16</v>
      </c>
      <c r="H87" s="2" t="s">
        <v>80</v>
      </c>
      <c r="I87" s="4" t="s">
        <v>1637</v>
      </c>
      <c r="J87" s="23">
        <v>1</v>
      </c>
      <c r="K87" s="27">
        <v>380000</v>
      </c>
      <c r="L87" s="26">
        <f t="shared" si="25"/>
        <v>380000</v>
      </c>
      <c r="M87" s="27">
        <f t="shared" si="26"/>
        <v>38000</v>
      </c>
      <c r="N87" s="27">
        <f t="shared" ref="N87" si="29">SUM(L87:M87)</f>
        <v>418000</v>
      </c>
      <c r="O87" s="33">
        <f>289800+500000/12</f>
        <v>331466.66666666669</v>
      </c>
      <c r="P87" s="197" t="s">
        <v>1984</v>
      </c>
      <c r="Q87" s="20">
        <f t="shared" si="28"/>
        <v>48533.333333333314</v>
      </c>
      <c r="R87" s="2" t="s">
        <v>2039</v>
      </c>
      <c r="S87" s="5" t="s">
        <v>2136</v>
      </c>
      <c r="T87" s="11"/>
    </row>
    <row r="88" spans="1:20">
      <c r="A88" t="s">
        <v>30</v>
      </c>
      <c r="B88" s="151" t="s">
        <v>447</v>
      </c>
      <c r="C88" s="153" t="s">
        <v>448</v>
      </c>
      <c r="D88" s="17">
        <v>45838</v>
      </c>
      <c r="E88" s="214" t="s">
        <v>2144</v>
      </c>
      <c r="F88" s="215" t="s">
        <v>481</v>
      </c>
      <c r="G88" s="2" t="s">
        <v>16</v>
      </c>
      <c r="H88" s="2" t="s">
        <v>80</v>
      </c>
      <c r="I88" s="4" t="s">
        <v>1637</v>
      </c>
      <c r="J88" s="23">
        <v>1</v>
      </c>
      <c r="K88" s="27">
        <v>625000</v>
      </c>
      <c r="L88" s="26">
        <f t="shared" si="25"/>
        <v>625000</v>
      </c>
      <c r="M88" s="27">
        <f t="shared" si="26"/>
        <v>62500</v>
      </c>
      <c r="N88" s="27">
        <f>SUM(L88:M88)</f>
        <v>687500</v>
      </c>
      <c r="O88" s="33">
        <v>590400</v>
      </c>
      <c r="P88" s="171" t="s">
        <v>1924</v>
      </c>
      <c r="Q88" s="20">
        <f t="shared" si="28"/>
        <v>34600</v>
      </c>
      <c r="R88" s="2" t="s">
        <v>2039</v>
      </c>
      <c r="S88" s="5" t="s">
        <v>2136</v>
      </c>
      <c r="T88" s="11"/>
    </row>
    <row r="89" spans="1:20">
      <c r="A89" t="s">
        <v>30</v>
      </c>
      <c r="B89" s="151" t="s">
        <v>493</v>
      </c>
      <c r="C89" s="153" t="s">
        <v>494</v>
      </c>
      <c r="D89" s="17">
        <v>45838</v>
      </c>
      <c r="E89" s="214" t="s">
        <v>2144</v>
      </c>
      <c r="F89" s="215" t="s">
        <v>495</v>
      </c>
      <c r="G89" s="2" t="s">
        <v>16</v>
      </c>
      <c r="H89" s="2" t="s">
        <v>80</v>
      </c>
      <c r="I89" s="4" t="s">
        <v>1637</v>
      </c>
      <c r="J89" s="23">
        <v>1</v>
      </c>
      <c r="K89" s="27">
        <v>1232000</v>
      </c>
      <c r="L89" s="26">
        <f t="shared" si="25"/>
        <v>1232000</v>
      </c>
      <c r="M89" s="27">
        <f t="shared" si="26"/>
        <v>123200</v>
      </c>
      <c r="N89" s="27">
        <f>SUM(L89:M89)</f>
        <v>1355200</v>
      </c>
      <c r="O89" s="33">
        <v>1196100</v>
      </c>
      <c r="P89" s="171" t="s">
        <v>1924</v>
      </c>
      <c r="Q89" s="20">
        <f t="shared" si="28"/>
        <v>35900</v>
      </c>
      <c r="R89" s="2" t="s">
        <v>2039</v>
      </c>
      <c r="S89" s="8" t="s">
        <v>2136</v>
      </c>
      <c r="T89" s="11"/>
    </row>
    <row r="90" spans="1:20">
      <c r="A90" t="s">
        <v>30</v>
      </c>
      <c r="B90" s="151" t="s">
        <v>857</v>
      </c>
      <c r="C90" s="153" t="s">
        <v>853</v>
      </c>
      <c r="D90" s="17">
        <v>45838</v>
      </c>
      <c r="E90" s="214" t="s">
        <v>2144</v>
      </c>
      <c r="F90" s="215" t="s">
        <v>815</v>
      </c>
      <c r="G90" s="2" t="s">
        <v>16</v>
      </c>
      <c r="H90" s="2" t="s">
        <v>80</v>
      </c>
      <c r="I90" s="4" t="s">
        <v>1637</v>
      </c>
      <c r="J90" s="23">
        <v>1</v>
      </c>
      <c r="K90" s="27">
        <v>535000</v>
      </c>
      <c r="L90" s="26">
        <f t="shared" si="25"/>
        <v>535000</v>
      </c>
      <c r="M90" s="27">
        <f t="shared" si="26"/>
        <v>53500</v>
      </c>
      <c r="N90" s="27">
        <f>SUM(L90:M90)</f>
        <v>588500</v>
      </c>
      <c r="O90" s="82">
        <f>496800</f>
        <v>496800</v>
      </c>
      <c r="P90" s="171" t="s">
        <v>1924</v>
      </c>
      <c r="Q90" s="20">
        <f t="shared" si="28"/>
        <v>38200</v>
      </c>
      <c r="R90" s="2" t="s">
        <v>2039</v>
      </c>
      <c r="S90" s="8" t="s">
        <v>2136</v>
      </c>
      <c r="T90" s="11"/>
    </row>
    <row r="91" spans="1:20">
      <c r="A91" t="s">
        <v>30</v>
      </c>
      <c r="B91" s="151" t="s">
        <v>1546</v>
      </c>
      <c r="C91" s="153" t="s">
        <v>1547</v>
      </c>
      <c r="D91" s="17">
        <v>45838</v>
      </c>
      <c r="E91" s="1" t="s">
        <v>2144</v>
      </c>
      <c r="F91" s="2" t="s">
        <v>1401</v>
      </c>
      <c r="G91" s="161" t="s">
        <v>16</v>
      </c>
      <c r="H91" s="83" t="s">
        <v>80</v>
      </c>
      <c r="I91" s="4" t="s">
        <v>1679</v>
      </c>
      <c r="J91" s="23">
        <v>1</v>
      </c>
      <c r="K91" s="27">
        <v>1172800</v>
      </c>
      <c r="L91" s="26">
        <f t="shared" si="25"/>
        <v>1172800</v>
      </c>
      <c r="M91" s="27">
        <f t="shared" si="26"/>
        <v>117280</v>
      </c>
      <c r="N91" s="27">
        <f>SUM(L91:M91)</f>
        <v>1290080</v>
      </c>
      <c r="O91" s="82">
        <v>1111200</v>
      </c>
      <c r="P91" s="171" t="s">
        <v>1924</v>
      </c>
      <c r="Q91" s="20">
        <f t="shared" si="28"/>
        <v>61600</v>
      </c>
      <c r="R91" s="2" t="s">
        <v>2039</v>
      </c>
      <c r="S91" s="8" t="s">
        <v>2136</v>
      </c>
      <c r="T91" s="11"/>
    </row>
    <row r="92" spans="1:20" ht="35.25" customHeight="1">
      <c r="A92" t="s">
        <v>30</v>
      </c>
      <c r="B92" s="151" t="s">
        <v>288</v>
      </c>
      <c r="C92" s="199"/>
      <c r="D92" s="17">
        <v>45838</v>
      </c>
      <c r="E92" s="214" t="s">
        <v>2143</v>
      </c>
      <c r="F92" s="215"/>
      <c r="G92" s="161" t="s">
        <v>16</v>
      </c>
      <c r="H92" s="161" t="s">
        <v>138</v>
      </c>
      <c r="I92" s="163" t="s">
        <v>1680</v>
      </c>
      <c r="J92" s="23">
        <v>1</v>
      </c>
      <c r="K92" s="27">
        <v>3916667</v>
      </c>
      <c r="L92" s="26">
        <f t="shared" si="25"/>
        <v>3916667</v>
      </c>
      <c r="M92" s="27">
        <v>391667</v>
      </c>
      <c r="N92" s="27">
        <f>SUM(L92:M92)</f>
        <v>4308334</v>
      </c>
      <c r="O92" s="72">
        <f>2884612+1680000/12</f>
        <v>3024612</v>
      </c>
      <c r="P92" s="223" t="s">
        <v>1895</v>
      </c>
      <c r="Q92" s="181">
        <f t="shared" si="28"/>
        <v>892055</v>
      </c>
      <c r="R92" s="68" t="s">
        <v>2018</v>
      </c>
      <c r="S92" s="8" t="s">
        <v>2134</v>
      </c>
      <c r="T92" s="11"/>
    </row>
    <row r="93" spans="1:20">
      <c r="A93" t="s">
        <v>30</v>
      </c>
      <c r="B93" s="151" t="s">
        <v>290</v>
      </c>
      <c r="C93" s="199" t="s">
        <v>284</v>
      </c>
      <c r="D93" s="17">
        <v>45838</v>
      </c>
      <c r="E93" s="214" t="s">
        <v>285</v>
      </c>
      <c r="F93" s="215" t="s">
        <v>286</v>
      </c>
      <c r="G93" s="2" t="s">
        <v>16</v>
      </c>
      <c r="H93" s="83" t="s">
        <v>80</v>
      </c>
      <c r="I93" s="4" t="s">
        <v>1681</v>
      </c>
      <c r="J93" s="23">
        <v>1</v>
      </c>
      <c r="K93" s="27">
        <v>659700</v>
      </c>
      <c r="L93" s="26">
        <f t="shared" si="25"/>
        <v>659700</v>
      </c>
      <c r="M93" s="27">
        <f t="shared" ref="M93:M103" si="30">L93*10%</f>
        <v>65970</v>
      </c>
      <c r="N93" s="27">
        <f t="shared" ref="N93:N96" si="31">SUM(L93:M93)</f>
        <v>725670</v>
      </c>
      <c r="O93" s="72">
        <v>518541</v>
      </c>
      <c r="P93" s="171" t="s">
        <v>1924</v>
      </c>
      <c r="Q93" s="181">
        <f t="shared" si="28"/>
        <v>141159</v>
      </c>
      <c r="R93" s="2" t="s">
        <v>2039</v>
      </c>
      <c r="S93" s="8" t="s">
        <v>2136</v>
      </c>
      <c r="T93" s="75"/>
    </row>
    <row r="94" spans="1:20">
      <c r="A94" t="s">
        <v>30</v>
      </c>
      <c r="B94" s="151" t="s">
        <v>304</v>
      </c>
      <c r="C94" s="199"/>
      <c r="D94" s="17">
        <v>45838</v>
      </c>
      <c r="E94" s="214" t="s">
        <v>296</v>
      </c>
      <c r="F94" s="215" t="s">
        <v>297</v>
      </c>
      <c r="G94" s="2" t="s">
        <v>16</v>
      </c>
      <c r="H94" s="161" t="s">
        <v>138</v>
      </c>
      <c r="I94" s="163" t="s">
        <v>1681</v>
      </c>
      <c r="J94" s="23">
        <v>1</v>
      </c>
      <c r="K94" s="27">
        <v>207000</v>
      </c>
      <c r="L94" s="26">
        <f t="shared" si="25"/>
        <v>207000</v>
      </c>
      <c r="M94" s="27">
        <f t="shared" si="30"/>
        <v>20700</v>
      </c>
      <c r="N94" s="27">
        <f t="shared" si="31"/>
        <v>227700</v>
      </c>
      <c r="O94" s="72">
        <v>190849</v>
      </c>
      <c r="P94" s="171" t="s">
        <v>1892</v>
      </c>
      <c r="Q94" s="181">
        <f t="shared" si="28"/>
        <v>16151</v>
      </c>
      <c r="R94" s="2" t="s">
        <v>2017</v>
      </c>
      <c r="S94" s="8" t="s">
        <v>2136</v>
      </c>
      <c r="T94" s="11"/>
    </row>
    <row r="95" spans="1:20">
      <c r="A95" t="s">
        <v>30</v>
      </c>
      <c r="B95" s="151" t="s">
        <v>303</v>
      </c>
      <c r="C95" s="199"/>
      <c r="D95" s="17">
        <v>45838</v>
      </c>
      <c r="E95" s="214" t="s">
        <v>299</v>
      </c>
      <c r="F95" s="215" t="s">
        <v>136</v>
      </c>
      <c r="G95" s="2" t="s">
        <v>16</v>
      </c>
      <c r="H95" s="161" t="s">
        <v>81</v>
      </c>
      <c r="I95" s="162" t="s">
        <v>1682</v>
      </c>
      <c r="J95" s="23">
        <v>1</v>
      </c>
      <c r="K95" s="27">
        <v>155000</v>
      </c>
      <c r="L95" s="26">
        <f t="shared" si="25"/>
        <v>155000</v>
      </c>
      <c r="M95" s="27">
        <f t="shared" si="30"/>
        <v>15500</v>
      </c>
      <c r="N95" s="27">
        <f t="shared" si="31"/>
        <v>170500</v>
      </c>
      <c r="O95" s="52">
        <f>1440000/12</f>
        <v>120000</v>
      </c>
      <c r="P95" s="171" t="s">
        <v>1683</v>
      </c>
      <c r="Q95" s="181">
        <f t="shared" si="28"/>
        <v>35000</v>
      </c>
      <c r="R95" s="68" t="s">
        <v>2018</v>
      </c>
      <c r="S95" s="36" t="s">
        <v>2133</v>
      </c>
      <c r="T95" s="75"/>
    </row>
    <row r="96" spans="1:20">
      <c r="A96" t="s">
        <v>30</v>
      </c>
      <c r="B96" s="151" t="s">
        <v>332</v>
      </c>
      <c r="C96" s="200" t="s">
        <v>334</v>
      </c>
      <c r="D96" s="17">
        <v>45838</v>
      </c>
      <c r="E96" s="214" t="s">
        <v>68</v>
      </c>
      <c r="F96" s="189" t="s">
        <v>189</v>
      </c>
      <c r="G96" s="161" t="s">
        <v>16</v>
      </c>
      <c r="H96" s="161" t="s">
        <v>138</v>
      </c>
      <c r="I96" s="163" t="s">
        <v>1633</v>
      </c>
      <c r="J96" s="24">
        <v>1</v>
      </c>
      <c r="K96" s="26">
        <v>700000</v>
      </c>
      <c r="L96" s="26">
        <f t="shared" si="25"/>
        <v>700000</v>
      </c>
      <c r="M96" s="27">
        <f t="shared" si="30"/>
        <v>70000</v>
      </c>
      <c r="N96" s="27">
        <f t="shared" si="31"/>
        <v>770000</v>
      </c>
      <c r="O96" s="33">
        <v>499500</v>
      </c>
      <c r="P96" s="171" t="s">
        <v>1924</v>
      </c>
      <c r="Q96" s="21">
        <f t="shared" si="28"/>
        <v>200500</v>
      </c>
      <c r="R96" s="68" t="s">
        <v>1986</v>
      </c>
      <c r="S96" s="5" t="s">
        <v>2133</v>
      </c>
      <c r="T96" s="11"/>
    </row>
    <row r="97" spans="1:20">
      <c r="A97" t="s">
        <v>30</v>
      </c>
      <c r="B97" s="151" t="s">
        <v>363</v>
      </c>
      <c r="C97" s="153" t="s">
        <v>362</v>
      </c>
      <c r="D97" s="17">
        <v>45838</v>
      </c>
      <c r="E97" s="214" t="s">
        <v>2200</v>
      </c>
      <c r="F97" s="215" t="s">
        <v>119</v>
      </c>
      <c r="G97" s="161" t="s">
        <v>16</v>
      </c>
      <c r="H97" s="83" t="s">
        <v>80</v>
      </c>
      <c r="I97" s="4" t="s">
        <v>1684</v>
      </c>
      <c r="J97" s="23">
        <v>1</v>
      </c>
      <c r="K97" s="27">
        <v>13057800</v>
      </c>
      <c r="L97" s="26">
        <f t="shared" si="25"/>
        <v>13057800</v>
      </c>
      <c r="M97" s="27">
        <f t="shared" si="30"/>
        <v>1305780</v>
      </c>
      <c r="N97" s="27">
        <f t="shared" ref="N97:N99" si="32">SUM(L97:M97)</f>
        <v>14363580</v>
      </c>
      <c r="O97" s="33">
        <v>11892500</v>
      </c>
      <c r="P97" s="171" t="s">
        <v>1924</v>
      </c>
      <c r="Q97" s="21">
        <f t="shared" si="28"/>
        <v>1165300</v>
      </c>
      <c r="R97" s="68" t="s">
        <v>2018</v>
      </c>
      <c r="S97" s="36" t="s">
        <v>2136</v>
      </c>
      <c r="T97" s="11"/>
    </row>
    <row r="98" spans="1:20" ht="24">
      <c r="A98" t="s">
        <v>30</v>
      </c>
      <c r="B98" s="151" t="s">
        <v>665</v>
      </c>
      <c r="C98" s="153" t="s">
        <v>666</v>
      </c>
      <c r="D98" s="17">
        <v>45838</v>
      </c>
      <c r="E98" s="1" t="s">
        <v>2200</v>
      </c>
      <c r="F98" s="2" t="s">
        <v>690</v>
      </c>
      <c r="G98" s="2" t="s">
        <v>16</v>
      </c>
      <c r="H98" s="2" t="s">
        <v>80</v>
      </c>
      <c r="I98" s="4" t="s">
        <v>1682</v>
      </c>
      <c r="J98" s="23">
        <v>1</v>
      </c>
      <c r="K98" s="27">
        <v>202000</v>
      </c>
      <c r="L98" s="26">
        <f t="shared" si="25"/>
        <v>202000</v>
      </c>
      <c r="M98" s="27">
        <f t="shared" si="30"/>
        <v>20200</v>
      </c>
      <c r="N98" s="27">
        <f t="shared" si="32"/>
        <v>222200</v>
      </c>
      <c r="O98" s="33">
        <v>180600</v>
      </c>
      <c r="P98" s="171" t="s">
        <v>1924</v>
      </c>
      <c r="Q98" s="20">
        <f t="shared" si="28"/>
        <v>21400</v>
      </c>
      <c r="R98" s="68" t="s">
        <v>2018</v>
      </c>
      <c r="S98" s="8" t="s">
        <v>2136</v>
      </c>
      <c r="T98" s="11"/>
    </row>
    <row r="99" spans="1:20" ht="24">
      <c r="A99" t="s">
        <v>30</v>
      </c>
      <c r="B99" s="151" t="s">
        <v>380</v>
      </c>
      <c r="C99" s="208" t="s">
        <v>381</v>
      </c>
      <c r="D99" s="17">
        <v>45838</v>
      </c>
      <c r="E99" s="214" t="s">
        <v>2201</v>
      </c>
      <c r="F99" s="189" t="s">
        <v>379</v>
      </c>
      <c r="G99" s="161" t="s">
        <v>16</v>
      </c>
      <c r="H99" s="83" t="s">
        <v>80</v>
      </c>
      <c r="I99" s="163" t="s">
        <v>1637</v>
      </c>
      <c r="J99" s="24">
        <v>1</v>
      </c>
      <c r="K99" s="26">
        <v>2871300</v>
      </c>
      <c r="L99" s="26">
        <f t="shared" si="25"/>
        <v>2871300</v>
      </c>
      <c r="M99" s="27">
        <f t="shared" si="30"/>
        <v>287130</v>
      </c>
      <c r="N99" s="27">
        <f t="shared" si="32"/>
        <v>3158430</v>
      </c>
      <c r="O99" s="33">
        <f>1981200+655500</f>
        <v>2636700</v>
      </c>
      <c r="P99" s="197" t="s">
        <v>1926</v>
      </c>
      <c r="Q99" s="21">
        <f t="shared" si="28"/>
        <v>234600</v>
      </c>
      <c r="R99" s="68" t="s">
        <v>2039</v>
      </c>
      <c r="S99" s="5" t="s">
        <v>2136</v>
      </c>
      <c r="T99" s="11"/>
    </row>
    <row r="100" spans="1:20" ht="60">
      <c r="A100" t="s">
        <v>30</v>
      </c>
      <c r="B100" s="151" t="s">
        <v>963</v>
      </c>
      <c r="C100" s="200"/>
      <c r="D100" s="17">
        <v>45838</v>
      </c>
      <c r="E100" s="214" t="s">
        <v>2199</v>
      </c>
      <c r="F100" s="215" t="s">
        <v>152</v>
      </c>
      <c r="G100" s="2" t="s">
        <v>16</v>
      </c>
      <c r="H100" s="161" t="s">
        <v>138</v>
      </c>
      <c r="I100" s="163" t="s">
        <v>1637</v>
      </c>
      <c r="J100" s="23">
        <v>1</v>
      </c>
      <c r="K100" s="27">
        <v>4761667</v>
      </c>
      <c r="L100" s="26">
        <f t="shared" si="25"/>
        <v>4761667</v>
      </c>
      <c r="M100" s="27">
        <f t="shared" si="30"/>
        <v>476166.7</v>
      </c>
      <c r="N100" s="27">
        <f>SUM(L100:M100)</f>
        <v>5237833.7</v>
      </c>
      <c r="O100" s="72">
        <v>4437257</v>
      </c>
      <c r="P100" s="170" t="s">
        <v>1914</v>
      </c>
      <c r="Q100" s="21">
        <f t="shared" si="28"/>
        <v>324410</v>
      </c>
      <c r="R100" s="68" t="s">
        <v>2018</v>
      </c>
      <c r="S100" s="8" t="s">
        <v>2133</v>
      </c>
      <c r="T100" s="11"/>
    </row>
    <row r="101" spans="1:20" ht="60">
      <c r="A101" t="s">
        <v>30</v>
      </c>
      <c r="B101" s="151" t="s">
        <v>964</v>
      </c>
      <c r="C101" s="200"/>
      <c r="D101" s="17">
        <v>45838</v>
      </c>
      <c r="E101" s="214" t="s">
        <v>2199</v>
      </c>
      <c r="F101" s="215" t="s">
        <v>241</v>
      </c>
      <c r="G101" s="2" t="s">
        <v>16</v>
      </c>
      <c r="H101" s="161" t="s">
        <v>138</v>
      </c>
      <c r="I101" s="163" t="s">
        <v>1637</v>
      </c>
      <c r="J101" s="23">
        <v>1</v>
      </c>
      <c r="K101" s="27">
        <v>11210000</v>
      </c>
      <c r="L101" s="26">
        <f t="shared" si="25"/>
        <v>11210000</v>
      </c>
      <c r="M101" s="27">
        <f t="shared" si="30"/>
        <v>1121000</v>
      </c>
      <c r="N101" s="27">
        <f>SUM(L101:M101)</f>
        <v>12331000</v>
      </c>
      <c r="O101" s="72">
        <v>10800000</v>
      </c>
      <c r="P101" s="170" t="s">
        <v>1915</v>
      </c>
      <c r="Q101" s="21">
        <f t="shared" si="28"/>
        <v>410000</v>
      </c>
      <c r="R101" s="68" t="s">
        <v>2018</v>
      </c>
      <c r="S101" s="8" t="s">
        <v>2133</v>
      </c>
      <c r="T101" s="11"/>
    </row>
    <row r="102" spans="1:20" ht="24">
      <c r="A102" t="s">
        <v>30</v>
      </c>
      <c r="B102" s="151" t="s">
        <v>962</v>
      </c>
      <c r="C102" s="199"/>
      <c r="D102" s="17">
        <v>45838</v>
      </c>
      <c r="E102" s="1" t="s">
        <v>2199</v>
      </c>
      <c r="F102" s="2" t="s">
        <v>265</v>
      </c>
      <c r="G102" s="2" t="s">
        <v>16</v>
      </c>
      <c r="H102" s="2" t="s">
        <v>81</v>
      </c>
      <c r="I102" s="163" t="s">
        <v>1637</v>
      </c>
      <c r="J102" s="23">
        <v>1</v>
      </c>
      <c r="K102" s="27">
        <v>880000</v>
      </c>
      <c r="L102" s="26">
        <f t="shared" si="25"/>
        <v>880000</v>
      </c>
      <c r="M102" s="27">
        <f t="shared" si="30"/>
        <v>88000</v>
      </c>
      <c r="N102" s="27">
        <f>SUM(L102:M102)</f>
        <v>968000</v>
      </c>
      <c r="O102" s="52">
        <f>376200+1000000/3</f>
        <v>709533.33333333326</v>
      </c>
      <c r="P102" s="171" t="s">
        <v>1993</v>
      </c>
      <c r="Q102" s="181">
        <f t="shared" si="28"/>
        <v>170466.66666666674</v>
      </c>
      <c r="R102" s="68" t="s">
        <v>2031</v>
      </c>
      <c r="S102" s="8" t="s">
        <v>2133</v>
      </c>
      <c r="T102" s="11"/>
    </row>
    <row r="103" spans="1:20" ht="24">
      <c r="A103" t="s">
        <v>30</v>
      </c>
      <c r="B103" s="151" t="s">
        <v>960</v>
      </c>
      <c r="C103" s="199"/>
      <c r="D103" s="17">
        <v>45838</v>
      </c>
      <c r="E103" s="1" t="s">
        <v>2199</v>
      </c>
      <c r="F103" s="2" t="s">
        <v>130</v>
      </c>
      <c r="G103" s="161" t="s">
        <v>16</v>
      </c>
      <c r="H103" s="161" t="s">
        <v>138</v>
      </c>
      <c r="I103" s="163" t="s">
        <v>1637</v>
      </c>
      <c r="J103" s="34">
        <v>1</v>
      </c>
      <c r="K103" s="48">
        <v>3278000</v>
      </c>
      <c r="L103" s="26">
        <f t="shared" si="25"/>
        <v>3278000</v>
      </c>
      <c r="M103" s="27">
        <f t="shared" si="30"/>
        <v>327800</v>
      </c>
      <c r="N103" s="27">
        <f>SUM(L103:M103)</f>
        <v>3605800</v>
      </c>
      <c r="O103" s="82">
        <f>1210534+6000000/3</f>
        <v>3210534</v>
      </c>
      <c r="P103" s="259" t="s">
        <v>2001</v>
      </c>
      <c r="Q103" s="181">
        <f t="shared" si="28"/>
        <v>67466</v>
      </c>
      <c r="R103" s="68" t="s">
        <v>2031</v>
      </c>
      <c r="S103" s="8" t="s">
        <v>2133</v>
      </c>
      <c r="T103" s="11"/>
    </row>
    <row r="104" spans="1:20">
      <c r="A104" t="s">
        <v>30</v>
      </c>
      <c r="B104" s="151" t="s">
        <v>449</v>
      </c>
      <c r="C104" s="199"/>
      <c r="D104" s="17">
        <v>45838</v>
      </c>
      <c r="E104" s="214" t="s">
        <v>2159</v>
      </c>
      <c r="F104" s="215" t="s">
        <v>249</v>
      </c>
      <c r="G104" s="2" t="s">
        <v>16</v>
      </c>
      <c r="H104" s="2" t="s">
        <v>80</v>
      </c>
      <c r="I104" s="4" t="s">
        <v>1685</v>
      </c>
      <c r="J104" s="23">
        <v>1</v>
      </c>
      <c r="K104" s="27">
        <v>850000</v>
      </c>
      <c r="L104" s="26">
        <f t="shared" ref="L104:L105" si="33">J104*K104</f>
        <v>850000</v>
      </c>
      <c r="M104" s="27">
        <f t="shared" ref="M104:M105" si="34">L104*10%</f>
        <v>85000</v>
      </c>
      <c r="N104" s="27">
        <f t="shared" ref="N104:N105" si="35">SUM(L104:M104)</f>
        <v>935000</v>
      </c>
      <c r="O104" s="52">
        <v>700000</v>
      </c>
      <c r="P104" s="171" t="s">
        <v>1896</v>
      </c>
      <c r="Q104" s="181">
        <f t="shared" ref="Q104:Q105" si="36">L104-O104</f>
        <v>150000</v>
      </c>
      <c r="R104" s="2" t="s">
        <v>2041</v>
      </c>
      <c r="S104" s="8" t="s">
        <v>2136</v>
      </c>
      <c r="T104" s="11"/>
    </row>
    <row r="105" spans="1:20" ht="36">
      <c r="A105" t="s">
        <v>30</v>
      </c>
      <c r="B105" s="151" t="s">
        <v>449</v>
      </c>
      <c r="C105" s="199"/>
      <c r="D105" s="17">
        <v>45838</v>
      </c>
      <c r="E105" s="214" t="s">
        <v>2165</v>
      </c>
      <c r="F105" s="215" t="s">
        <v>250</v>
      </c>
      <c r="G105" s="2" t="s">
        <v>16</v>
      </c>
      <c r="H105" s="2" t="s">
        <v>80</v>
      </c>
      <c r="I105" s="4" t="s">
        <v>1685</v>
      </c>
      <c r="J105" s="23">
        <v>1</v>
      </c>
      <c r="K105" s="27">
        <v>4600000</v>
      </c>
      <c r="L105" s="26">
        <f t="shared" si="33"/>
        <v>4600000</v>
      </c>
      <c r="M105" s="27">
        <f t="shared" si="34"/>
        <v>460000</v>
      </c>
      <c r="N105" s="27">
        <f t="shared" si="35"/>
        <v>5060000</v>
      </c>
      <c r="O105" s="52">
        <f>4250000+2400000/12+1500000/6</f>
        <v>4700000</v>
      </c>
      <c r="P105" s="171" t="s">
        <v>2030</v>
      </c>
      <c r="Q105" s="181">
        <f t="shared" si="36"/>
        <v>-100000</v>
      </c>
      <c r="R105" s="2" t="s">
        <v>2041</v>
      </c>
      <c r="S105" s="8" t="s">
        <v>2136</v>
      </c>
      <c r="T105" s="11"/>
    </row>
    <row r="106" spans="1:20">
      <c r="A106" t="s">
        <v>30</v>
      </c>
      <c r="B106" s="151" t="s">
        <v>450</v>
      </c>
      <c r="C106" s="153" t="s">
        <v>451</v>
      </c>
      <c r="D106" s="17">
        <v>45838</v>
      </c>
      <c r="E106" s="214" t="s">
        <v>409</v>
      </c>
      <c r="F106" s="215" t="s">
        <v>453</v>
      </c>
      <c r="G106" s="2" t="s">
        <v>16</v>
      </c>
      <c r="H106" s="2" t="s">
        <v>80</v>
      </c>
      <c r="I106" s="163" t="s">
        <v>1637</v>
      </c>
      <c r="J106" s="23">
        <v>1</v>
      </c>
      <c r="K106" s="27">
        <v>904800</v>
      </c>
      <c r="L106" s="26">
        <f t="shared" ref="L106:L111" si="37">J106*K106</f>
        <v>904800</v>
      </c>
      <c r="M106" s="27">
        <f t="shared" ref="M106:M111" si="38">L106*10%</f>
        <v>90480</v>
      </c>
      <c r="N106" s="27">
        <f t="shared" ref="N106:N108" si="39">SUM(L106:M106)</f>
        <v>995280</v>
      </c>
      <c r="O106" s="33">
        <v>820200</v>
      </c>
      <c r="P106" s="171" t="s">
        <v>1924</v>
      </c>
      <c r="Q106" s="20">
        <f t="shared" ref="Q106:Q111" si="40">L106-O106</f>
        <v>84600</v>
      </c>
      <c r="R106" s="68" t="s">
        <v>2018</v>
      </c>
      <c r="S106" s="8" t="s">
        <v>2136</v>
      </c>
      <c r="T106" s="11"/>
    </row>
    <row r="107" spans="1:20" ht="60">
      <c r="A107" t="s">
        <v>30</v>
      </c>
      <c r="B107" s="151" t="s">
        <v>855</v>
      </c>
      <c r="C107" s="199"/>
      <c r="D107" s="17">
        <v>45838</v>
      </c>
      <c r="E107" s="1" t="s">
        <v>2167</v>
      </c>
      <c r="F107" s="2"/>
      <c r="G107" s="2" t="s">
        <v>16</v>
      </c>
      <c r="H107" s="2" t="s">
        <v>81</v>
      </c>
      <c r="I107" s="163" t="s">
        <v>1637</v>
      </c>
      <c r="J107" s="23">
        <v>1</v>
      </c>
      <c r="K107" s="27">
        <v>3611000</v>
      </c>
      <c r="L107" s="26">
        <f t="shared" si="37"/>
        <v>3611000</v>
      </c>
      <c r="M107" s="27">
        <f t="shared" si="38"/>
        <v>361100</v>
      </c>
      <c r="N107" s="27">
        <f t="shared" si="39"/>
        <v>3972100</v>
      </c>
      <c r="O107" s="52">
        <f>672000+700000+100000+290000+6000000/6</f>
        <v>2762000</v>
      </c>
      <c r="P107" s="170" t="s">
        <v>1927</v>
      </c>
      <c r="Q107" s="181">
        <f t="shared" si="40"/>
        <v>849000</v>
      </c>
      <c r="R107" s="68" t="s">
        <v>2018</v>
      </c>
      <c r="S107" s="8" t="s">
        <v>2134</v>
      </c>
      <c r="T107" s="11"/>
    </row>
    <row r="108" spans="1:20">
      <c r="A108" t="s">
        <v>30</v>
      </c>
      <c r="B108" s="151" t="s">
        <v>674</v>
      </c>
      <c r="C108" s="153" t="s">
        <v>675</v>
      </c>
      <c r="D108" s="17">
        <v>45838</v>
      </c>
      <c r="E108" s="214" t="s">
        <v>71</v>
      </c>
      <c r="F108" s="215" t="s">
        <v>562</v>
      </c>
      <c r="G108" s="1" t="s">
        <v>16</v>
      </c>
      <c r="H108" s="83" t="s">
        <v>80</v>
      </c>
      <c r="I108" s="163" t="s">
        <v>1637</v>
      </c>
      <c r="J108" s="23">
        <v>1</v>
      </c>
      <c r="K108" s="27">
        <v>554000</v>
      </c>
      <c r="L108" s="26">
        <f t="shared" si="37"/>
        <v>554000</v>
      </c>
      <c r="M108" s="27">
        <f t="shared" si="38"/>
        <v>55400</v>
      </c>
      <c r="N108" s="27">
        <f t="shared" si="39"/>
        <v>609400</v>
      </c>
      <c r="O108" s="33">
        <v>502800</v>
      </c>
      <c r="P108" s="171" t="s">
        <v>1924</v>
      </c>
      <c r="Q108" s="20">
        <f t="shared" si="40"/>
        <v>51200</v>
      </c>
      <c r="R108" s="68" t="s">
        <v>2018</v>
      </c>
      <c r="S108" s="8" t="s">
        <v>2136</v>
      </c>
      <c r="T108" s="11"/>
    </row>
    <row r="109" spans="1:20">
      <c r="A109" t="s">
        <v>30</v>
      </c>
      <c r="B109" s="151" t="s">
        <v>856</v>
      </c>
      <c r="C109" s="200"/>
      <c r="D109" s="17">
        <v>45838</v>
      </c>
      <c r="E109" s="1" t="s">
        <v>2202</v>
      </c>
      <c r="F109" s="161"/>
      <c r="G109" s="161" t="s">
        <v>16</v>
      </c>
      <c r="H109" s="161" t="s">
        <v>138</v>
      </c>
      <c r="I109" s="163" t="s">
        <v>1637</v>
      </c>
      <c r="J109" s="71">
        <v>1</v>
      </c>
      <c r="K109" s="26">
        <v>2840000</v>
      </c>
      <c r="L109" s="26">
        <f t="shared" si="37"/>
        <v>2840000</v>
      </c>
      <c r="M109" s="27">
        <f t="shared" si="38"/>
        <v>284000</v>
      </c>
      <c r="N109" s="27">
        <f>SUM(L109:M109)</f>
        <v>3124000</v>
      </c>
      <c r="O109" s="52">
        <v>44000</v>
      </c>
      <c r="P109" s="171" t="s">
        <v>1913</v>
      </c>
      <c r="Q109" s="181">
        <f t="shared" si="40"/>
        <v>2796000</v>
      </c>
      <c r="R109" s="68" t="s">
        <v>1986</v>
      </c>
      <c r="S109" s="5" t="s">
        <v>2134</v>
      </c>
      <c r="T109" s="11"/>
    </row>
    <row r="110" spans="1:20" ht="24">
      <c r="A110" t="s">
        <v>30</v>
      </c>
      <c r="B110" s="151" t="s">
        <v>1550</v>
      </c>
      <c r="C110" s="153" t="s">
        <v>1551</v>
      </c>
      <c r="D110" s="17">
        <v>45838</v>
      </c>
      <c r="E110" s="1" t="s">
        <v>78</v>
      </c>
      <c r="F110" s="2" t="s">
        <v>128</v>
      </c>
      <c r="G110" s="2" t="s">
        <v>16</v>
      </c>
      <c r="H110" s="2" t="s">
        <v>80</v>
      </c>
      <c r="I110" s="163" t="s">
        <v>1637</v>
      </c>
      <c r="J110" s="23">
        <v>1</v>
      </c>
      <c r="K110" s="27">
        <v>454600</v>
      </c>
      <c r="L110" s="26">
        <f t="shared" si="37"/>
        <v>454600</v>
      </c>
      <c r="M110" s="27">
        <f t="shared" si="38"/>
        <v>45460</v>
      </c>
      <c r="N110" s="27">
        <f>SUM(L110:M110)</f>
        <v>500060</v>
      </c>
      <c r="O110" s="33">
        <f>243000+1100000/6</f>
        <v>426333.33333333337</v>
      </c>
      <c r="P110" s="197" t="s">
        <v>1928</v>
      </c>
      <c r="Q110" s="20">
        <f t="shared" si="40"/>
        <v>28266.666666666628</v>
      </c>
      <c r="R110" s="68" t="s">
        <v>2018</v>
      </c>
      <c r="S110" s="8" t="s">
        <v>2136</v>
      </c>
      <c r="T110" s="11"/>
    </row>
    <row r="111" spans="1:20">
      <c r="A111" t="s">
        <v>30</v>
      </c>
      <c r="B111" s="151" t="s">
        <v>961</v>
      </c>
      <c r="C111" s="153"/>
      <c r="D111" s="17">
        <v>45838</v>
      </c>
      <c r="E111" s="1" t="s">
        <v>2207</v>
      </c>
      <c r="F111" s="2" t="s">
        <v>130</v>
      </c>
      <c r="G111" s="1" t="s">
        <v>16</v>
      </c>
      <c r="H111" s="83" t="s">
        <v>81</v>
      </c>
      <c r="I111" s="4" t="s">
        <v>1686</v>
      </c>
      <c r="J111" s="23">
        <v>1</v>
      </c>
      <c r="K111" s="27">
        <v>2697200</v>
      </c>
      <c r="L111" s="26">
        <f t="shared" si="37"/>
        <v>2697200</v>
      </c>
      <c r="M111" s="27">
        <f t="shared" si="38"/>
        <v>269720</v>
      </c>
      <c r="N111" s="27">
        <f t="shared" ref="N111" si="41">SUM(L111:M111)</f>
        <v>2966920</v>
      </c>
      <c r="O111" s="33">
        <f>8000000/3</f>
        <v>2666666.6666666665</v>
      </c>
      <c r="P111" s="197" t="s">
        <v>2000</v>
      </c>
      <c r="Q111" s="20">
        <f t="shared" si="40"/>
        <v>30533.333333333489</v>
      </c>
      <c r="R111" s="2" t="s">
        <v>2039</v>
      </c>
      <c r="S111" s="8" t="s">
        <v>2133</v>
      </c>
      <c r="T111" s="11"/>
    </row>
    <row r="112" spans="1:20" ht="48">
      <c r="A112" t="s">
        <v>30</v>
      </c>
      <c r="B112" s="151" t="s">
        <v>966</v>
      </c>
      <c r="C112" s="153" t="s">
        <v>967</v>
      </c>
      <c r="D112" s="17">
        <v>45838</v>
      </c>
      <c r="E112" s="214" t="s">
        <v>72</v>
      </c>
      <c r="F112" s="215" t="s">
        <v>497</v>
      </c>
      <c r="G112" s="1" t="s">
        <v>16</v>
      </c>
      <c r="H112" s="2" t="s">
        <v>80</v>
      </c>
      <c r="I112" s="4" t="s">
        <v>1637</v>
      </c>
      <c r="J112" s="23">
        <v>1</v>
      </c>
      <c r="K112" s="27">
        <v>2900000</v>
      </c>
      <c r="L112" s="26">
        <f t="shared" ref="L112:L115" si="42">J112*K112</f>
        <v>2900000</v>
      </c>
      <c r="M112" s="27">
        <f t="shared" ref="M112" si="43">L112*10%</f>
        <v>290000</v>
      </c>
      <c r="N112" s="27">
        <f t="shared" ref="N112" si="44">SUM(L112:M112)</f>
        <v>3190000</v>
      </c>
      <c r="O112" s="33">
        <f>1515000+250000+391000+2500000/6</f>
        <v>2572666.6666666665</v>
      </c>
      <c r="P112" s="197" t="s">
        <v>2154</v>
      </c>
      <c r="Q112" s="20">
        <f t="shared" ref="Q112:Q113" si="45">L112-O112</f>
        <v>327333.33333333349</v>
      </c>
      <c r="R112" s="68" t="s">
        <v>2018</v>
      </c>
      <c r="S112" s="8" t="s">
        <v>2136</v>
      </c>
      <c r="T112" s="11"/>
    </row>
    <row r="113" spans="1:26">
      <c r="A113" t="s">
        <v>30</v>
      </c>
      <c r="B113" s="151" t="s">
        <v>1350</v>
      </c>
      <c r="C113" s="230" t="s">
        <v>1053</v>
      </c>
      <c r="D113" s="17">
        <v>45838</v>
      </c>
      <c r="E113" s="214" t="s">
        <v>2195</v>
      </c>
      <c r="F113" s="215" t="s">
        <v>1002</v>
      </c>
      <c r="G113" s="161" t="s">
        <v>16</v>
      </c>
      <c r="H113" s="83" t="s">
        <v>80</v>
      </c>
      <c r="I113" s="4" t="s">
        <v>1878</v>
      </c>
      <c r="J113" s="23">
        <v>1</v>
      </c>
      <c r="K113" s="27">
        <v>501000</v>
      </c>
      <c r="L113" s="26">
        <f t="shared" si="42"/>
        <v>501000</v>
      </c>
      <c r="M113" s="27">
        <f>L113*10%</f>
        <v>50100</v>
      </c>
      <c r="N113" s="27">
        <f>SUM(L113:M113)</f>
        <v>551100</v>
      </c>
      <c r="O113" s="33">
        <v>405600</v>
      </c>
      <c r="P113" s="171" t="s">
        <v>1924</v>
      </c>
      <c r="Q113" s="181">
        <f t="shared" si="45"/>
        <v>95400</v>
      </c>
      <c r="R113" s="68" t="s">
        <v>2018</v>
      </c>
      <c r="S113" s="8" t="s">
        <v>2136</v>
      </c>
      <c r="T113" s="11"/>
    </row>
    <row r="114" spans="1:26">
      <c r="A114" t="s">
        <v>30</v>
      </c>
      <c r="B114" s="151" t="s">
        <v>1085</v>
      </c>
      <c r="C114" s="153"/>
      <c r="D114" s="17">
        <v>45838</v>
      </c>
      <c r="E114" s="1" t="s">
        <v>2156</v>
      </c>
      <c r="F114" s="2" t="s">
        <v>1086</v>
      </c>
      <c r="G114" s="161" t="s">
        <v>16</v>
      </c>
      <c r="H114" s="83" t="s">
        <v>81</v>
      </c>
      <c r="I114" s="4" t="s">
        <v>1687</v>
      </c>
      <c r="J114" s="23">
        <v>1</v>
      </c>
      <c r="K114" s="27">
        <v>150000</v>
      </c>
      <c r="L114" s="26">
        <f t="shared" si="42"/>
        <v>150000</v>
      </c>
      <c r="M114" s="27">
        <f t="shared" ref="M114" si="46">L114*10%</f>
        <v>15000</v>
      </c>
      <c r="N114" s="27">
        <f t="shared" ref="N114" si="47">SUM(L114:M114)</f>
        <v>165000</v>
      </c>
      <c r="O114" s="33">
        <v>0</v>
      </c>
      <c r="P114" s="197" t="s">
        <v>129</v>
      </c>
      <c r="Q114" s="20">
        <f t="shared" ref="Q114" si="48">L114-O114</f>
        <v>150000</v>
      </c>
      <c r="R114" s="2" t="s">
        <v>2039</v>
      </c>
      <c r="S114" s="8" t="s">
        <v>2134</v>
      </c>
      <c r="T114" s="11"/>
    </row>
    <row r="115" spans="1:26">
      <c r="A115" t="s">
        <v>30</v>
      </c>
      <c r="B115" s="151" t="s">
        <v>2090</v>
      </c>
      <c r="C115" s="200"/>
      <c r="D115" s="17">
        <v>45838</v>
      </c>
      <c r="E115" s="214" t="s">
        <v>4</v>
      </c>
      <c r="F115" s="189" t="s">
        <v>124</v>
      </c>
      <c r="G115" s="161" t="s">
        <v>16</v>
      </c>
      <c r="H115" s="161" t="s">
        <v>138</v>
      </c>
      <c r="I115" s="163" t="s">
        <v>1655</v>
      </c>
      <c r="J115" s="24">
        <v>1</v>
      </c>
      <c r="K115" s="26">
        <v>1600000</v>
      </c>
      <c r="L115" s="26">
        <f t="shared" si="42"/>
        <v>1600000</v>
      </c>
      <c r="M115" s="27">
        <f>L115*10%</f>
        <v>160000</v>
      </c>
      <c r="N115" s="27">
        <f>SUM(L115:M115)</f>
        <v>1760000</v>
      </c>
      <c r="O115" s="72">
        <v>1352754</v>
      </c>
      <c r="P115" s="171" t="s">
        <v>1892</v>
      </c>
      <c r="Q115" s="181">
        <f>L115-O115</f>
        <v>247246</v>
      </c>
      <c r="R115" s="68" t="s">
        <v>2015</v>
      </c>
      <c r="S115" s="5" t="s">
        <v>2136</v>
      </c>
      <c r="T115" s="11"/>
    </row>
    <row r="116" spans="1:26">
      <c r="A116" t="s">
        <v>30</v>
      </c>
      <c r="B116" s="151" t="s">
        <v>1770</v>
      </c>
      <c r="C116" s="153" t="s">
        <v>1771</v>
      </c>
      <c r="D116" s="17">
        <v>45838</v>
      </c>
      <c r="E116" s="1" t="s">
        <v>2174</v>
      </c>
      <c r="F116" s="2" t="s">
        <v>1739</v>
      </c>
      <c r="G116" s="2" t="s">
        <v>16</v>
      </c>
      <c r="H116" s="83" t="s">
        <v>80</v>
      </c>
      <c r="I116" s="4" t="s">
        <v>1772</v>
      </c>
      <c r="J116" s="23">
        <v>1</v>
      </c>
      <c r="K116" s="27">
        <v>429500</v>
      </c>
      <c r="L116" s="26">
        <f>J116*K116</f>
        <v>429500</v>
      </c>
      <c r="M116" s="27">
        <f>L116*10%</f>
        <v>42950</v>
      </c>
      <c r="N116" s="27">
        <f t="shared" ref="N116" si="49">SUM(L116:M116)</f>
        <v>472450</v>
      </c>
      <c r="O116" s="33">
        <f>390300</f>
        <v>390300</v>
      </c>
      <c r="P116" s="171" t="s">
        <v>1924</v>
      </c>
      <c r="Q116" s="20">
        <f>L116-O116</f>
        <v>39200</v>
      </c>
      <c r="R116" s="68" t="s">
        <v>2018</v>
      </c>
      <c r="S116" s="8" t="s">
        <v>2136</v>
      </c>
      <c r="T116" s="11"/>
    </row>
    <row r="117" spans="1:26" ht="24">
      <c r="A117" t="s">
        <v>30</v>
      </c>
      <c r="B117" s="151" t="s">
        <v>949</v>
      </c>
      <c r="C117" s="153" t="s">
        <v>950</v>
      </c>
      <c r="D117" s="17">
        <v>45838</v>
      </c>
      <c r="E117" s="1" t="s">
        <v>2206</v>
      </c>
      <c r="F117" s="2" t="s">
        <v>951</v>
      </c>
      <c r="G117" s="161" t="s">
        <v>16</v>
      </c>
      <c r="H117" s="161" t="s">
        <v>952</v>
      </c>
      <c r="I117" s="163" t="s">
        <v>1688</v>
      </c>
      <c r="J117" s="23">
        <v>1</v>
      </c>
      <c r="K117" s="27">
        <v>1224000</v>
      </c>
      <c r="L117" s="26">
        <f t="shared" ref="L117:L120" si="50">J117*K117</f>
        <v>1224000</v>
      </c>
      <c r="M117" s="27">
        <f t="shared" ref="M117:M120" si="51">L117*10%</f>
        <v>122400</v>
      </c>
      <c r="N117" s="27">
        <f t="shared" ref="N117:N120" si="52">SUM(L117:M117)</f>
        <v>1346400</v>
      </c>
      <c r="O117" s="82">
        <f>666000+1350000/3</f>
        <v>1116000</v>
      </c>
      <c r="P117" s="171" t="s">
        <v>2056</v>
      </c>
      <c r="Q117" s="21">
        <f t="shared" ref="Q117:Q120" si="53">L117-O117</f>
        <v>108000</v>
      </c>
      <c r="R117" s="68" t="s">
        <v>2039</v>
      </c>
      <c r="S117" s="8" t="s">
        <v>2136</v>
      </c>
      <c r="T117" s="11"/>
    </row>
    <row r="118" spans="1:26" ht="24">
      <c r="A118" t="s">
        <v>30</v>
      </c>
      <c r="B118" s="151" t="s">
        <v>953</v>
      </c>
      <c r="C118" s="153" t="s">
        <v>954</v>
      </c>
      <c r="D118" s="17">
        <v>45838</v>
      </c>
      <c r="E118" s="1" t="s">
        <v>2206</v>
      </c>
      <c r="F118" s="2" t="s">
        <v>955</v>
      </c>
      <c r="G118" s="161" t="s">
        <v>16</v>
      </c>
      <c r="H118" s="161" t="s">
        <v>952</v>
      </c>
      <c r="I118" s="163" t="s">
        <v>2098</v>
      </c>
      <c r="J118" s="23">
        <v>1</v>
      </c>
      <c r="K118" s="27">
        <v>12434465</v>
      </c>
      <c r="L118" s="26">
        <f t="shared" si="50"/>
        <v>12434465</v>
      </c>
      <c r="M118" s="27">
        <f t="shared" si="51"/>
        <v>1243446.5</v>
      </c>
      <c r="N118" s="27">
        <f t="shared" si="52"/>
        <v>13677911.5</v>
      </c>
      <c r="O118" s="82">
        <f>8742600+2400000/2</f>
        <v>9942600</v>
      </c>
      <c r="P118" s="223" t="s">
        <v>1929</v>
      </c>
      <c r="Q118" s="21">
        <f t="shared" si="53"/>
        <v>2491865</v>
      </c>
      <c r="R118" s="68" t="s">
        <v>2039</v>
      </c>
      <c r="S118" s="8" t="s">
        <v>2136</v>
      </c>
      <c r="T118" s="11"/>
    </row>
    <row r="119" spans="1:26">
      <c r="A119" t="s">
        <v>30</v>
      </c>
      <c r="B119" s="151" t="s">
        <v>968</v>
      </c>
      <c r="C119" s="152"/>
      <c r="D119" s="17">
        <v>45838</v>
      </c>
      <c r="E119" s="1" t="s">
        <v>70</v>
      </c>
      <c r="F119" s="161" t="s">
        <v>957</v>
      </c>
      <c r="G119" s="161" t="s">
        <v>16</v>
      </c>
      <c r="H119" s="161" t="s">
        <v>956</v>
      </c>
      <c r="I119" s="164" t="s">
        <v>1689</v>
      </c>
      <c r="J119" s="69">
        <v>1</v>
      </c>
      <c r="K119" s="29">
        <v>615000</v>
      </c>
      <c r="L119" s="26">
        <f t="shared" si="50"/>
        <v>615000</v>
      </c>
      <c r="M119" s="67">
        <f t="shared" si="51"/>
        <v>61500</v>
      </c>
      <c r="N119" s="27">
        <f t="shared" si="52"/>
        <v>676500</v>
      </c>
      <c r="O119" s="248">
        <f>66000*3</f>
        <v>198000</v>
      </c>
      <c r="P119" s="171" t="s">
        <v>1912</v>
      </c>
      <c r="Q119" s="21">
        <f t="shared" si="53"/>
        <v>417000</v>
      </c>
      <c r="R119" s="2" t="s">
        <v>2039</v>
      </c>
      <c r="S119" s="5" t="s">
        <v>2133</v>
      </c>
      <c r="T119" s="6"/>
      <c r="Z119" s="242"/>
    </row>
    <row r="120" spans="1:26">
      <c r="A120" t="s">
        <v>30</v>
      </c>
      <c r="B120" s="151" t="s">
        <v>1354</v>
      </c>
      <c r="C120" s="153" t="s">
        <v>1552</v>
      </c>
      <c r="D120" s="17">
        <v>45838</v>
      </c>
      <c r="E120" s="1" t="s">
        <v>2205</v>
      </c>
      <c r="F120" s="2" t="s">
        <v>982</v>
      </c>
      <c r="G120" s="161" t="s">
        <v>16</v>
      </c>
      <c r="H120" s="83" t="s">
        <v>80</v>
      </c>
      <c r="I120" s="4" t="s">
        <v>1690</v>
      </c>
      <c r="J120" s="23">
        <v>1</v>
      </c>
      <c r="K120" s="27">
        <v>41168190</v>
      </c>
      <c r="L120" s="26">
        <f t="shared" si="50"/>
        <v>41168190</v>
      </c>
      <c r="M120" s="27">
        <f t="shared" si="51"/>
        <v>4116819</v>
      </c>
      <c r="N120" s="27">
        <f t="shared" si="52"/>
        <v>45285009</v>
      </c>
      <c r="O120" s="33">
        <f>10869600*3</f>
        <v>32608800</v>
      </c>
      <c r="P120" s="197" t="s">
        <v>1930</v>
      </c>
      <c r="Q120" s="20">
        <f t="shared" si="53"/>
        <v>8559390</v>
      </c>
      <c r="R120" s="68" t="s">
        <v>2025</v>
      </c>
      <c r="S120" s="8" t="s">
        <v>2136</v>
      </c>
      <c r="T120" s="11"/>
    </row>
    <row r="121" spans="1:26">
      <c r="A121" t="s">
        <v>30</v>
      </c>
      <c r="B121" s="151" t="s">
        <v>1779</v>
      </c>
      <c r="C121" s="199"/>
      <c r="D121" s="17">
        <v>45838</v>
      </c>
      <c r="E121" s="214" t="s">
        <v>1777</v>
      </c>
      <c r="F121" s="215" t="s">
        <v>1776</v>
      </c>
      <c r="G121" s="2" t="s">
        <v>16</v>
      </c>
      <c r="H121" s="83" t="s">
        <v>1877</v>
      </c>
      <c r="I121" s="4" t="s">
        <v>1778</v>
      </c>
      <c r="J121" s="23">
        <v>1</v>
      </c>
      <c r="K121" s="27">
        <v>660000</v>
      </c>
      <c r="L121" s="26">
        <f>J121*K121</f>
        <v>660000</v>
      </c>
      <c r="M121" s="27">
        <f>L121*10%</f>
        <v>66000</v>
      </c>
      <c r="N121" s="27">
        <f>SUM(L121:M121)</f>
        <v>726000</v>
      </c>
      <c r="O121" s="33">
        <v>168000</v>
      </c>
      <c r="P121" s="197" t="s">
        <v>1917</v>
      </c>
      <c r="Q121" s="20">
        <f t="shared" ref="Q121:Q135" si="54">L121-O121</f>
        <v>492000</v>
      </c>
      <c r="R121" s="68" t="s">
        <v>2018</v>
      </c>
      <c r="S121" s="8" t="s">
        <v>2136</v>
      </c>
      <c r="T121" s="11"/>
    </row>
    <row r="122" spans="1:26" ht="24">
      <c r="A122" t="s">
        <v>30</v>
      </c>
      <c r="B122" s="151" t="s">
        <v>1820</v>
      </c>
      <c r="C122" s="199" t="s">
        <v>2052</v>
      </c>
      <c r="D122" s="17">
        <v>45838</v>
      </c>
      <c r="E122" s="214" t="s">
        <v>409</v>
      </c>
      <c r="F122" s="215"/>
      <c r="G122" s="2" t="s">
        <v>16</v>
      </c>
      <c r="H122" s="83" t="s">
        <v>1818</v>
      </c>
      <c r="I122" s="4" t="s">
        <v>1819</v>
      </c>
      <c r="J122" s="23">
        <v>1</v>
      </c>
      <c r="K122" s="27">
        <v>7000000</v>
      </c>
      <c r="L122" s="26">
        <f>J122*K122</f>
        <v>7000000</v>
      </c>
      <c r="M122" s="27">
        <f>L122*10%</f>
        <v>700000</v>
      </c>
      <c r="N122" s="27">
        <f>SUM(L122:M122)</f>
        <v>7700000</v>
      </c>
      <c r="O122" s="33">
        <f>1166400+5500000</f>
        <v>6666400</v>
      </c>
      <c r="P122" s="197" t="s">
        <v>2057</v>
      </c>
      <c r="Q122" s="20">
        <f t="shared" si="54"/>
        <v>333600</v>
      </c>
      <c r="R122" s="68" t="s">
        <v>2018</v>
      </c>
      <c r="S122" s="8" t="s">
        <v>2133</v>
      </c>
      <c r="T122" s="11"/>
    </row>
    <row r="123" spans="1:26">
      <c r="A123" t="s">
        <v>30</v>
      </c>
      <c r="B123" s="151" t="s">
        <v>1868</v>
      </c>
      <c r="C123" s="153"/>
      <c r="D123" s="17">
        <v>45838</v>
      </c>
      <c r="E123" s="1" t="s">
        <v>1903</v>
      </c>
      <c r="F123" s="2"/>
      <c r="G123" s="2" t="s">
        <v>15</v>
      </c>
      <c r="H123" s="83" t="s">
        <v>1781</v>
      </c>
      <c r="I123" s="4" t="s">
        <v>1843</v>
      </c>
      <c r="J123" s="23">
        <v>1</v>
      </c>
      <c r="K123" s="27">
        <v>200000</v>
      </c>
      <c r="L123" s="26">
        <f>SUM(K123:K127)</f>
        <v>980000</v>
      </c>
      <c r="M123" s="27">
        <f>L123*10%</f>
        <v>98000</v>
      </c>
      <c r="N123" s="27">
        <f>SUM(L123:M123)</f>
        <v>1078000</v>
      </c>
      <c r="O123" s="33">
        <f>150000+100000+200000+120000+120000</f>
        <v>690000</v>
      </c>
      <c r="P123" s="197" t="s">
        <v>1978</v>
      </c>
      <c r="Q123" s="20">
        <f t="shared" si="54"/>
        <v>290000</v>
      </c>
      <c r="R123" s="68" t="s">
        <v>2018</v>
      </c>
      <c r="S123" s="8" t="s">
        <v>2136</v>
      </c>
      <c r="T123" s="11"/>
    </row>
    <row r="124" spans="1:26">
      <c r="A124" t="s">
        <v>30</v>
      </c>
      <c r="B124" s="151" t="s">
        <v>1834</v>
      </c>
      <c r="C124" s="155"/>
      <c r="D124" s="43"/>
      <c r="E124" s="44" t="s">
        <v>1903</v>
      </c>
      <c r="F124" s="41"/>
      <c r="G124" s="2" t="s">
        <v>15</v>
      </c>
      <c r="H124" s="83" t="s">
        <v>1344</v>
      </c>
      <c r="I124" s="4" t="s">
        <v>1844</v>
      </c>
      <c r="J124" s="23">
        <v>1</v>
      </c>
      <c r="K124" s="27">
        <v>150000</v>
      </c>
      <c r="L124" s="37"/>
      <c r="M124" s="38"/>
      <c r="N124" s="38"/>
      <c r="O124" s="33"/>
      <c r="P124" s="197" t="s">
        <v>1979</v>
      </c>
      <c r="Q124" s="40"/>
      <c r="R124" s="41"/>
      <c r="S124" s="42"/>
      <c r="T124" s="11"/>
    </row>
    <row r="125" spans="1:26">
      <c r="A125" t="s">
        <v>30</v>
      </c>
      <c r="B125" s="151" t="s">
        <v>1835</v>
      </c>
      <c r="C125" s="155"/>
      <c r="D125" s="43"/>
      <c r="E125" s="44" t="s">
        <v>1903</v>
      </c>
      <c r="F125" s="41"/>
      <c r="G125" s="2" t="s">
        <v>15</v>
      </c>
      <c r="H125" s="83" t="s">
        <v>1845</v>
      </c>
      <c r="I125" s="4" t="s">
        <v>1846</v>
      </c>
      <c r="J125" s="23">
        <v>1</v>
      </c>
      <c r="K125" s="27">
        <v>250000</v>
      </c>
      <c r="L125" s="37"/>
      <c r="M125" s="38"/>
      <c r="N125" s="38"/>
      <c r="O125" s="33"/>
      <c r="P125" s="197" t="s">
        <v>1980</v>
      </c>
      <c r="Q125" s="40"/>
      <c r="R125" s="41"/>
      <c r="S125" s="42"/>
      <c r="T125" s="11"/>
    </row>
    <row r="126" spans="1:26">
      <c r="A126" t="s">
        <v>30</v>
      </c>
      <c r="B126" s="151" t="s">
        <v>1836</v>
      </c>
      <c r="C126" s="155"/>
      <c r="D126" s="43"/>
      <c r="E126" s="44" t="s">
        <v>1903</v>
      </c>
      <c r="F126" s="41"/>
      <c r="G126" s="2" t="s">
        <v>15</v>
      </c>
      <c r="H126" s="83" t="s">
        <v>1847</v>
      </c>
      <c r="I126" s="4" t="s">
        <v>1848</v>
      </c>
      <c r="J126" s="23">
        <v>1</v>
      </c>
      <c r="K126" s="27">
        <v>190000</v>
      </c>
      <c r="L126" s="37"/>
      <c r="M126" s="38"/>
      <c r="N126" s="38"/>
      <c r="O126" s="33"/>
      <c r="P126" s="197" t="s">
        <v>1981</v>
      </c>
      <c r="Q126" s="40"/>
      <c r="R126" s="41"/>
      <c r="S126" s="42"/>
      <c r="T126" s="11"/>
    </row>
    <row r="127" spans="1:26">
      <c r="A127" t="s">
        <v>30</v>
      </c>
      <c r="B127" s="151" t="s">
        <v>1837</v>
      </c>
      <c r="C127" s="155"/>
      <c r="D127" s="43"/>
      <c r="E127" s="44" t="s">
        <v>1903</v>
      </c>
      <c r="F127" s="41"/>
      <c r="G127" s="2" t="s">
        <v>15</v>
      </c>
      <c r="H127" s="83" t="s">
        <v>1849</v>
      </c>
      <c r="I127" s="4" t="s">
        <v>1850</v>
      </c>
      <c r="J127" s="23">
        <v>1</v>
      </c>
      <c r="K127" s="27">
        <v>190000</v>
      </c>
      <c r="L127" s="37"/>
      <c r="M127" s="38"/>
      <c r="N127" s="38"/>
      <c r="O127" s="33"/>
      <c r="P127" s="197" t="s">
        <v>1981</v>
      </c>
      <c r="Q127" s="40"/>
      <c r="R127" s="41"/>
      <c r="S127" s="42"/>
      <c r="T127" s="11"/>
    </row>
    <row r="128" spans="1:26">
      <c r="A128" t="s">
        <v>30</v>
      </c>
      <c r="B128" s="151" t="s">
        <v>1866</v>
      </c>
      <c r="C128" s="153"/>
      <c r="D128" s="17">
        <v>45838</v>
      </c>
      <c r="E128" s="1" t="s">
        <v>1795</v>
      </c>
      <c r="F128" s="2"/>
      <c r="G128" s="2" t="s">
        <v>15</v>
      </c>
      <c r="H128" s="83" t="s">
        <v>1796</v>
      </c>
      <c r="I128" s="4" t="s">
        <v>1794</v>
      </c>
      <c r="J128" s="23">
        <v>3</v>
      </c>
      <c r="K128" s="27">
        <v>200000</v>
      </c>
      <c r="L128" s="26">
        <f>J128*K128</f>
        <v>600000</v>
      </c>
      <c r="M128" s="27">
        <f>L128*10%</f>
        <v>60000</v>
      </c>
      <c r="N128" s="27">
        <f>SUM(L128:M128)</f>
        <v>660000</v>
      </c>
      <c r="O128" s="33">
        <f>3*150000</f>
        <v>450000</v>
      </c>
      <c r="P128" s="197" t="s">
        <v>1922</v>
      </c>
      <c r="Q128" s="20">
        <f t="shared" si="54"/>
        <v>150000</v>
      </c>
      <c r="R128" s="68" t="s">
        <v>2018</v>
      </c>
      <c r="S128" s="8" t="s">
        <v>2136</v>
      </c>
      <c r="T128" s="11"/>
    </row>
    <row r="129" spans="1:20">
      <c r="A129" t="s">
        <v>30</v>
      </c>
      <c r="B129" s="151" t="s">
        <v>1832</v>
      </c>
      <c r="C129" s="153"/>
      <c r="D129" s="17">
        <v>45838</v>
      </c>
      <c r="E129" s="1" t="s">
        <v>54</v>
      </c>
      <c r="F129" s="2"/>
      <c r="G129" s="2" t="s">
        <v>15</v>
      </c>
      <c r="H129" s="83" t="s">
        <v>1840</v>
      </c>
      <c r="I129" s="4" t="s">
        <v>1841</v>
      </c>
      <c r="J129" s="23">
        <v>1</v>
      </c>
      <c r="K129" s="27">
        <v>100000</v>
      </c>
      <c r="L129" s="26">
        <f>J129*K129</f>
        <v>100000</v>
      </c>
      <c r="M129" s="27">
        <f>L129*10%</f>
        <v>10000</v>
      </c>
      <c r="N129" s="27">
        <f>SUM(L129:M129)</f>
        <v>110000</v>
      </c>
      <c r="O129" s="33">
        <v>60000</v>
      </c>
      <c r="P129" s="197" t="s">
        <v>1977</v>
      </c>
      <c r="Q129" s="20">
        <f t="shared" si="54"/>
        <v>40000</v>
      </c>
      <c r="R129" s="68" t="s">
        <v>2018</v>
      </c>
      <c r="S129" s="8" t="s">
        <v>2136</v>
      </c>
      <c r="T129" s="11"/>
    </row>
    <row r="130" spans="1:20">
      <c r="A130" t="s">
        <v>30</v>
      </c>
      <c r="B130" s="151" t="s">
        <v>1831</v>
      </c>
      <c r="C130" s="153"/>
      <c r="D130" s="17">
        <v>45838</v>
      </c>
      <c r="E130" s="1" t="s">
        <v>1851</v>
      </c>
      <c r="F130" s="2"/>
      <c r="G130" s="2" t="s">
        <v>15</v>
      </c>
      <c r="H130" s="83" t="s">
        <v>1838</v>
      </c>
      <c r="I130" s="4" t="s">
        <v>1839</v>
      </c>
      <c r="J130" s="23">
        <v>1</v>
      </c>
      <c r="K130" s="27">
        <v>350000</v>
      </c>
      <c r="L130" s="26">
        <f>J130*K130</f>
        <v>350000</v>
      </c>
      <c r="M130" s="27">
        <f>L130*10%</f>
        <v>35000</v>
      </c>
      <c r="N130" s="27">
        <f>SUM(L130:M130)</f>
        <v>385000</v>
      </c>
      <c r="O130" s="33">
        <v>250000</v>
      </c>
      <c r="P130" s="197" t="s">
        <v>1976</v>
      </c>
      <c r="Q130" s="20">
        <f t="shared" si="54"/>
        <v>100000</v>
      </c>
      <c r="R130" s="68" t="s">
        <v>1902</v>
      </c>
      <c r="S130" s="8" t="s">
        <v>2136</v>
      </c>
      <c r="T130" s="11"/>
    </row>
    <row r="131" spans="1:20" ht="24">
      <c r="A131" t="s">
        <v>30</v>
      </c>
      <c r="B131" s="151" t="s">
        <v>1668</v>
      </c>
      <c r="C131" s="153"/>
      <c r="D131" s="17">
        <v>45838</v>
      </c>
      <c r="E131" s="1" t="s">
        <v>1673</v>
      </c>
      <c r="F131" s="2"/>
      <c r="G131" s="2" t="s">
        <v>15</v>
      </c>
      <c r="H131" s="83" t="s">
        <v>1669</v>
      </c>
      <c r="I131" s="4" t="s">
        <v>1670</v>
      </c>
      <c r="J131" s="23">
        <v>1</v>
      </c>
      <c r="K131" s="27">
        <v>300000</v>
      </c>
      <c r="L131" s="26">
        <v>1010000</v>
      </c>
      <c r="M131" s="27">
        <f>L131*10%</f>
        <v>101000</v>
      </c>
      <c r="N131" s="27">
        <f>SUM(L131:M131)</f>
        <v>1111000</v>
      </c>
      <c r="O131" s="33">
        <f>250000+3800+220000+130000+200000+25000</f>
        <v>828800</v>
      </c>
      <c r="P131" s="197" t="s">
        <v>1969</v>
      </c>
      <c r="Q131" s="20">
        <f t="shared" si="54"/>
        <v>181200</v>
      </c>
      <c r="R131" s="68" t="s">
        <v>2007</v>
      </c>
      <c r="S131" s="8" t="s">
        <v>2136</v>
      </c>
      <c r="T131" s="11"/>
    </row>
    <row r="132" spans="1:20">
      <c r="A132" t="s">
        <v>30</v>
      </c>
      <c r="B132" s="151" t="s">
        <v>1759</v>
      </c>
      <c r="C132" s="155"/>
      <c r="D132" s="43"/>
      <c r="E132" s="44" t="s">
        <v>158</v>
      </c>
      <c r="F132" s="41"/>
      <c r="G132" s="2" t="s">
        <v>15</v>
      </c>
      <c r="H132" s="83" t="s">
        <v>1762</v>
      </c>
      <c r="I132" s="4" t="s">
        <v>1763</v>
      </c>
      <c r="J132" s="23">
        <v>1</v>
      </c>
      <c r="K132" s="27">
        <v>300000</v>
      </c>
      <c r="L132" s="37"/>
      <c r="M132" s="38"/>
      <c r="N132" s="38"/>
      <c r="O132" s="33"/>
      <c r="P132" s="197" t="s">
        <v>1970</v>
      </c>
      <c r="Q132" s="40"/>
      <c r="R132" s="41"/>
      <c r="S132" s="42"/>
      <c r="T132" s="11"/>
    </row>
    <row r="133" spans="1:20">
      <c r="A133" t="s">
        <v>30</v>
      </c>
      <c r="B133" s="151" t="s">
        <v>1761</v>
      </c>
      <c r="C133" s="155"/>
      <c r="D133" s="43"/>
      <c r="E133" s="44" t="s">
        <v>158</v>
      </c>
      <c r="F133" s="41"/>
      <c r="G133" s="2" t="s">
        <v>15</v>
      </c>
      <c r="H133" s="83" t="s">
        <v>1764</v>
      </c>
      <c r="I133" s="4" t="s">
        <v>1765</v>
      </c>
      <c r="J133" s="23">
        <v>1</v>
      </c>
      <c r="K133" s="27">
        <v>170000</v>
      </c>
      <c r="L133" s="37"/>
      <c r="M133" s="38"/>
      <c r="N133" s="38"/>
      <c r="O133" s="33"/>
      <c r="P133" s="197" t="s">
        <v>1971</v>
      </c>
      <c r="Q133" s="40"/>
      <c r="R133" s="41"/>
      <c r="S133" s="42"/>
      <c r="T133" s="11"/>
    </row>
    <row r="134" spans="1:20" ht="24">
      <c r="A134" t="s">
        <v>30</v>
      </c>
      <c r="B134" s="151" t="s">
        <v>1904</v>
      </c>
      <c r="C134" s="155"/>
      <c r="D134" s="43"/>
      <c r="E134" s="44" t="s">
        <v>158</v>
      </c>
      <c r="F134" s="41"/>
      <c r="G134" s="2" t="s">
        <v>15</v>
      </c>
      <c r="H134" s="83" t="s">
        <v>1905</v>
      </c>
      <c r="I134" s="4" t="s">
        <v>1906</v>
      </c>
      <c r="J134" s="23">
        <v>2</v>
      </c>
      <c r="K134" s="27">
        <v>120000</v>
      </c>
      <c r="L134" s="37"/>
      <c r="M134" s="38"/>
      <c r="N134" s="38"/>
      <c r="O134" s="33"/>
      <c r="P134" s="197" t="s">
        <v>1972</v>
      </c>
      <c r="Q134" s="40"/>
      <c r="R134" s="41"/>
      <c r="S134" s="42"/>
      <c r="T134" s="11"/>
    </row>
    <row r="135" spans="1:20" ht="24">
      <c r="A135" t="s">
        <v>30</v>
      </c>
      <c r="B135" s="151" t="s">
        <v>1867</v>
      </c>
      <c r="C135" s="153"/>
      <c r="D135" s="17">
        <v>45838</v>
      </c>
      <c r="E135" s="1" t="s">
        <v>1777</v>
      </c>
      <c r="F135" s="2"/>
      <c r="G135" s="2" t="s">
        <v>15</v>
      </c>
      <c r="H135" s="83" t="s">
        <v>1784</v>
      </c>
      <c r="I135" s="4" t="s">
        <v>1785</v>
      </c>
      <c r="J135" s="23">
        <v>6</v>
      </c>
      <c r="K135" s="27">
        <v>320000</v>
      </c>
      <c r="L135" s="26">
        <v>7890000</v>
      </c>
      <c r="M135" s="27">
        <f>L135*10%</f>
        <v>789000</v>
      </c>
      <c r="N135" s="27">
        <f>SUM(L135:M135)</f>
        <v>8679000</v>
      </c>
      <c r="O135" s="33">
        <f>6*240000+2*1300000+350000+1562727+1000000+3800</f>
        <v>6956527</v>
      </c>
      <c r="P135" s="197" t="s">
        <v>1951</v>
      </c>
      <c r="Q135" s="20">
        <f t="shared" si="54"/>
        <v>933473</v>
      </c>
      <c r="R135" s="68" t="s">
        <v>2038</v>
      </c>
      <c r="S135" s="8" t="s">
        <v>2136</v>
      </c>
      <c r="T135" s="11"/>
    </row>
    <row r="136" spans="1:20">
      <c r="A136" t="s">
        <v>30</v>
      </c>
      <c r="B136" s="151" t="s">
        <v>1791</v>
      </c>
      <c r="C136" s="155"/>
      <c r="D136" s="43"/>
      <c r="E136" s="44" t="s">
        <v>1777</v>
      </c>
      <c r="F136" s="41"/>
      <c r="G136" s="2" t="s">
        <v>15</v>
      </c>
      <c r="H136" s="83" t="s">
        <v>552</v>
      </c>
      <c r="I136" s="4" t="s">
        <v>1786</v>
      </c>
      <c r="J136" s="23">
        <v>2</v>
      </c>
      <c r="K136" s="27">
        <v>1350000</v>
      </c>
      <c r="L136" s="37"/>
      <c r="M136" s="38"/>
      <c r="N136" s="38"/>
      <c r="O136" s="39"/>
      <c r="P136" s="197" t="s">
        <v>2021</v>
      </c>
      <c r="Q136" s="40"/>
      <c r="R136" s="41"/>
      <c r="S136" s="42"/>
      <c r="T136" s="11"/>
    </row>
    <row r="137" spans="1:20">
      <c r="A137" t="s">
        <v>30</v>
      </c>
      <c r="B137" s="151" t="s">
        <v>1792</v>
      </c>
      <c r="C137" s="155"/>
      <c r="D137" s="43"/>
      <c r="E137" s="44" t="s">
        <v>1777</v>
      </c>
      <c r="F137" s="41"/>
      <c r="G137" s="2" t="s">
        <v>15</v>
      </c>
      <c r="H137" s="83" t="s">
        <v>1787</v>
      </c>
      <c r="I137" s="4" t="s">
        <v>1788</v>
      </c>
      <c r="J137" s="23">
        <v>1</v>
      </c>
      <c r="K137" s="27">
        <v>370000</v>
      </c>
      <c r="L137" s="37"/>
      <c r="M137" s="38"/>
      <c r="N137" s="38"/>
      <c r="O137" s="39"/>
      <c r="P137" s="197" t="s">
        <v>2022</v>
      </c>
      <c r="Q137" s="40"/>
      <c r="R137" s="41"/>
      <c r="S137" s="42"/>
      <c r="T137" s="11"/>
    </row>
    <row r="138" spans="1:20" ht="24">
      <c r="A138" t="s">
        <v>30</v>
      </c>
      <c r="B138" s="151" t="s">
        <v>1793</v>
      </c>
      <c r="C138" s="155"/>
      <c r="D138" s="43"/>
      <c r="E138" s="44" t="s">
        <v>92</v>
      </c>
      <c r="F138" s="41"/>
      <c r="G138" s="2" t="s">
        <v>15</v>
      </c>
      <c r="H138" s="83" t="s">
        <v>1789</v>
      </c>
      <c r="I138" s="4" t="s">
        <v>1790</v>
      </c>
      <c r="J138" s="23">
        <v>1</v>
      </c>
      <c r="K138" s="27">
        <v>1800000</v>
      </c>
      <c r="L138" s="37"/>
      <c r="M138" s="38"/>
      <c r="N138" s="38"/>
      <c r="O138" s="39"/>
      <c r="P138" s="197" t="s">
        <v>1923</v>
      </c>
      <c r="Q138" s="40"/>
      <c r="R138" s="41"/>
      <c r="S138" s="42"/>
      <c r="T138" s="11"/>
    </row>
    <row r="139" spans="1:20" ht="24">
      <c r="B139" s="151" t="s">
        <v>1874</v>
      </c>
      <c r="C139" s="155"/>
      <c r="D139" s="43"/>
      <c r="E139" s="44" t="s">
        <v>92</v>
      </c>
      <c r="F139" s="41"/>
      <c r="G139" s="2" t="s">
        <v>15</v>
      </c>
      <c r="H139" s="83" t="s">
        <v>1875</v>
      </c>
      <c r="I139" s="4" t="s">
        <v>1876</v>
      </c>
      <c r="J139" s="23">
        <v>1</v>
      </c>
      <c r="K139" s="27">
        <v>1100000</v>
      </c>
      <c r="L139" s="37"/>
      <c r="M139" s="38"/>
      <c r="N139" s="38"/>
      <c r="O139" s="39"/>
      <c r="P139" s="197" t="s">
        <v>1983</v>
      </c>
      <c r="Q139" s="40"/>
      <c r="R139" s="41"/>
      <c r="S139" s="42"/>
      <c r="T139" s="11"/>
    </row>
    <row r="140" spans="1:20">
      <c r="A140" t="s">
        <v>30</v>
      </c>
      <c r="B140" s="151" t="s">
        <v>1907</v>
      </c>
      <c r="C140" s="153"/>
      <c r="D140" s="17">
        <v>45838</v>
      </c>
      <c r="E140" s="1" t="s">
        <v>69</v>
      </c>
      <c r="F140" s="2"/>
      <c r="G140" s="2" t="s">
        <v>15</v>
      </c>
      <c r="H140" s="83" t="s">
        <v>1908</v>
      </c>
      <c r="I140" s="4" t="s">
        <v>1909</v>
      </c>
      <c r="J140" s="23">
        <v>1</v>
      </c>
      <c r="K140" s="27">
        <v>460000</v>
      </c>
      <c r="L140" s="26">
        <f t="shared" ref="L140:L146" si="55">J140*K140</f>
        <v>460000</v>
      </c>
      <c r="M140" s="27">
        <f t="shared" ref="M140:M146" si="56">L140*10%</f>
        <v>46000</v>
      </c>
      <c r="N140" s="27">
        <f t="shared" ref="N140:N142" si="57">SUM(L140:M140)</f>
        <v>506000</v>
      </c>
      <c r="O140" s="33">
        <v>400000</v>
      </c>
      <c r="P140" s="197" t="s">
        <v>1982</v>
      </c>
      <c r="Q140" s="20">
        <f t="shared" ref="Q140:Q146" si="58">L140-O140</f>
        <v>60000</v>
      </c>
      <c r="R140" s="68" t="s">
        <v>2018</v>
      </c>
      <c r="S140" s="8" t="s">
        <v>2136</v>
      </c>
      <c r="T140" s="11"/>
    </row>
    <row r="141" spans="1:20" ht="24">
      <c r="A141" t="s">
        <v>30</v>
      </c>
      <c r="B141" s="151" t="s">
        <v>1859</v>
      </c>
      <c r="C141" s="153"/>
      <c r="D141" s="17">
        <v>45838</v>
      </c>
      <c r="E141" s="1" t="s">
        <v>2142</v>
      </c>
      <c r="F141" s="2"/>
      <c r="G141" s="2" t="s">
        <v>15</v>
      </c>
      <c r="H141" s="83" t="s">
        <v>1860</v>
      </c>
      <c r="I141" s="4" t="s">
        <v>1861</v>
      </c>
      <c r="J141" s="23">
        <v>1</v>
      </c>
      <c r="K141" s="27">
        <v>2100000</v>
      </c>
      <c r="L141" s="26">
        <f>J141*K141</f>
        <v>2100000</v>
      </c>
      <c r="M141" s="27">
        <f>L141*10%</f>
        <v>210000</v>
      </c>
      <c r="N141" s="27">
        <f>SUM(L141:M141)</f>
        <v>2310000</v>
      </c>
      <c r="O141" s="33">
        <f>1970000+3800</f>
        <v>1973800</v>
      </c>
      <c r="P141" s="197" t="s">
        <v>1948</v>
      </c>
      <c r="Q141" s="20">
        <f>L141-O141</f>
        <v>126200</v>
      </c>
      <c r="R141" s="68" t="s">
        <v>2008</v>
      </c>
      <c r="S141" s="8" t="s">
        <v>2132</v>
      </c>
      <c r="T141" s="11"/>
    </row>
    <row r="142" spans="1:20" ht="24">
      <c r="A142" t="s">
        <v>30</v>
      </c>
      <c r="B142" s="151" t="s">
        <v>2004</v>
      </c>
      <c r="C142" s="153"/>
      <c r="D142" s="17">
        <v>45838</v>
      </c>
      <c r="E142" s="1" t="s">
        <v>1934</v>
      </c>
      <c r="F142" s="2" t="s">
        <v>1937</v>
      </c>
      <c r="G142" s="2" t="s">
        <v>1935</v>
      </c>
      <c r="H142" s="83" t="s">
        <v>1154</v>
      </c>
      <c r="I142" s="4" t="s">
        <v>1936</v>
      </c>
      <c r="J142" s="23">
        <v>1</v>
      </c>
      <c r="K142" s="27">
        <v>1440000</v>
      </c>
      <c r="L142" s="26">
        <f t="shared" si="55"/>
        <v>1440000</v>
      </c>
      <c r="M142" s="27">
        <f t="shared" si="56"/>
        <v>144000</v>
      </c>
      <c r="N142" s="27">
        <f t="shared" si="57"/>
        <v>1584000</v>
      </c>
      <c r="O142" s="33">
        <f>997000+1750000/7</f>
        <v>1247000</v>
      </c>
      <c r="P142" s="197" t="s">
        <v>2120</v>
      </c>
      <c r="Q142" s="20">
        <f t="shared" si="58"/>
        <v>193000</v>
      </c>
      <c r="R142" s="68" t="s">
        <v>2039</v>
      </c>
      <c r="S142" s="8" t="s">
        <v>2133</v>
      </c>
      <c r="T142" s="11"/>
    </row>
    <row r="143" spans="1:20">
      <c r="A143" t="s">
        <v>30</v>
      </c>
      <c r="B143" s="151" t="s">
        <v>1869</v>
      </c>
      <c r="C143" s="153"/>
      <c r="D143" s="17">
        <v>45838</v>
      </c>
      <c r="E143" s="1" t="s">
        <v>2199</v>
      </c>
      <c r="F143" s="2"/>
      <c r="G143" s="2" t="s">
        <v>15</v>
      </c>
      <c r="H143" s="83" t="s">
        <v>1854</v>
      </c>
      <c r="I143" s="4" t="s">
        <v>1855</v>
      </c>
      <c r="J143" s="23">
        <v>3</v>
      </c>
      <c r="K143" s="27">
        <v>7000</v>
      </c>
      <c r="L143" s="26">
        <v>171000</v>
      </c>
      <c r="M143" s="27">
        <f>L143*10%</f>
        <v>17100</v>
      </c>
      <c r="N143" s="27">
        <f>SUM(L143:M143)</f>
        <v>188100</v>
      </c>
      <c r="O143" s="33">
        <f>17981+82982+45000</f>
        <v>145963</v>
      </c>
      <c r="P143" s="197" t="s">
        <v>1942</v>
      </c>
      <c r="Q143" s="20">
        <f>L143-O143</f>
        <v>25037</v>
      </c>
      <c r="R143" s="68" t="s">
        <v>2031</v>
      </c>
      <c r="S143" s="8" t="s">
        <v>2136</v>
      </c>
      <c r="T143" s="11"/>
    </row>
    <row r="144" spans="1:20">
      <c r="A144" t="s">
        <v>30</v>
      </c>
      <c r="B144" s="151" t="s">
        <v>1852</v>
      </c>
      <c r="C144" s="155"/>
      <c r="D144" s="43"/>
      <c r="E144" s="44" t="s">
        <v>2199</v>
      </c>
      <c r="F144" s="41"/>
      <c r="G144" s="2" t="s">
        <v>15</v>
      </c>
      <c r="H144" s="83" t="s">
        <v>1854</v>
      </c>
      <c r="I144" s="4" t="s">
        <v>1856</v>
      </c>
      <c r="J144" s="23">
        <v>5</v>
      </c>
      <c r="K144" s="27">
        <v>9200</v>
      </c>
      <c r="L144" s="37"/>
      <c r="M144" s="38"/>
      <c r="N144" s="38"/>
      <c r="O144" s="33"/>
      <c r="P144" s="197"/>
      <c r="Q144" s="40"/>
      <c r="R144" s="41"/>
      <c r="S144" s="42"/>
      <c r="T144" s="11"/>
    </row>
    <row r="145" spans="1:20">
      <c r="A145" t="s">
        <v>30</v>
      </c>
      <c r="B145" s="151" t="s">
        <v>1853</v>
      </c>
      <c r="C145" s="155"/>
      <c r="D145" s="43"/>
      <c r="E145" s="44" t="s">
        <v>2199</v>
      </c>
      <c r="F145" s="41"/>
      <c r="G145" s="2" t="s">
        <v>15</v>
      </c>
      <c r="H145" s="83" t="s">
        <v>1854</v>
      </c>
      <c r="I145" s="4" t="s">
        <v>1857</v>
      </c>
      <c r="J145" s="23">
        <v>8</v>
      </c>
      <c r="K145" s="27">
        <v>13000</v>
      </c>
      <c r="L145" s="37"/>
      <c r="M145" s="38"/>
      <c r="N145" s="38"/>
      <c r="O145" s="33"/>
      <c r="P145" s="197" t="s">
        <v>1858</v>
      </c>
      <c r="Q145" s="40"/>
      <c r="R145" s="41"/>
      <c r="S145" s="42"/>
      <c r="T145" s="11"/>
    </row>
    <row r="146" spans="1:20">
      <c r="A146" t="s">
        <v>30</v>
      </c>
      <c r="B146" s="151"/>
      <c r="C146" s="153"/>
      <c r="D146" s="17"/>
      <c r="E146" s="1"/>
      <c r="F146" s="2"/>
      <c r="G146" s="2"/>
      <c r="H146" s="83"/>
      <c r="I146" s="163"/>
      <c r="J146" s="128"/>
      <c r="K146" s="26"/>
      <c r="L146" s="26">
        <f t="shared" si="55"/>
        <v>0</v>
      </c>
      <c r="M146" s="27">
        <f t="shared" si="56"/>
        <v>0</v>
      </c>
      <c r="N146" s="27">
        <f>SUM(L146:M146)</f>
        <v>0</v>
      </c>
      <c r="O146" s="132"/>
      <c r="P146" s="173"/>
      <c r="Q146" s="20">
        <f t="shared" si="58"/>
        <v>0</v>
      </c>
      <c r="R146" s="2"/>
      <c r="S146" s="5"/>
      <c r="T146" s="11"/>
    </row>
    <row r="147" spans="1:20" ht="26.25" customHeight="1" thickBot="1">
      <c r="A147" t="s">
        <v>30</v>
      </c>
      <c r="B147" s="269" t="s">
        <v>32</v>
      </c>
      <c r="C147" s="270"/>
      <c r="D147" s="270"/>
      <c r="E147" s="270"/>
      <c r="F147" s="270"/>
      <c r="G147" s="270"/>
      <c r="H147" s="270"/>
      <c r="I147" s="270"/>
      <c r="J147" s="270"/>
      <c r="K147" s="271"/>
      <c r="L147" s="25">
        <f>SUM(L3:L146)</f>
        <v>331652789</v>
      </c>
      <c r="M147" s="25">
        <f>SUM(M3:M146)</f>
        <v>33165279.199999999</v>
      </c>
      <c r="N147" s="25">
        <f>SUM(N3:N146)</f>
        <v>364818068.19999999</v>
      </c>
      <c r="O147" s="25">
        <f>SUM(O3:O146)</f>
        <v>258555632.33333328</v>
      </c>
      <c r="P147" s="177"/>
      <c r="Q147" s="25">
        <f>SUM(Q3:Q146)</f>
        <v>73097156.666666672</v>
      </c>
      <c r="R147" s="177"/>
      <c r="S147" s="12"/>
      <c r="T147" s="13"/>
    </row>
    <row r="148" spans="1:20">
      <c r="A148" t="s">
        <v>30</v>
      </c>
    </row>
    <row r="149" spans="1:20">
      <c r="A149" t="s">
        <v>30</v>
      </c>
      <c r="D149" s="196">
        <f>COUNTA(D3:D146)</f>
        <v>127</v>
      </c>
      <c r="E149" s="16"/>
      <c r="K149" s="47" t="s">
        <v>56</v>
      </c>
      <c r="L149" s="62">
        <f>SUBTOTAL(109,L3:L146)</f>
        <v>331652789</v>
      </c>
      <c r="M149" s="62">
        <f>SUBTOTAL(109,M3:M146)</f>
        <v>33165279.199999999</v>
      </c>
      <c r="N149" s="62">
        <f>SUBTOTAL(109,N3:N146)</f>
        <v>364818068.19999999</v>
      </c>
    </row>
    <row r="150" spans="1:20">
      <c r="E150" s="156"/>
      <c r="N150" s="187"/>
      <c r="P150" s="178"/>
    </row>
    <row r="151" spans="1:20">
      <c r="H151" s="156"/>
      <c r="I151" s="156"/>
    </row>
    <row r="152" spans="1:20">
      <c r="L152" s="62"/>
      <c r="M152" s="62"/>
      <c r="N152" s="62"/>
    </row>
    <row r="153" spans="1:20">
      <c r="E153" s="178"/>
      <c r="L153" s="62"/>
      <c r="M153" s="62"/>
      <c r="N153" s="62"/>
    </row>
    <row r="154" spans="1:20">
      <c r="L154" s="62"/>
      <c r="M154" s="62"/>
      <c r="N154" s="62"/>
    </row>
    <row r="155" spans="1:20">
      <c r="L155" s="188"/>
      <c r="M155" s="62"/>
      <c r="N155" s="62"/>
    </row>
    <row r="156" spans="1:20">
      <c r="K156" s="190"/>
    </row>
    <row r="157" spans="1:20">
      <c r="K157" s="190"/>
    </row>
    <row r="158" spans="1:20">
      <c r="I158" t="s">
        <v>16</v>
      </c>
      <c r="K158" s="191">
        <f t="shared" ref="K158:K165" si="59">SUMIF($G$3:$G$146,I158,$L$3:$L$146)</f>
        <v>208209289</v>
      </c>
      <c r="N158" s="62"/>
    </row>
    <row r="159" spans="1:20">
      <c r="I159" t="s">
        <v>29</v>
      </c>
      <c r="K159" s="191">
        <f t="shared" si="59"/>
        <v>0</v>
      </c>
      <c r="N159" s="62"/>
    </row>
    <row r="160" spans="1:20">
      <c r="I160" t="s">
        <v>10</v>
      </c>
      <c r="K160" s="191">
        <f t="shared" si="59"/>
        <v>0</v>
      </c>
      <c r="N160" s="62"/>
    </row>
    <row r="161" spans="1:26">
      <c r="I161" t="s">
        <v>34</v>
      </c>
      <c r="K161" s="191">
        <f t="shared" si="59"/>
        <v>13464500</v>
      </c>
      <c r="N161" s="62"/>
    </row>
    <row r="162" spans="1:26">
      <c r="I162" t="s">
        <v>15</v>
      </c>
      <c r="K162" s="191">
        <f t="shared" si="59"/>
        <v>108779000</v>
      </c>
      <c r="N162" s="62"/>
    </row>
    <row r="163" spans="1:26" s="47" customFormat="1">
      <c r="A163"/>
      <c r="B163"/>
      <c r="C163"/>
      <c r="D163" s="15"/>
      <c r="E163"/>
      <c r="F163"/>
      <c r="G163"/>
      <c r="H163"/>
      <c r="I163" t="s">
        <v>35</v>
      </c>
      <c r="J163" s="185"/>
      <c r="K163" s="191">
        <f t="shared" si="59"/>
        <v>1200000</v>
      </c>
      <c r="N163" s="62"/>
      <c r="P163"/>
      <c r="R163"/>
      <c r="S163"/>
      <c r="T163"/>
      <c r="U163"/>
      <c r="V163"/>
      <c r="W163"/>
      <c r="X163"/>
      <c r="Y163"/>
      <c r="Z163"/>
    </row>
    <row r="164" spans="1:26" s="47" customFormat="1">
      <c r="A164"/>
      <c r="B164"/>
      <c r="C164"/>
      <c r="D164" s="15"/>
      <c r="E164"/>
      <c r="F164"/>
      <c r="G164"/>
      <c r="H164"/>
      <c r="I164" t="s">
        <v>36</v>
      </c>
      <c r="J164" s="185"/>
      <c r="K164" s="191">
        <f t="shared" si="59"/>
        <v>0</v>
      </c>
      <c r="P164"/>
      <c r="R164"/>
      <c r="S164"/>
      <c r="T164"/>
      <c r="U164"/>
      <c r="V164"/>
      <c r="W164"/>
      <c r="X164"/>
      <c r="Y164"/>
      <c r="Z164"/>
    </row>
    <row r="165" spans="1:26" s="47" customFormat="1">
      <c r="A165"/>
      <c r="B165"/>
      <c r="C165"/>
      <c r="D165" s="15"/>
      <c r="E165"/>
      <c r="F165"/>
      <c r="G165"/>
      <c r="H165"/>
      <c r="I165"/>
      <c r="J165" s="185"/>
      <c r="K165" s="191">
        <f t="shared" si="59"/>
        <v>0</v>
      </c>
      <c r="P165"/>
      <c r="R165"/>
      <c r="S165"/>
      <c r="T165"/>
      <c r="U165"/>
      <c r="V165"/>
      <c r="W165"/>
      <c r="X165"/>
      <c r="Y165"/>
      <c r="Z165"/>
    </row>
    <row r="166" spans="1:26" s="47" customFormat="1" ht="16.5">
      <c r="A166"/>
      <c r="B166"/>
      <c r="C166"/>
      <c r="D166" s="15"/>
      <c r="E166" s="158"/>
      <c r="F166"/>
      <c r="G166"/>
      <c r="H166"/>
      <c r="I166"/>
      <c r="J166" s="185"/>
      <c r="K166" s="191">
        <f>SUBTOTAL(9,K158:K165)</f>
        <v>331652789</v>
      </c>
      <c r="P166"/>
      <c r="R166"/>
      <c r="S166"/>
      <c r="T166"/>
      <c r="U166"/>
      <c r="V166"/>
      <c r="W166"/>
      <c r="X166"/>
      <c r="Y166"/>
      <c r="Z166"/>
    </row>
    <row r="167" spans="1:26" s="47" customFormat="1" ht="16.5">
      <c r="A167"/>
      <c r="B167"/>
      <c r="C167"/>
      <c r="D167" s="15"/>
      <c r="E167" s="158"/>
      <c r="F167"/>
      <c r="G167"/>
      <c r="H167"/>
      <c r="I167"/>
      <c r="J167" s="185"/>
      <c r="K167" s="190"/>
      <c r="P167"/>
      <c r="R167"/>
      <c r="S167"/>
      <c r="T167"/>
      <c r="U167"/>
      <c r="V167"/>
      <c r="W167"/>
      <c r="X167"/>
      <c r="Y167"/>
      <c r="Z167"/>
    </row>
    <row r="168" spans="1:26" s="47" customFormat="1" ht="16.5">
      <c r="A168"/>
      <c r="B168"/>
      <c r="C168"/>
      <c r="D168" s="15"/>
      <c r="E168" s="158"/>
      <c r="F168"/>
      <c r="G168"/>
      <c r="H168"/>
      <c r="I168"/>
      <c r="J168" s="185"/>
      <c r="P168"/>
      <c r="R168"/>
      <c r="S168"/>
      <c r="T168"/>
      <c r="U168"/>
      <c r="V168"/>
      <c r="W168"/>
      <c r="X168"/>
      <c r="Y168"/>
      <c r="Z168"/>
    </row>
    <row r="169" spans="1:26" s="47" customFormat="1" ht="16.5">
      <c r="A169"/>
      <c r="B169"/>
      <c r="C169"/>
      <c r="D169" s="15"/>
      <c r="E169" s="158"/>
      <c r="F169"/>
      <c r="G169"/>
      <c r="H169"/>
      <c r="I169"/>
      <c r="J169" s="185"/>
      <c r="P169"/>
      <c r="R169"/>
      <c r="S169"/>
      <c r="T169"/>
      <c r="U169"/>
      <c r="V169"/>
      <c r="W169"/>
      <c r="X169"/>
      <c r="Y169"/>
      <c r="Z169"/>
    </row>
    <row r="179" spans="1:26" s="49" customFormat="1">
      <c r="A179"/>
      <c r="B179"/>
      <c r="C179"/>
      <c r="D179" s="15"/>
      <c r="E179"/>
      <c r="F179"/>
      <c r="G179"/>
      <c r="H179"/>
      <c r="I179"/>
      <c r="J179" s="185"/>
      <c r="K179" s="47"/>
      <c r="L179" s="47"/>
      <c r="M179" s="47"/>
      <c r="N179" s="47"/>
      <c r="O179" s="47"/>
      <c r="P179"/>
      <c r="Q179" s="47"/>
      <c r="R179"/>
      <c r="S179"/>
      <c r="T179"/>
      <c r="U179"/>
      <c r="V179"/>
      <c r="W179"/>
      <c r="X179"/>
      <c r="Y179"/>
      <c r="Z179"/>
    </row>
  </sheetData>
  <autoFilter ref="A2:Z148" xr:uid="{00000000-0009-0000-0000-00000B000000}"/>
  <mergeCells count="1">
    <mergeCell ref="B147:K147"/>
  </mergeCells>
  <phoneticPr fontId="9" type="noConversion"/>
  <pageMargins left="0.25" right="0.25" top="0.75" bottom="0.75" header="0.3" footer="0.3"/>
  <pageSetup paperSize="9" scale="7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Master</vt:lpstr>
      <vt:lpstr>분류</vt:lpstr>
      <vt:lpstr>1월</vt:lpstr>
      <vt:lpstr>2월</vt:lpstr>
      <vt:lpstr>3월</vt:lpstr>
      <vt:lpstr>4월</vt:lpstr>
      <vt:lpstr>5월</vt:lpstr>
      <vt:lpstr>6월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서준혁</dc:creator>
  <cp:lastModifiedBy>Jyyoon</cp:lastModifiedBy>
  <cp:lastPrinted>2025-04-10T04:33:55Z</cp:lastPrinted>
  <dcterms:created xsi:type="dcterms:W3CDTF">2020-02-26T14:39:33Z</dcterms:created>
  <dcterms:modified xsi:type="dcterms:W3CDTF">2025-12-23T08:27:43Z</dcterms:modified>
</cp:coreProperties>
</file>