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yyoon\Desktop\경영팀\ERP\ERP\"/>
    </mc:Choice>
  </mc:AlternateContent>
  <xr:revisionPtr revIDLastSave="0" documentId="13_ncr:1_{7ADD3A08-F1B2-4E2B-8F2D-71D7E5AC4952}" xr6:coauthVersionLast="47" xr6:coauthVersionMax="47" xr10:uidLastSave="{00000000-0000-0000-0000-000000000000}"/>
  <bookViews>
    <workbookView xWindow="-120" yWindow="-120" windowWidth="29040" windowHeight="15840" activeTab="1" xr2:uid="{CBD9B81B-B930-490A-9CCE-5740F5A2703D}"/>
  </bookViews>
  <sheets>
    <sheet name="Master" sheetId="7" r:id="rId1"/>
    <sheet name="분류" sheetId="36" r:id="rId2"/>
    <sheet name="1월" sheetId="69" r:id="rId3"/>
    <sheet name="2월" sheetId="70" r:id="rId4"/>
    <sheet name="3월" sheetId="72" r:id="rId5"/>
    <sheet name="4월" sheetId="73" r:id="rId6"/>
    <sheet name="5월" sheetId="74" r:id="rId7"/>
    <sheet name="6월" sheetId="79" r:id="rId8"/>
    <sheet name="수입" sheetId="20" r:id="rId9"/>
    <sheet name="현금,법인카드" sheetId="54" r:id="rId10"/>
  </sheets>
  <definedNames>
    <definedName name="_xlnm._FilterDatabase" localSheetId="2" hidden="1">'1월'!$A$4:$V$224</definedName>
    <definedName name="_xlnm._FilterDatabase" localSheetId="3" hidden="1">'2월'!$A$4:$V$247</definedName>
    <definedName name="_xlnm._FilterDatabase" localSheetId="4" hidden="1">'3월'!$A$4:$V$227</definedName>
    <definedName name="_xlnm._FilterDatabase" localSheetId="5" hidden="1">'4월'!$A$4:$V$233</definedName>
    <definedName name="_xlnm._FilterDatabase" localSheetId="6" hidden="1">'5월'!$A$4:$V$230</definedName>
    <definedName name="_xlnm._FilterDatabase" localSheetId="7" hidden="1">'6월'!$A$4:$V$232</definedName>
    <definedName name="_xlnm._FilterDatabase" localSheetId="0" hidden="1">Master!$A$1:$V$1255</definedName>
    <definedName name="_xlnm.Print_Area" localSheetId="2">'1월'!$B$2:$R$207</definedName>
    <definedName name="_xlnm.Print_Area" localSheetId="3">'2월'!$B$2:$R$230</definedName>
    <definedName name="_xlnm.Print_Area" localSheetId="4">'3월'!$B$2:$R$210</definedName>
    <definedName name="_xlnm.Print_Area" localSheetId="5">'4월'!$B$2:$R$212</definedName>
    <definedName name="_xlnm.Print_Area" localSheetId="6">'5월'!$B$2:$R$213</definedName>
    <definedName name="_xlnm.Print_Area" localSheetId="7">'6월'!$B$2:$R$215</definedName>
    <definedName name="_xlnm.Print_Area" localSheetId="0">Master!$B$1:$R$1255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60" i="7" l="1"/>
  <c r="D46" i="54" l="1"/>
  <c r="D208" i="69" l="1"/>
  <c r="K35" i="54"/>
  <c r="L38" i="54" l="1"/>
  <c r="M38" i="54" s="1"/>
  <c r="N38" i="54" s="1"/>
  <c r="L39" i="54"/>
  <c r="M39" i="54" s="1"/>
  <c r="L40" i="54"/>
  <c r="M40" i="54" s="1"/>
  <c r="L41" i="54"/>
  <c r="M41" i="54" s="1"/>
  <c r="L42" i="54"/>
  <c r="L43" i="54"/>
  <c r="M43" i="54" s="1"/>
  <c r="M42" i="54" l="1"/>
  <c r="N42" i="54" s="1"/>
  <c r="N41" i="54"/>
  <c r="N40" i="54"/>
  <c r="N43" i="54"/>
  <c r="N39" i="54"/>
  <c r="F260" i="7" l="1"/>
  <c r="K37" i="54" l="1"/>
  <c r="N53" i="79" l="1"/>
  <c r="B1043" i="7" l="1"/>
  <c r="D1043" i="7"/>
  <c r="E1043" i="7"/>
  <c r="G1043" i="7"/>
  <c r="H1043" i="7"/>
  <c r="I1043" i="7"/>
  <c r="J1043" i="7"/>
  <c r="K1043" i="7"/>
  <c r="O1043" i="7"/>
  <c r="P1043" i="7"/>
  <c r="Q1043" i="7"/>
  <c r="B1044" i="7"/>
  <c r="D1044" i="7"/>
  <c r="E1044" i="7"/>
  <c r="F1044" i="7"/>
  <c r="G1044" i="7"/>
  <c r="H1044" i="7"/>
  <c r="I1044" i="7"/>
  <c r="J1044" i="7"/>
  <c r="K1044" i="7"/>
  <c r="M1044" i="7"/>
  <c r="P1044" i="7"/>
  <c r="Q1044" i="7"/>
  <c r="B1045" i="7"/>
  <c r="D1045" i="7"/>
  <c r="E1045" i="7"/>
  <c r="F1045" i="7"/>
  <c r="G1045" i="7"/>
  <c r="H1045" i="7"/>
  <c r="I1045" i="7"/>
  <c r="J1045" i="7"/>
  <c r="K1045" i="7"/>
  <c r="M1045" i="7"/>
  <c r="P1045" i="7"/>
  <c r="Q1045" i="7"/>
  <c r="B1046" i="7"/>
  <c r="D1046" i="7"/>
  <c r="E1046" i="7"/>
  <c r="F1046" i="7"/>
  <c r="G1046" i="7"/>
  <c r="H1046" i="7"/>
  <c r="I1046" i="7"/>
  <c r="J1046" i="7"/>
  <c r="K1046" i="7"/>
  <c r="M1046" i="7"/>
  <c r="P1046" i="7"/>
  <c r="Q1046" i="7"/>
  <c r="R1046" i="7"/>
  <c r="B1047" i="7"/>
  <c r="D1047" i="7"/>
  <c r="E1047" i="7"/>
  <c r="F1047" i="7"/>
  <c r="G1047" i="7"/>
  <c r="H1047" i="7"/>
  <c r="I1047" i="7"/>
  <c r="J1047" i="7"/>
  <c r="K1047" i="7"/>
  <c r="M1047" i="7"/>
  <c r="P1047" i="7"/>
  <c r="Q1047" i="7"/>
  <c r="B1048" i="7"/>
  <c r="D1048" i="7"/>
  <c r="E1048" i="7"/>
  <c r="F1048" i="7"/>
  <c r="G1048" i="7"/>
  <c r="H1048" i="7"/>
  <c r="I1048" i="7"/>
  <c r="J1048" i="7"/>
  <c r="K1048" i="7"/>
  <c r="M1048" i="7"/>
  <c r="P1048" i="7"/>
  <c r="Q1048" i="7"/>
  <c r="R1048" i="7"/>
  <c r="B1049" i="7"/>
  <c r="D1049" i="7"/>
  <c r="E1049" i="7"/>
  <c r="F1049" i="7"/>
  <c r="G1049" i="7"/>
  <c r="H1049" i="7"/>
  <c r="I1049" i="7"/>
  <c r="J1049" i="7"/>
  <c r="K1049" i="7"/>
  <c r="M1049" i="7"/>
  <c r="P1049" i="7"/>
  <c r="Q1049" i="7"/>
  <c r="B1050" i="7"/>
  <c r="D1050" i="7"/>
  <c r="E1050" i="7"/>
  <c r="F1050" i="7"/>
  <c r="G1050" i="7"/>
  <c r="H1050" i="7"/>
  <c r="I1050" i="7"/>
  <c r="J1050" i="7"/>
  <c r="K1050" i="7"/>
  <c r="M1050" i="7"/>
  <c r="P1050" i="7"/>
  <c r="Q1050" i="7"/>
  <c r="B1051" i="7"/>
  <c r="D1051" i="7"/>
  <c r="E1051" i="7"/>
  <c r="F1051" i="7"/>
  <c r="G1051" i="7"/>
  <c r="H1051" i="7"/>
  <c r="I1051" i="7"/>
  <c r="J1051" i="7"/>
  <c r="K1051" i="7"/>
  <c r="M1051" i="7"/>
  <c r="P1051" i="7"/>
  <c r="Q1051" i="7"/>
  <c r="R1051" i="7"/>
  <c r="B1052" i="7"/>
  <c r="D1052" i="7"/>
  <c r="E1052" i="7"/>
  <c r="F1052" i="7"/>
  <c r="G1052" i="7"/>
  <c r="H1052" i="7"/>
  <c r="I1052" i="7"/>
  <c r="J1052" i="7"/>
  <c r="K1052" i="7"/>
  <c r="M1052" i="7"/>
  <c r="P1052" i="7"/>
  <c r="Q1052" i="7"/>
  <c r="B1053" i="7"/>
  <c r="D1053" i="7"/>
  <c r="E1053" i="7"/>
  <c r="F1053" i="7"/>
  <c r="G1053" i="7"/>
  <c r="H1053" i="7"/>
  <c r="I1053" i="7"/>
  <c r="J1053" i="7"/>
  <c r="K1053" i="7"/>
  <c r="M1053" i="7"/>
  <c r="P1053" i="7"/>
  <c r="Q1053" i="7"/>
  <c r="B1054" i="7"/>
  <c r="D1054" i="7"/>
  <c r="E1054" i="7"/>
  <c r="F1054" i="7"/>
  <c r="G1054" i="7"/>
  <c r="H1054" i="7"/>
  <c r="I1054" i="7"/>
  <c r="J1054" i="7"/>
  <c r="K1054" i="7"/>
  <c r="M1054" i="7"/>
  <c r="P1054" i="7"/>
  <c r="Q1054" i="7"/>
  <c r="B1055" i="7"/>
  <c r="D1055" i="7"/>
  <c r="E1055" i="7"/>
  <c r="F1055" i="7"/>
  <c r="G1055" i="7"/>
  <c r="H1055" i="7"/>
  <c r="I1055" i="7"/>
  <c r="J1055" i="7"/>
  <c r="K1055" i="7"/>
  <c r="M1055" i="7"/>
  <c r="P1055" i="7"/>
  <c r="Q1055" i="7"/>
  <c r="B1056" i="7"/>
  <c r="D1056" i="7"/>
  <c r="E1056" i="7"/>
  <c r="F1056" i="7"/>
  <c r="G1056" i="7"/>
  <c r="H1056" i="7"/>
  <c r="I1056" i="7"/>
  <c r="J1056" i="7"/>
  <c r="K1056" i="7"/>
  <c r="M1056" i="7"/>
  <c r="P1056" i="7"/>
  <c r="Q1056" i="7"/>
  <c r="B1057" i="7"/>
  <c r="D1057" i="7"/>
  <c r="E1057" i="7"/>
  <c r="F1057" i="7"/>
  <c r="G1057" i="7"/>
  <c r="H1057" i="7"/>
  <c r="I1057" i="7"/>
  <c r="J1057" i="7"/>
  <c r="K1057" i="7"/>
  <c r="M1057" i="7"/>
  <c r="P1057" i="7"/>
  <c r="Q1057" i="7"/>
  <c r="B1058" i="7"/>
  <c r="D1058" i="7"/>
  <c r="E1058" i="7"/>
  <c r="F1058" i="7"/>
  <c r="G1058" i="7"/>
  <c r="H1058" i="7"/>
  <c r="I1058" i="7"/>
  <c r="J1058" i="7"/>
  <c r="K1058" i="7"/>
  <c r="M1058" i="7"/>
  <c r="P1058" i="7"/>
  <c r="Q1058" i="7"/>
  <c r="B1059" i="7"/>
  <c r="D1059" i="7"/>
  <c r="E1059" i="7"/>
  <c r="F1059" i="7"/>
  <c r="G1059" i="7"/>
  <c r="H1059" i="7"/>
  <c r="I1059" i="7"/>
  <c r="J1059" i="7"/>
  <c r="K1059" i="7"/>
  <c r="M1059" i="7"/>
  <c r="P1059" i="7"/>
  <c r="Q1059" i="7"/>
  <c r="B1060" i="7"/>
  <c r="D1060" i="7"/>
  <c r="E1060" i="7"/>
  <c r="F1060" i="7"/>
  <c r="G1060" i="7"/>
  <c r="H1060" i="7"/>
  <c r="I1060" i="7"/>
  <c r="J1060" i="7"/>
  <c r="K1060" i="7"/>
  <c r="M1060" i="7"/>
  <c r="P1060" i="7"/>
  <c r="Q1060" i="7"/>
  <c r="B1061" i="7"/>
  <c r="D1061" i="7"/>
  <c r="E1061" i="7"/>
  <c r="F1061" i="7"/>
  <c r="G1061" i="7"/>
  <c r="H1061" i="7"/>
  <c r="I1061" i="7"/>
  <c r="J1061" i="7"/>
  <c r="K1061" i="7"/>
  <c r="M1061" i="7"/>
  <c r="P1061" i="7"/>
  <c r="Q1061" i="7"/>
  <c r="B1062" i="7"/>
  <c r="D1062" i="7"/>
  <c r="E1062" i="7"/>
  <c r="F1062" i="7"/>
  <c r="G1062" i="7"/>
  <c r="H1062" i="7"/>
  <c r="I1062" i="7"/>
  <c r="J1062" i="7"/>
  <c r="K1062" i="7"/>
  <c r="M1062" i="7"/>
  <c r="P1062" i="7"/>
  <c r="Q1062" i="7"/>
  <c r="B1063" i="7"/>
  <c r="D1063" i="7"/>
  <c r="E1063" i="7"/>
  <c r="F1063" i="7"/>
  <c r="G1063" i="7"/>
  <c r="H1063" i="7"/>
  <c r="I1063" i="7"/>
  <c r="J1063" i="7"/>
  <c r="K1063" i="7"/>
  <c r="M1063" i="7"/>
  <c r="P1063" i="7"/>
  <c r="Q1063" i="7"/>
  <c r="B1064" i="7"/>
  <c r="D1064" i="7"/>
  <c r="E1064" i="7"/>
  <c r="F1064" i="7"/>
  <c r="G1064" i="7"/>
  <c r="H1064" i="7"/>
  <c r="I1064" i="7"/>
  <c r="J1064" i="7"/>
  <c r="K1064" i="7"/>
  <c r="M1064" i="7"/>
  <c r="P1064" i="7"/>
  <c r="Q1064" i="7"/>
  <c r="R1064" i="7"/>
  <c r="B1065" i="7"/>
  <c r="D1065" i="7"/>
  <c r="E1065" i="7"/>
  <c r="F1065" i="7"/>
  <c r="G1065" i="7"/>
  <c r="H1065" i="7"/>
  <c r="I1065" i="7"/>
  <c r="J1065" i="7"/>
  <c r="K1065" i="7"/>
  <c r="M1065" i="7"/>
  <c r="P1065" i="7"/>
  <c r="Q1065" i="7"/>
  <c r="B1066" i="7"/>
  <c r="D1066" i="7"/>
  <c r="E1066" i="7"/>
  <c r="F1066" i="7"/>
  <c r="G1066" i="7"/>
  <c r="H1066" i="7"/>
  <c r="I1066" i="7"/>
  <c r="J1066" i="7"/>
  <c r="K1066" i="7"/>
  <c r="M1066" i="7"/>
  <c r="P1066" i="7"/>
  <c r="Q1066" i="7"/>
  <c r="B1067" i="7"/>
  <c r="D1067" i="7"/>
  <c r="E1067" i="7"/>
  <c r="F1067" i="7"/>
  <c r="G1067" i="7"/>
  <c r="H1067" i="7"/>
  <c r="I1067" i="7"/>
  <c r="J1067" i="7"/>
  <c r="K1067" i="7"/>
  <c r="M1067" i="7"/>
  <c r="P1067" i="7"/>
  <c r="Q1067" i="7"/>
  <c r="B1068" i="7"/>
  <c r="D1068" i="7"/>
  <c r="E1068" i="7"/>
  <c r="F1068" i="7"/>
  <c r="G1068" i="7"/>
  <c r="H1068" i="7"/>
  <c r="I1068" i="7"/>
  <c r="J1068" i="7"/>
  <c r="K1068" i="7"/>
  <c r="P1068" i="7"/>
  <c r="Q1068" i="7"/>
  <c r="R1068" i="7"/>
  <c r="B1069" i="7"/>
  <c r="D1069" i="7"/>
  <c r="E1069" i="7"/>
  <c r="F1069" i="7"/>
  <c r="G1069" i="7"/>
  <c r="H1069" i="7"/>
  <c r="I1069" i="7"/>
  <c r="J1069" i="7"/>
  <c r="K1069" i="7"/>
  <c r="P1069" i="7"/>
  <c r="Q1069" i="7"/>
  <c r="B1070" i="7"/>
  <c r="D1070" i="7"/>
  <c r="E1070" i="7"/>
  <c r="F1070" i="7"/>
  <c r="G1070" i="7"/>
  <c r="H1070" i="7"/>
  <c r="I1070" i="7"/>
  <c r="J1070" i="7"/>
  <c r="K1070" i="7"/>
  <c r="M1070" i="7"/>
  <c r="P1070" i="7"/>
  <c r="Q1070" i="7"/>
  <c r="R1070" i="7"/>
  <c r="B1071" i="7"/>
  <c r="D1071" i="7"/>
  <c r="E1071" i="7"/>
  <c r="F1071" i="7"/>
  <c r="G1071" i="7"/>
  <c r="H1071" i="7"/>
  <c r="I1071" i="7"/>
  <c r="J1071" i="7"/>
  <c r="K1071" i="7"/>
  <c r="M1071" i="7"/>
  <c r="P1071" i="7"/>
  <c r="Q1071" i="7"/>
  <c r="B1072" i="7"/>
  <c r="D1072" i="7"/>
  <c r="E1072" i="7"/>
  <c r="F1072" i="7"/>
  <c r="G1072" i="7"/>
  <c r="H1072" i="7"/>
  <c r="I1072" i="7"/>
  <c r="J1072" i="7"/>
  <c r="K1072" i="7"/>
  <c r="M1072" i="7"/>
  <c r="P1072" i="7"/>
  <c r="Q1072" i="7"/>
  <c r="B1073" i="7"/>
  <c r="D1073" i="7"/>
  <c r="E1073" i="7"/>
  <c r="G1073" i="7"/>
  <c r="H1073" i="7"/>
  <c r="I1073" i="7"/>
  <c r="J1073" i="7"/>
  <c r="K1073" i="7"/>
  <c r="M1073" i="7"/>
  <c r="O1073" i="7"/>
  <c r="P1073" i="7"/>
  <c r="Q1073" i="7"/>
  <c r="B1074" i="7"/>
  <c r="D1074" i="7"/>
  <c r="E1074" i="7"/>
  <c r="F1074" i="7"/>
  <c r="G1074" i="7"/>
  <c r="H1074" i="7"/>
  <c r="I1074" i="7"/>
  <c r="J1074" i="7"/>
  <c r="K1074" i="7"/>
  <c r="M1074" i="7"/>
  <c r="P1074" i="7"/>
  <c r="Q1074" i="7"/>
  <c r="B1075" i="7"/>
  <c r="D1075" i="7"/>
  <c r="E1075" i="7"/>
  <c r="F1075" i="7"/>
  <c r="G1075" i="7"/>
  <c r="H1075" i="7"/>
  <c r="I1075" i="7"/>
  <c r="J1075" i="7"/>
  <c r="K1075" i="7"/>
  <c r="O1075" i="7"/>
  <c r="P1075" i="7"/>
  <c r="Q1075" i="7"/>
  <c r="B1076" i="7"/>
  <c r="D1076" i="7"/>
  <c r="E1076" i="7"/>
  <c r="F1076" i="7"/>
  <c r="G1076" i="7"/>
  <c r="H1076" i="7"/>
  <c r="I1076" i="7"/>
  <c r="J1076" i="7"/>
  <c r="K1076" i="7"/>
  <c r="O1076" i="7"/>
  <c r="P1076" i="7"/>
  <c r="Q1076" i="7"/>
  <c r="B1077" i="7"/>
  <c r="D1077" i="7"/>
  <c r="E1077" i="7"/>
  <c r="F1077" i="7"/>
  <c r="G1077" i="7"/>
  <c r="H1077" i="7"/>
  <c r="I1077" i="7"/>
  <c r="J1077" i="7"/>
  <c r="K1077" i="7"/>
  <c r="O1077" i="7"/>
  <c r="P1077" i="7"/>
  <c r="Q1077" i="7"/>
  <c r="B1078" i="7"/>
  <c r="D1078" i="7"/>
  <c r="E1078" i="7"/>
  <c r="F1078" i="7"/>
  <c r="G1078" i="7"/>
  <c r="H1078" i="7"/>
  <c r="I1078" i="7"/>
  <c r="J1078" i="7"/>
  <c r="K1078" i="7"/>
  <c r="O1078" i="7"/>
  <c r="P1078" i="7"/>
  <c r="Q1078" i="7"/>
  <c r="B1079" i="7"/>
  <c r="D1079" i="7"/>
  <c r="E1079" i="7"/>
  <c r="F1079" i="7"/>
  <c r="G1079" i="7"/>
  <c r="H1079" i="7"/>
  <c r="I1079" i="7"/>
  <c r="J1079" i="7"/>
  <c r="K1079" i="7"/>
  <c r="O1079" i="7"/>
  <c r="P1079" i="7"/>
  <c r="Q1079" i="7"/>
  <c r="B1080" i="7"/>
  <c r="D1080" i="7"/>
  <c r="E1080" i="7"/>
  <c r="F1080" i="7"/>
  <c r="G1080" i="7"/>
  <c r="H1080" i="7"/>
  <c r="I1080" i="7"/>
  <c r="J1080" i="7"/>
  <c r="K1080" i="7"/>
  <c r="M1080" i="7"/>
  <c r="O1080" i="7"/>
  <c r="P1080" i="7"/>
  <c r="Q1080" i="7"/>
  <c r="B1081" i="7"/>
  <c r="D1081" i="7"/>
  <c r="E1081" i="7"/>
  <c r="F1081" i="7"/>
  <c r="G1081" i="7"/>
  <c r="H1081" i="7"/>
  <c r="I1081" i="7"/>
  <c r="J1081" i="7"/>
  <c r="K1081" i="7"/>
  <c r="M1081" i="7"/>
  <c r="O1081" i="7"/>
  <c r="P1081" i="7"/>
  <c r="Q1081" i="7"/>
  <c r="B1082" i="7"/>
  <c r="D1082" i="7"/>
  <c r="E1082" i="7"/>
  <c r="F1082" i="7"/>
  <c r="G1082" i="7"/>
  <c r="H1082" i="7"/>
  <c r="I1082" i="7"/>
  <c r="J1082" i="7"/>
  <c r="K1082" i="7"/>
  <c r="M1082" i="7"/>
  <c r="O1082" i="7"/>
  <c r="P1082" i="7"/>
  <c r="Q1082" i="7"/>
  <c r="B1083" i="7"/>
  <c r="D1083" i="7"/>
  <c r="E1083" i="7"/>
  <c r="F1083" i="7"/>
  <c r="G1083" i="7"/>
  <c r="H1083" i="7"/>
  <c r="I1083" i="7"/>
  <c r="J1083" i="7"/>
  <c r="K1083" i="7"/>
  <c r="M1083" i="7"/>
  <c r="O1083" i="7"/>
  <c r="P1083" i="7"/>
  <c r="Q1083" i="7"/>
  <c r="B1084" i="7"/>
  <c r="D1084" i="7"/>
  <c r="E1084" i="7"/>
  <c r="F1084" i="7"/>
  <c r="G1084" i="7"/>
  <c r="H1084" i="7"/>
  <c r="I1084" i="7"/>
  <c r="J1084" i="7"/>
  <c r="K1084" i="7"/>
  <c r="O1084" i="7"/>
  <c r="P1084" i="7"/>
  <c r="Q1084" i="7"/>
  <c r="B1085" i="7"/>
  <c r="D1085" i="7"/>
  <c r="E1085" i="7"/>
  <c r="F1085" i="7"/>
  <c r="G1085" i="7"/>
  <c r="H1085" i="7"/>
  <c r="I1085" i="7"/>
  <c r="J1085" i="7"/>
  <c r="K1085" i="7"/>
  <c r="O1085" i="7"/>
  <c r="P1085" i="7"/>
  <c r="Q1085" i="7"/>
  <c r="B1086" i="7"/>
  <c r="D1086" i="7"/>
  <c r="E1086" i="7"/>
  <c r="F1086" i="7"/>
  <c r="G1086" i="7"/>
  <c r="H1086" i="7"/>
  <c r="I1086" i="7"/>
  <c r="J1086" i="7"/>
  <c r="K1086" i="7"/>
  <c r="O1086" i="7"/>
  <c r="P1086" i="7"/>
  <c r="Q1086" i="7"/>
  <c r="B1087" i="7"/>
  <c r="D1087" i="7"/>
  <c r="E1087" i="7"/>
  <c r="F1087" i="7"/>
  <c r="G1087" i="7"/>
  <c r="H1087" i="7"/>
  <c r="I1087" i="7"/>
  <c r="J1087" i="7"/>
  <c r="K1087" i="7"/>
  <c r="O1087" i="7"/>
  <c r="P1087" i="7"/>
  <c r="Q1087" i="7"/>
  <c r="B1088" i="7"/>
  <c r="D1088" i="7"/>
  <c r="E1088" i="7"/>
  <c r="F1088" i="7"/>
  <c r="G1088" i="7"/>
  <c r="H1088" i="7"/>
  <c r="I1088" i="7"/>
  <c r="J1088" i="7"/>
  <c r="K1088" i="7"/>
  <c r="O1088" i="7"/>
  <c r="P1088" i="7"/>
  <c r="Q1088" i="7"/>
  <c r="B1089" i="7"/>
  <c r="D1089" i="7"/>
  <c r="E1089" i="7"/>
  <c r="F1089" i="7"/>
  <c r="G1089" i="7"/>
  <c r="H1089" i="7"/>
  <c r="I1089" i="7"/>
  <c r="J1089" i="7"/>
  <c r="K1089" i="7"/>
  <c r="O1089" i="7"/>
  <c r="P1089" i="7"/>
  <c r="Q1089" i="7"/>
  <c r="B1090" i="7"/>
  <c r="D1090" i="7"/>
  <c r="E1090" i="7"/>
  <c r="F1090" i="7"/>
  <c r="G1090" i="7"/>
  <c r="H1090" i="7"/>
  <c r="I1090" i="7"/>
  <c r="J1090" i="7"/>
  <c r="K1090" i="7"/>
  <c r="O1090" i="7"/>
  <c r="P1090" i="7"/>
  <c r="Q1090" i="7"/>
  <c r="B1091" i="7"/>
  <c r="D1091" i="7"/>
  <c r="E1091" i="7"/>
  <c r="F1091" i="7"/>
  <c r="G1091" i="7"/>
  <c r="H1091" i="7"/>
  <c r="I1091" i="7"/>
  <c r="J1091" i="7"/>
  <c r="K1091" i="7"/>
  <c r="L1091" i="7"/>
  <c r="M1091" i="7"/>
  <c r="O1091" i="7"/>
  <c r="P1091" i="7"/>
  <c r="Q1091" i="7"/>
  <c r="B1092" i="7"/>
  <c r="D1092" i="7"/>
  <c r="E1092" i="7"/>
  <c r="F1092" i="7"/>
  <c r="G1092" i="7"/>
  <c r="H1092" i="7"/>
  <c r="I1092" i="7"/>
  <c r="J1092" i="7"/>
  <c r="K1092" i="7"/>
  <c r="O1092" i="7"/>
  <c r="P1092" i="7"/>
  <c r="Q1092" i="7"/>
  <c r="B1093" i="7"/>
  <c r="D1093" i="7"/>
  <c r="E1093" i="7"/>
  <c r="F1093" i="7"/>
  <c r="G1093" i="7"/>
  <c r="H1093" i="7"/>
  <c r="I1093" i="7"/>
  <c r="J1093" i="7"/>
  <c r="K1093" i="7"/>
  <c r="L1093" i="7"/>
  <c r="O1093" i="7"/>
  <c r="P1093" i="7"/>
  <c r="Q1093" i="7"/>
  <c r="B1094" i="7"/>
  <c r="D1094" i="7"/>
  <c r="E1094" i="7"/>
  <c r="F1094" i="7"/>
  <c r="G1094" i="7"/>
  <c r="H1094" i="7"/>
  <c r="I1094" i="7"/>
  <c r="J1094" i="7"/>
  <c r="O1094" i="7"/>
  <c r="P1094" i="7"/>
  <c r="Q1094" i="7"/>
  <c r="B1095" i="7"/>
  <c r="D1095" i="7"/>
  <c r="E1095" i="7"/>
  <c r="F1095" i="7"/>
  <c r="G1095" i="7"/>
  <c r="H1095" i="7"/>
  <c r="I1095" i="7"/>
  <c r="J1095" i="7"/>
  <c r="K1095" i="7"/>
  <c r="O1095" i="7"/>
  <c r="P1095" i="7"/>
  <c r="Q1095" i="7"/>
  <c r="B1096" i="7"/>
  <c r="D1096" i="7"/>
  <c r="E1096" i="7"/>
  <c r="F1096" i="7"/>
  <c r="G1096" i="7"/>
  <c r="H1096" i="7"/>
  <c r="I1096" i="7"/>
  <c r="J1096" i="7"/>
  <c r="K1096" i="7"/>
  <c r="O1096" i="7"/>
  <c r="P1096" i="7"/>
  <c r="Q1096" i="7"/>
  <c r="B1097" i="7"/>
  <c r="D1097" i="7"/>
  <c r="E1097" i="7"/>
  <c r="F1097" i="7"/>
  <c r="G1097" i="7"/>
  <c r="H1097" i="7"/>
  <c r="I1097" i="7"/>
  <c r="J1097" i="7"/>
  <c r="K1097" i="7"/>
  <c r="M1097" i="7"/>
  <c r="O1097" i="7"/>
  <c r="P1097" i="7"/>
  <c r="Q1097" i="7"/>
  <c r="B1098" i="7"/>
  <c r="D1098" i="7"/>
  <c r="E1098" i="7"/>
  <c r="F1098" i="7"/>
  <c r="G1098" i="7"/>
  <c r="H1098" i="7"/>
  <c r="I1098" i="7"/>
  <c r="J1098" i="7"/>
  <c r="K1098" i="7"/>
  <c r="O1098" i="7"/>
  <c r="P1098" i="7"/>
  <c r="Q1098" i="7"/>
  <c r="B1099" i="7"/>
  <c r="D1099" i="7"/>
  <c r="E1099" i="7"/>
  <c r="F1099" i="7"/>
  <c r="G1099" i="7"/>
  <c r="H1099" i="7"/>
  <c r="I1099" i="7"/>
  <c r="J1099" i="7"/>
  <c r="K1099" i="7"/>
  <c r="O1099" i="7"/>
  <c r="P1099" i="7"/>
  <c r="Q1099" i="7"/>
  <c r="B1100" i="7"/>
  <c r="D1100" i="7"/>
  <c r="E1100" i="7"/>
  <c r="F1100" i="7"/>
  <c r="G1100" i="7"/>
  <c r="H1100" i="7"/>
  <c r="I1100" i="7"/>
  <c r="J1100" i="7"/>
  <c r="K1100" i="7"/>
  <c r="O1100" i="7"/>
  <c r="P1100" i="7"/>
  <c r="Q1100" i="7"/>
  <c r="B1101" i="7"/>
  <c r="D1101" i="7"/>
  <c r="E1101" i="7"/>
  <c r="F1101" i="7"/>
  <c r="G1101" i="7"/>
  <c r="H1101" i="7"/>
  <c r="I1101" i="7"/>
  <c r="J1101" i="7"/>
  <c r="K1101" i="7"/>
  <c r="M1101" i="7"/>
  <c r="O1101" i="7"/>
  <c r="P1101" i="7"/>
  <c r="Q1101" i="7"/>
  <c r="B1102" i="7"/>
  <c r="D1102" i="7"/>
  <c r="E1102" i="7"/>
  <c r="F1102" i="7"/>
  <c r="G1102" i="7"/>
  <c r="H1102" i="7"/>
  <c r="I1102" i="7"/>
  <c r="J1102" i="7"/>
  <c r="K1102" i="7"/>
  <c r="L1102" i="7"/>
  <c r="O1102" i="7"/>
  <c r="P1102" i="7"/>
  <c r="Q1102" i="7"/>
  <c r="B1103" i="7"/>
  <c r="E1103" i="7"/>
  <c r="F1103" i="7"/>
  <c r="G1103" i="7"/>
  <c r="H1103" i="7"/>
  <c r="I1103" i="7"/>
  <c r="J1103" i="7"/>
  <c r="K1103" i="7"/>
  <c r="B1104" i="7"/>
  <c r="E1104" i="7"/>
  <c r="F1104" i="7"/>
  <c r="G1104" i="7"/>
  <c r="H1104" i="7"/>
  <c r="I1104" i="7"/>
  <c r="J1104" i="7"/>
  <c r="K1104" i="7"/>
  <c r="B1105" i="7"/>
  <c r="E1105" i="7"/>
  <c r="F1105" i="7"/>
  <c r="G1105" i="7"/>
  <c r="H1105" i="7"/>
  <c r="I1105" i="7"/>
  <c r="J1105" i="7"/>
  <c r="K1105" i="7"/>
  <c r="B1106" i="7"/>
  <c r="E1106" i="7"/>
  <c r="F1106" i="7"/>
  <c r="G1106" i="7"/>
  <c r="H1106" i="7"/>
  <c r="I1106" i="7"/>
  <c r="J1106" i="7"/>
  <c r="K1106" i="7"/>
  <c r="B1107" i="7"/>
  <c r="D1107" i="7"/>
  <c r="E1107" i="7"/>
  <c r="F1107" i="7"/>
  <c r="G1107" i="7"/>
  <c r="H1107" i="7"/>
  <c r="I1107" i="7"/>
  <c r="J1107" i="7"/>
  <c r="L1107" i="7"/>
  <c r="M1107" i="7"/>
  <c r="O1107" i="7"/>
  <c r="P1107" i="7"/>
  <c r="Q1107" i="7"/>
  <c r="B1108" i="7"/>
  <c r="D1108" i="7"/>
  <c r="E1108" i="7"/>
  <c r="F1108" i="7"/>
  <c r="G1108" i="7"/>
  <c r="H1108" i="7"/>
  <c r="I1108" i="7"/>
  <c r="J1108" i="7"/>
  <c r="K1108" i="7"/>
  <c r="O1108" i="7"/>
  <c r="P1108" i="7"/>
  <c r="Q1108" i="7"/>
  <c r="B1109" i="7"/>
  <c r="D1109" i="7"/>
  <c r="E1109" i="7"/>
  <c r="G1109" i="7"/>
  <c r="H1109" i="7"/>
  <c r="I1109" i="7"/>
  <c r="J1109" i="7"/>
  <c r="K1109" i="7"/>
  <c r="M1109" i="7"/>
  <c r="O1109" i="7"/>
  <c r="P1109" i="7"/>
  <c r="Q1109" i="7"/>
  <c r="R1109" i="7"/>
  <c r="B1110" i="7"/>
  <c r="D1110" i="7"/>
  <c r="E1110" i="7"/>
  <c r="G1110" i="7"/>
  <c r="H1110" i="7"/>
  <c r="I1110" i="7"/>
  <c r="J1110" i="7"/>
  <c r="K1110" i="7"/>
  <c r="M1110" i="7"/>
  <c r="O1110" i="7"/>
  <c r="P1110" i="7"/>
  <c r="Q1110" i="7"/>
  <c r="R1110" i="7"/>
  <c r="B1111" i="7"/>
  <c r="D1111" i="7"/>
  <c r="E1111" i="7"/>
  <c r="G1111" i="7"/>
  <c r="H1111" i="7"/>
  <c r="I1111" i="7"/>
  <c r="J1111" i="7"/>
  <c r="K1111" i="7"/>
  <c r="M1111" i="7"/>
  <c r="O1111" i="7"/>
  <c r="P1111" i="7"/>
  <c r="Q1111" i="7"/>
  <c r="R1111" i="7"/>
  <c r="B1112" i="7"/>
  <c r="D1112" i="7"/>
  <c r="E1112" i="7"/>
  <c r="G1112" i="7"/>
  <c r="H1112" i="7"/>
  <c r="I1112" i="7"/>
  <c r="J1112" i="7"/>
  <c r="K1112" i="7"/>
  <c r="M1112" i="7"/>
  <c r="O1112" i="7"/>
  <c r="P1112" i="7"/>
  <c r="Q1112" i="7"/>
  <c r="R1112" i="7"/>
  <c r="B1113" i="7"/>
  <c r="D1113" i="7"/>
  <c r="E1113" i="7"/>
  <c r="G1113" i="7"/>
  <c r="H1113" i="7"/>
  <c r="I1113" i="7"/>
  <c r="J1113" i="7"/>
  <c r="L1113" i="7"/>
  <c r="M1113" i="7"/>
  <c r="O1113" i="7"/>
  <c r="P1113" i="7"/>
  <c r="Q1113" i="7"/>
  <c r="R1113" i="7"/>
  <c r="B1114" i="7"/>
  <c r="E1114" i="7"/>
  <c r="G1114" i="7"/>
  <c r="H1114" i="7"/>
  <c r="I1114" i="7"/>
  <c r="J1114" i="7"/>
  <c r="K1114" i="7"/>
  <c r="O1114" i="7"/>
  <c r="P1114" i="7"/>
  <c r="Q1114" i="7"/>
  <c r="B1115" i="7"/>
  <c r="D1115" i="7"/>
  <c r="E1115" i="7"/>
  <c r="F1115" i="7"/>
  <c r="G1115" i="7"/>
  <c r="H1115" i="7"/>
  <c r="I1115" i="7"/>
  <c r="J1115" i="7"/>
  <c r="K1115" i="7"/>
  <c r="O1115" i="7"/>
  <c r="P1115" i="7"/>
  <c r="Q1115" i="7"/>
  <c r="B1116" i="7"/>
  <c r="D1116" i="7"/>
  <c r="E1116" i="7"/>
  <c r="F1116" i="7"/>
  <c r="G1116" i="7"/>
  <c r="H1116" i="7"/>
  <c r="I1116" i="7"/>
  <c r="J1116" i="7"/>
  <c r="K1116" i="7"/>
  <c r="O1116" i="7"/>
  <c r="P1116" i="7"/>
  <c r="Q1116" i="7"/>
  <c r="B1117" i="7"/>
  <c r="D1117" i="7"/>
  <c r="E1117" i="7"/>
  <c r="G1117" i="7"/>
  <c r="H1117" i="7"/>
  <c r="I1117" i="7"/>
  <c r="J1117" i="7"/>
  <c r="K1117" i="7"/>
  <c r="O1117" i="7"/>
  <c r="P1117" i="7"/>
  <c r="Q1117" i="7"/>
  <c r="B1118" i="7"/>
  <c r="D1118" i="7"/>
  <c r="E1118" i="7"/>
  <c r="G1118" i="7"/>
  <c r="H1118" i="7"/>
  <c r="I1118" i="7"/>
  <c r="J1118" i="7"/>
  <c r="K1118" i="7"/>
  <c r="M1118" i="7"/>
  <c r="O1118" i="7"/>
  <c r="P1118" i="7"/>
  <c r="Q1118" i="7"/>
  <c r="R1118" i="7"/>
  <c r="B1119" i="7"/>
  <c r="D1119" i="7"/>
  <c r="E1119" i="7"/>
  <c r="F1119" i="7"/>
  <c r="G1119" i="7"/>
  <c r="H1119" i="7"/>
  <c r="I1119" i="7"/>
  <c r="J1119" i="7"/>
  <c r="K1119" i="7"/>
  <c r="O1119" i="7"/>
  <c r="P1119" i="7"/>
  <c r="Q1119" i="7"/>
  <c r="B1120" i="7"/>
  <c r="D1120" i="7"/>
  <c r="E1120" i="7"/>
  <c r="F1120" i="7"/>
  <c r="G1120" i="7"/>
  <c r="H1120" i="7"/>
  <c r="I1120" i="7"/>
  <c r="J1120" i="7"/>
  <c r="K1120" i="7"/>
  <c r="O1120" i="7"/>
  <c r="P1120" i="7"/>
  <c r="Q1120" i="7"/>
  <c r="B1121" i="7"/>
  <c r="D1121" i="7"/>
  <c r="E1121" i="7"/>
  <c r="F1121" i="7"/>
  <c r="G1121" i="7"/>
  <c r="H1121" i="7"/>
  <c r="I1121" i="7"/>
  <c r="J1121" i="7"/>
  <c r="K1121" i="7"/>
  <c r="O1121" i="7"/>
  <c r="P1121" i="7"/>
  <c r="Q1121" i="7"/>
  <c r="B1122" i="7"/>
  <c r="D1122" i="7"/>
  <c r="E1122" i="7"/>
  <c r="F1122" i="7"/>
  <c r="G1122" i="7"/>
  <c r="H1122" i="7"/>
  <c r="I1122" i="7"/>
  <c r="J1122" i="7"/>
  <c r="K1122" i="7"/>
  <c r="O1122" i="7"/>
  <c r="P1122" i="7"/>
  <c r="Q1122" i="7"/>
  <c r="B1123" i="7"/>
  <c r="D1123" i="7"/>
  <c r="E1123" i="7"/>
  <c r="F1123" i="7"/>
  <c r="G1123" i="7"/>
  <c r="H1123" i="7"/>
  <c r="I1123" i="7"/>
  <c r="J1123" i="7"/>
  <c r="K1123" i="7"/>
  <c r="O1123" i="7"/>
  <c r="P1123" i="7"/>
  <c r="Q1123" i="7"/>
  <c r="B1124" i="7"/>
  <c r="D1124" i="7"/>
  <c r="E1124" i="7"/>
  <c r="G1124" i="7"/>
  <c r="H1124" i="7"/>
  <c r="I1124" i="7"/>
  <c r="J1124" i="7"/>
  <c r="K1124" i="7"/>
  <c r="O1124" i="7"/>
  <c r="P1124" i="7"/>
  <c r="Q1124" i="7"/>
  <c r="B1125" i="7"/>
  <c r="D1125" i="7"/>
  <c r="E1125" i="7"/>
  <c r="F1125" i="7"/>
  <c r="G1125" i="7"/>
  <c r="H1125" i="7"/>
  <c r="I1125" i="7"/>
  <c r="J1125" i="7"/>
  <c r="K1125" i="7"/>
  <c r="O1125" i="7"/>
  <c r="P1125" i="7"/>
  <c r="Q1125" i="7"/>
  <c r="B1126" i="7"/>
  <c r="D1126" i="7"/>
  <c r="E1126" i="7"/>
  <c r="G1126" i="7"/>
  <c r="H1126" i="7"/>
  <c r="I1126" i="7"/>
  <c r="J1126" i="7"/>
  <c r="K1126" i="7"/>
  <c r="L1126" i="7"/>
  <c r="M1126" i="7"/>
  <c r="O1126" i="7"/>
  <c r="P1126" i="7"/>
  <c r="Q1126" i="7"/>
  <c r="B1127" i="7"/>
  <c r="D1127" i="7"/>
  <c r="E1127" i="7"/>
  <c r="G1127" i="7"/>
  <c r="H1127" i="7"/>
  <c r="I1127" i="7"/>
  <c r="J1127" i="7"/>
  <c r="K1127" i="7"/>
  <c r="M1127" i="7"/>
  <c r="O1127" i="7"/>
  <c r="P1127" i="7"/>
  <c r="Q1127" i="7"/>
  <c r="R1127" i="7"/>
  <c r="B1128" i="7"/>
  <c r="D1128" i="7"/>
  <c r="E1128" i="7"/>
  <c r="F1128" i="7"/>
  <c r="G1128" i="7"/>
  <c r="H1128" i="7"/>
  <c r="I1128" i="7"/>
  <c r="J1128" i="7"/>
  <c r="K1128" i="7"/>
  <c r="L1128" i="7"/>
  <c r="O1128" i="7"/>
  <c r="P1128" i="7"/>
  <c r="Q1128" i="7"/>
  <c r="B1129" i="7"/>
  <c r="E1129" i="7"/>
  <c r="F1129" i="7"/>
  <c r="G1129" i="7"/>
  <c r="H1129" i="7"/>
  <c r="I1129" i="7"/>
  <c r="J1129" i="7"/>
  <c r="K1129" i="7"/>
  <c r="P1129" i="7"/>
  <c r="Q1129" i="7"/>
  <c r="B1130" i="7"/>
  <c r="E1130" i="7"/>
  <c r="F1130" i="7"/>
  <c r="G1130" i="7"/>
  <c r="H1130" i="7"/>
  <c r="I1130" i="7"/>
  <c r="J1130" i="7"/>
  <c r="K1130" i="7"/>
  <c r="P1130" i="7"/>
  <c r="Q1130" i="7"/>
  <c r="B1131" i="7"/>
  <c r="E1131" i="7"/>
  <c r="F1131" i="7"/>
  <c r="G1131" i="7"/>
  <c r="H1131" i="7"/>
  <c r="I1131" i="7"/>
  <c r="J1131" i="7"/>
  <c r="K1131" i="7"/>
  <c r="P1131" i="7"/>
  <c r="Q1131" i="7"/>
  <c r="B1132" i="7"/>
  <c r="E1132" i="7"/>
  <c r="F1132" i="7"/>
  <c r="G1132" i="7"/>
  <c r="H1132" i="7"/>
  <c r="I1132" i="7"/>
  <c r="J1132" i="7"/>
  <c r="K1132" i="7"/>
  <c r="P1132" i="7"/>
  <c r="Q1132" i="7"/>
  <c r="B1133" i="7"/>
  <c r="E1133" i="7"/>
  <c r="F1133" i="7"/>
  <c r="G1133" i="7"/>
  <c r="H1133" i="7"/>
  <c r="I1133" i="7"/>
  <c r="J1133" i="7"/>
  <c r="K1133" i="7"/>
  <c r="P1133" i="7"/>
  <c r="Q1133" i="7"/>
  <c r="B1134" i="7"/>
  <c r="E1134" i="7"/>
  <c r="F1134" i="7"/>
  <c r="G1134" i="7"/>
  <c r="H1134" i="7"/>
  <c r="I1134" i="7"/>
  <c r="J1134" i="7"/>
  <c r="K1134" i="7"/>
  <c r="P1134" i="7"/>
  <c r="Q1134" i="7"/>
  <c r="B1135" i="7"/>
  <c r="E1135" i="7"/>
  <c r="F1135" i="7"/>
  <c r="G1135" i="7"/>
  <c r="H1135" i="7"/>
  <c r="I1135" i="7"/>
  <c r="J1135" i="7"/>
  <c r="K1135" i="7"/>
  <c r="P1135" i="7"/>
  <c r="Q1135" i="7"/>
  <c r="B1136" i="7"/>
  <c r="E1136" i="7"/>
  <c r="F1136" i="7"/>
  <c r="G1136" i="7"/>
  <c r="H1136" i="7"/>
  <c r="I1136" i="7"/>
  <c r="J1136" i="7"/>
  <c r="K1136" i="7"/>
  <c r="P1136" i="7"/>
  <c r="Q1136" i="7"/>
  <c r="B1137" i="7"/>
  <c r="E1137" i="7"/>
  <c r="F1137" i="7"/>
  <c r="G1137" i="7"/>
  <c r="H1137" i="7"/>
  <c r="I1137" i="7"/>
  <c r="J1137" i="7"/>
  <c r="K1137" i="7"/>
  <c r="P1137" i="7"/>
  <c r="Q1137" i="7"/>
  <c r="R1137" i="7"/>
  <c r="B1138" i="7"/>
  <c r="E1138" i="7"/>
  <c r="F1138" i="7"/>
  <c r="G1138" i="7"/>
  <c r="H1138" i="7"/>
  <c r="I1138" i="7"/>
  <c r="J1138" i="7"/>
  <c r="K1138" i="7"/>
  <c r="P1138" i="7"/>
  <c r="Q1138" i="7"/>
  <c r="R1138" i="7"/>
  <c r="B1139" i="7"/>
  <c r="E1139" i="7"/>
  <c r="F1139" i="7"/>
  <c r="G1139" i="7"/>
  <c r="H1139" i="7"/>
  <c r="I1139" i="7"/>
  <c r="J1139" i="7"/>
  <c r="K1139" i="7"/>
  <c r="P1139" i="7"/>
  <c r="Q1139" i="7"/>
  <c r="B1140" i="7"/>
  <c r="E1140" i="7"/>
  <c r="F1140" i="7"/>
  <c r="G1140" i="7"/>
  <c r="H1140" i="7"/>
  <c r="I1140" i="7"/>
  <c r="J1140" i="7"/>
  <c r="K1140" i="7"/>
  <c r="P1140" i="7"/>
  <c r="Q1140" i="7"/>
  <c r="B1141" i="7"/>
  <c r="E1141" i="7"/>
  <c r="F1141" i="7"/>
  <c r="G1141" i="7"/>
  <c r="H1141" i="7"/>
  <c r="I1141" i="7"/>
  <c r="J1141" i="7"/>
  <c r="K1141" i="7"/>
  <c r="P1141" i="7"/>
  <c r="Q1141" i="7"/>
  <c r="R1141" i="7"/>
  <c r="B1142" i="7"/>
  <c r="D1142" i="7"/>
  <c r="E1142" i="7"/>
  <c r="F1142" i="7"/>
  <c r="G1142" i="7"/>
  <c r="H1142" i="7"/>
  <c r="I1142" i="7"/>
  <c r="J1142" i="7"/>
  <c r="K1142" i="7"/>
  <c r="O1142" i="7"/>
  <c r="P1142" i="7"/>
  <c r="Q1142" i="7"/>
  <c r="B1143" i="7"/>
  <c r="D1143" i="7"/>
  <c r="E1143" i="7"/>
  <c r="G1143" i="7"/>
  <c r="H1143" i="7"/>
  <c r="I1143" i="7"/>
  <c r="J1143" i="7"/>
  <c r="K1143" i="7"/>
  <c r="O1143" i="7"/>
  <c r="P1143" i="7"/>
  <c r="Q1143" i="7"/>
  <c r="B1144" i="7"/>
  <c r="D1144" i="7"/>
  <c r="E1144" i="7"/>
  <c r="F1144" i="7"/>
  <c r="G1144" i="7"/>
  <c r="H1144" i="7"/>
  <c r="I1144" i="7"/>
  <c r="J1144" i="7"/>
  <c r="K1144" i="7"/>
  <c r="O1144" i="7"/>
  <c r="P1144" i="7"/>
  <c r="Q1144" i="7"/>
  <c r="B1145" i="7"/>
  <c r="D1145" i="7"/>
  <c r="E1145" i="7"/>
  <c r="F1145" i="7"/>
  <c r="G1145" i="7"/>
  <c r="H1145" i="7"/>
  <c r="I1145" i="7"/>
  <c r="J1145" i="7"/>
  <c r="K1145" i="7"/>
  <c r="O1145" i="7"/>
  <c r="P1145" i="7"/>
  <c r="Q1145" i="7"/>
  <c r="B1146" i="7"/>
  <c r="D1146" i="7"/>
  <c r="E1146" i="7"/>
  <c r="F1146" i="7"/>
  <c r="G1146" i="7"/>
  <c r="H1146" i="7"/>
  <c r="I1146" i="7"/>
  <c r="J1146" i="7"/>
  <c r="K1146" i="7"/>
  <c r="O1146" i="7"/>
  <c r="P1146" i="7"/>
  <c r="Q1146" i="7"/>
  <c r="B1147" i="7"/>
  <c r="D1147" i="7"/>
  <c r="E1147" i="7"/>
  <c r="F1147" i="7"/>
  <c r="G1147" i="7"/>
  <c r="H1147" i="7"/>
  <c r="I1147" i="7"/>
  <c r="J1147" i="7"/>
  <c r="K1147" i="7"/>
  <c r="O1147" i="7"/>
  <c r="P1147" i="7"/>
  <c r="Q1147" i="7"/>
  <c r="B1148" i="7"/>
  <c r="D1148" i="7"/>
  <c r="E1148" i="7"/>
  <c r="F1148" i="7"/>
  <c r="G1148" i="7"/>
  <c r="H1148" i="7"/>
  <c r="I1148" i="7"/>
  <c r="J1148" i="7"/>
  <c r="K1148" i="7"/>
  <c r="O1148" i="7"/>
  <c r="P1148" i="7"/>
  <c r="Q1148" i="7"/>
  <c r="B1149" i="7"/>
  <c r="D1149" i="7"/>
  <c r="E1149" i="7"/>
  <c r="F1149" i="7"/>
  <c r="G1149" i="7"/>
  <c r="H1149" i="7"/>
  <c r="I1149" i="7"/>
  <c r="J1149" i="7"/>
  <c r="K1149" i="7"/>
  <c r="O1149" i="7"/>
  <c r="P1149" i="7"/>
  <c r="Q1149" i="7"/>
  <c r="B1150" i="7"/>
  <c r="D1150" i="7"/>
  <c r="E1150" i="7"/>
  <c r="G1150" i="7"/>
  <c r="H1150" i="7"/>
  <c r="I1150" i="7"/>
  <c r="J1150" i="7"/>
  <c r="K1150" i="7"/>
  <c r="O1150" i="7"/>
  <c r="P1150" i="7"/>
  <c r="Q1150" i="7"/>
  <c r="B1151" i="7"/>
  <c r="D1151" i="7"/>
  <c r="E1151" i="7"/>
  <c r="F1151" i="7"/>
  <c r="G1151" i="7"/>
  <c r="H1151" i="7"/>
  <c r="I1151" i="7"/>
  <c r="J1151" i="7"/>
  <c r="K1151" i="7"/>
  <c r="O1151" i="7"/>
  <c r="P1151" i="7"/>
  <c r="Q1151" i="7"/>
  <c r="B1152" i="7"/>
  <c r="D1152" i="7"/>
  <c r="E1152" i="7"/>
  <c r="F1152" i="7"/>
  <c r="G1152" i="7"/>
  <c r="H1152" i="7"/>
  <c r="I1152" i="7"/>
  <c r="J1152" i="7"/>
  <c r="K1152" i="7"/>
  <c r="O1152" i="7"/>
  <c r="P1152" i="7"/>
  <c r="Q1152" i="7"/>
  <c r="B1153" i="7"/>
  <c r="D1153" i="7"/>
  <c r="E1153" i="7"/>
  <c r="F1153" i="7"/>
  <c r="G1153" i="7"/>
  <c r="H1153" i="7"/>
  <c r="I1153" i="7"/>
  <c r="J1153" i="7"/>
  <c r="K1153" i="7"/>
  <c r="L1153" i="7"/>
  <c r="O1153" i="7"/>
  <c r="P1153" i="7"/>
  <c r="Q1153" i="7"/>
  <c r="E1154" i="7"/>
  <c r="F1154" i="7"/>
  <c r="G1154" i="7"/>
  <c r="H1154" i="7"/>
  <c r="I1154" i="7"/>
  <c r="J1154" i="7"/>
  <c r="K1154" i="7"/>
  <c r="B1155" i="7"/>
  <c r="D1155" i="7"/>
  <c r="E1155" i="7"/>
  <c r="F1155" i="7"/>
  <c r="G1155" i="7"/>
  <c r="H1155" i="7"/>
  <c r="I1155" i="7"/>
  <c r="J1155" i="7"/>
  <c r="K1155" i="7"/>
  <c r="O1155" i="7"/>
  <c r="P1155" i="7"/>
  <c r="Q1155" i="7"/>
  <c r="B1156" i="7"/>
  <c r="D1156" i="7"/>
  <c r="E1156" i="7"/>
  <c r="F1156" i="7"/>
  <c r="G1156" i="7"/>
  <c r="H1156" i="7"/>
  <c r="I1156" i="7"/>
  <c r="J1156" i="7"/>
  <c r="K1156" i="7"/>
  <c r="O1156" i="7"/>
  <c r="P1156" i="7"/>
  <c r="Q1156" i="7"/>
  <c r="B1157" i="7"/>
  <c r="D1157" i="7"/>
  <c r="E1157" i="7"/>
  <c r="F1157" i="7"/>
  <c r="G1157" i="7"/>
  <c r="H1157" i="7"/>
  <c r="I1157" i="7"/>
  <c r="J1157" i="7"/>
  <c r="K1157" i="7"/>
  <c r="O1157" i="7"/>
  <c r="P1157" i="7"/>
  <c r="Q1157" i="7"/>
  <c r="B1158" i="7"/>
  <c r="D1158" i="7"/>
  <c r="E1158" i="7"/>
  <c r="F1158" i="7"/>
  <c r="G1158" i="7"/>
  <c r="H1158" i="7"/>
  <c r="I1158" i="7"/>
  <c r="J1158" i="7"/>
  <c r="K1158" i="7"/>
  <c r="O1158" i="7"/>
  <c r="P1158" i="7"/>
  <c r="Q1158" i="7"/>
  <c r="B1159" i="7"/>
  <c r="D1159" i="7"/>
  <c r="E1159" i="7"/>
  <c r="G1159" i="7"/>
  <c r="H1159" i="7"/>
  <c r="I1159" i="7"/>
  <c r="J1159" i="7"/>
  <c r="K1159" i="7"/>
  <c r="M1159" i="7"/>
  <c r="O1159" i="7"/>
  <c r="P1159" i="7"/>
  <c r="Q1159" i="7"/>
  <c r="B1160" i="7"/>
  <c r="D1160" i="7"/>
  <c r="E1160" i="7"/>
  <c r="G1160" i="7"/>
  <c r="H1160" i="7"/>
  <c r="I1160" i="7"/>
  <c r="J1160" i="7"/>
  <c r="K1160" i="7"/>
  <c r="M1160" i="7"/>
  <c r="O1160" i="7"/>
  <c r="P1160" i="7"/>
  <c r="Q1160" i="7"/>
  <c r="B1161" i="7"/>
  <c r="D1161" i="7"/>
  <c r="E1161" i="7"/>
  <c r="F1161" i="7"/>
  <c r="G1161" i="7"/>
  <c r="H1161" i="7"/>
  <c r="I1161" i="7"/>
  <c r="J1161" i="7"/>
  <c r="K1161" i="7"/>
  <c r="L1161" i="7"/>
  <c r="O1161" i="7"/>
  <c r="P1161" i="7"/>
  <c r="Q1161" i="7"/>
  <c r="B1162" i="7"/>
  <c r="E1162" i="7"/>
  <c r="F1162" i="7"/>
  <c r="G1162" i="7"/>
  <c r="H1162" i="7"/>
  <c r="I1162" i="7"/>
  <c r="J1162" i="7"/>
  <c r="K1162" i="7"/>
  <c r="B1163" i="7"/>
  <c r="D1163" i="7"/>
  <c r="E1163" i="7"/>
  <c r="F1163" i="7"/>
  <c r="G1163" i="7"/>
  <c r="H1163" i="7"/>
  <c r="I1163" i="7"/>
  <c r="J1163" i="7"/>
  <c r="K1163" i="7"/>
  <c r="O1163" i="7"/>
  <c r="P1163" i="7"/>
  <c r="Q1163" i="7"/>
  <c r="B1164" i="7"/>
  <c r="D1164" i="7"/>
  <c r="E1164" i="7"/>
  <c r="F1164" i="7"/>
  <c r="G1164" i="7"/>
  <c r="H1164" i="7"/>
  <c r="I1164" i="7"/>
  <c r="J1164" i="7"/>
  <c r="K1164" i="7"/>
  <c r="O1164" i="7"/>
  <c r="P1164" i="7"/>
  <c r="Q1164" i="7"/>
  <c r="B1165" i="7"/>
  <c r="D1165" i="7"/>
  <c r="E1165" i="7"/>
  <c r="F1165" i="7"/>
  <c r="G1165" i="7"/>
  <c r="H1165" i="7"/>
  <c r="I1165" i="7"/>
  <c r="J1165" i="7"/>
  <c r="K1165" i="7"/>
  <c r="O1165" i="7"/>
  <c r="P1165" i="7"/>
  <c r="Q1165" i="7"/>
  <c r="B1166" i="7"/>
  <c r="D1166" i="7"/>
  <c r="E1166" i="7"/>
  <c r="G1166" i="7"/>
  <c r="H1166" i="7"/>
  <c r="I1166" i="7"/>
  <c r="J1166" i="7"/>
  <c r="K1166" i="7"/>
  <c r="O1166" i="7"/>
  <c r="P1166" i="7"/>
  <c r="Q1166" i="7"/>
  <c r="B1167" i="7"/>
  <c r="D1167" i="7"/>
  <c r="E1167" i="7"/>
  <c r="G1167" i="7"/>
  <c r="H1167" i="7"/>
  <c r="I1167" i="7"/>
  <c r="J1167" i="7"/>
  <c r="K1167" i="7"/>
  <c r="M1167" i="7"/>
  <c r="O1167" i="7"/>
  <c r="P1167" i="7"/>
  <c r="Q1167" i="7"/>
  <c r="R1167" i="7"/>
  <c r="B1168" i="7"/>
  <c r="D1168" i="7"/>
  <c r="E1168" i="7"/>
  <c r="G1168" i="7"/>
  <c r="H1168" i="7"/>
  <c r="I1168" i="7"/>
  <c r="J1168" i="7"/>
  <c r="K1168" i="7"/>
  <c r="M1168" i="7"/>
  <c r="O1168" i="7"/>
  <c r="P1168" i="7"/>
  <c r="Q1168" i="7"/>
  <c r="B1169" i="7"/>
  <c r="D1169" i="7"/>
  <c r="E1169" i="7"/>
  <c r="G1169" i="7"/>
  <c r="H1169" i="7"/>
  <c r="I1169" i="7"/>
  <c r="J1169" i="7"/>
  <c r="K1169" i="7"/>
  <c r="O1169" i="7"/>
  <c r="P1169" i="7"/>
  <c r="Q1169" i="7"/>
  <c r="B1170" i="7"/>
  <c r="D1170" i="7"/>
  <c r="E1170" i="7"/>
  <c r="F1170" i="7"/>
  <c r="G1170" i="7"/>
  <c r="H1170" i="7"/>
  <c r="I1170" i="7"/>
  <c r="J1170" i="7"/>
  <c r="K1170" i="7"/>
  <c r="O1170" i="7"/>
  <c r="P1170" i="7"/>
  <c r="Q1170" i="7"/>
  <c r="B1171" i="7"/>
  <c r="D1171" i="7"/>
  <c r="E1171" i="7"/>
  <c r="F1171" i="7"/>
  <c r="G1171" i="7"/>
  <c r="H1171" i="7"/>
  <c r="I1171" i="7"/>
  <c r="J1171" i="7"/>
  <c r="K1171" i="7"/>
  <c r="O1171" i="7"/>
  <c r="P1171" i="7"/>
  <c r="Q1171" i="7"/>
  <c r="B1172" i="7"/>
  <c r="D1172" i="7"/>
  <c r="E1172" i="7"/>
  <c r="F1172" i="7"/>
  <c r="G1172" i="7"/>
  <c r="H1172" i="7"/>
  <c r="I1172" i="7"/>
  <c r="J1172" i="7"/>
  <c r="K1172" i="7"/>
  <c r="O1172" i="7"/>
  <c r="P1172" i="7"/>
  <c r="Q1172" i="7"/>
  <c r="B1173" i="7"/>
  <c r="D1173" i="7"/>
  <c r="E1173" i="7"/>
  <c r="F1173" i="7"/>
  <c r="G1173" i="7"/>
  <c r="H1173" i="7"/>
  <c r="I1173" i="7"/>
  <c r="J1173" i="7"/>
  <c r="K1173" i="7"/>
  <c r="O1173" i="7"/>
  <c r="P1173" i="7"/>
  <c r="Q1173" i="7"/>
  <c r="B1174" i="7"/>
  <c r="C1174" i="7"/>
  <c r="D1174" i="7"/>
  <c r="E1174" i="7"/>
  <c r="F1174" i="7"/>
  <c r="G1174" i="7"/>
  <c r="H1174" i="7"/>
  <c r="I1174" i="7"/>
  <c r="J1174" i="7"/>
  <c r="K1174" i="7"/>
  <c r="P1174" i="7"/>
  <c r="Q1174" i="7"/>
  <c r="R1174" i="7"/>
  <c r="B1175" i="7"/>
  <c r="C1175" i="7"/>
  <c r="D1175" i="7"/>
  <c r="E1175" i="7"/>
  <c r="F1175" i="7"/>
  <c r="G1175" i="7"/>
  <c r="H1175" i="7"/>
  <c r="I1175" i="7"/>
  <c r="J1175" i="7"/>
  <c r="K1175" i="7"/>
  <c r="P1175" i="7"/>
  <c r="Q1175" i="7"/>
  <c r="B1176" i="7"/>
  <c r="C1176" i="7"/>
  <c r="D1176" i="7"/>
  <c r="E1176" i="7"/>
  <c r="F1176" i="7"/>
  <c r="G1176" i="7"/>
  <c r="H1176" i="7"/>
  <c r="I1176" i="7"/>
  <c r="J1176" i="7"/>
  <c r="K1176" i="7"/>
  <c r="P1176" i="7"/>
  <c r="Q1176" i="7"/>
  <c r="B1177" i="7"/>
  <c r="C1177" i="7"/>
  <c r="D1177" i="7"/>
  <c r="E1177" i="7"/>
  <c r="F1177" i="7"/>
  <c r="G1177" i="7"/>
  <c r="H1177" i="7"/>
  <c r="I1177" i="7"/>
  <c r="J1177" i="7"/>
  <c r="K1177" i="7"/>
  <c r="P1177" i="7"/>
  <c r="Q1177" i="7"/>
  <c r="B1178" i="7"/>
  <c r="C1178" i="7"/>
  <c r="D1178" i="7"/>
  <c r="E1178" i="7"/>
  <c r="F1178" i="7"/>
  <c r="G1178" i="7"/>
  <c r="H1178" i="7"/>
  <c r="I1178" i="7"/>
  <c r="J1178" i="7"/>
  <c r="K1178" i="7"/>
  <c r="P1178" i="7"/>
  <c r="Q1178" i="7"/>
  <c r="B1179" i="7"/>
  <c r="C1179" i="7"/>
  <c r="D1179" i="7"/>
  <c r="E1179" i="7"/>
  <c r="F1179" i="7"/>
  <c r="G1179" i="7"/>
  <c r="H1179" i="7"/>
  <c r="I1179" i="7"/>
  <c r="J1179" i="7"/>
  <c r="K1179" i="7"/>
  <c r="P1179" i="7"/>
  <c r="Q1179" i="7"/>
  <c r="R1179" i="7"/>
  <c r="B1180" i="7"/>
  <c r="C1180" i="7"/>
  <c r="D1180" i="7"/>
  <c r="E1180" i="7"/>
  <c r="F1180" i="7"/>
  <c r="G1180" i="7"/>
  <c r="H1180" i="7"/>
  <c r="I1180" i="7"/>
  <c r="J1180" i="7"/>
  <c r="K1180" i="7"/>
  <c r="P1180" i="7"/>
  <c r="Q1180" i="7"/>
  <c r="B1181" i="7"/>
  <c r="C1181" i="7"/>
  <c r="D1181" i="7"/>
  <c r="E1181" i="7"/>
  <c r="F1181" i="7"/>
  <c r="G1181" i="7"/>
  <c r="H1181" i="7"/>
  <c r="I1181" i="7"/>
  <c r="J1181" i="7"/>
  <c r="K1181" i="7"/>
  <c r="P1181" i="7"/>
  <c r="Q1181" i="7"/>
  <c r="B1182" i="7"/>
  <c r="C1182" i="7"/>
  <c r="D1182" i="7"/>
  <c r="E1182" i="7"/>
  <c r="F1182" i="7"/>
  <c r="G1182" i="7"/>
  <c r="H1182" i="7"/>
  <c r="I1182" i="7"/>
  <c r="J1182" i="7"/>
  <c r="K1182" i="7"/>
  <c r="P1182" i="7"/>
  <c r="Q1182" i="7"/>
  <c r="B1183" i="7"/>
  <c r="C1183" i="7"/>
  <c r="D1183" i="7"/>
  <c r="E1183" i="7"/>
  <c r="F1183" i="7"/>
  <c r="G1183" i="7"/>
  <c r="H1183" i="7"/>
  <c r="I1183" i="7"/>
  <c r="J1183" i="7"/>
  <c r="K1183" i="7"/>
  <c r="P1183" i="7"/>
  <c r="Q1183" i="7"/>
  <c r="R1183" i="7"/>
  <c r="B1184" i="7"/>
  <c r="C1184" i="7"/>
  <c r="D1184" i="7"/>
  <c r="E1184" i="7"/>
  <c r="F1184" i="7"/>
  <c r="G1184" i="7"/>
  <c r="H1184" i="7"/>
  <c r="I1184" i="7"/>
  <c r="J1184" i="7"/>
  <c r="K1184" i="7"/>
  <c r="P1184" i="7"/>
  <c r="Q1184" i="7"/>
  <c r="R1184" i="7"/>
  <c r="B1185" i="7"/>
  <c r="C1185" i="7"/>
  <c r="D1185" i="7"/>
  <c r="E1185" i="7"/>
  <c r="F1185" i="7"/>
  <c r="G1185" i="7"/>
  <c r="H1185" i="7"/>
  <c r="I1185" i="7"/>
  <c r="J1185" i="7"/>
  <c r="K1185" i="7"/>
  <c r="P1185" i="7"/>
  <c r="Q1185" i="7"/>
  <c r="B1186" i="7"/>
  <c r="C1186" i="7"/>
  <c r="D1186" i="7"/>
  <c r="E1186" i="7"/>
  <c r="F1186" i="7"/>
  <c r="G1186" i="7"/>
  <c r="H1186" i="7"/>
  <c r="I1186" i="7"/>
  <c r="J1186" i="7"/>
  <c r="K1186" i="7"/>
  <c r="P1186" i="7"/>
  <c r="Q1186" i="7"/>
  <c r="B1187" i="7"/>
  <c r="C1187" i="7"/>
  <c r="D1187" i="7"/>
  <c r="E1187" i="7"/>
  <c r="F1187" i="7"/>
  <c r="G1187" i="7"/>
  <c r="H1187" i="7"/>
  <c r="I1187" i="7"/>
  <c r="J1187" i="7"/>
  <c r="K1187" i="7"/>
  <c r="P1187" i="7"/>
  <c r="Q1187" i="7"/>
  <c r="B1188" i="7"/>
  <c r="C1188" i="7"/>
  <c r="D1188" i="7"/>
  <c r="E1188" i="7"/>
  <c r="F1188" i="7"/>
  <c r="G1188" i="7"/>
  <c r="H1188" i="7"/>
  <c r="I1188" i="7"/>
  <c r="J1188" i="7"/>
  <c r="K1188" i="7"/>
  <c r="M1188" i="7"/>
  <c r="P1188" i="7"/>
  <c r="Q1188" i="7"/>
  <c r="B1189" i="7"/>
  <c r="C1189" i="7"/>
  <c r="D1189" i="7"/>
  <c r="E1189" i="7"/>
  <c r="F1189" i="7"/>
  <c r="G1189" i="7"/>
  <c r="H1189" i="7"/>
  <c r="I1189" i="7"/>
  <c r="J1189" i="7"/>
  <c r="K1189" i="7"/>
  <c r="M1189" i="7"/>
  <c r="P1189" i="7"/>
  <c r="Q1189" i="7"/>
  <c r="R1189" i="7"/>
  <c r="B1190" i="7"/>
  <c r="C1190" i="7"/>
  <c r="D1190" i="7"/>
  <c r="E1190" i="7"/>
  <c r="F1190" i="7"/>
  <c r="G1190" i="7"/>
  <c r="H1190" i="7"/>
  <c r="I1190" i="7"/>
  <c r="J1190" i="7"/>
  <c r="K1190" i="7"/>
  <c r="P1190" i="7"/>
  <c r="Q1190" i="7"/>
  <c r="R1190" i="7"/>
  <c r="B1191" i="7"/>
  <c r="C1191" i="7"/>
  <c r="D1191" i="7"/>
  <c r="E1191" i="7"/>
  <c r="F1191" i="7"/>
  <c r="G1191" i="7"/>
  <c r="H1191" i="7"/>
  <c r="I1191" i="7"/>
  <c r="J1191" i="7"/>
  <c r="K1191" i="7"/>
  <c r="P1191" i="7"/>
  <c r="Q1191" i="7"/>
  <c r="R1191" i="7"/>
  <c r="B1192" i="7"/>
  <c r="C1192" i="7"/>
  <c r="D1192" i="7"/>
  <c r="E1192" i="7"/>
  <c r="F1192" i="7"/>
  <c r="G1192" i="7"/>
  <c r="H1192" i="7"/>
  <c r="I1192" i="7"/>
  <c r="J1192" i="7"/>
  <c r="K1192" i="7"/>
  <c r="P1192" i="7"/>
  <c r="Q1192" i="7"/>
  <c r="R1192" i="7"/>
  <c r="B1193" i="7"/>
  <c r="C1193" i="7"/>
  <c r="D1193" i="7"/>
  <c r="E1193" i="7"/>
  <c r="F1193" i="7"/>
  <c r="G1193" i="7"/>
  <c r="H1193" i="7"/>
  <c r="I1193" i="7"/>
  <c r="J1193" i="7"/>
  <c r="K1193" i="7"/>
  <c r="P1193" i="7"/>
  <c r="Q1193" i="7"/>
  <c r="R1193" i="7"/>
  <c r="B1194" i="7"/>
  <c r="C1194" i="7"/>
  <c r="D1194" i="7"/>
  <c r="E1194" i="7"/>
  <c r="F1194" i="7"/>
  <c r="G1194" i="7"/>
  <c r="H1194" i="7"/>
  <c r="I1194" i="7"/>
  <c r="J1194" i="7"/>
  <c r="K1194" i="7"/>
  <c r="P1194" i="7"/>
  <c r="Q1194" i="7"/>
  <c r="R1194" i="7"/>
  <c r="B1195" i="7"/>
  <c r="C1195" i="7"/>
  <c r="D1195" i="7"/>
  <c r="E1195" i="7"/>
  <c r="F1195" i="7"/>
  <c r="G1195" i="7"/>
  <c r="H1195" i="7"/>
  <c r="I1195" i="7"/>
  <c r="J1195" i="7"/>
  <c r="K1195" i="7"/>
  <c r="P1195" i="7"/>
  <c r="Q1195" i="7"/>
  <c r="B1196" i="7"/>
  <c r="C1196" i="7"/>
  <c r="D1196" i="7"/>
  <c r="E1196" i="7"/>
  <c r="F1196" i="7"/>
  <c r="G1196" i="7"/>
  <c r="H1196" i="7"/>
  <c r="I1196" i="7"/>
  <c r="J1196" i="7"/>
  <c r="K1196" i="7"/>
  <c r="P1196" i="7"/>
  <c r="Q1196" i="7"/>
  <c r="B1197" i="7"/>
  <c r="C1197" i="7"/>
  <c r="D1197" i="7"/>
  <c r="E1197" i="7"/>
  <c r="F1197" i="7"/>
  <c r="G1197" i="7"/>
  <c r="H1197" i="7"/>
  <c r="I1197" i="7"/>
  <c r="J1197" i="7"/>
  <c r="K1197" i="7"/>
  <c r="P1197" i="7"/>
  <c r="Q1197" i="7"/>
  <c r="B1198" i="7"/>
  <c r="C1198" i="7"/>
  <c r="D1198" i="7"/>
  <c r="E1198" i="7"/>
  <c r="F1198" i="7"/>
  <c r="G1198" i="7"/>
  <c r="H1198" i="7"/>
  <c r="I1198" i="7"/>
  <c r="J1198" i="7"/>
  <c r="K1198" i="7"/>
  <c r="P1198" i="7"/>
  <c r="Q1198" i="7"/>
  <c r="R1198" i="7"/>
  <c r="B1199" i="7"/>
  <c r="C1199" i="7"/>
  <c r="D1199" i="7"/>
  <c r="E1199" i="7"/>
  <c r="F1199" i="7"/>
  <c r="G1199" i="7"/>
  <c r="H1199" i="7"/>
  <c r="I1199" i="7"/>
  <c r="J1199" i="7"/>
  <c r="K1199" i="7"/>
  <c r="P1199" i="7"/>
  <c r="Q1199" i="7"/>
  <c r="R1199" i="7"/>
  <c r="B1200" i="7"/>
  <c r="C1200" i="7"/>
  <c r="D1200" i="7"/>
  <c r="E1200" i="7"/>
  <c r="F1200" i="7"/>
  <c r="G1200" i="7"/>
  <c r="H1200" i="7"/>
  <c r="I1200" i="7"/>
  <c r="J1200" i="7"/>
  <c r="K1200" i="7"/>
  <c r="M1200" i="7"/>
  <c r="P1200" i="7"/>
  <c r="Q1200" i="7"/>
  <c r="B1201" i="7"/>
  <c r="C1201" i="7"/>
  <c r="D1201" i="7"/>
  <c r="E1201" i="7"/>
  <c r="F1201" i="7"/>
  <c r="G1201" i="7"/>
  <c r="H1201" i="7"/>
  <c r="I1201" i="7"/>
  <c r="J1201" i="7"/>
  <c r="K1201" i="7"/>
  <c r="P1201" i="7"/>
  <c r="Q1201" i="7"/>
  <c r="R1201" i="7"/>
  <c r="B1202" i="7"/>
  <c r="C1202" i="7"/>
  <c r="D1202" i="7"/>
  <c r="E1202" i="7"/>
  <c r="F1202" i="7"/>
  <c r="G1202" i="7"/>
  <c r="H1202" i="7"/>
  <c r="I1202" i="7"/>
  <c r="J1202" i="7"/>
  <c r="K1202" i="7"/>
  <c r="P1202" i="7"/>
  <c r="Q1202" i="7"/>
  <c r="R1202" i="7"/>
  <c r="B1203" i="7"/>
  <c r="C1203" i="7"/>
  <c r="D1203" i="7"/>
  <c r="E1203" i="7"/>
  <c r="F1203" i="7"/>
  <c r="G1203" i="7"/>
  <c r="H1203" i="7"/>
  <c r="I1203" i="7"/>
  <c r="J1203" i="7"/>
  <c r="K1203" i="7"/>
  <c r="P1203" i="7"/>
  <c r="Q1203" i="7"/>
  <c r="B1204" i="7"/>
  <c r="C1204" i="7"/>
  <c r="D1204" i="7"/>
  <c r="E1204" i="7"/>
  <c r="F1204" i="7"/>
  <c r="G1204" i="7"/>
  <c r="H1204" i="7"/>
  <c r="I1204" i="7"/>
  <c r="J1204" i="7"/>
  <c r="K1204" i="7"/>
  <c r="P1204" i="7"/>
  <c r="Q1204" i="7"/>
  <c r="B1205" i="7"/>
  <c r="C1205" i="7"/>
  <c r="D1205" i="7"/>
  <c r="E1205" i="7"/>
  <c r="F1205" i="7"/>
  <c r="G1205" i="7"/>
  <c r="H1205" i="7"/>
  <c r="I1205" i="7"/>
  <c r="J1205" i="7"/>
  <c r="K1205" i="7"/>
  <c r="M1205" i="7"/>
  <c r="P1205" i="7"/>
  <c r="Q1205" i="7"/>
  <c r="B1206" i="7"/>
  <c r="C1206" i="7"/>
  <c r="D1206" i="7"/>
  <c r="E1206" i="7"/>
  <c r="F1206" i="7"/>
  <c r="G1206" i="7"/>
  <c r="H1206" i="7"/>
  <c r="I1206" i="7"/>
  <c r="J1206" i="7"/>
  <c r="K1206" i="7"/>
  <c r="P1206" i="7"/>
  <c r="Q1206" i="7"/>
  <c r="B1207" i="7"/>
  <c r="C1207" i="7"/>
  <c r="D1207" i="7"/>
  <c r="E1207" i="7"/>
  <c r="F1207" i="7"/>
  <c r="G1207" i="7"/>
  <c r="H1207" i="7"/>
  <c r="I1207" i="7"/>
  <c r="J1207" i="7"/>
  <c r="K1207" i="7"/>
  <c r="P1207" i="7"/>
  <c r="Q1207" i="7"/>
  <c r="R1207" i="7"/>
  <c r="B1208" i="7"/>
  <c r="C1208" i="7"/>
  <c r="D1208" i="7"/>
  <c r="E1208" i="7"/>
  <c r="F1208" i="7"/>
  <c r="G1208" i="7"/>
  <c r="H1208" i="7"/>
  <c r="I1208" i="7"/>
  <c r="J1208" i="7"/>
  <c r="K1208" i="7"/>
  <c r="P1208" i="7"/>
  <c r="Q1208" i="7"/>
  <c r="B1209" i="7"/>
  <c r="C1209" i="7"/>
  <c r="D1209" i="7"/>
  <c r="E1209" i="7"/>
  <c r="F1209" i="7"/>
  <c r="G1209" i="7"/>
  <c r="H1209" i="7"/>
  <c r="I1209" i="7"/>
  <c r="J1209" i="7"/>
  <c r="K1209" i="7"/>
  <c r="P1209" i="7"/>
  <c r="Q1209" i="7"/>
  <c r="R1209" i="7"/>
  <c r="B1210" i="7"/>
  <c r="C1210" i="7"/>
  <c r="D1210" i="7"/>
  <c r="E1210" i="7"/>
  <c r="F1210" i="7"/>
  <c r="G1210" i="7"/>
  <c r="H1210" i="7"/>
  <c r="I1210" i="7"/>
  <c r="J1210" i="7"/>
  <c r="K1210" i="7"/>
  <c r="P1210" i="7"/>
  <c r="Q1210" i="7"/>
  <c r="B1211" i="7"/>
  <c r="C1211" i="7"/>
  <c r="D1211" i="7"/>
  <c r="E1211" i="7"/>
  <c r="F1211" i="7"/>
  <c r="G1211" i="7"/>
  <c r="H1211" i="7"/>
  <c r="I1211" i="7"/>
  <c r="J1211" i="7"/>
  <c r="K1211" i="7"/>
  <c r="P1211" i="7"/>
  <c r="Q1211" i="7"/>
  <c r="B1212" i="7"/>
  <c r="C1212" i="7"/>
  <c r="D1212" i="7"/>
  <c r="E1212" i="7"/>
  <c r="F1212" i="7"/>
  <c r="G1212" i="7"/>
  <c r="H1212" i="7"/>
  <c r="I1212" i="7"/>
  <c r="J1212" i="7"/>
  <c r="K1212" i="7"/>
  <c r="P1212" i="7"/>
  <c r="Q1212" i="7"/>
  <c r="R1212" i="7"/>
  <c r="B1213" i="7"/>
  <c r="C1213" i="7"/>
  <c r="D1213" i="7"/>
  <c r="E1213" i="7"/>
  <c r="F1213" i="7"/>
  <c r="G1213" i="7"/>
  <c r="H1213" i="7"/>
  <c r="I1213" i="7"/>
  <c r="J1213" i="7"/>
  <c r="K1213" i="7"/>
  <c r="P1213" i="7"/>
  <c r="Q1213" i="7"/>
  <c r="B1214" i="7"/>
  <c r="C1214" i="7"/>
  <c r="D1214" i="7"/>
  <c r="E1214" i="7"/>
  <c r="F1214" i="7"/>
  <c r="G1214" i="7"/>
  <c r="H1214" i="7"/>
  <c r="I1214" i="7"/>
  <c r="J1214" i="7"/>
  <c r="K1214" i="7"/>
  <c r="P1214" i="7"/>
  <c r="Q1214" i="7"/>
  <c r="R1214" i="7"/>
  <c r="B1215" i="7"/>
  <c r="C1215" i="7"/>
  <c r="D1215" i="7"/>
  <c r="E1215" i="7"/>
  <c r="F1215" i="7"/>
  <c r="G1215" i="7"/>
  <c r="H1215" i="7"/>
  <c r="I1215" i="7"/>
  <c r="J1215" i="7"/>
  <c r="K1215" i="7"/>
  <c r="P1215" i="7"/>
  <c r="Q1215" i="7"/>
  <c r="R1215" i="7"/>
  <c r="B1216" i="7"/>
  <c r="C1216" i="7"/>
  <c r="D1216" i="7"/>
  <c r="E1216" i="7"/>
  <c r="F1216" i="7"/>
  <c r="G1216" i="7"/>
  <c r="H1216" i="7"/>
  <c r="I1216" i="7"/>
  <c r="J1216" i="7"/>
  <c r="K1216" i="7"/>
  <c r="P1216" i="7"/>
  <c r="Q1216" i="7"/>
  <c r="R1216" i="7"/>
  <c r="B1217" i="7"/>
  <c r="C1217" i="7"/>
  <c r="D1217" i="7"/>
  <c r="E1217" i="7"/>
  <c r="F1217" i="7"/>
  <c r="G1217" i="7"/>
  <c r="H1217" i="7"/>
  <c r="I1217" i="7"/>
  <c r="J1217" i="7"/>
  <c r="K1217" i="7"/>
  <c r="P1217" i="7"/>
  <c r="Q1217" i="7"/>
  <c r="B1218" i="7"/>
  <c r="C1218" i="7"/>
  <c r="D1218" i="7"/>
  <c r="E1218" i="7"/>
  <c r="F1218" i="7"/>
  <c r="G1218" i="7"/>
  <c r="H1218" i="7"/>
  <c r="I1218" i="7"/>
  <c r="J1218" i="7"/>
  <c r="K1218" i="7"/>
  <c r="P1218" i="7"/>
  <c r="Q1218" i="7"/>
  <c r="R1218" i="7"/>
  <c r="B1219" i="7"/>
  <c r="C1219" i="7"/>
  <c r="D1219" i="7"/>
  <c r="E1219" i="7"/>
  <c r="F1219" i="7"/>
  <c r="G1219" i="7"/>
  <c r="H1219" i="7"/>
  <c r="I1219" i="7"/>
  <c r="J1219" i="7"/>
  <c r="K1219" i="7"/>
  <c r="P1219" i="7"/>
  <c r="Q1219" i="7"/>
  <c r="B1220" i="7"/>
  <c r="C1220" i="7"/>
  <c r="D1220" i="7"/>
  <c r="E1220" i="7"/>
  <c r="F1220" i="7"/>
  <c r="G1220" i="7"/>
  <c r="H1220" i="7"/>
  <c r="I1220" i="7"/>
  <c r="J1220" i="7"/>
  <c r="K1220" i="7"/>
  <c r="P1220" i="7"/>
  <c r="Q1220" i="7"/>
  <c r="R1220" i="7"/>
  <c r="B1221" i="7"/>
  <c r="C1221" i="7"/>
  <c r="D1221" i="7"/>
  <c r="E1221" i="7"/>
  <c r="F1221" i="7"/>
  <c r="G1221" i="7"/>
  <c r="H1221" i="7"/>
  <c r="I1221" i="7"/>
  <c r="J1221" i="7"/>
  <c r="K1221" i="7"/>
  <c r="P1221" i="7"/>
  <c r="Q1221" i="7"/>
  <c r="R1221" i="7"/>
  <c r="B1222" i="7"/>
  <c r="C1222" i="7"/>
  <c r="D1222" i="7"/>
  <c r="E1222" i="7"/>
  <c r="F1222" i="7"/>
  <c r="G1222" i="7"/>
  <c r="H1222" i="7"/>
  <c r="I1222" i="7"/>
  <c r="J1222" i="7"/>
  <c r="K1222" i="7"/>
  <c r="P1222" i="7"/>
  <c r="Q1222" i="7"/>
  <c r="B1223" i="7"/>
  <c r="C1223" i="7"/>
  <c r="D1223" i="7"/>
  <c r="E1223" i="7"/>
  <c r="F1223" i="7"/>
  <c r="G1223" i="7"/>
  <c r="H1223" i="7"/>
  <c r="I1223" i="7"/>
  <c r="J1223" i="7"/>
  <c r="K1223" i="7"/>
  <c r="P1223" i="7"/>
  <c r="Q1223" i="7"/>
  <c r="B1224" i="7"/>
  <c r="C1224" i="7"/>
  <c r="D1224" i="7"/>
  <c r="E1224" i="7"/>
  <c r="F1224" i="7"/>
  <c r="G1224" i="7"/>
  <c r="H1224" i="7"/>
  <c r="I1224" i="7"/>
  <c r="J1224" i="7"/>
  <c r="K1224" i="7"/>
  <c r="P1224" i="7"/>
  <c r="Q1224" i="7"/>
  <c r="R1224" i="7"/>
  <c r="B1225" i="7"/>
  <c r="C1225" i="7"/>
  <c r="D1225" i="7"/>
  <c r="E1225" i="7"/>
  <c r="F1225" i="7"/>
  <c r="G1225" i="7"/>
  <c r="H1225" i="7"/>
  <c r="I1225" i="7"/>
  <c r="J1225" i="7"/>
  <c r="K1225" i="7"/>
  <c r="M1225" i="7"/>
  <c r="P1225" i="7"/>
  <c r="Q1225" i="7"/>
  <c r="R1225" i="7"/>
  <c r="B1226" i="7"/>
  <c r="C1226" i="7"/>
  <c r="D1226" i="7"/>
  <c r="E1226" i="7"/>
  <c r="F1226" i="7"/>
  <c r="G1226" i="7"/>
  <c r="H1226" i="7"/>
  <c r="I1226" i="7"/>
  <c r="J1226" i="7"/>
  <c r="K1226" i="7"/>
  <c r="P1226" i="7"/>
  <c r="Q1226" i="7"/>
  <c r="B1227" i="7"/>
  <c r="C1227" i="7"/>
  <c r="D1227" i="7"/>
  <c r="E1227" i="7"/>
  <c r="F1227" i="7"/>
  <c r="G1227" i="7"/>
  <c r="H1227" i="7"/>
  <c r="I1227" i="7"/>
  <c r="J1227" i="7"/>
  <c r="K1227" i="7"/>
  <c r="P1227" i="7"/>
  <c r="Q1227" i="7"/>
  <c r="R1227" i="7"/>
  <c r="B1228" i="7"/>
  <c r="C1228" i="7"/>
  <c r="D1228" i="7"/>
  <c r="E1228" i="7"/>
  <c r="F1228" i="7"/>
  <c r="G1228" i="7"/>
  <c r="H1228" i="7"/>
  <c r="I1228" i="7"/>
  <c r="J1228" i="7"/>
  <c r="K1228" i="7"/>
  <c r="P1228" i="7"/>
  <c r="Q1228" i="7"/>
  <c r="R1228" i="7"/>
  <c r="B1229" i="7"/>
  <c r="C1229" i="7"/>
  <c r="D1229" i="7"/>
  <c r="E1229" i="7"/>
  <c r="F1229" i="7"/>
  <c r="G1229" i="7"/>
  <c r="H1229" i="7"/>
  <c r="I1229" i="7"/>
  <c r="J1229" i="7"/>
  <c r="K1229" i="7"/>
  <c r="P1229" i="7"/>
  <c r="Q1229" i="7"/>
  <c r="R1229" i="7"/>
  <c r="B1230" i="7"/>
  <c r="C1230" i="7"/>
  <c r="D1230" i="7"/>
  <c r="E1230" i="7"/>
  <c r="F1230" i="7"/>
  <c r="G1230" i="7"/>
  <c r="H1230" i="7"/>
  <c r="I1230" i="7"/>
  <c r="J1230" i="7"/>
  <c r="K1230" i="7"/>
  <c r="P1230" i="7"/>
  <c r="Q1230" i="7"/>
  <c r="B1231" i="7"/>
  <c r="C1231" i="7"/>
  <c r="D1231" i="7"/>
  <c r="E1231" i="7"/>
  <c r="F1231" i="7"/>
  <c r="G1231" i="7"/>
  <c r="H1231" i="7"/>
  <c r="I1231" i="7"/>
  <c r="J1231" i="7"/>
  <c r="K1231" i="7"/>
  <c r="P1231" i="7"/>
  <c r="Q1231" i="7"/>
  <c r="R1231" i="7"/>
  <c r="B1232" i="7"/>
  <c r="C1232" i="7"/>
  <c r="D1232" i="7"/>
  <c r="E1232" i="7"/>
  <c r="F1232" i="7"/>
  <c r="G1232" i="7"/>
  <c r="H1232" i="7"/>
  <c r="I1232" i="7"/>
  <c r="J1232" i="7"/>
  <c r="K1232" i="7"/>
  <c r="P1232" i="7"/>
  <c r="Q1232" i="7"/>
  <c r="B1233" i="7"/>
  <c r="C1233" i="7"/>
  <c r="D1233" i="7"/>
  <c r="E1233" i="7"/>
  <c r="F1233" i="7"/>
  <c r="G1233" i="7"/>
  <c r="H1233" i="7"/>
  <c r="I1233" i="7"/>
  <c r="J1233" i="7"/>
  <c r="K1233" i="7"/>
  <c r="P1233" i="7"/>
  <c r="Q1233" i="7"/>
  <c r="B1234" i="7"/>
  <c r="C1234" i="7"/>
  <c r="D1234" i="7"/>
  <c r="E1234" i="7"/>
  <c r="F1234" i="7"/>
  <c r="G1234" i="7"/>
  <c r="H1234" i="7"/>
  <c r="I1234" i="7"/>
  <c r="J1234" i="7"/>
  <c r="K1234" i="7"/>
  <c r="P1234" i="7"/>
  <c r="Q1234" i="7"/>
  <c r="B1235" i="7"/>
  <c r="C1235" i="7"/>
  <c r="D1235" i="7"/>
  <c r="E1235" i="7"/>
  <c r="F1235" i="7"/>
  <c r="G1235" i="7"/>
  <c r="H1235" i="7"/>
  <c r="I1235" i="7"/>
  <c r="J1235" i="7"/>
  <c r="K1235" i="7"/>
  <c r="P1235" i="7"/>
  <c r="Q1235" i="7"/>
  <c r="B1236" i="7"/>
  <c r="C1236" i="7"/>
  <c r="D1236" i="7"/>
  <c r="E1236" i="7"/>
  <c r="F1236" i="7"/>
  <c r="G1236" i="7"/>
  <c r="H1236" i="7"/>
  <c r="I1236" i="7"/>
  <c r="J1236" i="7"/>
  <c r="K1236" i="7"/>
  <c r="P1236" i="7"/>
  <c r="Q1236" i="7"/>
  <c r="R1236" i="7"/>
  <c r="B1237" i="7"/>
  <c r="C1237" i="7"/>
  <c r="D1237" i="7"/>
  <c r="E1237" i="7"/>
  <c r="F1237" i="7"/>
  <c r="G1237" i="7"/>
  <c r="H1237" i="7"/>
  <c r="I1237" i="7"/>
  <c r="J1237" i="7"/>
  <c r="K1237" i="7"/>
  <c r="P1237" i="7"/>
  <c r="Q1237" i="7"/>
  <c r="B1238" i="7"/>
  <c r="C1238" i="7"/>
  <c r="D1238" i="7"/>
  <c r="E1238" i="7"/>
  <c r="F1238" i="7"/>
  <c r="G1238" i="7"/>
  <c r="H1238" i="7"/>
  <c r="I1238" i="7"/>
  <c r="J1238" i="7"/>
  <c r="K1238" i="7"/>
  <c r="P1238" i="7"/>
  <c r="Q1238" i="7"/>
  <c r="B1239" i="7"/>
  <c r="C1239" i="7"/>
  <c r="D1239" i="7"/>
  <c r="E1239" i="7"/>
  <c r="F1239" i="7"/>
  <c r="G1239" i="7"/>
  <c r="H1239" i="7"/>
  <c r="I1239" i="7"/>
  <c r="J1239" i="7"/>
  <c r="K1239" i="7"/>
  <c r="P1239" i="7"/>
  <c r="Q1239" i="7"/>
  <c r="B1240" i="7"/>
  <c r="C1240" i="7"/>
  <c r="D1240" i="7"/>
  <c r="E1240" i="7"/>
  <c r="F1240" i="7"/>
  <c r="G1240" i="7"/>
  <c r="H1240" i="7"/>
  <c r="I1240" i="7"/>
  <c r="J1240" i="7"/>
  <c r="P1240" i="7"/>
  <c r="Q1240" i="7"/>
  <c r="B1241" i="7"/>
  <c r="C1241" i="7"/>
  <c r="D1241" i="7"/>
  <c r="E1241" i="7"/>
  <c r="F1241" i="7"/>
  <c r="G1241" i="7"/>
  <c r="H1241" i="7"/>
  <c r="I1241" i="7"/>
  <c r="J1241" i="7"/>
  <c r="K1241" i="7"/>
  <c r="P1241" i="7"/>
  <c r="Q1241" i="7"/>
  <c r="R1241" i="7"/>
  <c r="B1242" i="7"/>
  <c r="C1242" i="7"/>
  <c r="D1242" i="7"/>
  <c r="E1242" i="7"/>
  <c r="F1242" i="7"/>
  <c r="G1242" i="7"/>
  <c r="H1242" i="7"/>
  <c r="I1242" i="7"/>
  <c r="J1242" i="7"/>
  <c r="K1242" i="7"/>
  <c r="P1242" i="7"/>
  <c r="Q1242" i="7"/>
  <c r="B1243" i="7"/>
  <c r="C1243" i="7"/>
  <c r="D1243" i="7"/>
  <c r="E1243" i="7"/>
  <c r="F1243" i="7"/>
  <c r="G1243" i="7"/>
  <c r="H1243" i="7"/>
  <c r="I1243" i="7"/>
  <c r="J1243" i="7"/>
  <c r="K1243" i="7"/>
  <c r="P1243" i="7"/>
  <c r="Q1243" i="7"/>
  <c r="R1243" i="7"/>
  <c r="B1244" i="7"/>
  <c r="C1244" i="7"/>
  <c r="D1244" i="7"/>
  <c r="E1244" i="7"/>
  <c r="F1244" i="7"/>
  <c r="G1244" i="7"/>
  <c r="H1244" i="7"/>
  <c r="I1244" i="7"/>
  <c r="J1244" i="7"/>
  <c r="K1244" i="7"/>
  <c r="P1244" i="7"/>
  <c r="Q1244" i="7"/>
  <c r="R1244" i="7"/>
  <c r="B1245" i="7"/>
  <c r="C1245" i="7"/>
  <c r="D1245" i="7"/>
  <c r="E1245" i="7"/>
  <c r="F1245" i="7"/>
  <c r="G1245" i="7"/>
  <c r="H1245" i="7"/>
  <c r="I1245" i="7"/>
  <c r="J1245" i="7"/>
  <c r="K1245" i="7"/>
  <c r="P1245" i="7"/>
  <c r="Q1245" i="7"/>
  <c r="B1246" i="7"/>
  <c r="C1246" i="7"/>
  <c r="D1246" i="7"/>
  <c r="E1246" i="7"/>
  <c r="F1246" i="7"/>
  <c r="G1246" i="7"/>
  <c r="H1246" i="7"/>
  <c r="I1246" i="7"/>
  <c r="J1246" i="7"/>
  <c r="K1246" i="7"/>
  <c r="P1246" i="7"/>
  <c r="Q1246" i="7"/>
  <c r="B1247" i="7"/>
  <c r="C1247" i="7"/>
  <c r="D1247" i="7"/>
  <c r="E1247" i="7"/>
  <c r="F1247" i="7"/>
  <c r="G1247" i="7"/>
  <c r="H1247" i="7"/>
  <c r="I1247" i="7"/>
  <c r="J1247" i="7"/>
  <c r="K1247" i="7"/>
  <c r="P1247" i="7"/>
  <c r="Q1247" i="7"/>
  <c r="B1248" i="7"/>
  <c r="C1248" i="7"/>
  <c r="D1248" i="7"/>
  <c r="E1248" i="7"/>
  <c r="F1248" i="7"/>
  <c r="G1248" i="7"/>
  <c r="H1248" i="7"/>
  <c r="I1248" i="7"/>
  <c r="J1248" i="7"/>
  <c r="K1248" i="7"/>
  <c r="P1248" i="7"/>
  <c r="Q1248" i="7"/>
  <c r="R1248" i="7"/>
  <c r="B1249" i="7"/>
  <c r="C1249" i="7"/>
  <c r="D1249" i="7"/>
  <c r="E1249" i="7"/>
  <c r="F1249" i="7"/>
  <c r="G1249" i="7"/>
  <c r="H1249" i="7"/>
  <c r="I1249" i="7"/>
  <c r="J1249" i="7"/>
  <c r="K1249" i="7"/>
  <c r="P1249" i="7"/>
  <c r="Q1249" i="7"/>
  <c r="B1250" i="7"/>
  <c r="C1250" i="7"/>
  <c r="D1250" i="7"/>
  <c r="E1250" i="7"/>
  <c r="F1250" i="7"/>
  <c r="G1250" i="7"/>
  <c r="H1250" i="7"/>
  <c r="I1250" i="7"/>
  <c r="J1250" i="7"/>
  <c r="K1250" i="7"/>
  <c r="P1250" i="7"/>
  <c r="Q1250" i="7"/>
  <c r="N1091" i="7" l="1"/>
  <c r="N69" i="79"/>
  <c r="N1107" i="7" s="1"/>
  <c r="N88" i="79"/>
  <c r="N1126" i="7" s="1"/>
  <c r="L111" i="79"/>
  <c r="M111" i="79" l="1"/>
  <c r="L1149" i="7"/>
  <c r="N111" i="79" l="1"/>
  <c r="N1149" i="7" s="1"/>
  <c r="M1149" i="7"/>
  <c r="L84" i="79" l="1"/>
  <c r="L1122" i="7" s="1"/>
  <c r="L135" i="79" l="1"/>
  <c r="L1173" i="7" s="1"/>
  <c r="M55" i="79"/>
  <c r="N55" i="79" s="1"/>
  <c r="N220" i="79"/>
  <c r="N221" i="79"/>
  <c r="N219" i="79"/>
  <c r="N1093" i="7" l="1"/>
  <c r="M1093" i="7"/>
  <c r="M135" i="79"/>
  <c r="M1173" i="7" s="1"/>
  <c r="N135" i="79" l="1"/>
  <c r="N1173" i="7" s="1"/>
  <c r="D216" i="79" l="1"/>
  <c r="L132" i="79" l="1"/>
  <c r="L1170" i="7" s="1"/>
  <c r="M132" i="79" l="1"/>
  <c r="M1170" i="7" s="1"/>
  <c r="N132" i="79" l="1"/>
  <c r="N1170" i="7" s="1"/>
  <c r="B1" i="79" l="1"/>
  <c r="L5" i="79"/>
  <c r="L1043" i="7" s="1"/>
  <c r="L6" i="79"/>
  <c r="L1044" i="7" s="1"/>
  <c r="O1044" i="7"/>
  <c r="N6" i="79" l="1"/>
  <c r="N1044" i="7" s="1"/>
  <c r="M5" i="79"/>
  <c r="M1043" i="7" s="1"/>
  <c r="N5" i="79" l="1"/>
  <c r="N1043" i="7" s="1"/>
  <c r="O1250" i="7" l="1"/>
  <c r="L212" i="79"/>
  <c r="L1250" i="7" s="1"/>
  <c r="L211" i="79"/>
  <c r="L1249" i="7" s="1"/>
  <c r="O1249" i="7"/>
  <c r="L169" i="79"/>
  <c r="L1207" i="7" s="1"/>
  <c r="O1207" i="7"/>
  <c r="M211" i="79" l="1"/>
  <c r="M1249" i="7" s="1"/>
  <c r="M169" i="79"/>
  <c r="M1207" i="7" s="1"/>
  <c r="M212" i="79"/>
  <c r="M1250" i="7" s="1"/>
  <c r="O1196" i="7"/>
  <c r="L158" i="79"/>
  <c r="L1196" i="7" s="1"/>
  <c r="O1195" i="7"/>
  <c r="L157" i="79"/>
  <c r="L1195" i="7" s="1"/>
  <c r="O1211" i="7"/>
  <c r="O1212" i="7"/>
  <c r="O1190" i="7"/>
  <c r="O1193" i="7"/>
  <c r="O1194" i="7"/>
  <c r="O1198" i="7"/>
  <c r="O1199" i="7"/>
  <c r="O1197" i="7"/>
  <c r="O1202" i="7"/>
  <c r="O1200" i="7"/>
  <c r="O1203" i="7"/>
  <c r="O1204" i="7"/>
  <c r="O1201" i="7"/>
  <c r="O1205" i="7"/>
  <c r="O1206" i="7"/>
  <c r="O1208" i="7"/>
  <c r="O1209" i="7"/>
  <c r="O1191" i="7"/>
  <c r="O1192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42" i="7"/>
  <c r="O1234" i="7"/>
  <c r="O1235" i="7"/>
  <c r="O1236" i="7"/>
  <c r="O1214" i="7"/>
  <c r="O1215" i="7"/>
  <c r="O1216" i="7"/>
  <c r="O1217" i="7"/>
  <c r="O1218" i="7"/>
  <c r="O1213" i="7"/>
  <c r="O1237" i="7"/>
  <c r="O1238" i="7"/>
  <c r="O1239" i="7"/>
  <c r="O1240" i="7"/>
  <c r="O1241" i="7"/>
  <c r="O1243" i="7"/>
  <c r="O1244" i="7"/>
  <c r="O1245" i="7"/>
  <c r="O1247" i="7"/>
  <c r="O1248" i="7"/>
  <c r="O1246" i="7"/>
  <c r="O1210" i="7"/>
  <c r="O1189" i="7"/>
  <c r="N169" i="79" l="1"/>
  <c r="N1207" i="7" s="1"/>
  <c r="N211" i="79"/>
  <c r="N1249" i="7" s="1"/>
  <c r="N212" i="79"/>
  <c r="N1250" i="7" s="1"/>
  <c r="M158" i="79"/>
  <c r="M1196" i="7" s="1"/>
  <c r="M157" i="79"/>
  <c r="M1195" i="7" s="1"/>
  <c r="N157" i="79" l="1"/>
  <c r="N1195" i="7" s="1"/>
  <c r="N158" i="79"/>
  <c r="N1196" i="7" s="1"/>
  <c r="L208" i="79"/>
  <c r="L1246" i="7" s="1"/>
  <c r="L210" i="79"/>
  <c r="L1248" i="7" s="1"/>
  <c r="L209" i="79"/>
  <c r="L1247" i="7" s="1"/>
  <c r="L207" i="79"/>
  <c r="L1245" i="7" s="1"/>
  <c r="L206" i="79"/>
  <c r="L1244" i="7" s="1"/>
  <c r="L205" i="79"/>
  <c r="L1243" i="7" s="1"/>
  <c r="L203" i="79"/>
  <c r="L1241" i="7" s="1"/>
  <c r="K202" i="79"/>
  <c r="K1240" i="7" s="1"/>
  <c r="L201" i="79"/>
  <c r="L1239" i="7" s="1"/>
  <c r="L200" i="79"/>
  <c r="L1238" i="7" s="1"/>
  <c r="L199" i="79"/>
  <c r="L1237" i="7" s="1"/>
  <c r="L175" i="79"/>
  <c r="L1213" i="7" s="1"/>
  <c r="L180" i="79"/>
  <c r="L1218" i="7" s="1"/>
  <c r="L179" i="79"/>
  <c r="L1217" i="7" s="1"/>
  <c r="L178" i="79"/>
  <c r="L1216" i="7" s="1"/>
  <c r="L177" i="79"/>
  <c r="L1215" i="7" s="1"/>
  <c r="L176" i="79"/>
  <c r="L1214" i="7" s="1"/>
  <c r="L198" i="79"/>
  <c r="L1236" i="7" s="1"/>
  <c r="L197" i="79"/>
  <c r="L1235" i="7" s="1"/>
  <c r="L196" i="79"/>
  <c r="L1234" i="7" s="1"/>
  <c r="L204" i="79"/>
  <c r="L1242" i="7" s="1"/>
  <c r="L195" i="79"/>
  <c r="L1233" i="7" s="1"/>
  <c r="L194" i="79"/>
  <c r="L1232" i="7" s="1"/>
  <c r="L193" i="79"/>
  <c r="L1231" i="7" s="1"/>
  <c r="L192" i="79"/>
  <c r="L1230" i="7" s="1"/>
  <c r="L191" i="79"/>
  <c r="L1229" i="7" s="1"/>
  <c r="L190" i="79"/>
  <c r="L1228" i="7" s="1"/>
  <c r="L189" i="79"/>
  <c r="L1227" i="7" s="1"/>
  <c r="L188" i="79"/>
  <c r="L1226" i="7" s="1"/>
  <c r="L187" i="79"/>
  <c r="L1225" i="7" s="1"/>
  <c r="L186" i="79"/>
  <c r="L1224" i="7" s="1"/>
  <c r="L185" i="79"/>
  <c r="L1223" i="7" s="1"/>
  <c r="L184" i="79"/>
  <c r="L1222" i="7" s="1"/>
  <c r="L183" i="79"/>
  <c r="L1221" i="7" s="1"/>
  <c r="L182" i="79"/>
  <c r="L1220" i="7" s="1"/>
  <c r="L181" i="79"/>
  <c r="L1219" i="7" s="1"/>
  <c r="L154" i="79"/>
  <c r="L1192" i="7" s="1"/>
  <c r="L153" i="79"/>
  <c r="L1191" i="7" s="1"/>
  <c r="L171" i="79"/>
  <c r="L1209" i="7" s="1"/>
  <c r="L170" i="79"/>
  <c r="L1208" i="7" s="1"/>
  <c r="L168" i="79"/>
  <c r="L1206" i="7" s="1"/>
  <c r="L167" i="79"/>
  <c r="L1205" i="7" s="1"/>
  <c r="L163" i="79"/>
  <c r="L1201" i="7" s="1"/>
  <c r="L166" i="79"/>
  <c r="L1204" i="7" s="1"/>
  <c r="L165" i="79"/>
  <c r="L1203" i="7" s="1"/>
  <c r="L162" i="79"/>
  <c r="L1200" i="7" s="1"/>
  <c r="L164" i="79"/>
  <c r="L1202" i="7" s="1"/>
  <c r="L159" i="79"/>
  <c r="L1197" i="7" s="1"/>
  <c r="L161" i="79"/>
  <c r="L1199" i="7" s="1"/>
  <c r="L160" i="79"/>
  <c r="L1198" i="7" s="1"/>
  <c r="L156" i="79"/>
  <c r="L1194" i="7" s="1"/>
  <c r="L155" i="79"/>
  <c r="L1193" i="7" s="1"/>
  <c r="L152" i="79"/>
  <c r="L1190" i="7" s="1"/>
  <c r="L174" i="79"/>
  <c r="L1212" i="7" s="1"/>
  <c r="L151" i="79"/>
  <c r="L1189" i="7" s="1"/>
  <c r="L173" i="79"/>
  <c r="L1211" i="7" s="1"/>
  <c r="L172" i="79"/>
  <c r="L1210" i="7" s="1"/>
  <c r="L130" i="79"/>
  <c r="L1168" i="7" s="1"/>
  <c r="L128" i="79"/>
  <c r="L1166" i="7" s="1"/>
  <c r="L131" i="79"/>
  <c r="L1169" i="7" s="1"/>
  <c r="L129" i="79"/>
  <c r="L1167" i="7" s="1"/>
  <c r="M123" i="79"/>
  <c r="M1161" i="7" s="1"/>
  <c r="L125" i="79"/>
  <c r="L1163" i="7" s="1"/>
  <c r="L127" i="79"/>
  <c r="L1165" i="7" s="1"/>
  <c r="L126" i="79"/>
  <c r="L1164" i="7" s="1"/>
  <c r="L134" i="79"/>
  <c r="L1172" i="7" s="1"/>
  <c r="L133" i="79"/>
  <c r="L1171" i="7" s="1"/>
  <c r="L70" i="79"/>
  <c r="L1108" i="7" s="1"/>
  <c r="M64" i="79"/>
  <c r="M1102" i="7" s="1"/>
  <c r="L58" i="79"/>
  <c r="L1096" i="7" s="1"/>
  <c r="L54" i="79"/>
  <c r="L57" i="79"/>
  <c r="L1095" i="7" s="1"/>
  <c r="L50" i="79"/>
  <c r="L1088" i="7" s="1"/>
  <c r="L47" i="79"/>
  <c r="L1085" i="7" s="1"/>
  <c r="L41" i="79"/>
  <c r="L1079" i="7" s="1"/>
  <c r="L40" i="79"/>
  <c r="L1078" i="7" s="1"/>
  <c r="O1188" i="7"/>
  <c r="L150" i="79"/>
  <c r="L1188" i="7" s="1"/>
  <c r="O1187" i="7"/>
  <c r="L149" i="79"/>
  <c r="L1187" i="7" s="1"/>
  <c r="O1186" i="7"/>
  <c r="L148" i="79"/>
  <c r="L1186" i="7" s="1"/>
  <c r="O1185" i="7"/>
  <c r="L147" i="79"/>
  <c r="L1185" i="7" s="1"/>
  <c r="O1184" i="7"/>
  <c r="L146" i="79"/>
  <c r="L1184" i="7" s="1"/>
  <c r="O1183" i="7"/>
  <c r="L145" i="79"/>
  <c r="L1183" i="7" s="1"/>
  <c r="O1182" i="7"/>
  <c r="L144" i="79"/>
  <c r="L1182" i="7" s="1"/>
  <c r="O1181" i="7"/>
  <c r="L143" i="79"/>
  <c r="L1181" i="7" s="1"/>
  <c r="O1180" i="7"/>
  <c r="L142" i="79"/>
  <c r="L1180" i="7" s="1"/>
  <c r="O1179" i="7"/>
  <c r="L141" i="79"/>
  <c r="L1179" i="7" s="1"/>
  <c r="O1177" i="7"/>
  <c r="L139" i="79"/>
  <c r="L1177" i="7" s="1"/>
  <c r="O1176" i="7"/>
  <c r="L138" i="79"/>
  <c r="L1176" i="7" s="1"/>
  <c r="O1175" i="7"/>
  <c r="L137" i="79"/>
  <c r="L1175" i="7" s="1"/>
  <c r="O1178" i="7"/>
  <c r="L140" i="79"/>
  <c r="L1178" i="7" s="1"/>
  <c r="O1174" i="7"/>
  <c r="L136" i="79"/>
  <c r="L1174" i="7" s="1"/>
  <c r="L122" i="79"/>
  <c r="L1160" i="7" s="1"/>
  <c r="L121" i="79"/>
  <c r="L1159" i="7" s="1"/>
  <c r="L120" i="79"/>
  <c r="L1158" i="7" s="1"/>
  <c r="L119" i="79"/>
  <c r="L1157" i="7" s="1"/>
  <c r="L118" i="79"/>
  <c r="L1156" i="7" s="1"/>
  <c r="L117" i="79"/>
  <c r="L1155" i="7" s="1"/>
  <c r="M115" i="79"/>
  <c r="M1153" i="7" s="1"/>
  <c r="L114" i="79"/>
  <c r="L1152" i="7" s="1"/>
  <c r="L113" i="79"/>
  <c r="L1151" i="7" s="1"/>
  <c r="L112" i="79"/>
  <c r="L1150" i="7" s="1"/>
  <c r="L110" i="79"/>
  <c r="L1148" i="7" s="1"/>
  <c r="L109" i="79"/>
  <c r="L1147" i="7" s="1"/>
  <c r="L108" i="79"/>
  <c r="L1146" i="7" s="1"/>
  <c r="L107" i="79"/>
  <c r="L1145" i="7" s="1"/>
  <c r="L106" i="79"/>
  <c r="L1144" i="7" s="1"/>
  <c r="L105" i="79"/>
  <c r="L1143" i="7" s="1"/>
  <c r="L104" i="79"/>
  <c r="L1142" i="7" s="1"/>
  <c r="M90" i="79"/>
  <c r="M1128" i="7" s="1"/>
  <c r="L89" i="79"/>
  <c r="L1127" i="7" s="1"/>
  <c r="L87" i="79"/>
  <c r="L1125" i="7" s="1"/>
  <c r="L86" i="79"/>
  <c r="L1124" i="7" s="1"/>
  <c r="L85" i="79"/>
  <c r="L1123" i="7" s="1"/>
  <c r="L83" i="79"/>
  <c r="L1121" i="7" s="1"/>
  <c r="L82" i="79"/>
  <c r="L1120" i="7" s="1"/>
  <c r="L81" i="79"/>
  <c r="L1119" i="7" s="1"/>
  <c r="L80" i="79"/>
  <c r="L1118" i="7" s="1"/>
  <c r="L79" i="79"/>
  <c r="L1117" i="7" s="1"/>
  <c r="L78" i="79"/>
  <c r="L1116" i="7" s="1"/>
  <c r="L77" i="79"/>
  <c r="L1115" i="7" s="1"/>
  <c r="N75" i="79"/>
  <c r="N1113" i="7" s="1"/>
  <c r="K75" i="79"/>
  <c r="K1113" i="7" s="1"/>
  <c r="L74" i="79"/>
  <c r="L1112" i="7" s="1"/>
  <c r="L73" i="79"/>
  <c r="L1111" i="7" s="1"/>
  <c r="L72" i="79"/>
  <c r="L1110" i="7" s="1"/>
  <c r="L71" i="79"/>
  <c r="L1109" i="7" s="1"/>
  <c r="K69" i="79"/>
  <c r="K1107" i="7" s="1"/>
  <c r="L63" i="79"/>
  <c r="L1101" i="7" s="1"/>
  <c r="L62" i="79"/>
  <c r="L1100" i="7" s="1"/>
  <c r="L61" i="79"/>
  <c r="L1099" i="7" s="1"/>
  <c r="L60" i="79"/>
  <c r="L1098" i="7" s="1"/>
  <c r="L59" i="79"/>
  <c r="L1097" i="7" s="1"/>
  <c r="K56" i="79"/>
  <c r="K1094" i="7" s="1"/>
  <c r="L52" i="79"/>
  <c r="L51" i="79"/>
  <c r="L49" i="79"/>
  <c r="L1087" i="7" s="1"/>
  <c r="L48" i="79"/>
  <c r="L1086" i="7" s="1"/>
  <c r="L46" i="79"/>
  <c r="L1084" i="7" s="1"/>
  <c r="L45" i="79"/>
  <c r="L1083" i="7" s="1"/>
  <c r="L44" i="79"/>
  <c r="L1082" i="7" s="1"/>
  <c r="L43" i="79"/>
  <c r="L1081" i="7" s="1"/>
  <c r="L42" i="79"/>
  <c r="L1080" i="7" s="1"/>
  <c r="L39" i="79"/>
  <c r="L1077" i="7" s="1"/>
  <c r="L38" i="79"/>
  <c r="L1076" i="7" s="1"/>
  <c r="L37" i="79"/>
  <c r="L1075" i="7" s="1"/>
  <c r="O1074" i="7"/>
  <c r="L36" i="79"/>
  <c r="L1074" i="7" s="1"/>
  <c r="L35" i="79"/>
  <c r="L1073" i="7" s="1"/>
  <c r="O1072" i="7"/>
  <c r="L34" i="79"/>
  <c r="L1072" i="7" s="1"/>
  <c r="O1071" i="7"/>
  <c r="L33" i="79"/>
  <c r="L1071" i="7" s="1"/>
  <c r="O1070" i="7"/>
  <c r="L32" i="79"/>
  <c r="L1070" i="7" s="1"/>
  <c r="O1069" i="7"/>
  <c r="L31" i="79"/>
  <c r="L1069" i="7" s="1"/>
  <c r="O1068" i="7"/>
  <c r="L30" i="79"/>
  <c r="L1068" i="7" s="1"/>
  <c r="O1067" i="7"/>
  <c r="L29" i="79"/>
  <c r="L1067" i="7" s="1"/>
  <c r="O1066" i="7"/>
  <c r="L28" i="79"/>
  <c r="L1066" i="7" s="1"/>
  <c r="O1065" i="7"/>
  <c r="L27" i="79"/>
  <c r="L1065" i="7" s="1"/>
  <c r="O1064" i="7"/>
  <c r="L26" i="79"/>
  <c r="L1064" i="7" s="1"/>
  <c r="O1063" i="7"/>
  <c r="L25" i="79"/>
  <c r="L1063" i="7" s="1"/>
  <c r="O1062" i="7"/>
  <c r="L24" i="79"/>
  <c r="L1062" i="7" s="1"/>
  <c r="O1061" i="7"/>
  <c r="L23" i="79"/>
  <c r="L1061" i="7" s="1"/>
  <c r="O1060" i="7"/>
  <c r="L22" i="79"/>
  <c r="L1060" i="7" s="1"/>
  <c r="O1059" i="7"/>
  <c r="L21" i="79"/>
  <c r="L1059" i="7" s="1"/>
  <c r="O1058" i="7"/>
  <c r="L20" i="79"/>
  <c r="L1058" i="7" s="1"/>
  <c r="O1057" i="7"/>
  <c r="L19" i="79"/>
  <c r="L1057" i="7" s="1"/>
  <c r="O1056" i="7"/>
  <c r="L18" i="79"/>
  <c r="L1056" i="7" s="1"/>
  <c r="O1055" i="7"/>
  <c r="L17" i="79"/>
  <c r="L1055" i="7" s="1"/>
  <c r="O1054" i="7"/>
  <c r="L16" i="79"/>
  <c r="L1054" i="7" s="1"/>
  <c r="O1053" i="7"/>
  <c r="L15" i="79"/>
  <c r="L1053" i="7" s="1"/>
  <c r="O1052" i="7"/>
  <c r="L14" i="79"/>
  <c r="L1052" i="7" s="1"/>
  <c r="O1051" i="7"/>
  <c r="L13" i="79"/>
  <c r="L1051" i="7" s="1"/>
  <c r="O1050" i="7"/>
  <c r="L12" i="79"/>
  <c r="L1050" i="7" s="1"/>
  <c r="O1049" i="7"/>
  <c r="L11" i="79"/>
  <c r="L1049" i="7" s="1"/>
  <c r="O1048" i="7"/>
  <c r="L10" i="79"/>
  <c r="L1048" i="7" s="1"/>
  <c r="O1047" i="7"/>
  <c r="L9" i="79"/>
  <c r="L1047" i="7" s="1"/>
  <c r="O1046" i="7"/>
  <c r="L8" i="79"/>
  <c r="L1046" i="7" s="1"/>
  <c r="O1045" i="7"/>
  <c r="L7" i="79"/>
  <c r="L1045" i="7" s="1"/>
  <c r="F230" i="79"/>
  <c r="F229" i="79"/>
  <c r="F228" i="79"/>
  <c r="F226" i="79"/>
  <c r="F225" i="79"/>
  <c r="F223" i="79"/>
  <c r="F222" i="79"/>
  <c r="F221" i="79"/>
  <c r="E8" i="36"/>
  <c r="L214" i="79"/>
  <c r="M214" i="79" s="1"/>
  <c r="L213" i="79"/>
  <c r="M213" i="79" s="1"/>
  <c r="N213" i="79" s="1"/>
  <c r="L1090" i="7" l="1"/>
  <c r="L1089" i="7"/>
  <c r="L1092" i="7"/>
  <c r="N7" i="79"/>
  <c r="N1045" i="7" s="1"/>
  <c r="N9" i="79"/>
  <c r="N1047" i="7" s="1"/>
  <c r="N11" i="79"/>
  <c r="N1049" i="7" s="1"/>
  <c r="N13" i="79"/>
  <c r="N1051" i="7" s="1"/>
  <c r="N15" i="79"/>
  <c r="N1053" i="7" s="1"/>
  <c r="N17" i="79"/>
  <c r="N1055" i="7" s="1"/>
  <c r="N19" i="79"/>
  <c r="N1057" i="7" s="1"/>
  <c r="N21" i="79"/>
  <c r="N1059" i="7" s="1"/>
  <c r="N23" i="79"/>
  <c r="N1061" i="7" s="1"/>
  <c r="N25" i="79"/>
  <c r="N1063" i="7" s="1"/>
  <c r="N27" i="79"/>
  <c r="N1065" i="7" s="1"/>
  <c r="N29" i="79"/>
  <c r="N1067" i="7" s="1"/>
  <c r="N33" i="79"/>
  <c r="N1071" i="7" s="1"/>
  <c r="N35" i="79"/>
  <c r="N1073" i="7" s="1"/>
  <c r="N44" i="79"/>
  <c r="N1082" i="7" s="1"/>
  <c r="N59" i="79"/>
  <c r="N1097" i="7" s="1"/>
  <c r="N63" i="79"/>
  <c r="N1101" i="7" s="1"/>
  <c r="N72" i="79"/>
  <c r="N1110" i="7" s="1"/>
  <c r="N80" i="79"/>
  <c r="N1118" i="7" s="1"/>
  <c r="N36" i="79"/>
  <c r="N1074" i="7" s="1"/>
  <c r="N45" i="79"/>
  <c r="N1083" i="7" s="1"/>
  <c r="N73" i="79"/>
  <c r="N1111" i="7" s="1"/>
  <c r="N121" i="79"/>
  <c r="N1159" i="7" s="1"/>
  <c r="N8" i="79"/>
  <c r="N1046" i="7" s="1"/>
  <c r="N10" i="79"/>
  <c r="N1048" i="7" s="1"/>
  <c r="N12" i="79"/>
  <c r="N1050" i="7" s="1"/>
  <c r="N14" i="79"/>
  <c r="N1052" i="7" s="1"/>
  <c r="N16" i="79"/>
  <c r="N1054" i="7" s="1"/>
  <c r="N18" i="79"/>
  <c r="N1056" i="7" s="1"/>
  <c r="N20" i="79"/>
  <c r="N1058" i="7" s="1"/>
  <c r="N22" i="79"/>
  <c r="N1060" i="7" s="1"/>
  <c r="N24" i="79"/>
  <c r="N1062" i="7" s="1"/>
  <c r="N26" i="79"/>
  <c r="N1064" i="7" s="1"/>
  <c r="N28" i="79"/>
  <c r="N1066" i="7" s="1"/>
  <c r="N32" i="79"/>
  <c r="N1070" i="7" s="1"/>
  <c r="N34" i="79"/>
  <c r="N1072" i="7" s="1"/>
  <c r="N42" i="79"/>
  <c r="N1080" i="7" s="1"/>
  <c r="N74" i="79"/>
  <c r="N1112" i="7" s="1"/>
  <c r="N122" i="79"/>
  <c r="N1160" i="7" s="1"/>
  <c r="N151" i="79"/>
  <c r="N1189" i="7" s="1"/>
  <c r="N43" i="79"/>
  <c r="N1081" i="7" s="1"/>
  <c r="N71" i="79"/>
  <c r="N1109" i="7" s="1"/>
  <c r="N150" i="79"/>
  <c r="N1188" i="7" s="1"/>
  <c r="N130" i="79"/>
  <c r="N1168" i="7" s="1"/>
  <c r="N162" i="79"/>
  <c r="N1200" i="7" s="1"/>
  <c r="N167" i="79"/>
  <c r="N1205" i="7" s="1"/>
  <c r="N187" i="79"/>
  <c r="N1225" i="7" s="1"/>
  <c r="M37" i="79"/>
  <c r="M1075" i="7" s="1"/>
  <c r="M61" i="79"/>
  <c r="M1099" i="7" s="1"/>
  <c r="M113" i="79"/>
  <c r="M1151" i="7" s="1"/>
  <c r="M41" i="79"/>
  <c r="M1079" i="7" s="1"/>
  <c r="M54" i="79"/>
  <c r="M1092" i="7" s="1"/>
  <c r="M84" i="79"/>
  <c r="M127" i="79"/>
  <c r="M1165" i="7" s="1"/>
  <c r="M131" i="79"/>
  <c r="M1169" i="7" s="1"/>
  <c r="M173" i="79"/>
  <c r="M1211" i="7" s="1"/>
  <c r="M155" i="79"/>
  <c r="M1193" i="7" s="1"/>
  <c r="M159" i="79"/>
  <c r="M1197" i="7" s="1"/>
  <c r="M166" i="79"/>
  <c r="M1204" i="7" s="1"/>
  <c r="M170" i="79"/>
  <c r="M1208" i="7" s="1"/>
  <c r="M181" i="79"/>
  <c r="M1219" i="7" s="1"/>
  <c r="M185" i="79"/>
  <c r="M1223" i="7" s="1"/>
  <c r="M193" i="79"/>
  <c r="M1231" i="7" s="1"/>
  <c r="M196" i="79"/>
  <c r="M1234" i="7" s="1"/>
  <c r="M177" i="79"/>
  <c r="M1215" i="7" s="1"/>
  <c r="M175" i="79"/>
  <c r="M1213" i="7" s="1"/>
  <c r="L202" i="79"/>
  <c r="M207" i="79"/>
  <c r="M1245" i="7" s="1"/>
  <c r="M49" i="79"/>
  <c r="M1087" i="7" s="1"/>
  <c r="L56" i="79"/>
  <c r="L1094" i="7" s="1"/>
  <c r="M79" i="79"/>
  <c r="M1117" i="7" s="1"/>
  <c r="M109" i="79"/>
  <c r="M1147" i="7" s="1"/>
  <c r="M114" i="79"/>
  <c r="M1152" i="7" s="1"/>
  <c r="M119" i="79"/>
  <c r="M1157" i="7" s="1"/>
  <c r="M136" i="79"/>
  <c r="M1174" i="7" s="1"/>
  <c r="M139" i="79"/>
  <c r="M1177" i="7" s="1"/>
  <c r="M144" i="79"/>
  <c r="M1182" i="7" s="1"/>
  <c r="M146" i="79"/>
  <c r="M1184" i="7" s="1"/>
  <c r="M148" i="79"/>
  <c r="M1186" i="7" s="1"/>
  <c r="M47" i="79"/>
  <c r="M1085" i="7" s="1"/>
  <c r="M58" i="79"/>
  <c r="M1096" i="7" s="1"/>
  <c r="M133" i="79"/>
  <c r="M1171" i="7" s="1"/>
  <c r="M125" i="79"/>
  <c r="M1163" i="7" s="1"/>
  <c r="M128" i="79"/>
  <c r="M1166" i="7" s="1"/>
  <c r="M156" i="79"/>
  <c r="M1194" i="7" s="1"/>
  <c r="M164" i="79"/>
  <c r="M1202" i="7" s="1"/>
  <c r="M171" i="79"/>
  <c r="M1209" i="7" s="1"/>
  <c r="M182" i="79"/>
  <c r="M1220" i="7" s="1"/>
  <c r="M186" i="79"/>
  <c r="M1224" i="7" s="1"/>
  <c r="M190" i="79"/>
  <c r="M1228" i="7" s="1"/>
  <c r="M194" i="79"/>
  <c r="M1232" i="7" s="1"/>
  <c r="M197" i="79"/>
  <c r="M1235" i="7" s="1"/>
  <c r="M178" i="79"/>
  <c r="M1216" i="7" s="1"/>
  <c r="M199" i="79"/>
  <c r="M1237" i="7" s="1"/>
  <c r="M203" i="79"/>
  <c r="M1241" i="7" s="1"/>
  <c r="M209" i="79"/>
  <c r="M1247" i="7" s="1"/>
  <c r="M39" i="79"/>
  <c r="M1077" i="7" s="1"/>
  <c r="N89" i="79"/>
  <c r="N1127" i="7" s="1"/>
  <c r="M110" i="79"/>
  <c r="M1148" i="7" s="1"/>
  <c r="N115" i="79"/>
  <c r="N1153" i="7" s="1"/>
  <c r="M120" i="79"/>
  <c r="M1158" i="7" s="1"/>
  <c r="M50" i="79"/>
  <c r="M1088" i="7" s="1"/>
  <c r="N64" i="79"/>
  <c r="N1102" i="7" s="1"/>
  <c r="M134" i="79"/>
  <c r="M1172" i="7" s="1"/>
  <c r="M153" i="79"/>
  <c r="M1191" i="7" s="1"/>
  <c r="M183" i="79"/>
  <c r="M1221" i="7" s="1"/>
  <c r="M205" i="79"/>
  <c r="M1243" i="7" s="1"/>
  <c r="M210" i="79"/>
  <c r="M1248" i="7" s="1"/>
  <c r="M77" i="79"/>
  <c r="M1115" i="7" s="1"/>
  <c r="N90" i="79"/>
  <c r="N1128" i="7" s="1"/>
  <c r="M107" i="79"/>
  <c r="M1145" i="7" s="1"/>
  <c r="M117" i="79"/>
  <c r="M1155" i="7" s="1"/>
  <c r="M138" i="79"/>
  <c r="M1176" i="7" s="1"/>
  <c r="M143" i="79"/>
  <c r="M1181" i="7" s="1"/>
  <c r="M147" i="79"/>
  <c r="M1185" i="7" s="1"/>
  <c r="M57" i="79"/>
  <c r="M1095" i="7" s="1"/>
  <c r="M70" i="79"/>
  <c r="M1108" i="7" s="1"/>
  <c r="M126" i="79"/>
  <c r="M1164" i="7" s="1"/>
  <c r="N129" i="79"/>
  <c r="N1167" i="7" s="1"/>
  <c r="M172" i="79"/>
  <c r="M1210" i="7" s="1"/>
  <c r="M152" i="79"/>
  <c r="M1190" i="7" s="1"/>
  <c r="M161" i="79"/>
  <c r="M1199" i="7" s="1"/>
  <c r="M165" i="79"/>
  <c r="M1203" i="7" s="1"/>
  <c r="M188" i="79"/>
  <c r="M1226" i="7" s="1"/>
  <c r="M192" i="79"/>
  <c r="M1230" i="7" s="1"/>
  <c r="M204" i="79"/>
  <c r="M1242" i="7" s="1"/>
  <c r="M176" i="79"/>
  <c r="M1214" i="7" s="1"/>
  <c r="M180" i="79"/>
  <c r="M1218" i="7" s="1"/>
  <c r="M201" i="79"/>
  <c r="M1239" i="7" s="1"/>
  <c r="M206" i="79"/>
  <c r="M1244" i="7" s="1"/>
  <c r="M208" i="79"/>
  <c r="M1246" i="7" s="1"/>
  <c r="M189" i="79"/>
  <c r="M1227" i="7" s="1"/>
  <c r="M83" i="79"/>
  <c r="M1121" i="7" s="1"/>
  <c r="M38" i="79"/>
  <c r="M1076" i="7" s="1"/>
  <c r="M85" i="79"/>
  <c r="M1123" i="7" s="1"/>
  <c r="M60" i="79"/>
  <c r="M1098" i="7" s="1"/>
  <c r="N123" i="79"/>
  <c r="N1161" i="7" s="1"/>
  <c r="M51" i="79"/>
  <c r="M1089" i="7" s="1"/>
  <c r="M105" i="79"/>
  <c r="M1143" i="7" s="1"/>
  <c r="F227" i="79"/>
  <c r="M30" i="79"/>
  <c r="M1068" i="7" s="1"/>
  <c r="M31" i="79"/>
  <c r="M1069" i="7" s="1"/>
  <c r="M104" i="79"/>
  <c r="M1142" i="7" s="1"/>
  <c r="M118" i="79"/>
  <c r="M1156" i="7" s="1"/>
  <c r="M163" i="79"/>
  <c r="M1201" i="7" s="1"/>
  <c r="M46" i="79"/>
  <c r="M1084" i="7" s="1"/>
  <c r="M62" i="79"/>
  <c r="M1100" i="7" s="1"/>
  <c r="M86" i="79"/>
  <c r="M1124" i="7" s="1"/>
  <c r="M106" i="79"/>
  <c r="M1144" i="7" s="1"/>
  <c r="M112" i="79"/>
  <c r="M1150" i="7" s="1"/>
  <c r="M149" i="79"/>
  <c r="M1187" i="7" s="1"/>
  <c r="M174" i="79"/>
  <c r="M1212" i="7" s="1"/>
  <c r="M52" i="79"/>
  <c r="M1090" i="7" s="1"/>
  <c r="M82" i="79"/>
  <c r="M1120" i="7" s="1"/>
  <c r="M142" i="79"/>
  <c r="M1180" i="7" s="1"/>
  <c r="M145" i="79"/>
  <c r="M1183" i="7" s="1"/>
  <c r="M154" i="79"/>
  <c r="M1192" i="7" s="1"/>
  <c r="M191" i="79"/>
  <c r="M1229" i="7" s="1"/>
  <c r="M198" i="79"/>
  <c r="M1236" i="7" s="1"/>
  <c r="M200" i="79"/>
  <c r="M1238" i="7" s="1"/>
  <c r="M48" i="79"/>
  <c r="M1086" i="7" s="1"/>
  <c r="M78" i="79"/>
  <c r="M1116" i="7" s="1"/>
  <c r="M87" i="79"/>
  <c r="M1125" i="7" s="1"/>
  <c r="M137" i="79"/>
  <c r="M1175" i="7" s="1"/>
  <c r="M141" i="79"/>
  <c r="M1179" i="7" s="1"/>
  <c r="M160" i="79"/>
  <c r="M1198" i="7" s="1"/>
  <c r="M81" i="79"/>
  <c r="M1119" i="7" s="1"/>
  <c r="M108" i="79"/>
  <c r="M1146" i="7" s="1"/>
  <c r="F220" i="79"/>
  <c r="M140" i="79"/>
  <c r="M1178" i="7" s="1"/>
  <c r="M168" i="79"/>
  <c r="M1206" i="7" s="1"/>
  <c r="M184" i="79"/>
  <c r="M1222" i="7" s="1"/>
  <c r="M195" i="79"/>
  <c r="M1233" i="7" s="1"/>
  <c r="M179" i="79"/>
  <c r="M1217" i="7" s="1"/>
  <c r="M40" i="79"/>
  <c r="M1078" i="7" s="1"/>
  <c r="N214" i="79"/>
  <c r="N51" i="79" l="1"/>
  <c r="N54" i="79"/>
  <c r="N1092" i="7" s="1"/>
  <c r="N52" i="79"/>
  <c r="F219" i="79"/>
  <c r="L1240" i="7"/>
  <c r="N84" i="79"/>
  <c r="N1122" i="7" s="1"/>
  <c r="M1122" i="7"/>
  <c r="N176" i="79"/>
  <c r="N1214" i="7" s="1"/>
  <c r="N58" i="79"/>
  <c r="N1096" i="7" s="1"/>
  <c r="N175" i="79"/>
  <c r="N1213" i="7" s="1"/>
  <c r="N137" i="79"/>
  <c r="N1175" i="7" s="1"/>
  <c r="N140" i="79"/>
  <c r="N1178" i="7" s="1"/>
  <c r="N127" i="79"/>
  <c r="N1165" i="7" s="1"/>
  <c r="N200" i="79"/>
  <c r="N1238" i="7" s="1"/>
  <c r="N37" i="79"/>
  <c r="N1075" i="7" s="1"/>
  <c r="N113" i="79"/>
  <c r="N1151" i="7" s="1"/>
  <c r="N185" i="79"/>
  <c r="N1223" i="7" s="1"/>
  <c r="N166" i="79"/>
  <c r="N1204" i="7" s="1"/>
  <c r="N86" i="79"/>
  <c r="N1124" i="7" s="1"/>
  <c r="N110" i="79"/>
  <c r="N1148" i="7" s="1"/>
  <c r="N210" i="79"/>
  <c r="N1248" i="7" s="1"/>
  <c r="N142" i="79"/>
  <c r="N1180" i="7" s="1"/>
  <c r="N178" i="79"/>
  <c r="N1216" i="7" s="1"/>
  <c r="N40" i="79"/>
  <c r="N1078" i="7" s="1"/>
  <c r="N147" i="79"/>
  <c r="N1185" i="7" s="1"/>
  <c r="N152" i="79"/>
  <c r="N1190" i="7" s="1"/>
  <c r="N49" i="79"/>
  <c r="N1087" i="7" s="1"/>
  <c r="N38" i="79"/>
  <c r="N1076" i="7" s="1"/>
  <c r="N87" i="79"/>
  <c r="N1125" i="7" s="1"/>
  <c r="N146" i="79"/>
  <c r="N1184" i="7" s="1"/>
  <c r="N186" i="79"/>
  <c r="N1224" i="7" s="1"/>
  <c r="N118" i="79"/>
  <c r="N1156" i="7" s="1"/>
  <c r="N189" i="79"/>
  <c r="N1227" i="7" s="1"/>
  <c r="N159" i="79"/>
  <c r="N1197" i="7" s="1"/>
  <c r="N131" i="79"/>
  <c r="N1169" i="7" s="1"/>
  <c r="N70" i="79"/>
  <c r="N1108" i="7" s="1"/>
  <c r="N138" i="79"/>
  <c r="N1176" i="7" s="1"/>
  <c r="N208" i="79"/>
  <c r="N1246" i="7" s="1"/>
  <c r="N180" i="79"/>
  <c r="N1218" i="7" s="1"/>
  <c r="N165" i="79"/>
  <c r="N1203" i="7" s="1"/>
  <c r="N120" i="79"/>
  <c r="N1158" i="7" s="1"/>
  <c r="N106" i="79"/>
  <c r="N1144" i="7" s="1"/>
  <c r="N117" i="79"/>
  <c r="N1155" i="7" s="1"/>
  <c r="N188" i="79"/>
  <c r="N1226" i="7" s="1"/>
  <c r="N198" i="79"/>
  <c r="N1236" i="7" s="1"/>
  <c r="N119" i="79"/>
  <c r="N1157" i="7" s="1"/>
  <c r="N164" i="79"/>
  <c r="N1202" i="7" s="1"/>
  <c r="N1090" i="7"/>
  <c r="N196" i="79"/>
  <c r="N1234" i="7" s="1"/>
  <c r="N149" i="79"/>
  <c r="N1187" i="7" s="1"/>
  <c r="N77" i="79"/>
  <c r="N1115" i="7" s="1"/>
  <c r="N154" i="79"/>
  <c r="N1192" i="7" s="1"/>
  <c r="N104" i="79"/>
  <c r="N1142" i="7" s="1"/>
  <c r="N82" i="79"/>
  <c r="N1120" i="7" s="1"/>
  <c r="N181" i="79"/>
  <c r="N1219" i="7" s="1"/>
  <c r="N155" i="79"/>
  <c r="N1193" i="7" s="1"/>
  <c r="N143" i="79"/>
  <c r="N1181" i="7" s="1"/>
  <c r="N112" i="79"/>
  <c r="N1150" i="7" s="1"/>
  <c r="N60" i="79"/>
  <c r="N1098" i="7" s="1"/>
  <c r="N206" i="79"/>
  <c r="N1244" i="7" s="1"/>
  <c r="N204" i="79"/>
  <c r="N1242" i="7" s="1"/>
  <c r="N126" i="79"/>
  <c r="N1164" i="7" s="1"/>
  <c r="N191" i="79"/>
  <c r="N1229" i="7" s="1"/>
  <c r="N183" i="79"/>
  <c r="N1221" i="7" s="1"/>
  <c r="N160" i="79"/>
  <c r="N1198" i="7" s="1"/>
  <c r="N109" i="79"/>
  <c r="N1147" i="7" s="1"/>
  <c r="N83" i="79"/>
  <c r="N1121" i="7" s="1"/>
  <c r="N48" i="79"/>
  <c r="N1086" i="7" s="1"/>
  <c r="N203" i="79"/>
  <c r="N1241" i="7" s="1"/>
  <c r="N194" i="79"/>
  <c r="N1232" i="7" s="1"/>
  <c r="N171" i="79"/>
  <c r="N1209" i="7" s="1"/>
  <c r="N125" i="79"/>
  <c r="N1163" i="7" s="1"/>
  <c r="N41" i="79"/>
  <c r="N1079" i="7" s="1"/>
  <c r="N108" i="79"/>
  <c r="N1146" i="7" s="1"/>
  <c r="N78" i="79"/>
  <c r="N1116" i="7" s="1"/>
  <c r="N61" i="79"/>
  <c r="N1099" i="7" s="1"/>
  <c r="N46" i="79"/>
  <c r="N1084" i="7" s="1"/>
  <c r="N30" i="79"/>
  <c r="N1068" i="7" s="1"/>
  <c r="N207" i="79"/>
  <c r="N1245" i="7" s="1"/>
  <c r="N177" i="79"/>
  <c r="N1215" i="7" s="1"/>
  <c r="N193" i="79"/>
  <c r="N1231" i="7" s="1"/>
  <c r="N170" i="79"/>
  <c r="N1208" i="7" s="1"/>
  <c r="N173" i="79"/>
  <c r="N1211" i="7" s="1"/>
  <c r="N57" i="79"/>
  <c r="N1095" i="7" s="1"/>
  <c r="N145" i="79"/>
  <c r="N1183" i="7" s="1"/>
  <c r="N141" i="79"/>
  <c r="N1179" i="7" s="1"/>
  <c r="N107" i="79"/>
  <c r="N1145" i="7" s="1"/>
  <c r="N81" i="79"/>
  <c r="N1119" i="7" s="1"/>
  <c r="N1089" i="7"/>
  <c r="N39" i="79"/>
  <c r="N1077" i="7" s="1"/>
  <c r="N201" i="79"/>
  <c r="N1239" i="7" s="1"/>
  <c r="N192" i="79"/>
  <c r="N1230" i="7" s="1"/>
  <c r="N184" i="79"/>
  <c r="N1222" i="7" s="1"/>
  <c r="N168" i="79"/>
  <c r="N1206" i="7" s="1"/>
  <c r="N161" i="79"/>
  <c r="N1199" i="7" s="1"/>
  <c r="N172" i="79"/>
  <c r="N1210" i="7" s="1"/>
  <c r="N50" i="79"/>
  <c r="N1088" i="7" s="1"/>
  <c r="N85" i="79"/>
  <c r="N1123" i="7" s="1"/>
  <c r="N31" i="79"/>
  <c r="N1069" i="7" s="1"/>
  <c r="N205" i="79"/>
  <c r="N1243" i="7" s="1"/>
  <c r="N179" i="79"/>
  <c r="N1217" i="7" s="1"/>
  <c r="N195" i="79"/>
  <c r="N1233" i="7" s="1"/>
  <c r="N153" i="79"/>
  <c r="N1191" i="7" s="1"/>
  <c r="N174" i="79"/>
  <c r="N1212" i="7" s="1"/>
  <c r="N134" i="79"/>
  <c r="N1172" i="7" s="1"/>
  <c r="N47" i="79"/>
  <c r="N1085" i="7" s="1"/>
  <c r="N148" i="79"/>
  <c r="N1186" i="7" s="1"/>
  <c r="N144" i="79"/>
  <c r="N1182" i="7" s="1"/>
  <c r="N139" i="79"/>
  <c r="N1177" i="7" s="1"/>
  <c r="N136" i="79"/>
  <c r="N1174" i="7" s="1"/>
  <c r="N114" i="79"/>
  <c r="N1152" i="7" s="1"/>
  <c r="N105" i="79"/>
  <c r="N1143" i="7" s="1"/>
  <c r="N79" i="79"/>
  <c r="N1117" i="7" s="1"/>
  <c r="N62" i="79"/>
  <c r="N1100" i="7" s="1"/>
  <c r="N209" i="79"/>
  <c r="N1247" i="7" s="1"/>
  <c r="N199" i="79"/>
  <c r="N1237" i="7" s="1"/>
  <c r="N197" i="79"/>
  <c r="N1235" i="7" s="1"/>
  <c r="N190" i="79"/>
  <c r="N1228" i="7" s="1"/>
  <c r="N182" i="79"/>
  <c r="N1220" i="7" s="1"/>
  <c r="N163" i="79"/>
  <c r="N1201" i="7" s="1"/>
  <c r="N156" i="79"/>
  <c r="N1194" i="7" s="1"/>
  <c r="N128" i="79"/>
  <c r="N1166" i="7" s="1"/>
  <c r="N133" i="79"/>
  <c r="N1171" i="7" s="1"/>
  <c r="L215" i="79"/>
  <c r="B8" i="36" s="1"/>
  <c r="L217" i="79"/>
  <c r="F224" i="79"/>
  <c r="M56" i="79"/>
  <c r="M1094" i="7" s="1"/>
  <c r="M202" i="79"/>
  <c r="M1240" i="7" s="1"/>
  <c r="F231" i="79" l="1"/>
  <c r="F232" i="79" s="1"/>
  <c r="M217" i="79"/>
  <c r="N56" i="79"/>
  <c r="N1094" i="7" s="1"/>
  <c r="N202" i="79"/>
  <c r="N1240" i="7" s="1"/>
  <c r="M215" i="79"/>
  <c r="C8" i="36" s="1"/>
  <c r="N217" i="79" l="1"/>
  <c r="N215" i="79"/>
  <c r="D8" i="36" s="1"/>
  <c r="B1" i="74" l="1"/>
  <c r="B1" i="73"/>
  <c r="B1" i="72"/>
  <c r="B1" i="70"/>
  <c r="B1" i="69"/>
  <c r="O37" i="54" l="1"/>
  <c r="L37" i="54"/>
  <c r="M37" i="54" l="1"/>
  <c r="N37" i="54" s="1"/>
  <c r="B836" i="7" l="1"/>
  <c r="D836" i="7"/>
  <c r="E836" i="7"/>
  <c r="G836" i="7"/>
  <c r="H836" i="7"/>
  <c r="I836" i="7"/>
  <c r="J836" i="7"/>
  <c r="K836" i="7"/>
  <c r="O836" i="7"/>
  <c r="P836" i="7"/>
  <c r="Q836" i="7"/>
  <c r="B837" i="7"/>
  <c r="D837" i="7"/>
  <c r="E837" i="7"/>
  <c r="F837" i="7"/>
  <c r="G837" i="7"/>
  <c r="H837" i="7"/>
  <c r="I837" i="7"/>
  <c r="J837" i="7"/>
  <c r="K837" i="7"/>
  <c r="O837" i="7"/>
  <c r="P837" i="7"/>
  <c r="Q837" i="7"/>
  <c r="B838" i="7"/>
  <c r="D838" i="7"/>
  <c r="E838" i="7"/>
  <c r="F838" i="7"/>
  <c r="G838" i="7"/>
  <c r="H838" i="7"/>
  <c r="I838" i="7"/>
  <c r="J838" i="7"/>
  <c r="K838" i="7"/>
  <c r="O838" i="7"/>
  <c r="P838" i="7"/>
  <c r="Q838" i="7"/>
  <c r="B839" i="7"/>
  <c r="D839" i="7"/>
  <c r="E839" i="7"/>
  <c r="F839" i="7"/>
  <c r="G839" i="7"/>
  <c r="H839" i="7"/>
  <c r="I839" i="7"/>
  <c r="J839" i="7"/>
  <c r="K839" i="7"/>
  <c r="O839" i="7"/>
  <c r="P839" i="7"/>
  <c r="Q839" i="7"/>
  <c r="B840" i="7"/>
  <c r="D840" i="7"/>
  <c r="E840" i="7"/>
  <c r="F840" i="7"/>
  <c r="G840" i="7"/>
  <c r="H840" i="7"/>
  <c r="I840" i="7"/>
  <c r="J840" i="7"/>
  <c r="K840" i="7"/>
  <c r="M840" i="7"/>
  <c r="P840" i="7"/>
  <c r="Q840" i="7"/>
  <c r="B841" i="7"/>
  <c r="D841" i="7"/>
  <c r="E841" i="7"/>
  <c r="F841" i="7"/>
  <c r="G841" i="7"/>
  <c r="H841" i="7"/>
  <c r="I841" i="7"/>
  <c r="J841" i="7"/>
  <c r="K841" i="7"/>
  <c r="M841" i="7"/>
  <c r="P841" i="7"/>
  <c r="Q841" i="7"/>
  <c r="B842" i="7"/>
  <c r="D842" i="7"/>
  <c r="E842" i="7"/>
  <c r="F842" i="7"/>
  <c r="G842" i="7"/>
  <c r="H842" i="7"/>
  <c r="I842" i="7"/>
  <c r="J842" i="7"/>
  <c r="K842" i="7"/>
  <c r="M842" i="7"/>
  <c r="P842" i="7"/>
  <c r="Q842" i="7"/>
  <c r="B843" i="7"/>
  <c r="D843" i="7"/>
  <c r="E843" i="7"/>
  <c r="F843" i="7"/>
  <c r="G843" i="7"/>
  <c r="H843" i="7"/>
  <c r="I843" i="7"/>
  <c r="J843" i="7"/>
  <c r="K843" i="7"/>
  <c r="M843" i="7"/>
  <c r="P843" i="7"/>
  <c r="Q843" i="7"/>
  <c r="B844" i="7"/>
  <c r="D844" i="7"/>
  <c r="E844" i="7"/>
  <c r="F844" i="7"/>
  <c r="G844" i="7"/>
  <c r="H844" i="7"/>
  <c r="I844" i="7"/>
  <c r="J844" i="7"/>
  <c r="K844" i="7"/>
  <c r="M844" i="7"/>
  <c r="P844" i="7"/>
  <c r="Q844" i="7"/>
  <c r="B845" i="7"/>
  <c r="D845" i="7"/>
  <c r="E845" i="7"/>
  <c r="F845" i="7"/>
  <c r="G845" i="7"/>
  <c r="H845" i="7"/>
  <c r="I845" i="7"/>
  <c r="J845" i="7"/>
  <c r="K845" i="7"/>
  <c r="M845" i="7"/>
  <c r="P845" i="7"/>
  <c r="Q845" i="7"/>
  <c r="B846" i="7"/>
  <c r="D846" i="7"/>
  <c r="E846" i="7"/>
  <c r="F846" i="7"/>
  <c r="G846" i="7"/>
  <c r="H846" i="7"/>
  <c r="I846" i="7"/>
  <c r="J846" i="7"/>
  <c r="K846" i="7"/>
  <c r="M846" i="7"/>
  <c r="P846" i="7"/>
  <c r="Q846" i="7"/>
  <c r="B847" i="7"/>
  <c r="D847" i="7"/>
  <c r="E847" i="7"/>
  <c r="F847" i="7"/>
  <c r="G847" i="7"/>
  <c r="H847" i="7"/>
  <c r="I847" i="7"/>
  <c r="J847" i="7"/>
  <c r="K847" i="7"/>
  <c r="M847" i="7"/>
  <c r="P847" i="7"/>
  <c r="Q847" i="7"/>
  <c r="B848" i="7"/>
  <c r="D848" i="7"/>
  <c r="E848" i="7"/>
  <c r="F848" i="7"/>
  <c r="G848" i="7"/>
  <c r="H848" i="7"/>
  <c r="I848" i="7"/>
  <c r="J848" i="7"/>
  <c r="K848" i="7"/>
  <c r="M848" i="7"/>
  <c r="P848" i="7"/>
  <c r="Q848" i="7"/>
  <c r="B849" i="7"/>
  <c r="D849" i="7"/>
  <c r="E849" i="7"/>
  <c r="F849" i="7"/>
  <c r="G849" i="7"/>
  <c r="H849" i="7"/>
  <c r="I849" i="7"/>
  <c r="J849" i="7"/>
  <c r="K849" i="7"/>
  <c r="M849" i="7"/>
  <c r="P849" i="7"/>
  <c r="Q849" i="7"/>
  <c r="R849" i="7"/>
  <c r="B850" i="7"/>
  <c r="D850" i="7"/>
  <c r="E850" i="7"/>
  <c r="F850" i="7"/>
  <c r="G850" i="7"/>
  <c r="H850" i="7"/>
  <c r="I850" i="7"/>
  <c r="J850" i="7"/>
  <c r="K850" i="7"/>
  <c r="M850" i="7"/>
  <c r="P850" i="7"/>
  <c r="Q850" i="7"/>
  <c r="B851" i="7"/>
  <c r="D851" i="7"/>
  <c r="E851" i="7"/>
  <c r="F851" i="7"/>
  <c r="G851" i="7"/>
  <c r="H851" i="7"/>
  <c r="I851" i="7"/>
  <c r="J851" i="7"/>
  <c r="K851" i="7"/>
  <c r="M851" i="7"/>
  <c r="P851" i="7"/>
  <c r="Q851" i="7"/>
  <c r="B852" i="7"/>
  <c r="D852" i="7"/>
  <c r="E852" i="7"/>
  <c r="F852" i="7"/>
  <c r="G852" i="7"/>
  <c r="H852" i="7"/>
  <c r="I852" i="7"/>
  <c r="J852" i="7"/>
  <c r="K852" i="7"/>
  <c r="M852" i="7"/>
  <c r="P852" i="7"/>
  <c r="Q852" i="7"/>
  <c r="R852" i="7"/>
  <c r="B853" i="7"/>
  <c r="D853" i="7"/>
  <c r="E853" i="7"/>
  <c r="F853" i="7"/>
  <c r="G853" i="7"/>
  <c r="H853" i="7"/>
  <c r="I853" i="7"/>
  <c r="J853" i="7"/>
  <c r="K853" i="7"/>
  <c r="M853" i="7"/>
  <c r="P853" i="7"/>
  <c r="Q853" i="7"/>
  <c r="B854" i="7"/>
  <c r="D854" i="7"/>
  <c r="E854" i="7"/>
  <c r="F854" i="7"/>
  <c r="G854" i="7"/>
  <c r="H854" i="7"/>
  <c r="I854" i="7"/>
  <c r="J854" i="7"/>
  <c r="K854" i="7"/>
  <c r="P854" i="7"/>
  <c r="Q854" i="7"/>
  <c r="B855" i="7"/>
  <c r="D855" i="7"/>
  <c r="E855" i="7"/>
  <c r="F855" i="7"/>
  <c r="G855" i="7"/>
  <c r="H855" i="7"/>
  <c r="I855" i="7"/>
  <c r="J855" i="7"/>
  <c r="K855" i="7"/>
  <c r="M855" i="7"/>
  <c r="P855" i="7"/>
  <c r="Q855" i="7"/>
  <c r="R855" i="7"/>
  <c r="B856" i="7"/>
  <c r="D856" i="7"/>
  <c r="E856" i="7"/>
  <c r="F856" i="7"/>
  <c r="G856" i="7"/>
  <c r="H856" i="7"/>
  <c r="I856" i="7"/>
  <c r="J856" i="7"/>
  <c r="K856" i="7"/>
  <c r="M856" i="7"/>
  <c r="P856" i="7"/>
  <c r="Q856" i="7"/>
  <c r="B857" i="7"/>
  <c r="D857" i="7"/>
  <c r="E857" i="7"/>
  <c r="F857" i="7"/>
  <c r="G857" i="7"/>
  <c r="H857" i="7"/>
  <c r="I857" i="7"/>
  <c r="J857" i="7"/>
  <c r="K857" i="7"/>
  <c r="M857" i="7"/>
  <c r="P857" i="7"/>
  <c r="Q857" i="7"/>
  <c r="B858" i="7"/>
  <c r="D858" i="7"/>
  <c r="E858" i="7"/>
  <c r="F858" i="7"/>
  <c r="G858" i="7"/>
  <c r="H858" i="7"/>
  <c r="I858" i="7"/>
  <c r="J858" i="7"/>
  <c r="K858" i="7"/>
  <c r="M858" i="7"/>
  <c r="P858" i="7"/>
  <c r="Q858" i="7"/>
  <c r="R858" i="7"/>
  <c r="B859" i="7"/>
  <c r="D859" i="7"/>
  <c r="E859" i="7"/>
  <c r="F859" i="7"/>
  <c r="G859" i="7"/>
  <c r="H859" i="7"/>
  <c r="I859" i="7"/>
  <c r="J859" i="7"/>
  <c r="K859" i="7"/>
  <c r="P859" i="7"/>
  <c r="Q859" i="7"/>
  <c r="R859" i="7"/>
  <c r="B860" i="7"/>
  <c r="D860" i="7"/>
  <c r="E860" i="7"/>
  <c r="F860" i="7"/>
  <c r="G860" i="7"/>
  <c r="H860" i="7"/>
  <c r="I860" i="7"/>
  <c r="J860" i="7"/>
  <c r="K860" i="7"/>
  <c r="M860" i="7"/>
  <c r="P860" i="7"/>
  <c r="Q860" i="7"/>
  <c r="B861" i="7"/>
  <c r="D861" i="7"/>
  <c r="E861" i="7"/>
  <c r="F861" i="7"/>
  <c r="G861" i="7"/>
  <c r="H861" i="7"/>
  <c r="I861" i="7"/>
  <c r="J861" i="7"/>
  <c r="K861" i="7"/>
  <c r="M861" i="7"/>
  <c r="P861" i="7"/>
  <c r="Q861" i="7"/>
  <c r="B862" i="7"/>
  <c r="D862" i="7"/>
  <c r="E862" i="7"/>
  <c r="F862" i="7"/>
  <c r="G862" i="7"/>
  <c r="H862" i="7"/>
  <c r="I862" i="7"/>
  <c r="J862" i="7"/>
  <c r="K862" i="7"/>
  <c r="P862" i="7"/>
  <c r="Q862" i="7"/>
  <c r="B863" i="7"/>
  <c r="D863" i="7"/>
  <c r="E863" i="7"/>
  <c r="F863" i="7"/>
  <c r="G863" i="7"/>
  <c r="H863" i="7"/>
  <c r="I863" i="7"/>
  <c r="J863" i="7"/>
  <c r="K863" i="7"/>
  <c r="M863" i="7"/>
  <c r="P863" i="7"/>
  <c r="Q863" i="7"/>
  <c r="R863" i="7"/>
  <c r="B864" i="7"/>
  <c r="D864" i="7"/>
  <c r="E864" i="7"/>
  <c r="F864" i="7"/>
  <c r="G864" i="7"/>
  <c r="H864" i="7"/>
  <c r="I864" i="7"/>
  <c r="J864" i="7"/>
  <c r="K864" i="7"/>
  <c r="M864" i="7"/>
  <c r="P864" i="7"/>
  <c r="Q864" i="7"/>
  <c r="B865" i="7"/>
  <c r="D865" i="7"/>
  <c r="E865" i="7"/>
  <c r="F865" i="7"/>
  <c r="G865" i="7"/>
  <c r="H865" i="7"/>
  <c r="I865" i="7"/>
  <c r="J865" i="7"/>
  <c r="K865" i="7"/>
  <c r="M865" i="7"/>
  <c r="P865" i="7"/>
  <c r="Q865" i="7"/>
  <c r="B866" i="7"/>
  <c r="D866" i="7"/>
  <c r="E866" i="7"/>
  <c r="F866" i="7"/>
  <c r="G866" i="7"/>
  <c r="H866" i="7"/>
  <c r="I866" i="7"/>
  <c r="J866" i="7"/>
  <c r="K866" i="7"/>
  <c r="M866" i="7"/>
  <c r="P866" i="7"/>
  <c r="Q866" i="7"/>
  <c r="B867" i="7"/>
  <c r="D867" i="7"/>
  <c r="E867" i="7"/>
  <c r="G867" i="7"/>
  <c r="H867" i="7"/>
  <c r="I867" i="7"/>
  <c r="J867" i="7"/>
  <c r="K867" i="7"/>
  <c r="M867" i="7"/>
  <c r="O867" i="7"/>
  <c r="P867" i="7"/>
  <c r="Q867" i="7"/>
  <c r="B868" i="7"/>
  <c r="D868" i="7"/>
  <c r="E868" i="7"/>
  <c r="F868" i="7"/>
  <c r="G868" i="7"/>
  <c r="H868" i="7"/>
  <c r="I868" i="7"/>
  <c r="J868" i="7"/>
  <c r="K868" i="7"/>
  <c r="O868" i="7"/>
  <c r="P868" i="7"/>
  <c r="Q868" i="7"/>
  <c r="B869" i="7"/>
  <c r="D869" i="7"/>
  <c r="E869" i="7"/>
  <c r="F869" i="7"/>
  <c r="G869" i="7"/>
  <c r="H869" i="7"/>
  <c r="I869" i="7"/>
  <c r="J869" i="7"/>
  <c r="K869" i="7"/>
  <c r="O869" i="7"/>
  <c r="P869" i="7"/>
  <c r="Q869" i="7"/>
  <c r="B870" i="7"/>
  <c r="D870" i="7"/>
  <c r="E870" i="7"/>
  <c r="F870" i="7"/>
  <c r="G870" i="7"/>
  <c r="H870" i="7"/>
  <c r="I870" i="7"/>
  <c r="J870" i="7"/>
  <c r="K870" i="7"/>
  <c r="O870" i="7"/>
  <c r="P870" i="7"/>
  <c r="Q870" i="7"/>
  <c r="B871" i="7"/>
  <c r="D871" i="7"/>
  <c r="E871" i="7"/>
  <c r="F871" i="7"/>
  <c r="G871" i="7"/>
  <c r="H871" i="7"/>
  <c r="I871" i="7"/>
  <c r="J871" i="7"/>
  <c r="K871" i="7"/>
  <c r="O871" i="7"/>
  <c r="P871" i="7"/>
  <c r="Q871" i="7"/>
  <c r="B872" i="7"/>
  <c r="D872" i="7"/>
  <c r="E872" i="7"/>
  <c r="F872" i="7"/>
  <c r="G872" i="7"/>
  <c r="H872" i="7"/>
  <c r="I872" i="7"/>
  <c r="J872" i="7"/>
  <c r="K872" i="7"/>
  <c r="O872" i="7"/>
  <c r="P872" i="7"/>
  <c r="Q872" i="7"/>
  <c r="B873" i="7"/>
  <c r="D873" i="7"/>
  <c r="E873" i="7"/>
  <c r="F873" i="7"/>
  <c r="G873" i="7"/>
  <c r="H873" i="7"/>
  <c r="I873" i="7"/>
  <c r="J873" i="7"/>
  <c r="K873" i="7"/>
  <c r="L873" i="7"/>
  <c r="M873" i="7"/>
  <c r="O873" i="7"/>
  <c r="P873" i="7"/>
  <c r="Q873" i="7"/>
  <c r="B874" i="7"/>
  <c r="D874" i="7"/>
  <c r="E874" i="7"/>
  <c r="F874" i="7"/>
  <c r="G874" i="7"/>
  <c r="H874" i="7"/>
  <c r="I874" i="7"/>
  <c r="J874" i="7"/>
  <c r="K874" i="7"/>
  <c r="M874" i="7"/>
  <c r="O874" i="7"/>
  <c r="P874" i="7"/>
  <c r="Q874" i="7"/>
  <c r="B875" i="7"/>
  <c r="D875" i="7"/>
  <c r="E875" i="7"/>
  <c r="F875" i="7"/>
  <c r="G875" i="7"/>
  <c r="H875" i="7"/>
  <c r="I875" i="7"/>
  <c r="J875" i="7"/>
  <c r="K875" i="7"/>
  <c r="M875" i="7"/>
  <c r="O875" i="7"/>
  <c r="P875" i="7"/>
  <c r="Q875" i="7"/>
  <c r="B876" i="7"/>
  <c r="D876" i="7"/>
  <c r="E876" i="7"/>
  <c r="F876" i="7"/>
  <c r="G876" i="7"/>
  <c r="H876" i="7"/>
  <c r="I876" i="7"/>
  <c r="J876" i="7"/>
  <c r="K876" i="7"/>
  <c r="M876" i="7"/>
  <c r="O876" i="7"/>
  <c r="P876" i="7"/>
  <c r="Q876" i="7"/>
  <c r="B877" i="7"/>
  <c r="D877" i="7"/>
  <c r="E877" i="7"/>
  <c r="F877" i="7"/>
  <c r="G877" i="7"/>
  <c r="H877" i="7"/>
  <c r="I877" i="7"/>
  <c r="J877" i="7"/>
  <c r="K877" i="7"/>
  <c r="M877" i="7"/>
  <c r="O877" i="7"/>
  <c r="P877" i="7"/>
  <c r="Q877" i="7"/>
  <c r="B878" i="7"/>
  <c r="D878" i="7"/>
  <c r="E878" i="7"/>
  <c r="F878" i="7"/>
  <c r="G878" i="7"/>
  <c r="H878" i="7"/>
  <c r="I878" i="7"/>
  <c r="J878" i="7"/>
  <c r="K878" i="7"/>
  <c r="P878" i="7"/>
  <c r="Q878" i="7"/>
  <c r="B879" i="7"/>
  <c r="D879" i="7"/>
  <c r="E879" i="7"/>
  <c r="F879" i="7"/>
  <c r="G879" i="7"/>
  <c r="H879" i="7"/>
  <c r="I879" i="7"/>
  <c r="J879" i="7"/>
  <c r="K879" i="7"/>
  <c r="O879" i="7"/>
  <c r="P879" i="7"/>
  <c r="Q879" i="7"/>
  <c r="B880" i="7"/>
  <c r="D880" i="7"/>
  <c r="E880" i="7"/>
  <c r="F880" i="7"/>
  <c r="G880" i="7"/>
  <c r="H880" i="7"/>
  <c r="I880" i="7"/>
  <c r="J880" i="7"/>
  <c r="K880" i="7"/>
  <c r="O880" i="7"/>
  <c r="P880" i="7"/>
  <c r="Q880" i="7"/>
  <c r="B881" i="7"/>
  <c r="D881" i="7"/>
  <c r="E881" i="7"/>
  <c r="F881" i="7"/>
  <c r="G881" i="7"/>
  <c r="H881" i="7"/>
  <c r="I881" i="7"/>
  <c r="J881" i="7"/>
  <c r="K881" i="7"/>
  <c r="O881" i="7"/>
  <c r="P881" i="7"/>
  <c r="Q881" i="7"/>
  <c r="B882" i="7"/>
  <c r="D882" i="7"/>
  <c r="E882" i="7"/>
  <c r="F882" i="7"/>
  <c r="G882" i="7"/>
  <c r="H882" i="7"/>
  <c r="I882" i="7"/>
  <c r="J882" i="7"/>
  <c r="K882" i="7"/>
  <c r="O882" i="7"/>
  <c r="P882" i="7"/>
  <c r="Q882" i="7"/>
  <c r="B883" i="7"/>
  <c r="D883" i="7"/>
  <c r="E883" i="7"/>
  <c r="F883" i="7"/>
  <c r="G883" i="7"/>
  <c r="H883" i="7"/>
  <c r="I883" i="7"/>
  <c r="J883" i="7"/>
  <c r="K883" i="7"/>
  <c r="L883" i="7"/>
  <c r="O883" i="7"/>
  <c r="P883" i="7"/>
  <c r="Q883" i="7"/>
  <c r="E884" i="7"/>
  <c r="F884" i="7"/>
  <c r="G884" i="7"/>
  <c r="H884" i="7"/>
  <c r="I884" i="7"/>
  <c r="J884" i="7"/>
  <c r="K884" i="7"/>
  <c r="B885" i="7"/>
  <c r="D885" i="7"/>
  <c r="E885" i="7"/>
  <c r="F885" i="7"/>
  <c r="G885" i="7"/>
  <c r="H885" i="7"/>
  <c r="I885" i="7"/>
  <c r="J885" i="7"/>
  <c r="K885" i="7"/>
  <c r="O885" i="7"/>
  <c r="P885" i="7"/>
  <c r="Q885" i="7"/>
  <c r="B886" i="7"/>
  <c r="D886" i="7"/>
  <c r="E886" i="7"/>
  <c r="F886" i="7"/>
  <c r="G886" i="7"/>
  <c r="H886" i="7"/>
  <c r="I886" i="7"/>
  <c r="J886" i="7"/>
  <c r="K886" i="7"/>
  <c r="M886" i="7"/>
  <c r="O886" i="7"/>
  <c r="P886" i="7"/>
  <c r="Q886" i="7"/>
  <c r="B887" i="7"/>
  <c r="D887" i="7"/>
  <c r="E887" i="7"/>
  <c r="F887" i="7"/>
  <c r="G887" i="7"/>
  <c r="H887" i="7"/>
  <c r="I887" i="7"/>
  <c r="J887" i="7"/>
  <c r="K887" i="7"/>
  <c r="M887" i="7"/>
  <c r="O887" i="7"/>
  <c r="P887" i="7"/>
  <c r="Q887" i="7"/>
  <c r="R887" i="7"/>
  <c r="B888" i="7"/>
  <c r="D888" i="7"/>
  <c r="E888" i="7"/>
  <c r="F888" i="7"/>
  <c r="G888" i="7"/>
  <c r="H888" i="7"/>
  <c r="I888" i="7"/>
  <c r="J888" i="7"/>
  <c r="K888" i="7"/>
  <c r="O888" i="7"/>
  <c r="P888" i="7"/>
  <c r="Q888" i="7"/>
  <c r="B889" i="7"/>
  <c r="D889" i="7"/>
  <c r="E889" i="7"/>
  <c r="F889" i="7"/>
  <c r="G889" i="7"/>
  <c r="H889" i="7"/>
  <c r="I889" i="7"/>
  <c r="J889" i="7"/>
  <c r="K889" i="7"/>
  <c r="O889" i="7"/>
  <c r="P889" i="7"/>
  <c r="Q889" i="7"/>
  <c r="B890" i="7"/>
  <c r="D890" i="7"/>
  <c r="E890" i="7"/>
  <c r="F890" i="7"/>
  <c r="G890" i="7"/>
  <c r="H890" i="7"/>
  <c r="I890" i="7"/>
  <c r="J890" i="7"/>
  <c r="L890" i="7"/>
  <c r="M890" i="7"/>
  <c r="O890" i="7"/>
  <c r="P890" i="7"/>
  <c r="Q890" i="7"/>
  <c r="B891" i="7"/>
  <c r="D891" i="7"/>
  <c r="E891" i="7"/>
  <c r="F891" i="7"/>
  <c r="G891" i="7"/>
  <c r="H891" i="7"/>
  <c r="I891" i="7"/>
  <c r="J891" i="7"/>
  <c r="K891" i="7"/>
  <c r="O891" i="7"/>
  <c r="P891" i="7"/>
  <c r="Q891" i="7"/>
  <c r="B892" i="7"/>
  <c r="D892" i="7"/>
  <c r="E892" i="7"/>
  <c r="F892" i="7"/>
  <c r="G892" i="7"/>
  <c r="H892" i="7"/>
  <c r="I892" i="7"/>
  <c r="J892" i="7"/>
  <c r="K892" i="7"/>
  <c r="M892" i="7"/>
  <c r="O892" i="7"/>
  <c r="P892" i="7"/>
  <c r="Q892" i="7"/>
  <c r="B893" i="7"/>
  <c r="D893" i="7"/>
  <c r="E893" i="7"/>
  <c r="F893" i="7"/>
  <c r="G893" i="7"/>
  <c r="H893" i="7"/>
  <c r="I893" i="7"/>
  <c r="J893" i="7"/>
  <c r="K893" i="7"/>
  <c r="O893" i="7"/>
  <c r="P893" i="7"/>
  <c r="Q893" i="7"/>
  <c r="B894" i="7"/>
  <c r="D894" i="7"/>
  <c r="E894" i="7"/>
  <c r="F894" i="7"/>
  <c r="G894" i="7"/>
  <c r="H894" i="7"/>
  <c r="I894" i="7"/>
  <c r="J894" i="7"/>
  <c r="K894" i="7"/>
  <c r="O894" i="7"/>
  <c r="P894" i="7"/>
  <c r="Q894" i="7"/>
  <c r="B895" i="7"/>
  <c r="D895" i="7"/>
  <c r="E895" i="7"/>
  <c r="F895" i="7"/>
  <c r="G895" i="7"/>
  <c r="H895" i="7"/>
  <c r="I895" i="7"/>
  <c r="J895" i="7"/>
  <c r="K895" i="7"/>
  <c r="M895" i="7"/>
  <c r="O895" i="7"/>
  <c r="P895" i="7"/>
  <c r="Q895" i="7"/>
  <c r="B896" i="7"/>
  <c r="D896" i="7"/>
  <c r="E896" i="7"/>
  <c r="F896" i="7"/>
  <c r="G896" i="7"/>
  <c r="H896" i="7"/>
  <c r="I896" i="7"/>
  <c r="J896" i="7"/>
  <c r="L896" i="7"/>
  <c r="M896" i="7"/>
  <c r="O896" i="7"/>
  <c r="P896" i="7"/>
  <c r="Q896" i="7"/>
  <c r="B897" i="7"/>
  <c r="D897" i="7"/>
  <c r="E897" i="7"/>
  <c r="F897" i="7"/>
  <c r="G897" i="7"/>
  <c r="H897" i="7"/>
  <c r="I897" i="7"/>
  <c r="J897" i="7"/>
  <c r="K897" i="7"/>
  <c r="O897" i="7"/>
  <c r="P897" i="7"/>
  <c r="Q897" i="7"/>
  <c r="B898" i="7"/>
  <c r="D898" i="7"/>
  <c r="E898" i="7"/>
  <c r="F898" i="7"/>
  <c r="G898" i="7"/>
  <c r="H898" i="7"/>
  <c r="I898" i="7"/>
  <c r="J898" i="7"/>
  <c r="K898" i="7"/>
  <c r="O898" i="7"/>
  <c r="P898" i="7"/>
  <c r="Q898" i="7"/>
  <c r="B899" i="7"/>
  <c r="D899" i="7"/>
  <c r="E899" i="7"/>
  <c r="G899" i="7"/>
  <c r="H899" i="7"/>
  <c r="I899" i="7"/>
  <c r="J899" i="7"/>
  <c r="K899" i="7"/>
  <c r="M899" i="7"/>
  <c r="O899" i="7"/>
  <c r="P899" i="7"/>
  <c r="Q899" i="7"/>
  <c r="R899" i="7"/>
  <c r="B900" i="7"/>
  <c r="D900" i="7"/>
  <c r="E900" i="7"/>
  <c r="G900" i="7"/>
  <c r="H900" i="7"/>
  <c r="I900" i="7"/>
  <c r="J900" i="7"/>
  <c r="K900" i="7"/>
  <c r="M900" i="7"/>
  <c r="O900" i="7"/>
  <c r="P900" i="7"/>
  <c r="Q900" i="7"/>
  <c r="R900" i="7"/>
  <c r="B901" i="7"/>
  <c r="D901" i="7"/>
  <c r="E901" i="7"/>
  <c r="G901" i="7"/>
  <c r="H901" i="7"/>
  <c r="I901" i="7"/>
  <c r="J901" i="7"/>
  <c r="K901" i="7"/>
  <c r="M901" i="7"/>
  <c r="O901" i="7"/>
  <c r="P901" i="7"/>
  <c r="Q901" i="7"/>
  <c r="R901" i="7"/>
  <c r="B902" i="7"/>
  <c r="D902" i="7"/>
  <c r="E902" i="7"/>
  <c r="G902" i="7"/>
  <c r="H902" i="7"/>
  <c r="I902" i="7"/>
  <c r="J902" i="7"/>
  <c r="K902" i="7"/>
  <c r="M902" i="7"/>
  <c r="O902" i="7"/>
  <c r="P902" i="7"/>
  <c r="Q902" i="7"/>
  <c r="R902" i="7"/>
  <c r="B903" i="7"/>
  <c r="D903" i="7"/>
  <c r="E903" i="7"/>
  <c r="G903" i="7"/>
  <c r="H903" i="7"/>
  <c r="I903" i="7"/>
  <c r="J903" i="7"/>
  <c r="L903" i="7"/>
  <c r="M903" i="7"/>
  <c r="O903" i="7"/>
  <c r="P903" i="7"/>
  <c r="Q903" i="7"/>
  <c r="R903" i="7"/>
  <c r="B904" i="7"/>
  <c r="E904" i="7"/>
  <c r="G904" i="7"/>
  <c r="H904" i="7"/>
  <c r="I904" i="7"/>
  <c r="J904" i="7"/>
  <c r="K904" i="7"/>
  <c r="O904" i="7"/>
  <c r="P904" i="7"/>
  <c r="Q904" i="7"/>
  <c r="B905" i="7"/>
  <c r="D905" i="7"/>
  <c r="E905" i="7"/>
  <c r="G905" i="7"/>
  <c r="H905" i="7"/>
  <c r="I905" i="7"/>
  <c r="J905" i="7"/>
  <c r="K905" i="7"/>
  <c r="O905" i="7"/>
  <c r="P905" i="7"/>
  <c r="Q905" i="7"/>
  <c r="B906" i="7"/>
  <c r="D906" i="7"/>
  <c r="E906" i="7"/>
  <c r="F906" i="7"/>
  <c r="G906" i="7"/>
  <c r="H906" i="7"/>
  <c r="I906" i="7"/>
  <c r="J906" i="7"/>
  <c r="K906" i="7"/>
  <c r="O906" i="7"/>
  <c r="P906" i="7"/>
  <c r="Q906" i="7"/>
  <c r="B907" i="7"/>
  <c r="D907" i="7"/>
  <c r="E907" i="7"/>
  <c r="F907" i="7"/>
  <c r="G907" i="7"/>
  <c r="H907" i="7"/>
  <c r="I907" i="7"/>
  <c r="J907" i="7"/>
  <c r="K907" i="7"/>
  <c r="O907" i="7"/>
  <c r="P907" i="7"/>
  <c r="Q907" i="7"/>
  <c r="B908" i="7"/>
  <c r="D908" i="7"/>
  <c r="E908" i="7"/>
  <c r="G908" i="7"/>
  <c r="H908" i="7"/>
  <c r="I908" i="7"/>
  <c r="J908" i="7"/>
  <c r="K908" i="7"/>
  <c r="M908" i="7"/>
  <c r="O908" i="7"/>
  <c r="P908" i="7"/>
  <c r="Q908" i="7"/>
  <c r="R908" i="7"/>
  <c r="B909" i="7"/>
  <c r="D909" i="7"/>
  <c r="E909" i="7"/>
  <c r="F909" i="7"/>
  <c r="G909" i="7"/>
  <c r="H909" i="7"/>
  <c r="I909" i="7"/>
  <c r="J909" i="7"/>
  <c r="K909" i="7"/>
  <c r="O909" i="7"/>
  <c r="P909" i="7"/>
  <c r="Q909" i="7"/>
  <c r="B910" i="7"/>
  <c r="D910" i="7"/>
  <c r="E910" i="7"/>
  <c r="G910" i="7"/>
  <c r="H910" i="7"/>
  <c r="I910" i="7"/>
  <c r="J910" i="7"/>
  <c r="K910" i="7"/>
  <c r="O910" i="7"/>
  <c r="P910" i="7"/>
  <c r="Q910" i="7"/>
  <c r="B911" i="7"/>
  <c r="D911" i="7"/>
  <c r="E911" i="7"/>
  <c r="F911" i="7"/>
  <c r="G911" i="7"/>
  <c r="H911" i="7"/>
  <c r="I911" i="7"/>
  <c r="J911" i="7"/>
  <c r="K911" i="7"/>
  <c r="O911" i="7"/>
  <c r="P911" i="7"/>
  <c r="Q911" i="7"/>
  <c r="B912" i="7"/>
  <c r="D912" i="7"/>
  <c r="E912" i="7"/>
  <c r="F912" i="7"/>
  <c r="G912" i="7"/>
  <c r="H912" i="7"/>
  <c r="I912" i="7"/>
  <c r="J912" i="7"/>
  <c r="K912" i="7"/>
  <c r="O912" i="7"/>
  <c r="P912" i="7"/>
  <c r="Q912" i="7"/>
  <c r="B913" i="7"/>
  <c r="D913" i="7"/>
  <c r="E913" i="7"/>
  <c r="F913" i="7"/>
  <c r="G913" i="7"/>
  <c r="H913" i="7"/>
  <c r="I913" i="7"/>
  <c r="J913" i="7"/>
  <c r="K913" i="7"/>
  <c r="O913" i="7"/>
  <c r="P913" i="7"/>
  <c r="Q913" i="7"/>
  <c r="B914" i="7"/>
  <c r="D914" i="7"/>
  <c r="E914" i="7"/>
  <c r="F914" i="7"/>
  <c r="G914" i="7"/>
  <c r="H914" i="7"/>
  <c r="I914" i="7"/>
  <c r="J914" i="7"/>
  <c r="K914" i="7"/>
  <c r="O914" i="7"/>
  <c r="P914" i="7"/>
  <c r="Q914" i="7"/>
  <c r="B915" i="7"/>
  <c r="D915" i="7"/>
  <c r="E915" i="7"/>
  <c r="F915" i="7"/>
  <c r="G915" i="7"/>
  <c r="H915" i="7"/>
  <c r="I915" i="7"/>
  <c r="J915" i="7"/>
  <c r="K915" i="7"/>
  <c r="O915" i="7"/>
  <c r="P915" i="7"/>
  <c r="Q915" i="7"/>
  <c r="B916" i="7"/>
  <c r="D916" i="7"/>
  <c r="E916" i="7"/>
  <c r="F916" i="7"/>
  <c r="G916" i="7"/>
  <c r="H916" i="7"/>
  <c r="I916" i="7"/>
  <c r="J916" i="7"/>
  <c r="K916" i="7"/>
  <c r="L916" i="7"/>
  <c r="O916" i="7"/>
  <c r="P916" i="7"/>
  <c r="Q916" i="7"/>
  <c r="B917" i="7"/>
  <c r="E917" i="7"/>
  <c r="F917" i="7"/>
  <c r="G917" i="7"/>
  <c r="H917" i="7"/>
  <c r="I917" i="7"/>
  <c r="J917" i="7"/>
  <c r="K917" i="7"/>
  <c r="Q917" i="7"/>
  <c r="B918" i="7"/>
  <c r="D918" i="7"/>
  <c r="E918" i="7"/>
  <c r="F918" i="7"/>
  <c r="G918" i="7"/>
  <c r="H918" i="7"/>
  <c r="I918" i="7"/>
  <c r="J918" i="7"/>
  <c r="K918" i="7"/>
  <c r="O918" i="7"/>
  <c r="P918" i="7"/>
  <c r="Q918" i="7"/>
  <c r="B919" i="7"/>
  <c r="D919" i="7"/>
  <c r="E919" i="7"/>
  <c r="F919" i="7"/>
  <c r="G919" i="7"/>
  <c r="H919" i="7"/>
  <c r="I919" i="7"/>
  <c r="J919" i="7"/>
  <c r="K919" i="7"/>
  <c r="O919" i="7"/>
  <c r="P919" i="7"/>
  <c r="Q919" i="7"/>
  <c r="B920" i="7"/>
  <c r="D920" i="7"/>
  <c r="E920" i="7"/>
  <c r="F920" i="7"/>
  <c r="G920" i="7"/>
  <c r="H920" i="7"/>
  <c r="I920" i="7"/>
  <c r="J920" i="7"/>
  <c r="K920" i="7"/>
  <c r="L920" i="7"/>
  <c r="O920" i="7"/>
  <c r="P920" i="7"/>
  <c r="Q920" i="7"/>
  <c r="B921" i="7"/>
  <c r="E921" i="7"/>
  <c r="F921" i="7"/>
  <c r="G921" i="7"/>
  <c r="H921" i="7"/>
  <c r="I921" i="7"/>
  <c r="J921" i="7"/>
  <c r="K921" i="7"/>
  <c r="P921" i="7"/>
  <c r="Q921" i="7"/>
  <c r="B922" i="7"/>
  <c r="E922" i="7"/>
  <c r="F922" i="7"/>
  <c r="G922" i="7"/>
  <c r="H922" i="7"/>
  <c r="I922" i="7"/>
  <c r="J922" i="7"/>
  <c r="K922" i="7"/>
  <c r="P922" i="7"/>
  <c r="Q922" i="7"/>
  <c r="B923" i="7"/>
  <c r="E923" i="7"/>
  <c r="F923" i="7"/>
  <c r="G923" i="7"/>
  <c r="H923" i="7"/>
  <c r="I923" i="7"/>
  <c r="J923" i="7"/>
  <c r="K923" i="7"/>
  <c r="P923" i="7"/>
  <c r="Q923" i="7"/>
  <c r="B924" i="7"/>
  <c r="E924" i="7"/>
  <c r="F924" i="7"/>
  <c r="G924" i="7"/>
  <c r="H924" i="7"/>
  <c r="I924" i="7"/>
  <c r="J924" i="7"/>
  <c r="K924" i="7"/>
  <c r="P924" i="7"/>
  <c r="Q924" i="7"/>
  <c r="B925" i="7"/>
  <c r="E925" i="7"/>
  <c r="F925" i="7"/>
  <c r="G925" i="7"/>
  <c r="H925" i="7"/>
  <c r="I925" i="7"/>
  <c r="J925" i="7"/>
  <c r="K925" i="7"/>
  <c r="P925" i="7"/>
  <c r="Q925" i="7"/>
  <c r="B926" i="7"/>
  <c r="E926" i="7"/>
  <c r="F926" i="7"/>
  <c r="G926" i="7"/>
  <c r="H926" i="7"/>
  <c r="I926" i="7"/>
  <c r="J926" i="7"/>
  <c r="K926" i="7"/>
  <c r="P926" i="7"/>
  <c r="Q926" i="7"/>
  <c r="B927" i="7"/>
  <c r="E927" i="7"/>
  <c r="F927" i="7"/>
  <c r="G927" i="7"/>
  <c r="H927" i="7"/>
  <c r="I927" i="7"/>
  <c r="J927" i="7"/>
  <c r="K927" i="7"/>
  <c r="P927" i="7"/>
  <c r="Q927" i="7"/>
  <c r="B928" i="7"/>
  <c r="E928" i="7"/>
  <c r="F928" i="7"/>
  <c r="G928" i="7"/>
  <c r="H928" i="7"/>
  <c r="I928" i="7"/>
  <c r="J928" i="7"/>
  <c r="K928" i="7"/>
  <c r="P928" i="7"/>
  <c r="Q928" i="7"/>
  <c r="B929" i="7"/>
  <c r="E929" i="7"/>
  <c r="F929" i="7"/>
  <c r="G929" i="7"/>
  <c r="H929" i="7"/>
  <c r="I929" i="7"/>
  <c r="J929" i="7"/>
  <c r="K929" i="7"/>
  <c r="P929" i="7"/>
  <c r="Q929" i="7"/>
  <c r="R929" i="7"/>
  <c r="B930" i="7"/>
  <c r="E930" i="7"/>
  <c r="F930" i="7"/>
  <c r="G930" i="7"/>
  <c r="H930" i="7"/>
  <c r="I930" i="7"/>
  <c r="J930" i="7"/>
  <c r="K930" i="7"/>
  <c r="P930" i="7"/>
  <c r="Q930" i="7"/>
  <c r="R930" i="7"/>
  <c r="B931" i="7"/>
  <c r="E931" i="7"/>
  <c r="F931" i="7"/>
  <c r="G931" i="7"/>
  <c r="H931" i="7"/>
  <c r="I931" i="7"/>
  <c r="J931" i="7"/>
  <c r="K931" i="7"/>
  <c r="P931" i="7"/>
  <c r="Q931" i="7"/>
  <c r="B932" i="7"/>
  <c r="E932" i="7"/>
  <c r="F932" i="7"/>
  <c r="G932" i="7"/>
  <c r="H932" i="7"/>
  <c r="I932" i="7"/>
  <c r="J932" i="7"/>
  <c r="K932" i="7"/>
  <c r="P932" i="7"/>
  <c r="Q932" i="7"/>
  <c r="B933" i="7"/>
  <c r="D933" i="7"/>
  <c r="E933" i="7"/>
  <c r="F933" i="7"/>
  <c r="G933" i="7"/>
  <c r="H933" i="7"/>
  <c r="I933" i="7"/>
  <c r="J933" i="7"/>
  <c r="K933" i="7"/>
  <c r="O933" i="7"/>
  <c r="P933" i="7"/>
  <c r="Q933" i="7"/>
  <c r="B934" i="7"/>
  <c r="D934" i="7"/>
  <c r="E934" i="7"/>
  <c r="G934" i="7"/>
  <c r="H934" i="7"/>
  <c r="I934" i="7"/>
  <c r="J934" i="7"/>
  <c r="K934" i="7"/>
  <c r="O934" i="7"/>
  <c r="P934" i="7"/>
  <c r="Q934" i="7"/>
  <c r="B935" i="7"/>
  <c r="D935" i="7"/>
  <c r="E935" i="7"/>
  <c r="F935" i="7"/>
  <c r="G935" i="7"/>
  <c r="H935" i="7"/>
  <c r="I935" i="7"/>
  <c r="J935" i="7"/>
  <c r="K935" i="7"/>
  <c r="O935" i="7"/>
  <c r="P935" i="7"/>
  <c r="Q935" i="7"/>
  <c r="B936" i="7"/>
  <c r="D936" i="7"/>
  <c r="E936" i="7"/>
  <c r="F936" i="7"/>
  <c r="G936" i="7"/>
  <c r="H936" i="7"/>
  <c r="I936" i="7"/>
  <c r="J936" i="7"/>
  <c r="K936" i="7"/>
  <c r="O936" i="7"/>
  <c r="P936" i="7"/>
  <c r="Q936" i="7"/>
  <c r="R936" i="7"/>
  <c r="B937" i="7"/>
  <c r="D937" i="7"/>
  <c r="E937" i="7"/>
  <c r="F937" i="7"/>
  <c r="G937" i="7"/>
  <c r="H937" i="7"/>
  <c r="I937" i="7"/>
  <c r="J937" i="7"/>
  <c r="K937" i="7"/>
  <c r="O937" i="7"/>
  <c r="P937" i="7"/>
  <c r="Q937" i="7"/>
  <c r="B938" i="7"/>
  <c r="D938" i="7"/>
  <c r="E938" i="7"/>
  <c r="F938" i="7"/>
  <c r="G938" i="7"/>
  <c r="H938" i="7"/>
  <c r="I938" i="7"/>
  <c r="J938" i="7"/>
  <c r="K938" i="7"/>
  <c r="O938" i="7"/>
  <c r="P938" i="7"/>
  <c r="Q938" i="7"/>
  <c r="B939" i="7"/>
  <c r="D939" i="7"/>
  <c r="E939" i="7"/>
  <c r="F939" i="7"/>
  <c r="G939" i="7"/>
  <c r="H939" i="7"/>
  <c r="I939" i="7"/>
  <c r="J939" i="7"/>
  <c r="K939" i="7"/>
  <c r="O939" i="7"/>
  <c r="P939" i="7"/>
  <c r="Q939" i="7"/>
  <c r="B940" i="7"/>
  <c r="D940" i="7"/>
  <c r="E940" i="7"/>
  <c r="F940" i="7"/>
  <c r="G940" i="7"/>
  <c r="H940" i="7"/>
  <c r="I940" i="7"/>
  <c r="J940" i="7"/>
  <c r="K940" i="7"/>
  <c r="O940" i="7"/>
  <c r="P940" i="7"/>
  <c r="Q940" i="7"/>
  <c r="B941" i="7"/>
  <c r="D941" i="7"/>
  <c r="E941" i="7"/>
  <c r="F941" i="7"/>
  <c r="G941" i="7"/>
  <c r="H941" i="7"/>
  <c r="I941" i="7"/>
  <c r="J941" i="7"/>
  <c r="K941" i="7"/>
  <c r="O941" i="7"/>
  <c r="P941" i="7"/>
  <c r="Q941" i="7"/>
  <c r="B942" i="7"/>
  <c r="D942" i="7"/>
  <c r="E942" i="7"/>
  <c r="F942" i="7"/>
  <c r="G942" i="7"/>
  <c r="H942" i="7"/>
  <c r="I942" i="7"/>
  <c r="J942" i="7"/>
  <c r="K942" i="7"/>
  <c r="O942" i="7"/>
  <c r="P942" i="7"/>
  <c r="Q942" i="7"/>
  <c r="B943" i="7"/>
  <c r="D943" i="7"/>
  <c r="E943" i="7"/>
  <c r="F943" i="7"/>
  <c r="G943" i="7"/>
  <c r="H943" i="7"/>
  <c r="I943" i="7"/>
  <c r="J943" i="7"/>
  <c r="K943" i="7"/>
  <c r="O943" i="7"/>
  <c r="P943" i="7"/>
  <c r="Q943" i="7"/>
  <c r="B944" i="7"/>
  <c r="D944" i="7"/>
  <c r="E944" i="7"/>
  <c r="F944" i="7"/>
  <c r="G944" i="7"/>
  <c r="H944" i="7"/>
  <c r="I944" i="7"/>
  <c r="J944" i="7"/>
  <c r="K944" i="7"/>
  <c r="O944" i="7"/>
  <c r="P944" i="7"/>
  <c r="Q944" i="7"/>
  <c r="B945" i="7"/>
  <c r="D945" i="7"/>
  <c r="E945" i="7"/>
  <c r="F945" i="7"/>
  <c r="G945" i="7"/>
  <c r="H945" i="7"/>
  <c r="I945" i="7"/>
  <c r="J945" i="7"/>
  <c r="K945" i="7"/>
  <c r="O945" i="7"/>
  <c r="P945" i="7"/>
  <c r="Q945" i="7"/>
  <c r="B946" i="7"/>
  <c r="D946" i="7"/>
  <c r="E946" i="7"/>
  <c r="G946" i="7"/>
  <c r="H946" i="7"/>
  <c r="I946" i="7"/>
  <c r="J946" i="7"/>
  <c r="K946" i="7"/>
  <c r="O946" i="7"/>
  <c r="P946" i="7"/>
  <c r="Q946" i="7"/>
  <c r="B947" i="7"/>
  <c r="D947" i="7"/>
  <c r="E947" i="7"/>
  <c r="G947" i="7"/>
  <c r="H947" i="7"/>
  <c r="I947" i="7"/>
  <c r="J947" i="7"/>
  <c r="K947" i="7"/>
  <c r="M947" i="7"/>
  <c r="O947" i="7"/>
  <c r="P947" i="7"/>
  <c r="Q947" i="7"/>
  <c r="B948" i="7"/>
  <c r="D948" i="7"/>
  <c r="E948" i="7"/>
  <c r="G948" i="7"/>
  <c r="H948" i="7"/>
  <c r="I948" i="7"/>
  <c r="J948" i="7"/>
  <c r="K948" i="7"/>
  <c r="M948" i="7"/>
  <c r="O948" i="7"/>
  <c r="P948" i="7"/>
  <c r="Q948" i="7"/>
  <c r="R948" i="7"/>
  <c r="B949" i="7"/>
  <c r="D949" i="7"/>
  <c r="E949" i="7"/>
  <c r="F949" i="7"/>
  <c r="G949" i="7"/>
  <c r="H949" i="7"/>
  <c r="I949" i="7"/>
  <c r="J949" i="7"/>
  <c r="K949" i="7"/>
  <c r="O949" i="7"/>
  <c r="P949" i="7"/>
  <c r="Q949" i="7"/>
  <c r="B950" i="7"/>
  <c r="D950" i="7"/>
  <c r="E950" i="7"/>
  <c r="G950" i="7"/>
  <c r="H950" i="7"/>
  <c r="I950" i="7"/>
  <c r="J950" i="7"/>
  <c r="K950" i="7"/>
  <c r="M950" i="7"/>
  <c r="O950" i="7"/>
  <c r="P950" i="7"/>
  <c r="Q950" i="7"/>
  <c r="R950" i="7"/>
  <c r="B951" i="7"/>
  <c r="D951" i="7"/>
  <c r="E951" i="7"/>
  <c r="F951" i="7"/>
  <c r="G951" i="7"/>
  <c r="H951" i="7"/>
  <c r="I951" i="7"/>
  <c r="J951" i="7"/>
  <c r="K951" i="7"/>
  <c r="O951" i="7"/>
  <c r="P951" i="7"/>
  <c r="Q951" i="7"/>
  <c r="B952" i="7"/>
  <c r="D952" i="7"/>
  <c r="E952" i="7"/>
  <c r="G952" i="7"/>
  <c r="H952" i="7"/>
  <c r="I952" i="7"/>
  <c r="J952" i="7"/>
  <c r="K952" i="7"/>
  <c r="M952" i="7"/>
  <c r="O952" i="7"/>
  <c r="P952" i="7"/>
  <c r="Q952" i="7"/>
  <c r="B953" i="7"/>
  <c r="D953" i="7"/>
  <c r="E953" i="7"/>
  <c r="G953" i="7"/>
  <c r="H953" i="7"/>
  <c r="I953" i="7"/>
  <c r="J953" i="7"/>
  <c r="K953" i="7"/>
  <c r="O953" i="7"/>
  <c r="P953" i="7"/>
  <c r="Q953" i="7"/>
  <c r="B954" i="7"/>
  <c r="D954" i="7"/>
  <c r="E954" i="7"/>
  <c r="G954" i="7"/>
  <c r="H954" i="7"/>
  <c r="I954" i="7"/>
  <c r="J954" i="7"/>
  <c r="K954" i="7"/>
  <c r="O954" i="7"/>
  <c r="P954" i="7"/>
  <c r="Q954" i="7"/>
  <c r="B955" i="7"/>
  <c r="C955" i="7"/>
  <c r="D955" i="7"/>
  <c r="E955" i="7"/>
  <c r="F955" i="7"/>
  <c r="G955" i="7"/>
  <c r="H955" i="7"/>
  <c r="I955" i="7"/>
  <c r="J955" i="7"/>
  <c r="K955" i="7"/>
  <c r="P955" i="7"/>
  <c r="Q955" i="7"/>
  <c r="R955" i="7"/>
  <c r="B956" i="7"/>
  <c r="C956" i="7"/>
  <c r="D956" i="7"/>
  <c r="E956" i="7"/>
  <c r="F956" i="7"/>
  <c r="G956" i="7"/>
  <c r="H956" i="7"/>
  <c r="I956" i="7"/>
  <c r="J956" i="7"/>
  <c r="K956" i="7"/>
  <c r="P956" i="7"/>
  <c r="Q956" i="7"/>
  <c r="R956" i="7"/>
  <c r="B957" i="7"/>
  <c r="C957" i="7"/>
  <c r="D957" i="7"/>
  <c r="E957" i="7"/>
  <c r="F957" i="7"/>
  <c r="G957" i="7"/>
  <c r="H957" i="7"/>
  <c r="I957" i="7"/>
  <c r="J957" i="7"/>
  <c r="K957" i="7"/>
  <c r="P957" i="7"/>
  <c r="Q957" i="7"/>
  <c r="R957" i="7"/>
  <c r="B958" i="7"/>
  <c r="C958" i="7"/>
  <c r="D958" i="7"/>
  <c r="E958" i="7"/>
  <c r="F958" i="7"/>
  <c r="G958" i="7"/>
  <c r="H958" i="7"/>
  <c r="I958" i="7"/>
  <c r="J958" i="7"/>
  <c r="K958" i="7"/>
  <c r="P958" i="7"/>
  <c r="Q958" i="7"/>
  <c r="R958" i="7"/>
  <c r="B959" i="7"/>
  <c r="C959" i="7"/>
  <c r="D959" i="7"/>
  <c r="E959" i="7"/>
  <c r="F959" i="7"/>
  <c r="G959" i="7"/>
  <c r="H959" i="7"/>
  <c r="I959" i="7"/>
  <c r="J959" i="7"/>
  <c r="K959" i="7"/>
  <c r="P959" i="7"/>
  <c r="Q959" i="7"/>
  <c r="R959" i="7"/>
  <c r="B960" i="7"/>
  <c r="C960" i="7"/>
  <c r="D960" i="7"/>
  <c r="E960" i="7"/>
  <c r="F960" i="7"/>
  <c r="G960" i="7"/>
  <c r="H960" i="7"/>
  <c r="I960" i="7"/>
  <c r="J960" i="7"/>
  <c r="K960" i="7"/>
  <c r="P960" i="7"/>
  <c r="Q960" i="7"/>
  <c r="R960" i="7"/>
  <c r="B961" i="7"/>
  <c r="C961" i="7"/>
  <c r="D961" i="7"/>
  <c r="E961" i="7"/>
  <c r="F961" i="7"/>
  <c r="G961" i="7"/>
  <c r="H961" i="7"/>
  <c r="I961" i="7"/>
  <c r="J961" i="7"/>
  <c r="K961" i="7"/>
  <c r="P961" i="7"/>
  <c r="Q961" i="7"/>
  <c r="R961" i="7"/>
  <c r="B962" i="7"/>
  <c r="C962" i="7"/>
  <c r="D962" i="7"/>
  <c r="E962" i="7"/>
  <c r="F962" i="7"/>
  <c r="G962" i="7"/>
  <c r="H962" i="7"/>
  <c r="I962" i="7"/>
  <c r="J962" i="7"/>
  <c r="K962" i="7"/>
  <c r="P962" i="7"/>
  <c r="Q962" i="7"/>
  <c r="R962" i="7"/>
  <c r="B963" i="7"/>
  <c r="C963" i="7"/>
  <c r="D963" i="7"/>
  <c r="E963" i="7"/>
  <c r="F963" i="7"/>
  <c r="G963" i="7"/>
  <c r="H963" i="7"/>
  <c r="I963" i="7"/>
  <c r="J963" i="7"/>
  <c r="K963" i="7"/>
  <c r="P963" i="7"/>
  <c r="Q963" i="7"/>
  <c r="R963" i="7"/>
  <c r="B964" i="7"/>
  <c r="C964" i="7"/>
  <c r="D964" i="7"/>
  <c r="E964" i="7"/>
  <c r="F964" i="7"/>
  <c r="G964" i="7"/>
  <c r="H964" i="7"/>
  <c r="I964" i="7"/>
  <c r="J964" i="7"/>
  <c r="K964" i="7"/>
  <c r="P964" i="7"/>
  <c r="Q964" i="7"/>
  <c r="R964" i="7"/>
  <c r="B965" i="7"/>
  <c r="C965" i="7"/>
  <c r="D965" i="7"/>
  <c r="E965" i="7"/>
  <c r="F965" i="7"/>
  <c r="G965" i="7"/>
  <c r="H965" i="7"/>
  <c r="I965" i="7"/>
  <c r="J965" i="7"/>
  <c r="K965" i="7"/>
  <c r="P965" i="7"/>
  <c r="Q965" i="7"/>
  <c r="R965" i="7"/>
  <c r="B966" i="7"/>
  <c r="C966" i="7"/>
  <c r="D966" i="7"/>
  <c r="E966" i="7"/>
  <c r="F966" i="7"/>
  <c r="G966" i="7"/>
  <c r="H966" i="7"/>
  <c r="I966" i="7"/>
  <c r="J966" i="7"/>
  <c r="K966" i="7"/>
  <c r="P966" i="7"/>
  <c r="Q966" i="7"/>
  <c r="R966" i="7"/>
  <c r="B967" i="7"/>
  <c r="C967" i="7"/>
  <c r="D967" i="7"/>
  <c r="E967" i="7"/>
  <c r="F967" i="7"/>
  <c r="G967" i="7"/>
  <c r="H967" i="7"/>
  <c r="I967" i="7"/>
  <c r="J967" i="7"/>
  <c r="K967" i="7"/>
  <c r="P967" i="7"/>
  <c r="Q967" i="7"/>
  <c r="R967" i="7"/>
  <c r="B968" i="7"/>
  <c r="C968" i="7"/>
  <c r="D968" i="7"/>
  <c r="E968" i="7"/>
  <c r="F968" i="7"/>
  <c r="G968" i="7"/>
  <c r="H968" i="7"/>
  <c r="I968" i="7"/>
  <c r="J968" i="7"/>
  <c r="K968" i="7"/>
  <c r="P968" i="7"/>
  <c r="Q968" i="7"/>
  <c r="R968" i="7"/>
  <c r="B969" i="7"/>
  <c r="C969" i="7"/>
  <c r="D969" i="7"/>
  <c r="E969" i="7"/>
  <c r="F969" i="7"/>
  <c r="G969" i="7"/>
  <c r="H969" i="7"/>
  <c r="I969" i="7"/>
  <c r="J969" i="7"/>
  <c r="K969" i="7"/>
  <c r="P969" i="7"/>
  <c r="Q969" i="7"/>
  <c r="R969" i="7"/>
  <c r="B970" i="7"/>
  <c r="C970" i="7"/>
  <c r="D970" i="7"/>
  <c r="E970" i="7"/>
  <c r="F970" i="7"/>
  <c r="G970" i="7"/>
  <c r="H970" i="7"/>
  <c r="I970" i="7"/>
  <c r="J970" i="7"/>
  <c r="K970" i="7"/>
  <c r="P970" i="7"/>
  <c r="Q970" i="7"/>
  <c r="R970" i="7"/>
  <c r="B971" i="7"/>
  <c r="C971" i="7"/>
  <c r="D971" i="7"/>
  <c r="E971" i="7"/>
  <c r="F971" i="7"/>
  <c r="G971" i="7"/>
  <c r="H971" i="7"/>
  <c r="I971" i="7"/>
  <c r="J971" i="7"/>
  <c r="K971" i="7"/>
  <c r="P971" i="7"/>
  <c r="Q971" i="7"/>
  <c r="R971" i="7"/>
  <c r="B972" i="7"/>
  <c r="C972" i="7"/>
  <c r="D972" i="7"/>
  <c r="E972" i="7"/>
  <c r="F972" i="7"/>
  <c r="G972" i="7"/>
  <c r="H972" i="7"/>
  <c r="I972" i="7"/>
  <c r="J972" i="7"/>
  <c r="K972" i="7"/>
  <c r="P972" i="7"/>
  <c r="Q972" i="7"/>
  <c r="R972" i="7"/>
  <c r="B973" i="7"/>
  <c r="C973" i="7"/>
  <c r="D973" i="7"/>
  <c r="E973" i="7"/>
  <c r="F973" i="7"/>
  <c r="G973" i="7"/>
  <c r="H973" i="7"/>
  <c r="I973" i="7"/>
  <c r="J973" i="7"/>
  <c r="K973" i="7"/>
  <c r="P973" i="7"/>
  <c r="Q973" i="7"/>
  <c r="R973" i="7"/>
  <c r="B974" i="7"/>
  <c r="C974" i="7"/>
  <c r="D974" i="7"/>
  <c r="E974" i="7"/>
  <c r="F974" i="7"/>
  <c r="G974" i="7"/>
  <c r="H974" i="7"/>
  <c r="I974" i="7"/>
  <c r="J974" i="7"/>
  <c r="K974" i="7"/>
  <c r="M974" i="7"/>
  <c r="P974" i="7"/>
  <c r="Q974" i="7"/>
  <c r="R974" i="7"/>
  <c r="B975" i="7"/>
  <c r="C975" i="7"/>
  <c r="D975" i="7"/>
  <c r="E975" i="7"/>
  <c r="F975" i="7"/>
  <c r="G975" i="7"/>
  <c r="H975" i="7"/>
  <c r="I975" i="7"/>
  <c r="J975" i="7"/>
  <c r="K975" i="7"/>
  <c r="P975" i="7"/>
  <c r="Q975" i="7"/>
  <c r="R975" i="7"/>
  <c r="B976" i="7"/>
  <c r="C976" i="7"/>
  <c r="D976" i="7"/>
  <c r="E976" i="7"/>
  <c r="F976" i="7"/>
  <c r="G976" i="7"/>
  <c r="H976" i="7"/>
  <c r="I976" i="7"/>
  <c r="J976" i="7"/>
  <c r="K976" i="7"/>
  <c r="P976" i="7"/>
  <c r="Q976" i="7"/>
  <c r="R976" i="7"/>
  <c r="B977" i="7"/>
  <c r="C977" i="7"/>
  <c r="D977" i="7"/>
  <c r="E977" i="7"/>
  <c r="F977" i="7"/>
  <c r="G977" i="7"/>
  <c r="H977" i="7"/>
  <c r="I977" i="7"/>
  <c r="J977" i="7"/>
  <c r="K977" i="7"/>
  <c r="P977" i="7"/>
  <c r="Q977" i="7"/>
  <c r="B978" i="7"/>
  <c r="C978" i="7"/>
  <c r="D978" i="7"/>
  <c r="E978" i="7"/>
  <c r="F978" i="7"/>
  <c r="G978" i="7"/>
  <c r="H978" i="7"/>
  <c r="I978" i="7"/>
  <c r="J978" i="7"/>
  <c r="K978" i="7"/>
  <c r="M978" i="7"/>
  <c r="P978" i="7"/>
  <c r="Q978" i="7"/>
  <c r="B979" i="7"/>
  <c r="C979" i="7"/>
  <c r="D979" i="7"/>
  <c r="E979" i="7"/>
  <c r="F979" i="7"/>
  <c r="G979" i="7"/>
  <c r="H979" i="7"/>
  <c r="I979" i="7"/>
  <c r="J979" i="7"/>
  <c r="K979" i="7"/>
  <c r="P979" i="7"/>
  <c r="Q979" i="7"/>
  <c r="R979" i="7"/>
  <c r="B980" i="7"/>
  <c r="C980" i="7"/>
  <c r="D980" i="7"/>
  <c r="E980" i="7"/>
  <c r="F980" i="7"/>
  <c r="G980" i="7"/>
  <c r="H980" i="7"/>
  <c r="I980" i="7"/>
  <c r="J980" i="7"/>
  <c r="K980" i="7"/>
  <c r="P980" i="7"/>
  <c r="Q980" i="7"/>
  <c r="B981" i="7"/>
  <c r="C981" i="7"/>
  <c r="D981" i="7"/>
  <c r="E981" i="7"/>
  <c r="F981" i="7"/>
  <c r="G981" i="7"/>
  <c r="H981" i="7"/>
  <c r="I981" i="7"/>
  <c r="J981" i="7"/>
  <c r="K981" i="7"/>
  <c r="P981" i="7"/>
  <c r="Q981" i="7"/>
  <c r="B982" i="7"/>
  <c r="C982" i="7"/>
  <c r="D982" i="7"/>
  <c r="E982" i="7"/>
  <c r="F982" i="7"/>
  <c r="G982" i="7"/>
  <c r="H982" i="7"/>
  <c r="I982" i="7"/>
  <c r="J982" i="7"/>
  <c r="K982" i="7"/>
  <c r="P982" i="7"/>
  <c r="Q982" i="7"/>
  <c r="R982" i="7"/>
  <c r="B983" i="7"/>
  <c r="C983" i="7"/>
  <c r="D983" i="7"/>
  <c r="E983" i="7"/>
  <c r="F983" i="7"/>
  <c r="G983" i="7"/>
  <c r="H983" i="7"/>
  <c r="I983" i="7"/>
  <c r="J983" i="7"/>
  <c r="K983" i="7"/>
  <c r="P983" i="7"/>
  <c r="Q983" i="7"/>
  <c r="R983" i="7"/>
  <c r="B984" i="7"/>
  <c r="C984" i="7"/>
  <c r="D984" i="7"/>
  <c r="E984" i="7"/>
  <c r="F984" i="7"/>
  <c r="G984" i="7"/>
  <c r="H984" i="7"/>
  <c r="I984" i="7"/>
  <c r="J984" i="7"/>
  <c r="K984" i="7"/>
  <c r="P984" i="7"/>
  <c r="Q984" i="7"/>
  <c r="R984" i="7"/>
  <c r="B985" i="7"/>
  <c r="C985" i="7"/>
  <c r="D985" i="7"/>
  <c r="E985" i="7"/>
  <c r="F985" i="7"/>
  <c r="G985" i="7"/>
  <c r="H985" i="7"/>
  <c r="I985" i="7"/>
  <c r="J985" i="7"/>
  <c r="K985" i="7"/>
  <c r="P985" i="7"/>
  <c r="Q985" i="7"/>
  <c r="R985" i="7"/>
  <c r="B986" i="7"/>
  <c r="C986" i="7"/>
  <c r="D986" i="7"/>
  <c r="E986" i="7"/>
  <c r="F986" i="7"/>
  <c r="G986" i="7"/>
  <c r="H986" i="7"/>
  <c r="I986" i="7"/>
  <c r="J986" i="7"/>
  <c r="K986" i="7"/>
  <c r="P986" i="7"/>
  <c r="Q986" i="7"/>
  <c r="R986" i="7"/>
  <c r="B987" i="7"/>
  <c r="C987" i="7"/>
  <c r="D987" i="7"/>
  <c r="E987" i="7"/>
  <c r="F987" i="7"/>
  <c r="G987" i="7"/>
  <c r="H987" i="7"/>
  <c r="I987" i="7"/>
  <c r="J987" i="7"/>
  <c r="K987" i="7"/>
  <c r="P987" i="7"/>
  <c r="Q987" i="7"/>
  <c r="R987" i="7"/>
  <c r="B988" i="7"/>
  <c r="C988" i="7"/>
  <c r="D988" i="7"/>
  <c r="E988" i="7"/>
  <c r="F988" i="7"/>
  <c r="G988" i="7"/>
  <c r="H988" i="7"/>
  <c r="I988" i="7"/>
  <c r="J988" i="7"/>
  <c r="K988" i="7"/>
  <c r="P988" i="7"/>
  <c r="Q988" i="7"/>
  <c r="R988" i="7"/>
  <c r="B989" i="7"/>
  <c r="C989" i="7"/>
  <c r="D989" i="7"/>
  <c r="E989" i="7"/>
  <c r="F989" i="7"/>
  <c r="G989" i="7"/>
  <c r="H989" i="7"/>
  <c r="I989" i="7"/>
  <c r="J989" i="7"/>
  <c r="K989" i="7"/>
  <c r="P989" i="7"/>
  <c r="Q989" i="7"/>
  <c r="B990" i="7"/>
  <c r="C990" i="7"/>
  <c r="D990" i="7"/>
  <c r="E990" i="7"/>
  <c r="F990" i="7"/>
  <c r="G990" i="7"/>
  <c r="H990" i="7"/>
  <c r="I990" i="7"/>
  <c r="J990" i="7"/>
  <c r="K990" i="7"/>
  <c r="P990" i="7"/>
  <c r="Q990" i="7"/>
  <c r="R990" i="7"/>
  <c r="B991" i="7"/>
  <c r="C991" i="7"/>
  <c r="D991" i="7"/>
  <c r="E991" i="7"/>
  <c r="F991" i="7"/>
  <c r="G991" i="7"/>
  <c r="H991" i="7"/>
  <c r="I991" i="7"/>
  <c r="J991" i="7"/>
  <c r="K991" i="7"/>
  <c r="M991" i="7"/>
  <c r="P991" i="7"/>
  <c r="Q991" i="7"/>
  <c r="B992" i="7"/>
  <c r="C992" i="7"/>
  <c r="D992" i="7"/>
  <c r="E992" i="7"/>
  <c r="F992" i="7"/>
  <c r="G992" i="7"/>
  <c r="H992" i="7"/>
  <c r="I992" i="7"/>
  <c r="J992" i="7"/>
  <c r="K992" i="7"/>
  <c r="P992" i="7"/>
  <c r="Q992" i="7"/>
  <c r="B993" i="7"/>
  <c r="C993" i="7"/>
  <c r="D993" i="7"/>
  <c r="E993" i="7"/>
  <c r="F993" i="7"/>
  <c r="G993" i="7"/>
  <c r="H993" i="7"/>
  <c r="I993" i="7"/>
  <c r="J993" i="7"/>
  <c r="K993" i="7"/>
  <c r="P993" i="7"/>
  <c r="Q993" i="7"/>
  <c r="B994" i="7"/>
  <c r="C994" i="7"/>
  <c r="D994" i="7"/>
  <c r="E994" i="7"/>
  <c r="F994" i="7"/>
  <c r="G994" i="7"/>
  <c r="H994" i="7"/>
  <c r="I994" i="7"/>
  <c r="J994" i="7"/>
  <c r="K994" i="7"/>
  <c r="P994" i="7"/>
  <c r="Q994" i="7"/>
  <c r="R994" i="7"/>
  <c r="B995" i="7"/>
  <c r="C995" i="7"/>
  <c r="D995" i="7"/>
  <c r="E995" i="7"/>
  <c r="F995" i="7"/>
  <c r="G995" i="7"/>
  <c r="H995" i="7"/>
  <c r="I995" i="7"/>
  <c r="J995" i="7"/>
  <c r="K995" i="7"/>
  <c r="M995" i="7"/>
  <c r="P995" i="7"/>
  <c r="Q995" i="7"/>
  <c r="B996" i="7"/>
  <c r="C996" i="7"/>
  <c r="D996" i="7"/>
  <c r="E996" i="7"/>
  <c r="F996" i="7"/>
  <c r="G996" i="7"/>
  <c r="H996" i="7"/>
  <c r="I996" i="7"/>
  <c r="J996" i="7"/>
  <c r="K996" i="7"/>
  <c r="P996" i="7"/>
  <c r="Q996" i="7"/>
  <c r="B997" i="7"/>
  <c r="C997" i="7"/>
  <c r="D997" i="7"/>
  <c r="E997" i="7"/>
  <c r="F997" i="7"/>
  <c r="G997" i="7"/>
  <c r="H997" i="7"/>
  <c r="I997" i="7"/>
  <c r="J997" i="7"/>
  <c r="K997" i="7"/>
  <c r="P997" i="7"/>
  <c r="Q997" i="7"/>
  <c r="B998" i="7"/>
  <c r="C998" i="7"/>
  <c r="D998" i="7"/>
  <c r="E998" i="7"/>
  <c r="F998" i="7"/>
  <c r="G998" i="7"/>
  <c r="H998" i="7"/>
  <c r="I998" i="7"/>
  <c r="J998" i="7"/>
  <c r="K998" i="7"/>
  <c r="P998" i="7"/>
  <c r="Q998" i="7"/>
  <c r="R998" i="7"/>
  <c r="B999" i="7"/>
  <c r="C999" i="7"/>
  <c r="D999" i="7"/>
  <c r="E999" i="7"/>
  <c r="F999" i="7"/>
  <c r="G999" i="7"/>
  <c r="H999" i="7"/>
  <c r="I999" i="7"/>
  <c r="J999" i="7"/>
  <c r="K999" i="7"/>
  <c r="P999" i="7"/>
  <c r="Q999" i="7"/>
  <c r="R999" i="7"/>
  <c r="B1000" i="7"/>
  <c r="C1000" i="7"/>
  <c r="D1000" i="7"/>
  <c r="E1000" i="7"/>
  <c r="F1000" i="7"/>
  <c r="G1000" i="7"/>
  <c r="H1000" i="7"/>
  <c r="I1000" i="7"/>
  <c r="J1000" i="7"/>
  <c r="K1000" i="7"/>
  <c r="P1000" i="7"/>
  <c r="Q1000" i="7"/>
  <c r="B1001" i="7"/>
  <c r="C1001" i="7"/>
  <c r="D1001" i="7"/>
  <c r="E1001" i="7"/>
  <c r="F1001" i="7"/>
  <c r="G1001" i="7"/>
  <c r="H1001" i="7"/>
  <c r="I1001" i="7"/>
  <c r="J1001" i="7"/>
  <c r="K1001" i="7"/>
  <c r="P1001" i="7"/>
  <c r="Q1001" i="7"/>
  <c r="B1002" i="7"/>
  <c r="C1002" i="7"/>
  <c r="D1002" i="7"/>
  <c r="E1002" i="7"/>
  <c r="F1002" i="7"/>
  <c r="G1002" i="7"/>
  <c r="H1002" i="7"/>
  <c r="I1002" i="7"/>
  <c r="J1002" i="7"/>
  <c r="K1002" i="7"/>
  <c r="P1002" i="7"/>
  <c r="Q1002" i="7"/>
  <c r="B1003" i="7"/>
  <c r="C1003" i="7"/>
  <c r="D1003" i="7"/>
  <c r="E1003" i="7"/>
  <c r="F1003" i="7"/>
  <c r="G1003" i="7"/>
  <c r="H1003" i="7"/>
  <c r="I1003" i="7"/>
  <c r="J1003" i="7"/>
  <c r="K1003" i="7"/>
  <c r="P1003" i="7"/>
  <c r="Q1003" i="7"/>
  <c r="R1003" i="7"/>
  <c r="B1004" i="7"/>
  <c r="C1004" i="7"/>
  <c r="D1004" i="7"/>
  <c r="E1004" i="7"/>
  <c r="F1004" i="7"/>
  <c r="G1004" i="7"/>
  <c r="H1004" i="7"/>
  <c r="I1004" i="7"/>
  <c r="J1004" i="7"/>
  <c r="K1004" i="7"/>
  <c r="P1004" i="7"/>
  <c r="Q1004" i="7"/>
  <c r="B1005" i="7"/>
  <c r="C1005" i="7"/>
  <c r="D1005" i="7"/>
  <c r="E1005" i="7"/>
  <c r="F1005" i="7"/>
  <c r="G1005" i="7"/>
  <c r="H1005" i="7"/>
  <c r="I1005" i="7"/>
  <c r="J1005" i="7"/>
  <c r="K1005" i="7"/>
  <c r="P1005" i="7"/>
  <c r="Q1005" i="7"/>
  <c r="R1005" i="7"/>
  <c r="B1006" i="7"/>
  <c r="C1006" i="7"/>
  <c r="D1006" i="7"/>
  <c r="E1006" i="7"/>
  <c r="F1006" i="7"/>
  <c r="G1006" i="7"/>
  <c r="H1006" i="7"/>
  <c r="I1006" i="7"/>
  <c r="J1006" i="7"/>
  <c r="K1006" i="7"/>
  <c r="P1006" i="7"/>
  <c r="Q1006" i="7"/>
  <c r="R1006" i="7"/>
  <c r="B1007" i="7"/>
  <c r="C1007" i="7"/>
  <c r="D1007" i="7"/>
  <c r="E1007" i="7"/>
  <c r="F1007" i="7"/>
  <c r="G1007" i="7"/>
  <c r="H1007" i="7"/>
  <c r="I1007" i="7"/>
  <c r="J1007" i="7"/>
  <c r="K1007" i="7"/>
  <c r="P1007" i="7"/>
  <c r="Q1007" i="7"/>
  <c r="R1007" i="7"/>
  <c r="B1008" i="7"/>
  <c r="C1008" i="7"/>
  <c r="D1008" i="7"/>
  <c r="E1008" i="7"/>
  <c r="F1008" i="7"/>
  <c r="G1008" i="7"/>
  <c r="H1008" i="7"/>
  <c r="I1008" i="7"/>
  <c r="J1008" i="7"/>
  <c r="K1008" i="7"/>
  <c r="P1008" i="7"/>
  <c r="Q1008" i="7"/>
  <c r="B1009" i="7"/>
  <c r="C1009" i="7"/>
  <c r="D1009" i="7"/>
  <c r="E1009" i="7"/>
  <c r="F1009" i="7"/>
  <c r="G1009" i="7"/>
  <c r="H1009" i="7"/>
  <c r="I1009" i="7"/>
  <c r="J1009" i="7"/>
  <c r="K1009" i="7"/>
  <c r="P1009" i="7"/>
  <c r="Q1009" i="7"/>
  <c r="R1009" i="7"/>
  <c r="B1010" i="7"/>
  <c r="C1010" i="7"/>
  <c r="D1010" i="7"/>
  <c r="E1010" i="7"/>
  <c r="F1010" i="7"/>
  <c r="G1010" i="7"/>
  <c r="H1010" i="7"/>
  <c r="I1010" i="7"/>
  <c r="J1010" i="7"/>
  <c r="K1010" i="7"/>
  <c r="P1010" i="7"/>
  <c r="Q1010" i="7"/>
  <c r="R1010" i="7"/>
  <c r="B1011" i="7"/>
  <c r="C1011" i="7"/>
  <c r="D1011" i="7"/>
  <c r="E1011" i="7"/>
  <c r="F1011" i="7"/>
  <c r="G1011" i="7"/>
  <c r="H1011" i="7"/>
  <c r="I1011" i="7"/>
  <c r="J1011" i="7"/>
  <c r="K1011" i="7"/>
  <c r="P1011" i="7"/>
  <c r="Q1011" i="7"/>
  <c r="B1012" i="7"/>
  <c r="C1012" i="7"/>
  <c r="D1012" i="7"/>
  <c r="E1012" i="7"/>
  <c r="F1012" i="7"/>
  <c r="G1012" i="7"/>
  <c r="H1012" i="7"/>
  <c r="I1012" i="7"/>
  <c r="J1012" i="7"/>
  <c r="K1012" i="7"/>
  <c r="P1012" i="7"/>
  <c r="Q1012" i="7"/>
  <c r="B1013" i="7"/>
  <c r="C1013" i="7"/>
  <c r="D1013" i="7"/>
  <c r="E1013" i="7"/>
  <c r="F1013" i="7"/>
  <c r="G1013" i="7"/>
  <c r="H1013" i="7"/>
  <c r="I1013" i="7"/>
  <c r="J1013" i="7"/>
  <c r="K1013" i="7"/>
  <c r="P1013" i="7"/>
  <c r="Q1013" i="7"/>
  <c r="R1013" i="7"/>
  <c r="B1014" i="7"/>
  <c r="C1014" i="7"/>
  <c r="D1014" i="7"/>
  <c r="E1014" i="7"/>
  <c r="F1014" i="7"/>
  <c r="G1014" i="7"/>
  <c r="H1014" i="7"/>
  <c r="I1014" i="7"/>
  <c r="J1014" i="7"/>
  <c r="K1014" i="7"/>
  <c r="M1014" i="7"/>
  <c r="P1014" i="7"/>
  <c r="Q1014" i="7"/>
  <c r="R1014" i="7"/>
  <c r="B1015" i="7"/>
  <c r="C1015" i="7"/>
  <c r="D1015" i="7"/>
  <c r="E1015" i="7"/>
  <c r="F1015" i="7"/>
  <c r="G1015" i="7"/>
  <c r="H1015" i="7"/>
  <c r="I1015" i="7"/>
  <c r="J1015" i="7"/>
  <c r="K1015" i="7"/>
  <c r="P1015" i="7"/>
  <c r="Q1015" i="7"/>
  <c r="B1016" i="7"/>
  <c r="C1016" i="7"/>
  <c r="D1016" i="7"/>
  <c r="E1016" i="7"/>
  <c r="F1016" i="7"/>
  <c r="G1016" i="7"/>
  <c r="H1016" i="7"/>
  <c r="I1016" i="7"/>
  <c r="J1016" i="7"/>
  <c r="K1016" i="7"/>
  <c r="M1016" i="7"/>
  <c r="P1016" i="7"/>
  <c r="Q1016" i="7"/>
  <c r="R1016" i="7"/>
  <c r="B1017" i="7"/>
  <c r="C1017" i="7"/>
  <c r="D1017" i="7"/>
  <c r="E1017" i="7"/>
  <c r="F1017" i="7"/>
  <c r="G1017" i="7"/>
  <c r="H1017" i="7"/>
  <c r="I1017" i="7"/>
  <c r="J1017" i="7"/>
  <c r="K1017" i="7"/>
  <c r="P1017" i="7"/>
  <c r="Q1017" i="7"/>
  <c r="R1017" i="7"/>
  <c r="B1018" i="7"/>
  <c r="C1018" i="7"/>
  <c r="D1018" i="7"/>
  <c r="E1018" i="7"/>
  <c r="F1018" i="7"/>
  <c r="G1018" i="7"/>
  <c r="H1018" i="7"/>
  <c r="I1018" i="7"/>
  <c r="J1018" i="7"/>
  <c r="K1018" i="7"/>
  <c r="P1018" i="7"/>
  <c r="Q1018" i="7"/>
  <c r="R1018" i="7"/>
  <c r="B1019" i="7"/>
  <c r="C1019" i="7"/>
  <c r="D1019" i="7"/>
  <c r="E1019" i="7"/>
  <c r="F1019" i="7"/>
  <c r="G1019" i="7"/>
  <c r="H1019" i="7"/>
  <c r="I1019" i="7"/>
  <c r="J1019" i="7"/>
  <c r="K1019" i="7"/>
  <c r="P1019" i="7"/>
  <c r="Q1019" i="7"/>
  <c r="B1020" i="7"/>
  <c r="C1020" i="7"/>
  <c r="D1020" i="7"/>
  <c r="E1020" i="7"/>
  <c r="F1020" i="7"/>
  <c r="G1020" i="7"/>
  <c r="H1020" i="7"/>
  <c r="I1020" i="7"/>
  <c r="J1020" i="7"/>
  <c r="K1020" i="7"/>
  <c r="P1020" i="7"/>
  <c r="Q1020" i="7"/>
  <c r="R1020" i="7"/>
  <c r="B1021" i="7"/>
  <c r="C1021" i="7"/>
  <c r="D1021" i="7"/>
  <c r="E1021" i="7"/>
  <c r="F1021" i="7"/>
  <c r="G1021" i="7"/>
  <c r="H1021" i="7"/>
  <c r="I1021" i="7"/>
  <c r="J1021" i="7"/>
  <c r="K1021" i="7"/>
  <c r="P1021" i="7"/>
  <c r="Q1021" i="7"/>
  <c r="B1022" i="7"/>
  <c r="C1022" i="7"/>
  <c r="D1022" i="7"/>
  <c r="E1022" i="7"/>
  <c r="F1022" i="7"/>
  <c r="G1022" i="7"/>
  <c r="H1022" i="7"/>
  <c r="I1022" i="7"/>
  <c r="J1022" i="7"/>
  <c r="K1022" i="7"/>
  <c r="P1022" i="7"/>
  <c r="Q1022" i="7"/>
  <c r="B1023" i="7"/>
  <c r="C1023" i="7"/>
  <c r="D1023" i="7"/>
  <c r="E1023" i="7"/>
  <c r="F1023" i="7"/>
  <c r="G1023" i="7"/>
  <c r="H1023" i="7"/>
  <c r="I1023" i="7"/>
  <c r="J1023" i="7"/>
  <c r="K1023" i="7"/>
  <c r="P1023" i="7"/>
  <c r="Q1023" i="7"/>
  <c r="B1024" i="7"/>
  <c r="C1024" i="7"/>
  <c r="D1024" i="7"/>
  <c r="E1024" i="7"/>
  <c r="F1024" i="7"/>
  <c r="G1024" i="7"/>
  <c r="H1024" i="7"/>
  <c r="I1024" i="7"/>
  <c r="J1024" i="7"/>
  <c r="K1024" i="7"/>
  <c r="P1024" i="7"/>
  <c r="Q1024" i="7"/>
  <c r="B1025" i="7"/>
  <c r="C1025" i="7"/>
  <c r="D1025" i="7"/>
  <c r="E1025" i="7"/>
  <c r="F1025" i="7"/>
  <c r="G1025" i="7"/>
  <c r="H1025" i="7"/>
  <c r="I1025" i="7"/>
  <c r="J1025" i="7"/>
  <c r="K1025" i="7"/>
  <c r="P1025" i="7"/>
  <c r="Q1025" i="7"/>
  <c r="B1026" i="7"/>
  <c r="C1026" i="7"/>
  <c r="D1026" i="7"/>
  <c r="E1026" i="7"/>
  <c r="F1026" i="7"/>
  <c r="G1026" i="7"/>
  <c r="H1026" i="7"/>
  <c r="I1026" i="7"/>
  <c r="J1026" i="7"/>
  <c r="K1026" i="7"/>
  <c r="P1026" i="7"/>
  <c r="Q1026" i="7"/>
  <c r="R1026" i="7"/>
  <c r="B1027" i="7"/>
  <c r="C1027" i="7"/>
  <c r="D1027" i="7"/>
  <c r="E1027" i="7"/>
  <c r="F1027" i="7"/>
  <c r="G1027" i="7"/>
  <c r="H1027" i="7"/>
  <c r="I1027" i="7"/>
  <c r="J1027" i="7"/>
  <c r="K1027" i="7"/>
  <c r="P1027" i="7"/>
  <c r="Q1027" i="7"/>
  <c r="R1027" i="7"/>
  <c r="B1028" i="7"/>
  <c r="C1028" i="7"/>
  <c r="D1028" i="7"/>
  <c r="E1028" i="7"/>
  <c r="F1028" i="7"/>
  <c r="G1028" i="7"/>
  <c r="H1028" i="7"/>
  <c r="I1028" i="7"/>
  <c r="J1028" i="7"/>
  <c r="K1028" i="7"/>
  <c r="P1028" i="7"/>
  <c r="Q1028" i="7"/>
  <c r="R1028" i="7"/>
  <c r="B1029" i="7"/>
  <c r="C1029" i="7"/>
  <c r="D1029" i="7"/>
  <c r="E1029" i="7"/>
  <c r="F1029" i="7"/>
  <c r="G1029" i="7"/>
  <c r="H1029" i="7"/>
  <c r="I1029" i="7"/>
  <c r="J1029" i="7"/>
  <c r="K1029" i="7"/>
  <c r="P1029" i="7"/>
  <c r="Q1029" i="7"/>
  <c r="R1029" i="7"/>
  <c r="B1030" i="7"/>
  <c r="C1030" i="7"/>
  <c r="D1030" i="7"/>
  <c r="E1030" i="7"/>
  <c r="F1030" i="7"/>
  <c r="G1030" i="7"/>
  <c r="H1030" i="7"/>
  <c r="I1030" i="7"/>
  <c r="J1030" i="7"/>
  <c r="K1030" i="7"/>
  <c r="P1030" i="7"/>
  <c r="Q1030" i="7"/>
  <c r="B1031" i="7"/>
  <c r="C1031" i="7"/>
  <c r="D1031" i="7"/>
  <c r="E1031" i="7"/>
  <c r="F1031" i="7"/>
  <c r="G1031" i="7"/>
  <c r="H1031" i="7"/>
  <c r="I1031" i="7"/>
  <c r="J1031" i="7"/>
  <c r="K1031" i="7"/>
  <c r="P1031" i="7"/>
  <c r="Q1031" i="7"/>
  <c r="R1031" i="7"/>
  <c r="B1032" i="7"/>
  <c r="C1032" i="7"/>
  <c r="D1032" i="7"/>
  <c r="E1032" i="7"/>
  <c r="F1032" i="7"/>
  <c r="G1032" i="7"/>
  <c r="H1032" i="7"/>
  <c r="I1032" i="7"/>
  <c r="J1032" i="7"/>
  <c r="K1032" i="7"/>
  <c r="P1032" i="7"/>
  <c r="Q1032" i="7"/>
  <c r="B1033" i="7"/>
  <c r="C1033" i="7"/>
  <c r="D1033" i="7"/>
  <c r="E1033" i="7"/>
  <c r="F1033" i="7"/>
  <c r="G1033" i="7"/>
  <c r="H1033" i="7"/>
  <c r="I1033" i="7"/>
  <c r="J1033" i="7"/>
  <c r="K1033" i="7"/>
  <c r="P1033" i="7"/>
  <c r="Q1033" i="7"/>
  <c r="B1034" i="7"/>
  <c r="C1034" i="7"/>
  <c r="D1034" i="7"/>
  <c r="E1034" i="7"/>
  <c r="F1034" i="7"/>
  <c r="G1034" i="7"/>
  <c r="H1034" i="7"/>
  <c r="I1034" i="7"/>
  <c r="J1034" i="7"/>
  <c r="K1034" i="7"/>
  <c r="P1034" i="7"/>
  <c r="Q1034" i="7"/>
  <c r="B1035" i="7"/>
  <c r="C1035" i="7"/>
  <c r="D1035" i="7"/>
  <c r="E1035" i="7"/>
  <c r="F1035" i="7"/>
  <c r="G1035" i="7"/>
  <c r="H1035" i="7"/>
  <c r="I1035" i="7"/>
  <c r="J1035" i="7"/>
  <c r="K1035" i="7"/>
  <c r="P1035" i="7"/>
  <c r="Q1035" i="7"/>
  <c r="B1036" i="7"/>
  <c r="C1036" i="7"/>
  <c r="D1036" i="7"/>
  <c r="E1036" i="7"/>
  <c r="F1036" i="7"/>
  <c r="G1036" i="7"/>
  <c r="H1036" i="7"/>
  <c r="I1036" i="7"/>
  <c r="J1036" i="7"/>
  <c r="P1036" i="7"/>
  <c r="Q1036" i="7"/>
  <c r="B1037" i="7"/>
  <c r="C1037" i="7"/>
  <c r="D1037" i="7"/>
  <c r="E1037" i="7"/>
  <c r="F1037" i="7"/>
  <c r="G1037" i="7"/>
  <c r="H1037" i="7"/>
  <c r="I1037" i="7"/>
  <c r="J1037" i="7"/>
  <c r="K1037" i="7"/>
  <c r="P1037" i="7"/>
  <c r="Q1037" i="7"/>
  <c r="R1037" i="7"/>
  <c r="B1038" i="7"/>
  <c r="C1038" i="7"/>
  <c r="D1038" i="7"/>
  <c r="E1038" i="7"/>
  <c r="F1038" i="7"/>
  <c r="G1038" i="7"/>
  <c r="H1038" i="7"/>
  <c r="I1038" i="7"/>
  <c r="J1038" i="7"/>
  <c r="K1038" i="7"/>
  <c r="P1038" i="7"/>
  <c r="Q1038" i="7"/>
  <c r="R1038" i="7"/>
  <c r="B1039" i="7"/>
  <c r="C1039" i="7"/>
  <c r="D1039" i="7"/>
  <c r="E1039" i="7"/>
  <c r="F1039" i="7"/>
  <c r="G1039" i="7"/>
  <c r="H1039" i="7"/>
  <c r="I1039" i="7"/>
  <c r="J1039" i="7"/>
  <c r="K1039" i="7"/>
  <c r="P1039" i="7"/>
  <c r="Q1039" i="7"/>
  <c r="R1039" i="7"/>
  <c r="B1040" i="7"/>
  <c r="C1040" i="7"/>
  <c r="D1040" i="7"/>
  <c r="E1040" i="7"/>
  <c r="F1040" i="7"/>
  <c r="G1040" i="7"/>
  <c r="H1040" i="7"/>
  <c r="I1040" i="7"/>
  <c r="J1040" i="7"/>
  <c r="K1040" i="7"/>
  <c r="P1040" i="7"/>
  <c r="Q1040" i="7"/>
  <c r="B1041" i="7"/>
  <c r="C1041" i="7"/>
  <c r="D1041" i="7"/>
  <c r="E1041" i="7"/>
  <c r="F1041" i="7"/>
  <c r="G1041" i="7"/>
  <c r="H1041" i="7"/>
  <c r="I1041" i="7"/>
  <c r="J1041" i="7"/>
  <c r="K1041" i="7"/>
  <c r="P1041" i="7"/>
  <c r="Q1041" i="7"/>
  <c r="B1042" i="7"/>
  <c r="C1042" i="7"/>
  <c r="D1042" i="7"/>
  <c r="E1042" i="7"/>
  <c r="F1042" i="7"/>
  <c r="G1042" i="7"/>
  <c r="H1042" i="7"/>
  <c r="I1042" i="7"/>
  <c r="J1042" i="7"/>
  <c r="K1042" i="7"/>
  <c r="P1042" i="7"/>
  <c r="Q1042" i="7"/>
  <c r="R1042" i="7"/>
  <c r="M219" i="74" l="1"/>
  <c r="N219" i="74"/>
  <c r="L218" i="74"/>
  <c r="L219" i="74" s="1"/>
  <c r="L36" i="74" l="1"/>
  <c r="L867" i="7" s="1"/>
  <c r="N36" i="74" l="1"/>
  <c r="N867" i="7" s="1"/>
  <c r="N42" i="74"/>
  <c r="N873" i="7" s="1"/>
  <c r="L62" i="74" l="1"/>
  <c r="L893" i="7" s="1"/>
  <c r="L83" i="74"/>
  <c r="L914" i="7" s="1"/>
  <c r="M62" i="74" l="1"/>
  <c r="M893" i="7" s="1"/>
  <c r="M83" i="74"/>
  <c r="M914" i="7" s="1"/>
  <c r="N83" i="74" l="1"/>
  <c r="N914" i="7" s="1"/>
  <c r="N62" i="74"/>
  <c r="N893" i="7" s="1"/>
  <c r="L119" i="74" l="1"/>
  <c r="N119" i="74" l="1"/>
  <c r="N950" i="7" s="1"/>
  <c r="L950" i="7"/>
  <c r="O1027" i="7"/>
  <c r="L102" i="74" l="1"/>
  <c r="L933" i="7" s="1"/>
  <c r="M102" i="74" l="1"/>
  <c r="M933" i="7" s="1"/>
  <c r="N102" i="74" l="1"/>
  <c r="N933" i="7" s="1"/>
  <c r="M85" i="74"/>
  <c r="M916" i="7" s="1"/>
  <c r="N85" i="74" l="1"/>
  <c r="N916" i="7" s="1"/>
  <c r="L81" i="74" l="1"/>
  <c r="L912" i="7" s="1"/>
  <c r="L82" i="74"/>
  <c r="L913" i="7" s="1"/>
  <c r="L84" i="74"/>
  <c r="L915" i="7" s="1"/>
  <c r="M82" i="74" l="1"/>
  <c r="M913" i="7" s="1"/>
  <c r="M81" i="74"/>
  <c r="M912" i="7" s="1"/>
  <c r="M84" i="74"/>
  <c r="M915" i="7" s="1"/>
  <c r="N82" i="74" l="1"/>
  <c r="N913" i="7" s="1"/>
  <c r="N81" i="74"/>
  <c r="N912" i="7" s="1"/>
  <c r="N84" i="74"/>
  <c r="N915" i="7" s="1"/>
  <c r="L105" i="74"/>
  <c r="L936" i="7" s="1"/>
  <c r="M105" i="74" l="1"/>
  <c r="M936" i="7" s="1"/>
  <c r="L88" i="74"/>
  <c r="L919" i="7" s="1"/>
  <c r="M88" i="74" l="1"/>
  <c r="M919" i="7" s="1"/>
  <c r="N105" i="74"/>
  <c r="N936" i="7" s="1"/>
  <c r="K33" i="54"/>
  <c r="N88" i="74" l="1"/>
  <c r="N919" i="7" s="1"/>
  <c r="L63" i="74" l="1"/>
  <c r="L894" i="7" s="1"/>
  <c r="K65" i="74"/>
  <c r="K896" i="7" s="1"/>
  <c r="M63" i="74" l="1"/>
  <c r="M894" i="7" s="1"/>
  <c r="N63" i="74" l="1"/>
  <c r="N894" i="7" s="1"/>
  <c r="L41" i="74" l="1"/>
  <c r="L872" i="7" s="1"/>
  <c r="L48" i="74"/>
  <c r="L879" i="7" s="1"/>
  <c r="L49" i="74"/>
  <c r="L880" i="7" s="1"/>
  <c r="L50" i="74"/>
  <c r="L881" i="7" s="1"/>
  <c r="M50" i="74" l="1"/>
  <c r="M881" i="7" s="1"/>
  <c r="M48" i="74"/>
  <c r="M879" i="7" s="1"/>
  <c r="M41" i="74"/>
  <c r="M872" i="7" s="1"/>
  <c r="M49" i="74"/>
  <c r="M880" i="7" s="1"/>
  <c r="N49" i="74" l="1"/>
  <c r="N880" i="7" s="1"/>
  <c r="N41" i="74"/>
  <c r="N872" i="7" s="1"/>
  <c r="N48" i="74"/>
  <c r="N879" i="7" s="1"/>
  <c r="N50" i="74"/>
  <c r="N881" i="7" s="1"/>
  <c r="N72" i="74"/>
  <c r="N903" i="7" s="1"/>
  <c r="K72" i="74"/>
  <c r="K903" i="7" s="1"/>
  <c r="O977" i="7" l="1"/>
  <c r="L56" i="74" l="1"/>
  <c r="L55" i="74"/>
  <c r="L886" i="7" s="1"/>
  <c r="N56" i="74" l="1"/>
  <c r="N887" i="7" s="1"/>
  <c r="L887" i="7"/>
  <c r="N55" i="74"/>
  <c r="N886" i="7" s="1"/>
  <c r="O978" i="7"/>
  <c r="L147" i="74"/>
  <c r="L978" i="7" s="1"/>
  <c r="O975" i="7"/>
  <c r="L144" i="74"/>
  <c r="L975" i="7" s="1"/>
  <c r="N147" i="74" l="1"/>
  <c r="N978" i="7" s="1"/>
  <c r="M144" i="74"/>
  <c r="M975" i="7" s="1"/>
  <c r="N144" i="74" l="1"/>
  <c r="N975" i="7" s="1"/>
  <c r="N59" i="74"/>
  <c r="N890" i="7" s="1"/>
  <c r="K59" i="74"/>
  <c r="K890" i="7" s="1"/>
  <c r="L57" i="74" l="1"/>
  <c r="L888" i="7" s="1"/>
  <c r="M57" i="74" l="1"/>
  <c r="M888" i="7" s="1"/>
  <c r="L74" i="74"/>
  <c r="L905" i="7" s="1"/>
  <c r="O1024" i="7"/>
  <c r="L193" i="74"/>
  <c r="L1024" i="7" s="1"/>
  <c r="O1041" i="7"/>
  <c r="L210" i="74"/>
  <c r="L1041" i="7" s="1"/>
  <c r="O1040" i="7"/>
  <c r="L209" i="74"/>
  <c r="L1040" i="7" s="1"/>
  <c r="O1039" i="7"/>
  <c r="L208" i="74"/>
  <c r="L1039" i="7" s="1"/>
  <c r="O1038" i="7"/>
  <c r="L207" i="74"/>
  <c r="L1038" i="7" s="1"/>
  <c r="O1037" i="7"/>
  <c r="L206" i="74"/>
  <c r="L1037" i="7" s="1"/>
  <c r="O1036" i="7"/>
  <c r="K205" i="74"/>
  <c r="O1035" i="7"/>
  <c r="L204" i="74"/>
  <c r="L1035" i="7" s="1"/>
  <c r="O1034" i="7"/>
  <c r="L203" i="74"/>
  <c r="L1034" i="7" s="1"/>
  <c r="O1033" i="7"/>
  <c r="L202" i="74"/>
  <c r="L1033" i="7" s="1"/>
  <c r="O1031" i="7"/>
  <c r="L200" i="74"/>
  <c r="L1031" i="7" s="1"/>
  <c r="O1030" i="7"/>
  <c r="L199" i="74"/>
  <c r="L1030" i="7" s="1"/>
  <c r="O1029" i="7"/>
  <c r="L198" i="74"/>
  <c r="L1029" i="7" s="1"/>
  <c r="O1028" i="7"/>
  <c r="L197" i="74"/>
  <c r="L1028" i="7" s="1"/>
  <c r="L196" i="74"/>
  <c r="L1027" i="7" s="1"/>
  <c r="O1032" i="7"/>
  <c r="L201" i="74"/>
  <c r="L1032" i="7" s="1"/>
  <c r="O1026" i="7"/>
  <c r="L195" i="74"/>
  <c r="L1026" i="7" s="1"/>
  <c r="O1025" i="7"/>
  <c r="L194" i="74"/>
  <c r="L1025" i="7" s="1"/>
  <c r="O1023" i="7"/>
  <c r="L192" i="74"/>
  <c r="L1023" i="7" s="1"/>
  <c r="O1020" i="7"/>
  <c r="L189" i="74"/>
  <c r="L1020" i="7" s="1"/>
  <c r="O1019" i="7"/>
  <c r="L188" i="74"/>
  <c r="L1019" i="7" s="1"/>
  <c r="O1018" i="7"/>
  <c r="L187" i="74"/>
  <c r="L1018" i="7" s="1"/>
  <c r="O1017" i="7"/>
  <c r="L186" i="74"/>
  <c r="L1017" i="7" s="1"/>
  <c r="O1016" i="7"/>
  <c r="L185" i="74"/>
  <c r="L1016" i="7" s="1"/>
  <c r="O1015" i="7"/>
  <c r="L184" i="74"/>
  <c r="L1015" i="7" s="1"/>
  <c r="O1014" i="7"/>
  <c r="L183" i="74"/>
  <c r="L1014" i="7" s="1"/>
  <c r="O1013" i="7"/>
  <c r="L182" i="74"/>
  <c r="L1013" i="7" s="1"/>
  <c r="O1012" i="7"/>
  <c r="L181" i="74"/>
  <c r="L1012" i="7" s="1"/>
  <c r="O1011" i="7"/>
  <c r="L180" i="74"/>
  <c r="L1011" i="7" s="1"/>
  <c r="O1010" i="7"/>
  <c r="L179" i="74"/>
  <c r="L1010" i="7" s="1"/>
  <c r="O1009" i="7"/>
  <c r="L178" i="74"/>
  <c r="L1009" i="7" s="1"/>
  <c r="O1008" i="7"/>
  <c r="L177" i="74"/>
  <c r="L1008" i="7" s="1"/>
  <c r="O1007" i="7"/>
  <c r="L176" i="74"/>
  <c r="L1007" i="7" s="1"/>
  <c r="O1006" i="7"/>
  <c r="L175" i="74"/>
  <c r="L1006" i="7" s="1"/>
  <c r="O984" i="7"/>
  <c r="L153" i="74"/>
  <c r="L984" i="7" s="1"/>
  <c r="O983" i="7"/>
  <c r="L152" i="74"/>
  <c r="L983" i="7" s="1"/>
  <c r="O982" i="7"/>
  <c r="L151" i="74"/>
  <c r="L982" i="7" s="1"/>
  <c r="O981" i="7"/>
  <c r="L150" i="74"/>
  <c r="L981" i="7" s="1"/>
  <c r="O980" i="7"/>
  <c r="L149" i="74"/>
  <c r="L980" i="7" s="1"/>
  <c r="O1005" i="7"/>
  <c r="L174" i="74"/>
  <c r="L1005" i="7" s="1"/>
  <c r="O1004" i="7"/>
  <c r="L173" i="74"/>
  <c r="L1004" i="7" s="1"/>
  <c r="O1022" i="7"/>
  <c r="L191" i="74"/>
  <c r="L1022" i="7" s="1"/>
  <c r="O1021" i="7"/>
  <c r="L190" i="74"/>
  <c r="L1021" i="7" s="1"/>
  <c r="O999" i="7"/>
  <c r="L168" i="74"/>
  <c r="L999" i="7" s="1"/>
  <c r="O998" i="7"/>
  <c r="L167" i="74"/>
  <c r="L998" i="7" s="1"/>
  <c r="O997" i="7"/>
  <c r="L166" i="74"/>
  <c r="L997" i="7" s="1"/>
  <c r="O979" i="7"/>
  <c r="L148" i="74"/>
  <c r="L979" i="7" s="1"/>
  <c r="O996" i="7"/>
  <c r="L165" i="74"/>
  <c r="L996" i="7" s="1"/>
  <c r="O995" i="7"/>
  <c r="L164" i="74"/>
  <c r="L995" i="7" s="1"/>
  <c r="O976" i="7"/>
  <c r="L145" i="74"/>
  <c r="L976" i="7" s="1"/>
  <c r="O993" i="7"/>
  <c r="L162" i="74"/>
  <c r="L993" i="7" s="1"/>
  <c r="O992" i="7"/>
  <c r="L161" i="74"/>
  <c r="L992" i="7" s="1"/>
  <c r="O990" i="7"/>
  <c r="L159" i="74"/>
  <c r="L990" i="7" s="1"/>
  <c r="O994" i="7"/>
  <c r="L163" i="74"/>
  <c r="L994" i="7" s="1"/>
  <c r="O991" i="7"/>
  <c r="L160" i="74"/>
  <c r="L991" i="7" s="1"/>
  <c r="O988" i="7"/>
  <c r="L157" i="74"/>
  <c r="L988" i="7" s="1"/>
  <c r="O987" i="7"/>
  <c r="L156" i="74"/>
  <c r="L987" i="7" s="1"/>
  <c r="O989" i="7"/>
  <c r="L158" i="74"/>
  <c r="L989" i="7" s="1"/>
  <c r="O986" i="7"/>
  <c r="L155" i="74"/>
  <c r="L986" i="7" s="1"/>
  <c r="O985" i="7"/>
  <c r="L154" i="74"/>
  <c r="L985" i="7" s="1"/>
  <c r="O1003" i="7"/>
  <c r="L172" i="74"/>
  <c r="L1003" i="7" s="1"/>
  <c r="O1002" i="7"/>
  <c r="L171" i="74"/>
  <c r="L1002" i="7" s="1"/>
  <c r="O1001" i="7"/>
  <c r="L170" i="74"/>
  <c r="L1001" i="7" s="1"/>
  <c r="O1000" i="7"/>
  <c r="L169" i="74"/>
  <c r="L1000" i="7" s="1"/>
  <c r="L112" i="74"/>
  <c r="L943" i="7" s="1"/>
  <c r="L111" i="74"/>
  <c r="L942" i="7" s="1"/>
  <c r="L120" i="74"/>
  <c r="L951" i="7" s="1"/>
  <c r="L118" i="74"/>
  <c r="L949" i="7" s="1"/>
  <c r="L110" i="74"/>
  <c r="L941" i="7" s="1"/>
  <c r="L109" i="74"/>
  <c r="L940" i="7" s="1"/>
  <c r="L108" i="74"/>
  <c r="L939" i="7" s="1"/>
  <c r="L107" i="74"/>
  <c r="L938" i="7" s="1"/>
  <c r="L106" i="74"/>
  <c r="L937" i="7" s="1"/>
  <c r="L104" i="74"/>
  <c r="L935" i="7" s="1"/>
  <c r="L87" i="74"/>
  <c r="L918" i="7" s="1"/>
  <c r="L80" i="74"/>
  <c r="L911" i="7" s="1"/>
  <c r="L76" i="74"/>
  <c r="L907" i="7" s="1"/>
  <c r="L75" i="74"/>
  <c r="L906" i="7" s="1"/>
  <c r="L67" i="74"/>
  <c r="L898" i="7" s="1"/>
  <c r="L60" i="74"/>
  <c r="L891" i="7" s="1"/>
  <c r="L78" i="74"/>
  <c r="L909" i="7" s="1"/>
  <c r="L123" i="74"/>
  <c r="L954" i="7" s="1"/>
  <c r="L121" i="74"/>
  <c r="L952" i="7" s="1"/>
  <c r="L122" i="74"/>
  <c r="L953" i="7" s="1"/>
  <c r="L115" i="74"/>
  <c r="L946" i="7" s="1"/>
  <c r="L103" i="74"/>
  <c r="L934" i="7" s="1"/>
  <c r="L117" i="74"/>
  <c r="L116" i="74"/>
  <c r="L947" i="7" s="1"/>
  <c r="L79" i="74"/>
  <c r="L910" i="7" s="1"/>
  <c r="L77" i="74"/>
  <c r="L908" i="7" s="1"/>
  <c r="L71" i="74"/>
  <c r="L902" i="7" s="1"/>
  <c r="L70" i="74"/>
  <c r="L901" i="7" s="1"/>
  <c r="L69" i="74"/>
  <c r="L900" i="7" s="1"/>
  <c r="L68" i="74"/>
  <c r="L899" i="7" s="1"/>
  <c r="L205" i="74" l="1"/>
  <c r="L1036" i="7" s="1"/>
  <c r="K1036" i="7"/>
  <c r="N117" i="74"/>
  <c r="N948" i="7" s="1"/>
  <c r="L948" i="7"/>
  <c r="N70" i="74"/>
  <c r="N901" i="7" s="1"/>
  <c r="N116" i="74"/>
  <c r="N947" i="7" s="1"/>
  <c r="M107" i="74"/>
  <c r="M938" i="7" s="1"/>
  <c r="M118" i="74"/>
  <c r="M949" i="7" s="1"/>
  <c r="M171" i="74"/>
  <c r="M1002" i="7" s="1"/>
  <c r="M158" i="74"/>
  <c r="M989" i="7" s="1"/>
  <c r="M157" i="74"/>
  <c r="M988" i="7" s="1"/>
  <c r="M161" i="74"/>
  <c r="M992" i="7" s="1"/>
  <c r="M145" i="74"/>
  <c r="M976" i="7" s="1"/>
  <c r="M168" i="74"/>
  <c r="M999" i="7" s="1"/>
  <c r="M174" i="74"/>
  <c r="M1005" i="7" s="1"/>
  <c r="M152" i="74"/>
  <c r="M983" i="7" s="1"/>
  <c r="M175" i="74"/>
  <c r="M1006" i="7" s="1"/>
  <c r="M177" i="74"/>
  <c r="M1008" i="7" s="1"/>
  <c r="M181" i="74"/>
  <c r="M1012" i="7" s="1"/>
  <c r="M189" i="74"/>
  <c r="M1020" i="7" s="1"/>
  <c r="M201" i="74"/>
  <c r="M1032" i="7" s="1"/>
  <c r="M67" i="74"/>
  <c r="M898" i="7" s="1"/>
  <c r="M200" i="74"/>
  <c r="M1031" i="7" s="1"/>
  <c r="N69" i="74"/>
  <c r="N900" i="7" s="1"/>
  <c r="N71" i="74"/>
  <c r="N902" i="7" s="1"/>
  <c r="N121" i="74"/>
  <c r="N952" i="7" s="1"/>
  <c r="N68" i="74"/>
  <c r="N899" i="7" s="1"/>
  <c r="N77" i="74"/>
  <c r="N908" i="7" s="1"/>
  <c r="M103" i="74"/>
  <c r="M934" i="7" s="1"/>
  <c r="M75" i="74"/>
  <c r="M906" i="7" s="1"/>
  <c r="M170" i="74"/>
  <c r="M1001" i="7" s="1"/>
  <c r="M155" i="74"/>
  <c r="M986" i="7" s="1"/>
  <c r="M159" i="74"/>
  <c r="M990" i="7" s="1"/>
  <c r="M162" i="74"/>
  <c r="M993" i="7" s="1"/>
  <c r="N164" i="74"/>
  <c r="N995" i="7" s="1"/>
  <c r="M190" i="74"/>
  <c r="M1021" i="7" s="1"/>
  <c r="M151" i="74"/>
  <c r="M982" i="7" s="1"/>
  <c r="M184" i="74"/>
  <c r="M1015" i="7" s="1"/>
  <c r="M188" i="74"/>
  <c r="M1019" i="7" s="1"/>
  <c r="M199" i="74"/>
  <c r="M1030" i="7" s="1"/>
  <c r="M204" i="74"/>
  <c r="M1035" i="7" s="1"/>
  <c r="N57" i="74"/>
  <c r="N888" i="7" s="1"/>
  <c r="M87" i="74"/>
  <c r="M918" i="7" s="1"/>
  <c r="N160" i="74"/>
  <c r="N991" i="7" s="1"/>
  <c r="M163" i="74"/>
  <c r="M994" i="7" s="1"/>
  <c r="M176" i="74"/>
  <c r="M1007" i="7" s="1"/>
  <c r="M180" i="74"/>
  <c r="M1011" i="7" s="1"/>
  <c r="M195" i="74"/>
  <c r="M1026" i="7" s="1"/>
  <c r="M198" i="74"/>
  <c r="M1029" i="7" s="1"/>
  <c r="M203" i="74"/>
  <c r="M1034" i="7" s="1"/>
  <c r="M172" i="74"/>
  <c r="M1003" i="7" s="1"/>
  <c r="M156" i="74"/>
  <c r="M987" i="7" s="1"/>
  <c r="M166" i="74"/>
  <c r="M997" i="7" s="1"/>
  <c r="M191" i="74"/>
  <c r="M1022" i="7" s="1"/>
  <c r="M150" i="74"/>
  <c r="M981" i="7" s="1"/>
  <c r="M179" i="74"/>
  <c r="M1010" i="7" s="1"/>
  <c r="N183" i="74"/>
  <c r="N1014" i="7" s="1"/>
  <c r="M187" i="74"/>
  <c r="M1018" i="7" s="1"/>
  <c r="M194" i="74"/>
  <c r="M1025" i="7" s="1"/>
  <c r="M197" i="74"/>
  <c r="M1028" i="7" s="1"/>
  <c r="M202" i="74"/>
  <c r="M1033" i="7" s="1"/>
  <c r="M74" i="74"/>
  <c r="M905" i="7" s="1"/>
  <c r="M169" i="74"/>
  <c r="M1000" i="7" s="1"/>
  <c r="M154" i="74"/>
  <c r="M985" i="7" s="1"/>
  <c r="M167" i="74"/>
  <c r="M998" i="7" s="1"/>
  <c r="M173" i="74"/>
  <c r="M1004" i="7" s="1"/>
  <c r="M149" i="74"/>
  <c r="M980" i="7" s="1"/>
  <c r="M153" i="74"/>
  <c r="M984" i="7" s="1"/>
  <c r="M178" i="74"/>
  <c r="M1009" i="7" s="1"/>
  <c r="M182" i="74"/>
  <c r="M1013" i="7" s="1"/>
  <c r="N185" i="74"/>
  <c r="N1016" i="7" s="1"/>
  <c r="M186" i="74"/>
  <c r="M1017" i="7" s="1"/>
  <c r="M192" i="74"/>
  <c r="M1023" i="7" s="1"/>
  <c r="M196" i="74"/>
  <c r="M1027" i="7" s="1"/>
  <c r="M165" i="74"/>
  <c r="M996" i="7" s="1"/>
  <c r="M148" i="74"/>
  <c r="M979" i="7" s="1"/>
  <c r="M205" i="74"/>
  <c r="M1036" i="7" s="1"/>
  <c r="M206" i="74"/>
  <c r="M1037" i="7" s="1"/>
  <c r="M207" i="74"/>
  <c r="M1038" i="7" s="1"/>
  <c r="M208" i="74"/>
  <c r="M1039" i="7" s="1"/>
  <c r="M209" i="74"/>
  <c r="M1040" i="7" s="1"/>
  <c r="M210" i="74"/>
  <c r="M1041" i="7" s="1"/>
  <c r="M193" i="74"/>
  <c r="M1024" i="7" s="1"/>
  <c r="M112" i="74"/>
  <c r="M943" i="7" s="1"/>
  <c r="M120" i="74"/>
  <c r="M951" i="7" s="1"/>
  <c r="M89" i="74"/>
  <c r="M920" i="7" s="1"/>
  <c r="M110" i="74"/>
  <c r="M941" i="7" s="1"/>
  <c r="M106" i="74"/>
  <c r="M937" i="7" s="1"/>
  <c r="M109" i="74"/>
  <c r="M940" i="7" s="1"/>
  <c r="M111" i="74"/>
  <c r="M942" i="7" s="1"/>
  <c r="M108" i="74"/>
  <c r="M939" i="7" s="1"/>
  <c r="M104" i="74"/>
  <c r="M935" i="7" s="1"/>
  <c r="M78" i="74"/>
  <c r="M909" i="7" s="1"/>
  <c r="M80" i="74"/>
  <c r="M911" i="7" s="1"/>
  <c r="M76" i="74"/>
  <c r="M907" i="7" s="1"/>
  <c r="M60" i="74"/>
  <c r="M891" i="7" s="1"/>
  <c r="M123" i="74"/>
  <c r="M954" i="7" s="1"/>
  <c r="M122" i="74"/>
  <c r="M953" i="7" s="1"/>
  <c r="M115" i="74"/>
  <c r="M946" i="7" s="1"/>
  <c r="M79" i="74"/>
  <c r="M910" i="7" s="1"/>
  <c r="N201" i="74" l="1"/>
  <c r="N1032" i="7" s="1"/>
  <c r="N175" i="74"/>
  <c r="N1006" i="7" s="1"/>
  <c r="N171" i="74"/>
  <c r="N1002" i="7" s="1"/>
  <c r="N204" i="74"/>
  <c r="N1035" i="7" s="1"/>
  <c r="N107" i="74"/>
  <c r="N938" i="7" s="1"/>
  <c r="N87" i="74"/>
  <c r="N918" i="7" s="1"/>
  <c r="N157" i="74"/>
  <c r="N988" i="7" s="1"/>
  <c r="N181" i="74"/>
  <c r="N1012" i="7" s="1"/>
  <c r="N152" i="74"/>
  <c r="N983" i="7" s="1"/>
  <c r="N174" i="74"/>
  <c r="N1005" i="7" s="1"/>
  <c r="N200" i="74"/>
  <c r="N1031" i="7" s="1"/>
  <c r="N158" i="74"/>
  <c r="N989" i="7" s="1"/>
  <c r="N168" i="74"/>
  <c r="N999" i="7" s="1"/>
  <c r="N188" i="74"/>
  <c r="N1019" i="7" s="1"/>
  <c r="N170" i="74"/>
  <c r="N1001" i="7" s="1"/>
  <c r="N151" i="74"/>
  <c r="N982" i="7" s="1"/>
  <c r="N118" i="74"/>
  <c r="N949" i="7" s="1"/>
  <c r="N67" i="74"/>
  <c r="N898" i="7" s="1"/>
  <c r="N189" i="74"/>
  <c r="N1020" i="7" s="1"/>
  <c r="N177" i="74"/>
  <c r="N1008" i="7" s="1"/>
  <c r="N199" i="74"/>
  <c r="N1030" i="7" s="1"/>
  <c r="N155" i="74"/>
  <c r="N986" i="7" s="1"/>
  <c r="N184" i="74"/>
  <c r="N1015" i="7" s="1"/>
  <c r="N190" i="74"/>
  <c r="N1021" i="7" s="1"/>
  <c r="N167" i="74"/>
  <c r="N998" i="7" s="1"/>
  <c r="N195" i="74"/>
  <c r="N1026" i="7" s="1"/>
  <c r="N60" i="74"/>
  <c r="N891" i="7" s="1"/>
  <c r="N110" i="74"/>
  <c r="N941" i="7" s="1"/>
  <c r="N115" i="74"/>
  <c r="N946" i="7" s="1"/>
  <c r="N76" i="74"/>
  <c r="N907" i="7" s="1"/>
  <c r="N104" i="74"/>
  <c r="N935" i="7" s="1"/>
  <c r="N109" i="74"/>
  <c r="N940" i="7" s="1"/>
  <c r="N193" i="74"/>
  <c r="N1024" i="7" s="1"/>
  <c r="N207" i="74"/>
  <c r="N1038" i="7" s="1"/>
  <c r="N165" i="74"/>
  <c r="N996" i="7" s="1"/>
  <c r="N169" i="74"/>
  <c r="N1000" i="7" s="1"/>
  <c r="N194" i="74"/>
  <c r="N1025" i="7" s="1"/>
  <c r="N150" i="74"/>
  <c r="N981" i="7" s="1"/>
  <c r="N156" i="74"/>
  <c r="N987" i="7" s="1"/>
  <c r="N203" i="74"/>
  <c r="N1034" i="7" s="1"/>
  <c r="N176" i="74"/>
  <c r="N1007" i="7" s="1"/>
  <c r="N205" i="74"/>
  <c r="N1036" i="7" s="1"/>
  <c r="N122" i="74"/>
  <c r="N953" i="7" s="1"/>
  <c r="N108" i="74"/>
  <c r="N939" i="7" s="1"/>
  <c r="N106" i="74"/>
  <c r="N937" i="7" s="1"/>
  <c r="N89" i="74"/>
  <c r="N920" i="7" s="1"/>
  <c r="N210" i="74"/>
  <c r="N1041" i="7" s="1"/>
  <c r="N206" i="74"/>
  <c r="N1037" i="7" s="1"/>
  <c r="N192" i="74"/>
  <c r="N1023" i="7" s="1"/>
  <c r="N182" i="74"/>
  <c r="N1013" i="7" s="1"/>
  <c r="N153" i="74"/>
  <c r="N984" i="7" s="1"/>
  <c r="N173" i="74"/>
  <c r="N1004" i="7" s="1"/>
  <c r="N74" i="74"/>
  <c r="N905" i="7" s="1"/>
  <c r="N187" i="74"/>
  <c r="N1018" i="7" s="1"/>
  <c r="N191" i="74"/>
  <c r="N1022" i="7" s="1"/>
  <c r="N198" i="74"/>
  <c r="N1029" i="7" s="1"/>
  <c r="N162" i="74"/>
  <c r="N993" i="7" s="1"/>
  <c r="N75" i="74"/>
  <c r="N906" i="7" s="1"/>
  <c r="N161" i="74"/>
  <c r="N992" i="7" s="1"/>
  <c r="N123" i="74"/>
  <c r="N954" i="7" s="1"/>
  <c r="N209" i="74"/>
  <c r="N1040" i="7" s="1"/>
  <c r="N163" i="74"/>
  <c r="N994" i="7" s="1"/>
  <c r="N80" i="74"/>
  <c r="N911" i="7" s="1"/>
  <c r="N120" i="74"/>
  <c r="N951" i="7" s="1"/>
  <c r="N202" i="74"/>
  <c r="N1033" i="7" s="1"/>
  <c r="N172" i="74"/>
  <c r="N1003" i="7" s="1"/>
  <c r="N79" i="74"/>
  <c r="N910" i="7" s="1"/>
  <c r="N78" i="74"/>
  <c r="N909" i="7" s="1"/>
  <c r="N111" i="74"/>
  <c r="N942" i="7" s="1"/>
  <c r="N112" i="74"/>
  <c r="N943" i="7" s="1"/>
  <c r="N208" i="74"/>
  <c r="N1039" i="7" s="1"/>
  <c r="N148" i="74"/>
  <c r="N979" i="7" s="1"/>
  <c r="N196" i="74"/>
  <c r="N1027" i="7" s="1"/>
  <c r="N186" i="74"/>
  <c r="N1017" i="7" s="1"/>
  <c r="N178" i="74"/>
  <c r="N1009" i="7" s="1"/>
  <c r="N149" i="74"/>
  <c r="N980" i="7" s="1"/>
  <c r="N154" i="74"/>
  <c r="N985" i="7" s="1"/>
  <c r="N197" i="74"/>
  <c r="N1028" i="7" s="1"/>
  <c r="N179" i="74"/>
  <c r="N1010" i="7" s="1"/>
  <c r="N166" i="74"/>
  <c r="N997" i="7" s="1"/>
  <c r="N180" i="74"/>
  <c r="N1011" i="7" s="1"/>
  <c r="N159" i="74"/>
  <c r="N990" i="7" s="1"/>
  <c r="N103" i="74"/>
  <c r="N934" i="7" s="1"/>
  <c r="N145" i="74"/>
  <c r="N976" i="7" s="1"/>
  <c r="L54" i="74"/>
  <c r="L885" i="7" s="1"/>
  <c r="M54" i="74" l="1"/>
  <c r="M885" i="7" s="1"/>
  <c r="O878" i="7"/>
  <c r="L47" i="74"/>
  <c r="L878" i="7" s="1"/>
  <c r="N54" i="74" l="1"/>
  <c r="N885" i="7" s="1"/>
  <c r="M47" i="74"/>
  <c r="M878" i="7" s="1"/>
  <c r="N47" i="74" l="1"/>
  <c r="N878" i="7" s="1"/>
  <c r="L58" i="74"/>
  <c r="L889" i="7" s="1"/>
  <c r="L61" i="74"/>
  <c r="L892" i="7" s="1"/>
  <c r="L64" i="74"/>
  <c r="L895" i="7" s="1"/>
  <c r="L66" i="74"/>
  <c r="L897" i="7" s="1"/>
  <c r="L113" i="74"/>
  <c r="L944" i="7" s="1"/>
  <c r="M66" i="74" l="1"/>
  <c r="M897" i="7" s="1"/>
  <c r="M58" i="74"/>
  <c r="M889" i="7" s="1"/>
  <c r="N64" i="74"/>
  <c r="N895" i="7" s="1"/>
  <c r="M113" i="74"/>
  <c r="M944" i="7" s="1"/>
  <c r="N61" i="74"/>
  <c r="N892" i="7" s="1"/>
  <c r="N65" i="74"/>
  <c r="N896" i="7" s="1"/>
  <c r="N66" i="74" l="1"/>
  <c r="N897" i="7" s="1"/>
  <c r="N58" i="74"/>
  <c r="N889" i="7" s="1"/>
  <c r="N113" i="74"/>
  <c r="N944" i="7" s="1"/>
  <c r="R635" i="7"/>
  <c r="R434" i="7"/>
  <c r="B630" i="7" l="1"/>
  <c r="D630" i="7"/>
  <c r="E630" i="7"/>
  <c r="G630" i="7"/>
  <c r="H630" i="7"/>
  <c r="I630" i="7"/>
  <c r="J630" i="7"/>
  <c r="K630" i="7"/>
  <c r="O630" i="7"/>
  <c r="P630" i="7"/>
  <c r="Q630" i="7"/>
  <c r="B631" i="7"/>
  <c r="D631" i="7"/>
  <c r="E631" i="7"/>
  <c r="F631" i="7"/>
  <c r="G631" i="7"/>
  <c r="H631" i="7"/>
  <c r="I631" i="7"/>
  <c r="J631" i="7"/>
  <c r="K631" i="7"/>
  <c r="O631" i="7"/>
  <c r="P631" i="7"/>
  <c r="Q631" i="7"/>
  <c r="B632" i="7"/>
  <c r="D632" i="7"/>
  <c r="E632" i="7"/>
  <c r="F632" i="7"/>
  <c r="G632" i="7"/>
  <c r="H632" i="7"/>
  <c r="I632" i="7"/>
  <c r="J632" i="7"/>
  <c r="K632" i="7"/>
  <c r="P632" i="7"/>
  <c r="Q632" i="7"/>
  <c r="B633" i="7"/>
  <c r="D633" i="7"/>
  <c r="E633" i="7"/>
  <c r="F633" i="7"/>
  <c r="G633" i="7"/>
  <c r="H633" i="7"/>
  <c r="I633" i="7"/>
  <c r="J633" i="7"/>
  <c r="K633" i="7"/>
  <c r="M633" i="7"/>
  <c r="P633" i="7"/>
  <c r="Q633" i="7"/>
  <c r="R633" i="7"/>
  <c r="B634" i="7"/>
  <c r="D634" i="7"/>
  <c r="E634" i="7"/>
  <c r="F634" i="7"/>
  <c r="G634" i="7"/>
  <c r="H634" i="7"/>
  <c r="I634" i="7"/>
  <c r="J634" i="7"/>
  <c r="K634" i="7"/>
  <c r="M634" i="7"/>
  <c r="P634" i="7"/>
  <c r="Q634" i="7"/>
  <c r="B635" i="7"/>
  <c r="D635" i="7"/>
  <c r="E635" i="7"/>
  <c r="F635" i="7"/>
  <c r="G635" i="7"/>
  <c r="H635" i="7"/>
  <c r="I635" i="7"/>
  <c r="J635" i="7"/>
  <c r="K635" i="7"/>
  <c r="M635" i="7"/>
  <c r="P635" i="7"/>
  <c r="Q635" i="7"/>
  <c r="B636" i="7"/>
  <c r="D636" i="7"/>
  <c r="E636" i="7"/>
  <c r="F636" i="7"/>
  <c r="G636" i="7"/>
  <c r="H636" i="7"/>
  <c r="I636" i="7"/>
  <c r="J636" i="7"/>
  <c r="K636" i="7"/>
  <c r="P636" i="7"/>
  <c r="Q636" i="7"/>
  <c r="B637" i="7"/>
  <c r="D637" i="7"/>
  <c r="E637" i="7"/>
  <c r="F637" i="7"/>
  <c r="G637" i="7"/>
  <c r="H637" i="7"/>
  <c r="I637" i="7"/>
  <c r="J637" i="7"/>
  <c r="K637" i="7"/>
  <c r="M637" i="7"/>
  <c r="P637" i="7"/>
  <c r="Q637" i="7"/>
  <c r="B638" i="7"/>
  <c r="D638" i="7"/>
  <c r="E638" i="7"/>
  <c r="F638" i="7"/>
  <c r="G638" i="7"/>
  <c r="H638" i="7"/>
  <c r="I638" i="7"/>
  <c r="J638" i="7"/>
  <c r="K638" i="7"/>
  <c r="M638" i="7"/>
  <c r="P638" i="7"/>
  <c r="Q638" i="7"/>
  <c r="B639" i="7"/>
  <c r="D639" i="7"/>
  <c r="E639" i="7"/>
  <c r="F639" i="7"/>
  <c r="G639" i="7"/>
  <c r="H639" i="7"/>
  <c r="I639" i="7"/>
  <c r="J639" i="7"/>
  <c r="K639" i="7"/>
  <c r="M639" i="7"/>
  <c r="P639" i="7"/>
  <c r="Q639" i="7"/>
  <c r="B640" i="7"/>
  <c r="D640" i="7"/>
  <c r="E640" i="7"/>
  <c r="F640" i="7"/>
  <c r="G640" i="7"/>
  <c r="H640" i="7"/>
  <c r="I640" i="7"/>
  <c r="J640" i="7"/>
  <c r="K640" i="7"/>
  <c r="M640" i="7"/>
  <c r="P640" i="7"/>
  <c r="Q640" i="7"/>
  <c r="B641" i="7"/>
  <c r="D641" i="7"/>
  <c r="E641" i="7"/>
  <c r="F641" i="7"/>
  <c r="G641" i="7"/>
  <c r="H641" i="7"/>
  <c r="I641" i="7"/>
  <c r="J641" i="7"/>
  <c r="K641" i="7"/>
  <c r="M641" i="7"/>
  <c r="P641" i="7"/>
  <c r="Q641" i="7"/>
  <c r="B642" i="7"/>
  <c r="D642" i="7"/>
  <c r="E642" i="7"/>
  <c r="F642" i="7"/>
  <c r="G642" i="7"/>
  <c r="H642" i="7"/>
  <c r="I642" i="7"/>
  <c r="J642" i="7"/>
  <c r="K642" i="7"/>
  <c r="M642" i="7"/>
  <c r="P642" i="7"/>
  <c r="Q642" i="7"/>
  <c r="B643" i="7"/>
  <c r="D643" i="7"/>
  <c r="E643" i="7"/>
  <c r="F643" i="7"/>
  <c r="G643" i="7"/>
  <c r="H643" i="7"/>
  <c r="I643" i="7"/>
  <c r="J643" i="7"/>
  <c r="K643" i="7"/>
  <c r="M643" i="7"/>
  <c r="P643" i="7"/>
  <c r="Q643" i="7"/>
  <c r="B644" i="7"/>
  <c r="D644" i="7"/>
  <c r="E644" i="7"/>
  <c r="F644" i="7"/>
  <c r="G644" i="7"/>
  <c r="H644" i="7"/>
  <c r="I644" i="7"/>
  <c r="J644" i="7"/>
  <c r="K644" i="7"/>
  <c r="M644" i="7"/>
  <c r="P644" i="7"/>
  <c r="Q644" i="7"/>
  <c r="B645" i="7"/>
  <c r="D645" i="7"/>
  <c r="E645" i="7"/>
  <c r="F645" i="7"/>
  <c r="G645" i="7"/>
  <c r="H645" i="7"/>
  <c r="I645" i="7"/>
  <c r="J645" i="7"/>
  <c r="K645" i="7"/>
  <c r="M645" i="7"/>
  <c r="P645" i="7"/>
  <c r="Q645" i="7"/>
  <c r="B646" i="7"/>
  <c r="D646" i="7"/>
  <c r="E646" i="7"/>
  <c r="F646" i="7"/>
  <c r="G646" i="7"/>
  <c r="H646" i="7"/>
  <c r="I646" i="7"/>
  <c r="J646" i="7"/>
  <c r="K646" i="7"/>
  <c r="M646" i="7"/>
  <c r="P646" i="7"/>
  <c r="Q646" i="7"/>
  <c r="B647" i="7"/>
  <c r="D647" i="7"/>
  <c r="E647" i="7"/>
  <c r="F647" i="7"/>
  <c r="G647" i="7"/>
  <c r="H647" i="7"/>
  <c r="I647" i="7"/>
  <c r="J647" i="7"/>
  <c r="K647" i="7"/>
  <c r="M647" i="7"/>
  <c r="P647" i="7"/>
  <c r="Q647" i="7"/>
  <c r="R647" i="7"/>
  <c r="B648" i="7"/>
  <c r="D648" i="7"/>
  <c r="E648" i="7"/>
  <c r="F648" i="7"/>
  <c r="G648" i="7"/>
  <c r="H648" i="7"/>
  <c r="I648" i="7"/>
  <c r="J648" i="7"/>
  <c r="K648" i="7"/>
  <c r="M648" i="7"/>
  <c r="P648" i="7"/>
  <c r="Q648" i="7"/>
  <c r="B649" i="7"/>
  <c r="D649" i="7"/>
  <c r="E649" i="7"/>
  <c r="F649" i="7"/>
  <c r="G649" i="7"/>
  <c r="H649" i="7"/>
  <c r="I649" i="7"/>
  <c r="J649" i="7"/>
  <c r="K649" i="7"/>
  <c r="M649" i="7"/>
  <c r="P649" i="7"/>
  <c r="Q649" i="7"/>
  <c r="B650" i="7"/>
  <c r="D650" i="7"/>
  <c r="E650" i="7"/>
  <c r="F650" i="7"/>
  <c r="G650" i="7"/>
  <c r="H650" i="7"/>
  <c r="I650" i="7"/>
  <c r="J650" i="7"/>
  <c r="K650" i="7"/>
  <c r="M650" i="7"/>
  <c r="P650" i="7"/>
  <c r="Q650" i="7"/>
  <c r="B651" i="7"/>
  <c r="D651" i="7"/>
  <c r="E651" i="7"/>
  <c r="F651" i="7"/>
  <c r="G651" i="7"/>
  <c r="H651" i="7"/>
  <c r="I651" i="7"/>
  <c r="J651" i="7"/>
  <c r="K651" i="7"/>
  <c r="M651" i="7"/>
  <c r="P651" i="7"/>
  <c r="Q651" i="7"/>
  <c r="R651" i="7"/>
  <c r="B652" i="7"/>
  <c r="D652" i="7"/>
  <c r="E652" i="7"/>
  <c r="F652" i="7"/>
  <c r="G652" i="7"/>
  <c r="H652" i="7"/>
  <c r="I652" i="7"/>
  <c r="J652" i="7"/>
  <c r="K652" i="7"/>
  <c r="P652" i="7"/>
  <c r="Q652" i="7"/>
  <c r="R652" i="7"/>
  <c r="B653" i="7"/>
  <c r="D653" i="7"/>
  <c r="E653" i="7"/>
  <c r="F653" i="7"/>
  <c r="G653" i="7"/>
  <c r="H653" i="7"/>
  <c r="I653" i="7"/>
  <c r="J653" i="7"/>
  <c r="K653" i="7"/>
  <c r="M653" i="7"/>
  <c r="P653" i="7"/>
  <c r="Q653" i="7"/>
  <c r="B654" i="7"/>
  <c r="D654" i="7"/>
  <c r="E654" i="7"/>
  <c r="F654" i="7"/>
  <c r="G654" i="7"/>
  <c r="H654" i="7"/>
  <c r="I654" i="7"/>
  <c r="J654" i="7"/>
  <c r="K654" i="7"/>
  <c r="M654" i="7"/>
  <c r="P654" i="7"/>
  <c r="Q654" i="7"/>
  <c r="B655" i="7"/>
  <c r="D655" i="7"/>
  <c r="E655" i="7"/>
  <c r="F655" i="7"/>
  <c r="G655" i="7"/>
  <c r="H655" i="7"/>
  <c r="I655" i="7"/>
  <c r="J655" i="7"/>
  <c r="K655" i="7"/>
  <c r="P655" i="7"/>
  <c r="Q655" i="7"/>
  <c r="B656" i="7"/>
  <c r="D656" i="7"/>
  <c r="E656" i="7"/>
  <c r="F656" i="7"/>
  <c r="G656" i="7"/>
  <c r="H656" i="7"/>
  <c r="I656" i="7"/>
  <c r="J656" i="7"/>
  <c r="K656" i="7"/>
  <c r="M656" i="7"/>
  <c r="P656" i="7"/>
  <c r="Q656" i="7"/>
  <c r="R656" i="7"/>
  <c r="B657" i="7"/>
  <c r="D657" i="7"/>
  <c r="E657" i="7"/>
  <c r="F657" i="7"/>
  <c r="G657" i="7"/>
  <c r="H657" i="7"/>
  <c r="I657" i="7"/>
  <c r="J657" i="7"/>
  <c r="K657" i="7"/>
  <c r="M657" i="7"/>
  <c r="P657" i="7"/>
  <c r="Q657" i="7"/>
  <c r="B658" i="7"/>
  <c r="D658" i="7"/>
  <c r="E658" i="7"/>
  <c r="F658" i="7"/>
  <c r="G658" i="7"/>
  <c r="H658" i="7"/>
  <c r="I658" i="7"/>
  <c r="J658" i="7"/>
  <c r="K658" i="7"/>
  <c r="M658" i="7"/>
  <c r="P658" i="7"/>
  <c r="Q658" i="7"/>
  <c r="B659" i="7"/>
  <c r="D659" i="7"/>
  <c r="E659" i="7"/>
  <c r="F659" i="7"/>
  <c r="G659" i="7"/>
  <c r="H659" i="7"/>
  <c r="I659" i="7"/>
  <c r="J659" i="7"/>
  <c r="K659" i="7"/>
  <c r="P659" i="7"/>
  <c r="Q659" i="7"/>
  <c r="B660" i="7"/>
  <c r="D660" i="7"/>
  <c r="E660" i="7"/>
  <c r="F660" i="7"/>
  <c r="G660" i="7"/>
  <c r="H660" i="7"/>
  <c r="I660" i="7"/>
  <c r="J660" i="7"/>
  <c r="K660" i="7"/>
  <c r="M660" i="7"/>
  <c r="P660" i="7"/>
  <c r="Q660" i="7"/>
  <c r="B661" i="7"/>
  <c r="D661" i="7"/>
  <c r="E661" i="7"/>
  <c r="F661" i="7"/>
  <c r="G661" i="7"/>
  <c r="H661" i="7"/>
  <c r="I661" i="7"/>
  <c r="J661" i="7"/>
  <c r="K661" i="7"/>
  <c r="M661" i="7"/>
  <c r="P661" i="7"/>
  <c r="Q661" i="7"/>
  <c r="B662" i="7"/>
  <c r="D662" i="7"/>
  <c r="E662" i="7"/>
  <c r="F662" i="7"/>
  <c r="G662" i="7"/>
  <c r="H662" i="7"/>
  <c r="I662" i="7"/>
  <c r="J662" i="7"/>
  <c r="O662" i="7"/>
  <c r="P662" i="7"/>
  <c r="Q662" i="7"/>
  <c r="B663" i="7"/>
  <c r="D663" i="7"/>
  <c r="E663" i="7"/>
  <c r="F663" i="7"/>
  <c r="G663" i="7"/>
  <c r="H663" i="7"/>
  <c r="I663" i="7"/>
  <c r="J663" i="7"/>
  <c r="K663" i="7"/>
  <c r="O663" i="7"/>
  <c r="P663" i="7"/>
  <c r="Q663" i="7"/>
  <c r="B664" i="7"/>
  <c r="D664" i="7"/>
  <c r="E664" i="7"/>
  <c r="F664" i="7"/>
  <c r="G664" i="7"/>
  <c r="H664" i="7"/>
  <c r="I664" i="7"/>
  <c r="J664" i="7"/>
  <c r="K664" i="7"/>
  <c r="L664" i="7"/>
  <c r="M664" i="7"/>
  <c r="O664" i="7"/>
  <c r="P664" i="7"/>
  <c r="Q664" i="7"/>
  <c r="B665" i="7"/>
  <c r="E665" i="7"/>
  <c r="F665" i="7"/>
  <c r="G665" i="7"/>
  <c r="H665" i="7"/>
  <c r="I665" i="7"/>
  <c r="J665" i="7"/>
  <c r="B666" i="7"/>
  <c r="D666" i="7"/>
  <c r="E666" i="7"/>
  <c r="G666" i="7"/>
  <c r="H666" i="7"/>
  <c r="I666" i="7"/>
  <c r="J666" i="7"/>
  <c r="K666" i="7"/>
  <c r="M666" i="7"/>
  <c r="O666" i="7"/>
  <c r="P666" i="7"/>
  <c r="Q666" i="7"/>
  <c r="B667" i="7"/>
  <c r="D667" i="7"/>
  <c r="E667" i="7"/>
  <c r="F667" i="7"/>
  <c r="G667" i="7"/>
  <c r="H667" i="7"/>
  <c r="I667" i="7"/>
  <c r="J667" i="7"/>
  <c r="K667" i="7"/>
  <c r="O667" i="7"/>
  <c r="P667" i="7"/>
  <c r="Q667" i="7"/>
  <c r="B668" i="7"/>
  <c r="D668" i="7"/>
  <c r="E668" i="7"/>
  <c r="F668" i="7"/>
  <c r="G668" i="7"/>
  <c r="H668" i="7"/>
  <c r="I668" i="7"/>
  <c r="J668" i="7"/>
  <c r="K668" i="7"/>
  <c r="O668" i="7"/>
  <c r="P668" i="7"/>
  <c r="Q668" i="7"/>
  <c r="B669" i="7"/>
  <c r="D669" i="7"/>
  <c r="E669" i="7"/>
  <c r="F669" i="7"/>
  <c r="G669" i="7"/>
  <c r="H669" i="7"/>
  <c r="I669" i="7"/>
  <c r="J669" i="7"/>
  <c r="K669" i="7"/>
  <c r="O669" i="7"/>
  <c r="P669" i="7"/>
  <c r="Q669" i="7"/>
  <c r="B670" i="7"/>
  <c r="D670" i="7"/>
  <c r="E670" i="7"/>
  <c r="F670" i="7"/>
  <c r="G670" i="7"/>
  <c r="H670" i="7"/>
  <c r="I670" i="7"/>
  <c r="J670" i="7"/>
  <c r="K670" i="7"/>
  <c r="M670" i="7"/>
  <c r="O670" i="7"/>
  <c r="P670" i="7"/>
  <c r="Q670" i="7"/>
  <c r="B671" i="7"/>
  <c r="D671" i="7"/>
  <c r="E671" i="7"/>
  <c r="G671" i="7"/>
  <c r="H671" i="7"/>
  <c r="I671" i="7"/>
  <c r="J671" i="7"/>
  <c r="K671" i="7"/>
  <c r="O671" i="7"/>
  <c r="P671" i="7"/>
  <c r="Q671" i="7"/>
  <c r="B672" i="7"/>
  <c r="D672" i="7"/>
  <c r="E672" i="7"/>
  <c r="F672" i="7"/>
  <c r="G672" i="7"/>
  <c r="H672" i="7"/>
  <c r="I672" i="7"/>
  <c r="J672" i="7"/>
  <c r="K672" i="7"/>
  <c r="L672" i="7"/>
  <c r="M672" i="7"/>
  <c r="O672" i="7"/>
  <c r="P672" i="7"/>
  <c r="Q672" i="7"/>
  <c r="E673" i="7"/>
  <c r="F673" i="7"/>
  <c r="G673" i="7"/>
  <c r="H673" i="7"/>
  <c r="I673" i="7"/>
  <c r="J673" i="7"/>
  <c r="K673" i="7"/>
  <c r="B674" i="7"/>
  <c r="D674" i="7"/>
  <c r="E674" i="7"/>
  <c r="F674" i="7"/>
  <c r="G674" i="7"/>
  <c r="H674" i="7"/>
  <c r="I674" i="7"/>
  <c r="J674" i="7"/>
  <c r="K674" i="7"/>
  <c r="O674" i="7"/>
  <c r="P674" i="7"/>
  <c r="Q674" i="7"/>
  <c r="B675" i="7"/>
  <c r="D675" i="7"/>
  <c r="E675" i="7"/>
  <c r="F675" i="7"/>
  <c r="G675" i="7"/>
  <c r="H675" i="7"/>
  <c r="I675" i="7"/>
  <c r="J675" i="7"/>
  <c r="K675" i="7"/>
  <c r="M675" i="7"/>
  <c r="O675" i="7"/>
  <c r="P675" i="7"/>
  <c r="Q675" i="7"/>
  <c r="B676" i="7"/>
  <c r="D676" i="7"/>
  <c r="E676" i="7"/>
  <c r="F676" i="7"/>
  <c r="G676" i="7"/>
  <c r="H676" i="7"/>
  <c r="I676" i="7"/>
  <c r="J676" i="7"/>
  <c r="K676" i="7"/>
  <c r="M676" i="7"/>
  <c r="O676" i="7"/>
  <c r="P676" i="7"/>
  <c r="Q676" i="7"/>
  <c r="B677" i="7"/>
  <c r="D677" i="7"/>
  <c r="E677" i="7"/>
  <c r="F677" i="7"/>
  <c r="G677" i="7"/>
  <c r="H677" i="7"/>
  <c r="I677" i="7"/>
  <c r="J677" i="7"/>
  <c r="K677" i="7"/>
  <c r="M677" i="7"/>
  <c r="O677" i="7"/>
  <c r="P677" i="7"/>
  <c r="Q677" i="7"/>
  <c r="B678" i="7"/>
  <c r="D678" i="7"/>
  <c r="E678" i="7"/>
  <c r="F678" i="7"/>
  <c r="G678" i="7"/>
  <c r="H678" i="7"/>
  <c r="I678" i="7"/>
  <c r="J678" i="7"/>
  <c r="K678" i="7"/>
  <c r="M678" i="7"/>
  <c r="O678" i="7"/>
  <c r="P678" i="7"/>
  <c r="Q678" i="7"/>
  <c r="B679" i="7"/>
  <c r="D679" i="7"/>
  <c r="E679" i="7"/>
  <c r="F679" i="7"/>
  <c r="G679" i="7"/>
  <c r="H679" i="7"/>
  <c r="I679" i="7"/>
  <c r="J679" i="7"/>
  <c r="K679" i="7"/>
  <c r="O679" i="7"/>
  <c r="P679" i="7"/>
  <c r="Q679" i="7"/>
  <c r="B680" i="7"/>
  <c r="D680" i="7"/>
  <c r="E680" i="7"/>
  <c r="F680" i="7"/>
  <c r="G680" i="7"/>
  <c r="H680" i="7"/>
  <c r="I680" i="7"/>
  <c r="J680" i="7"/>
  <c r="K680" i="7"/>
  <c r="O680" i="7"/>
  <c r="P680" i="7"/>
  <c r="Q680" i="7"/>
  <c r="B681" i="7"/>
  <c r="D681" i="7"/>
  <c r="E681" i="7"/>
  <c r="F681" i="7"/>
  <c r="G681" i="7"/>
  <c r="H681" i="7"/>
  <c r="I681" i="7"/>
  <c r="J681" i="7"/>
  <c r="K681" i="7"/>
  <c r="M681" i="7"/>
  <c r="O681" i="7"/>
  <c r="P681" i="7"/>
  <c r="Q681" i="7"/>
  <c r="B682" i="7"/>
  <c r="D682" i="7"/>
  <c r="E682" i="7"/>
  <c r="F682" i="7"/>
  <c r="G682" i="7"/>
  <c r="H682" i="7"/>
  <c r="I682" i="7"/>
  <c r="J682" i="7"/>
  <c r="K682" i="7"/>
  <c r="M682" i="7"/>
  <c r="O682" i="7"/>
  <c r="P682" i="7"/>
  <c r="Q682" i="7"/>
  <c r="R682" i="7"/>
  <c r="B683" i="7"/>
  <c r="D683" i="7"/>
  <c r="E683" i="7"/>
  <c r="G683" i="7"/>
  <c r="H683" i="7"/>
  <c r="I683" i="7"/>
  <c r="J683" i="7"/>
  <c r="K683" i="7"/>
  <c r="M683" i="7"/>
  <c r="O683" i="7"/>
  <c r="P683" i="7"/>
  <c r="Q683" i="7"/>
  <c r="B684" i="7"/>
  <c r="D684" i="7"/>
  <c r="E684" i="7"/>
  <c r="F684" i="7"/>
  <c r="G684" i="7"/>
  <c r="H684" i="7"/>
  <c r="I684" i="7"/>
  <c r="J684" i="7"/>
  <c r="K684" i="7"/>
  <c r="O684" i="7"/>
  <c r="P684" i="7"/>
  <c r="Q684" i="7"/>
  <c r="B685" i="7"/>
  <c r="D685" i="7"/>
  <c r="E685" i="7"/>
  <c r="F685" i="7"/>
  <c r="G685" i="7"/>
  <c r="H685" i="7"/>
  <c r="I685" i="7"/>
  <c r="J685" i="7"/>
  <c r="K685" i="7"/>
  <c r="O685" i="7"/>
  <c r="P685" i="7"/>
  <c r="Q685" i="7"/>
  <c r="B686" i="7"/>
  <c r="D686" i="7"/>
  <c r="E686" i="7"/>
  <c r="G686" i="7"/>
  <c r="H686" i="7"/>
  <c r="I686" i="7"/>
  <c r="J686" i="7"/>
  <c r="K686" i="7"/>
  <c r="L686" i="7"/>
  <c r="M686" i="7"/>
  <c r="O686" i="7"/>
  <c r="P686" i="7"/>
  <c r="Q686" i="7"/>
  <c r="R686" i="7"/>
  <c r="B687" i="7"/>
  <c r="D687" i="7"/>
  <c r="E687" i="7"/>
  <c r="F687" i="7"/>
  <c r="G687" i="7"/>
  <c r="H687" i="7"/>
  <c r="I687" i="7"/>
  <c r="J687" i="7"/>
  <c r="K687" i="7"/>
  <c r="O687" i="7"/>
  <c r="P687" i="7"/>
  <c r="Q687" i="7"/>
  <c r="B688" i="7"/>
  <c r="D688" i="7"/>
  <c r="E688" i="7"/>
  <c r="F688" i="7"/>
  <c r="G688" i="7"/>
  <c r="H688" i="7"/>
  <c r="I688" i="7"/>
  <c r="J688" i="7"/>
  <c r="K688" i="7"/>
  <c r="O688" i="7"/>
  <c r="P688" i="7"/>
  <c r="Q688" i="7"/>
  <c r="B689" i="7"/>
  <c r="D689" i="7"/>
  <c r="E689" i="7"/>
  <c r="F689" i="7"/>
  <c r="G689" i="7"/>
  <c r="H689" i="7"/>
  <c r="I689" i="7"/>
  <c r="J689" i="7"/>
  <c r="K689" i="7"/>
  <c r="L689" i="7"/>
  <c r="O689" i="7"/>
  <c r="P689" i="7"/>
  <c r="Q689" i="7"/>
  <c r="B690" i="7"/>
  <c r="E690" i="7"/>
  <c r="F690" i="7"/>
  <c r="G690" i="7"/>
  <c r="H690" i="7"/>
  <c r="I690" i="7"/>
  <c r="J690" i="7"/>
  <c r="K690" i="7"/>
  <c r="B691" i="7"/>
  <c r="D691" i="7"/>
  <c r="E691" i="7"/>
  <c r="F691" i="7"/>
  <c r="G691" i="7"/>
  <c r="H691" i="7"/>
  <c r="I691" i="7"/>
  <c r="J691" i="7"/>
  <c r="K691" i="7"/>
  <c r="O691" i="7"/>
  <c r="P691" i="7"/>
  <c r="Q691" i="7"/>
  <c r="B692" i="7"/>
  <c r="D692" i="7"/>
  <c r="E692" i="7"/>
  <c r="F692" i="7"/>
  <c r="G692" i="7"/>
  <c r="H692" i="7"/>
  <c r="I692" i="7"/>
  <c r="J692" i="7"/>
  <c r="K692" i="7"/>
  <c r="O692" i="7"/>
  <c r="P692" i="7"/>
  <c r="Q692" i="7"/>
  <c r="B693" i="7"/>
  <c r="D693" i="7"/>
  <c r="E693" i="7"/>
  <c r="F693" i="7"/>
  <c r="G693" i="7"/>
  <c r="H693" i="7"/>
  <c r="I693" i="7"/>
  <c r="J693" i="7"/>
  <c r="K693" i="7"/>
  <c r="O693" i="7"/>
  <c r="P693" i="7"/>
  <c r="Q693" i="7"/>
  <c r="B694" i="7"/>
  <c r="D694" i="7"/>
  <c r="E694" i="7"/>
  <c r="G694" i="7"/>
  <c r="H694" i="7"/>
  <c r="I694" i="7"/>
  <c r="J694" i="7"/>
  <c r="L694" i="7"/>
  <c r="M694" i="7"/>
  <c r="O694" i="7"/>
  <c r="P694" i="7"/>
  <c r="Q694" i="7"/>
  <c r="R694" i="7"/>
  <c r="B695" i="7"/>
  <c r="E695" i="7"/>
  <c r="G695" i="7"/>
  <c r="H695" i="7"/>
  <c r="I695" i="7"/>
  <c r="J695" i="7"/>
  <c r="K695" i="7"/>
  <c r="O695" i="7"/>
  <c r="P695" i="7"/>
  <c r="Q695" i="7"/>
  <c r="B696" i="7"/>
  <c r="D696" i="7"/>
  <c r="E696" i="7"/>
  <c r="G696" i="7"/>
  <c r="H696" i="7"/>
  <c r="I696" i="7"/>
  <c r="J696" i="7"/>
  <c r="K696" i="7"/>
  <c r="M696" i="7"/>
  <c r="O696" i="7"/>
  <c r="P696" i="7"/>
  <c r="Q696" i="7"/>
  <c r="R696" i="7"/>
  <c r="B697" i="7"/>
  <c r="D697" i="7"/>
  <c r="E697" i="7"/>
  <c r="G697" i="7"/>
  <c r="H697" i="7"/>
  <c r="I697" i="7"/>
  <c r="J697" i="7"/>
  <c r="K697" i="7"/>
  <c r="M697" i="7"/>
  <c r="O697" i="7"/>
  <c r="P697" i="7"/>
  <c r="Q697" i="7"/>
  <c r="R697" i="7"/>
  <c r="B698" i="7"/>
  <c r="D698" i="7"/>
  <c r="E698" i="7"/>
  <c r="G698" i="7"/>
  <c r="H698" i="7"/>
  <c r="I698" i="7"/>
  <c r="J698" i="7"/>
  <c r="K698" i="7"/>
  <c r="M698" i="7"/>
  <c r="O698" i="7"/>
  <c r="P698" i="7"/>
  <c r="Q698" i="7"/>
  <c r="R698" i="7"/>
  <c r="B699" i="7"/>
  <c r="D699" i="7"/>
  <c r="E699" i="7"/>
  <c r="G699" i="7"/>
  <c r="H699" i="7"/>
  <c r="I699" i="7"/>
  <c r="J699" i="7"/>
  <c r="K699" i="7"/>
  <c r="M699" i="7"/>
  <c r="O699" i="7"/>
  <c r="P699" i="7"/>
  <c r="Q699" i="7"/>
  <c r="R699" i="7"/>
  <c r="B700" i="7"/>
  <c r="D700" i="7"/>
  <c r="E700" i="7"/>
  <c r="F700" i="7"/>
  <c r="G700" i="7"/>
  <c r="H700" i="7"/>
  <c r="I700" i="7"/>
  <c r="J700" i="7"/>
  <c r="K700" i="7"/>
  <c r="O700" i="7"/>
  <c r="P700" i="7"/>
  <c r="Q700" i="7"/>
  <c r="B701" i="7"/>
  <c r="D701" i="7"/>
  <c r="E701" i="7"/>
  <c r="F701" i="7"/>
  <c r="G701" i="7"/>
  <c r="H701" i="7"/>
  <c r="I701" i="7"/>
  <c r="J701" i="7"/>
  <c r="K701" i="7"/>
  <c r="O701" i="7"/>
  <c r="P701" i="7"/>
  <c r="Q701" i="7"/>
  <c r="B702" i="7"/>
  <c r="D702" i="7"/>
  <c r="E702" i="7"/>
  <c r="F702" i="7"/>
  <c r="G702" i="7"/>
  <c r="H702" i="7"/>
  <c r="I702" i="7"/>
  <c r="J702" i="7"/>
  <c r="K702" i="7"/>
  <c r="O702" i="7"/>
  <c r="P702" i="7"/>
  <c r="Q702" i="7"/>
  <c r="B703" i="7"/>
  <c r="D703" i="7"/>
  <c r="E703" i="7"/>
  <c r="F703" i="7"/>
  <c r="G703" i="7"/>
  <c r="H703" i="7"/>
  <c r="I703" i="7"/>
  <c r="J703" i="7"/>
  <c r="K703" i="7"/>
  <c r="O703" i="7"/>
  <c r="P703" i="7"/>
  <c r="Q703" i="7"/>
  <c r="B704" i="7"/>
  <c r="D704" i="7"/>
  <c r="E704" i="7"/>
  <c r="F704" i="7"/>
  <c r="G704" i="7"/>
  <c r="H704" i="7"/>
  <c r="I704" i="7"/>
  <c r="J704" i="7"/>
  <c r="K704" i="7"/>
  <c r="O704" i="7"/>
  <c r="P704" i="7"/>
  <c r="Q704" i="7"/>
  <c r="R704" i="7"/>
  <c r="B705" i="7"/>
  <c r="D705" i="7"/>
  <c r="E705" i="7"/>
  <c r="F705" i="7"/>
  <c r="G705" i="7"/>
  <c r="H705" i="7"/>
  <c r="I705" i="7"/>
  <c r="J705" i="7"/>
  <c r="K705" i="7"/>
  <c r="O705" i="7"/>
  <c r="P705" i="7"/>
  <c r="Q705" i="7"/>
  <c r="R705" i="7"/>
  <c r="B706" i="7"/>
  <c r="D706" i="7"/>
  <c r="E706" i="7"/>
  <c r="F706" i="7"/>
  <c r="G706" i="7"/>
  <c r="H706" i="7"/>
  <c r="I706" i="7"/>
  <c r="J706" i="7"/>
  <c r="K706" i="7"/>
  <c r="O706" i="7"/>
  <c r="P706" i="7"/>
  <c r="Q706" i="7"/>
  <c r="B707" i="7"/>
  <c r="D707" i="7"/>
  <c r="E707" i="7"/>
  <c r="F707" i="7"/>
  <c r="G707" i="7"/>
  <c r="H707" i="7"/>
  <c r="I707" i="7"/>
  <c r="J707" i="7"/>
  <c r="K707" i="7"/>
  <c r="O707" i="7"/>
  <c r="P707" i="7"/>
  <c r="Q707" i="7"/>
  <c r="R707" i="7"/>
  <c r="B708" i="7"/>
  <c r="D708" i="7"/>
  <c r="E708" i="7"/>
  <c r="F708" i="7"/>
  <c r="G708" i="7"/>
  <c r="H708" i="7"/>
  <c r="I708" i="7"/>
  <c r="J708" i="7"/>
  <c r="K708" i="7"/>
  <c r="O708" i="7"/>
  <c r="P708" i="7"/>
  <c r="Q708" i="7"/>
  <c r="B709" i="7"/>
  <c r="D709" i="7"/>
  <c r="E709" i="7"/>
  <c r="G709" i="7"/>
  <c r="H709" i="7"/>
  <c r="I709" i="7"/>
  <c r="J709" i="7"/>
  <c r="K709" i="7"/>
  <c r="M709" i="7"/>
  <c r="O709" i="7"/>
  <c r="P709" i="7"/>
  <c r="Q709" i="7"/>
  <c r="R709" i="7"/>
  <c r="B710" i="7"/>
  <c r="D710" i="7"/>
  <c r="E710" i="7"/>
  <c r="G710" i="7"/>
  <c r="H710" i="7"/>
  <c r="I710" i="7"/>
  <c r="J710" i="7"/>
  <c r="K710" i="7"/>
  <c r="O710" i="7"/>
  <c r="P710" i="7"/>
  <c r="Q710" i="7"/>
  <c r="B711" i="7"/>
  <c r="D711" i="7"/>
  <c r="E711" i="7"/>
  <c r="F711" i="7"/>
  <c r="G711" i="7"/>
  <c r="H711" i="7"/>
  <c r="I711" i="7"/>
  <c r="J711" i="7"/>
  <c r="K711" i="7"/>
  <c r="O711" i="7"/>
  <c r="P711" i="7"/>
  <c r="Q711" i="7"/>
  <c r="B712" i="7"/>
  <c r="D712" i="7"/>
  <c r="E712" i="7"/>
  <c r="F712" i="7"/>
  <c r="G712" i="7"/>
  <c r="H712" i="7"/>
  <c r="I712" i="7"/>
  <c r="J712" i="7"/>
  <c r="K712" i="7"/>
  <c r="O712" i="7"/>
  <c r="P712" i="7"/>
  <c r="Q712" i="7"/>
  <c r="B713" i="7"/>
  <c r="D713" i="7"/>
  <c r="E713" i="7"/>
  <c r="F713" i="7"/>
  <c r="G713" i="7"/>
  <c r="H713" i="7"/>
  <c r="I713" i="7"/>
  <c r="J713" i="7"/>
  <c r="K713" i="7"/>
  <c r="O713" i="7"/>
  <c r="P713" i="7"/>
  <c r="Q713" i="7"/>
  <c r="B714" i="7"/>
  <c r="D714" i="7"/>
  <c r="E714" i="7"/>
  <c r="F714" i="7"/>
  <c r="G714" i="7"/>
  <c r="H714" i="7"/>
  <c r="I714" i="7"/>
  <c r="J714" i="7"/>
  <c r="L714" i="7"/>
  <c r="M714" i="7"/>
  <c r="O714" i="7"/>
  <c r="P714" i="7"/>
  <c r="Q714" i="7"/>
  <c r="B715" i="7"/>
  <c r="D715" i="7"/>
  <c r="E715" i="7"/>
  <c r="F715" i="7"/>
  <c r="G715" i="7"/>
  <c r="H715" i="7"/>
  <c r="I715" i="7"/>
  <c r="J715" i="7"/>
  <c r="K715" i="7"/>
  <c r="L715" i="7"/>
  <c r="M715" i="7"/>
  <c r="O715" i="7"/>
  <c r="P715" i="7"/>
  <c r="Q715" i="7"/>
  <c r="B716" i="7"/>
  <c r="D716" i="7"/>
  <c r="E716" i="7"/>
  <c r="G716" i="7"/>
  <c r="H716" i="7"/>
  <c r="I716" i="7"/>
  <c r="J716" i="7"/>
  <c r="K716" i="7"/>
  <c r="O716" i="7"/>
  <c r="P716" i="7"/>
  <c r="Q716" i="7"/>
  <c r="B717" i="7"/>
  <c r="D717" i="7"/>
  <c r="E717" i="7"/>
  <c r="F717" i="7"/>
  <c r="G717" i="7"/>
  <c r="H717" i="7"/>
  <c r="I717" i="7"/>
  <c r="J717" i="7"/>
  <c r="K717" i="7"/>
  <c r="O717" i="7"/>
  <c r="P717" i="7"/>
  <c r="Q717" i="7"/>
  <c r="B718" i="7"/>
  <c r="D718" i="7"/>
  <c r="E718" i="7"/>
  <c r="F718" i="7"/>
  <c r="G718" i="7"/>
  <c r="H718" i="7"/>
  <c r="I718" i="7"/>
  <c r="J718" i="7"/>
  <c r="L718" i="7"/>
  <c r="M718" i="7"/>
  <c r="O718" i="7"/>
  <c r="P718" i="7"/>
  <c r="Q718" i="7"/>
  <c r="B719" i="7"/>
  <c r="D719" i="7"/>
  <c r="E719" i="7"/>
  <c r="F719" i="7"/>
  <c r="G719" i="7"/>
  <c r="H719" i="7"/>
  <c r="I719" i="7"/>
  <c r="J719" i="7"/>
  <c r="K719" i="7"/>
  <c r="O719" i="7"/>
  <c r="P719" i="7"/>
  <c r="Q719" i="7"/>
  <c r="B720" i="7"/>
  <c r="D720" i="7"/>
  <c r="E720" i="7"/>
  <c r="F720" i="7"/>
  <c r="G720" i="7"/>
  <c r="H720" i="7"/>
  <c r="I720" i="7"/>
  <c r="J720" i="7"/>
  <c r="K720" i="7"/>
  <c r="O720" i="7"/>
  <c r="P720" i="7"/>
  <c r="Q720" i="7"/>
  <c r="B721" i="7"/>
  <c r="D721" i="7"/>
  <c r="E721" i="7"/>
  <c r="F721" i="7"/>
  <c r="G721" i="7"/>
  <c r="H721" i="7"/>
  <c r="I721" i="7"/>
  <c r="J721" i="7"/>
  <c r="K721" i="7"/>
  <c r="O721" i="7"/>
  <c r="P721" i="7"/>
  <c r="Q721" i="7"/>
  <c r="B722" i="7"/>
  <c r="D722" i="7"/>
  <c r="E722" i="7"/>
  <c r="F722" i="7"/>
  <c r="G722" i="7"/>
  <c r="H722" i="7"/>
  <c r="I722" i="7"/>
  <c r="J722" i="7"/>
  <c r="K722" i="7"/>
  <c r="O722" i="7"/>
  <c r="P722" i="7"/>
  <c r="Q722" i="7"/>
  <c r="B723" i="7"/>
  <c r="D723" i="7"/>
  <c r="E723" i="7"/>
  <c r="F723" i="7"/>
  <c r="G723" i="7"/>
  <c r="H723" i="7"/>
  <c r="I723" i="7"/>
  <c r="J723" i="7"/>
  <c r="L723" i="7"/>
  <c r="M723" i="7"/>
  <c r="O723" i="7"/>
  <c r="P723" i="7"/>
  <c r="Q723" i="7"/>
  <c r="B724" i="7"/>
  <c r="D724" i="7"/>
  <c r="E724" i="7"/>
  <c r="F724" i="7"/>
  <c r="G724" i="7"/>
  <c r="H724" i="7"/>
  <c r="I724" i="7"/>
  <c r="J724" i="7"/>
  <c r="K724" i="7"/>
  <c r="L724" i="7"/>
  <c r="M724" i="7"/>
  <c r="O724" i="7"/>
  <c r="P724" i="7"/>
  <c r="Q724" i="7"/>
  <c r="B725" i="7"/>
  <c r="D725" i="7"/>
  <c r="E725" i="7"/>
  <c r="F725" i="7"/>
  <c r="G725" i="7"/>
  <c r="H725" i="7"/>
  <c r="I725" i="7"/>
  <c r="J725" i="7"/>
  <c r="L725" i="7"/>
  <c r="M725" i="7"/>
  <c r="O725" i="7"/>
  <c r="P725" i="7"/>
  <c r="Q725" i="7"/>
  <c r="B726" i="7"/>
  <c r="D726" i="7"/>
  <c r="E726" i="7"/>
  <c r="F726" i="7"/>
  <c r="G726" i="7"/>
  <c r="H726" i="7"/>
  <c r="I726" i="7"/>
  <c r="J726" i="7"/>
  <c r="O726" i="7"/>
  <c r="P726" i="7"/>
  <c r="Q726" i="7"/>
  <c r="B727" i="7"/>
  <c r="D727" i="7"/>
  <c r="E727" i="7"/>
  <c r="F727" i="7"/>
  <c r="G727" i="7"/>
  <c r="H727" i="7"/>
  <c r="I727" i="7"/>
  <c r="J727" i="7"/>
  <c r="K727" i="7"/>
  <c r="O727" i="7"/>
  <c r="P727" i="7"/>
  <c r="Q727" i="7"/>
  <c r="B728" i="7"/>
  <c r="D728" i="7"/>
  <c r="E728" i="7"/>
  <c r="F728" i="7"/>
  <c r="G728" i="7"/>
  <c r="H728" i="7"/>
  <c r="I728" i="7"/>
  <c r="J728" i="7"/>
  <c r="K728" i="7"/>
  <c r="O728" i="7"/>
  <c r="P728" i="7"/>
  <c r="Q728" i="7"/>
  <c r="B729" i="7"/>
  <c r="D729" i="7"/>
  <c r="E729" i="7"/>
  <c r="G729" i="7"/>
  <c r="H729" i="7"/>
  <c r="I729" i="7"/>
  <c r="J729" i="7"/>
  <c r="K729" i="7"/>
  <c r="M729" i="7"/>
  <c r="O729" i="7"/>
  <c r="P729" i="7"/>
  <c r="Q729" i="7"/>
  <c r="B730" i="7"/>
  <c r="D730" i="7"/>
  <c r="E730" i="7"/>
  <c r="G730" i="7"/>
  <c r="H730" i="7"/>
  <c r="I730" i="7"/>
  <c r="J730" i="7"/>
  <c r="K730" i="7"/>
  <c r="M730" i="7"/>
  <c r="O730" i="7"/>
  <c r="P730" i="7"/>
  <c r="Q730" i="7"/>
  <c r="R730" i="7"/>
  <c r="B731" i="7"/>
  <c r="D731" i="7"/>
  <c r="E731" i="7"/>
  <c r="F731" i="7"/>
  <c r="G731" i="7"/>
  <c r="H731" i="7"/>
  <c r="I731" i="7"/>
  <c r="J731" i="7"/>
  <c r="K731" i="7"/>
  <c r="O731" i="7"/>
  <c r="P731" i="7"/>
  <c r="Q731" i="7"/>
  <c r="B732" i="7"/>
  <c r="D732" i="7"/>
  <c r="E732" i="7"/>
  <c r="F732" i="7"/>
  <c r="G732" i="7"/>
  <c r="H732" i="7"/>
  <c r="I732" i="7"/>
  <c r="J732" i="7"/>
  <c r="K732" i="7"/>
  <c r="O732" i="7"/>
  <c r="P732" i="7"/>
  <c r="Q732" i="7"/>
  <c r="B733" i="7"/>
  <c r="D733" i="7"/>
  <c r="E733" i="7"/>
  <c r="G733" i="7"/>
  <c r="H733" i="7"/>
  <c r="I733" i="7"/>
  <c r="J733" i="7"/>
  <c r="K733" i="7"/>
  <c r="O733" i="7"/>
  <c r="P733" i="7"/>
  <c r="Q733" i="7"/>
  <c r="B734" i="7"/>
  <c r="D734" i="7"/>
  <c r="E734" i="7"/>
  <c r="F734" i="7"/>
  <c r="G734" i="7"/>
  <c r="H734" i="7"/>
  <c r="I734" i="7"/>
  <c r="J734" i="7"/>
  <c r="K734" i="7"/>
  <c r="O734" i="7"/>
  <c r="P734" i="7"/>
  <c r="Q734" i="7"/>
  <c r="B735" i="7"/>
  <c r="D735" i="7"/>
  <c r="E735" i="7"/>
  <c r="F735" i="7"/>
  <c r="G735" i="7"/>
  <c r="H735" i="7"/>
  <c r="I735" i="7"/>
  <c r="J735" i="7"/>
  <c r="K735" i="7"/>
  <c r="O735" i="7"/>
  <c r="P735" i="7"/>
  <c r="Q735" i="7"/>
  <c r="B736" i="7"/>
  <c r="D736" i="7"/>
  <c r="E736" i="7"/>
  <c r="F736" i="7"/>
  <c r="G736" i="7"/>
  <c r="H736" i="7"/>
  <c r="I736" i="7"/>
  <c r="J736" i="7"/>
  <c r="K736" i="7"/>
  <c r="O736" i="7"/>
  <c r="P736" i="7"/>
  <c r="Q736" i="7"/>
  <c r="B737" i="7"/>
  <c r="D737" i="7"/>
  <c r="E737" i="7"/>
  <c r="G737" i="7"/>
  <c r="H737" i="7"/>
  <c r="I737" i="7"/>
  <c r="J737" i="7"/>
  <c r="K737" i="7"/>
  <c r="O737" i="7"/>
  <c r="P737" i="7"/>
  <c r="Q737" i="7"/>
  <c r="B738" i="7"/>
  <c r="D738" i="7"/>
  <c r="E738" i="7"/>
  <c r="F738" i="7"/>
  <c r="G738" i="7"/>
  <c r="H738" i="7"/>
  <c r="I738" i="7"/>
  <c r="J738" i="7"/>
  <c r="K738" i="7"/>
  <c r="O738" i="7"/>
  <c r="P738" i="7"/>
  <c r="Q738" i="7"/>
  <c r="B739" i="7"/>
  <c r="D739" i="7"/>
  <c r="E739" i="7"/>
  <c r="F739" i="7"/>
  <c r="G739" i="7"/>
  <c r="H739" i="7"/>
  <c r="I739" i="7"/>
  <c r="J739" i="7"/>
  <c r="K739" i="7"/>
  <c r="O739" i="7"/>
  <c r="P739" i="7"/>
  <c r="Q739" i="7"/>
  <c r="B740" i="7"/>
  <c r="D740" i="7"/>
  <c r="E740" i="7"/>
  <c r="F740" i="7"/>
  <c r="G740" i="7"/>
  <c r="H740" i="7"/>
  <c r="I740" i="7"/>
  <c r="J740" i="7"/>
  <c r="K740" i="7"/>
  <c r="O740" i="7"/>
  <c r="P740" i="7"/>
  <c r="Q740" i="7"/>
  <c r="B741" i="7"/>
  <c r="D741" i="7"/>
  <c r="E741" i="7"/>
  <c r="F741" i="7"/>
  <c r="G741" i="7"/>
  <c r="H741" i="7"/>
  <c r="I741" i="7"/>
  <c r="J741" i="7"/>
  <c r="K741" i="7"/>
  <c r="O741" i="7"/>
  <c r="P741" i="7"/>
  <c r="Q741" i="7"/>
  <c r="B742" i="7"/>
  <c r="D742" i="7"/>
  <c r="E742" i="7"/>
  <c r="F742" i="7"/>
  <c r="G742" i="7"/>
  <c r="H742" i="7"/>
  <c r="I742" i="7"/>
  <c r="J742" i="7"/>
  <c r="K742" i="7"/>
  <c r="O742" i="7"/>
  <c r="P742" i="7"/>
  <c r="Q742" i="7"/>
  <c r="B743" i="7"/>
  <c r="D743" i="7"/>
  <c r="E743" i="7"/>
  <c r="F743" i="7"/>
  <c r="G743" i="7"/>
  <c r="H743" i="7"/>
  <c r="I743" i="7"/>
  <c r="J743" i="7"/>
  <c r="K743" i="7"/>
  <c r="O743" i="7"/>
  <c r="P743" i="7"/>
  <c r="Q743" i="7"/>
  <c r="B744" i="7"/>
  <c r="E744" i="7"/>
  <c r="F744" i="7"/>
  <c r="G744" i="7"/>
  <c r="H744" i="7"/>
  <c r="I744" i="7"/>
  <c r="J744" i="7"/>
  <c r="K744" i="7"/>
  <c r="P744" i="7"/>
  <c r="Q744" i="7"/>
  <c r="B745" i="7"/>
  <c r="E745" i="7"/>
  <c r="F745" i="7"/>
  <c r="G745" i="7"/>
  <c r="H745" i="7"/>
  <c r="I745" i="7"/>
  <c r="J745" i="7"/>
  <c r="K745" i="7"/>
  <c r="P745" i="7"/>
  <c r="Q745" i="7"/>
  <c r="B746" i="7"/>
  <c r="E746" i="7"/>
  <c r="F746" i="7"/>
  <c r="G746" i="7"/>
  <c r="H746" i="7"/>
  <c r="I746" i="7"/>
  <c r="J746" i="7"/>
  <c r="K746" i="7"/>
  <c r="P746" i="7"/>
  <c r="Q746" i="7"/>
  <c r="B747" i="7"/>
  <c r="E747" i="7"/>
  <c r="F747" i="7"/>
  <c r="G747" i="7"/>
  <c r="H747" i="7"/>
  <c r="I747" i="7"/>
  <c r="J747" i="7"/>
  <c r="K747" i="7"/>
  <c r="P747" i="7"/>
  <c r="Q747" i="7"/>
  <c r="B748" i="7"/>
  <c r="E748" i="7"/>
  <c r="F748" i="7"/>
  <c r="G748" i="7"/>
  <c r="H748" i="7"/>
  <c r="I748" i="7"/>
  <c r="J748" i="7"/>
  <c r="K748" i="7"/>
  <c r="P748" i="7"/>
  <c r="Q748" i="7"/>
  <c r="B749" i="7"/>
  <c r="E749" i="7"/>
  <c r="F749" i="7"/>
  <c r="G749" i="7"/>
  <c r="H749" i="7"/>
  <c r="I749" i="7"/>
  <c r="J749" i="7"/>
  <c r="K749" i="7"/>
  <c r="P749" i="7"/>
  <c r="Q749" i="7"/>
  <c r="B750" i="7"/>
  <c r="E750" i="7"/>
  <c r="F750" i="7"/>
  <c r="G750" i="7"/>
  <c r="H750" i="7"/>
  <c r="I750" i="7"/>
  <c r="J750" i="7"/>
  <c r="K750" i="7"/>
  <c r="P750" i="7"/>
  <c r="Q750" i="7"/>
  <c r="B751" i="7"/>
  <c r="E751" i="7"/>
  <c r="F751" i="7"/>
  <c r="G751" i="7"/>
  <c r="H751" i="7"/>
  <c r="I751" i="7"/>
  <c r="J751" i="7"/>
  <c r="K751" i="7"/>
  <c r="P751" i="7"/>
  <c r="Q751" i="7"/>
  <c r="B752" i="7"/>
  <c r="E752" i="7"/>
  <c r="F752" i="7"/>
  <c r="G752" i="7"/>
  <c r="H752" i="7"/>
  <c r="I752" i="7"/>
  <c r="J752" i="7"/>
  <c r="K752" i="7"/>
  <c r="P752" i="7"/>
  <c r="Q752" i="7"/>
  <c r="R752" i="7"/>
  <c r="B753" i="7"/>
  <c r="E753" i="7"/>
  <c r="F753" i="7"/>
  <c r="G753" i="7"/>
  <c r="H753" i="7"/>
  <c r="I753" i="7"/>
  <c r="J753" i="7"/>
  <c r="K753" i="7"/>
  <c r="P753" i="7"/>
  <c r="Q753" i="7"/>
  <c r="R753" i="7"/>
  <c r="B754" i="7"/>
  <c r="D754" i="7"/>
  <c r="E754" i="7"/>
  <c r="G754" i="7"/>
  <c r="H754" i="7"/>
  <c r="I754" i="7"/>
  <c r="J754" i="7"/>
  <c r="K754" i="7"/>
  <c r="M754" i="7"/>
  <c r="O754" i="7"/>
  <c r="P754" i="7"/>
  <c r="Q754" i="7"/>
  <c r="B755" i="7"/>
  <c r="D755" i="7"/>
  <c r="E755" i="7"/>
  <c r="G755" i="7"/>
  <c r="H755" i="7"/>
  <c r="I755" i="7"/>
  <c r="J755" i="7"/>
  <c r="K755" i="7"/>
  <c r="O755" i="7"/>
  <c r="P755" i="7"/>
  <c r="Q755" i="7"/>
  <c r="B756" i="7"/>
  <c r="D756" i="7"/>
  <c r="E756" i="7"/>
  <c r="G756" i="7"/>
  <c r="H756" i="7"/>
  <c r="I756" i="7"/>
  <c r="J756" i="7"/>
  <c r="K756" i="7"/>
  <c r="O756" i="7"/>
  <c r="P756" i="7"/>
  <c r="Q756" i="7"/>
  <c r="B757" i="7"/>
  <c r="D757" i="7"/>
  <c r="E757" i="7"/>
  <c r="F757" i="7"/>
  <c r="G757" i="7"/>
  <c r="H757" i="7"/>
  <c r="I757" i="7"/>
  <c r="J757" i="7"/>
  <c r="K757" i="7"/>
  <c r="O757" i="7"/>
  <c r="P757" i="7"/>
  <c r="Q757" i="7"/>
  <c r="B758" i="7"/>
  <c r="D758" i="7"/>
  <c r="E758" i="7"/>
  <c r="F758" i="7"/>
  <c r="G758" i="7"/>
  <c r="H758" i="7"/>
  <c r="I758" i="7"/>
  <c r="J758" i="7"/>
  <c r="K758" i="7"/>
  <c r="O758" i="7"/>
  <c r="P758" i="7"/>
  <c r="Q758" i="7"/>
  <c r="B759" i="7"/>
  <c r="C759" i="7"/>
  <c r="D759" i="7"/>
  <c r="E759" i="7"/>
  <c r="F759" i="7"/>
  <c r="G759" i="7"/>
  <c r="H759" i="7"/>
  <c r="I759" i="7"/>
  <c r="J759" i="7"/>
  <c r="K759" i="7"/>
  <c r="P759" i="7"/>
  <c r="Q759" i="7"/>
  <c r="B760" i="7"/>
  <c r="C760" i="7"/>
  <c r="D760" i="7"/>
  <c r="E760" i="7"/>
  <c r="F760" i="7"/>
  <c r="G760" i="7"/>
  <c r="H760" i="7"/>
  <c r="I760" i="7"/>
  <c r="J760" i="7"/>
  <c r="K760" i="7"/>
  <c r="P760" i="7"/>
  <c r="Q760" i="7"/>
  <c r="R760" i="7"/>
  <c r="B761" i="7"/>
  <c r="C761" i="7"/>
  <c r="D761" i="7"/>
  <c r="E761" i="7"/>
  <c r="F761" i="7"/>
  <c r="G761" i="7"/>
  <c r="H761" i="7"/>
  <c r="I761" i="7"/>
  <c r="J761" i="7"/>
  <c r="K761" i="7"/>
  <c r="O761" i="7"/>
  <c r="P761" i="7"/>
  <c r="Q761" i="7"/>
  <c r="B762" i="7"/>
  <c r="C762" i="7"/>
  <c r="D762" i="7"/>
  <c r="E762" i="7"/>
  <c r="F762" i="7"/>
  <c r="G762" i="7"/>
  <c r="H762" i="7"/>
  <c r="I762" i="7"/>
  <c r="J762" i="7"/>
  <c r="K762" i="7"/>
  <c r="P762" i="7"/>
  <c r="Q762" i="7"/>
  <c r="B763" i="7"/>
  <c r="C763" i="7"/>
  <c r="D763" i="7"/>
  <c r="E763" i="7"/>
  <c r="F763" i="7"/>
  <c r="G763" i="7"/>
  <c r="H763" i="7"/>
  <c r="I763" i="7"/>
  <c r="J763" i="7"/>
  <c r="K763" i="7"/>
  <c r="P763" i="7"/>
  <c r="Q763" i="7"/>
  <c r="B764" i="7"/>
  <c r="C764" i="7"/>
  <c r="D764" i="7"/>
  <c r="E764" i="7"/>
  <c r="F764" i="7"/>
  <c r="G764" i="7"/>
  <c r="H764" i="7"/>
  <c r="I764" i="7"/>
  <c r="J764" i="7"/>
  <c r="K764" i="7"/>
  <c r="P764" i="7"/>
  <c r="Q764" i="7"/>
  <c r="B765" i="7"/>
  <c r="C765" i="7"/>
  <c r="D765" i="7"/>
  <c r="E765" i="7"/>
  <c r="F765" i="7"/>
  <c r="G765" i="7"/>
  <c r="H765" i="7"/>
  <c r="I765" i="7"/>
  <c r="J765" i="7"/>
  <c r="K765" i="7"/>
  <c r="P765" i="7"/>
  <c r="Q765" i="7"/>
  <c r="B766" i="7"/>
  <c r="C766" i="7"/>
  <c r="D766" i="7"/>
  <c r="E766" i="7"/>
  <c r="F766" i="7"/>
  <c r="G766" i="7"/>
  <c r="H766" i="7"/>
  <c r="I766" i="7"/>
  <c r="J766" i="7"/>
  <c r="K766" i="7"/>
  <c r="P766" i="7"/>
  <c r="Q766" i="7"/>
  <c r="R766" i="7"/>
  <c r="B767" i="7"/>
  <c r="C767" i="7"/>
  <c r="D767" i="7"/>
  <c r="E767" i="7"/>
  <c r="F767" i="7"/>
  <c r="G767" i="7"/>
  <c r="H767" i="7"/>
  <c r="I767" i="7"/>
  <c r="J767" i="7"/>
  <c r="K767" i="7"/>
  <c r="M767" i="7"/>
  <c r="P767" i="7"/>
  <c r="Q767" i="7"/>
  <c r="B768" i="7"/>
  <c r="C768" i="7"/>
  <c r="D768" i="7"/>
  <c r="E768" i="7"/>
  <c r="F768" i="7"/>
  <c r="G768" i="7"/>
  <c r="H768" i="7"/>
  <c r="I768" i="7"/>
  <c r="J768" i="7"/>
  <c r="K768" i="7"/>
  <c r="P768" i="7"/>
  <c r="Q768" i="7"/>
  <c r="B769" i="7"/>
  <c r="C769" i="7"/>
  <c r="D769" i="7"/>
  <c r="E769" i="7"/>
  <c r="F769" i="7"/>
  <c r="G769" i="7"/>
  <c r="H769" i="7"/>
  <c r="I769" i="7"/>
  <c r="J769" i="7"/>
  <c r="K769" i="7"/>
  <c r="P769" i="7"/>
  <c r="Q769" i="7"/>
  <c r="B770" i="7"/>
  <c r="C770" i="7"/>
  <c r="D770" i="7"/>
  <c r="E770" i="7"/>
  <c r="F770" i="7"/>
  <c r="G770" i="7"/>
  <c r="H770" i="7"/>
  <c r="I770" i="7"/>
  <c r="J770" i="7"/>
  <c r="K770" i="7"/>
  <c r="P770" i="7"/>
  <c r="Q770" i="7"/>
  <c r="B771" i="7"/>
  <c r="C771" i="7"/>
  <c r="D771" i="7"/>
  <c r="E771" i="7"/>
  <c r="F771" i="7"/>
  <c r="G771" i="7"/>
  <c r="H771" i="7"/>
  <c r="I771" i="7"/>
  <c r="J771" i="7"/>
  <c r="K771" i="7"/>
  <c r="P771" i="7"/>
  <c r="Q771" i="7"/>
  <c r="B772" i="7"/>
  <c r="C772" i="7"/>
  <c r="D772" i="7"/>
  <c r="E772" i="7"/>
  <c r="F772" i="7"/>
  <c r="G772" i="7"/>
  <c r="H772" i="7"/>
  <c r="I772" i="7"/>
  <c r="J772" i="7"/>
  <c r="K772" i="7"/>
  <c r="P772" i="7"/>
  <c r="Q772" i="7"/>
  <c r="B773" i="7"/>
  <c r="C773" i="7"/>
  <c r="D773" i="7"/>
  <c r="E773" i="7"/>
  <c r="F773" i="7"/>
  <c r="G773" i="7"/>
  <c r="H773" i="7"/>
  <c r="I773" i="7"/>
  <c r="J773" i="7"/>
  <c r="K773" i="7"/>
  <c r="P773" i="7"/>
  <c r="Q773" i="7"/>
  <c r="R773" i="7"/>
  <c r="B774" i="7"/>
  <c r="C774" i="7"/>
  <c r="D774" i="7"/>
  <c r="E774" i="7"/>
  <c r="F774" i="7"/>
  <c r="G774" i="7"/>
  <c r="H774" i="7"/>
  <c r="I774" i="7"/>
  <c r="J774" i="7"/>
  <c r="K774" i="7"/>
  <c r="P774" i="7"/>
  <c r="Q774" i="7"/>
  <c r="R774" i="7"/>
  <c r="B775" i="7"/>
  <c r="C775" i="7"/>
  <c r="D775" i="7"/>
  <c r="E775" i="7"/>
  <c r="F775" i="7"/>
  <c r="G775" i="7"/>
  <c r="H775" i="7"/>
  <c r="I775" i="7"/>
  <c r="J775" i="7"/>
  <c r="K775" i="7"/>
  <c r="P775" i="7"/>
  <c r="Q775" i="7"/>
  <c r="R775" i="7"/>
  <c r="B776" i="7"/>
  <c r="C776" i="7"/>
  <c r="D776" i="7"/>
  <c r="E776" i="7"/>
  <c r="F776" i="7"/>
  <c r="G776" i="7"/>
  <c r="H776" i="7"/>
  <c r="I776" i="7"/>
  <c r="J776" i="7"/>
  <c r="K776" i="7"/>
  <c r="P776" i="7"/>
  <c r="Q776" i="7"/>
  <c r="B777" i="7"/>
  <c r="C777" i="7"/>
  <c r="D777" i="7"/>
  <c r="E777" i="7"/>
  <c r="F777" i="7"/>
  <c r="G777" i="7"/>
  <c r="H777" i="7"/>
  <c r="I777" i="7"/>
  <c r="J777" i="7"/>
  <c r="K777" i="7"/>
  <c r="P777" i="7"/>
  <c r="Q777" i="7"/>
  <c r="R777" i="7"/>
  <c r="B778" i="7"/>
  <c r="C778" i="7"/>
  <c r="D778" i="7"/>
  <c r="E778" i="7"/>
  <c r="F778" i="7"/>
  <c r="G778" i="7"/>
  <c r="H778" i="7"/>
  <c r="I778" i="7"/>
  <c r="J778" i="7"/>
  <c r="K778" i="7"/>
  <c r="P778" i="7"/>
  <c r="Q778" i="7"/>
  <c r="R778" i="7"/>
  <c r="B779" i="7"/>
  <c r="C779" i="7"/>
  <c r="D779" i="7"/>
  <c r="E779" i="7"/>
  <c r="F779" i="7"/>
  <c r="G779" i="7"/>
  <c r="H779" i="7"/>
  <c r="I779" i="7"/>
  <c r="J779" i="7"/>
  <c r="K779" i="7"/>
  <c r="M779" i="7"/>
  <c r="P779" i="7"/>
  <c r="Q779" i="7"/>
  <c r="B780" i="7"/>
  <c r="C780" i="7"/>
  <c r="D780" i="7"/>
  <c r="E780" i="7"/>
  <c r="F780" i="7"/>
  <c r="G780" i="7"/>
  <c r="H780" i="7"/>
  <c r="I780" i="7"/>
  <c r="J780" i="7"/>
  <c r="K780" i="7"/>
  <c r="P780" i="7"/>
  <c r="Q780" i="7"/>
  <c r="R780" i="7"/>
  <c r="B781" i="7"/>
  <c r="C781" i="7"/>
  <c r="D781" i="7"/>
  <c r="E781" i="7"/>
  <c r="F781" i="7"/>
  <c r="G781" i="7"/>
  <c r="H781" i="7"/>
  <c r="I781" i="7"/>
  <c r="J781" i="7"/>
  <c r="K781" i="7"/>
  <c r="M781" i="7"/>
  <c r="P781" i="7"/>
  <c r="Q781" i="7"/>
  <c r="R781" i="7"/>
  <c r="B782" i="7"/>
  <c r="C782" i="7"/>
  <c r="D782" i="7"/>
  <c r="E782" i="7"/>
  <c r="F782" i="7"/>
  <c r="G782" i="7"/>
  <c r="H782" i="7"/>
  <c r="I782" i="7"/>
  <c r="J782" i="7"/>
  <c r="K782" i="7"/>
  <c r="P782" i="7"/>
  <c r="Q782" i="7"/>
  <c r="R782" i="7"/>
  <c r="B783" i="7"/>
  <c r="C783" i="7"/>
  <c r="D783" i="7"/>
  <c r="E783" i="7"/>
  <c r="F783" i="7"/>
  <c r="G783" i="7"/>
  <c r="H783" i="7"/>
  <c r="I783" i="7"/>
  <c r="J783" i="7"/>
  <c r="K783" i="7"/>
  <c r="P783" i="7"/>
  <c r="Q783" i="7"/>
  <c r="B784" i="7"/>
  <c r="C784" i="7"/>
  <c r="D784" i="7"/>
  <c r="E784" i="7"/>
  <c r="F784" i="7"/>
  <c r="G784" i="7"/>
  <c r="H784" i="7"/>
  <c r="I784" i="7"/>
  <c r="J784" i="7"/>
  <c r="K784" i="7"/>
  <c r="P784" i="7"/>
  <c r="Q784" i="7"/>
  <c r="B785" i="7"/>
  <c r="C785" i="7"/>
  <c r="D785" i="7"/>
  <c r="E785" i="7"/>
  <c r="F785" i="7"/>
  <c r="G785" i="7"/>
  <c r="H785" i="7"/>
  <c r="I785" i="7"/>
  <c r="J785" i="7"/>
  <c r="K785" i="7"/>
  <c r="P785" i="7"/>
  <c r="Q785" i="7"/>
  <c r="R785" i="7"/>
  <c r="B786" i="7"/>
  <c r="C786" i="7"/>
  <c r="D786" i="7"/>
  <c r="E786" i="7"/>
  <c r="F786" i="7"/>
  <c r="G786" i="7"/>
  <c r="H786" i="7"/>
  <c r="I786" i="7"/>
  <c r="J786" i="7"/>
  <c r="K786" i="7"/>
  <c r="M786" i="7"/>
  <c r="P786" i="7"/>
  <c r="Q786" i="7"/>
  <c r="B787" i="7"/>
  <c r="C787" i="7"/>
  <c r="D787" i="7"/>
  <c r="E787" i="7"/>
  <c r="F787" i="7"/>
  <c r="G787" i="7"/>
  <c r="H787" i="7"/>
  <c r="I787" i="7"/>
  <c r="J787" i="7"/>
  <c r="K787" i="7"/>
  <c r="P787" i="7"/>
  <c r="Q787" i="7"/>
  <c r="B788" i="7"/>
  <c r="C788" i="7"/>
  <c r="D788" i="7"/>
  <c r="E788" i="7"/>
  <c r="F788" i="7"/>
  <c r="G788" i="7"/>
  <c r="H788" i="7"/>
  <c r="I788" i="7"/>
  <c r="J788" i="7"/>
  <c r="K788" i="7"/>
  <c r="P788" i="7"/>
  <c r="Q788" i="7"/>
  <c r="R788" i="7"/>
  <c r="B789" i="7"/>
  <c r="C789" i="7"/>
  <c r="D789" i="7"/>
  <c r="E789" i="7"/>
  <c r="F789" i="7"/>
  <c r="G789" i="7"/>
  <c r="H789" i="7"/>
  <c r="I789" i="7"/>
  <c r="J789" i="7"/>
  <c r="K789" i="7"/>
  <c r="M789" i="7"/>
  <c r="P789" i="7"/>
  <c r="Q789" i="7"/>
  <c r="B790" i="7"/>
  <c r="C790" i="7"/>
  <c r="D790" i="7"/>
  <c r="E790" i="7"/>
  <c r="F790" i="7"/>
  <c r="G790" i="7"/>
  <c r="H790" i="7"/>
  <c r="I790" i="7"/>
  <c r="J790" i="7"/>
  <c r="K790" i="7"/>
  <c r="P790" i="7"/>
  <c r="Q790" i="7"/>
  <c r="B791" i="7"/>
  <c r="C791" i="7"/>
  <c r="D791" i="7"/>
  <c r="E791" i="7"/>
  <c r="F791" i="7"/>
  <c r="G791" i="7"/>
  <c r="H791" i="7"/>
  <c r="I791" i="7"/>
  <c r="J791" i="7"/>
  <c r="K791" i="7"/>
  <c r="P791" i="7"/>
  <c r="Q791" i="7"/>
  <c r="R791" i="7"/>
  <c r="B792" i="7"/>
  <c r="C792" i="7"/>
  <c r="D792" i="7"/>
  <c r="E792" i="7"/>
  <c r="F792" i="7"/>
  <c r="G792" i="7"/>
  <c r="H792" i="7"/>
  <c r="I792" i="7"/>
  <c r="J792" i="7"/>
  <c r="K792" i="7"/>
  <c r="P792" i="7"/>
  <c r="Q792" i="7"/>
  <c r="R792" i="7"/>
  <c r="B793" i="7"/>
  <c r="C793" i="7"/>
  <c r="D793" i="7"/>
  <c r="E793" i="7"/>
  <c r="F793" i="7"/>
  <c r="G793" i="7"/>
  <c r="H793" i="7"/>
  <c r="I793" i="7"/>
  <c r="J793" i="7"/>
  <c r="K793" i="7"/>
  <c r="P793" i="7"/>
  <c r="Q793" i="7"/>
  <c r="B794" i="7"/>
  <c r="C794" i="7"/>
  <c r="D794" i="7"/>
  <c r="E794" i="7"/>
  <c r="F794" i="7"/>
  <c r="G794" i="7"/>
  <c r="H794" i="7"/>
  <c r="I794" i="7"/>
  <c r="J794" i="7"/>
  <c r="K794" i="7"/>
  <c r="P794" i="7"/>
  <c r="Q794" i="7"/>
  <c r="B795" i="7"/>
  <c r="C795" i="7"/>
  <c r="D795" i="7"/>
  <c r="E795" i="7"/>
  <c r="F795" i="7"/>
  <c r="G795" i="7"/>
  <c r="H795" i="7"/>
  <c r="I795" i="7"/>
  <c r="J795" i="7"/>
  <c r="K795" i="7"/>
  <c r="P795" i="7"/>
  <c r="Q795" i="7"/>
  <c r="B796" i="7"/>
  <c r="C796" i="7"/>
  <c r="D796" i="7"/>
  <c r="E796" i="7"/>
  <c r="F796" i="7"/>
  <c r="G796" i="7"/>
  <c r="H796" i="7"/>
  <c r="I796" i="7"/>
  <c r="J796" i="7"/>
  <c r="K796" i="7"/>
  <c r="P796" i="7"/>
  <c r="Q796" i="7"/>
  <c r="R796" i="7"/>
  <c r="B797" i="7"/>
  <c r="C797" i="7"/>
  <c r="D797" i="7"/>
  <c r="E797" i="7"/>
  <c r="F797" i="7"/>
  <c r="G797" i="7"/>
  <c r="H797" i="7"/>
  <c r="I797" i="7"/>
  <c r="J797" i="7"/>
  <c r="K797" i="7"/>
  <c r="P797" i="7"/>
  <c r="Q797" i="7"/>
  <c r="B798" i="7"/>
  <c r="C798" i="7"/>
  <c r="D798" i="7"/>
  <c r="E798" i="7"/>
  <c r="F798" i="7"/>
  <c r="G798" i="7"/>
  <c r="H798" i="7"/>
  <c r="I798" i="7"/>
  <c r="J798" i="7"/>
  <c r="K798" i="7"/>
  <c r="P798" i="7"/>
  <c r="Q798" i="7"/>
  <c r="B799" i="7"/>
  <c r="C799" i="7"/>
  <c r="D799" i="7"/>
  <c r="E799" i="7"/>
  <c r="F799" i="7"/>
  <c r="G799" i="7"/>
  <c r="H799" i="7"/>
  <c r="I799" i="7"/>
  <c r="J799" i="7"/>
  <c r="K799" i="7"/>
  <c r="P799" i="7"/>
  <c r="Q799" i="7"/>
  <c r="R799" i="7"/>
  <c r="B800" i="7"/>
  <c r="C800" i="7"/>
  <c r="D800" i="7"/>
  <c r="E800" i="7"/>
  <c r="F800" i="7"/>
  <c r="G800" i="7"/>
  <c r="H800" i="7"/>
  <c r="I800" i="7"/>
  <c r="J800" i="7"/>
  <c r="K800" i="7"/>
  <c r="P800" i="7"/>
  <c r="Q800" i="7"/>
  <c r="R800" i="7"/>
  <c r="B801" i="7"/>
  <c r="C801" i="7"/>
  <c r="D801" i="7"/>
  <c r="E801" i="7"/>
  <c r="F801" i="7"/>
  <c r="G801" i="7"/>
  <c r="H801" i="7"/>
  <c r="I801" i="7"/>
  <c r="J801" i="7"/>
  <c r="K801" i="7"/>
  <c r="P801" i="7"/>
  <c r="Q801" i="7"/>
  <c r="R801" i="7"/>
  <c r="B802" i="7"/>
  <c r="C802" i="7"/>
  <c r="D802" i="7"/>
  <c r="E802" i="7"/>
  <c r="F802" i="7"/>
  <c r="G802" i="7"/>
  <c r="H802" i="7"/>
  <c r="I802" i="7"/>
  <c r="J802" i="7"/>
  <c r="K802" i="7"/>
  <c r="P802" i="7"/>
  <c r="Q802" i="7"/>
  <c r="R802" i="7"/>
  <c r="B803" i="7"/>
  <c r="C803" i="7"/>
  <c r="D803" i="7"/>
  <c r="E803" i="7"/>
  <c r="F803" i="7"/>
  <c r="G803" i="7"/>
  <c r="H803" i="7"/>
  <c r="I803" i="7"/>
  <c r="J803" i="7"/>
  <c r="K803" i="7"/>
  <c r="P803" i="7"/>
  <c r="Q803" i="7"/>
  <c r="R803" i="7"/>
  <c r="B804" i="7"/>
  <c r="C804" i="7"/>
  <c r="D804" i="7"/>
  <c r="E804" i="7"/>
  <c r="F804" i="7"/>
  <c r="G804" i="7"/>
  <c r="H804" i="7"/>
  <c r="I804" i="7"/>
  <c r="J804" i="7"/>
  <c r="K804" i="7"/>
  <c r="P804" i="7"/>
  <c r="Q804" i="7"/>
  <c r="B805" i="7"/>
  <c r="C805" i="7"/>
  <c r="D805" i="7"/>
  <c r="E805" i="7"/>
  <c r="F805" i="7"/>
  <c r="G805" i="7"/>
  <c r="H805" i="7"/>
  <c r="I805" i="7"/>
  <c r="J805" i="7"/>
  <c r="K805" i="7"/>
  <c r="P805" i="7"/>
  <c r="Q805" i="7"/>
  <c r="R805" i="7"/>
  <c r="B806" i="7"/>
  <c r="C806" i="7"/>
  <c r="D806" i="7"/>
  <c r="E806" i="7"/>
  <c r="F806" i="7"/>
  <c r="G806" i="7"/>
  <c r="H806" i="7"/>
  <c r="I806" i="7"/>
  <c r="J806" i="7"/>
  <c r="K806" i="7"/>
  <c r="P806" i="7"/>
  <c r="Q806" i="7"/>
  <c r="R806" i="7"/>
  <c r="B807" i="7"/>
  <c r="C807" i="7"/>
  <c r="D807" i="7"/>
  <c r="E807" i="7"/>
  <c r="F807" i="7"/>
  <c r="G807" i="7"/>
  <c r="H807" i="7"/>
  <c r="I807" i="7"/>
  <c r="J807" i="7"/>
  <c r="K807" i="7"/>
  <c r="P807" i="7"/>
  <c r="Q807" i="7"/>
  <c r="B808" i="7"/>
  <c r="C808" i="7"/>
  <c r="D808" i="7"/>
  <c r="E808" i="7"/>
  <c r="F808" i="7"/>
  <c r="G808" i="7"/>
  <c r="H808" i="7"/>
  <c r="I808" i="7"/>
  <c r="J808" i="7"/>
  <c r="K808" i="7"/>
  <c r="P808" i="7"/>
  <c r="Q808" i="7"/>
  <c r="B809" i="7"/>
  <c r="C809" i="7"/>
  <c r="D809" i="7"/>
  <c r="E809" i="7"/>
  <c r="F809" i="7"/>
  <c r="G809" i="7"/>
  <c r="H809" i="7"/>
  <c r="I809" i="7"/>
  <c r="J809" i="7"/>
  <c r="K809" i="7"/>
  <c r="P809" i="7"/>
  <c r="Q809" i="7"/>
  <c r="R809" i="7"/>
  <c r="B810" i="7"/>
  <c r="C810" i="7"/>
  <c r="D810" i="7"/>
  <c r="E810" i="7"/>
  <c r="F810" i="7"/>
  <c r="G810" i="7"/>
  <c r="H810" i="7"/>
  <c r="I810" i="7"/>
  <c r="J810" i="7"/>
  <c r="K810" i="7"/>
  <c r="P810" i="7"/>
  <c r="Q810" i="7"/>
  <c r="R810" i="7"/>
  <c r="B811" i="7"/>
  <c r="C811" i="7"/>
  <c r="D811" i="7"/>
  <c r="E811" i="7"/>
  <c r="F811" i="7"/>
  <c r="G811" i="7"/>
  <c r="H811" i="7"/>
  <c r="I811" i="7"/>
  <c r="J811" i="7"/>
  <c r="K811" i="7"/>
  <c r="P811" i="7"/>
  <c r="Q811" i="7"/>
  <c r="B812" i="7"/>
  <c r="C812" i="7"/>
  <c r="D812" i="7"/>
  <c r="E812" i="7"/>
  <c r="F812" i="7"/>
  <c r="G812" i="7"/>
  <c r="H812" i="7"/>
  <c r="I812" i="7"/>
  <c r="J812" i="7"/>
  <c r="K812" i="7"/>
  <c r="P812" i="7"/>
  <c r="Q812" i="7"/>
  <c r="R812" i="7"/>
  <c r="B813" i="7"/>
  <c r="C813" i="7"/>
  <c r="D813" i="7"/>
  <c r="E813" i="7"/>
  <c r="F813" i="7"/>
  <c r="G813" i="7"/>
  <c r="H813" i="7"/>
  <c r="I813" i="7"/>
  <c r="J813" i="7"/>
  <c r="K813" i="7"/>
  <c r="P813" i="7"/>
  <c r="Q813" i="7"/>
  <c r="R813" i="7"/>
  <c r="B814" i="7"/>
  <c r="C814" i="7"/>
  <c r="D814" i="7"/>
  <c r="E814" i="7"/>
  <c r="F814" i="7"/>
  <c r="G814" i="7"/>
  <c r="H814" i="7"/>
  <c r="I814" i="7"/>
  <c r="J814" i="7"/>
  <c r="K814" i="7"/>
  <c r="P814" i="7"/>
  <c r="Q814" i="7"/>
  <c r="B815" i="7"/>
  <c r="C815" i="7"/>
  <c r="D815" i="7"/>
  <c r="E815" i="7"/>
  <c r="F815" i="7"/>
  <c r="G815" i="7"/>
  <c r="H815" i="7"/>
  <c r="I815" i="7"/>
  <c r="J815" i="7"/>
  <c r="K815" i="7"/>
  <c r="P815" i="7"/>
  <c r="Q815" i="7"/>
  <c r="B816" i="7"/>
  <c r="C816" i="7"/>
  <c r="D816" i="7"/>
  <c r="E816" i="7"/>
  <c r="F816" i="7"/>
  <c r="G816" i="7"/>
  <c r="H816" i="7"/>
  <c r="I816" i="7"/>
  <c r="J816" i="7"/>
  <c r="K816" i="7"/>
  <c r="P816" i="7"/>
  <c r="Q816" i="7"/>
  <c r="R816" i="7"/>
  <c r="B817" i="7"/>
  <c r="C817" i="7"/>
  <c r="D817" i="7"/>
  <c r="E817" i="7"/>
  <c r="F817" i="7"/>
  <c r="G817" i="7"/>
  <c r="H817" i="7"/>
  <c r="I817" i="7"/>
  <c r="J817" i="7"/>
  <c r="K817" i="7"/>
  <c r="P817" i="7"/>
  <c r="Q817" i="7"/>
  <c r="B818" i="7"/>
  <c r="C818" i="7"/>
  <c r="D818" i="7"/>
  <c r="E818" i="7"/>
  <c r="F818" i="7"/>
  <c r="G818" i="7"/>
  <c r="H818" i="7"/>
  <c r="I818" i="7"/>
  <c r="J818" i="7"/>
  <c r="K818" i="7"/>
  <c r="P818" i="7"/>
  <c r="Q818" i="7"/>
  <c r="B819" i="7"/>
  <c r="C819" i="7"/>
  <c r="D819" i="7"/>
  <c r="E819" i="7"/>
  <c r="F819" i="7"/>
  <c r="G819" i="7"/>
  <c r="H819" i="7"/>
  <c r="I819" i="7"/>
  <c r="J819" i="7"/>
  <c r="K819" i="7"/>
  <c r="P819" i="7"/>
  <c r="Q819" i="7"/>
  <c r="R819" i="7"/>
  <c r="B820" i="7"/>
  <c r="C820" i="7"/>
  <c r="D820" i="7"/>
  <c r="E820" i="7"/>
  <c r="F820" i="7"/>
  <c r="G820" i="7"/>
  <c r="H820" i="7"/>
  <c r="I820" i="7"/>
  <c r="J820" i="7"/>
  <c r="K820" i="7"/>
  <c r="P820" i="7"/>
  <c r="Q820" i="7"/>
  <c r="B821" i="7"/>
  <c r="C821" i="7"/>
  <c r="D821" i="7"/>
  <c r="E821" i="7"/>
  <c r="F821" i="7"/>
  <c r="G821" i="7"/>
  <c r="H821" i="7"/>
  <c r="I821" i="7"/>
  <c r="J821" i="7"/>
  <c r="K821" i="7"/>
  <c r="P821" i="7"/>
  <c r="Q821" i="7"/>
  <c r="B822" i="7"/>
  <c r="C822" i="7"/>
  <c r="D822" i="7"/>
  <c r="E822" i="7"/>
  <c r="F822" i="7"/>
  <c r="G822" i="7"/>
  <c r="H822" i="7"/>
  <c r="I822" i="7"/>
  <c r="J822" i="7"/>
  <c r="K822" i="7"/>
  <c r="P822" i="7"/>
  <c r="Q822" i="7"/>
  <c r="R822" i="7"/>
  <c r="B823" i="7"/>
  <c r="C823" i="7"/>
  <c r="D823" i="7"/>
  <c r="E823" i="7"/>
  <c r="F823" i="7"/>
  <c r="G823" i="7"/>
  <c r="H823" i="7"/>
  <c r="I823" i="7"/>
  <c r="J823" i="7"/>
  <c r="K823" i="7"/>
  <c r="P823" i="7"/>
  <c r="Q823" i="7"/>
  <c r="R823" i="7"/>
  <c r="B824" i="7"/>
  <c r="C824" i="7"/>
  <c r="D824" i="7"/>
  <c r="E824" i="7"/>
  <c r="F824" i="7"/>
  <c r="G824" i="7"/>
  <c r="H824" i="7"/>
  <c r="I824" i="7"/>
  <c r="J824" i="7"/>
  <c r="K824" i="7"/>
  <c r="P824" i="7"/>
  <c r="Q824" i="7"/>
  <c r="B825" i="7"/>
  <c r="C825" i="7"/>
  <c r="D825" i="7"/>
  <c r="E825" i="7"/>
  <c r="F825" i="7"/>
  <c r="G825" i="7"/>
  <c r="H825" i="7"/>
  <c r="I825" i="7"/>
  <c r="J825" i="7"/>
  <c r="K825" i="7"/>
  <c r="P825" i="7"/>
  <c r="Q825" i="7"/>
  <c r="R825" i="7"/>
  <c r="B826" i="7"/>
  <c r="C826" i="7"/>
  <c r="D826" i="7"/>
  <c r="E826" i="7"/>
  <c r="F826" i="7"/>
  <c r="G826" i="7"/>
  <c r="H826" i="7"/>
  <c r="I826" i="7"/>
  <c r="J826" i="7"/>
  <c r="K826" i="7"/>
  <c r="P826" i="7"/>
  <c r="Q826" i="7"/>
  <c r="B827" i="7"/>
  <c r="C827" i="7"/>
  <c r="D827" i="7"/>
  <c r="E827" i="7"/>
  <c r="F827" i="7"/>
  <c r="G827" i="7"/>
  <c r="H827" i="7"/>
  <c r="I827" i="7"/>
  <c r="J827" i="7"/>
  <c r="K827" i="7"/>
  <c r="P827" i="7"/>
  <c r="Q827" i="7"/>
  <c r="B828" i="7"/>
  <c r="C828" i="7"/>
  <c r="D828" i="7"/>
  <c r="E828" i="7"/>
  <c r="F828" i="7"/>
  <c r="G828" i="7"/>
  <c r="H828" i="7"/>
  <c r="I828" i="7"/>
  <c r="J828" i="7"/>
  <c r="K828" i="7"/>
  <c r="P828" i="7"/>
  <c r="Q828" i="7"/>
  <c r="B829" i="7"/>
  <c r="C829" i="7"/>
  <c r="D829" i="7"/>
  <c r="E829" i="7"/>
  <c r="F829" i="7"/>
  <c r="G829" i="7"/>
  <c r="H829" i="7"/>
  <c r="I829" i="7"/>
  <c r="J829" i="7"/>
  <c r="P829" i="7"/>
  <c r="Q829" i="7"/>
  <c r="B830" i="7"/>
  <c r="C830" i="7"/>
  <c r="D830" i="7"/>
  <c r="E830" i="7"/>
  <c r="F830" i="7"/>
  <c r="G830" i="7"/>
  <c r="H830" i="7"/>
  <c r="I830" i="7"/>
  <c r="J830" i="7"/>
  <c r="K830" i="7"/>
  <c r="P830" i="7"/>
  <c r="Q830" i="7"/>
  <c r="R830" i="7"/>
  <c r="B831" i="7"/>
  <c r="C831" i="7"/>
  <c r="D831" i="7"/>
  <c r="E831" i="7"/>
  <c r="F831" i="7"/>
  <c r="G831" i="7"/>
  <c r="H831" i="7"/>
  <c r="I831" i="7"/>
  <c r="J831" i="7"/>
  <c r="K831" i="7"/>
  <c r="P831" i="7"/>
  <c r="Q831" i="7"/>
  <c r="R831" i="7"/>
  <c r="B832" i="7"/>
  <c r="C832" i="7"/>
  <c r="D832" i="7"/>
  <c r="E832" i="7"/>
  <c r="F832" i="7"/>
  <c r="G832" i="7"/>
  <c r="H832" i="7"/>
  <c r="I832" i="7"/>
  <c r="J832" i="7"/>
  <c r="K832" i="7"/>
  <c r="P832" i="7"/>
  <c r="Q832" i="7"/>
  <c r="R832" i="7"/>
  <c r="B833" i="7"/>
  <c r="C833" i="7"/>
  <c r="D833" i="7"/>
  <c r="E833" i="7"/>
  <c r="F833" i="7"/>
  <c r="G833" i="7"/>
  <c r="H833" i="7"/>
  <c r="I833" i="7"/>
  <c r="J833" i="7"/>
  <c r="K833" i="7"/>
  <c r="P833" i="7"/>
  <c r="Q833" i="7"/>
  <c r="B834" i="7"/>
  <c r="C834" i="7"/>
  <c r="D834" i="7"/>
  <c r="E834" i="7"/>
  <c r="F834" i="7"/>
  <c r="G834" i="7"/>
  <c r="H834" i="7"/>
  <c r="I834" i="7"/>
  <c r="J834" i="7"/>
  <c r="K834" i="7"/>
  <c r="P834" i="7"/>
  <c r="Q834" i="7"/>
  <c r="B835" i="7"/>
  <c r="C835" i="7"/>
  <c r="D835" i="7"/>
  <c r="E835" i="7"/>
  <c r="F835" i="7"/>
  <c r="G835" i="7"/>
  <c r="H835" i="7"/>
  <c r="I835" i="7"/>
  <c r="J835" i="7"/>
  <c r="K835" i="7"/>
  <c r="P835" i="7"/>
  <c r="Q835" i="7"/>
  <c r="O1042" i="7" l="1"/>
  <c r="L211" i="74"/>
  <c r="L1042" i="7" s="1"/>
  <c r="O974" i="7"/>
  <c r="L143" i="74"/>
  <c r="L974" i="7" s="1"/>
  <c r="N143" i="74" l="1"/>
  <c r="N974" i="7" s="1"/>
  <c r="M211" i="74"/>
  <c r="M1042" i="7" s="1"/>
  <c r="N211" i="74" l="1"/>
  <c r="N1042" i="7" s="1"/>
  <c r="L46" i="74"/>
  <c r="L877" i="7" s="1"/>
  <c r="L45" i="74"/>
  <c r="L876" i="7" s="1"/>
  <c r="L44" i="74"/>
  <c r="L875" i="7" s="1"/>
  <c r="L43" i="74"/>
  <c r="L874" i="7" s="1"/>
  <c r="N46" i="74" l="1"/>
  <c r="N877" i="7" s="1"/>
  <c r="N45" i="74"/>
  <c r="N876" i="7" s="1"/>
  <c r="N43" i="74"/>
  <c r="N874" i="7" s="1"/>
  <c r="N44" i="74"/>
  <c r="N875" i="7" s="1"/>
  <c r="K27" i="54"/>
  <c r="O968" i="7" l="1"/>
  <c r="L137" i="74"/>
  <c r="L968" i="7" s="1"/>
  <c r="O964" i="7"/>
  <c r="L133" i="74"/>
  <c r="L964" i="7" s="1"/>
  <c r="O963" i="7"/>
  <c r="L132" i="74"/>
  <c r="L963" i="7" s="1"/>
  <c r="O969" i="7"/>
  <c r="O971" i="7"/>
  <c r="O973" i="7"/>
  <c r="O972" i="7"/>
  <c r="L141" i="74"/>
  <c r="L972" i="7" s="1"/>
  <c r="O970" i="7"/>
  <c r="L139" i="74"/>
  <c r="L970" i="7" s="1"/>
  <c r="O958" i="7"/>
  <c r="L127" i="74"/>
  <c r="L958" i="7" s="1"/>
  <c r="O956" i="7"/>
  <c r="L125" i="74"/>
  <c r="L956" i="7" s="1"/>
  <c r="O962" i="7"/>
  <c r="L131" i="74"/>
  <c r="L962" i="7" s="1"/>
  <c r="O961" i="7"/>
  <c r="L130" i="74"/>
  <c r="L961" i="7" s="1"/>
  <c r="O957" i="7"/>
  <c r="L126" i="74"/>
  <c r="L957" i="7" s="1"/>
  <c r="O965" i="7"/>
  <c r="L134" i="74"/>
  <c r="L965" i="7" s="1"/>
  <c r="O955" i="7"/>
  <c r="L124" i="74"/>
  <c r="L955" i="7" s="1"/>
  <c r="O960" i="7"/>
  <c r="L129" i="74"/>
  <c r="L960" i="7" s="1"/>
  <c r="O966" i="7"/>
  <c r="L135" i="74"/>
  <c r="L966" i="7" s="1"/>
  <c r="M52" i="74"/>
  <c r="M883" i="7" s="1"/>
  <c r="L128" i="74"/>
  <c r="L959" i="7" s="1"/>
  <c r="L136" i="74"/>
  <c r="L967" i="7" s="1"/>
  <c r="L142" i="74"/>
  <c r="L973" i="7" s="1"/>
  <c r="L140" i="74"/>
  <c r="L971" i="7" s="1"/>
  <c r="L138" i="74"/>
  <c r="L969" i="7" s="1"/>
  <c r="O967" i="7"/>
  <c r="N52" i="74" l="1"/>
  <c r="N883" i="7" s="1"/>
  <c r="M142" i="74"/>
  <c r="M973" i="7" s="1"/>
  <c r="M136" i="74"/>
  <c r="M967" i="7" s="1"/>
  <c r="M138" i="74"/>
  <c r="M969" i="7" s="1"/>
  <c r="M128" i="74"/>
  <c r="M959" i="7" s="1"/>
  <c r="M137" i="74"/>
  <c r="M968" i="7" s="1"/>
  <c r="M133" i="74"/>
  <c r="M964" i="7" s="1"/>
  <c r="M132" i="74"/>
  <c r="M963" i="7" s="1"/>
  <c r="M130" i="74"/>
  <c r="M961" i="7" s="1"/>
  <c r="M131" i="74"/>
  <c r="M962" i="7" s="1"/>
  <c r="M125" i="74"/>
  <c r="M956" i="7" s="1"/>
  <c r="M127" i="74"/>
  <c r="M958" i="7" s="1"/>
  <c r="M139" i="74"/>
  <c r="M970" i="7" s="1"/>
  <c r="M141" i="74"/>
  <c r="M972" i="7" s="1"/>
  <c r="M129" i="74"/>
  <c r="M960" i="7" s="1"/>
  <c r="M124" i="74"/>
  <c r="M955" i="7" s="1"/>
  <c r="M134" i="74"/>
  <c r="M965" i="7" s="1"/>
  <c r="M126" i="74"/>
  <c r="M957" i="7" s="1"/>
  <c r="M135" i="74"/>
  <c r="M966" i="7" s="1"/>
  <c r="M140" i="74"/>
  <c r="M971" i="7" s="1"/>
  <c r="N142" i="74" l="1"/>
  <c r="N973" i="7" s="1"/>
  <c r="N135" i="74"/>
  <c r="N966" i="7" s="1"/>
  <c r="N129" i="74"/>
  <c r="N960" i="7" s="1"/>
  <c r="N125" i="74"/>
  <c r="N956" i="7" s="1"/>
  <c r="N133" i="74"/>
  <c r="N964" i="7" s="1"/>
  <c r="N131" i="74"/>
  <c r="N962" i="7" s="1"/>
  <c r="N137" i="74"/>
  <c r="N968" i="7" s="1"/>
  <c r="N138" i="74"/>
  <c r="N969" i="7" s="1"/>
  <c r="N134" i="74"/>
  <c r="N965" i="7" s="1"/>
  <c r="N139" i="74"/>
  <c r="N970" i="7" s="1"/>
  <c r="N130" i="74"/>
  <c r="N961" i="7" s="1"/>
  <c r="N126" i="74"/>
  <c r="N957" i="7" s="1"/>
  <c r="N141" i="74"/>
  <c r="N972" i="7" s="1"/>
  <c r="N140" i="74"/>
  <c r="N971" i="7" s="1"/>
  <c r="N124" i="74"/>
  <c r="N955" i="7" s="1"/>
  <c r="N127" i="74"/>
  <c r="N958" i="7" s="1"/>
  <c r="N132" i="74"/>
  <c r="N963" i="7" s="1"/>
  <c r="N128" i="74"/>
  <c r="N959" i="7" s="1"/>
  <c r="N136" i="74"/>
  <c r="N967" i="7" s="1"/>
  <c r="L114" i="74"/>
  <c r="L945" i="7" s="1"/>
  <c r="L37" i="74"/>
  <c r="L868" i="7" s="1"/>
  <c r="M114" i="74" l="1"/>
  <c r="M945" i="7" s="1"/>
  <c r="M37" i="74"/>
  <c r="M868" i="7" s="1"/>
  <c r="N37" i="74" l="1"/>
  <c r="N868" i="7" s="1"/>
  <c r="N114" i="74"/>
  <c r="N945" i="7" s="1"/>
  <c r="O959" i="7"/>
  <c r="L45" i="73"/>
  <c r="N45" i="73" l="1"/>
  <c r="N670" i="7" s="1"/>
  <c r="L670" i="7"/>
  <c r="L8" i="74"/>
  <c r="L839" i="7" s="1"/>
  <c r="M8" i="74" l="1"/>
  <c r="M839" i="7" s="1"/>
  <c r="N8" i="74" l="1"/>
  <c r="N839" i="7" s="1"/>
  <c r="L59" i="73"/>
  <c r="L96" i="73"/>
  <c r="L97" i="73"/>
  <c r="L102" i="73"/>
  <c r="L103" i="73"/>
  <c r="M64" i="73"/>
  <c r="L43" i="73"/>
  <c r="L668" i="7" s="1"/>
  <c r="L60" i="73"/>
  <c r="M102" i="73" l="1"/>
  <c r="L727" i="7"/>
  <c r="M97" i="73"/>
  <c r="M722" i="7" s="1"/>
  <c r="L722" i="7"/>
  <c r="M96" i="73"/>
  <c r="M721" i="7" s="1"/>
  <c r="L721" i="7"/>
  <c r="M60" i="73"/>
  <c r="M685" i="7" s="1"/>
  <c r="L685" i="7"/>
  <c r="N64" i="73"/>
  <c r="N689" i="7" s="1"/>
  <c r="M689" i="7"/>
  <c r="M103" i="73"/>
  <c r="L728" i="7"/>
  <c r="M59" i="73"/>
  <c r="L684" i="7"/>
  <c r="N65" i="73"/>
  <c r="M43" i="73"/>
  <c r="N97" i="73" l="1"/>
  <c r="N722" i="7" s="1"/>
  <c r="N60" i="73"/>
  <c r="N685" i="7" s="1"/>
  <c r="N96" i="73"/>
  <c r="N721" i="7" s="1"/>
  <c r="N103" i="73"/>
  <c r="N728" i="7" s="1"/>
  <c r="M728" i="7"/>
  <c r="N43" i="73"/>
  <c r="N668" i="7" s="1"/>
  <c r="M668" i="7"/>
  <c r="N59" i="73"/>
  <c r="N684" i="7" s="1"/>
  <c r="M684" i="7"/>
  <c r="N102" i="73"/>
  <c r="N727" i="7" s="1"/>
  <c r="M727" i="7"/>
  <c r="O848" i="7"/>
  <c r="L17" i="74"/>
  <c r="L848" i="7" s="1"/>
  <c r="O866" i="7"/>
  <c r="L35" i="74"/>
  <c r="L866" i="7" s="1"/>
  <c r="L7" i="74"/>
  <c r="L838" i="7" s="1"/>
  <c r="O865" i="7"/>
  <c r="L34" i="74"/>
  <c r="L865" i="7" s="1"/>
  <c r="O864" i="7"/>
  <c r="L33" i="74"/>
  <c r="L864" i="7" s="1"/>
  <c r="O863" i="7"/>
  <c r="L32" i="74"/>
  <c r="L863" i="7" s="1"/>
  <c r="O862" i="7"/>
  <c r="L31" i="74"/>
  <c r="L862" i="7" s="1"/>
  <c r="O861" i="7"/>
  <c r="L30" i="74"/>
  <c r="L861" i="7" s="1"/>
  <c r="O860" i="7"/>
  <c r="L29" i="74"/>
  <c r="L860" i="7" s="1"/>
  <c r="O859" i="7"/>
  <c r="L28" i="74"/>
  <c r="L859" i="7" s="1"/>
  <c r="O858" i="7"/>
  <c r="L27" i="74"/>
  <c r="L858" i="7" s="1"/>
  <c r="O857" i="7"/>
  <c r="L26" i="74"/>
  <c r="L857" i="7" s="1"/>
  <c r="O856" i="7"/>
  <c r="L25" i="74"/>
  <c r="L856" i="7" s="1"/>
  <c r="O853" i="7"/>
  <c r="L22" i="74"/>
  <c r="L853" i="7" s="1"/>
  <c r="O852" i="7"/>
  <c r="L21" i="74"/>
  <c r="L852" i="7" s="1"/>
  <c r="O850" i="7"/>
  <c r="L19" i="74"/>
  <c r="L850" i="7" s="1"/>
  <c r="O845" i="7"/>
  <c r="L14" i="74"/>
  <c r="L845" i="7" s="1"/>
  <c r="O840" i="7"/>
  <c r="L9" i="74"/>
  <c r="L840" i="7" s="1"/>
  <c r="O846" i="7"/>
  <c r="L15" i="74"/>
  <c r="L846" i="7" s="1"/>
  <c r="O844" i="7"/>
  <c r="L13" i="74"/>
  <c r="L844" i="7" s="1"/>
  <c r="O843" i="7"/>
  <c r="L12" i="74"/>
  <c r="L843" i="7" s="1"/>
  <c r="O842" i="7"/>
  <c r="L11" i="74"/>
  <c r="L842" i="7" s="1"/>
  <c r="O841" i="7"/>
  <c r="L10" i="74"/>
  <c r="L841" i="7" s="1"/>
  <c r="O851" i="7"/>
  <c r="L20" i="74"/>
  <c r="L851" i="7" s="1"/>
  <c r="O854" i="7"/>
  <c r="L23" i="74"/>
  <c r="L854" i="7" s="1"/>
  <c r="O855" i="7"/>
  <c r="L24" i="74"/>
  <c r="L855" i="7" s="1"/>
  <c r="O847" i="7"/>
  <c r="L16" i="74"/>
  <c r="L847" i="7" s="1"/>
  <c r="O849" i="7"/>
  <c r="L18" i="74"/>
  <c r="L849" i="7" s="1"/>
  <c r="L6" i="74"/>
  <c r="L837" i="7" s="1"/>
  <c r="N16" i="74" l="1"/>
  <c r="N847" i="7" s="1"/>
  <c r="M23" i="74"/>
  <c r="M854" i="7" s="1"/>
  <c r="N10" i="74"/>
  <c r="N841" i="7" s="1"/>
  <c r="N12" i="74"/>
  <c r="N843" i="7" s="1"/>
  <c r="N15" i="74"/>
  <c r="N846" i="7" s="1"/>
  <c r="N14" i="74"/>
  <c r="N845" i="7" s="1"/>
  <c r="N21" i="74"/>
  <c r="N852" i="7" s="1"/>
  <c r="N25" i="74"/>
  <c r="N856" i="7" s="1"/>
  <c r="N27" i="74"/>
  <c r="N858" i="7" s="1"/>
  <c r="N29" i="74"/>
  <c r="N860" i="7" s="1"/>
  <c r="M31" i="74"/>
  <c r="M862" i="7" s="1"/>
  <c r="N33" i="74"/>
  <c r="N864" i="7" s="1"/>
  <c r="M7" i="74"/>
  <c r="M838" i="7" s="1"/>
  <c r="N35" i="74"/>
  <c r="N866" i="7" s="1"/>
  <c r="N18" i="74"/>
  <c r="N849" i="7" s="1"/>
  <c r="N24" i="74"/>
  <c r="N855" i="7" s="1"/>
  <c r="N20" i="74"/>
  <c r="N851" i="7" s="1"/>
  <c r="N11" i="74"/>
  <c r="N842" i="7" s="1"/>
  <c r="N13" i="74"/>
  <c r="N844" i="7" s="1"/>
  <c r="N9" i="74"/>
  <c r="N840" i="7" s="1"/>
  <c r="N19" i="74"/>
  <c r="N850" i="7" s="1"/>
  <c r="N22" i="74"/>
  <c r="N853" i="7" s="1"/>
  <c r="N26" i="74"/>
  <c r="N857" i="7" s="1"/>
  <c r="N30" i="74"/>
  <c r="N861" i="7" s="1"/>
  <c r="N32" i="74"/>
  <c r="N863" i="7" s="1"/>
  <c r="N34" i="74"/>
  <c r="N865" i="7" s="1"/>
  <c r="N17" i="74"/>
  <c r="N848" i="7" s="1"/>
  <c r="M28" i="74"/>
  <c r="M859" i="7" s="1"/>
  <c r="M6" i="74"/>
  <c r="M837" i="7" s="1"/>
  <c r="N6" i="74" l="1"/>
  <c r="N837" i="7" s="1"/>
  <c r="N23" i="74"/>
  <c r="N854" i="7" s="1"/>
  <c r="N28" i="74"/>
  <c r="N859" i="7" s="1"/>
  <c r="N7" i="74"/>
  <c r="N838" i="7" s="1"/>
  <c r="N31" i="74"/>
  <c r="N862" i="7" s="1"/>
  <c r="O777" i="7"/>
  <c r="O778" i="7"/>
  <c r="O779" i="7"/>
  <c r="O780" i="7"/>
  <c r="O781" i="7"/>
  <c r="O782" i="7"/>
  <c r="O828" i="7"/>
  <c r="O829" i="7"/>
  <c r="O830" i="7"/>
  <c r="O834" i="7"/>
  <c r="L209" i="73"/>
  <c r="L834" i="7" s="1"/>
  <c r="K204" i="73"/>
  <c r="L5" i="74"/>
  <c r="L836" i="7" s="1"/>
  <c r="L130" i="73"/>
  <c r="L755" i="7" s="1"/>
  <c r="L129" i="73"/>
  <c r="N129" i="73" l="1"/>
  <c r="N754" i="7" s="1"/>
  <c r="L754" i="7"/>
  <c r="L204" i="73"/>
  <c r="K829" i="7"/>
  <c r="M209" i="73"/>
  <c r="M5" i="74"/>
  <c r="M836" i="7" s="1"/>
  <c r="M130" i="73"/>
  <c r="N5" i="74" l="1"/>
  <c r="N836" i="7" s="1"/>
  <c r="N130" i="73"/>
  <c r="N755" i="7" s="1"/>
  <c r="M755" i="7"/>
  <c r="M204" i="73"/>
  <c r="M829" i="7" s="1"/>
  <c r="L829" i="7"/>
  <c r="N209" i="73"/>
  <c r="N834" i="7" s="1"/>
  <c r="M834" i="7"/>
  <c r="O760" i="7"/>
  <c r="O759" i="7"/>
  <c r="N204" i="73" l="1"/>
  <c r="N829" i="7" s="1"/>
  <c r="L146" i="74" l="1"/>
  <c r="L977" i="7" s="1"/>
  <c r="K101" i="73"/>
  <c r="N100" i="73"/>
  <c r="N725" i="7" s="1"/>
  <c r="K100" i="73"/>
  <c r="K725" i="7" s="1"/>
  <c r="M146" i="74" l="1"/>
  <c r="M977" i="7" s="1"/>
  <c r="L101" i="73"/>
  <c r="K726" i="7"/>
  <c r="N146" i="74" l="1"/>
  <c r="N977" i="7" s="1"/>
  <c r="M101" i="73"/>
  <c r="L726" i="7"/>
  <c r="N99" i="73"/>
  <c r="N724" i="7" s="1"/>
  <c r="N101" i="73" l="1"/>
  <c r="N726" i="7" s="1"/>
  <c r="M726" i="7"/>
  <c r="O769" i="7"/>
  <c r="O768" i="7"/>
  <c r="N98" i="73" l="1"/>
  <c r="N723" i="7" s="1"/>
  <c r="K98" i="73"/>
  <c r="K723" i="7" s="1"/>
  <c r="K93" i="73" l="1"/>
  <c r="K718" i="7" s="1"/>
  <c r="L40" i="74" l="1"/>
  <c r="L871" i="7" s="1"/>
  <c r="L51" i="74"/>
  <c r="L882" i="7" s="1"/>
  <c r="K89" i="73"/>
  <c r="K714" i="7" s="1"/>
  <c r="M40" i="74" l="1"/>
  <c r="M871" i="7" s="1"/>
  <c r="M51" i="74"/>
  <c r="M882" i="7" s="1"/>
  <c r="N51" i="74" l="1"/>
  <c r="N882" i="7" s="1"/>
  <c r="N40" i="74"/>
  <c r="N871" i="7" s="1"/>
  <c r="L91" i="73"/>
  <c r="M91" i="73" l="1"/>
  <c r="M716" i="7" s="1"/>
  <c r="L716" i="7"/>
  <c r="N93" i="73"/>
  <c r="N718" i="7" s="1"/>
  <c r="N90" i="73"/>
  <c r="N715" i="7" s="1"/>
  <c r="N91" i="73" l="1"/>
  <c r="N716" i="7" s="1"/>
  <c r="L68" i="73"/>
  <c r="L66" i="73"/>
  <c r="M66" i="73" l="1"/>
  <c r="L691" i="7"/>
  <c r="M68" i="73"/>
  <c r="M693" i="7" s="1"/>
  <c r="L693" i="7"/>
  <c r="N68" i="73" l="1"/>
  <c r="N693" i="7" s="1"/>
  <c r="N66" i="73"/>
  <c r="N691" i="7" s="1"/>
  <c r="M691" i="7"/>
  <c r="L41" i="73"/>
  <c r="N41" i="73" l="1"/>
  <c r="N666" i="7" s="1"/>
  <c r="L666" i="7"/>
  <c r="L83" i="73" l="1"/>
  <c r="L80" i="73"/>
  <c r="L705" i="7" s="1"/>
  <c r="L79" i="73"/>
  <c r="L704" i="7" s="1"/>
  <c r="L78" i="73"/>
  <c r="M83" i="73" l="1"/>
  <c r="M708" i="7" s="1"/>
  <c r="L708" i="7"/>
  <c r="M78" i="73"/>
  <c r="M703" i="7" s="1"/>
  <c r="L703" i="7"/>
  <c r="M80" i="73"/>
  <c r="M79" i="73"/>
  <c r="N83" i="73" l="1"/>
  <c r="N708" i="7" s="1"/>
  <c r="N78" i="73"/>
  <c r="N703" i="7" s="1"/>
  <c r="N80" i="73"/>
  <c r="N705" i="7" s="1"/>
  <c r="M705" i="7"/>
  <c r="N79" i="73"/>
  <c r="N704" i="7" s="1"/>
  <c r="M704" i="7"/>
  <c r="L88" i="73"/>
  <c r="M88" i="73" l="1"/>
  <c r="L713" i="7"/>
  <c r="L57" i="73"/>
  <c r="L56" i="73"/>
  <c r="O767" i="7"/>
  <c r="L142" i="73"/>
  <c r="O766" i="7"/>
  <c r="L141" i="73"/>
  <c r="L766" i="7" s="1"/>
  <c r="N56" i="73" l="1"/>
  <c r="N681" i="7" s="1"/>
  <c r="L681" i="7"/>
  <c r="N142" i="73"/>
  <c r="N767" i="7" s="1"/>
  <c r="L767" i="7"/>
  <c r="N57" i="73"/>
  <c r="N682" i="7" s="1"/>
  <c r="L682" i="7"/>
  <c r="N88" i="73"/>
  <c r="N713" i="7" s="1"/>
  <c r="M713" i="7"/>
  <c r="M141" i="73"/>
  <c r="N141" i="73" l="1"/>
  <c r="N766" i="7" s="1"/>
  <c r="M766" i="7"/>
  <c r="O765" i="7"/>
  <c r="L140" i="73"/>
  <c r="L765" i="7" s="1"/>
  <c r="O764" i="7"/>
  <c r="L139" i="73"/>
  <c r="L764" i="7" s="1"/>
  <c r="M140" i="73" l="1"/>
  <c r="M139" i="73"/>
  <c r="N139" i="73" l="1"/>
  <c r="N764" i="7" s="1"/>
  <c r="M764" i="7"/>
  <c r="N140" i="73"/>
  <c r="N765" i="7" s="1"/>
  <c r="M765" i="7"/>
  <c r="L208" i="73"/>
  <c r="O833" i="7"/>
  <c r="M208" i="73" l="1"/>
  <c r="M833" i="7" s="1"/>
  <c r="L833" i="7"/>
  <c r="N208" i="73" l="1"/>
  <c r="N833" i="7" s="1"/>
  <c r="O832" i="7"/>
  <c r="O763" i="7"/>
  <c r="L207" i="73"/>
  <c r="O762" i="7"/>
  <c r="M207" i="73" l="1"/>
  <c r="L832" i="7"/>
  <c r="O33" i="54"/>
  <c r="O34" i="54"/>
  <c r="O35" i="54"/>
  <c r="O36" i="54"/>
  <c r="O27" i="54"/>
  <c r="O26" i="54"/>
  <c r="O28" i="54"/>
  <c r="O29" i="54"/>
  <c r="O32" i="54"/>
  <c r="M236" i="70"/>
  <c r="N236" i="70"/>
  <c r="L235" i="70"/>
  <c r="L236" i="70" s="1"/>
  <c r="N207" i="73" l="1"/>
  <c r="N832" i="7" s="1"/>
  <c r="M832" i="7"/>
  <c r="M216" i="72"/>
  <c r="N216" i="72"/>
  <c r="L216" i="72"/>
  <c r="L42" i="73" l="1"/>
  <c r="L49" i="73"/>
  <c r="L95" i="73"/>
  <c r="M95" i="73" l="1"/>
  <c r="M720" i="7" s="1"/>
  <c r="L720" i="7"/>
  <c r="M49" i="73"/>
  <c r="L674" i="7"/>
  <c r="M42" i="73"/>
  <c r="L667" i="7"/>
  <c r="N95" i="73" l="1"/>
  <c r="N720" i="7" s="1"/>
  <c r="N49" i="73"/>
  <c r="N674" i="7" s="1"/>
  <c r="M674" i="7"/>
  <c r="N42" i="73"/>
  <c r="N667" i="7" s="1"/>
  <c r="M667" i="7"/>
  <c r="B552" i="7"/>
  <c r="D552" i="7"/>
  <c r="E552" i="7"/>
  <c r="G552" i="7"/>
  <c r="H552" i="7"/>
  <c r="I552" i="7"/>
  <c r="J552" i="7"/>
  <c r="K552" i="7"/>
  <c r="O552" i="7"/>
  <c r="P552" i="7"/>
  <c r="Q552" i="7"/>
  <c r="L130" i="72" l="1"/>
  <c r="M130" i="72" l="1"/>
  <c r="L552" i="7"/>
  <c r="B546" i="7"/>
  <c r="D546" i="7"/>
  <c r="E546" i="7"/>
  <c r="G546" i="7"/>
  <c r="H546" i="7"/>
  <c r="I546" i="7"/>
  <c r="J546" i="7"/>
  <c r="K546" i="7"/>
  <c r="M546" i="7"/>
  <c r="O546" i="7"/>
  <c r="P546" i="7"/>
  <c r="Q546" i="7"/>
  <c r="R546" i="7"/>
  <c r="B535" i="7"/>
  <c r="D535" i="7"/>
  <c r="E535" i="7"/>
  <c r="G535" i="7"/>
  <c r="H535" i="7"/>
  <c r="I535" i="7"/>
  <c r="J535" i="7"/>
  <c r="K535" i="7"/>
  <c r="M535" i="7"/>
  <c r="O535" i="7"/>
  <c r="P535" i="7"/>
  <c r="Q535" i="7"/>
  <c r="R535" i="7"/>
  <c r="B536" i="7"/>
  <c r="D536" i="7"/>
  <c r="E536" i="7"/>
  <c r="F536" i="7"/>
  <c r="G536" i="7"/>
  <c r="H536" i="7"/>
  <c r="I536" i="7"/>
  <c r="J536" i="7"/>
  <c r="K536" i="7"/>
  <c r="O536" i="7"/>
  <c r="P536" i="7"/>
  <c r="Q536" i="7"/>
  <c r="B495" i="7"/>
  <c r="D495" i="7"/>
  <c r="E495" i="7"/>
  <c r="G495" i="7"/>
  <c r="H495" i="7"/>
  <c r="I495" i="7"/>
  <c r="J495" i="7"/>
  <c r="K495" i="7"/>
  <c r="L495" i="7"/>
  <c r="M495" i="7"/>
  <c r="O495" i="7"/>
  <c r="P495" i="7"/>
  <c r="Q495" i="7"/>
  <c r="R495" i="7"/>
  <c r="B492" i="7"/>
  <c r="D492" i="7"/>
  <c r="E492" i="7"/>
  <c r="F492" i="7"/>
  <c r="G492" i="7"/>
  <c r="H492" i="7"/>
  <c r="I492" i="7"/>
  <c r="J492" i="7"/>
  <c r="K492" i="7"/>
  <c r="M492" i="7"/>
  <c r="O492" i="7"/>
  <c r="P492" i="7"/>
  <c r="Q492" i="7"/>
  <c r="B547" i="7"/>
  <c r="D547" i="7"/>
  <c r="E547" i="7"/>
  <c r="F547" i="7"/>
  <c r="G547" i="7"/>
  <c r="H547" i="7"/>
  <c r="I547" i="7"/>
  <c r="J547" i="7"/>
  <c r="K547" i="7"/>
  <c r="O547" i="7"/>
  <c r="P547" i="7"/>
  <c r="Q547" i="7"/>
  <c r="B548" i="7"/>
  <c r="D548" i="7"/>
  <c r="E548" i="7"/>
  <c r="G548" i="7"/>
  <c r="H548" i="7"/>
  <c r="I548" i="7"/>
  <c r="J548" i="7"/>
  <c r="K548" i="7"/>
  <c r="M548" i="7"/>
  <c r="O548" i="7"/>
  <c r="P548" i="7"/>
  <c r="Q548" i="7"/>
  <c r="B549" i="7"/>
  <c r="D549" i="7"/>
  <c r="E549" i="7"/>
  <c r="G549" i="7"/>
  <c r="H549" i="7"/>
  <c r="I549" i="7"/>
  <c r="J549" i="7"/>
  <c r="K549" i="7"/>
  <c r="O549" i="7"/>
  <c r="P549" i="7"/>
  <c r="Q549" i="7"/>
  <c r="B550" i="7"/>
  <c r="D550" i="7"/>
  <c r="E550" i="7"/>
  <c r="G550" i="7"/>
  <c r="H550" i="7"/>
  <c r="I550" i="7"/>
  <c r="J550" i="7"/>
  <c r="K550" i="7"/>
  <c r="O550" i="7"/>
  <c r="P550" i="7"/>
  <c r="Q550" i="7"/>
  <c r="B551" i="7"/>
  <c r="D551" i="7"/>
  <c r="E551" i="7"/>
  <c r="G551" i="7"/>
  <c r="H551" i="7"/>
  <c r="I551" i="7"/>
  <c r="J551" i="7"/>
  <c r="K551" i="7"/>
  <c r="M551" i="7"/>
  <c r="N551" i="7"/>
  <c r="O551" i="7"/>
  <c r="P551" i="7"/>
  <c r="Q551" i="7"/>
  <c r="R551" i="7"/>
  <c r="B553" i="7"/>
  <c r="C553" i="7"/>
  <c r="D553" i="7"/>
  <c r="E553" i="7"/>
  <c r="F553" i="7"/>
  <c r="G553" i="7"/>
  <c r="H553" i="7"/>
  <c r="I553" i="7"/>
  <c r="J553" i="7"/>
  <c r="K553" i="7"/>
  <c r="P553" i="7"/>
  <c r="Q553" i="7"/>
  <c r="B554" i="7"/>
  <c r="C554" i="7"/>
  <c r="D554" i="7"/>
  <c r="E554" i="7"/>
  <c r="F554" i="7"/>
  <c r="G554" i="7"/>
  <c r="H554" i="7"/>
  <c r="I554" i="7"/>
  <c r="J554" i="7"/>
  <c r="K554" i="7"/>
  <c r="P554" i="7"/>
  <c r="Q554" i="7"/>
  <c r="B555" i="7"/>
  <c r="C555" i="7"/>
  <c r="D555" i="7"/>
  <c r="E555" i="7"/>
  <c r="F555" i="7"/>
  <c r="G555" i="7"/>
  <c r="H555" i="7"/>
  <c r="I555" i="7"/>
  <c r="J555" i="7"/>
  <c r="K555" i="7"/>
  <c r="P555" i="7"/>
  <c r="Q555" i="7"/>
  <c r="B556" i="7"/>
  <c r="C556" i="7"/>
  <c r="D556" i="7"/>
  <c r="E556" i="7"/>
  <c r="F556" i="7"/>
  <c r="G556" i="7"/>
  <c r="H556" i="7"/>
  <c r="I556" i="7"/>
  <c r="J556" i="7"/>
  <c r="K556" i="7"/>
  <c r="P556" i="7"/>
  <c r="Q556" i="7"/>
  <c r="R556" i="7"/>
  <c r="B557" i="7"/>
  <c r="C557" i="7"/>
  <c r="D557" i="7"/>
  <c r="E557" i="7"/>
  <c r="F557" i="7"/>
  <c r="G557" i="7"/>
  <c r="H557" i="7"/>
  <c r="I557" i="7"/>
  <c r="J557" i="7"/>
  <c r="K557" i="7"/>
  <c r="P557" i="7"/>
  <c r="Q557" i="7"/>
  <c r="R557" i="7"/>
  <c r="B558" i="7"/>
  <c r="C558" i="7"/>
  <c r="D558" i="7"/>
  <c r="E558" i="7"/>
  <c r="F558" i="7"/>
  <c r="G558" i="7"/>
  <c r="H558" i="7"/>
  <c r="I558" i="7"/>
  <c r="J558" i="7"/>
  <c r="K558" i="7"/>
  <c r="P558" i="7"/>
  <c r="Q558" i="7"/>
  <c r="R558" i="7"/>
  <c r="B559" i="7"/>
  <c r="C559" i="7"/>
  <c r="D559" i="7"/>
  <c r="E559" i="7"/>
  <c r="F559" i="7"/>
  <c r="G559" i="7"/>
  <c r="H559" i="7"/>
  <c r="I559" i="7"/>
  <c r="J559" i="7"/>
  <c r="K559" i="7"/>
  <c r="P559" i="7"/>
  <c r="Q559" i="7"/>
  <c r="R559" i="7"/>
  <c r="B560" i="7"/>
  <c r="C560" i="7"/>
  <c r="D560" i="7"/>
  <c r="E560" i="7"/>
  <c r="F560" i="7"/>
  <c r="G560" i="7"/>
  <c r="H560" i="7"/>
  <c r="I560" i="7"/>
  <c r="J560" i="7"/>
  <c r="K560" i="7"/>
  <c r="P560" i="7"/>
  <c r="Q560" i="7"/>
  <c r="R560" i="7"/>
  <c r="B561" i="7"/>
  <c r="C561" i="7"/>
  <c r="D561" i="7"/>
  <c r="E561" i="7"/>
  <c r="F561" i="7"/>
  <c r="G561" i="7"/>
  <c r="H561" i="7"/>
  <c r="I561" i="7"/>
  <c r="J561" i="7"/>
  <c r="K561" i="7"/>
  <c r="P561" i="7"/>
  <c r="Q561" i="7"/>
  <c r="R561" i="7"/>
  <c r="B562" i="7"/>
  <c r="C562" i="7"/>
  <c r="D562" i="7"/>
  <c r="E562" i="7"/>
  <c r="F562" i="7"/>
  <c r="G562" i="7"/>
  <c r="H562" i="7"/>
  <c r="I562" i="7"/>
  <c r="J562" i="7"/>
  <c r="K562" i="7"/>
  <c r="M562" i="7"/>
  <c r="P562" i="7"/>
  <c r="Q562" i="7"/>
  <c r="B563" i="7"/>
  <c r="C563" i="7"/>
  <c r="D563" i="7"/>
  <c r="E563" i="7"/>
  <c r="F563" i="7"/>
  <c r="G563" i="7"/>
  <c r="H563" i="7"/>
  <c r="I563" i="7"/>
  <c r="J563" i="7"/>
  <c r="K563" i="7"/>
  <c r="P563" i="7"/>
  <c r="Q563" i="7"/>
  <c r="R563" i="7"/>
  <c r="B564" i="7"/>
  <c r="C564" i="7"/>
  <c r="D564" i="7"/>
  <c r="E564" i="7"/>
  <c r="F564" i="7"/>
  <c r="G564" i="7"/>
  <c r="H564" i="7"/>
  <c r="I564" i="7"/>
  <c r="J564" i="7"/>
  <c r="K564" i="7"/>
  <c r="P564" i="7"/>
  <c r="Q564" i="7"/>
  <c r="B565" i="7"/>
  <c r="C565" i="7"/>
  <c r="D565" i="7"/>
  <c r="E565" i="7"/>
  <c r="F565" i="7"/>
  <c r="G565" i="7"/>
  <c r="H565" i="7"/>
  <c r="I565" i="7"/>
  <c r="J565" i="7"/>
  <c r="K565" i="7"/>
  <c r="P565" i="7"/>
  <c r="Q565" i="7"/>
  <c r="R565" i="7"/>
  <c r="B566" i="7"/>
  <c r="C566" i="7"/>
  <c r="D566" i="7"/>
  <c r="E566" i="7"/>
  <c r="F566" i="7"/>
  <c r="G566" i="7"/>
  <c r="H566" i="7"/>
  <c r="I566" i="7"/>
  <c r="J566" i="7"/>
  <c r="K566" i="7"/>
  <c r="M566" i="7"/>
  <c r="P566" i="7"/>
  <c r="Q566" i="7"/>
  <c r="B567" i="7"/>
  <c r="C567" i="7"/>
  <c r="D567" i="7"/>
  <c r="E567" i="7"/>
  <c r="F567" i="7"/>
  <c r="G567" i="7"/>
  <c r="H567" i="7"/>
  <c r="I567" i="7"/>
  <c r="J567" i="7"/>
  <c r="K567" i="7"/>
  <c r="P567" i="7"/>
  <c r="Q567" i="7"/>
  <c r="B568" i="7"/>
  <c r="C568" i="7"/>
  <c r="D568" i="7"/>
  <c r="E568" i="7"/>
  <c r="F568" i="7"/>
  <c r="G568" i="7"/>
  <c r="H568" i="7"/>
  <c r="I568" i="7"/>
  <c r="J568" i="7"/>
  <c r="K568" i="7"/>
  <c r="P568" i="7"/>
  <c r="Q568" i="7"/>
  <c r="R568" i="7"/>
  <c r="B569" i="7"/>
  <c r="C569" i="7"/>
  <c r="D569" i="7"/>
  <c r="E569" i="7"/>
  <c r="F569" i="7"/>
  <c r="G569" i="7"/>
  <c r="H569" i="7"/>
  <c r="I569" i="7"/>
  <c r="J569" i="7"/>
  <c r="K569" i="7"/>
  <c r="P569" i="7"/>
  <c r="Q569" i="7"/>
  <c r="R569" i="7"/>
  <c r="B570" i="7"/>
  <c r="C570" i="7"/>
  <c r="D570" i="7"/>
  <c r="E570" i="7"/>
  <c r="F570" i="7"/>
  <c r="G570" i="7"/>
  <c r="H570" i="7"/>
  <c r="I570" i="7"/>
  <c r="J570" i="7"/>
  <c r="K570" i="7"/>
  <c r="P570" i="7"/>
  <c r="Q570" i="7"/>
  <c r="R570" i="7"/>
  <c r="B571" i="7"/>
  <c r="C571" i="7"/>
  <c r="D571" i="7"/>
  <c r="E571" i="7"/>
  <c r="F571" i="7"/>
  <c r="G571" i="7"/>
  <c r="H571" i="7"/>
  <c r="I571" i="7"/>
  <c r="J571" i="7"/>
  <c r="K571" i="7"/>
  <c r="P571" i="7"/>
  <c r="Q571" i="7"/>
  <c r="R571" i="7"/>
  <c r="B572" i="7"/>
  <c r="C572" i="7"/>
  <c r="D572" i="7"/>
  <c r="E572" i="7"/>
  <c r="F572" i="7"/>
  <c r="G572" i="7"/>
  <c r="H572" i="7"/>
  <c r="I572" i="7"/>
  <c r="J572" i="7"/>
  <c r="K572" i="7"/>
  <c r="P572" i="7"/>
  <c r="Q572" i="7"/>
  <c r="B573" i="7"/>
  <c r="C573" i="7"/>
  <c r="D573" i="7"/>
  <c r="E573" i="7"/>
  <c r="F573" i="7"/>
  <c r="G573" i="7"/>
  <c r="H573" i="7"/>
  <c r="I573" i="7"/>
  <c r="J573" i="7"/>
  <c r="K573" i="7"/>
  <c r="P573" i="7"/>
  <c r="Q573" i="7"/>
  <c r="B574" i="7"/>
  <c r="C574" i="7"/>
  <c r="D574" i="7"/>
  <c r="E574" i="7"/>
  <c r="F574" i="7"/>
  <c r="G574" i="7"/>
  <c r="H574" i="7"/>
  <c r="I574" i="7"/>
  <c r="J574" i="7"/>
  <c r="K574" i="7"/>
  <c r="P574" i="7"/>
  <c r="Q574" i="7"/>
  <c r="B575" i="7"/>
  <c r="C575" i="7"/>
  <c r="D575" i="7"/>
  <c r="E575" i="7"/>
  <c r="F575" i="7"/>
  <c r="G575" i="7"/>
  <c r="H575" i="7"/>
  <c r="I575" i="7"/>
  <c r="J575" i="7"/>
  <c r="K575" i="7"/>
  <c r="P575" i="7"/>
  <c r="Q575" i="7"/>
  <c r="R575" i="7"/>
  <c r="B576" i="7"/>
  <c r="C576" i="7"/>
  <c r="D576" i="7"/>
  <c r="E576" i="7"/>
  <c r="F576" i="7"/>
  <c r="G576" i="7"/>
  <c r="H576" i="7"/>
  <c r="I576" i="7"/>
  <c r="J576" i="7"/>
  <c r="K576" i="7"/>
  <c r="P576" i="7"/>
  <c r="Q576" i="7"/>
  <c r="B577" i="7"/>
  <c r="C577" i="7"/>
  <c r="D577" i="7"/>
  <c r="E577" i="7"/>
  <c r="F577" i="7"/>
  <c r="G577" i="7"/>
  <c r="H577" i="7"/>
  <c r="I577" i="7"/>
  <c r="J577" i="7"/>
  <c r="K577" i="7"/>
  <c r="M577" i="7"/>
  <c r="P577" i="7"/>
  <c r="Q577" i="7"/>
  <c r="B578" i="7"/>
  <c r="C578" i="7"/>
  <c r="D578" i="7"/>
  <c r="E578" i="7"/>
  <c r="F578" i="7"/>
  <c r="G578" i="7"/>
  <c r="H578" i="7"/>
  <c r="I578" i="7"/>
  <c r="J578" i="7"/>
  <c r="K578" i="7"/>
  <c r="P578" i="7"/>
  <c r="Q578" i="7"/>
  <c r="R578" i="7"/>
  <c r="B579" i="7"/>
  <c r="C579" i="7"/>
  <c r="D579" i="7"/>
  <c r="E579" i="7"/>
  <c r="F579" i="7"/>
  <c r="G579" i="7"/>
  <c r="H579" i="7"/>
  <c r="I579" i="7"/>
  <c r="J579" i="7"/>
  <c r="K579" i="7"/>
  <c r="M579" i="7"/>
  <c r="P579" i="7"/>
  <c r="Q579" i="7"/>
  <c r="R579" i="7"/>
  <c r="B580" i="7"/>
  <c r="C580" i="7"/>
  <c r="D580" i="7"/>
  <c r="E580" i="7"/>
  <c r="F580" i="7"/>
  <c r="G580" i="7"/>
  <c r="H580" i="7"/>
  <c r="I580" i="7"/>
  <c r="J580" i="7"/>
  <c r="K580" i="7"/>
  <c r="P580" i="7"/>
  <c r="Q580" i="7"/>
  <c r="R580" i="7"/>
  <c r="B581" i="7"/>
  <c r="C581" i="7"/>
  <c r="D581" i="7"/>
  <c r="E581" i="7"/>
  <c r="F581" i="7"/>
  <c r="G581" i="7"/>
  <c r="H581" i="7"/>
  <c r="I581" i="7"/>
  <c r="J581" i="7"/>
  <c r="K581" i="7"/>
  <c r="P581" i="7"/>
  <c r="Q581" i="7"/>
  <c r="B582" i="7"/>
  <c r="C582" i="7"/>
  <c r="D582" i="7"/>
  <c r="E582" i="7"/>
  <c r="F582" i="7"/>
  <c r="G582" i="7"/>
  <c r="H582" i="7"/>
  <c r="I582" i="7"/>
  <c r="J582" i="7"/>
  <c r="K582" i="7"/>
  <c r="P582" i="7"/>
  <c r="Q582" i="7"/>
  <c r="B583" i="7"/>
  <c r="C583" i="7"/>
  <c r="D583" i="7"/>
  <c r="E583" i="7"/>
  <c r="F583" i="7"/>
  <c r="G583" i="7"/>
  <c r="H583" i="7"/>
  <c r="I583" i="7"/>
  <c r="J583" i="7"/>
  <c r="K583" i="7"/>
  <c r="P583" i="7"/>
  <c r="Q583" i="7"/>
  <c r="B584" i="7"/>
  <c r="C584" i="7"/>
  <c r="D584" i="7"/>
  <c r="E584" i="7"/>
  <c r="F584" i="7"/>
  <c r="G584" i="7"/>
  <c r="H584" i="7"/>
  <c r="I584" i="7"/>
  <c r="J584" i="7"/>
  <c r="K584" i="7"/>
  <c r="P584" i="7"/>
  <c r="Q584" i="7"/>
  <c r="R584" i="7"/>
  <c r="B585" i="7"/>
  <c r="C585" i="7"/>
  <c r="D585" i="7"/>
  <c r="E585" i="7"/>
  <c r="F585" i="7"/>
  <c r="G585" i="7"/>
  <c r="H585" i="7"/>
  <c r="I585" i="7"/>
  <c r="J585" i="7"/>
  <c r="K585" i="7"/>
  <c r="M585" i="7"/>
  <c r="P585" i="7"/>
  <c r="Q585" i="7"/>
  <c r="B586" i="7"/>
  <c r="C586" i="7"/>
  <c r="D586" i="7"/>
  <c r="E586" i="7"/>
  <c r="F586" i="7"/>
  <c r="G586" i="7"/>
  <c r="H586" i="7"/>
  <c r="I586" i="7"/>
  <c r="J586" i="7"/>
  <c r="K586" i="7"/>
  <c r="P586" i="7"/>
  <c r="Q586" i="7"/>
  <c r="R586" i="7"/>
  <c r="B587" i="7"/>
  <c r="C587" i="7"/>
  <c r="D587" i="7"/>
  <c r="E587" i="7"/>
  <c r="F587" i="7"/>
  <c r="G587" i="7"/>
  <c r="H587" i="7"/>
  <c r="I587" i="7"/>
  <c r="J587" i="7"/>
  <c r="K587" i="7"/>
  <c r="P587" i="7"/>
  <c r="Q587" i="7"/>
  <c r="R587" i="7"/>
  <c r="B588" i="7"/>
  <c r="C588" i="7"/>
  <c r="D588" i="7"/>
  <c r="E588" i="7"/>
  <c r="F588" i="7"/>
  <c r="G588" i="7"/>
  <c r="H588" i="7"/>
  <c r="I588" i="7"/>
  <c r="J588" i="7"/>
  <c r="K588" i="7"/>
  <c r="P588" i="7"/>
  <c r="Q588" i="7"/>
  <c r="B589" i="7"/>
  <c r="C589" i="7"/>
  <c r="D589" i="7"/>
  <c r="E589" i="7"/>
  <c r="F589" i="7"/>
  <c r="G589" i="7"/>
  <c r="H589" i="7"/>
  <c r="I589" i="7"/>
  <c r="J589" i="7"/>
  <c r="K589" i="7"/>
  <c r="P589" i="7"/>
  <c r="Q589" i="7"/>
  <c r="B590" i="7"/>
  <c r="C590" i="7"/>
  <c r="D590" i="7"/>
  <c r="E590" i="7"/>
  <c r="F590" i="7"/>
  <c r="G590" i="7"/>
  <c r="H590" i="7"/>
  <c r="I590" i="7"/>
  <c r="J590" i="7"/>
  <c r="K590" i="7"/>
  <c r="P590" i="7"/>
  <c r="Q590" i="7"/>
  <c r="B591" i="7"/>
  <c r="C591" i="7"/>
  <c r="D591" i="7"/>
  <c r="E591" i="7"/>
  <c r="F591" i="7"/>
  <c r="G591" i="7"/>
  <c r="H591" i="7"/>
  <c r="I591" i="7"/>
  <c r="J591" i="7"/>
  <c r="K591" i="7"/>
  <c r="P591" i="7"/>
  <c r="Q591" i="7"/>
  <c r="R591" i="7"/>
  <c r="B592" i="7"/>
  <c r="C592" i="7"/>
  <c r="D592" i="7"/>
  <c r="E592" i="7"/>
  <c r="F592" i="7"/>
  <c r="G592" i="7"/>
  <c r="H592" i="7"/>
  <c r="I592" i="7"/>
  <c r="J592" i="7"/>
  <c r="K592" i="7"/>
  <c r="P592" i="7"/>
  <c r="Q592" i="7"/>
  <c r="R592" i="7"/>
  <c r="B593" i="7"/>
  <c r="C593" i="7"/>
  <c r="D593" i="7"/>
  <c r="E593" i="7"/>
  <c r="F593" i="7"/>
  <c r="G593" i="7"/>
  <c r="H593" i="7"/>
  <c r="I593" i="7"/>
  <c r="J593" i="7"/>
  <c r="K593" i="7"/>
  <c r="P593" i="7"/>
  <c r="Q593" i="7"/>
  <c r="B594" i="7"/>
  <c r="C594" i="7"/>
  <c r="D594" i="7"/>
  <c r="E594" i="7"/>
  <c r="F594" i="7"/>
  <c r="G594" i="7"/>
  <c r="H594" i="7"/>
  <c r="I594" i="7"/>
  <c r="J594" i="7"/>
  <c r="K594" i="7"/>
  <c r="P594" i="7"/>
  <c r="Q594" i="7"/>
  <c r="R594" i="7"/>
  <c r="B595" i="7"/>
  <c r="C595" i="7"/>
  <c r="D595" i="7"/>
  <c r="E595" i="7"/>
  <c r="F595" i="7"/>
  <c r="G595" i="7"/>
  <c r="H595" i="7"/>
  <c r="I595" i="7"/>
  <c r="J595" i="7"/>
  <c r="K595" i="7"/>
  <c r="P595" i="7"/>
  <c r="Q595" i="7"/>
  <c r="B596" i="7"/>
  <c r="C596" i="7"/>
  <c r="D596" i="7"/>
  <c r="E596" i="7"/>
  <c r="F596" i="7"/>
  <c r="G596" i="7"/>
  <c r="H596" i="7"/>
  <c r="I596" i="7"/>
  <c r="J596" i="7"/>
  <c r="K596" i="7"/>
  <c r="P596" i="7"/>
  <c r="Q596" i="7"/>
  <c r="B597" i="7"/>
  <c r="C597" i="7"/>
  <c r="D597" i="7"/>
  <c r="E597" i="7"/>
  <c r="F597" i="7"/>
  <c r="G597" i="7"/>
  <c r="H597" i="7"/>
  <c r="I597" i="7"/>
  <c r="J597" i="7"/>
  <c r="K597" i="7"/>
  <c r="P597" i="7"/>
  <c r="Q597" i="7"/>
  <c r="R597" i="7"/>
  <c r="B598" i="7"/>
  <c r="C598" i="7"/>
  <c r="D598" i="7"/>
  <c r="E598" i="7"/>
  <c r="F598" i="7"/>
  <c r="G598" i="7"/>
  <c r="H598" i="7"/>
  <c r="I598" i="7"/>
  <c r="J598" i="7"/>
  <c r="K598" i="7"/>
  <c r="P598" i="7"/>
  <c r="Q598" i="7"/>
  <c r="R598" i="7"/>
  <c r="B599" i="7"/>
  <c r="C599" i="7"/>
  <c r="D599" i="7"/>
  <c r="E599" i="7"/>
  <c r="F599" i="7"/>
  <c r="G599" i="7"/>
  <c r="H599" i="7"/>
  <c r="I599" i="7"/>
  <c r="J599" i="7"/>
  <c r="K599" i="7"/>
  <c r="P599" i="7"/>
  <c r="Q599" i="7"/>
  <c r="R599" i="7"/>
  <c r="B600" i="7"/>
  <c r="C600" i="7"/>
  <c r="D600" i="7"/>
  <c r="E600" i="7"/>
  <c r="F600" i="7"/>
  <c r="G600" i="7"/>
  <c r="H600" i="7"/>
  <c r="I600" i="7"/>
  <c r="J600" i="7"/>
  <c r="K600" i="7"/>
  <c r="P600" i="7"/>
  <c r="Q600" i="7"/>
  <c r="R600" i="7"/>
  <c r="B601" i="7"/>
  <c r="C601" i="7"/>
  <c r="D601" i="7"/>
  <c r="E601" i="7"/>
  <c r="F601" i="7"/>
  <c r="G601" i="7"/>
  <c r="H601" i="7"/>
  <c r="I601" i="7"/>
  <c r="J601" i="7"/>
  <c r="K601" i="7"/>
  <c r="P601" i="7"/>
  <c r="Q601" i="7"/>
  <c r="R601" i="7"/>
  <c r="B602" i="7"/>
  <c r="C602" i="7"/>
  <c r="D602" i="7"/>
  <c r="E602" i="7"/>
  <c r="F602" i="7"/>
  <c r="G602" i="7"/>
  <c r="H602" i="7"/>
  <c r="I602" i="7"/>
  <c r="J602" i="7"/>
  <c r="K602" i="7"/>
  <c r="P602" i="7"/>
  <c r="Q602" i="7"/>
  <c r="B603" i="7"/>
  <c r="C603" i="7"/>
  <c r="D603" i="7"/>
  <c r="E603" i="7"/>
  <c r="F603" i="7"/>
  <c r="G603" i="7"/>
  <c r="H603" i="7"/>
  <c r="I603" i="7"/>
  <c r="J603" i="7"/>
  <c r="K603" i="7"/>
  <c r="P603" i="7"/>
  <c r="Q603" i="7"/>
  <c r="R603" i="7"/>
  <c r="B604" i="7"/>
  <c r="C604" i="7"/>
  <c r="D604" i="7"/>
  <c r="E604" i="7"/>
  <c r="F604" i="7"/>
  <c r="G604" i="7"/>
  <c r="H604" i="7"/>
  <c r="I604" i="7"/>
  <c r="J604" i="7"/>
  <c r="K604" i="7"/>
  <c r="P604" i="7"/>
  <c r="Q604" i="7"/>
  <c r="R604" i="7"/>
  <c r="B605" i="7"/>
  <c r="C605" i="7"/>
  <c r="D605" i="7"/>
  <c r="E605" i="7"/>
  <c r="F605" i="7"/>
  <c r="G605" i="7"/>
  <c r="H605" i="7"/>
  <c r="I605" i="7"/>
  <c r="J605" i="7"/>
  <c r="K605" i="7"/>
  <c r="P605" i="7"/>
  <c r="Q605" i="7"/>
  <c r="B606" i="7"/>
  <c r="C606" i="7"/>
  <c r="D606" i="7"/>
  <c r="E606" i="7"/>
  <c r="F606" i="7"/>
  <c r="G606" i="7"/>
  <c r="H606" i="7"/>
  <c r="I606" i="7"/>
  <c r="J606" i="7"/>
  <c r="K606" i="7"/>
  <c r="P606" i="7"/>
  <c r="Q606" i="7"/>
  <c r="B607" i="7"/>
  <c r="C607" i="7"/>
  <c r="D607" i="7"/>
  <c r="E607" i="7"/>
  <c r="F607" i="7"/>
  <c r="G607" i="7"/>
  <c r="H607" i="7"/>
  <c r="I607" i="7"/>
  <c r="J607" i="7"/>
  <c r="K607" i="7"/>
  <c r="P607" i="7"/>
  <c r="Q607" i="7"/>
  <c r="R607" i="7"/>
  <c r="B608" i="7"/>
  <c r="C608" i="7"/>
  <c r="D608" i="7"/>
  <c r="E608" i="7"/>
  <c r="F608" i="7"/>
  <c r="G608" i="7"/>
  <c r="H608" i="7"/>
  <c r="I608" i="7"/>
  <c r="J608" i="7"/>
  <c r="K608" i="7"/>
  <c r="P608" i="7"/>
  <c r="Q608" i="7"/>
  <c r="R608" i="7"/>
  <c r="B609" i="7"/>
  <c r="C609" i="7"/>
  <c r="D609" i="7"/>
  <c r="E609" i="7"/>
  <c r="F609" i="7"/>
  <c r="G609" i="7"/>
  <c r="H609" i="7"/>
  <c r="I609" i="7"/>
  <c r="J609" i="7"/>
  <c r="K609" i="7"/>
  <c r="P609" i="7"/>
  <c r="Q609" i="7"/>
  <c r="B610" i="7"/>
  <c r="C610" i="7"/>
  <c r="D610" i="7"/>
  <c r="E610" i="7"/>
  <c r="F610" i="7"/>
  <c r="G610" i="7"/>
  <c r="H610" i="7"/>
  <c r="I610" i="7"/>
  <c r="J610" i="7"/>
  <c r="K610" i="7"/>
  <c r="P610" i="7"/>
  <c r="Q610" i="7"/>
  <c r="R610" i="7"/>
  <c r="B611" i="7"/>
  <c r="C611" i="7"/>
  <c r="D611" i="7"/>
  <c r="E611" i="7"/>
  <c r="F611" i="7"/>
  <c r="G611" i="7"/>
  <c r="H611" i="7"/>
  <c r="I611" i="7"/>
  <c r="J611" i="7"/>
  <c r="K611" i="7"/>
  <c r="P611" i="7"/>
  <c r="Q611" i="7"/>
  <c r="R611" i="7"/>
  <c r="B612" i="7"/>
  <c r="C612" i="7"/>
  <c r="D612" i="7"/>
  <c r="E612" i="7"/>
  <c r="F612" i="7"/>
  <c r="G612" i="7"/>
  <c r="H612" i="7"/>
  <c r="I612" i="7"/>
  <c r="J612" i="7"/>
  <c r="K612" i="7"/>
  <c r="P612" i="7"/>
  <c r="Q612" i="7"/>
  <c r="B613" i="7"/>
  <c r="C613" i="7"/>
  <c r="D613" i="7"/>
  <c r="E613" i="7"/>
  <c r="F613" i="7"/>
  <c r="G613" i="7"/>
  <c r="H613" i="7"/>
  <c r="I613" i="7"/>
  <c r="J613" i="7"/>
  <c r="K613" i="7"/>
  <c r="P613" i="7"/>
  <c r="Q613" i="7"/>
  <c r="B614" i="7"/>
  <c r="C614" i="7"/>
  <c r="D614" i="7"/>
  <c r="E614" i="7"/>
  <c r="F614" i="7"/>
  <c r="G614" i="7"/>
  <c r="H614" i="7"/>
  <c r="I614" i="7"/>
  <c r="J614" i="7"/>
  <c r="K614" i="7"/>
  <c r="P614" i="7"/>
  <c r="Q614" i="7"/>
  <c r="B615" i="7"/>
  <c r="C615" i="7"/>
  <c r="D615" i="7"/>
  <c r="E615" i="7"/>
  <c r="F615" i="7"/>
  <c r="G615" i="7"/>
  <c r="H615" i="7"/>
  <c r="I615" i="7"/>
  <c r="J615" i="7"/>
  <c r="K615" i="7"/>
  <c r="P615" i="7"/>
  <c r="Q615" i="7"/>
  <c r="B616" i="7"/>
  <c r="C616" i="7"/>
  <c r="D616" i="7"/>
  <c r="E616" i="7"/>
  <c r="F616" i="7"/>
  <c r="G616" i="7"/>
  <c r="H616" i="7"/>
  <c r="I616" i="7"/>
  <c r="J616" i="7"/>
  <c r="K616" i="7"/>
  <c r="P616" i="7"/>
  <c r="Q616" i="7"/>
  <c r="B617" i="7"/>
  <c r="C617" i="7"/>
  <c r="D617" i="7"/>
  <c r="E617" i="7"/>
  <c r="F617" i="7"/>
  <c r="G617" i="7"/>
  <c r="H617" i="7"/>
  <c r="I617" i="7"/>
  <c r="J617" i="7"/>
  <c r="K617" i="7"/>
  <c r="P617" i="7"/>
  <c r="Q617" i="7"/>
  <c r="B618" i="7"/>
  <c r="C618" i="7"/>
  <c r="D618" i="7"/>
  <c r="E618" i="7"/>
  <c r="F618" i="7"/>
  <c r="G618" i="7"/>
  <c r="H618" i="7"/>
  <c r="I618" i="7"/>
  <c r="J618" i="7"/>
  <c r="K618" i="7"/>
  <c r="P618" i="7"/>
  <c r="Q618" i="7"/>
  <c r="B619" i="7"/>
  <c r="C619" i="7"/>
  <c r="D619" i="7"/>
  <c r="E619" i="7"/>
  <c r="F619" i="7"/>
  <c r="G619" i="7"/>
  <c r="H619" i="7"/>
  <c r="I619" i="7"/>
  <c r="J619" i="7"/>
  <c r="K619" i="7"/>
  <c r="P619" i="7"/>
  <c r="Q619" i="7"/>
  <c r="R619" i="7"/>
  <c r="B620" i="7"/>
  <c r="C620" i="7"/>
  <c r="D620" i="7"/>
  <c r="E620" i="7"/>
  <c r="F620" i="7"/>
  <c r="G620" i="7"/>
  <c r="H620" i="7"/>
  <c r="I620" i="7"/>
  <c r="J620" i="7"/>
  <c r="K620" i="7"/>
  <c r="P620" i="7"/>
  <c r="Q620" i="7"/>
  <c r="B621" i="7"/>
  <c r="C621" i="7"/>
  <c r="D621" i="7"/>
  <c r="E621" i="7"/>
  <c r="F621" i="7"/>
  <c r="G621" i="7"/>
  <c r="H621" i="7"/>
  <c r="I621" i="7"/>
  <c r="J621" i="7"/>
  <c r="K621" i="7"/>
  <c r="P621" i="7"/>
  <c r="Q621" i="7"/>
  <c r="B622" i="7"/>
  <c r="C622" i="7"/>
  <c r="D622" i="7"/>
  <c r="E622" i="7"/>
  <c r="F622" i="7"/>
  <c r="G622" i="7"/>
  <c r="H622" i="7"/>
  <c r="I622" i="7"/>
  <c r="J622" i="7"/>
  <c r="K622" i="7"/>
  <c r="P622" i="7"/>
  <c r="Q622" i="7"/>
  <c r="R622" i="7"/>
  <c r="B623" i="7"/>
  <c r="C623" i="7"/>
  <c r="D623" i="7"/>
  <c r="E623" i="7"/>
  <c r="F623" i="7"/>
  <c r="G623" i="7"/>
  <c r="H623" i="7"/>
  <c r="I623" i="7"/>
  <c r="J623" i="7"/>
  <c r="K623" i="7"/>
  <c r="P623" i="7"/>
  <c r="Q623" i="7"/>
  <c r="B624" i="7"/>
  <c r="C624" i="7"/>
  <c r="D624" i="7"/>
  <c r="E624" i="7"/>
  <c r="F624" i="7"/>
  <c r="G624" i="7"/>
  <c r="H624" i="7"/>
  <c r="I624" i="7"/>
  <c r="J624" i="7"/>
  <c r="K624" i="7"/>
  <c r="P624" i="7"/>
  <c r="Q624" i="7"/>
  <c r="B625" i="7"/>
  <c r="C625" i="7"/>
  <c r="D625" i="7"/>
  <c r="E625" i="7"/>
  <c r="F625" i="7"/>
  <c r="G625" i="7"/>
  <c r="H625" i="7"/>
  <c r="I625" i="7"/>
  <c r="J625" i="7"/>
  <c r="K625" i="7"/>
  <c r="P625" i="7"/>
  <c r="Q625" i="7"/>
  <c r="R625" i="7"/>
  <c r="B626" i="7"/>
  <c r="C626" i="7"/>
  <c r="D626" i="7"/>
  <c r="E626" i="7"/>
  <c r="F626" i="7"/>
  <c r="G626" i="7"/>
  <c r="H626" i="7"/>
  <c r="I626" i="7"/>
  <c r="J626" i="7"/>
  <c r="K626" i="7"/>
  <c r="P626" i="7"/>
  <c r="Q626" i="7"/>
  <c r="R626" i="7"/>
  <c r="B627" i="7"/>
  <c r="C627" i="7"/>
  <c r="D627" i="7"/>
  <c r="E627" i="7"/>
  <c r="F627" i="7"/>
  <c r="G627" i="7"/>
  <c r="H627" i="7"/>
  <c r="I627" i="7"/>
  <c r="J627" i="7"/>
  <c r="K627" i="7"/>
  <c r="P627" i="7"/>
  <c r="Q627" i="7"/>
  <c r="B628" i="7"/>
  <c r="C628" i="7"/>
  <c r="D628" i="7"/>
  <c r="E628" i="7"/>
  <c r="F628" i="7"/>
  <c r="G628" i="7"/>
  <c r="H628" i="7"/>
  <c r="I628" i="7"/>
  <c r="J628" i="7"/>
  <c r="K628" i="7"/>
  <c r="P628" i="7"/>
  <c r="Q628" i="7"/>
  <c r="R628" i="7"/>
  <c r="B629" i="7"/>
  <c r="C629" i="7"/>
  <c r="D629" i="7"/>
  <c r="E629" i="7"/>
  <c r="F629" i="7"/>
  <c r="G629" i="7"/>
  <c r="H629" i="7"/>
  <c r="I629" i="7"/>
  <c r="J629" i="7"/>
  <c r="K629" i="7"/>
  <c r="P629" i="7"/>
  <c r="Q629" i="7"/>
  <c r="B537" i="7"/>
  <c r="D537" i="7"/>
  <c r="E537" i="7"/>
  <c r="F537" i="7"/>
  <c r="G537" i="7"/>
  <c r="H537" i="7"/>
  <c r="I537" i="7"/>
  <c r="J537" i="7"/>
  <c r="K537" i="7"/>
  <c r="O537" i="7"/>
  <c r="P537" i="7"/>
  <c r="Q537" i="7"/>
  <c r="B538" i="7"/>
  <c r="E538" i="7"/>
  <c r="F538" i="7"/>
  <c r="G538" i="7"/>
  <c r="H538" i="7"/>
  <c r="I538" i="7"/>
  <c r="J538" i="7"/>
  <c r="K538" i="7"/>
  <c r="P538" i="7"/>
  <c r="Q538" i="7"/>
  <c r="B539" i="7"/>
  <c r="E539" i="7"/>
  <c r="F539" i="7"/>
  <c r="G539" i="7"/>
  <c r="H539" i="7"/>
  <c r="I539" i="7"/>
  <c r="J539" i="7"/>
  <c r="K539" i="7"/>
  <c r="P539" i="7"/>
  <c r="Q539" i="7"/>
  <c r="B540" i="7"/>
  <c r="E540" i="7"/>
  <c r="F540" i="7"/>
  <c r="G540" i="7"/>
  <c r="H540" i="7"/>
  <c r="I540" i="7"/>
  <c r="J540" i="7"/>
  <c r="K540" i="7"/>
  <c r="P540" i="7"/>
  <c r="Q540" i="7"/>
  <c r="B541" i="7"/>
  <c r="E541" i="7"/>
  <c r="F541" i="7"/>
  <c r="G541" i="7"/>
  <c r="H541" i="7"/>
  <c r="I541" i="7"/>
  <c r="J541" i="7"/>
  <c r="K541" i="7"/>
  <c r="P541" i="7"/>
  <c r="Q541" i="7"/>
  <c r="B542" i="7"/>
  <c r="E542" i="7"/>
  <c r="F542" i="7"/>
  <c r="G542" i="7"/>
  <c r="H542" i="7"/>
  <c r="I542" i="7"/>
  <c r="J542" i="7"/>
  <c r="K542" i="7"/>
  <c r="P542" i="7"/>
  <c r="Q542" i="7"/>
  <c r="B543" i="7"/>
  <c r="E543" i="7"/>
  <c r="F543" i="7"/>
  <c r="G543" i="7"/>
  <c r="H543" i="7"/>
  <c r="I543" i="7"/>
  <c r="J543" i="7"/>
  <c r="K543" i="7"/>
  <c r="P543" i="7"/>
  <c r="Q543" i="7"/>
  <c r="B544" i="7"/>
  <c r="E544" i="7"/>
  <c r="F544" i="7"/>
  <c r="G544" i="7"/>
  <c r="H544" i="7"/>
  <c r="I544" i="7"/>
  <c r="J544" i="7"/>
  <c r="K544" i="7"/>
  <c r="P544" i="7"/>
  <c r="Q544" i="7"/>
  <c r="B545" i="7"/>
  <c r="E545" i="7"/>
  <c r="F545" i="7"/>
  <c r="G545" i="7"/>
  <c r="H545" i="7"/>
  <c r="I545" i="7"/>
  <c r="J545" i="7"/>
  <c r="K545" i="7"/>
  <c r="P545" i="7"/>
  <c r="Q545" i="7"/>
  <c r="B496" i="7"/>
  <c r="D496" i="7"/>
  <c r="E496" i="7"/>
  <c r="F496" i="7"/>
  <c r="G496" i="7"/>
  <c r="H496" i="7"/>
  <c r="I496" i="7"/>
  <c r="J496" i="7"/>
  <c r="K496" i="7"/>
  <c r="M496" i="7"/>
  <c r="O496" i="7"/>
  <c r="P496" i="7"/>
  <c r="Q496" i="7"/>
  <c r="D497" i="7"/>
  <c r="E497" i="7"/>
  <c r="F497" i="7"/>
  <c r="G497" i="7"/>
  <c r="H497" i="7"/>
  <c r="I497" i="7"/>
  <c r="J497" i="7"/>
  <c r="K497" i="7"/>
  <c r="O497" i="7"/>
  <c r="P497" i="7"/>
  <c r="Q497" i="7"/>
  <c r="B498" i="7"/>
  <c r="D498" i="7"/>
  <c r="E498" i="7"/>
  <c r="F498" i="7"/>
  <c r="G498" i="7"/>
  <c r="H498" i="7"/>
  <c r="I498" i="7"/>
  <c r="J498" i="7"/>
  <c r="K498" i="7"/>
  <c r="O498" i="7"/>
  <c r="P498" i="7"/>
  <c r="Q498" i="7"/>
  <c r="B499" i="7"/>
  <c r="D499" i="7"/>
  <c r="E499" i="7"/>
  <c r="F499" i="7"/>
  <c r="G499" i="7"/>
  <c r="H499" i="7"/>
  <c r="I499" i="7"/>
  <c r="J499" i="7"/>
  <c r="K499" i="7"/>
  <c r="M499" i="7"/>
  <c r="O499" i="7"/>
  <c r="P499" i="7"/>
  <c r="Q499" i="7"/>
  <c r="B500" i="7"/>
  <c r="D500" i="7"/>
  <c r="E500" i="7"/>
  <c r="F500" i="7"/>
  <c r="G500" i="7"/>
  <c r="H500" i="7"/>
  <c r="I500" i="7"/>
  <c r="J500" i="7"/>
  <c r="K500" i="7"/>
  <c r="O500" i="7"/>
  <c r="P500" i="7"/>
  <c r="Q500" i="7"/>
  <c r="B501" i="7"/>
  <c r="D501" i="7"/>
  <c r="E501" i="7"/>
  <c r="G501" i="7"/>
  <c r="H501" i="7"/>
  <c r="I501" i="7"/>
  <c r="J501" i="7"/>
  <c r="L501" i="7"/>
  <c r="M501" i="7"/>
  <c r="O501" i="7"/>
  <c r="P501" i="7"/>
  <c r="Q501" i="7"/>
  <c r="R501" i="7"/>
  <c r="B502" i="7"/>
  <c r="E502" i="7"/>
  <c r="G502" i="7"/>
  <c r="H502" i="7"/>
  <c r="I502" i="7"/>
  <c r="J502" i="7"/>
  <c r="K502" i="7"/>
  <c r="O502" i="7"/>
  <c r="P502" i="7"/>
  <c r="Q502" i="7"/>
  <c r="B503" i="7"/>
  <c r="D503" i="7"/>
  <c r="E503" i="7"/>
  <c r="G503" i="7"/>
  <c r="H503" i="7"/>
  <c r="I503" i="7"/>
  <c r="J503" i="7"/>
  <c r="K503" i="7"/>
  <c r="M503" i="7"/>
  <c r="O503" i="7"/>
  <c r="P503" i="7"/>
  <c r="Q503" i="7"/>
  <c r="R503" i="7"/>
  <c r="B504" i="7"/>
  <c r="D504" i="7"/>
  <c r="E504" i="7"/>
  <c r="G504" i="7"/>
  <c r="H504" i="7"/>
  <c r="I504" i="7"/>
  <c r="J504" i="7"/>
  <c r="K504" i="7"/>
  <c r="M504" i="7"/>
  <c r="O504" i="7"/>
  <c r="P504" i="7"/>
  <c r="Q504" i="7"/>
  <c r="R504" i="7"/>
  <c r="B505" i="7"/>
  <c r="D505" i="7"/>
  <c r="E505" i="7"/>
  <c r="G505" i="7"/>
  <c r="H505" i="7"/>
  <c r="I505" i="7"/>
  <c r="J505" i="7"/>
  <c r="K505" i="7"/>
  <c r="M505" i="7"/>
  <c r="O505" i="7"/>
  <c r="P505" i="7"/>
  <c r="Q505" i="7"/>
  <c r="R505" i="7"/>
  <c r="B506" i="7"/>
  <c r="D506" i="7"/>
  <c r="E506" i="7"/>
  <c r="G506" i="7"/>
  <c r="H506" i="7"/>
  <c r="I506" i="7"/>
  <c r="J506" i="7"/>
  <c r="K506" i="7"/>
  <c r="M506" i="7"/>
  <c r="O506" i="7"/>
  <c r="P506" i="7"/>
  <c r="Q506" i="7"/>
  <c r="R506" i="7"/>
  <c r="B507" i="7"/>
  <c r="D507" i="7"/>
  <c r="E507" i="7"/>
  <c r="G507" i="7"/>
  <c r="H507" i="7"/>
  <c r="I507" i="7"/>
  <c r="J507" i="7"/>
  <c r="K507" i="7"/>
  <c r="M507" i="7"/>
  <c r="O507" i="7"/>
  <c r="P507" i="7"/>
  <c r="Q507" i="7"/>
  <c r="R507" i="7"/>
  <c r="B508" i="7"/>
  <c r="D508" i="7"/>
  <c r="E508" i="7"/>
  <c r="G508" i="7"/>
  <c r="H508" i="7"/>
  <c r="I508" i="7"/>
  <c r="J508" i="7"/>
  <c r="K508" i="7"/>
  <c r="O508" i="7"/>
  <c r="P508" i="7"/>
  <c r="Q508" i="7"/>
  <c r="B509" i="7"/>
  <c r="D509" i="7"/>
  <c r="E509" i="7"/>
  <c r="F509" i="7"/>
  <c r="G509" i="7"/>
  <c r="H509" i="7"/>
  <c r="I509" i="7"/>
  <c r="J509" i="7"/>
  <c r="K509" i="7"/>
  <c r="O509" i="7"/>
  <c r="P509" i="7"/>
  <c r="Q509" i="7"/>
  <c r="B510" i="7"/>
  <c r="D510" i="7"/>
  <c r="E510" i="7"/>
  <c r="F510" i="7"/>
  <c r="G510" i="7"/>
  <c r="H510" i="7"/>
  <c r="I510" i="7"/>
  <c r="J510" i="7"/>
  <c r="K510" i="7"/>
  <c r="O510" i="7"/>
  <c r="P510" i="7"/>
  <c r="Q510" i="7"/>
  <c r="B511" i="7"/>
  <c r="D511" i="7"/>
  <c r="E511" i="7"/>
  <c r="F511" i="7"/>
  <c r="G511" i="7"/>
  <c r="H511" i="7"/>
  <c r="I511" i="7"/>
  <c r="J511" i="7"/>
  <c r="K511" i="7"/>
  <c r="O511" i="7"/>
  <c r="P511" i="7"/>
  <c r="Q511" i="7"/>
  <c r="B512" i="7"/>
  <c r="D512" i="7"/>
  <c r="E512" i="7"/>
  <c r="F512" i="7"/>
  <c r="G512" i="7"/>
  <c r="H512" i="7"/>
  <c r="I512" i="7"/>
  <c r="J512" i="7"/>
  <c r="K512" i="7"/>
  <c r="O512" i="7"/>
  <c r="P512" i="7"/>
  <c r="Q512" i="7"/>
  <c r="R512" i="7"/>
  <c r="B513" i="7"/>
  <c r="D513" i="7"/>
  <c r="E513" i="7"/>
  <c r="G513" i="7"/>
  <c r="H513" i="7"/>
  <c r="I513" i="7"/>
  <c r="J513" i="7"/>
  <c r="K513" i="7"/>
  <c r="O513" i="7"/>
  <c r="P513" i="7"/>
  <c r="Q513" i="7"/>
  <c r="B514" i="7"/>
  <c r="D514" i="7"/>
  <c r="E514" i="7"/>
  <c r="F514" i="7"/>
  <c r="G514" i="7"/>
  <c r="H514" i="7"/>
  <c r="I514" i="7"/>
  <c r="J514" i="7"/>
  <c r="K514" i="7"/>
  <c r="O514" i="7"/>
  <c r="P514" i="7"/>
  <c r="Q514" i="7"/>
  <c r="B515" i="7"/>
  <c r="D515" i="7"/>
  <c r="E515" i="7"/>
  <c r="F515" i="7"/>
  <c r="G515" i="7"/>
  <c r="H515" i="7"/>
  <c r="I515" i="7"/>
  <c r="J515" i="7"/>
  <c r="O515" i="7"/>
  <c r="P515" i="7"/>
  <c r="Q515" i="7"/>
  <c r="B516" i="7"/>
  <c r="D516" i="7"/>
  <c r="E516" i="7"/>
  <c r="F516" i="7"/>
  <c r="G516" i="7"/>
  <c r="H516" i="7"/>
  <c r="I516" i="7"/>
  <c r="J516" i="7"/>
  <c r="K516" i="7"/>
  <c r="O516" i="7"/>
  <c r="P516" i="7"/>
  <c r="Q516" i="7"/>
  <c r="B517" i="7"/>
  <c r="D517" i="7"/>
  <c r="E517" i="7"/>
  <c r="F517" i="7"/>
  <c r="G517" i="7"/>
  <c r="H517" i="7"/>
  <c r="I517" i="7"/>
  <c r="J517" i="7"/>
  <c r="K517" i="7"/>
  <c r="O517" i="7"/>
  <c r="P517" i="7"/>
  <c r="Q517" i="7"/>
  <c r="B518" i="7"/>
  <c r="D518" i="7"/>
  <c r="E518" i="7"/>
  <c r="F518" i="7"/>
  <c r="G518" i="7"/>
  <c r="H518" i="7"/>
  <c r="I518" i="7"/>
  <c r="J518" i="7"/>
  <c r="K518" i="7"/>
  <c r="O518" i="7"/>
  <c r="P518" i="7"/>
  <c r="Q518" i="7"/>
  <c r="B519" i="7"/>
  <c r="D519" i="7"/>
  <c r="E519" i="7"/>
  <c r="F519" i="7"/>
  <c r="G519" i="7"/>
  <c r="H519" i="7"/>
  <c r="I519" i="7"/>
  <c r="J519" i="7"/>
  <c r="L519" i="7"/>
  <c r="M519" i="7"/>
  <c r="O519" i="7"/>
  <c r="P519" i="7"/>
  <c r="Q519" i="7"/>
  <c r="B520" i="7"/>
  <c r="D520" i="7"/>
  <c r="E520" i="7"/>
  <c r="F520" i="7"/>
  <c r="G520" i="7"/>
  <c r="H520" i="7"/>
  <c r="I520" i="7"/>
  <c r="J520" i="7"/>
  <c r="K520" i="7"/>
  <c r="O520" i="7"/>
  <c r="P520" i="7"/>
  <c r="Q520" i="7"/>
  <c r="B521" i="7"/>
  <c r="D521" i="7"/>
  <c r="E521" i="7"/>
  <c r="F521" i="7"/>
  <c r="G521" i="7"/>
  <c r="H521" i="7"/>
  <c r="I521" i="7"/>
  <c r="J521" i="7"/>
  <c r="K521" i="7"/>
  <c r="O521" i="7"/>
  <c r="P521" i="7"/>
  <c r="Q521" i="7"/>
  <c r="B522" i="7"/>
  <c r="D522" i="7"/>
  <c r="E522" i="7"/>
  <c r="F522" i="7"/>
  <c r="G522" i="7"/>
  <c r="H522" i="7"/>
  <c r="I522" i="7"/>
  <c r="J522" i="7"/>
  <c r="K522" i="7"/>
  <c r="O522" i="7"/>
  <c r="P522" i="7"/>
  <c r="Q522" i="7"/>
  <c r="B523" i="7"/>
  <c r="D523" i="7"/>
  <c r="E523" i="7"/>
  <c r="F523" i="7"/>
  <c r="G523" i="7"/>
  <c r="H523" i="7"/>
  <c r="I523" i="7"/>
  <c r="J523" i="7"/>
  <c r="K523" i="7"/>
  <c r="O523" i="7"/>
  <c r="P523" i="7"/>
  <c r="Q523" i="7"/>
  <c r="B524" i="7"/>
  <c r="D524" i="7"/>
  <c r="E524" i="7"/>
  <c r="F524" i="7"/>
  <c r="G524" i="7"/>
  <c r="H524" i="7"/>
  <c r="I524" i="7"/>
  <c r="J524" i="7"/>
  <c r="K524" i="7"/>
  <c r="O524" i="7"/>
  <c r="P524" i="7"/>
  <c r="Q524" i="7"/>
  <c r="B525" i="7"/>
  <c r="D525" i="7"/>
  <c r="E525" i="7"/>
  <c r="F525" i="7"/>
  <c r="G525" i="7"/>
  <c r="H525" i="7"/>
  <c r="I525" i="7"/>
  <c r="J525" i="7"/>
  <c r="K525" i="7"/>
  <c r="O525" i="7"/>
  <c r="P525" i="7"/>
  <c r="Q525" i="7"/>
  <c r="B526" i="7"/>
  <c r="D526" i="7"/>
  <c r="E526" i="7"/>
  <c r="F526" i="7"/>
  <c r="G526" i="7"/>
  <c r="H526" i="7"/>
  <c r="I526" i="7"/>
  <c r="J526" i="7"/>
  <c r="K526" i="7"/>
  <c r="O526" i="7"/>
  <c r="P526" i="7"/>
  <c r="Q526" i="7"/>
  <c r="B527" i="7"/>
  <c r="D527" i="7"/>
  <c r="E527" i="7"/>
  <c r="G527" i="7"/>
  <c r="H527" i="7"/>
  <c r="I527" i="7"/>
  <c r="J527" i="7"/>
  <c r="K527" i="7"/>
  <c r="O527" i="7"/>
  <c r="P527" i="7"/>
  <c r="Q527" i="7"/>
  <c r="B528" i="7"/>
  <c r="D528" i="7"/>
  <c r="E528" i="7"/>
  <c r="F528" i="7"/>
  <c r="G528" i="7"/>
  <c r="H528" i="7"/>
  <c r="I528" i="7"/>
  <c r="J528" i="7"/>
  <c r="K528" i="7"/>
  <c r="O528" i="7"/>
  <c r="P528" i="7"/>
  <c r="Q528" i="7"/>
  <c r="B529" i="7"/>
  <c r="D529" i="7"/>
  <c r="E529" i="7"/>
  <c r="F529" i="7"/>
  <c r="G529" i="7"/>
  <c r="H529" i="7"/>
  <c r="I529" i="7"/>
  <c r="J529" i="7"/>
  <c r="K529" i="7"/>
  <c r="O529" i="7"/>
  <c r="P529" i="7"/>
  <c r="Q529" i="7"/>
  <c r="B530" i="7"/>
  <c r="D530" i="7"/>
  <c r="E530" i="7"/>
  <c r="F530" i="7"/>
  <c r="G530" i="7"/>
  <c r="H530" i="7"/>
  <c r="I530" i="7"/>
  <c r="J530" i="7"/>
  <c r="K530" i="7"/>
  <c r="O530" i="7"/>
  <c r="P530" i="7"/>
  <c r="Q530" i="7"/>
  <c r="B531" i="7"/>
  <c r="D531" i="7"/>
  <c r="E531" i="7"/>
  <c r="F531" i="7"/>
  <c r="G531" i="7"/>
  <c r="H531" i="7"/>
  <c r="I531" i="7"/>
  <c r="J531" i="7"/>
  <c r="K531" i="7"/>
  <c r="O531" i="7"/>
  <c r="P531" i="7"/>
  <c r="Q531" i="7"/>
  <c r="B532" i="7"/>
  <c r="D532" i="7"/>
  <c r="E532" i="7"/>
  <c r="F532" i="7"/>
  <c r="G532" i="7"/>
  <c r="H532" i="7"/>
  <c r="I532" i="7"/>
  <c r="J532" i="7"/>
  <c r="K532" i="7"/>
  <c r="O532" i="7"/>
  <c r="P532" i="7"/>
  <c r="Q532" i="7"/>
  <c r="B533" i="7"/>
  <c r="D533" i="7"/>
  <c r="E533" i="7"/>
  <c r="G533" i="7"/>
  <c r="H533" i="7"/>
  <c r="I533" i="7"/>
  <c r="J533" i="7"/>
  <c r="K533" i="7"/>
  <c r="O533" i="7"/>
  <c r="P533" i="7"/>
  <c r="Q533" i="7"/>
  <c r="B534" i="7"/>
  <c r="D534" i="7"/>
  <c r="E534" i="7"/>
  <c r="G534" i="7"/>
  <c r="H534" i="7"/>
  <c r="I534" i="7"/>
  <c r="J534" i="7"/>
  <c r="K534" i="7"/>
  <c r="M534" i="7"/>
  <c r="O534" i="7"/>
  <c r="P534" i="7"/>
  <c r="Q534" i="7"/>
  <c r="B493" i="7"/>
  <c r="D493" i="7"/>
  <c r="E493" i="7"/>
  <c r="F493" i="7"/>
  <c r="G493" i="7"/>
  <c r="H493" i="7"/>
  <c r="I493" i="7"/>
  <c r="J493" i="7"/>
  <c r="K493" i="7"/>
  <c r="M493" i="7"/>
  <c r="O493" i="7"/>
  <c r="P493" i="7"/>
  <c r="Q493" i="7"/>
  <c r="B494" i="7"/>
  <c r="D494" i="7"/>
  <c r="E494" i="7"/>
  <c r="F494" i="7"/>
  <c r="G494" i="7"/>
  <c r="H494" i="7"/>
  <c r="I494" i="7"/>
  <c r="J494" i="7"/>
  <c r="K494" i="7"/>
  <c r="O494" i="7"/>
  <c r="P494" i="7"/>
  <c r="Q494" i="7"/>
  <c r="B427" i="7"/>
  <c r="D427" i="7"/>
  <c r="E427" i="7"/>
  <c r="G427" i="7"/>
  <c r="H427" i="7"/>
  <c r="I427" i="7"/>
  <c r="J427" i="7"/>
  <c r="K427" i="7"/>
  <c r="O427" i="7"/>
  <c r="P427" i="7"/>
  <c r="Q427" i="7"/>
  <c r="B428" i="7"/>
  <c r="D428" i="7"/>
  <c r="E428" i="7"/>
  <c r="F428" i="7"/>
  <c r="G428" i="7"/>
  <c r="H428" i="7"/>
  <c r="I428" i="7"/>
  <c r="J428" i="7"/>
  <c r="K428" i="7"/>
  <c r="O428" i="7"/>
  <c r="P428" i="7"/>
  <c r="Q428" i="7"/>
  <c r="B429" i="7"/>
  <c r="D429" i="7"/>
  <c r="E429" i="7"/>
  <c r="F429" i="7"/>
  <c r="G429" i="7"/>
  <c r="H429" i="7"/>
  <c r="I429" i="7"/>
  <c r="J429" i="7"/>
  <c r="K429" i="7"/>
  <c r="O429" i="7"/>
  <c r="P429" i="7"/>
  <c r="Q429" i="7"/>
  <c r="B430" i="7"/>
  <c r="D430" i="7"/>
  <c r="E430" i="7"/>
  <c r="F430" i="7"/>
  <c r="G430" i="7"/>
  <c r="H430" i="7"/>
  <c r="I430" i="7"/>
  <c r="J430" i="7"/>
  <c r="K430" i="7"/>
  <c r="O430" i="7"/>
  <c r="P430" i="7"/>
  <c r="Q430" i="7"/>
  <c r="B431" i="7"/>
  <c r="D431" i="7"/>
  <c r="E431" i="7"/>
  <c r="F431" i="7"/>
  <c r="G431" i="7"/>
  <c r="H431" i="7"/>
  <c r="I431" i="7"/>
  <c r="J431" i="7"/>
  <c r="K431" i="7"/>
  <c r="M431" i="7"/>
  <c r="P431" i="7"/>
  <c r="Q431" i="7"/>
  <c r="B432" i="7"/>
  <c r="D432" i="7"/>
  <c r="E432" i="7"/>
  <c r="F432" i="7"/>
  <c r="G432" i="7"/>
  <c r="H432" i="7"/>
  <c r="I432" i="7"/>
  <c r="J432" i="7"/>
  <c r="K432" i="7"/>
  <c r="M432" i="7"/>
  <c r="P432" i="7"/>
  <c r="Q432" i="7"/>
  <c r="B433" i="7"/>
  <c r="D433" i="7"/>
  <c r="E433" i="7"/>
  <c r="F433" i="7"/>
  <c r="G433" i="7"/>
  <c r="H433" i="7"/>
  <c r="I433" i="7"/>
  <c r="J433" i="7"/>
  <c r="K433" i="7"/>
  <c r="M433" i="7"/>
  <c r="P433" i="7"/>
  <c r="Q433" i="7"/>
  <c r="B434" i="7"/>
  <c r="D434" i="7"/>
  <c r="E434" i="7"/>
  <c r="F434" i="7"/>
  <c r="G434" i="7"/>
  <c r="H434" i="7"/>
  <c r="I434" i="7"/>
  <c r="J434" i="7"/>
  <c r="K434" i="7"/>
  <c r="M434" i="7"/>
  <c r="P434" i="7"/>
  <c r="Q434" i="7"/>
  <c r="B435" i="7"/>
  <c r="D435" i="7"/>
  <c r="E435" i="7"/>
  <c r="F435" i="7"/>
  <c r="G435" i="7"/>
  <c r="H435" i="7"/>
  <c r="I435" i="7"/>
  <c r="J435" i="7"/>
  <c r="K435" i="7"/>
  <c r="M435" i="7"/>
  <c r="P435" i="7"/>
  <c r="Q435" i="7"/>
  <c r="B436" i="7"/>
  <c r="D436" i="7"/>
  <c r="E436" i="7"/>
  <c r="G436" i="7"/>
  <c r="H436" i="7"/>
  <c r="I436" i="7"/>
  <c r="J436" i="7"/>
  <c r="K436" i="7"/>
  <c r="M436" i="7"/>
  <c r="O436" i="7"/>
  <c r="P436" i="7"/>
  <c r="Q436" i="7"/>
  <c r="B437" i="7"/>
  <c r="D437" i="7"/>
  <c r="E437" i="7"/>
  <c r="F437" i="7"/>
  <c r="G437" i="7"/>
  <c r="H437" i="7"/>
  <c r="I437" i="7"/>
  <c r="J437" i="7"/>
  <c r="K437" i="7"/>
  <c r="M437" i="7"/>
  <c r="P437" i="7"/>
  <c r="Q437" i="7"/>
  <c r="B438" i="7"/>
  <c r="D438" i="7"/>
  <c r="E438" i="7"/>
  <c r="F438" i="7"/>
  <c r="G438" i="7"/>
  <c r="H438" i="7"/>
  <c r="I438" i="7"/>
  <c r="J438" i="7"/>
  <c r="K438" i="7"/>
  <c r="M438" i="7"/>
  <c r="P438" i="7"/>
  <c r="Q438" i="7"/>
  <c r="R438" i="7"/>
  <c r="B439" i="7"/>
  <c r="D439" i="7"/>
  <c r="E439" i="7"/>
  <c r="F439" i="7"/>
  <c r="G439" i="7"/>
  <c r="H439" i="7"/>
  <c r="I439" i="7"/>
  <c r="J439" i="7"/>
  <c r="K439" i="7"/>
  <c r="M439" i="7"/>
  <c r="P439" i="7"/>
  <c r="Q439" i="7"/>
  <c r="B440" i="7"/>
  <c r="D440" i="7"/>
  <c r="E440" i="7"/>
  <c r="F440" i="7"/>
  <c r="G440" i="7"/>
  <c r="H440" i="7"/>
  <c r="I440" i="7"/>
  <c r="J440" i="7"/>
  <c r="K440" i="7"/>
  <c r="M440" i="7"/>
  <c r="P440" i="7"/>
  <c r="Q440" i="7"/>
  <c r="R440" i="7"/>
  <c r="B441" i="7"/>
  <c r="D441" i="7"/>
  <c r="E441" i="7"/>
  <c r="F441" i="7"/>
  <c r="G441" i="7"/>
  <c r="H441" i="7"/>
  <c r="I441" i="7"/>
  <c r="J441" i="7"/>
  <c r="K441" i="7"/>
  <c r="M441" i="7"/>
  <c r="P441" i="7"/>
  <c r="Q441" i="7"/>
  <c r="B442" i="7"/>
  <c r="D442" i="7"/>
  <c r="E442" i="7"/>
  <c r="F442" i="7"/>
  <c r="G442" i="7"/>
  <c r="H442" i="7"/>
  <c r="I442" i="7"/>
  <c r="J442" i="7"/>
  <c r="K442" i="7"/>
  <c r="M442" i="7"/>
  <c r="P442" i="7"/>
  <c r="Q442" i="7"/>
  <c r="B443" i="7"/>
  <c r="D443" i="7"/>
  <c r="E443" i="7"/>
  <c r="F443" i="7"/>
  <c r="G443" i="7"/>
  <c r="H443" i="7"/>
  <c r="I443" i="7"/>
  <c r="J443" i="7"/>
  <c r="K443" i="7"/>
  <c r="M443" i="7"/>
  <c r="P443" i="7"/>
  <c r="Q443" i="7"/>
  <c r="B444" i="7"/>
  <c r="D444" i="7"/>
  <c r="E444" i="7"/>
  <c r="F444" i="7"/>
  <c r="G444" i="7"/>
  <c r="H444" i="7"/>
  <c r="I444" i="7"/>
  <c r="J444" i="7"/>
  <c r="K444" i="7"/>
  <c r="M444" i="7"/>
  <c r="P444" i="7"/>
  <c r="Q444" i="7"/>
  <c r="B445" i="7"/>
  <c r="D445" i="7"/>
  <c r="E445" i="7"/>
  <c r="F445" i="7"/>
  <c r="G445" i="7"/>
  <c r="H445" i="7"/>
  <c r="I445" i="7"/>
  <c r="J445" i="7"/>
  <c r="K445" i="7"/>
  <c r="M445" i="7"/>
  <c r="P445" i="7"/>
  <c r="Q445" i="7"/>
  <c r="B446" i="7"/>
  <c r="D446" i="7"/>
  <c r="E446" i="7"/>
  <c r="F446" i="7"/>
  <c r="G446" i="7"/>
  <c r="H446" i="7"/>
  <c r="I446" i="7"/>
  <c r="J446" i="7"/>
  <c r="K446" i="7"/>
  <c r="M446" i="7"/>
  <c r="P446" i="7"/>
  <c r="Q446" i="7"/>
  <c r="B447" i="7"/>
  <c r="D447" i="7"/>
  <c r="E447" i="7"/>
  <c r="F447" i="7"/>
  <c r="G447" i="7"/>
  <c r="H447" i="7"/>
  <c r="I447" i="7"/>
  <c r="J447" i="7"/>
  <c r="K447" i="7"/>
  <c r="M447" i="7"/>
  <c r="P447" i="7"/>
  <c r="Q447" i="7"/>
  <c r="B448" i="7"/>
  <c r="D448" i="7"/>
  <c r="E448" i="7"/>
  <c r="F448" i="7"/>
  <c r="G448" i="7"/>
  <c r="H448" i="7"/>
  <c r="I448" i="7"/>
  <c r="J448" i="7"/>
  <c r="K448" i="7"/>
  <c r="M448" i="7"/>
  <c r="P448" i="7"/>
  <c r="Q448" i="7"/>
  <c r="B449" i="7"/>
  <c r="D449" i="7"/>
  <c r="E449" i="7"/>
  <c r="F449" i="7"/>
  <c r="G449" i="7"/>
  <c r="H449" i="7"/>
  <c r="I449" i="7"/>
  <c r="J449" i="7"/>
  <c r="K449" i="7"/>
  <c r="M449" i="7"/>
  <c r="P449" i="7"/>
  <c r="Q449" i="7"/>
  <c r="B450" i="7"/>
  <c r="D450" i="7"/>
  <c r="E450" i="7"/>
  <c r="F450" i="7"/>
  <c r="G450" i="7"/>
  <c r="H450" i="7"/>
  <c r="I450" i="7"/>
  <c r="J450" i="7"/>
  <c r="K450" i="7"/>
  <c r="P450" i="7"/>
  <c r="Q450" i="7"/>
  <c r="B451" i="7"/>
  <c r="D451" i="7"/>
  <c r="E451" i="7"/>
  <c r="F451" i="7"/>
  <c r="G451" i="7"/>
  <c r="H451" i="7"/>
  <c r="I451" i="7"/>
  <c r="J451" i="7"/>
  <c r="K451" i="7"/>
  <c r="M451" i="7"/>
  <c r="P451" i="7"/>
  <c r="Q451" i="7"/>
  <c r="B452" i="7"/>
  <c r="D452" i="7"/>
  <c r="E452" i="7"/>
  <c r="F452" i="7"/>
  <c r="G452" i="7"/>
  <c r="H452" i="7"/>
  <c r="I452" i="7"/>
  <c r="J452" i="7"/>
  <c r="K452" i="7"/>
  <c r="M452" i="7"/>
  <c r="P452" i="7"/>
  <c r="Q452" i="7"/>
  <c r="B453" i="7"/>
  <c r="D453" i="7"/>
  <c r="E453" i="7"/>
  <c r="F453" i="7"/>
  <c r="G453" i="7"/>
  <c r="H453" i="7"/>
  <c r="I453" i="7"/>
  <c r="J453" i="7"/>
  <c r="K453" i="7"/>
  <c r="M453" i="7"/>
  <c r="P453" i="7"/>
  <c r="Q453" i="7"/>
  <c r="B454" i="7"/>
  <c r="D454" i="7"/>
  <c r="E454" i="7"/>
  <c r="F454" i="7"/>
  <c r="G454" i="7"/>
  <c r="H454" i="7"/>
  <c r="I454" i="7"/>
  <c r="J454" i="7"/>
  <c r="K454" i="7"/>
  <c r="M454" i="7"/>
  <c r="P454" i="7"/>
  <c r="Q454" i="7"/>
  <c r="R454" i="7"/>
  <c r="B455" i="7"/>
  <c r="D455" i="7"/>
  <c r="E455" i="7"/>
  <c r="F455" i="7"/>
  <c r="G455" i="7"/>
  <c r="H455" i="7"/>
  <c r="I455" i="7"/>
  <c r="J455" i="7"/>
  <c r="K455" i="7"/>
  <c r="P455" i="7"/>
  <c r="Q455" i="7"/>
  <c r="B456" i="7"/>
  <c r="D456" i="7"/>
  <c r="E456" i="7"/>
  <c r="F456" i="7"/>
  <c r="G456" i="7"/>
  <c r="H456" i="7"/>
  <c r="I456" i="7"/>
  <c r="J456" i="7"/>
  <c r="K456" i="7"/>
  <c r="M456" i="7"/>
  <c r="P456" i="7"/>
  <c r="Q456" i="7"/>
  <c r="R456" i="7"/>
  <c r="B457" i="7"/>
  <c r="D457" i="7"/>
  <c r="E457" i="7"/>
  <c r="F457" i="7"/>
  <c r="G457" i="7"/>
  <c r="H457" i="7"/>
  <c r="I457" i="7"/>
  <c r="J457" i="7"/>
  <c r="K457" i="7"/>
  <c r="M457" i="7"/>
  <c r="P457" i="7"/>
  <c r="Q457" i="7"/>
  <c r="B458" i="7"/>
  <c r="D458" i="7"/>
  <c r="E458" i="7"/>
  <c r="F458" i="7"/>
  <c r="G458" i="7"/>
  <c r="H458" i="7"/>
  <c r="I458" i="7"/>
  <c r="J458" i="7"/>
  <c r="K458" i="7"/>
  <c r="M458" i="7"/>
  <c r="P458" i="7"/>
  <c r="Q458" i="7"/>
  <c r="B459" i="7"/>
  <c r="D459" i="7"/>
  <c r="E459" i="7"/>
  <c r="F459" i="7"/>
  <c r="G459" i="7"/>
  <c r="H459" i="7"/>
  <c r="I459" i="7"/>
  <c r="J459" i="7"/>
  <c r="K459" i="7"/>
  <c r="P459" i="7"/>
  <c r="Q459" i="7"/>
  <c r="R459" i="7"/>
  <c r="B460" i="7"/>
  <c r="D460" i="7"/>
  <c r="E460" i="7"/>
  <c r="F460" i="7"/>
  <c r="G460" i="7"/>
  <c r="H460" i="7"/>
  <c r="I460" i="7"/>
  <c r="J460" i="7"/>
  <c r="K460" i="7"/>
  <c r="O460" i="7"/>
  <c r="P460" i="7"/>
  <c r="Q460" i="7"/>
  <c r="B461" i="7"/>
  <c r="D461" i="7"/>
  <c r="E461" i="7"/>
  <c r="F461" i="7"/>
  <c r="G461" i="7"/>
  <c r="H461" i="7"/>
  <c r="I461" i="7"/>
  <c r="J461" i="7"/>
  <c r="K461" i="7"/>
  <c r="O461" i="7"/>
  <c r="P461" i="7"/>
  <c r="Q461" i="7"/>
  <c r="R461" i="7"/>
  <c r="B462" i="7"/>
  <c r="D462" i="7"/>
  <c r="E462" i="7"/>
  <c r="F462" i="7"/>
  <c r="G462" i="7"/>
  <c r="H462" i="7"/>
  <c r="I462" i="7"/>
  <c r="J462" i="7"/>
  <c r="K462" i="7"/>
  <c r="O462" i="7"/>
  <c r="P462" i="7"/>
  <c r="Q462" i="7"/>
  <c r="R462" i="7"/>
  <c r="B463" i="7"/>
  <c r="D463" i="7"/>
  <c r="E463" i="7"/>
  <c r="F463" i="7"/>
  <c r="G463" i="7"/>
  <c r="H463" i="7"/>
  <c r="I463" i="7"/>
  <c r="J463" i="7"/>
  <c r="K463" i="7"/>
  <c r="O463" i="7"/>
  <c r="P463" i="7"/>
  <c r="Q463" i="7"/>
  <c r="R463" i="7"/>
  <c r="B464" i="7"/>
  <c r="D464" i="7"/>
  <c r="E464" i="7"/>
  <c r="F464" i="7"/>
  <c r="G464" i="7"/>
  <c r="H464" i="7"/>
  <c r="I464" i="7"/>
  <c r="J464" i="7"/>
  <c r="K464" i="7"/>
  <c r="O464" i="7"/>
  <c r="P464" i="7"/>
  <c r="Q464" i="7"/>
  <c r="R464" i="7"/>
  <c r="B465" i="7"/>
  <c r="D465" i="7"/>
  <c r="E465" i="7"/>
  <c r="F465" i="7"/>
  <c r="G465" i="7"/>
  <c r="H465" i="7"/>
  <c r="I465" i="7"/>
  <c r="J465" i="7"/>
  <c r="K465" i="7"/>
  <c r="O465" i="7"/>
  <c r="P465" i="7"/>
  <c r="Q465" i="7"/>
  <c r="R465" i="7"/>
  <c r="B466" i="7"/>
  <c r="D466" i="7"/>
  <c r="E466" i="7"/>
  <c r="F466" i="7"/>
  <c r="G466" i="7"/>
  <c r="H466" i="7"/>
  <c r="I466" i="7"/>
  <c r="J466" i="7"/>
  <c r="K466" i="7"/>
  <c r="O466" i="7"/>
  <c r="P466" i="7"/>
  <c r="Q466" i="7"/>
  <c r="B467" i="7"/>
  <c r="D467" i="7"/>
  <c r="E467" i="7"/>
  <c r="F467" i="7"/>
  <c r="G467" i="7"/>
  <c r="H467" i="7"/>
  <c r="I467" i="7"/>
  <c r="J467" i="7"/>
  <c r="K467" i="7"/>
  <c r="O467" i="7"/>
  <c r="P467" i="7"/>
  <c r="Q467" i="7"/>
  <c r="B468" i="7"/>
  <c r="D468" i="7"/>
  <c r="E468" i="7"/>
  <c r="F468" i="7"/>
  <c r="G468" i="7"/>
  <c r="H468" i="7"/>
  <c r="I468" i="7"/>
  <c r="J468" i="7"/>
  <c r="K468" i="7"/>
  <c r="O468" i="7"/>
  <c r="P468" i="7"/>
  <c r="Q468" i="7"/>
  <c r="B469" i="7"/>
  <c r="D469" i="7"/>
  <c r="E469" i="7"/>
  <c r="F469" i="7"/>
  <c r="G469" i="7"/>
  <c r="H469" i="7"/>
  <c r="I469" i="7"/>
  <c r="J469" i="7"/>
  <c r="K469" i="7"/>
  <c r="O469" i="7"/>
  <c r="P469" i="7"/>
  <c r="Q469" i="7"/>
  <c r="B470" i="7"/>
  <c r="D470" i="7"/>
  <c r="E470" i="7"/>
  <c r="F470" i="7"/>
  <c r="G470" i="7"/>
  <c r="H470" i="7"/>
  <c r="I470" i="7"/>
  <c r="J470" i="7"/>
  <c r="K470" i="7"/>
  <c r="O470" i="7"/>
  <c r="P470" i="7"/>
  <c r="Q470" i="7"/>
  <c r="B471" i="7"/>
  <c r="D471" i="7"/>
  <c r="E471" i="7"/>
  <c r="F471" i="7"/>
  <c r="G471" i="7"/>
  <c r="H471" i="7"/>
  <c r="I471" i="7"/>
  <c r="J471" i="7"/>
  <c r="K471" i="7"/>
  <c r="O471" i="7"/>
  <c r="P471" i="7"/>
  <c r="Q471" i="7"/>
  <c r="B472" i="7"/>
  <c r="D472" i="7"/>
  <c r="E472" i="7"/>
  <c r="G472" i="7"/>
  <c r="H472" i="7"/>
  <c r="I472" i="7"/>
  <c r="J472" i="7"/>
  <c r="K472" i="7"/>
  <c r="O472" i="7"/>
  <c r="P472" i="7"/>
  <c r="Q472" i="7"/>
  <c r="B473" i="7"/>
  <c r="D473" i="7"/>
  <c r="E473" i="7"/>
  <c r="F473" i="7"/>
  <c r="G473" i="7"/>
  <c r="H473" i="7"/>
  <c r="I473" i="7"/>
  <c r="J473" i="7"/>
  <c r="K473" i="7"/>
  <c r="O473" i="7"/>
  <c r="P473" i="7"/>
  <c r="Q473" i="7"/>
  <c r="B474" i="7"/>
  <c r="D474" i="7"/>
  <c r="E474" i="7"/>
  <c r="F474" i="7"/>
  <c r="G474" i="7"/>
  <c r="H474" i="7"/>
  <c r="I474" i="7"/>
  <c r="J474" i="7"/>
  <c r="K474" i="7"/>
  <c r="M474" i="7"/>
  <c r="O474" i="7"/>
  <c r="P474" i="7"/>
  <c r="Q474" i="7"/>
  <c r="B475" i="7"/>
  <c r="D475" i="7"/>
  <c r="E475" i="7"/>
  <c r="F475" i="7"/>
  <c r="G475" i="7"/>
  <c r="H475" i="7"/>
  <c r="I475" i="7"/>
  <c r="J475" i="7"/>
  <c r="K475" i="7"/>
  <c r="M475" i="7"/>
  <c r="O475" i="7"/>
  <c r="P475" i="7"/>
  <c r="Q475" i="7"/>
  <c r="B476" i="7"/>
  <c r="D476" i="7"/>
  <c r="E476" i="7"/>
  <c r="F476" i="7"/>
  <c r="G476" i="7"/>
  <c r="H476" i="7"/>
  <c r="I476" i="7"/>
  <c r="J476" i="7"/>
  <c r="K476" i="7"/>
  <c r="O476" i="7"/>
  <c r="P476" i="7"/>
  <c r="Q476" i="7"/>
  <c r="B477" i="7"/>
  <c r="D477" i="7"/>
  <c r="E477" i="7"/>
  <c r="F477" i="7"/>
  <c r="G477" i="7"/>
  <c r="H477" i="7"/>
  <c r="I477" i="7"/>
  <c r="J477" i="7"/>
  <c r="K477" i="7"/>
  <c r="O477" i="7"/>
  <c r="P477" i="7"/>
  <c r="Q477" i="7"/>
  <c r="B478" i="7"/>
  <c r="D478" i="7"/>
  <c r="E478" i="7"/>
  <c r="F478" i="7"/>
  <c r="G478" i="7"/>
  <c r="H478" i="7"/>
  <c r="I478" i="7"/>
  <c r="J478" i="7"/>
  <c r="K478" i="7"/>
  <c r="M478" i="7"/>
  <c r="O478" i="7"/>
  <c r="P478" i="7"/>
  <c r="Q478" i="7"/>
  <c r="B479" i="7"/>
  <c r="D479" i="7"/>
  <c r="E479" i="7"/>
  <c r="F479" i="7"/>
  <c r="G479" i="7"/>
  <c r="H479" i="7"/>
  <c r="I479" i="7"/>
  <c r="J479" i="7"/>
  <c r="K479" i="7"/>
  <c r="M479" i="7"/>
  <c r="O479" i="7"/>
  <c r="P479" i="7"/>
  <c r="Q479" i="7"/>
  <c r="B480" i="7"/>
  <c r="D480" i="7"/>
  <c r="E480" i="7"/>
  <c r="F480" i="7"/>
  <c r="G480" i="7"/>
  <c r="H480" i="7"/>
  <c r="I480" i="7"/>
  <c r="J480" i="7"/>
  <c r="K480" i="7"/>
  <c r="M480" i="7"/>
  <c r="O480" i="7"/>
  <c r="P480" i="7"/>
  <c r="Q480" i="7"/>
  <c r="B481" i="7"/>
  <c r="D481" i="7"/>
  <c r="E481" i="7"/>
  <c r="F481" i="7"/>
  <c r="G481" i="7"/>
  <c r="H481" i="7"/>
  <c r="I481" i="7"/>
  <c r="J481" i="7"/>
  <c r="K481" i="7"/>
  <c r="M481" i="7"/>
  <c r="O481" i="7"/>
  <c r="P481" i="7"/>
  <c r="Q481" i="7"/>
  <c r="B482" i="7"/>
  <c r="D482" i="7"/>
  <c r="E482" i="7"/>
  <c r="F482" i="7"/>
  <c r="G482" i="7"/>
  <c r="H482" i="7"/>
  <c r="I482" i="7"/>
  <c r="J482" i="7"/>
  <c r="K482" i="7"/>
  <c r="O482" i="7"/>
  <c r="P482" i="7"/>
  <c r="Q482" i="7"/>
  <c r="B483" i="7"/>
  <c r="D483" i="7"/>
  <c r="E483" i="7"/>
  <c r="F483" i="7"/>
  <c r="G483" i="7"/>
  <c r="H483" i="7"/>
  <c r="I483" i="7"/>
  <c r="J483" i="7"/>
  <c r="K483" i="7"/>
  <c r="O483" i="7"/>
  <c r="P483" i="7"/>
  <c r="Q483" i="7"/>
  <c r="B484" i="7"/>
  <c r="D484" i="7"/>
  <c r="E484" i="7"/>
  <c r="F484" i="7"/>
  <c r="G484" i="7"/>
  <c r="H484" i="7"/>
  <c r="I484" i="7"/>
  <c r="J484" i="7"/>
  <c r="K484" i="7"/>
  <c r="O484" i="7"/>
  <c r="P484" i="7"/>
  <c r="Q484" i="7"/>
  <c r="B485" i="7"/>
  <c r="D485" i="7"/>
  <c r="E485" i="7"/>
  <c r="G485" i="7"/>
  <c r="H485" i="7"/>
  <c r="I485" i="7"/>
  <c r="J485" i="7"/>
  <c r="K485" i="7"/>
  <c r="O485" i="7"/>
  <c r="P485" i="7"/>
  <c r="Q485" i="7"/>
  <c r="B486" i="7"/>
  <c r="D486" i="7"/>
  <c r="E486" i="7"/>
  <c r="F486" i="7"/>
  <c r="G486" i="7"/>
  <c r="H486" i="7"/>
  <c r="I486" i="7"/>
  <c r="J486" i="7"/>
  <c r="K486" i="7"/>
  <c r="O486" i="7"/>
  <c r="P486" i="7"/>
  <c r="Q486" i="7"/>
  <c r="B487" i="7"/>
  <c r="D487" i="7"/>
  <c r="E487" i="7"/>
  <c r="F487" i="7"/>
  <c r="G487" i="7"/>
  <c r="H487" i="7"/>
  <c r="I487" i="7"/>
  <c r="J487" i="7"/>
  <c r="L487" i="7"/>
  <c r="M487" i="7"/>
  <c r="O487" i="7"/>
  <c r="P487" i="7"/>
  <c r="Q487" i="7"/>
  <c r="B488" i="7"/>
  <c r="D488" i="7"/>
  <c r="E488" i="7"/>
  <c r="F488" i="7"/>
  <c r="G488" i="7"/>
  <c r="H488" i="7"/>
  <c r="I488" i="7"/>
  <c r="J488" i="7"/>
  <c r="K488" i="7"/>
  <c r="O488" i="7"/>
  <c r="P488" i="7"/>
  <c r="Q488" i="7"/>
  <c r="B489" i="7"/>
  <c r="D489" i="7"/>
  <c r="E489" i="7"/>
  <c r="G489" i="7"/>
  <c r="H489" i="7"/>
  <c r="I489" i="7"/>
  <c r="J489" i="7"/>
  <c r="K489" i="7"/>
  <c r="O489" i="7"/>
  <c r="P489" i="7"/>
  <c r="Q489" i="7"/>
  <c r="B490" i="7"/>
  <c r="D490" i="7"/>
  <c r="E490" i="7"/>
  <c r="G490" i="7"/>
  <c r="H490" i="7"/>
  <c r="I490" i="7"/>
  <c r="J490" i="7"/>
  <c r="K490" i="7"/>
  <c r="O490" i="7"/>
  <c r="P490" i="7"/>
  <c r="Q490" i="7"/>
  <c r="B491" i="7"/>
  <c r="D491" i="7"/>
  <c r="E491" i="7"/>
  <c r="F491" i="7"/>
  <c r="G491" i="7"/>
  <c r="H491" i="7"/>
  <c r="I491" i="7"/>
  <c r="J491" i="7"/>
  <c r="K491" i="7"/>
  <c r="M491" i="7"/>
  <c r="O491" i="7"/>
  <c r="P491" i="7"/>
  <c r="Q491" i="7"/>
  <c r="N130" i="72" l="1"/>
  <c r="N552" i="7" s="1"/>
  <c r="M552" i="7"/>
  <c r="L118" i="73"/>
  <c r="L743" i="7" s="1"/>
  <c r="O831" i="7" l="1"/>
  <c r="L206" i="73"/>
  <c r="L831" i="7" s="1"/>
  <c r="O826" i="7"/>
  <c r="L201" i="73"/>
  <c r="L826" i="7" s="1"/>
  <c r="O825" i="7"/>
  <c r="L200" i="73"/>
  <c r="L825" i="7" s="1"/>
  <c r="O824" i="7"/>
  <c r="L199" i="73"/>
  <c r="L824" i="7" s="1"/>
  <c r="O823" i="7"/>
  <c r="L198" i="73"/>
  <c r="L823" i="7" s="1"/>
  <c r="O822" i="7"/>
  <c r="L197" i="73"/>
  <c r="L822" i="7" s="1"/>
  <c r="O821" i="7"/>
  <c r="L196" i="73"/>
  <c r="L821" i="7" s="1"/>
  <c r="O820" i="7"/>
  <c r="L195" i="73"/>
  <c r="L820" i="7" s="1"/>
  <c r="O819" i="7"/>
  <c r="L194" i="73"/>
  <c r="L819" i="7" s="1"/>
  <c r="O818" i="7"/>
  <c r="L193" i="73"/>
  <c r="L818" i="7" s="1"/>
  <c r="O835" i="7"/>
  <c r="L210" i="73"/>
  <c r="L835" i="7" s="1"/>
  <c r="L205" i="73"/>
  <c r="L830" i="7" s="1"/>
  <c r="L203" i="73"/>
  <c r="L828" i="7" s="1"/>
  <c r="O827" i="7"/>
  <c r="L202" i="73"/>
  <c r="L827" i="7" s="1"/>
  <c r="O817" i="7"/>
  <c r="L192" i="73"/>
  <c r="L817" i="7" s="1"/>
  <c r="O794" i="7"/>
  <c r="L169" i="73"/>
  <c r="L794" i="7" s="1"/>
  <c r="O793" i="7"/>
  <c r="L168" i="73"/>
  <c r="L793" i="7" s="1"/>
  <c r="O815" i="7"/>
  <c r="L190" i="73"/>
  <c r="L815" i="7" s="1"/>
  <c r="O814" i="7"/>
  <c r="L189" i="73"/>
  <c r="L814" i="7" s="1"/>
  <c r="O813" i="7"/>
  <c r="L188" i="73"/>
  <c r="L813" i="7" s="1"/>
  <c r="O812" i="7"/>
  <c r="L187" i="73"/>
  <c r="L812" i="7" s="1"/>
  <c r="O811" i="7"/>
  <c r="L186" i="73"/>
  <c r="L811" i="7" s="1"/>
  <c r="O810" i="7"/>
  <c r="L185" i="73"/>
  <c r="L810" i="7" s="1"/>
  <c r="O809" i="7"/>
  <c r="L184" i="73"/>
  <c r="L809" i="7" s="1"/>
  <c r="O808" i="7"/>
  <c r="L183" i="73"/>
  <c r="L808" i="7" s="1"/>
  <c r="O807" i="7"/>
  <c r="L182" i="73"/>
  <c r="L807" i="7" s="1"/>
  <c r="O806" i="7"/>
  <c r="L181" i="73"/>
  <c r="L806" i="7" s="1"/>
  <c r="O805" i="7"/>
  <c r="L180" i="73"/>
  <c r="L805" i="7" s="1"/>
  <c r="O804" i="7"/>
  <c r="L179" i="73"/>
  <c r="L804" i="7" s="1"/>
  <c r="O803" i="7"/>
  <c r="L178" i="73"/>
  <c r="L803" i="7" s="1"/>
  <c r="O802" i="7"/>
  <c r="L177" i="73"/>
  <c r="L802" i="7" s="1"/>
  <c r="O801" i="7"/>
  <c r="L176" i="73"/>
  <c r="L801" i="7" s="1"/>
  <c r="O800" i="7"/>
  <c r="L175" i="73"/>
  <c r="L800" i="7" s="1"/>
  <c r="O799" i="7"/>
  <c r="L174" i="73"/>
  <c r="L799" i="7" s="1"/>
  <c r="O798" i="7"/>
  <c r="L173" i="73"/>
  <c r="L798" i="7" s="1"/>
  <c r="O797" i="7"/>
  <c r="L172" i="73"/>
  <c r="L797" i="7" s="1"/>
  <c r="O796" i="7"/>
  <c r="L171" i="73"/>
  <c r="L796" i="7" s="1"/>
  <c r="O795" i="7"/>
  <c r="L170" i="73"/>
  <c r="L795" i="7" s="1"/>
  <c r="O773" i="7"/>
  <c r="L148" i="73"/>
  <c r="L773" i="7" s="1"/>
  <c r="O772" i="7"/>
  <c r="L147" i="73"/>
  <c r="L772" i="7" s="1"/>
  <c r="O771" i="7"/>
  <c r="L146" i="73"/>
  <c r="L771" i="7" s="1"/>
  <c r="O770" i="7"/>
  <c r="L145" i="73"/>
  <c r="L770" i="7" s="1"/>
  <c r="O792" i="7"/>
  <c r="L167" i="73"/>
  <c r="L792" i="7" s="1"/>
  <c r="O816" i="7"/>
  <c r="L191" i="73"/>
  <c r="L816" i="7" s="1"/>
  <c r="O786" i="7"/>
  <c r="L161" i="73"/>
  <c r="O785" i="7"/>
  <c r="L160" i="73"/>
  <c r="O784" i="7"/>
  <c r="L159" i="73"/>
  <c r="O783" i="7"/>
  <c r="L158" i="73"/>
  <c r="L157" i="73"/>
  <c r="L156" i="73"/>
  <c r="L155" i="73"/>
  <c r="L154" i="73"/>
  <c r="L152" i="73"/>
  <c r="O776" i="7"/>
  <c r="L151" i="73"/>
  <c r="L776" i="7" s="1"/>
  <c r="O775" i="7"/>
  <c r="L150" i="73"/>
  <c r="O774" i="7"/>
  <c r="L149" i="73"/>
  <c r="L774" i="7" s="1"/>
  <c r="O791" i="7"/>
  <c r="L166" i="73"/>
  <c r="O790" i="7"/>
  <c r="L165" i="73"/>
  <c r="O789" i="7"/>
  <c r="L164" i="73"/>
  <c r="O788" i="7"/>
  <c r="L163" i="73"/>
  <c r="L788" i="7" s="1"/>
  <c r="O787" i="7"/>
  <c r="L162" i="73"/>
  <c r="L787" i="7" s="1"/>
  <c r="L133" i="73"/>
  <c r="M118" i="73"/>
  <c r="M743" i="7" s="1"/>
  <c r="L117" i="73"/>
  <c r="L113" i="73"/>
  <c r="L738" i="7" s="1"/>
  <c r="L116" i="73"/>
  <c r="L114" i="73"/>
  <c r="L739" i="7" s="1"/>
  <c r="L107" i="73"/>
  <c r="L106" i="73"/>
  <c r="L111" i="73"/>
  <c r="L110" i="73"/>
  <c r="L735" i="7" s="1"/>
  <c r="L109" i="73"/>
  <c r="L115" i="73"/>
  <c r="L94" i="73"/>
  <c r="L86" i="73"/>
  <c r="L711" i="7" s="1"/>
  <c r="L63" i="73"/>
  <c r="L688" i="7" s="1"/>
  <c r="L55" i="73"/>
  <c r="L680" i="7" s="1"/>
  <c r="L62" i="73"/>
  <c r="L53" i="73"/>
  <c r="L52" i="73"/>
  <c r="L51" i="73"/>
  <c r="L50" i="73"/>
  <c r="L131" i="73"/>
  <c r="L756" i="7" s="1"/>
  <c r="L105" i="73"/>
  <c r="L104" i="73"/>
  <c r="L108" i="73"/>
  <c r="L733" i="7" s="1"/>
  <c r="L112" i="73"/>
  <c r="L737" i="7" s="1"/>
  <c r="L85" i="73"/>
  <c r="L84" i="73"/>
  <c r="L74" i="73"/>
  <c r="L73" i="73"/>
  <c r="L72" i="73"/>
  <c r="L71" i="73"/>
  <c r="N69" i="73"/>
  <c r="N694" i="7" s="1"/>
  <c r="K69" i="73"/>
  <c r="K694" i="7" s="1"/>
  <c r="N61" i="73"/>
  <c r="N686" i="7" s="1"/>
  <c r="N74" i="73" l="1"/>
  <c r="N699" i="7" s="1"/>
  <c r="L699" i="7"/>
  <c r="N50" i="73"/>
  <c r="N675" i="7" s="1"/>
  <c r="L675" i="7"/>
  <c r="M62" i="73"/>
  <c r="M687" i="7" s="1"/>
  <c r="L687" i="7"/>
  <c r="M94" i="73"/>
  <c r="M719" i="7" s="1"/>
  <c r="L719" i="7"/>
  <c r="M111" i="73"/>
  <c r="M736" i="7" s="1"/>
  <c r="L736" i="7"/>
  <c r="M116" i="73"/>
  <c r="M741" i="7" s="1"/>
  <c r="L741" i="7"/>
  <c r="M133" i="73"/>
  <c r="M758" i="7" s="1"/>
  <c r="L758" i="7"/>
  <c r="N156" i="73"/>
  <c r="N781" i="7" s="1"/>
  <c r="L781" i="7"/>
  <c r="M159" i="73"/>
  <c r="L784" i="7"/>
  <c r="N161" i="73"/>
  <c r="N786" i="7" s="1"/>
  <c r="L786" i="7"/>
  <c r="N71" i="73"/>
  <c r="N696" i="7" s="1"/>
  <c r="L696" i="7"/>
  <c r="N104" i="73"/>
  <c r="N729" i="7" s="1"/>
  <c r="L729" i="7"/>
  <c r="N51" i="73"/>
  <c r="N676" i="7" s="1"/>
  <c r="L676" i="7"/>
  <c r="M115" i="73"/>
  <c r="L740" i="7"/>
  <c r="M106" i="73"/>
  <c r="L731" i="7"/>
  <c r="N164" i="73"/>
  <c r="N789" i="7" s="1"/>
  <c r="L789" i="7"/>
  <c r="M166" i="73"/>
  <c r="M791" i="7" s="1"/>
  <c r="L791" i="7"/>
  <c r="M150" i="73"/>
  <c r="M775" i="7" s="1"/>
  <c r="L775" i="7"/>
  <c r="M152" i="73"/>
  <c r="M777" i="7" s="1"/>
  <c r="L777" i="7"/>
  <c r="M157" i="73"/>
  <c r="L782" i="7"/>
  <c r="N84" i="73"/>
  <c r="N709" i="7" s="1"/>
  <c r="L709" i="7"/>
  <c r="N72" i="73"/>
  <c r="N697" i="7" s="1"/>
  <c r="L697" i="7"/>
  <c r="M85" i="73"/>
  <c r="M710" i="7" s="1"/>
  <c r="L710" i="7"/>
  <c r="N105" i="73"/>
  <c r="N730" i="7" s="1"/>
  <c r="L730" i="7"/>
  <c r="N52" i="73"/>
  <c r="N677" i="7" s="1"/>
  <c r="L677" i="7"/>
  <c r="M109" i="73"/>
  <c r="L734" i="7"/>
  <c r="M107" i="73"/>
  <c r="L732" i="7"/>
  <c r="M117" i="73"/>
  <c r="M742" i="7" s="1"/>
  <c r="L742" i="7"/>
  <c r="N154" i="73"/>
  <c r="N779" i="7" s="1"/>
  <c r="L779" i="7"/>
  <c r="M158" i="73"/>
  <c r="L783" i="7"/>
  <c r="M160" i="73"/>
  <c r="L785" i="7"/>
  <c r="N73" i="73"/>
  <c r="N698" i="7" s="1"/>
  <c r="L698" i="7"/>
  <c r="N53" i="73"/>
  <c r="N678" i="7" s="1"/>
  <c r="L678" i="7"/>
  <c r="M165" i="73"/>
  <c r="M790" i="7" s="1"/>
  <c r="L790" i="7"/>
  <c r="M155" i="73"/>
  <c r="L780" i="7"/>
  <c r="M206" i="73"/>
  <c r="M149" i="73"/>
  <c r="M151" i="73"/>
  <c r="M162" i="73"/>
  <c r="M163" i="73"/>
  <c r="M191" i="73"/>
  <c r="M167" i="73"/>
  <c r="M145" i="73"/>
  <c r="M146" i="73"/>
  <c r="M147" i="73"/>
  <c r="M148" i="73"/>
  <c r="M170" i="73"/>
  <c r="M171" i="73"/>
  <c r="M172" i="73"/>
  <c r="M173" i="73"/>
  <c r="M174" i="73"/>
  <c r="M175" i="73"/>
  <c r="M176" i="73"/>
  <c r="M177" i="73"/>
  <c r="M178" i="73"/>
  <c r="M179" i="73"/>
  <c r="M180" i="73"/>
  <c r="M181" i="73"/>
  <c r="M182" i="73"/>
  <c r="M183" i="73"/>
  <c r="M184" i="73"/>
  <c r="M185" i="73"/>
  <c r="M186" i="73"/>
  <c r="M187" i="73"/>
  <c r="M188" i="73"/>
  <c r="M189" i="73"/>
  <c r="M190" i="73"/>
  <c r="M168" i="73"/>
  <c r="M169" i="73"/>
  <c r="M192" i="73"/>
  <c r="M202" i="73"/>
  <c r="M203" i="73"/>
  <c r="M205" i="73"/>
  <c r="M210" i="73"/>
  <c r="M193" i="73"/>
  <c r="M194" i="73"/>
  <c r="M195" i="73"/>
  <c r="M196" i="73"/>
  <c r="M197" i="73"/>
  <c r="M198" i="73"/>
  <c r="M199" i="73"/>
  <c r="M200" i="73"/>
  <c r="M201" i="73"/>
  <c r="N118" i="73"/>
  <c r="N743" i="7" s="1"/>
  <c r="M113" i="73"/>
  <c r="M110" i="73"/>
  <c r="M114" i="73"/>
  <c r="M86" i="73"/>
  <c r="M63" i="73"/>
  <c r="M55" i="73"/>
  <c r="M131" i="73"/>
  <c r="M108" i="73"/>
  <c r="M112" i="73"/>
  <c r="N62" i="73" l="1"/>
  <c r="N687" i="7" s="1"/>
  <c r="N111" i="73"/>
  <c r="N736" i="7" s="1"/>
  <c r="N133" i="73"/>
  <c r="N758" i="7" s="1"/>
  <c r="N85" i="73"/>
  <c r="N710" i="7" s="1"/>
  <c r="N116" i="73"/>
  <c r="N741" i="7" s="1"/>
  <c r="N94" i="73"/>
  <c r="N719" i="7" s="1"/>
  <c r="N152" i="73"/>
  <c r="N777" i="7" s="1"/>
  <c r="N117" i="73"/>
  <c r="N742" i="7" s="1"/>
  <c r="N166" i="73"/>
  <c r="N791" i="7" s="1"/>
  <c r="N187" i="73"/>
  <c r="N812" i="7" s="1"/>
  <c r="M812" i="7"/>
  <c r="N108" i="73"/>
  <c r="N733" i="7" s="1"/>
  <c r="M733" i="7"/>
  <c r="N200" i="73"/>
  <c r="N825" i="7" s="1"/>
  <c r="M825" i="7"/>
  <c r="N210" i="73"/>
  <c r="N835" i="7" s="1"/>
  <c r="M835" i="7"/>
  <c r="N177" i="73"/>
  <c r="N802" i="7" s="1"/>
  <c r="M802" i="7"/>
  <c r="N155" i="73"/>
  <c r="N780" i="7" s="1"/>
  <c r="M780" i="7"/>
  <c r="N131" i="73"/>
  <c r="N756" i="7" s="1"/>
  <c r="M756" i="7"/>
  <c r="N86" i="73"/>
  <c r="N711" i="7" s="1"/>
  <c r="M711" i="7"/>
  <c r="N110" i="73"/>
  <c r="N735" i="7" s="1"/>
  <c r="M735" i="7"/>
  <c r="N199" i="73"/>
  <c r="N824" i="7" s="1"/>
  <c r="M824" i="7"/>
  <c r="N195" i="73"/>
  <c r="N820" i="7" s="1"/>
  <c r="M820" i="7"/>
  <c r="N205" i="73"/>
  <c r="N830" i="7" s="1"/>
  <c r="M830" i="7"/>
  <c r="N169" i="73"/>
  <c r="N794" i="7" s="1"/>
  <c r="M794" i="7"/>
  <c r="N188" i="73"/>
  <c r="N813" i="7" s="1"/>
  <c r="M813" i="7"/>
  <c r="N184" i="73"/>
  <c r="N809" i="7" s="1"/>
  <c r="M809" i="7"/>
  <c r="N180" i="73"/>
  <c r="N805" i="7" s="1"/>
  <c r="M805" i="7"/>
  <c r="N176" i="73"/>
  <c r="N801" i="7" s="1"/>
  <c r="M801" i="7"/>
  <c r="N172" i="73"/>
  <c r="N797" i="7" s="1"/>
  <c r="M797" i="7"/>
  <c r="N147" i="73"/>
  <c r="N772" i="7" s="1"/>
  <c r="M772" i="7"/>
  <c r="N191" i="73"/>
  <c r="N816" i="7" s="1"/>
  <c r="M816" i="7"/>
  <c r="N165" i="73"/>
  <c r="N790" i="7" s="1"/>
  <c r="N149" i="73"/>
  <c r="N774" i="7" s="1"/>
  <c r="M774" i="7"/>
  <c r="N198" i="73"/>
  <c r="N823" i="7" s="1"/>
  <c r="M823" i="7"/>
  <c r="N168" i="73"/>
  <c r="N793" i="7" s="1"/>
  <c r="M793" i="7"/>
  <c r="N175" i="73"/>
  <c r="N800" i="7" s="1"/>
  <c r="M800" i="7"/>
  <c r="N146" i="73"/>
  <c r="N771" i="7" s="1"/>
  <c r="M771" i="7"/>
  <c r="N163" i="73"/>
  <c r="N788" i="7" s="1"/>
  <c r="M788" i="7"/>
  <c r="N158" i="73"/>
  <c r="N783" i="7" s="1"/>
  <c r="M783" i="7"/>
  <c r="N157" i="73"/>
  <c r="N782" i="7" s="1"/>
  <c r="M782" i="7"/>
  <c r="N115" i="73"/>
  <c r="N740" i="7" s="1"/>
  <c r="M740" i="7"/>
  <c r="N203" i="73"/>
  <c r="N828" i="7" s="1"/>
  <c r="M828" i="7"/>
  <c r="N183" i="73"/>
  <c r="N808" i="7" s="1"/>
  <c r="M808" i="7"/>
  <c r="N171" i="73"/>
  <c r="N796" i="7" s="1"/>
  <c r="M796" i="7"/>
  <c r="N206" i="73"/>
  <c r="N831" i="7" s="1"/>
  <c r="M831" i="7"/>
  <c r="N109" i="73"/>
  <c r="N734" i="7" s="1"/>
  <c r="M734" i="7"/>
  <c r="N112" i="73"/>
  <c r="N737" i="7" s="1"/>
  <c r="M737" i="7"/>
  <c r="N55" i="73"/>
  <c r="N680" i="7" s="1"/>
  <c r="M680" i="7"/>
  <c r="N114" i="73"/>
  <c r="N739" i="7" s="1"/>
  <c r="M739" i="7"/>
  <c r="N113" i="73"/>
  <c r="N738" i="7" s="1"/>
  <c r="M738" i="7"/>
  <c r="N201" i="73"/>
  <c r="N826" i="7" s="1"/>
  <c r="M826" i="7"/>
  <c r="N197" i="73"/>
  <c r="N822" i="7" s="1"/>
  <c r="M822" i="7"/>
  <c r="N193" i="73"/>
  <c r="N818" i="7" s="1"/>
  <c r="M818" i="7"/>
  <c r="N202" i="73"/>
  <c r="N827" i="7" s="1"/>
  <c r="M827" i="7"/>
  <c r="N190" i="73"/>
  <c r="N815" i="7" s="1"/>
  <c r="M815" i="7"/>
  <c r="N186" i="73"/>
  <c r="N811" i="7" s="1"/>
  <c r="M811" i="7"/>
  <c r="N182" i="73"/>
  <c r="N807" i="7" s="1"/>
  <c r="M807" i="7"/>
  <c r="N178" i="73"/>
  <c r="N803" i="7" s="1"/>
  <c r="M803" i="7"/>
  <c r="N174" i="73"/>
  <c r="N799" i="7" s="1"/>
  <c r="M799" i="7"/>
  <c r="N170" i="73"/>
  <c r="N795" i="7" s="1"/>
  <c r="M795" i="7"/>
  <c r="N145" i="73"/>
  <c r="N770" i="7" s="1"/>
  <c r="M770" i="7"/>
  <c r="N150" i="73"/>
  <c r="N775" i="7" s="1"/>
  <c r="N162" i="73"/>
  <c r="N787" i="7" s="1"/>
  <c r="M787" i="7"/>
  <c r="N194" i="73"/>
  <c r="N819" i="7" s="1"/>
  <c r="M819" i="7"/>
  <c r="N179" i="73"/>
  <c r="N804" i="7" s="1"/>
  <c r="M804" i="7"/>
  <c r="N63" i="73"/>
  <c r="N688" i="7" s="1"/>
  <c r="M688" i="7"/>
  <c r="N196" i="73"/>
  <c r="N821" i="7" s="1"/>
  <c r="M821" i="7"/>
  <c r="N192" i="73"/>
  <c r="N817" i="7" s="1"/>
  <c r="M817" i="7"/>
  <c r="N189" i="73"/>
  <c r="N814" i="7" s="1"/>
  <c r="M814" i="7"/>
  <c r="N185" i="73"/>
  <c r="N810" i="7" s="1"/>
  <c r="M810" i="7"/>
  <c r="N181" i="73"/>
  <c r="N806" i="7" s="1"/>
  <c r="M806" i="7"/>
  <c r="N173" i="73"/>
  <c r="N798" i="7" s="1"/>
  <c r="M798" i="7"/>
  <c r="N148" i="73"/>
  <c r="N773" i="7" s="1"/>
  <c r="M773" i="7"/>
  <c r="N167" i="73"/>
  <c r="N792" i="7" s="1"/>
  <c r="M792" i="7"/>
  <c r="N151" i="73"/>
  <c r="N776" i="7" s="1"/>
  <c r="M776" i="7"/>
  <c r="N160" i="73"/>
  <c r="N785" i="7" s="1"/>
  <c r="M785" i="7"/>
  <c r="N107" i="73"/>
  <c r="N732" i="7" s="1"/>
  <c r="M732" i="7"/>
  <c r="N106" i="73"/>
  <c r="N731" i="7" s="1"/>
  <c r="M731" i="7"/>
  <c r="N159" i="73"/>
  <c r="N784" i="7" s="1"/>
  <c r="M784" i="7"/>
  <c r="L44" i="73"/>
  <c r="L669" i="7" s="1"/>
  <c r="M44" i="73" l="1"/>
  <c r="N44" i="73" l="1"/>
  <c r="N669" i="7" s="1"/>
  <c r="M669" i="7"/>
  <c r="L208" i="72"/>
  <c r="M208" i="72" s="1"/>
  <c r="N208" i="72" s="1"/>
  <c r="L136" i="73"/>
  <c r="L761" i="7" s="1"/>
  <c r="L92" i="73"/>
  <c r="L87" i="73"/>
  <c r="L132" i="73"/>
  <c r="L757" i="7" s="1"/>
  <c r="M87" i="73" l="1"/>
  <c r="M712" i="7" s="1"/>
  <c r="L712" i="7"/>
  <c r="M92" i="73"/>
  <c r="L717" i="7"/>
  <c r="M136" i="73"/>
  <c r="M132" i="73"/>
  <c r="N87" i="73" l="1"/>
  <c r="N712" i="7" s="1"/>
  <c r="N92" i="73"/>
  <c r="N717" i="7" s="1"/>
  <c r="M717" i="7"/>
  <c r="N132" i="73"/>
  <c r="N757" i="7" s="1"/>
  <c r="M757" i="7"/>
  <c r="N136" i="73"/>
  <c r="N761" i="7" s="1"/>
  <c r="M761" i="7"/>
  <c r="K40" i="73"/>
  <c r="L46" i="73"/>
  <c r="N47" i="73"/>
  <c r="N672" i="7" s="1"/>
  <c r="L54" i="73"/>
  <c r="K665" i="7" l="1"/>
  <c r="M46" i="73"/>
  <c r="M671" i="7" s="1"/>
  <c r="L671" i="7"/>
  <c r="M54" i="73"/>
  <c r="L679" i="7"/>
  <c r="N46" i="73" l="1"/>
  <c r="N671" i="7" s="1"/>
  <c r="N54" i="73"/>
  <c r="N679" i="7" s="1"/>
  <c r="M679" i="7"/>
  <c r="L52" i="72"/>
  <c r="O658" i="7"/>
  <c r="O659" i="7"/>
  <c r="O660" i="7"/>
  <c r="N52" i="72" l="1"/>
  <c r="N474" i="7" s="1"/>
  <c r="L474" i="7"/>
  <c r="K37" i="73"/>
  <c r="K662" i="7" s="1"/>
  <c r="O554" i="7"/>
  <c r="O555" i="7"/>
  <c r="O556" i="7"/>
  <c r="O557" i="7"/>
  <c r="O558" i="7"/>
  <c r="O559" i="7"/>
  <c r="O560" i="7"/>
  <c r="O561" i="7"/>
  <c r="O562" i="7"/>
  <c r="O563" i="7"/>
  <c r="O553" i="7"/>
  <c r="O573" i="7" l="1"/>
  <c r="O575" i="7"/>
  <c r="O574" i="7"/>
  <c r="O571" i="7"/>
  <c r="O570" i="7"/>
  <c r="O568" i="7"/>
  <c r="O569" i="7"/>
  <c r="O567" i="7"/>
  <c r="O603" i="7"/>
  <c r="O579" i="7"/>
  <c r="O592" i="7"/>
  <c r="O600" i="7"/>
  <c r="O594" i="7"/>
  <c r="O586" i="7"/>
  <c r="O582" i="7"/>
  <c r="O590" i="7"/>
  <c r="O595" i="7"/>
  <c r="O585" i="7"/>
  <c r="O589" i="7"/>
  <c r="O587" i="7"/>
  <c r="O576" i="7"/>
  <c r="O593" i="7"/>
  <c r="O588" i="7"/>
  <c r="O591" i="7"/>
  <c r="O597" i="7"/>
  <c r="O577" i="7"/>
  <c r="O578" i="7"/>
  <c r="O580" i="7"/>
  <c r="O602" i="7"/>
  <c r="O581" i="7"/>
  <c r="O598" i="7"/>
  <c r="O596" i="7"/>
  <c r="O601" i="7"/>
  <c r="O628" i="7"/>
  <c r="O629" i="7"/>
  <c r="O626" i="7"/>
  <c r="O616" i="7"/>
  <c r="O619" i="7"/>
  <c r="O614" i="7"/>
  <c r="O610" i="7"/>
  <c r="O607" i="7"/>
  <c r="O605" i="7"/>
  <c r="O608" i="7"/>
  <c r="O617" i="7"/>
  <c r="O611" i="7"/>
  <c r="O613" i="7"/>
  <c r="O604" i="7"/>
  <c r="O627" i="7"/>
  <c r="O622" i="7"/>
  <c r="O615" i="7"/>
  <c r="O623" i="7"/>
  <c r="O624" i="7"/>
  <c r="O620" i="7"/>
  <c r="O606" i="7"/>
  <c r="O609" i="7"/>
  <c r="O612" i="7"/>
  <c r="O621" i="7"/>
  <c r="O618" i="7"/>
  <c r="O625" i="7"/>
  <c r="O584" i="7"/>
  <c r="O599" i="7"/>
  <c r="O583" i="7"/>
  <c r="O572" i="7"/>
  <c r="O565" i="7"/>
  <c r="O566" i="7"/>
  <c r="O564" i="7"/>
  <c r="L58" i="73" l="1"/>
  <c r="L134" i="73"/>
  <c r="L135" i="73"/>
  <c r="L137" i="73"/>
  <c r="L762" i="7" s="1"/>
  <c r="L143" i="73"/>
  <c r="L144" i="73"/>
  <c r="M135" i="73" l="1"/>
  <c r="M760" i="7" s="1"/>
  <c r="L760" i="7"/>
  <c r="M144" i="73"/>
  <c r="L769" i="7"/>
  <c r="M134" i="73"/>
  <c r="M759" i="7" s="1"/>
  <c r="L759" i="7"/>
  <c r="M143" i="73"/>
  <c r="M768" i="7" s="1"/>
  <c r="L768" i="7"/>
  <c r="N58" i="73"/>
  <c r="N683" i="7" s="1"/>
  <c r="L683" i="7"/>
  <c r="M137" i="73"/>
  <c r="N89" i="73"/>
  <c r="N714" i="7" s="1"/>
  <c r="N143" i="73" l="1"/>
  <c r="N768" i="7" s="1"/>
  <c r="N134" i="73"/>
  <c r="N759" i="7" s="1"/>
  <c r="N135" i="73"/>
  <c r="N760" i="7" s="1"/>
  <c r="N144" i="73"/>
  <c r="N769" i="7" s="1"/>
  <c r="M769" i="7"/>
  <c r="N137" i="73"/>
  <c r="N762" i="7" s="1"/>
  <c r="M762" i="7"/>
  <c r="L161" i="72"/>
  <c r="L188" i="72"/>
  <c r="L190" i="72"/>
  <c r="M190" i="72" l="1"/>
  <c r="L612" i="7"/>
  <c r="M188" i="72"/>
  <c r="L610" i="7"/>
  <c r="M161" i="72"/>
  <c r="L583" i="7"/>
  <c r="L76" i="73"/>
  <c r="O632" i="7"/>
  <c r="O652" i="7"/>
  <c r="L27" i="73"/>
  <c r="L652" i="7" s="1"/>
  <c r="O649" i="7"/>
  <c r="L24" i="73"/>
  <c r="O650" i="7"/>
  <c r="L25" i="73"/>
  <c r="O651" i="7"/>
  <c r="L26" i="73"/>
  <c r="O655" i="7"/>
  <c r="L30" i="73"/>
  <c r="O656" i="7"/>
  <c r="L31" i="73"/>
  <c r="O657" i="7"/>
  <c r="L32" i="73"/>
  <c r="L33" i="73"/>
  <c r="O643" i="7"/>
  <c r="L18" i="73"/>
  <c r="O636" i="7"/>
  <c r="L11" i="73"/>
  <c r="O645" i="7"/>
  <c r="L20" i="73"/>
  <c r="O642" i="7"/>
  <c r="L17" i="73"/>
  <c r="O641" i="7"/>
  <c r="L16" i="73"/>
  <c r="O640" i="7"/>
  <c r="L15" i="73"/>
  <c r="O639" i="7"/>
  <c r="L14" i="73"/>
  <c r="O644" i="7"/>
  <c r="L19" i="73"/>
  <c r="O638" i="7"/>
  <c r="L13" i="73"/>
  <c r="O637" i="7"/>
  <c r="L12" i="73"/>
  <c r="O648" i="7"/>
  <c r="L23" i="73"/>
  <c r="O647" i="7"/>
  <c r="L22" i="73"/>
  <c r="O646" i="7"/>
  <c r="L21" i="73"/>
  <c r="O633" i="7"/>
  <c r="L8" i="73"/>
  <c r="O661" i="7"/>
  <c r="L36" i="73"/>
  <c r="L35" i="73"/>
  <c r="O635" i="7"/>
  <c r="L10" i="73"/>
  <c r="O634" i="7"/>
  <c r="L9" i="73"/>
  <c r="O654" i="7"/>
  <c r="L29" i="73"/>
  <c r="O653" i="7"/>
  <c r="L28" i="73"/>
  <c r="L34" i="73"/>
  <c r="L7" i="73"/>
  <c r="L5" i="73"/>
  <c r="L632" i="7" l="1"/>
  <c r="N29" i="73"/>
  <c r="N654" i="7" s="1"/>
  <c r="L654" i="7"/>
  <c r="N10" i="73"/>
  <c r="N635" i="7" s="1"/>
  <c r="L635" i="7"/>
  <c r="N31" i="73"/>
  <c r="N656" i="7" s="1"/>
  <c r="L656" i="7"/>
  <c r="N26" i="73"/>
  <c r="N651" i="7" s="1"/>
  <c r="L651" i="7"/>
  <c r="N24" i="73"/>
  <c r="N649" i="7" s="1"/>
  <c r="L649" i="7"/>
  <c r="N8" i="73"/>
  <c r="N633" i="7" s="1"/>
  <c r="L633" i="7"/>
  <c r="N22" i="73"/>
  <c r="N647" i="7" s="1"/>
  <c r="L647" i="7"/>
  <c r="N12" i="73"/>
  <c r="N637" i="7" s="1"/>
  <c r="L637" i="7"/>
  <c r="N19" i="73"/>
  <c r="N644" i="7" s="1"/>
  <c r="L644" i="7"/>
  <c r="N15" i="73"/>
  <c r="N640" i="7" s="1"/>
  <c r="L640" i="7"/>
  <c r="N17" i="73"/>
  <c r="N642" i="7" s="1"/>
  <c r="L642" i="7"/>
  <c r="M11" i="73"/>
  <c r="M636" i="7" s="1"/>
  <c r="L636" i="7"/>
  <c r="N33" i="73"/>
  <c r="N658" i="7" s="1"/>
  <c r="L658" i="7"/>
  <c r="M76" i="73"/>
  <c r="L701" i="7"/>
  <c r="M34" i="73"/>
  <c r="M659" i="7" s="1"/>
  <c r="L659" i="7"/>
  <c r="N32" i="73"/>
  <c r="N657" i="7" s="1"/>
  <c r="L657" i="7"/>
  <c r="M30" i="73"/>
  <c r="M655" i="7" s="1"/>
  <c r="L655" i="7"/>
  <c r="N25" i="73"/>
  <c r="N650" i="7" s="1"/>
  <c r="L650" i="7"/>
  <c r="N28" i="73"/>
  <c r="N653" i="7" s="1"/>
  <c r="L653" i="7"/>
  <c r="N9" i="73"/>
  <c r="N634" i="7" s="1"/>
  <c r="L634" i="7"/>
  <c r="N35" i="73"/>
  <c r="N660" i="7" s="1"/>
  <c r="L660" i="7"/>
  <c r="M5" i="73"/>
  <c r="L630" i="7"/>
  <c r="N36" i="73"/>
  <c r="N661" i="7" s="1"/>
  <c r="L661" i="7"/>
  <c r="N21" i="73"/>
  <c r="N646" i="7" s="1"/>
  <c r="L646" i="7"/>
  <c r="N23" i="73"/>
  <c r="N648" i="7" s="1"/>
  <c r="L648" i="7"/>
  <c r="N13" i="73"/>
  <c r="N638" i="7" s="1"/>
  <c r="L638" i="7"/>
  <c r="N14" i="73"/>
  <c r="N639" i="7" s="1"/>
  <c r="L639" i="7"/>
  <c r="N16" i="73"/>
  <c r="N641" i="7" s="1"/>
  <c r="L641" i="7"/>
  <c r="N20" i="73"/>
  <c r="N645" i="7" s="1"/>
  <c r="L645" i="7"/>
  <c r="N18" i="73"/>
  <c r="N643" i="7" s="1"/>
  <c r="L643" i="7"/>
  <c r="N188" i="72"/>
  <c r="N610" i="7" s="1"/>
  <c r="M610" i="7"/>
  <c r="N161" i="72"/>
  <c r="N583" i="7" s="1"/>
  <c r="M583" i="7"/>
  <c r="N190" i="72"/>
  <c r="N612" i="7" s="1"/>
  <c r="M612" i="7"/>
  <c r="N11" i="73"/>
  <c r="N636" i="7" s="1"/>
  <c r="M27" i="73"/>
  <c r="M7" i="73"/>
  <c r="N34" i="73" l="1"/>
  <c r="N659" i="7" s="1"/>
  <c r="N30" i="73"/>
  <c r="N655" i="7" s="1"/>
  <c r="N5" i="73"/>
  <c r="N630" i="7" s="1"/>
  <c r="M630" i="7"/>
  <c r="N76" i="73"/>
  <c r="N701" i="7" s="1"/>
  <c r="M701" i="7"/>
  <c r="N7" i="73"/>
  <c r="N632" i="7" s="1"/>
  <c r="M632" i="7"/>
  <c r="N27" i="73"/>
  <c r="N652" i="7" s="1"/>
  <c r="M652" i="7"/>
  <c r="K97" i="72"/>
  <c r="K519" i="7" s="1"/>
  <c r="K93" i="72" l="1"/>
  <c r="K515" i="7" s="1"/>
  <c r="L115" i="72" l="1"/>
  <c r="L537" i="7" s="1"/>
  <c r="F228" i="74" l="1"/>
  <c r="F227" i="74"/>
  <c r="F226" i="74"/>
  <c r="F225" i="74"/>
  <c r="F224" i="74"/>
  <c r="F223" i="74"/>
  <c r="F221" i="74"/>
  <c r="F220" i="74"/>
  <c r="F219" i="74"/>
  <c r="F218" i="74"/>
  <c r="D214" i="74"/>
  <c r="E7" i="36" s="1"/>
  <c r="L212" i="74"/>
  <c r="M212" i="74" s="1"/>
  <c r="L39" i="74"/>
  <c r="L870" i="7" s="1"/>
  <c r="L38" i="74"/>
  <c r="L869" i="7" s="1"/>
  <c r="L75" i="73"/>
  <c r="L81" i="73"/>
  <c r="M39" i="74" l="1"/>
  <c r="M870" i="7" s="1"/>
  <c r="M38" i="74"/>
  <c r="M869" i="7" s="1"/>
  <c r="M81" i="73"/>
  <c r="L706" i="7"/>
  <c r="M75" i="73"/>
  <c r="M700" i="7" s="1"/>
  <c r="L700" i="7"/>
  <c r="L213" i="74"/>
  <c r="B7" i="36" s="1"/>
  <c r="L215" i="74"/>
  <c r="F222" i="74"/>
  <c r="N212" i="74"/>
  <c r="F217" i="74"/>
  <c r="N39" i="74" l="1"/>
  <c r="N870" i="7" s="1"/>
  <c r="N38" i="74"/>
  <c r="N869" i="7" s="1"/>
  <c r="N75" i="73"/>
  <c r="N700" i="7" s="1"/>
  <c r="N81" i="73"/>
  <c r="N706" i="7" s="1"/>
  <c r="M706" i="7"/>
  <c r="F229" i="74"/>
  <c r="F230" i="74" s="1"/>
  <c r="M215" i="74"/>
  <c r="M213" i="74"/>
  <c r="C7" i="36" s="1"/>
  <c r="N215" i="74" l="1"/>
  <c r="N213" i="74"/>
  <c r="D7" i="36" s="1"/>
  <c r="L77" i="73" l="1"/>
  <c r="L82" i="73"/>
  <c r="M82" i="73" l="1"/>
  <c r="L707" i="7"/>
  <c r="M77" i="73"/>
  <c r="L702" i="7"/>
  <c r="L40" i="72"/>
  <c r="L47" i="72"/>
  <c r="L129" i="72"/>
  <c r="L551" i="7" s="1"/>
  <c r="L89" i="72"/>
  <c r="L38" i="72"/>
  <c r="N77" i="73" l="1"/>
  <c r="N702" i="7" s="1"/>
  <c r="M702" i="7"/>
  <c r="N82" i="73"/>
  <c r="N707" i="7" s="1"/>
  <c r="M707" i="7"/>
  <c r="M89" i="72"/>
  <c r="L511" i="7"/>
  <c r="M47" i="72"/>
  <c r="M469" i="7" s="1"/>
  <c r="L469" i="7"/>
  <c r="M38" i="72"/>
  <c r="M460" i="7" s="1"/>
  <c r="L460" i="7"/>
  <c r="M40" i="72"/>
  <c r="M462" i="7" s="1"/>
  <c r="L462" i="7"/>
  <c r="N38" i="72" l="1"/>
  <c r="N460" i="7" s="1"/>
  <c r="N47" i="72"/>
  <c r="N469" i="7" s="1"/>
  <c r="N40" i="72"/>
  <c r="N462" i="7" s="1"/>
  <c r="N89" i="72"/>
  <c r="N511" i="7" s="1"/>
  <c r="M511" i="7"/>
  <c r="D232" i="70"/>
  <c r="M27" i="54"/>
  <c r="N27" i="54" s="1"/>
  <c r="L26" i="54"/>
  <c r="L28" i="54"/>
  <c r="N29" i="54"/>
  <c r="L32" i="54"/>
  <c r="M32" i="54" s="1"/>
  <c r="L33" i="54"/>
  <c r="M33" i="54" s="1"/>
  <c r="N33" i="54" s="1"/>
  <c r="L34" i="54"/>
  <c r="M34" i="54" s="1"/>
  <c r="N34" i="54" s="1"/>
  <c r="L35" i="54"/>
  <c r="M35" i="54" s="1"/>
  <c r="L36" i="54"/>
  <c r="M36" i="54" s="1"/>
  <c r="M10" i="54"/>
  <c r="K18" i="54"/>
  <c r="M18" i="54"/>
  <c r="N18" i="54" s="1"/>
  <c r="K19" i="54"/>
  <c r="L19" i="54" s="1"/>
  <c r="M20" i="54"/>
  <c r="N20" i="54" s="1"/>
  <c r="O20" i="54"/>
  <c r="K24" i="54"/>
  <c r="L24" i="54" s="1"/>
  <c r="M24" i="54" s="1"/>
  <c r="O24" i="54"/>
  <c r="K25" i="54"/>
  <c r="L25" i="54" s="1"/>
  <c r="O25" i="54"/>
  <c r="L44" i="54"/>
  <c r="M44" i="54" s="1"/>
  <c r="N44" i="54" s="1"/>
  <c r="N36" i="54" l="1"/>
  <c r="N32" i="54"/>
  <c r="M28" i="54"/>
  <c r="N28" i="54" s="1"/>
  <c r="N35" i="54"/>
  <c r="N26" i="54"/>
  <c r="L45" i="54"/>
  <c r="D116" i="36" s="1"/>
  <c r="C116" i="36" s="1"/>
  <c r="M25" i="54"/>
  <c r="N25" i="54" s="1"/>
  <c r="M19" i="54"/>
  <c r="N19" i="54" s="1"/>
  <c r="N24" i="54"/>
  <c r="L50" i="54" l="1"/>
  <c r="N45" i="54"/>
  <c r="N50" i="54" s="1"/>
  <c r="M45" i="54"/>
  <c r="M50" i="54" s="1"/>
  <c r="C16" i="36" s="1"/>
  <c r="L94" i="72" l="1"/>
  <c r="L93" i="72"/>
  <c r="L87" i="72"/>
  <c r="L77" i="72"/>
  <c r="N97" i="72"/>
  <c r="N519" i="7" s="1"/>
  <c r="L104" i="72"/>
  <c r="N77" i="72" l="1"/>
  <c r="N499" i="7" s="1"/>
  <c r="L499" i="7"/>
  <c r="M104" i="72"/>
  <c r="M526" i="7" s="1"/>
  <c r="L526" i="7"/>
  <c r="M93" i="72"/>
  <c r="M515" i="7" s="1"/>
  <c r="L515" i="7"/>
  <c r="M87" i="72"/>
  <c r="M509" i="7" s="1"/>
  <c r="L509" i="7"/>
  <c r="M94" i="72"/>
  <c r="L516" i="7"/>
  <c r="N104" i="72" l="1"/>
  <c r="N526" i="7" s="1"/>
  <c r="N93" i="72"/>
  <c r="N515" i="7" s="1"/>
  <c r="N87" i="72"/>
  <c r="N509" i="7" s="1"/>
  <c r="N94" i="72"/>
  <c r="N516" i="7" s="1"/>
  <c r="M516" i="7"/>
  <c r="L55" i="72"/>
  <c r="L61" i="72"/>
  <c r="L62" i="72"/>
  <c r="L109" i="72"/>
  <c r="L78" i="72"/>
  <c r="M61" i="72" l="1"/>
  <c r="M483" i="7" s="1"/>
  <c r="L483" i="7"/>
  <c r="M78" i="72"/>
  <c r="L500" i="7"/>
  <c r="M55" i="72"/>
  <c r="L477" i="7"/>
  <c r="M109" i="72"/>
  <c r="L531" i="7"/>
  <c r="M62" i="72"/>
  <c r="M484" i="7" s="1"/>
  <c r="L484" i="7"/>
  <c r="N61" i="72" l="1"/>
  <c r="N483" i="7" s="1"/>
  <c r="N62" i="72"/>
  <c r="N484" i="7" s="1"/>
  <c r="N109" i="72"/>
  <c r="N531" i="7" s="1"/>
  <c r="M531" i="7"/>
  <c r="N78" i="72"/>
  <c r="N500" i="7" s="1"/>
  <c r="M500" i="7"/>
  <c r="N55" i="72"/>
  <c r="N477" i="7" s="1"/>
  <c r="M477" i="7"/>
  <c r="L140" i="72"/>
  <c r="L139" i="72"/>
  <c r="L561" i="7" s="1"/>
  <c r="N140" i="72" l="1"/>
  <c r="N562" i="7" s="1"/>
  <c r="L562" i="7"/>
  <c r="M139" i="72"/>
  <c r="N139" i="72" l="1"/>
  <c r="N561" i="7" s="1"/>
  <c r="M561" i="7"/>
  <c r="K65" i="72"/>
  <c r="K487" i="7" s="1"/>
  <c r="L153" i="73"/>
  <c r="L151" i="72"/>
  <c r="L150" i="72"/>
  <c r="L197" i="72"/>
  <c r="L619" i="7" s="1"/>
  <c r="L76" i="72"/>
  <c r="L108" i="72"/>
  <c r="L530" i="7" s="1"/>
  <c r="M153" i="73" l="1"/>
  <c r="M778" i="7" s="1"/>
  <c r="L778" i="7"/>
  <c r="M150" i="72"/>
  <c r="L572" i="7"/>
  <c r="M151" i="72"/>
  <c r="L573" i="7"/>
  <c r="M76" i="72"/>
  <c r="L498" i="7"/>
  <c r="M197" i="72"/>
  <c r="M108" i="72"/>
  <c r="L138" i="72"/>
  <c r="L134" i="72"/>
  <c r="L556" i="7" s="1"/>
  <c r="L135" i="72"/>
  <c r="L137" i="72"/>
  <c r="L559" i="7" s="1"/>
  <c r="L136" i="72"/>
  <c r="L558" i="7" s="1"/>
  <c r="N153" i="73" l="1"/>
  <c r="N778" i="7" s="1"/>
  <c r="M135" i="72"/>
  <c r="M557" i="7" s="1"/>
  <c r="L557" i="7"/>
  <c r="N197" i="72"/>
  <c r="N619" i="7" s="1"/>
  <c r="M619" i="7"/>
  <c r="N151" i="72"/>
  <c r="N573" i="7" s="1"/>
  <c r="M573" i="7"/>
  <c r="M138" i="72"/>
  <c r="L560" i="7"/>
  <c r="N108" i="72"/>
  <c r="N530" i="7" s="1"/>
  <c r="M530" i="7"/>
  <c r="N76" i="72"/>
  <c r="N498" i="7" s="1"/>
  <c r="M498" i="7"/>
  <c r="N150" i="72"/>
  <c r="N572" i="7" s="1"/>
  <c r="M572" i="7"/>
  <c r="M136" i="72"/>
  <c r="M137" i="72"/>
  <c r="M134" i="72"/>
  <c r="N135" i="72" l="1"/>
  <c r="N557" i="7" s="1"/>
  <c r="N137" i="72"/>
  <c r="N559" i="7" s="1"/>
  <c r="M559" i="7"/>
  <c r="N134" i="72"/>
  <c r="N556" i="7" s="1"/>
  <c r="M556" i="7"/>
  <c r="N136" i="72"/>
  <c r="N558" i="7" s="1"/>
  <c r="M558" i="7"/>
  <c r="N138" i="72"/>
  <c r="N560" i="7" s="1"/>
  <c r="M560" i="7"/>
  <c r="L14" i="72"/>
  <c r="N14" i="72" l="1"/>
  <c r="N436" i="7" s="1"/>
  <c r="L436" i="7"/>
  <c r="B203" i="7"/>
  <c r="D203" i="7"/>
  <c r="E203" i="7"/>
  <c r="G203" i="7"/>
  <c r="H203" i="7"/>
  <c r="I203" i="7"/>
  <c r="J203" i="7"/>
  <c r="K203" i="7"/>
  <c r="O203" i="7"/>
  <c r="P203" i="7"/>
  <c r="Q203" i="7"/>
  <c r="B204" i="7"/>
  <c r="D204" i="7"/>
  <c r="E204" i="7"/>
  <c r="F204" i="7"/>
  <c r="G204" i="7"/>
  <c r="H204" i="7"/>
  <c r="I204" i="7"/>
  <c r="J204" i="7"/>
  <c r="K204" i="7"/>
  <c r="P204" i="7"/>
  <c r="Q204" i="7"/>
  <c r="B205" i="7"/>
  <c r="D205" i="7"/>
  <c r="E205" i="7"/>
  <c r="F205" i="7"/>
  <c r="G205" i="7"/>
  <c r="H205" i="7"/>
  <c r="I205" i="7"/>
  <c r="J205" i="7"/>
  <c r="K205" i="7"/>
  <c r="P205" i="7"/>
  <c r="Q205" i="7"/>
  <c r="B206" i="7"/>
  <c r="D206" i="7"/>
  <c r="E206" i="7"/>
  <c r="F206" i="7"/>
  <c r="G206" i="7"/>
  <c r="H206" i="7"/>
  <c r="I206" i="7"/>
  <c r="J206" i="7"/>
  <c r="K206" i="7"/>
  <c r="M206" i="7"/>
  <c r="O206" i="7"/>
  <c r="P206" i="7"/>
  <c r="Q206" i="7"/>
  <c r="B207" i="7"/>
  <c r="D207" i="7"/>
  <c r="E207" i="7"/>
  <c r="F207" i="7"/>
  <c r="G207" i="7"/>
  <c r="H207" i="7"/>
  <c r="I207" i="7"/>
  <c r="J207" i="7"/>
  <c r="K207" i="7"/>
  <c r="M207" i="7"/>
  <c r="P207" i="7"/>
  <c r="Q207" i="7"/>
  <c r="R207" i="7"/>
  <c r="B208" i="7"/>
  <c r="D208" i="7"/>
  <c r="E208" i="7"/>
  <c r="F208" i="7"/>
  <c r="G208" i="7"/>
  <c r="H208" i="7"/>
  <c r="I208" i="7"/>
  <c r="J208" i="7"/>
  <c r="K208" i="7"/>
  <c r="M208" i="7"/>
  <c r="P208" i="7"/>
  <c r="Q208" i="7"/>
  <c r="B209" i="7"/>
  <c r="D209" i="7"/>
  <c r="E209" i="7"/>
  <c r="F209" i="7"/>
  <c r="G209" i="7"/>
  <c r="H209" i="7"/>
  <c r="I209" i="7"/>
  <c r="J209" i="7"/>
  <c r="K209" i="7"/>
  <c r="L209" i="7"/>
  <c r="M209" i="7"/>
  <c r="P209" i="7"/>
  <c r="Q209" i="7"/>
  <c r="R209" i="7"/>
  <c r="B210" i="7"/>
  <c r="D210" i="7"/>
  <c r="E210" i="7"/>
  <c r="F210" i="7"/>
  <c r="G210" i="7"/>
  <c r="H210" i="7"/>
  <c r="I210" i="7"/>
  <c r="J210" i="7"/>
  <c r="K210" i="7"/>
  <c r="P210" i="7"/>
  <c r="Q210" i="7"/>
  <c r="B211" i="7"/>
  <c r="D211" i="7"/>
  <c r="E211" i="7"/>
  <c r="F211" i="7"/>
  <c r="G211" i="7"/>
  <c r="H211" i="7"/>
  <c r="I211" i="7"/>
  <c r="J211" i="7"/>
  <c r="K211" i="7"/>
  <c r="M211" i="7"/>
  <c r="P211" i="7"/>
  <c r="Q211" i="7"/>
  <c r="B212" i="7"/>
  <c r="D212" i="7"/>
  <c r="E212" i="7"/>
  <c r="F212" i="7"/>
  <c r="G212" i="7"/>
  <c r="H212" i="7"/>
  <c r="I212" i="7"/>
  <c r="J212" i="7"/>
  <c r="K212" i="7"/>
  <c r="M212" i="7"/>
  <c r="P212" i="7"/>
  <c r="Q212" i="7"/>
  <c r="B213" i="7"/>
  <c r="D213" i="7"/>
  <c r="E213" i="7"/>
  <c r="F213" i="7"/>
  <c r="G213" i="7"/>
  <c r="H213" i="7"/>
  <c r="I213" i="7"/>
  <c r="J213" i="7"/>
  <c r="K213" i="7"/>
  <c r="M213" i="7"/>
  <c r="P213" i="7"/>
  <c r="Q213" i="7"/>
  <c r="B214" i="7"/>
  <c r="D214" i="7"/>
  <c r="E214" i="7"/>
  <c r="F214" i="7"/>
  <c r="G214" i="7"/>
  <c r="H214" i="7"/>
  <c r="I214" i="7"/>
  <c r="J214" i="7"/>
  <c r="K214" i="7"/>
  <c r="L214" i="7"/>
  <c r="M214" i="7"/>
  <c r="P214" i="7"/>
  <c r="Q214" i="7"/>
  <c r="B215" i="7"/>
  <c r="D215" i="7"/>
  <c r="E215" i="7"/>
  <c r="F215" i="7"/>
  <c r="G215" i="7"/>
  <c r="H215" i="7"/>
  <c r="I215" i="7"/>
  <c r="J215" i="7"/>
  <c r="K215" i="7"/>
  <c r="M215" i="7"/>
  <c r="P215" i="7"/>
  <c r="Q215" i="7"/>
  <c r="B216" i="7"/>
  <c r="D216" i="7"/>
  <c r="E216" i="7"/>
  <c r="F216" i="7"/>
  <c r="G216" i="7"/>
  <c r="H216" i="7"/>
  <c r="I216" i="7"/>
  <c r="J216" i="7"/>
  <c r="K216" i="7"/>
  <c r="M216" i="7"/>
  <c r="P216" i="7"/>
  <c r="Q216" i="7"/>
  <c r="B217" i="7"/>
  <c r="D217" i="7"/>
  <c r="E217" i="7"/>
  <c r="F217" i="7"/>
  <c r="G217" i="7"/>
  <c r="H217" i="7"/>
  <c r="I217" i="7"/>
  <c r="J217" i="7"/>
  <c r="K217" i="7"/>
  <c r="M217" i="7"/>
  <c r="P217" i="7"/>
  <c r="Q217" i="7"/>
  <c r="B218" i="7"/>
  <c r="D218" i="7"/>
  <c r="E218" i="7"/>
  <c r="F218" i="7"/>
  <c r="G218" i="7"/>
  <c r="H218" i="7"/>
  <c r="I218" i="7"/>
  <c r="J218" i="7"/>
  <c r="K218" i="7"/>
  <c r="M218" i="7"/>
  <c r="P218" i="7"/>
  <c r="Q218" i="7"/>
  <c r="B219" i="7"/>
  <c r="D219" i="7"/>
  <c r="E219" i="7"/>
  <c r="F219" i="7"/>
  <c r="G219" i="7"/>
  <c r="H219" i="7"/>
  <c r="I219" i="7"/>
  <c r="J219" i="7"/>
  <c r="K219" i="7"/>
  <c r="M219" i="7"/>
  <c r="P219" i="7"/>
  <c r="Q219" i="7"/>
  <c r="B220" i="7"/>
  <c r="D220" i="7"/>
  <c r="E220" i="7"/>
  <c r="F220" i="7"/>
  <c r="G220" i="7"/>
  <c r="H220" i="7"/>
  <c r="I220" i="7"/>
  <c r="J220" i="7"/>
  <c r="K220" i="7"/>
  <c r="M220" i="7"/>
  <c r="P220" i="7"/>
  <c r="Q220" i="7"/>
  <c r="R220" i="7"/>
  <c r="B221" i="7"/>
  <c r="D221" i="7"/>
  <c r="E221" i="7"/>
  <c r="F221" i="7"/>
  <c r="G221" i="7"/>
  <c r="H221" i="7"/>
  <c r="I221" i="7"/>
  <c r="J221" i="7"/>
  <c r="K221" i="7"/>
  <c r="M221" i="7"/>
  <c r="P221" i="7"/>
  <c r="Q221" i="7"/>
  <c r="B222" i="7"/>
  <c r="D222" i="7"/>
  <c r="E222" i="7"/>
  <c r="F222" i="7"/>
  <c r="G222" i="7"/>
  <c r="H222" i="7"/>
  <c r="I222" i="7"/>
  <c r="J222" i="7"/>
  <c r="K222" i="7"/>
  <c r="M222" i="7"/>
  <c r="P222" i="7"/>
  <c r="Q222" i="7"/>
  <c r="B223" i="7"/>
  <c r="D223" i="7"/>
  <c r="E223" i="7"/>
  <c r="F223" i="7"/>
  <c r="G223" i="7"/>
  <c r="H223" i="7"/>
  <c r="I223" i="7"/>
  <c r="J223" i="7"/>
  <c r="K223" i="7"/>
  <c r="M223" i="7"/>
  <c r="P223" i="7"/>
  <c r="Q223" i="7"/>
  <c r="B224" i="7"/>
  <c r="D224" i="7"/>
  <c r="E224" i="7"/>
  <c r="F224" i="7"/>
  <c r="G224" i="7"/>
  <c r="H224" i="7"/>
  <c r="I224" i="7"/>
  <c r="J224" i="7"/>
  <c r="K224" i="7"/>
  <c r="M224" i="7"/>
  <c r="P224" i="7"/>
  <c r="Q224" i="7"/>
  <c r="B225" i="7"/>
  <c r="D225" i="7"/>
  <c r="E225" i="7"/>
  <c r="F225" i="7"/>
  <c r="G225" i="7"/>
  <c r="H225" i="7"/>
  <c r="I225" i="7"/>
  <c r="J225" i="7"/>
  <c r="K225" i="7"/>
  <c r="M225" i="7"/>
  <c r="P225" i="7"/>
  <c r="Q225" i="7"/>
  <c r="R225" i="7"/>
  <c r="B226" i="7"/>
  <c r="D226" i="7"/>
  <c r="E226" i="7"/>
  <c r="F226" i="7"/>
  <c r="G226" i="7"/>
  <c r="H226" i="7"/>
  <c r="I226" i="7"/>
  <c r="J226" i="7"/>
  <c r="K226" i="7"/>
  <c r="P226" i="7"/>
  <c r="Q226" i="7"/>
  <c r="R226" i="7"/>
  <c r="B227" i="7"/>
  <c r="D227" i="7"/>
  <c r="E227" i="7"/>
  <c r="F227" i="7"/>
  <c r="G227" i="7"/>
  <c r="H227" i="7"/>
  <c r="I227" i="7"/>
  <c r="J227" i="7"/>
  <c r="K227" i="7"/>
  <c r="P227" i="7"/>
  <c r="Q227" i="7"/>
  <c r="B228" i="7"/>
  <c r="D228" i="7"/>
  <c r="E228" i="7"/>
  <c r="F228" i="7"/>
  <c r="G228" i="7"/>
  <c r="H228" i="7"/>
  <c r="I228" i="7"/>
  <c r="J228" i="7"/>
  <c r="K228" i="7"/>
  <c r="M228" i="7"/>
  <c r="P228" i="7"/>
  <c r="Q228" i="7"/>
  <c r="B229" i="7"/>
  <c r="D229" i="7"/>
  <c r="E229" i="7"/>
  <c r="F229" i="7"/>
  <c r="G229" i="7"/>
  <c r="H229" i="7"/>
  <c r="I229" i="7"/>
  <c r="J229" i="7"/>
  <c r="K229" i="7"/>
  <c r="M229" i="7"/>
  <c r="P229" i="7"/>
  <c r="Q229" i="7"/>
  <c r="R229" i="7"/>
  <c r="B230" i="7"/>
  <c r="D230" i="7"/>
  <c r="E230" i="7"/>
  <c r="F230" i="7"/>
  <c r="G230" i="7"/>
  <c r="H230" i="7"/>
  <c r="I230" i="7"/>
  <c r="J230" i="7"/>
  <c r="K230" i="7"/>
  <c r="M230" i="7"/>
  <c r="P230" i="7"/>
  <c r="Q230" i="7"/>
  <c r="B231" i="7"/>
  <c r="D231" i="7"/>
  <c r="E231" i="7"/>
  <c r="F231" i="7"/>
  <c r="G231" i="7"/>
  <c r="H231" i="7"/>
  <c r="I231" i="7"/>
  <c r="J231" i="7"/>
  <c r="K231" i="7"/>
  <c r="M231" i="7"/>
  <c r="P231" i="7"/>
  <c r="Q231" i="7"/>
  <c r="B232" i="7"/>
  <c r="D232" i="7"/>
  <c r="E232" i="7"/>
  <c r="F232" i="7"/>
  <c r="G232" i="7"/>
  <c r="H232" i="7"/>
  <c r="I232" i="7"/>
  <c r="J232" i="7"/>
  <c r="K232" i="7"/>
  <c r="M232" i="7"/>
  <c r="P232" i="7"/>
  <c r="Q232" i="7"/>
  <c r="B233" i="7"/>
  <c r="D233" i="7"/>
  <c r="E233" i="7"/>
  <c r="F233" i="7"/>
  <c r="G233" i="7"/>
  <c r="H233" i="7"/>
  <c r="I233" i="7"/>
  <c r="J233" i="7"/>
  <c r="K233" i="7"/>
  <c r="M233" i="7"/>
  <c r="P233" i="7"/>
  <c r="Q233" i="7"/>
  <c r="B234" i="7"/>
  <c r="D234" i="7"/>
  <c r="E234" i="7"/>
  <c r="G234" i="7"/>
  <c r="H234" i="7"/>
  <c r="I234" i="7"/>
  <c r="J234" i="7"/>
  <c r="K234" i="7"/>
  <c r="O234" i="7"/>
  <c r="P234" i="7"/>
  <c r="Q234" i="7"/>
  <c r="B235" i="7"/>
  <c r="D235" i="7"/>
  <c r="E235" i="7"/>
  <c r="F235" i="7"/>
  <c r="G235" i="7"/>
  <c r="H235" i="7"/>
  <c r="I235" i="7"/>
  <c r="J235" i="7"/>
  <c r="K235" i="7"/>
  <c r="O235" i="7"/>
  <c r="P235" i="7"/>
  <c r="Q235" i="7"/>
  <c r="B236" i="7"/>
  <c r="D236" i="7"/>
  <c r="E236" i="7"/>
  <c r="F236" i="7"/>
  <c r="G236" i="7"/>
  <c r="H236" i="7"/>
  <c r="I236" i="7"/>
  <c r="J236" i="7"/>
  <c r="K236" i="7"/>
  <c r="O236" i="7"/>
  <c r="P236" i="7"/>
  <c r="Q236" i="7"/>
  <c r="B237" i="7"/>
  <c r="D237" i="7"/>
  <c r="E237" i="7"/>
  <c r="G237" i="7"/>
  <c r="H237" i="7"/>
  <c r="I237" i="7"/>
  <c r="J237" i="7"/>
  <c r="K237" i="7"/>
  <c r="M237" i="7"/>
  <c r="O237" i="7"/>
  <c r="P237" i="7"/>
  <c r="Q237" i="7"/>
  <c r="B238" i="7"/>
  <c r="D238" i="7"/>
  <c r="E238" i="7"/>
  <c r="G238" i="7"/>
  <c r="H238" i="7"/>
  <c r="I238" i="7"/>
  <c r="J238" i="7"/>
  <c r="K238" i="7"/>
  <c r="O238" i="7"/>
  <c r="P238" i="7"/>
  <c r="Q238" i="7"/>
  <c r="B239" i="7"/>
  <c r="D239" i="7"/>
  <c r="E239" i="7"/>
  <c r="F239" i="7"/>
  <c r="G239" i="7"/>
  <c r="H239" i="7"/>
  <c r="I239" i="7"/>
  <c r="J239" i="7"/>
  <c r="K239" i="7"/>
  <c r="O239" i="7"/>
  <c r="P239" i="7"/>
  <c r="Q239" i="7"/>
  <c r="B240" i="7"/>
  <c r="D240" i="7"/>
  <c r="E240" i="7"/>
  <c r="F240" i="7"/>
  <c r="G240" i="7"/>
  <c r="H240" i="7"/>
  <c r="I240" i="7"/>
  <c r="J240" i="7"/>
  <c r="K240" i="7"/>
  <c r="L240" i="7"/>
  <c r="O240" i="7"/>
  <c r="P240" i="7"/>
  <c r="Q240" i="7"/>
  <c r="B241" i="7"/>
  <c r="E241" i="7"/>
  <c r="F241" i="7"/>
  <c r="G241" i="7"/>
  <c r="H241" i="7"/>
  <c r="I241" i="7"/>
  <c r="J241" i="7"/>
  <c r="K241" i="7"/>
  <c r="B242" i="7"/>
  <c r="E242" i="7"/>
  <c r="F242" i="7"/>
  <c r="G242" i="7"/>
  <c r="H242" i="7"/>
  <c r="I242" i="7"/>
  <c r="J242" i="7"/>
  <c r="K242" i="7"/>
  <c r="B243" i="7"/>
  <c r="D243" i="7"/>
  <c r="E243" i="7"/>
  <c r="F243" i="7"/>
  <c r="G243" i="7"/>
  <c r="H243" i="7"/>
  <c r="I243" i="7"/>
  <c r="J243" i="7"/>
  <c r="K243" i="7"/>
  <c r="O243" i="7"/>
  <c r="P243" i="7"/>
  <c r="Q243" i="7"/>
  <c r="B244" i="7"/>
  <c r="D244" i="7"/>
  <c r="E244" i="7"/>
  <c r="F244" i="7"/>
  <c r="G244" i="7"/>
  <c r="H244" i="7"/>
  <c r="I244" i="7"/>
  <c r="J244" i="7"/>
  <c r="K244" i="7"/>
  <c r="O244" i="7"/>
  <c r="P244" i="7"/>
  <c r="Q244" i="7"/>
  <c r="B245" i="7"/>
  <c r="D245" i="7"/>
  <c r="E245" i="7"/>
  <c r="G245" i="7"/>
  <c r="H245" i="7"/>
  <c r="I245" i="7"/>
  <c r="J245" i="7"/>
  <c r="K245" i="7"/>
  <c r="M245" i="7"/>
  <c r="O245" i="7"/>
  <c r="P245" i="7"/>
  <c r="Q245" i="7"/>
  <c r="B246" i="7"/>
  <c r="D246" i="7"/>
  <c r="E246" i="7"/>
  <c r="F246" i="7"/>
  <c r="G246" i="7"/>
  <c r="H246" i="7"/>
  <c r="I246" i="7"/>
  <c r="J246" i="7"/>
  <c r="K246" i="7"/>
  <c r="O246" i="7"/>
  <c r="P246" i="7"/>
  <c r="Q246" i="7"/>
  <c r="B247" i="7"/>
  <c r="D247" i="7"/>
  <c r="E247" i="7"/>
  <c r="F247" i="7"/>
  <c r="G247" i="7"/>
  <c r="H247" i="7"/>
  <c r="I247" i="7"/>
  <c r="J247" i="7"/>
  <c r="K247" i="7"/>
  <c r="M247" i="7"/>
  <c r="O247" i="7"/>
  <c r="P247" i="7"/>
  <c r="Q247" i="7"/>
  <c r="B248" i="7"/>
  <c r="D248" i="7"/>
  <c r="E248" i="7"/>
  <c r="F248" i="7"/>
  <c r="G248" i="7"/>
  <c r="H248" i="7"/>
  <c r="I248" i="7"/>
  <c r="J248" i="7"/>
  <c r="K248" i="7"/>
  <c r="M248" i="7"/>
  <c r="O248" i="7"/>
  <c r="P248" i="7"/>
  <c r="Q248" i="7"/>
  <c r="B249" i="7"/>
  <c r="D249" i="7"/>
  <c r="E249" i="7"/>
  <c r="F249" i="7"/>
  <c r="G249" i="7"/>
  <c r="H249" i="7"/>
  <c r="I249" i="7"/>
  <c r="J249" i="7"/>
  <c r="K249" i="7"/>
  <c r="M249" i="7"/>
  <c r="O249" i="7"/>
  <c r="P249" i="7"/>
  <c r="Q249" i="7"/>
  <c r="B250" i="7"/>
  <c r="D250" i="7"/>
  <c r="E250" i="7"/>
  <c r="F250" i="7"/>
  <c r="G250" i="7"/>
  <c r="H250" i="7"/>
  <c r="I250" i="7"/>
  <c r="J250" i="7"/>
  <c r="K250" i="7"/>
  <c r="M250" i="7"/>
  <c r="O250" i="7"/>
  <c r="P250" i="7"/>
  <c r="Q250" i="7"/>
  <c r="B251" i="7"/>
  <c r="D251" i="7"/>
  <c r="E251" i="7"/>
  <c r="F251" i="7"/>
  <c r="G251" i="7"/>
  <c r="H251" i="7"/>
  <c r="I251" i="7"/>
  <c r="J251" i="7"/>
  <c r="K251" i="7"/>
  <c r="M251" i="7"/>
  <c r="O251" i="7"/>
  <c r="P251" i="7"/>
  <c r="Q251" i="7"/>
  <c r="B252" i="7"/>
  <c r="D252" i="7"/>
  <c r="E252" i="7"/>
  <c r="F252" i="7"/>
  <c r="G252" i="7"/>
  <c r="H252" i="7"/>
  <c r="I252" i="7"/>
  <c r="J252" i="7"/>
  <c r="K252" i="7"/>
  <c r="O252" i="7"/>
  <c r="P252" i="7"/>
  <c r="Q252" i="7"/>
  <c r="B253" i="7"/>
  <c r="D253" i="7"/>
  <c r="E253" i="7"/>
  <c r="G253" i="7"/>
  <c r="H253" i="7"/>
  <c r="I253" i="7"/>
  <c r="J253" i="7"/>
  <c r="K253" i="7"/>
  <c r="M253" i="7"/>
  <c r="O253" i="7"/>
  <c r="P253" i="7"/>
  <c r="Q253" i="7"/>
  <c r="B254" i="7"/>
  <c r="D254" i="7"/>
  <c r="E254" i="7"/>
  <c r="F254" i="7"/>
  <c r="G254" i="7"/>
  <c r="H254" i="7"/>
  <c r="I254" i="7"/>
  <c r="J254" i="7"/>
  <c r="K254" i="7"/>
  <c r="O254" i="7"/>
  <c r="P254" i="7"/>
  <c r="Q254" i="7"/>
  <c r="B255" i="7"/>
  <c r="D255" i="7"/>
  <c r="E255" i="7"/>
  <c r="F255" i="7"/>
  <c r="G255" i="7"/>
  <c r="H255" i="7"/>
  <c r="I255" i="7"/>
  <c r="J255" i="7"/>
  <c r="K255" i="7"/>
  <c r="M255" i="7"/>
  <c r="P255" i="7"/>
  <c r="Q255" i="7"/>
  <c r="B256" i="7"/>
  <c r="D256" i="7"/>
  <c r="E256" i="7"/>
  <c r="F256" i="7"/>
  <c r="G256" i="7"/>
  <c r="H256" i="7"/>
  <c r="I256" i="7"/>
  <c r="J256" i="7"/>
  <c r="K256" i="7"/>
  <c r="L256" i="7"/>
  <c r="M256" i="7"/>
  <c r="O256" i="7"/>
  <c r="P256" i="7"/>
  <c r="Q256" i="7"/>
  <c r="B257" i="7"/>
  <c r="D257" i="7"/>
  <c r="E257" i="7"/>
  <c r="G257" i="7"/>
  <c r="H257" i="7"/>
  <c r="I257" i="7"/>
  <c r="J257" i="7"/>
  <c r="K257" i="7"/>
  <c r="O257" i="7"/>
  <c r="P257" i="7"/>
  <c r="Q257" i="7"/>
  <c r="B258" i="7"/>
  <c r="D258" i="7"/>
  <c r="E258" i="7"/>
  <c r="F258" i="7"/>
  <c r="G258" i="7"/>
  <c r="H258" i="7"/>
  <c r="I258" i="7"/>
  <c r="J258" i="7"/>
  <c r="K258" i="7"/>
  <c r="O258" i="7"/>
  <c r="P258" i="7"/>
  <c r="Q258" i="7"/>
  <c r="B259" i="7"/>
  <c r="D259" i="7"/>
  <c r="E259" i="7"/>
  <c r="F259" i="7"/>
  <c r="G259" i="7"/>
  <c r="H259" i="7"/>
  <c r="I259" i="7"/>
  <c r="J259" i="7"/>
  <c r="K259" i="7"/>
  <c r="O259" i="7"/>
  <c r="P259" i="7"/>
  <c r="Q259" i="7"/>
  <c r="B260" i="7"/>
  <c r="D260" i="7"/>
  <c r="E260" i="7"/>
  <c r="G260" i="7"/>
  <c r="H260" i="7"/>
  <c r="I260" i="7"/>
  <c r="J260" i="7"/>
  <c r="K260" i="7"/>
  <c r="M260" i="7"/>
  <c r="O260" i="7"/>
  <c r="P260" i="7"/>
  <c r="Q260" i="7"/>
  <c r="B261" i="7"/>
  <c r="D261" i="7"/>
  <c r="E261" i="7"/>
  <c r="F261" i="7"/>
  <c r="G261" i="7"/>
  <c r="H261" i="7"/>
  <c r="I261" i="7"/>
  <c r="J261" i="7"/>
  <c r="K261" i="7"/>
  <c r="O261" i="7"/>
  <c r="P261" i="7"/>
  <c r="Q261" i="7"/>
  <c r="B262" i="7"/>
  <c r="D262" i="7"/>
  <c r="E262" i="7"/>
  <c r="F262" i="7"/>
  <c r="G262" i="7"/>
  <c r="H262" i="7"/>
  <c r="I262" i="7"/>
  <c r="J262" i="7"/>
  <c r="L262" i="7"/>
  <c r="M262" i="7"/>
  <c r="O262" i="7"/>
  <c r="P262" i="7"/>
  <c r="Q262" i="7"/>
  <c r="B263" i="7"/>
  <c r="D263" i="7"/>
  <c r="E263" i="7"/>
  <c r="F263" i="7"/>
  <c r="G263" i="7"/>
  <c r="H263" i="7"/>
  <c r="I263" i="7"/>
  <c r="J263" i="7"/>
  <c r="K263" i="7"/>
  <c r="O263" i="7"/>
  <c r="P263" i="7"/>
  <c r="Q263" i="7"/>
  <c r="B264" i="7"/>
  <c r="D264" i="7"/>
  <c r="E264" i="7"/>
  <c r="F264" i="7"/>
  <c r="G264" i="7"/>
  <c r="H264" i="7"/>
  <c r="I264" i="7"/>
  <c r="J264" i="7"/>
  <c r="K264" i="7"/>
  <c r="O264" i="7"/>
  <c r="P264" i="7"/>
  <c r="Q264" i="7"/>
  <c r="B265" i="7"/>
  <c r="D265" i="7"/>
  <c r="E265" i="7"/>
  <c r="G265" i="7"/>
  <c r="H265" i="7"/>
  <c r="I265" i="7"/>
  <c r="J265" i="7"/>
  <c r="K265" i="7"/>
  <c r="L265" i="7"/>
  <c r="M265" i="7"/>
  <c r="O265" i="7"/>
  <c r="P265" i="7"/>
  <c r="Q265" i="7"/>
  <c r="R265" i="7"/>
  <c r="B266" i="7"/>
  <c r="D266" i="7"/>
  <c r="E266" i="7"/>
  <c r="F266" i="7"/>
  <c r="G266" i="7"/>
  <c r="H266" i="7"/>
  <c r="I266" i="7"/>
  <c r="J266" i="7"/>
  <c r="K266" i="7"/>
  <c r="O266" i="7"/>
  <c r="P266" i="7"/>
  <c r="Q266" i="7"/>
  <c r="B267" i="7"/>
  <c r="D267" i="7"/>
  <c r="E267" i="7"/>
  <c r="F267" i="7"/>
  <c r="G267" i="7"/>
  <c r="H267" i="7"/>
  <c r="I267" i="7"/>
  <c r="J267" i="7"/>
  <c r="K267" i="7"/>
  <c r="O267" i="7"/>
  <c r="P267" i="7"/>
  <c r="Q267" i="7"/>
  <c r="B268" i="7"/>
  <c r="D268" i="7"/>
  <c r="E268" i="7"/>
  <c r="G268" i="7"/>
  <c r="H268" i="7"/>
  <c r="I268" i="7"/>
  <c r="J268" i="7"/>
  <c r="L268" i="7"/>
  <c r="M268" i="7"/>
  <c r="O268" i="7"/>
  <c r="P268" i="7"/>
  <c r="Q268" i="7"/>
  <c r="R268" i="7"/>
  <c r="B269" i="7"/>
  <c r="E269" i="7"/>
  <c r="G269" i="7"/>
  <c r="H269" i="7"/>
  <c r="I269" i="7"/>
  <c r="J269" i="7"/>
  <c r="K269" i="7"/>
  <c r="O269" i="7"/>
  <c r="P269" i="7"/>
  <c r="Q269" i="7"/>
  <c r="B270" i="7"/>
  <c r="D270" i="7"/>
  <c r="E270" i="7"/>
  <c r="G270" i="7"/>
  <c r="H270" i="7"/>
  <c r="I270" i="7"/>
  <c r="J270" i="7"/>
  <c r="K270" i="7"/>
  <c r="M270" i="7"/>
  <c r="O270" i="7"/>
  <c r="P270" i="7"/>
  <c r="Q270" i="7"/>
  <c r="R270" i="7"/>
  <c r="B271" i="7"/>
  <c r="D271" i="7"/>
  <c r="E271" i="7"/>
  <c r="G271" i="7"/>
  <c r="H271" i="7"/>
  <c r="I271" i="7"/>
  <c r="J271" i="7"/>
  <c r="K271" i="7"/>
  <c r="M271" i="7"/>
  <c r="O271" i="7"/>
  <c r="P271" i="7"/>
  <c r="Q271" i="7"/>
  <c r="R271" i="7"/>
  <c r="B272" i="7"/>
  <c r="D272" i="7"/>
  <c r="E272" i="7"/>
  <c r="G272" i="7"/>
  <c r="H272" i="7"/>
  <c r="I272" i="7"/>
  <c r="J272" i="7"/>
  <c r="K272" i="7"/>
  <c r="M272" i="7"/>
  <c r="O272" i="7"/>
  <c r="P272" i="7"/>
  <c r="Q272" i="7"/>
  <c r="R272" i="7"/>
  <c r="B273" i="7"/>
  <c r="D273" i="7"/>
  <c r="E273" i="7"/>
  <c r="G273" i="7"/>
  <c r="H273" i="7"/>
  <c r="I273" i="7"/>
  <c r="J273" i="7"/>
  <c r="K273" i="7"/>
  <c r="M273" i="7"/>
  <c r="O273" i="7"/>
  <c r="P273" i="7"/>
  <c r="Q273" i="7"/>
  <c r="R273" i="7"/>
  <c r="B274" i="7"/>
  <c r="D274" i="7"/>
  <c r="E274" i="7"/>
  <c r="G274" i="7"/>
  <c r="H274" i="7"/>
  <c r="I274" i="7"/>
  <c r="J274" i="7"/>
  <c r="K274" i="7"/>
  <c r="M274" i="7"/>
  <c r="O274" i="7"/>
  <c r="P274" i="7"/>
  <c r="Q274" i="7"/>
  <c r="R274" i="7"/>
  <c r="B275" i="7"/>
  <c r="D275" i="7"/>
  <c r="E275" i="7"/>
  <c r="G275" i="7"/>
  <c r="H275" i="7"/>
  <c r="I275" i="7"/>
  <c r="J275" i="7"/>
  <c r="K275" i="7"/>
  <c r="O275" i="7"/>
  <c r="P275" i="7"/>
  <c r="Q275" i="7"/>
  <c r="B276" i="7"/>
  <c r="D276" i="7"/>
  <c r="E276" i="7"/>
  <c r="F276" i="7"/>
  <c r="G276" i="7"/>
  <c r="H276" i="7"/>
  <c r="I276" i="7"/>
  <c r="J276" i="7"/>
  <c r="K276" i="7"/>
  <c r="O276" i="7"/>
  <c r="P276" i="7"/>
  <c r="Q276" i="7"/>
  <c r="B277" i="7"/>
  <c r="D277" i="7"/>
  <c r="E277" i="7"/>
  <c r="F277" i="7"/>
  <c r="G277" i="7"/>
  <c r="H277" i="7"/>
  <c r="I277" i="7"/>
  <c r="J277" i="7"/>
  <c r="K277" i="7"/>
  <c r="O277" i="7"/>
  <c r="P277" i="7"/>
  <c r="Q277" i="7"/>
  <c r="R277" i="7"/>
  <c r="B278" i="7"/>
  <c r="D278" i="7"/>
  <c r="E278" i="7"/>
  <c r="G278" i="7"/>
  <c r="H278" i="7"/>
  <c r="I278" i="7"/>
  <c r="J278" i="7"/>
  <c r="K278" i="7"/>
  <c r="O278" i="7"/>
  <c r="P278" i="7"/>
  <c r="Q278" i="7"/>
  <c r="B279" i="7"/>
  <c r="D279" i="7"/>
  <c r="E279" i="7"/>
  <c r="F279" i="7"/>
  <c r="G279" i="7"/>
  <c r="H279" i="7"/>
  <c r="I279" i="7"/>
  <c r="J279" i="7"/>
  <c r="K279" i="7"/>
  <c r="M279" i="7"/>
  <c r="O279" i="7"/>
  <c r="P279" i="7"/>
  <c r="Q279" i="7"/>
  <c r="B280" i="7"/>
  <c r="D280" i="7"/>
  <c r="E280" i="7"/>
  <c r="G280" i="7"/>
  <c r="H280" i="7"/>
  <c r="I280" i="7"/>
  <c r="J280" i="7"/>
  <c r="K280" i="7"/>
  <c r="O280" i="7"/>
  <c r="P280" i="7"/>
  <c r="Q280" i="7"/>
  <c r="B281" i="7"/>
  <c r="D281" i="7"/>
  <c r="E281" i="7"/>
  <c r="F281" i="7"/>
  <c r="G281" i="7"/>
  <c r="H281" i="7"/>
  <c r="I281" i="7"/>
  <c r="J281" i="7"/>
  <c r="K281" i="7"/>
  <c r="O281" i="7"/>
  <c r="P281" i="7"/>
  <c r="Q281" i="7"/>
  <c r="B282" i="7"/>
  <c r="D282" i="7"/>
  <c r="E282" i="7"/>
  <c r="F282" i="7"/>
  <c r="G282" i="7"/>
  <c r="H282" i="7"/>
  <c r="I282" i="7"/>
  <c r="J282" i="7"/>
  <c r="K282" i="7"/>
  <c r="L282" i="7"/>
  <c r="O282" i="7"/>
  <c r="P282" i="7"/>
  <c r="Q282" i="7"/>
  <c r="B283" i="7"/>
  <c r="E283" i="7"/>
  <c r="F283" i="7"/>
  <c r="G283" i="7"/>
  <c r="H283" i="7"/>
  <c r="I283" i="7"/>
  <c r="J283" i="7"/>
  <c r="K283" i="7"/>
  <c r="P283" i="7"/>
  <c r="Q283" i="7"/>
  <c r="B284" i="7"/>
  <c r="E284" i="7"/>
  <c r="F284" i="7"/>
  <c r="G284" i="7"/>
  <c r="H284" i="7"/>
  <c r="I284" i="7"/>
  <c r="J284" i="7"/>
  <c r="K284" i="7"/>
  <c r="P284" i="7"/>
  <c r="Q284" i="7"/>
  <c r="B285" i="7"/>
  <c r="E285" i="7"/>
  <c r="F285" i="7"/>
  <c r="G285" i="7"/>
  <c r="H285" i="7"/>
  <c r="I285" i="7"/>
  <c r="J285" i="7"/>
  <c r="K285" i="7"/>
  <c r="P285" i="7"/>
  <c r="Q285" i="7"/>
  <c r="B286" i="7"/>
  <c r="E286" i="7"/>
  <c r="F286" i="7"/>
  <c r="G286" i="7"/>
  <c r="H286" i="7"/>
  <c r="I286" i="7"/>
  <c r="J286" i="7"/>
  <c r="K286" i="7"/>
  <c r="P286" i="7"/>
  <c r="Q286" i="7"/>
  <c r="B287" i="7"/>
  <c r="E287" i="7"/>
  <c r="F287" i="7"/>
  <c r="G287" i="7"/>
  <c r="H287" i="7"/>
  <c r="I287" i="7"/>
  <c r="J287" i="7"/>
  <c r="K287" i="7"/>
  <c r="P287" i="7"/>
  <c r="Q287" i="7"/>
  <c r="B288" i="7"/>
  <c r="E288" i="7"/>
  <c r="F288" i="7"/>
  <c r="G288" i="7"/>
  <c r="H288" i="7"/>
  <c r="I288" i="7"/>
  <c r="J288" i="7"/>
  <c r="K288" i="7"/>
  <c r="P288" i="7"/>
  <c r="Q288" i="7"/>
  <c r="B289" i="7"/>
  <c r="E289" i="7"/>
  <c r="F289" i="7"/>
  <c r="G289" i="7"/>
  <c r="H289" i="7"/>
  <c r="I289" i="7"/>
  <c r="J289" i="7"/>
  <c r="K289" i="7"/>
  <c r="P289" i="7"/>
  <c r="Q289" i="7"/>
  <c r="B290" i="7"/>
  <c r="D290" i="7"/>
  <c r="E290" i="7"/>
  <c r="F290" i="7"/>
  <c r="G290" i="7"/>
  <c r="H290" i="7"/>
  <c r="I290" i="7"/>
  <c r="J290" i="7"/>
  <c r="K290" i="7"/>
  <c r="O290" i="7"/>
  <c r="P290" i="7"/>
  <c r="Q290" i="7"/>
  <c r="B291" i="7"/>
  <c r="D291" i="7"/>
  <c r="E291" i="7"/>
  <c r="F291" i="7"/>
  <c r="G291" i="7"/>
  <c r="H291" i="7"/>
  <c r="I291" i="7"/>
  <c r="J291" i="7"/>
  <c r="K291" i="7"/>
  <c r="O291" i="7"/>
  <c r="P291" i="7"/>
  <c r="Q291" i="7"/>
  <c r="B292" i="7"/>
  <c r="D292" i="7"/>
  <c r="E292" i="7"/>
  <c r="F292" i="7"/>
  <c r="G292" i="7"/>
  <c r="H292" i="7"/>
  <c r="I292" i="7"/>
  <c r="J292" i="7"/>
  <c r="K292" i="7"/>
  <c r="L292" i="7"/>
  <c r="O292" i="7"/>
  <c r="P292" i="7"/>
  <c r="Q292" i="7"/>
  <c r="B293" i="7"/>
  <c r="E293" i="7"/>
  <c r="F293" i="7"/>
  <c r="G293" i="7"/>
  <c r="H293" i="7"/>
  <c r="I293" i="7"/>
  <c r="J293" i="7"/>
  <c r="K293" i="7"/>
  <c r="P293" i="7"/>
  <c r="Q293" i="7"/>
  <c r="B294" i="7"/>
  <c r="D294" i="7"/>
  <c r="E294" i="7"/>
  <c r="F294" i="7"/>
  <c r="G294" i="7"/>
  <c r="H294" i="7"/>
  <c r="I294" i="7"/>
  <c r="J294" i="7"/>
  <c r="K294" i="7"/>
  <c r="O294" i="7"/>
  <c r="P294" i="7"/>
  <c r="Q294" i="7"/>
  <c r="B295" i="7"/>
  <c r="D295" i="7"/>
  <c r="E295" i="7"/>
  <c r="F295" i="7"/>
  <c r="G295" i="7"/>
  <c r="H295" i="7"/>
  <c r="I295" i="7"/>
  <c r="J295" i="7"/>
  <c r="K295" i="7"/>
  <c r="O295" i="7"/>
  <c r="P295" i="7"/>
  <c r="Q295" i="7"/>
  <c r="B296" i="7"/>
  <c r="D296" i="7"/>
  <c r="E296" i="7"/>
  <c r="F296" i="7"/>
  <c r="G296" i="7"/>
  <c r="H296" i="7"/>
  <c r="I296" i="7"/>
  <c r="J296" i="7"/>
  <c r="K296" i="7"/>
  <c r="O296" i="7"/>
  <c r="P296" i="7"/>
  <c r="Q296" i="7"/>
  <c r="B297" i="7"/>
  <c r="D297" i="7"/>
  <c r="E297" i="7"/>
  <c r="F297" i="7"/>
  <c r="G297" i="7"/>
  <c r="H297" i="7"/>
  <c r="I297" i="7"/>
  <c r="J297" i="7"/>
  <c r="K297" i="7"/>
  <c r="L297" i="7"/>
  <c r="O297" i="7"/>
  <c r="P297" i="7"/>
  <c r="Q297" i="7"/>
  <c r="B298" i="7"/>
  <c r="E298" i="7"/>
  <c r="F298" i="7"/>
  <c r="G298" i="7"/>
  <c r="H298" i="7"/>
  <c r="I298" i="7"/>
  <c r="J298" i="7"/>
  <c r="K298" i="7"/>
  <c r="P298" i="7"/>
  <c r="Q298" i="7"/>
  <c r="B299" i="7"/>
  <c r="D299" i="7"/>
  <c r="E299" i="7"/>
  <c r="F299" i="7"/>
  <c r="G299" i="7"/>
  <c r="H299" i="7"/>
  <c r="I299" i="7"/>
  <c r="J299" i="7"/>
  <c r="K299" i="7"/>
  <c r="O299" i="7"/>
  <c r="P299" i="7"/>
  <c r="Q299" i="7"/>
  <c r="B300" i="7"/>
  <c r="D300" i="7"/>
  <c r="E300" i="7"/>
  <c r="F300" i="7"/>
  <c r="G300" i="7"/>
  <c r="H300" i="7"/>
  <c r="I300" i="7"/>
  <c r="J300" i="7"/>
  <c r="K300" i="7"/>
  <c r="O300" i="7"/>
  <c r="P300" i="7"/>
  <c r="Q300" i="7"/>
  <c r="B301" i="7"/>
  <c r="D301" i="7"/>
  <c r="E301" i="7"/>
  <c r="G301" i="7"/>
  <c r="H301" i="7"/>
  <c r="I301" i="7"/>
  <c r="J301" i="7"/>
  <c r="K301" i="7"/>
  <c r="O301" i="7"/>
  <c r="P301" i="7"/>
  <c r="Q301" i="7"/>
  <c r="B302" i="7"/>
  <c r="D302" i="7"/>
  <c r="E302" i="7"/>
  <c r="F302" i="7"/>
  <c r="G302" i="7"/>
  <c r="H302" i="7"/>
  <c r="I302" i="7"/>
  <c r="J302" i="7"/>
  <c r="K302" i="7"/>
  <c r="O302" i="7"/>
  <c r="P302" i="7"/>
  <c r="Q302" i="7"/>
  <c r="B303" i="7"/>
  <c r="D303" i="7"/>
  <c r="E303" i="7"/>
  <c r="G303" i="7"/>
  <c r="H303" i="7"/>
  <c r="I303" i="7"/>
  <c r="J303" i="7"/>
  <c r="K303" i="7"/>
  <c r="M303" i="7"/>
  <c r="O303" i="7"/>
  <c r="P303" i="7"/>
  <c r="Q303" i="7"/>
  <c r="B304" i="7"/>
  <c r="D304" i="7"/>
  <c r="E304" i="7"/>
  <c r="G304" i="7"/>
  <c r="H304" i="7"/>
  <c r="I304" i="7"/>
  <c r="J304" i="7"/>
  <c r="K304" i="7"/>
  <c r="M304" i="7"/>
  <c r="O304" i="7"/>
  <c r="P304" i="7"/>
  <c r="Q304" i="7"/>
  <c r="R304" i="7"/>
  <c r="B305" i="7"/>
  <c r="D305" i="7"/>
  <c r="E305" i="7"/>
  <c r="G305" i="7"/>
  <c r="H305" i="7"/>
  <c r="I305" i="7"/>
  <c r="J305" i="7"/>
  <c r="K305" i="7"/>
  <c r="O305" i="7"/>
  <c r="P305" i="7"/>
  <c r="Q305" i="7"/>
  <c r="B306" i="7"/>
  <c r="D306" i="7"/>
  <c r="E306" i="7"/>
  <c r="F306" i="7"/>
  <c r="G306" i="7"/>
  <c r="H306" i="7"/>
  <c r="I306" i="7"/>
  <c r="J306" i="7"/>
  <c r="K306" i="7"/>
  <c r="O306" i="7"/>
  <c r="P306" i="7"/>
  <c r="Q306" i="7"/>
  <c r="B307" i="7"/>
  <c r="D307" i="7"/>
  <c r="E307" i="7"/>
  <c r="F307" i="7"/>
  <c r="G307" i="7"/>
  <c r="H307" i="7"/>
  <c r="I307" i="7"/>
  <c r="J307" i="7"/>
  <c r="K307" i="7"/>
  <c r="O307" i="7"/>
  <c r="P307" i="7"/>
  <c r="Q307" i="7"/>
  <c r="B308" i="7"/>
  <c r="D308" i="7"/>
  <c r="E308" i="7"/>
  <c r="F308" i="7"/>
  <c r="G308" i="7"/>
  <c r="H308" i="7"/>
  <c r="I308" i="7"/>
  <c r="J308" i="7"/>
  <c r="K308" i="7"/>
  <c r="O308" i="7"/>
  <c r="P308" i="7"/>
  <c r="Q308" i="7"/>
  <c r="R308" i="7"/>
  <c r="B309" i="7"/>
  <c r="D309" i="7"/>
  <c r="E309" i="7"/>
  <c r="F309" i="7"/>
  <c r="G309" i="7"/>
  <c r="H309" i="7"/>
  <c r="I309" i="7"/>
  <c r="J309" i="7"/>
  <c r="K309" i="7"/>
  <c r="O309" i="7"/>
  <c r="P309" i="7"/>
  <c r="Q309" i="7"/>
  <c r="B310" i="7"/>
  <c r="D310" i="7"/>
  <c r="E310" i="7"/>
  <c r="F310" i="7"/>
  <c r="G310" i="7"/>
  <c r="H310" i="7"/>
  <c r="I310" i="7"/>
  <c r="J310" i="7"/>
  <c r="K310" i="7"/>
  <c r="O310" i="7"/>
  <c r="P310" i="7"/>
  <c r="Q310" i="7"/>
  <c r="B311" i="7"/>
  <c r="D311" i="7"/>
  <c r="E311" i="7"/>
  <c r="F311" i="7"/>
  <c r="G311" i="7"/>
  <c r="H311" i="7"/>
  <c r="I311" i="7"/>
  <c r="J311" i="7"/>
  <c r="K311" i="7"/>
  <c r="O311" i="7"/>
  <c r="P311" i="7"/>
  <c r="Q311" i="7"/>
  <c r="B312" i="7"/>
  <c r="D312" i="7"/>
  <c r="E312" i="7"/>
  <c r="F312" i="7"/>
  <c r="G312" i="7"/>
  <c r="H312" i="7"/>
  <c r="I312" i="7"/>
  <c r="J312" i="7"/>
  <c r="K312" i="7"/>
  <c r="O312" i="7"/>
  <c r="P312" i="7"/>
  <c r="Q312" i="7"/>
  <c r="B313" i="7"/>
  <c r="D313" i="7"/>
  <c r="E313" i="7"/>
  <c r="F313" i="7"/>
  <c r="G313" i="7"/>
  <c r="H313" i="7"/>
  <c r="I313" i="7"/>
  <c r="J313" i="7"/>
  <c r="K313" i="7"/>
  <c r="O313" i="7"/>
  <c r="P313" i="7"/>
  <c r="Q313" i="7"/>
  <c r="B314" i="7"/>
  <c r="D314" i="7"/>
  <c r="E314" i="7"/>
  <c r="F314" i="7"/>
  <c r="G314" i="7"/>
  <c r="H314" i="7"/>
  <c r="I314" i="7"/>
  <c r="J314" i="7"/>
  <c r="K314" i="7"/>
  <c r="O314" i="7"/>
  <c r="P314" i="7"/>
  <c r="Q314" i="7"/>
  <c r="B315" i="7"/>
  <c r="D315" i="7"/>
  <c r="E315" i="7"/>
  <c r="G315" i="7"/>
  <c r="H315" i="7"/>
  <c r="I315" i="7"/>
  <c r="J315" i="7"/>
  <c r="K315" i="7"/>
  <c r="M315" i="7"/>
  <c r="O315" i="7"/>
  <c r="P315" i="7"/>
  <c r="Q315" i="7"/>
  <c r="R315" i="7"/>
  <c r="B316" i="7"/>
  <c r="D316" i="7"/>
  <c r="E316" i="7"/>
  <c r="F316" i="7"/>
  <c r="G316" i="7"/>
  <c r="H316" i="7"/>
  <c r="I316" i="7"/>
  <c r="J316" i="7"/>
  <c r="K316" i="7"/>
  <c r="O316" i="7"/>
  <c r="P316" i="7"/>
  <c r="Q316" i="7"/>
  <c r="B317" i="7"/>
  <c r="D317" i="7"/>
  <c r="E317" i="7"/>
  <c r="F317" i="7"/>
  <c r="G317" i="7"/>
  <c r="H317" i="7"/>
  <c r="I317" i="7"/>
  <c r="J317" i="7"/>
  <c r="K317" i="7"/>
  <c r="O317" i="7"/>
  <c r="P317" i="7"/>
  <c r="Q317" i="7"/>
  <c r="B318" i="7"/>
  <c r="D318" i="7"/>
  <c r="E318" i="7"/>
  <c r="G318" i="7"/>
  <c r="H318" i="7"/>
  <c r="I318" i="7"/>
  <c r="J318" i="7"/>
  <c r="K318" i="7"/>
  <c r="M318" i="7"/>
  <c r="O318" i="7"/>
  <c r="P318" i="7"/>
  <c r="Q318" i="7"/>
  <c r="B319" i="7"/>
  <c r="D319" i="7"/>
  <c r="E319" i="7"/>
  <c r="G319" i="7"/>
  <c r="H319" i="7"/>
  <c r="I319" i="7"/>
  <c r="J319" i="7"/>
  <c r="K319" i="7"/>
  <c r="O319" i="7"/>
  <c r="P319" i="7"/>
  <c r="Q319" i="7"/>
  <c r="B320" i="7"/>
  <c r="D320" i="7"/>
  <c r="E320" i="7"/>
  <c r="G320" i="7"/>
  <c r="H320" i="7"/>
  <c r="I320" i="7"/>
  <c r="J320" i="7"/>
  <c r="K320" i="7"/>
  <c r="O320" i="7"/>
  <c r="P320" i="7"/>
  <c r="Q320" i="7"/>
  <c r="B321" i="7"/>
  <c r="D321" i="7"/>
  <c r="E321" i="7"/>
  <c r="F321" i="7"/>
  <c r="G321" i="7"/>
  <c r="H321" i="7"/>
  <c r="I321" i="7"/>
  <c r="J321" i="7"/>
  <c r="K321" i="7"/>
  <c r="O321" i="7"/>
  <c r="P321" i="7"/>
  <c r="Q321" i="7"/>
  <c r="B322" i="7"/>
  <c r="C322" i="7"/>
  <c r="D322" i="7"/>
  <c r="E322" i="7"/>
  <c r="F322" i="7"/>
  <c r="G322" i="7"/>
  <c r="H322" i="7"/>
  <c r="I322" i="7"/>
  <c r="J322" i="7"/>
  <c r="K322" i="7"/>
  <c r="P322" i="7"/>
  <c r="Q322" i="7"/>
  <c r="B323" i="7"/>
  <c r="C323" i="7"/>
  <c r="D323" i="7"/>
  <c r="E323" i="7"/>
  <c r="F323" i="7"/>
  <c r="G323" i="7"/>
  <c r="H323" i="7"/>
  <c r="I323" i="7"/>
  <c r="J323" i="7"/>
  <c r="K323" i="7"/>
  <c r="P323" i="7"/>
  <c r="Q323" i="7"/>
  <c r="B324" i="7"/>
  <c r="C324" i="7"/>
  <c r="D324" i="7"/>
  <c r="E324" i="7"/>
  <c r="F324" i="7"/>
  <c r="G324" i="7"/>
  <c r="H324" i="7"/>
  <c r="I324" i="7"/>
  <c r="J324" i="7"/>
  <c r="K324" i="7"/>
  <c r="P324" i="7"/>
  <c r="Q324" i="7"/>
  <c r="B325" i="7"/>
  <c r="C325" i="7"/>
  <c r="D325" i="7"/>
  <c r="E325" i="7"/>
  <c r="F325" i="7"/>
  <c r="G325" i="7"/>
  <c r="H325" i="7"/>
  <c r="I325" i="7"/>
  <c r="J325" i="7"/>
  <c r="K325" i="7"/>
  <c r="P325" i="7"/>
  <c r="Q325" i="7"/>
  <c r="B326" i="7"/>
  <c r="C326" i="7"/>
  <c r="D326" i="7"/>
  <c r="E326" i="7"/>
  <c r="F326" i="7"/>
  <c r="G326" i="7"/>
  <c r="H326" i="7"/>
  <c r="I326" i="7"/>
  <c r="J326" i="7"/>
  <c r="K326" i="7"/>
  <c r="P326" i="7"/>
  <c r="Q326" i="7"/>
  <c r="B327" i="7"/>
  <c r="C327" i="7"/>
  <c r="D327" i="7"/>
  <c r="E327" i="7"/>
  <c r="F327" i="7"/>
  <c r="G327" i="7"/>
  <c r="H327" i="7"/>
  <c r="I327" i="7"/>
  <c r="J327" i="7"/>
  <c r="K327" i="7"/>
  <c r="P327" i="7"/>
  <c r="Q327" i="7"/>
  <c r="B328" i="7"/>
  <c r="C328" i="7"/>
  <c r="D328" i="7"/>
  <c r="E328" i="7"/>
  <c r="F328" i="7"/>
  <c r="G328" i="7"/>
  <c r="H328" i="7"/>
  <c r="I328" i="7"/>
  <c r="J328" i="7"/>
  <c r="K328" i="7"/>
  <c r="P328" i="7"/>
  <c r="Q328" i="7"/>
  <c r="B329" i="7"/>
  <c r="C329" i="7"/>
  <c r="D329" i="7"/>
  <c r="E329" i="7"/>
  <c r="F329" i="7"/>
  <c r="G329" i="7"/>
  <c r="H329" i="7"/>
  <c r="I329" i="7"/>
  <c r="J329" i="7"/>
  <c r="K329" i="7"/>
  <c r="P329" i="7"/>
  <c r="Q329" i="7"/>
  <c r="B330" i="7"/>
  <c r="C330" i="7"/>
  <c r="D330" i="7"/>
  <c r="E330" i="7"/>
  <c r="F330" i="7"/>
  <c r="G330" i="7"/>
  <c r="H330" i="7"/>
  <c r="I330" i="7"/>
  <c r="J330" i="7"/>
  <c r="K330" i="7"/>
  <c r="P330" i="7"/>
  <c r="Q330" i="7"/>
  <c r="B331" i="7"/>
  <c r="C331" i="7"/>
  <c r="D331" i="7"/>
  <c r="E331" i="7"/>
  <c r="F331" i="7"/>
  <c r="G331" i="7"/>
  <c r="H331" i="7"/>
  <c r="I331" i="7"/>
  <c r="J331" i="7"/>
  <c r="K331" i="7"/>
  <c r="P331" i="7"/>
  <c r="Q331" i="7"/>
  <c r="B332" i="7"/>
  <c r="C332" i="7"/>
  <c r="D332" i="7"/>
  <c r="E332" i="7"/>
  <c r="F332" i="7"/>
  <c r="G332" i="7"/>
  <c r="H332" i="7"/>
  <c r="I332" i="7"/>
  <c r="J332" i="7"/>
  <c r="K332" i="7"/>
  <c r="P332" i="7"/>
  <c r="Q332" i="7"/>
  <c r="B333" i="7"/>
  <c r="C333" i="7"/>
  <c r="D333" i="7"/>
  <c r="E333" i="7"/>
  <c r="F333" i="7"/>
  <c r="G333" i="7"/>
  <c r="H333" i="7"/>
  <c r="I333" i="7"/>
  <c r="J333" i="7"/>
  <c r="K333" i="7"/>
  <c r="P333" i="7"/>
  <c r="Q333" i="7"/>
  <c r="B334" i="7"/>
  <c r="C334" i="7"/>
  <c r="D334" i="7"/>
  <c r="E334" i="7"/>
  <c r="F334" i="7"/>
  <c r="G334" i="7"/>
  <c r="H334" i="7"/>
  <c r="I334" i="7"/>
  <c r="J334" i="7"/>
  <c r="K334" i="7"/>
  <c r="P334" i="7"/>
  <c r="Q334" i="7"/>
  <c r="B335" i="7"/>
  <c r="C335" i="7"/>
  <c r="D335" i="7"/>
  <c r="E335" i="7"/>
  <c r="F335" i="7"/>
  <c r="G335" i="7"/>
  <c r="H335" i="7"/>
  <c r="I335" i="7"/>
  <c r="J335" i="7"/>
  <c r="K335" i="7"/>
  <c r="P335" i="7"/>
  <c r="Q335" i="7"/>
  <c r="R335" i="7"/>
  <c r="B336" i="7"/>
  <c r="C336" i="7"/>
  <c r="D336" i="7"/>
  <c r="E336" i="7"/>
  <c r="F336" i="7"/>
  <c r="G336" i="7"/>
  <c r="H336" i="7"/>
  <c r="I336" i="7"/>
  <c r="J336" i="7"/>
  <c r="K336" i="7"/>
  <c r="P336" i="7"/>
  <c r="Q336" i="7"/>
  <c r="R336" i="7"/>
  <c r="B337" i="7"/>
  <c r="C337" i="7"/>
  <c r="D337" i="7"/>
  <c r="E337" i="7"/>
  <c r="F337" i="7"/>
  <c r="G337" i="7"/>
  <c r="H337" i="7"/>
  <c r="I337" i="7"/>
  <c r="J337" i="7"/>
  <c r="K337" i="7"/>
  <c r="P337" i="7"/>
  <c r="Q337" i="7"/>
  <c r="R337" i="7"/>
  <c r="B338" i="7"/>
  <c r="C338" i="7"/>
  <c r="D338" i="7"/>
  <c r="E338" i="7"/>
  <c r="F338" i="7"/>
  <c r="G338" i="7"/>
  <c r="H338" i="7"/>
  <c r="I338" i="7"/>
  <c r="J338" i="7"/>
  <c r="K338" i="7"/>
  <c r="P338" i="7"/>
  <c r="Q338" i="7"/>
  <c r="R338" i="7"/>
  <c r="B339" i="7"/>
  <c r="C339" i="7"/>
  <c r="D339" i="7"/>
  <c r="E339" i="7"/>
  <c r="F339" i="7"/>
  <c r="G339" i="7"/>
  <c r="H339" i="7"/>
  <c r="I339" i="7"/>
  <c r="J339" i="7"/>
  <c r="K339" i="7"/>
  <c r="P339" i="7"/>
  <c r="Q339" i="7"/>
  <c r="R339" i="7"/>
  <c r="B340" i="7"/>
  <c r="C340" i="7"/>
  <c r="D340" i="7"/>
  <c r="E340" i="7"/>
  <c r="F340" i="7"/>
  <c r="G340" i="7"/>
  <c r="H340" i="7"/>
  <c r="I340" i="7"/>
  <c r="J340" i="7"/>
  <c r="K340" i="7"/>
  <c r="P340" i="7"/>
  <c r="Q340" i="7"/>
  <c r="R340" i="7"/>
  <c r="B341" i="7"/>
  <c r="C341" i="7"/>
  <c r="D341" i="7"/>
  <c r="E341" i="7"/>
  <c r="F341" i="7"/>
  <c r="G341" i="7"/>
  <c r="H341" i="7"/>
  <c r="I341" i="7"/>
  <c r="J341" i="7"/>
  <c r="K341" i="7"/>
  <c r="P341" i="7"/>
  <c r="Q341" i="7"/>
  <c r="R341" i="7"/>
  <c r="B342" i="7"/>
  <c r="C342" i="7"/>
  <c r="D342" i="7"/>
  <c r="E342" i="7"/>
  <c r="F342" i="7"/>
  <c r="G342" i="7"/>
  <c r="H342" i="7"/>
  <c r="I342" i="7"/>
  <c r="J342" i="7"/>
  <c r="K342" i="7"/>
  <c r="P342" i="7"/>
  <c r="Q342" i="7"/>
  <c r="R342" i="7"/>
  <c r="B343" i="7"/>
  <c r="C343" i="7"/>
  <c r="D343" i="7"/>
  <c r="E343" i="7"/>
  <c r="F343" i="7"/>
  <c r="G343" i="7"/>
  <c r="H343" i="7"/>
  <c r="I343" i="7"/>
  <c r="J343" i="7"/>
  <c r="K343" i="7"/>
  <c r="P343" i="7"/>
  <c r="Q343" i="7"/>
  <c r="R343" i="7"/>
  <c r="B344" i="7"/>
  <c r="C344" i="7"/>
  <c r="D344" i="7"/>
  <c r="E344" i="7"/>
  <c r="F344" i="7"/>
  <c r="G344" i="7"/>
  <c r="H344" i="7"/>
  <c r="I344" i="7"/>
  <c r="J344" i="7"/>
  <c r="K344" i="7"/>
  <c r="P344" i="7"/>
  <c r="Q344" i="7"/>
  <c r="R344" i="7"/>
  <c r="B345" i="7"/>
  <c r="C345" i="7"/>
  <c r="D345" i="7"/>
  <c r="E345" i="7"/>
  <c r="F345" i="7"/>
  <c r="G345" i="7"/>
  <c r="H345" i="7"/>
  <c r="I345" i="7"/>
  <c r="J345" i="7"/>
  <c r="K345" i="7"/>
  <c r="P345" i="7"/>
  <c r="Q345" i="7"/>
  <c r="R345" i="7"/>
  <c r="B346" i="7"/>
  <c r="C346" i="7"/>
  <c r="D346" i="7"/>
  <c r="E346" i="7"/>
  <c r="F346" i="7"/>
  <c r="G346" i="7"/>
  <c r="H346" i="7"/>
  <c r="I346" i="7"/>
  <c r="J346" i="7"/>
  <c r="K346" i="7"/>
  <c r="P346" i="7"/>
  <c r="Q346" i="7"/>
  <c r="R346" i="7"/>
  <c r="B347" i="7"/>
  <c r="C347" i="7"/>
  <c r="D347" i="7"/>
  <c r="E347" i="7"/>
  <c r="F347" i="7"/>
  <c r="G347" i="7"/>
  <c r="H347" i="7"/>
  <c r="I347" i="7"/>
  <c r="J347" i="7"/>
  <c r="K347" i="7"/>
  <c r="P347" i="7"/>
  <c r="Q347" i="7"/>
  <c r="R347" i="7"/>
  <c r="B348" i="7"/>
  <c r="C348" i="7"/>
  <c r="D348" i="7"/>
  <c r="E348" i="7"/>
  <c r="F348" i="7"/>
  <c r="G348" i="7"/>
  <c r="H348" i="7"/>
  <c r="I348" i="7"/>
  <c r="J348" i="7"/>
  <c r="K348" i="7"/>
  <c r="P348" i="7"/>
  <c r="Q348" i="7"/>
  <c r="B349" i="7"/>
  <c r="C349" i="7"/>
  <c r="D349" i="7"/>
  <c r="E349" i="7"/>
  <c r="F349" i="7"/>
  <c r="G349" i="7"/>
  <c r="H349" i="7"/>
  <c r="I349" i="7"/>
  <c r="J349" i="7"/>
  <c r="K349" i="7"/>
  <c r="P349" i="7"/>
  <c r="Q349" i="7"/>
  <c r="B350" i="7"/>
  <c r="C350" i="7"/>
  <c r="D350" i="7"/>
  <c r="E350" i="7"/>
  <c r="F350" i="7"/>
  <c r="G350" i="7"/>
  <c r="H350" i="7"/>
  <c r="I350" i="7"/>
  <c r="J350" i="7"/>
  <c r="K350" i="7"/>
  <c r="P350" i="7"/>
  <c r="Q350" i="7"/>
  <c r="R350" i="7"/>
  <c r="B351" i="7"/>
  <c r="C351" i="7"/>
  <c r="D351" i="7"/>
  <c r="E351" i="7"/>
  <c r="F351" i="7"/>
  <c r="G351" i="7"/>
  <c r="H351" i="7"/>
  <c r="I351" i="7"/>
  <c r="J351" i="7"/>
  <c r="K351" i="7"/>
  <c r="M351" i="7"/>
  <c r="P351" i="7"/>
  <c r="Q351" i="7"/>
  <c r="B352" i="7"/>
  <c r="C352" i="7"/>
  <c r="D352" i="7"/>
  <c r="E352" i="7"/>
  <c r="F352" i="7"/>
  <c r="G352" i="7"/>
  <c r="H352" i="7"/>
  <c r="I352" i="7"/>
  <c r="J352" i="7"/>
  <c r="K352" i="7"/>
  <c r="P352" i="7"/>
  <c r="Q352" i="7"/>
  <c r="B353" i="7"/>
  <c r="C353" i="7"/>
  <c r="D353" i="7"/>
  <c r="E353" i="7"/>
  <c r="F353" i="7"/>
  <c r="G353" i="7"/>
  <c r="H353" i="7"/>
  <c r="I353" i="7"/>
  <c r="J353" i="7"/>
  <c r="K353" i="7"/>
  <c r="M353" i="7"/>
  <c r="P353" i="7"/>
  <c r="Q353" i="7"/>
  <c r="B354" i="7"/>
  <c r="C354" i="7"/>
  <c r="D354" i="7"/>
  <c r="E354" i="7"/>
  <c r="F354" i="7"/>
  <c r="G354" i="7"/>
  <c r="H354" i="7"/>
  <c r="I354" i="7"/>
  <c r="J354" i="7"/>
  <c r="K354" i="7"/>
  <c r="P354" i="7"/>
  <c r="Q354" i="7"/>
  <c r="B355" i="7"/>
  <c r="C355" i="7"/>
  <c r="D355" i="7"/>
  <c r="E355" i="7"/>
  <c r="F355" i="7"/>
  <c r="G355" i="7"/>
  <c r="H355" i="7"/>
  <c r="I355" i="7"/>
  <c r="J355" i="7"/>
  <c r="K355" i="7"/>
  <c r="P355" i="7"/>
  <c r="Q355" i="7"/>
  <c r="B356" i="7"/>
  <c r="C356" i="7"/>
  <c r="D356" i="7"/>
  <c r="E356" i="7"/>
  <c r="F356" i="7"/>
  <c r="G356" i="7"/>
  <c r="H356" i="7"/>
  <c r="I356" i="7"/>
  <c r="J356" i="7"/>
  <c r="K356" i="7"/>
  <c r="P356" i="7"/>
  <c r="Q356" i="7"/>
  <c r="R356" i="7"/>
  <c r="B357" i="7"/>
  <c r="C357" i="7"/>
  <c r="D357" i="7"/>
  <c r="E357" i="7"/>
  <c r="F357" i="7"/>
  <c r="G357" i="7"/>
  <c r="H357" i="7"/>
  <c r="I357" i="7"/>
  <c r="J357" i="7"/>
  <c r="K357" i="7"/>
  <c r="P357" i="7"/>
  <c r="Q357" i="7"/>
  <c r="R357" i="7"/>
  <c r="B358" i="7"/>
  <c r="C358" i="7"/>
  <c r="D358" i="7"/>
  <c r="E358" i="7"/>
  <c r="F358" i="7"/>
  <c r="G358" i="7"/>
  <c r="H358" i="7"/>
  <c r="I358" i="7"/>
  <c r="J358" i="7"/>
  <c r="K358" i="7"/>
  <c r="P358" i="7"/>
  <c r="Q358" i="7"/>
  <c r="B359" i="7"/>
  <c r="C359" i="7"/>
  <c r="D359" i="7"/>
  <c r="E359" i="7"/>
  <c r="F359" i="7"/>
  <c r="G359" i="7"/>
  <c r="H359" i="7"/>
  <c r="I359" i="7"/>
  <c r="J359" i="7"/>
  <c r="K359" i="7"/>
  <c r="P359" i="7"/>
  <c r="Q359" i="7"/>
  <c r="R359" i="7"/>
  <c r="B360" i="7"/>
  <c r="C360" i="7"/>
  <c r="D360" i="7"/>
  <c r="E360" i="7"/>
  <c r="F360" i="7"/>
  <c r="G360" i="7"/>
  <c r="H360" i="7"/>
  <c r="I360" i="7"/>
  <c r="J360" i="7"/>
  <c r="K360" i="7"/>
  <c r="P360" i="7"/>
  <c r="Q360" i="7"/>
  <c r="B361" i="7"/>
  <c r="C361" i="7"/>
  <c r="D361" i="7"/>
  <c r="E361" i="7"/>
  <c r="F361" i="7"/>
  <c r="G361" i="7"/>
  <c r="H361" i="7"/>
  <c r="I361" i="7"/>
  <c r="J361" i="7"/>
  <c r="K361" i="7"/>
  <c r="P361" i="7"/>
  <c r="Q361" i="7"/>
  <c r="B362" i="7"/>
  <c r="C362" i="7"/>
  <c r="D362" i="7"/>
  <c r="E362" i="7"/>
  <c r="F362" i="7"/>
  <c r="G362" i="7"/>
  <c r="H362" i="7"/>
  <c r="I362" i="7"/>
  <c r="J362" i="7"/>
  <c r="K362" i="7"/>
  <c r="P362" i="7"/>
  <c r="Q362" i="7"/>
  <c r="B363" i="7"/>
  <c r="C363" i="7"/>
  <c r="D363" i="7"/>
  <c r="E363" i="7"/>
  <c r="F363" i="7"/>
  <c r="G363" i="7"/>
  <c r="H363" i="7"/>
  <c r="I363" i="7"/>
  <c r="J363" i="7"/>
  <c r="K363" i="7"/>
  <c r="M363" i="7"/>
  <c r="P363" i="7"/>
  <c r="Q363" i="7"/>
  <c r="B364" i="7"/>
  <c r="C364" i="7"/>
  <c r="D364" i="7"/>
  <c r="E364" i="7"/>
  <c r="F364" i="7"/>
  <c r="G364" i="7"/>
  <c r="H364" i="7"/>
  <c r="I364" i="7"/>
  <c r="J364" i="7"/>
  <c r="K364" i="7"/>
  <c r="P364" i="7"/>
  <c r="Q364" i="7"/>
  <c r="R364" i="7"/>
  <c r="B365" i="7"/>
  <c r="C365" i="7"/>
  <c r="D365" i="7"/>
  <c r="E365" i="7"/>
  <c r="F365" i="7"/>
  <c r="G365" i="7"/>
  <c r="H365" i="7"/>
  <c r="I365" i="7"/>
  <c r="J365" i="7"/>
  <c r="K365" i="7"/>
  <c r="M365" i="7"/>
  <c r="P365" i="7"/>
  <c r="Q365" i="7"/>
  <c r="R365" i="7"/>
  <c r="B366" i="7"/>
  <c r="C366" i="7"/>
  <c r="D366" i="7"/>
  <c r="E366" i="7"/>
  <c r="F366" i="7"/>
  <c r="G366" i="7"/>
  <c r="H366" i="7"/>
  <c r="I366" i="7"/>
  <c r="J366" i="7"/>
  <c r="K366" i="7"/>
  <c r="P366" i="7"/>
  <c r="Q366" i="7"/>
  <c r="R366" i="7"/>
  <c r="B367" i="7"/>
  <c r="C367" i="7"/>
  <c r="D367" i="7"/>
  <c r="E367" i="7"/>
  <c r="F367" i="7"/>
  <c r="G367" i="7"/>
  <c r="H367" i="7"/>
  <c r="I367" i="7"/>
  <c r="J367" i="7"/>
  <c r="K367" i="7"/>
  <c r="P367" i="7"/>
  <c r="Q367" i="7"/>
  <c r="B368" i="7"/>
  <c r="C368" i="7"/>
  <c r="D368" i="7"/>
  <c r="E368" i="7"/>
  <c r="F368" i="7"/>
  <c r="G368" i="7"/>
  <c r="H368" i="7"/>
  <c r="I368" i="7"/>
  <c r="J368" i="7"/>
  <c r="K368" i="7"/>
  <c r="P368" i="7"/>
  <c r="Q368" i="7"/>
  <c r="R368" i="7"/>
  <c r="B369" i="7"/>
  <c r="C369" i="7"/>
  <c r="D369" i="7"/>
  <c r="E369" i="7"/>
  <c r="F369" i="7"/>
  <c r="G369" i="7"/>
  <c r="H369" i="7"/>
  <c r="I369" i="7"/>
  <c r="J369" i="7"/>
  <c r="K369" i="7"/>
  <c r="P369" i="7"/>
  <c r="Q369" i="7"/>
  <c r="B370" i="7"/>
  <c r="C370" i="7"/>
  <c r="D370" i="7"/>
  <c r="E370" i="7"/>
  <c r="F370" i="7"/>
  <c r="G370" i="7"/>
  <c r="H370" i="7"/>
  <c r="I370" i="7"/>
  <c r="J370" i="7"/>
  <c r="K370" i="7"/>
  <c r="P370" i="7"/>
  <c r="Q370" i="7"/>
  <c r="R370" i="7"/>
  <c r="B371" i="7"/>
  <c r="C371" i="7"/>
  <c r="D371" i="7"/>
  <c r="E371" i="7"/>
  <c r="F371" i="7"/>
  <c r="G371" i="7"/>
  <c r="H371" i="7"/>
  <c r="I371" i="7"/>
  <c r="J371" i="7"/>
  <c r="K371" i="7"/>
  <c r="P371" i="7"/>
  <c r="Q371" i="7"/>
  <c r="R371" i="7"/>
  <c r="B372" i="7"/>
  <c r="C372" i="7"/>
  <c r="D372" i="7"/>
  <c r="E372" i="7"/>
  <c r="F372" i="7"/>
  <c r="G372" i="7"/>
  <c r="H372" i="7"/>
  <c r="I372" i="7"/>
  <c r="J372" i="7"/>
  <c r="K372" i="7"/>
  <c r="P372" i="7"/>
  <c r="Q372" i="7"/>
  <c r="R372" i="7"/>
  <c r="B373" i="7"/>
  <c r="C373" i="7"/>
  <c r="D373" i="7"/>
  <c r="E373" i="7"/>
  <c r="F373" i="7"/>
  <c r="G373" i="7"/>
  <c r="H373" i="7"/>
  <c r="I373" i="7"/>
  <c r="J373" i="7"/>
  <c r="K373" i="7"/>
  <c r="P373" i="7"/>
  <c r="Q373" i="7"/>
  <c r="R373" i="7"/>
  <c r="B374" i="7"/>
  <c r="C374" i="7"/>
  <c r="D374" i="7"/>
  <c r="E374" i="7"/>
  <c r="F374" i="7"/>
  <c r="G374" i="7"/>
  <c r="H374" i="7"/>
  <c r="I374" i="7"/>
  <c r="J374" i="7"/>
  <c r="K374" i="7"/>
  <c r="M374" i="7"/>
  <c r="P374" i="7"/>
  <c r="Q374" i="7"/>
  <c r="B375" i="7"/>
  <c r="C375" i="7"/>
  <c r="D375" i="7"/>
  <c r="E375" i="7"/>
  <c r="F375" i="7"/>
  <c r="G375" i="7"/>
  <c r="H375" i="7"/>
  <c r="I375" i="7"/>
  <c r="J375" i="7"/>
  <c r="K375" i="7"/>
  <c r="P375" i="7"/>
  <c r="Q375" i="7"/>
  <c r="B376" i="7"/>
  <c r="C376" i="7"/>
  <c r="D376" i="7"/>
  <c r="E376" i="7"/>
  <c r="F376" i="7"/>
  <c r="G376" i="7"/>
  <c r="H376" i="7"/>
  <c r="I376" i="7"/>
  <c r="J376" i="7"/>
  <c r="K376" i="7"/>
  <c r="P376" i="7"/>
  <c r="Q376" i="7"/>
  <c r="R376" i="7"/>
  <c r="B377" i="7"/>
  <c r="C377" i="7"/>
  <c r="D377" i="7"/>
  <c r="E377" i="7"/>
  <c r="F377" i="7"/>
  <c r="G377" i="7"/>
  <c r="H377" i="7"/>
  <c r="I377" i="7"/>
  <c r="J377" i="7"/>
  <c r="K377" i="7"/>
  <c r="M377" i="7"/>
  <c r="P377" i="7"/>
  <c r="Q377" i="7"/>
  <c r="B378" i="7"/>
  <c r="C378" i="7"/>
  <c r="D378" i="7"/>
  <c r="E378" i="7"/>
  <c r="F378" i="7"/>
  <c r="G378" i="7"/>
  <c r="H378" i="7"/>
  <c r="I378" i="7"/>
  <c r="J378" i="7"/>
  <c r="K378" i="7"/>
  <c r="P378" i="7"/>
  <c r="Q378" i="7"/>
  <c r="B379" i="7"/>
  <c r="C379" i="7"/>
  <c r="D379" i="7"/>
  <c r="E379" i="7"/>
  <c r="F379" i="7"/>
  <c r="G379" i="7"/>
  <c r="H379" i="7"/>
  <c r="I379" i="7"/>
  <c r="J379" i="7"/>
  <c r="K379" i="7"/>
  <c r="P379" i="7"/>
  <c r="Q379" i="7"/>
  <c r="B380" i="7"/>
  <c r="C380" i="7"/>
  <c r="D380" i="7"/>
  <c r="E380" i="7"/>
  <c r="F380" i="7"/>
  <c r="G380" i="7"/>
  <c r="H380" i="7"/>
  <c r="I380" i="7"/>
  <c r="J380" i="7"/>
  <c r="K380" i="7"/>
  <c r="P380" i="7"/>
  <c r="Q380" i="7"/>
  <c r="R380" i="7"/>
  <c r="B381" i="7"/>
  <c r="C381" i="7"/>
  <c r="D381" i="7"/>
  <c r="E381" i="7"/>
  <c r="F381" i="7"/>
  <c r="G381" i="7"/>
  <c r="H381" i="7"/>
  <c r="I381" i="7"/>
  <c r="J381" i="7"/>
  <c r="K381" i="7"/>
  <c r="P381" i="7"/>
  <c r="Q381" i="7"/>
  <c r="R381" i="7"/>
  <c r="B382" i="7"/>
  <c r="C382" i="7"/>
  <c r="D382" i="7"/>
  <c r="E382" i="7"/>
  <c r="F382" i="7"/>
  <c r="G382" i="7"/>
  <c r="H382" i="7"/>
  <c r="I382" i="7"/>
  <c r="J382" i="7"/>
  <c r="K382" i="7"/>
  <c r="P382" i="7"/>
  <c r="Q382" i="7"/>
  <c r="R382" i="7"/>
  <c r="B383" i="7"/>
  <c r="C383" i="7"/>
  <c r="D383" i="7"/>
  <c r="E383" i="7"/>
  <c r="F383" i="7"/>
  <c r="G383" i="7"/>
  <c r="H383" i="7"/>
  <c r="I383" i="7"/>
  <c r="J383" i="7"/>
  <c r="K383" i="7"/>
  <c r="P383" i="7"/>
  <c r="Q383" i="7"/>
  <c r="R383" i="7"/>
  <c r="B384" i="7"/>
  <c r="C384" i="7"/>
  <c r="D384" i="7"/>
  <c r="E384" i="7"/>
  <c r="F384" i="7"/>
  <c r="G384" i="7"/>
  <c r="H384" i="7"/>
  <c r="I384" i="7"/>
  <c r="J384" i="7"/>
  <c r="K384" i="7"/>
  <c r="P384" i="7"/>
  <c r="Q384" i="7"/>
  <c r="R384" i="7"/>
  <c r="B385" i="7"/>
  <c r="C385" i="7"/>
  <c r="D385" i="7"/>
  <c r="E385" i="7"/>
  <c r="F385" i="7"/>
  <c r="G385" i="7"/>
  <c r="H385" i="7"/>
  <c r="I385" i="7"/>
  <c r="J385" i="7"/>
  <c r="K385" i="7"/>
  <c r="P385" i="7"/>
  <c r="Q385" i="7"/>
  <c r="B386" i="7"/>
  <c r="C386" i="7"/>
  <c r="D386" i="7"/>
  <c r="E386" i="7"/>
  <c r="F386" i="7"/>
  <c r="G386" i="7"/>
  <c r="H386" i="7"/>
  <c r="I386" i="7"/>
  <c r="J386" i="7"/>
  <c r="K386" i="7"/>
  <c r="P386" i="7"/>
  <c r="Q386" i="7"/>
  <c r="B387" i="7"/>
  <c r="C387" i="7"/>
  <c r="D387" i="7"/>
  <c r="E387" i="7"/>
  <c r="F387" i="7"/>
  <c r="G387" i="7"/>
  <c r="H387" i="7"/>
  <c r="I387" i="7"/>
  <c r="J387" i="7"/>
  <c r="K387" i="7"/>
  <c r="P387" i="7"/>
  <c r="Q387" i="7"/>
  <c r="B388" i="7"/>
  <c r="C388" i="7"/>
  <c r="D388" i="7"/>
  <c r="E388" i="7"/>
  <c r="F388" i="7"/>
  <c r="G388" i="7"/>
  <c r="H388" i="7"/>
  <c r="I388" i="7"/>
  <c r="J388" i="7"/>
  <c r="K388" i="7"/>
  <c r="P388" i="7"/>
  <c r="Q388" i="7"/>
  <c r="R388" i="7"/>
  <c r="B389" i="7"/>
  <c r="C389" i="7"/>
  <c r="D389" i="7"/>
  <c r="E389" i="7"/>
  <c r="F389" i="7"/>
  <c r="G389" i="7"/>
  <c r="H389" i="7"/>
  <c r="I389" i="7"/>
  <c r="J389" i="7"/>
  <c r="K389" i="7"/>
  <c r="P389" i="7"/>
  <c r="Q389" i="7"/>
  <c r="R389" i="7"/>
  <c r="B390" i="7"/>
  <c r="C390" i="7"/>
  <c r="D390" i="7"/>
  <c r="E390" i="7"/>
  <c r="F390" i="7"/>
  <c r="G390" i="7"/>
  <c r="H390" i="7"/>
  <c r="I390" i="7"/>
  <c r="J390" i="7"/>
  <c r="K390" i="7"/>
  <c r="P390" i="7"/>
  <c r="Q390" i="7"/>
  <c r="B391" i="7"/>
  <c r="C391" i="7"/>
  <c r="D391" i="7"/>
  <c r="E391" i="7"/>
  <c r="F391" i="7"/>
  <c r="G391" i="7"/>
  <c r="H391" i="7"/>
  <c r="I391" i="7"/>
  <c r="J391" i="7"/>
  <c r="K391" i="7"/>
  <c r="P391" i="7"/>
  <c r="Q391" i="7"/>
  <c r="R391" i="7"/>
  <c r="B392" i="7"/>
  <c r="C392" i="7"/>
  <c r="D392" i="7"/>
  <c r="E392" i="7"/>
  <c r="F392" i="7"/>
  <c r="G392" i="7"/>
  <c r="H392" i="7"/>
  <c r="I392" i="7"/>
  <c r="J392" i="7"/>
  <c r="K392" i="7"/>
  <c r="P392" i="7"/>
  <c r="Q392" i="7"/>
  <c r="B393" i="7"/>
  <c r="C393" i="7"/>
  <c r="D393" i="7"/>
  <c r="E393" i="7"/>
  <c r="F393" i="7"/>
  <c r="G393" i="7"/>
  <c r="H393" i="7"/>
  <c r="I393" i="7"/>
  <c r="J393" i="7"/>
  <c r="K393" i="7"/>
  <c r="P393" i="7"/>
  <c r="Q393" i="7"/>
  <c r="B394" i="7"/>
  <c r="C394" i="7"/>
  <c r="D394" i="7"/>
  <c r="E394" i="7"/>
  <c r="F394" i="7"/>
  <c r="G394" i="7"/>
  <c r="H394" i="7"/>
  <c r="I394" i="7"/>
  <c r="J394" i="7"/>
  <c r="K394" i="7"/>
  <c r="P394" i="7"/>
  <c r="Q394" i="7"/>
  <c r="R394" i="7"/>
  <c r="B395" i="7"/>
  <c r="C395" i="7"/>
  <c r="D395" i="7"/>
  <c r="E395" i="7"/>
  <c r="F395" i="7"/>
  <c r="G395" i="7"/>
  <c r="H395" i="7"/>
  <c r="I395" i="7"/>
  <c r="J395" i="7"/>
  <c r="K395" i="7"/>
  <c r="P395" i="7"/>
  <c r="Q395" i="7"/>
  <c r="R395" i="7"/>
  <c r="B396" i="7"/>
  <c r="C396" i="7"/>
  <c r="D396" i="7"/>
  <c r="E396" i="7"/>
  <c r="F396" i="7"/>
  <c r="G396" i="7"/>
  <c r="H396" i="7"/>
  <c r="I396" i="7"/>
  <c r="J396" i="7"/>
  <c r="K396" i="7"/>
  <c r="P396" i="7"/>
  <c r="Q396" i="7"/>
  <c r="R396" i="7"/>
  <c r="B397" i="7"/>
  <c r="C397" i="7"/>
  <c r="D397" i="7"/>
  <c r="E397" i="7"/>
  <c r="F397" i="7"/>
  <c r="G397" i="7"/>
  <c r="H397" i="7"/>
  <c r="I397" i="7"/>
  <c r="J397" i="7"/>
  <c r="K397" i="7"/>
  <c r="P397" i="7"/>
  <c r="Q397" i="7"/>
  <c r="R397" i="7"/>
  <c r="B398" i="7"/>
  <c r="C398" i="7"/>
  <c r="D398" i="7"/>
  <c r="E398" i="7"/>
  <c r="F398" i="7"/>
  <c r="G398" i="7"/>
  <c r="H398" i="7"/>
  <c r="I398" i="7"/>
  <c r="J398" i="7"/>
  <c r="K398" i="7"/>
  <c r="P398" i="7"/>
  <c r="Q398" i="7"/>
  <c r="R398" i="7"/>
  <c r="B399" i="7"/>
  <c r="C399" i="7"/>
  <c r="D399" i="7"/>
  <c r="E399" i="7"/>
  <c r="F399" i="7"/>
  <c r="G399" i="7"/>
  <c r="H399" i="7"/>
  <c r="I399" i="7"/>
  <c r="J399" i="7"/>
  <c r="K399" i="7"/>
  <c r="P399" i="7"/>
  <c r="Q399" i="7"/>
  <c r="R399" i="7"/>
  <c r="B400" i="7"/>
  <c r="C400" i="7"/>
  <c r="D400" i="7"/>
  <c r="E400" i="7"/>
  <c r="F400" i="7"/>
  <c r="G400" i="7"/>
  <c r="H400" i="7"/>
  <c r="I400" i="7"/>
  <c r="J400" i="7"/>
  <c r="K400" i="7"/>
  <c r="P400" i="7"/>
  <c r="Q400" i="7"/>
  <c r="B401" i="7"/>
  <c r="C401" i="7"/>
  <c r="D401" i="7"/>
  <c r="E401" i="7"/>
  <c r="F401" i="7"/>
  <c r="G401" i="7"/>
  <c r="H401" i="7"/>
  <c r="I401" i="7"/>
  <c r="J401" i="7"/>
  <c r="K401" i="7"/>
  <c r="P401" i="7"/>
  <c r="Q401" i="7"/>
  <c r="R401" i="7"/>
  <c r="B402" i="7"/>
  <c r="C402" i="7"/>
  <c r="D402" i="7"/>
  <c r="E402" i="7"/>
  <c r="F402" i="7"/>
  <c r="G402" i="7"/>
  <c r="H402" i="7"/>
  <c r="I402" i="7"/>
  <c r="J402" i="7"/>
  <c r="K402" i="7"/>
  <c r="P402" i="7"/>
  <c r="Q402" i="7"/>
  <c r="R402" i="7"/>
  <c r="B403" i="7"/>
  <c r="C403" i="7"/>
  <c r="D403" i="7"/>
  <c r="E403" i="7"/>
  <c r="F403" i="7"/>
  <c r="G403" i="7"/>
  <c r="H403" i="7"/>
  <c r="I403" i="7"/>
  <c r="J403" i="7"/>
  <c r="K403" i="7"/>
  <c r="P403" i="7"/>
  <c r="Q403" i="7"/>
  <c r="B404" i="7"/>
  <c r="C404" i="7"/>
  <c r="D404" i="7"/>
  <c r="E404" i="7"/>
  <c r="F404" i="7"/>
  <c r="G404" i="7"/>
  <c r="H404" i="7"/>
  <c r="I404" i="7"/>
  <c r="J404" i="7"/>
  <c r="K404" i="7"/>
  <c r="P404" i="7"/>
  <c r="Q404" i="7"/>
  <c r="B405" i="7"/>
  <c r="C405" i="7"/>
  <c r="D405" i="7"/>
  <c r="E405" i="7"/>
  <c r="F405" i="7"/>
  <c r="G405" i="7"/>
  <c r="H405" i="7"/>
  <c r="I405" i="7"/>
  <c r="J405" i="7"/>
  <c r="K405" i="7"/>
  <c r="P405" i="7"/>
  <c r="Q405" i="7"/>
  <c r="R405" i="7"/>
  <c r="B406" i="7"/>
  <c r="C406" i="7"/>
  <c r="D406" i="7"/>
  <c r="E406" i="7"/>
  <c r="F406" i="7"/>
  <c r="G406" i="7"/>
  <c r="H406" i="7"/>
  <c r="I406" i="7"/>
  <c r="J406" i="7"/>
  <c r="K406" i="7"/>
  <c r="P406" i="7"/>
  <c r="Q406" i="7"/>
  <c r="R406" i="7"/>
  <c r="B407" i="7"/>
  <c r="C407" i="7"/>
  <c r="D407" i="7"/>
  <c r="E407" i="7"/>
  <c r="F407" i="7"/>
  <c r="G407" i="7"/>
  <c r="H407" i="7"/>
  <c r="I407" i="7"/>
  <c r="J407" i="7"/>
  <c r="K407" i="7"/>
  <c r="P407" i="7"/>
  <c r="Q407" i="7"/>
  <c r="B408" i="7"/>
  <c r="C408" i="7"/>
  <c r="D408" i="7"/>
  <c r="E408" i="7"/>
  <c r="F408" i="7"/>
  <c r="G408" i="7"/>
  <c r="H408" i="7"/>
  <c r="I408" i="7"/>
  <c r="J408" i="7"/>
  <c r="K408" i="7"/>
  <c r="P408" i="7"/>
  <c r="Q408" i="7"/>
  <c r="R408" i="7"/>
  <c r="B409" i="7"/>
  <c r="C409" i="7"/>
  <c r="D409" i="7"/>
  <c r="E409" i="7"/>
  <c r="F409" i="7"/>
  <c r="G409" i="7"/>
  <c r="H409" i="7"/>
  <c r="I409" i="7"/>
  <c r="J409" i="7"/>
  <c r="K409" i="7"/>
  <c r="P409" i="7"/>
  <c r="Q409" i="7"/>
  <c r="R409" i="7"/>
  <c r="B410" i="7"/>
  <c r="C410" i="7"/>
  <c r="D410" i="7"/>
  <c r="E410" i="7"/>
  <c r="F410" i="7"/>
  <c r="G410" i="7"/>
  <c r="H410" i="7"/>
  <c r="I410" i="7"/>
  <c r="J410" i="7"/>
  <c r="K410" i="7"/>
  <c r="P410" i="7"/>
  <c r="Q410" i="7"/>
  <c r="B411" i="7"/>
  <c r="C411" i="7"/>
  <c r="D411" i="7"/>
  <c r="E411" i="7"/>
  <c r="F411" i="7"/>
  <c r="G411" i="7"/>
  <c r="H411" i="7"/>
  <c r="I411" i="7"/>
  <c r="J411" i="7"/>
  <c r="K411" i="7"/>
  <c r="P411" i="7"/>
  <c r="Q411" i="7"/>
  <c r="B412" i="7"/>
  <c r="C412" i="7"/>
  <c r="D412" i="7"/>
  <c r="E412" i="7"/>
  <c r="F412" i="7"/>
  <c r="G412" i="7"/>
  <c r="H412" i="7"/>
  <c r="I412" i="7"/>
  <c r="J412" i="7"/>
  <c r="K412" i="7"/>
  <c r="P412" i="7"/>
  <c r="Q412" i="7"/>
  <c r="R412" i="7"/>
  <c r="B413" i="7"/>
  <c r="C413" i="7"/>
  <c r="D413" i="7"/>
  <c r="E413" i="7"/>
  <c r="F413" i="7"/>
  <c r="G413" i="7"/>
  <c r="H413" i="7"/>
  <c r="I413" i="7"/>
  <c r="J413" i="7"/>
  <c r="K413" i="7"/>
  <c r="P413" i="7"/>
  <c r="Q413" i="7"/>
  <c r="B414" i="7"/>
  <c r="C414" i="7"/>
  <c r="D414" i="7"/>
  <c r="E414" i="7"/>
  <c r="F414" i="7"/>
  <c r="G414" i="7"/>
  <c r="H414" i="7"/>
  <c r="I414" i="7"/>
  <c r="J414" i="7"/>
  <c r="K414" i="7"/>
  <c r="P414" i="7"/>
  <c r="Q414" i="7"/>
  <c r="B415" i="7"/>
  <c r="C415" i="7"/>
  <c r="D415" i="7"/>
  <c r="E415" i="7"/>
  <c r="F415" i="7"/>
  <c r="G415" i="7"/>
  <c r="H415" i="7"/>
  <c r="I415" i="7"/>
  <c r="J415" i="7"/>
  <c r="K415" i="7"/>
  <c r="P415" i="7"/>
  <c r="Q415" i="7"/>
  <c r="R415" i="7"/>
  <c r="B416" i="7"/>
  <c r="C416" i="7"/>
  <c r="D416" i="7"/>
  <c r="E416" i="7"/>
  <c r="F416" i="7"/>
  <c r="G416" i="7"/>
  <c r="H416" i="7"/>
  <c r="I416" i="7"/>
  <c r="J416" i="7"/>
  <c r="K416" i="7"/>
  <c r="P416" i="7"/>
  <c r="Q416" i="7"/>
  <c r="B417" i="7"/>
  <c r="C417" i="7"/>
  <c r="D417" i="7"/>
  <c r="E417" i="7"/>
  <c r="F417" i="7"/>
  <c r="G417" i="7"/>
  <c r="H417" i="7"/>
  <c r="I417" i="7"/>
  <c r="J417" i="7"/>
  <c r="K417" i="7"/>
  <c r="P417" i="7"/>
  <c r="Q417" i="7"/>
  <c r="R417" i="7"/>
  <c r="B418" i="7"/>
  <c r="C418" i="7"/>
  <c r="D418" i="7"/>
  <c r="E418" i="7"/>
  <c r="F418" i="7"/>
  <c r="G418" i="7"/>
  <c r="H418" i="7"/>
  <c r="I418" i="7"/>
  <c r="J418" i="7"/>
  <c r="K418" i="7"/>
  <c r="P418" i="7"/>
  <c r="Q418" i="7"/>
  <c r="B419" i="7"/>
  <c r="C419" i="7"/>
  <c r="D419" i="7"/>
  <c r="E419" i="7"/>
  <c r="F419" i="7"/>
  <c r="G419" i="7"/>
  <c r="H419" i="7"/>
  <c r="I419" i="7"/>
  <c r="J419" i="7"/>
  <c r="K419" i="7"/>
  <c r="P419" i="7"/>
  <c r="Q419" i="7"/>
  <c r="B420" i="7"/>
  <c r="C420" i="7"/>
  <c r="D420" i="7"/>
  <c r="E420" i="7"/>
  <c r="F420" i="7"/>
  <c r="G420" i="7"/>
  <c r="H420" i="7"/>
  <c r="I420" i="7"/>
  <c r="J420" i="7"/>
  <c r="K420" i="7"/>
  <c r="P420" i="7"/>
  <c r="Q420" i="7"/>
  <c r="B421" i="7"/>
  <c r="C421" i="7"/>
  <c r="D421" i="7"/>
  <c r="E421" i="7"/>
  <c r="F421" i="7"/>
  <c r="G421" i="7"/>
  <c r="H421" i="7"/>
  <c r="I421" i="7"/>
  <c r="J421" i="7"/>
  <c r="K421" i="7"/>
  <c r="P421" i="7"/>
  <c r="Q421" i="7"/>
  <c r="B422" i="7"/>
  <c r="C422" i="7"/>
  <c r="D422" i="7"/>
  <c r="E422" i="7"/>
  <c r="F422" i="7"/>
  <c r="G422" i="7"/>
  <c r="H422" i="7"/>
  <c r="I422" i="7"/>
  <c r="J422" i="7"/>
  <c r="K422" i="7"/>
  <c r="P422" i="7"/>
  <c r="Q422" i="7"/>
  <c r="B423" i="7"/>
  <c r="C423" i="7"/>
  <c r="D423" i="7"/>
  <c r="E423" i="7"/>
  <c r="F423" i="7"/>
  <c r="G423" i="7"/>
  <c r="H423" i="7"/>
  <c r="I423" i="7"/>
  <c r="J423" i="7"/>
  <c r="K423" i="7"/>
  <c r="P423" i="7"/>
  <c r="Q423" i="7"/>
  <c r="R423" i="7"/>
  <c r="B424" i="7"/>
  <c r="C424" i="7"/>
  <c r="D424" i="7"/>
  <c r="E424" i="7"/>
  <c r="F424" i="7"/>
  <c r="G424" i="7"/>
  <c r="H424" i="7"/>
  <c r="I424" i="7"/>
  <c r="J424" i="7"/>
  <c r="K424" i="7"/>
  <c r="P424" i="7"/>
  <c r="Q424" i="7"/>
  <c r="B425" i="7"/>
  <c r="C425" i="7"/>
  <c r="D425" i="7"/>
  <c r="E425" i="7"/>
  <c r="F425" i="7"/>
  <c r="G425" i="7"/>
  <c r="H425" i="7"/>
  <c r="I425" i="7"/>
  <c r="J425" i="7"/>
  <c r="K425" i="7"/>
  <c r="P425" i="7"/>
  <c r="Q425" i="7"/>
  <c r="B426" i="7"/>
  <c r="C426" i="7"/>
  <c r="D426" i="7"/>
  <c r="E426" i="7"/>
  <c r="F426" i="7"/>
  <c r="G426" i="7"/>
  <c r="H426" i="7"/>
  <c r="I426" i="7"/>
  <c r="J426" i="7"/>
  <c r="K426" i="7"/>
  <c r="P426" i="7"/>
  <c r="Q426" i="7"/>
  <c r="R426" i="7"/>
  <c r="L39" i="70"/>
  <c r="N39" i="70" l="1"/>
  <c r="N237" i="7" s="1"/>
  <c r="L237" i="7"/>
  <c r="L123" i="70"/>
  <c r="M123" i="70" l="1"/>
  <c r="L321" i="7"/>
  <c r="N123" i="70" l="1"/>
  <c r="N321" i="7" s="1"/>
  <c r="M321" i="7"/>
  <c r="L8" i="72" l="1"/>
  <c r="L430" i="7" s="1"/>
  <c r="M8" i="72" l="1"/>
  <c r="N8" i="72" l="1"/>
  <c r="N430" i="7" s="1"/>
  <c r="M430" i="7"/>
  <c r="L102" i="72"/>
  <c r="L180" i="72"/>
  <c r="L152" i="72"/>
  <c r="L574" i="7" s="1"/>
  <c r="L155" i="72"/>
  <c r="L184" i="72"/>
  <c r="L606" i="7" s="1"/>
  <c r="L202" i="72"/>
  <c r="L624" i="7" s="1"/>
  <c r="L169" i="72"/>
  <c r="L591" i="7" s="1"/>
  <c r="L195" i="72"/>
  <c r="L617" i="7" s="1"/>
  <c r="L200" i="72"/>
  <c r="L622" i="7" s="1"/>
  <c r="L191" i="72"/>
  <c r="L613" i="7" s="1"/>
  <c r="L168" i="72"/>
  <c r="L590" i="7" s="1"/>
  <c r="L159" i="72"/>
  <c r="L581" i="7" s="1"/>
  <c r="L194" i="72"/>
  <c r="L616" i="7" s="1"/>
  <c r="L187" i="72"/>
  <c r="L609" i="7" s="1"/>
  <c r="L183" i="72"/>
  <c r="L605" i="7" s="1"/>
  <c r="L145" i="72"/>
  <c r="L567" i="7" s="1"/>
  <c r="L192" i="72"/>
  <c r="L614" i="7" s="1"/>
  <c r="L179" i="72"/>
  <c r="L601" i="7" s="1"/>
  <c r="L198" i="72"/>
  <c r="L620" i="7" s="1"/>
  <c r="L163" i="72"/>
  <c r="L160" i="72"/>
  <c r="L171" i="72"/>
  <c r="L199" i="72"/>
  <c r="L174" i="72"/>
  <c r="L207" i="72"/>
  <c r="L154" i="72"/>
  <c r="L146" i="72"/>
  <c r="L172" i="72"/>
  <c r="L182" i="72"/>
  <c r="L193" i="72"/>
  <c r="L186" i="72"/>
  <c r="L176" i="72"/>
  <c r="L175" i="72"/>
  <c r="L142" i="72"/>
  <c r="L144" i="72"/>
  <c r="L201" i="72"/>
  <c r="L177" i="72"/>
  <c r="L203" i="72"/>
  <c r="L173" i="72"/>
  <c r="L205" i="72"/>
  <c r="L170" i="72"/>
  <c r="L167" i="72"/>
  <c r="L165" i="72"/>
  <c r="L185" i="72"/>
  <c r="L153" i="72"/>
  <c r="L149" i="72"/>
  <c r="L143" i="72"/>
  <c r="L166" i="72"/>
  <c r="L164" i="72"/>
  <c r="L204" i="72"/>
  <c r="L189" i="72"/>
  <c r="L158" i="72"/>
  <c r="L178" i="72"/>
  <c r="L206" i="72"/>
  <c r="L148" i="72"/>
  <c r="L147" i="72"/>
  <c r="L181" i="72"/>
  <c r="L141" i="72"/>
  <c r="L156" i="72"/>
  <c r="L157" i="72"/>
  <c r="L125" i="72"/>
  <c r="L547" i="7" s="1"/>
  <c r="L106" i="72"/>
  <c r="L528" i="7" s="1"/>
  <c r="L98" i="72"/>
  <c r="L520" i="7" s="1"/>
  <c r="L114" i="72"/>
  <c r="L536" i="7" s="1"/>
  <c r="L103" i="72"/>
  <c r="L101" i="72"/>
  <c r="L100" i="72"/>
  <c r="L99" i="72"/>
  <c r="L107" i="72"/>
  <c r="L529" i="7" s="1"/>
  <c r="M115" i="72"/>
  <c r="L90" i="72"/>
  <c r="L512" i="7" s="1"/>
  <c r="L88" i="72"/>
  <c r="L92" i="72"/>
  <c r="L514" i="7" s="1"/>
  <c r="L72" i="72"/>
  <c r="L494" i="7" s="1"/>
  <c r="L60" i="72"/>
  <c r="L482" i="7" s="1"/>
  <c r="L66" i="72"/>
  <c r="L488" i="7" s="1"/>
  <c r="L96" i="72"/>
  <c r="L518" i="7" s="1"/>
  <c r="L59" i="72"/>
  <c r="L57" i="72"/>
  <c r="L56" i="72"/>
  <c r="L58" i="72"/>
  <c r="L126" i="72"/>
  <c r="L128" i="72"/>
  <c r="L550" i="7" s="1"/>
  <c r="L127" i="72"/>
  <c r="L549" i="7" s="1"/>
  <c r="L124" i="72"/>
  <c r="L105" i="72"/>
  <c r="L527" i="7" s="1"/>
  <c r="L113" i="72"/>
  <c r="L112" i="72"/>
  <c r="L111" i="72"/>
  <c r="L533" i="7" s="1"/>
  <c r="L91" i="72"/>
  <c r="L513" i="7" s="1"/>
  <c r="L86" i="72"/>
  <c r="L508" i="7" s="1"/>
  <c r="L85" i="72"/>
  <c r="L84" i="72"/>
  <c r="L83" i="72"/>
  <c r="L82" i="72"/>
  <c r="L81" i="72"/>
  <c r="N79" i="72"/>
  <c r="N501" i="7" s="1"/>
  <c r="K79" i="72"/>
  <c r="K501" i="7" s="1"/>
  <c r="N73" i="72"/>
  <c r="N495" i="7" s="1"/>
  <c r="L10" i="72"/>
  <c r="L432" i="7" s="1"/>
  <c r="L11" i="72"/>
  <c r="L433" i="7" s="1"/>
  <c r="L12" i="72"/>
  <c r="L434" i="7" s="1"/>
  <c r="L15" i="72"/>
  <c r="L437" i="7" s="1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450" i="7" s="1"/>
  <c r="L54" i="72"/>
  <c r="L63" i="72"/>
  <c r="L64" i="72"/>
  <c r="N231" i="73"/>
  <c r="N232" i="73" s="1"/>
  <c r="F227" i="73"/>
  <c r="F226" i="73"/>
  <c r="F225" i="73"/>
  <c r="F223" i="73"/>
  <c r="F222" i="73"/>
  <c r="F220" i="73"/>
  <c r="F219" i="73"/>
  <c r="F218" i="73"/>
  <c r="D213" i="73"/>
  <c r="E6" i="36" s="1"/>
  <c r="L211" i="73"/>
  <c r="M211" i="73" s="1"/>
  <c r="L138" i="73"/>
  <c r="L67" i="73"/>
  <c r="L692" i="7" s="1"/>
  <c r="N39" i="73"/>
  <c r="N664" i="7" s="1"/>
  <c r="L38" i="73"/>
  <c r="L37" i="73"/>
  <c r="L6" i="73"/>
  <c r="F217" i="73"/>
  <c r="L631" i="7" l="1"/>
  <c r="L234" i="73"/>
  <c r="L763" i="7"/>
  <c r="M38" i="73"/>
  <c r="L663" i="7"/>
  <c r="M37" i="73"/>
  <c r="M662" i="7" s="1"/>
  <c r="L662" i="7"/>
  <c r="N124" i="72"/>
  <c r="N546" i="7" s="1"/>
  <c r="L546" i="7"/>
  <c r="N113" i="72"/>
  <c r="N535" i="7" s="1"/>
  <c r="L535" i="7"/>
  <c r="M63" i="72"/>
  <c r="M485" i="7" s="1"/>
  <c r="L485" i="7"/>
  <c r="N22" i="72"/>
  <c r="N444" i="7" s="1"/>
  <c r="L444" i="7"/>
  <c r="N18" i="72"/>
  <c r="N440" i="7" s="1"/>
  <c r="L440" i="7"/>
  <c r="N83" i="72"/>
  <c r="N505" i="7" s="1"/>
  <c r="L505" i="7"/>
  <c r="N59" i="72"/>
  <c r="N481" i="7" s="1"/>
  <c r="L481" i="7"/>
  <c r="N115" i="72"/>
  <c r="N537" i="7" s="1"/>
  <c r="M537" i="7"/>
  <c r="M141" i="72"/>
  <c r="L563" i="7"/>
  <c r="M204" i="72"/>
  <c r="L626" i="7"/>
  <c r="M167" i="72"/>
  <c r="L589" i="7"/>
  <c r="M142" i="72"/>
  <c r="L564" i="7"/>
  <c r="M154" i="72"/>
  <c r="L576" i="7"/>
  <c r="M54" i="72"/>
  <c r="L476" i="7"/>
  <c r="N25" i="72"/>
  <c r="N447" i="7" s="1"/>
  <c r="L447" i="7"/>
  <c r="N21" i="72"/>
  <c r="N443" i="7" s="1"/>
  <c r="L443" i="7"/>
  <c r="N17" i="72"/>
  <c r="N439" i="7" s="1"/>
  <c r="L439" i="7"/>
  <c r="N84" i="72"/>
  <c r="N506" i="7" s="1"/>
  <c r="L506" i="7"/>
  <c r="N58" i="72"/>
  <c r="N480" i="7" s="1"/>
  <c r="L480" i="7"/>
  <c r="M103" i="72"/>
  <c r="M525" i="7" s="1"/>
  <c r="L525" i="7"/>
  <c r="M181" i="72"/>
  <c r="L603" i="7"/>
  <c r="M178" i="72"/>
  <c r="L600" i="7"/>
  <c r="M164" i="72"/>
  <c r="L586" i="7"/>
  <c r="M153" i="72"/>
  <c r="L575" i="7"/>
  <c r="M170" i="72"/>
  <c r="L592" i="7"/>
  <c r="M177" i="72"/>
  <c r="L599" i="7"/>
  <c r="M175" i="72"/>
  <c r="L597" i="7"/>
  <c r="M182" i="72"/>
  <c r="L604" i="7"/>
  <c r="M207" i="72"/>
  <c r="L629" i="7"/>
  <c r="M160" i="72"/>
  <c r="L582" i="7"/>
  <c r="M102" i="72"/>
  <c r="L524" i="7"/>
  <c r="M206" i="72"/>
  <c r="L628" i="7"/>
  <c r="M149" i="72"/>
  <c r="L571" i="7"/>
  <c r="M203" i="72"/>
  <c r="L625" i="7"/>
  <c r="M193" i="72"/>
  <c r="L615" i="7"/>
  <c r="M171" i="72"/>
  <c r="L593" i="7"/>
  <c r="M180" i="72"/>
  <c r="M602" i="7" s="1"/>
  <c r="L602" i="7"/>
  <c r="N24" i="72"/>
  <c r="N446" i="7" s="1"/>
  <c r="L446" i="7"/>
  <c r="N20" i="72"/>
  <c r="N442" i="7" s="1"/>
  <c r="L442" i="7"/>
  <c r="N16" i="72"/>
  <c r="N438" i="7" s="1"/>
  <c r="L438" i="7"/>
  <c r="N81" i="72"/>
  <c r="N503" i="7" s="1"/>
  <c r="L503" i="7"/>
  <c r="N85" i="72"/>
  <c r="N507" i="7" s="1"/>
  <c r="L507" i="7"/>
  <c r="N112" i="72"/>
  <c r="N534" i="7" s="1"/>
  <c r="L534" i="7"/>
  <c r="N56" i="72"/>
  <c r="N478" i="7" s="1"/>
  <c r="L478" i="7"/>
  <c r="M88" i="72"/>
  <c r="L510" i="7"/>
  <c r="M99" i="72"/>
  <c r="M521" i="7" s="1"/>
  <c r="L521" i="7"/>
  <c r="M114" i="72"/>
  <c r="M536" i="7" s="1"/>
  <c r="N157" i="72"/>
  <c r="N579" i="7" s="1"/>
  <c r="L579" i="7"/>
  <c r="M147" i="72"/>
  <c r="L569" i="7"/>
  <c r="M158" i="72"/>
  <c r="L580" i="7"/>
  <c r="M166" i="72"/>
  <c r="L588" i="7"/>
  <c r="M185" i="72"/>
  <c r="L607" i="7"/>
  <c r="M205" i="72"/>
  <c r="L627" i="7"/>
  <c r="M201" i="72"/>
  <c r="L623" i="7"/>
  <c r="M176" i="72"/>
  <c r="L598" i="7"/>
  <c r="M172" i="72"/>
  <c r="L594" i="7"/>
  <c r="M174" i="72"/>
  <c r="L596" i="7"/>
  <c r="N163" i="72"/>
  <c r="N585" i="7" s="1"/>
  <c r="L585" i="7"/>
  <c r="N155" i="72"/>
  <c r="N577" i="7" s="1"/>
  <c r="L577" i="7"/>
  <c r="N26" i="72"/>
  <c r="N448" i="7" s="1"/>
  <c r="L448" i="7"/>
  <c r="N126" i="72"/>
  <c r="N548" i="7" s="1"/>
  <c r="L548" i="7"/>
  <c r="M101" i="72"/>
  <c r="M523" i="7" s="1"/>
  <c r="L523" i="7"/>
  <c r="M64" i="72"/>
  <c r="M486" i="7" s="1"/>
  <c r="L486" i="7"/>
  <c r="N27" i="72"/>
  <c r="N449" i="7" s="1"/>
  <c r="L449" i="7"/>
  <c r="N23" i="72"/>
  <c r="N445" i="7" s="1"/>
  <c r="L445" i="7"/>
  <c r="N19" i="72"/>
  <c r="N441" i="7" s="1"/>
  <c r="L441" i="7"/>
  <c r="N82" i="72"/>
  <c r="N504" i="7" s="1"/>
  <c r="L504" i="7"/>
  <c r="N57" i="72"/>
  <c r="N479" i="7" s="1"/>
  <c r="L479" i="7"/>
  <c r="M100" i="72"/>
  <c r="M522" i="7" s="1"/>
  <c r="L522" i="7"/>
  <c r="M156" i="72"/>
  <c r="L578" i="7"/>
  <c r="M148" i="72"/>
  <c r="L570" i="7"/>
  <c r="M189" i="72"/>
  <c r="L611" i="7"/>
  <c r="M143" i="72"/>
  <c r="L565" i="7"/>
  <c r="M165" i="72"/>
  <c r="L587" i="7"/>
  <c r="M173" i="72"/>
  <c r="L595" i="7"/>
  <c r="N144" i="72"/>
  <c r="N566" i="7" s="1"/>
  <c r="L566" i="7"/>
  <c r="M186" i="72"/>
  <c r="L608" i="7"/>
  <c r="M146" i="72"/>
  <c r="L568" i="7"/>
  <c r="M199" i="72"/>
  <c r="L621" i="7"/>
  <c r="L214" i="73"/>
  <c r="M152" i="72"/>
  <c r="M198" i="72"/>
  <c r="M179" i="72"/>
  <c r="M192" i="72"/>
  <c r="M145" i="72"/>
  <c r="M183" i="72"/>
  <c r="M187" i="72"/>
  <c r="M194" i="72"/>
  <c r="M159" i="72"/>
  <c r="M168" i="72"/>
  <c r="M191" i="72"/>
  <c r="M200" i="72"/>
  <c r="M195" i="72"/>
  <c r="M169" i="72"/>
  <c r="M202" i="72"/>
  <c r="M184" i="72"/>
  <c r="M125" i="72"/>
  <c r="M106" i="72"/>
  <c r="M98" i="72"/>
  <c r="M107" i="72"/>
  <c r="M90" i="72"/>
  <c r="M92" i="72"/>
  <c r="M72" i="72"/>
  <c r="M60" i="72"/>
  <c r="M66" i="72"/>
  <c r="M96" i="72"/>
  <c r="M128" i="72"/>
  <c r="M127" i="72"/>
  <c r="M105" i="72"/>
  <c r="M111" i="72"/>
  <c r="M91" i="72"/>
  <c r="M86" i="72"/>
  <c r="N65" i="72"/>
  <c r="N487" i="7" s="1"/>
  <c r="M6" i="73"/>
  <c r="M67" i="73"/>
  <c r="M138" i="73"/>
  <c r="N211" i="73"/>
  <c r="F216" i="73"/>
  <c r="F224" i="73"/>
  <c r="L212" i="73"/>
  <c r="B6" i="36" s="1"/>
  <c r="F221" i="73"/>
  <c r="O255" i="7"/>
  <c r="N99" i="72" l="1"/>
  <c r="N521" i="7" s="1"/>
  <c r="N180" i="72"/>
  <c r="N602" i="7" s="1"/>
  <c r="N63" i="72"/>
  <c r="N485" i="7" s="1"/>
  <c r="N114" i="72"/>
  <c r="N536" i="7" s="1"/>
  <c r="N37" i="73"/>
  <c r="N662" i="7" s="1"/>
  <c r="N6" i="73"/>
  <c r="N631" i="7" s="1"/>
  <c r="M631" i="7"/>
  <c r="N67" i="73"/>
  <c r="N692" i="7" s="1"/>
  <c r="M692" i="7"/>
  <c r="N138" i="73"/>
  <c r="N763" i="7" s="1"/>
  <c r="M763" i="7"/>
  <c r="N38" i="73"/>
  <c r="N663" i="7" s="1"/>
  <c r="M663" i="7"/>
  <c r="N101" i="72"/>
  <c r="N523" i="7" s="1"/>
  <c r="N103" i="72"/>
  <c r="N525" i="7" s="1"/>
  <c r="N64" i="72"/>
  <c r="N486" i="7" s="1"/>
  <c r="N100" i="72"/>
  <c r="N522" i="7" s="1"/>
  <c r="N91" i="72"/>
  <c r="N513" i="7" s="1"/>
  <c r="M513" i="7"/>
  <c r="N195" i="72"/>
  <c r="N617" i="7" s="1"/>
  <c r="M617" i="7"/>
  <c r="N145" i="72"/>
  <c r="N567" i="7" s="1"/>
  <c r="M567" i="7"/>
  <c r="N111" i="72"/>
  <c r="N533" i="7" s="1"/>
  <c r="M533" i="7"/>
  <c r="N96" i="72"/>
  <c r="N518" i="7" s="1"/>
  <c r="M518" i="7"/>
  <c r="N92" i="72"/>
  <c r="N514" i="7" s="1"/>
  <c r="M514" i="7"/>
  <c r="N98" i="72"/>
  <c r="N520" i="7" s="1"/>
  <c r="M520" i="7"/>
  <c r="N184" i="72"/>
  <c r="N606" i="7" s="1"/>
  <c r="M606" i="7"/>
  <c r="N200" i="72"/>
  <c r="N622" i="7" s="1"/>
  <c r="M622" i="7"/>
  <c r="N194" i="72"/>
  <c r="N616" i="7" s="1"/>
  <c r="M616" i="7"/>
  <c r="N192" i="72"/>
  <c r="N614" i="7" s="1"/>
  <c r="M614" i="7"/>
  <c r="N146" i="72"/>
  <c r="N568" i="7" s="1"/>
  <c r="M568" i="7"/>
  <c r="N165" i="72"/>
  <c r="N587" i="7" s="1"/>
  <c r="M587" i="7"/>
  <c r="N189" i="72"/>
  <c r="N611" i="7" s="1"/>
  <c r="M611" i="7"/>
  <c r="N156" i="72"/>
  <c r="N578" i="7" s="1"/>
  <c r="M578" i="7"/>
  <c r="N172" i="72"/>
  <c r="N594" i="7" s="1"/>
  <c r="M594" i="7"/>
  <c r="N201" i="72"/>
  <c r="N623" i="7" s="1"/>
  <c r="M623" i="7"/>
  <c r="N185" i="72"/>
  <c r="N607" i="7" s="1"/>
  <c r="M607" i="7"/>
  <c r="N158" i="72"/>
  <c r="N580" i="7" s="1"/>
  <c r="M580" i="7"/>
  <c r="N171" i="72"/>
  <c r="N593" i="7" s="1"/>
  <c r="M593" i="7"/>
  <c r="N203" i="72"/>
  <c r="N625" i="7" s="1"/>
  <c r="M625" i="7"/>
  <c r="N206" i="72"/>
  <c r="N628" i="7" s="1"/>
  <c r="M628" i="7"/>
  <c r="N160" i="72"/>
  <c r="N582" i="7" s="1"/>
  <c r="M582" i="7"/>
  <c r="N182" i="72"/>
  <c r="N604" i="7" s="1"/>
  <c r="M604" i="7"/>
  <c r="N177" i="72"/>
  <c r="N599" i="7" s="1"/>
  <c r="M599" i="7"/>
  <c r="N153" i="72"/>
  <c r="N575" i="7" s="1"/>
  <c r="M575" i="7"/>
  <c r="N178" i="72"/>
  <c r="N600" i="7" s="1"/>
  <c r="M600" i="7"/>
  <c r="N54" i="72"/>
  <c r="N476" i="7" s="1"/>
  <c r="M476" i="7"/>
  <c r="N142" i="72"/>
  <c r="N564" i="7" s="1"/>
  <c r="M564" i="7"/>
  <c r="N204" i="72"/>
  <c r="N626" i="7" s="1"/>
  <c r="M626" i="7"/>
  <c r="N128" i="72"/>
  <c r="N550" i="7" s="1"/>
  <c r="M550" i="7"/>
  <c r="N72" i="72"/>
  <c r="N494" i="7" s="1"/>
  <c r="M494" i="7"/>
  <c r="N159" i="72"/>
  <c r="N581" i="7" s="1"/>
  <c r="M581" i="7"/>
  <c r="N152" i="72"/>
  <c r="N574" i="7" s="1"/>
  <c r="M574" i="7"/>
  <c r="N105" i="72"/>
  <c r="N527" i="7" s="1"/>
  <c r="M527" i="7"/>
  <c r="N66" i="72"/>
  <c r="N488" i="7" s="1"/>
  <c r="M488" i="7"/>
  <c r="N90" i="72"/>
  <c r="N512" i="7" s="1"/>
  <c r="M512" i="7"/>
  <c r="N106" i="72"/>
  <c r="N528" i="7" s="1"/>
  <c r="M528" i="7"/>
  <c r="N202" i="72"/>
  <c r="N624" i="7" s="1"/>
  <c r="M624" i="7"/>
  <c r="N191" i="72"/>
  <c r="N613" i="7" s="1"/>
  <c r="M613" i="7"/>
  <c r="N187" i="72"/>
  <c r="N609" i="7" s="1"/>
  <c r="M609" i="7"/>
  <c r="N179" i="72"/>
  <c r="N601" i="7" s="1"/>
  <c r="M601" i="7"/>
  <c r="N86" i="72"/>
  <c r="N508" i="7" s="1"/>
  <c r="M508" i="7"/>
  <c r="N127" i="72"/>
  <c r="N549" i="7" s="1"/>
  <c r="M549" i="7"/>
  <c r="N60" i="72"/>
  <c r="N482" i="7" s="1"/>
  <c r="M482" i="7"/>
  <c r="N107" i="72"/>
  <c r="N529" i="7" s="1"/>
  <c r="M529" i="7"/>
  <c r="N125" i="72"/>
  <c r="N547" i="7" s="1"/>
  <c r="M547" i="7"/>
  <c r="N169" i="72"/>
  <c r="N591" i="7" s="1"/>
  <c r="M591" i="7"/>
  <c r="N168" i="72"/>
  <c r="N590" i="7" s="1"/>
  <c r="M590" i="7"/>
  <c r="N183" i="72"/>
  <c r="N605" i="7" s="1"/>
  <c r="M605" i="7"/>
  <c r="N198" i="72"/>
  <c r="N620" i="7" s="1"/>
  <c r="M620" i="7"/>
  <c r="N199" i="72"/>
  <c r="N621" i="7" s="1"/>
  <c r="M621" i="7"/>
  <c r="N186" i="72"/>
  <c r="N608" i="7" s="1"/>
  <c r="M608" i="7"/>
  <c r="N173" i="72"/>
  <c r="N595" i="7" s="1"/>
  <c r="M595" i="7"/>
  <c r="N143" i="72"/>
  <c r="N565" i="7" s="1"/>
  <c r="M565" i="7"/>
  <c r="N148" i="72"/>
  <c r="N570" i="7" s="1"/>
  <c r="M570" i="7"/>
  <c r="N174" i="72"/>
  <c r="N596" i="7" s="1"/>
  <c r="M596" i="7"/>
  <c r="N176" i="72"/>
  <c r="N598" i="7" s="1"/>
  <c r="M598" i="7"/>
  <c r="N205" i="72"/>
  <c r="N627" i="7" s="1"/>
  <c r="M627" i="7"/>
  <c r="N166" i="72"/>
  <c r="N588" i="7" s="1"/>
  <c r="M588" i="7"/>
  <c r="N147" i="72"/>
  <c r="N569" i="7" s="1"/>
  <c r="M569" i="7"/>
  <c r="N88" i="72"/>
  <c r="N510" i="7" s="1"/>
  <c r="M510" i="7"/>
  <c r="N193" i="72"/>
  <c r="N615" i="7" s="1"/>
  <c r="M615" i="7"/>
  <c r="N149" i="72"/>
  <c r="N571" i="7" s="1"/>
  <c r="M571" i="7"/>
  <c r="N102" i="72"/>
  <c r="N524" i="7" s="1"/>
  <c r="M524" i="7"/>
  <c r="N207" i="72"/>
  <c r="N629" i="7" s="1"/>
  <c r="M629" i="7"/>
  <c r="N175" i="72"/>
  <c r="N597" i="7" s="1"/>
  <c r="M597" i="7"/>
  <c r="N170" i="72"/>
  <c r="N592" i="7" s="1"/>
  <c r="M592" i="7"/>
  <c r="N164" i="72"/>
  <c r="N586" i="7" s="1"/>
  <c r="M586" i="7"/>
  <c r="N181" i="72"/>
  <c r="N603" i="7" s="1"/>
  <c r="M603" i="7"/>
  <c r="N154" i="72"/>
  <c r="N576" i="7" s="1"/>
  <c r="M576" i="7"/>
  <c r="N167" i="72"/>
  <c r="N589" i="7" s="1"/>
  <c r="M589" i="7"/>
  <c r="N141" i="72"/>
  <c r="N563" i="7" s="1"/>
  <c r="M563" i="7"/>
  <c r="M214" i="73"/>
  <c r="M212" i="73"/>
  <c r="C6" i="36" s="1"/>
  <c r="F228" i="73"/>
  <c r="F229" i="73" s="1"/>
  <c r="N230" i="73" l="1"/>
  <c r="N214" i="73"/>
  <c r="N212" i="73"/>
  <c r="D6" i="36" s="1"/>
  <c r="L74" i="72" l="1"/>
  <c r="L496" i="7" s="1"/>
  <c r="L69" i="72"/>
  <c r="L75" i="72"/>
  <c r="L131" i="72"/>
  <c r="L132" i="72"/>
  <c r="L133" i="72"/>
  <c r="L95" i="72"/>
  <c r="L70" i="72"/>
  <c r="L162" i="72"/>
  <c r="N70" i="72" l="1"/>
  <c r="N492" i="7" s="1"/>
  <c r="L492" i="7"/>
  <c r="M131" i="72"/>
  <c r="M553" i="7" s="1"/>
  <c r="L553" i="7"/>
  <c r="M75" i="72"/>
  <c r="M497" i="7" s="1"/>
  <c r="L497" i="7"/>
  <c r="N69" i="72"/>
  <c r="N491" i="7" s="1"/>
  <c r="L491" i="7"/>
  <c r="M95" i="72"/>
  <c r="M517" i="7" s="1"/>
  <c r="L517" i="7"/>
  <c r="M133" i="72"/>
  <c r="L555" i="7"/>
  <c r="M162" i="72"/>
  <c r="M584" i="7" s="1"/>
  <c r="L584" i="7"/>
  <c r="M132" i="72"/>
  <c r="M554" i="7" s="1"/>
  <c r="L554" i="7"/>
  <c r="N74" i="72"/>
  <c r="N496" i="7" s="1"/>
  <c r="N131" i="72" l="1"/>
  <c r="N553" i="7" s="1"/>
  <c r="N95" i="72"/>
  <c r="N517" i="7" s="1"/>
  <c r="N162" i="72"/>
  <c r="N584" i="7" s="1"/>
  <c r="N75" i="72"/>
  <c r="N497" i="7" s="1"/>
  <c r="N132" i="72"/>
  <c r="N554" i="7" s="1"/>
  <c r="N133" i="72"/>
  <c r="N555" i="7" s="1"/>
  <c r="M555" i="7"/>
  <c r="L57" i="70"/>
  <c r="O439" i="7"/>
  <c r="N57" i="70" l="1"/>
  <c r="N255" i="7" s="1"/>
  <c r="L255" i="7"/>
  <c r="L51" i="72"/>
  <c r="L473" i="7" s="1"/>
  <c r="M51" i="72" l="1"/>
  <c r="N51" i="72" l="1"/>
  <c r="N473" i="7" s="1"/>
  <c r="M473" i="7"/>
  <c r="L119" i="70"/>
  <c r="M119" i="70" l="1"/>
  <c r="L317" i="7"/>
  <c r="M84" i="70"/>
  <c r="L82" i="70"/>
  <c r="O419" i="7"/>
  <c r="L221" i="70"/>
  <c r="M221" i="70" l="1"/>
  <c r="M419" i="7" s="1"/>
  <c r="L419" i="7"/>
  <c r="M82" i="70"/>
  <c r="L280" i="7"/>
  <c r="N84" i="70"/>
  <c r="N282" i="7" s="1"/>
  <c r="M282" i="7"/>
  <c r="N119" i="70"/>
  <c r="N317" i="7" s="1"/>
  <c r="M317" i="7"/>
  <c r="N221" i="70" l="1"/>
  <c r="N419" i="7" s="1"/>
  <c r="N82" i="70"/>
  <c r="N280" i="7" s="1"/>
  <c r="M280" i="7"/>
  <c r="O417" i="7"/>
  <c r="L219" i="70"/>
  <c r="L417" i="7" s="1"/>
  <c r="O418" i="7"/>
  <c r="L220" i="70"/>
  <c r="L5" i="72"/>
  <c r="L427" i="7" s="1"/>
  <c r="O432" i="7"/>
  <c r="N10" i="72"/>
  <c r="N432" i="7" s="1"/>
  <c r="O431" i="7"/>
  <c r="L9" i="72"/>
  <c r="O453" i="7"/>
  <c r="L31" i="72"/>
  <c r="O452" i="7"/>
  <c r="L30" i="72"/>
  <c r="O454" i="7"/>
  <c r="L32" i="72"/>
  <c r="O451" i="7"/>
  <c r="L29" i="72"/>
  <c r="O455" i="7"/>
  <c r="L33" i="72"/>
  <c r="O459" i="7"/>
  <c r="L37" i="72"/>
  <c r="O456" i="7"/>
  <c r="L34" i="72"/>
  <c r="O457" i="7"/>
  <c r="L35" i="72"/>
  <c r="O458" i="7"/>
  <c r="L36" i="72"/>
  <c r="O435" i="7"/>
  <c r="L13" i="72"/>
  <c r="O441" i="7"/>
  <c r="O440" i="7"/>
  <c r="O433" i="7"/>
  <c r="N11" i="72"/>
  <c r="N433" i="7" s="1"/>
  <c r="O449" i="7"/>
  <c r="O448" i="7"/>
  <c r="O447" i="7"/>
  <c r="O446" i="7"/>
  <c r="O445" i="7"/>
  <c r="O444" i="7"/>
  <c r="O443" i="7"/>
  <c r="O442" i="7"/>
  <c r="O450" i="7"/>
  <c r="M28" i="72"/>
  <c r="O438" i="7"/>
  <c r="O437" i="7"/>
  <c r="N15" i="72"/>
  <c r="N437" i="7" s="1"/>
  <c r="O434" i="7"/>
  <c r="N12" i="72"/>
  <c r="N434" i="7" s="1"/>
  <c r="L7" i="72"/>
  <c r="L429" i="7" s="1"/>
  <c r="L6" i="72"/>
  <c r="L428" i="7" s="1"/>
  <c r="N13" i="72" l="1"/>
  <c r="N435" i="7" s="1"/>
  <c r="L435" i="7"/>
  <c r="N35" i="72"/>
  <c r="N457" i="7" s="1"/>
  <c r="L457" i="7"/>
  <c r="M37" i="72"/>
  <c r="L459" i="7"/>
  <c r="N29" i="72"/>
  <c r="N451" i="7" s="1"/>
  <c r="L451" i="7"/>
  <c r="N30" i="72"/>
  <c r="N452" i="7" s="1"/>
  <c r="L452" i="7"/>
  <c r="N9" i="72"/>
  <c r="N431" i="7" s="1"/>
  <c r="L431" i="7"/>
  <c r="N28" i="72"/>
  <c r="N450" i="7" s="1"/>
  <c r="M450" i="7"/>
  <c r="N36" i="72"/>
  <c r="N458" i="7" s="1"/>
  <c r="L458" i="7"/>
  <c r="N34" i="72"/>
  <c r="N456" i="7" s="1"/>
  <c r="L456" i="7"/>
  <c r="M33" i="72"/>
  <c r="L455" i="7"/>
  <c r="N32" i="72"/>
  <c r="N454" i="7" s="1"/>
  <c r="L454" i="7"/>
  <c r="N31" i="72"/>
  <c r="N453" i="7" s="1"/>
  <c r="L453" i="7"/>
  <c r="M220" i="70"/>
  <c r="M418" i="7" s="1"/>
  <c r="L418" i="7"/>
  <c r="M219" i="70"/>
  <c r="M5" i="72"/>
  <c r="M427" i="7" s="1"/>
  <c r="M6" i="72"/>
  <c r="M7" i="72"/>
  <c r="L48" i="72"/>
  <c r="L46" i="72"/>
  <c r="L468" i="7" s="1"/>
  <c r="L45" i="72"/>
  <c r="L44" i="72"/>
  <c r="L466" i="7" s="1"/>
  <c r="L43" i="72"/>
  <c r="L42" i="72"/>
  <c r="L464" i="7" s="1"/>
  <c r="L41" i="72"/>
  <c r="L463" i="7" s="1"/>
  <c r="L39" i="72"/>
  <c r="M48" i="72" l="1"/>
  <c r="L470" i="7"/>
  <c r="N33" i="72"/>
  <c r="N455" i="7" s="1"/>
  <c r="M455" i="7"/>
  <c r="M43" i="72"/>
  <c r="L465" i="7"/>
  <c r="M39" i="72"/>
  <c r="L461" i="7"/>
  <c r="N7" i="72"/>
  <c r="N429" i="7" s="1"/>
  <c r="M429" i="7"/>
  <c r="M45" i="72"/>
  <c r="L467" i="7"/>
  <c r="N6" i="72"/>
  <c r="N428" i="7" s="1"/>
  <c r="M428" i="7"/>
  <c r="N37" i="72"/>
  <c r="N459" i="7" s="1"/>
  <c r="M459" i="7"/>
  <c r="N5" i="72"/>
  <c r="N220" i="70"/>
  <c r="N418" i="7" s="1"/>
  <c r="N219" i="70"/>
  <c r="N417" i="7" s="1"/>
  <c r="M417" i="7"/>
  <c r="M42" i="72"/>
  <c r="M41" i="72"/>
  <c r="M44" i="72"/>
  <c r="M46" i="72"/>
  <c r="N427" i="7" l="1"/>
  <c r="N44" i="72"/>
  <c r="N466" i="7" s="1"/>
  <c r="M466" i="7"/>
  <c r="N46" i="72"/>
  <c r="N468" i="7" s="1"/>
  <c r="M468" i="7"/>
  <c r="N45" i="72"/>
  <c r="N467" i="7" s="1"/>
  <c r="M467" i="7"/>
  <c r="N39" i="72"/>
  <c r="N461" i="7" s="1"/>
  <c r="M461" i="7"/>
  <c r="N41" i="72"/>
  <c r="N463" i="7" s="1"/>
  <c r="M463" i="7"/>
  <c r="N42" i="72"/>
  <c r="N464" i="7" s="1"/>
  <c r="M464" i="7"/>
  <c r="N43" i="72"/>
  <c r="N465" i="7" s="1"/>
  <c r="M465" i="7"/>
  <c r="N48" i="72"/>
  <c r="N470" i="7" s="1"/>
  <c r="M470" i="7"/>
  <c r="L112" i="70"/>
  <c r="L113" i="70"/>
  <c r="L114" i="70"/>
  <c r="L115" i="70"/>
  <c r="L116" i="70"/>
  <c r="L314" i="7" s="1"/>
  <c r="M114" i="70" l="1"/>
  <c r="L312" i="7"/>
  <c r="M113" i="70"/>
  <c r="M311" i="7" s="1"/>
  <c r="L311" i="7"/>
  <c r="M115" i="70"/>
  <c r="L313" i="7"/>
  <c r="M112" i="70"/>
  <c r="M310" i="7" s="1"/>
  <c r="L310" i="7"/>
  <c r="M116" i="70"/>
  <c r="N113" i="70" l="1"/>
  <c r="N311" i="7" s="1"/>
  <c r="N112" i="70"/>
  <c r="N310" i="7" s="1"/>
  <c r="N116" i="70"/>
  <c r="N314" i="7" s="1"/>
  <c r="M314" i="7"/>
  <c r="N115" i="70"/>
  <c r="N313" i="7" s="1"/>
  <c r="M313" i="7"/>
  <c r="N114" i="70"/>
  <c r="N312" i="7" s="1"/>
  <c r="M312" i="7"/>
  <c r="O355" i="7"/>
  <c r="L110" i="70" l="1"/>
  <c r="L37" i="70"/>
  <c r="L36" i="70"/>
  <c r="L109" i="70"/>
  <c r="L111" i="70"/>
  <c r="M37" i="70" l="1"/>
  <c r="M235" i="7" s="1"/>
  <c r="L235" i="7"/>
  <c r="M36" i="70"/>
  <c r="M234" i="7" s="1"/>
  <c r="L234" i="7"/>
  <c r="M111" i="70"/>
  <c r="L309" i="7"/>
  <c r="M110" i="70"/>
  <c r="M308" i="7" s="1"/>
  <c r="L308" i="7"/>
  <c r="M109" i="70"/>
  <c r="L307" i="7"/>
  <c r="N36" i="70" l="1"/>
  <c r="N234" i="7" s="1"/>
  <c r="N37" i="70"/>
  <c r="N235" i="7" s="1"/>
  <c r="N110" i="70"/>
  <c r="N308" i="7" s="1"/>
  <c r="N109" i="70"/>
  <c r="N307" i="7" s="1"/>
  <c r="M307" i="7"/>
  <c r="N111" i="70"/>
  <c r="N309" i="7" s="1"/>
  <c r="M309" i="7"/>
  <c r="L76" i="70"/>
  <c r="O354" i="7"/>
  <c r="O353" i="7"/>
  <c r="L155" i="70"/>
  <c r="N155" i="70" l="1"/>
  <c r="N353" i="7" s="1"/>
  <c r="L353" i="7"/>
  <c r="M76" i="70"/>
  <c r="M275" i="7" s="1"/>
  <c r="L275" i="7"/>
  <c r="N76" i="70" l="1"/>
  <c r="N275" i="7" s="1"/>
  <c r="O352" i="7"/>
  <c r="L92" i="70" l="1"/>
  <c r="M92" i="70" l="1"/>
  <c r="M290" i="7" s="1"/>
  <c r="L290" i="7"/>
  <c r="N92" i="70" l="1"/>
  <c r="N290" i="7" s="1"/>
  <c r="K64" i="70"/>
  <c r="K262" i="7" s="1"/>
  <c r="O351" i="7" l="1"/>
  <c r="O350" i="7"/>
  <c r="L152" i="70"/>
  <c r="M152" i="70" l="1"/>
  <c r="L350" i="7"/>
  <c r="L118" i="70"/>
  <c r="O349" i="7"/>
  <c r="M118" i="70" l="1"/>
  <c r="M316" i="7" s="1"/>
  <c r="L316" i="7"/>
  <c r="N152" i="70"/>
  <c r="N350" i="7" s="1"/>
  <c r="M350" i="7"/>
  <c r="N118" i="70" l="1"/>
  <c r="N316" i="7" s="1"/>
  <c r="O416" i="7"/>
  <c r="L218" i="70"/>
  <c r="M218" i="70" l="1"/>
  <c r="M416" i="7" s="1"/>
  <c r="L416" i="7"/>
  <c r="N218" i="70" l="1"/>
  <c r="N416" i="7" s="1"/>
  <c r="L108" i="70"/>
  <c r="L83" i="70"/>
  <c r="L63" i="70"/>
  <c r="M94" i="70"/>
  <c r="L38" i="70"/>
  <c r="M42" i="70"/>
  <c r="M240" i="7" s="1"/>
  <c r="L45" i="70"/>
  <c r="L46" i="70"/>
  <c r="L54" i="70"/>
  <c r="L56" i="70"/>
  <c r="L254" i="7" s="1"/>
  <c r="M63" i="70" l="1"/>
  <c r="L261" i="7"/>
  <c r="M45" i="70"/>
  <c r="M243" i="7" s="1"/>
  <c r="L243" i="7"/>
  <c r="M46" i="70"/>
  <c r="L244" i="7"/>
  <c r="N94" i="70"/>
  <c r="N292" i="7" s="1"/>
  <c r="M292" i="7"/>
  <c r="M83" i="70"/>
  <c r="M281" i="7" s="1"/>
  <c r="L281" i="7"/>
  <c r="M54" i="70"/>
  <c r="M252" i="7" s="1"/>
  <c r="L252" i="7"/>
  <c r="M38" i="70"/>
  <c r="L236" i="7"/>
  <c r="M108" i="70"/>
  <c r="L306" i="7"/>
  <c r="N42" i="70"/>
  <c r="N240" i="7" s="1"/>
  <c r="M56" i="70"/>
  <c r="N58" i="70"/>
  <c r="N256" i="7" s="1"/>
  <c r="N83" i="70" l="1"/>
  <c r="N281" i="7" s="1"/>
  <c r="N45" i="70"/>
  <c r="N243" i="7" s="1"/>
  <c r="N56" i="70"/>
  <c r="N254" i="7" s="1"/>
  <c r="M254" i="7"/>
  <c r="N108" i="70"/>
  <c r="N306" i="7" s="1"/>
  <c r="M306" i="7"/>
  <c r="N54" i="70"/>
  <c r="N252" i="7" s="1"/>
  <c r="N38" i="70"/>
  <c r="M236" i="7"/>
  <c r="N46" i="70"/>
  <c r="N244" i="7" s="1"/>
  <c r="M244" i="7"/>
  <c r="N63" i="70"/>
  <c r="N261" i="7" s="1"/>
  <c r="M261" i="7"/>
  <c r="L67" i="72"/>
  <c r="L489" i="7" s="1"/>
  <c r="O425" i="7"/>
  <c r="L227" i="70"/>
  <c r="L425" i="7" s="1"/>
  <c r="O426" i="7"/>
  <c r="L228" i="70"/>
  <c r="L426" i="7" s="1"/>
  <c r="O424" i="7"/>
  <c r="L226" i="70"/>
  <c r="L424" i="7" s="1"/>
  <c r="O423" i="7"/>
  <c r="L225" i="70"/>
  <c r="L423" i="7" s="1"/>
  <c r="O422" i="7"/>
  <c r="L224" i="70"/>
  <c r="L422" i="7" s="1"/>
  <c r="O421" i="7"/>
  <c r="L223" i="70"/>
  <c r="L421" i="7" s="1"/>
  <c r="O420" i="7"/>
  <c r="L222" i="70"/>
  <c r="L420" i="7" s="1"/>
  <c r="O406" i="7"/>
  <c r="L208" i="70"/>
  <c r="L406" i="7" s="1"/>
  <c r="O404" i="7"/>
  <c r="L206" i="70"/>
  <c r="L404" i="7" s="1"/>
  <c r="O403" i="7"/>
  <c r="L205" i="70"/>
  <c r="L403" i="7" s="1"/>
  <c r="O402" i="7"/>
  <c r="L204" i="70"/>
  <c r="L402" i="7" s="1"/>
  <c r="O401" i="7"/>
  <c r="L203" i="70"/>
  <c r="L401" i="7" s="1"/>
  <c r="O400" i="7"/>
  <c r="L202" i="70"/>
  <c r="L400" i="7" s="1"/>
  <c r="O399" i="7"/>
  <c r="L201" i="70"/>
  <c r="L399" i="7" s="1"/>
  <c r="O398" i="7"/>
  <c r="L200" i="70"/>
  <c r="L398" i="7" s="1"/>
  <c r="O397" i="7"/>
  <c r="L199" i="70"/>
  <c r="L397" i="7" s="1"/>
  <c r="O396" i="7"/>
  <c r="L198" i="70"/>
  <c r="L396" i="7" s="1"/>
  <c r="O395" i="7"/>
  <c r="L197" i="70"/>
  <c r="L395" i="7" s="1"/>
  <c r="O394" i="7"/>
  <c r="L196" i="70"/>
  <c r="L394" i="7" s="1"/>
  <c r="O393" i="7"/>
  <c r="L195" i="70"/>
  <c r="L393" i="7" s="1"/>
  <c r="O392" i="7"/>
  <c r="L194" i="70"/>
  <c r="L392" i="7" s="1"/>
  <c r="O391" i="7"/>
  <c r="L193" i="70"/>
  <c r="L391" i="7" s="1"/>
  <c r="O390" i="7"/>
  <c r="L192" i="70"/>
  <c r="L390" i="7" s="1"/>
  <c r="O389" i="7"/>
  <c r="L191" i="70"/>
  <c r="L389" i="7" s="1"/>
  <c r="O388" i="7"/>
  <c r="L190" i="70"/>
  <c r="L388" i="7" s="1"/>
  <c r="O387" i="7"/>
  <c r="L189" i="70"/>
  <c r="L387" i="7" s="1"/>
  <c r="O386" i="7"/>
  <c r="L188" i="70"/>
  <c r="L386" i="7" s="1"/>
  <c r="O385" i="7"/>
  <c r="L187" i="70"/>
  <c r="L385" i="7" s="1"/>
  <c r="O384" i="7"/>
  <c r="L186" i="70"/>
  <c r="L384" i="7" s="1"/>
  <c r="O383" i="7"/>
  <c r="L185" i="70"/>
  <c r="L383" i="7" s="1"/>
  <c r="O382" i="7"/>
  <c r="L184" i="70"/>
  <c r="L382" i="7" s="1"/>
  <c r="O381" i="7"/>
  <c r="L183" i="70"/>
  <c r="L381" i="7" s="1"/>
  <c r="O414" i="7"/>
  <c r="L216" i="70"/>
  <c r="L414" i="7" s="1"/>
  <c r="O413" i="7"/>
  <c r="L215" i="70"/>
  <c r="L413" i="7" s="1"/>
  <c r="O412" i="7"/>
  <c r="L214" i="70"/>
  <c r="L412" i="7" s="1"/>
  <c r="O411" i="7"/>
  <c r="L213" i="70"/>
  <c r="L411" i="7" s="1"/>
  <c r="O410" i="7"/>
  <c r="L212" i="70"/>
  <c r="L410" i="7" s="1"/>
  <c r="O409" i="7"/>
  <c r="L211" i="70"/>
  <c r="L409" i="7" s="1"/>
  <c r="O408" i="7"/>
  <c r="L210" i="70"/>
  <c r="L408" i="7" s="1"/>
  <c r="O407" i="7"/>
  <c r="L209" i="70"/>
  <c r="L407" i="7" s="1"/>
  <c r="O380" i="7"/>
  <c r="L182" i="70"/>
  <c r="L380" i="7" s="1"/>
  <c r="O379" i="7"/>
  <c r="L181" i="70"/>
  <c r="L379" i="7" s="1"/>
  <c r="O378" i="7"/>
  <c r="L180" i="70"/>
  <c r="L378" i="7" s="1"/>
  <c r="O377" i="7"/>
  <c r="L179" i="70"/>
  <c r="O376" i="7"/>
  <c r="L178" i="70"/>
  <c r="L376" i="7" s="1"/>
  <c r="O375" i="7"/>
  <c r="L177" i="70"/>
  <c r="L375" i="7" s="1"/>
  <c r="O374" i="7"/>
  <c r="L176" i="70"/>
  <c r="O373" i="7"/>
  <c r="L175" i="70"/>
  <c r="O372" i="7"/>
  <c r="L174" i="70"/>
  <c r="O371" i="7"/>
  <c r="L173" i="70"/>
  <c r="O370" i="7"/>
  <c r="L172" i="70"/>
  <c r="O369" i="7"/>
  <c r="L171" i="70"/>
  <c r="O368" i="7"/>
  <c r="L170" i="70"/>
  <c r="O415" i="7"/>
  <c r="L217" i="70"/>
  <c r="O367" i="7"/>
  <c r="L169" i="70"/>
  <c r="O366" i="7"/>
  <c r="L168" i="70"/>
  <c r="O365" i="7"/>
  <c r="L167" i="70"/>
  <c r="O405" i="7"/>
  <c r="L207" i="70"/>
  <c r="O364" i="7"/>
  <c r="L166" i="70"/>
  <c r="O363" i="7"/>
  <c r="L165" i="70"/>
  <c r="O362" i="7"/>
  <c r="L164" i="70"/>
  <c r="L362" i="7" s="1"/>
  <c r="O361" i="7"/>
  <c r="L163" i="70"/>
  <c r="O360" i="7"/>
  <c r="L162" i="70"/>
  <c r="L360" i="7" s="1"/>
  <c r="O359" i="7"/>
  <c r="L161" i="70"/>
  <c r="L359" i="7" s="1"/>
  <c r="O358" i="7"/>
  <c r="L160" i="70"/>
  <c r="O357" i="7"/>
  <c r="L159" i="70"/>
  <c r="L357" i="7" s="1"/>
  <c r="O356" i="7"/>
  <c r="L158" i="70"/>
  <c r="L102" i="70"/>
  <c r="L104" i="70"/>
  <c r="L302" i="7" s="1"/>
  <c r="L101" i="70"/>
  <c r="L299" i="7" s="1"/>
  <c r="M99" i="70"/>
  <c r="L98" i="70"/>
  <c r="L296" i="7" s="1"/>
  <c r="L97" i="70"/>
  <c r="L295" i="7" s="1"/>
  <c r="L96" i="70"/>
  <c r="L77" i="70"/>
  <c r="L93" i="70"/>
  <c r="L291" i="7" s="1"/>
  <c r="L78" i="70"/>
  <c r="L79" i="70"/>
  <c r="L61" i="70"/>
  <c r="L65" i="70"/>
  <c r="L263" i="7" s="1"/>
  <c r="L60" i="70"/>
  <c r="L258" i="7" s="1"/>
  <c r="L122" i="70"/>
  <c r="L320" i="7" s="1"/>
  <c r="L120" i="70"/>
  <c r="L121" i="70"/>
  <c r="L319" i="7" s="1"/>
  <c r="L107" i="70"/>
  <c r="L305" i="7" s="1"/>
  <c r="L103" i="70"/>
  <c r="L301" i="7" s="1"/>
  <c r="L80" i="70"/>
  <c r="L117" i="70"/>
  <c r="L106" i="70"/>
  <c r="L105" i="70"/>
  <c r="L74" i="70"/>
  <c r="L73" i="70"/>
  <c r="L72" i="70"/>
  <c r="L71" i="70"/>
  <c r="N69" i="70"/>
  <c r="N268" i="7" s="1"/>
  <c r="K69" i="70"/>
  <c r="K268" i="7" s="1"/>
  <c r="L75" i="70"/>
  <c r="N236" i="7" l="1"/>
  <c r="L277" i="7"/>
  <c r="N73" i="70"/>
  <c r="N272" i="7" s="1"/>
  <c r="L272" i="7"/>
  <c r="N75" i="70"/>
  <c r="N274" i="7" s="1"/>
  <c r="L274" i="7"/>
  <c r="N72" i="70"/>
  <c r="N271" i="7" s="1"/>
  <c r="L271" i="7"/>
  <c r="N106" i="70"/>
  <c r="N304" i="7" s="1"/>
  <c r="L304" i="7"/>
  <c r="M78" i="70"/>
  <c r="L267" i="7"/>
  <c r="M163" i="70"/>
  <c r="M361" i="7" s="1"/>
  <c r="L361" i="7"/>
  <c r="M207" i="70"/>
  <c r="L405" i="7"/>
  <c r="M217" i="70"/>
  <c r="L415" i="7"/>
  <c r="M171" i="70"/>
  <c r="L369" i="7"/>
  <c r="M175" i="70"/>
  <c r="L373" i="7"/>
  <c r="N179" i="70"/>
  <c r="N377" i="7" s="1"/>
  <c r="L377" i="7"/>
  <c r="N74" i="70"/>
  <c r="N273" i="7" s="1"/>
  <c r="L273" i="7"/>
  <c r="M80" i="70"/>
  <c r="M278" i="7" s="1"/>
  <c r="L278" i="7"/>
  <c r="N120" i="70"/>
  <c r="N318" i="7" s="1"/>
  <c r="L318" i="7"/>
  <c r="M61" i="70"/>
  <c r="L259" i="7"/>
  <c r="M77" i="70"/>
  <c r="M276" i="7" s="1"/>
  <c r="L276" i="7"/>
  <c r="N99" i="70"/>
  <c r="N297" i="7" s="1"/>
  <c r="M297" i="7"/>
  <c r="M158" i="70"/>
  <c r="M356" i="7" s="1"/>
  <c r="L356" i="7"/>
  <c r="M160" i="70"/>
  <c r="M358" i="7" s="1"/>
  <c r="L358" i="7"/>
  <c r="M166" i="70"/>
  <c r="L364" i="7"/>
  <c r="N167" i="70"/>
  <c r="N365" i="7" s="1"/>
  <c r="L365" i="7"/>
  <c r="M169" i="70"/>
  <c r="L367" i="7"/>
  <c r="M170" i="70"/>
  <c r="L368" i="7"/>
  <c r="M172" i="70"/>
  <c r="L370" i="7"/>
  <c r="M174" i="70"/>
  <c r="L372" i="7"/>
  <c r="N176" i="70"/>
  <c r="N374" i="7" s="1"/>
  <c r="L374" i="7"/>
  <c r="N165" i="70"/>
  <c r="N363" i="7" s="1"/>
  <c r="L363" i="7"/>
  <c r="M168" i="70"/>
  <c r="L366" i="7"/>
  <c r="M173" i="70"/>
  <c r="L371" i="7"/>
  <c r="N117" i="70"/>
  <c r="N315" i="7" s="1"/>
  <c r="L315" i="7"/>
  <c r="M102" i="70"/>
  <c r="L300" i="7"/>
  <c r="N71" i="70"/>
  <c r="N270" i="7" s="1"/>
  <c r="L270" i="7"/>
  <c r="N105" i="70"/>
  <c r="N303" i="7" s="1"/>
  <c r="L303" i="7"/>
  <c r="M96" i="70"/>
  <c r="L294" i="7"/>
  <c r="M67" i="72"/>
  <c r="M209" i="70"/>
  <c r="M210" i="70"/>
  <c r="M211" i="70"/>
  <c r="M212" i="70"/>
  <c r="M213" i="70"/>
  <c r="M214" i="70"/>
  <c r="M215" i="70"/>
  <c r="M216" i="70"/>
  <c r="M183" i="70"/>
  <c r="M184" i="70"/>
  <c r="M185" i="70"/>
  <c r="M186" i="70"/>
  <c r="M187" i="70"/>
  <c r="M188" i="70"/>
  <c r="M189" i="70"/>
  <c r="M190" i="70"/>
  <c r="M191" i="70"/>
  <c r="M192" i="70"/>
  <c r="M193" i="70"/>
  <c r="M194" i="70"/>
  <c r="M195" i="70"/>
  <c r="M196" i="70"/>
  <c r="M197" i="70"/>
  <c r="M198" i="70"/>
  <c r="M199" i="70"/>
  <c r="M200" i="70"/>
  <c r="M201" i="70"/>
  <c r="M202" i="70"/>
  <c r="M203" i="70"/>
  <c r="M204" i="70"/>
  <c r="M205" i="70"/>
  <c r="M206" i="70"/>
  <c r="M208" i="70"/>
  <c r="M222" i="70"/>
  <c r="M223" i="70"/>
  <c r="M224" i="70"/>
  <c r="M225" i="70"/>
  <c r="M226" i="70"/>
  <c r="M228" i="70"/>
  <c r="M227" i="70"/>
  <c r="M159" i="70"/>
  <c r="M162" i="70"/>
  <c r="M164" i="70"/>
  <c r="M180" i="70"/>
  <c r="M181" i="70"/>
  <c r="M182" i="70"/>
  <c r="M161" i="70"/>
  <c r="N160" i="70"/>
  <c r="N358" i="7" s="1"/>
  <c r="M177" i="70"/>
  <c r="M178" i="70"/>
  <c r="M98" i="70"/>
  <c r="M104" i="70"/>
  <c r="M97" i="70"/>
  <c r="M101" i="70"/>
  <c r="M93" i="70"/>
  <c r="M79" i="70"/>
  <c r="M65" i="70"/>
  <c r="M60" i="70"/>
  <c r="M122" i="70"/>
  <c r="M121" i="70"/>
  <c r="M107" i="70"/>
  <c r="M103" i="70"/>
  <c r="L49" i="72"/>
  <c r="L110" i="72"/>
  <c r="L196" i="72"/>
  <c r="L68" i="72"/>
  <c r="L71" i="72"/>
  <c r="L493" i="7" s="1"/>
  <c r="F225" i="72"/>
  <c r="F224" i="72"/>
  <c r="F223" i="72"/>
  <c r="F221" i="72"/>
  <c r="F220" i="72"/>
  <c r="F218" i="72"/>
  <c r="F216" i="72"/>
  <c r="D211" i="72"/>
  <c r="E5" i="36" s="1"/>
  <c r="L209" i="72"/>
  <c r="M209" i="72" s="1"/>
  <c r="N209" i="72" s="1"/>
  <c r="L50" i="72"/>
  <c r="L472" i="7" s="1"/>
  <c r="L53" i="72"/>
  <c r="F217" i="72"/>
  <c r="F215" i="72"/>
  <c r="F222" i="72"/>
  <c r="B2" i="7"/>
  <c r="D2" i="7"/>
  <c r="E2" i="7"/>
  <c r="G2" i="7"/>
  <c r="H2" i="7"/>
  <c r="I2" i="7"/>
  <c r="J2" i="7"/>
  <c r="K2" i="7"/>
  <c r="O2" i="7"/>
  <c r="P2" i="7"/>
  <c r="Q2" i="7"/>
  <c r="B3" i="7"/>
  <c r="D3" i="7"/>
  <c r="E3" i="7"/>
  <c r="F3" i="7"/>
  <c r="G3" i="7"/>
  <c r="H3" i="7"/>
  <c r="I3" i="7"/>
  <c r="J3" i="7"/>
  <c r="K3" i="7"/>
  <c r="M3" i="7"/>
  <c r="O3" i="7"/>
  <c r="P3" i="7"/>
  <c r="Q3" i="7"/>
  <c r="B4" i="7"/>
  <c r="D4" i="7"/>
  <c r="E4" i="7"/>
  <c r="F4" i="7"/>
  <c r="G4" i="7"/>
  <c r="H4" i="7"/>
  <c r="I4" i="7"/>
  <c r="J4" i="7"/>
  <c r="K4" i="7"/>
  <c r="M4" i="7"/>
  <c r="O4" i="7"/>
  <c r="P4" i="7"/>
  <c r="Q4" i="7"/>
  <c r="B5" i="7"/>
  <c r="D5" i="7"/>
  <c r="E5" i="7"/>
  <c r="F5" i="7"/>
  <c r="G5" i="7"/>
  <c r="H5" i="7"/>
  <c r="I5" i="7"/>
  <c r="J5" i="7"/>
  <c r="K5" i="7"/>
  <c r="M5" i="7"/>
  <c r="O5" i="7"/>
  <c r="P5" i="7"/>
  <c r="Q5" i="7"/>
  <c r="B6" i="7"/>
  <c r="D6" i="7"/>
  <c r="E6" i="7"/>
  <c r="F6" i="7"/>
  <c r="G6" i="7"/>
  <c r="H6" i="7"/>
  <c r="I6" i="7"/>
  <c r="J6" i="7"/>
  <c r="K6" i="7"/>
  <c r="M6" i="7"/>
  <c r="P6" i="7"/>
  <c r="Q6" i="7"/>
  <c r="B7" i="7"/>
  <c r="D7" i="7"/>
  <c r="E7" i="7"/>
  <c r="F7" i="7"/>
  <c r="G7" i="7"/>
  <c r="H7" i="7"/>
  <c r="I7" i="7"/>
  <c r="J7" i="7"/>
  <c r="K7" i="7"/>
  <c r="L7" i="7"/>
  <c r="M7" i="7"/>
  <c r="P7" i="7"/>
  <c r="Q7" i="7"/>
  <c r="R7" i="7"/>
  <c r="B8" i="7"/>
  <c r="D8" i="7"/>
  <c r="E8" i="7"/>
  <c r="F8" i="7"/>
  <c r="G8" i="7"/>
  <c r="H8" i="7"/>
  <c r="I8" i="7"/>
  <c r="J8" i="7"/>
  <c r="K8" i="7"/>
  <c r="M8" i="7"/>
  <c r="P8" i="7"/>
  <c r="Q8" i="7"/>
  <c r="B9" i="7"/>
  <c r="D9" i="7"/>
  <c r="E9" i="7"/>
  <c r="F9" i="7"/>
  <c r="G9" i="7"/>
  <c r="H9" i="7"/>
  <c r="I9" i="7"/>
  <c r="J9" i="7"/>
  <c r="K9" i="7"/>
  <c r="M9" i="7"/>
  <c r="P9" i="7"/>
  <c r="Q9" i="7"/>
  <c r="R9" i="7"/>
  <c r="B10" i="7"/>
  <c r="D10" i="7"/>
  <c r="E10" i="7"/>
  <c r="F10" i="7"/>
  <c r="G10" i="7"/>
  <c r="H10" i="7"/>
  <c r="I10" i="7"/>
  <c r="J10" i="7"/>
  <c r="K10" i="7"/>
  <c r="M10" i="7"/>
  <c r="P10" i="7"/>
  <c r="Q10" i="7"/>
  <c r="R10" i="7"/>
  <c r="B11" i="7"/>
  <c r="D11" i="7"/>
  <c r="E11" i="7"/>
  <c r="F11" i="7"/>
  <c r="G11" i="7"/>
  <c r="H11" i="7"/>
  <c r="I11" i="7"/>
  <c r="J11" i="7"/>
  <c r="K11" i="7"/>
  <c r="M11" i="7"/>
  <c r="P11" i="7"/>
  <c r="Q11" i="7"/>
  <c r="B12" i="7"/>
  <c r="D12" i="7"/>
  <c r="E12" i="7"/>
  <c r="F12" i="7"/>
  <c r="G12" i="7"/>
  <c r="H12" i="7"/>
  <c r="I12" i="7"/>
  <c r="J12" i="7"/>
  <c r="K12" i="7"/>
  <c r="M12" i="7"/>
  <c r="P12" i="7"/>
  <c r="Q12" i="7"/>
  <c r="B13" i="7"/>
  <c r="D13" i="7"/>
  <c r="E13" i="7"/>
  <c r="F13" i="7"/>
  <c r="G13" i="7"/>
  <c r="H13" i="7"/>
  <c r="I13" i="7"/>
  <c r="J13" i="7"/>
  <c r="K13" i="7"/>
  <c r="M13" i="7"/>
  <c r="P13" i="7"/>
  <c r="Q13" i="7"/>
  <c r="B14" i="7"/>
  <c r="D14" i="7"/>
  <c r="E14" i="7"/>
  <c r="F14" i="7"/>
  <c r="G14" i="7"/>
  <c r="H14" i="7"/>
  <c r="I14" i="7"/>
  <c r="J14" i="7"/>
  <c r="K14" i="7"/>
  <c r="L14" i="7"/>
  <c r="M14" i="7"/>
  <c r="P14" i="7"/>
  <c r="Q14" i="7"/>
  <c r="B15" i="7"/>
  <c r="D15" i="7"/>
  <c r="E15" i="7"/>
  <c r="F15" i="7"/>
  <c r="G15" i="7"/>
  <c r="H15" i="7"/>
  <c r="I15" i="7"/>
  <c r="J15" i="7"/>
  <c r="K15" i="7"/>
  <c r="M15" i="7"/>
  <c r="P15" i="7"/>
  <c r="Q15" i="7"/>
  <c r="B16" i="7"/>
  <c r="D16" i="7"/>
  <c r="E16" i="7"/>
  <c r="F16" i="7"/>
  <c r="G16" i="7"/>
  <c r="H16" i="7"/>
  <c r="I16" i="7"/>
  <c r="J16" i="7"/>
  <c r="K16" i="7"/>
  <c r="M16" i="7"/>
  <c r="P16" i="7"/>
  <c r="Q16" i="7"/>
  <c r="B17" i="7"/>
  <c r="D17" i="7"/>
  <c r="E17" i="7"/>
  <c r="F17" i="7"/>
  <c r="G17" i="7"/>
  <c r="H17" i="7"/>
  <c r="I17" i="7"/>
  <c r="J17" i="7"/>
  <c r="K17" i="7"/>
  <c r="M17" i="7"/>
  <c r="P17" i="7"/>
  <c r="Q17" i="7"/>
  <c r="B18" i="7"/>
  <c r="D18" i="7"/>
  <c r="E18" i="7"/>
  <c r="F18" i="7"/>
  <c r="G18" i="7"/>
  <c r="H18" i="7"/>
  <c r="I18" i="7"/>
  <c r="J18" i="7"/>
  <c r="K18" i="7"/>
  <c r="M18" i="7"/>
  <c r="P18" i="7"/>
  <c r="Q18" i="7"/>
  <c r="B19" i="7"/>
  <c r="D19" i="7"/>
  <c r="E19" i="7"/>
  <c r="F19" i="7"/>
  <c r="G19" i="7"/>
  <c r="H19" i="7"/>
  <c r="I19" i="7"/>
  <c r="J19" i="7"/>
  <c r="K19" i="7"/>
  <c r="M19" i="7"/>
  <c r="P19" i="7"/>
  <c r="Q19" i="7"/>
  <c r="B20" i="7"/>
  <c r="D20" i="7"/>
  <c r="E20" i="7"/>
  <c r="F20" i="7"/>
  <c r="G20" i="7"/>
  <c r="H20" i="7"/>
  <c r="I20" i="7"/>
  <c r="J20" i="7"/>
  <c r="K20" i="7"/>
  <c r="M20" i="7"/>
  <c r="P20" i="7"/>
  <c r="Q20" i="7"/>
  <c r="B21" i="7"/>
  <c r="D21" i="7"/>
  <c r="E21" i="7"/>
  <c r="F21" i="7"/>
  <c r="G21" i="7"/>
  <c r="H21" i="7"/>
  <c r="I21" i="7"/>
  <c r="J21" i="7"/>
  <c r="K21" i="7"/>
  <c r="M21" i="7"/>
  <c r="P21" i="7"/>
  <c r="Q21" i="7"/>
  <c r="B22" i="7"/>
  <c r="D22" i="7"/>
  <c r="E22" i="7"/>
  <c r="F22" i="7"/>
  <c r="G22" i="7"/>
  <c r="H22" i="7"/>
  <c r="I22" i="7"/>
  <c r="J22" i="7"/>
  <c r="K22" i="7"/>
  <c r="M22" i="7"/>
  <c r="P22" i="7"/>
  <c r="Q22" i="7"/>
  <c r="B23" i="7"/>
  <c r="D23" i="7"/>
  <c r="E23" i="7"/>
  <c r="F23" i="7"/>
  <c r="G23" i="7"/>
  <c r="H23" i="7"/>
  <c r="I23" i="7"/>
  <c r="J23" i="7"/>
  <c r="K23" i="7"/>
  <c r="M23" i="7"/>
  <c r="P23" i="7"/>
  <c r="Q23" i="7"/>
  <c r="R23" i="7"/>
  <c r="B24" i="7"/>
  <c r="D24" i="7"/>
  <c r="E24" i="7"/>
  <c r="F24" i="7"/>
  <c r="G24" i="7"/>
  <c r="H24" i="7"/>
  <c r="I24" i="7"/>
  <c r="J24" i="7"/>
  <c r="K24" i="7"/>
  <c r="M24" i="7"/>
  <c r="P24" i="7"/>
  <c r="Q24" i="7"/>
  <c r="B25" i="7"/>
  <c r="D25" i="7"/>
  <c r="E25" i="7"/>
  <c r="F25" i="7"/>
  <c r="G25" i="7"/>
  <c r="H25" i="7"/>
  <c r="I25" i="7"/>
  <c r="J25" i="7"/>
  <c r="K25" i="7"/>
  <c r="M25" i="7"/>
  <c r="P25" i="7"/>
  <c r="Q25" i="7"/>
  <c r="B26" i="7"/>
  <c r="D26" i="7"/>
  <c r="E26" i="7"/>
  <c r="F26" i="7"/>
  <c r="G26" i="7"/>
  <c r="H26" i="7"/>
  <c r="I26" i="7"/>
  <c r="J26" i="7"/>
  <c r="K26" i="7"/>
  <c r="M26" i="7"/>
  <c r="P26" i="7"/>
  <c r="Q26" i="7"/>
  <c r="B27" i="7"/>
  <c r="D27" i="7"/>
  <c r="E27" i="7"/>
  <c r="F27" i="7"/>
  <c r="G27" i="7"/>
  <c r="H27" i="7"/>
  <c r="I27" i="7"/>
  <c r="J27" i="7"/>
  <c r="K27" i="7"/>
  <c r="M27" i="7"/>
  <c r="P27" i="7"/>
  <c r="Q27" i="7"/>
  <c r="B28" i="7"/>
  <c r="D28" i="7"/>
  <c r="E28" i="7"/>
  <c r="F28" i="7"/>
  <c r="G28" i="7"/>
  <c r="H28" i="7"/>
  <c r="I28" i="7"/>
  <c r="J28" i="7"/>
  <c r="K28" i="7"/>
  <c r="M28" i="7"/>
  <c r="P28" i="7"/>
  <c r="Q28" i="7"/>
  <c r="R28" i="7"/>
  <c r="B29" i="7"/>
  <c r="D29" i="7"/>
  <c r="E29" i="7"/>
  <c r="F29" i="7"/>
  <c r="G29" i="7"/>
  <c r="H29" i="7"/>
  <c r="I29" i="7"/>
  <c r="J29" i="7"/>
  <c r="K29" i="7"/>
  <c r="M29" i="7"/>
  <c r="P29" i="7"/>
  <c r="Q29" i="7"/>
  <c r="B30" i="7"/>
  <c r="D30" i="7"/>
  <c r="E30" i="7"/>
  <c r="F30" i="7"/>
  <c r="G30" i="7"/>
  <c r="H30" i="7"/>
  <c r="I30" i="7"/>
  <c r="J30" i="7"/>
  <c r="K30" i="7"/>
  <c r="M30" i="7"/>
  <c r="P30" i="7"/>
  <c r="Q30" i="7"/>
  <c r="B31" i="7"/>
  <c r="D31" i="7"/>
  <c r="E31" i="7"/>
  <c r="F31" i="7"/>
  <c r="G31" i="7"/>
  <c r="H31" i="7"/>
  <c r="I31" i="7"/>
  <c r="J31" i="7"/>
  <c r="K31" i="7"/>
  <c r="M31" i="7"/>
  <c r="O31" i="7"/>
  <c r="P31" i="7"/>
  <c r="Q31" i="7"/>
  <c r="B32" i="7"/>
  <c r="D32" i="7"/>
  <c r="E32" i="7"/>
  <c r="F32" i="7"/>
  <c r="G32" i="7"/>
  <c r="H32" i="7"/>
  <c r="I32" i="7"/>
  <c r="J32" i="7"/>
  <c r="K32" i="7"/>
  <c r="O32" i="7"/>
  <c r="P32" i="7"/>
  <c r="Q32" i="7"/>
  <c r="B33" i="7"/>
  <c r="D33" i="7"/>
  <c r="E33" i="7"/>
  <c r="F33" i="7"/>
  <c r="G33" i="7"/>
  <c r="H33" i="7"/>
  <c r="I33" i="7"/>
  <c r="J33" i="7"/>
  <c r="K33" i="7"/>
  <c r="O33" i="7"/>
  <c r="P33" i="7"/>
  <c r="Q33" i="7"/>
  <c r="B34" i="7"/>
  <c r="D34" i="7"/>
  <c r="E34" i="7"/>
  <c r="F34" i="7"/>
  <c r="G34" i="7"/>
  <c r="H34" i="7"/>
  <c r="I34" i="7"/>
  <c r="J34" i="7"/>
  <c r="K34" i="7"/>
  <c r="O34" i="7"/>
  <c r="P34" i="7"/>
  <c r="Q34" i="7"/>
  <c r="B35" i="7"/>
  <c r="D35" i="7"/>
  <c r="E35" i="7"/>
  <c r="F35" i="7"/>
  <c r="G35" i="7"/>
  <c r="H35" i="7"/>
  <c r="I35" i="7"/>
  <c r="J35" i="7"/>
  <c r="K35" i="7"/>
  <c r="O35" i="7"/>
  <c r="P35" i="7"/>
  <c r="Q35" i="7"/>
  <c r="B36" i="7"/>
  <c r="D36" i="7"/>
  <c r="E36" i="7"/>
  <c r="F36" i="7"/>
  <c r="G36" i="7"/>
  <c r="H36" i="7"/>
  <c r="I36" i="7"/>
  <c r="J36" i="7"/>
  <c r="K36" i="7"/>
  <c r="O36" i="7"/>
  <c r="P36" i="7"/>
  <c r="Q36" i="7"/>
  <c r="B37" i="7"/>
  <c r="D37" i="7"/>
  <c r="E37" i="7"/>
  <c r="F37" i="7"/>
  <c r="G37" i="7"/>
  <c r="H37" i="7"/>
  <c r="I37" i="7"/>
  <c r="J37" i="7"/>
  <c r="K37" i="7"/>
  <c r="O37" i="7"/>
  <c r="P37" i="7"/>
  <c r="Q37" i="7"/>
  <c r="B38" i="7"/>
  <c r="D38" i="7"/>
  <c r="E38" i="7"/>
  <c r="F38" i="7"/>
  <c r="G38" i="7"/>
  <c r="H38" i="7"/>
  <c r="I38" i="7"/>
  <c r="J38" i="7"/>
  <c r="K38" i="7"/>
  <c r="O38" i="7"/>
  <c r="P38" i="7"/>
  <c r="Q38" i="7"/>
  <c r="B39" i="7"/>
  <c r="D39" i="7"/>
  <c r="E39" i="7"/>
  <c r="F39" i="7"/>
  <c r="G39" i="7"/>
  <c r="H39" i="7"/>
  <c r="I39" i="7"/>
  <c r="J39" i="7"/>
  <c r="K39" i="7"/>
  <c r="O39" i="7"/>
  <c r="P39" i="7"/>
  <c r="Q39" i="7"/>
  <c r="B40" i="7"/>
  <c r="D40" i="7"/>
  <c r="E40" i="7"/>
  <c r="F40" i="7"/>
  <c r="G40" i="7"/>
  <c r="H40" i="7"/>
  <c r="I40" i="7"/>
  <c r="J40" i="7"/>
  <c r="K40" i="7"/>
  <c r="O40" i="7"/>
  <c r="P40" i="7"/>
  <c r="Q40" i="7"/>
  <c r="B41" i="7"/>
  <c r="D41" i="7"/>
  <c r="E41" i="7"/>
  <c r="F41" i="7"/>
  <c r="G41" i="7"/>
  <c r="H41" i="7"/>
  <c r="I41" i="7"/>
  <c r="J41" i="7"/>
  <c r="K41" i="7"/>
  <c r="O41" i="7"/>
  <c r="P41" i="7"/>
  <c r="Q41" i="7"/>
  <c r="B42" i="7"/>
  <c r="D42" i="7"/>
  <c r="E42" i="7"/>
  <c r="F42" i="7"/>
  <c r="G42" i="7"/>
  <c r="H42" i="7"/>
  <c r="I42" i="7"/>
  <c r="J42" i="7"/>
  <c r="K42" i="7"/>
  <c r="O42" i="7"/>
  <c r="P42" i="7"/>
  <c r="Q42" i="7"/>
  <c r="B43" i="7"/>
  <c r="D43" i="7"/>
  <c r="E43" i="7"/>
  <c r="F43" i="7"/>
  <c r="G43" i="7"/>
  <c r="H43" i="7"/>
  <c r="I43" i="7"/>
  <c r="J43" i="7"/>
  <c r="K43" i="7"/>
  <c r="O43" i="7"/>
  <c r="P43" i="7"/>
  <c r="Q43" i="7"/>
  <c r="B44" i="7"/>
  <c r="D44" i="7"/>
  <c r="E44" i="7"/>
  <c r="F44" i="7"/>
  <c r="G44" i="7"/>
  <c r="H44" i="7"/>
  <c r="I44" i="7"/>
  <c r="J44" i="7"/>
  <c r="K44" i="7"/>
  <c r="O44" i="7"/>
  <c r="P44" i="7"/>
  <c r="Q44" i="7"/>
  <c r="B45" i="7"/>
  <c r="D45" i="7"/>
  <c r="E45" i="7"/>
  <c r="F45" i="7"/>
  <c r="G45" i="7"/>
  <c r="H45" i="7"/>
  <c r="I45" i="7"/>
  <c r="J45" i="7"/>
  <c r="K45" i="7"/>
  <c r="O45" i="7"/>
  <c r="P45" i="7"/>
  <c r="Q45" i="7"/>
  <c r="B46" i="7"/>
  <c r="D46" i="7"/>
  <c r="E46" i="7"/>
  <c r="F46" i="7"/>
  <c r="G46" i="7"/>
  <c r="H46" i="7"/>
  <c r="I46" i="7"/>
  <c r="J46" i="7"/>
  <c r="K46" i="7"/>
  <c r="O46" i="7"/>
  <c r="P46" i="7"/>
  <c r="Q46" i="7"/>
  <c r="B47" i="7"/>
  <c r="D47" i="7"/>
  <c r="E47" i="7"/>
  <c r="F47" i="7"/>
  <c r="G47" i="7"/>
  <c r="H47" i="7"/>
  <c r="I47" i="7"/>
  <c r="J47" i="7"/>
  <c r="K47" i="7"/>
  <c r="O47" i="7"/>
  <c r="P47" i="7"/>
  <c r="Q47" i="7"/>
  <c r="B48" i="7"/>
  <c r="D48" i="7"/>
  <c r="E48" i="7"/>
  <c r="F48" i="7"/>
  <c r="G48" i="7"/>
  <c r="H48" i="7"/>
  <c r="I48" i="7"/>
  <c r="J48" i="7"/>
  <c r="K48" i="7"/>
  <c r="O48" i="7"/>
  <c r="P48" i="7"/>
  <c r="Q48" i="7"/>
  <c r="B49" i="7"/>
  <c r="D49" i="7"/>
  <c r="E49" i="7"/>
  <c r="F49" i="7"/>
  <c r="G49" i="7"/>
  <c r="H49" i="7"/>
  <c r="I49" i="7"/>
  <c r="J49" i="7"/>
  <c r="K49" i="7"/>
  <c r="O49" i="7"/>
  <c r="P49" i="7"/>
  <c r="Q49" i="7"/>
  <c r="B50" i="7"/>
  <c r="D50" i="7"/>
  <c r="E50" i="7"/>
  <c r="G50" i="7"/>
  <c r="H50" i="7"/>
  <c r="I50" i="7"/>
  <c r="J50" i="7"/>
  <c r="K50" i="7"/>
  <c r="M50" i="7"/>
  <c r="O50" i="7"/>
  <c r="P50" i="7"/>
  <c r="Q50" i="7"/>
  <c r="B51" i="7"/>
  <c r="D51" i="7"/>
  <c r="E51" i="7"/>
  <c r="F51" i="7"/>
  <c r="G51" i="7"/>
  <c r="H51" i="7"/>
  <c r="I51" i="7"/>
  <c r="J51" i="7"/>
  <c r="K51" i="7"/>
  <c r="O51" i="7"/>
  <c r="P51" i="7"/>
  <c r="Q51" i="7"/>
  <c r="B52" i="7"/>
  <c r="D52" i="7"/>
  <c r="E52" i="7"/>
  <c r="F52" i="7"/>
  <c r="G52" i="7"/>
  <c r="H52" i="7"/>
  <c r="I52" i="7"/>
  <c r="J52" i="7"/>
  <c r="K52" i="7"/>
  <c r="P52" i="7"/>
  <c r="Q52" i="7"/>
  <c r="B53" i="7"/>
  <c r="D53" i="7"/>
  <c r="E53" i="7"/>
  <c r="F53" i="7"/>
  <c r="G53" i="7"/>
  <c r="H53" i="7"/>
  <c r="I53" i="7"/>
  <c r="J53" i="7"/>
  <c r="K53" i="7"/>
  <c r="O53" i="7"/>
  <c r="P53" i="7"/>
  <c r="Q53" i="7"/>
  <c r="B54" i="7"/>
  <c r="D54" i="7"/>
  <c r="E54" i="7"/>
  <c r="F54" i="7"/>
  <c r="G54" i="7"/>
  <c r="H54" i="7"/>
  <c r="I54" i="7"/>
  <c r="J54" i="7"/>
  <c r="K54" i="7"/>
  <c r="O54" i="7"/>
  <c r="P54" i="7"/>
  <c r="Q54" i="7"/>
  <c r="B55" i="7"/>
  <c r="D55" i="7"/>
  <c r="E55" i="7"/>
  <c r="F55" i="7"/>
  <c r="G55" i="7"/>
  <c r="H55" i="7"/>
  <c r="I55" i="7"/>
  <c r="J55" i="7"/>
  <c r="K55" i="7"/>
  <c r="O55" i="7"/>
  <c r="P55" i="7"/>
  <c r="Q55" i="7"/>
  <c r="B56" i="7"/>
  <c r="D56" i="7"/>
  <c r="E56" i="7"/>
  <c r="F56" i="7"/>
  <c r="G56" i="7"/>
  <c r="H56" i="7"/>
  <c r="I56" i="7"/>
  <c r="J56" i="7"/>
  <c r="L56" i="7"/>
  <c r="M56" i="7"/>
  <c r="O56" i="7"/>
  <c r="P56" i="7"/>
  <c r="Q56" i="7"/>
  <c r="B57" i="7"/>
  <c r="D57" i="7"/>
  <c r="E57" i="7"/>
  <c r="G57" i="7"/>
  <c r="H57" i="7"/>
  <c r="I57" i="7"/>
  <c r="J57" i="7"/>
  <c r="K57" i="7"/>
  <c r="O57" i="7"/>
  <c r="P57" i="7"/>
  <c r="Q57" i="7"/>
  <c r="B58" i="7"/>
  <c r="D58" i="7"/>
  <c r="E58" i="7"/>
  <c r="F58" i="7"/>
  <c r="G58" i="7"/>
  <c r="H58" i="7"/>
  <c r="I58" i="7"/>
  <c r="J58" i="7"/>
  <c r="K58" i="7"/>
  <c r="O58" i="7"/>
  <c r="P58" i="7"/>
  <c r="Q58" i="7"/>
  <c r="B59" i="7"/>
  <c r="D59" i="7"/>
  <c r="E59" i="7"/>
  <c r="G59" i="7"/>
  <c r="H59" i="7"/>
  <c r="I59" i="7"/>
  <c r="J59" i="7"/>
  <c r="K59" i="7"/>
  <c r="M59" i="7"/>
  <c r="O59" i="7"/>
  <c r="P59" i="7"/>
  <c r="Q59" i="7"/>
  <c r="B60" i="7"/>
  <c r="D60" i="7"/>
  <c r="E60" i="7"/>
  <c r="F60" i="7"/>
  <c r="G60" i="7"/>
  <c r="H60" i="7"/>
  <c r="I60" i="7"/>
  <c r="J60" i="7"/>
  <c r="K60" i="7"/>
  <c r="O60" i="7"/>
  <c r="P60" i="7"/>
  <c r="Q60" i="7"/>
  <c r="B61" i="7"/>
  <c r="D61" i="7"/>
  <c r="E61" i="7"/>
  <c r="F61" i="7"/>
  <c r="G61" i="7"/>
  <c r="H61" i="7"/>
  <c r="I61" i="7"/>
  <c r="J61" i="7"/>
  <c r="K61" i="7"/>
  <c r="M61" i="7"/>
  <c r="O61" i="7"/>
  <c r="P61" i="7"/>
  <c r="Q61" i="7"/>
  <c r="B62" i="7"/>
  <c r="D62" i="7"/>
  <c r="E62" i="7"/>
  <c r="F62" i="7"/>
  <c r="G62" i="7"/>
  <c r="H62" i="7"/>
  <c r="I62" i="7"/>
  <c r="J62" i="7"/>
  <c r="K62" i="7"/>
  <c r="M62" i="7"/>
  <c r="O62" i="7"/>
  <c r="P62" i="7"/>
  <c r="Q62" i="7"/>
  <c r="B63" i="7"/>
  <c r="D63" i="7"/>
  <c r="E63" i="7"/>
  <c r="F63" i="7"/>
  <c r="G63" i="7"/>
  <c r="H63" i="7"/>
  <c r="I63" i="7"/>
  <c r="J63" i="7"/>
  <c r="K63" i="7"/>
  <c r="M63" i="7"/>
  <c r="O63" i="7"/>
  <c r="P63" i="7"/>
  <c r="Q63" i="7"/>
  <c r="B64" i="7"/>
  <c r="D64" i="7"/>
  <c r="E64" i="7"/>
  <c r="F64" i="7"/>
  <c r="G64" i="7"/>
  <c r="H64" i="7"/>
  <c r="I64" i="7"/>
  <c r="J64" i="7"/>
  <c r="K64" i="7"/>
  <c r="M64" i="7"/>
  <c r="O64" i="7"/>
  <c r="P64" i="7"/>
  <c r="Q64" i="7"/>
  <c r="B65" i="7"/>
  <c r="D65" i="7"/>
  <c r="E65" i="7"/>
  <c r="F65" i="7"/>
  <c r="G65" i="7"/>
  <c r="H65" i="7"/>
  <c r="I65" i="7"/>
  <c r="J65" i="7"/>
  <c r="K65" i="7"/>
  <c r="O65" i="7"/>
  <c r="P65" i="7"/>
  <c r="Q65" i="7"/>
  <c r="B66" i="7"/>
  <c r="D66" i="7"/>
  <c r="E66" i="7"/>
  <c r="F66" i="7"/>
  <c r="G66" i="7"/>
  <c r="H66" i="7"/>
  <c r="I66" i="7"/>
  <c r="J66" i="7"/>
  <c r="M66" i="7"/>
  <c r="O66" i="7"/>
  <c r="P66" i="7"/>
  <c r="Q66" i="7"/>
  <c r="B67" i="7"/>
  <c r="D67" i="7"/>
  <c r="E67" i="7"/>
  <c r="F67" i="7"/>
  <c r="G67" i="7"/>
  <c r="H67" i="7"/>
  <c r="I67" i="7"/>
  <c r="J67" i="7"/>
  <c r="K67" i="7"/>
  <c r="O67" i="7"/>
  <c r="P67" i="7"/>
  <c r="Q67" i="7"/>
  <c r="B68" i="7"/>
  <c r="D68" i="7"/>
  <c r="E68" i="7"/>
  <c r="F68" i="7"/>
  <c r="G68" i="7"/>
  <c r="H68" i="7"/>
  <c r="I68" i="7"/>
  <c r="J68" i="7"/>
  <c r="K68" i="7"/>
  <c r="O68" i="7"/>
  <c r="P68" i="7"/>
  <c r="Q68" i="7"/>
  <c r="B69" i="7"/>
  <c r="D69" i="7"/>
  <c r="E69" i="7"/>
  <c r="G69" i="7"/>
  <c r="H69" i="7"/>
  <c r="I69" i="7"/>
  <c r="J69" i="7"/>
  <c r="K69" i="7"/>
  <c r="O69" i="7"/>
  <c r="P69" i="7"/>
  <c r="Q69" i="7"/>
  <c r="B70" i="7"/>
  <c r="D70" i="7"/>
  <c r="E70" i="7"/>
  <c r="F70" i="7"/>
  <c r="G70" i="7"/>
  <c r="H70" i="7"/>
  <c r="I70" i="7"/>
  <c r="J70" i="7"/>
  <c r="K70" i="7"/>
  <c r="O70" i="7"/>
  <c r="P70" i="7"/>
  <c r="Q70" i="7"/>
  <c r="B71" i="7"/>
  <c r="D71" i="7"/>
  <c r="E71" i="7"/>
  <c r="F71" i="7"/>
  <c r="G71" i="7"/>
  <c r="H71" i="7"/>
  <c r="I71" i="7"/>
  <c r="J71" i="7"/>
  <c r="O71" i="7"/>
  <c r="P71" i="7"/>
  <c r="Q71" i="7"/>
  <c r="B72" i="7"/>
  <c r="D72" i="7"/>
  <c r="E72" i="7"/>
  <c r="F72" i="7"/>
  <c r="G72" i="7"/>
  <c r="H72" i="7"/>
  <c r="I72" i="7"/>
  <c r="J72" i="7"/>
  <c r="K72" i="7"/>
  <c r="O72" i="7"/>
  <c r="P72" i="7"/>
  <c r="Q72" i="7"/>
  <c r="B73" i="7"/>
  <c r="D73" i="7"/>
  <c r="E73" i="7"/>
  <c r="F73" i="7"/>
  <c r="G73" i="7"/>
  <c r="H73" i="7"/>
  <c r="I73" i="7"/>
  <c r="J73" i="7"/>
  <c r="K73" i="7"/>
  <c r="O73" i="7"/>
  <c r="P73" i="7"/>
  <c r="Q73" i="7"/>
  <c r="B74" i="7"/>
  <c r="D74" i="7"/>
  <c r="E74" i="7"/>
  <c r="F74" i="7"/>
  <c r="G74" i="7"/>
  <c r="H74" i="7"/>
  <c r="I74" i="7"/>
  <c r="J74" i="7"/>
  <c r="K74" i="7"/>
  <c r="O74" i="7"/>
  <c r="P74" i="7"/>
  <c r="Q74" i="7"/>
  <c r="B75" i="7"/>
  <c r="D75" i="7"/>
  <c r="E75" i="7"/>
  <c r="F75" i="7"/>
  <c r="G75" i="7"/>
  <c r="H75" i="7"/>
  <c r="I75" i="7"/>
  <c r="J75" i="7"/>
  <c r="K75" i="7"/>
  <c r="O75" i="7"/>
  <c r="P75" i="7"/>
  <c r="Q75" i="7"/>
  <c r="B76" i="7"/>
  <c r="D76" i="7"/>
  <c r="E76" i="7"/>
  <c r="F76" i="7"/>
  <c r="G76" i="7"/>
  <c r="H76" i="7"/>
  <c r="I76" i="7"/>
  <c r="J76" i="7"/>
  <c r="K76" i="7"/>
  <c r="O76" i="7"/>
  <c r="P76" i="7"/>
  <c r="Q76" i="7"/>
  <c r="B77" i="7"/>
  <c r="D77" i="7"/>
  <c r="E77" i="7"/>
  <c r="F77" i="7"/>
  <c r="G77" i="7"/>
  <c r="H77" i="7"/>
  <c r="I77" i="7"/>
  <c r="J77" i="7"/>
  <c r="K77" i="7"/>
  <c r="M77" i="7"/>
  <c r="O77" i="7"/>
  <c r="P77" i="7"/>
  <c r="Q77" i="7"/>
  <c r="B78" i="7"/>
  <c r="D78" i="7"/>
  <c r="E78" i="7"/>
  <c r="F78" i="7"/>
  <c r="G78" i="7"/>
  <c r="H78" i="7"/>
  <c r="I78" i="7"/>
  <c r="J78" i="7"/>
  <c r="K78" i="7"/>
  <c r="O78" i="7"/>
  <c r="P78" i="7"/>
  <c r="Q78" i="7"/>
  <c r="B79" i="7"/>
  <c r="D79" i="7"/>
  <c r="E79" i="7"/>
  <c r="F79" i="7"/>
  <c r="G79" i="7"/>
  <c r="H79" i="7"/>
  <c r="I79" i="7"/>
  <c r="J79" i="7"/>
  <c r="K79" i="7"/>
  <c r="O79" i="7"/>
  <c r="P79" i="7"/>
  <c r="Q79" i="7"/>
  <c r="B80" i="7"/>
  <c r="D80" i="7"/>
  <c r="E80" i="7"/>
  <c r="F80" i="7"/>
  <c r="G80" i="7"/>
  <c r="H80" i="7"/>
  <c r="I80" i="7"/>
  <c r="J80" i="7"/>
  <c r="K80" i="7"/>
  <c r="O80" i="7"/>
  <c r="P80" i="7"/>
  <c r="Q80" i="7"/>
  <c r="B81" i="7"/>
  <c r="D81" i="7"/>
  <c r="E81" i="7"/>
  <c r="G81" i="7"/>
  <c r="H81" i="7"/>
  <c r="I81" i="7"/>
  <c r="J81" i="7"/>
  <c r="K81" i="7"/>
  <c r="L81" i="7"/>
  <c r="M81" i="7"/>
  <c r="O81" i="7"/>
  <c r="P81" i="7"/>
  <c r="Q81" i="7"/>
  <c r="R81" i="7"/>
  <c r="B82" i="7"/>
  <c r="E82" i="7"/>
  <c r="G82" i="7"/>
  <c r="H82" i="7"/>
  <c r="I82" i="7"/>
  <c r="J82" i="7"/>
  <c r="K82" i="7"/>
  <c r="B83" i="7"/>
  <c r="D83" i="7"/>
  <c r="E83" i="7"/>
  <c r="F83" i="7"/>
  <c r="G83" i="7"/>
  <c r="H83" i="7"/>
  <c r="I83" i="7"/>
  <c r="J83" i="7"/>
  <c r="K83" i="7"/>
  <c r="M83" i="7"/>
  <c r="O83" i="7"/>
  <c r="P83" i="7"/>
  <c r="Q83" i="7"/>
  <c r="B84" i="7"/>
  <c r="D84" i="7"/>
  <c r="E84" i="7"/>
  <c r="F84" i="7"/>
  <c r="G84" i="7"/>
  <c r="H84" i="7"/>
  <c r="I84" i="7"/>
  <c r="J84" i="7"/>
  <c r="K84" i="7"/>
  <c r="O84" i="7"/>
  <c r="P84" i="7"/>
  <c r="Q84" i="7"/>
  <c r="B85" i="7"/>
  <c r="D85" i="7"/>
  <c r="E85" i="7"/>
  <c r="F85" i="7"/>
  <c r="G85" i="7"/>
  <c r="H85" i="7"/>
  <c r="I85" i="7"/>
  <c r="J85" i="7"/>
  <c r="K85" i="7"/>
  <c r="O85" i="7"/>
  <c r="P85" i="7"/>
  <c r="Q85" i="7"/>
  <c r="B86" i="7"/>
  <c r="D86" i="7"/>
  <c r="E86" i="7"/>
  <c r="F86" i="7"/>
  <c r="G86" i="7"/>
  <c r="H86" i="7"/>
  <c r="I86" i="7"/>
  <c r="J86" i="7"/>
  <c r="K86" i="7"/>
  <c r="O86" i="7"/>
  <c r="P86" i="7"/>
  <c r="Q86" i="7"/>
  <c r="R86" i="7"/>
  <c r="B87" i="7"/>
  <c r="D87" i="7"/>
  <c r="E87" i="7"/>
  <c r="F87" i="7"/>
  <c r="G87" i="7"/>
  <c r="H87" i="7"/>
  <c r="I87" i="7"/>
  <c r="J87" i="7"/>
  <c r="K87" i="7"/>
  <c r="O87" i="7"/>
  <c r="P87" i="7"/>
  <c r="Q87" i="7"/>
  <c r="B88" i="7"/>
  <c r="D88" i="7"/>
  <c r="E88" i="7"/>
  <c r="F88" i="7"/>
  <c r="G88" i="7"/>
  <c r="H88" i="7"/>
  <c r="I88" i="7"/>
  <c r="J88" i="7"/>
  <c r="K88" i="7"/>
  <c r="O88" i="7"/>
  <c r="P88" i="7"/>
  <c r="Q88" i="7"/>
  <c r="B89" i="7"/>
  <c r="D89" i="7"/>
  <c r="E89" i="7"/>
  <c r="F89" i="7"/>
  <c r="G89" i="7"/>
  <c r="H89" i="7"/>
  <c r="I89" i="7"/>
  <c r="J89" i="7"/>
  <c r="K89" i="7"/>
  <c r="O89" i="7"/>
  <c r="P89" i="7"/>
  <c r="Q89" i="7"/>
  <c r="B90" i="7"/>
  <c r="D90" i="7"/>
  <c r="E90" i="7"/>
  <c r="G90" i="7"/>
  <c r="H90" i="7"/>
  <c r="I90" i="7"/>
  <c r="J90" i="7"/>
  <c r="K90" i="7"/>
  <c r="O90" i="7"/>
  <c r="P90" i="7"/>
  <c r="Q90" i="7"/>
  <c r="B91" i="7"/>
  <c r="D91" i="7"/>
  <c r="E91" i="7"/>
  <c r="G91" i="7"/>
  <c r="H91" i="7"/>
  <c r="I91" i="7"/>
  <c r="J91" i="7"/>
  <c r="K91" i="7"/>
  <c r="M91" i="7"/>
  <c r="O91" i="7"/>
  <c r="P91" i="7"/>
  <c r="Q91" i="7"/>
  <c r="R91" i="7"/>
  <c r="B92" i="7"/>
  <c r="D92" i="7"/>
  <c r="E92" i="7"/>
  <c r="F92" i="7"/>
  <c r="G92" i="7"/>
  <c r="H92" i="7"/>
  <c r="I92" i="7"/>
  <c r="J92" i="7"/>
  <c r="K92" i="7"/>
  <c r="O92" i="7"/>
  <c r="P92" i="7"/>
  <c r="Q92" i="7"/>
  <c r="B93" i="7"/>
  <c r="D93" i="7"/>
  <c r="E93" i="7"/>
  <c r="G93" i="7"/>
  <c r="I93" i="7"/>
  <c r="J93" i="7"/>
  <c r="K93" i="7"/>
  <c r="O93" i="7"/>
  <c r="P93" i="7"/>
  <c r="Q93" i="7"/>
  <c r="B94" i="7"/>
  <c r="D94" i="7"/>
  <c r="E94" i="7"/>
  <c r="F94" i="7"/>
  <c r="G94" i="7"/>
  <c r="H94" i="7"/>
  <c r="I94" i="7"/>
  <c r="J94" i="7"/>
  <c r="K94" i="7"/>
  <c r="O94" i="7"/>
  <c r="P94" i="7"/>
  <c r="Q94" i="7"/>
  <c r="B95" i="7"/>
  <c r="D95" i="7"/>
  <c r="E95" i="7"/>
  <c r="G95" i="7"/>
  <c r="H95" i="7"/>
  <c r="I95" i="7"/>
  <c r="J95" i="7"/>
  <c r="L95" i="7"/>
  <c r="M95" i="7"/>
  <c r="O95" i="7"/>
  <c r="P95" i="7"/>
  <c r="Q95" i="7"/>
  <c r="R95" i="7"/>
  <c r="B96" i="7"/>
  <c r="E96" i="7"/>
  <c r="G96" i="7"/>
  <c r="H96" i="7"/>
  <c r="I96" i="7"/>
  <c r="J96" i="7"/>
  <c r="K96" i="7"/>
  <c r="O96" i="7"/>
  <c r="P96" i="7"/>
  <c r="Q96" i="7"/>
  <c r="B97" i="7"/>
  <c r="D97" i="7"/>
  <c r="E97" i="7"/>
  <c r="G97" i="7"/>
  <c r="H97" i="7"/>
  <c r="I97" i="7"/>
  <c r="J97" i="7"/>
  <c r="K97" i="7"/>
  <c r="M97" i="7"/>
  <c r="O97" i="7"/>
  <c r="P97" i="7"/>
  <c r="Q97" i="7"/>
  <c r="R97" i="7"/>
  <c r="B98" i="7"/>
  <c r="D98" i="7"/>
  <c r="E98" i="7"/>
  <c r="G98" i="7"/>
  <c r="H98" i="7"/>
  <c r="I98" i="7"/>
  <c r="J98" i="7"/>
  <c r="K98" i="7"/>
  <c r="M98" i="7"/>
  <c r="O98" i="7"/>
  <c r="P98" i="7"/>
  <c r="Q98" i="7"/>
  <c r="R98" i="7"/>
  <c r="B99" i="7"/>
  <c r="D99" i="7"/>
  <c r="E99" i="7"/>
  <c r="G99" i="7"/>
  <c r="H99" i="7"/>
  <c r="I99" i="7"/>
  <c r="J99" i="7"/>
  <c r="K99" i="7"/>
  <c r="M99" i="7"/>
  <c r="O99" i="7"/>
  <c r="P99" i="7"/>
  <c r="Q99" i="7"/>
  <c r="R99" i="7"/>
  <c r="B100" i="7"/>
  <c r="D100" i="7"/>
  <c r="E100" i="7"/>
  <c r="G100" i="7"/>
  <c r="H100" i="7"/>
  <c r="I100" i="7"/>
  <c r="J100" i="7"/>
  <c r="K100" i="7"/>
  <c r="M100" i="7"/>
  <c r="O100" i="7"/>
  <c r="P100" i="7"/>
  <c r="Q100" i="7"/>
  <c r="R100" i="7"/>
  <c r="B101" i="7"/>
  <c r="D101" i="7"/>
  <c r="E101" i="7"/>
  <c r="F101" i="7"/>
  <c r="G101" i="7"/>
  <c r="H101" i="7"/>
  <c r="I101" i="7"/>
  <c r="J101" i="7"/>
  <c r="K101" i="7"/>
  <c r="M101" i="7"/>
  <c r="P101" i="7"/>
  <c r="Q101" i="7"/>
  <c r="R101" i="7"/>
  <c r="B102" i="7"/>
  <c r="D102" i="7"/>
  <c r="E102" i="7"/>
  <c r="G102" i="7"/>
  <c r="H102" i="7"/>
  <c r="I102" i="7"/>
  <c r="J102" i="7"/>
  <c r="K102" i="7"/>
  <c r="M102" i="7"/>
  <c r="O102" i="7"/>
  <c r="P102" i="7"/>
  <c r="Q102" i="7"/>
  <c r="B103" i="7"/>
  <c r="D103" i="7"/>
  <c r="E103" i="7"/>
  <c r="G103" i="7"/>
  <c r="H103" i="7"/>
  <c r="I103" i="7"/>
  <c r="J103" i="7"/>
  <c r="K103" i="7"/>
  <c r="M103" i="7"/>
  <c r="O103" i="7"/>
  <c r="P103" i="7"/>
  <c r="Q103" i="7"/>
  <c r="R103" i="7"/>
  <c r="B104" i="7"/>
  <c r="D104" i="7"/>
  <c r="E104" i="7"/>
  <c r="G104" i="7"/>
  <c r="H104" i="7"/>
  <c r="I104" i="7"/>
  <c r="J104" i="7"/>
  <c r="K104" i="7"/>
  <c r="M104" i="7"/>
  <c r="O104" i="7"/>
  <c r="P104" i="7"/>
  <c r="Q104" i="7"/>
  <c r="R104" i="7"/>
  <c r="B105" i="7"/>
  <c r="D105" i="7"/>
  <c r="E105" i="7"/>
  <c r="G105" i="7"/>
  <c r="H105" i="7"/>
  <c r="I105" i="7"/>
  <c r="J105" i="7"/>
  <c r="K105" i="7"/>
  <c r="M105" i="7"/>
  <c r="O105" i="7"/>
  <c r="P105" i="7"/>
  <c r="Q105" i="7"/>
  <c r="B106" i="7"/>
  <c r="D106" i="7"/>
  <c r="E106" i="7"/>
  <c r="G106" i="7"/>
  <c r="H106" i="7"/>
  <c r="I106" i="7"/>
  <c r="J106" i="7"/>
  <c r="K106" i="7"/>
  <c r="O106" i="7"/>
  <c r="P106" i="7"/>
  <c r="Q106" i="7"/>
  <c r="B107" i="7"/>
  <c r="D107" i="7"/>
  <c r="E107" i="7"/>
  <c r="F107" i="7"/>
  <c r="G107" i="7"/>
  <c r="H107" i="7"/>
  <c r="I107" i="7"/>
  <c r="J107" i="7"/>
  <c r="K107" i="7"/>
  <c r="O107" i="7"/>
  <c r="P107" i="7"/>
  <c r="Q107" i="7"/>
  <c r="B108" i="7"/>
  <c r="D108" i="7"/>
  <c r="E108" i="7"/>
  <c r="F108" i="7"/>
  <c r="G108" i="7"/>
  <c r="H108" i="7"/>
  <c r="I108" i="7"/>
  <c r="J108" i="7"/>
  <c r="K108" i="7"/>
  <c r="O108" i="7"/>
  <c r="P108" i="7"/>
  <c r="Q108" i="7"/>
  <c r="B109" i="7"/>
  <c r="D109" i="7"/>
  <c r="E109" i="7"/>
  <c r="F109" i="7"/>
  <c r="G109" i="7"/>
  <c r="H109" i="7"/>
  <c r="I109" i="7"/>
  <c r="J109" i="7"/>
  <c r="K109" i="7"/>
  <c r="O109" i="7"/>
  <c r="P109" i="7"/>
  <c r="Q109" i="7"/>
  <c r="B110" i="7"/>
  <c r="D110" i="7"/>
  <c r="E110" i="7"/>
  <c r="F110" i="7"/>
  <c r="G110" i="7"/>
  <c r="H110" i="7"/>
  <c r="I110" i="7"/>
  <c r="J110" i="7"/>
  <c r="K110" i="7"/>
  <c r="O110" i="7"/>
  <c r="P110" i="7"/>
  <c r="Q110" i="7"/>
  <c r="B111" i="7"/>
  <c r="D111" i="7"/>
  <c r="E111" i="7"/>
  <c r="F111" i="7"/>
  <c r="G111" i="7"/>
  <c r="H111" i="7"/>
  <c r="I111" i="7"/>
  <c r="J111" i="7"/>
  <c r="K111" i="7"/>
  <c r="O111" i="7"/>
  <c r="P111" i="7"/>
  <c r="Q111" i="7"/>
  <c r="B112" i="7"/>
  <c r="D112" i="7"/>
  <c r="E112" i="7"/>
  <c r="G112" i="7"/>
  <c r="H112" i="7"/>
  <c r="I112" i="7"/>
  <c r="J112" i="7"/>
  <c r="K112" i="7"/>
  <c r="O112" i="7"/>
  <c r="P112" i="7"/>
  <c r="Q112" i="7"/>
  <c r="B113" i="7"/>
  <c r="D113" i="7"/>
  <c r="E113" i="7"/>
  <c r="F113" i="7"/>
  <c r="G113" i="7"/>
  <c r="H113" i="7"/>
  <c r="I113" i="7"/>
  <c r="J113" i="7"/>
  <c r="K113" i="7"/>
  <c r="M113" i="7"/>
  <c r="P113" i="7"/>
  <c r="Q113" i="7"/>
  <c r="B114" i="7"/>
  <c r="D114" i="7"/>
  <c r="E114" i="7"/>
  <c r="F114" i="7"/>
  <c r="G114" i="7"/>
  <c r="H114" i="7"/>
  <c r="I114" i="7"/>
  <c r="J114" i="7"/>
  <c r="K114" i="7"/>
  <c r="O114" i="7"/>
  <c r="P114" i="7"/>
  <c r="Q114" i="7"/>
  <c r="B115" i="7"/>
  <c r="D115" i="7"/>
  <c r="E115" i="7"/>
  <c r="G115" i="7"/>
  <c r="H115" i="7"/>
  <c r="I115" i="7"/>
  <c r="J115" i="7"/>
  <c r="K115" i="7"/>
  <c r="O115" i="7"/>
  <c r="P115" i="7"/>
  <c r="Q115" i="7"/>
  <c r="B116" i="7"/>
  <c r="D116" i="7"/>
  <c r="E116" i="7"/>
  <c r="F116" i="7"/>
  <c r="G116" i="7"/>
  <c r="H116" i="7"/>
  <c r="I116" i="7"/>
  <c r="J116" i="7"/>
  <c r="K116" i="7"/>
  <c r="O116" i="7"/>
  <c r="P116" i="7"/>
  <c r="Q116" i="7"/>
  <c r="B117" i="7"/>
  <c r="D117" i="7"/>
  <c r="E117" i="7"/>
  <c r="F117" i="7"/>
  <c r="G117" i="7"/>
  <c r="H117" i="7"/>
  <c r="I117" i="7"/>
  <c r="J117" i="7"/>
  <c r="K117" i="7"/>
  <c r="O117" i="7"/>
  <c r="P117" i="7"/>
  <c r="Q117" i="7"/>
  <c r="B118" i="7"/>
  <c r="D118" i="7"/>
  <c r="E118" i="7"/>
  <c r="G118" i="7"/>
  <c r="H118" i="7"/>
  <c r="I118" i="7"/>
  <c r="J118" i="7"/>
  <c r="K118" i="7"/>
  <c r="O118" i="7"/>
  <c r="P118" i="7"/>
  <c r="Q118" i="7"/>
  <c r="B119" i="7"/>
  <c r="D119" i="7"/>
  <c r="E119" i="7"/>
  <c r="F119" i="7"/>
  <c r="G119" i="7"/>
  <c r="H119" i="7"/>
  <c r="I119" i="7"/>
  <c r="J119" i="7"/>
  <c r="K119" i="7"/>
  <c r="O119" i="7"/>
  <c r="P119" i="7"/>
  <c r="Q119" i="7"/>
  <c r="B120" i="7"/>
  <c r="D120" i="7"/>
  <c r="E120" i="7"/>
  <c r="G120" i="7"/>
  <c r="H120" i="7"/>
  <c r="I120" i="7"/>
  <c r="J120" i="7"/>
  <c r="K120" i="7"/>
  <c r="O120" i="7"/>
  <c r="P120" i="7"/>
  <c r="Q120" i="7"/>
  <c r="B121" i="7"/>
  <c r="D121" i="7"/>
  <c r="E121" i="7"/>
  <c r="F121" i="7"/>
  <c r="G121" i="7"/>
  <c r="H121" i="7"/>
  <c r="I121" i="7"/>
  <c r="J121" i="7"/>
  <c r="K121" i="7"/>
  <c r="L121" i="7"/>
  <c r="M121" i="7"/>
  <c r="O121" i="7"/>
  <c r="P121" i="7"/>
  <c r="Q121" i="7"/>
  <c r="B122" i="7"/>
  <c r="E122" i="7"/>
  <c r="F122" i="7"/>
  <c r="G122" i="7"/>
  <c r="H122" i="7"/>
  <c r="I122" i="7"/>
  <c r="J122" i="7"/>
  <c r="K122" i="7"/>
  <c r="P122" i="7"/>
  <c r="Q122" i="7"/>
  <c r="B123" i="7"/>
  <c r="E123" i="7"/>
  <c r="F123" i="7"/>
  <c r="G123" i="7"/>
  <c r="H123" i="7"/>
  <c r="I123" i="7"/>
  <c r="J123" i="7"/>
  <c r="K123" i="7"/>
  <c r="P123" i="7"/>
  <c r="Q123" i="7"/>
  <c r="B124" i="7"/>
  <c r="C124" i="7"/>
  <c r="D124" i="7"/>
  <c r="E124" i="7"/>
  <c r="F124" i="7"/>
  <c r="G124" i="7"/>
  <c r="H124" i="7"/>
  <c r="I124" i="7"/>
  <c r="J124" i="7"/>
  <c r="K124" i="7"/>
  <c r="P124" i="7"/>
  <c r="Q124" i="7"/>
  <c r="R124" i="7"/>
  <c r="B125" i="7"/>
  <c r="C125" i="7"/>
  <c r="D125" i="7"/>
  <c r="E125" i="7"/>
  <c r="F125" i="7"/>
  <c r="G125" i="7"/>
  <c r="H125" i="7"/>
  <c r="I125" i="7"/>
  <c r="J125" i="7"/>
  <c r="K125" i="7"/>
  <c r="P125" i="7"/>
  <c r="Q125" i="7"/>
  <c r="R125" i="7"/>
  <c r="B126" i="7"/>
  <c r="C126" i="7"/>
  <c r="D126" i="7"/>
  <c r="E126" i="7"/>
  <c r="F126" i="7"/>
  <c r="G126" i="7"/>
  <c r="H126" i="7"/>
  <c r="I126" i="7"/>
  <c r="J126" i="7"/>
  <c r="K126" i="7"/>
  <c r="M126" i="7"/>
  <c r="P126" i="7"/>
  <c r="Q126" i="7"/>
  <c r="R126" i="7"/>
  <c r="B127" i="7"/>
  <c r="C127" i="7"/>
  <c r="D127" i="7"/>
  <c r="E127" i="7"/>
  <c r="F127" i="7"/>
  <c r="G127" i="7"/>
  <c r="H127" i="7"/>
  <c r="I127" i="7"/>
  <c r="J127" i="7"/>
  <c r="K127" i="7"/>
  <c r="M127" i="7"/>
  <c r="P127" i="7"/>
  <c r="Q127" i="7"/>
  <c r="R127" i="7"/>
  <c r="B128" i="7"/>
  <c r="C128" i="7"/>
  <c r="D128" i="7"/>
  <c r="E128" i="7"/>
  <c r="F128" i="7"/>
  <c r="G128" i="7"/>
  <c r="H128" i="7"/>
  <c r="I128" i="7"/>
  <c r="J128" i="7"/>
  <c r="K128" i="7"/>
  <c r="P128" i="7"/>
  <c r="Q128" i="7"/>
  <c r="B129" i="7"/>
  <c r="C129" i="7"/>
  <c r="D129" i="7"/>
  <c r="E129" i="7"/>
  <c r="F129" i="7"/>
  <c r="G129" i="7"/>
  <c r="H129" i="7"/>
  <c r="I129" i="7"/>
  <c r="J129" i="7"/>
  <c r="K129" i="7"/>
  <c r="P129" i="7"/>
  <c r="Q129" i="7"/>
  <c r="B130" i="7"/>
  <c r="C130" i="7"/>
  <c r="D130" i="7"/>
  <c r="E130" i="7"/>
  <c r="F130" i="7"/>
  <c r="G130" i="7"/>
  <c r="H130" i="7"/>
  <c r="I130" i="7"/>
  <c r="J130" i="7"/>
  <c r="K130" i="7"/>
  <c r="P130" i="7"/>
  <c r="Q130" i="7"/>
  <c r="B131" i="7"/>
  <c r="C131" i="7"/>
  <c r="D131" i="7"/>
  <c r="E131" i="7"/>
  <c r="F131" i="7"/>
  <c r="G131" i="7"/>
  <c r="H131" i="7"/>
  <c r="I131" i="7"/>
  <c r="J131" i="7"/>
  <c r="K131" i="7"/>
  <c r="P131" i="7"/>
  <c r="Q131" i="7"/>
  <c r="R131" i="7"/>
  <c r="B132" i="7"/>
  <c r="C132" i="7"/>
  <c r="D132" i="7"/>
  <c r="E132" i="7"/>
  <c r="F132" i="7"/>
  <c r="G132" i="7"/>
  <c r="H132" i="7"/>
  <c r="I132" i="7"/>
  <c r="J132" i="7"/>
  <c r="K132" i="7"/>
  <c r="P132" i="7"/>
  <c r="Q132" i="7"/>
  <c r="R132" i="7"/>
  <c r="B133" i="7"/>
  <c r="C133" i="7"/>
  <c r="D133" i="7"/>
  <c r="E133" i="7"/>
  <c r="F133" i="7"/>
  <c r="G133" i="7"/>
  <c r="H133" i="7"/>
  <c r="I133" i="7"/>
  <c r="J133" i="7"/>
  <c r="K133" i="7"/>
  <c r="M133" i="7"/>
  <c r="P133" i="7"/>
  <c r="Q133" i="7"/>
  <c r="B134" i="7"/>
  <c r="C134" i="7"/>
  <c r="D134" i="7"/>
  <c r="E134" i="7"/>
  <c r="F134" i="7"/>
  <c r="G134" i="7"/>
  <c r="H134" i="7"/>
  <c r="I134" i="7"/>
  <c r="J134" i="7"/>
  <c r="K134" i="7"/>
  <c r="P134" i="7"/>
  <c r="Q134" i="7"/>
  <c r="R134" i="7"/>
  <c r="B135" i="7"/>
  <c r="C135" i="7"/>
  <c r="D135" i="7"/>
  <c r="E135" i="7"/>
  <c r="F135" i="7"/>
  <c r="G135" i="7"/>
  <c r="H135" i="7"/>
  <c r="I135" i="7"/>
  <c r="J135" i="7"/>
  <c r="K135" i="7"/>
  <c r="P135" i="7"/>
  <c r="Q135" i="7"/>
  <c r="R135" i="7"/>
  <c r="B136" i="7"/>
  <c r="C136" i="7"/>
  <c r="D136" i="7"/>
  <c r="E136" i="7"/>
  <c r="F136" i="7"/>
  <c r="G136" i="7"/>
  <c r="H136" i="7"/>
  <c r="I136" i="7"/>
  <c r="J136" i="7"/>
  <c r="K136" i="7"/>
  <c r="P136" i="7"/>
  <c r="Q136" i="7"/>
  <c r="B137" i="7"/>
  <c r="C137" i="7"/>
  <c r="D137" i="7"/>
  <c r="E137" i="7"/>
  <c r="F137" i="7"/>
  <c r="G137" i="7"/>
  <c r="H137" i="7"/>
  <c r="I137" i="7"/>
  <c r="J137" i="7"/>
  <c r="K137" i="7"/>
  <c r="P137" i="7"/>
  <c r="Q137" i="7"/>
  <c r="R137" i="7"/>
  <c r="B138" i="7"/>
  <c r="C138" i="7"/>
  <c r="D138" i="7"/>
  <c r="E138" i="7"/>
  <c r="F138" i="7"/>
  <c r="G138" i="7"/>
  <c r="H138" i="7"/>
  <c r="I138" i="7"/>
  <c r="J138" i="7"/>
  <c r="K138" i="7"/>
  <c r="P138" i="7"/>
  <c r="Q138" i="7"/>
  <c r="B139" i="7"/>
  <c r="C139" i="7"/>
  <c r="D139" i="7"/>
  <c r="E139" i="7"/>
  <c r="F139" i="7"/>
  <c r="G139" i="7"/>
  <c r="H139" i="7"/>
  <c r="I139" i="7"/>
  <c r="J139" i="7"/>
  <c r="K139" i="7"/>
  <c r="P139" i="7"/>
  <c r="Q139" i="7"/>
  <c r="B140" i="7"/>
  <c r="C140" i="7"/>
  <c r="D140" i="7"/>
  <c r="E140" i="7"/>
  <c r="F140" i="7"/>
  <c r="G140" i="7"/>
  <c r="H140" i="7"/>
  <c r="I140" i="7"/>
  <c r="J140" i="7"/>
  <c r="K140" i="7"/>
  <c r="P140" i="7"/>
  <c r="Q140" i="7"/>
  <c r="B141" i="7"/>
  <c r="C141" i="7"/>
  <c r="D141" i="7"/>
  <c r="E141" i="7"/>
  <c r="F141" i="7"/>
  <c r="G141" i="7"/>
  <c r="H141" i="7"/>
  <c r="I141" i="7"/>
  <c r="J141" i="7"/>
  <c r="K141" i="7"/>
  <c r="M141" i="7"/>
  <c r="P141" i="7"/>
  <c r="Q141" i="7"/>
  <c r="B142" i="7"/>
  <c r="C142" i="7"/>
  <c r="D142" i="7"/>
  <c r="E142" i="7"/>
  <c r="F142" i="7"/>
  <c r="G142" i="7"/>
  <c r="H142" i="7"/>
  <c r="I142" i="7"/>
  <c r="J142" i="7"/>
  <c r="K142" i="7"/>
  <c r="P142" i="7"/>
  <c r="Q142" i="7"/>
  <c r="R142" i="7"/>
  <c r="B143" i="7"/>
  <c r="C143" i="7"/>
  <c r="D143" i="7"/>
  <c r="E143" i="7"/>
  <c r="F143" i="7"/>
  <c r="G143" i="7"/>
  <c r="H143" i="7"/>
  <c r="I143" i="7"/>
  <c r="J143" i="7"/>
  <c r="K143" i="7"/>
  <c r="P143" i="7"/>
  <c r="Q143" i="7"/>
  <c r="R143" i="7"/>
  <c r="B144" i="7"/>
  <c r="C144" i="7"/>
  <c r="D144" i="7"/>
  <c r="E144" i="7"/>
  <c r="F144" i="7"/>
  <c r="G144" i="7"/>
  <c r="H144" i="7"/>
  <c r="I144" i="7"/>
  <c r="J144" i="7"/>
  <c r="K144" i="7"/>
  <c r="M144" i="7"/>
  <c r="P144" i="7"/>
  <c r="Q144" i="7"/>
  <c r="R144" i="7"/>
  <c r="B145" i="7"/>
  <c r="C145" i="7"/>
  <c r="D145" i="7"/>
  <c r="E145" i="7"/>
  <c r="F145" i="7"/>
  <c r="G145" i="7"/>
  <c r="H145" i="7"/>
  <c r="I145" i="7"/>
  <c r="J145" i="7"/>
  <c r="K145" i="7"/>
  <c r="P145" i="7"/>
  <c r="Q145" i="7"/>
  <c r="R145" i="7"/>
  <c r="B146" i="7"/>
  <c r="C146" i="7"/>
  <c r="D146" i="7"/>
  <c r="E146" i="7"/>
  <c r="F146" i="7"/>
  <c r="G146" i="7"/>
  <c r="H146" i="7"/>
  <c r="I146" i="7"/>
  <c r="J146" i="7"/>
  <c r="K146" i="7"/>
  <c r="P146" i="7"/>
  <c r="Q146" i="7"/>
  <c r="B147" i="7"/>
  <c r="C147" i="7"/>
  <c r="D147" i="7"/>
  <c r="E147" i="7"/>
  <c r="F147" i="7"/>
  <c r="G147" i="7"/>
  <c r="H147" i="7"/>
  <c r="I147" i="7"/>
  <c r="J147" i="7"/>
  <c r="K147" i="7"/>
  <c r="P147" i="7"/>
  <c r="Q147" i="7"/>
  <c r="R147" i="7"/>
  <c r="B148" i="7"/>
  <c r="C148" i="7"/>
  <c r="D148" i="7"/>
  <c r="E148" i="7"/>
  <c r="F148" i="7"/>
  <c r="G148" i="7"/>
  <c r="H148" i="7"/>
  <c r="I148" i="7"/>
  <c r="J148" i="7"/>
  <c r="K148" i="7"/>
  <c r="P148" i="7"/>
  <c r="Q148" i="7"/>
  <c r="R148" i="7"/>
  <c r="B149" i="7"/>
  <c r="C149" i="7"/>
  <c r="D149" i="7"/>
  <c r="E149" i="7"/>
  <c r="F149" i="7"/>
  <c r="G149" i="7"/>
  <c r="H149" i="7"/>
  <c r="I149" i="7"/>
  <c r="J149" i="7"/>
  <c r="K149" i="7"/>
  <c r="P149" i="7"/>
  <c r="Q149" i="7"/>
  <c r="B150" i="7"/>
  <c r="C150" i="7"/>
  <c r="D150" i="7"/>
  <c r="E150" i="7"/>
  <c r="F150" i="7"/>
  <c r="G150" i="7"/>
  <c r="H150" i="7"/>
  <c r="I150" i="7"/>
  <c r="J150" i="7"/>
  <c r="K150" i="7"/>
  <c r="P150" i="7"/>
  <c r="Q150" i="7"/>
  <c r="R150" i="7"/>
  <c r="B151" i="7"/>
  <c r="C151" i="7"/>
  <c r="D151" i="7"/>
  <c r="E151" i="7"/>
  <c r="F151" i="7"/>
  <c r="G151" i="7"/>
  <c r="H151" i="7"/>
  <c r="I151" i="7"/>
  <c r="J151" i="7"/>
  <c r="K151" i="7"/>
  <c r="P151" i="7"/>
  <c r="Q151" i="7"/>
  <c r="R151" i="7"/>
  <c r="B152" i="7"/>
  <c r="C152" i="7"/>
  <c r="D152" i="7"/>
  <c r="E152" i="7"/>
  <c r="F152" i="7"/>
  <c r="G152" i="7"/>
  <c r="H152" i="7"/>
  <c r="I152" i="7"/>
  <c r="J152" i="7"/>
  <c r="K152" i="7"/>
  <c r="P152" i="7"/>
  <c r="Q152" i="7"/>
  <c r="R152" i="7"/>
  <c r="B153" i="7"/>
  <c r="C153" i="7"/>
  <c r="D153" i="7"/>
  <c r="E153" i="7"/>
  <c r="F153" i="7"/>
  <c r="G153" i="7"/>
  <c r="H153" i="7"/>
  <c r="I153" i="7"/>
  <c r="J153" i="7"/>
  <c r="K153" i="7"/>
  <c r="P153" i="7"/>
  <c r="Q153" i="7"/>
  <c r="R153" i="7"/>
  <c r="B154" i="7"/>
  <c r="C154" i="7"/>
  <c r="D154" i="7"/>
  <c r="E154" i="7"/>
  <c r="F154" i="7"/>
  <c r="G154" i="7"/>
  <c r="H154" i="7"/>
  <c r="I154" i="7"/>
  <c r="J154" i="7"/>
  <c r="K154" i="7"/>
  <c r="P154" i="7"/>
  <c r="Q154" i="7"/>
  <c r="R154" i="7"/>
  <c r="B155" i="7"/>
  <c r="C155" i="7"/>
  <c r="D155" i="7"/>
  <c r="E155" i="7"/>
  <c r="F155" i="7"/>
  <c r="G155" i="7"/>
  <c r="H155" i="7"/>
  <c r="I155" i="7"/>
  <c r="J155" i="7"/>
  <c r="K155" i="7"/>
  <c r="M155" i="7"/>
  <c r="P155" i="7"/>
  <c r="Q155" i="7"/>
  <c r="B156" i="7"/>
  <c r="C156" i="7"/>
  <c r="D156" i="7"/>
  <c r="E156" i="7"/>
  <c r="F156" i="7"/>
  <c r="G156" i="7"/>
  <c r="H156" i="7"/>
  <c r="I156" i="7"/>
  <c r="J156" i="7"/>
  <c r="K156" i="7"/>
  <c r="P156" i="7"/>
  <c r="Q156" i="7"/>
  <c r="B157" i="7"/>
  <c r="C157" i="7"/>
  <c r="D157" i="7"/>
  <c r="E157" i="7"/>
  <c r="F157" i="7"/>
  <c r="G157" i="7"/>
  <c r="H157" i="7"/>
  <c r="I157" i="7"/>
  <c r="J157" i="7"/>
  <c r="K157" i="7"/>
  <c r="P157" i="7"/>
  <c r="Q157" i="7"/>
  <c r="R157" i="7"/>
  <c r="B158" i="7"/>
  <c r="C158" i="7"/>
  <c r="D158" i="7"/>
  <c r="E158" i="7"/>
  <c r="F158" i="7"/>
  <c r="G158" i="7"/>
  <c r="H158" i="7"/>
  <c r="I158" i="7"/>
  <c r="J158" i="7"/>
  <c r="K158" i="7"/>
  <c r="M158" i="7"/>
  <c r="P158" i="7"/>
  <c r="Q158" i="7"/>
  <c r="B159" i="7"/>
  <c r="C159" i="7"/>
  <c r="D159" i="7"/>
  <c r="E159" i="7"/>
  <c r="F159" i="7"/>
  <c r="G159" i="7"/>
  <c r="H159" i="7"/>
  <c r="I159" i="7"/>
  <c r="J159" i="7"/>
  <c r="K159" i="7"/>
  <c r="P159" i="7"/>
  <c r="Q159" i="7"/>
  <c r="B160" i="7"/>
  <c r="C160" i="7"/>
  <c r="D160" i="7"/>
  <c r="E160" i="7"/>
  <c r="F160" i="7"/>
  <c r="G160" i="7"/>
  <c r="H160" i="7"/>
  <c r="I160" i="7"/>
  <c r="J160" i="7"/>
  <c r="K160" i="7"/>
  <c r="P160" i="7"/>
  <c r="Q160" i="7"/>
  <c r="B161" i="7"/>
  <c r="C161" i="7"/>
  <c r="D161" i="7"/>
  <c r="E161" i="7"/>
  <c r="F161" i="7"/>
  <c r="G161" i="7"/>
  <c r="H161" i="7"/>
  <c r="I161" i="7"/>
  <c r="J161" i="7"/>
  <c r="K161" i="7"/>
  <c r="P161" i="7"/>
  <c r="Q161" i="7"/>
  <c r="R161" i="7"/>
  <c r="B162" i="7"/>
  <c r="C162" i="7"/>
  <c r="D162" i="7"/>
  <c r="E162" i="7"/>
  <c r="F162" i="7"/>
  <c r="G162" i="7"/>
  <c r="H162" i="7"/>
  <c r="I162" i="7"/>
  <c r="J162" i="7"/>
  <c r="K162" i="7"/>
  <c r="P162" i="7"/>
  <c r="Q162" i="7"/>
  <c r="B163" i="7"/>
  <c r="C163" i="7"/>
  <c r="D163" i="7"/>
  <c r="E163" i="7"/>
  <c r="F163" i="7"/>
  <c r="G163" i="7"/>
  <c r="H163" i="7"/>
  <c r="I163" i="7"/>
  <c r="J163" i="7"/>
  <c r="K163" i="7"/>
  <c r="P163" i="7"/>
  <c r="Q163" i="7"/>
  <c r="B164" i="7"/>
  <c r="C164" i="7"/>
  <c r="D164" i="7"/>
  <c r="E164" i="7"/>
  <c r="F164" i="7"/>
  <c r="G164" i="7"/>
  <c r="H164" i="7"/>
  <c r="I164" i="7"/>
  <c r="J164" i="7"/>
  <c r="K164" i="7"/>
  <c r="P164" i="7"/>
  <c r="Q164" i="7"/>
  <c r="R164" i="7"/>
  <c r="B165" i="7"/>
  <c r="C165" i="7"/>
  <c r="D165" i="7"/>
  <c r="E165" i="7"/>
  <c r="F165" i="7"/>
  <c r="G165" i="7"/>
  <c r="H165" i="7"/>
  <c r="I165" i="7"/>
  <c r="J165" i="7"/>
  <c r="K165" i="7"/>
  <c r="P165" i="7"/>
  <c r="Q165" i="7"/>
  <c r="R165" i="7"/>
  <c r="B166" i="7"/>
  <c r="C166" i="7"/>
  <c r="D166" i="7"/>
  <c r="E166" i="7"/>
  <c r="F166" i="7"/>
  <c r="G166" i="7"/>
  <c r="H166" i="7"/>
  <c r="I166" i="7"/>
  <c r="J166" i="7"/>
  <c r="K166" i="7"/>
  <c r="P166" i="7"/>
  <c r="Q166" i="7"/>
  <c r="B167" i="7"/>
  <c r="C167" i="7"/>
  <c r="D167" i="7"/>
  <c r="E167" i="7"/>
  <c r="F167" i="7"/>
  <c r="G167" i="7"/>
  <c r="H167" i="7"/>
  <c r="I167" i="7"/>
  <c r="J167" i="7"/>
  <c r="K167" i="7"/>
  <c r="P167" i="7"/>
  <c r="Q167" i="7"/>
  <c r="B168" i="7"/>
  <c r="C168" i="7"/>
  <c r="D168" i="7"/>
  <c r="E168" i="7"/>
  <c r="F168" i="7"/>
  <c r="G168" i="7"/>
  <c r="H168" i="7"/>
  <c r="I168" i="7"/>
  <c r="J168" i="7"/>
  <c r="K168" i="7"/>
  <c r="P168" i="7"/>
  <c r="Q168" i="7"/>
  <c r="R168" i="7"/>
  <c r="B169" i="7"/>
  <c r="C169" i="7"/>
  <c r="D169" i="7"/>
  <c r="E169" i="7"/>
  <c r="F169" i="7"/>
  <c r="G169" i="7"/>
  <c r="H169" i="7"/>
  <c r="I169" i="7"/>
  <c r="J169" i="7"/>
  <c r="K169" i="7"/>
  <c r="P169" i="7"/>
  <c r="Q169" i="7"/>
  <c r="B170" i="7"/>
  <c r="C170" i="7"/>
  <c r="D170" i="7"/>
  <c r="E170" i="7"/>
  <c r="F170" i="7"/>
  <c r="G170" i="7"/>
  <c r="H170" i="7"/>
  <c r="I170" i="7"/>
  <c r="J170" i="7"/>
  <c r="K170" i="7"/>
  <c r="P170" i="7"/>
  <c r="Q170" i="7"/>
  <c r="B171" i="7"/>
  <c r="C171" i="7"/>
  <c r="D171" i="7"/>
  <c r="E171" i="7"/>
  <c r="F171" i="7"/>
  <c r="G171" i="7"/>
  <c r="H171" i="7"/>
  <c r="I171" i="7"/>
  <c r="J171" i="7"/>
  <c r="K171" i="7"/>
  <c r="P171" i="7"/>
  <c r="Q171" i="7"/>
  <c r="R171" i="7"/>
  <c r="B172" i="7"/>
  <c r="C172" i="7"/>
  <c r="D172" i="7"/>
  <c r="E172" i="7"/>
  <c r="F172" i="7"/>
  <c r="G172" i="7"/>
  <c r="H172" i="7"/>
  <c r="I172" i="7"/>
  <c r="J172" i="7"/>
  <c r="K172" i="7"/>
  <c r="P172" i="7"/>
  <c r="Q172" i="7"/>
  <c r="R172" i="7"/>
  <c r="B173" i="7"/>
  <c r="C173" i="7"/>
  <c r="D173" i="7"/>
  <c r="E173" i="7"/>
  <c r="F173" i="7"/>
  <c r="G173" i="7"/>
  <c r="H173" i="7"/>
  <c r="I173" i="7"/>
  <c r="J173" i="7"/>
  <c r="K173" i="7"/>
  <c r="P173" i="7"/>
  <c r="Q173" i="7"/>
  <c r="R173" i="7"/>
  <c r="B174" i="7"/>
  <c r="C174" i="7"/>
  <c r="D174" i="7"/>
  <c r="E174" i="7"/>
  <c r="F174" i="7"/>
  <c r="G174" i="7"/>
  <c r="H174" i="7"/>
  <c r="I174" i="7"/>
  <c r="J174" i="7"/>
  <c r="K174" i="7"/>
  <c r="P174" i="7"/>
  <c r="Q174" i="7"/>
  <c r="R174" i="7"/>
  <c r="B175" i="7"/>
  <c r="C175" i="7"/>
  <c r="D175" i="7"/>
  <c r="E175" i="7"/>
  <c r="F175" i="7"/>
  <c r="G175" i="7"/>
  <c r="H175" i="7"/>
  <c r="I175" i="7"/>
  <c r="J175" i="7"/>
  <c r="K175" i="7"/>
  <c r="P175" i="7"/>
  <c r="Q175" i="7"/>
  <c r="B176" i="7"/>
  <c r="C176" i="7"/>
  <c r="D176" i="7"/>
  <c r="E176" i="7"/>
  <c r="F176" i="7"/>
  <c r="G176" i="7"/>
  <c r="H176" i="7"/>
  <c r="I176" i="7"/>
  <c r="J176" i="7"/>
  <c r="K176" i="7"/>
  <c r="P176" i="7"/>
  <c r="Q176" i="7"/>
  <c r="B177" i="7"/>
  <c r="C177" i="7"/>
  <c r="D177" i="7"/>
  <c r="E177" i="7"/>
  <c r="F177" i="7"/>
  <c r="G177" i="7"/>
  <c r="H177" i="7"/>
  <c r="I177" i="7"/>
  <c r="J177" i="7"/>
  <c r="K177" i="7"/>
  <c r="P177" i="7"/>
  <c r="Q177" i="7"/>
  <c r="B178" i="7"/>
  <c r="C178" i="7"/>
  <c r="D178" i="7"/>
  <c r="E178" i="7"/>
  <c r="F178" i="7"/>
  <c r="G178" i="7"/>
  <c r="H178" i="7"/>
  <c r="I178" i="7"/>
  <c r="J178" i="7"/>
  <c r="K178" i="7"/>
  <c r="P178" i="7"/>
  <c r="Q178" i="7"/>
  <c r="R178" i="7"/>
  <c r="B179" i="7"/>
  <c r="C179" i="7"/>
  <c r="D179" i="7"/>
  <c r="E179" i="7"/>
  <c r="F179" i="7"/>
  <c r="G179" i="7"/>
  <c r="H179" i="7"/>
  <c r="I179" i="7"/>
  <c r="J179" i="7"/>
  <c r="K179" i="7"/>
  <c r="P179" i="7"/>
  <c r="Q179" i="7"/>
  <c r="R179" i="7"/>
  <c r="B180" i="7"/>
  <c r="C180" i="7"/>
  <c r="D180" i="7"/>
  <c r="E180" i="7"/>
  <c r="F180" i="7"/>
  <c r="G180" i="7"/>
  <c r="H180" i="7"/>
  <c r="I180" i="7"/>
  <c r="J180" i="7"/>
  <c r="K180" i="7"/>
  <c r="P180" i="7"/>
  <c r="Q180" i="7"/>
  <c r="B181" i="7"/>
  <c r="C181" i="7"/>
  <c r="D181" i="7"/>
  <c r="E181" i="7"/>
  <c r="F181" i="7"/>
  <c r="G181" i="7"/>
  <c r="H181" i="7"/>
  <c r="I181" i="7"/>
  <c r="J181" i="7"/>
  <c r="K181" i="7"/>
  <c r="P181" i="7"/>
  <c r="Q181" i="7"/>
  <c r="R181" i="7"/>
  <c r="B182" i="7"/>
  <c r="C182" i="7"/>
  <c r="D182" i="7"/>
  <c r="E182" i="7"/>
  <c r="F182" i="7"/>
  <c r="G182" i="7"/>
  <c r="H182" i="7"/>
  <c r="I182" i="7"/>
  <c r="J182" i="7"/>
  <c r="K182" i="7"/>
  <c r="P182" i="7"/>
  <c r="Q182" i="7"/>
  <c r="B183" i="7"/>
  <c r="C183" i="7"/>
  <c r="D183" i="7"/>
  <c r="E183" i="7"/>
  <c r="F183" i="7"/>
  <c r="G183" i="7"/>
  <c r="H183" i="7"/>
  <c r="I183" i="7"/>
  <c r="J183" i="7"/>
  <c r="K183" i="7"/>
  <c r="P183" i="7"/>
  <c r="Q183" i="7"/>
  <c r="B184" i="7"/>
  <c r="C184" i="7"/>
  <c r="D184" i="7"/>
  <c r="E184" i="7"/>
  <c r="F184" i="7"/>
  <c r="G184" i="7"/>
  <c r="H184" i="7"/>
  <c r="I184" i="7"/>
  <c r="J184" i="7"/>
  <c r="K184" i="7"/>
  <c r="P184" i="7"/>
  <c r="Q184" i="7"/>
  <c r="R184" i="7"/>
  <c r="B185" i="7"/>
  <c r="C185" i="7"/>
  <c r="D185" i="7"/>
  <c r="E185" i="7"/>
  <c r="F185" i="7"/>
  <c r="G185" i="7"/>
  <c r="H185" i="7"/>
  <c r="I185" i="7"/>
  <c r="J185" i="7"/>
  <c r="K185" i="7"/>
  <c r="P185" i="7"/>
  <c r="Q185" i="7"/>
  <c r="R185" i="7"/>
  <c r="B186" i="7"/>
  <c r="C186" i="7"/>
  <c r="D186" i="7"/>
  <c r="E186" i="7"/>
  <c r="F186" i="7"/>
  <c r="G186" i="7"/>
  <c r="H186" i="7"/>
  <c r="I186" i="7"/>
  <c r="J186" i="7"/>
  <c r="K186" i="7"/>
  <c r="P186" i="7"/>
  <c r="Q186" i="7"/>
  <c r="R186" i="7"/>
  <c r="B187" i="7"/>
  <c r="C187" i="7"/>
  <c r="D187" i="7"/>
  <c r="E187" i="7"/>
  <c r="F187" i="7"/>
  <c r="G187" i="7"/>
  <c r="H187" i="7"/>
  <c r="I187" i="7"/>
  <c r="J187" i="7"/>
  <c r="K187" i="7"/>
  <c r="P187" i="7"/>
  <c r="Q187" i="7"/>
  <c r="R187" i="7"/>
  <c r="B188" i="7"/>
  <c r="C188" i="7"/>
  <c r="D188" i="7"/>
  <c r="E188" i="7"/>
  <c r="F188" i="7"/>
  <c r="G188" i="7"/>
  <c r="H188" i="7"/>
  <c r="I188" i="7"/>
  <c r="J188" i="7"/>
  <c r="K188" i="7"/>
  <c r="P188" i="7"/>
  <c r="Q188" i="7"/>
  <c r="R188" i="7"/>
  <c r="B189" i="7"/>
  <c r="C189" i="7"/>
  <c r="D189" i="7"/>
  <c r="E189" i="7"/>
  <c r="F189" i="7"/>
  <c r="G189" i="7"/>
  <c r="H189" i="7"/>
  <c r="I189" i="7"/>
  <c r="J189" i="7"/>
  <c r="K189" i="7"/>
  <c r="P189" i="7"/>
  <c r="Q189" i="7"/>
  <c r="R189" i="7"/>
  <c r="B190" i="7"/>
  <c r="C190" i="7"/>
  <c r="D190" i="7"/>
  <c r="E190" i="7"/>
  <c r="F190" i="7"/>
  <c r="G190" i="7"/>
  <c r="H190" i="7"/>
  <c r="I190" i="7"/>
  <c r="J190" i="7"/>
  <c r="K190" i="7"/>
  <c r="P190" i="7"/>
  <c r="Q190" i="7"/>
  <c r="B191" i="7"/>
  <c r="C191" i="7"/>
  <c r="D191" i="7"/>
  <c r="E191" i="7"/>
  <c r="F191" i="7"/>
  <c r="G191" i="7"/>
  <c r="H191" i="7"/>
  <c r="I191" i="7"/>
  <c r="J191" i="7"/>
  <c r="K191" i="7"/>
  <c r="P191" i="7"/>
  <c r="Q191" i="7"/>
  <c r="R191" i="7"/>
  <c r="B192" i="7"/>
  <c r="C192" i="7"/>
  <c r="D192" i="7"/>
  <c r="E192" i="7"/>
  <c r="F192" i="7"/>
  <c r="G192" i="7"/>
  <c r="H192" i="7"/>
  <c r="I192" i="7"/>
  <c r="J192" i="7"/>
  <c r="K192" i="7"/>
  <c r="P192" i="7"/>
  <c r="Q192" i="7"/>
  <c r="R192" i="7"/>
  <c r="B193" i="7"/>
  <c r="C193" i="7"/>
  <c r="D193" i="7"/>
  <c r="E193" i="7"/>
  <c r="F193" i="7"/>
  <c r="G193" i="7"/>
  <c r="H193" i="7"/>
  <c r="I193" i="7"/>
  <c r="J193" i="7"/>
  <c r="K193" i="7"/>
  <c r="P193" i="7"/>
  <c r="Q193" i="7"/>
  <c r="B194" i="7"/>
  <c r="C194" i="7"/>
  <c r="D194" i="7"/>
  <c r="E194" i="7"/>
  <c r="F194" i="7"/>
  <c r="G194" i="7"/>
  <c r="H194" i="7"/>
  <c r="I194" i="7"/>
  <c r="J194" i="7"/>
  <c r="K194" i="7"/>
  <c r="P194" i="7"/>
  <c r="Q194" i="7"/>
  <c r="B195" i="7"/>
  <c r="C195" i="7"/>
  <c r="D195" i="7"/>
  <c r="E195" i="7"/>
  <c r="F195" i="7"/>
  <c r="G195" i="7"/>
  <c r="H195" i="7"/>
  <c r="I195" i="7"/>
  <c r="J195" i="7"/>
  <c r="K195" i="7"/>
  <c r="P195" i="7"/>
  <c r="Q195" i="7"/>
  <c r="R195" i="7"/>
  <c r="B196" i="7"/>
  <c r="C196" i="7"/>
  <c r="D196" i="7"/>
  <c r="E196" i="7"/>
  <c r="F196" i="7"/>
  <c r="G196" i="7"/>
  <c r="H196" i="7"/>
  <c r="I196" i="7"/>
  <c r="J196" i="7"/>
  <c r="K196" i="7"/>
  <c r="P196" i="7"/>
  <c r="Q196" i="7"/>
  <c r="B197" i="7"/>
  <c r="C197" i="7"/>
  <c r="D197" i="7"/>
  <c r="E197" i="7"/>
  <c r="F197" i="7"/>
  <c r="G197" i="7"/>
  <c r="H197" i="7"/>
  <c r="I197" i="7"/>
  <c r="J197" i="7"/>
  <c r="K197" i="7"/>
  <c r="P197" i="7"/>
  <c r="Q197" i="7"/>
  <c r="B198" i="7"/>
  <c r="C198" i="7"/>
  <c r="D198" i="7"/>
  <c r="E198" i="7"/>
  <c r="F198" i="7"/>
  <c r="G198" i="7"/>
  <c r="H198" i="7"/>
  <c r="I198" i="7"/>
  <c r="J198" i="7"/>
  <c r="K198" i="7"/>
  <c r="P198" i="7"/>
  <c r="Q198" i="7"/>
  <c r="B199" i="7"/>
  <c r="C199" i="7"/>
  <c r="D199" i="7"/>
  <c r="E199" i="7"/>
  <c r="F199" i="7"/>
  <c r="G199" i="7"/>
  <c r="H199" i="7"/>
  <c r="I199" i="7"/>
  <c r="J199" i="7"/>
  <c r="K199" i="7"/>
  <c r="P199" i="7"/>
  <c r="Q199" i="7"/>
  <c r="R199" i="7"/>
  <c r="B200" i="7"/>
  <c r="C200" i="7"/>
  <c r="D200" i="7"/>
  <c r="E200" i="7"/>
  <c r="F200" i="7"/>
  <c r="G200" i="7"/>
  <c r="H200" i="7"/>
  <c r="I200" i="7"/>
  <c r="J200" i="7"/>
  <c r="K200" i="7"/>
  <c r="P200" i="7"/>
  <c r="Q200" i="7"/>
  <c r="B201" i="7"/>
  <c r="C201" i="7"/>
  <c r="D201" i="7"/>
  <c r="E201" i="7"/>
  <c r="F201" i="7"/>
  <c r="G201" i="7"/>
  <c r="H201" i="7"/>
  <c r="I201" i="7"/>
  <c r="J201" i="7"/>
  <c r="K201" i="7"/>
  <c r="P201" i="7"/>
  <c r="Q201" i="7"/>
  <c r="R201" i="7"/>
  <c r="B202" i="7"/>
  <c r="C202" i="7"/>
  <c r="D202" i="7"/>
  <c r="E202" i="7"/>
  <c r="F202" i="7"/>
  <c r="G202" i="7"/>
  <c r="H202" i="7"/>
  <c r="I202" i="7"/>
  <c r="J202" i="7"/>
  <c r="K202" i="7"/>
  <c r="P202" i="7"/>
  <c r="Q202" i="7"/>
  <c r="M213" i="69"/>
  <c r="L212" i="69"/>
  <c r="L213" i="69" s="1"/>
  <c r="N124" i="69"/>
  <c r="N121" i="7" s="1"/>
  <c r="H79" i="36" l="1"/>
  <c r="E79" i="36"/>
  <c r="F79" i="36"/>
  <c r="E106" i="36"/>
  <c r="L79" i="36"/>
  <c r="I79" i="36"/>
  <c r="J79" i="36"/>
  <c r="H106" i="36"/>
  <c r="F106" i="36"/>
  <c r="L106" i="36"/>
  <c r="G79" i="36"/>
  <c r="J106" i="36"/>
  <c r="K106" i="36"/>
  <c r="K79" i="36"/>
  <c r="I106" i="36"/>
  <c r="G106" i="36"/>
  <c r="D79" i="36"/>
  <c r="D106" i="36"/>
  <c r="D1257" i="7"/>
  <c r="F24" i="36"/>
  <c r="F32" i="36"/>
  <c r="J40" i="36"/>
  <c r="J48" i="36"/>
  <c r="J56" i="36"/>
  <c r="J64" i="36"/>
  <c r="K30" i="36"/>
  <c r="G39" i="36"/>
  <c r="G47" i="36"/>
  <c r="G55" i="36"/>
  <c r="H25" i="36"/>
  <c r="H33" i="36"/>
  <c r="H41" i="36"/>
  <c r="H49" i="36"/>
  <c r="H57" i="36"/>
  <c r="H65" i="36"/>
  <c r="I33" i="36"/>
  <c r="E43" i="36"/>
  <c r="E55" i="36"/>
  <c r="L70" i="36"/>
  <c r="L78" i="36"/>
  <c r="J26" i="36"/>
  <c r="J34" i="36"/>
  <c r="F43" i="36"/>
  <c r="F51" i="36"/>
  <c r="F59" i="36"/>
  <c r="G25" i="36"/>
  <c r="G33" i="36"/>
  <c r="K41" i="36"/>
  <c r="K49" i="36"/>
  <c r="K57" i="36"/>
  <c r="L27" i="36"/>
  <c r="L35" i="36"/>
  <c r="L43" i="36"/>
  <c r="L51" i="36"/>
  <c r="L59" i="36"/>
  <c r="E25" i="36"/>
  <c r="E39" i="36"/>
  <c r="E49" i="36"/>
  <c r="H67" i="36"/>
  <c r="H75" i="36"/>
  <c r="H84" i="36"/>
  <c r="F27" i="36"/>
  <c r="J35" i="36"/>
  <c r="J43" i="36"/>
  <c r="J51" i="36"/>
  <c r="J59" i="36"/>
  <c r="K25" i="36"/>
  <c r="K33" i="36"/>
  <c r="G42" i="36"/>
  <c r="G50" i="36"/>
  <c r="G58" i="36"/>
  <c r="H28" i="36"/>
  <c r="H36" i="36"/>
  <c r="H44" i="36"/>
  <c r="H52" i="36"/>
  <c r="H60" i="36"/>
  <c r="E26" i="36"/>
  <c r="I37" i="36"/>
  <c r="I49" i="36"/>
  <c r="L67" i="36"/>
  <c r="L75" i="36"/>
  <c r="L84" i="36"/>
  <c r="J27" i="36"/>
  <c r="F36" i="36"/>
  <c r="F44" i="36"/>
  <c r="F52" i="36"/>
  <c r="F60" i="36"/>
  <c r="G26" i="36"/>
  <c r="G34" i="36"/>
  <c r="K42" i="36"/>
  <c r="K50" i="36"/>
  <c r="K58" i="36"/>
  <c r="L28" i="36"/>
  <c r="L36" i="36"/>
  <c r="L44" i="36"/>
  <c r="L52" i="36"/>
  <c r="L60" i="36"/>
  <c r="I26" i="36"/>
  <c r="E38" i="36"/>
  <c r="I47" i="36"/>
  <c r="G66" i="36"/>
  <c r="H81" i="36"/>
  <c r="H94" i="36"/>
  <c r="H102" i="36"/>
  <c r="F26" i="36"/>
  <c r="F34" i="36"/>
  <c r="J42" i="36"/>
  <c r="J50" i="36"/>
  <c r="J58" i="36"/>
  <c r="K24" i="36"/>
  <c r="K32" i="36"/>
  <c r="G41" i="36"/>
  <c r="G49" i="36"/>
  <c r="G57" i="36"/>
  <c r="H27" i="36"/>
  <c r="H35" i="36"/>
  <c r="H43" i="36"/>
  <c r="H51" i="36"/>
  <c r="H59" i="36"/>
  <c r="I24" i="36"/>
  <c r="E36" i="36"/>
  <c r="I45" i="36"/>
  <c r="I63" i="36"/>
  <c r="L72" i="36"/>
  <c r="L81" i="36"/>
  <c r="J28" i="36"/>
  <c r="F37" i="36"/>
  <c r="F45" i="36"/>
  <c r="F53" i="36"/>
  <c r="F61" i="36"/>
  <c r="G27" i="36"/>
  <c r="K35" i="36"/>
  <c r="K43" i="36"/>
  <c r="K51" i="36"/>
  <c r="K59" i="36"/>
  <c r="L29" i="36"/>
  <c r="L37" i="36"/>
  <c r="L45" i="36"/>
  <c r="L53" i="36"/>
  <c r="L61" i="36"/>
  <c r="I28" i="36"/>
  <c r="I41" i="36"/>
  <c r="I51" i="36"/>
  <c r="H69" i="36"/>
  <c r="H77" i="36"/>
  <c r="H86" i="36"/>
  <c r="F29" i="36"/>
  <c r="J37" i="36"/>
  <c r="J45" i="36"/>
  <c r="J53" i="36"/>
  <c r="J61" i="36"/>
  <c r="K27" i="36"/>
  <c r="G36" i="36"/>
  <c r="G44" i="36"/>
  <c r="G52" i="36"/>
  <c r="G60" i="36"/>
  <c r="H30" i="36"/>
  <c r="H38" i="36"/>
  <c r="H46" i="36"/>
  <c r="H54" i="36"/>
  <c r="H62" i="36"/>
  <c r="E29" i="36"/>
  <c r="E42" i="36"/>
  <c r="L69" i="36"/>
  <c r="L77" i="36"/>
  <c r="L86" i="36"/>
  <c r="J29" i="36"/>
  <c r="F38" i="36"/>
  <c r="F46" i="36"/>
  <c r="F54" i="36"/>
  <c r="F62" i="36"/>
  <c r="G28" i="36"/>
  <c r="K36" i="36"/>
  <c r="K44" i="36"/>
  <c r="K52" i="36"/>
  <c r="K60" i="36"/>
  <c r="L30" i="36"/>
  <c r="L38" i="36"/>
  <c r="L46" i="36"/>
  <c r="L54" i="36"/>
  <c r="L62" i="36"/>
  <c r="I29" i="36"/>
  <c r="E40" i="36"/>
  <c r="E50" i="36"/>
  <c r="H68" i="36"/>
  <c r="H87" i="36"/>
  <c r="H96" i="36"/>
  <c r="H104" i="36"/>
  <c r="F28" i="36"/>
  <c r="J36" i="36"/>
  <c r="J44" i="36"/>
  <c r="J52" i="36"/>
  <c r="J60" i="36"/>
  <c r="K26" i="36"/>
  <c r="K34" i="36"/>
  <c r="G43" i="36"/>
  <c r="G51" i="36"/>
  <c r="G59" i="36"/>
  <c r="H29" i="36"/>
  <c r="H37" i="36"/>
  <c r="H45" i="36"/>
  <c r="H53" i="36"/>
  <c r="H61" i="36"/>
  <c r="I27" i="36"/>
  <c r="I38" i="36"/>
  <c r="E48" i="36"/>
  <c r="L66" i="36"/>
  <c r="L74" i="36"/>
  <c r="L83" i="36"/>
  <c r="J30" i="36"/>
  <c r="F39" i="36"/>
  <c r="F47" i="36"/>
  <c r="F55" i="36"/>
  <c r="F63" i="36"/>
  <c r="G29" i="36"/>
  <c r="K37" i="36"/>
  <c r="K45" i="36"/>
  <c r="K53" i="36"/>
  <c r="K61" i="36"/>
  <c r="L31" i="36"/>
  <c r="L39" i="36"/>
  <c r="L47" i="36"/>
  <c r="L55" i="36"/>
  <c r="L63" i="36"/>
  <c r="E34" i="36"/>
  <c r="I43" i="36"/>
  <c r="E57" i="36"/>
  <c r="H71" i="36"/>
  <c r="H80" i="36"/>
  <c r="H88" i="36"/>
  <c r="F31" i="36"/>
  <c r="J39" i="36"/>
  <c r="J47" i="36"/>
  <c r="J55" i="36"/>
  <c r="J63" i="36"/>
  <c r="K29" i="36"/>
  <c r="G38" i="36"/>
  <c r="G46" i="36"/>
  <c r="G54" i="36"/>
  <c r="H24" i="36"/>
  <c r="H32" i="36"/>
  <c r="H40" i="36"/>
  <c r="H48" i="36"/>
  <c r="H56" i="36"/>
  <c r="H64" i="36"/>
  <c r="I31" i="36"/>
  <c r="E44" i="36"/>
  <c r="E61" i="36"/>
  <c r="L71" i="36"/>
  <c r="L80" i="36"/>
  <c r="L88" i="36"/>
  <c r="J31" i="36"/>
  <c r="F40" i="36"/>
  <c r="F48" i="36"/>
  <c r="F56" i="36"/>
  <c r="F64" i="36"/>
  <c r="G30" i="36"/>
  <c r="K38" i="36"/>
  <c r="K46" i="36"/>
  <c r="K54" i="36"/>
  <c r="L24" i="36"/>
  <c r="L32" i="36"/>
  <c r="L40" i="36"/>
  <c r="L48" i="36"/>
  <c r="L56" i="36"/>
  <c r="L64" i="36"/>
  <c r="I32" i="36"/>
  <c r="I42" i="36"/>
  <c r="E53" i="36"/>
  <c r="H70" i="36"/>
  <c r="H90" i="36"/>
  <c r="H98" i="36"/>
  <c r="I57" i="36"/>
  <c r="F30" i="36"/>
  <c r="J38" i="36"/>
  <c r="J46" i="36"/>
  <c r="J54" i="36"/>
  <c r="J62" i="36"/>
  <c r="K28" i="36"/>
  <c r="G37" i="36"/>
  <c r="G45" i="36"/>
  <c r="G53" i="36"/>
  <c r="G61" i="36"/>
  <c r="H31" i="36"/>
  <c r="H39" i="36"/>
  <c r="H47" i="36"/>
  <c r="H55" i="36"/>
  <c r="H63" i="36"/>
  <c r="E30" i="36"/>
  <c r="E41" i="36"/>
  <c r="E51" i="36"/>
  <c r="L68" i="36"/>
  <c r="L76" i="36"/>
  <c r="J24" i="36"/>
  <c r="J32" i="36"/>
  <c r="F41" i="36"/>
  <c r="F49" i="36"/>
  <c r="F57" i="36"/>
  <c r="F65" i="36"/>
  <c r="G31" i="36"/>
  <c r="K39" i="36"/>
  <c r="K47" i="36"/>
  <c r="K55" i="36"/>
  <c r="L25" i="36"/>
  <c r="L33" i="36"/>
  <c r="L41" i="36"/>
  <c r="L49" i="36"/>
  <c r="L57" i="36"/>
  <c r="L65" i="36"/>
  <c r="E37" i="36"/>
  <c r="E46" i="36"/>
  <c r="I64" i="36"/>
  <c r="H73" i="36"/>
  <c r="H82" i="36"/>
  <c r="F25" i="36"/>
  <c r="F33" i="36"/>
  <c r="J41" i="36"/>
  <c r="J49" i="36"/>
  <c r="J57" i="36"/>
  <c r="J65" i="36"/>
  <c r="K31" i="36"/>
  <c r="G40" i="36"/>
  <c r="G48" i="36"/>
  <c r="G56" i="36"/>
  <c r="H26" i="36"/>
  <c r="H34" i="36"/>
  <c r="H42" i="36"/>
  <c r="H50" i="36"/>
  <c r="H58" i="36"/>
  <c r="H66" i="36"/>
  <c r="I34" i="36"/>
  <c r="I46" i="36"/>
  <c r="I65" i="36"/>
  <c r="L73" i="36"/>
  <c r="L82" i="36"/>
  <c r="J25" i="36"/>
  <c r="J33" i="36"/>
  <c r="F42" i="36"/>
  <c r="F50" i="36"/>
  <c r="F58" i="36"/>
  <c r="G24" i="36"/>
  <c r="G32" i="36"/>
  <c r="K40" i="36"/>
  <c r="K48" i="36"/>
  <c r="K56" i="36"/>
  <c r="L26" i="36"/>
  <c r="L34" i="36"/>
  <c r="L42" i="36"/>
  <c r="L50" i="36"/>
  <c r="L58" i="36"/>
  <c r="E24" i="36"/>
  <c r="I35" i="36"/>
  <c r="I44" i="36"/>
  <c r="I62" i="36"/>
  <c r="H72" i="36"/>
  <c r="H92" i="36"/>
  <c r="H100" i="36"/>
  <c r="K63" i="36"/>
  <c r="E68" i="36"/>
  <c r="I76" i="36"/>
  <c r="E87" i="36"/>
  <c r="E60" i="36"/>
  <c r="J72" i="36"/>
  <c r="J81" i="36"/>
  <c r="J89" i="36"/>
  <c r="J97" i="36"/>
  <c r="G65" i="36"/>
  <c r="K73" i="36"/>
  <c r="K82" i="36"/>
  <c r="K90" i="36"/>
  <c r="K98" i="36"/>
  <c r="E101" i="36"/>
  <c r="F112" i="36"/>
  <c r="G107" i="36"/>
  <c r="F23" i="36"/>
  <c r="H110" i="36"/>
  <c r="H74" i="36"/>
  <c r="L92" i="36"/>
  <c r="L100" i="36"/>
  <c r="K64" i="36"/>
  <c r="E75" i="36"/>
  <c r="E85" i="36"/>
  <c r="E54" i="36"/>
  <c r="F71" i="36"/>
  <c r="F80" i="36"/>
  <c r="F88" i="36"/>
  <c r="F96" i="36"/>
  <c r="G62" i="36"/>
  <c r="G72" i="36"/>
  <c r="G81" i="36"/>
  <c r="G89" i="36"/>
  <c r="G97" i="36"/>
  <c r="E95" i="36"/>
  <c r="J110" i="36"/>
  <c r="I104" i="36"/>
  <c r="K113" i="36"/>
  <c r="L108" i="36"/>
  <c r="H76" i="36"/>
  <c r="H93" i="36"/>
  <c r="H101" i="36"/>
  <c r="K65" i="36"/>
  <c r="I75" i="36"/>
  <c r="I85" i="36"/>
  <c r="E56" i="36"/>
  <c r="J71" i="36"/>
  <c r="J80" i="36"/>
  <c r="J88" i="36"/>
  <c r="J96" i="36"/>
  <c r="G63" i="36"/>
  <c r="K72" i="36"/>
  <c r="K81" i="36"/>
  <c r="K89" i="36"/>
  <c r="K97" i="36"/>
  <c r="E97" i="36"/>
  <c r="F111" i="36"/>
  <c r="G105" i="36"/>
  <c r="G114" i="36"/>
  <c r="L89" i="36"/>
  <c r="L97" i="36"/>
  <c r="I55" i="36"/>
  <c r="I71" i="36"/>
  <c r="I81" i="36"/>
  <c r="I91" i="36"/>
  <c r="F68" i="36"/>
  <c r="F76" i="36"/>
  <c r="F85" i="36"/>
  <c r="F93" i="36"/>
  <c r="F101" i="36"/>
  <c r="G69" i="36"/>
  <c r="G77" i="36"/>
  <c r="G86" i="36"/>
  <c r="G94" i="36"/>
  <c r="G102" i="36"/>
  <c r="J107" i="36"/>
  <c r="I102" i="36"/>
  <c r="K112" i="36"/>
  <c r="L109" i="36"/>
  <c r="I98" i="36"/>
  <c r="E108" i="36"/>
  <c r="E23" i="36"/>
  <c r="H109" i="36"/>
  <c r="H111" i="36"/>
  <c r="E113" i="36"/>
  <c r="E33" i="36"/>
  <c r="D24" i="36"/>
  <c r="D89" i="36"/>
  <c r="D77" i="36"/>
  <c r="D50" i="36"/>
  <c r="D39" i="36"/>
  <c r="D104" i="36"/>
  <c r="D76" i="36"/>
  <c r="D49" i="36"/>
  <c r="D23" i="36"/>
  <c r="D87" i="36"/>
  <c r="D59" i="36"/>
  <c r="D48" i="36"/>
  <c r="D37" i="36"/>
  <c r="D26" i="36"/>
  <c r="D91" i="36"/>
  <c r="D80" i="36"/>
  <c r="D68" i="36"/>
  <c r="D107" i="36"/>
  <c r="D112" i="36"/>
  <c r="D108" i="36"/>
  <c r="D57" i="36"/>
  <c r="E70" i="36"/>
  <c r="I78" i="36"/>
  <c r="E90" i="36"/>
  <c r="J66" i="36"/>
  <c r="J74" i="36"/>
  <c r="J83" i="36"/>
  <c r="J91" i="36"/>
  <c r="J99" i="36"/>
  <c r="K67" i="36"/>
  <c r="K75" i="36"/>
  <c r="K84" i="36"/>
  <c r="K92" i="36"/>
  <c r="K100" i="36"/>
  <c r="F105" i="36"/>
  <c r="F114" i="36"/>
  <c r="G109" i="36"/>
  <c r="J101" i="36"/>
  <c r="H112" i="36"/>
  <c r="H83" i="36"/>
  <c r="L94" i="36"/>
  <c r="L102" i="36"/>
  <c r="I68" i="36"/>
  <c r="E77" i="36"/>
  <c r="I87" i="36"/>
  <c r="E62" i="36"/>
  <c r="F73" i="36"/>
  <c r="F82" i="36"/>
  <c r="F90" i="36"/>
  <c r="F98" i="36"/>
  <c r="F66" i="36"/>
  <c r="G74" i="36"/>
  <c r="G83" i="36"/>
  <c r="G91" i="36"/>
  <c r="G99" i="36"/>
  <c r="F102" i="36"/>
  <c r="J112" i="36"/>
  <c r="K107" i="36"/>
  <c r="I114" i="36"/>
  <c r="L110" i="36"/>
  <c r="H85" i="36"/>
  <c r="H95" i="36"/>
  <c r="H103" i="36"/>
  <c r="E69" i="36"/>
  <c r="I77" i="36"/>
  <c r="I88" i="36"/>
  <c r="E65" i="36"/>
  <c r="J73" i="36"/>
  <c r="J82" i="36"/>
  <c r="J90" i="36"/>
  <c r="J98" i="36"/>
  <c r="K66" i="36"/>
  <c r="K74" i="36"/>
  <c r="K83" i="36"/>
  <c r="K91" i="36"/>
  <c r="K99" i="36"/>
  <c r="F103" i="36"/>
  <c r="F113" i="36"/>
  <c r="G108" i="36"/>
  <c r="E96" i="36"/>
  <c r="L91" i="36"/>
  <c r="L99" i="36"/>
  <c r="K62" i="36"/>
  <c r="I73" i="36"/>
  <c r="E84" i="36"/>
  <c r="I93" i="36"/>
  <c r="F70" i="36"/>
  <c r="F78" i="36"/>
  <c r="F87" i="36"/>
  <c r="F95" i="36"/>
  <c r="I58" i="36"/>
  <c r="G71" i="36"/>
  <c r="G80" i="36"/>
  <c r="G88" i="36"/>
  <c r="G96" i="36"/>
  <c r="G104" i="36"/>
  <c r="J109" i="36"/>
  <c r="K105" i="36"/>
  <c r="K114" i="36"/>
  <c r="L111" i="36"/>
  <c r="J103" i="36"/>
  <c r="I110" i="36"/>
  <c r="E105" i="36"/>
  <c r="I96" i="36"/>
  <c r="I100" i="36"/>
  <c r="H23" i="36"/>
  <c r="E104" i="36"/>
  <c r="D40" i="36"/>
  <c r="D105" i="36"/>
  <c r="D94" i="36"/>
  <c r="D66" i="36"/>
  <c r="D55" i="36"/>
  <c r="D28" i="36"/>
  <c r="D93" i="36"/>
  <c r="D65" i="36"/>
  <c r="D38" i="36"/>
  <c r="D103" i="36"/>
  <c r="D75" i="36"/>
  <c r="D53" i="36"/>
  <c r="D42" i="36"/>
  <c r="D85" i="36"/>
  <c r="I82" i="36"/>
  <c r="E92" i="36"/>
  <c r="J68" i="36"/>
  <c r="J76" i="36"/>
  <c r="J85" i="36"/>
  <c r="J93" i="36"/>
  <c r="I52" i="36"/>
  <c r="K69" i="36"/>
  <c r="K77" i="36"/>
  <c r="K86" i="36"/>
  <c r="K94" i="36"/>
  <c r="K102" i="36"/>
  <c r="F108" i="36"/>
  <c r="I97" i="36"/>
  <c r="G111" i="36"/>
  <c r="H105" i="36"/>
  <c r="H114" i="36"/>
  <c r="L87" i="36"/>
  <c r="L96" i="36"/>
  <c r="L104" i="36"/>
  <c r="I70" i="36"/>
  <c r="E80" i="36"/>
  <c r="I90" i="36"/>
  <c r="F67" i="36"/>
  <c r="F75" i="36"/>
  <c r="F84" i="36"/>
  <c r="F92" i="36"/>
  <c r="F100" i="36"/>
  <c r="G68" i="36"/>
  <c r="G76" i="36"/>
  <c r="G85" i="36"/>
  <c r="G93" i="36"/>
  <c r="G101" i="36"/>
  <c r="J105" i="36"/>
  <c r="J114" i="36"/>
  <c r="K109" i="36"/>
  <c r="J102" i="36"/>
  <c r="L112" i="36"/>
  <c r="H89" i="36"/>
  <c r="H97" i="36"/>
  <c r="I53" i="36"/>
  <c r="E71" i="36"/>
  <c r="E81" i="36"/>
  <c r="E91" i="36"/>
  <c r="J67" i="36"/>
  <c r="J75" i="36"/>
  <c r="J84" i="36"/>
  <c r="J92" i="36"/>
  <c r="J100" i="36"/>
  <c r="K68" i="36"/>
  <c r="K76" i="36"/>
  <c r="K85" i="36"/>
  <c r="K93" i="36"/>
  <c r="K101" i="36"/>
  <c r="F107" i="36"/>
  <c r="G23" i="36"/>
  <c r="G110" i="36"/>
  <c r="H78" i="36"/>
  <c r="L93" i="36"/>
  <c r="L101" i="36"/>
  <c r="E67" i="36"/>
  <c r="E76" i="36"/>
  <c r="I86" i="36"/>
  <c r="E58" i="36"/>
  <c r="F72" i="36"/>
  <c r="F81" i="36"/>
  <c r="F89" i="36"/>
  <c r="F97" i="36"/>
  <c r="G64" i="36"/>
  <c r="G73" i="36"/>
  <c r="G82" i="36"/>
  <c r="G90" i="36"/>
  <c r="G98" i="36"/>
  <c r="E99" i="36"/>
  <c r="J111" i="36"/>
  <c r="K108" i="36"/>
  <c r="J104" i="36"/>
  <c r="L113" i="36"/>
  <c r="H113" i="36"/>
  <c r="I112" i="36"/>
  <c r="I108" i="36"/>
  <c r="I105" i="36"/>
  <c r="I107" i="36"/>
  <c r="E32" i="36"/>
  <c r="D56" i="36"/>
  <c r="D29" i="36"/>
  <c r="D111" i="36"/>
  <c r="D83" i="36"/>
  <c r="D71" i="36"/>
  <c r="D44" i="36"/>
  <c r="D110" i="36"/>
  <c r="D82" i="36"/>
  <c r="D54" i="36"/>
  <c r="D27" i="36"/>
  <c r="D92" i="36"/>
  <c r="D97" i="36"/>
  <c r="D69" i="36"/>
  <c r="D58" i="36"/>
  <c r="D31" i="36"/>
  <c r="D36" i="36"/>
  <c r="D101" i="36"/>
  <c r="D73" i="36"/>
  <c r="D62" i="36"/>
  <c r="D67" i="36"/>
  <c r="D96" i="36"/>
  <c r="D51" i="36"/>
  <c r="I74" i="36"/>
  <c r="I84" i="36"/>
  <c r="E94" i="36"/>
  <c r="J70" i="36"/>
  <c r="J78" i="36"/>
  <c r="J87" i="36"/>
  <c r="J95" i="36"/>
  <c r="I60" i="36"/>
  <c r="K71" i="36"/>
  <c r="K80" i="36"/>
  <c r="K88" i="36"/>
  <c r="K96" i="36"/>
  <c r="K104" i="36"/>
  <c r="F110" i="36"/>
  <c r="I103" i="36"/>
  <c r="G113" i="36"/>
  <c r="H108" i="36"/>
  <c r="E112" i="36"/>
  <c r="L90" i="36"/>
  <c r="L98" i="36"/>
  <c r="I59" i="36"/>
  <c r="I72" i="36"/>
  <c r="E83" i="36"/>
  <c r="I92" i="36"/>
  <c r="F69" i="36"/>
  <c r="F77" i="36"/>
  <c r="F86" i="36"/>
  <c r="F94" i="36"/>
  <c r="I54" i="36"/>
  <c r="G70" i="36"/>
  <c r="G78" i="36"/>
  <c r="G87" i="36"/>
  <c r="G95" i="36"/>
  <c r="G103" i="36"/>
  <c r="J108" i="36"/>
  <c r="I99" i="36"/>
  <c r="K111" i="36"/>
  <c r="L105" i="36"/>
  <c r="L114" i="36"/>
  <c r="H91" i="36"/>
  <c r="H99" i="36"/>
  <c r="I61" i="36"/>
  <c r="E73" i="36"/>
  <c r="I83" i="36"/>
  <c r="E93" i="36"/>
  <c r="J69" i="36"/>
  <c r="J77" i="36"/>
  <c r="J86" i="36"/>
  <c r="J94" i="36"/>
  <c r="I56" i="36"/>
  <c r="K70" i="36"/>
  <c r="K78" i="36"/>
  <c r="K87" i="36"/>
  <c r="K95" i="36"/>
  <c r="K103" i="36"/>
  <c r="F109" i="36"/>
  <c r="I101" i="36"/>
  <c r="G112" i="36"/>
  <c r="L85" i="36"/>
  <c r="L95" i="36"/>
  <c r="L103" i="36"/>
  <c r="I69" i="36"/>
  <c r="E78" i="36"/>
  <c r="I89" i="36"/>
  <c r="E66" i="36"/>
  <c r="F74" i="36"/>
  <c r="F83" i="36"/>
  <c r="F91" i="36"/>
  <c r="F99" i="36"/>
  <c r="G67" i="36"/>
  <c r="G75" i="36"/>
  <c r="G84" i="36"/>
  <c r="G92" i="36"/>
  <c r="G100" i="36"/>
  <c r="F104" i="36"/>
  <c r="J113" i="36"/>
  <c r="K110" i="36"/>
  <c r="L107" i="36"/>
  <c r="I111" i="36"/>
  <c r="E102" i="36"/>
  <c r="H107" i="36"/>
  <c r="E111" i="36"/>
  <c r="E109" i="36"/>
  <c r="I109" i="36"/>
  <c r="D72" i="36"/>
  <c r="D61" i="36"/>
  <c r="D34" i="36"/>
  <c r="D113" i="36"/>
  <c r="D88" i="36"/>
  <c r="D60" i="36"/>
  <c r="D33" i="36"/>
  <c r="D98" i="36"/>
  <c r="D70" i="36"/>
  <c r="D43" i="36"/>
  <c r="D109" i="36"/>
  <c r="D114" i="36"/>
  <c r="D102" i="36"/>
  <c r="D74" i="36"/>
  <c r="D47" i="36"/>
  <c r="D52" i="36"/>
  <c r="D25" i="36"/>
  <c r="D90" i="36"/>
  <c r="D78" i="36"/>
  <c r="D100" i="36"/>
  <c r="D30" i="36"/>
  <c r="E82" i="36"/>
  <c r="I39" i="36"/>
  <c r="D32" i="36"/>
  <c r="E103" i="36"/>
  <c r="I115" i="36"/>
  <c r="J115" i="36"/>
  <c r="H115" i="36"/>
  <c r="K115" i="36"/>
  <c r="D115" i="36"/>
  <c r="E115" i="36"/>
  <c r="F115" i="36"/>
  <c r="G115" i="36"/>
  <c r="L115" i="36"/>
  <c r="L471" i="7"/>
  <c r="L229" i="72"/>
  <c r="K23" i="36"/>
  <c r="L23" i="36"/>
  <c r="J23" i="36"/>
  <c r="I23" i="36"/>
  <c r="M196" i="72"/>
  <c r="M618" i="7" s="1"/>
  <c r="L618" i="7"/>
  <c r="M110" i="72"/>
  <c r="M532" i="7" s="1"/>
  <c r="L532" i="7"/>
  <c r="E52" i="36" s="1"/>
  <c r="N67" i="72"/>
  <c r="N489" i="7" s="1"/>
  <c r="M489" i="7"/>
  <c r="N53" i="72"/>
  <c r="N475" i="7" s="1"/>
  <c r="L475" i="7"/>
  <c r="M68" i="72"/>
  <c r="L490" i="7"/>
  <c r="L210" i="72"/>
  <c r="B5" i="36" s="1"/>
  <c r="M49" i="72"/>
  <c r="D145" i="36"/>
  <c r="H145" i="36"/>
  <c r="L145" i="36"/>
  <c r="F146" i="36"/>
  <c r="J146" i="36"/>
  <c r="E147" i="36"/>
  <c r="I147" i="36"/>
  <c r="D148" i="36"/>
  <c r="H148" i="36"/>
  <c r="L148" i="36"/>
  <c r="E149" i="36"/>
  <c r="I149" i="36"/>
  <c r="G150" i="36"/>
  <c r="K150" i="36"/>
  <c r="E151" i="36"/>
  <c r="I151" i="36"/>
  <c r="G152" i="36"/>
  <c r="K152" i="36"/>
  <c r="F153" i="36"/>
  <c r="J153" i="36"/>
  <c r="E154" i="36"/>
  <c r="I154" i="36"/>
  <c r="G155" i="36"/>
  <c r="K155" i="36"/>
  <c r="E156" i="36"/>
  <c r="I156" i="36"/>
  <c r="G157" i="36"/>
  <c r="K157" i="36"/>
  <c r="F158" i="36"/>
  <c r="J158" i="36"/>
  <c r="G159" i="36"/>
  <c r="E145" i="36"/>
  <c r="I145" i="36"/>
  <c r="G146" i="36"/>
  <c r="K146" i="36"/>
  <c r="F147" i="36"/>
  <c r="J147" i="36"/>
  <c r="E148" i="36"/>
  <c r="I148" i="36"/>
  <c r="F149" i="36"/>
  <c r="J149" i="36"/>
  <c r="D150" i="36"/>
  <c r="H150" i="36"/>
  <c r="L150" i="36"/>
  <c r="F151" i="36"/>
  <c r="J151" i="36"/>
  <c r="D152" i="36"/>
  <c r="H152" i="36"/>
  <c r="L152" i="36"/>
  <c r="G153" i="36"/>
  <c r="K153" i="36"/>
  <c r="F154" i="36"/>
  <c r="J154" i="36"/>
  <c r="D155" i="36"/>
  <c r="H155" i="36"/>
  <c r="L155" i="36"/>
  <c r="F156" i="36"/>
  <c r="J156" i="36"/>
  <c r="D157" i="36"/>
  <c r="H157" i="36"/>
  <c r="L157" i="36"/>
  <c r="G158" i="36"/>
  <c r="K158" i="36"/>
  <c r="D159" i="36"/>
  <c r="H159" i="36"/>
  <c r="F145" i="36"/>
  <c r="J145" i="36"/>
  <c r="D146" i="36"/>
  <c r="H146" i="36"/>
  <c r="L146" i="36"/>
  <c r="G147" i="36"/>
  <c r="K147" i="36"/>
  <c r="F148" i="36"/>
  <c r="J148" i="36"/>
  <c r="G149" i="36"/>
  <c r="K149" i="36"/>
  <c r="E150" i="36"/>
  <c r="I150" i="36"/>
  <c r="G151" i="36"/>
  <c r="K151" i="36"/>
  <c r="E152" i="36"/>
  <c r="I152" i="36"/>
  <c r="D153" i="36"/>
  <c r="H153" i="36"/>
  <c r="L153" i="36"/>
  <c r="G154" i="36"/>
  <c r="K154" i="36"/>
  <c r="E155" i="36"/>
  <c r="I155" i="36"/>
  <c r="G156" i="36"/>
  <c r="K156" i="36"/>
  <c r="E157" i="36"/>
  <c r="I157" i="36"/>
  <c r="D158" i="36"/>
  <c r="H158" i="36"/>
  <c r="L158" i="36"/>
  <c r="E159" i="36"/>
  <c r="I159" i="36"/>
  <c r="G145" i="36"/>
  <c r="E146" i="36"/>
  <c r="H147" i="36"/>
  <c r="D149" i="36"/>
  <c r="J152" i="36"/>
  <c r="H154" i="36"/>
  <c r="F155" i="36"/>
  <c r="D156" i="36"/>
  <c r="I158" i="36"/>
  <c r="J159" i="36"/>
  <c r="D160" i="36"/>
  <c r="H160" i="36"/>
  <c r="L160" i="36"/>
  <c r="F161" i="36"/>
  <c r="J161" i="36"/>
  <c r="E174" i="36"/>
  <c r="I174" i="36"/>
  <c r="D175" i="36"/>
  <c r="H175" i="36"/>
  <c r="L175" i="36"/>
  <c r="G176" i="36"/>
  <c r="K176" i="36"/>
  <c r="G162" i="36"/>
  <c r="K162" i="36"/>
  <c r="F163" i="36"/>
  <c r="J163" i="36"/>
  <c r="E164" i="36"/>
  <c r="I164" i="36"/>
  <c r="G165" i="36"/>
  <c r="K165" i="36"/>
  <c r="F166" i="36"/>
  <c r="J166" i="36"/>
  <c r="E167" i="36"/>
  <c r="I167" i="36"/>
  <c r="G168" i="36"/>
  <c r="K168" i="36"/>
  <c r="F169" i="36"/>
  <c r="J169" i="36"/>
  <c r="E170" i="36"/>
  <c r="I170" i="36"/>
  <c r="D171" i="36"/>
  <c r="H171" i="36"/>
  <c r="L171" i="36"/>
  <c r="G172" i="36"/>
  <c r="K172" i="36"/>
  <c r="F173" i="36"/>
  <c r="J173" i="36"/>
  <c r="F177" i="36"/>
  <c r="J177" i="36"/>
  <c r="E178" i="36"/>
  <c r="I178" i="36"/>
  <c r="K145" i="36"/>
  <c r="I146" i="36"/>
  <c r="L147" i="36"/>
  <c r="H149" i="36"/>
  <c r="F150" i="36"/>
  <c r="D151" i="36"/>
  <c r="E153" i="36"/>
  <c r="L154" i="36"/>
  <c r="J155" i="36"/>
  <c r="H156" i="36"/>
  <c r="F157" i="36"/>
  <c r="K159" i="36"/>
  <c r="E160" i="36"/>
  <c r="I160" i="36"/>
  <c r="G161" i="36"/>
  <c r="K161" i="36"/>
  <c r="F174" i="36"/>
  <c r="J174" i="36"/>
  <c r="E175" i="36"/>
  <c r="I175" i="36"/>
  <c r="D176" i="36"/>
  <c r="H176" i="36"/>
  <c r="L176" i="36"/>
  <c r="D162" i="36"/>
  <c r="H162" i="36"/>
  <c r="L162" i="36"/>
  <c r="G163" i="36"/>
  <c r="K163" i="36"/>
  <c r="F164" i="36"/>
  <c r="J164" i="36"/>
  <c r="D165" i="36"/>
  <c r="H165" i="36"/>
  <c r="L165" i="36"/>
  <c r="G166" i="36"/>
  <c r="K166" i="36"/>
  <c r="F167" i="36"/>
  <c r="J167" i="36"/>
  <c r="D168" i="36"/>
  <c r="H168" i="36"/>
  <c r="L168" i="36"/>
  <c r="G169" i="36"/>
  <c r="K169" i="36"/>
  <c r="F170" i="36"/>
  <c r="J170" i="36"/>
  <c r="E171" i="36"/>
  <c r="I171" i="36"/>
  <c r="D172" i="36"/>
  <c r="H172" i="36"/>
  <c r="L172" i="36"/>
  <c r="G173" i="36"/>
  <c r="K173" i="36"/>
  <c r="G148" i="36"/>
  <c r="L149" i="36"/>
  <c r="H151" i="36"/>
  <c r="I153" i="36"/>
  <c r="J157" i="36"/>
  <c r="F160" i="36"/>
  <c r="D161" i="36"/>
  <c r="L161" i="36"/>
  <c r="G174" i="36"/>
  <c r="F175" i="36"/>
  <c r="E176" i="36"/>
  <c r="I162" i="36"/>
  <c r="H163" i="36"/>
  <c r="G164" i="36"/>
  <c r="E165" i="36"/>
  <c r="D166" i="36"/>
  <c r="L166" i="36"/>
  <c r="K167" i="36"/>
  <c r="I168" i="36"/>
  <c r="H169" i="36"/>
  <c r="G170" i="36"/>
  <c r="F171" i="36"/>
  <c r="E172" i="36"/>
  <c r="D173" i="36"/>
  <c r="L173" i="36"/>
  <c r="E177" i="36"/>
  <c r="K177" i="36"/>
  <c r="G178" i="36"/>
  <c r="L178" i="36"/>
  <c r="L159" i="36"/>
  <c r="J160" i="36"/>
  <c r="H161" i="36"/>
  <c r="K174" i="36"/>
  <c r="I176" i="36"/>
  <c r="E162" i="36"/>
  <c r="L163" i="36"/>
  <c r="H166" i="36"/>
  <c r="D169" i="36"/>
  <c r="K170" i="36"/>
  <c r="I172" i="36"/>
  <c r="K148" i="36"/>
  <c r="L151" i="36"/>
  <c r="D154" i="36"/>
  <c r="E158" i="36"/>
  <c r="F159" i="36"/>
  <c r="G160" i="36"/>
  <c r="E161" i="36"/>
  <c r="H174" i="36"/>
  <c r="G175" i="36"/>
  <c r="F176" i="36"/>
  <c r="J162" i="36"/>
  <c r="I163" i="36"/>
  <c r="H164" i="36"/>
  <c r="F165" i="36"/>
  <c r="E166" i="36"/>
  <c r="D167" i="36"/>
  <c r="L167" i="36"/>
  <c r="J168" i="36"/>
  <c r="I169" i="36"/>
  <c r="H170" i="36"/>
  <c r="G171" i="36"/>
  <c r="F172" i="36"/>
  <c r="E173" i="36"/>
  <c r="G177" i="36"/>
  <c r="L177" i="36"/>
  <c r="H178" i="36"/>
  <c r="J150" i="36"/>
  <c r="L156" i="36"/>
  <c r="J175" i="36"/>
  <c r="D163" i="36"/>
  <c r="K164" i="36"/>
  <c r="I165" i="36"/>
  <c r="G167" i="36"/>
  <c r="E168" i="36"/>
  <c r="L169" i="36"/>
  <c r="J171" i="36"/>
  <c r="H173" i="36"/>
  <c r="I161" i="36"/>
  <c r="J176" i="36"/>
  <c r="F162" i="36"/>
  <c r="D170" i="36"/>
  <c r="I173" i="36"/>
  <c r="H177" i="36"/>
  <c r="J178" i="36"/>
  <c r="I166" i="36"/>
  <c r="K171" i="36"/>
  <c r="H167" i="36"/>
  <c r="J172" i="36"/>
  <c r="F178" i="36"/>
  <c r="D147" i="36"/>
  <c r="F152" i="36"/>
  <c r="D174" i="36"/>
  <c r="E163" i="36"/>
  <c r="J165" i="36"/>
  <c r="L170" i="36"/>
  <c r="I177" i="36"/>
  <c r="K178" i="36"/>
  <c r="K160" i="36"/>
  <c r="L174" i="36"/>
  <c r="D164" i="36"/>
  <c r="F168" i="36"/>
  <c r="D178" i="36"/>
  <c r="K175" i="36"/>
  <c r="L164" i="36"/>
  <c r="E169" i="36"/>
  <c r="D177" i="36"/>
  <c r="N80" i="70"/>
  <c r="N278" i="7" s="1"/>
  <c r="N163" i="70"/>
  <c r="N361" i="7" s="1"/>
  <c r="N122" i="70"/>
  <c r="N320" i="7" s="1"/>
  <c r="M320" i="7"/>
  <c r="N93" i="70"/>
  <c r="N291" i="7" s="1"/>
  <c r="M291" i="7"/>
  <c r="N104" i="70"/>
  <c r="N302" i="7" s="1"/>
  <c r="M302" i="7"/>
  <c r="N182" i="70"/>
  <c r="N380" i="7" s="1"/>
  <c r="M380" i="7"/>
  <c r="N162" i="70"/>
  <c r="N360" i="7" s="1"/>
  <c r="M360" i="7"/>
  <c r="N226" i="70"/>
  <c r="N424" i="7" s="1"/>
  <c r="M424" i="7"/>
  <c r="N222" i="70"/>
  <c r="N420" i="7" s="1"/>
  <c r="M420" i="7"/>
  <c r="N204" i="70"/>
  <c r="N402" i="7" s="1"/>
  <c r="M402" i="7"/>
  <c r="N200" i="70"/>
  <c r="N398" i="7" s="1"/>
  <c r="M398" i="7"/>
  <c r="N196" i="70"/>
  <c r="N394" i="7" s="1"/>
  <c r="M394" i="7"/>
  <c r="N192" i="70"/>
  <c r="N390" i="7" s="1"/>
  <c r="M390" i="7"/>
  <c r="N188" i="70"/>
  <c r="N386" i="7" s="1"/>
  <c r="M386" i="7"/>
  <c r="N184" i="70"/>
  <c r="N382" i="7" s="1"/>
  <c r="M382" i="7"/>
  <c r="N214" i="70"/>
  <c r="N412" i="7" s="1"/>
  <c r="M412" i="7"/>
  <c r="N210" i="70"/>
  <c r="N408" i="7" s="1"/>
  <c r="M408" i="7"/>
  <c r="N96" i="70"/>
  <c r="N294" i="7" s="1"/>
  <c r="M294" i="7"/>
  <c r="N168" i="70"/>
  <c r="N366" i="7" s="1"/>
  <c r="M366" i="7"/>
  <c r="N172" i="70"/>
  <c r="N370" i="7" s="1"/>
  <c r="M370" i="7"/>
  <c r="N169" i="70"/>
  <c r="N367" i="7" s="1"/>
  <c r="M367" i="7"/>
  <c r="N166" i="70"/>
  <c r="N364" i="7" s="1"/>
  <c r="M364" i="7"/>
  <c r="N175" i="70"/>
  <c r="N373" i="7" s="1"/>
  <c r="M373" i="7"/>
  <c r="N217" i="70"/>
  <c r="N415" i="7" s="1"/>
  <c r="M415" i="7"/>
  <c r="N121" i="70"/>
  <c r="N319" i="7" s="1"/>
  <c r="M319" i="7"/>
  <c r="N97" i="70"/>
  <c r="N295" i="7" s="1"/>
  <c r="M295" i="7"/>
  <c r="N161" i="70"/>
  <c r="N359" i="7" s="1"/>
  <c r="M359" i="7"/>
  <c r="N228" i="70"/>
  <c r="N426" i="7" s="1"/>
  <c r="M426" i="7"/>
  <c r="N205" i="70"/>
  <c r="N403" i="7" s="1"/>
  <c r="M403" i="7"/>
  <c r="N197" i="70"/>
  <c r="N395" i="7" s="1"/>
  <c r="M395" i="7"/>
  <c r="N189" i="70"/>
  <c r="N387" i="7" s="1"/>
  <c r="M387" i="7"/>
  <c r="N215" i="70"/>
  <c r="N413" i="7" s="1"/>
  <c r="M413" i="7"/>
  <c r="N103" i="70"/>
  <c r="N301" i="7" s="1"/>
  <c r="M301" i="7"/>
  <c r="N60" i="70"/>
  <c r="M258" i="7"/>
  <c r="N77" i="70"/>
  <c r="N276" i="7" s="1"/>
  <c r="N98" i="70"/>
  <c r="N296" i="7" s="1"/>
  <c r="M296" i="7"/>
  <c r="N181" i="70"/>
  <c r="N379" i="7" s="1"/>
  <c r="M379" i="7"/>
  <c r="N159" i="70"/>
  <c r="N357" i="7" s="1"/>
  <c r="M357" i="7"/>
  <c r="N225" i="70"/>
  <c r="N423" i="7" s="1"/>
  <c r="M423" i="7"/>
  <c r="N208" i="70"/>
  <c r="N406" i="7" s="1"/>
  <c r="M406" i="7"/>
  <c r="N203" i="70"/>
  <c r="N401" i="7" s="1"/>
  <c r="M401" i="7"/>
  <c r="N199" i="70"/>
  <c r="N397" i="7" s="1"/>
  <c r="M397" i="7"/>
  <c r="N195" i="70"/>
  <c r="N393" i="7" s="1"/>
  <c r="M393" i="7"/>
  <c r="N191" i="70"/>
  <c r="N389" i="7" s="1"/>
  <c r="M389" i="7"/>
  <c r="N187" i="70"/>
  <c r="N385" i="7" s="1"/>
  <c r="M385" i="7"/>
  <c r="N183" i="70"/>
  <c r="N381" i="7" s="1"/>
  <c r="M381" i="7"/>
  <c r="N213" i="70"/>
  <c r="N411" i="7" s="1"/>
  <c r="M411" i="7"/>
  <c r="N209" i="70"/>
  <c r="N407" i="7" s="1"/>
  <c r="M407" i="7"/>
  <c r="N79" i="70"/>
  <c r="N277" i="7" s="1"/>
  <c r="M277" i="7"/>
  <c r="N177" i="70"/>
  <c r="N375" i="7" s="1"/>
  <c r="M375" i="7"/>
  <c r="N164" i="70"/>
  <c r="N362" i="7" s="1"/>
  <c r="M362" i="7"/>
  <c r="N223" i="70"/>
  <c r="N421" i="7" s="1"/>
  <c r="M421" i="7"/>
  <c r="N201" i="70"/>
  <c r="N399" i="7" s="1"/>
  <c r="M399" i="7"/>
  <c r="N193" i="70"/>
  <c r="N391" i="7" s="1"/>
  <c r="M391" i="7"/>
  <c r="N185" i="70"/>
  <c r="N383" i="7" s="1"/>
  <c r="M383" i="7"/>
  <c r="N211" i="70"/>
  <c r="N409" i="7" s="1"/>
  <c r="M409" i="7"/>
  <c r="N107" i="70"/>
  <c r="M305" i="7"/>
  <c r="N65" i="70"/>
  <c r="N263" i="7" s="1"/>
  <c r="M263" i="7"/>
  <c r="N101" i="70"/>
  <c r="N299" i="7" s="1"/>
  <c r="M299" i="7"/>
  <c r="N178" i="70"/>
  <c r="N376" i="7" s="1"/>
  <c r="M376" i="7"/>
  <c r="N158" i="70"/>
  <c r="N356" i="7" s="1"/>
  <c r="N180" i="70"/>
  <c r="N378" i="7" s="1"/>
  <c r="M378" i="7"/>
  <c r="N227" i="70"/>
  <c r="N425" i="7" s="1"/>
  <c r="M425" i="7"/>
  <c r="N224" i="70"/>
  <c r="N422" i="7" s="1"/>
  <c r="M422" i="7"/>
  <c r="N206" i="70"/>
  <c r="N404" i="7" s="1"/>
  <c r="M404" i="7"/>
  <c r="N202" i="70"/>
  <c r="N400" i="7" s="1"/>
  <c r="M400" i="7"/>
  <c r="N198" i="70"/>
  <c r="N396" i="7" s="1"/>
  <c r="M396" i="7"/>
  <c r="N194" i="70"/>
  <c r="N392" i="7" s="1"/>
  <c r="M392" i="7"/>
  <c r="N190" i="70"/>
  <c r="N388" i="7" s="1"/>
  <c r="M388" i="7"/>
  <c r="N186" i="70"/>
  <c r="N384" i="7" s="1"/>
  <c r="M384" i="7"/>
  <c r="N216" i="70"/>
  <c r="N414" i="7" s="1"/>
  <c r="M414" i="7"/>
  <c r="N212" i="70"/>
  <c r="N410" i="7" s="1"/>
  <c r="M410" i="7"/>
  <c r="N102" i="70"/>
  <c r="N300" i="7" s="1"/>
  <c r="M300" i="7"/>
  <c r="N173" i="70"/>
  <c r="N371" i="7" s="1"/>
  <c r="M371" i="7"/>
  <c r="N174" i="70"/>
  <c r="N372" i="7" s="1"/>
  <c r="M372" i="7"/>
  <c r="N170" i="70"/>
  <c r="N368" i="7" s="1"/>
  <c r="M368" i="7"/>
  <c r="N61" i="70"/>
  <c r="N259" i="7" s="1"/>
  <c r="M259" i="7"/>
  <c r="N171" i="70"/>
  <c r="N369" i="7" s="1"/>
  <c r="M369" i="7"/>
  <c r="N207" i="70"/>
  <c r="N405" i="7" s="1"/>
  <c r="M405" i="7"/>
  <c r="N78" i="70"/>
  <c r="M267" i="7"/>
  <c r="N71" i="72"/>
  <c r="N493" i="7" s="1"/>
  <c r="F214" i="72"/>
  <c r="F219" i="72"/>
  <c r="M50" i="72"/>
  <c r="M472" i="7" s="1"/>
  <c r="L212" i="72"/>
  <c r="N212" i="69"/>
  <c r="N213" i="69" s="1"/>
  <c r="C79" i="36" l="1"/>
  <c r="C106" i="36"/>
  <c r="C71" i="36"/>
  <c r="C77" i="36"/>
  <c r="C92" i="36"/>
  <c r="C68" i="36"/>
  <c r="C38" i="36"/>
  <c r="C37" i="36"/>
  <c r="C82" i="36"/>
  <c r="C104" i="36"/>
  <c r="C96" i="36"/>
  <c r="C44" i="36"/>
  <c r="C83" i="36"/>
  <c r="C76" i="36"/>
  <c r="C51" i="36"/>
  <c r="C43" i="36"/>
  <c r="C52" i="36"/>
  <c r="C103" i="36"/>
  <c r="C39" i="36"/>
  <c r="C101" i="36"/>
  <c r="C112" i="36"/>
  <c r="C78" i="36"/>
  <c r="C91" i="36"/>
  <c r="C55" i="36"/>
  <c r="C33" i="36"/>
  <c r="C69" i="36"/>
  <c r="C111" i="36"/>
  <c r="C62" i="36"/>
  <c r="C93" i="36"/>
  <c r="C97" i="36"/>
  <c r="C49" i="36"/>
  <c r="C109" i="36"/>
  <c r="C70" i="36"/>
  <c r="C85" i="36"/>
  <c r="C54" i="36"/>
  <c r="C42" i="36"/>
  <c r="C75" i="36"/>
  <c r="C60" i="36"/>
  <c r="C32" i="36"/>
  <c r="C24" i="36"/>
  <c r="C34" i="36"/>
  <c r="C108" i="36"/>
  <c r="C90" i="36"/>
  <c r="C115" i="36"/>
  <c r="C57" i="36"/>
  <c r="C61" i="36"/>
  <c r="C26" i="36"/>
  <c r="C73" i="36"/>
  <c r="C58" i="36"/>
  <c r="C102" i="36"/>
  <c r="C29" i="36"/>
  <c r="C56" i="36"/>
  <c r="C105" i="36"/>
  <c r="C87" i="36"/>
  <c r="C53" i="36"/>
  <c r="C65" i="36"/>
  <c r="C23" i="36"/>
  <c r="N196" i="72"/>
  <c r="N618" i="7" s="1"/>
  <c r="N110" i="72"/>
  <c r="N532" i="7" s="1"/>
  <c r="N49" i="72"/>
  <c r="M471" i="7"/>
  <c r="N68" i="72"/>
  <c r="N490" i="7" s="1"/>
  <c r="M490" i="7"/>
  <c r="N50" i="72"/>
  <c r="C171" i="36"/>
  <c r="C153" i="36"/>
  <c r="C174" i="36"/>
  <c r="C160" i="36"/>
  <c r="C147" i="36"/>
  <c r="C163" i="36"/>
  <c r="C169" i="36"/>
  <c r="C166" i="36"/>
  <c r="C172" i="36"/>
  <c r="C167" i="36"/>
  <c r="C165" i="36"/>
  <c r="C156" i="36"/>
  <c r="C146" i="36"/>
  <c r="C157" i="36"/>
  <c r="C150" i="36"/>
  <c r="C148" i="36"/>
  <c r="C154" i="36"/>
  <c r="C151" i="36"/>
  <c r="C178" i="36"/>
  <c r="C170" i="36"/>
  <c r="C168" i="36"/>
  <c r="C164" i="36"/>
  <c r="C162" i="36"/>
  <c r="C175" i="36"/>
  <c r="C149" i="36"/>
  <c r="C158" i="36"/>
  <c r="C155" i="36"/>
  <c r="C177" i="36"/>
  <c r="C173" i="36"/>
  <c r="C161" i="36"/>
  <c r="C176" i="36"/>
  <c r="C159" i="36"/>
  <c r="C152" i="36"/>
  <c r="C145" i="36"/>
  <c r="N267" i="7"/>
  <c r="N305" i="7"/>
  <c r="N258" i="7"/>
  <c r="F226" i="72"/>
  <c r="F227" i="72" s="1"/>
  <c r="M212" i="72"/>
  <c r="M210" i="72"/>
  <c r="C5" i="36" s="1"/>
  <c r="N471" i="7" l="1"/>
  <c r="N212" i="72"/>
  <c r="N472" i="7"/>
  <c r="N210" i="72"/>
  <c r="D5" i="36" s="1"/>
  <c r="L55" i="70"/>
  <c r="N55" i="70" l="1"/>
  <c r="N253" i="7" s="1"/>
  <c r="L253" i="7"/>
  <c r="O348" i="7"/>
  <c r="O336" i="7" l="1"/>
  <c r="O337" i="7"/>
  <c r="O338" i="7"/>
  <c r="O339" i="7"/>
  <c r="O340" i="7"/>
  <c r="O341" i="7"/>
  <c r="O342" i="7"/>
  <c r="O343" i="7"/>
  <c r="O344" i="7"/>
  <c r="O345" i="7"/>
  <c r="O346" i="7"/>
  <c r="O347" i="7"/>
  <c r="L144" i="70"/>
  <c r="L145" i="70"/>
  <c r="L146" i="70"/>
  <c r="L344" i="7" s="1"/>
  <c r="L147" i="70"/>
  <c r="L148" i="70"/>
  <c r="L149" i="70"/>
  <c r="L150" i="70"/>
  <c r="L156" i="70"/>
  <c r="L157" i="70"/>
  <c r="O335" i="7"/>
  <c r="M147" i="70" l="1"/>
  <c r="L345" i="7"/>
  <c r="M348" i="7"/>
  <c r="L348" i="7"/>
  <c r="M149" i="70"/>
  <c r="M347" i="7" s="1"/>
  <c r="L347" i="7"/>
  <c r="M145" i="70"/>
  <c r="M343" i="7" s="1"/>
  <c r="L343" i="7"/>
  <c r="M156" i="70"/>
  <c r="M354" i="7" s="1"/>
  <c r="L354" i="7"/>
  <c r="M157" i="70"/>
  <c r="M355" i="7" s="1"/>
  <c r="L355" i="7"/>
  <c r="M148" i="70"/>
  <c r="L346" i="7"/>
  <c r="M144" i="70"/>
  <c r="L342" i="7"/>
  <c r="M146" i="70"/>
  <c r="N149" i="70" l="1"/>
  <c r="N347" i="7" s="1"/>
  <c r="N156" i="70"/>
  <c r="N354" i="7" s="1"/>
  <c r="N157" i="70"/>
  <c r="N355" i="7" s="1"/>
  <c r="N150" i="70"/>
  <c r="N348" i="7" s="1"/>
  <c r="N145" i="70"/>
  <c r="N343" i="7" s="1"/>
  <c r="N144" i="70"/>
  <c r="N342" i="7" s="1"/>
  <c r="M342" i="7"/>
  <c r="N146" i="70"/>
  <c r="N344" i="7" s="1"/>
  <c r="M344" i="7"/>
  <c r="N148" i="70"/>
  <c r="N346" i="7" s="1"/>
  <c r="M346" i="7"/>
  <c r="N147" i="70"/>
  <c r="N345" i="7" s="1"/>
  <c r="M345" i="7"/>
  <c r="L52" i="70"/>
  <c r="L51" i="70"/>
  <c r="L50" i="70"/>
  <c r="L49" i="70"/>
  <c r="N50" i="70" l="1"/>
  <c r="N248" i="7" s="1"/>
  <c r="L248" i="7"/>
  <c r="N51" i="70"/>
  <c r="N249" i="7" s="1"/>
  <c r="L249" i="7"/>
  <c r="N49" i="70"/>
  <c r="N247" i="7" s="1"/>
  <c r="L247" i="7"/>
  <c r="N52" i="70"/>
  <c r="N250" i="7" s="1"/>
  <c r="L250" i="7"/>
  <c r="O333" i="7"/>
  <c r="O332" i="7"/>
  <c r="O331" i="7"/>
  <c r="O330" i="7"/>
  <c r="O329" i="7"/>
  <c r="O328" i="7"/>
  <c r="O327" i="7"/>
  <c r="O325" i="7"/>
  <c r="O324" i="7"/>
  <c r="O323" i="7"/>
  <c r="L151" i="70"/>
  <c r="L153" i="70"/>
  <c r="L154" i="70"/>
  <c r="L137" i="70"/>
  <c r="L138" i="70"/>
  <c r="L336" i="7" s="1"/>
  <c r="L139" i="70"/>
  <c r="L140" i="70"/>
  <c r="L141" i="70"/>
  <c r="L142" i="70"/>
  <c r="L143" i="70"/>
  <c r="L130" i="70"/>
  <c r="O334" i="7"/>
  <c r="O326" i="7"/>
  <c r="N67" i="70"/>
  <c r="N265" i="7" s="1"/>
  <c r="M140" i="70" l="1"/>
  <c r="L338" i="7"/>
  <c r="M139" i="70"/>
  <c r="L337" i="7"/>
  <c r="M142" i="70"/>
  <c r="M340" i="7" s="1"/>
  <c r="L340" i="7"/>
  <c r="M151" i="70"/>
  <c r="M349" i="7" s="1"/>
  <c r="L349" i="7"/>
  <c r="L352" i="7"/>
  <c r="M143" i="70"/>
  <c r="L341" i="7"/>
  <c r="N153" i="70"/>
  <c r="N351" i="7" s="1"/>
  <c r="L351" i="7"/>
  <c r="M130" i="70"/>
  <c r="L328" i="7"/>
  <c r="M141" i="70"/>
  <c r="M339" i="7" s="1"/>
  <c r="L339" i="7"/>
  <c r="M137" i="70"/>
  <c r="M335" i="7" s="1"/>
  <c r="L335" i="7"/>
  <c r="M138" i="70"/>
  <c r="N142" i="70" l="1"/>
  <c r="N340" i="7" s="1"/>
  <c r="N141" i="70"/>
  <c r="N339" i="7" s="1"/>
  <c r="N137" i="70"/>
  <c r="N335" i="7" s="1"/>
  <c r="N151" i="70"/>
  <c r="N349" i="7" s="1"/>
  <c r="N138" i="70"/>
  <c r="N336" i="7" s="1"/>
  <c r="M336" i="7"/>
  <c r="N130" i="70"/>
  <c r="N328" i="7" s="1"/>
  <c r="M328" i="7"/>
  <c r="N143" i="70"/>
  <c r="N341" i="7" s="1"/>
  <c r="M341" i="7"/>
  <c r="N139" i="70"/>
  <c r="N337" i="7" s="1"/>
  <c r="M337" i="7"/>
  <c r="N154" i="70"/>
  <c r="N352" i="7" s="1"/>
  <c r="M352" i="7"/>
  <c r="N140" i="70"/>
  <c r="N338" i="7" s="1"/>
  <c r="M338" i="7"/>
  <c r="O205" i="7"/>
  <c r="L91" i="69"/>
  <c r="M91" i="69" l="1"/>
  <c r="M87" i="7" s="1"/>
  <c r="L87" i="7"/>
  <c r="L41" i="70"/>
  <c r="L239" i="7" s="1"/>
  <c r="L123" i="69"/>
  <c r="L120" i="7" s="1"/>
  <c r="D99" i="36" l="1"/>
  <c r="C99" i="36" s="1"/>
  <c r="N91" i="69"/>
  <c r="N87" i="7" s="1"/>
  <c r="M41" i="70"/>
  <c r="M123" i="69"/>
  <c r="N41" i="70" l="1"/>
  <c r="N239" i="7" s="1"/>
  <c r="M239" i="7"/>
  <c r="N123" i="69"/>
  <c r="N120" i="7" s="1"/>
  <c r="M120" i="7"/>
  <c r="O212" i="7"/>
  <c r="O210" i="7" l="1"/>
  <c r="L110" i="69"/>
  <c r="L107" i="7" s="1"/>
  <c r="L63" i="69"/>
  <c r="M63" i="69" l="1"/>
  <c r="L60" i="7"/>
  <c r="L5" i="70"/>
  <c r="O230" i="7"/>
  <c r="L32" i="70"/>
  <c r="O231" i="7"/>
  <c r="L33" i="70"/>
  <c r="L231" i="7" s="1"/>
  <c r="O229" i="7"/>
  <c r="L31" i="70"/>
  <c r="O228" i="7"/>
  <c r="L30" i="70"/>
  <c r="O227" i="7"/>
  <c r="L29" i="70"/>
  <c r="L227" i="7" s="1"/>
  <c r="O224" i="7"/>
  <c r="L26" i="70"/>
  <c r="O223" i="7"/>
  <c r="L25" i="70"/>
  <c r="O226" i="7"/>
  <c r="L28" i="70"/>
  <c r="L226" i="7" s="1"/>
  <c r="O233" i="7"/>
  <c r="L35" i="70"/>
  <c r="O232" i="7"/>
  <c r="L34" i="70"/>
  <c r="O222" i="7"/>
  <c r="L24" i="70"/>
  <c r="O225" i="7"/>
  <c r="L27" i="70"/>
  <c r="O218" i="7"/>
  <c r="L20" i="70"/>
  <c r="O217" i="7"/>
  <c r="L19" i="70"/>
  <c r="O216" i="7"/>
  <c r="L18" i="70"/>
  <c r="O215" i="7"/>
  <c r="L17" i="70"/>
  <c r="O214" i="7"/>
  <c r="N16" i="70"/>
  <c r="N214" i="7" s="1"/>
  <c r="O213" i="7"/>
  <c r="L15" i="70"/>
  <c r="O219" i="7"/>
  <c r="L21" i="70"/>
  <c r="O221" i="7"/>
  <c r="L23" i="70"/>
  <c r="O220" i="7"/>
  <c r="L22" i="70"/>
  <c r="O207" i="7"/>
  <c r="L9" i="70"/>
  <c r="O211" i="7"/>
  <c r="L13" i="70"/>
  <c r="O209" i="7"/>
  <c r="N11" i="70"/>
  <c r="N209" i="7" s="1"/>
  <c r="O208" i="7"/>
  <c r="L10" i="70"/>
  <c r="L208" i="7" s="1"/>
  <c r="L7" i="70"/>
  <c r="L205" i="7" s="1"/>
  <c r="L203" i="7" l="1"/>
  <c r="N9" i="70"/>
  <c r="N207" i="7" s="1"/>
  <c r="L207" i="7"/>
  <c r="N23" i="70"/>
  <c r="N221" i="7" s="1"/>
  <c r="L221" i="7"/>
  <c r="N15" i="70"/>
  <c r="N213" i="7" s="1"/>
  <c r="L213" i="7"/>
  <c r="N17" i="70"/>
  <c r="N215" i="7" s="1"/>
  <c r="L215" i="7"/>
  <c r="N19" i="70"/>
  <c r="N217" i="7" s="1"/>
  <c r="L217" i="7"/>
  <c r="N27" i="70"/>
  <c r="N225" i="7" s="1"/>
  <c r="L225" i="7"/>
  <c r="N34" i="70"/>
  <c r="N232" i="7" s="1"/>
  <c r="L232" i="7"/>
  <c r="N26" i="70"/>
  <c r="N224" i="7" s="1"/>
  <c r="L224" i="7"/>
  <c r="N30" i="70"/>
  <c r="N228" i="7" s="1"/>
  <c r="L228" i="7"/>
  <c r="N13" i="70"/>
  <c r="N211" i="7" s="1"/>
  <c r="L211" i="7"/>
  <c r="N22" i="70"/>
  <c r="N220" i="7" s="1"/>
  <c r="L220" i="7"/>
  <c r="N21" i="70"/>
  <c r="N219" i="7" s="1"/>
  <c r="L219" i="7"/>
  <c r="N18" i="70"/>
  <c r="N216" i="7" s="1"/>
  <c r="L216" i="7"/>
  <c r="N20" i="70"/>
  <c r="N218" i="7" s="1"/>
  <c r="L218" i="7"/>
  <c r="N24" i="70"/>
  <c r="N222" i="7" s="1"/>
  <c r="L222" i="7"/>
  <c r="N35" i="70"/>
  <c r="N233" i="7" s="1"/>
  <c r="L233" i="7"/>
  <c r="N25" i="70"/>
  <c r="N223" i="7" s="1"/>
  <c r="L223" i="7"/>
  <c r="N31" i="70"/>
  <c r="N229" i="7" s="1"/>
  <c r="L229" i="7"/>
  <c r="N32" i="70"/>
  <c r="N230" i="7" s="1"/>
  <c r="L230" i="7"/>
  <c r="N63" i="69"/>
  <c r="N60" i="7" s="1"/>
  <c r="M60" i="7"/>
  <c r="M5" i="70"/>
  <c r="M203" i="7" s="1"/>
  <c r="M28" i="70"/>
  <c r="N33" i="70"/>
  <c r="N231" i="7" s="1"/>
  <c r="M29" i="70"/>
  <c r="M7" i="70"/>
  <c r="N10" i="70"/>
  <c r="N208" i="7" s="1"/>
  <c r="N28" i="70" l="1"/>
  <c r="N226" i="7" s="1"/>
  <c r="M226" i="7"/>
  <c r="N29" i="70"/>
  <c r="N227" i="7" s="1"/>
  <c r="M227" i="7"/>
  <c r="N7" i="70"/>
  <c r="N205" i="7" s="1"/>
  <c r="M205" i="7"/>
  <c r="N5" i="70"/>
  <c r="O322" i="7"/>
  <c r="L59" i="70"/>
  <c r="L62" i="70"/>
  <c r="L260" i="7" s="1"/>
  <c r="N64" i="70"/>
  <c r="N262" i="7" s="1"/>
  <c r="L66" i="70"/>
  <c r="L81" i="70"/>
  <c r="L279" i="7" s="1"/>
  <c r="L124" i="70"/>
  <c r="L136" i="70"/>
  <c r="L128" i="70"/>
  <c r="L125" i="70"/>
  <c r="L126" i="70"/>
  <c r="L127" i="70"/>
  <c r="L132" i="70"/>
  <c r="L133" i="70"/>
  <c r="L129" i="70"/>
  <c r="L134" i="70"/>
  <c r="L131" i="70"/>
  <c r="L135" i="70"/>
  <c r="N203" i="7" l="1"/>
  <c r="M133" i="70"/>
  <c r="L331" i="7"/>
  <c r="M66" i="70"/>
  <c r="M264" i="7" s="1"/>
  <c r="L264" i="7"/>
  <c r="M134" i="70"/>
  <c r="M332" i="7" s="1"/>
  <c r="L332" i="7"/>
  <c r="M127" i="70"/>
  <c r="M325" i="7" s="1"/>
  <c r="L325" i="7"/>
  <c r="M334" i="7"/>
  <c r="L334" i="7"/>
  <c r="G35" i="36" s="1"/>
  <c r="L333" i="7"/>
  <c r="L323" i="7"/>
  <c r="M131" i="70"/>
  <c r="M329" i="7" s="1"/>
  <c r="L329" i="7"/>
  <c r="M132" i="70"/>
  <c r="M330" i="7" s="1"/>
  <c r="L330" i="7"/>
  <c r="M128" i="70"/>
  <c r="M326" i="7" s="1"/>
  <c r="L326" i="7"/>
  <c r="M129" i="70"/>
  <c r="L327" i="7"/>
  <c r="M126" i="70"/>
  <c r="L324" i="7"/>
  <c r="L322" i="7"/>
  <c r="M59" i="70"/>
  <c r="M257" i="7" s="1"/>
  <c r="L257" i="7"/>
  <c r="N81" i="70"/>
  <c r="N279" i="7" s="1"/>
  <c r="N62" i="70"/>
  <c r="N260" i="7" s="1"/>
  <c r="I113" i="36" l="1"/>
  <c r="C113" i="36" s="1"/>
  <c r="N66" i="70"/>
  <c r="N264" i="7" s="1"/>
  <c r="N136" i="70"/>
  <c r="N334" i="7" s="1"/>
  <c r="N134" i="70"/>
  <c r="N332" i="7" s="1"/>
  <c r="N132" i="70"/>
  <c r="N330" i="7" s="1"/>
  <c r="N127" i="70"/>
  <c r="N325" i="7" s="1"/>
  <c r="N128" i="70"/>
  <c r="N326" i="7" s="1"/>
  <c r="N135" i="70"/>
  <c r="N333" i="7" s="1"/>
  <c r="M333" i="7"/>
  <c r="N126" i="70"/>
  <c r="N324" i="7" s="1"/>
  <c r="M324" i="7"/>
  <c r="N59" i="70"/>
  <c r="N257" i="7" s="1"/>
  <c r="N131" i="70"/>
  <c r="N329" i="7" s="1"/>
  <c r="N124" i="70"/>
  <c r="N322" i="7" s="1"/>
  <c r="M322" i="7"/>
  <c r="N129" i="70"/>
  <c r="N327" i="7" s="1"/>
  <c r="M327" i="7"/>
  <c r="N125" i="70"/>
  <c r="M323" i="7"/>
  <c r="N133" i="70"/>
  <c r="N331" i="7" s="1"/>
  <c r="M331" i="7"/>
  <c r="L8" i="70"/>
  <c r="L48" i="70"/>
  <c r="L47" i="70"/>
  <c r="L245" i="7" s="1"/>
  <c r="I95" i="36" s="1"/>
  <c r="L53" i="70"/>
  <c r="N323" i="7" l="1"/>
  <c r="M48" i="70"/>
  <c r="M246" i="7" s="1"/>
  <c r="L246" i="7"/>
  <c r="N8" i="70"/>
  <c r="N206" i="7" s="1"/>
  <c r="L206" i="7"/>
  <c r="N53" i="70"/>
  <c r="N251" i="7" s="1"/>
  <c r="L251" i="7"/>
  <c r="N47" i="70"/>
  <c r="N245" i="7" s="1"/>
  <c r="N48" i="70" l="1"/>
  <c r="N246" i="7" s="1"/>
  <c r="O163" i="7"/>
  <c r="O165" i="7"/>
  <c r="L166" i="69"/>
  <c r="L168" i="69"/>
  <c r="O169" i="7"/>
  <c r="L172" i="69"/>
  <c r="L169" i="7" s="1"/>
  <c r="O167" i="7"/>
  <c r="O170" i="7"/>
  <c r="O168" i="7"/>
  <c r="L170" i="69"/>
  <c r="L173" i="69"/>
  <c r="L171" i="69"/>
  <c r="O197" i="7"/>
  <c r="O196" i="7"/>
  <c r="O198" i="7"/>
  <c r="O199" i="7"/>
  <c r="L201" i="69"/>
  <c r="L199" i="69"/>
  <c r="L200" i="69"/>
  <c r="O201" i="7"/>
  <c r="O202" i="7"/>
  <c r="O101" i="7"/>
  <c r="L104" i="69"/>
  <c r="L101" i="7" s="1"/>
  <c r="O204" i="7"/>
  <c r="L6" i="70"/>
  <c r="O113" i="7"/>
  <c r="O131" i="7"/>
  <c r="O132" i="7"/>
  <c r="O162" i="7"/>
  <c r="L108" i="69"/>
  <c r="L105" i="7" s="1"/>
  <c r="D46" i="36" l="1"/>
  <c r="C46" i="36" s="1"/>
  <c r="L204" i="7"/>
  <c r="M171" i="69"/>
  <c r="L168" i="7"/>
  <c r="M168" i="69"/>
  <c r="M165" i="7" s="1"/>
  <c r="L165" i="7"/>
  <c r="M200" i="69"/>
  <c r="M197" i="7" s="1"/>
  <c r="L197" i="7"/>
  <c r="M173" i="69"/>
  <c r="M170" i="7" s="1"/>
  <c r="L170" i="7"/>
  <c r="M166" i="69"/>
  <c r="M163" i="7" s="1"/>
  <c r="L163" i="7"/>
  <c r="M199" i="69"/>
  <c r="M196" i="7" s="1"/>
  <c r="L196" i="7"/>
  <c r="M170" i="69"/>
  <c r="L167" i="7"/>
  <c r="M201" i="69"/>
  <c r="M198" i="7" s="1"/>
  <c r="L198" i="7"/>
  <c r="N104" i="69"/>
  <c r="N101" i="7" s="1"/>
  <c r="M172" i="69"/>
  <c r="M6" i="70"/>
  <c r="M204" i="7" s="1"/>
  <c r="N108" i="69"/>
  <c r="N105" i="7" s="1"/>
  <c r="N6" i="70" l="1"/>
  <c r="N200" i="69"/>
  <c r="N197" i="7" s="1"/>
  <c r="N168" i="69"/>
  <c r="N165" i="7" s="1"/>
  <c r="N166" i="69"/>
  <c r="N163" i="7" s="1"/>
  <c r="N199" i="69"/>
  <c r="N196" i="7" s="1"/>
  <c r="N201" i="69"/>
  <c r="N198" i="7" s="1"/>
  <c r="N172" i="69"/>
  <c r="N169" i="7" s="1"/>
  <c r="M169" i="7"/>
  <c r="N173" i="69"/>
  <c r="N170" i="7" s="1"/>
  <c r="N170" i="69"/>
  <c r="N167" i="7" s="1"/>
  <c r="M167" i="7"/>
  <c r="N171" i="69"/>
  <c r="N168" i="7" s="1"/>
  <c r="M168" i="7"/>
  <c r="O130" i="7"/>
  <c r="N204" i="7" l="1"/>
  <c r="L82" i="69"/>
  <c r="L52" i="69"/>
  <c r="L56" i="69"/>
  <c r="L57" i="69"/>
  <c r="L68" i="69"/>
  <c r="L65" i="7" s="1"/>
  <c r="L70" i="69"/>
  <c r="L76" i="69"/>
  <c r="L78" i="69"/>
  <c r="M78" i="69" l="1"/>
  <c r="M75" i="7" s="1"/>
  <c r="L75" i="7"/>
  <c r="M76" i="69"/>
  <c r="L73" i="7"/>
  <c r="M70" i="69"/>
  <c r="M67" i="7" s="1"/>
  <c r="L67" i="7"/>
  <c r="M52" i="69"/>
  <c r="L49" i="7"/>
  <c r="M57" i="69"/>
  <c r="M54" i="7" s="1"/>
  <c r="L54" i="7"/>
  <c r="M56" i="69"/>
  <c r="L53" i="7"/>
  <c r="M82" i="69"/>
  <c r="M79" i="7" s="1"/>
  <c r="L79" i="7"/>
  <c r="M68" i="69"/>
  <c r="N78" i="69" l="1"/>
  <c r="N75" i="7" s="1"/>
  <c r="N70" i="69"/>
  <c r="N67" i="7" s="1"/>
  <c r="N57" i="69"/>
  <c r="N54" i="7" s="1"/>
  <c r="N82" i="69"/>
  <c r="N79" i="7" s="1"/>
  <c r="N56" i="69"/>
  <c r="N53" i="7" s="1"/>
  <c r="M53" i="7"/>
  <c r="N52" i="69"/>
  <c r="N49" i="7" s="1"/>
  <c r="M49" i="7"/>
  <c r="N76" i="69"/>
  <c r="N73" i="7" s="1"/>
  <c r="M73" i="7"/>
  <c r="N68" i="69"/>
  <c r="N65" i="7" s="1"/>
  <c r="M65" i="7"/>
  <c r="L68" i="70"/>
  <c r="M68" i="70" l="1"/>
  <c r="M266" i="7" s="1"/>
  <c r="L266" i="7"/>
  <c r="D84" i="36" s="1"/>
  <c r="C84" i="36" l="1"/>
  <c r="N68" i="70"/>
  <c r="L116" i="69"/>
  <c r="L113" i="7" s="1"/>
  <c r="L122" i="69"/>
  <c r="L204" i="69"/>
  <c r="N266" i="7" l="1"/>
  <c r="M204" i="69"/>
  <c r="M201" i="7" s="1"/>
  <c r="L201" i="7"/>
  <c r="M122" i="69"/>
  <c r="M119" i="7" s="1"/>
  <c r="L119" i="7"/>
  <c r="N116" i="69"/>
  <c r="N113" i="7" s="1"/>
  <c r="E98" i="36" l="1"/>
  <c r="C98" i="36" s="1"/>
  <c r="N204" i="69"/>
  <c r="N201" i="7" s="1"/>
  <c r="N122" i="69"/>
  <c r="N119" i="7" s="1"/>
  <c r="O133" i="7"/>
  <c r="L136" i="69"/>
  <c r="O128" i="7"/>
  <c r="L131" i="69"/>
  <c r="M131" i="69" l="1"/>
  <c r="M128" i="7" s="1"/>
  <c r="L128" i="7"/>
  <c r="D35" i="36" s="1"/>
  <c r="N136" i="69"/>
  <c r="N133" i="7" s="1"/>
  <c r="L133" i="7"/>
  <c r="N131" i="69" l="1"/>
  <c r="N128" i="7" s="1"/>
  <c r="L80" i="69"/>
  <c r="L87" i="69"/>
  <c r="L83" i="7" s="1"/>
  <c r="L88" i="69"/>
  <c r="L202" i="69"/>
  <c r="L199" i="7" s="1"/>
  <c r="L205" i="69"/>
  <c r="L86" i="69"/>
  <c r="L96" i="69"/>
  <c r="L93" i="7" s="1"/>
  <c r="L120" i="69"/>
  <c r="L83" i="69"/>
  <c r="L80" i="7" s="1"/>
  <c r="F245" i="70"/>
  <c r="F244" i="70"/>
  <c r="F243" i="70"/>
  <c r="F241" i="70"/>
  <c r="F240" i="70"/>
  <c r="F238" i="70"/>
  <c r="F237" i="70"/>
  <c r="F236" i="70"/>
  <c r="D231" i="70"/>
  <c r="E4" i="36" s="1"/>
  <c r="L229" i="70"/>
  <c r="M229" i="70" s="1"/>
  <c r="N229" i="70" s="1"/>
  <c r="L40" i="70"/>
  <c r="L14" i="70"/>
  <c r="L212" i="7" s="1"/>
  <c r="L12" i="70"/>
  <c r="F235" i="70"/>
  <c r="O166" i="7"/>
  <c r="L169" i="69"/>
  <c r="L166" i="7" s="1"/>
  <c r="O164" i="7"/>
  <c r="L167" i="69"/>
  <c r="L164" i="7" s="1"/>
  <c r="O195" i="7"/>
  <c r="L198" i="69"/>
  <c r="L195" i="7" s="1"/>
  <c r="O194" i="7"/>
  <c r="L197" i="69"/>
  <c r="L194" i="7" s="1"/>
  <c r="O193" i="7"/>
  <c r="L196" i="69"/>
  <c r="L193" i="7" s="1"/>
  <c r="O192" i="7"/>
  <c r="L195" i="69"/>
  <c r="L192" i="7" s="1"/>
  <c r="O191" i="7"/>
  <c r="L194" i="69"/>
  <c r="L191" i="7" s="1"/>
  <c r="O190" i="7"/>
  <c r="L193" i="69"/>
  <c r="L190" i="7" s="1"/>
  <c r="O171" i="7"/>
  <c r="L174" i="69"/>
  <c r="L171" i="7" s="1"/>
  <c r="O161" i="7"/>
  <c r="L164" i="69"/>
  <c r="L161" i="7" s="1"/>
  <c r="O160" i="7"/>
  <c r="L163" i="69"/>
  <c r="L160" i="7" s="1"/>
  <c r="O159" i="7"/>
  <c r="L162" i="69"/>
  <c r="L159" i="7" s="1"/>
  <c r="O158" i="7"/>
  <c r="L161" i="69"/>
  <c r="O157" i="7"/>
  <c r="L160" i="69"/>
  <c r="L157" i="7" s="1"/>
  <c r="O156" i="7"/>
  <c r="L159" i="69"/>
  <c r="L156" i="7" s="1"/>
  <c r="O155" i="7"/>
  <c r="L158" i="69"/>
  <c r="O129" i="7"/>
  <c r="L132" i="69"/>
  <c r="O154" i="7"/>
  <c r="L157" i="69"/>
  <c r="O153" i="7"/>
  <c r="L156" i="69"/>
  <c r="O152" i="7"/>
  <c r="L155" i="69"/>
  <c r="O151" i="7"/>
  <c r="L154" i="69"/>
  <c r="O150" i="7"/>
  <c r="L153" i="69"/>
  <c r="O189" i="7"/>
  <c r="L192" i="69"/>
  <c r="L189" i="7" s="1"/>
  <c r="O188" i="7"/>
  <c r="L191" i="69"/>
  <c r="O187" i="7"/>
  <c r="L190" i="69"/>
  <c r="O186" i="7"/>
  <c r="L189" i="69"/>
  <c r="O185" i="7"/>
  <c r="L188" i="69"/>
  <c r="O184" i="7"/>
  <c r="L187" i="69"/>
  <c r="O183" i="7"/>
  <c r="L186" i="69"/>
  <c r="O182" i="7"/>
  <c r="L185" i="69"/>
  <c r="O181" i="7"/>
  <c r="L184" i="69"/>
  <c r="O180" i="7"/>
  <c r="L183" i="69"/>
  <c r="O179" i="7"/>
  <c r="L182" i="69"/>
  <c r="O178" i="7"/>
  <c r="L181" i="69"/>
  <c r="O177" i="7"/>
  <c r="L180" i="69"/>
  <c r="O176" i="7"/>
  <c r="L179" i="69"/>
  <c r="O175" i="7"/>
  <c r="L178" i="69"/>
  <c r="O174" i="7"/>
  <c r="L177" i="69"/>
  <c r="O173" i="7"/>
  <c r="L176" i="69"/>
  <c r="O172" i="7"/>
  <c r="L175" i="69"/>
  <c r="O200" i="7"/>
  <c r="L203" i="69"/>
  <c r="O145" i="7"/>
  <c r="L148" i="69"/>
  <c r="O144" i="7"/>
  <c r="L147" i="69"/>
  <c r="O143" i="7"/>
  <c r="L146" i="69"/>
  <c r="L143" i="7" s="1"/>
  <c r="O142" i="7"/>
  <c r="L145" i="69"/>
  <c r="L142" i="7" s="1"/>
  <c r="O141" i="7"/>
  <c r="L144" i="69"/>
  <c r="O140" i="7"/>
  <c r="L143" i="69"/>
  <c r="L140" i="7" s="1"/>
  <c r="O139" i="7"/>
  <c r="L142" i="69"/>
  <c r="L139" i="7" s="1"/>
  <c r="O138" i="7"/>
  <c r="L141" i="69"/>
  <c r="L138" i="7" s="1"/>
  <c r="O137" i="7"/>
  <c r="L140" i="69"/>
  <c r="L137" i="7" s="1"/>
  <c r="O136" i="7"/>
  <c r="L139" i="69"/>
  <c r="L136" i="7" s="1"/>
  <c r="O135" i="7"/>
  <c r="L138" i="69"/>
  <c r="O134" i="7"/>
  <c r="L137" i="69"/>
  <c r="O149" i="7"/>
  <c r="L152" i="69"/>
  <c r="O148" i="7"/>
  <c r="L151" i="69"/>
  <c r="O147" i="7"/>
  <c r="L150" i="69"/>
  <c r="O146" i="7"/>
  <c r="L149" i="69"/>
  <c r="L67" i="69"/>
  <c r="L66" i="69"/>
  <c r="L65" i="69"/>
  <c r="L64" i="69"/>
  <c r="L61" i="7" s="1"/>
  <c r="D41" i="36" l="1"/>
  <c r="C41" i="36" s="1"/>
  <c r="L210" i="7"/>
  <c r="L238" i="7"/>
  <c r="L230" i="70"/>
  <c r="B4" i="36" s="1"/>
  <c r="M12" i="70"/>
  <c r="M210" i="7" s="1"/>
  <c r="N67" i="69"/>
  <c r="N64" i="7" s="1"/>
  <c r="L64" i="7"/>
  <c r="M120" i="69"/>
  <c r="M117" i="7" s="1"/>
  <c r="L117" i="7"/>
  <c r="M151" i="69"/>
  <c r="L148" i="7"/>
  <c r="N147" i="69"/>
  <c r="N144" i="7" s="1"/>
  <c r="L144" i="7"/>
  <c r="M176" i="69"/>
  <c r="L173" i="7"/>
  <c r="M180" i="69"/>
  <c r="L177" i="7"/>
  <c r="M184" i="69"/>
  <c r="L181" i="7"/>
  <c r="M188" i="69"/>
  <c r="L185" i="7"/>
  <c r="M190" i="69"/>
  <c r="L187" i="7"/>
  <c r="M154" i="69"/>
  <c r="L151" i="7"/>
  <c r="M132" i="69"/>
  <c r="L129" i="7"/>
  <c r="N161" i="69"/>
  <c r="N158" i="7" s="1"/>
  <c r="L158" i="7"/>
  <c r="N65" i="69"/>
  <c r="N62" i="7" s="1"/>
  <c r="L62" i="7"/>
  <c r="M86" i="69"/>
  <c r="L88" i="7"/>
  <c r="D64" i="36" s="1"/>
  <c r="M149" i="69"/>
  <c r="L146" i="7"/>
  <c r="M137" i="69"/>
  <c r="L134" i="7"/>
  <c r="M203" i="69"/>
  <c r="L200" i="7"/>
  <c r="M178" i="69"/>
  <c r="L175" i="7"/>
  <c r="M182" i="69"/>
  <c r="L179" i="7"/>
  <c r="M186" i="69"/>
  <c r="L183" i="7"/>
  <c r="M156" i="69"/>
  <c r="L153" i="7"/>
  <c r="M88" i="69"/>
  <c r="M84" i="7" s="1"/>
  <c r="L84" i="7"/>
  <c r="N66" i="69"/>
  <c r="N63" i="7" s="1"/>
  <c r="L63" i="7"/>
  <c r="M150" i="69"/>
  <c r="L147" i="7"/>
  <c r="M152" i="69"/>
  <c r="L149" i="7"/>
  <c r="M138" i="69"/>
  <c r="L135" i="7"/>
  <c r="N144" i="69"/>
  <c r="N141" i="7" s="1"/>
  <c r="L141" i="7"/>
  <c r="M148" i="69"/>
  <c r="L145" i="7"/>
  <c r="M175" i="69"/>
  <c r="L172" i="7"/>
  <c r="M177" i="69"/>
  <c r="L174" i="7"/>
  <c r="M179" i="69"/>
  <c r="L176" i="7"/>
  <c r="M181" i="69"/>
  <c r="L178" i="7"/>
  <c r="M183" i="69"/>
  <c r="L180" i="7"/>
  <c r="M185" i="69"/>
  <c r="L182" i="7"/>
  <c r="M187" i="69"/>
  <c r="L184" i="7"/>
  <c r="M189" i="69"/>
  <c r="L186" i="7"/>
  <c r="M191" i="69"/>
  <c r="L188" i="7"/>
  <c r="M153" i="69"/>
  <c r="L150" i="7"/>
  <c r="M155" i="69"/>
  <c r="L152" i="7"/>
  <c r="M157" i="69"/>
  <c r="L154" i="7"/>
  <c r="N158" i="69"/>
  <c r="N155" i="7" s="1"/>
  <c r="L155" i="7"/>
  <c r="M205" i="69"/>
  <c r="L202" i="7"/>
  <c r="N80" i="69"/>
  <c r="N77" i="7" s="1"/>
  <c r="L77" i="7"/>
  <c r="M83" i="69"/>
  <c r="M192" i="69"/>
  <c r="M202" i="69"/>
  <c r="N64" i="69"/>
  <c r="N61" i="7" s="1"/>
  <c r="N87" i="69"/>
  <c r="N83" i="7" s="1"/>
  <c r="M96" i="69"/>
  <c r="F234" i="70"/>
  <c r="M40" i="70"/>
  <c r="N14" i="70"/>
  <c r="N212" i="7" s="1"/>
  <c r="L232" i="70"/>
  <c r="F239" i="70"/>
  <c r="F242" i="70"/>
  <c r="M145" i="69"/>
  <c r="M146" i="69"/>
  <c r="M139" i="69"/>
  <c r="M140" i="69"/>
  <c r="M141" i="69"/>
  <c r="M142" i="69"/>
  <c r="M143" i="69"/>
  <c r="M162" i="69"/>
  <c r="M163" i="69"/>
  <c r="M164" i="69"/>
  <c r="M174" i="69"/>
  <c r="M193" i="69"/>
  <c r="M194" i="69"/>
  <c r="M195" i="69"/>
  <c r="M196" i="69"/>
  <c r="M197" i="69"/>
  <c r="M198" i="69"/>
  <c r="M167" i="69"/>
  <c r="M169" i="69"/>
  <c r="M159" i="69"/>
  <c r="M160" i="69"/>
  <c r="N88" i="69" l="1"/>
  <c r="N84" i="7" s="1"/>
  <c r="E72" i="36"/>
  <c r="C72" i="36" s="1"/>
  <c r="E74" i="36"/>
  <c r="C74" i="36" s="1"/>
  <c r="N40" i="70"/>
  <c r="M238" i="7"/>
  <c r="M230" i="70"/>
  <c r="C4" i="36" s="1"/>
  <c r="N12" i="70"/>
  <c r="N159" i="69"/>
  <c r="N156" i="7" s="1"/>
  <c r="M156" i="7"/>
  <c r="N197" i="69"/>
  <c r="N194" i="7" s="1"/>
  <c r="M194" i="7"/>
  <c r="N162" i="69"/>
  <c r="N159" i="7" s="1"/>
  <c r="M159" i="7"/>
  <c r="N140" i="69"/>
  <c r="N137" i="7" s="1"/>
  <c r="M137" i="7"/>
  <c r="N192" i="69"/>
  <c r="N189" i="7" s="1"/>
  <c r="M189" i="7"/>
  <c r="N169" i="69"/>
  <c r="N166" i="7" s="1"/>
  <c r="M166" i="7"/>
  <c r="N143" i="69"/>
  <c r="N140" i="7" s="1"/>
  <c r="M140" i="7"/>
  <c r="N205" i="69"/>
  <c r="N202" i="7" s="1"/>
  <c r="M202" i="7"/>
  <c r="N153" i="69"/>
  <c r="N150" i="7" s="1"/>
  <c r="M150" i="7"/>
  <c r="N189" i="69"/>
  <c r="N186" i="7" s="1"/>
  <c r="M186" i="7"/>
  <c r="N181" i="69"/>
  <c r="N178" i="7" s="1"/>
  <c r="M178" i="7"/>
  <c r="N177" i="69"/>
  <c r="N174" i="7" s="1"/>
  <c r="M174" i="7"/>
  <c r="N138" i="69"/>
  <c r="N135" i="7" s="1"/>
  <c r="M135" i="7"/>
  <c r="N150" i="69"/>
  <c r="N147" i="7" s="1"/>
  <c r="M147" i="7"/>
  <c r="N186" i="69"/>
  <c r="N183" i="7" s="1"/>
  <c r="M183" i="7"/>
  <c r="N188" i="69"/>
  <c r="N185" i="7" s="1"/>
  <c r="M185" i="7"/>
  <c r="N167" i="69"/>
  <c r="N164" i="7" s="1"/>
  <c r="M164" i="7"/>
  <c r="N195" i="69"/>
  <c r="N192" i="7" s="1"/>
  <c r="M192" i="7"/>
  <c r="N164" i="69"/>
  <c r="N161" i="7" s="1"/>
  <c r="M161" i="7"/>
  <c r="N142" i="69"/>
  <c r="N139" i="7" s="1"/>
  <c r="M139" i="7"/>
  <c r="N146" i="69"/>
  <c r="N143" i="7" s="1"/>
  <c r="M143" i="7"/>
  <c r="N120" i="69"/>
  <c r="N117" i="7" s="1"/>
  <c r="N193" i="69"/>
  <c r="N190" i="7" s="1"/>
  <c r="M190" i="7"/>
  <c r="N196" i="69"/>
  <c r="N193" i="7" s="1"/>
  <c r="M193" i="7"/>
  <c r="N174" i="69"/>
  <c r="N171" i="7" s="1"/>
  <c r="M171" i="7"/>
  <c r="N139" i="69"/>
  <c r="N136" i="7" s="1"/>
  <c r="M136" i="7"/>
  <c r="N83" i="69"/>
  <c r="N80" i="7" s="1"/>
  <c r="M80" i="7"/>
  <c r="N157" i="69"/>
  <c r="N154" i="7" s="1"/>
  <c r="M154" i="7"/>
  <c r="N185" i="69"/>
  <c r="N182" i="7" s="1"/>
  <c r="M182" i="7"/>
  <c r="N148" i="69"/>
  <c r="N145" i="7" s="1"/>
  <c r="M145" i="7"/>
  <c r="N178" i="69"/>
  <c r="N175" i="7" s="1"/>
  <c r="M175" i="7"/>
  <c r="N137" i="69"/>
  <c r="N134" i="7" s="1"/>
  <c r="M134" i="7"/>
  <c r="N86" i="69"/>
  <c r="N88" i="7" s="1"/>
  <c r="M88" i="7"/>
  <c r="N154" i="69"/>
  <c r="N151" i="7" s="1"/>
  <c r="M151" i="7"/>
  <c r="N180" i="69"/>
  <c r="N177" i="7" s="1"/>
  <c r="M177" i="7"/>
  <c r="N160" i="69"/>
  <c r="N157" i="7" s="1"/>
  <c r="M157" i="7"/>
  <c r="N198" i="69"/>
  <c r="N195" i="7" s="1"/>
  <c r="M195" i="7"/>
  <c r="N194" i="69"/>
  <c r="N191" i="7" s="1"/>
  <c r="M191" i="7"/>
  <c r="N163" i="69"/>
  <c r="N160" i="7" s="1"/>
  <c r="M160" i="7"/>
  <c r="N141" i="69"/>
  <c r="N138" i="7" s="1"/>
  <c r="M138" i="7"/>
  <c r="N145" i="69"/>
  <c r="N142" i="7" s="1"/>
  <c r="M142" i="7"/>
  <c r="N96" i="69"/>
  <c r="N93" i="7" s="1"/>
  <c r="M93" i="7"/>
  <c r="N202" i="69"/>
  <c r="N199" i="7" s="1"/>
  <c r="M199" i="7"/>
  <c r="N155" i="69"/>
  <c r="N152" i="7" s="1"/>
  <c r="M152" i="7"/>
  <c r="N191" i="69"/>
  <c r="N188" i="7" s="1"/>
  <c r="M188" i="7"/>
  <c r="N187" i="69"/>
  <c r="N184" i="7" s="1"/>
  <c r="M184" i="7"/>
  <c r="N183" i="69"/>
  <c r="N180" i="7" s="1"/>
  <c r="M180" i="7"/>
  <c r="N179" i="69"/>
  <c r="N176" i="7" s="1"/>
  <c r="M176" i="7"/>
  <c r="N175" i="69"/>
  <c r="N172" i="7" s="1"/>
  <c r="M172" i="7"/>
  <c r="N152" i="69"/>
  <c r="N149" i="7" s="1"/>
  <c r="M149" i="7"/>
  <c r="N156" i="69"/>
  <c r="N153" i="7" s="1"/>
  <c r="M153" i="7"/>
  <c r="N182" i="69"/>
  <c r="N179" i="7" s="1"/>
  <c r="M179" i="7"/>
  <c r="N203" i="69"/>
  <c r="N200" i="7" s="1"/>
  <c r="M200" i="7"/>
  <c r="N149" i="69"/>
  <c r="N146" i="7" s="1"/>
  <c r="M146" i="7"/>
  <c r="N132" i="69"/>
  <c r="N129" i="7" s="1"/>
  <c r="M129" i="7"/>
  <c r="N190" i="69"/>
  <c r="N187" i="7" s="1"/>
  <c r="M187" i="7"/>
  <c r="N184" i="69"/>
  <c r="N181" i="7" s="1"/>
  <c r="M181" i="7"/>
  <c r="N176" i="69"/>
  <c r="N173" i="7" s="1"/>
  <c r="M173" i="7"/>
  <c r="N151" i="69"/>
  <c r="N148" i="7" s="1"/>
  <c r="M148" i="7"/>
  <c r="F246" i="70"/>
  <c r="F247" i="70" s="1"/>
  <c r="M232" i="70"/>
  <c r="N232" i="70" s="1"/>
  <c r="N251" i="70" l="1"/>
  <c r="N238" i="7"/>
  <c r="N230" i="70"/>
  <c r="N210" i="7"/>
  <c r="M110" i="69"/>
  <c r="M107" i="7" s="1"/>
  <c r="L111" i="69"/>
  <c r="L112" i="69"/>
  <c r="L109" i="7" s="1"/>
  <c r="L114" i="69"/>
  <c r="L117" i="69"/>
  <c r="L92" i="69"/>
  <c r="L89" i="7" s="1"/>
  <c r="L95" i="69"/>
  <c r="L92" i="7" s="1"/>
  <c r="L81" i="69"/>
  <c r="L78" i="7" s="1"/>
  <c r="L113" i="69"/>
  <c r="L119" i="69"/>
  <c r="L116" i="7" s="1"/>
  <c r="L90" i="69"/>
  <c r="L86" i="7" s="1"/>
  <c r="L97" i="69"/>
  <c r="L94" i="7" s="1"/>
  <c r="L89" i="69"/>
  <c r="L85" i="7" s="1"/>
  <c r="E27" i="36" l="1"/>
  <c r="C27" i="36" s="1"/>
  <c r="E28" i="36"/>
  <c r="C28" i="36" s="1"/>
  <c r="E89" i="36"/>
  <c r="C89" i="36" s="1"/>
  <c r="E31" i="36"/>
  <c r="C31" i="36" s="1"/>
  <c r="E88" i="36"/>
  <c r="C88" i="36" s="1"/>
  <c r="E47" i="36"/>
  <c r="C47" i="36" s="1"/>
  <c r="D4" i="36"/>
  <c r="M114" i="69"/>
  <c r="L111" i="7"/>
  <c r="M111" i="69"/>
  <c r="L108" i="7"/>
  <c r="M113" i="69"/>
  <c r="L110" i="7"/>
  <c r="M117" i="69"/>
  <c r="L114" i="7"/>
  <c r="N110" i="69"/>
  <c r="N107" i="7" s="1"/>
  <c r="M112" i="69"/>
  <c r="M92" i="69"/>
  <c r="M95" i="69"/>
  <c r="M81" i="69"/>
  <c r="M119" i="69"/>
  <c r="M90" i="69"/>
  <c r="M97" i="69"/>
  <c r="M89" i="69"/>
  <c r="E107" i="36" l="1"/>
  <c r="C107" i="36" s="1"/>
  <c r="E100" i="36"/>
  <c r="C100" i="36" s="1"/>
  <c r="E114" i="36"/>
  <c r="C114" i="36" s="1"/>
  <c r="N97" i="69"/>
  <c r="N94" i="7" s="1"/>
  <c r="M94" i="7"/>
  <c r="N119" i="69"/>
  <c r="N116" i="7" s="1"/>
  <c r="M116" i="7"/>
  <c r="N95" i="69"/>
  <c r="N92" i="7" s="1"/>
  <c r="M92" i="7"/>
  <c r="N90" i="69"/>
  <c r="N86" i="7" s="1"/>
  <c r="M86" i="7"/>
  <c r="N92" i="69"/>
  <c r="M89" i="7"/>
  <c r="N117" i="69"/>
  <c r="N114" i="7" s="1"/>
  <c r="M114" i="7"/>
  <c r="N111" i="69"/>
  <c r="N108" i="7" s="1"/>
  <c r="M108" i="7"/>
  <c r="N112" i="69"/>
  <c r="N109" i="7" s="1"/>
  <c r="M109" i="7"/>
  <c r="N89" i="69"/>
  <c r="N85" i="7" s="1"/>
  <c r="M85" i="7"/>
  <c r="N81" i="69"/>
  <c r="N78" i="7" s="1"/>
  <c r="M78" i="7"/>
  <c r="N113" i="69"/>
  <c r="N110" i="7" s="1"/>
  <c r="M110" i="7"/>
  <c r="N114" i="69"/>
  <c r="N111" i="7" s="1"/>
  <c r="M111" i="7"/>
  <c r="L75" i="69"/>
  <c r="L72" i="7" s="1"/>
  <c r="E64" i="36" l="1"/>
  <c r="C64" i="36" s="1"/>
  <c r="N89" i="7"/>
  <c r="M75" i="69"/>
  <c r="N75" i="69" l="1"/>
  <c r="N72" i="7" s="1"/>
  <c r="M72" i="7"/>
  <c r="K74" i="69"/>
  <c r="K71" i="7" s="1"/>
  <c r="L46" i="69" l="1"/>
  <c r="L45" i="69"/>
  <c r="L41" i="69"/>
  <c r="L40" i="69"/>
  <c r="L39" i="69"/>
  <c r="M40" i="69" l="1"/>
  <c r="L37" i="7"/>
  <c r="M41" i="69"/>
  <c r="L38" i="7"/>
  <c r="M45" i="69"/>
  <c r="L42" i="7"/>
  <c r="M39" i="69"/>
  <c r="L36" i="7"/>
  <c r="M46" i="69"/>
  <c r="L43" i="7"/>
  <c r="K69" i="69"/>
  <c r="K66" i="7" s="1"/>
  <c r="N39" i="69" l="1"/>
  <c r="N36" i="7" s="1"/>
  <c r="M36" i="7"/>
  <c r="N41" i="69"/>
  <c r="N38" i="7" s="1"/>
  <c r="M38" i="7"/>
  <c r="N46" i="69"/>
  <c r="N43" i="7" s="1"/>
  <c r="M43" i="7"/>
  <c r="N45" i="69"/>
  <c r="N42" i="7" s="1"/>
  <c r="M42" i="7"/>
  <c r="N40" i="69"/>
  <c r="N37" i="7" s="1"/>
  <c r="M37" i="7"/>
  <c r="O127" i="7"/>
  <c r="L130" i="69"/>
  <c r="N130" i="69" l="1"/>
  <c r="N127" i="7" s="1"/>
  <c r="L127" i="7"/>
  <c r="L60" i="69" l="1"/>
  <c r="M60" i="69" l="1"/>
  <c r="M57" i="7" s="1"/>
  <c r="L57" i="7"/>
  <c r="N60" i="69" l="1"/>
  <c r="N57" i="7" s="1"/>
  <c r="K59" i="69"/>
  <c r="K56" i="7" s="1"/>
  <c r="O126" i="7" l="1"/>
  <c r="L129" i="69"/>
  <c r="N129" i="69" l="1"/>
  <c r="N126" i="7" s="1"/>
  <c r="L126" i="7"/>
  <c r="N84" i="69"/>
  <c r="N81" i="7" s="1"/>
  <c r="O52" i="7" l="1"/>
  <c r="L50" i="69"/>
  <c r="M50" i="69" l="1"/>
  <c r="M47" i="7" s="1"/>
  <c r="L47" i="7"/>
  <c r="N50" i="69" l="1"/>
  <c r="N47" i="7" s="1"/>
  <c r="L51" i="69"/>
  <c r="L48" i="7" s="1"/>
  <c r="D86" i="36" s="1"/>
  <c r="M51" i="69" l="1"/>
  <c r="N51" i="69" l="1"/>
  <c r="M48" i="7"/>
  <c r="L121" i="69"/>
  <c r="L118" i="7" s="1"/>
  <c r="L107" i="69"/>
  <c r="L106" i="69"/>
  <c r="L105" i="69"/>
  <c r="L102" i="7" s="1"/>
  <c r="L118" i="69"/>
  <c r="L115" i="69"/>
  <c r="L93" i="69"/>
  <c r="L90" i="7" s="1"/>
  <c r="L94" i="69"/>
  <c r="L109" i="69"/>
  <c r="L106" i="7" s="1"/>
  <c r="N98" i="69"/>
  <c r="N95" i="7" s="1"/>
  <c r="K98" i="69"/>
  <c r="K95" i="7" s="1"/>
  <c r="L103" i="69"/>
  <c r="L102" i="69"/>
  <c r="L101" i="69"/>
  <c r="L100" i="69"/>
  <c r="L53" i="69"/>
  <c r="L50" i="7" s="1"/>
  <c r="L54" i="69"/>
  <c r="I80" i="36" l="1"/>
  <c r="C80" i="36" s="1"/>
  <c r="I66" i="36"/>
  <c r="C66" i="36" s="1"/>
  <c r="I30" i="36"/>
  <c r="C30" i="36" s="1"/>
  <c r="I94" i="36"/>
  <c r="C94" i="36" s="1"/>
  <c r="N48" i="7"/>
  <c r="N100" i="69"/>
  <c r="N97" i="7" s="1"/>
  <c r="L97" i="7"/>
  <c r="N106" i="69"/>
  <c r="N103" i="7" s="1"/>
  <c r="L103" i="7"/>
  <c r="N102" i="69"/>
  <c r="N99" i="7" s="1"/>
  <c r="L99" i="7"/>
  <c r="M118" i="69"/>
  <c r="L115" i="7"/>
  <c r="N101" i="69"/>
  <c r="N98" i="7" s="1"/>
  <c r="L98" i="7"/>
  <c r="M115" i="69"/>
  <c r="L112" i="7"/>
  <c r="N107" i="69"/>
  <c r="N104" i="7" s="1"/>
  <c r="L104" i="7"/>
  <c r="M54" i="69"/>
  <c r="L51" i="7"/>
  <c r="E63" i="36" s="1"/>
  <c r="N103" i="69"/>
  <c r="N100" i="7" s="1"/>
  <c r="L100" i="7"/>
  <c r="N94" i="69"/>
  <c r="N91" i="7" s="1"/>
  <c r="L91" i="7"/>
  <c r="N105" i="69"/>
  <c r="N102" i="7" s="1"/>
  <c r="M93" i="69"/>
  <c r="M121" i="69"/>
  <c r="M109" i="69"/>
  <c r="N53" i="69"/>
  <c r="N50" i="7" s="1"/>
  <c r="O28" i="7"/>
  <c r="O29" i="7"/>
  <c r="L32" i="69"/>
  <c r="L29" i="7" s="1"/>
  <c r="L58" i="69"/>
  <c r="N59" i="69"/>
  <c r="N56" i="7" s="1"/>
  <c r="L8" i="69"/>
  <c r="L5" i="7" s="1"/>
  <c r="L5" i="69"/>
  <c r="L2" i="7" s="1"/>
  <c r="O18" i="7"/>
  <c r="I67" i="36" l="1"/>
  <c r="C67" i="36" s="1"/>
  <c r="I40" i="36"/>
  <c r="C40" i="36" s="1"/>
  <c r="I50" i="36"/>
  <c r="C50" i="36" s="1"/>
  <c r="I36" i="36"/>
  <c r="C36" i="36" s="1"/>
  <c r="I25" i="36"/>
  <c r="C25" i="36" s="1"/>
  <c r="I48" i="36"/>
  <c r="C48" i="36" s="1"/>
  <c r="M58" i="69"/>
  <c r="L55" i="7"/>
  <c r="N54" i="69"/>
  <c r="N51" i="7" s="1"/>
  <c r="M51" i="7"/>
  <c r="N115" i="69"/>
  <c r="N112" i="7" s="1"/>
  <c r="M112" i="7"/>
  <c r="N118" i="69"/>
  <c r="N115" i="7" s="1"/>
  <c r="M115" i="7"/>
  <c r="N109" i="69"/>
  <c r="N106" i="7" s="1"/>
  <c r="M106" i="7"/>
  <c r="N93" i="69"/>
  <c r="N90" i="7" s="1"/>
  <c r="M90" i="7"/>
  <c r="N121" i="69"/>
  <c r="N118" i="7" s="1"/>
  <c r="M118" i="7"/>
  <c r="N32" i="69"/>
  <c r="N29" i="7" s="1"/>
  <c r="N8" i="69"/>
  <c r="N5" i="7" s="1"/>
  <c r="M5" i="69"/>
  <c r="M2" i="7" s="1"/>
  <c r="N58" i="69" l="1"/>
  <c r="N55" i="7" s="1"/>
  <c r="M55" i="7"/>
  <c r="N5" i="69"/>
  <c r="N2" i="7" s="1"/>
  <c r="O17" i="7"/>
  <c r="O16" i="7"/>
  <c r="O15" i="7"/>
  <c r="O14" i="7"/>
  <c r="O13" i="7"/>
  <c r="O12" i="7"/>
  <c r="L48" i="69"/>
  <c r="L49" i="69"/>
  <c r="O11" i="7"/>
  <c r="O10" i="7"/>
  <c r="L34" i="69"/>
  <c r="O9" i="7"/>
  <c r="M49" i="69" l="1"/>
  <c r="L46" i="7"/>
  <c r="N34" i="69"/>
  <c r="N31" i="7" s="1"/>
  <c r="L31" i="7"/>
  <c r="M48" i="69"/>
  <c r="L45" i="7"/>
  <c r="N10" i="69"/>
  <c r="N7" i="7" s="1"/>
  <c r="N17" i="69"/>
  <c r="N14" i="7" s="1"/>
  <c r="O8" i="7"/>
  <c r="O7" i="7"/>
  <c r="O6" i="7"/>
  <c r="N48" i="69" l="1"/>
  <c r="N45" i="7" s="1"/>
  <c r="M45" i="7"/>
  <c r="N49" i="69"/>
  <c r="N46" i="7" s="1"/>
  <c r="M46" i="7"/>
  <c r="O124" i="7"/>
  <c r="O125" i="7"/>
  <c r="L71" i="69"/>
  <c r="L68" i="7" s="1"/>
  <c r="L69" i="69"/>
  <c r="L66" i="7" s="1"/>
  <c r="L74" i="69"/>
  <c r="L71" i="7" s="1"/>
  <c r="L73" i="69"/>
  <c r="L77" i="69"/>
  <c r="L127" i="69"/>
  <c r="L128" i="69"/>
  <c r="L133" i="69"/>
  <c r="L165" i="69"/>
  <c r="L162" i="7" s="1"/>
  <c r="L134" i="69"/>
  <c r="L131" i="7" s="1"/>
  <c r="L35" i="69"/>
  <c r="L32" i="7" s="1"/>
  <c r="D63" i="36" l="1"/>
  <c r="C63" i="36" s="1"/>
  <c r="M127" i="69"/>
  <c r="M124" i="7" s="1"/>
  <c r="L124" i="7"/>
  <c r="M77" i="69"/>
  <c r="M74" i="7" s="1"/>
  <c r="L74" i="7"/>
  <c r="M133" i="69"/>
  <c r="M130" i="7" s="1"/>
  <c r="L130" i="7"/>
  <c r="M73" i="69"/>
  <c r="M70" i="7" s="1"/>
  <c r="L70" i="7"/>
  <c r="M128" i="69"/>
  <c r="L125" i="7"/>
  <c r="M165" i="69"/>
  <c r="M74" i="69"/>
  <c r="N69" i="69"/>
  <c r="N66" i="7" s="1"/>
  <c r="M71" i="69"/>
  <c r="M35" i="69"/>
  <c r="M32" i="7" s="1"/>
  <c r="M134" i="69"/>
  <c r="D81" i="36" l="1"/>
  <c r="C81" i="36" s="1"/>
  <c r="F35" i="36"/>
  <c r="N133" i="69"/>
  <c r="N130" i="7" s="1"/>
  <c r="N127" i="69"/>
  <c r="N124" i="7" s="1"/>
  <c r="N77" i="69"/>
  <c r="N74" i="7" s="1"/>
  <c r="N74" i="69"/>
  <c r="N71" i="7" s="1"/>
  <c r="M71" i="7"/>
  <c r="N134" i="69"/>
  <c r="N131" i="7" s="1"/>
  <c r="M131" i="7"/>
  <c r="N165" i="69"/>
  <c r="N162" i="7" s="1"/>
  <c r="M162" i="7"/>
  <c r="N71" i="69"/>
  <c r="N68" i="7" s="1"/>
  <c r="M68" i="7"/>
  <c r="N73" i="69"/>
  <c r="N70" i="7" s="1"/>
  <c r="N128" i="69"/>
  <c r="N125" i="7" s="1"/>
  <c r="M125" i="7"/>
  <c r="N35" i="69"/>
  <c r="N32" i="7" s="1"/>
  <c r="O20" i="7"/>
  <c r="L23" i="69"/>
  <c r="O19" i="7"/>
  <c r="L22" i="69"/>
  <c r="O25" i="7"/>
  <c r="L28" i="69"/>
  <c r="O27" i="7"/>
  <c r="L30" i="69"/>
  <c r="O26" i="7"/>
  <c r="L29" i="69"/>
  <c r="O30" i="7"/>
  <c r="L33" i="69"/>
  <c r="L31" i="69"/>
  <c r="O23" i="7"/>
  <c r="L26" i="69"/>
  <c r="L23" i="7" s="1"/>
  <c r="O22" i="7"/>
  <c r="L25" i="69"/>
  <c r="O21" i="7"/>
  <c r="L24" i="69"/>
  <c r="O24" i="7"/>
  <c r="L27" i="69"/>
  <c r="L15" i="69"/>
  <c r="L16" i="69"/>
  <c r="L18" i="69"/>
  <c r="L21" i="69"/>
  <c r="L11" i="69"/>
  <c r="L19" i="69"/>
  <c r="L9" i="69"/>
  <c r="L6" i="7" s="1"/>
  <c r="L14" i="69"/>
  <c r="L12" i="69"/>
  <c r="L20" i="69"/>
  <c r="L6" i="69"/>
  <c r="L13" i="69"/>
  <c r="L7" i="69"/>
  <c r="L4" i="7" s="1"/>
  <c r="L3" i="7" l="1"/>
  <c r="N30" i="69"/>
  <c r="N27" i="7" s="1"/>
  <c r="L27" i="7"/>
  <c r="N19" i="69"/>
  <c r="N16" i="7" s="1"/>
  <c r="L16" i="7"/>
  <c r="N16" i="69"/>
  <c r="N13" i="7" s="1"/>
  <c r="L13" i="7"/>
  <c r="N24" i="69"/>
  <c r="N21" i="7" s="1"/>
  <c r="L21" i="7"/>
  <c r="N12" i="69"/>
  <c r="N9" i="7" s="1"/>
  <c r="L9" i="7"/>
  <c r="N11" i="69"/>
  <c r="N8" i="7" s="1"/>
  <c r="L8" i="7"/>
  <c r="N15" i="69"/>
  <c r="N12" i="7" s="1"/>
  <c r="L12" i="7"/>
  <c r="N29" i="69"/>
  <c r="N26" i="7" s="1"/>
  <c r="L26" i="7"/>
  <c r="N28" i="69"/>
  <c r="N25" i="7" s="1"/>
  <c r="L25" i="7"/>
  <c r="N23" i="69"/>
  <c r="N20" i="7" s="1"/>
  <c r="L20" i="7"/>
  <c r="N18" i="69"/>
  <c r="N15" i="7" s="1"/>
  <c r="L15" i="7"/>
  <c r="N33" i="69"/>
  <c r="N30" i="7" s="1"/>
  <c r="L30" i="7"/>
  <c r="N22" i="69"/>
  <c r="N19" i="7" s="1"/>
  <c r="L19" i="7"/>
  <c r="N20" i="69"/>
  <c r="N17" i="7" s="1"/>
  <c r="L17" i="7"/>
  <c r="N13" i="69"/>
  <c r="N10" i="7" s="1"/>
  <c r="L10" i="7"/>
  <c r="N14" i="69"/>
  <c r="N11" i="7" s="1"/>
  <c r="L11" i="7"/>
  <c r="N21" i="69"/>
  <c r="N18" i="7" s="1"/>
  <c r="L18" i="7"/>
  <c r="N27" i="69"/>
  <c r="N24" i="7" s="1"/>
  <c r="L24" i="7"/>
  <c r="N25" i="69"/>
  <c r="N22" i="7" s="1"/>
  <c r="L22" i="7"/>
  <c r="N31" i="69"/>
  <c r="N28" i="7" s="1"/>
  <c r="L28" i="7"/>
  <c r="N9" i="69"/>
  <c r="N6" i="7" s="1"/>
  <c r="N7" i="69"/>
  <c r="N4" i="7" s="1"/>
  <c r="N26" i="69"/>
  <c r="N23" i="7" s="1"/>
  <c r="N6" i="69" l="1"/>
  <c r="L38" i="69"/>
  <c r="N3" i="7" l="1"/>
  <c r="M38" i="69"/>
  <c r="L35" i="7"/>
  <c r="L79" i="69"/>
  <c r="M79" i="69" l="1"/>
  <c r="L76" i="7"/>
  <c r="N38" i="69"/>
  <c r="N35" i="7" s="1"/>
  <c r="M35" i="7"/>
  <c r="L36" i="69"/>
  <c r="L33" i="7" s="1"/>
  <c r="L72" i="69"/>
  <c r="L69" i="7" s="1"/>
  <c r="L37" i="69"/>
  <c r="E86" i="36" l="1"/>
  <c r="C86" i="36" s="1"/>
  <c r="M37" i="69"/>
  <c r="L34" i="7"/>
  <c r="N79" i="69"/>
  <c r="M76" i="7"/>
  <c r="M72" i="69"/>
  <c r="M36" i="69"/>
  <c r="M33" i="7" s="1"/>
  <c r="N76" i="7" l="1"/>
  <c r="N72" i="69"/>
  <c r="N69" i="7" s="1"/>
  <c r="M69" i="7"/>
  <c r="N37" i="69"/>
  <c r="N34" i="7" s="1"/>
  <c r="M34" i="7"/>
  <c r="N36" i="69"/>
  <c r="N33" i="7" s="1"/>
  <c r="L43" i="69"/>
  <c r="L44" i="69"/>
  <c r="L41" i="7" s="1"/>
  <c r="L42" i="69"/>
  <c r="L39" i="7" s="1"/>
  <c r="L47" i="69"/>
  <c r="L44" i="7" l="1"/>
  <c r="E45" i="36" s="1"/>
  <c r="M43" i="69"/>
  <c r="L40" i="7"/>
  <c r="D45" i="36" s="1"/>
  <c r="M44" i="69"/>
  <c r="M42" i="69"/>
  <c r="M39" i="7" s="1"/>
  <c r="M47" i="69"/>
  <c r="C45" i="36" l="1"/>
  <c r="N44" i="69"/>
  <c r="N41" i="7" s="1"/>
  <c r="M41" i="7"/>
  <c r="N47" i="69"/>
  <c r="N44" i="7" s="1"/>
  <c r="M44" i="7"/>
  <c r="N43" i="69"/>
  <c r="N40" i="7" s="1"/>
  <c r="M40" i="7"/>
  <c r="N42" i="69"/>
  <c r="N39" i="7" s="1"/>
  <c r="L55" i="69"/>
  <c r="L62" i="69"/>
  <c r="L59" i="7" s="1"/>
  <c r="L135" i="69"/>
  <c r="L132" i="7" s="1"/>
  <c r="F221" i="69"/>
  <c r="F220" i="69"/>
  <c r="F219" i="69"/>
  <c r="F218" i="69"/>
  <c r="F217" i="69"/>
  <c r="F216" i="69"/>
  <c r="F214" i="69"/>
  <c r="F213" i="69"/>
  <c r="F212" i="69"/>
  <c r="F211" i="69"/>
  <c r="E3" i="36"/>
  <c r="E15" i="36" s="1"/>
  <c r="L206" i="69"/>
  <c r="M206" i="69" s="1"/>
  <c r="L61" i="69"/>
  <c r="E35" i="36" l="1"/>
  <c r="C35" i="36" s="1"/>
  <c r="D95" i="36"/>
  <c r="C95" i="36" s="1"/>
  <c r="L226" i="69"/>
  <c r="L52" i="7"/>
  <c r="M61" i="69"/>
  <c r="M58" i="7" s="1"/>
  <c r="L58" i="7"/>
  <c r="N206" i="69"/>
  <c r="L207" i="69"/>
  <c r="B3" i="36" s="1"/>
  <c r="M135" i="69"/>
  <c r="M132" i="7" s="1"/>
  <c r="N62" i="69"/>
  <c r="N59" i="7" s="1"/>
  <c r="M55" i="69"/>
  <c r="F215" i="69"/>
  <c r="F210" i="69"/>
  <c r="L1257" i="7" l="1"/>
  <c r="L1255" i="7"/>
  <c r="E59" i="36"/>
  <c r="C59" i="36" s="1"/>
  <c r="E110" i="36"/>
  <c r="C110" i="36" s="1"/>
  <c r="N61" i="69"/>
  <c r="N58" i="7" s="1"/>
  <c r="M52" i="7"/>
  <c r="M1255" i="7" s="1"/>
  <c r="M226" i="69"/>
  <c r="F222" i="69"/>
  <c r="F223" i="69" s="1"/>
  <c r="M209" i="69"/>
  <c r="L209" i="69"/>
  <c r="N135" i="69"/>
  <c r="N55" i="69"/>
  <c r="M207" i="69"/>
  <c r="C3" i="36" s="1"/>
  <c r="A79" i="36" l="1"/>
  <c r="A106" i="36"/>
  <c r="A105" i="36"/>
  <c r="M1257" i="7"/>
  <c r="A37" i="36"/>
  <c r="A38" i="36"/>
  <c r="A24" i="36"/>
  <c r="A63" i="36"/>
  <c r="A68" i="36"/>
  <c r="A64" i="36"/>
  <c r="A61" i="36"/>
  <c r="A62" i="36"/>
  <c r="A36" i="36"/>
  <c r="A27" i="36"/>
  <c r="A26" i="36"/>
  <c r="A28" i="36"/>
  <c r="A25" i="36"/>
  <c r="A65" i="36"/>
  <c r="A110" i="36"/>
  <c r="A107" i="36"/>
  <c r="A108" i="36"/>
  <c r="A104" i="36"/>
  <c r="A109" i="36"/>
  <c r="A103" i="36"/>
  <c r="A77" i="36"/>
  <c r="A102" i="36"/>
  <c r="A101" i="36"/>
  <c r="A74" i="36"/>
  <c r="A75" i="36"/>
  <c r="A73" i="36"/>
  <c r="A30" i="36"/>
  <c r="A29" i="36"/>
  <c r="A76" i="36"/>
  <c r="A78" i="36"/>
  <c r="A43" i="36"/>
  <c r="A44" i="36"/>
  <c r="A42" i="36"/>
  <c r="A111" i="36"/>
  <c r="A112" i="36"/>
  <c r="A69" i="36"/>
  <c r="A41" i="36"/>
  <c r="A23" i="36"/>
  <c r="A71" i="36"/>
  <c r="A32" i="36"/>
  <c r="A39" i="36"/>
  <c r="A40" i="36"/>
  <c r="A34" i="36"/>
  <c r="A35" i="36"/>
  <c r="N132" i="7"/>
  <c r="N226" i="69"/>
  <c r="N52" i="7"/>
  <c r="N207" i="69"/>
  <c r="D3" i="36" s="1"/>
  <c r="N209" i="69"/>
  <c r="N1255" i="7" l="1"/>
  <c r="N1257" i="7"/>
  <c r="F22" i="36"/>
  <c r="E22" i="36"/>
  <c r="L22" i="36"/>
  <c r="K22" i="36"/>
  <c r="J22" i="36"/>
  <c r="A96" i="36" l="1"/>
  <c r="A178" i="36"/>
  <c r="A177" i="36"/>
  <c r="A100" i="36"/>
  <c r="A156" i="36"/>
  <c r="G22" i="36"/>
  <c r="H22" i="36" l="1"/>
  <c r="D11" i="54" l="1"/>
  <c r="D50" i="54" s="1"/>
  <c r="E16" i="36" l="1"/>
  <c r="L9" i="54"/>
  <c r="L8" i="54"/>
  <c r="N8" i="54" s="1"/>
  <c r="L7" i="54"/>
  <c r="N7" i="54" s="1"/>
  <c r="L6" i="54"/>
  <c r="L5" i="54"/>
  <c r="L4" i="54"/>
  <c r="B16" i="36" l="1"/>
  <c r="L10" i="54"/>
  <c r="D117" i="36" s="1"/>
  <c r="D22" i="36" s="1"/>
  <c r="N4" i="54"/>
  <c r="D16" i="36" s="1"/>
  <c r="N9" i="54"/>
  <c r="N6" i="54"/>
  <c r="N5" i="54"/>
  <c r="C117" i="36" l="1"/>
  <c r="C22" i="36" s="1"/>
  <c r="N10" i="54"/>
  <c r="I22" i="36" l="1"/>
  <c r="A83" i="36" l="1"/>
  <c r="A146" i="36"/>
  <c r="A46" i="36"/>
  <c r="A67" i="36"/>
  <c r="A45" i="36"/>
  <c r="A47" i="36"/>
  <c r="A84" i="36"/>
  <c r="A85" i="36"/>
  <c r="A161" i="36"/>
  <c r="A155" i="36"/>
  <c r="A97" i="36"/>
  <c r="A159" i="36"/>
  <c r="A150" i="36"/>
  <c r="A174" i="36" l="1"/>
  <c r="A80" i="36"/>
  <c r="A165" i="36"/>
  <c r="A53" i="36"/>
  <c r="A113" i="36"/>
  <c r="A173" i="36"/>
  <c r="A86" i="36"/>
  <c r="A90" i="36"/>
  <c r="A166" i="36"/>
  <c r="A89" i="36"/>
  <c r="A87" i="36"/>
  <c r="A151" i="36"/>
  <c r="A92" i="36"/>
  <c r="A72" i="36"/>
  <c r="A56" i="36"/>
  <c r="A52" i="36"/>
  <c r="A154" i="36"/>
  <c r="A115" i="36"/>
  <c r="A82" i="36"/>
  <c r="A158" i="36"/>
  <c r="A169" i="36"/>
  <c r="A51" i="36"/>
  <c r="A167" i="36"/>
  <c r="A60" i="36"/>
  <c r="A152" i="36"/>
  <c r="A88" i="36"/>
  <c r="A114" i="36"/>
  <c r="A147" i="36"/>
  <c r="A49" i="36"/>
  <c r="A31" i="36"/>
  <c r="A153" i="36"/>
  <c r="A59" i="36"/>
  <c r="A50" i="36"/>
  <c r="A66" i="36"/>
  <c r="A70" i="36"/>
  <c r="A171" i="36"/>
  <c r="A176" i="36"/>
  <c r="A93" i="36"/>
  <c r="A58" i="36"/>
  <c r="A99" i="36"/>
  <c r="A164" i="36"/>
  <c r="A95" i="36"/>
  <c r="A48" i="36"/>
  <c r="A55" i="36"/>
  <c r="A163" i="36"/>
  <c r="A57" i="36"/>
  <c r="A157" i="36"/>
  <c r="A162" i="36"/>
  <c r="A54" i="36"/>
  <c r="A81" i="36"/>
  <c r="A33" i="36"/>
  <c r="A160" i="36"/>
  <c r="A145" i="36"/>
  <c r="A91" i="36"/>
  <c r="A172" i="36"/>
  <c r="A148" i="36"/>
  <c r="A98" i="36"/>
  <c r="A149" i="36"/>
  <c r="A94" i="36"/>
  <c r="A168" i="36"/>
  <c r="A170" i="36"/>
  <c r="A175" i="36"/>
  <c r="B11" i="20" l="1"/>
  <c r="E17" i="36" s="1"/>
  <c r="I11" i="20"/>
  <c r="B17" i="36" s="1"/>
  <c r="D17" i="36" l="1"/>
  <c r="E18" i="36" l="1"/>
  <c r="D15" i="36" l="1"/>
  <c r="D18" i="36" s="1"/>
  <c r="C15" i="36" l="1"/>
  <c r="C18" i="36" s="1"/>
  <c r="B15" i="36" l="1"/>
  <c r="B18" i="36" s="1"/>
  <c r="O22" i="36" s="1"/>
  <c r="N22" i="3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4D1E2774-700F-4289-B8D9-E6E2137C793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79ABD861-CCBD-4E23-808D-CD03657EA433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8FE8FF87-2E46-45B6-9962-CF76EF1BBC76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AF82D136-B7E1-40E8-87E9-4C4EB3A0DD13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C9CF6201-83A0-4BD7-82BB-C9F3A225571A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32E63310-B4F9-4417-9D8C-69EC1FE8C26F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A82A27BC-BE9B-47CD-BC2C-5290808D461E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C2066C33-2272-4DD9-9CE2-84A7CFED9C03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F137AB30-8F8F-47BA-A94A-67DC83900DAA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50243293-BC56-4FA4-9AD1-EBE019A6A794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E18747F1-9E03-40A5-9B4C-08F50AE07281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52C2D73F-D7F5-4E7C-9D8C-9C8739DDC16F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6DBE3AD1-41C6-4B98-8F08-EA9639B9BBCC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BD8E4FB6-79D7-4C54-AA9D-041B407E8656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0DD40461-E3C5-4E07-9D67-876251F13B46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64AF5515-93AE-4185-859C-E926490A8457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069646D7-480F-4B76-8082-07799526FF33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AA406936-973D-4EB2-92AD-9EEF8A6C8408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04D9DD77-88A6-42A6-A700-DB51EA9A9BE3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DF2A50AE-2A52-4020-876B-214591C0AFBD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3" authorId="0" shapeId="0" xr:uid="{D10ED162-904C-477E-B6B1-8A535AD091A7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3" authorId="0" shapeId="0" xr:uid="{A75EF6FF-9579-4575-AD3F-B95F80C53378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3" authorId="0" shapeId="0" xr:uid="{5DCF24EA-32D2-409D-9D4A-EE6ED3E2DB8F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3" authorId="0" shapeId="0" xr:uid="{CB4B27B9-532F-49AB-AA52-5F875032EFE0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15E48924-DC4A-4F50-B670-88E34DF2107C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C2" authorId="0" shapeId="0" xr:uid="{6EFDDFC5-EF4E-4876-868D-C36BCD259A0E}">
      <text>
        <r>
          <rPr>
            <b/>
            <sz val="9"/>
            <color indexed="81"/>
            <rFont val="돋움"/>
            <family val="3"/>
            <charset val="129"/>
          </rPr>
          <t>레노버 or 삼주</t>
        </r>
      </text>
    </comment>
    <comment ref="G2" authorId="0" shapeId="0" xr:uid="{38063548-56E5-4554-8218-AAB5B02CE881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2" authorId="0" shapeId="0" xr:uid="{E082C8DE-5638-49E4-8B05-642096A4DDE0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  <comment ref="B16" authorId="0" shapeId="0" xr:uid="{E2604526-8242-4404-A776-4A3338EDB313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16" authorId="0" shapeId="0" xr:uid="{C3C87AA4-73C8-4228-BFD6-38FFCF0477A7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>MA
MAPAC
MAPAC(BID)
WSU
WSU(BID)</t>
        </r>
      </text>
    </comment>
    <comment ref="H16" authorId="0" shapeId="0" xr:uid="{05F66120-2603-4C9D-9FF5-5A4F9009EDCC}">
      <text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월간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월간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분기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분기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삼주
연간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레노버
레노버</t>
        </r>
        <r>
          <rPr>
            <b/>
            <sz val="9"/>
            <color indexed="81"/>
            <rFont val="Tahoma"/>
            <family val="2"/>
          </rPr>
          <t xml:space="preserve">-BID
</t>
        </r>
        <r>
          <rPr>
            <b/>
            <sz val="9"/>
            <color indexed="81"/>
            <rFont val="돋움"/>
            <family val="3"/>
            <charset val="129"/>
          </rPr>
          <t>상품경우</t>
        </r>
        <r>
          <rPr>
            <b/>
            <sz val="9"/>
            <color indexed="81"/>
            <rFont val="Tahoma"/>
            <family val="2"/>
          </rPr>
          <t xml:space="preserve"> PN</t>
        </r>
      </text>
    </comment>
  </commentList>
</comments>
</file>

<file path=xl/sharedStrings.xml><?xml version="1.0" encoding="utf-8"?>
<sst xmlns="http://schemas.openxmlformats.org/spreadsheetml/2006/main" count="14009" uniqueCount="2645">
  <si>
    <t>계산서</t>
    <phoneticPr fontId="4" type="noConversion"/>
  </si>
  <si>
    <t>매입처</t>
    <phoneticPr fontId="4" type="noConversion"/>
  </si>
  <si>
    <t>매출처</t>
    <phoneticPr fontId="2" type="noConversion"/>
  </si>
  <si>
    <t>품목</t>
    <phoneticPr fontId="4" type="noConversion"/>
  </si>
  <si>
    <t>수량</t>
    <phoneticPr fontId="4" type="noConversion"/>
  </si>
  <si>
    <t>매입</t>
    <phoneticPr fontId="2" type="noConversion"/>
  </si>
  <si>
    <t>비고</t>
    <phoneticPr fontId="2" type="noConversion"/>
  </si>
  <si>
    <t>MA</t>
    <phoneticPr fontId="2" type="noConversion"/>
  </si>
  <si>
    <t>단가</t>
    <phoneticPr fontId="4" type="noConversion"/>
  </si>
  <si>
    <t>VAT</t>
    <phoneticPr fontId="2" type="noConversion"/>
  </si>
  <si>
    <t>영업
담당자</t>
    <phoneticPr fontId="4" type="noConversion"/>
  </si>
  <si>
    <t>매출처
세금계산서</t>
    <phoneticPr fontId="2" type="noConversion"/>
  </si>
  <si>
    <t>구분</t>
    <phoneticPr fontId="2" type="noConversion"/>
  </si>
  <si>
    <t>이룸에스앤앤</t>
    <phoneticPr fontId="2" type="noConversion"/>
  </si>
  <si>
    <t>MA : 청구구분
상품 : PN</t>
    <phoneticPr fontId="2" type="noConversion"/>
  </si>
  <si>
    <t>WSU</t>
    <phoneticPr fontId="2" type="noConversion"/>
  </si>
  <si>
    <t>MAPAC</t>
    <phoneticPr fontId="2" type="noConversion"/>
  </si>
  <si>
    <t>공금가액</t>
    <phoneticPr fontId="2" type="noConversion"/>
  </si>
  <si>
    <t>합계금액</t>
    <phoneticPr fontId="4" type="noConversion"/>
  </si>
  <si>
    <t>에스엔에이</t>
    <phoneticPr fontId="2" type="noConversion"/>
  </si>
  <si>
    <t>이올테크</t>
  </si>
  <si>
    <t>비와이씨하이시티입주사대표회</t>
  </si>
  <si>
    <t>신세계아이앤씨</t>
  </si>
  <si>
    <t>아이디플라워</t>
  </si>
  <si>
    <t>월계</t>
    <phoneticPr fontId="2" type="noConversion"/>
  </si>
  <si>
    <t>기술지원</t>
    <phoneticPr fontId="2" type="noConversion"/>
  </si>
  <si>
    <t>컴퓨존</t>
    <phoneticPr fontId="2" type="noConversion"/>
  </si>
  <si>
    <t>WSU(BID)</t>
    <phoneticPr fontId="2" type="noConversion"/>
  </si>
  <si>
    <t>MAPAC(BID)</t>
    <phoneticPr fontId="2" type="noConversion"/>
  </si>
  <si>
    <t>알엠에스케이알</t>
    <phoneticPr fontId="2" type="noConversion"/>
  </si>
  <si>
    <t>일반경비</t>
    <phoneticPr fontId="2" type="noConversion"/>
  </si>
  <si>
    <t>제이에스정보시스템</t>
    <phoneticPr fontId="2" type="noConversion"/>
  </si>
  <si>
    <t>유니포인트</t>
    <phoneticPr fontId="2" type="noConversion"/>
  </si>
  <si>
    <t>이비웨이브</t>
    <phoneticPr fontId="2" type="noConversion"/>
  </si>
  <si>
    <t>스토리지케이투</t>
    <phoneticPr fontId="2" type="noConversion"/>
  </si>
  <si>
    <t>건물관리</t>
    <phoneticPr fontId="2" type="noConversion"/>
  </si>
  <si>
    <t>장비임대</t>
    <phoneticPr fontId="2" type="noConversion"/>
  </si>
  <si>
    <t>건물매매</t>
    <phoneticPr fontId="2" type="noConversion"/>
  </si>
  <si>
    <t>코오롱베니트</t>
    <phoneticPr fontId="2" type="noConversion"/>
  </si>
  <si>
    <t>아인시스아이엔씨</t>
    <phoneticPr fontId="2" type="noConversion"/>
  </si>
  <si>
    <t>인터클러스터시스템</t>
    <phoneticPr fontId="2" type="noConversion"/>
  </si>
  <si>
    <t>상품</t>
    <phoneticPr fontId="2" type="noConversion"/>
  </si>
  <si>
    <t>세금계산서</t>
    <phoneticPr fontId="2" type="noConversion"/>
  </si>
  <si>
    <t>계산서</t>
    <phoneticPr fontId="2" type="noConversion"/>
  </si>
  <si>
    <t>1월</t>
    <phoneticPr fontId="2" type="noConversion"/>
  </si>
  <si>
    <t>현성솔루션</t>
    <phoneticPr fontId="2" type="noConversion"/>
  </si>
  <si>
    <t>필터링계</t>
    <phoneticPr fontId="2" type="noConversion"/>
  </si>
  <si>
    <t>파란컴퓨터</t>
  </si>
  <si>
    <t>프라테르</t>
    <phoneticPr fontId="2" type="noConversion"/>
  </si>
  <si>
    <t>신한회계법인</t>
    <phoneticPr fontId="2" type="noConversion"/>
  </si>
  <si>
    <t>키미데이타</t>
    <phoneticPr fontId="2" type="noConversion"/>
  </si>
  <si>
    <t>에스케이브로드밴드</t>
    <phoneticPr fontId="2" type="noConversion"/>
  </si>
  <si>
    <t>8월</t>
  </si>
  <si>
    <t>9월</t>
  </si>
  <si>
    <t>결제</t>
    <phoneticPr fontId="2" type="noConversion"/>
  </si>
  <si>
    <t>합계</t>
    <phoneticPr fontId="2" type="noConversion"/>
  </si>
  <si>
    <t>11월</t>
  </si>
  <si>
    <t>12월</t>
  </si>
  <si>
    <t>공급가액</t>
    <phoneticPr fontId="2" type="noConversion"/>
  </si>
  <si>
    <t>부가세</t>
    <phoneticPr fontId="2" type="noConversion"/>
  </si>
  <si>
    <t>건수</t>
    <phoneticPr fontId="2" type="noConversion"/>
  </si>
  <si>
    <t>계산서합</t>
    <phoneticPr fontId="2" type="noConversion"/>
  </si>
  <si>
    <t>[분류]</t>
    <phoneticPr fontId="2" type="noConversion"/>
  </si>
  <si>
    <t>투아이시스</t>
    <phoneticPr fontId="2" type="noConversion"/>
  </si>
  <si>
    <t>.</t>
    <phoneticPr fontId="2" type="noConversion"/>
  </si>
  <si>
    <t>티에스씨인포</t>
    <phoneticPr fontId="2" type="noConversion"/>
  </si>
  <si>
    <t>한국관세무역개발원인천공사특송지사</t>
    <phoneticPr fontId="2" type="noConversion"/>
  </si>
  <si>
    <t>이룸인프라</t>
    <phoneticPr fontId="2" type="noConversion"/>
  </si>
  <si>
    <t>Vendor 
코드</t>
    <phoneticPr fontId="2" type="noConversion"/>
  </si>
  <si>
    <t>품의코드</t>
    <phoneticPr fontId="4" type="noConversion"/>
  </si>
  <si>
    <t>[월별매입]</t>
    <phoneticPr fontId="2" type="noConversion"/>
  </si>
  <si>
    <t>Rank</t>
    <phoneticPr fontId="2" type="noConversion"/>
  </si>
  <si>
    <t>No.</t>
    <phoneticPr fontId="2" type="noConversion"/>
  </si>
  <si>
    <t>업체명</t>
    <phoneticPr fontId="2" type="noConversion"/>
  </si>
  <si>
    <t>수입물품</t>
    <phoneticPr fontId="2" type="noConversion"/>
  </si>
  <si>
    <t>통화명</t>
    <phoneticPr fontId="2" type="noConversion"/>
  </si>
  <si>
    <t>외화금액</t>
    <phoneticPr fontId="2" type="noConversion"/>
  </si>
  <si>
    <t>원화금액</t>
    <phoneticPr fontId="2" type="noConversion"/>
  </si>
  <si>
    <t>송금내역</t>
    <phoneticPr fontId="2" type="noConversion"/>
  </si>
  <si>
    <t>디에스티인터내셔널</t>
    <phoneticPr fontId="2" type="noConversion"/>
  </si>
  <si>
    <t>수입부가세</t>
    <phoneticPr fontId="2" type="noConversion"/>
  </si>
  <si>
    <t>에이블스토어</t>
    <phoneticPr fontId="2" type="noConversion"/>
  </si>
  <si>
    <t>필터링</t>
    <phoneticPr fontId="2" type="noConversion"/>
  </si>
  <si>
    <t>중소기업은행</t>
    <phoneticPr fontId="2" type="noConversion"/>
  </si>
  <si>
    <t>제이씨현시스템</t>
    <phoneticPr fontId="2" type="noConversion"/>
  </si>
  <si>
    <t>퀵서비스_전국화물</t>
    <phoneticPr fontId="2" type="noConversion"/>
  </si>
  <si>
    <t>송금계</t>
    <phoneticPr fontId="2" type="noConversion"/>
  </si>
  <si>
    <t>전신/송금
수수료</t>
    <phoneticPr fontId="2" type="noConversion"/>
  </si>
  <si>
    <t>해외은행
수수료</t>
    <phoneticPr fontId="2" type="noConversion"/>
  </si>
  <si>
    <t>기준환율</t>
    <phoneticPr fontId="2" type="noConversion"/>
  </si>
  <si>
    <t>조이젠</t>
    <phoneticPr fontId="2" type="noConversion"/>
  </si>
  <si>
    <t>이십일세기소프트</t>
    <phoneticPr fontId="2" type="noConversion"/>
  </si>
  <si>
    <t>sum</t>
    <phoneticPr fontId="2" type="noConversion"/>
  </si>
  <si>
    <t>sum-수입부가세</t>
    <phoneticPr fontId="2" type="noConversion"/>
  </si>
  <si>
    <t>라온피플</t>
    <phoneticPr fontId="2" type="noConversion"/>
  </si>
  <si>
    <t>디앤디컴</t>
    <phoneticPr fontId="2" type="noConversion"/>
  </si>
  <si>
    <t>SM-20017</t>
    <phoneticPr fontId="2" type="noConversion"/>
  </si>
  <si>
    <t>해안종합건축사사무소</t>
    <phoneticPr fontId="2" type="noConversion"/>
  </si>
  <si>
    <t>MA</t>
  </si>
  <si>
    <t>에이캐피탈</t>
    <phoneticPr fontId="2" type="noConversion"/>
  </si>
  <si>
    <t>매출연간</t>
    <phoneticPr fontId="2" type="noConversion"/>
  </si>
  <si>
    <t>아이리스인포테크</t>
    <phoneticPr fontId="2" type="noConversion"/>
  </si>
  <si>
    <t>월간</t>
    <phoneticPr fontId="2" type="noConversion"/>
  </si>
  <si>
    <t>네오프랜드</t>
    <phoneticPr fontId="2" type="noConversion"/>
  </si>
  <si>
    <t>S</t>
    <phoneticPr fontId="2" type="noConversion"/>
  </si>
  <si>
    <t>온피아</t>
    <phoneticPr fontId="2" type="noConversion"/>
  </si>
  <si>
    <t>더좋은샘물</t>
    <phoneticPr fontId="2" type="noConversion"/>
  </si>
  <si>
    <t>보이스아이</t>
    <phoneticPr fontId="2" type="noConversion"/>
  </si>
  <si>
    <t>마스타항운</t>
    <phoneticPr fontId="2" type="noConversion"/>
  </si>
  <si>
    <t>x 비과세 0 영세</t>
    <phoneticPr fontId="2" type="noConversion"/>
  </si>
  <si>
    <t>닷넷소프트</t>
    <phoneticPr fontId="2" type="noConversion"/>
  </si>
  <si>
    <t>세연아이넷</t>
    <phoneticPr fontId="2" type="noConversion"/>
  </si>
  <si>
    <t>영종합동관세사무소</t>
    <phoneticPr fontId="2" type="noConversion"/>
  </si>
  <si>
    <t>수입</t>
    <phoneticPr fontId="2" type="noConversion"/>
  </si>
  <si>
    <t>리온아이티</t>
    <phoneticPr fontId="2" type="noConversion"/>
  </si>
  <si>
    <t>롯데렌탈</t>
    <phoneticPr fontId="2" type="noConversion"/>
  </si>
  <si>
    <t>단군소프트</t>
    <phoneticPr fontId="2" type="noConversion"/>
  </si>
  <si>
    <t>스마트로지넷</t>
    <phoneticPr fontId="2" type="noConversion"/>
  </si>
  <si>
    <t>상품</t>
  </si>
  <si>
    <t>지엘정보통신</t>
    <phoneticPr fontId="2" type="noConversion"/>
  </si>
  <si>
    <t>인천세관장</t>
    <phoneticPr fontId="2" type="noConversion"/>
  </si>
  <si>
    <t>에티버스이비티</t>
    <phoneticPr fontId="2" type="noConversion"/>
  </si>
  <si>
    <t>한국이러닝인재개발원</t>
    <phoneticPr fontId="2" type="noConversion"/>
  </si>
  <si>
    <t>2월</t>
  </si>
  <si>
    <t>3월</t>
  </si>
  <si>
    <t>4월</t>
  </si>
  <si>
    <t>5월</t>
  </si>
  <si>
    <t>6월</t>
  </si>
  <si>
    <t>7월</t>
    <phoneticPr fontId="2" type="noConversion"/>
  </si>
  <si>
    <t>10월</t>
  </si>
  <si>
    <t>카드/현금</t>
    <phoneticPr fontId="2" type="noConversion"/>
  </si>
  <si>
    <t>[업체별 매입]</t>
    <phoneticPr fontId="2" type="noConversion"/>
  </si>
  <si>
    <t>MAPAC</t>
  </si>
  <si>
    <t>WSU</t>
  </si>
  <si>
    <t>장비임대</t>
  </si>
  <si>
    <t>일반경비</t>
  </si>
  <si>
    <t>수입부가세</t>
  </si>
  <si>
    <t>건물관리</t>
  </si>
  <si>
    <t>금오이노베이션</t>
    <phoneticPr fontId="2" type="noConversion"/>
  </si>
  <si>
    <t>오류체크</t>
    <phoneticPr fontId="2" type="noConversion"/>
  </si>
  <si>
    <t>연간매입</t>
    <phoneticPr fontId="2" type="noConversion"/>
  </si>
  <si>
    <t>제트컨버터클라우드</t>
    <phoneticPr fontId="2" type="noConversion"/>
  </si>
  <si>
    <t>투게더게이트</t>
    <phoneticPr fontId="2" type="noConversion"/>
  </si>
  <si>
    <t>월간-IBM</t>
    <phoneticPr fontId="2" type="noConversion"/>
  </si>
  <si>
    <t>X</t>
    <phoneticPr fontId="2" type="noConversion"/>
  </si>
  <si>
    <t>지급수수료</t>
    <phoneticPr fontId="2" type="noConversion"/>
  </si>
  <si>
    <t>IK-22022</t>
    <phoneticPr fontId="2" type="noConversion"/>
  </si>
  <si>
    <t>매출분기</t>
    <phoneticPr fontId="2" type="noConversion"/>
  </si>
  <si>
    <t>CGV 통합</t>
    <phoneticPr fontId="2" type="noConversion"/>
  </si>
  <si>
    <t>케이카</t>
    <phoneticPr fontId="2" type="noConversion"/>
  </si>
  <si>
    <t>에티버스</t>
    <phoneticPr fontId="2" type="noConversion"/>
  </si>
  <si>
    <t>씨플랫폼</t>
    <phoneticPr fontId="2" type="noConversion"/>
  </si>
  <si>
    <t>IK-22025</t>
    <phoneticPr fontId="2" type="noConversion"/>
  </si>
  <si>
    <t>디에스피</t>
    <phoneticPr fontId="2" type="noConversion"/>
  </si>
  <si>
    <t>아이티비</t>
    <phoneticPr fontId="2" type="noConversion"/>
  </si>
  <si>
    <t>다원씨앤에스</t>
    <phoneticPr fontId="2" type="noConversion"/>
  </si>
  <si>
    <t>아이티스톤</t>
    <phoneticPr fontId="2" type="noConversion"/>
  </si>
  <si>
    <t>분기</t>
    <phoneticPr fontId="2" type="noConversion"/>
  </si>
  <si>
    <t>웹케시</t>
    <phoneticPr fontId="2" type="noConversion"/>
  </si>
  <si>
    <t>신한은행</t>
    <phoneticPr fontId="2" type="noConversion"/>
  </si>
  <si>
    <t>입금일자</t>
    <phoneticPr fontId="2" type="noConversion"/>
  </si>
  <si>
    <t>에이치씨엘테크</t>
    <phoneticPr fontId="2" type="noConversion"/>
  </si>
  <si>
    <t>와이케이케이한국</t>
    <phoneticPr fontId="2" type="noConversion"/>
  </si>
  <si>
    <t>IK-22021</t>
    <phoneticPr fontId="2" type="noConversion"/>
  </si>
  <si>
    <t>엘림넷</t>
    <phoneticPr fontId="2" type="noConversion"/>
  </si>
  <si>
    <t>디지알코리아</t>
    <phoneticPr fontId="2" type="noConversion"/>
  </si>
  <si>
    <t>서버메이트디지털</t>
    <phoneticPr fontId="2" type="noConversion"/>
  </si>
  <si>
    <t>에스케이쉴더스 금천지점</t>
    <phoneticPr fontId="2" type="noConversion"/>
  </si>
  <si>
    <t>위퍼스트</t>
    <phoneticPr fontId="2" type="noConversion"/>
  </si>
  <si>
    <t>IK-22023</t>
    <phoneticPr fontId="2" type="noConversion"/>
  </si>
  <si>
    <t>에스케이쉴더스 금천지점</t>
  </si>
  <si>
    <t>광양항서부터미널</t>
  </si>
  <si>
    <t>오우션테크놀러지</t>
    <phoneticPr fontId="2" type="noConversion"/>
  </si>
  <si>
    <t>더파트</t>
    <phoneticPr fontId="2" type="noConversion"/>
  </si>
  <si>
    <t>IK-23014</t>
    <phoneticPr fontId="2" type="noConversion"/>
  </si>
  <si>
    <t>서비스링크</t>
    <phoneticPr fontId="2" type="noConversion"/>
  </si>
  <si>
    <t>아이티앤</t>
    <phoneticPr fontId="2" type="noConversion"/>
  </si>
  <si>
    <t>시우운수</t>
    <phoneticPr fontId="2" type="noConversion"/>
  </si>
  <si>
    <t>유니와이드</t>
    <phoneticPr fontId="2" type="noConversion"/>
  </si>
  <si>
    <t>나로아이엔씨</t>
    <phoneticPr fontId="2" type="noConversion"/>
  </si>
  <si>
    <t>제이앤케이씨엠</t>
  </si>
  <si>
    <t>오류차</t>
    <phoneticPr fontId="2" type="noConversion"/>
  </si>
  <si>
    <t>IK-23016</t>
    <phoneticPr fontId="2" type="noConversion"/>
  </si>
  <si>
    <t>에덴티엠</t>
    <phoneticPr fontId="2" type="noConversion"/>
  </si>
  <si>
    <t>대원씨티에스</t>
    <phoneticPr fontId="2" type="noConversion"/>
  </si>
  <si>
    <t>디에이치</t>
    <phoneticPr fontId="2" type="noConversion"/>
  </si>
  <si>
    <t>리더스시스템즈</t>
    <phoneticPr fontId="2" type="noConversion"/>
  </si>
  <si>
    <t>도우정보</t>
    <phoneticPr fontId="2" type="noConversion"/>
  </si>
  <si>
    <t>에스엔에치</t>
    <phoneticPr fontId="2" type="noConversion"/>
  </si>
  <si>
    <t>제이비컴퍼니</t>
    <phoneticPr fontId="2" type="noConversion"/>
  </si>
  <si>
    <t>ZGYUSF</t>
    <phoneticPr fontId="2" type="noConversion"/>
  </si>
  <si>
    <t>휴넷</t>
    <phoneticPr fontId="2" type="noConversion"/>
  </si>
  <si>
    <t>엘에스아이티씨</t>
    <phoneticPr fontId="2" type="noConversion"/>
  </si>
  <si>
    <t>1월 유지정비료 - 8/12회</t>
    <phoneticPr fontId="2" type="noConversion"/>
  </si>
  <si>
    <t>키오시아(도시바) 1월 유지정비료 - 2/12회</t>
    <phoneticPr fontId="2" type="noConversion"/>
  </si>
  <si>
    <t>보안용역 월정료 1월분</t>
    <phoneticPr fontId="2" type="noConversion"/>
  </si>
  <si>
    <t>세원정공 1월 유지정비료 - 7/12회</t>
    <phoneticPr fontId="2" type="noConversion"/>
  </si>
  <si>
    <t>엘지생활건강 청주공장 1월 유지정비료 - 12/12회</t>
    <phoneticPr fontId="2" type="noConversion"/>
  </si>
  <si>
    <t>1월 유지정비료 - 5/12회</t>
    <phoneticPr fontId="2" type="noConversion"/>
  </si>
  <si>
    <t>1월 유지정비료 - 1/12회</t>
    <phoneticPr fontId="2" type="noConversion"/>
  </si>
  <si>
    <t>완료(1/8)</t>
    <phoneticPr fontId="2" type="noConversion"/>
  </si>
  <si>
    <t>2024년 계</t>
    <phoneticPr fontId="2" type="noConversion"/>
  </si>
  <si>
    <t>자동이체(1/11)</t>
    <phoneticPr fontId="2" type="noConversion"/>
  </si>
  <si>
    <t>완료(1/13)</t>
    <phoneticPr fontId="2" type="noConversion"/>
  </si>
  <si>
    <t>와이케이케이 1월 유지정비료 - 1/12회</t>
    <phoneticPr fontId="2" type="noConversion"/>
  </si>
  <si>
    <t>완료(1/17)</t>
    <phoneticPr fontId="2" type="noConversion"/>
  </si>
  <si>
    <t>X</t>
  </si>
  <si>
    <t>완료(1/22)</t>
    <phoneticPr fontId="2" type="noConversion"/>
  </si>
  <si>
    <t>차량유지비</t>
    <phoneticPr fontId="2" type="noConversion"/>
  </si>
  <si>
    <t>법인차량(262무2108) 자동차세</t>
    <phoneticPr fontId="2" type="noConversion"/>
  </si>
  <si>
    <t>SM-23023</t>
    <phoneticPr fontId="2" type="noConversion"/>
  </si>
  <si>
    <t>이올테크</t>
    <phoneticPr fontId="2" type="noConversion"/>
  </si>
  <si>
    <t>중앙유통단지관리운영회</t>
    <phoneticPr fontId="2" type="noConversion"/>
  </si>
  <si>
    <t>월간</t>
  </si>
  <si>
    <t>서버</t>
    <phoneticPr fontId="2" type="noConversion"/>
  </si>
  <si>
    <t>별도정리</t>
    <phoneticPr fontId="2" type="noConversion"/>
  </si>
  <si>
    <t>지노스</t>
    <phoneticPr fontId="2" type="noConversion"/>
  </si>
  <si>
    <t>Z41QIW</t>
    <phoneticPr fontId="2" type="noConversion"/>
  </si>
  <si>
    <t>서원정보</t>
    <phoneticPr fontId="2" type="noConversion"/>
  </si>
  <si>
    <t>도담솔루션</t>
    <phoneticPr fontId="2" type="noConversion"/>
  </si>
  <si>
    <t>유티모스트아이엔에스</t>
    <phoneticPr fontId="2" type="noConversion"/>
  </si>
  <si>
    <t>더힘</t>
    <phoneticPr fontId="2" type="noConversion"/>
  </si>
  <si>
    <t>대한변협법학전문대학원평가위원회</t>
    <phoneticPr fontId="2" type="noConversion"/>
  </si>
  <si>
    <t>조선해운</t>
    <phoneticPr fontId="2" type="noConversion"/>
  </si>
  <si>
    <t>씨티아이앤씨</t>
    <phoneticPr fontId="2" type="noConversion"/>
  </si>
  <si>
    <t>다올시스</t>
    <phoneticPr fontId="2" type="noConversion"/>
  </si>
  <si>
    <t>아이엘에스</t>
    <phoneticPr fontId="2" type="noConversion"/>
  </si>
  <si>
    <t>SB-23051</t>
  </si>
  <si>
    <t>이너인포</t>
    <phoneticPr fontId="2" type="noConversion"/>
  </si>
  <si>
    <t>에이스기계</t>
    <phoneticPr fontId="2" type="noConversion"/>
  </si>
  <si>
    <t>유노스</t>
    <phoneticPr fontId="2" type="noConversion"/>
  </si>
  <si>
    <t>대유에이텍</t>
    <phoneticPr fontId="2" type="noConversion"/>
  </si>
  <si>
    <t>SB-22053</t>
  </si>
  <si>
    <t>ZEKV4M</t>
  </si>
  <si>
    <t>심플키</t>
    <phoneticPr fontId="2" type="noConversion"/>
  </si>
  <si>
    <t>이너엔</t>
    <phoneticPr fontId="2" type="noConversion"/>
  </si>
  <si>
    <t>와이젠정보기술</t>
    <phoneticPr fontId="2" type="noConversion"/>
  </si>
  <si>
    <t>EPD</t>
    <phoneticPr fontId="2" type="noConversion"/>
  </si>
  <si>
    <t>ZI1HRR</t>
    <phoneticPr fontId="2" type="noConversion"/>
  </si>
  <si>
    <t>대신네트웍스</t>
    <phoneticPr fontId="2" type="noConversion"/>
  </si>
  <si>
    <t>케이디엠디</t>
    <phoneticPr fontId="2" type="noConversion"/>
  </si>
  <si>
    <t>엔콤</t>
    <phoneticPr fontId="2" type="noConversion"/>
  </si>
  <si>
    <t>동행시네마</t>
    <phoneticPr fontId="2" type="noConversion"/>
  </si>
  <si>
    <t>나우테크</t>
    <phoneticPr fontId="2" type="noConversion"/>
  </si>
  <si>
    <t>지엔콤</t>
    <phoneticPr fontId="2" type="noConversion"/>
  </si>
  <si>
    <t>SL-23020</t>
  </si>
  <si>
    <t>ZM10U8</t>
    <phoneticPr fontId="2" type="noConversion"/>
  </si>
  <si>
    <t>사이컴테크놀로지스코리아</t>
    <phoneticPr fontId="2" type="noConversion"/>
  </si>
  <si>
    <t>현대종합금속</t>
    <phoneticPr fontId="2" type="noConversion"/>
  </si>
  <si>
    <t>삼정펄프</t>
    <phoneticPr fontId="2" type="noConversion"/>
  </si>
  <si>
    <t>솔리드이엔지</t>
    <phoneticPr fontId="2" type="noConversion"/>
  </si>
  <si>
    <t>씨원시스템</t>
    <phoneticPr fontId="2" type="noConversion"/>
  </si>
  <si>
    <t>어보브반도체</t>
    <phoneticPr fontId="2" type="noConversion"/>
  </si>
  <si>
    <t>SB-23037</t>
    <phoneticPr fontId="2" type="noConversion"/>
  </si>
  <si>
    <t>ZDSTPH</t>
    <phoneticPr fontId="2" type="noConversion"/>
  </si>
  <si>
    <t>SB-23043</t>
    <phoneticPr fontId="2" type="noConversion"/>
  </si>
  <si>
    <t>Z2XAQY</t>
    <phoneticPr fontId="2" type="noConversion"/>
  </si>
  <si>
    <t>ZNHTN1</t>
    <phoneticPr fontId="2" type="noConversion"/>
  </si>
  <si>
    <t>이비즈테크</t>
    <phoneticPr fontId="2" type="noConversion"/>
  </si>
  <si>
    <t>한국디지털오디오방송</t>
    <phoneticPr fontId="2" type="noConversion"/>
  </si>
  <si>
    <t>SB-23012</t>
  </si>
  <si>
    <t>ZKFUER</t>
    <phoneticPr fontId="2" type="noConversion"/>
  </si>
  <si>
    <t>선납(22/4/5)</t>
    <phoneticPr fontId="2" type="noConversion"/>
  </si>
  <si>
    <t>선납(22/12/29)</t>
    <phoneticPr fontId="2" type="noConversion"/>
  </si>
  <si>
    <t>연세의료원</t>
    <phoneticPr fontId="2" type="noConversion"/>
  </si>
  <si>
    <t>여비교통비</t>
    <phoneticPr fontId="2" type="noConversion"/>
  </si>
  <si>
    <t>삼표산업</t>
    <phoneticPr fontId="2" type="noConversion"/>
  </si>
  <si>
    <t>SM-23025</t>
    <phoneticPr fontId="2" type="noConversion"/>
  </si>
  <si>
    <t>현성솔루션</t>
  </si>
  <si>
    <t>SM-23026</t>
    <phoneticPr fontId="2" type="noConversion"/>
  </si>
  <si>
    <t>금오이노베이션</t>
  </si>
  <si>
    <t>통신비</t>
    <phoneticPr fontId="2" type="noConversion"/>
  </si>
  <si>
    <t>키미데이타</t>
  </si>
  <si>
    <t>프라테르</t>
  </si>
  <si>
    <t>비과세</t>
  </si>
  <si>
    <t>아이디플라워</t>
    <phoneticPr fontId="2" type="noConversion"/>
  </si>
  <si>
    <t>접대비</t>
    <phoneticPr fontId="2" type="noConversion"/>
  </si>
  <si>
    <t>신한회계법인</t>
  </si>
  <si>
    <t>1월 유지정비료 - 12/12회</t>
    <phoneticPr fontId="2" type="noConversion"/>
  </si>
  <si>
    <t>1월 유지정비료 - 5/13회</t>
    <phoneticPr fontId="2" type="noConversion"/>
  </si>
  <si>
    <t>1월 유지정비료 - 6/11회</t>
    <phoneticPr fontId="2" type="noConversion"/>
  </si>
  <si>
    <t>프레이저플레이스 1월 유지정비료 - 6/12회</t>
    <phoneticPr fontId="2" type="noConversion"/>
  </si>
  <si>
    <t>복리후생비</t>
    <phoneticPr fontId="2" type="noConversion"/>
  </si>
  <si>
    <t>데이타메트렉스</t>
    <phoneticPr fontId="2" type="noConversion"/>
  </si>
  <si>
    <t>연간</t>
    <phoneticPr fontId="2" type="noConversion"/>
  </si>
  <si>
    <t>SM-23031</t>
    <phoneticPr fontId="2" type="noConversion"/>
  </si>
  <si>
    <t>신세계아이앤씨</t>
    <phoneticPr fontId="2" type="noConversion"/>
  </si>
  <si>
    <t xml:space="preserve">생수 </t>
    <phoneticPr fontId="2" type="noConversion"/>
  </si>
  <si>
    <t>로스만스/브리티쉬</t>
    <phoneticPr fontId="2" type="noConversion"/>
  </si>
  <si>
    <t>Z0PYQC</t>
  </si>
  <si>
    <t>SL-24003</t>
  </si>
  <si>
    <t>스마트에프앤디</t>
    <phoneticPr fontId="2" type="noConversion"/>
  </si>
  <si>
    <t>ZY3SE4</t>
    <phoneticPr fontId="2" type="noConversion"/>
  </si>
  <si>
    <t>페타데이타</t>
    <phoneticPr fontId="2" type="noConversion"/>
  </si>
  <si>
    <t>SB-24009</t>
  </si>
  <si>
    <t>유알피</t>
    <phoneticPr fontId="2" type="noConversion"/>
  </si>
  <si>
    <t>씨제이 씨지브이 통합</t>
    <phoneticPr fontId="2" type="noConversion"/>
  </si>
  <si>
    <t>SL-24006</t>
    <phoneticPr fontId="2" type="noConversion"/>
  </si>
  <si>
    <t>IK-24002</t>
    <phoneticPr fontId="2" type="noConversion"/>
  </si>
  <si>
    <t>바인드솔루션</t>
    <phoneticPr fontId="2" type="noConversion"/>
  </si>
  <si>
    <t>에이콕</t>
    <phoneticPr fontId="2" type="noConversion"/>
  </si>
  <si>
    <t>지인아이티</t>
    <phoneticPr fontId="2" type="noConversion"/>
  </si>
  <si>
    <t>SM-24003</t>
    <phoneticPr fontId="2" type="noConversion"/>
  </si>
  <si>
    <t>에스케이브로드밴드</t>
  </si>
  <si>
    <t>통신료</t>
  </si>
  <si>
    <t>Z5PURB</t>
    <phoneticPr fontId="2" type="noConversion"/>
  </si>
  <si>
    <t>SB-24011</t>
    <phoneticPr fontId="2" type="noConversion"/>
  </si>
  <si>
    <t>IK-24001</t>
    <phoneticPr fontId="2" type="noConversion"/>
  </si>
  <si>
    <t>법무법인바른</t>
    <phoneticPr fontId="2" type="noConversion"/>
  </si>
  <si>
    <t>POWER</t>
  </si>
  <si>
    <t>비온시이노베이터</t>
    <phoneticPr fontId="2" type="noConversion"/>
  </si>
  <si>
    <t>반기</t>
    <phoneticPr fontId="2" type="noConversion"/>
  </si>
  <si>
    <t>SM-24007</t>
    <phoneticPr fontId="2" type="noConversion"/>
  </si>
  <si>
    <t>트리거정보기술</t>
    <phoneticPr fontId="2" type="noConversion"/>
  </si>
  <si>
    <t>알티알씨스템</t>
    <phoneticPr fontId="2" type="noConversion"/>
  </si>
  <si>
    <t>ZHQC4J</t>
  </si>
  <si>
    <t>SB-23059</t>
  </si>
  <si>
    <t>ZSYEAM</t>
    <phoneticPr fontId="2" type="noConversion"/>
  </si>
  <si>
    <t>SL-24007</t>
  </si>
  <si>
    <t>Z8C798</t>
  </si>
  <si>
    <t>SB-24013</t>
  </si>
  <si>
    <t>메출연간</t>
    <phoneticPr fontId="2" type="noConversion"/>
  </si>
  <si>
    <t>케이정보기술</t>
    <phoneticPr fontId="2" type="noConversion"/>
  </si>
  <si>
    <t>거래처 경조 화환 - 1건</t>
    <phoneticPr fontId="2" type="noConversion"/>
  </si>
  <si>
    <t>IK-23021</t>
    <phoneticPr fontId="2" type="noConversion"/>
  </si>
  <si>
    <t>ZNJIYM</t>
    <phoneticPr fontId="2" type="noConversion"/>
  </si>
  <si>
    <t>SB-24019</t>
    <phoneticPr fontId="2" type="noConversion"/>
  </si>
  <si>
    <t>고영테크놀러지</t>
    <phoneticPr fontId="2" type="noConversion"/>
  </si>
  <si>
    <t>SB-24007</t>
    <phoneticPr fontId="2" type="noConversion"/>
  </si>
  <si>
    <t>비젼아이티</t>
    <phoneticPr fontId="2" type="noConversion"/>
  </si>
  <si>
    <t>SB-24020</t>
    <phoneticPr fontId="2" type="noConversion"/>
  </si>
  <si>
    <t>에이트랙</t>
    <phoneticPr fontId="2" type="noConversion"/>
  </si>
  <si>
    <t>ZXFKMU</t>
    <phoneticPr fontId="2" type="noConversion"/>
  </si>
  <si>
    <t>알에스아이티</t>
    <phoneticPr fontId="2" type="noConversion"/>
  </si>
  <si>
    <t>SB-24014</t>
  </si>
  <si>
    <t>SB-24021</t>
  </si>
  <si>
    <t>ZZMCEX</t>
    <phoneticPr fontId="2" type="noConversion"/>
  </si>
  <si>
    <t>Z9MTOY</t>
    <phoneticPr fontId="2" type="noConversion"/>
  </si>
  <si>
    <t>ZOWZ4O</t>
    <phoneticPr fontId="2" type="noConversion"/>
  </si>
  <si>
    <t>부가세불공</t>
    <phoneticPr fontId="2" type="noConversion"/>
  </si>
  <si>
    <t>비과세</t>
    <phoneticPr fontId="2" type="noConversion"/>
  </si>
  <si>
    <t>ZHWRWD</t>
    <phoneticPr fontId="2" type="noConversion"/>
  </si>
  <si>
    <t>SB-24023</t>
    <phoneticPr fontId="2" type="noConversion"/>
  </si>
  <si>
    <t>SB-24022</t>
  </si>
  <si>
    <t>ZHXILC</t>
    <phoneticPr fontId="2" type="noConversion"/>
  </si>
  <si>
    <t>한국교과서협회</t>
  </si>
  <si>
    <t>IK-23013</t>
    <phoneticPr fontId="2" type="noConversion"/>
  </si>
  <si>
    <t xml:space="preserve">EDP </t>
    <phoneticPr fontId="2" type="noConversion"/>
  </si>
  <si>
    <t>SB-23064</t>
  </si>
  <si>
    <t>IK-24005</t>
    <phoneticPr fontId="2" type="noConversion"/>
  </si>
  <si>
    <t>ZGTHWJ</t>
    <phoneticPr fontId="2" type="noConversion"/>
  </si>
  <si>
    <t>시스템본</t>
    <phoneticPr fontId="2" type="noConversion"/>
  </si>
  <si>
    <t>유더블유에스</t>
    <phoneticPr fontId="2" type="noConversion"/>
  </si>
  <si>
    <t>IK-24006</t>
    <phoneticPr fontId="2" type="noConversion"/>
  </si>
  <si>
    <t>LI-24003</t>
    <phoneticPr fontId="2" type="noConversion"/>
  </si>
  <si>
    <t>SB-24027</t>
    <phoneticPr fontId="2" type="noConversion"/>
  </si>
  <si>
    <t>ZE7QNO</t>
    <phoneticPr fontId="2" type="noConversion"/>
  </si>
  <si>
    <t>HDD</t>
  </si>
  <si>
    <t>ZI76N8</t>
    <phoneticPr fontId="2" type="noConversion"/>
  </si>
  <si>
    <t>ZNQ24V</t>
    <phoneticPr fontId="2" type="noConversion"/>
  </si>
  <si>
    <t>ZIU2XY</t>
    <phoneticPr fontId="2" type="noConversion"/>
  </si>
  <si>
    <t>ZCX0IZ</t>
    <phoneticPr fontId="2" type="noConversion"/>
  </si>
  <si>
    <t>SB-24032</t>
    <phoneticPr fontId="2" type="noConversion"/>
  </si>
  <si>
    <t>SB-24028</t>
    <phoneticPr fontId="2" type="noConversion"/>
  </si>
  <si>
    <t>SB-24033</t>
    <phoneticPr fontId="2" type="noConversion"/>
  </si>
  <si>
    <t>한국메탈</t>
    <phoneticPr fontId="2" type="noConversion"/>
  </si>
  <si>
    <t>월간-IBM</t>
  </si>
  <si>
    <t>SB-24036</t>
    <phoneticPr fontId="2" type="noConversion"/>
  </si>
  <si>
    <t>나라정보</t>
    <phoneticPr fontId="2" type="noConversion"/>
  </si>
  <si>
    <t>LI-24004</t>
    <phoneticPr fontId="2" type="noConversion"/>
  </si>
  <si>
    <t>SB-24037</t>
  </si>
  <si>
    <t>아이엠캐피탈</t>
    <phoneticPr fontId="2" type="noConversion"/>
  </si>
  <si>
    <t>LI-24005</t>
    <phoneticPr fontId="2" type="noConversion"/>
  </si>
  <si>
    <t>LI-24006</t>
    <phoneticPr fontId="2" type="noConversion"/>
  </si>
  <si>
    <t>보해양조</t>
    <phoneticPr fontId="2" type="noConversion"/>
  </si>
  <si>
    <t>SB-24038</t>
  </si>
  <si>
    <t>Z0OK1R</t>
  </si>
  <si>
    <t>SB-24040</t>
  </si>
  <si>
    <t>SB-24034</t>
  </si>
  <si>
    <t>Z11I89</t>
  </si>
  <si>
    <t>ZBJK3I</t>
    <phoneticPr fontId="2" type="noConversion"/>
  </si>
  <si>
    <t>SB-24031</t>
    <phoneticPr fontId="2" type="noConversion"/>
  </si>
  <si>
    <t>ZKZDVZ</t>
    <phoneticPr fontId="2" type="noConversion"/>
  </si>
  <si>
    <t>ZCKGPP</t>
    <phoneticPr fontId="2" type="noConversion"/>
  </si>
  <si>
    <t>ZU35CP</t>
    <phoneticPr fontId="2" type="noConversion"/>
  </si>
  <si>
    <t>위니텍</t>
    <phoneticPr fontId="2" type="noConversion"/>
  </si>
  <si>
    <t>Z4ACEZ</t>
  </si>
  <si>
    <t>SB-23053</t>
    <phoneticPr fontId="2" type="noConversion"/>
  </si>
  <si>
    <t>ZAI7T4</t>
    <phoneticPr fontId="2" type="noConversion"/>
  </si>
  <si>
    <t>SB-24035</t>
  </si>
  <si>
    <t>LI-24005</t>
  </si>
  <si>
    <t>쿠팡</t>
    <phoneticPr fontId="2" type="noConversion"/>
  </si>
  <si>
    <t>ZTME0P</t>
  </si>
  <si>
    <t>SB-24042</t>
  </si>
  <si>
    <t>LI-24008</t>
    <phoneticPr fontId="2" type="noConversion"/>
  </si>
  <si>
    <t>수량</t>
    <phoneticPr fontId="2" type="noConversion"/>
  </si>
  <si>
    <t>LI-24007</t>
    <phoneticPr fontId="2" type="noConversion"/>
  </si>
  <si>
    <t>7/25~</t>
    <phoneticPr fontId="2" type="noConversion"/>
  </si>
  <si>
    <t>매출월간</t>
    <phoneticPr fontId="2" type="noConversion"/>
  </si>
  <si>
    <t>SB-24041</t>
  </si>
  <si>
    <t>청소의신</t>
  </si>
  <si>
    <t>전용회선료 외 1건</t>
  </si>
  <si>
    <t>e-NETner 외 1건</t>
  </si>
  <si>
    <t>SM-20023</t>
    <phoneticPr fontId="2" type="noConversion"/>
  </si>
  <si>
    <t>비씨엠정보통신</t>
    <phoneticPr fontId="2" type="noConversion"/>
  </si>
  <si>
    <t>완도야생화</t>
    <phoneticPr fontId="2" type="noConversion"/>
  </si>
  <si>
    <t>SB-24039</t>
  </si>
  <si>
    <t>ZZGBBZ</t>
  </si>
  <si>
    <t>SB-24043</t>
  </si>
  <si>
    <t>ZSA1F0</t>
  </si>
  <si>
    <t>SB-24044</t>
  </si>
  <si>
    <t>ZSWUX2</t>
  </si>
  <si>
    <t>ZCQQRT</t>
    <phoneticPr fontId="2" type="noConversion"/>
  </si>
  <si>
    <t>LI-24009</t>
    <phoneticPr fontId="2" type="noConversion"/>
  </si>
  <si>
    <t>SM-21021</t>
    <phoneticPr fontId="2" type="noConversion"/>
  </si>
  <si>
    <t>SM-24021</t>
    <phoneticPr fontId="2" type="noConversion"/>
  </si>
  <si>
    <t>SM-24020</t>
    <phoneticPr fontId="2" type="noConversion"/>
  </si>
  <si>
    <t>와이케이케이한국 평택</t>
    <phoneticPr fontId="2" type="noConversion"/>
  </si>
  <si>
    <t>SM-23013</t>
    <phoneticPr fontId="2" type="noConversion"/>
  </si>
  <si>
    <t>SM-23012</t>
    <phoneticPr fontId="2" type="noConversion"/>
  </si>
  <si>
    <t>택스홈앤아웃 본사</t>
    <phoneticPr fontId="2" type="noConversion"/>
  </si>
  <si>
    <t>하이엔드택스 강남지점(압구정)</t>
    <phoneticPr fontId="2" type="noConversion"/>
  </si>
  <si>
    <t>아이젝스</t>
    <phoneticPr fontId="2" type="noConversion"/>
  </si>
  <si>
    <t>삼표피앤씨</t>
    <phoneticPr fontId="2" type="noConversion"/>
  </si>
  <si>
    <t>강북21세기병원</t>
    <phoneticPr fontId="2" type="noConversion"/>
  </si>
  <si>
    <t>ZUIU6G</t>
    <phoneticPr fontId="2" type="noConversion"/>
  </si>
  <si>
    <t>SB-24052</t>
    <phoneticPr fontId="2" type="noConversion"/>
  </si>
  <si>
    <t>ZTNAYA</t>
    <phoneticPr fontId="2" type="noConversion"/>
  </si>
  <si>
    <t>Z8LTG0</t>
    <phoneticPr fontId="2" type="noConversion"/>
  </si>
  <si>
    <t>ZPANSR</t>
    <phoneticPr fontId="2" type="noConversion"/>
  </si>
  <si>
    <t>ZQJ1BB</t>
    <phoneticPr fontId="2" type="noConversion"/>
  </si>
  <si>
    <t>ZEKFHM</t>
    <phoneticPr fontId="2" type="noConversion"/>
  </si>
  <si>
    <t>SB-24048</t>
    <phoneticPr fontId="2" type="noConversion"/>
  </si>
  <si>
    <t>SL-24021</t>
    <phoneticPr fontId="2" type="noConversion"/>
  </si>
  <si>
    <t>SB-24046</t>
    <phoneticPr fontId="2" type="noConversion"/>
  </si>
  <si>
    <t>SB-24047</t>
    <phoneticPr fontId="2" type="noConversion"/>
  </si>
  <si>
    <t>SB-24045</t>
    <phoneticPr fontId="2" type="noConversion"/>
  </si>
  <si>
    <t>ZMDFL5</t>
    <phoneticPr fontId="2" type="noConversion"/>
  </si>
  <si>
    <t>ZNUJRM</t>
    <phoneticPr fontId="2" type="noConversion"/>
  </si>
  <si>
    <t>SB-24049</t>
    <phoneticPr fontId="2" type="noConversion"/>
  </si>
  <si>
    <t>ZTHGTA</t>
    <phoneticPr fontId="2" type="noConversion"/>
  </si>
  <si>
    <t>ZWMXXL</t>
    <phoneticPr fontId="2" type="noConversion"/>
  </si>
  <si>
    <t>ZM9LCT</t>
    <phoneticPr fontId="2" type="noConversion"/>
  </si>
  <si>
    <t>ZGYCOY</t>
    <phoneticPr fontId="2" type="noConversion"/>
  </si>
  <si>
    <t>ZAXJCH</t>
    <phoneticPr fontId="2" type="noConversion"/>
  </si>
  <si>
    <t>SB-24050</t>
    <phoneticPr fontId="2" type="noConversion"/>
  </si>
  <si>
    <t>SB-24051</t>
    <phoneticPr fontId="2" type="noConversion"/>
  </si>
  <si>
    <t>SB-24058</t>
    <phoneticPr fontId="2" type="noConversion"/>
  </si>
  <si>
    <t>SB-24054</t>
    <phoneticPr fontId="2" type="noConversion"/>
  </si>
  <si>
    <t>SB-24055</t>
    <phoneticPr fontId="2" type="noConversion"/>
  </si>
  <si>
    <t>에즈윈아이피씨</t>
    <phoneticPr fontId="2" type="noConversion"/>
  </si>
  <si>
    <t>아이티타워부동산중개법인</t>
    <phoneticPr fontId="2" type="noConversion"/>
  </si>
  <si>
    <t>조립PC</t>
  </si>
  <si>
    <t>4XB7A14101</t>
  </si>
  <si>
    <t>Lenovo ThinkSystem DE Series 8TB 7.2K 3.5" HDD 2U12</t>
  </si>
  <si>
    <t>키보드&amp;마우스</t>
  </si>
  <si>
    <t>서버벨</t>
    <phoneticPr fontId="2" type="noConversion"/>
  </si>
  <si>
    <t>청소의신</t>
    <phoneticPr fontId="2" type="noConversion"/>
  </si>
  <si>
    <t>TruScale2024</t>
    <phoneticPr fontId="2" type="noConversion"/>
  </si>
  <si>
    <t>TruScale2022</t>
    <phoneticPr fontId="2" type="noConversion"/>
  </si>
  <si>
    <t>ZP1BPN</t>
    <phoneticPr fontId="2" type="noConversion"/>
  </si>
  <si>
    <t>SL-23009</t>
    <phoneticPr fontId="2" type="noConversion"/>
  </si>
  <si>
    <t>연세의료원</t>
    <phoneticPr fontId="2" type="noConversion"/>
  </si>
  <si>
    <t>매사</t>
    <phoneticPr fontId="2" type="noConversion"/>
  </si>
  <si>
    <t>Battery</t>
  </si>
  <si>
    <t>S</t>
    <phoneticPr fontId="2" type="noConversion"/>
  </si>
  <si>
    <t>SM-23033</t>
  </si>
  <si>
    <t>H240426-02</t>
    <phoneticPr fontId="2" type="noConversion"/>
  </si>
  <si>
    <t>티에스씨인포</t>
    <phoneticPr fontId="2" type="noConversion"/>
  </si>
  <si>
    <t>H240701-01</t>
    <phoneticPr fontId="2" type="noConversion"/>
  </si>
  <si>
    <t>9RZ268-150</t>
  </si>
  <si>
    <t>FS8600 CTRL Battery</t>
  </si>
  <si>
    <t>750W R520 620 R720</t>
  </si>
  <si>
    <t>상품</t>
    <phoneticPr fontId="2" type="noConversion"/>
  </si>
  <si>
    <t>에스엔정보</t>
    <phoneticPr fontId="2" type="noConversion"/>
  </si>
  <si>
    <t>1TB 7.2K 6G SFF SAS</t>
  </si>
  <si>
    <t>해안건축사사무소</t>
    <phoneticPr fontId="2" type="noConversion"/>
  </si>
  <si>
    <t>연간(24.06.~25.05)</t>
    <phoneticPr fontId="2" type="noConversion"/>
  </si>
  <si>
    <t>6/1~</t>
    <phoneticPr fontId="2" type="noConversion"/>
  </si>
  <si>
    <t>꼬망스 연간 24년(24.9~25.8)</t>
    <phoneticPr fontId="2" type="noConversion"/>
  </si>
  <si>
    <t>H241101-001</t>
    <phoneticPr fontId="2" type="noConversion"/>
  </si>
  <si>
    <t>MA</t>
    <phoneticPr fontId="2" type="noConversion"/>
  </si>
  <si>
    <t>H241107</t>
    <phoneticPr fontId="2" type="noConversion"/>
  </si>
  <si>
    <t>SB-24041</t>
    <phoneticPr fontId="2" type="noConversion"/>
  </si>
  <si>
    <t>SM-24007</t>
    <phoneticPr fontId="2" type="noConversion"/>
  </si>
  <si>
    <t>연간 24년(23.12~24.11)</t>
    <phoneticPr fontId="2" type="noConversion"/>
  </si>
  <si>
    <t>SB-24059</t>
  </si>
  <si>
    <t>IK-24013</t>
    <phoneticPr fontId="2" type="noConversion"/>
  </si>
  <si>
    <t>레드텍</t>
    <phoneticPr fontId="2" type="noConversion"/>
  </si>
  <si>
    <t>SM-24024</t>
    <phoneticPr fontId="2" type="noConversion"/>
  </si>
  <si>
    <t>IK-24011</t>
    <phoneticPr fontId="2" type="noConversion"/>
  </si>
  <si>
    <t>SM-24025</t>
    <phoneticPr fontId="2" type="noConversion"/>
  </si>
  <si>
    <t>Y241209-03</t>
  </si>
  <si>
    <t>보안취약 작업(DELL) #1</t>
    <phoneticPr fontId="2" type="noConversion"/>
  </si>
  <si>
    <t>보안취약 작업(LENOVO) #2</t>
    <phoneticPr fontId="2" type="noConversion"/>
  </si>
  <si>
    <t>보안취약 작업(HP) #3</t>
    <phoneticPr fontId="2" type="noConversion"/>
  </si>
  <si>
    <t>S</t>
    <phoneticPr fontId="2" type="noConversion"/>
  </si>
  <si>
    <t>기술지원</t>
    <phoneticPr fontId="2" type="noConversion"/>
  </si>
  <si>
    <t>로스만스파이스트비브이</t>
  </si>
  <si>
    <t>23/12/25~</t>
    <phoneticPr fontId="2" type="noConversion"/>
  </si>
  <si>
    <t>7/31~</t>
    <phoneticPr fontId="2" type="noConversion"/>
  </si>
  <si>
    <t>24/12/25~</t>
    <phoneticPr fontId="2" type="noConversion"/>
  </si>
  <si>
    <t>B동 1201호 12월 관리비 -면세분</t>
    <phoneticPr fontId="2" type="noConversion"/>
  </si>
  <si>
    <t>디씨에스에스테크놀러지코리아</t>
    <phoneticPr fontId="2" type="noConversion"/>
  </si>
  <si>
    <t>S241223</t>
  </si>
  <si>
    <t>기술지원</t>
    <phoneticPr fontId="2" type="noConversion"/>
  </si>
  <si>
    <t>티엔플러스</t>
    <phoneticPr fontId="2" type="noConversion"/>
  </si>
  <si>
    <t>계양 복지센터 케이코 설치지원</t>
    <phoneticPr fontId="2" type="noConversion"/>
  </si>
  <si>
    <t>동원플라스틱</t>
    <phoneticPr fontId="2" type="noConversion"/>
  </si>
  <si>
    <t>H241223-02</t>
  </si>
  <si>
    <t>4TB 7.2K 6G SAS 3.5inch Midline Hard Drive</t>
  </si>
  <si>
    <t>CGV용산아이파크몰</t>
  </si>
  <si>
    <t>SSD 설치지원</t>
    <phoneticPr fontId="2" type="noConversion"/>
  </si>
  <si>
    <t>컴퓨존</t>
    <phoneticPr fontId="2" type="noConversion"/>
  </si>
  <si>
    <t>완료(1/2)</t>
    <phoneticPr fontId="2" type="noConversion"/>
  </si>
  <si>
    <t>삼표피앤씨</t>
    <phoneticPr fontId="2" type="noConversion"/>
  </si>
  <si>
    <t>상품</t>
    <phoneticPr fontId="2" type="noConversion"/>
  </si>
  <si>
    <t>랜카드</t>
    <phoneticPr fontId="2" type="noConversion"/>
  </si>
  <si>
    <t>ipTIME U1000 PLUS 유선랜카드</t>
    <phoneticPr fontId="2" type="noConversion"/>
  </si>
  <si>
    <t>Y241205-01</t>
    <phoneticPr fontId="2" type="noConversion"/>
  </si>
  <si>
    <t>SM_C24021</t>
    <phoneticPr fontId="2" type="noConversion"/>
  </si>
  <si>
    <t>제이엔테크</t>
    <phoneticPr fontId="2" type="noConversion"/>
  </si>
  <si>
    <t>TAHXA0178</t>
    <phoneticPr fontId="2" type="noConversion"/>
  </si>
  <si>
    <t>ZDSNDX</t>
    <phoneticPr fontId="2" type="noConversion"/>
  </si>
  <si>
    <t>ZZM77T</t>
    <phoneticPr fontId="2" type="noConversion"/>
  </si>
  <si>
    <t>ZISA1K</t>
    <phoneticPr fontId="2" type="noConversion"/>
  </si>
  <si>
    <t>SL-23046</t>
    <phoneticPr fontId="2" type="noConversion"/>
  </si>
  <si>
    <t>SB-24062</t>
    <phoneticPr fontId="2" type="noConversion"/>
  </si>
  <si>
    <t>SB-24066</t>
  </si>
  <si>
    <t>1월 유지정비료 - 9/24회</t>
    <phoneticPr fontId="2" type="noConversion"/>
  </si>
  <si>
    <t>1월 유지정비료 - 6/13회</t>
    <phoneticPr fontId="2" type="noConversion"/>
  </si>
  <si>
    <t>전주교육대학교 1월 유지정비료 - 9/12회</t>
    <phoneticPr fontId="2" type="noConversion"/>
  </si>
  <si>
    <t>1월 유지정비료 - 11/12회</t>
    <phoneticPr fontId="2" type="noConversion"/>
  </si>
  <si>
    <t>SB-24063</t>
    <phoneticPr fontId="2" type="noConversion"/>
  </si>
  <si>
    <t>E1컨테이너터미널 #1 SW 연간유지정비료(25.01.01~12.31)</t>
    <phoneticPr fontId="2" type="noConversion"/>
  </si>
  <si>
    <t>올릭스파마 연간유지정비료(25.01.01~12.31)</t>
    <phoneticPr fontId="2" type="noConversion"/>
  </si>
  <si>
    <t>SL-25001</t>
    <phoneticPr fontId="2" type="noConversion"/>
  </si>
  <si>
    <t>분기</t>
    <phoneticPr fontId="2" type="noConversion"/>
  </si>
  <si>
    <t>비즈윈</t>
    <phoneticPr fontId="2" type="noConversion"/>
  </si>
  <si>
    <t>1/31~</t>
    <phoneticPr fontId="2" type="noConversion"/>
  </si>
  <si>
    <t>월간발행</t>
    <phoneticPr fontId="2" type="noConversion"/>
  </si>
  <si>
    <t>도시바일렉 1월 유지정비료 - 7/12회</t>
    <phoneticPr fontId="2" type="noConversion"/>
  </si>
  <si>
    <t>두원정공 1월 유지정비료 - 6/11회</t>
    <phoneticPr fontId="2" type="noConversion"/>
  </si>
  <si>
    <t>교세라 1월 유지정비료 - 12/36회</t>
    <phoneticPr fontId="2" type="noConversion"/>
  </si>
  <si>
    <t>1월유지정비료 - 9/32회</t>
    <phoneticPr fontId="2" type="noConversion"/>
  </si>
  <si>
    <t>대한상공회의소 1월 유지정비료 - 3/12회</t>
    <phoneticPr fontId="2" type="noConversion"/>
  </si>
  <si>
    <t>1월 유지정비료 - 7/12회</t>
    <phoneticPr fontId="2" type="noConversion"/>
  </si>
  <si>
    <t>성원제강 1월 유지정비료 - 22/36회</t>
    <phoneticPr fontId="2" type="noConversion"/>
  </si>
  <si>
    <t>한일전기 1월 유지정비료 - 25/36회</t>
    <phoneticPr fontId="2" type="noConversion"/>
  </si>
  <si>
    <t>문배철강 1월 유지정비료 - 22/36회</t>
    <phoneticPr fontId="2" type="noConversion"/>
  </si>
  <si>
    <t>BoardSystem 유지보수 - 1월 (4/12회)</t>
    <phoneticPr fontId="2" type="noConversion"/>
  </si>
  <si>
    <t>분기</t>
    <phoneticPr fontId="2" type="noConversion"/>
  </si>
  <si>
    <t>온피아</t>
    <phoneticPr fontId="2" type="noConversion"/>
  </si>
  <si>
    <t>인정보</t>
    <phoneticPr fontId="2" type="noConversion"/>
  </si>
  <si>
    <t>대구텍 1월 유지정비료 - 1/6회</t>
    <phoneticPr fontId="2" type="noConversion"/>
  </si>
  <si>
    <t>IK-24012</t>
    <phoneticPr fontId="2" type="noConversion"/>
  </si>
  <si>
    <t>법인차량(262무2108) 리스료898,500
선납렌탈료 551,270 -32/37회차</t>
    <phoneticPr fontId="2" type="noConversion"/>
  </si>
  <si>
    <t>1월 유지정비료 - 13/13회</t>
    <phoneticPr fontId="2" type="noConversion"/>
  </si>
  <si>
    <t>Y250107-01</t>
    <phoneticPr fontId="2" type="noConversion"/>
  </si>
  <si>
    <t>라온피플</t>
    <phoneticPr fontId="2" type="noConversion"/>
  </si>
  <si>
    <t>상품</t>
    <phoneticPr fontId="2" type="noConversion"/>
  </si>
  <si>
    <t>모니터</t>
    <phoneticPr fontId="2" type="noConversion"/>
  </si>
  <si>
    <t>LG 27MR400</t>
    <phoneticPr fontId="2" type="noConversion"/>
  </si>
  <si>
    <t>완료(1/7)</t>
    <phoneticPr fontId="2" type="noConversion"/>
  </si>
  <si>
    <t>스토리지케이투</t>
    <phoneticPr fontId="2" type="noConversion"/>
  </si>
  <si>
    <t>IBM LTO6/B</t>
    <phoneticPr fontId="2" type="noConversion"/>
  </si>
  <si>
    <t>보안취약점 1차 기술지원</t>
    <phoneticPr fontId="2" type="noConversion"/>
  </si>
  <si>
    <t>보안취약점 2차 기술지원</t>
  </si>
  <si>
    <t>보안취약점 3차 기술지원</t>
  </si>
  <si>
    <t>S</t>
    <phoneticPr fontId="2" type="noConversion"/>
  </si>
  <si>
    <t>현금</t>
    <phoneticPr fontId="2" type="noConversion"/>
  </si>
  <si>
    <t>한우리아이티 HW 1월 유지정비료 - 13/13회</t>
    <phoneticPr fontId="2" type="noConversion"/>
  </si>
  <si>
    <t>X</t>
    <phoneticPr fontId="2" type="noConversion"/>
  </si>
  <si>
    <t>상품</t>
    <phoneticPr fontId="2" type="noConversion"/>
  </si>
  <si>
    <t>케이블</t>
    <phoneticPr fontId="2" type="noConversion"/>
  </si>
  <si>
    <t>전원케이블 50EA</t>
    <phoneticPr fontId="2" type="noConversion"/>
  </si>
  <si>
    <t>노트북</t>
    <phoneticPr fontId="2" type="noConversion"/>
  </si>
  <si>
    <t>엘지노트북 외</t>
    <phoneticPr fontId="2" type="noConversion"/>
  </si>
  <si>
    <t>한미약품, 한미사이언스 유지보수 25년 1Q</t>
    <phoneticPr fontId="2" type="noConversion"/>
  </si>
  <si>
    <t>우물단 TR630 설치지원</t>
    <phoneticPr fontId="2" type="noConversion"/>
  </si>
  <si>
    <t>기술지원</t>
    <phoneticPr fontId="2" type="noConversion"/>
  </si>
  <si>
    <t>비온시</t>
    <phoneticPr fontId="2" type="noConversion"/>
  </si>
  <si>
    <t>24년 국립농업과학원 기술지원</t>
    <phoneticPr fontId="2" type="noConversion"/>
  </si>
  <si>
    <t>E1컨테이너터미널 기술지원비</t>
    <phoneticPr fontId="2" type="noConversion"/>
  </si>
  <si>
    <t>케이씨에스</t>
    <phoneticPr fontId="2" type="noConversion"/>
  </si>
  <si>
    <t>반기</t>
    <phoneticPr fontId="2" type="noConversion"/>
  </si>
  <si>
    <t>소비자보호원 25년 연간</t>
    <phoneticPr fontId="2" type="noConversion"/>
  </si>
  <si>
    <t>X</t>
    <phoneticPr fontId="2" type="noConversion"/>
  </si>
  <si>
    <t>MA</t>
    <phoneticPr fontId="2" type="noConversion"/>
  </si>
  <si>
    <t>분기</t>
    <phoneticPr fontId="2" type="noConversion"/>
  </si>
  <si>
    <t>연간</t>
    <phoneticPr fontId="2" type="noConversion"/>
  </si>
  <si>
    <t>24/2/15~25/1/15</t>
    <phoneticPr fontId="2" type="noConversion"/>
  </si>
  <si>
    <t>SB-24011</t>
    <phoneticPr fontId="2" type="noConversion"/>
  </si>
  <si>
    <t>1/31~12/31</t>
    <phoneticPr fontId="2" type="noConversion"/>
  </si>
  <si>
    <t>로스만스/브리티쉬</t>
    <phoneticPr fontId="2" type="noConversion"/>
  </si>
  <si>
    <t>BAT 서울 사천 연간 기술지원</t>
    <phoneticPr fontId="2" type="noConversion"/>
  </si>
  <si>
    <t>3/31,6/30</t>
    <phoneticPr fontId="2" type="noConversion"/>
  </si>
  <si>
    <t>SL-23014</t>
    <phoneticPr fontId="2" type="noConversion"/>
  </si>
  <si>
    <t>1/1~12/1</t>
    <phoneticPr fontId="2" type="noConversion"/>
  </si>
  <si>
    <t>25년 연간 기술지원</t>
    <phoneticPr fontId="2" type="noConversion"/>
  </si>
  <si>
    <t>LI-24004</t>
    <phoneticPr fontId="2" type="noConversion"/>
  </si>
  <si>
    <t>SM-24013</t>
    <phoneticPr fontId="2" type="noConversion"/>
  </si>
  <si>
    <t>SM-23031</t>
    <phoneticPr fontId="2" type="noConversion"/>
  </si>
  <si>
    <t>1/31~7/31</t>
    <phoneticPr fontId="2" type="noConversion"/>
  </si>
  <si>
    <t>삼표DB세이퍼 기술지원(25년 1~7월)</t>
    <phoneticPr fontId="2" type="noConversion"/>
  </si>
  <si>
    <t>SB-24063</t>
    <phoneticPr fontId="2" type="noConversion"/>
  </si>
  <si>
    <t>SM-25001</t>
    <phoneticPr fontId="2" type="noConversion"/>
  </si>
  <si>
    <t>완료(1/14)</t>
    <phoneticPr fontId="2" type="noConversion"/>
  </si>
  <si>
    <t>2TB 2.5" SATA SSD 외</t>
    <phoneticPr fontId="2" type="noConversion"/>
  </si>
  <si>
    <t>상품</t>
    <phoneticPr fontId="2" type="noConversion"/>
  </si>
  <si>
    <t>HDD</t>
    <phoneticPr fontId="2" type="noConversion"/>
  </si>
  <si>
    <t>Y250114-02</t>
    <phoneticPr fontId="2" type="noConversion"/>
  </si>
  <si>
    <t>Y250113-01</t>
    <phoneticPr fontId="2" type="noConversion"/>
  </si>
  <si>
    <t>로지텍 K120 NEW+ 마우스 M90 세트  외 케이블류</t>
    <phoneticPr fontId="2" type="noConversion"/>
  </si>
  <si>
    <t>금성스펀지</t>
    <phoneticPr fontId="2" type="noConversion"/>
  </si>
  <si>
    <t>디씨에스에스테크놀러지코리아</t>
    <phoneticPr fontId="2" type="noConversion"/>
  </si>
  <si>
    <t>무겸</t>
    <phoneticPr fontId="2" type="noConversion"/>
  </si>
  <si>
    <t>아이티엔</t>
    <phoneticPr fontId="2" type="noConversion"/>
  </si>
  <si>
    <t>엘포씨평생교육원</t>
    <phoneticPr fontId="2" type="noConversion"/>
  </si>
  <si>
    <t>올라에이치엠아이</t>
    <phoneticPr fontId="2" type="noConversion"/>
  </si>
  <si>
    <t>제이네트</t>
    <phoneticPr fontId="2" type="noConversion"/>
  </si>
  <si>
    <t>완료(1/15)</t>
    <phoneticPr fontId="2" type="noConversion"/>
  </si>
  <si>
    <t>자동이체1,144,080
(1/21)
선납551,270
(22/4/21)</t>
    <phoneticPr fontId="2" type="noConversion"/>
  </si>
  <si>
    <t>위퍼스트</t>
    <phoneticPr fontId="2" type="noConversion"/>
  </si>
  <si>
    <t xml:space="preserve">4XG7A38077 SR650 Intel Xeon Gold 6246R 16C 205W 3.4GHz Processor w/o FAN </t>
    <phoneticPr fontId="2" type="noConversion"/>
  </si>
  <si>
    <t>H250114-01</t>
    <phoneticPr fontId="2" type="noConversion"/>
  </si>
  <si>
    <t>4XG7A38077</t>
    <phoneticPr fontId="2" type="noConversion"/>
  </si>
  <si>
    <t>H250117-01</t>
    <phoneticPr fontId="2" type="noConversion"/>
  </si>
  <si>
    <t>54C33</t>
    <phoneticPr fontId="2" type="noConversion"/>
  </si>
  <si>
    <t>DELL Controller Battery FS8600(중고)</t>
    <phoneticPr fontId="2" type="noConversion"/>
  </si>
  <si>
    <t>H250117-02</t>
    <phoneticPr fontId="2" type="noConversion"/>
  </si>
  <si>
    <t>00V7590</t>
    <phoneticPr fontId="2" type="noConversion"/>
  </si>
  <si>
    <t>TruScale SM202400911-001-3</t>
    <phoneticPr fontId="2" type="noConversion"/>
  </si>
  <si>
    <t>Y250117-01</t>
    <phoneticPr fontId="2" type="noConversion"/>
  </si>
  <si>
    <t>에스엠티정보기술</t>
    <phoneticPr fontId="2" type="noConversion"/>
  </si>
  <si>
    <t>OS</t>
  </si>
  <si>
    <t xml:space="preserve">Windows Server 2022 Standard (DSP/16core/64bit/CAL미포함16 core) </t>
  </si>
  <si>
    <t>1월 유지정비료 - 16/36회</t>
    <phoneticPr fontId="2" type="noConversion"/>
  </si>
  <si>
    <t>도로교통안전공단 1월 유지정비료 - 13/13회</t>
    <phoneticPr fontId="2" type="noConversion"/>
  </si>
  <si>
    <t>분기</t>
    <phoneticPr fontId="2" type="noConversion"/>
  </si>
  <si>
    <t>삼표산업</t>
    <phoneticPr fontId="2" type="noConversion"/>
  </si>
  <si>
    <t>컴퓨존</t>
    <phoneticPr fontId="2" type="noConversion"/>
  </si>
  <si>
    <t>고영테크놀러지</t>
    <phoneticPr fontId="2" type="noConversion"/>
  </si>
  <si>
    <t>조립PC</t>
    <phoneticPr fontId="2" type="noConversion"/>
  </si>
  <si>
    <t>이룸에스앤앤</t>
    <phoneticPr fontId="2" type="noConversion"/>
  </si>
  <si>
    <t>[2025년 현금영수증 매입]</t>
    <phoneticPr fontId="2" type="noConversion"/>
  </si>
  <si>
    <t>2024년 NCSC 사이버센터 고도화 사업 1월 유지정비료-3/5회</t>
    <phoneticPr fontId="2" type="noConversion"/>
  </si>
  <si>
    <t>매출연간</t>
    <phoneticPr fontId="2" type="noConversion"/>
  </si>
  <si>
    <t>상품</t>
    <phoneticPr fontId="2" type="noConversion"/>
  </si>
  <si>
    <t>Lenovo ThinkSystem SR250v2</t>
  </si>
  <si>
    <t>서버</t>
    <phoneticPr fontId="2" type="noConversion"/>
  </si>
  <si>
    <t>Y250116-01</t>
    <phoneticPr fontId="2" type="noConversion"/>
  </si>
  <si>
    <t>위퍼스트</t>
    <phoneticPr fontId="2" type="noConversion"/>
  </si>
  <si>
    <t>제트컨버터</t>
    <phoneticPr fontId="2" type="noConversion"/>
  </si>
  <si>
    <t>HPE DL360Gen10</t>
    <phoneticPr fontId="2" type="noConversion"/>
  </si>
  <si>
    <t>H250102-01</t>
  </si>
  <si>
    <t>H250106-01</t>
  </si>
  <si>
    <t>H250106-02</t>
  </si>
  <si>
    <t>H250110-01</t>
  </si>
  <si>
    <t>H250113-01</t>
  </si>
  <si>
    <t>아이엠티에스아이</t>
  </si>
  <si>
    <t>티에스씨인포</t>
  </si>
  <si>
    <t>01AF542</t>
  </si>
  <si>
    <t>Processor VRM 2B4E For 8231-E1C, E1D, E2D, 8268-E1D, 8246-L1C</t>
  </si>
  <si>
    <t>69Y2926</t>
  </si>
  <si>
    <t>Controller Battery for DS3512/DS3524</t>
  </si>
  <si>
    <t>1KPX8</t>
  </si>
  <si>
    <t>DELL R740 SYSTEM BOARD = JMK61</t>
  </si>
  <si>
    <t>061XPF</t>
  </si>
  <si>
    <t>DELL 146GB 15K 6G SFF SAS HDD</t>
  </si>
  <si>
    <t>44X3212</t>
  </si>
  <si>
    <t>IBM V7000 Storage 600GB 10K 2.5inch HDD 44X3212/90Y7652</t>
  </si>
  <si>
    <t>H250115-01</t>
  </si>
  <si>
    <t>H250116-01</t>
  </si>
  <si>
    <t>AJ763A</t>
  </si>
  <si>
    <t>HPE 82E 8Gb 2-port PCIe Fibre Channel Host Bus Adapter</t>
  </si>
  <si>
    <t>765873-001</t>
  </si>
  <si>
    <t>2TB 7.2K 12G SAS 2.5inch Enterprise Hard Drive</t>
  </si>
  <si>
    <t>우리SIT</t>
  </si>
  <si>
    <t>디에이치라이팅</t>
  </si>
  <si>
    <t>H250117-03</t>
    <phoneticPr fontId="2" type="noConversion"/>
  </si>
  <si>
    <t>에이캐피탈</t>
    <phoneticPr fontId="2" type="noConversion"/>
  </si>
  <si>
    <t>90Y8927</t>
  </si>
  <si>
    <t>IBM 146GB 15K SFF SAS G2HS HDD 7915 06AWPVD</t>
  </si>
  <si>
    <t>MA</t>
    <phoneticPr fontId="2" type="noConversion"/>
  </si>
  <si>
    <t>H250118-01</t>
    <phoneticPr fontId="2" type="noConversion"/>
  </si>
  <si>
    <t>에스엔에이</t>
  </si>
  <si>
    <t>넷매니아</t>
  </si>
  <si>
    <t>POWER SUPPLY for DELL ME4024</t>
  </si>
  <si>
    <t>D250121-02</t>
    <phoneticPr fontId="2" type="noConversion"/>
  </si>
  <si>
    <t>B동 1201호 1월 관리비 -과세분</t>
    <phoneticPr fontId="2" type="noConversion"/>
  </si>
  <si>
    <t>D250121-01</t>
    <phoneticPr fontId="2" type="noConversion"/>
  </si>
  <si>
    <t>E5-2470V2 10C 2.4GHz</t>
    <phoneticPr fontId="2" type="noConversion"/>
  </si>
  <si>
    <t>CPU</t>
    <phoneticPr fontId="2" type="noConversion"/>
  </si>
  <si>
    <t>SM_C25001</t>
  </si>
  <si>
    <t>삼표산업</t>
    <phoneticPr fontId="2" type="noConversion"/>
  </si>
  <si>
    <t>매각장비건</t>
    <phoneticPr fontId="2" type="noConversion"/>
  </si>
  <si>
    <t>농림수산업자신용보증기금 5WS7B97050 1Yr Post Wty Premier 24x7 4Hr Resp</t>
    <phoneticPr fontId="2" type="noConversion"/>
  </si>
  <si>
    <t>Vulnerability Remediation 서울 (2025.01.01~2025.12.31)</t>
    <phoneticPr fontId="2" type="noConversion"/>
  </si>
  <si>
    <t>BAT 통합 유지보수 1월분 - 1/12회</t>
    <phoneticPr fontId="2" type="noConversion"/>
  </si>
  <si>
    <t>1월 청소비</t>
    <phoneticPr fontId="2" type="noConversion"/>
  </si>
  <si>
    <t>완료(1/24)</t>
    <phoneticPr fontId="2" type="noConversion"/>
  </si>
  <si>
    <t>1월 차량렌트(xm3 4429)-25/37회</t>
    <phoneticPr fontId="2" type="noConversion"/>
  </si>
  <si>
    <t>1월 선급금(xm3 4429)-25/37회</t>
    <phoneticPr fontId="2" type="noConversion"/>
  </si>
  <si>
    <t>자동이체(1/26)</t>
    <phoneticPr fontId="2" type="noConversion"/>
  </si>
  <si>
    <t>자동이체(1/31)</t>
    <phoneticPr fontId="2" type="noConversion"/>
  </si>
  <si>
    <t>1월 차량렌트(그랜저 8552)-34/49회</t>
    <phoneticPr fontId="2" type="noConversion"/>
  </si>
  <si>
    <t>1월 선급금(그랜저 8552)-34/49회</t>
    <phoneticPr fontId="2" type="noConversion"/>
  </si>
  <si>
    <t>1월 차량렌트(G80 3061)-34/49회</t>
    <phoneticPr fontId="2" type="noConversion"/>
  </si>
  <si>
    <t>1월 선급금(G80 3061)-34/49회</t>
    <phoneticPr fontId="2" type="noConversion"/>
  </si>
  <si>
    <t>컴퓨존</t>
    <phoneticPr fontId="2" type="noConversion"/>
  </si>
  <si>
    <t>운반비</t>
    <phoneticPr fontId="2" type="noConversion"/>
  </si>
  <si>
    <t>로젠택배 1월 택배비</t>
    <phoneticPr fontId="2" type="noConversion"/>
  </si>
  <si>
    <t>안국약품 1월 기술지원료 - 1회</t>
    <phoneticPr fontId="2" type="noConversion"/>
  </si>
  <si>
    <t>TruScale SM20220628-002-27</t>
    <phoneticPr fontId="2" type="noConversion"/>
  </si>
  <si>
    <t>SM_C25003</t>
    <phoneticPr fontId="2" type="noConversion"/>
  </si>
  <si>
    <t>ZTGLCD</t>
    <phoneticPr fontId="2" type="noConversion"/>
  </si>
  <si>
    <t>1월분 SIOS Lifekeeper 유지보수료 - 12/12회</t>
    <phoneticPr fontId="2" type="noConversion"/>
  </si>
  <si>
    <t>1월 유지정비료 - 6/12회</t>
    <phoneticPr fontId="2" type="noConversion"/>
  </si>
  <si>
    <t>메일호스팅 1월 - 6/12회</t>
    <phoneticPr fontId="2" type="noConversion"/>
  </si>
  <si>
    <t>기업(구내) 1월 인터넷 사용료</t>
    <phoneticPr fontId="2" type="noConversion"/>
  </si>
  <si>
    <t>자동이체(25/2/10)</t>
    <phoneticPr fontId="2" type="noConversion"/>
  </si>
  <si>
    <t>2월 유지정비료 - 9/12회</t>
    <phoneticPr fontId="2" type="noConversion"/>
  </si>
  <si>
    <t>1월 기장료</t>
    <phoneticPr fontId="2" type="noConversion"/>
  </si>
  <si>
    <t>ZTAHJK</t>
    <phoneticPr fontId="2" type="noConversion"/>
  </si>
  <si>
    <t>에티버스</t>
    <phoneticPr fontId="2" type="noConversion"/>
  </si>
  <si>
    <t>HPE 1y PW TC Ess DL380 Gen10 SVC 8개 외</t>
    <phoneticPr fontId="2" type="noConversion"/>
  </si>
  <si>
    <t>ZZ6BIS</t>
    <phoneticPr fontId="2" type="noConversion"/>
  </si>
  <si>
    <t>씨제이 씨지브이 통합</t>
    <phoneticPr fontId="2" type="noConversion"/>
  </si>
  <si>
    <t>ZSUEIX</t>
  </si>
  <si>
    <t xml:space="preserve"> ZROHA2</t>
    <phoneticPr fontId="2" type="noConversion"/>
  </si>
  <si>
    <t>SBS 1월 유지정비료 - 1/12회</t>
    <phoneticPr fontId="2" type="noConversion"/>
  </si>
  <si>
    <t>ZXRZHC</t>
  </si>
  <si>
    <t>삼성중공업 1월 유지정비료 - 1/12회</t>
    <phoneticPr fontId="2" type="noConversion"/>
  </si>
  <si>
    <t>1월 유지정비료 - 4/13회</t>
    <phoneticPr fontId="2" type="noConversion"/>
  </si>
  <si>
    <t>한림대 1월 유지정비료 - 5/6회</t>
    <phoneticPr fontId="2" type="noConversion"/>
  </si>
  <si>
    <t>포스코 1월 유지정비료 - 4/15회</t>
    <phoneticPr fontId="2" type="noConversion"/>
  </si>
  <si>
    <t>유아이티 1월 유지정비료 - 4/13회</t>
    <phoneticPr fontId="2" type="noConversion"/>
  </si>
  <si>
    <t>삼성중공업 1월 유지정비료 - 5/16회</t>
    <phoneticPr fontId="2" type="noConversion"/>
  </si>
  <si>
    <t>신성통상 1월 유지정비료 - 2/12회</t>
    <phoneticPr fontId="2" type="noConversion"/>
  </si>
  <si>
    <t>포스코 1월 유지정비료 - 3/14회</t>
    <phoneticPr fontId="2" type="noConversion"/>
  </si>
  <si>
    <t>DB생명 1월 유지정비료 - 7/9회</t>
    <phoneticPr fontId="2" type="noConversion"/>
  </si>
  <si>
    <t>1월유지정비료 - 7/12회</t>
    <phoneticPr fontId="2" type="noConversion"/>
  </si>
  <si>
    <t>한우리아이티 HW 1월 유지정비료 - 6/13회</t>
    <phoneticPr fontId="2" type="noConversion"/>
  </si>
  <si>
    <t>웰컴저축은행 1월 유지정비료 - 6/12회</t>
    <phoneticPr fontId="2" type="noConversion"/>
  </si>
  <si>
    <t>LX홀딩스 1월 유지정비료 - 7/12회</t>
    <phoneticPr fontId="2" type="noConversion"/>
  </si>
  <si>
    <t>호원대학교 1월 유지정비료 - 8/13회</t>
    <phoneticPr fontId="2" type="noConversion"/>
  </si>
  <si>
    <t>한림성심대학교 1월 유지정비료 13/14회</t>
    <phoneticPr fontId="2" type="noConversion"/>
  </si>
  <si>
    <t>ZIR05U</t>
    <phoneticPr fontId="2" type="noConversion"/>
  </si>
  <si>
    <t>중국광대은행 1월 유지정비료 - 2/12회</t>
    <phoneticPr fontId="2" type="noConversion"/>
  </si>
  <si>
    <t>ZDFIN7</t>
  </si>
  <si>
    <t>ZOTN1N</t>
  </si>
  <si>
    <t>1월 유지정비료 - 8/13회</t>
    <phoneticPr fontId="2" type="noConversion"/>
  </si>
  <si>
    <t>ZJYUVJ</t>
  </si>
  <si>
    <t>1월 유지정비료 - 2/18회</t>
    <phoneticPr fontId="2" type="noConversion"/>
  </si>
  <si>
    <t>남부대학교 1월 유지정비료 - 12/12회</t>
    <phoneticPr fontId="2" type="noConversion"/>
  </si>
  <si>
    <t>이녹스 1월 유지정비료 - 8/12회</t>
    <phoneticPr fontId="2" type="noConversion"/>
  </si>
  <si>
    <t>롯데하이마트 1월 유지정비료 - 8/13회</t>
    <phoneticPr fontId="2" type="noConversion"/>
  </si>
  <si>
    <t>WPP 1월 유지정비료 - 9/11회</t>
    <phoneticPr fontId="2" type="noConversion"/>
  </si>
  <si>
    <t>전주교육대학교 1월 유지정비료 - 11/12회</t>
    <phoneticPr fontId="2" type="noConversion"/>
  </si>
  <si>
    <t>ZVVVON</t>
    <phoneticPr fontId="2" type="noConversion"/>
  </si>
  <si>
    <t>탑텍 1월 유지정비료 - 10/12회</t>
    <phoneticPr fontId="2" type="noConversion"/>
  </si>
  <si>
    <t>대한산업보건협회 1월 유지정비료 - 9/12회</t>
    <phoneticPr fontId="2" type="noConversion"/>
  </si>
  <si>
    <t>서울디자인재단 1월유지정비료 - 1/12회</t>
    <phoneticPr fontId="2" type="noConversion"/>
  </si>
  <si>
    <t>동국대학교 중앙도서관 1월 유지정비료 - 11/12회</t>
    <phoneticPr fontId="2" type="noConversion"/>
  </si>
  <si>
    <t>초록어린이재단 1월 유지정비료 - 7/12회</t>
    <phoneticPr fontId="2" type="noConversion"/>
  </si>
  <si>
    <t>신세계 아이앤씨 1월 유지정비료 - 24/46회</t>
    <phoneticPr fontId="2" type="noConversion"/>
  </si>
  <si>
    <t>엘지유플러스(LG U+) 1월 유지정비료 - 14/37회</t>
    <phoneticPr fontId="2" type="noConversion"/>
  </si>
  <si>
    <t>애플코리아 #2 25년 1월 유지정비료 - 31/69회</t>
    <phoneticPr fontId="2" type="noConversion"/>
  </si>
  <si>
    <t>태강대부 HW 1월유지정비료 - 11/12회</t>
    <phoneticPr fontId="2" type="noConversion"/>
  </si>
  <si>
    <t>안동CGV 1월 유지정비료 - 11/13회</t>
    <phoneticPr fontId="2" type="noConversion"/>
  </si>
  <si>
    <t>경북소방본부 1월 유지정비료 - 8/12회</t>
    <phoneticPr fontId="2" type="noConversion"/>
  </si>
  <si>
    <t>코클리어 1월 유지정비료 - 10/30회</t>
    <phoneticPr fontId="2" type="noConversion"/>
  </si>
  <si>
    <t>대동도어 1월 유지정비료 - 12/13회</t>
    <phoneticPr fontId="2" type="noConversion"/>
  </si>
  <si>
    <t>국립농업과학원 - 1월유지정비료 - 13/24회</t>
    <phoneticPr fontId="2" type="noConversion"/>
  </si>
  <si>
    <t>외교부 1월 유지정비료 - 8/12회</t>
    <phoneticPr fontId="2" type="noConversion"/>
  </si>
  <si>
    <t>동두천드림파워 1월 유지정비료 - 25/36회</t>
    <phoneticPr fontId="2" type="noConversion"/>
  </si>
  <si>
    <t>한림대학교HW 1월 유지정비료 - 20/21회</t>
    <phoneticPr fontId="2" type="noConversion"/>
  </si>
  <si>
    <t>산업은행 1월 유지정비료 - 25/36회</t>
    <phoneticPr fontId="2" type="noConversion"/>
  </si>
  <si>
    <t>국립기상과학원 1월 유지정비료-추가 8/12회</t>
    <phoneticPr fontId="2" type="noConversion"/>
  </si>
  <si>
    <t>한림대학교 추가 1월 유지정비료 - 19/20회</t>
    <phoneticPr fontId="2" type="noConversion"/>
  </si>
  <si>
    <t>삼성전자 11월분 - 1/13회</t>
    <phoneticPr fontId="2" type="noConversion"/>
  </si>
  <si>
    <t>삼성전자 12월분 - 2/13회</t>
    <phoneticPr fontId="2" type="noConversion"/>
  </si>
  <si>
    <t>매출연간</t>
    <phoneticPr fontId="2" type="noConversion"/>
  </si>
  <si>
    <t>1월 유지정비료 - 1/12회</t>
    <phoneticPr fontId="2" type="noConversion"/>
  </si>
  <si>
    <t>삼성전자 1월분 - 3/13회</t>
    <phoneticPr fontId="2" type="noConversion"/>
  </si>
  <si>
    <t>SB-24061</t>
    <phoneticPr fontId="2" type="noConversion"/>
  </si>
  <si>
    <t>SL-24028</t>
  </si>
  <si>
    <t>온더레벨</t>
    <phoneticPr fontId="2" type="noConversion"/>
  </si>
  <si>
    <t>한우리아이티 1월 유지정비료 - 1/7회</t>
    <phoneticPr fontId="2" type="noConversion"/>
  </si>
  <si>
    <t>SB-24064</t>
  </si>
  <si>
    <t>이원(E1)컨테이너터미널 1월 유지정비료 1/12회</t>
    <phoneticPr fontId="2" type="noConversion"/>
  </si>
  <si>
    <t>SB-24065</t>
  </si>
  <si>
    <t>안산시청 1월 유지정비료 - 1/24회</t>
    <phoneticPr fontId="2" type="noConversion"/>
  </si>
  <si>
    <t>SB-24063</t>
    <phoneticPr fontId="2" type="noConversion"/>
  </si>
  <si>
    <t>이원(E1)컨테이너터미널 1월 유지정비료 - 1/12회</t>
    <phoneticPr fontId="2" type="noConversion"/>
  </si>
  <si>
    <t>SL-24050</t>
  </si>
  <si>
    <t>1월(4~31일) 유지정비료 - 1/13회</t>
    <phoneticPr fontId="2" type="noConversion"/>
  </si>
  <si>
    <t>SB-25004</t>
  </si>
  <si>
    <t>ZDCPQK</t>
  </si>
  <si>
    <t>SB-25001</t>
  </si>
  <si>
    <t>퓨처젠</t>
    <phoneticPr fontId="2" type="noConversion"/>
  </si>
  <si>
    <t>SB-25005</t>
  </si>
  <si>
    <t>SK실트론 1월 유지정비료 1/12회</t>
    <phoneticPr fontId="2" type="noConversion"/>
  </si>
  <si>
    <t>제이플러스솔루션</t>
    <phoneticPr fontId="2" type="noConversion"/>
  </si>
  <si>
    <t>MAPAC</t>
    <phoneticPr fontId="2" type="noConversion"/>
  </si>
  <si>
    <t>연간유지정비료 1Y</t>
    <phoneticPr fontId="2" type="noConversion"/>
  </si>
  <si>
    <t>SB-25006</t>
  </si>
  <si>
    <t>더힘</t>
    <phoneticPr fontId="2" type="noConversion"/>
  </si>
  <si>
    <t>피에스케이(PSK) 1월 유지정비료 - 1/17회</t>
    <phoneticPr fontId="2" type="noConversion"/>
  </si>
  <si>
    <t>제이엔테크놀러지</t>
    <phoneticPr fontId="2" type="noConversion"/>
  </si>
  <si>
    <t>완료(25/1/24)</t>
    <phoneticPr fontId="2" type="noConversion"/>
  </si>
  <si>
    <t>완료(2/3)</t>
    <phoneticPr fontId="2" type="noConversion"/>
  </si>
  <si>
    <t>SM_C25002</t>
    <phoneticPr fontId="2" type="noConversion"/>
  </si>
  <si>
    <t>경기도보건환경연구원 연간유지정비료(25.02.23~26.02.22)</t>
    <phoneticPr fontId="2" type="noConversion"/>
  </si>
  <si>
    <t>씨원시스템</t>
    <phoneticPr fontId="2" type="noConversion"/>
  </si>
  <si>
    <t>2월 유지정비료 - 12/12회</t>
    <phoneticPr fontId="2" type="noConversion"/>
  </si>
  <si>
    <t>보안용역 월정료 2월분</t>
    <phoneticPr fontId="2" type="noConversion"/>
  </si>
  <si>
    <t>자동이체(2/11)</t>
    <phoneticPr fontId="2" type="noConversion"/>
  </si>
  <si>
    <t>2월 유지정비료 - 10/24회</t>
    <phoneticPr fontId="2" type="noConversion"/>
  </si>
  <si>
    <t>2월 유지정비료 - 7/13회</t>
    <phoneticPr fontId="2" type="noConversion"/>
  </si>
  <si>
    <t>1월 유지정비료 - 14/18회</t>
    <phoneticPr fontId="2" type="noConversion"/>
  </si>
  <si>
    <t>s-erp 1월사용분</t>
    <phoneticPr fontId="2" type="noConversion"/>
  </si>
  <si>
    <t>코오롱베니트</t>
    <phoneticPr fontId="2" type="noConversion"/>
  </si>
  <si>
    <t>전주교육대학교 2월 유지정비료 - 10/12회</t>
    <phoneticPr fontId="2" type="noConversion"/>
  </si>
  <si>
    <t>도시바일렉 2월 유지정비료 - 8/12회</t>
    <phoneticPr fontId="2" type="noConversion"/>
  </si>
  <si>
    <t>두원정공 2월 유지정비료 - 7/11회</t>
    <phoneticPr fontId="2" type="noConversion"/>
  </si>
  <si>
    <t>세원정공 2월 유지정비료 - 8/12회</t>
    <phoneticPr fontId="2" type="noConversion"/>
  </si>
  <si>
    <t>2월 유지정비료 - 6/13회</t>
    <phoneticPr fontId="2" type="noConversion"/>
  </si>
  <si>
    <t>키오시아(도시바) 2월 유지정비료 - 3/12회</t>
    <phoneticPr fontId="2" type="noConversion"/>
  </si>
  <si>
    <t>한미약품/한미사이언스 2월 유지정비료 - 2/12회</t>
    <phoneticPr fontId="2" type="noConversion"/>
  </si>
  <si>
    <t>대구텍 2월 유지정비료 - 2/6회</t>
    <phoneticPr fontId="2" type="noConversion"/>
  </si>
  <si>
    <t>2월 유지정비료 - 2/12회</t>
    <phoneticPr fontId="2" type="noConversion"/>
  </si>
  <si>
    <t>퀵서비스_전국화물</t>
  </si>
  <si>
    <t>1월 퀵운송료</t>
    <phoneticPr fontId="2" type="noConversion"/>
  </si>
  <si>
    <t>BoardSystem 유지보수 - 2월 (5/12회)</t>
    <phoneticPr fontId="2" type="noConversion"/>
  </si>
  <si>
    <t>M393B2G70QH0-CK0</t>
  </si>
  <si>
    <t>16GB PC3-12800R(2Rx4) Memory Dimm</t>
  </si>
  <si>
    <t>85Y6185</t>
  </si>
  <si>
    <t>300GB 15K 6G SAS 2.5inch Hard Drive</t>
  </si>
  <si>
    <t>티에스씨인포</t>
    <phoneticPr fontId="2" type="noConversion"/>
  </si>
  <si>
    <t>D250121-01</t>
    <phoneticPr fontId="2" type="noConversion"/>
  </si>
  <si>
    <t>2월 유지정비료 - 7/11회</t>
    <phoneticPr fontId="2" type="noConversion"/>
  </si>
  <si>
    <t>2월 유지정비료 - 6/12회</t>
    <phoneticPr fontId="2" type="noConversion"/>
  </si>
  <si>
    <t>와이케이케이 2월 유지정비료 - 2/12회</t>
    <phoneticPr fontId="2" type="noConversion"/>
  </si>
  <si>
    <t>성원제강 2월 유지정비료 - 23/36회</t>
    <phoneticPr fontId="2" type="noConversion"/>
  </si>
  <si>
    <t>교세라 2월 유지정비료 - 13/36회</t>
    <phoneticPr fontId="2" type="noConversion"/>
  </si>
  <si>
    <t>프레이저플레이스 2월 유지정비료 - 7/12회</t>
    <phoneticPr fontId="2" type="noConversion"/>
  </si>
  <si>
    <t>2월 유지정비료 - 8/12회</t>
    <phoneticPr fontId="2" type="noConversion"/>
  </si>
  <si>
    <t>한일전기 2월 유지정비료 - 26/36회</t>
    <phoneticPr fontId="2" type="noConversion"/>
  </si>
  <si>
    <t>문배철강 2월 유지정비료 - 23/36회</t>
    <phoneticPr fontId="2" type="noConversion"/>
  </si>
  <si>
    <t>대한상공회의소 2월 유지정비료 - 4/12회</t>
    <phoneticPr fontId="2" type="noConversion"/>
  </si>
  <si>
    <t>2월유지정비료 - 10/32회</t>
    <phoneticPr fontId="2" type="noConversion"/>
  </si>
  <si>
    <t>부국철강 2월 유지정비료 - 10/32 회</t>
    <phoneticPr fontId="2" type="noConversion"/>
  </si>
  <si>
    <t>부국철강 1월 유지정비료 - 9/32 회</t>
    <phoneticPr fontId="2" type="noConversion"/>
  </si>
  <si>
    <t>IK-24012</t>
    <phoneticPr fontId="2" type="noConversion"/>
  </si>
  <si>
    <t>한미약품 연간유지정비료</t>
    <phoneticPr fontId="2" type="noConversion"/>
  </si>
  <si>
    <t>연간-IBM</t>
    <phoneticPr fontId="2" type="noConversion"/>
  </si>
  <si>
    <t>1/31~</t>
    <phoneticPr fontId="2" type="noConversion"/>
  </si>
  <si>
    <t>매출월간</t>
    <phoneticPr fontId="2" type="noConversion"/>
  </si>
  <si>
    <t>청주시청 1월 유지정비료 - 17/36회</t>
    <phoneticPr fontId="2" type="noConversion"/>
  </si>
  <si>
    <t>정리</t>
    <phoneticPr fontId="2" type="noConversion"/>
  </si>
  <si>
    <t>SM_C25005</t>
    <phoneticPr fontId="2" type="noConversion"/>
  </si>
  <si>
    <t>WSU</t>
    <phoneticPr fontId="2" type="noConversion"/>
  </si>
  <si>
    <t>법인차량(262무2108) 리스료898,500
선납렌탈료 551,270 -33/37회차</t>
    <phoneticPr fontId="2" type="noConversion"/>
  </si>
  <si>
    <t>ZCXAPZ</t>
    <phoneticPr fontId="2" type="noConversion"/>
  </si>
  <si>
    <t xml:space="preserve"> TAHXA0200</t>
    <phoneticPr fontId="2" type="noConversion"/>
  </si>
  <si>
    <t>유티모스트아이엔에스</t>
    <phoneticPr fontId="2" type="noConversion"/>
  </si>
  <si>
    <t>반코리아</t>
    <phoneticPr fontId="2" type="noConversion"/>
  </si>
  <si>
    <t>대상정보기술 (24.05.25~26.03.31)</t>
    <phoneticPr fontId="2" type="noConversion"/>
  </si>
  <si>
    <t>TESEDI</t>
    <phoneticPr fontId="2" type="noConversion"/>
  </si>
  <si>
    <t>대구텍 연간유지정비료(24.12.28~29.12.27)</t>
    <phoneticPr fontId="2" type="noConversion"/>
  </si>
  <si>
    <t>SL-25006</t>
    <phoneticPr fontId="2" type="noConversion"/>
  </si>
  <si>
    <t>SL-25005</t>
    <phoneticPr fontId="2" type="noConversion"/>
  </si>
  <si>
    <t>SL-25004</t>
    <phoneticPr fontId="2" type="noConversion"/>
  </si>
  <si>
    <t>나일소프트 연간유지정비료 1Y</t>
    <phoneticPr fontId="2" type="noConversion"/>
  </si>
  <si>
    <t>SB-25010</t>
    <phoneticPr fontId="2" type="noConversion"/>
  </si>
  <si>
    <t>SL-25003</t>
    <phoneticPr fontId="2" type="noConversion"/>
  </si>
  <si>
    <t>SM-25003</t>
    <phoneticPr fontId="2" type="noConversion"/>
  </si>
  <si>
    <t>SL-25002</t>
    <phoneticPr fontId="2" type="noConversion"/>
  </si>
  <si>
    <t>SB-25008</t>
    <phoneticPr fontId="2" type="noConversion"/>
  </si>
  <si>
    <t>SM-25003</t>
    <phoneticPr fontId="2" type="noConversion"/>
  </si>
  <si>
    <t>SB-25007</t>
    <phoneticPr fontId="2" type="noConversion"/>
  </si>
  <si>
    <t>완료(2/10)</t>
    <phoneticPr fontId="2" type="noConversion"/>
  </si>
  <si>
    <t>소모품</t>
    <phoneticPr fontId="2" type="noConversion"/>
  </si>
  <si>
    <t>X</t>
    <phoneticPr fontId="2" type="noConversion"/>
  </si>
  <si>
    <t>컴퓨존</t>
    <phoneticPr fontId="2" type="noConversion"/>
  </si>
  <si>
    <t xml:space="preserve">LG전자 노트북 15U50S-G.AP7TL </t>
    <phoneticPr fontId="2" type="noConversion"/>
  </si>
  <si>
    <t>노트북</t>
    <phoneticPr fontId="2" type="noConversion"/>
  </si>
  <si>
    <t>상품</t>
    <phoneticPr fontId="2" type="noConversion"/>
  </si>
  <si>
    <t>S</t>
    <phoneticPr fontId="2" type="noConversion"/>
  </si>
  <si>
    <t>완료(2/10)</t>
    <phoneticPr fontId="2" type="noConversion"/>
  </si>
  <si>
    <t>완료(2/11)</t>
    <phoneticPr fontId="2" type="noConversion"/>
  </si>
  <si>
    <t>H250210-02</t>
    <phoneticPr fontId="2" type="noConversion"/>
  </si>
  <si>
    <t>UPS BATTERY</t>
  </si>
  <si>
    <t>APC UPS 2200 BATTERY</t>
  </si>
  <si>
    <t>하이엔드택스 양재지점</t>
    <phoneticPr fontId="2" type="noConversion"/>
  </si>
  <si>
    <t>ZXFJNS</t>
    <phoneticPr fontId="2" type="noConversion"/>
  </si>
  <si>
    <t>ZJREZL</t>
    <phoneticPr fontId="2" type="noConversion"/>
  </si>
  <si>
    <t>이룸에스앤앤</t>
    <phoneticPr fontId="2" type="noConversion"/>
  </si>
  <si>
    <t>매출연간</t>
    <phoneticPr fontId="2" type="noConversion"/>
  </si>
  <si>
    <t>코리아미카사 24년 1월 유지정비료 - 1/25회</t>
    <phoneticPr fontId="2" type="noConversion"/>
  </si>
  <si>
    <t>코리아미카사 24년 2월 유지정비료 - 2/25회</t>
    <phoneticPr fontId="2" type="noConversion"/>
  </si>
  <si>
    <t>코리아미카사 24년 3월 유지정비료 - 3/25회</t>
    <phoneticPr fontId="2" type="noConversion"/>
  </si>
  <si>
    <t>코리아미카사 24년 4월 유지정비료 - 4/25회</t>
    <phoneticPr fontId="2" type="noConversion"/>
  </si>
  <si>
    <t>코리아미카사 24년 5월 유지정비료 - 5/25회</t>
    <phoneticPr fontId="2" type="noConversion"/>
  </si>
  <si>
    <t>코리아미카사 24년 6월 유지정비료 - 6/25회</t>
    <phoneticPr fontId="2" type="noConversion"/>
  </si>
  <si>
    <t>코리아미카사 24년 7월 유지정비료 - 7/25회</t>
    <phoneticPr fontId="2" type="noConversion"/>
  </si>
  <si>
    <t>코리아미카사 24년 8월 유지정비료 - 8/25회</t>
    <phoneticPr fontId="2" type="noConversion"/>
  </si>
  <si>
    <t>코리아미카사 24년 9월 유지정비료 - 9/25회</t>
    <phoneticPr fontId="2" type="noConversion"/>
  </si>
  <si>
    <t>코리아미카사 24년 10월 유지정비료 - 10/25회</t>
    <phoneticPr fontId="2" type="noConversion"/>
  </si>
  <si>
    <t>코리아미카사 24년 11월 유지정비료 - 11/25회</t>
    <phoneticPr fontId="2" type="noConversion"/>
  </si>
  <si>
    <t>코리아미카사 25년 1월 유지정비료 - 13/25회</t>
    <phoneticPr fontId="2" type="noConversion"/>
  </si>
  <si>
    <t>코리아미카사 24년 12월 유지정비료 - 12/25회</t>
    <phoneticPr fontId="2" type="noConversion"/>
  </si>
  <si>
    <t>두원공조 연간유지정비료 5PS7A06785 Prem 1Y</t>
    <phoneticPr fontId="2" type="noConversion"/>
  </si>
  <si>
    <t>지인아이티</t>
    <phoneticPr fontId="2" type="noConversion"/>
  </si>
  <si>
    <t>(수정 2/10) 도킹형 C타입 2In1 고속 보조배터리</t>
    <phoneticPr fontId="2" type="noConversion"/>
  </si>
  <si>
    <t>환불(2/11)</t>
    <phoneticPr fontId="2" type="noConversion"/>
  </si>
  <si>
    <t>보조배터리10000M 외</t>
    <phoneticPr fontId="2" type="noConversion"/>
  </si>
  <si>
    <t>키오시아 1월 유지정비료 - 2/12회</t>
    <phoneticPr fontId="2" type="noConversion"/>
  </si>
  <si>
    <t>1월 유지정비료 - 2/12회</t>
    <phoneticPr fontId="2" type="noConversion"/>
  </si>
  <si>
    <t>1월 유지정비료 - 2/9회</t>
    <phoneticPr fontId="2" type="noConversion"/>
  </si>
  <si>
    <t>LG전자 노트북 15U50S-G.AP7TL</t>
    <phoneticPr fontId="2" type="noConversion"/>
  </si>
  <si>
    <t>노트북</t>
    <phoneticPr fontId="2" type="noConversion"/>
  </si>
  <si>
    <t>와이케이케이코리아 서울</t>
    <phoneticPr fontId="2" type="noConversion"/>
  </si>
  <si>
    <t>파이오링크 L4 1월 유지정비료 - 1/12회</t>
    <phoneticPr fontId="2" type="noConversion"/>
  </si>
  <si>
    <t>1월 오라클 유지정비료 - 1/12회</t>
    <phoneticPr fontId="2" type="noConversion"/>
  </si>
  <si>
    <t>롯데정보통신 1월 유지정비료 - 1/12회</t>
    <phoneticPr fontId="2" type="noConversion"/>
  </si>
  <si>
    <t>HB(에이치비)저축은행 1월 유지정비료 - 1/12회</t>
    <phoneticPr fontId="2" type="noConversion"/>
  </si>
  <si>
    <t>SL-25007</t>
    <phoneticPr fontId="2" type="noConversion"/>
  </si>
  <si>
    <t>SB-25011</t>
    <phoneticPr fontId="2" type="noConversion"/>
  </si>
  <si>
    <t>정리</t>
    <phoneticPr fontId="2" type="noConversion"/>
  </si>
  <si>
    <t>H250213-02</t>
    <phoneticPr fontId="2" type="noConversion"/>
  </si>
  <si>
    <t>USB Blocker</t>
  </si>
  <si>
    <t>[LINDY] 보안 커텍터, 추가구매용 USB 블록, LINDY-40460 10개 [레드/5 SET] / LINDY-40463 [오렌지/21 SET]</t>
  </si>
  <si>
    <t>완료(2/13)</t>
    <phoneticPr fontId="2" type="noConversion"/>
  </si>
  <si>
    <t>이비웨이브</t>
  </si>
  <si>
    <t>H250203-01</t>
    <phoneticPr fontId="2" type="noConversion"/>
  </si>
  <si>
    <t>80P3162</t>
  </si>
  <si>
    <t>73GB U320 15K 80Pin SCSI Hard Drive</t>
  </si>
  <si>
    <t>H250206-01</t>
  </si>
  <si>
    <t>H250206-02</t>
  </si>
  <si>
    <t>H250206-03</t>
  </si>
  <si>
    <t>H250207-01</t>
  </si>
  <si>
    <t>H250210-01</t>
  </si>
  <si>
    <t>46M0918</t>
  </si>
  <si>
    <t>SERVERAID M5014 RAID CONTROLLER</t>
  </si>
  <si>
    <t>46M0854</t>
  </si>
  <si>
    <t>SERVERAID M5025 SAS/SATA CONTROLLER</t>
  </si>
  <si>
    <t>81Y4451</t>
  </si>
  <si>
    <t>IBM Serveraid M5000 Battery Kit</t>
  </si>
  <si>
    <t>01LJ786</t>
  </si>
  <si>
    <t>IBM 900GB 10K RPM 12Gbps 2.5" SAS HDD</t>
  </si>
  <si>
    <t>1P7DP</t>
  </si>
  <si>
    <t>2TB 7.2K 6G SAS 3.5inch Hard Drive</t>
  </si>
  <si>
    <t>인코어</t>
  </si>
  <si>
    <t>H250211-01</t>
  </si>
  <si>
    <t>H250212-01</t>
  </si>
  <si>
    <t>01KR355</t>
  </si>
  <si>
    <t>Lenovo 32GB PC4-23400V DDR4-2933 2RX4 ECC RDIMM Server Memory</t>
  </si>
  <si>
    <t>H250213-01</t>
    <phoneticPr fontId="2" type="noConversion"/>
  </si>
  <si>
    <t>케이엠디엠</t>
    <phoneticPr fontId="2" type="noConversion"/>
  </si>
  <si>
    <t>Lenovo ThinkSystem DE Series 8TB 7.2K 3.5" HDD 2U12</t>
    <phoneticPr fontId="2" type="noConversion"/>
  </si>
  <si>
    <t>케이엠디엠(대한지방행정공제회)</t>
    <phoneticPr fontId="2" type="noConversion"/>
  </si>
  <si>
    <t>SM-24017</t>
    <phoneticPr fontId="2" type="noConversion"/>
  </si>
  <si>
    <t>항공우주산업HW (25.01.01~06.30) 6,7/9회</t>
    <phoneticPr fontId="2" type="noConversion"/>
  </si>
  <si>
    <t>항공우주산업HW (25.07.01~12.31)8,9/9회</t>
    <phoneticPr fontId="2" type="noConversion"/>
  </si>
  <si>
    <t>H250214-01</t>
    <phoneticPr fontId="2" type="noConversion"/>
  </si>
  <si>
    <t>준아이앤씨(흥국화재)</t>
    <phoneticPr fontId="2" type="noConversion"/>
  </si>
  <si>
    <t>00YK025</t>
  </si>
  <si>
    <t>헬프유</t>
    <phoneticPr fontId="2" type="noConversion"/>
  </si>
  <si>
    <t>헬프유</t>
    <phoneticPr fontId="2" type="noConversion"/>
  </si>
  <si>
    <t xml:space="preserve">원격지원 프로그램 - 헬프유 1+2계정 - 1년 </t>
    <phoneticPr fontId="2" type="noConversion"/>
  </si>
  <si>
    <t>완료(2/15)</t>
    <phoneticPr fontId="2" type="noConversion"/>
  </si>
  <si>
    <t>메타넷디지털 24년 4월 - 1/21회</t>
    <phoneticPr fontId="2" type="noConversion"/>
  </si>
  <si>
    <t>메타넷디지털 24년 5월 - 2/21회</t>
    <phoneticPr fontId="2" type="noConversion"/>
  </si>
  <si>
    <t>메타넷디지털 24년 6월 - 3/21회</t>
    <phoneticPr fontId="2" type="noConversion"/>
  </si>
  <si>
    <t>메타넷디지털 24년 7월 - 4/21회</t>
    <phoneticPr fontId="2" type="noConversion"/>
  </si>
  <si>
    <t>메타넷디지털 24년 8월 - 5/21회</t>
    <phoneticPr fontId="2" type="noConversion"/>
  </si>
  <si>
    <t>메타넷디지털 24년 9월 - 6/21회</t>
    <phoneticPr fontId="2" type="noConversion"/>
  </si>
  <si>
    <t>메타넷디지털 24년 10월 - 7/21회</t>
    <phoneticPr fontId="2" type="noConversion"/>
  </si>
  <si>
    <t>메타넷디지털 24년 11월 - 8/21회</t>
    <phoneticPr fontId="2" type="noConversion"/>
  </si>
  <si>
    <t>메타넷디지털 24년 12월 - 9/21회</t>
    <phoneticPr fontId="2" type="noConversion"/>
  </si>
  <si>
    <t>메타넷디지털 25년 1월 - 10/21회</t>
    <phoneticPr fontId="2" type="noConversion"/>
  </si>
  <si>
    <t>메타넷디지털 25년 2월 - 11/21회</t>
    <phoneticPr fontId="2" type="noConversion"/>
  </si>
  <si>
    <t>ZL9ADS</t>
    <phoneticPr fontId="2" type="noConversion"/>
  </si>
  <si>
    <t>LG AI 1월 유지정비료 - 1/12회</t>
    <phoneticPr fontId="2" type="noConversion"/>
  </si>
  <si>
    <t>장금상선</t>
    <phoneticPr fontId="2" type="noConversion"/>
  </si>
  <si>
    <t>2월 유지정비료 - 1/11회</t>
    <phoneticPr fontId="2" type="noConversion"/>
  </si>
  <si>
    <t>엘지생활건강 청주공장 2월 유지정비료 - 1/12회</t>
    <phoneticPr fontId="2" type="noConversion"/>
  </si>
  <si>
    <t>Y250203-01</t>
    <phoneticPr fontId="2" type="noConversion"/>
  </si>
  <si>
    <t>에스엠티정보기술</t>
    <phoneticPr fontId="2" type="noConversion"/>
  </si>
  <si>
    <t>2/13신한카드</t>
    <phoneticPr fontId="2" type="noConversion"/>
  </si>
  <si>
    <t>TruScale SM202400911-001-4</t>
    <phoneticPr fontId="2" type="noConversion"/>
  </si>
  <si>
    <t>매출연간</t>
    <phoneticPr fontId="2" type="noConversion"/>
  </si>
  <si>
    <t>2월 유지정비료 - 17/36회</t>
    <phoneticPr fontId="2" type="noConversion"/>
  </si>
  <si>
    <t>2024년 NCSC 사이버센터 고도화 사업 2월 유지정비료-4/5회</t>
    <phoneticPr fontId="2" type="noConversion"/>
  </si>
  <si>
    <t>BAT 통합 유지보수 2월분 - 2/12회</t>
    <phoneticPr fontId="2" type="noConversion"/>
  </si>
  <si>
    <t>안국약품 2월 기술지원료 - 2회</t>
    <phoneticPr fontId="2" type="noConversion"/>
  </si>
  <si>
    <t>2월분 SIOS Lifekeeper 유지보수료 - 1/12회</t>
    <phoneticPr fontId="2" type="noConversion"/>
  </si>
  <si>
    <t>파이오링크 L4 2월 유지정비료 - 2회</t>
    <phoneticPr fontId="2" type="noConversion"/>
  </si>
  <si>
    <t>메일호스팅 2월 - 7/12회</t>
    <phoneticPr fontId="2" type="noConversion"/>
  </si>
  <si>
    <t>2월 유지정비료 - 7/12회</t>
    <phoneticPr fontId="2" type="noConversion"/>
  </si>
  <si>
    <t>청주시청 2월 유지정비료 - 18/36회</t>
    <phoneticPr fontId="2" type="noConversion"/>
  </si>
  <si>
    <t>키오시아 2월 유지정비료 - 3/12회</t>
    <phoneticPr fontId="2" type="noConversion"/>
  </si>
  <si>
    <t>2월 유지정비료 - 3/12회</t>
    <phoneticPr fontId="2" type="noConversion"/>
  </si>
  <si>
    <t>2월 유지정비료 - 3/9회</t>
    <phoneticPr fontId="2" type="noConversion"/>
  </si>
  <si>
    <t>1~2월 유지정비료 - 1,2/12회</t>
    <phoneticPr fontId="2" type="noConversion"/>
  </si>
  <si>
    <t>2월 청소비</t>
    <phoneticPr fontId="2" type="noConversion"/>
  </si>
  <si>
    <t>완료(1/26법카)</t>
    <phoneticPr fontId="2" type="noConversion"/>
  </si>
  <si>
    <t>완료(2/26법카)</t>
    <phoneticPr fontId="2" type="noConversion"/>
  </si>
  <si>
    <t>컴퓨존</t>
    <phoneticPr fontId="2" type="noConversion"/>
  </si>
  <si>
    <t>완료(2/18)</t>
    <phoneticPr fontId="2" type="noConversion"/>
  </si>
  <si>
    <t>H250123-01</t>
    <phoneticPr fontId="2" type="noConversion"/>
  </si>
  <si>
    <t>SL-25008</t>
  </si>
  <si>
    <t>WSU</t>
    <phoneticPr fontId="2" type="noConversion"/>
  </si>
  <si>
    <t>애플코리아 5Y WSU</t>
    <phoneticPr fontId="2" type="noConversion"/>
  </si>
  <si>
    <t>완료(2/20)</t>
    <phoneticPr fontId="2" type="noConversion"/>
  </si>
  <si>
    <t>라온피플</t>
    <phoneticPr fontId="2" type="noConversion"/>
  </si>
  <si>
    <t>상품</t>
    <phoneticPr fontId="2" type="noConversion"/>
  </si>
  <si>
    <t>케이블</t>
    <phoneticPr fontId="2" type="noConversion"/>
  </si>
  <si>
    <t>DisplayPort 1.2 to HDMI 1.4 변환케이블 1.8m</t>
    <phoneticPr fontId="2" type="noConversion"/>
  </si>
  <si>
    <t>Y250220-01</t>
    <phoneticPr fontId="2" type="noConversion"/>
  </si>
  <si>
    <t>무상지원</t>
    <phoneticPr fontId="2" type="noConversion"/>
  </si>
  <si>
    <t>공유기</t>
    <phoneticPr fontId="2" type="noConversion"/>
  </si>
  <si>
    <t>ipTIME A604SE</t>
    <phoneticPr fontId="2" type="noConversion"/>
  </si>
  <si>
    <t>D250217-01</t>
    <phoneticPr fontId="2" type="noConversion"/>
  </si>
  <si>
    <t>위퍼스트</t>
    <phoneticPr fontId="2" type="noConversion"/>
  </si>
  <si>
    <t>00YG670</t>
  </si>
  <si>
    <t>Lenovo 6TB 7.2K SAS 3.5" HDD For DS4200[Used]</t>
  </si>
  <si>
    <t>상품</t>
    <phoneticPr fontId="2" type="noConversion"/>
  </si>
  <si>
    <t>아이엘에스</t>
    <phoneticPr fontId="2" type="noConversion"/>
  </si>
  <si>
    <t>SM_C25008</t>
    <phoneticPr fontId="2" type="noConversion"/>
  </si>
  <si>
    <t>5WS7C03244 1Yr Post Wty Premier 24x7 4Hr Resp</t>
    <phoneticPr fontId="2" type="noConversion"/>
  </si>
  <si>
    <t>SM_C25006</t>
    <phoneticPr fontId="2" type="noConversion"/>
  </si>
  <si>
    <t>SM_C25007</t>
    <phoneticPr fontId="2" type="noConversion"/>
  </si>
  <si>
    <t>2월 유지정비료 - 1/12회</t>
    <phoneticPr fontId="2" type="noConversion"/>
  </si>
  <si>
    <t>2월 차량렌트(xm3 4429)-26/37회</t>
    <phoneticPr fontId="2" type="noConversion"/>
  </si>
  <si>
    <t>2월 선급금(xm3 4429)-26/37회</t>
    <phoneticPr fontId="2" type="noConversion"/>
  </si>
  <si>
    <t>2월 차량렌트(그랜저 8552)-35/49회</t>
    <phoneticPr fontId="2" type="noConversion"/>
  </si>
  <si>
    <t>2월 선급금(그랜저 8552)-35/49회</t>
    <phoneticPr fontId="2" type="noConversion"/>
  </si>
  <si>
    <t>2월 차량렌트(G80 3061)-35/49회</t>
    <phoneticPr fontId="2" type="noConversion"/>
  </si>
  <si>
    <t>2월 선급금(G80 3061)-35/49회</t>
    <phoneticPr fontId="2" type="noConversion"/>
  </si>
  <si>
    <t>자동이체(2/25)</t>
    <phoneticPr fontId="2" type="noConversion"/>
  </si>
  <si>
    <t>TruScale SM20220628-002-28</t>
    <phoneticPr fontId="2" type="noConversion"/>
  </si>
  <si>
    <t>SM_C25004</t>
    <phoneticPr fontId="2" type="noConversion"/>
  </si>
  <si>
    <t>SB-25006</t>
    <phoneticPr fontId="2" type="noConversion"/>
  </si>
  <si>
    <t>완료(2/25)</t>
    <phoneticPr fontId="2" type="noConversion"/>
  </si>
  <si>
    <t>소프트아이텍(건국대병원)</t>
    <phoneticPr fontId="2" type="noConversion"/>
  </si>
  <si>
    <t>와이젠</t>
    <phoneticPr fontId="2" type="noConversion"/>
  </si>
  <si>
    <t>매출월간</t>
    <phoneticPr fontId="2" type="noConversion"/>
  </si>
  <si>
    <t>2/28~</t>
    <phoneticPr fontId="2" type="noConversion"/>
  </si>
  <si>
    <t>SB-25013</t>
    <phoneticPr fontId="2" type="noConversion"/>
  </si>
  <si>
    <t>SM-25006</t>
    <phoneticPr fontId="2" type="noConversion"/>
  </si>
  <si>
    <t>아이젝스</t>
    <phoneticPr fontId="2" type="noConversion"/>
  </si>
  <si>
    <t>BAT사천</t>
    <phoneticPr fontId="2" type="noConversion"/>
  </si>
  <si>
    <t>연간</t>
    <phoneticPr fontId="2" type="noConversion"/>
  </si>
  <si>
    <t>완료(2/27)</t>
    <phoneticPr fontId="2" type="noConversion"/>
  </si>
  <si>
    <t>월간-DCSS</t>
    <phoneticPr fontId="2" type="noConversion"/>
  </si>
  <si>
    <t>한미약품 2월 유지정비료 - 1/11회</t>
    <phoneticPr fontId="2" type="noConversion"/>
  </si>
  <si>
    <t>교보문고 2월 유지정비료 - 1/11회</t>
    <phoneticPr fontId="2" type="noConversion"/>
  </si>
  <si>
    <t>현대하이카 2월 유지정비료 - 1/11회</t>
    <phoneticPr fontId="2" type="noConversion"/>
  </si>
  <si>
    <t>지비에쓰시스템</t>
    <phoneticPr fontId="2" type="noConversion"/>
  </si>
  <si>
    <t xml:space="preserve"> ZAVPY3</t>
    <phoneticPr fontId="2" type="noConversion"/>
  </si>
  <si>
    <t>01LJ207</t>
  </si>
  <si>
    <t>IBM 32GB DDR4 DIMM For Elastic Storage System</t>
  </si>
  <si>
    <t>디씨에스에스테크놀러지코리아</t>
  </si>
  <si>
    <t>상품</t>
    <phoneticPr fontId="2" type="noConversion"/>
  </si>
  <si>
    <t>리더스시스템즈</t>
    <phoneticPr fontId="2" type="noConversion"/>
  </si>
  <si>
    <t>D250224-01</t>
    <phoneticPr fontId="2" type="noConversion"/>
  </si>
  <si>
    <t>B동 1201호 2월 관리비 -면세분</t>
    <phoneticPr fontId="2" type="noConversion"/>
  </si>
  <si>
    <t>B동 1201호 2월 관리비 -과세분</t>
    <phoneticPr fontId="2" type="noConversion"/>
  </si>
  <si>
    <t>2월 오라클 유지정비료 - 2/12회</t>
    <phoneticPr fontId="2" type="noConversion"/>
  </si>
  <si>
    <t>1월 오라클 유지정비료 - 1/12회 부족분</t>
    <phoneticPr fontId="2" type="noConversion"/>
  </si>
  <si>
    <t>2월 기장료</t>
    <phoneticPr fontId="2" type="noConversion"/>
  </si>
  <si>
    <t>기업(구내) 2월 인터넷 사용료</t>
    <phoneticPr fontId="2" type="noConversion"/>
  </si>
  <si>
    <t>자동이체(25/3/10)</t>
    <phoneticPr fontId="2" type="noConversion"/>
  </si>
  <si>
    <t>dell 서버 기술지원</t>
    <phoneticPr fontId="2" type="noConversion"/>
  </si>
  <si>
    <t>CGV통합 MA (25.01.01 ~ 25.12.31)</t>
    <phoneticPr fontId="2" type="noConversion"/>
  </si>
  <si>
    <t>안국약품 기술지원 (1~6월)</t>
    <phoneticPr fontId="2" type="noConversion"/>
  </si>
  <si>
    <t>에이치인포</t>
    <phoneticPr fontId="2" type="noConversion"/>
  </si>
  <si>
    <t>케이씨에스</t>
    <phoneticPr fontId="2" type="noConversion"/>
  </si>
  <si>
    <t>서원정보</t>
    <phoneticPr fontId="2" type="noConversion"/>
  </si>
  <si>
    <t>데이타메트렉스</t>
    <phoneticPr fontId="2" type="noConversion"/>
  </si>
  <si>
    <t>신세계 24년 연간 기술지원</t>
    <phoneticPr fontId="2" type="noConversion"/>
  </si>
  <si>
    <t>반기</t>
    <phoneticPr fontId="2" type="noConversion"/>
  </si>
  <si>
    <t>유니원아이앤씨</t>
    <phoneticPr fontId="2" type="noConversion"/>
  </si>
  <si>
    <t>예금보험공사 HW 추가분 기술지원</t>
    <phoneticPr fontId="2" type="noConversion"/>
  </si>
  <si>
    <t>대한지방행정공제회 기술지원(24.9~25.8)</t>
    <phoneticPr fontId="2" type="noConversion"/>
  </si>
  <si>
    <t>S241223</t>
    <phoneticPr fontId="2" type="noConversion"/>
  </si>
  <si>
    <t>기술지원</t>
    <phoneticPr fontId="2" type="noConversion"/>
  </si>
  <si>
    <t>SM-25003</t>
    <phoneticPr fontId="2" type="noConversion"/>
  </si>
  <si>
    <t>씨제이씨지브이 통합</t>
    <phoneticPr fontId="2" type="noConversion"/>
  </si>
  <si>
    <t>연간</t>
    <phoneticPr fontId="2" type="noConversion"/>
  </si>
  <si>
    <t>S</t>
    <phoneticPr fontId="2" type="noConversion"/>
  </si>
  <si>
    <t>24년3,6,9,12월</t>
    <phoneticPr fontId="2" type="noConversion"/>
  </si>
  <si>
    <t>SL-23014</t>
    <phoneticPr fontId="2" type="noConversion"/>
  </si>
  <si>
    <t>2024년 한국항공우주산업 HX5520 연간 기술지원</t>
    <phoneticPr fontId="2" type="noConversion"/>
  </si>
  <si>
    <t>24/6~25/5</t>
    <phoneticPr fontId="2" type="noConversion"/>
  </si>
  <si>
    <t>하이마트 24.7~12</t>
    <phoneticPr fontId="2" type="noConversion"/>
  </si>
  <si>
    <t>24/6~24/12</t>
    <phoneticPr fontId="2" type="noConversion"/>
  </si>
  <si>
    <t>24/1~12/12</t>
    <phoneticPr fontId="2" type="noConversion"/>
  </si>
  <si>
    <t>SB-24030</t>
    <phoneticPr fontId="2" type="noConversion"/>
  </si>
  <si>
    <t>SB-24031</t>
    <phoneticPr fontId="2" type="noConversion"/>
  </si>
  <si>
    <t>SB-23053</t>
    <phoneticPr fontId="2" type="noConversion"/>
  </si>
  <si>
    <t>SB-25007</t>
    <phoneticPr fontId="2" type="noConversion"/>
  </si>
  <si>
    <t>1/31~6/30</t>
    <phoneticPr fontId="2" type="noConversion"/>
  </si>
  <si>
    <t>SBS 25.01~06 기술지원</t>
    <phoneticPr fontId="2" type="noConversion"/>
  </si>
  <si>
    <t>코클리어 2월 유지정비료 - 11/30회</t>
    <phoneticPr fontId="2" type="noConversion"/>
  </si>
  <si>
    <t>한림대학교HW 2월 유지정비료 - 21/21회</t>
    <phoneticPr fontId="2" type="noConversion"/>
  </si>
  <si>
    <t>이녹스 2월 유지정비료 - 9/12회</t>
    <phoneticPr fontId="2" type="noConversion"/>
  </si>
  <si>
    <t>초록어린이재단 2월 유지정비료 - 8/12회</t>
    <phoneticPr fontId="2" type="noConversion"/>
  </si>
  <si>
    <t>국립농업과학원 - 2월유지정비료 - 14/24회</t>
    <phoneticPr fontId="2" type="noConversion"/>
  </si>
  <si>
    <t>신세계 아이앤씨 2월 유지정비료 - 25/46회</t>
    <phoneticPr fontId="2" type="noConversion"/>
  </si>
  <si>
    <t>애플코리아 #2 25년 2월 유지정비료 - 32/69회</t>
    <phoneticPr fontId="2" type="noConversion"/>
  </si>
  <si>
    <t>서울디자인재단 2월유지정비료 - 2/12회</t>
    <phoneticPr fontId="2" type="noConversion"/>
  </si>
  <si>
    <t>동두천드림파워 2월 유지정비료 - 26/36회</t>
    <phoneticPr fontId="2" type="noConversion"/>
  </si>
  <si>
    <t>산업은행 2월 유지정비료 - 26/36회</t>
    <phoneticPr fontId="2" type="noConversion"/>
  </si>
  <si>
    <t>탑텍 2월 유지정비료 - 11/12회</t>
    <phoneticPr fontId="2" type="noConversion"/>
  </si>
  <si>
    <t>태강대부 HW 2월유지정비료 - 12/12회</t>
    <phoneticPr fontId="2" type="noConversion"/>
  </si>
  <si>
    <t>엘지유플러스(LG U+) 2월 유지정비료 - 15/37회</t>
    <phoneticPr fontId="2" type="noConversion"/>
  </si>
  <si>
    <t>2월 유지정비료 - 15/18회</t>
    <phoneticPr fontId="2" type="noConversion"/>
  </si>
  <si>
    <t>한림대학교 추가 2월 유지정비료 - 20/20회</t>
    <phoneticPr fontId="2" type="noConversion"/>
  </si>
  <si>
    <t>국립기상과학원 2월 유지정비료-추가 9/12회</t>
    <phoneticPr fontId="2" type="noConversion"/>
  </si>
  <si>
    <t>2월유지정비료 - 8/12회</t>
    <phoneticPr fontId="2" type="noConversion"/>
  </si>
  <si>
    <t>동국대학교 중앙도서관 2월 유지정비료 - 12/12회</t>
    <phoneticPr fontId="2" type="noConversion"/>
  </si>
  <si>
    <t>한림성심대학교 2월 유지정비료 14/14회</t>
    <phoneticPr fontId="2" type="noConversion"/>
  </si>
  <si>
    <t>롯데하이마트 2월 유지정비료 - 9/13회</t>
    <phoneticPr fontId="2" type="noConversion"/>
  </si>
  <si>
    <t>외교부 2월 유지정비료 - 9/12회</t>
    <phoneticPr fontId="2" type="noConversion"/>
  </si>
  <si>
    <t>호원대학교 2월 유지정비료 - 9/13회</t>
    <phoneticPr fontId="2" type="noConversion"/>
  </si>
  <si>
    <t>2월 유지정비료 - 9/13회</t>
    <phoneticPr fontId="2" type="noConversion"/>
  </si>
  <si>
    <t>안동CGV 2월 유지정비료 - 12/13회</t>
    <phoneticPr fontId="2" type="noConversion"/>
  </si>
  <si>
    <t>전주교육대학교 2월 유지정비료 - 12/12회</t>
    <phoneticPr fontId="2" type="noConversion"/>
  </si>
  <si>
    <t>LX홀딩스 2월 유지정비료 - 8/12회</t>
    <phoneticPr fontId="2" type="noConversion"/>
  </si>
  <si>
    <t>경북소방본부 2월 유지정비료 - 9/12회</t>
    <phoneticPr fontId="2" type="noConversion"/>
  </si>
  <si>
    <t>대한산업보건협회 2월 유지정비료 - 10/12회</t>
    <phoneticPr fontId="2" type="noConversion"/>
  </si>
  <si>
    <t>DB생명 2월 유지정비료 - 8/9회</t>
    <phoneticPr fontId="2" type="noConversion"/>
  </si>
  <si>
    <t>WPP 2월 유지정비료 - 10/11회</t>
    <phoneticPr fontId="2" type="noConversion"/>
  </si>
  <si>
    <t>안국약품 1월 유지정비료 - 1/12회</t>
    <phoneticPr fontId="2" type="noConversion"/>
  </si>
  <si>
    <t>법무법인원</t>
    <phoneticPr fontId="2" type="noConversion"/>
  </si>
  <si>
    <t>완료(2/28)</t>
    <phoneticPr fontId="2" type="noConversion"/>
  </si>
  <si>
    <t>완료(2/28)</t>
    <phoneticPr fontId="2" type="noConversion"/>
  </si>
  <si>
    <t>3월 유지정비료 - 10/12회</t>
    <phoneticPr fontId="2" type="noConversion"/>
  </si>
  <si>
    <t>보안용역 월정료 3월분</t>
    <phoneticPr fontId="2" type="noConversion"/>
  </si>
  <si>
    <t>자동이체(3/11)</t>
    <phoneticPr fontId="2" type="noConversion"/>
  </si>
  <si>
    <t>LG AI 2월 유지정비료 - 2/12회</t>
    <phoneticPr fontId="2" type="noConversion"/>
  </si>
  <si>
    <t>이원(E1)컨테이너터미널 2월 유지정비료 2/12회</t>
    <phoneticPr fontId="2" type="noConversion"/>
  </si>
  <si>
    <t>피에스케이(PSK) 2월 유지정비료 - 2/17회</t>
    <phoneticPr fontId="2" type="noConversion"/>
  </si>
  <si>
    <t>삼성전자 2월분 - 4/13회</t>
    <phoneticPr fontId="2" type="noConversion"/>
  </si>
  <si>
    <t>SK실트론 2월 유지정비료 2/12회</t>
    <phoneticPr fontId="2" type="noConversion"/>
  </si>
  <si>
    <t>중국광대은행 2월 유지정비료 - 3/12회</t>
    <phoneticPr fontId="2" type="noConversion"/>
  </si>
  <si>
    <t>2월 유지정비료 - 2/13회</t>
    <phoneticPr fontId="2" type="noConversion"/>
  </si>
  <si>
    <t>SBS 2월 유지정비료 - 2/12회</t>
    <phoneticPr fontId="2" type="noConversion"/>
  </si>
  <si>
    <t>코리아미카사 25년 2월 유지정비료 - 14/25회</t>
    <phoneticPr fontId="2" type="noConversion"/>
  </si>
  <si>
    <t>이원(E1)컨테이너터미널 2월 유지정비료 - 2/12회</t>
    <phoneticPr fontId="2" type="noConversion"/>
  </si>
  <si>
    <t>롯데정보통신 2월 유지정비료 - 2/12회</t>
    <phoneticPr fontId="2" type="noConversion"/>
  </si>
  <si>
    <t>삼성중공업 2월 유지정비료 - 2/12회</t>
    <phoneticPr fontId="2" type="noConversion"/>
  </si>
  <si>
    <t>한우리아이티 2월 유지정비료 - 2/7회</t>
    <phoneticPr fontId="2" type="noConversion"/>
  </si>
  <si>
    <t>신성통상 2월 유지정비료 - 3/12회</t>
    <phoneticPr fontId="2" type="noConversion"/>
  </si>
  <si>
    <t>포스코 2월 유지정비료 - 5/15회</t>
    <phoneticPr fontId="2" type="noConversion"/>
  </si>
  <si>
    <t>유아이티 2월 유지정비료 - 5/13회</t>
    <phoneticPr fontId="2" type="noConversion"/>
  </si>
  <si>
    <t>안산시청 2월 유지정비료 - 2/24회</t>
    <phoneticPr fontId="2" type="noConversion"/>
  </si>
  <si>
    <t>SB-24053</t>
  </si>
  <si>
    <t>Z5LOLW</t>
  </si>
  <si>
    <t>SB-25009</t>
  </si>
  <si>
    <t>ZPXA6W</t>
  </si>
  <si>
    <t>대동도어 2월(11~28일) 유지정비료 - 1/13회</t>
    <phoneticPr fontId="2" type="noConversion"/>
  </si>
  <si>
    <t>안국약품 2월 유지정비료 - 2/12회</t>
    <phoneticPr fontId="2" type="noConversion"/>
  </si>
  <si>
    <t>HB(에이치비)저축은행 2월 유지정비료 - 2/12회</t>
    <phoneticPr fontId="2" type="noConversion"/>
  </si>
  <si>
    <t>웰컴저축은행 2월 유지정비료 - 7/12회</t>
    <phoneticPr fontId="2" type="noConversion"/>
  </si>
  <si>
    <t>포스코 2월 유지정비료 - 4/14회</t>
    <phoneticPr fontId="2" type="noConversion"/>
  </si>
  <si>
    <t>2월 유지정비료 - 3/18회</t>
    <phoneticPr fontId="2" type="noConversion"/>
  </si>
  <si>
    <t>한림대 2월 유지정비료 - 6/6회</t>
    <phoneticPr fontId="2" type="noConversion"/>
  </si>
  <si>
    <t>삼성중공업 2월 유지정비료 - 6/16회</t>
    <phoneticPr fontId="2" type="noConversion"/>
  </si>
  <si>
    <t>2월 유지정비료 - 5/13회</t>
    <phoneticPr fontId="2" type="noConversion"/>
  </si>
  <si>
    <t>한우리아이티 HW 2월 유지정비료 - 7/13회</t>
    <phoneticPr fontId="2" type="noConversion"/>
  </si>
  <si>
    <t>일반경비</t>
    <phoneticPr fontId="2" type="noConversion"/>
  </si>
  <si>
    <t>대표이사 주소변경 등기수수료</t>
    <phoneticPr fontId="2" type="noConversion"/>
  </si>
  <si>
    <t>X</t>
    <phoneticPr fontId="2" type="noConversion"/>
  </si>
  <si>
    <t>상품</t>
    <phoneticPr fontId="2" type="noConversion"/>
  </si>
  <si>
    <t>[LINDY] 보안 커텍터, 추가구매용 USB 블록, LINDY-40460 20개 [레드/10 SET] / LINDY-40463 [오렌지/10 SET] 외</t>
    <phoneticPr fontId="2" type="noConversion"/>
  </si>
  <si>
    <t>H250227-03</t>
    <phoneticPr fontId="2" type="noConversion"/>
  </si>
  <si>
    <t>거래처 경조 화환 - 4건</t>
    <phoneticPr fontId="2" type="noConversion"/>
  </si>
  <si>
    <t>삼표시멘트 1월 유지정비료 1/12회</t>
    <phoneticPr fontId="2" type="noConversion"/>
  </si>
  <si>
    <t>삼표시멘트 2월 유지정비료 2/12회</t>
    <phoneticPr fontId="2" type="noConversion"/>
  </si>
  <si>
    <t>로젠택배 2월 택배비</t>
    <phoneticPr fontId="2" type="noConversion"/>
  </si>
  <si>
    <t>청주시청 1월 유지정비료 - 1/20회 추가</t>
    <phoneticPr fontId="2" type="noConversion"/>
  </si>
  <si>
    <t>청주시청 2월 유지정비료 - 2/20회 추가</t>
    <phoneticPr fontId="2" type="noConversion"/>
  </si>
  <si>
    <t>BoardSystem 유지보수 - 3월 (6/12회)</t>
    <phoneticPr fontId="2" type="noConversion"/>
  </si>
  <si>
    <t>정리</t>
    <phoneticPr fontId="2" type="noConversion"/>
  </si>
  <si>
    <t>3월 유지정비료 - 11/24회</t>
    <phoneticPr fontId="2" type="noConversion"/>
  </si>
  <si>
    <t>s-erp 2월사용분</t>
    <phoneticPr fontId="2" type="noConversion"/>
  </si>
  <si>
    <t>자동이체(3/10)</t>
    <phoneticPr fontId="2" type="noConversion"/>
  </si>
  <si>
    <t>엘지생활건강 청주공장 3월 유지정비료 - 2/12회</t>
    <phoneticPr fontId="2" type="noConversion"/>
  </si>
  <si>
    <t>3월 유지정비료 - 1/12회</t>
    <phoneticPr fontId="2" type="noConversion"/>
  </si>
  <si>
    <t>3월 유지정비료 - 8/13회</t>
    <phoneticPr fontId="2" type="noConversion"/>
  </si>
  <si>
    <t>3월 유지정비료 - 3/12회</t>
    <phoneticPr fontId="2" type="noConversion"/>
  </si>
  <si>
    <t>청주시청 3월 유지정비료 - 3/20회 추가</t>
    <phoneticPr fontId="2" type="noConversion"/>
  </si>
  <si>
    <t>전주교육대학교 3월 유지정비료 - 11/12회</t>
    <phoneticPr fontId="2" type="noConversion"/>
  </si>
  <si>
    <t>청주시청 3월 유지정비료 - 19/36회</t>
    <phoneticPr fontId="2" type="noConversion"/>
  </si>
  <si>
    <t>도시바일렉 3월 유지정비료 - 9/12회</t>
    <phoneticPr fontId="2" type="noConversion"/>
  </si>
  <si>
    <t>두원정공 3월 유지정비료 - 8/11회</t>
    <phoneticPr fontId="2" type="noConversion"/>
  </si>
  <si>
    <t>세원정공 3월 유지정비료 - 9/12회</t>
    <phoneticPr fontId="2" type="noConversion"/>
  </si>
  <si>
    <t>3월 유지정비료 - 7/13회</t>
    <phoneticPr fontId="2" type="noConversion"/>
  </si>
  <si>
    <t>키오시아(도시바) 3월 유지정비료 - 4/12회</t>
    <phoneticPr fontId="2" type="noConversion"/>
  </si>
  <si>
    <t>한미약품/한미사이언스 3월 유지정비료 - 3/12회</t>
    <phoneticPr fontId="2" type="noConversion"/>
  </si>
  <si>
    <t>대구텍 3월 유지정비료 - 3/6회</t>
    <phoneticPr fontId="2" type="noConversion"/>
  </si>
  <si>
    <t>3월 유지정비료 - 8/11회</t>
    <phoneticPr fontId="2" type="noConversion"/>
  </si>
  <si>
    <t>부국철강 3월 유지정비료 - 11/32 회</t>
    <phoneticPr fontId="2" type="noConversion"/>
  </si>
  <si>
    <t>3월유지정비료 - 11/32회</t>
    <phoneticPr fontId="2" type="noConversion"/>
  </si>
  <si>
    <t>완료(3/4)</t>
    <phoneticPr fontId="2" type="noConversion"/>
  </si>
  <si>
    <t>TAHXA0203</t>
    <phoneticPr fontId="2" type="noConversion"/>
  </si>
  <si>
    <t>2월 퀵운송료</t>
    <phoneticPr fontId="2" type="noConversion"/>
  </si>
  <si>
    <t>H250227-02</t>
    <phoneticPr fontId="2" type="noConversion"/>
  </si>
  <si>
    <t>포테크</t>
    <phoneticPr fontId="2" type="noConversion"/>
  </si>
  <si>
    <t>785410-001</t>
  </si>
  <si>
    <t>HP 300GB 12G SAS 10K 2.5 SC ENT HDD</t>
  </si>
  <si>
    <t xml:space="preserve">293048-B21 </t>
  </si>
  <si>
    <t>60x38mm Hot-Plug Fan Proliant DL380G4</t>
  </si>
  <si>
    <t>H250219-01</t>
    <phoneticPr fontId="2" type="noConversion"/>
  </si>
  <si>
    <t>우리에스아이티</t>
    <phoneticPr fontId="2" type="noConversion"/>
  </si>
  <si>
    <t>00AJ122</t>
  </si>
  <si>
    <t>500GB 7.2K 6G NL SAS 2.5inch Hard Drive</t>
  </si>
  <si>
    <t>H250218-01</t>
    <phoneticPr fontId="2" type="noConversion"/>
  </si>
  <si>
    <t>유니포인트</t>
    <phoneticPr fontId="2" type="noConversion"/>
  </si>
  <si>
    <t>스마트로 3월 유지정비료 - 3/12회</t>
    <phoneticPr fontId="2" type="noConversion"/>
  </si>
  <si>
    <t>스마트로 1~2월 유지정비료 - 1~2/12회</t>
    <phoneticPr fontId="2" type="noConversion"/>
  </si>
  <si>
    <t>1/31,2/24</t>
    <phoneticPr fontId="2" type="noConversion"/>
  </si>
  <si>
    <t>브리티쉬아메리칸토바코</t>
    <phoneticPr fontId="2" type="noConversion"/>
  </si>
  <si>
    <t>SM-25008</t>
    <phoneticPr fontId="2" type="noConversion"/>
  </si>
  <si>
    <t>IK-25001</t>
    <phoneticPr fontId="2" type="noConversion"/>
  </si>
  <si>
    <t>SM-25007</t>
    <phoneticPr fontId="2" type="noConversion"/>
  </si>
  <si>
    <t>2/24,3/31,4/30,5/31,6/30,7/31</t>
    <phoneticPr fontId="2" type="noConversion"/>
  </si>
  <si>
    <t>3월 유지정비료 - 7/12회</t>
    <phoneticPr fontId="2" type="noConversion"/>
  </si>
  <si>
    <t>문배철강 3월 유지정비료 - 24/36회</t>
    <phoneticPr fontId="2" type="noConversion"/>
  </si>
  <si>
    <t>대한상공회의소 3월 유지정비료 - 5/12회</t>
    <phoneticPr fontId="2" type="noConversion"/>
  </si>
  <si>
    <t>한일전기 3월 유지정비료 - 27/36회</t>
    <phoneticPr fontId="2" type="noConversion"/>
  </si>
  <si>
    <t>3월 유지정비료 - 9/12회</t>
    <phoneticPr fontId="2" type="noConversion"/>
  </si>
  <si>
    <t>교세라 3월 유지정비료 - 14/36회</t>
    <phoneticPr fontId="2" type="noConversion"/>
  </si>
  <si>
    <t>성원제강 3월 유지정비료 - 24/36회</t>
    <phoneticPr fontId="2" type="noConversion"/>
  </si>
  <si>
    <t>와이케이케이 3월 유지정비료 - 3/12회</t>
    <phoneticPr fontId="2" type="noConversion"/>
  </si>
  <si>
    <t>프레이저플레이스 3월 유지정비료 - 8/12회</t>
    <phoneticPr fontId="2" type="noConversion"/>
  </si>
  <si>
    <t>1/24,2/28</t>
    <phoneticPr fontId="2" type="noConversion"/>
  </si>
  <si>
    <t>Y250306-01</t>
    <phoneticPr fontId="2" type="noConversion"/>
  </si>
  <si>
    <t>컴퓨존</t>
    <phoneticPr fontId="2" type="noConversion"/>
  </si>
  <si>
    <t>라온피플</t>
    <phoneticPr fontId="2" type="noConversion"/>
  </si>
  <si>
    <t>상품</t>
    <phoneticPr fontId="2" type="noConversion"/>
  </si>
  <si>
    <t>조립PC</t>
    <phoneticPr fontId="2" type="noConversion"/>
  </si>
  <si>
    <t>완료(3/6)</t>
    <phoneticPr fontId="2" type="noConversion"/>
  </si>
  <si>
    <t>기타</t>
    <phoneticPr fontId="2" type="noConversion"/>
  </si>
  <si>
    <t>SB-25014</t>
  </si>
  <si>
    <t>ZAVPY3</t>
  </si>
  <si>
    <t>SB-25014</t>
    <phoneticPr fontId="2" type="noConversion"/>
  </si>
  <si>
    <t>SM-25002</t>
    <phoneticPr fontId="2" type="noConversion"/>
  </si>
  <si>
    <t>SM-25010</t>
    <phoneticPr fontId="2" type="noConversion"/>
  </si>
  <si>
    <t>SM-25011</t>
    <phoneticPr fontId="2" type="noConversion"/>
  </si>
  <si>
    <t>SL-25009</t>
    <phoneticPr fontId="2" type="noConversion"/>
  </si>
  <si>
    <t>매출연간</t>
    <phoneticPr fontId="2" type="noConversion"/>
  </si>
  <si>
    <t>한림대 SW 연간유지정비료(25.03.01~26.02.28)</t>
    <phoneticPr fontId="2" type="noConversion"/>
  </si>
  <si>
    <t>리더스시스템즈</t>
    <phoneticPr fontId="2" type="noConversion"/>
  </si>
  <si>
    <t>완료(3/5)</t>
    <phoneticPr fontId="2" type="noConversion"/>
  </si>
  <si>
    <t>법인차량(262무2108) 리스료898,500
선납렌탈료 551,270 -34/37회차</t>
    <phoneticPr fontId="2" type="noConversion"/>
  </si>
  <si>
    <t>ZQIURA</t>
    <phoneticPr fontId="2" type="noConversion"/>
  </si>
  <si>
    <t>인천국제공항공사 1월 유지정비료</t>
    <phoneticPr fontId="2" type="noConversion"/>
  </si>
  <si>
    <t>인천국제공항공사 2월 유지정비료</t>
    <phoneticPr fontId="2" type="noConversion"/>
  </si>
  <si>
    <t>케이아이티앤씨</t>
    <phoneticPr fontId="2" type="noConversion"/>
  </si>
  <si>
    <t>MA</t>
    <phoneticPr fontId="2" type="noConversion"/>
  </si>
  <si>
    <t>Y250123-01
Y250218-01
Y250305-02
Y250310-01</t>
    <phoneticPr fontId="2" type="noConversion"/>
  </si>
  <si>
    <t>온피아
온피아
온피아
온피아</t>
    <phoneticPr fontId="2" type="noConversion"/>
  </si>
  <si>
    <t>완료(3/10)</t>
    <phoneticPr fontId="2" type="noConversion"/>
  </si>
  <si>
    <t>자동이체(3/31)</t>
    <phoneticPr fontId="2" type="noConversion"/>
  </si>
  <si>
    <t>자동이체(2/28)</t>
    <phoneticPr fontId="2" type="noConversion"/>
  </si>
  <si>
    <t>D250305-01</t>
    <phoneticPr fontId="2" type="noConversion"/>
  </si>
  <si>
    <t>RTX4500 ADA</t>
  </si>
  <si>
    <t>[NVIDIA] RTX 4500 Ada Generation D6 24GB</t>
  </si>
  <si>
    <t>X</t>
    <phoneticPr fontId="2" type="noConversion"/>
  </si>
  <si>
    <t>중소기업은행</t>
    <phoneticPr fontId="2" type="noConversion"/>
  </si>
  <si>
    <t>완료(3/12)</t>
    <phoneticPr fontId="2" type="noConversion"/>
  </si>
  <si>
    <t>인증서(은행용)갱신</t>
    <phoneticPr fontId="2" type="noConversion"/>
  </si>
  <si>
    <t>완료(3/26법카)</t>
    <phoneticPr fontId="2" type="noConversion"/>
  </si>
  <si>
    <t>ZBLJQA</t>
    <phoneticPr fontId="2" type="noConversion"/>
  </si>
  <si>
    <t>테이아인포</t>
    <phoneticPr fontId="2" type="noConversion"/>
  </si>
  <si>
    <t>상품</t>
    <phoneticPr fontId="2" type="noConversion"/>
  </si>
  <si>
    <t>기술지원</t>
    <phoneticPr fontId="2" type="noConversion"/>
  </si>
  <si>
    <t>제이원아이티시스템</t>
    <phoneticPr fontId="2" type="noConversion"/>
  </si>
  <si>
    <t>스토리지 기술지원</t>
    <phoneticPr fontId="2" type="noConversion"/>
  </si>
  <si>
    <t>Y250311-01</t>
    <phoneticPr fontId="2" type="noConversion"/>
  </si>
  <si>
    <t>7ZT7A00482</t>
  </si>
  <si>
    <t>ThinkSystem Broadcom 5720 1GbE RJ45 2-Port PCIe Ethernet Adapter</t>
  </si>
  <si>
    <t>이룸에스앤앤</t>
    <phoneticPr fontId="2" type="noConversion"/>
  </si>
  <si>
    <t>온피아</t>
    <phoneticPr fontId="2" type="noConversion"/>
  </si>
  <si>
    <t>매출연간</t>
    <phoneticPr fontId="2" type="noConversion"/>
  </si>
  <si>
    <t>3월 유지정비료 - 16/18회</t>
    <phoneticPr fontId="2" type="noConversion"/>
  </si>
  <si>
    <t>외교부 3월 유지정비료 - 10/12회</t>
    <phoneticPr fontId="2" type="noConversion"/>
  </si>
  <si>
    <t>안동CGV 3월 유지정비료 - 13/13회</t>
    <phoneticPr fontId="2" type="noConversion"/>
  </si>
  <si>
    <t>ZLXVVE</t>
    <phoneticPr fontId="2" type="noConversion"/>
  </si>
  <si>
    <t>에이트랙</t>
    <phoneticPr fontId="2" type="noConversion"/>
  </si>
  <si>
    <t>3월 유지정비료 - 6/13회</t>
    <phoneticPr fontId="2" type="noConversion"/>
  </si>
  <si>
    <t>3월 유지정비료 - 10/13회</t>
    <phoneticPr fontId="2" type="noConversion"/>
  </si>
  <si>
    <t>산업은행 3월 유지정비료 - 27/36회</t>
    <phoneticPr fontId="2" type="noConversion"/>
  </si>
  <si>
    <t>코리아미카사 25년 3월 유지정비료 - 15/25회</t>
    <phoneticPr fontId="2" type="noConversion"/>
  </si>
  <si>
    <t>코클리어 3월 유지정비료 - 12/30회</t>
    <phoneticPr fontId="2" type="noConversion"/>
  </si>
  <si>
    <t>한우리아이티 3월 유지정비료 - 3/7회</t>
    <phoneticPr fontId="2" type="noConversion"/>
  </si>
  <si>
    <t>중국광대은행 3월 유지정비료 - 4/12회</t>
    <phoneticPr fontId="2" type="noConversion"/>
  </si>
  <si>
    <t>대동도어 3월 유지정비료 - 2/13회</t>
    <phoneticPr fontId="2" type="noConversion"/>
  </si>
  <si>
    <t>3월 유지정비료 - 3/13회</t>
    <phoneticPr fontId="2" type="noConversion"/>
  </si>
  <si>
    <t>호원대학교 3월 유지정비료 - 10/13회</t>
    <phoneticPr fontId="2" type="noConversion"/>
  </si>
  <si>
    <t>경북소방본부 3월 유지정비료 - 10/12회</t>
    <phoneticPr fontId="2" type="noConversion"/>
  </si>
  <si>
    <t>동두천드림파워 3월 유지정비료 - 27/36회</t>
    <phoneticPr fontId="2" type="noConversion"/>
  </si>
  <si>
    <t>애플코리아 #2 25년 3월 유지정비료 - 33/69회</t>
    <phoneticPr fontId="2" type="noConversion"/>
  </si>
  <si>
    <t>3월 유지정비료 - 2/12회</t>
    <phoneticPr fontId="2" type="noConversion"/>
  </si>
  <si>
    <t>DB생명 3월 유지정비료 - 9/9회</t>
    <phoneticPr fontId="2" type="noConversion"/>
  </si>
  <si>
    <t>메타넷디지털 25년 3월 - 12/21회</t>
    <phoneticPr fontId="2" type="noConversion"/>
  </si>
  <si>
    <t>웰컴저축은행 3월 유지정비료 - 8/12회</t>
    <phoneticPr fontId="2" type="noConversion"/>
  </si>
  <si>
    <t>삼성전자 3월분 - 5/13회</t>
    <phoneticPr fontId="2" type="noConversion"/>
  </si>
  <si>
    <t>SBS 3월 유지정비료 - 3/12회</t>
    <phoneticPr fontId="2" type="noConversion"/>
  </si>
  <si>
    <t>대한산업보건협회 3월 유지정비료 - 11/12회</t>
    <phoneticPr fontId="2" type="noConversion"/>
  </si>
  <si>
    <t>이녹스 3월 유지정비료 - 10/12회</t>
    <phoneticPr fontId="2" type="noConversion"/>
  </si>
  <si>
    <t>신성통상 3월 유지정비료 - 4/12회</t>
    <phoneticPr fontId="2" type="noConversion"/>
  </si>
  <si>
    <t>이원(E1)컨테이너터미널 3월 유지정비료 - 3/12회</t>
    <phoneticPr fontId="2" type="noConversion"/>
  </si>
  <si>
    <t>유아이티 3월 유지정비료 - 6/13회</t>
    <phoneticPr fontId="2" type="noConversion"/>
  </si>
  <si>
    <t>3월 유지정비료 - 4/18회</t>
    <phoneticPr fontId="2" type="noConversion"/>
  </si>
  <si>
    <t>한우리아이티 HW 3월 유지정비료 - 8/13회</t>
    <phoneticPr fontId="2" type="noConversion"/>
  </si>
  <si>
    <t>WPP 3월 유지정비료 - 11/11회</t>
    <phoneticPr fontId="2" type="noConversion"/>
  </si>
  <si>
    <t>초록어린이재단 3월 유지정비료 - 9/12회</t>
    <phoneticPr fontId="2" type="noConversion"/>
  </si>
  <si>
    <t>LG AI 3월 유지정비료 - 3/12회</t>
    <phoneticPr fontId="2" type="noConversion"/>
  </si>
  <si>
    <t>LX홀딩스 3월 유지정비료 - 9/12회</t>
    <phoneticPr fontId="2" type="noConversion"/>
  </si>
  <si>
    <t>국립농업과학원 - 3월유지정비료 - 15/24회</t>
    <phoneticPr fontId="2" type="noConversion"/>
  </si>
  <si>
    <t>엘지유플러스(LG U+) 3월 유지정비료 - 16/37회</t>
    <phoneticPr fontId="2" type="noConversion"/>
  </si>
  <si>
    <t>삼성중공업 3월 유지정비료 - 3/12회</t>
    <phoneticPr fontId="2" type="noConversion"/>
  </si>
  <si>
    <t>이원(E1)컨테이너터미널 3월 유지정비료 3/12회</t>
    <phoneticPr fontId="2" type="noConversion"/>
  </si>
  <si>
    <t>롯데하이마트 3월 유지정비료 - 10/13회</t>
    <phoneticPr fontId="2" type="noConversion"/>
  </si>
  <si>
    <t>포스코 3월 유지정비료 - 6/15회</t>
    <phoneticPr fontId="2" type="noConversion"/>
  </si>
  <si>
    <t>롯데정보통신 3월 유지정비료 - 3/12회</t>
    <phoneticPr fontId="2" type="noConversion"/>
  </si>
  <si>
    <t>HB(에이치비)저축은행 3월 유지정비료 - 3/12회</t>
    <phoneticPr fontId="2" type="noConversion"/>
  </si>
  <si>
    <t>서울디자인재단 3월유지정비료 - 3/12회</t>
    <phoneticPr fontId="2" type="noConversion"/>
  </si>
  <si>
    <t>3월유지정비료 - 9/12회</t>
    <phoneticPr fontId="2" type="noConversion"/>
  </si>
  <si>
    <t>안산시청 3월 유지정비료 - 3/24회</t>
    <phoneticPr fontId="2" type="noConversion"/>
  </si>
  <si>
    <t>안국약품 3월 유지정비료 - 3/12회</t>
    <phoneticPr fontId="2" type="noConversion"/>
  </si>
  <si>
    <t>피에스케이(PSK) 3월 유지정비료 - 3/17회</t>
    <phoneticPr fontId="2" type="noConversion"/>
  </si>
  <si>
    <t>포스코 3월 유지정비료 - 5/14회</t>
    <phoneticPr fontId="2" type="noConversion"/>
  </si>
  <si>
    <t>신세계 아이앤씨 3월 유지정비료 - 26/46회</t>
    <phoneticPr fontId="2" type="noConversion"/>
  </si>
  <si>
    <t>국립기상과학원 3월 유지정비료-추가 10/12회</t>
    <phoneticPr fontId="2" type="noConversion"/>
  </si>
  <si>
    <t>삼성중공업 3월 유지정비료 - 7/16회</t>
    <phoneticPr fontId="2" type="noConversion"/>
  </si>
  <si>
    <t>3월 선급금(G80 3061)-36/49회</t>
    <phoneticPr fontId="2" type="noConversion"/>
  </si>
  <si>
    <t>3월 차량렌트(G80 3061)-36/49회</t>
    <phoneticPr fontId="2" type="noConversion"/>
  </si>
  <si>
    <t>3월 선급금(그랜저 8552)-36/49회</t>
    <phoneticPr fontId="2" type="noConversion"/>
  </si>
  <si>
    <t>3월 차량렌트(그랜저 8552)-36/49회</t>
    <phoneticPr fontId="2" type="noConversion"/>
  </si>
  <si>
    <t>3월 선급금(xm3 4429)-27/37회</t>
    <phoneticPr fontId="2" type="noConversion"/>
  </si>
  <si>
    <t>3월 차량렌트(xm3 4429)-27/37회</t>
    <phoneticPr fontId="2" type="noConversion"/>
  </si>
  <si>
    <t>자동이체(3/25)</t>
    <phoneticPr fontId="2" type="noConversion"/>
  </si>
  <si>
    <t>기업(구내) 3월 인터넷 사용료</t>
    <phoneticPr fontId="2" type="noConversion"/>
  </si>
  <si>
    <t>자동이체(25/4/10)</t>
    <phoneticPr fontId="2" type="noConversion"/>
  </si>
  <si>
    <t>B동 1201호 3월 관리비 -과세분</t>
    <phoneticPr fontId="2" type="noConversion"/>
  </si>
  <si>
    <t>B동 1201호 3월 관리비 -면세분</t>
    <phoneticPr fontId="2" type="noConversion"/>
  </si>
  <si>
    <t>3월 기장료</t>
    <phoneticPr fontId="2" type="noConversion"/>
  </si>
  <si>
    <t>s-erp 3월사용분</t>
    <phoneticPr fontId="2" type="noConversion"/>
  </si>
  <si>
    <t>3월 퀵운송료</t>
    <phoneticPr fontId="2" type="noConversion"/>
  </si>
  <si>
    <t>자동이체(4/10)</t>
    <phoneticPr fontId="2" type="noConversion"/>
  </si>
  <si>
    <t>케이씨에스</t>
    <phoneticPr fontId="2" type="noConversion"/>
  </si>
  <si>
    <t>한국항공우주산업 #1 HW 1분기</t>
    <phoneticPr fontId="2" type="noConversion"/>
  </si>
  <si>
    <t>SL-23014</t>
    <phoneticPr fontId="2" type="noConversion"/>
  </si>
  <si>
    <t>ZHUDGM</t>
    <phoneticPr fontId="2" type="noConversion"/>
  </si>
  <si>
    <t>SB-23016</t>
  </si>
  <si>
    <t>인천국제공항공사 3월 유지정비료</t>
    <phoneticPr fontId="2" type="noConversion"/>
  </si>
  <si>
    <t>SL-23035</t>
    <phoneticPr fontId="2" type="noConversion"/>
  </si>
  <si>
    <t>ZBQCP7</t>
    <phoneticPr fontId="2" type="noConversion"/>
  </si>
  <si>
    <t>OK데이터시스템HW 4월 유지정비료 - 1/14회</t>
    <phoneticPr fontId="2" type="noConversion"/>
  </si>
  <si>
    <t>2024년 NCSC 사이버센터 고도화 사업 3월 유지정비료-5/5회</t>
    <phoneticPr fontId="2" type="noConversion"/>
  </si>
  <si>
    <t>컴퓨존</t>
    <phoneticPr fontId="2" type="noConversion"/>
  </si>
  <si>
    <t>유니포인트</t>
    <phoneticPr fontId="2" type="noConversion"/>
  </si>
  <si>
    <t>완료(3/14)</t>
    <phoneticPr fontId="2" type="noConversion"/>
  </si>
  <si>
    <t>케이블</t>
    <phoneticPr fontId="2" type="noConversion"/>
  </si>
  <si>
    <t>LC-LC OM3, 멀티 광점퍼코드 5M</t>
    <phoneticPr fontId="2" type="noConversion"/>
  </si>
  <si>
    <t>H250310</t>
    <phoneticPr fontId="2" type="noConversion"/>
  </si>
  <si>
    <t>상품</t>
    <phoneticPr fontId="2" type="noConversion"/>
  </si>
  <si>
    <t xml:space="preserve">LG 슬림PC 외 </t>
    <phoneticPr fontId="2" type="noConversion"/>
  </si>
  <si>
    <t>PC</t>
    <phoneticPr fontId="2" type="noConversion"/>
  </si>
  <si>
    <t>TruScale SM202400911-001-5</t>
    <phoneticPr fontId="2" type="noConversion"/>
  </si>
  <si>
    <t>조립PC</t>
    <phoneticPr fontId="2" type="noConversion"/>
  </si>
  <si>
    <t>완료(3/18)</t>
    <phoneticPr fontId="2" type="noConversion"/>
  </si>
  <si>
    <t>Y250318-01</t>
    <phoneticPr fontId="2" type="noConversion"/>
  </si>
  <si>
    <t>Y250319-01</t>
    <phoneticPr fontId="2" type="noConversion"/>
  </si>
  <si>
    <t>씨플랫폼</t>
  </si>
  <si>
    <t>씨플랫폼</t>
    <phoneticPr fontId="2" type="noConversion"/>
  </si>
  <si>
    <t>불교텔레비전</t>
    <phoneticPr fontId="2" type="noConversion"/>
  </si>
  <si>
    <t>MA</t>
    <phoneticPr fontId="2" type="noConversion"/>
  </si>
  <si>
    <t>리뉴얼</t>
    <phoneticPr fontId="2" type="noConversion"/>
  </si>
  <si>
    <t>HPE Aruba Switch Renewal(25.03.01 ~ 26.02.28)</t>
  </si>
  <si>
    <t>Y250319-02</t>
    <phoneticPr fontId="2" type="noConversion"/>
  </si>
  <si>
    <t>에스엠티정보기술</t>
    <phoneticPr fontId="2" type="noConversion"/>
  </si>
  <si>
    <t>Lenovo SR630v2</t>
  </si>
  <si>
    <t>RH00004</t>
  </si>
  <si>
    <t>Red Hat Enterprise Linux Server, Standard(Physical or Virtual Nodes)</t>
  </si>
  <si>
    <t>서버</t>
    <phoneticPr fontId="2" type="noConversion"/>
  </si>
  <si>
    <t>H250304-01</t>
  </si>
  <si>
    <t>H250306-01</t>
  </si>
  <si>
    <t>H250311-01</t>
  </si>
  <si>
    <t>H250313-01</t>
  </si>
  <si>
    <t>870794-001</t>
  </si>
  <si>
    <t>600GB 15K 12G SAS 2.5inch Enterprise Hard Drive</t>
  </si>
  <si>
    <t>42D0752</t>
  </si>
  <si>
    <t>IBM 500GB 7200 NL SATA 2.5'' SFF Slim-HS HDD</t>
  </si>
  <si>
    <t>42D0767</t>
  </si>
  <si>
    <t>2TB 7.2K 6Gbps NL SAS 3.5" HS HDD</t>
  </si>
  <si>
    <t>한국정보기술</t>
  </si>
  <si>
    <t>아이티엔</t>
  </si>
  <si>
    <t>씨제이씨지브이 대학로</t>
    <phoneticPr fontId="2" type="noConversion"/>
  </si>
  <si>
    <t>광명역자이타워관리단</t>
    <phoneticPr fontId="2" type="noConversion"/>
  </si>
  <si>
    <t>일반경비</t>
    <phoneticPr fontId="2" type="noConversion"/>
  </si>
  <si>
    <t>2월분관리비 과세분</t>
    <phoneticPr fontId="2" type="noConversion"/>
  </si>
  <si>
    <t>2월분관리비 면세분</t>
    <phoneticPr fontId="2" type="noConversion"/>
  </si>
  <si>
    <t>X</t>
    <phoneticPr fontId="2" type="noConversion"/>
  </si>
  <si>
    <t>광명자이 A1811호</t>
    <phoneticPr fontId="2" type="noConversion"/>
  </si>
  <si>
    <t>3월 유지정비료 - 18/36회</t>
    <phoneticPr fontId="2" type="noConversion"/>
  </si>
  <si>
    <t>3월 청소비</t>
    <phoneticPr fontId="2" type="noConversion"/>
  </si>
  <si>
    <t>자동이체898,500
(3/21)
선납551,270
(22/4/21)</t>
    <phoneticPr fontId="2" type="noConversion"/>
  </si>
  <si>
    <t>자동이체898,500
(2/21)
선납551,270
(22/4/21)</t>
    <phoneticPr fontId="2" type="noConversion"/>
  </si>
  <si>
    <t>H250321-02</t>
    <phoneticPr fontId="2" type="noConversion"/>
  </si>
  <si>
    <t>브리티쉬아메리칸토바코</t>
    <phoneticPr fontId="2" type="noConversion"/>
  </si>
  <si>
    <t>상품</t>
    <phoneticPr fontId="2" type="noConversion"/>
  </si>
  <si>
    <t>보안키,커넥터</t>
    <phoneticPr fontId="2" type="noConversion"/>
  </si>
  <si>
    <t>커넥터</t>
    <phoneticPr fontId="2" type="noConversion"/>
  </si>
  <si>
    <t>완료(3/21)</t>
    <phoneticPr fontId="2" type="noConversion"/>
  </si>
  <si>
    <t>H250318-01</t>
    <phoneticPr fontId="2" type="noConversion"/>
  </si>
  <si>
    <t>MA</t>
    <phoneticPr fontId="2" type="noConversion"/>
  </si>
  <si>
    <t>케이엠디엠(대한지방행정공제회)</t>
    <phoneticPr fontId="2" type="noConversion"/>
  </si>
  <si>
    <t>서버</t>
    <phoneticPr fontId="2" type="noConversion"/>
  </si>
  <si>
    <t>SR250V2</t>
    <phoneticPr fontId="2" type="noConversion"/>
  </si>
  <si>
    <t>[2025년 법인카드 매입]</t>
    <phoneticPr fontId="2" type="noConversion"/>
  </si>
  <si>
    <t>영수증</t>
    <phoneticPr fontId="4" type="noConversion"/>
  </si>
  <si>
    <t>카드번호</t>
    <phoneticPr fontId="2" type="noConversion"/>
  </si>
  <si>
    <t>아답터</t>
  </si>
  <si>
    <t>32UN880 제품의 전원 아답터</t>
  </si>
  <si>
    <t>DC 5V 2A 어댑터 벽걸이형 전원 일체형 전원 파워 DC5V2A아답터</t>
    <phoneticPr fontId="2" type="noConversion"/>
  </si>
  <si>
    <t>한국교과서협회</t>
    <phoneticPr fontId="2" type="noConversion"/>
  </si>
  <si>
    <t>Y250211-01</t>
    <phoneticPr fontId="2" type="noConversion"/>
  </si>
  <si>
    <t>삼성전자 갤럭시탭 A9 플러스 Wifi 64GB 그라파이트</t>
  </si>
  <si>
    <t>아이패드 10세대 Wifi 64GB 실버</t>
  </si>
  <si>
    <t>Tab P12 QHD 8GB / 128GB 스톰그레이</t>
  </si>
  <si>
    <t>아이뮤즈 뮤패드 K10 PLUS 태블릿PC RAM 4GB Wifi 64GB</t>
  </si>
  <si>
    <t>탭</t>
    <phoneticPr fontId="2" type="noConversion"/>
  </si>
  <si>
    <t>패드</t>
    <phoneticPr fontId="2" type="noConversion"/>
  </si>
  <si>
    <t>Y250305-01</t>
    <phoneticPr fontId="2" type="noConversion"/>
  </si>
  <si>
    <t>M155NW</t>
  </si>
  <si>
    <t>HP 컬러 레이저젯 프로 M155nw 프린터</t>
  </si>
  <si>
    <t>MSI 노트북 충전기 20V 7.5A 150W (4.5X3.0mm) 전원 어댑터 ADP-150CH D</t>
    <phoneticPr fontId="2" type="noConversion"/>
  </si>
  <si>
    <t>충전기</t>
    <phoneticPr fontId="2" type="noConversion"/>
  </si>
  <si>
    <t>품목</t>
    <phoneticPr fontId="2" type="noConversion"/>
  </si>
  <si>
    <t>내역</t>
    <phoneticPr fontId="4" type="noConversion"/>
  </si>
  <si>
    <t>법인카드</t>
    <phoneticPr fontId="2" type="noConversion"/>
  </si>
  <si>
    <t>현금/법인카드 계</t>
    <phoneticPr fontId="2" type="noConversion"/>
  </si>
  <si>
    <t>완료(3/24)</t>
    <phoneticPr fontId="2" type="noConversion"/>
  </si>
  <si>
    <t>유니포인트</t>
    <phoneticPr fontId="2" type="noConversion"/>
  </si>
  <si>
    <t>상품</t>
    <phoneticPr fontId="2" type="noConversion"/>
  </si>
  <si>
    <t>기술지원</t>
    <phoneticPr fontId="2" type="noConversion"/>
  </si>
  <si>
    <t>스마트로 유지보수 25년 1Q</t>
  </si>
  <si>
    <t>삼표 MA 25년 (25.01~25.06) - 반기</t>
  </si>
  <si>
    <t>시스템 구축 컨설팅 기술지원</t>
  </si>
  <si>
    <t>딜라이브 기술지원</t>
  </si>
  <si>
    <t>MA</t>
    <phoneticPr fontId="2" type="noConversion"/>
  </si>
  <si>
    <t>데이타메트렉스</t>
    <phoneticPr fontId="2" type="noConversion"/>
  </si>
  <si>
    <t>반기</t>
    <phoneticPr fontId="2" type="noConversion"/>
  </si>
  <si>
    <t>분기</t>
    <phoneticPr fontId="2" type="noConversion"/>
  </si>
  <si>
    <t>초록우산어린이재단 반기(24.7~25.6)</t>
    <phoneticPr fontId="2" type="noConversion"/>
  </si>
  <si>
    <t>유지정비료 (25.1 ~ 25.06) - 1Q, 2Q</t>
    <phoneticPr fontId="2" type="noConversion"/>
  </si>
  <si>
    <t>TYK</t>
    <phoneticPr fontId="2" type="noConversion"/>
  </si>
  <si>
    <t>X</t>
    <phoneticPr fontId="2" type="noConversion"/>
  </si>
  <si>
    <t>하이마트 MA (24.12~25.5) - 반기</t>
    <phoneticPr fontId="2" type="noConversion"/>
  </si>
  <si>
    <t>12/27~</t>
    <phoneticPr fontId="2" type="noConversion"/>
  </si>
  <si>
    <t>H250310</t>
    <phoneticPr fontId="2" type="noConversion"/>
  </si>
  <si>
    <t>S</t>
    <phoneticPr fontId="2" type="noConversion"/>
  </si>
  <si>
    <t>SM-25004</t>
    <phoneticPr fontId="2" type="noConversion"/>
  </si>
  <si>
    <t>1/24,2/28/,3/31</t>
    <phoneticPr fontId="2" type="noConversion"/>
  </si>
  <si>
    <t>SM-25005</t>
    <phoneticPr fontId="2" type="noConversion"/>
  </si>
  <si>
    <t>1/24,2/25,3/25</t>
    <phoneticPr fontId="2" type="noConversion"/>
  </si>
  <si>
    <t>1/1,2/1,3/1,4/1,5/1,6/1</t>
    <phoneticPr fontId="2" type="noConversion"/>
  </si>
  <si>
    <t>SM-23015</t>
    <phoneticPr fontId="2" type="noConversion"/>
  </si>
  <si>
    <t>SB-24031</t>
    <phoneticPr fontId="2" type="noConversion"/>
  </si>
  <si>
    <t>SM-25008
SM-25009</t>
    <phoneticPr fontId="2" type="noConversion"/>
  </si>
  <si>
    <t>1분기 유지정비료</t>
    <phoneticPr fontId="2" type="noConversion"/>
  </si>
  <si>
    <t>완료(3/24)</t>
    <phoneticPr fontId="2" type="noConversion"/>
  </si>
  <si>
    <t>SM-24007</t>
    <phoneticPr fontId="2" type="noConversion"/>
  </si>
  <si>
    <t>SM-25002</t>
    <phoneticPr fontId="2" type="noConversion"/>
  </si>
  <si>
    <t>SM-25010</t>
    <phoneticPr fontId="2" type="noConversion"/>
  </si>
  <si>
    <t>BAT 통합 유지보수 3월분 - 3/12회</t>
    <phoneticPr fontId="2" type="noConversion"/>
  </si>
  <si>
    <t>3월분 SIOS Lifekeeper 유지보수료 - 2/12회</t>
    <phoneticPr fontId="2" type="noConversion"/>
  </si>
  <si>
    <t>3월 유지정비료 - 4/12회</t>
    <phoneticPr fontId="2" type="noConversion"/>
  </si>
  <si>
    <t>키오시아 3월 유지정비료 - 4/12회</t>
    <phoneticPr fontId="2" type="noConversion"/>
  </si>
  <si>
    <t>3월 유지정비료 - 4/9회</t>
    <phoneticPr fontId="2" type="noConversion"/>
  </si>
  <si>
    <t>현대하이카 3월 유지정비료 - 2/11회</t>
    <phoneticPr fontId="2" type="noConversion"/>
  </si>
  <si>
    <t>3월 유지정비료 - 2/11회</t>
    <phoneticPr fontId="2" type="noConversion"/>
  </si>
  <si>
    <t>한미약품 3월 유지정비료 - 2/11회</t>
    <phoneticPr fontId="2" type="noConversion"/>
  </si>
  <si>
    <t>교보문고 3월 유지정비료 - 2/11회</t>
    <phoneticPr fontId="2" type="noConversion"/>
  </si>
  <si>
    <t>메일호스팅 3월 - 8/12회</t>
    <phoneticPr fontId="2" type="noConversion"/>
  </si>
  <si>
    <t>3월 유지정비료 - 8/12회</t>
    <phoneticPr fontId="2" type="noConversion"/>
  </si>
  <si>
    <t>3월 오라클 유지정비료 - 3/12회</t>
    <phoneticPr fontId="2" type="noConversion"/>
  </si>
  <si>
    <t>삼표시멘트 3월 유지정비료 3/12회</t>
    <phoneticPr fontId="2" type="noConversion"/>
  </si>
  <si>
    <t>TruScale SM20220628-002-29</t>
    <phoneticPr fontId="2" type="noConversion"/>
  </si>
  <si>
    <t>비온시이노베이터</t>
    <phoneticPr fontId="2" type="noConversion"/>
  </si>
  <si>
    <t>연간</t>
    <phoneticPr fontId="2" type="noConversion"/>
  </si>
  <si>
    <t>SB-24011</t>
    <phoneticPr fontId="2" type="noConversion"/>
  </si>
  <si>
    <t>2/15~</t>
    <phoneticPr fontId="2" type="noConversion"/>
  </si>
  <si>
    <t>매출연간</t>
    <phoneticPr fontId="2" type="noConversion"/>
  </si>
  <si>
    <t>에이캐피탈</t>
    <phoneticPr fontId="2" type="noConversion"/>
  </si>
  <si>
    <t>1분기 유지정비료 - 1/4회</t>
    <phoneticPr fontId="2" type="noConversion"/>
  </si>
  <si>
    <t>SM-24021</t>
    <phoneticPr fontId="2" type="noConversion"/>
  </si>
  <si>
    <t>SDSSDE61-2T00-G25</t>
  </si>
  <si>
    <t>CIT</t>
    <phoneticPr fontId="2" type="noConversion"/>
  </si>
  <si>
    <t>[SanDisk] 외장SSD, E61 Extreme Portable SSD</t>
    <phoneticPr fontId="2" type="noConversion"/>
  </si>
  <si>
    <t>H250324-01</t>
    <phoneticPr fontId="2" type="noConversion"/>
  </si>
  <si>
    <t>완료(3/25)</t>
    <phoneticPr fontId="2" type="noConversion"/>
  </si>
  <si>
    <t>삼성전자 24인치 모니터 LF24T452FQKXKR</t>
    <phoneticPr fontId="2" type="noConversion"/>
  </si>
  <si>
    <t>모니터</t>
    <phoneticPr fontId="2" type="noConversion"/>
  </si>
  <si>
    <t>S</t>
    <phoneticPr fontId="2" type="noConversion"/>
  </si>
  <si>
    <t>고영테크놀러지</t>
    <phoneticPr fontId="2" type="noConversion"/>
  </si>
  <si>
    <t>분기</t>
    <phoneticPr fontId="2" type="noConversion"/>
  </si>
  <si>
    <t>SM-25005</t>
  </si>
  <si>
    <t>유니포인트</t>
    <phoneticPr fontId="2" type="noConversion"/>
  </si>
  <si>
    <t>안국약품 3월 유지정비료 - 1/10회</t>
    <phoneticPr fontId="2" type="noConversion"/>
  </si>
  <si>
    <t>SB-25014</t>
    <phoneticPr fontId="2" type="noConversion"/>
  </si>
  <si>
    <t>안국약품 3월 기술지원료 - 3/12회</t>
    <phoneticPr fontId="2" type="noConversion"/>
  </si>
  <si>
    <t>파이오링크 L4 3월 유지정비료 - 3/12회</t>
    <phoneticPr fontId="2" type="noConversion"/>
  </si>
  <si>
    <t xml:space="preserve">S26361-F3781-E515 Fujitsu 8GB 1Rx4 PC3L-12800R ECC Server Memory(중고) </t>
    <phoneticPr fontId="2" type="noConversion"/>
  </si>
  <si>
    <t>위퍼스트</t>
    <phoneticPr fontId="2" type="noConversion"/>
  </si>
  <si>
    <t>RAM</t>
    <phoneticPr fontId="2" type="noConversion"/>
  </si>
  <si>
    <t>상품</t>
    <phoneticPr fontId="2" type="noConversion"/>
  </si>
  <si>
    <t>엘림넷</t>
    <phoneticPr fontId="2" type="noConversion"/>
  </si>
  <si>
    <t>컴퓨존</t>
    <phoneticPr fontId="2" type="noConversion"/>
  </si>
  <si>
    <t>완료(3/27)</t>
    <phoneticPr fontId="2" type="noConversion"/>
  </si>
  <si>
    <t>H250331-01</t>
    <phoneticPr fontId="2" type="noConversion"/>
  </si>
  <si>
    <t>완료(3/31)</t>
    <phoneticPr fontId="2" type="noConversion"/>
  </si>
  <si>
    <t>D250327-01</t>
    <phoneticPr fontId="2" type="noConversion"/>
  </si>
  <si>
    <t>티에스씨인포</t>
    <phoneticPr fontId="2" type="noConversion"/>
  </si>
  <si>
    <t>명지병원 3월 정기점검 - 1/12회</t>
    <phoneticPr fontId="2" type="noConversion"/>
  </si>
  <si>
    <t>시너지온</t>
    <phoneticPr fontId="2" type="noConversion"/>
  </si>
  <si>
    <t>IZEX Solution 유지보수(2025.03~2026.02)</t>
    <phoneticPr fontId="2" type="noConversion"/>
  </si>
  <si>
    <t>자산</t>
    <phoneticPr fontId="2" type="noConversion"/>
  </si>
  <si>
    <t>X</t>
    <phoneticPr fontId="2" type="noConversion"/>
  </si>
  <si>
    <t>43X0805</t>
  </si>
  <si>
    <t>IBM 300GB 15K 3.5IN SAS HDD</t>
  </si>
  <si>
    <t>H250324-03</t>
    <phoneticPr fontId="2" type="noConversion"/>
  </si>
  <si>
    <t>완료(3/31)</t>
    <phoneticPr fontId="2" type="noConversion"/>
  </si>
  <si>
    <t>완료(3/25)</t>
    <phoneticPr fontId="2" type="noConversion"/>
  </si>
  <si>
    <t>보안용역 월정료 4월분</t>
    <phoneticPr fontId="2" type="noConversion"/>
  </si>
  <si>
    <t>자동이체(4/11)</t>
    <phoneticPr fontId="2" type="noConversion"/>
  </si>
  <si>
    <t>S</t>
    <phoneticPr fontId="2" type="noConversion"/>
  </si>
  <si>
    <t>와이케이케이한국</t>
    <phoneticPr fontId="2" type="noConversion"/>
  </si>
  <si>
    <t>상품</t>
    <phoneticPr fontId="2" type="noConversion"/>
  </si>
  <si>
    <t>스위치</t>
    <phoneticPr fontId="2" type="noConversion"/>
  </si>
  <si>
    <t xml:space="preserve">HP Instant On 48port + 4SFP 외 </t>
    <phoneticPr fontId="2" type="noConversion"/>
  </si>
  <si>
    <t>42D0786</t>
  </si>
  <si>
    <t>44X3212</t>
    <phoneticPr fontId="2" type="noConversion"/>
  </si>
  <si>
    <t>H250328-01</t>
    <phoneticPr fontId="2" type="noConversion"/>
  </si>
  <si>
    <t>티에스씨인포</t>
    <phoneticPr fontId="2" type="noConversion"/>
  </si>
  <si>
    <t>Controller for V7000G2</t>
    <phoneticPr fontId="2" type="noConversion"/>
  </si>
  <si>
    <t>4월 유지정비료 - 11/12회</t>
    <phoneticPr fontId="2" type="noConversion"/>
  </si>
  <si>
    <t>2/20,3/20,4/20</t>
    <phoneticPr fontId="2" type="noConversion"/>
  </si>
  <si>
    <t>H250401-03</t>
    <phoneticPr fontId="2" type="noConversion"/>
  </si>
  <si>
    <t>IBM 2TB 7200 RPM SATA 3.5" HDD</t>
  </si>
  <si>
    <t>H250401-02</t>
    <phoneticPr fontId="2" type="noConversion"/>
  </si>
  <si>
    <t>탑텍</t>
    <phoneticPr fontId="2" type="noConversion"/>
  </si>
  <si>
    <t>나우테크</t>
    <phoneticPr fontId="2" type="noConversion"/>
  </si>
  <si>
    <t>한국항공우주산업 #2 1분기 - 6/9회</t>
    <phoneticPr fontId="2" type="noConversion"/>
  </si>
  <si>
    <t>SK실트론 3월 유지정비료 - 3/12회</t>
    <phoneticPr fontId="2" type="noConversion"/>
  </si>
  <si>
    <t>한림대학교HW 3월 유지정비료 - 1/12회</t>
    <phoneticPr fontId="2" type="noConversion"/>
  </si>
  <si>
    <t>탑텍 2월 유지정비료 - 12/12회</t>
    <phoneticPr fontId="2" type="noConversion"/>
  </si>
  <si>
    <t>2월 유지정비료 - 13/16회</t>
    <phoneticPr fontId="2" type="noConversion"/>
  </si>
  <si>
    <t>1월 유지정비료 - 12/16회</t>
    <phoneticPr fontId="2" type="noConversion"/>
  </si>
  <si>
    <t>3월 유지정비료 - 14/16회</t>
    <phoneticPr fontId="2" type="noConversion"/>
  </si>
  <si>
    <t>케이씨씨오토</t>
    <phoneticPr fontId="2" type="noConversion"/>
  </si>
  <si>
    <t>리드피플</t>
    <phoneticPr fontId="2" type="noConversion"/>
  </si>
  <si>
    <t>엘지생활건강 청주공장 4월 유지정비료 - 3/12회</t>
    <phoneticPr fontId="2" type="noConversion"/>
  </si>
  <si>
    <t>4월 유지정비료 - 9/13회</t>
    <phoneticPr fontId="2" type="noConversion"/>
  </si>
  <si>
    <t>4월 유지정비료 - 2/12회</t>
    <phoneticPr fontId="2" type="noConversion"/>
  </si>
  <si>
    <t>대구텍 4월 유지정비료 - 4/6회</t>
    <phoneticPr fontId="2" type="noConversion"/>
  </si>
  <si>
    <t>전주교육대학교 4월 유지정비료 - 12/12회</t>
    <phoneticPr fontId="2" type="noConversion"/>
  </si>
  <si>
    <t>청주시청 4월 유지정비료 - 20/36회</t>
    <phoneticPr fontId="2" type="noConversion"/>
  </si>
  <si>
    <t>한미약품/한미사이언스 4월 유지정비료 - 4/12회</t>
    <phoneticPr fontId="2" type="noConversion"/>
  </si>
  <si>
    <t>도시바일렉 4월 유지정비료 - 10/12회</t>
    <phoneticPr fontId="2" type="noConversion"/>
  </si>
  <si>
    <t>키오시아(도시바) 4월 유지정비료 - 5/12회</t>
    <phoneticPr fontId="2" type="noConversion"/>
  </si>
  <si>
    <t>4월 유지정비료 - 8/13회</t>
    <phoneticPr fontId="2" type="noConversion"/>
  </si>
  <si>
    <t>세원정공 4월 유지정비료 - 10/12회</t>
    <phoneticPr fontId="2" type="noConversion"/>
  </si>
  <si>
    <t>두원정공 4월 유지정비료 - 9/11회</t>
    <phoneticPr fontId="2" type="noConversion"/>
  </si>
  <si>
    <t>컴퓨존</t>
    <phoneticPr fontId="2" type="noConversion"/>
  </si>
  <si>
    <t>D250402-02</t>
    <phoneticPr fontId="2" type="noConversion"/>
  </si>
  <si>
    <t>상품</t>
    <phoneticPr fontId="2" type="noConversion"/>
  </si>
  <si>
    <t>PC</t>
    <phoneticPr fontId="2" type="noConversion"/>
  </si>
  <si>
    <t>조립 PC</t>
    <phoneticPr fontId="2" type="noConversion"/>
  </si>
  <si>
    <t>스마트로 4월 유지정비료 - 4/12회</t>
    <phoneticPr fontId="2" type="noConversion"/>
  </si>
  <si>
    <t>4월 유지정비료 - 4/12회</t>
    <phoneticPr fontId="2" type="noConversion"/>
  </si>
  <si>
    <t>청주시청 4월 유지정비료 - 4/20회 추가</t>
    <phoneticPr fontId="2" type="noConversion"/>
  </si>
  <si>
    <t>와이케이케이 4월 유지정비료 - 4/12회</t>
    <phoneticPr fontId="2" type="noConversion"/>
  </si>
  <si>
    <t>성원제강 4월 유지정비료 - 25/36회</t>
    <phoneticPr fontId="2" type="noConversion"/>
  </si>
  <si>
    <t>교세라 4월 유지정비료 - 15/36회</t>
    <phoneticPr fontId="2" type="noConversion"/>
  </si>
  <si>
    <t>프레이저플레이스 4월 유지정비료 - 9/12회</t>
    <phoneticPr fontId="2" type="noConversion"/>
  </si>
  <si>
    <t>4월유지정비료 - 12/32회</t>
    <phoneticPr fontId="2" type="noConversion"/>
  </si>
  <si>
    <t>부국철강 4월 유지정비료 - 12/32 회</t>
    <phoneticPr fontId="2" type="noConversion"/>
  </si>
  <si>
    <t>4월 유지정비료 - 10/12회</t>
    <phoneticPr fontId="2" type="noConversion"/>
  </si>
  <si>
    <t>한일전기 4월 유지정비료 - 28/36회</t>
    <phoneticPr fontId="2" type="noConversion"/>
  </si>
  <si>
    <t>대한상공회의소 4월 유지정비료 - 6/12회</t>
    <phoneticPr fontId="2" type="noConversion"/>
  </si>
  <si>
    <t>문배철강 4월 유지정비료 - 25/36회</t>
    <phoneticPr fontId="2" type="noConversion"/>
  </si>
  <si>
    <t>4월 유지정비료 - 9/11회</t>
    <phoneticPr fontId="2" type="noConversion"/>
  </si>
  <si>
    <t>4월 유지정비료 - 8/12회</t>
    <phoneticPr fontId="2" type="noConversion"/>
  </si>
  <si>
    <t>완료(4/2)</t>
    <phoneticPr fontId="2" type="noConversion"/>
  </si>
  <si>
    <t>X</t>
    <phoneticPr fontId="2" type="noConversion"/>
  </si>
  <si>
    <t>에이트랙</t>
    <phoneticPr fontId="2" type="noConversion"/>
  </si>
  <si>
    <t>ZNJIYM</t>
  </si>
  <si>
    <t>SB-24019</t>
  </si>
  <si>
    <t>[LG전자] 슬림타워 데스크탑 Z80LV.AP47B3E 외</t>
    <phoneticPr fontId="2" type="noConversion"/>
  </si>
  <si>
    <t>IK-24014</t>
    <phoneticPr fontId="2" type="noConversion"/>
  </si>
  <si>
    <t>전북도시가스 1월 유지정비료 - 10/12회</t>
    <phoneticPr fontId="2" type="noConversion"/>
  </si>
  <si>
    <t>전북도시가스 2월 유지정비료 - 11/12회</t>
    <phoneticPr fontId="2" type="noConversion"/>
  </si>
  <si>
    <t>전북도시가스 3월 유지정비료 - 12/12회</t>
    <phoneticPr fontId="2" type="noConversion"/>
  </si>
  <si>
    <t>전북도시가스 4월 유지정비료 - 1/12회</t>
    <phoneticPr fontId="2" type="noConversion"/>
  </si>
  <si>
    <t>IK-25003</t>
    <phoneticPr fontId="2" type="noConversion"/>
  </si>
  <si>
    <t>IK-25002</t>
    <phoneticPr fontId="2" type="noConversion"/>
  </si>
  <si>
    <t>SM-25009</t>
    <phoneticPr fontId="2" type="noConversion"/>
  </si>
  <si>
    <t>SB-25015</t>
  </si>
  <si>
    <t>SB-25015</t>
    <phoneticPr fontId="2" type="noConversion"/>
  </si>
  <si>
    <t>ZBLJQA</t>
  </si>
  <si>
    <t>라온피플</t>
    <phoneticPr fontId="2" type="noConversion"/>
  </si>
  <si>
    <t>Y250403-02</t>
    <phoneticPr fontId="2" type="noConversion"/>
  </si>
  <si>
    <t>Y250403-01</t>
  </si>
  <si>
    <t>[마이크로닉스] Classic II 1050W 80PLUS GOLD 230V 외</t>
    <phoneticPr fontId="2" type="noConversion"/>
  </si>
  <si>
    <t>완료(4/3)</t>
    <phoneticPr fontId="2" type="noConversion"/>
  </si>
  <si>
    <t>S</t>
    <phoneticPr fontId="2" type="noConversion"/>
  </si>
  <si>
    <t>ZTMJAV</t>
    <phoneticPr fontId="2" type="noConversion"/>
  </si>
  <si>
    <t>동행시네마</t>
    <phoneticPr fontId="2" type="noConversion"/>
  </si>
  <si>
    <t>CGV안동 3월(3/27~3/31) 유지정비료 - 1/13회</t>
    <phoneticPr fontId="2" type="noConversion"/>
  </si>
  <si>
    <t>법인차량 구입(벤츠  GLE 450 4MATIC 283주3550)</t>
    <phoneticPr fontId="2" type="noConversion"/>
  </si>
  <si>
    <t xml:space="preserve">피에스케이(PSK) 5MS7A85708 DAN TC Labor Unit (Remote) </t>
    <phoneticPr fontId="2" type="noConversion"/>
  </si>
  <si>
    <t>ZGUKWA</t>
    <phoneticPr fontId="2" type="noConversion"/>
  </si>
  <si>
    <t>완료(4/4)</t>
    <phoneticPr fontId="2" type="noConversion"/>
  </si>
  <si>
    <t>BoardSystem 유지보수 - 4월 (7/12회)</t>
    <phoneticPr fontId="2" type="noConversion"/>
  </si>
  <si>
    <t>CGV안동 4월 유지정비료 - 2/13회</t>
    <phoneticPr fontId="2" type="noConversion"/>
  </si>
  <si>
    <t>매출연간</t>
    <phoneticPr fontId="2" type="noConversion"/>
  </si>
  <si>
    <t>완료(4/26법카)</t>
    <phoneticPr fontId="2" type="noConversion"/>
  </si>
  <si>
    <t>4월 유지정비료 - 19/36회</t>
    <phoneticPr fontId="2" type="noConversion"/>
  </si>
  <si>
    <t>4월분 SIOS Lifekeeper 유지보수료 - 3/12회</t>
    <phoneticPr fontId="2" type="noConversion"/>
  </si>
  <si>
    <t>BAT 통합 유지보수 4월분 - 4/12회</t>
    <phoneticPr fontId="2" type="noConversion"/>
  </si>
  <si>
    <t>파이오링크 L4 4월 유지정비료 - 4/12회</t>
    <phoneticPr fontId="2" type="noConversion"/>
  </si>
  <si>
    <t>메일호스팅 4월 - 9/12회</t>
    <phoneticPr fontId="2" type="noConversion"/>
  </si>
  <si>
    <t>4월 유지정비료 - 9/12회</t>
    <phoneticPr fontId="2" type="noConversion"/>
  </si>
  <si>
    <t>4월 오라클 유지정비료 - 4/12회</t>
    <phoneticPr fontId="2" type="noConversion"/>
  </si>
  <si>
    <t>명지병원 4월 정기점검 - 2/12회</t>
    <phoneticPr fontId="2" type="noConversion"/>
  </si>
  <si>
    <t>삼표시멘트 4월 유지정비료 4/12회</t>
    <phoneticPr fontId="2" type="noConversion"/>
  </si>
  <si>
    <t>안국약품 4월 기술지원료 - 4/12회</t>
    <phoneticPr fontId="2" type="noConversion"/>
  </si>
  <si>
    <t>4월 유지정비료 - 5/12회</t>
    <phoneticPr fontId="2" type="noConversion"/>
  </si>
  <si>
    <t>키오시아 4월 유지정비료 - 5/12회</t>
    <phoneticPr fontId="2" type="noConversion"/>
  </si>
  <si>
    <t>4월 유지정비료 - 5/9회</t>
    <phoneticPr fontId="2" type="noConversion"/>
  </si>
  <si>
    <t>4월 유지정비료 - 3/12회</t>
    <phoneticPr fontId="2" type="noConversion"/>
  </si>
  <si>
    <t>현대하이카 4월 유지정비료 - 3/11회</t>
    <phoneticPr fontId="2" type="noConversion"/>
  </si>
  <si>
    <t>4월 유지정비료 - 3/11회</t>
    <phoneticPr fontId="2" type="noConversion"/>
  </si>
  <si>
    <t>한미약품 4월 유지정비료 - 3/11회</t>
    <phoneticPr fontId="2" type="noConversion"/>
  </si>
  <si>
    <t>교보문고 4월 유지정비료 - 3/11회</t>
    <phoneticPr fontId="2" type="noConversion"/>
  </si>
  <si>
    <t>안국약품 4월 유지정비료 - 2/10회</t>
    <phoneticPr fontId="2" type="noConversion"/>
  </si>
  <si>
    <t>탑텍</t>
    <phoneticPr fontId="2" type="noConversion"/>
  </si>
  <si>
    <t>4월 유지정비료 - 1/12회</t>
    <phoneticPr fontId="2" type="noConversion"/>
  </si>
  <si>
    <t>4월 유지정비료 - 12/24회</t>
    <phoneticPr fontId="2" type="noConversion"/>
  </si>
  <si>
    <t>신세계 아이앤씨 4월 유지정비료 - 27/46회</t>
    <phoneticPr fontId="2" type="noConversion"/>
  </si>
  <si>
    <t>케이엠디엠</t>
    <phoneticPr fontId="2" type="noConversion"/>
  </si>
  <si>
    <t>SKB 4월 유지정비료 - 1/12회</t>
    <phoneticPr fontId="2" type="noConversion"/>
  </si>
  <si>
    <t>제이에스정보시스템</t>
  </si>
  <si>
    <t>시너지온</t>
    <phoneticPr fontId="2" type="noConversion"/>
  </si>
  <si>
    <t>건국대병원 4월 유지정비료 - 1/29회</t>
    <phoneticPr fontId="2" type="noConversion"/>
  </si>
  <si>
    <t>완료(4/7)</t>
    <phoneticPr fontId="2" type="noConversion"/>
  </si>
  <si>
    <t>00RY381</t>
    <phoneticPr fontId="2" type="noConversion"/>
  </si>
  <si>
    <t>Controller for V7000G2 (No Battery)</t>
    <phoneticPr fontId="2" type="noConversion"/>
  </si>
  <si>
    <t>H250328-02</t>
    <phoneticPr fontId="2" type="noConversion"/>
  </si>
  <si>
    <t>광명자이1811호 중개수수료</t>
    <phoneticPr fontId="2" type="noConversion"/>
  </si>
  <si>
    <t>완료(4/8)</t>
    <phoneticPr fontId="2" type="noConversion"/>
  </si>
  <si>
    <t>X</t>
    <phoneticPr fontId="2" type="noConversion"/>
  </si>
  <si>
    <t>결산조정료 2024년</t>
    <phoneticPr fontId="2" type="noConversion"/>
  </si>
  <si>
    <t>완료(4/9)</t>
    <phoneticPr fontId="2" type="noConversion"/>
  </si>
  <si>
    <t>신한회계법인</t>
    <phoneticPr fontId="2" type="noConversion"/>
  </si>
  <si>
    <t>완료(4/10)</t>
    <phoneticPr fontId="2" type="noConversion"/>
  </si>
  <si>
    <t>H250404-01</t>
  </si>
  <si>
    <t>H250409-01</t>
  </si>
  <si>
    <t>H250410-01</t>
  </si>
  <si>
    <t>00E9961</t>
  </si>
  <si>
    <t>IBM 1.2TB 10K SAS 6G</t>
  </si>
  <si>
    <t xml:space="preserve">44V3454 </t>
  </si>
  <si>
    <t>Fan for P6 550/P750</t>
  </si>
  <si>
    <t>VXRail 라이선스</t>
  </si>
  <si>
    <t>이비웨이브</t>
    <phoneticPr fontId="2" type="noConversion"/>
  </si>
  <si>
    <t>상품</t>
    <phoneticPr fontId="2" type="noConversion"/>
  </si>
  <si>
    <t>디지알코리아</t>
    <phoneticPr fontId="2" type="noConversion"/>
  </si>
  <si>
    <t>동원프라스틱</t>
    <phoneticPr fontId="2" type="noConversion"/>
  </si>
  <si>
    <t>알약</t>
    <phoneticPr fontId="2" type="noConversion"/>
  </si>
  <si>
    <t>알약 5.1 서버</t>
    <phoneticPr fontId="2" type="noConversion"/>
  </si>
  <si>
    <t>D250402-01</t>
    <phoneticPr fontId="2" type="noConversion"/>
  </si>
  <si>
    <t>Thinkway core d34dex 7-in1 Multi-port Hub 10개외</t>
    <phoneticPr fontId="2" type="noConversion"/>
  </si>
  <si>
    <t>무선 키보드 + 마우스</t>
  </si>
  <si>
    <t>LKM500 화이트</t>
  </si>
  <si>
    <t>LKM500 화이트 10개</t>
    <phoneticPr fontId="2" type="noConversion"/>
  </si>
  <si>
    <t>GPU</t>
    <phoneticPr fontId="2" type="noConversion"/>
  </si>
  <si>
    <t>Y250409-01</t>
    <phoneticPr fontId="2" type="noConversion"/>
  </si>
  <si>
    <t>현성솔루션</t>
    <phoneticPr fontId="2" type="noConversion"/>
  </si>
  <si>
    <t>상품</t>
    <phoneticPr fontId="2" type="noConversion"/>
  </si>
  <si>
    <t xml:space="preserve">500GB 2.5" SATA SSD </t>
  </si>
  <si>
    <t xml:space="preserve">2TB 2.5" SATA SSD </t>
  </si>
  <si>
    <t>SSD</t>
    <phoneticPr fontId="2" type="noConversion"/>
  </si>
  <si>
    <t>완료(4/11)</t>
    <phoneticPr fontId="2" type="noConversion"/>
  </si>
  <si>
    <t>H250318-02</t>
    <phoneticPr fontId="2" type="noConversion"/>
  </si>
  <si>
    <t xml:space="preserve">MSI 지포스 RTX 4060 Ti 벤투스 2X 블랙 OC D6 16GB </t>
    <phoneticPr fontId="2" type="noConversion"/>
  </si>
  <si>
    <t>TAHXA0208</t>
    <phoneticPr fontId="2" type="noConversion"/>
  </si>
  <si>
    <t>씨티아이앤씨</t>
    <phoneticPr fontId="2" type="noConversion"/>
  </si>
  <si>
    <t>MAPAC</t>
    <phoneticPr fontId="2" type="noConversion"/>
  </si>
  <si>
    <t>KBS SW연간(25.01.01~12.31)</t>
    <phoneticPr fontId="2" type="noConversion"/>
  </si>
  <si>
    <t>X</t>
    <phoneticPr fontId="2" type="noConversion"/>
  </si>
  <si>
    <t>ZQ07QG</t>
    <phoneticPr fontId="2" type="noConversion"/>
  </si>
  <si>
    <t>KBS HW 4월 유지정비료 - 4/12회</t>
    <phoneticPr fontId="2" type="noConversion"/>
  </si>
  <si>
    <t>SM-25014</t>
    <phoneticPr fontId="2" type="noConversion"/>
  </si>
  <si>
    <t>완료(4/14)</t>
    <phoneticPr fontId="2" type="noConversion"/>
  </si>
  <si>
    <t>Expeditors(익스피다이터스코리아)</t>
    <phoneticPr fontId="2" type="noConversion"/>
  </si>
  <si>
    <t>4월 유지정비료 - 1/37회</t>
    <phoneticPr fontId="2" type="noConversion"/>
  </si>
  <si>
    <t>ZZLYH2</t>
    <phoneticPr fontId="2" type="noConversion"/>
  </si>
  <si>
    <t>완료(4/15)</t>
    <phoneticPr fontId="2" type="noConversion"/>
  </si>
  <si>
    <t>KBS HW 1월 유지정비료 - 1/12회</t>
    <phoneticPr fontId="2" type="noConversion"/>
  </si>
  <si>
    <t>KBS HW 2월 유지정비료 - 2/12회</t>
    <phoneticPr fontId="2" type="noConversion"/>
  </si>
  <si>
    <t>KBS HW 3월 유지정비료 - 3/12회</t>
    <phoneticPr fontId="2" type="noConversion"/>
  </si>
  <si>
    <t>TruScale SM202400911-001-6</t>
    <phoneticPr fontId="2" type="noConversion"/>
  </si>
  <si>
    <t>완료(4/18)</t>
    <phoneticPr fontId="2" type="noConversion"/>
  </si>
  <si>
    <t>3월분관리비 과세분</t>
    <phoneticPr fontId="2" type="noConversion"/>
  </si>
  <si>
    <t>3월분관리비 면세분</t>
    <phoneticPr fontId="2" type="noConversion"/>
  </si>
  <si>
    <t>완료(4/21)</t>
    <phoneticPr fontId="2" type="noConversion"/>
  </si>
  <si>
    <t>법인차량(262무2108) 리스료898,500
선납렌탈료 551,270 -35/37회차</t>
    <phoneticPr fontId="2" type="noConversion"/>
  </si>
  <si>
    <t>자동이체898,500
(4/21)
선납551,270
(22/4/21)</t>
    <phoneticPr fontId="2" type="noConversion"/>
  </si>
  <si>
    <t>신동아건설</t>
    <phoneticPr fontId="2" type="noConversion"/>
  </si>
  <si>
    <t>SM-25015</t>
    <phoneticPr fontId="2" type="noConversion"/>
  </si>
  <si>
    <t>SM-25016</t>
    <phoneticPr fontId="2" type="noConversion"/>
  </si>
  <si>
    <t>SB-25017</t>
    <phoneticPr fontId="2" type="noConversion"/>
  </si>
  <si>
    <t>SB-25018</t>
    <phoneticPr fontId="2" type="noConversion"/>
  </si>
  <si>
    <t>SB-25019</t>
    <phoneticPr fontId="2" type="noConversion"/>
  </si>
  <si>
    <t>SB-25016</t>
    <phoneticPr fontId="2" type="noConversion"/>
  </si>
  <si>
    <t>SB-25020</t>
    <phoneticPr fontId="2" type="noConversion"/>
  </si>
  <si>
    <t>SM-24007</t>
    <phoneticPr fontId="2" type="noConversion"/>
  </si>
  <si>
    <t>SM-25010</t>
    <phoneticPr fontId="2" type="noConversion"/>
  </si>
  <si>
    <t>스토리지케이투</t>
    <phoneticPr fontId="2" type="noConversion"/>
  </si>
  <si>
    <t>TD RDX 4TB</t>
    <phoneticPr fontId="2" type="noConversion"/>
  </si>
  <si>
    <t>한국이러닝인재개발원</t>
    <phoneticPr fontId="2" type="noConversion"/>
  </si>
  <si>
    <t>일반경비</t>
    <phoneticPr fontId="2" type="noConversion"/>
  </si>
  <si>
    <t>교육비</t>
    <phoneticPr fontId="2" type="noConversion"/>
  </si>
  <si>
    <t>법정의무교육 2025년</t>
    <phoneticPr fontId="2" type="noConversion"/>
  </si>
  <si>
    <t>X</t>
    <phoneticPr fontId="2" type="noConversion"/>
  </si>
  <si>
    <t>완료(4/23)</t>
    <phoneticPr fontId="2" type="noConversion"/>
  </si>
  <si>
    <t>자동이체(4/25)</t>
    <phoneticPr fontId="2" type="noConversion"/>
  </si>
  <si>
    <t>4월 차량렌트(xm3 4429)-28/37회</t>
    <phoneticPr fontId="2" type="noConversion"/>
  </si>
  <si>
    <t>4월 선급금(xm3 4429)-28/37회</t>
    <phoneticPr fontId="2" type="noConversion"/>
  </si>
  <si>
    <t>4월 차량렌트(그랜저 8552)-37/49회</t>
    <phoneticPr fontId="2" type="noConversion"/>
  </si>
  <si>
    <t>4월 선급금(그랜저 8552)-37/49회</t>
    <phoneticPr fontId="2" type="noConversion"/>
  </si>
  <si>
    <t>4월 차량렌트(G80 3061)-37/49회</t>
    <phoneticPr fontId="2" type="noConversion"/>
  </si>
  <si>
    <t>4월 선급금(G80 3061)-37/49회</t>
    <phoneticPr fontId="2" type="noConversion"/>
  </si>
  <si>
    <t>4월 청소비</t>
    <phoneticPr fontId="2" type="noConversion"/>
  </si>
  <si>
    <t>4월 기장료</t>
    <phoneticPr fontId="2" type="noConversion"/>
  </si>
  <si>
    <t>기업(구내) 4월 인터넷 사용료</t>
    <phoneticPr fontId="2" type="noConversion"/>
  </si>
  <si>
    <t>B동 1201호 4월 관리비 -과세분</t>
    <phoneticPr fontId="2" type="noConversion"/>
  </si>
  <si>
    <t>B동 1201호 4월 관리비 -면세분</t>
    <phoneticPr fontId="2" type="noConversion"/>
  </si>
  <si>
    <t>s-erp 4월사용분</t>
    <phoneticPr fontId="2" type="noConversion"/>
  </si>
  <si>
    <t>2025-02-28
2025-02-28
2025-03-31
2025-03-31</t>
    <phoneticPr fontId="2" type="noConversion"/>
  </si>
  <si>
    <t>D250424-01</t>
    <phoneticPr fontId="2" type="noConversion"/>
  </si>
  <si>
    <t>리더스시스템즈</t>
    <phoneticPr fontId="2" type="noConversion"/>
  </si>
  <si>
    <t>GPU</t>
  </si>
  <si>
    <t>[NVIDIA] RTX 4000 Ada Generation D6 20GB</t>
  </si>
  <si>
    <t>신동아건설</t>
    <phoneticPr fontId="2" type="noConversion"/>
  </si>
  <si>
    <t>1~4월 기술지원료</t>
    <phoneticPr fontId="2" type="noConversion"/>
  </si>
  <si>
    <t>기술지원</t>
    <phoneticPr fontId="2" type="noConversion"/>
  </si>
  <si>
    <t>유니포인트</t>
    <phoneticPr fontId="2" type="noConversion"/>
  </si>
  <si>
    <t>분기</t>
    <phoneticPr fontId="2" type="noConversion"/>
  </si>
  <si>
    <t>교보문고 1Q 기술지원</t>
    <phoneticPr fontId="2" type="noConversion"/>
  </si>
  <si>
    <t>SM-24014</t>
    <phoneticPr fontId="2" type="noConversion"/>
  </si>
  <si>
    <t>1/20,2/20,3/20,4/20</t>
    <phoneticPr fontId="2" type="noConversion"/>
  </si>
  <si>
    <t>솔리드이엔지</t>
    <phoneticPr fontId="2" type="noConversion"/>
  </si>
  <si>
    <t>SB-23012</t>
    <phoneticPr fontId="2" type="noConversion"/>
  </si>
  <si>
    <t>국립기상과학원 19개월(23.01~24.7) 기술지원</t>
    <phoneticPr fontId="2" type="noConversion"/>
  </si>
  <si>
    <t>23/1/31~</t>
    <phoneticPr fontId="2" type="noConversion"/>
  </si>
  <si>
    <t>SM-25009</t>
    <phoneticPr fontId="2" type="noConversion"/>
  </si>
  <si>
    <t>4/30,5/31,6/30</t>
    <phoneticPr fontId="2" type="noConversion"/>
  </si>
  <si>
    <t>한미사이언스 2분기 기술지원</t>
    <phoneticPr fontId="2" type="noConversion"/>
  </si>
  <si>
    <t>25년 국립농업과학원 기술지원</t>
    <phoneticPr fontId="2" type="noConversion"/>
  </si>
  <si>
    <t>2/5,3/5,4/5</t>
    <phoneticPr fontId="2" type="noConversion"/>
  </si>
  <si>
    <t>완료(4/25)</t>
    <phoneticPr fontId="2" type="noConversion"/>
  </si>
  <si>
    <t>3/20,4/20</t>
    <phoneticPr fontId="2" type="noConversion"/>
  </si>
  <si>
    <t>TruScale SM20220628-002-30</t>
    <phoneticPr fontId="2" type="noConversion"/>
  </si>
  <si>
    <t>4/25,5/25,6/25</t>
    <phoneticPr fontId="2" type="noConversion"/>
  </si>
  <si>
    <t>1/31,2/28,3/31</t>
    <phoneticPr fontId="2" type="noConversion"/>
  </si>
  <si>
    <t>완료(4/25)</t>
    <phoneticPr fontId="2" type="noConversion"/>
  </si>
  <si>
    <t>완료(4/25)</t>
    <phoneticPr fontId="2" type="noConversion"/>
  </si>
  <si>
    <t>3~4월 기술지원료</t>
    <phoneticPr fontId="2" type="noConversion"/>
  </si>
  <si>
    <t>컴퓨존</t>
    <phoneticPr fontId="2" type="noConversion"/>
  </si>
  <si>
    <t>다올시스</t>
    <phoneticPr fontId="2" type="noConversion"/>
  </si>
  <si>
    <t>H250422-01</t>
    <phoneticPr fontId="2" type="noConversion"/>
  </si>
  <si>
    <t>상품</t>
    <phoneticPr fontId="2" type="noConversion"/>
  </si>
  <si>
    <t>RDX Media</t>
  </si>
  <si>
    <t>H250422-02</t>
  </si>
  <si>
    <t>H250423-01</t>
  </si>
  <si>
    <t>01LJ743</t>
  </si>
  <si>
    <t>V7000 Gen2+ Node Canister 624/AF</t>
  </si>
  <si>
    <t>836220-B21</t>
  </si>
  <si>
    <t>HPE 16GB (1x16GB) Dual Rank x4 DDR4-2400 CAS-17-17-17 Registered Memory Kit</t>
  </si>
  <si>
    <t>Y250409-01</t>
    <phoneticPr fontId="2" type="noConversion"/>
  </si>
  <si>
    <t>GBIC</t>
  </si>
  <si>
    <t>10Gbps 호환 Gbic</t>
  </si>
  <si>
    <t>완료(4/28)</t>
    <phoneticPr fontId="2" type="noConversion"/>
  </si>
  <si>
    <t>Y250428-01</t>
    <phoneticPr fontId="2" type="noConversion"/>
  </si>
  <si>
    <t>이룸에스앤앤</t>
    <phoneticPr fontId="2" type="noConversion"/>
  </si>
  <si>
    <t>D250424-01</t>
    <phoneticPr fontId="2" type="noConversion"/>
  </si>
  <si>
    <t>조립PC</t>
    <phoneticPr fontId="2" type="noConversion"/>
  </si>
  <si>
    <t>Y250424-02</t>
    <phoneticPr fontId="2" type="noConversion"/>
  </si>
  <si>
    <t>다올이앤씨</t>
    <phoneticPr fontId="2" type="noConversion"/>
  </si>
  <si>
    <t>Lenovo SR650v3 Server (2U)</t>
    <phoneticPr fontId="2" type="noConversion"/>
  </si>
  <si>
    <t>서버</t>
    <phoneticPr fontId="2" type="noConversion"/>
  </si>
  <si>
    <t>아이티스톤</t>
    <phoneticPr fontId="2" type="noConversion"/>
  </si>
  <si>
    <t xml:space="preserve">AD Migration Technical Support </t>
    <phoneticPr fontId="2" type="noConversion"/>
  </si>
  <si>
    <t>Lenovo SR630v2</t>
    <phoneticPr fontId="2" type="noConversion"/>
  </si>
  <si>
    <t>에스엠티정보기술</t>
    <phoneticPr fontId="2" type="noConversion"/>
  </si>
  <si>
    <t>기술지원</t>
    <phoneticPr fontId="2" type="noConversion"/>
  </si>
  <si>
    <t xml:space="preserve">OS </t>
  </si>
  <si>
    <t>Windows Server 2022 Standard ROK (16 core) 외 Cal 5User</t>
    <phoneticPr fontId="2" type="noConversion"/>
  </si>
  <si>
    <t>에이피에스</t>
    <phoneticPr fontId="2" type="noConversion"/>
  </si>
  <si>
    <t>일반경비</t>
    <phoneticPr fontId="2" type="noConversion"/>
  </si>
  <si>
    <t xml:space="preserve">E350(262무2108) 반납 원상복구비용 </t>
    <phoneticPr fontId="2" type="noConversion"/>
  </si>
  <si>
    <t>조이젠</t>
    <phoneticPr fontId="2" type="noConversion"/>
  </si>
  <si>
    <t>CPU</t>
  </si>
  <si>
    <t>[INTEL] 코어 i7-14700 정품박스 (랩터레이크 리프레시/2.1GHz)</t>
  </si>
  <si>
    <t>브리티쉬아메리칸토바코</t>
    <phoneticPr fontId="2" type="noConversion"/>
  </si>
  <si>
    <t>완료(4/29)</t>
    <phoneticPr fontId="2" type="noConversion"/>
  </si>
  <si>
    <t>ZKGVNQ</t>
    <phoneticPr fontId="2" type="noConversion"/>
  </si>
  <si>
    <t>[SK]Platinum P41 M1.2 NVMe 2280 1TB</t>
    <phoneticPr fontId="2" type="noConversion"/>
  </si>
  <si>
    <t>환불(4/29)</t>
    <phoneticPr fontId="2" type="noConversion"/>
  </si>
  <si>
    <t>[SK]Platinum P41 M1.2 NVMe 2280 2TB</t>
    <phoneticPr fontId="2" type="noConversion"/>
  </si>
  <si>
    <t>광양항서부컨테이너터미널</t>
    <phoneticPr fontId="2" type="noConversion"/>
  </si>
  <si>
    <t>시스게이트</t>
    <phoneticPr fontId="2" type="noConversion"/>
  </si>
  <si>
    <t>네임택</t>
  </si>
  <si>
    <t>열쇠 총기함 열쇠고리 이름표 네임택 usb 주기표 50개</t>
  </si>
  <si>
    <t>USB 메모리 64GB</t>
  </si>
  <si>
    <t>샌디스크 USB C타입 울트라 듀얼 Drive Go DDC3 + 고리줄 64GB</t>
  </si>
  <si>
    <t>USB 메모리 128GB</t>
  </si>
  <si>
    <t>샌디스크 USB C타입 울트라 듀얼 Drive Go DDC3 + 고리줄 128GB</t>
  </si>
  <si>
    <t>Y250414-01</t>
    <phoneticPr fontId="2" type="noConversion"/>
  </si>
  <si>
    <t>매출연간</t>
    <phoneticPr fontId="2" type="noConversion"/>
  </si>
  <si>
    <t>완료(4/30)</t>
    <phoneticPr fontId="2" type="noConversion"/>
  </si>
  <si>
    <t>완료</t>
    <phoneticPr fontId="2" type="noConversion"/>
  </si>
  <si>
    <t>완료(4/30)</t>
    <phoneticPr fontId="2" type="noConversion"/>
  </si>
  <si>
    <t>BoardSystem 유지보수 - 5월 (8/12회)</t>
    <phoneticPr fontId="2" type="noConversion"/>
  </si>
  <si>
    <t>4월 퀵운송료</t>
    <phoneticPr fontId="2" type="noConversion"/>
  </si>
  <si>
    <t xml:space="preserve">ThinkSystem 2.5" 1TB 7.2K SATA 6Gb Hot Swap 512n HDD </t>
    <phoneticPr fontId="2" type="noConversion"/>
  </si>
  <si>
    <t>호원대학교 4월 유지정비료 - 11/13회</t>
    <phoneticPr fontId="2" type="noConversion"/>
  </si>
  <si>
    <t>이녹스 4월 유지정비료 - 11/12회</t>
    <phoneticPr fontId="2" type="noConversion"/>
  </si>
  <si>
    <t>경북소방본부 4월 유지정비료 - 11/12회</t>
    <phoneticPr fontId="2" type="noConversion"/>
  </si>
  <si>
    <t>대한산업보건협회 4월 유지정비료 - 12/12회</t>
    <phoneticPr fontId="2" type="noConversion"/>
  </si>
  <si>
    <t>롯데하이마트 4월 유지정비료 - 11/13회</t>
    <phoneticPr fontId="2" type="noConversion"/>
  </si>
  <si>
    <t>4월 유지정비료 - 11/13회</t>
    <phoneticPr fontId="2" type="noConversion"/>
  </si>
  <si>
    <t>산업은행 4월 유지정비료 - 28/36회</t>
    <phoneticPr fontId="2" type="noConversion"/>
  </si>
  <si>
    <t>동두천드림파워 4월 유지정비료 - 28/36회</t>
    <phoneticPr fontId="2" type="noConversion"/>
  </si>
  <si>
    <t>국립기상과학원 4월 유지정비료-추가 11/12회</t>
    <phoneticPr fontId="2" type="noConversion"/>
  </si>
  <si>
    <t>애플코리아 #2 25년 4월 유지정비료 - 34/69회</t>
    <phoneticPr fontId="2" type="noConversion"/>
  </si>
  <si>
    <t>외교부 4월 유지정비료 - 11/12회</t>
    <phoneticPr fontId="2" type="noConversion"/>
  </si>
  <si>
    <t>4월 유지정비료 - 17/18회</t>
    <phoneticPr fontId="2" type="noConversion"/>
  </si>
  <si>
    <t>코클리어 4월 유지정비료 - 13/30회</t>
    <phoneticPr fontId="2" type="noConversion"/>
  </si>
  <si>
    <t>서울디자인재단 4월유지정비료 - 4/12회</t>
    <phoneticPr fontId="2" type="noConversion"/>
  </si>
  <si>
    <t>국립농업과학원 - 4월유지정비료 - 16/24회</t>
    <phoneticPr fontId="2" type="noConversion"/>
  </si>
  <si>
    <t>4월 유지정비료 - 15/16회</t>
    <phoneticPr fontId="2" type="noConversion"/>
  </si>
  <si>
    <t>엘지유플러스(LG U+) 4월 유지정비료 - 17/37회</t>
    <phoneticPr fontId="2" type="noConversion"/>
  </si>
  <si>
    <t>4월 유지정비료 - 4/13회</t>
    <phoneticPr fontId="2" type="noConversion"/>
  </si>
  <si>
    <t>4월유지정비료 - 10/12회</t>
    <phoneticPr fontId="2" type="noConversion"/>
  </si>
  <si>
    <t>LX홀딩스 4월 유지정비료 - 10/12회</t>
    <phoneticPr fontId="2" type="noConversion"/>
  </si>
  <si>
    <t>한우리아이티 HW 4월 유지정비료 - 9/13회</t>
    <phoneticPr fontId="2" type="noConversion"/>
  </si>
  <si>
    <t>웰컴저축은행 4월 유지정비료 - 9/12회</t>
    <phoneticPr fontId="2" type="noConversion"/>
  </si>
  <si>
    <t>삼성중공업 4월 유지정비료 - 8/16회</t>
    <phoneticPr fontId="2" type="noConversion"/>
  </si>
  <si>
    <t>4월 유지정비료 - 7/13회</t>
    <phoneticPr fontId="2" type="noConversion"/>
  </si>
  <si>
    <t>유아이티 4월 유지정비료 - 7/13회</t>
    <phoneticPr fontId="2" type="noConversion"/>
  </si>
  <si>
    <t>포스코 4월 유지정비료 - 7/15회</t>
    <phoneticPr fontId="2" type="noConversion"/>
  </si>
  <si>
    <t>포스코 4월 유지정비료 - 6/14회</t>
    <phoneticPr fontId="2" type="noConversion"/>
  </si>
  <si>
    <t>신성통상 4월 유지정비료 - 5/12회</t>
    <phoneticPr fontId="2" type="noConversion"/>
  </si>
  <si>
    <t>롯데정보통신 4월 유지정비료 - 4/12회</t>
    <phoneticPr fontId="2" type="noConversion"/>
  </si>
  <si>
    <t>4월 유지정비료 - 5/18회</t>
    <phoneticPr fontId="2" type="noConversion"/>
  </si>
  <si>
    <t>한우리아이티 4월 유지정비료 - 4/7회</t>
    <phoneticPr fontId="2" type="noConversion"/>
  </si>
  <si>
    <t>중국광대은행 4월 유지정비료 - 5/12회</t>
    <phoneticPr fontId="2" type="noConversion"/>
  </si>
  <si>
    <t>안산시청 4월 유지정비료 - 4/24회</t>
    <phoneticPr fontId="2" type="noConversion"/>
  </si>
  <si>
    <t>이원(E1)컨테이너터미널 4월 유지정비료 4/12회</t>
    <phoneticPr fontId="2" type="noConversion"/>
  </si>
  <si>
    <t>이원(E1)컨테이너터미널 4월 유지정비료 - 4/12회</t>
    <phoneticPr fontId="2" type="noConversion"/>
  </si>
  <si>
    <t>HB(에이치비)저축은행 4월 유지정비료 - 4/12회</t>
    <phoneticPr fontId="2" type="noConversion"/>
  </si>
  <si>
    <t>안국약품 4월 유지정비료 - 4/12회</t>
    <phoneticPr fontId="2" type="noConversion"/>
  </si>
  <si>
    <t>한림대학교HW 4월 유지정비료 - 2/12회</t>
    <phoneticPr fontId="2" type="noConversion"/>
  </si>
  <si>
    <t>삼성중공업 4월 유지정비료 - 4/12회</t>
    <phoneticPr fontId="2" type="noConversion"/>
  </si>
  <si>
    <t>SK실트론 4월 유지정비료 - 4/12회</t>
    <phoneticPr fontId="2" type="noConversion"/>
  </si>
  <si>
    <t>SBS 4월 유지정비료 - 4/12회</t>
    <phoneticPr fontId="2" type="noConversion"/>
  </si>
  <si>
    <t>피에스케이(PSK) 4월 유지정비료 - 4/17회</t>
    <phoneticPr fontId="2" type="noConversion"/>
  </si>
  <si>
    <t>삼성전자 4월분 - 6/13회</t>
    <phoneticPr fontId="2" type="noConversion"/>
  </si>
  <si>
    <t>대동도어 4월 유지정비료 - 3/13회</t>
    <phoneticPr fontId="2" type="noConversion"/>
  </si>
  <si>
    <t>메타넷디지털 25년 4월 - 13/21회</t>
    <phoneticPr fontId="2" type="noConversion"/>
  </si>
  <si>
    <t>코리아미카사 25년 4월 유지정비료 - 16/25회</t>
    <phoneticPr fontId="2" type="noConversion"/>
  </si>
  <si>
    <t>LG AI 4월 유지정비료 - 4/12회</t>
    <phoneticPr fontId="2" type="noConversion"/>
  </si>
  <si>
    <t>매출연간</t>
    <phoneticPr fontId="2" type="noConversion"/>
  </si>
  <si>
    <t>ZNJIYM</t>
    <phoneticPr fontId="2" type="noConversion"/>
  </si>
  <si>
    <t>ZQIURA</t>
  </si>
  <si>
    <t>케이아이티앤씨</t>
    <phoneticPr fontId="2" type="noConversion"/>
  </si>
  <si>
    <t>인천국제공항공사 4월 유지정비료 - 4/12회</t>
    <phoneticPr fontId="2" type="noConversion"/>
  </si>
  <si>
    <t>SB-25017</t>
  </si>
  <si>
    <t>도시바일렉 5월 유지정비료 - 11/12회</t>
    <phoneticPr fontId="2" type="noConversion"/>
  </si>
  <si>
    <t>보안용역 월정료 5월분</t>
    <phoneticPr fontId="2" type="noConversion"/>
  </si>
  <si>
    <t>두원정공 5월 유지정비료 - 10/11회</t>
    <phoneticPr fontId="2" type="noConversion"/>
  </si>
  <si>
    <t>세원정공 5월 유지정비료 - 11/12회</t>
    <phoneticPr fontId="2" type="noConversion"/>
  </si>
  <si>
    <t>5월 유지정비료 - 9/13회</t>
    <phoneticPr fontId="2" type="noConversion"/>
  </si>
  <si>
    <t>키오시아(도시바) 5월 유지정비료 - 6/12회</t>
    <phoneticPr fontId="2" type="noConversion"/>
  </si>
  <si>
    <t>한미약품/한미사이언스 5월 유지정비료 - 5/12회</t>
    <phoneticPr fontId="2" type="noConversion"/>
  </si>
  <si>
    <t>전북도시가스 5월 유지정비료 - 2/12회</t>
    <phoneticPr fontId="2" type="noConversion"/>
  </si>
  <si>
    <t>엘지생활건강 청주공장 5월 유지정비료 - 4/12회</t>
    <phoneticPr fontId="2" type="noConversion"/>
  </si>
  <si>
    <t>5월 유지정비료 - 13/24회</t>
    <phoneticPr fontId="2" type="noConversion"/>
  </si>
  <si>
    <t>5월 유지정비료 - 10/13회</t>
    <phoneticPr fontId="2" type="noConversion"/>
  </si>
  <si>
    <t>스마트로 5월 유지정비료 - 5/12회</t>
    <phoneticPr fontId="2" type="noConversion"/>
  </si>
  <si>
    <t>청주시청 5월 유지정비료 - 21/36회</t>
    <phoneticPr fontId="2" type="noConversion"/>
  </si>
  <si>
    <t>5월 유지정비료 - 12/12회</t>
    <phoneticPr fontId="2" type="noConversion"/>
  </si>
  <si>
    <t>5월 유지정비료 - 5/12회</t>
    <phoneticPr fontId="2" type="noConversion"/>
  </si>
  <si>
    <t>청주시청 5월 유지정비료 - 5/20회 추가</t>
    <phoneticPr fontId="2" type="noConversion"/>
  </si>
  <si>
    <t>H250421-01</t>
    <phoneticPr fontId="2" type="noConversion"/>
  </si>
  <si>
    <t>케이엠디엠</t>
    <phoneticPr fontId="2" type="noConversion"/>
  </si>
  <si>
    <t>장비임대</t>
    <phoneticPr fontId="2" type="noConversion"/>
  </si>
  <si>
    <t>티에스씨인포</t>
    <phoneticPr fontId="2" type="noConversion"/>
  </si>
  <si>
    <t>H250421-02</t>
  </si>
  <si>
    <t>H250421-03</t>
  </si>
  <si>
    <t>90Y8954</t>
  </si>
  <si>
    <t>500GB 7.2K 6G SAS 2.5inch Hard Drive</t>
  </si>
  <si>
    <t>42D0678</t>
  </si>
  <si>
    <t>146GB 15K 6G SAS 2.5inch Hard Drive</t>
  </si>
  <si>
    <t>600GB 10K 6G SAS 2.5inch Hard Dr</t>
    <phoneticPr fontId="2" type="noConversion"/>
  </si>
  <si>
    <t xml:space="preserve">00L4521 </t>
    <phoneticPr fontId="2" type="noConversion"/>
  </si>
  <si>
    <t>750GB 7.2K SATA 3.5inch Hard Dri</t>
    <phoneticPr fontId="2" type="noConversion"/>
  </si>
  <si>
    <t>835w Power Supply for X3650</t>
    <phoneticPr fontId="2" type="noConversion"/>
  </si>
  <si>
    <t xml:space="preserve">39Y7377 </t>
    <phoneticPr fontId="2" type="noConversion"/>
  </si>
  <si>
    <t>System Board for X3650</t>
    <phoneticPr fontId="2" type="noConversion"/>
  </si>
  <si>
    <t xml:space="preserve">43W8250 </t>
  </si>
  <si>
    <t>00TKYT</t>
  </si>
  <si>
    <t>Dell 2U 슬라이딩 레일킷</t>
  </si>
  <si>
    <t>HP DL380G10 Server 임대(04/18-05/17)</t>
    <phoneticPr fontId="2" type="noConversion"/>
  </si>
  <si>
    <t>43W9715</t>
    <phoneticPr fontId="2" type="noConversion"/>
  </si>
  <si>
    <t>D250418-01</t>
    <phoneticPr fontId="2" type="noConversion"/>
  </si>
  <si>
    <t>5월 유지정비료 - 3/12회</t>
    <phoneticPr fontId="2" type="noConversion"/>
  </si>
  <si>
    <t>매출연간</t>
    <phoneticPr fontId="2" type="noConversion"/>
  </si>
  <si>
    <t>완료(5/7)</t>
    <phoneticPr fontId="2" type="noConversion"/>
  </si>
  <si>
    <t>H250428-01</t>
    <phoneticPr fontId="2" type="noConversion"/>
  </si>
  <si>
    <t>MA</t>
    <phoneticPr fontId="2" type="noConversion"/>
  </si>
  <si>
    <t>H250428-02</t>
    <phoneticPr fontId="2" type="noConversion"/>
  </si>
  <si>
    <t>H250430-01</t>
    <phoneticPr fontId="2" type="noConversion"/>
  </si>
  <si>
    <t>우리에스아이티</t>
    <phoneticPr fontId="2" type="noConversion"/>
  </si>
  <si>
    <t>H250507-01</t>
    <phoneticPr fontId="2" type="noConversion"/>
  </si>
  <si>
    <t>LX(엘엑스)세미콘 2월 유지정비료 - 1/47회</t>
    <phoneticPr fontId="2" type="noConversion"/>
  </si>
  <si>
    <t>LX(엘엑스)세미콘 3월 유지정비료 - 2/47회</t>
    <phoneticPr fontId="2" type="noConversion"/>
  </si>
  <si>
    <t>LX(엘엑스)세미콘 4월 유지정비료 - 3/47회</t>
    <phoneticPr fontId="2" type="noConversion"/>
  </si>
  <si>
    <t>5월 유지정비료 - 10/11회</t>
    <phoneticPr fontId="2" type="noConversion"/>
  </si>
  <si>
    <t>와이케이케이 5월 유지정비료 - 5/12회</t>
    <phoneticPr fontId="2" type="noConversion"/>
  </si>
  <si>
    <t>성원제강 5월 유지정비료 - 26/36회</t>
    <phoneticPr fontId="2" type="noConversion"/>
  </si>
  <si>
    <t>교세라 5월 유지정비료 - 16/36회</t>
    <phoneticPr fontId="2" type="noConversion"/>
  </si>
  <si>
    <t>프레이저플레이스 5월 유지정비료 - 10/12회</t>
    <phoneticPr fontId="2" type="noConversion"/>
  </si>
  <si>
    <t>5월유지정비료 - 13/32회</t>
    <phoneticPr fontId="2" type="noConversion"/>
  </si>
  <si>
    <t>부국철강 5월 유지정비료 - 13/32 회</t>
    <phoneticPr fontId="2" type="noConversion"/>
  </si>
  <si>
    <t>5월 유지정비료 - 11/12회</t>
    <phoneticPr fontId="2" type="noConversion"/>
  </si>
  <si>
    <t>한일전기 5월 유지정비료 - 29/36회</t>
    <phoneticPr fontId="2" type="noConversion"/>
  </si>
  <si>
    <t>문배철강 5월 유지정비료 - 26/36회</t>
    <phoneticPr fontId="2" type="noConversion"/>
  </si>
  <si>
    <t>5월 유지정비료 - 9/12회</t>
    <phoneticPr fontId="2" type="noConversion"/>
  </si>
  <si>
    <t>생수  4통</t>
    <phoneticPr fontId="2" type="noConversion"/>
  </si>
  <si>
    <t>컴퓨존</t>
    <phoneticPr fontId="2" type="noConversion"/>
  </si>
  <si>
    <t>S</t>
    <phoneticPr fontId="2" type="noConversion"/>
  </si>
  <si>
    <t>상품</t>
    <phoneticPr fontId="2" type="noConversion"/>
  </si>
  <si>
    <t>연간</t>
  </si>
  <si>
    <t>항온항습기 유지보수 (25.05.01~26.04.30)</t>
  </si>
  <si>
    <t>FMS 유지보수 (25.05.01~26.04.30)</t>
  </si>
  <si>
    <t>Y250508-01</t>
    <phoneticPr fontId="2" type="noConversion"/>
  </si>
  <si>
    <t>한국교과서협회</t>
    <phoneticPr fontId="2" type="noConversion"/>
  </si>
  <si>
    <t xml:space="preserve">Synology RS1221RP+ 8TB x8 </t>
    <phoneticPr fontId="2" type="noConversion"/>
  </si>
  <si>
    <t>스토리지</t>
    <phoneticPr fontId="2" type="noConversion"/>
  </si>
  <si>
    <t>완료(5/8)</t>
    <phoneticPr fontId="2" type="noConversion"/>
  </si>
  <si>
    <t>Y250424-01</t>
    <phoneticPr fontId="2" type="noConversion"/>
  </si>
  <si>
    <t>삼표산업</t>
    <phoneticPr fontId="2" type="noConversion"/>
  </si>
  <si>
    <t>매출분기</t>
    <phoneticPr fontId="2" type="noConversion"/>
  </si>
  <si>
    <t>국회방송 10월 유지정비료 - 1/15회</t>
    <phoneticPr fontId="2" type="noConversion"/>
  </si>
  <si>
    <t>국회방송 11월 유지정비료 - 2/15회</t>
    <phoneticPr fontId="2" type="noConversion"/>
  </si>
  <si>
    <t>국회방송 12월 유지정비료 - 3/15회</t>
    <phoneticPr fontId="2" type="noConversion"/>
  </si>
  <si>
    <t>국회방송 1월 유지정비료 - 4/15회</t>
    <phoneticPr fontId="2" type="noConversion"/>
  </si>
  <si>
    <t>국회방송 2월 유지정비료 - 5/15회</t>
    <phoneticPr fontId="2" type="noConversion"/>
  </si>
  <si>
    <t>국회방송 3월 유지정비료 - 6/15회</t>
    <phoneticPr fontId="2" type="noConversion"/>
  </si>
  <si>
    <t>국회방송 4월 유지정비료 - 7/15회</t>
    <phoneticPr fontId="2" type="noConversion"/>
  </si>
  <si>
    <t>완료(5/26법카)</t>
    <phoneticPr fontId="2" type="noConversion"/>
  </si>
  <si>
    <t>5월 유지정비료 - 18/18회</t>
    <phoneticPr fontId="2" type="noConversion"/>
  </si>
  <si>
    <t>완료(5/12)</t>
    <phoneticPr fontId="2" type="noConversion"/>
  </si>
  <si>
    <t>자동이체(5/12)</t>
    <phoneticPr fontId="2" type="noConversion"/>
  </si>
  <si>
    <t>포인트구매</t>
    <phoneticPr fontId="2" type="noConversion"/>
  </si>
  <si>
    <t>Case</t>
    <phoneticPr fontId="2" type="noConversion"/>
  </si>
  <si>
    <t>[Antec]P20CE ELITE 6Fan 미들타워</t>
    <phoneticPr fontId="2" type="noConversion"/>
  </si>
  <si>
    <t>SB-25023</t>
    <phoneticPr fontId="2" type="noConversion"/>
  </si>
  <si>
    <t>매출연간</t>
    <phoneticPr fontId="2" type="noConversion"/>
  </si>
  <si>
    <t>이룸에스앤앤</t>
    <phoneticPr fontId="2" type="noConversion"/>
  </si>
  <si>
    <t>Y250424-02</t>
    <phoneticPr fontId="2" type="noConversion"/>
  </si>
  <si>
    <t>Windows Server 2022 Standard ROK (16 core) - MultiLang</t>
  </si>
  <si>
    <t>Windows Server 2022 CAL (5 User)</t>
    <phoneticPr fontId="2" type="noConversion"/>
  </si>
  <si>
    <t xml:space="preserve">OS </t>
    <phoneticPr fontId="2" type="noConversion"/>
  </si>
  <si>
    <t>CAL</t>
    <phoneticPr fontId="2" type="noConversion"/>
  </si>
  <si>
    <t>.</t>
    <phoneticPr fontId="2" type="noConversion"/>
  </si>
  <si>
    <t>5월 퀵운송료</t>
    <phoneticPr fontId="2" type="noConversion"/>
  </si>
  <si>
    <t>s-erp 5월사용분</t>
    <phoneticPr fontId="2" type="noConversion"/>
  </si>
  <si>
    <t>자동이체(6/10)</t>
    <phoneticPr fontId="2" type="noConversion"/>
  </si>
  <si>
    <t>5월 기장료</t>
    <phoneticPr fontId="2" type="noConversion"/>
  </si>
  <si>
    <t>기업(구내) 5월 인터넷 사용료</t>
    <phoneticPr fontId="2" type="noConversion"/>
  </si>
  <si>
    <t>B동 1201호 5월 관리비 -면세분</t>
    <phoneticPr fontId="2" type="noConversion"/>
  </si>
  <si>
    <t>B동 1201호 5월 관리비 -과세분</t>
    <phoneticPr fontId="2" type="noConversion"/>
  </si>
  <si>
    <t>5월 청소비</t>
    <phoneticPr fontId="2" type="noConversion"/>
  </si>
  <si>
    <t>5월 선급금(G80 3061)-38/49회</t>
    <phoneticPr fontId="2" type="noConversion"/>
  </si>
  <si>
    <t>자동이체(5/25)</t>
    <phoneticPr fontId="2" type="noConversion"/>
  </si>
  <si>
    <t>5월 차량렌트(G80 3061)-38/49회</t>
    <phoneticPr fontId="2" type="noConversion"/>
  </si>
  <si>
    <t>5월 선급금(그랜저 8552)-38/49회</t>
    <phoneticPr fontId="2" type="noConversion"/>
  </si>
  <si>
    <t>5월 차량렌트(그랜저 8552)-38/49회</t>
    <phoneticPr fontId="2" type="noConversion"/>
  </si>
  <si>
    <t>5월 차량렌트(xm3 4429)-29/37회</t>
    <phoneticPr fontId="2" type="noConversion"/>
  </si>
  <si>
    <t>5월 선급금(xm3 4429)-29/37회</t>
    <phoneticPr fontId="2" type="noConversion"/>
  </si>
  <si>
    <t>국립기상과학원 5월 유지정비료-추가 12/12회</t>
    <phoneticPr fontId="2" type="noConversion"/>
  </si>
  <si>
    <t>삼성중공업 5월 유지정비료 - 5/12회</t>
    <phoneticPr fontId="2" type="noConversion"/>
  </si>
  <si>
    <t>SB-25022</t>
  </si>
  <si>
    <t>한국도로공사 25.5월 유지정비료 - 20/39회</t>
    <phoneticPr fontId="2" type="noConversion"/>
  </si>
  <si>
    <t>ZGHZZL</t>
    <phoneticPr fontId="2" type="noConversion"/>
  </si>
  <si>
    <t>한국도로공사 23.10월 유지정비료 - 1/39회</t>
    <phoneticPr fontId="2" type="noConversion"/>
  </si>
  <si>
    <t>한국도로공사 23.11월 유지정비료 - 2/39회</t>
    <phoneticPr fontId="2" type="noConversion"/>
  </si>
  <si>
    <t>한국도로공사 23.12월 유지정비료 - 3/39회</t>
    <phoneticPr fontId="2" type="noConversion"/>
  </si>
  <si>
    <t>신세계 아이앤씨 5월 유지정비료 - 28/46회</t>
    <phoneticPr fontId="2" type="noConversion"/>
  </si>
  <si>
    <t>롯데하이마트 5월 유지정비료 - 12/13회</t>
    <phoneticPr fontId="2" type="noConversion"/>
  </si>
  <si>
    <t>서울디자인재단 5월유지정비료 - 5/12회</t>
    <phoneticPr fontId="2" type="noConversion"/>
  </si>
  <si>
    <t>국립농업과학원 - 5월유지정비료 - 17/24회</t>
    <phoneticPr fontId="2" type="noConversion"/>
  </si>
  <si>
    <t>LX홀딩스 5월 유지정비료 - 11/12회</t>
    <phoneticPr fontId="2" type="noConversion"/>
  </si>
  <si>
    <t>웰컴저축은행 5월 유지정비료 - 10/12회</t>
    <phoneticPr fontId="2" type="noConversion"/>
  </si>
  <si>
    <t>롯데정보통신 5월 유지정비료 - 5/12회</t>
    <phoneticPr fontId="2" type="noConversion"/>
  </si>
  <si>
    <t>엘지유플러스(LG U+) 5월 유지정비료 - 18/37회</t>
    <phoneticPr fontId="2" type="noConversion"/>
  </si>
  <si>
    <t>LX(엘엑스)세미콘 5월 유지정비료 - 4/47회</t>
    <phoneticPr fontId="2" type="noConversion"/>
  </si>
  <si>
    <t>LG AI 5월 유지정비료 - 5/12회</t>
    <phoneticPr fontId="2" type="noConversion"/>
  </si>
  <si>
    <t>안산시청 5월 유지정비료 - 5/24회</t>
    <phoneticPr fontId="2" type="noConversion"/>
  </si>
  <si>
    <t>이원(E1)컨테이너터미널 5월 유지정비료 - 5/12회</t>
    <phoneticPr fontId="2" type="noConversion"/>
  </si>
  <si>
    <t>이녹스 5월 유지정비료 - 12/12회</t>
    <phoneticPr fontId="2" type="noConversion"/>
  </si>
  <si>
    <t>5월유지정비료 - 11/12회</t>
    <phoneticPr fontId="2" type="noConversion"/>
  </si>
  <si>
    <t>산업은행 5월 유지정비료 - 29/36회</t>
    <phoneticPr fontId="2" type="noConversion"/>
  </si>
  <si>
    <t>동두천드림파워 5월 유지정비료 - 29/36회</t>
    <phoneticPr fontId="2" type="noConversion"/>
  </si>
  <si>
    <t>애플코리아 #2 25년 5월 유지정비료 - 35/69회</t>
    <phoneticPr fontId="2" type="noConversion"/>
  </si>
  <si>
    <t>OK데이터시스템HW 5월 유지정비료 - 2/14회</t>
    <phoneticPr fontId="2" type="noConversion"/>
  </si>
  <si>
    <t>외교부 5월 유지정비료 - 12/12회</t>
    <phoneticPr fontId="2" type="noConversion"/>
  </si>
  <si>
    <t>코클리어 5월 유지정비료 - 14/30회</t>
    <phoneticPr fontId="2" type="noConversion"/>
  </si>
  <si>
    <t>5월 유지정비료 - 16/16회</t>
    <phoneticPr fontId="2" type="noConversion"/>
  </si>
  <si>
    <t>경북소방본부 5월 유지정비료 - 12/12회</t>
    <phoneticPr fontId="2" type="noConversion"/>
  </si>
  <si>
    <t>5월 유지정비료 - 12/13회</t>
    <phoneticPr fontId="2" type="noConversion"/>
  </si>
  <si>
    <t>한우리아이티 HW 5월 유지정비료 - 10/13회</t>
    <phoneticPr fontId="2" type="noConversion"/>
  </si>
  <si>
    <t>삼성중공업 5월 유지정비료 - 9/16회</t>
    <phoneticPr fontId="2" type="noConversion"/>
  </si>
  <si>
    <t>5월 유지정비료 - 8/13회</t>
    <phoneticPr fontId="2" type="noConversion"/>
  </si>
  <si>
    <t>유아이티 5월 유지정비료 - 8/13회</t>
    <phoneticPr fontId="2" type="noConversion"/>
  </si>
  <si>
    <t>포스코 5월 유지정비료 - 8/15회</t>
    <phoneticPr fontId="2" type="noConversion"/>
  </si>
  <si>
    <t>포스코 5월 유지정비료 - 7/14회</t>
    <phoneticPr fontId="2" type="noConversion"/>
  </si>
  <si>
    <t>5월 유지정비료 - 4/12회</t>
    <phoneticPr fontId="2" type="noConversion"/>
  </si>
  <si>
    <t>신성통상 5월 유지정비료 - 6/12회</t>
    <phoneticPr fontId="2" type="noConversion"/>
  </si>
  <si>
    <t>5월 유지정비료 - 6/18회</t>
    <phoneticPr fontId="2" type="noConversion"/>
  </si>
  <si>
    <t>한우리아이티 5월 유지정비료 - 5/7회</t>
    <phoneticPr fontId="2" type="noConversion"/>
  </si>
  <si>
    <t>중국광대은행 5월 유지정비료 - 6/12회</t>
    <phoneticPr fontId="2" type="noConversion"/>
  </si>
  <si>
    <t>5월 유지정비료 - 5/13회</t>
    <phoneticPr fontId="2" type="noConversion"/>
  </si>
  <si>
    <t>HB(에이치비)저축은행 5월 유지정비료 - 5/12회</t>
    <phoneticPr fontId="2" type="noConversion"/>
  </si>
  <si>
    <t>SK실트론 5월 유지정비료 - 5/12회</t>
    <phoneticPr fontId="2" type="noConversion"/>
  </si>
  <si>
    <t>SBS 5월 유지정비료 - 5/12회</t>
    <phoneticPr fontId="2" type="noConversion"/>
  </si>
  <si>
    <t>피에스케이(PSK) 5월 유지정비료 - 5/17회</t>
    <phoneticPr fontId="2" type="noConversion"/>
  </si>
  <si>
    <t>삼성전자 5월분 - 7/13회</t>
    <phoneticPr fontId="2" type="noConversion"/>
  </si>
  <si>
    <t>대동도어 5월 유지정비료 - 4/13회</t>
    <phoneticPr fontId="2" type="noConversion"/>
  </si>
  <si>
    <t>메타넷디지털 25년 5월 - 14/21회</t>
    <phoneticPr fontId="2" type="noConversion"/>
  </si>
  <si>
    <t>코리아미카사 25년 5월 유지정비료 - 17/25회</t>
    <phoneticPr fontId="2" type="noConversion"/>
  </si>
  <si>
    <t>안국약품 5월 유지정비료 - 5/12회</t>
    <phoneticPr fontId="2" type="noConversion"/>
  </si>
  <si>
    <t>한림대학교HW 5월 유지정비료 - 3/12회</t>
    <phoneticPr fontId="2" type="noConversion"/>
  </si>
  <si>
    <t>인천국제공항공사 5월 유지정비료 - 5/12회</t>
    <phoneticPr fontId="2" type="noConversion"/>
  </si>
  <si>
    <t>국회방송 5월 유지정비료 - 8/15회</t>
    <phoneticPr fontId="2" type="noConversion"/>
  </si>
  <si>
    <t>CGV안동 5월 유지정비료 - 3/13회</t>
    <phoneticPr fontId="2" type="noConversion"/>
  </si>
  <si>
    <t>KBS HW 5월 유지정비료 - 5/12회</t>
    <phoneticPr fontId="2" type="noConversion"/>
  </si>
  <si>
    <t>5월 유지정비료 - 2/37회</t>
    <phoneticPr fontId="2" type="noConversion"/>
  </si>
  <si>
    <t>5월 유지정비료 - 20/36회</t>
    <phoneticPr fontId="2" type="noConversion"/>
  </si>
  <si>
    <t>5월분 SIOS Lifekeeper 유지보수료 - 4/12회</t>
    <phoneticPr fontId="2" type="noConversion"/>
  </si>
  <si>
    <t>건국대병원 5월 유지정비료 - 2/29회</t>
    <phoneticPr fontId="2" type="noConversion"/>
  </si>
  <si>
    <t>BAT 통합 유지보수 5월분 - 5/12회</t>
    <phoneticPr fontId="2" type="noConversion"/>
  </si>
  <si>
    <t>5월 오라클 유지정비료 - 5/12회</t>
    <phoneticPr fontId="2" type="noConversion"/>
  </si>
  <si>
    <t>파이오링크 L4 5월 유지정비료 - 5/12회</t>
    <phoneticPr fontId="2" type="noConversion"/>
  </si>
  <si>
    <t>메일호스팅 5월 - 10/12회</t>
    <phoneticPr fontId="2" type="noConversion"/>
  </si>
  <si>
    <t>5월 유지정비료 - 10/12회</t>
    <phoneticPr fontId="2" type="noConversion"/>
  </si>
  <si>
    <t>안국약품 5월 기술지원료 - 5/12회</t>
    <phoneticPr fontId="2" type="noConversion"/>
  </si>
  <si>
    <t>명지병원 5월 정기점검 - 3/12회</t>
    <phoneticPr fontId="2" type="noConversion"/>
  </si>
  <si>
    <t>삼표시멘트 5월 유지정비료 5/12회</t>
    <phoneticPr fontId="2" type="noConversion"/>
  </si>
  <si>
    <t>5월 유지정비료 - 6/12회</t>
    <phoneticPr fontId="2" type="noConversion"/>
  </si>
  <si>
    <t>키오시아 5월 유지정비료 - 6/12회</t>
    <phoneticPr fontId="2" type="noConversion"/>
  </si>
  <si>
    <t>5월 유지정비료 - 6/9회</t>
    <phoneticPr fontId="2" type="noConversion"/>
  </si>
  <si>
    <t>현대하이카 5월 유지정비료 - 4/11회</t>
    <phoneticPr fontId="2" type="noConversion"/>
  </si>
  <si>
    <t>5월 유지정비료 - 4/11회</t>
    <phoneticPr fontId="2" type="noConversion"/>
  </si>
  <si>
    <t>한미약품 5월 유지정비료 - 4/11회</t>
    <phoneticPr fontId="2" type="noConversion"/>
  </si>
  <si>
    <t>교보문고 5월 유지정비료 - 4/11회</t>
    <phoneticPr fontId="2" type="noConversion"/>
  </si>
  <si>
    <t>안국약품 5월 유지정비료 - 3/10회</t>
    <phoneticPr fontId="2" type="noConversion"/>
  </si>
  <si>
    <t>SKB 5월 유지정비료 - 2/12회</t>
    <phoneticPr fontId="2" type="noConversion"/>
  </si>
  <si>
    <t>삼표 DB접근제어 유지보수 5월 - 10/12회</t>
    <phoneticPr fontId="2" type="noConversion"/>
  </si>
  <si>
    <t>삼표 DB접근제어 유지보수 1월 - 6/12회</t>
    <phoneticPr fontId="2" type="noConversion"/>
  </si>
  <si>
    <t>삼표 DB접근제어 유지보수 2월 - 7/12회</t>
    <phoneticPr fontId="2" type="noConversion"/>
  </si>
  <si>
    <t>삼표 DB접근제어 유지보수 3월 - 8/12회</t>
    <phoneticPr fontId="2" type="noConversion"/>
  </si>
  <si>
    <t>삼표 DB접근제어 유지보수 4월 - 9/12회</t>
    <phoneticPr fontId="2" type="noConversion"/>
  </si>
  <si>
    <t>SM-25020</t>
    <phoneticPr fontId="2" type="noConversion"/>
  </si>
  <si>
    <t>5월 기술지원료 - 1/12회</t>
    <phoneticPr fontId="2" type="noConversion"/>
  </si>
  <si>
    <t>1월 파트 계약 - 5/12회</t>
    <phoneticPr fontId="2" type="noConversion"/>
  </si>
  <si>
    <t>2월 파트 계약 - 6/12회</t>
    <phoneticPr fontId="2" type="noConversion"/>
  </si>
  <si>
    <t>3월 파트 계약 - 7/12회</t>
    <phoneticPr fontId="2" type="noConversion"/>
  </si>
  <si>
    <t>4월 파트 계약 - 8/12회</t>
    <phoneticPr fontId="2" type="noConversion"/>
  </si>
  <si>
    <t>5월 파트 계약 - 9/12회</t>
    <phoneticPr fontId="2" type="noConversion"/>
  </si>
  <si>
    <t>소산 서비스대행 5월분 - 9/12회</t>
    <phoneticPr fontId="2" type="noConversion"/>
  </si>
  <si>
    <t>소산 서비스대행 4월분 - 8/12회</t>
    <phoneticPr fontId="2" type="noConversion"/>
  </si>
  <si>
    <t>소산 서비스대행 3월분 - 7/12회</t>
    <phoneticPr fontId="2" type="noConversion"/>
  </si>
  <si>
    <t>소산 서비스대행 2월분 - 6/12회</t>
    <phoneticPr fontId="2" type="noConversion"/>
  </si>
  <si>
    <t>소산 서비스대행 1월분 - 5/12회</t>
    <phoneticPr fontId="2" type="noConversion"/>
  </si>
  <si>
    <t>HP 1630 유지보수 5월 - 12/12회</t>
    <phoneticPr fontId="2" type="noConversion"/>
  </si>
  <si>
    <t>HP 1630 유지보수 4월 - 11/12회</t>
    <phoneticPr fontId="2" type="noConversion"/>
  </si>
  <si>
    <t>HP 1630 유지보수 3월 - 10/12회</t>
    <phoneticPr fontId="2" type="noConversion"/>
  </si>
  <si>
    <t>HP 1630 유지보수 2월 - 9/12회</t>
    <phoneticPr fontId="2" type="noConversion"/>
  </si>
  <si>
    <t>HP 1630 유지보수 1월 - 8/12회</t>
    <phoneticPr fontId="2" type="noConversion"/>
  </si>
  <si>
    <t>완료(5/15)</t>
    <phoneticPr fontId="2" type="noConversion"/>
  </si>
  <si>
    <t>완료(5/15)</t>
    <phoneticPr fontId="2" type="noConversion"/>
  </si>
  <si>
    <t>완료(5/16)</t>
    <phoneticPr fontId="2" type="noConversion"/>
  </si>
  <si>
    <t>상품</t>
    <phoneticPr fontId="2" type="noConversion"/>
  </si>
  <si>
    <t xml:space="preserve">[LG전자] 슬림타워 데스크탑 Z80LV.AP47B3E 외 </t>
    <phoneticPr fontId="2" type="noConversion"/>
  </si>
  <si>
    <t>LG피씨</t>
    <phoneticPr fontId="2" type="noConversion"/>
  </si>
  <si>
    <t>Y250516-01</t>
  </si>
  <si>
    <t>위퍼스트</t>
    <phoneticPr fontId="2" type="noConversion"/>
  </si>
  <si>
    <t>4ZC7A08699</t>
  </si>
  <si>
    <t>ThinkSystem 16GB TruDDR4 2666MHz(2Rx8, 1.2V) UDIMM</t>
  </si>
  <si>
    <t>5/31~</t>
    <phoneticPr fontId="2" type="noConversion"/>
  </si>
  <si>
    <t>Y250516-04</t>
  </si>
  <si>
    <t>라온피플</t>
    <phoneticPr fontId="2" type="noConversion"/>
  </si>
  <si>
    <t>조립PC</t>
    <phoneticPr fontId="2" type="noConversion"/>
  </si>
  <si>
    <t>완료(5/16)</t>
    <phoneticPr fontId="2" type="noConversion"/>
  </si>
  <si>
    <t>TruScale SM202400911-001-7</t>
    <phoneticPr fontId="2" type="noConversion"/>
  </si>
  <si>
    <t>ZGHZZL</t>
  </si>
  <si>
    <t>한국도로공사 24.1월 유지정비료 - 4/37회</t>
    <phoneticPr fontId="2" type="noConversion"/>
  </si>
  <si>
    <t>한국도로공사 24.2월 유지정비료 - 5/37회</t>
    <phoneticPr fontId="2" type="noConversion"/>
  </si>
  <si>
    <t>한국도로공사 24.3월 유지정비료 - 6/37회</t>
    <phoneticPr fontId="2" type="noConversion"/>
  </si>
  <si>
    <t>한국도로공사 24.4월 유지정비료 - 7/37회</t>
    <phoneticPr fontId="2" type="noConversion"/>
  </si>
  <si>
    <t>한국도로공사 24.5월 유지정비료 - 8/37회</t>
    <phoneticPr fontId="2" type="noConversion"/>
  </si>
  <si>
    <t>한국도로공사 24.6월 유지정비료 - 9/37회</t>
    <phoneticPr fontId="2" type="noConversion"/>
  </si>
  <si>
    <t>한국도로공사 24.7월 유지정비료 - 10/37회</t>
    <phoneticPr fontId="2" type="noConversion"/>
  </si>
  <si>
    <t>한국도로공사 24.8월 유지정비료 - 11/37회</t>
    <phoneticPr fontId="2" type="noConversion"/>
  </si>
  <si>
    <t>한국도로공사 24.9월 유지정비료 - 12/37회</t>
    <phoneticPr fontId="2" type="noConversion"/>
  </si>
  <si>
    <t>한국도로공사 24.10월 유지정비료 - 13/37회</t>
    <phoneticPr fontId="2" type="noConversion"/>
  </si>
  <si>
    <t>한국도로공사 24.11월 유지정비료 - 14/37회</t>
    <phoneticPr fontId="2" type="noConversion"/>
  </si>
  <si>
    <t>한국도로공사 24.12월 유지정비료 - 15/37회</t>
    <phoneticPr fontId="2" type="noConversion"/>
  </si>
  <si>
    <t>한국도로공사 25.1월 유지정비료 - 16/37회</t>
    <phoneticPr fontId="2" type="noConversion"/>
  </si>
  <si>
    <t>한국도로공사 25.2월 유지정비료 - 17/37회</t>
    <phoneticPr fontId="2" type="noConversion"/>
  </si>
  <si>
    <t>한국도로공사 25.3월 유지정비료 - 18/37회</t>
    <phoneticPr fontId="2" type="noConversion"/>
  </si>
  <si>
    <t>한국도로공사 25.4월 유지정비료 - 19/37회</t>
    <phoneticPr fontId="2" type="noConversion"/>
  </si>
  <si>
    <t>H250520-01</t>
    <phoneticPr fontId="2" type="noConversion"/>
  </si>
  <si>
    <t>00YK014</t>
  </si>
  <si>
    <t>영동문구센타</t>
    <phoneticPr fontId="2" type="noConversion"/>
  </si>
  <si>
    <t>4월(1~7일) 관리비 면세분</t>
    <phoneticPr fontId="2" type="noConversion"/>
  </si>
  <si>
    <t>4월(1~7일) 관리비 과세분</t>
    <phoneticPr fontId="2" type="noConversion"/>
  </si>
  <si>
    <t>00YK039</t>
  </si>
  <si>
    <t>Lenovo 00yk039 2tb 7.2k Rpm Sata 6gbps 512n 3.5-inch Internal Hot-swap Hard Disk Drive</t>
  </si>
  <si>
    <t>이비웨이브</t>
    <phoneticPr fontId="2" type="noConversion"/>
  </si>
  <si>
    <t>H250507-02</t>
    <phoneticPr fontId="2" type="noConversion"/>
  </si>
  <si>
    <t>티에스씨인포</t>
    <phoneticPr fontId="2" type="noConversion"/>
  </si>
  <si>
    <t>H250508-02</t>
    <phoneticPr fontId="2" type="noConversion"/>
  </si>
  <si>
    <t>H250513-01</t>
  </si>
  <si>
    <t>H250514-01</t>
  </si>
  <si>
    <t>872772-001</t>
  </si>
  <si>
    <t xml:space="preserve"> 4TB 7.2K 6G SATA 3.5inch SC DS Hard Drive</t>
  </si>
  <si>
    <t>529FG</t>
  </si>
  <si>
    <t>Dell 4-TB 6G 7.2K 3.5 SAS (ST4000NM0023) for R520</t>
  </si>
  <si>
    <t>인코어</t>
    <phoneticPr fontId="2" type="noConversion"/>
  </si>
  <si>
    <t xml:space="preserve">05H5080 </t>
  </si>
  <si>
    <t>External USB 3.0 Cable</t>
  </si>
  <si>
    <t>H250514-02</t>
    <phoneticPr fontId="2" type="noConversion"/>
  </si>
  <si>
    <t>운송비</t>
  </si>
  <si>
    <t>조이젠</t>
    <phoneticPr fontId="2" type="noConversion"/>
  </si>
  <si>
    <t>D250521-01</t>
    <phoneticPr fontId="2" type="noConversion"/>
  </si>
  <si>
    <t>고영테크놀러지</t>
    <phoneticPr fontId="2" type="noConversion"/>
  </si>
  <si>
    <t>SSD</t>
    <phoneticPr fontId="2" type="noConversion"/>
  </si>
  <si>
    <t>[마이크론] Crucial T500 M.2 NVMe 2280</t>
    <phoneticPr fontId="2" type="noConversion"/>
  </si>
  <si>
    <t>컴퓨존</t>
    <phoneticPr fontId="2" type="noConversion"/>
  </si>
  <si>
    <t>조립PC</t>
    <phoneticPr fontId="2" type="noConversion"/>
  </si>
  <si>
    <t>완료(5/22)</t>
    <phoneticPr fontId="2" type="noConversion"/>
  </si>
  <si>
    <t>제트컨버터</t>
    <phoneticPr fontId="2" type="noConversion"/>
  </si>
  <si>
    <t>케이블</t>
    <phoneticPr fontId="2" type="noConversion"/>
  </si>
  <si>
    <t>랜스타 LC-LC OM3 멀티 광점퍼코드 5M</t>
    <phoneticPr fontId="2" type="noConversion"/>
  </si>
  <si>
    <t>Y250522-01</t>
    <phoneticPr fontId="2" type="noConversion"/>
  </si>
  <si>
    <t>Y250522-01</t>
    <phoneticPr fontId="2" type="noConversion"/>
  </si>
  <si>
    <t>QW972A(USED)</t>
  </si>
  <si>
    <t>HPE SN1000Q 16Gb 2-port PCIe Fibre Channel Host Bus Adapter</t>
  </si>
  <si>
    <t>완료(5/23)</t>
    <phoneticPr fontId="2" type="noConversion"/>
  </si>
  <si>
    <t>Y250523-01</t>
    <phoneticPr fontId="2" type="noConversion"/>
  </si>
  <si>
    <t>Y250516-04</t>
    <phoneticPr fontId="2" type="noConversion"/>
  </si>
  <si>
    <t>씽크웨이 T108/ 색상 : 올리비아 핑크 , 선택 : 오로라아이스크림</t>
  </si>
  <si>
    <t>키보드</t>
    <phoneticPr fontId="2" type="noConversion"/>
  </si>
  <si>
    <t>TruScale SM20220628-002-31</t>
    <phoneticPr fontId="2" type="noConversion"/>
  </si>
  <si>
    <t>테이아인포</t>
    <phoneticPr fontId="2" type="noConversion"/>
  </si>
  <si>
    <t>기술지원</t>
    <phoneticPr fontId="2" type="noConversion"/>
  </si>
  <si>
    <t>스토리지 기술지원료</t>
    <phoneticPr fontId="2" type="noConversion"/>
  </si>
  <si>
    <t>애플스토어</t>
    <phoneticPr fontId="2" type="noConversion"/>
  </si>
  <si>
    <t>MacBook Pro 16인치 전원 어댑터 외</t>
    <phoneticPr fontId="2" type="noConversion"/>
  </si>
  <si>
    <t>D250526-01</t>
    <phoneticPr fontId="2" type="noConversion"/>
  </si>
  <si>
    <t>Board[Used]</t>
  </si>
  <si>
    <t>Gigabyte Z390 UD</t>
  </si>
  <si>
    <t>완료(5/26)</t>
    <phoneticPr fontId="2" type="noConversion"/>
  </si>
  <si>
    <t>완료(5/26)</t>
    <phoneticPr fontId="2" type="noConversion"/>
  </si>
  <si>
    <t>S250526</t>
    <phoneticPr fontId="2" type="noConversion"/>
  </si>
  <si>
    <t>에오스</t>
    <phoneticPr fontId="2" type="noConversion"/>
  </si>
  <si>
    <t>기술지원</t>
  </si>
  <si>
    <t>SAP AP HA 및 OS 구성 기술지원 LSITC</t>
  </si>
  <si>
    <t>S250526</t>
    <phoneticPr fontId="2" type="noConversion"/>
  </si>
  <si>
    <t>X</t>
    <phoneticPr fontId="2" type="noConversion"/>
  </si>
  <si>
    <t>연간</t>
    <phoneticPr fontId="2" type="noConversion"/>
  </si>
  <si>
    <t>연간 유지정비료(25.5~26.4)</t>
    <phoneticPr fontId="2" type="noConversion"/>
  </si>
  <si>
    <t>H250528-02</t>
  </si>
  <si>
    <t xml:space="preserve">Lenovo ThinkSystem DE Series 8TB 7.2K 3.5" HDD </t>
    <phoneticPr fontId="2" type="noConversion"/>
  </si>
  <si>
    <t>케이엠디엠(대한지방행정공제회)</t>
    <phoneticPr fontId="2" type="noConversion"/>
  </si>
  <si>
    <t>MA</t>
    <phoneticPr fontId="2" type="noConversion"/>
  </si>
  <si>
    <t>00YK024</t>
  </si>
  <si>
    <t xml:space="preserve">ThinkSystem 2.5in 2TB 7.2K SAS 12Gb Hot Swap </t>
  </si>
  <si>
    <t>이룸에스앤앤</t>
    <phoneticPr fontId="2" type="noConversion"/>
  </si>
  <si>
    <t>43W9720</t>
  </si>
  <si>
    <t>IBM 750GB 7.2K SATA II E-DDM HDD</t>
  </si>
  <si>
    <t>H250527-01</t>
    <phoneticPr fontId="2" type="noConversion"/>
  </si>
  <si>
    <t>H250528-01</t>
    <phoneticPr fontId="2" type="noConversion"/>
  </si>
  <si>
    <t>IK-24006</t>
    <phoneticPr fontId="2" type="noConversion"/>
  </si>
  <si>
    <t>25년 반기(24.12~25.5) 유지정비료</t>
    <phoneticPr fontId="2" type="noConversion"/>
  </si>
  <si>
    <t>SM-25021</t>
    <phoneticPr fontId="2" type="noConversion"/>
  </si>
  <si>
    <t>조광피혁 5월 유지정비료 - 1/12회</t>
    <phoneticPr fontId="2" type="noConversion"/>
  </si>
  <si>
    <t>SM-25023</t>
    <phoneticPr fontId="2" type="noConversion"/>
  </si>
  <si>
    <t>와이케이케이 5월 유지정비료 - 1/12회</t>
    <phoneticPr fontId="2" type="noConversion"/>
  </si>
  <si>
    <t>탑텍 5월 유지정비료 - 2/12회</t>
    <phoneticPr fontId="2" type="noConversion"/>
  </si>
  <si>
    <t>제트컨버터클라우드</t>
    <phoneticPr fontId="2" type="noConversion"/>
  </si>
  <si>
    <t>완료(5/30)</t>
    <phoneticPr fontId="2" type="noConversion"/>
  </si>
  <si>
    <t>거래처 경조 화환 - 2건</t>
    <phoneticPr fontId="2" type="noConversion"/>
  </si>
  <si>
    <t>와이케이케이 서울</t>
    <phoneticPr fontId="2" type="noConversion"/>
  </si>
  <si>
    <t>와이케이케이 평택</t>
    <phoneticPr fontId="2" type="noConversion"/>
  </si>
  <si>
    <t xml:space="preserve">AhnLab V3 EPP OS 업그레이드 작업 </t>
  </si>
  <si>
    <t>완료(6/2)</t>
    <phoneticPr fontId="2" type="noConversion"/>
  </si>
  <si>
    <t>6월 유지정비료 - 14/24회</t>
    <phoneticPr fontId="2" type="noConversion"/>
  </si>
  <si>
    <t>코오롱베니트</t>
    <phoneticPr fontId="2" type="noConversion"/>
  </si>
  <si>
    <t>ERNST &amp; YOUNG(한영회계법인) NW스위치 워런티 연장</t>
    <phoneticPr fontId="2" type="noConversion"/>
  </si>
  <si>
    <t>6월 유지정비료 - 11/13회</t>
    <phoneticPr fontId="2" type="noConversion"/>
  </si>
  <si>
    <t>스마트로 6월 유지정비료 - 6/12회</t>
    <phoneticPr fontId="2" type="noConversion"/>
  </si>
  <si>
    <t>6월 유지정비료 - 6/12회</t>
    <phoneticPr fontId="2" type="noConversion"/>
  </si>
  <si>
    <t>청주시청 6월 유지정비료 - 6/20회 추가</t>
    <phoneticPr fontId="2" type="noConversion"/>
  </si>
  <si>
    <t>청주시청 6월 유지정비료 - 22/36회</t>
    <phoneticPr fontId="2" type="noConversion"/>
  </si>
  <si>
    <t>6월 유지정비료 - 4/12회</t>
    <phoneticPr fontId="2" type="noConversion"/>
  </si>
  <si>
    <t>도시바일렉 6월 유지정비료 - 12/12회</t>
    <phoneticPr fontId="2" type="noConversion"/>
  </si>
  <si>
    <t>세원정공 6월 유지정비료 - 12/12회</t>
    <phoneticPr fontId="2" type="noConversion"/>
  </si>
  <si>
    <t>6월 유지정비료 - 10/13회</t>
    <phoneticPr fontId="2" type="noConversion"/>
  </si>
  <si>
    <t>두원정공 6월 유지정비료 - 11/11회</t>
    <phoneticPr fontId="2" type="noConversion"/>
  </si>
  <si>
    <t>키오시아(도시바) 6월 유지정비료 - 7/12회</t>
    <phoneticPr fontId="2" type="noConversion"/>
  </si>
  <si>
    <t>한미약품/한미사이언스 6월 유지정비료 - 6/12회</t>
    <phoneticPr fontId="2" type="noConversion"/>
  </si>
  <si>
    <t>전북도시가스 6월 유지정비료 - 3/12회</t>
    <phoneticPr fontId="2" type="noConversion"/>
  </si>
  <si>
    <t>엘지생활건강 청주공장 6월 유지정비료 - 5/12회</t>
    <phoneticPr fontId="2" type="noConversion"/>
  </si>
  <si>
    <t>SM-25024</t>
    <phoneticPr fontId="2" type="noConversion"/>
  </si>
  <si>
    <t>TESEDI</t>
    <phoneticPr fontId="2" type="noConversion"/>
  </si>
  <si>
    <t>MA</t>
    <phoneticPr fontId="2" type="noConversion"/>
  </si>
  <si>
    <t>연간</t>
    <phoneticPr fontId="2" type="noConversion"/>
  </si>
  <si>
    <t>6월 유지정비료 - 11/11회</t>
    <phoneticPr fontId="2" type="noConversion"/>
  </si>
  <si>
    <t>BoardSystem 유지보수 - 6월 (9/12회)</t>
    <phoneticPr fontId="2" type="noConversion"/>
  </si>
  <si>
    <t>경북소방본부 6월 유지정비료 - 1/12회</t>
    <phoneticPr fontId="2" type="noConversion"/>
  </si>
  <si>
    <t>6월 유지정비료 - 7/12회</t>
    <phoneticPr fontId="2" type="noConversion"/>
  </si>
  <si>
    <t>키오시아 6월 유지정비료 - 7/12회</t>
    <phoneticPr fontId="2" type="noConversion"/>
  </si>
  <si>
    <t>6월 유지정비료 - 7/9회</t>
    <phoneticPr fontId="2" type="noConversion"/>
  </si>
  <si>
    <t>6월 유지정비료 - 5/12회</t>
    <phoneticPr fontId="2" type="noConversion"/>
  </si>
  <si>
    <t>현대하이카 6월 유지정비료 - 5/11회</t>
    <phoneticPr fontId="2" type="noConversion"/>
  </si>
  <si>
    <t>6월 유지정비료 - 5/11회</t>
    <phoneticPr fontId="2" type="noConversion"/>
  </si>
  <si>
    <t>한미약품 6월 유지정비료 - 5/11회</t>
    <phoneticPr fontId="2" type="noConversion"/>
  </si>
  <si>
    <t>교보문고 6월 유지정비료 - 5/11회</t>
    <phoneticPr fontId="2" type="noConversion"/>
  </si>
  <si>
    <t>안국약품 6월 유지정비료 - 4/10회</t>
    <phoneticPr fontId="2" type="noConversion"/>
  </si>
  <si>
    <t>탑텍 6월 유지정비료 - 3/12회</t>
    <phoneticPr fontId="2" type="noConversion"/>
  </si>
  <si>
    <t>SKB 6월 유지정비료 - 3/12회</t>
    <phoneticPr fontId="2" type="noConversion"/>
  </si>
  <si>
    <t>조광피혁 6월 유지정비료 - 2/12회</t>
    <phoneticPr fontId="2" type="noConversion"/>
  </si>
  <si>
    <t>와이케이케이 6월 유지정비료 - 2/12회</t>
    <phoneticPr fontId="2" type="noConversion"/>
  </si>
  <si>
    <t>티시스 6월 유지정비료 - 1/12회</t>
    <phoneticPr fontId="2" type="noConversion"/>
  </si>
  <si>
    <t>SB-25021</t>
  </si>
  <si>
    <t>ZNUFRU</t>
  </si>
  <si>
    <t>명지성모병원 5월 정기점검 - 1/10회</t>
    <phoneticPr fontId="2" type="noConversion"/>
  </si>
  <si>
    <t>6월 유지정비료 - 1/12회</t>
    <phoneticPr fontId="2" type="noConversion"/>
  </si>
  <si>
    <t>9/30,12/30</t>
    <phoneticPr fontId="2" type="noConversion"/>
  </si>
  <si>
    <t>트루스케일</t>
    <phoneticPr fontId="2" type="noConversion"/>
  </si>
  <si>
    <t>트루스케일</t>
    <phoneticPr fontId="2" type="noConversion"/>
  </si>
  <si>
    <t>Y250528-01</t>
    <phoneticPr fontId="2" type="noConversion"/>
  </si>
  <si>
    <t>Y250605-01</t>
    <phoneticPr fontId="2" type="noConversion"/>
  </si>
  <si>
    <t>에어코드</t>
    <phoneticPr fontId="2" type="noConversion"/>
  </si>
  <si>
    <t>HPE DL360Gen10 Plus Server</t>
    <phoneticPr fontId="2" type="noConversion"/>
  </si>
  <si>
    <t>울산 직배송 다마스비용</t>
    <phoneticPr fontId="2" type="noConversion"/>
  </si>
  <si>
    <t>1.2TB 10K 6G SAS 2.5inch Disk Dr</t>
    <phoneticPr fontId="2" type="noConversion"/>
  </si>
  <si>
    <t>00Y5765</t>
    <phoneticPr fontId="2" type="noConversion"/>
  </si>
  <si>
    <t>Systems Board for DL380PG8</t>
    <phoneticPr fontId="2" type="noConversion"/>
  </si>
  <si>
    <t>622217-001</t>
    <phoneticPr fontId="2" type="noConversion"/>
  </si>
  <si>
    <t>H250521-01</t>
    <phoneticPr fontId="2" type="noConversion"/>
  </si>
  <si>
    <t>완료(6/9)</t>
    <phoneticPr fontId="2" type="noConversion"/>
  </si>
  <si>
    <t>와이케이케이 6월 유지정비료 - 6/12회</t>
    <phoneticPr fontId="2" type="noConversion"/>
  </si>
  <si>
    <t>성원제강 6월 유지정비료 - 27/36회</t>
    <phoneticPr fontId="2" type="noConversion"/>
  </si>
  <si>
    <t>교세라 6월 유지정비료 - 17/36회</t>
    <phoneticPr fontId="2" type="noConversion"/>
  </si>
  <si>
    <t>6월유지정비료 - 14/32회</t>
    <phoneticPr fontId="2" type="noConversion"/>
  </si>
  <si>
    <t>부국철강 6월 유지정비료 - 14/32 회</t>
    <phoneticPr fontId="2" type="noConversion"/>
  </si>
  <si>
    <t>6월 유지정비료 - 10/12회</t>
    <phoneticPr fontId="2" type="noConversion"/>
  </si>
  <si>
    <t>프레이저플레이스 6월 유지정비료 - 11/12회</t>
    <phoneticPr fontId="2" type="noConversion"/>
  </si>
  <si>
    <t>6월 유지정비료 - 12/12회</t>
    <phoneticPr fontId="2" type="noConversion"/>
  </si>
  <si>
    <t>한일전기 6월 유지정비료 - 30/36회</t>
    <phoneticPr fontId="2" type="noConversion"/>
  </si>
  <si>
    <t>대한상공회의소 5월 유지정비료 - 7/12회</t>
    <phoneticPr fontId="2" type="noConversion"/>
  </si>
  <si>
    <t>대한상공회의소 6월 유지정비료 - 8/12회</t>
    <phoneticPr fontId="2" type="noConversion"/>
  </si>
  <si>
    <t>문배철강 6월 유지정비료 - 27/36회</t>
    <phoneticPr fontId="2" type="noConversion"/>
  </si>
  <si>
    <t>와이케이케이(추가) 6월 유지정비료 - 1/15회</t>
    <phoneticPr fontId="2" type="noConversion"/>
  </si>
  <si>
    <t>완료(6/26법카)</t>
    <phoneticPr fontId="2" type="noConversion"/>
  </si>
  <si>
    <t>완료(6/10)</t>
    <phoneticPr fontId="2" type="noConversion"/>
  </si>
  <si>
    <t>6월 유지정비료 - 13/13회</t>
    <phoneticPr fontId="2" type="noConversion"/>
  </si>
  <si>
    <t>ZUZMVP</t>
  </si>
  <si>
    <t>ZUZMVP</t>
    <phoneticPr fontId="2" type="noConversion"/>
  </si>
  <si>
    <t>한림성심대학교 HW 5월 유지정비료 3/12회</t>
    <phoneticPr fontId="2" type="noConversion"/>
  </si>
  <si>
    <t>한림성심대학교 SW연간유지정비료 (25.03.01~26.02.28)</t>
    <phoneticPr fontId="2" type="noConversion"/>
  </si>
  <si>
    <t>TAHXA0197</t>
  </si>
  <si>
    <t>한림성심대학교 HW 4월 유지정비료 2/12회</t>
    <phoneticPr fontId="2" type="noConversion"/>
  </si>
  <si>
    <t>호원대학교 5월 유지정비료 - 12/13회</t>
    <phoneticPr fontId="2" type="noConversion"/>
  </si>
  <si>
    <t>호원대학교 6월 유지정비료 - 13/13회</t>
    <phoneticPr fontId="2" type="noConversion"/>
  </si>
  <si>
    <t>한림성심대학교 HW 3월 유지정비료 1/12회</t>
    <phoneticPr fontId="2" type="noConversion"/>
  </si>
  <si>
    <t>대동도어 2월 유지정비료 - 13/13회(2월발행 누락분)</t>
    <phoneticPr fontId="2" type="noConversion"/>
  </si>
  <si>
    <t>SB-25026</t>
    <phoneticPr fontId="2" type="noConversion"/>
  </si>
  <si>
    <t>H250528-03</t>
  </si>
  <si>
    <t>H250609-01</t>
  </si>
  <si>
    <t>H250609-02</t>
  </si>
  <si>
    <t>H250609-03</t>
  </si>
  <si>
    <t>43W9715</t>
  </si>
  <si>
    <t>750GB 7.2K SATA 3.5inch Hard Drive</t>
  </si>
  <si>
    <t>870792-001</t>
  </si>
  <si>
    <t>HP 300GB SAS 12G 15K SFF HDD for G8-G10</t>
  </si>
  <si>
    <t>ServeRaid M5000 Series Battery Kit</t>
  </si>
  <si>
    <t>비씨엠정보통신(꼬망스)</t>
    <phoneticPr fontId="2" type="noConversion"/>
  </si>
  <si>
    <t>완료(6/11)</t>
    <phoneticPr fontId="2" type="noConversion"/>
  </si>
  <si>
    <t>Y250612-01</t>
    <phoneticPr fontId="2" type="noConversion"/>
  </si>
  <si>
    <t>Lenovo ThinkSystem SR250v3</t>
    <phoneticPr fontId="2" type="noConversion"/>
  </si>
  <si>
    <t>기술지원료</t>
    <phoneticPr fontId="2" type="noConversion"/>
  </si>
  <si>
    <t>H250612</t>
    <phoneticPr fontId="2" type="noConversion"/>
  </si>
  <si>
    <t>H250612-01</t>
  </si>
  <si>
    <t>H250612-04</t>
  </si>
  <si>
    <t>RWR8F</t>
  </si>
  <si>
    <t>DELL 2.4TB SFF SAS 10K 12G HDD For G14,15 (USED)</t>
  </si>
  <si>
    <t>MRYN3KH/A</t>
  </si>
  <si>
    <t>2024 맥북에어 15 M3 (8C CPU 10C GPU)/8GB/512GB 스페이스 그레이</t>
  </si>
  <si>
    <t>완료(6/12)</t>
    <phoneticPr fontId="2" type="noConversion"/>
  </si>
  <si>
    <t xml:space="preserve">ThinkSystem SFF 600GB 10K SAS 12G Hot Swap 512n </t>
    <phoneticPr fontId="2" type="noConversion"/>
  </si>
  <si>
    <t>Y250616-01</t>
    <phoneticPr fontId="2" type="noConversion"/>
  </si>
  <si>
    <t>Red Plus WD120EFBX - 68B0EN0</t>
  </si>
  <si>
    <t>완료(6/16)</t>
    <phoneticPr fontId="2" type="noConversion"/>
  </si>
  <si>
    <t>D250612-01</t>
    <phoneticPr fontId="2" type="noConversion"/>
  </si>
  <si>
    <t>롯데하이마트 6월 유지정비료 - 13/13회</t>
    <phoneticPr fontId="2" type="noConversion"/>
  </si>
  <si>
    <t>SL-25011</t>
    <phoneticPr fontId="2" type="noConversion"/>
  </si>
  <si>
    <t>WPP 유지정비료(25.04.01~05.31)</t>
    <phoneticPr fontId="2" type="noConversion"/>
  </si>
  <si>
    <t>상품</t>
    <phoneticPr fontId="2" type="noConversion"/>
  </si>
  <si>
    <t>완료(6/16)</t>
    <phoneticPr fontId="2" type="noConversion"/>
  </si>
  <si>
    <t>조립PC 부품</t>
    <phoneticPr fontId="2" type="noConversion"/>
  </si>
  <si>
    <t>ThinkSystem SR630 V2</t>
    <phoneticPr fontId="2" type="noConversion"/>
  </si>
  <si>
    <t>Y250613-01</t>
    <phoneticPr fontId="2" type="noConversion"/>
  </si>
  <si>
    <t>Y250616-02</t>
    <phoneticPr fontId="2" type="noConversion"/>
  </si>
  <si>
    <t>ThinkSystem SR250 V3</t>
    <phoneticPr fontId="2" type="noConversion"/>
  </si>
  <si>
    <t>H250613-01</t>
    <phoneticPr fontId="2" type="noConversion"/>
  </si>
  <si>
    <t>403781-001</t>
  </si>
  <si>
    <t xml:space="preserve">DL380G5 1000W POWER SUPPLY </t>
  </si>
  <si>
    <t>부품일체</t>
    <phoneticPr fontId="2" type="noConversion"/>
  </si>
  <si>
    <t>[3RSYS] T800 풍통 케이스</t>
    <phoneticPr fontId="2" type="noConversion"/>
  </si>
  <si>
    <t>완료(6/17)</t>
    <phoneticPr fontId="2" type="noConversion"/>
  </si>
  <si>
    <t>씨제이 씨지브이(통합)</t>
    <phoneticPr fontId="2" type="noConversion"/>
  </si>
  <si>
    <t>HP DL380 Svr 연간 유지보수</t>
    <phoneticPr fontId="2" type="noConversion"/>
  </si>
  <si>
    <t>Y250620-01</t>
    <phoneticPr fontId="2" type="noConversion"/>
  </si>
  <si>
    <t>완료(6/20)</t>
    <phoneticPr fontId="2" type="noConversion"/>
  </si>
  <si>
    <t>조립PC 케이스</t>
    <phoneticPr fontId="2" type="noConversion"/>
  </si>
  <si>
    <t>완료(6/19)</t>
    <phoneticPr fontId="2" type="noConversion"/>
  </si>
  <si>
    <t>엠씨앤파트너</t>
    <phoneticPr fontId="2" type="noConversion"/>
  </si>
  <si>
    <t>00E9927 00E9912</t>
  </si>
  <si>
    <t>IBM 300GB 15K RPM 2.5" SAS 6Gbps SFF HDD</t>
  </si>
  <si>
    <t>H250610-01</t>
    <phoneticPr fontId="2" type="noConversion"/>
  </si>
  <si>
    <t>연간유지정비료(25.06.19~26.06.18)</t>
    <phoneticPr fontId="2" type="noConversion"/>
  </si>
  <si>
    <t>6월 유지정비료 - 21/36회</t>
    <phoneticPr fontId="2" type="noConversion"/>
  </si>
  <si>
    <t>SM_C25009</t>
    <phoneticPr fontId="2" type="noConversion"/>
  </si>
  <si>
    <t xml:space="preserve"> TAHXA0141</t>
    <phoneticPr fontId="2" type="noConversion"/>
  </si>
  <si>
    <t>CGV 센텀시티</t>
    <phoneticPr fontId="2" type="noConversion"/>
  </si>
  <si>
    <t>완료(6/23)</t>
    <phoneticPr fontId="2" type="noConversion"/>
  </si>
  <si>
    <t>완료(6/24)</t>
    <phoneticPr fontId="2" type="noConversion"/>
  </si>
  <si>
    <t>H250625-03</t>
    <phoneticPr fontId="2" type="noConversion"/>
  </si>
  <si>
    <t>LC-LC / OM1 / 1G / 15M</t>
    <phoneticPr fontId="2" type="noConversion"/>
  </si>
  <si>
    <t>H250625-01
H250625-02</t>
    <phoneticPr fontId="2" type="noConversion"/>
  </si>
  <si>
    <t>CAT.6 UTP LAN CABLE 5M 그레이 외</t>
    <phoneticPr fontId="2" type="noConversion"/>
  </si>
  <si>
    <t>H250620-01</t>
    <phoneticPr fontId="2" type="noConversion"/>
  </si>
  <si>
    <t>자동이체(6/25)</t>
    <phoneticPr fontId="2" type="noConversion"/>
  </si>
  <si>
    <t>6월 기술지원료 - 2/12회</t>
    <phoneticPr fontId="2" type="noConversion"/>
  </si>
  <si>
    <t>건국대병원 6월 유지정비료 - 3/29회</t>
    <phoneticPr fontId="2" type="noConversion"/>
  </si>
  <si>
    <t>완료</t>
    <phoneticPr fontId="2" type="noConversion"/>
  </si>
  <si>
    <t>6월 청소비</t>
    <phoneticPr fontId="2" type="noConversion"/>
  </si>
  <si>
    <t>완료(6/25)</t>
    <phoneticPr fontId="2" type="noConversion"/>
  </si>
  <si>
    <t>6월분 SIOS Lifekeeper 유지보수료 - 5/12회</t>
    <phoneticPr fontId="2" type="noConversion"/>
  </si>
  <si>
    <t>TruScale SM20220628-002-32</t>
    <phoneticPr fontId="2" type="noConversion"/>
  </si>
  <si>
    <t>BAT 통합 유지보수 6월분 - 6/12회</t>
    <phoneticPr fontId="2" type="noConversion"/>
  </si>
  <si>
    <t>완료(6/26)</t>
    <phoneticPr fontId="2" type="noConversion"/>
  </si>
  <si>
    <t>D250626-01</t>
    <phoneticPr fontId="2" type="noConversion"/>
  </si>
  <si>
    <t>D250624-01</t>
    <phoneticPr fontId="2" type="noConversion"/>
  </si>
  <si>
    <t>NVIDIA</t>
  </si>
  <si>
    <t>RTX 4000 Ada Generation 20GB</t>
  </si>
  <si>
    <t>SB-24026</t>
    <phoneticPr fontId="2" type="noConversion"/>
  </si>
  <si>
    <t>에스케이네트웍스서비스</t>
    <phoneticPr fontId="2" type="noConversion"/>
  </si>
  <si>
    <t>코이카 SW 연간유지정비료(25.06.22~26.08.31)</t>
    <phoneticPr fontId="2" type="noConversion"/>
  </si>
  <si>
    <t>라드웨어 연간유지정비료</t>
    <phoneticPr fontId="2" type="noConversion"/>
  </si>
  <si>
    <t>생수  5통</t>
    <phoneticPr fontId="2" type="noConversion"/>
  </si>
  <si>
    <t>완료(6/27)</t>
    <phoneticPr fontId="2" type="noConversion"/>
  </si>
  <si>
    <t>6월 유지정비료 - 11/12회</t>
    <phoneticPr fontId="2" type="noConversion"/>
  </si>
  <si>
    <t>메일호스팅 6월 - 11/12회</t>
    <phoneticPr fontId="2" type="noConversion"/>
  </si>
  <si>
    <t>파이오링크 L4 6월 유지정비료 - 6/12회</t>
    <phoneticPr fontId="2" type="noConversion"/>
  </si>
  <si>
    <t>6월 기장료</t>
    <phoneticPr fontId="2" type="noConversion"/>
  </si>
  <si>
    <t>디에스티인터내셔널</t>
  </si>
  <si>
    <t>6월 오라클 유지정비료 - 6/12회</t>
    <phoneticPr fontId="2" type="noConversion"/>
  </si>
  <si>
    <t>기업(구내) 6월 인터넷 사용료</t>
    <phoneticPr fontId="2" type="noConversion"/>
  </si>
  <si>
    <t>자동이체(7/10)</t>
    <phoneticPr fontId="2" type="noConversion"/>
  </si>
  <si>
    <t>삼표시멘트 6월 유지정비료 6/12회</t>
    <phoneticPr fontId="2" type="noConversion"/>
  </si>
  <si>
    <t>ThinkSystem SR250 V3</t>
    <phoneticPr fontId="2" type="noConversion"/>
  </si>
  <si>
    <t>안국약품 6월 기술지원료 - 6/12회</t>
    <phoneticPr fontId="2" type="noConversion"/>
  </si>
  <si>
    <t>명지병원 6월 정기점검 - 4/12회</t>
    <phoneticPr fontId="2" type="noConversion"/>
  </si>
  <si>
    <t>삼표 DB접근제어 유지보수 6월 - 11/12회</t>
    <phoneticPr fontId="2" type="noConversion"/>
  </si>
  <si>
    <t>상품</t>
    <phoneticPr fontId="2" type="noConversion"/>
  </si>
  <si>
    <t>조립PC</t>
    <phoneticPr fontId="2" type="noConversion"/>
  </si>
  <si>
    <t>완료(6/30)</t>
    <phoneticPr fontId="2" type="noConversion"/>
  </si>
  <si>
    <t>S</t>
    <phoneticPr fontId="2" type="noConversion"/>
  </si>
  <si>
    <t>Y250618-01</t>
    <phoneticPr fontId="2" type="noConversion"/>
  </si>
  <si>
    <t>에어코드</t>
    <phoneticPr fontId="2" type="noConversion"/>
  </si>
  <si>
    <t>X3550M4 System Board</t>
    <phoneticPr fontId="2" type="noConversion"/>
  </si>
  <si>
    <t>Board</t>
    <phoneticPr fontId="2" type="noConversion"/>
  </si>
  <si>
    <t>요다정보기술</t>
    <phoneticPr fontId="2" type="noConversion"/>
  </si>
  <si>
    <t>H250612-05</t>
    <phoneticPr fontId="2" type="noConversion"/>
  </si>
  <si>
    <t>RAID</t>
  </si>
  <si>
    <t>Dell R750 PERC H755 12Gb/s PCI-E 4.0 X8 SAS Front Mounting Raid Controller</t>
    <phoneticPr fontId="2" type="noConversion"/>
  </si>
  <si>
    <t>인피니테크</t>
    <phoneticPr fontId="2" type="noConversion"/>
  </si>
  <si>
    <t>00W2671</t>
  </si>
  <si>
    <t xml:space="preserve">System Board for X3650M4 </t>
  </si>
  <si>
    <t>H250618-02</t>
    <phoneticPr fontId="2" type="noConversion"/>
  </si>
  <si>
    <t>H250619-01</t>
    <phoneticPr fontId="2" type="noConversion"/>
  </si>
  <si>
    <t>00E0806</t>
  </si>
  <si>
    <t>8Gb 2Port PCI-E 4X Fiber Channel Adapter(Emulex)</t>
  </si>
  <si>
    <t>H250623-01</t>
  </si>
  <si>
    <t>H250623-02</t>
  </si>
  <si>
    <t>H250623-03</t>
  </si>
  <si>
    <t>H250623-04</t>
  </si>
  <si>
    <t>H250623-05</t>
  </si>
  <si>
    <t>SATA 1TB 6GB 7.2K 3.5인치 for R530</t>
  </si>
  <si>
    <t>IBM 146GB 6Gb/s SAS</t>
  </si>
  <si>
    <t>90Y8573</t>
  </si>
  <si>
    <t>IBM 2TB 6Gb/s SAS</t>
  </si>
  <si>
    <t>81Y9691</t>
  </si>
  <si>
    <t>IBM 1TB 6Gb/s SAS</t>
  </si>
  <si>
    <t>42D0708</t>
  </si>
  <si>
    <t>IBM 500GB 6Gb/s SAS</t>
  </si>
  <si>
    <t>H250625-04</t>
  </si>
  <si>
    <t>H250626-01</t>
  </si>
  <si>
    <t>00YK012</t>
  </si>
  <si>
    <t>900GB 15K 12G SAS 2.5inch Hard Drive</t>
  </si>
  <si>
    <t>01DE973</t>
  </si>
  <si>
    <t>ThinkSystem 16GB TruDDR4 DDR4-2666MHzz (2Rx8 1.2V) RDIMM</t>
  </si>
  <si>
    <t>티에스씨인포</t>
    <phoneticPr fontId="2" type="noConversion"/>
  </si>
  <si>
    <t>디에이치라이팅 2공장</t>
    <phoneticPr fontId="2" type="noConversion"/>
  </si>
  <si>
    <t>완료(6/30)</t>
    <phoneticPr fontId="2" type="noConversion"/>
  </si>
  <si>
    <t>명지성모병원 6월 정기점검 - 2/10회</t>
    <phoneticPr fontId="2" type="noConversion"/>
  </si>
  <si>
    <t>대구텍 5월 유지정비료 - 5/6회 중도해지</t>
    <phoneticPr fontId="2" type="noConversion"/>
  </si>
  <si>
    <t>연간</t>
    <phoneticPr fontId="2" type="noConversion"/>
  </si>
  <si>
    <t>6월 파트 계약 - 10/12회</t>
    <phoneticPr fontId="2" type="noConversion"/>
  </si>
  <si>
    <t>소산 서비스대행 6월분 - 10/12회</t>
    <phoneticPr fontId="2" type="noConversion"/>
  </si>
  <si>
    <t>산업은행 6월 유지정비료 - 30/36회</t>
    <phoneticPr fontId="2" type="noConversion"/>
  </si>
  <si>
    <t>동두천드림파워 6월 유지정비료 - 30/36회</t>
    <phoneticPr fontId="2" type="noConversion"/>
  </si>
  <si>
    <t>한국항공우주산업 #1 HW 2분기</t>
    <phoneticPr fontId="2" type="noConversion"/>
  </si>
  <si>
    <t>한국항공우주산업 #2 2분기 - 7/9회</t>
    <phoneticPr fontId="2" type="noConversion"/>
  </si>
  <si>
    <t>국립기상과학원 6월 유지정비료-추가 1/12회</t>
    <phoneticPr fontId="2" type="noConversion"/>
  </si>
  <si>
    <t>애플코리아 #2 25년 6월 유지정비료 - 36/69회</t>
    <phoneticPr fontId="2" type="noConversion"/>
  </si>
  <si>
    <t>OK데이터시스템HW 6월 유지정비료 - 3/14회</t>
    <phoneticPr fontId="2" type="noConversion"/>
  </si>
  <si>
    <t>신세계 아이앤씨 6월 유지정비료 - 29/46회</t>
    <phoneticPr fontId="2" type="noConversion"/>
  </si>
  <si>
    <t>외교부 6월 유지정비료 - 1/12회</t>
    <phoneticPr fontId="2" type="noConversion"/>
  </si>
  <si>
    <t>코클리어 6월 유지정비료 - 15/30회</t>
    <phoneticPr fontId="2" type="noConversion"/>
  </si>
  <si>
    <t>서울디자인재단 6월유지정비료 - 6/12회</t>
    <phoneticPr fontId="2" type="noConversion"/>
  </si>
  <si>
    <t>웰컴저축은행 6월 유지정비료 - 11/12회</t>
    <phoneticPr fontId="2" type="noConversion"/>
  </si>
  <si>
    <t>국립농업과학원 - 6월유지정비료 - 18/24회</t>
    <phoneticPr fontId="2" type="noConversion"/>
  </si>
  <si>
    <t>엘지유플러스(LG U+) 6월 유지정비료 - 19/37회</t>
    <phoneticPr fontId="2" type="noConversion"/>
  </si>
  <si>
    <t>6월유지정비료 - 12/12회</t>
    <phoneticPr fontId="2" type="noConversion"/>
  </si>
  <si>
    <t>LX홀딩스 6월 유지정비료 - 12/12회</t>
    <phoneticPr fontId="2" type="noConversion"/>
  </si>
  <si>
    <t>한우리아이티 HW 6월 유지정비료 - 11/13회</t>
    <phoneticPr fontId="2" type="noConversion"/>
  </si>
  <si>
    <t>삼성중공업 6월 유지정비료 - 10/16회</t>
    <phoneticPr fontId="2" type="noConversion"/>
  </si>
  <si>
    <t>6월 유지정비료 - 9/13회</t>
    <phoneticPr fontId="2" type="noConversion"/>
  </si>
  <si>
    <t>유아이티 6월 유지정비료 - 9/13회</t>
    <phoneticPr fontId="2" type="noConversion"/>
  </si>
  <si>
    <t>포스코 6월 유지정비료 - 9/15회</t>
    <phoneticPr fontId="2" type="noConversion"/>
  </si>
  <si>
    <t>포스코 6월 유지정비료 - 8/14회</t>
    <phoneticPr fontId="2" type="noConversion"/>
  </si>
  <si>
    <t>신성통상 6월 유지정비료 - 7/12회</t>
    <phoneticPr fontId="2" type="noConversion"/>
  </si>
  <si>
    <t>롯데정보통신 6월 유지정비료 - 6/12회</t>
    <phoneticPr fontId="2" type="noConversion"/>
  </si>
  <si>
    <t>6월 유지정비료 - 7/18회</t>
    <phoneticPr fontId="2" type="noConversion"/>
  </si>
  <si>
    <t>한우리아이티 6월 유지정비료 - 6/7회</t>
    <phoneticPr fontId="2" type="noConversion"/>
  </si>
  <si>
    <t>중국광대은행 6월 유지정비료 - 7/12회</t>
    <phoneticPr fontId="2" type="noConversion"/>
  </si>
  <si>
    <t>안산시청 6월 유지정비료 - 6/24회</t>
    <phoneticPr fontId="2" type="noConversion"/>
  </si>
  <si>
    <t>6월 유지정비료 - 6/13회</t>
    <phoneticPr fontId="2" type="noConversion"/>
  </si>
  <si>
    <t>이원(E1)컨테이너터미널 6월 유지정비료 - 6/12회</t>
    <phoneticPr fontId="2" type="noConversion"/>
  </si>
  <si>
    <t>HB(에이치비)저축은행 6월 유지정비료 - 6/12회</t>
    <phoneticPr fontId="2" type="noConversion"/>
  </si>
  <si>
    <t>삼성중공업 6월 유지정비료 - 6/12회</t>
    <phoneticPr fontId="2" type="noConversion"/>
  </si>
  <si>
    <t>SK실트론 6월 유지정비료 - 6/12회</t>
    <phoneticPr fontId="2" type="noConversion"/>
  </si>
  <si>
    <t>피에스케이(PSK) 6월 유지정비료 - 6/17회</t>
    <phoneticPr fontId="2" type="noConversion"/>
  </si>
  <si>
    <t>삼성전자 6월분 - 8/13회</t>
    <phoneticPr fontId="2" type="noConversion"/>
  </si>
  <si>
    <t>대동도어 6월 유지정비료 - 5/13회</t>
    <phoneticPr fontId="2" type="noConversion"/>
  </si>
  <si>
    <t>메타넷디지털 25년 6월 - 15/21회</t>
    <phoneticPr fontId="2" type="noConversion"/>
  </si>
  <si>
    <t>코리아미카사 25년 6월 유지정비료 - 18/25회</t>
    <phoneticPr fontId="2" type="noConversion"/>
  </si>
  <si>
    <t>SBS 6월 유지정비료 - 6/12회</t>
    <phoneticPr fontId="2" type="noConversion"/>
  </si>
  <si>
    <t>LG AI 6월 유지정비료 - 6/12회</t>
    <phoneticPr fontId="2" type="noConversion"/>
  </si>
  <si>
    <t>안국약품 6월 유지정비료 - 6/12회</t>
    <phoneticPr fontId="2" type="noConversion"/>
  </si>
  <si>
    <t>한림대학교HW 6월 유지정비료 - 4/12회</t>
    <phoneticPr fontId="2" type="noConversion"/>
  </si>
  <si>
    <t>인천국제공항공사 6월 유지정비료 - 6/12회</t>
    <phoneticPr fontId="2" type="noConversion"/>
  </si>
  <si>
    <t>국회방송 6월 유지정비료 - 9/15회</t>
    <phoneticPr fontId="2" type="noConversion"/>
  </si>
  <si>
    <t>CGV안동 6월 유지정비료 - 4/13회</t>
    <phoneticPr fontId="2" type="noConversion"/>
  </si>
  <si>
    <t>KBS HW 6월 유지정비료 - 6/12회</t>
    <phoneticPr fontId="2" type="noConversion"/>
  </si>
  <si>
    <t>6월 유지정비료 - 3/37회</t>
    <phoneticPr fontId="2" type="noConversion"/>
  </si>
  <si>
    <t>LX(엘엑스)세미콘 6월 유지정비료 - 5/47회</t>
    <phoneticPr fontId="2" type="noConversion"/>
  </si>
  <si>
    <t>한국도로공사 25.6월 유지정비료 - 21/39회</t>
    <phoneticPr fontId="2" type="noConversion"/>
  </si>
  <si>
    <t>티시스 1월 유지정비료 - 8/17회</t>
    <phoneticPr fontId="2" type="noConversion"/>
  </si>
  <si>
    <t>티시스 2월 유지정비료 - 9/17회</t>
    <phoneticPr fontId="2" type="noConversion"/>
  </si>
  <si>
    <t>티시스 3월 유지정비료 - 10/17회</t>
    <phoneticPr fontId="2" type="noConversion"/>
  </si>
  <si>
    <t>티시스 4월 유지정비료 - 11/17회</t>
    <phoneticPr fontId="2" type="noConversion"/>
  </si>
  <si>
    <t>티시스 5월 유지정비료 - 12/17회</t>
    <phoneticPr fontId="2" type="noConversion"/>
  </si>
  <si>
    <t>티시스 6월 유지정비료 - 13/17회</t>
    <phoneticPr fontId="2" type="noConversion"/>
  </si>
  <si>
    <t>ZL0WLO</t>
    <phoneticPr fontId="2" type="noConversion"/>
  </si>
  <si>
    <t>한림성심대학교 HW 6월 유지정비료 4/12회</t>
    <phoneticPr fontId="2" type="noConversion"/>
  </si>
  <si>
    <t>SL-25010</t>
  </si>
  <si>
    <t xml:space="preserve"> ZOGVD9</t>
  </si>
  <si>
    <t>IK-24014</t>
    <phoneticPr fontId="2" type="noConversion"/>
  </si>
  <si>
    <t>와이케이케이 6월 유지정비료 - 1/15회</t>
    <phoneticPr fontId="2" type="noConversion"/>
  </si>
  <si>
    <t>6월 퀵운송료</t>
    <phoneticPr fontId="2" type="noConversion"/>
  </si>
  <si>
    <t>완료(7/1)</t>
    <phoneticPr fontId="2" type="noConversion"/>
  </si>
  <si>
    <t>X</t>
    <phoneticPr fontId="2" type="noConversion"/>
  </si>
  <si>
    <t>SB-25025</t>
    <phoneticPr fontId="2" type="noConversion"/>
  </si>
  <si>
    <t>로젠택배 5월 택배비(4건)</t>
    <phoneticPr fontId="2" type="noConversion"/>
  </si>
  <si>
    <t>로젠택배 4월 택배비(8건)</t>
    <phoneticPr fontId="2" type="noConversion"/>
  </si>
  <si>
    <t>로젠택배 3월 택배비(7건)</t>
    <phoneticPr fontId="2" type="noConversion"/>
  </si>
  <si>
    <t>로젠택배 6월 택배비- 3건</t>
    <phoneticPr fontId="2" type="noConversion"/>
  </si>
  <si>
    <t>s-erp 6월사용분</t>
    <phoneticPr fontId="2" type="noConversion"/>
  </si>
  <si>
    <t>TruScale SM202400911-001-8</t>
    <phoneticPr fontId="2" type="noConversion"/>
  </si>
  <si>
    <t>6월 차량렌트(그랜저 8552)-39/49회</t>
    <phoneticPr fontId="2" type="noConversion"/>
  </si>
  <si>
    <t>6월 선급금(그랜저 8552)-39/49회</t>
    <phoneticPr fontId="2" type="noConversion"/>
  </si>
  <si>
    <t>6월 차량렌트(G80 3061)-39/49회</t>
    <phoneticPr fontId="2" type="noConversion"/>
  </si>
  <si>
    <t>6월 선급금(G80 3061)-39/49회</t>
    <phoneticPr fontId="2" type="noConversion"/>
  </si>
  <si>
    <t>6월 차량렌트(xm3 4429)-30/37회</t>
    <phoneticPr fontId="2" type="noConversion"/>
  </si>
  <si>
    <t>6월 선급금(xm3 4429)-30/37회</t>
    <phoneticPr fontId="2" type="noConversion"/>
  </si>
  <si>
    <t>HP 1630 유지보수 6월 - 1/12회</t>
    <phoneticPr fontId="2" type="noConversion"/>
  </si>
  <si>
    <t>피씨디렉트</t>
    <phoneticPr fontId="2" type="noConversion"/>
  </si>
  <si>
    <t>투데이게이트</t>
    <phoneticPr fontId="2" type="noConversion"/>
  </si>
  <si>
    <t>보안용역 월정료 6월분</t>
    <phoneticPr fontId="2" type="noConversion"/>
  </si>
  <si>
    <t>자동이체(6/12)</t>
    <phoneticPr fontId="2" type="noConversion"/>
  </si>
  <si>
    <t>H250630-01</t>
  </si>
  <si>
    <t>H250630-02</t>
  </si>
  <si>
    <t>633538-001</t>
  </si>
  <si>
    <t>Smart Array P420 2Port SAS Controller DL380G8 NO CACHE / NO BATTERY</t>
  </si>
  <si>
    <t>G6W6K</t>
  </si>
  <si>
    <t>750W POWER SUPPLY for R740</t>
  </si>
  <si>
    <t>인피니테크</t>
  </si>
  <si>
    <t>H250612-02
H250612-03</t>
    <phoneticPr fontId="2" type="noConversion"/>
  </si>
  <si>
    <t>Windows Server 2025 Standard COEM 외</t>
    <phoneticPr fontId="2" type="noConversion"/>
  </si>
  <si>
    <t>롯데홈쇼핑 1월 유지정비료 - 8/13회</t>
    <phoneticPr fontId="2" type="noConversion"/>
  </si>
  <si>
    <t>롯데홈쇼핑 2월 유지정비료 - 9/13회</t>
    <phoneticPr fontId="2" type="noConversion"/>
  </si>
  <si>
    <t>롯데홈쇼핑 3월 유지정비료 - 10/13회</t>
    <phoneticPr fontId="2" type="noConversion"/>
  </si>
  <si>
    <t>롯데홈쇼핑 4월 유지정비료 - 11/13회</t>
    <phoneticPr fontId="2" type="noConversion"/>
  </si>
  <si>
    <t>롯데홈쇼핑 5월 유지정비료 - 12/13회</t>
    <phoneticPr fontId="2" type="noConversion"/>
  </si>
  <si>
    <t>롯데홈쇼핑 6월 유지정비료 - 13/13회</t>
    <phoneticPr fontId="2" type="noConversion"/>
  </si>
  <si>
    <t>완료(7/8)</t>
    <phoneticPr fontId="2" type="noConversion"/>
  </si>
  <si>
    <t>한미약품/한미사이언스 1월 유지정비료 - 1/12회</t>
    <phoneticPr fontId="2" type="noConversion"/>
  </si>
  <si>
    <t>완료(7/10)</t>
    <phoneticPr fontId="2" type="noConversion"/>
  </si>
  <si>
    <t>완료(7/10)</t>
    <phoneticPr fontId="2" type="noConversion"/>
  </si>
  <si>
    <t>VXRail Software(Vmware) 라이선스</t>
    <phoneticPr fontId="2" type="noConversion"/>
  </si>
  <si>
    <t>SB-25025</t>
    <phoneticPr fontId="2" type="noConversion"/>
  </si>
  <si>
    <t>SM-23031</t>
    <phoneticPr fontId="2" type="noConversion"/>
  </si>
  <si>
    <t>SM-25025</t>
    <phoneticPr fontId="2" type="noConversion"/>
  </si>
  <si>
    <t>SM-25020</t>
    <phoneticPr fontId="2" type="noConversion"/>
  </si>
  <si>
    <t>5월 유지정비료 - 1/12회</t>
    <phoneticPr fontId="2" type="noConversion"/>
  </si>
  <si>
    <t>6월 유지정비료 - 2/12회</t>
    <phoneticPr fontId="2" type="noConversion"/>
  </si>
  <si>
    <t>SL-25012</t>
    <phoneticPr fontId="2" type="noConversion"/>
  </si>
  <si>
    <t>완료(7/15)</t>
    <phoneticPr fontId="2" type="noConversion"/>
  </si>
  <si>
    <t>완료(7/15)</t>
    <phoneticPr fontId="2" type="noConversion"/>
  </si>
  <si>
    <t>완료(7/16)</t>
    <phoneticPr fontId="2" type="noConversion"/>
  </si>
  <si>
    <t>완료(7/22)</t>
    <phoneticPr fontId="2" type="noConversion"/>
  </si>
  <si>
    <t>2분기 기술지원료</t>
    <phoneticPr fontId="2" type="noConversion"/>
  </si>
  <si>
    <t>삼표 25.2~25.7</t>
    <phoneticPr fontId="2" type="noConversion"/>
  </si>
  <si>
    <t>완료(7/29)</t>
    <phoneticPr fontId="2" type="noConversion"/>
  </si>
  <si>
    <t>완료(7/30)</t>
    <phoneticPr fontId="2" type="noConversion"/>
  </si>
  <si>
    <t>완료(7/31)</t>
    <phoneticPr fontId="2" type="noConversion"/>
  </si>
  <si>
    <t>예우</t>
    <phoneticPr fontId="2" type="noConversion"/>
  </si>
  <si>
    <t>완료(8/5)</t>
    <phoneticPr fontId="2" type="noConversion"/>
  </si>
  <si>
    <t>Red Hat Enterprise Linux Server, Standard (Physical or Virtual Nodes)</t>
    <phoneticPr fontId="2" type="noConversion"/>
  </si>
  <si>
    <t>완료(8/11)</t>
    <phoneticPr fontId="2" type="noConversion"/>
  </si>
  <si>
    <t>완료(8/13)</t>
    <phoneticPr fontId="2" type="noConversion"/>
  </si>
  <si>
    <t>완료(8/18)</t>
    <phoneticPr fontId="2" type="noConversion"/>
  </si>
  <si>
    <t>트루스케일</t>
    <phoneticPr fontId="2" type="noConversion"/>
  </si>
  <si>
    <t>완료(8/19)</t>
    <phoneticPr fontId="2" type="noConversion"/>
  </si>
  <si>
    <t>완료(8/21)</t>
    <phoneticPr fontId="2" type="noConversion"/>
  </si>
  <si>
    <t>완료(8/25)</t>
    <phoneticPr fontId="2" type="noConversion"/>
  </si>
  <si>
    <t>완료(8/28)</t>
    <phoneticPr fontId="2" type="noConversion"/>
  </si>
  <si>
    <t>완료(8/29)</t>
    <phoneticPr fontId="2" type="noConversion"/>
  </si>
  <si>
    <t>832514-B21</t>
  </si>
  <si>
    <t>HPE 1TB 7.2K SFF SC HDD</t>
  </si>
  <si>
    <t>D250619-01</t>
    <phoneticPr fontId="2" type="noConversion"/>
  </si>
  <si>
    <t>완료(9/15)</t>
    <phoneticPr fontId="2" type="noConversion"/>
  </si>
  <si>
    <t>완료</t>
    <phoneticPr fontId="2" type="noConversion"/>
  </si>
  <si>
    <t>한국정보공학</t>
    <phoneticPr fontId="2" type="noConversion"/>
  </si>
  <si>
    <t>에스엔에이글로벌</t>
    <phoneticPr fontId="2" type="noConversion"/>
  </si>
  <si>
    <t>가양역더리브아너비즈타워</t>
  </si>
  <si>
    <t>HMM 서비스 기술지원 3차</t>
    <phoneticPr fontId="2" type="noConversion"/>
  </si>
  <si>
    <t>SB-23016</t>
    <phoneticPr fontId="2" type="noConversion"/>
  </si>
  <si>
    <t>기술지원료 1분기</t>
    <phoneticPr fontId="2" type="noConversion"/>
  </si>
  <si>
    <t>기술지원료 2분기</t>
    <phoneticPr fontId="2" type="noConversion"/>
  </si>
  <si>
    <t>5/20,6/20,7/20</t>
    <phoneticPr fontId="2" type="noConversion"/>
  </si>
  <si>
    <t>1월 유지정비료 - 4/15회</t>
    <phoneticPr fontId="2" type="noConversion"/>
  </si>
  <si>
    <t>2월 유지정비료 - 5/15회</t>
    <phoneticPr fontId="2" type="noConversion"/>
  </si>
  <si>
    <t>3월 유지정비료 - 6/15회</t>
    <phoneticPr fontId="2" type="noConversion"/>
  </si>
  <si>
    <t>4월 유지정비료 - 7/15회</t>
    <phoneticPr fontId="2" type="noConversion"/>
  </si>
  <si>
    <t>5월 유지정비료 - 8/15회</t>
    <phoneticPr fontId="2" type="noConversion"/>
  </si>
  <si>
    <t>6월 유지정비료 - 9/15회</t>
    <phoneticPr fontId="2" type="noConversion"/>
  </si>
  <si>
    <t>리버네트워크</t>
    <phoneticPr fontId="2" type="noConversion"/>
  </si>
  <si>
    <t>에스티에스</t>
    <phoneticPr fontId="2" type="noConversion"/>
  </si>
  <si>
    <t>네이버(하람솔루션)</t>
    <phoneticPr fontId="2" type="noConversion"/>
  </si>
  <si>
    <t>네이버(제일컴퓨터)</t>
    <phoneticPr fontId="2" type="noConversion"/>
  </si>
  <si>
    <t>네이버(에스씨지솔루션즈)</t>
    <phoneticPr fontId="2" type="noConversion"/>
  </si>
  <si>
    <t>네이버(한컴)</t>
    <phoneticPr fontId="2" type="noConversion"/>
  </si>
  <si>
    <t>네이버(웨이코스)</t>
    <phoneticPr fontId="2" type="noConversion"/>
  </si>
  <si>
    <t>네이버(에버랩스)</t>
    <phoneticPr fontId="2" type="noConversion"/>
  </si>
  <si>
    <t>네이버(이부장네)</t>
    <phoneticPr fontId="2" type="noConversion"/>
  </si>
  <si>
    <t>네이버(피씨이벤트아이엔씨)</t>
    <phoneticPr fontId="2" type="noConversion"/>
  </si>
  <si>
    <t>11번가(고다)</t>
    <phoneticPr fontId="2" type="noConversion"/>
  </si>
  <si>
    <t>네이버(명호전자)</t>
    <phoneticPr fontId="2" type="noConversion"/>
  </si>
  <si>
    <t>쿠팡(노트옵션)</t>
    <phoneticPr fontId="2" type="noConversion"/>
  </si>
  <si>
    <t>원큐시스템</t>
    <phoneticPr fontId="2" type="noConversion"/>
  </si>
  <si>
    <t>파워시스코리아</t>
    <phoneticPr fontId="2" type="noConversion"/>
  </si>
  <si>
    <t>성공글로벌테크놀로지코리아</t>
  </si>
  <si>
    <t>연간-성공</t>
  </si>
  <si>
    <t>월간-성공</t>
  </si>
  <si>
    <t>분기-성공</t>
  </si>
  <si>
    <t>다솜테크</t>
  </si>
  <si>
    <t>프로미스</t>
  </si>
  <si>
    <t>알앤큐시스템</t>
  </si>
  <si>
    <t>로보츠</t>
  </si>
  <si>
    <t>한국아이씨에스</t>
  </si>
  <si>
    <t>이예지</t>
  </si>
  <si>
    <t>홍승민</t>
  </si>
  <si>
    <t>천범석</t>
  </si>
  <si>
    <t>대표님,천범석,엔지니어팀 2월 주차비</t>
  </si>
  <si>
    <t>대표님,천범석,엔지니어팀 3월 주차비</t>
  </si>
  <si>
    <t>대표님,천범석,엔지니어팀 4월 주차비</t>
  </si>
  <si>
    <t>대표님,천범석,엔지니어팀 5월 주차비</t>
  </si>
  <si>
    <t>대표님,천범석,엔지니어팀 6월 주차비</t>
  </si>
  <si>
    <t>대표님,천범석,엔지니어팀 7월 주차비</t>
  </si>
  <si>
    <t>이지훈</t>
  </si>
  <si>
    <t>정지우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</si>
</sst>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 ;[Red]\-#,##0\ "/>
    <numFmt numFmtId="178" formatCode="#,##0_);[Red]\(#,##0\)"/>
    <numFmt numFmtId="179" formatCode="#,##0.00_);\(#,##0.00\)"/>
    <numFmt numFmtId="180" formatCode="#,##0.00_);[Red]\(#,##0.00\)"/>
    <numFmt numFmtId="181" formatCode="yy/mm/dd"/>
    <numFmt numFmtId="182" formatCode="0_);[Red]\(0\)"/>
    <numFmt numFmtId="183" formatCode="0.0%"/>
    <numFmt numFmtId="184" formatCode="#,##0_)"/>
    <numFmt numFmtId="185" formatCode="0_)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10"/>
      <name val="Helv"/>
      <family val="2"/>
    </font>
    <font>
      <sz val="11"/>
      <color rgb="FF0061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388600"/>
      <name val="맑은 고딕"/>
      <family val="3"/>
      <charset val="129"/>
      <scheme val="minor"/>
    </font>
    <font>
      <sz val="10"/>
      <color rgb="FF0099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3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/>
    <xf numFmtId="0" fontId="18" fillId="6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5" xfId="1" applyFont="1" applyFill="1" applyBorder="1" applyAlignment="1">
      <alignment vertical="center" shrinkToFit="1"/>
    </xf>
    <xf numFmtId="177" fontId="5" fillId="9" borderId="5" xfId="2" applyNumberFormat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shrinkToFit="1"/>
    </xf>
    <xf numFmtId="14" fontId="7" fillId="0" borderId="5" xfId="0" applyNumberFormat="1" applyFont="1" applyBorder="1" applyAlignment="1">
      <alignment horizontal="center" vertical="center" shrinkToFit="1"/>
    </xf>
    <xf numFmtId="14" fontId="6" fillId="0" borderId="10" xfId="0" applyNumberFormat="1" applyFont="1" applyBorder="1" applyAlignment="1">
      <alignment horizontal="center" vertical="center" shrinkToFit="1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  <xf numFmtId="0" fontId="7" fillId="0" borderId="5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176" fontId="0" fillId="0" borderId="0" xfId="4" applyFont="1">
      <alignment vertical="center"/>
    </xf>
    <xf numFmtId="0" fontId="5" fillId="0" borderId="14" xfId="0" applyFont="1" applyBorder="1" applyAlignment="1">
      <alignment horizontal="center" vertical="center" shrinkToFit="1"/>
    </xf>
    <xf numFmtId="14" fontId="6" fillId="0" borderId="10" xfId="0" applyNumberFormat="1" applyFont="1" applyBorder="1" applyAlignment="1">
      <alignment horizontal="center" vertical="center" wrapText="1"/>
    </xf>
    <xf numFmtId="177" fontId="9" fillId="0" borderId="5" xfId="3" applyNumberFormat="1" applyFont="1" applyFill="1" applyBorder="1" applyAlignment="1" applyProtection="1">
      <alignment horizontal="center" vertical="center" shrinkToFit="1"/>
    </xf>
    <xf numFmtId="177" fontId="7" fillId="0" borderId="5" xfId="4" applyNumberFormat="1" applyFont="1" applyFill="1" applyBorder="1" applyAlignment="1">
      <alignment horizontal="right" vertical="center" wrapText="1" shrinkToFit="1"/>
    </xf>
    <xf numFmtId="177" fontId="7" fillId="0" borderId="5" xfId="4" applyNumberFormat="1" applyFont="1" applyFill="1" applyBorder="1" applyAlignment="1">
      <alignment horizontal="right" vertical="center" wrapText="1"/>
    </xf>
    <xf numFmtId="177" fontId="0" fillId="0" borderId="0" xfId="0" applyNumberFormat="1">
      <alignment vertical="center"/>
    </xf>
    <xf numFmtId="176" fontId="24" fillId="0" borderId="0" xfId="4" applyFont="1">
      <alignment vertical="center"/>
    </xf>
    <xf numFmtId="0" fontId="26" fillId="0" borderId="0" xfId="0" applyFont="1">
      <alignment vertical="center"/>
    </xf>
    <xf numFmtId="176" fontId="26" fillId="0" borderId="0" xfId="4" applyFont="1">
      <alignment vertical="center"/>
    </xf>
    <xf numFmtId="0" fontId="0" fillId="0" borderId="5" xfId="0" applyBorder="1">
      <alignment vertical="center"/>
    </xf>
    <xf numFmtId="176" fontId="0" fillId="0" borderId="5" xfId="4" applyFont="1" applyBorder="1">
      <alignment vertical="center"/>
    </xf>
    <xf numFmtId="0" fontId="0" fillId="0" borderId="12" xfId="0" applyBorder="1">
      <alignment vertical="center"/>
    </xf>
    <xf numFmtId="176" fontId="0" fillId="0" borderId="12" xfId="4" applyFont="1" applyBorder="1">
      <alignment vertical="center"/>
    </xf>
    <xf numFmtId="0" fontId="0" fillId="0" borderId="19" xfId="0" applyBorder="1">
      <alignment vertical="center"/>
    </xf>
    <xf numFmtId="0" fontId="0" fillId="0" borderId="7" xfId="0" applyBorder="1">
      <alignment vertical="center"/>
    </xf>
    <xf numFmtId="176" fontId="0" fillId="0" borderId="7" xfId="4" applyFont="1" applyBorder="1">
      <alignment vertical="center"/>
    </xf>
    <xf numFmtId="0" fontId="0" fillId="0" borderId="8" xfId="0" applyBorder="1">
      <alignment vertical="center"/>
    </xf>
    <xf numFmtId="179" fontId="0" fillId="0" borderId="12" xfId="4" applyNumberFormat="1" applyFont="1" applyBorder="1">
      <alignment vertical="center"/>
    </xf>
    <xf numFmtId="179" fontId="0" fillId="0" borderId="5" xfId="4" applyNumberFormat="1" applyFont="1" applyBorder="1">
      <alignment vertical="center"/>
    </xf>
    <xf numFmtId="179" fontId="0" fillId="0" borderId="0" xfId="4" applyNumberFormat="1" applyFont="1">
      <alignment vertical="center"/>
    </xf>
    <xf numFmtId="14" fontId="0" fillId="0" borderId="5" xfId="0" applyNumberFormat="1" applyBorder="1">
      <alignment vertical="center"/>
    </xf>
    <xf numFmtId="0" fontId="0" fillId="11" borderId="5" xfId="0" applyFill="1" applyBorder="1">
      <alignment vertical="center"/>
    </xf>
    <xf numFmtId="0" fontId="0" fillId="0" borderId="5" xfId="0" applyBorder="1" applyAlignment="1">
      <alignment vertical="center" wrapText="1"/>
    </xf>
    <xf numFmtId="14" fontId="0" fillId="0" borderId="12" xfId="0" applyNumberFormat="1" applyBorder="1">
      <alignment vertical="center"/>
    </xf>
    <xf numFmtId="0" fontId="0" fillId="11" borderId="12" xfId="0" applyFill="1" applyBorder="1">
      <alignment vertical="center"/>
    </xf>
    <xf numFmtId="0" fontId="0" fillId="0" borderId="12" xfId="0" applyBorder="1" applyAlignment="1">
      <alignment vertical="center" wrapText="1"/>
    </xf>
    <xf numFmtId="0" fontId="0" fillId="12" borderId="12" xfId="0" applyFill="1" applyBorder="1" applyAlignment="1">
      <alignment horizontal="center" vertical="center"/>
    </xf>
    <xf numFmtId="180" fontId="0" fillId="12" borderId="12" xfId="0" applyNumberFormat="1" applyFill="1" applyBorder="1">
      <alignment vertical="center"/>
    </xf>
    <xf numFmtId="0" fontId="0" fillId="12" borderId="5" xfId="0" applyFill="1" applyBorder="1" applyAlignment="1">
      <alignment horizontal="center" vertical="center"/>
    </xf>
    <xf numFmtId="180" fontId="0" fillId="12" borderId="5" xfId="0" applyNumberFormat="1" applyFill="1" applyBorder="1">
      <alignment vertical="center"/>
    </xf>
    <xf numFmtId="178" fontId="0" fillId="0" borderId="7" xfId="4" applyNumberFormat="1" applyFont="1" applyBorder="1">
      <alignment vertical="center"/>
    </xf>
    <xf numFmtId="178" fontId="0" fillId="0" borderId="12" xfId="4" applyNumberFormat="1" applyFont="1" applyBorder="1">
      <alignment vertical="center"/>
    </xf>
    <xf numFmtId="178" fontId="0" fillId="0" borderId="5" xfId="4" applyNumberFormat="1" applyFont="1" applyBorder="1">
      <alignment vertical="center"/>
    </xf>
    <xf numFmtId="176" fontId="0" fillId="5" borderId="20" xfId="4" applyFont="1" applyFill="1" applyBorder="1" applyAlignment="1">
      <alignment horizontal="center" vertical="center"/>
    </xf>
    <xf numFmtId="14" fontId="0" fillId="5" borderId="21" xfId="0" applyNumberForma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76" fontId="0" fillId="5" borderId="24" xfId="4" applyFont="1" applyFill="1" applyBorder="1" applyAlignment="1">
      <alignment horizontal="center" vertical="center" shrinkToFit="1"/>
    </xf>
    <xf numFmtId="176" fontId="0" fillId="5" borderId="21" xfId="4" applyFont="1" applyFill="1" applyBorder="1" applyAlignment="1">
      <alignment horizontal="center" vertical="center"/>
    </xf>
    <xf numFmtId="176" fontId="0" fillId="5" borderId="21" xfId="4" applyFont="1" applyFill="1" applyBorder="1" applyAlignment="1">
      <alignment horizontal="center" vertical="center" wrapText="1"/>
    </xf>
    <xf numFmtId="176" fontId="0" fillId="5" borderId="22" xfId="4" applyFont="1" applyFill="1" applyBorder="1" applyAlignment="1">
      <alignment horizontal="center" vertical="center" wrapText="1"/>
    </xf>
    <xf numFmtId="176" fontId="0" fillId="5" borderId="25" xfId="4" applyFont="1" applyFill="1" applyBorder="1" applyAlignment="1">
      <alignment horizontal="center" vertical="center" wrapText="1"/>
    </xf>
    <xf numFmtId="176" fontId="0" fillId="5" borderId="23" xfId="4" applyFont="1" applyFill="1" applyBorder="1" applyAlignment="1">
      <alignment horizontal="center" vertical="center"/>
    </xf>
    <xf numFmtId="176" fontId="0" fillId="5" borderId="26" xfId="4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25" fillId="0" borderId="27" xfId="0" applyFont="1" applyBorder="1">
      <alignment vertical="center"/>
    </xf>
    <xf numFmtId="0" fontId="0" fillId="0" borderId="4" xfId="0" applyBorder="1">
      <alignment vertical="center"/>
    </xf>
    <xf numFmtId="0" fontId="25" fillId="0" borderId="6" xfId="0" applyFont="1" applyBorder="1">
      <alignment vertical="center"/>
    </xf>
    <xf numFmtId="0" fontId="0" fillId="12" borderId="7" xfId="0" applyFill="1" applyBorder="1" applyAlignment="1">
      <alignment horizontal="center" vertical="center"/>
    </xf>
    <xf numFmtId="180" fontId="0" fillId="12" borderId="7" xfId="0" applyNumberFormat="1" applyFill="1" applyBorder="1">
      <alignment vertical="center"/>
    </xf>
    <xf numFmtId="179" fontId="0" fillId="0" borderId="7" xfId="4" applyNumberFormat="1" applyFont="1" applyBorder="1">
      <alignment vertical="center"/>
    </xf>
    <xf numFmtId="14" fontId="6" fillId="13" borderId="10" xfId="0" applyNumberFormat="1" applyFont="1" applyFill="1" applyBorder="1" applyAlignment="1">
      <alignment horizontal="center" vertical="center" wrapText="1"/>
    </xf>
    <xf numFmtId="181" fontId="0" fillId="0" borderId="0" xfId="0" applyNumberFormat="1">
      <alignment vertical="center"/>
    </xf>
    <xf numFmtId="181" fontId="7" fillId="0" borderId="5" xfId="0" applyNumberFormat="1" applyFont="1" applyBorder="1" applyAlignment="1">
      <alignment horizontal="center" vertical="center" shrinkToFit="1"/>
    </xf>
    <xf numFmtId="14" fontId="7" fillId="4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0" fontId="23" fillId="5" borderId="0" xfId="5" applyFont="1" applyFill="1" applyAlignment="1">
      <alignment horizontal="center" vertical="center"/>
    </xf>
    <xf numFmtId="176" fontId="23" fillId="5" borderId="0" xfId="4" applyFont="1" applyFill="1">
      <alignment vertical="center"/>
    </xf>
    <xf numFmtId="0" fontId="23" fillId="14" borderId="0" xfId="5" applyFont="1" applyFill="1" applyAlignment="1">
      <alignment horizontal="center" vertical="center"/>
    </xf>
    <xf numFmtId="0" fontId="23" fillId="14" borderId="0" xfId="5" applyFont="1" applyFill="1">
      <alignment vertical="center"/>
    </xf>
    <xf numFmtId="176" fontId="23" fillId="14" borderId="28" xfId="4" applyFont="1" applyFill="1" applyBorder="1" applyAlignment="1">
      <alignment horizontal="center" vertical="center"/>
    </xf>
    <xf numFmtId="176" fontId="23" fillId="14" borderId="0" xfId="4" applyFont="1" applyFill="1" applyAlignment="1">
      <alignment horizontal="center" vertical="center"/>
    </xf>
    <xf numFmtId="176" fontId="23" fillId="14" borderId="28" xfId="4" applyFont="1" applyFill="1" applyBorder="1" applyAlignment="1">
      <alignment horizontal="right" vertical="center"/>
    </xf>
    <xf numFmtId="176" fontId="23" fillId="14" borderId="0" xfId="4" applyFont="1" applyFill="1" applyAlignment="1">
      <alignment horizontal="right" vertical="center"/>
    </xf>
    <xf numFmtId="0" fontId="23" fillId="0" borderId="0" xfId="5" applyFont="1">
      <alignment vertical="center"/>
    </xf>
    <xf numFmtId="0" fontId="23" fillId="0" borderId="0" xfId="5" applyFont="1" applyAlignment="1">
      <alignment horizontal="center" vertical="center"/>
    </xf>
    <xf numFmtId="176" fontId="23" fillId="0" borderId="0" xfId="5" applyNumberFormat="1" applyFont="1">
      <alignment vertical="center"/>
    </xf>
    <xf numFmtId="176" fontId="23" fillId="0" borderId="0" xfId="4" applyFont="1" applyFill="1">
      <alignment vertical="center"/>
    </xf>
    <xf numFmtId="0" fontId="27" fillId="0" borderId="0" xfId="1" applyFont="1" applyFill="1" applyBorder="1" applyAlignment="1">
      <alignment vertical="center" shrinkToFit="1"/>
    </xf>
    <xf numFmtId="0" fontId="20" fillId="0" borderId="0" xfId="0" applyFont="1">
      <alignment vertical="center"/>
    </xf>
    <xf numFmtId="0" fontId="27" fillId="0" borderId="0" xfId="0" applyFont="1">
      <alignment vertical="center"/>
    </xf>
    <xf numFmtId="176" fontId="26" fillId="0" borderId="28" xfId="4" applyFont="1" applyBorder="1">
      <alignment vertical="center"/>
    </xf>
    <xf numFmtId="0" fontId="26" fillId="0" borderId="0" xfId="5" applyFont="1">
      <alignment vertical="center"/>
    </xf>
    <xf numFmtId="176" fontId="26" fillId="0" borderId="0" xfId="4" applyFont="1" applyFill="1">
      <alignment vertical="center"/>
    </xf>
    <xf numFmtId="0" fontId="26" fillId="0" borderId="0" xfId="5" applyFont="1" applyAlignment="1">
      <alignment horizontal="center" vertical="center"/>
    </xf>
    <xf numFmtId="0" fontId="24" fillId="5" borderId="0" xfId="5" applyFont="1" applyFill="1" applyAlignment="1">
      <alignment horizontal="center" vertical="center"/>
    </xf>
    <xf numFmtId="0" fontId="24" fillId="14" borderId="0" xfId="5" applyFont="1" applyFill="1">
      <alignment vertical="center"/>
    </xf>
    <xf numFmtId="176" fontId="26" fillId="0" borderId="0" xfId="5" applyNumberFormat="1" applyFont="1">
      <alignment vertical="center"/>
    </xf>
    <xf numFmtId="0" fontId="20" fillId="0" borderId="0" xfId="5" applyFont="1">
      <alignment vertical="center"/>
    </xf>
    <xf numFmtId="176" fontId="20" fillId="0" borderId="0" xfId="5" applyNumberFormat="1" applyFont="1">
      <alignment vertical="center"/>
    </xf>
    <xf numFmtId="14" fontId="7" fillId="5" borderId="5" xfId="0" applyNumberFormat="1" applyFont="1" applyFill="1" applyBorder="1" applyAlignment="1">
      <alignment horizontal="center" vertical="center" shrinkToFit="1"/>
    </xf>
    <xf numFmtId="14" fontId="0" fillId="0" borderId="0" xfId="4" applyNumberFormat="1" applyFont="1">
      <alignment vertical="center"/>
    </xf>
    <xf numFmtId="14" fontId="0" fillId="0" borderId="0" xfId="0" applyNumberFormat="1">
      <alignment vertical="center"/>
    </xf>
    <xf numFmtId="14" fontId="0" fillId="9" borderId="7" xfId="0" applyNumberFormat="1" applyFill="1" applyBorder="1">
      <alignment vertical="center"/>
    </xf>
    <xf numFmtId="14" fontId="26" fillId="0" borderId="0" xfId="0" applyNumberFormat="1" applyFont="1">
      <alignment vertical="center"/>
    </xf>
    <xf numFmtId="14" fontId="7" fillId="13" borderId="5" xfId="0" applyNumberFormat="1" applyFont="1" applyFill="1" applyBorder="1" applyAlignment="1">
      <alignment horizontal="center" vertical="center" shrinkToFit="1"/>
    </xf>
    <xf numFmtId="181" fontId="7" fillId="4" borderId="5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4" fillId="0" borderId="0" xfId="5">
      <alignment vertical="center"/>
    </xf>
    <xf numFmtId="0" fontId="13" fillId="0" borderId="0" xfId="5" applyFont="1">
      <alignment vertical="center"/>
    </xf>
    <xf numFmtId="14" fontId="14" fillId="0" borderId="0" xfId="5" applyNumberFormat="1" applyAlignment="1">
      <alignment horizontal="center" vertical="center"/>
    </xf>
    <xf numFmtId="14" fontId="7" fillId="4" borderId="6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14" fontId="6" fillId="0" borderId="7" xfId="0" applyNumberFormat="1" applyFont="1" applyBorder="1" applyAlignment="1">
      <alignment horizontal="center" vertical="center" wrapText="1"/>
    </xf>
    <xf numFmtId="0" fontId="5" fillId="0" borderId="7" xfId="1" applyFont="1" applyFill="1" applyBorder="1" applyAlignment="1">
      <alignment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 shrinkToFit="1"/>
    </xf>
    <xf numFmtId="177" fontId="9" fillId="0" borderId="7" xfId="3" applyNumberFormat="1" applyFont="1" applyFill="1" applyBorder="1" applyAlignment="1" applyProtection="1">
      <alignment horizontal="center" vertical="center" shrinkToFit="1"/>
    </xf>
    <xf numFmtId="177" fontId="7" fillId="0" borderId="7" xfId="4" applyNumberFormat="1" applyFont="1" applyFill="1" applyBorder="1" applyAlignment="1">
      <alignment horizontal="right" vertical="center" wrapText="1" shrinkToFit="1"/>
    </xf>
    <xf numFmtId="177" fontId="7" fillId="0" borderId="7" xfId="4" applyNumberFormat="1" applyFont="1" applyFill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 shrinkToFit="1"/>
    </xf>
    <xf numFmtId="181" fontId="7" fillId="0" borderId="7" xfId="0" applyNumberFormat="1" applyFont="1" applyBorder="1" applyAlignment="1">
      <alignment horizontal="center" vertical="center" shrinkToFit="1"/>
    </xf>
    <xf numFmtId="14" fontId="7" fillId="4" borderId="8" xfId="0" applyNumberFormat="1" applyFont="1" applyFill="1" applyBorder="1" applyAlignment="1">
      <alignment horizontal="center" vertical="center" wrapText="1"/>
    </xf>
    <xf numFmtId="176" fontId="14" fillId="0" borderId="0" xfId="4" applyFont="1">
      <alignment vertical="center"/>
    </xf>
    <xf numFmtId="0" fontId="5" fillId="10" borderId="0" xfId="0" applyFont="1" applyFill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177" fontId="9" fillId="0" borderId="5" xfId="3" applyNumberFormat="1" applyFont="1" applyFill="1" applyBorder="1" applyAlignment="1" applyProtection="1">
      <alignment horizontal="right" vertical="center" shrinkToFit="1"/>
    </xf>
    <xf numFmtId="177" fontId="7" fillId="4" borderId="5" xfId="4" applyNumberFormat="1" applyFont="1" applyFill="1" applyBorder="1" applyAlignment="1">
      <alignment horizontal="right" vertical="center" wrapText="1" shrinkToFit="1"/>
    </xf>
    <xf numFmtId="177" fontId="9" fillId="4" borderId="5" xfId="3" applyNumberFormat="1" applyFont="1" applyFill="1" applyBorder="1" applyAlignment="1" applyProtection="1">
      <alignment horizontal="right" vertical="center"/>
    </xf>
    <xf numFmtId="177" fontId="7" fillId="13" borderId="5" xfId="4" applyNumberFormat="1" applyFont="1" applyFill="1" applyBorder="1" applyAlignment="1">
      <alignment horizontal="right" vertical="center" wrapText="1"/>
    </xf>
    <xf numFmtId="177" fontId="7" fillId="13" borderId="5" xfId="4" applyNumberFormat="1" applyFont="1" applyFill="1" applyBorder="1" applyAlignment="1">
      <alignment horizontal="right" vertical="center" wrapText="1" shrinkToFit="1"/>
    </xf>
    <xf numFmtId="177" fontId="9" fillId="4" borderId="5" xfId="3" applyNumberFormat="1" applyFont="1" applyFill="1" applyBorder="1" applyAlignment="1" applyProtection="1">
      <alignment horizontal="right" vertical="center" shrinkToFit="1"/>
    </xf>
    <xf numFmtId="177" fontId="0" fillId="9" borderId="15" xfId="0" applyNumberFormat="1" applyFill="1" applyBorder="1">
      <alignment vertical="center"/>
    </xf>
    <xf numFmtId="177" fontId="0" fillId="9" borderId="7" xfId="0" applyNumberFormat="1" applyFill="1" applyBorder="1" applyAlignment="1">
      <alignment vertical="center" wrapText="1"/>
    </xf>
    <xf numFmtId="177" fontId="0" fillId="9" borderId="7" xfId="4" applyNumberFormat="1" applyFont="1" applyFill="1" applyBorder="1" applyAlignment="1">
      <alignment vertical="center" wrapText="1"/>
    </xf>
    <xf numFmtId="177" fontId="0" fillId="0" borderId="0" xfId="4" applyNumberFormat="1" applyFont="1">
      <alignment vertical="center"/>
    </xf>
    <xf numFmtId="177" fontId="9" fillId="0" borderId="5" xfId="3" applyNumberFormat="1" applyFont="1" applyFill="1" applyBorder="1" applyAlignment="1" applyProtection="1">
      <alignment horizontal="right" vertical="center"/>
    </xf>
    <xf numFmtId="14" fontId="5" fillId="10" borderId="2" xfId="2" applyNumberFormat="1" applyFont="1" applyFill="1" applyBorder="1" applyAlignment="1">
      <alignment horizontal="center" vertical="center" wrapText="1"/>
    </xf>
    <xf numFmtId="14" fontId="5" fillId="9" borderId="11" xfId="2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5" fillId="0" borderId="14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13" borderId="14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5" fillId="13" borderId="9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10" borderId="2" xfId="2" applyNumberFormat="1" applyFont="1" applyFill="1" applyBorder="1" applyAlignment="1">
      <alignment horizontal="center" vertical="center" wrapText="1" shrinkToFit="1"/>
    </xf>
    <xf numFmtId="0" fontId="5" fillId="10" borderId="2" xfId="2" applyNumberFormat="1" applyFont="1" applyFill="1" applyBorder="1" applyAlignment="1">
      <alignment horizontal="center" vertical="center" wrapText="1"/>
    </xf>
    <xf numFmtId="0" fontId="5" fillId="10" borderId="11" xfId="2" applyNumberFormat="1" applyFont="1" applyFill="1" applyBorder="1" applyAlignment="1">
      <alignment horizontal="center" vertical="center" wrapText="1"/>
    </xf>
    <xf numFmtId="0" fontId="5" fillId="9" borderId="11" xfId="2" applyNumberFormat="1" applyFont="1" applyFill="1" applyBorder="1" applyAlignment="1">
      <alignment horizontal="center" vertical="center" wrapText="1"/>
    </xf>
    <xf numFmtId="0" fontId="5" fillId="10" borderId="2" xfId="2" applyNumberFormat="1" applyFont="1" applyFill="1" applyBorder="1" applyAlignment="1">
      <alignment horizontal="center" vertical="center" shrinkToFit="1"/>
    </xf>
    <xf numFmtId="0" fontId="5" fillId="0" borderId="5" xfId="1" applyNumberFormat="1" applyFont="1" applyFill="1" applyBorder="1" applyAlignment="1">
      <alignment vertical="center" shrinkToFit="1"/>
    </xf>
    <xf numFmtId="0" fontId="5" fillId="0" borderId="5" xfId="1" applyNumberFormat="1" applyFont="1" applyFill="1" applyBorder="1" applyAlignment="1">
      <alignment horizontal="center" vertical="center" shrinkToFit="1"/>
    </xf>
    <xf numFmtId="0" fontId="5" fillId="0" borderId="5" xfId="1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shrinkToFit="1"/>
    </xf>
    <xf numFmtId="0" fontId="5" fillId="13" borderId="5" xfId="1" applyNumberFormat="1" applyFont="1" applyFill="1" applyBorder="1" applyAlignment="1">
      <alignment vertical="center" shrinkToFit="1"/>
    </xf>
    <xf numFmtId="0" fontId="5" fillId="0" borderId="13" xfId="1" applyNumberFormat="1" applyFont="1" applyFill="1" applyBorder="1" applyAlignment="1">
      <alignment vertical="center" shrinkToFit="1"/>
    </xf>
    <xf numFmtId="0" fontId="7" fillId="4" borderId="5" xfId="0" applyFont="1" applyFill="1" applyBorder="1" applyAlignment="1">
      <alignment horizontal="left" vertical="center" wrapText="1" shrinkToFit="1"/>
    </xf>
    <xf numFmtId="0" fontId="5" fillId="0" borderId="5" xfId="0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29" fillId="0" borderId="2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shrinkToFit="1"/>
    </xf>
    <xf numFmtId="0" fontId="5" fillId="0" borderId="13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shrinkToFit="1"/>
    </xf>
    <xf numFmtId="0" fontId="0" fillId="0" borderId="0" xfId="4" applyNumberFormat="1" applyFont="1">
      <alignment vertical="center"/>
    </xf>
    <xf numFmtId="0" fontId="24" fillId="0" borderId="0" xfId="0" applyFont="1">
      <alignment vertical="center"/>
    </xf>
    <xf numFmtId="0" fontId="24" fillId="0" borderId="0" xfId="4" applyNumberFormat="1" applyFont="1">
      <alignment vertical="center"/>
    </xf>
    <xf numFmtId="0" fontId="5" fillId="9" borderId="2" xfId="2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shrinkToFit="1"/>
    </xf>
    <xf numFmtId="0" fontId="7" fillId="4" borderId="5" xfId="0" applyFont="1" applyFill="1" applyBorder="1" applyAlignment="1">
      <alignment horizontal="center" vertical="center" shrinkToFit="1"/>
    </xf>
    <xf numFmtId="0" fontId="0" fillId="9" borderId="7" xfId="0" applyFill="1" applyBorder="1">
      <alignment vertical="center"/>
    </xf>
    <xf numFmtId="0" fontId="5" fillId="9" borderId="3" xfId="2" applyNumberFormat="1" applyFont="1" applyFill="1" applyBorder="1" applyAlignment="1">
      <alignment horizontal="center" vertical="center" wrapText="1"/>
    </xf>
    <xf numFmtId="0" fontId="0" fillId="9" borderId="8" xfId="0" applyFill="1" applyBorder="1">
      <alignment vertical="center"/>
    </xf>
    <xf numFmtId="14" fontId="5" fillId="9" borderId="11" xfId="0" applyNumberFormat="1" applyFont="1" applyFill="1" applyBorder="1" applyAlignment="1">
      <alignment horizontal="center" vertical="center" wrapText="1"/>
    </xf>
    <xf numFmtId="14" fontId="7" fillId="11" borderId="5" xfId="0" applyNumberFormat="1" applyFont="1" applyFill="1" applyBorder="1" applyAlignment="1">
      <alignment horizontal="center" vertical="center" shrinkToFit="1"/>
    </xf>
    <xf numFmtId="177" fontId="5" fillId="9" borderId="2" xfId="2" applyNumberFormat="1" applyFont="1" applyFill="1" applyBorder="1" applyAlignment="1">
      <alignment horizontal="center" vertical="center" wrapText="1"/>
    </xf>
    <xf numFmtId="177" fontId="3" fillId="10" borderId="5" xfId="0" applyNumberFormat="1" applyFont="1" applyFill="1" applyBorder="1" applyAlignment="1">
      <alignment horizontal="center" vertical="center"/>
    </xf>
    <xf numFmtId="177" fontId="5" fillId="10" borderId="5" xfId="0" applyNumberFormat="1" applyFont="1" applyFill="1" applyBorder="1" applyAlignment="1">
      <alignment horizontal="center" vertical="center"/>
    </xf>
    <xf numFmtId="177" fontId="5" fillId="10" borderId="0" xfId="0" applyNumberFormat="1" applyFont="1" applyFill="1" applyAlignment="1">
      <alignment horizontal="center" vertical="center"/>
    </xf>
    <xf numFmtId="177" fontId="30" fillId="0" borderId="5" xfId="4" applyNumberFormat="1" applyFont="1" applyFill="1" applyBorder="1" applyAlignment="1">
      <alignment horizontal="right" vertical="center" wrapText="1"/>
    </xf>
    <xf numFmtId="177" fontId="7" fillId="0" borderId="5" xfId="0" applyNumberFormat="1" applyFont="1" applyBorder="1" applyAlignment="1">
      <alignment horizontal="right" vertical="center" wrapText="1"/>
    </xf>
    <xf numFmtId="177" fontId="30" fillId="4" borderId="5" xfId="4" applyNumberFormat="1" applyFont="1" applyFill="1" applyBorder="1" applyAlignment="1">
      <alignment horizontal="right" vertical="center" wrapText="1" shrinkToFit="1"/>
    </xf>
    <xf numFmtId="177" fontId="0" fillId="0" borderId="0" xfId="0" applyNumberFormat="1" applyAlignment="1">
      <alignment horizontal="center" vertical="center"/>
    </xf>
    <xf numFmtId="177" fontId="26" fillId="0" borderId="0" xfId="0" applyNumberFormat="1" applyFont="1">
      <alignment vertical="center"/>
    </xf>
    <xf numFmtId="177" fontId="20" fillId="0" borderId="0" xfId="4" applyNumberFormat="1" applyFont="1" applyFill="1" applyBorder="1" applyAlignment="1">
      <alignment vertical="center" shrinkToFit="1"/>
    </xf>
    <xf numFmtId="177" fontId="15" fillId="0" borderId="0" xfId="4" applyNumberFormat="1" applyFont="1">
      <alignment vertical="center"/>
    </xf>
    <xf numFmtId="177" fontId="7" fillId="0" borderId="0" xfId="4" applyNumberFormat="1" applyFont="1" applyFill="1" applyBorder="1" applyAlignment="1">
      <alignment vertical="center" shrinkToFit="1"/>
    </xf>
    <xf numFmtId="177" fontId="19" fillId="0" borderId="0" xfId="4" applyNumberFormat="1" applyFont="1" applyFill="1" applyBorder="1" applyAlignment="1">
      <alignment vertical="center" shrinkToFit="1"/>
    </xf>
    <xf numFmtId="182" fontId="0" fillId="0" borderId="0" xfId="0" applyNumberFormat="1">
      <alignment vertical="center"/>
    </xf>
    <xf numFmtId="14" fontId="7" fillId="0" borderId="5" xfId="0" applyNumberFormat="1" applyFont="1" applyBorder="1" applyAlignment="1">
      <alignment horizontal="center" vertical="center" wrapText="1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5" xfId="1" applyNumberFormat="1" applyFont="1" applyFill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177" fontId="7" fillId="0" borderId="5" xfId="3" applyNumberFormat="1" applyFont="1" applyFill="1" applyBorder="1" applyAlignment="1" applyProtection="1">
      <alignment horizontal="right" vertical="center" shrinkToFit="1"/>
    </xf>
    <xf numFmtId="0" fontId="0" fillId="0" borderId="0" xfId="21" applyNumberFormat="1" applyFont="1">
      <alignment vertical="center"/>
    </xf>
    <xf numFmtId="0" fontId="5" fillId="11" borderId="5" xfId="1" applyNumberFormat="1" applyFont="1" applyFill="1" applyBorder="1" applyAlignment="1">
      <alignment vertical="center" shrinkToFit="1"/>
    </xf>
    <xf numFmtId="0" fontId="0" fillId="0" borderId="0" xfId="0" applyAlignment="1">
      <alignment vertical="center" shrinkToFit="1"/>
    </xf>
    <xf numFmtId="177" fontId="0" fillId="9" borderId="7" xfId="4" applyNumberFormat="1" applyFont="1" applyFill="1" applyBorder="1" applyAlignment="1">
      <alignment horizontal="right" vertical="center" wrapText="1"/>
    </xf>
    <xf numFmtId="177" fontId="3" fillId="10" borderId="2" xfId="0" applyNumberFormat="1" applyFont="1" applyFill="1" applyBorder="1" applyAlignment="1">
      <alignment horizontal="center" vertical="center"/>
    </xf>
    <xf numFmtId="177" fontId="5" fillId="10" borderId="2" xfId="0" applyNumberFormat="1" applyFont="1" applyFill="1" applyBorder="1" applyAlignment="1">
      <alignment horizontal="center" vertical="center"/>
    </xf>
    <xf numFmtId="177" fontId="5" fillId="10" borderId="31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9" borderId="17" xfId="0" applyFill="1" applyBorder="1">
      <alignment vertical="center"/>
    </xf>
    <xf numFmtId="0" fontId="0" fillId="9" borderId="15" xfId="0" applyFill="1" applyBorder="1">
      <alignment vertical="center"/>
    </xf>
    <xf numFmtId="176" fontId="0" fillId="0" borderId="0" xfId="4" applyFont="1" applyFill="1">
      <alignment vertical="center"/>
    </xf>
    <xf numFmtId="0" fontId="29" fillId="0" borderId="30" xfId="0" applyFont="1" applyBorder="1" applyAlignment="1">
      <alignment horizontal="center" vertical="center" wrapText="1"/>
    </xf>
    <xf numFmtId="0" fontId="31" fillId="0" borderId="5" xfId="1" applyNumberFormat="1" applyFont="1" applyFill="1" applyBorder="1" applyAlignment="1">
      <alignment vertical="center" shrinkToFit="1"/>
    </xf>
    <xf numFmtId="0" fontId="5" fillId="0" borderId="0" xfId="1" applyNumberFormat="1" applyFont="1" applyFill="1" applyBorder="1" applyAlignment="1">
      <alignment vertical="center" shrinkToFit="1"/>
    </xf>
    <xf numFmtId="181" fontId="7" fillId="0" borderId="0" xfId="0" applyNumberFormat="1" applyFont="1" applyAlignment="1">
      <alignment horizontal="center" vertical="center" wrapText="1"/>
    </xf>
    <xf numFmtId="176" fontId="20" fillId="0" borderId="0" xfId="4" applyFont="1">
      <alignment vertical="center"/>
    </xf>
    <xf numFmtId="9" fontId="0" fillId="0" borderId="0" xfId="21" applyFont="1">
      <alignment vertical="center"/>
    </xf>
    <xf numFmtId="183" fontId="0" fillId="0" borderId="0" xfId="21" applyNumberFormat="1" applyFo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5" xfId="1" applyNumberFormat="1" applyFont="1" applyFill="1" applyBorder="1" applyAlignment="1">
      <alignment vertical="center" wrapText="1" shrinkToFit="1"/>
    </xf>
    <xf numFmtId="14" fontId="7" fillId="0" borderId="7" xfId="0" applyNumberFormat="1" applyFont="1" applyBorder="1" applyAlignment="1">
      <alignment horizontal="center" vertical="center" shrinkToFit="1"/>
    </xf>
    <xf numFmtId="0" fontId="15" fillId="0" borderId="0" xfId="5" applyFont="1">
      <alignment vertical="center"/>
    </xf>
    <xf numFmtId="0" fontId="15" fillId="0" borderId="32" xfId="5" applyFont="1" applyBorder="1">
      <alignment vertical="center"/>
    </xf>
    <xf numFmtId="14" fontId="15" fillId="0" borderId="25" xfId="5" applyNumberFormat="1" applyFont="1" applyBorder="1" applyAlignment="1">
      <alignment horizontal="center" vertical="center"/>
    </xf>
    <xf numFmtId="0" fontId="15" fillId="0" borderId="25" xfId="5" applyFont="1" applyBorder="1">
      <alignment vertical="center"/>
    </xf>
    <xf numFmtId="176" fontId="24" fillId="0" borderId="25" xfId="4" applyFont="1" applyBorder="1">
      <alignment vertical="center"/>
    </xf>
    <xf numFmtId="0" fontId="15" fillId="0" borderId="26" xfId="5" applyFont="1" applyBorder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177" fontId="33" fillId="0" borderId="5" xfId="4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 wrapText="1" shrinkToFit="1"/>
    </xf>
    <xf numFmtId="0" fontId="7" fillId="0" borderId="5" xfId="1" applyNumberFormat="1" applyFont="1" applyFill="1" applyBorder="1" applyAlignment="1">
      <alignment horizontal="center" vertical="center" shrinkToFit="1"/>
    </xf>
    <xf numFmtId="0" fontId="0" fillId="0" borderId="10" xfId="0" applyBorder="1" applyAlignment="1">
      <alignment vertical="center" shrinkToFit="1"/>
    </xf>
    <xf numFmtId="0" fontId="32" fillId="15" borderId="5" xfId="1" applyNumberFormat="1" applyFont="1" applyFill="1" applyBorder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 wrapText="1" shrinkToFit="1"/>
    </xf>
    <xf numFmtId="14" fontId="10" fillId="0" borderId="5" xfId="0" applyNumberFormat="1" applyFont="1" applyBorder="1" applyAlignment="1">
      <alignment horizontal="center" vertical="center" shrinkToFit="1"/>
    </xf>
    <xf numFmtId="14" fontId="7" fillId="0" borderId="6" xfId="0" applyNumberFormat="1" applyFont="1" applyBorder="1" applyAlignment="1">
      <alignment horizontal="center" vertical="center" shrinkToFit="1"/>
    </xf>
    <xf numFmtId="0" fontId="29" fillId="0" borderId="33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 shrinkToFit="1"/>
    </xf>
    <xf numFmtId="176" fontId="0" fillId="0" borderId="0" xfId="4" applyFon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3" fillId="9" borderId="1" xfId="2" applyNumberFormat="1" applyFont="1" applyFill="1" applyBorder="1" applyAlignment="1">
      <alignment horizontal="center" vertical="center" wrapText="1"/>
    </xf>
    <xf numFmtId="0" fontId="3" fillId="9" borderId="34" xfId="2" applyNumberFormat="1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shrinkToFit="1"/>
    </xf>
    <xf numFmtId="0" fontId="0" fillId="9" borderId="19" xfId="0" applyFill="1" applyBorder="1">
      <alignment vertical="center"/>
    </xf>
    <xf numFmtId="0" fontId="5" fillId="0" borderId="9" xfId="0" applyFont="1" applyBorder="1" applyAlignment="1">
      <alignment horizontal="center" vertical="center" wrapText="1"/>
    </xf>
    <xf numFmtId="44" fontId="26" fillId="0" borderId="0" xfId="5" applyNumberFormat="1" applyFont="1">
      <alignment vertical="center"/>
    </xf>
    <xf numFmtId="0" fontId="35" fillId="0" borderId="0" xfId="0" applyFont="1">
      <alignment vertical="center"/>
    </xf>
    <xf numFmtId="14" fontId="5" fillId="9" borderId="11" xfId="0" applyNumberFormat="1" applyFont="1" applyFill="1" applyBorder="1" applyAlignment="1">
      <alignment horizontal="center" vertical="center" wrapText="1"/>
    </xf>
    <xf numFmtId="14" fontId="5" fillId="9" borderId="12" xfId="0" applyNumberFormat="1" applyFont="1" applyFill="1" applyBorder="1" applyAlignment="1">
      <alignment horizontal="center" vertical="center" wrapText="1"/>
    </xf>
    <xf numFmtId="0" fontId="5" fillId="9" borderId="3" xfId="2" applyNumberFormat="1" applyFont="1" applyFill="1" applyBorder="1" applyAlignment="1">
      <alignment horizontal="center" vertical="center" wrapText="1"/>
    </xf>
    <xf numFmtId="0" fontId="5" fillId="9" borderId="6" xfId="2" applyNumberFormat="1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5" fillId="9" borderId="11" xfId="2" applyNumberFormat="1" applyFont="1" applyFill="1" applyBorder="1" applyAlignment="1">
      <alignment horizontal="center" vertical="center" wrapText="1"/>
    </xf>
    <xf numFmtId="0" fontId="5" fillId="9" borderId="12" xfId="2" applyNumberFormat="1" applyFont="1" applyFill="1" applyBorder="1" applyAlignment="1">
      <alignment horizontal="center" vertical="center" wrapText="1"/>
    </xf>
    <xf numFmtId="0" fontId="5" fillId="10" borderId="2" xfId="2" applyNumberFormat="1" applyFont="1" applyFill="1" applyBorder="1" applyAlignment="1">
      <alignment horizontal="center" vertical="center" shrinkToFit="1"/>
    </xf>
    <xf numFmtId="0" fontId="5" fillId="10" borderId="5" xfId="2" applyNumberFormat="1" applyFont="1" applyFill="1" applyBorder="1" applyAlignment="1">
      <alignment horizontal="center" vertical="center" shrinkToFit="1"/>
    </xf>
    <xf numFmtId="177" fontId="5" fillId="9" borderId="2" xfId="2" applyNumberFormat="1" applyFont="1" applyFill="1" applyBorder="1" applyAlignment="1">
      <alignment horizontal="center" vertical="center" wrapText="1"/>
    </xf>
    <xf numFmtId="177" fontId="5" fillId="9" borderId="5" xfId="2" applyNumberFormat="1" applyFont="1" applyFill="1" applyBorder="1" applyAlignment="1">
      <alignment horizontal="center" vertical="center" wrapText="1"/>
    </xf>
    <xf numFmtId="177" fontId="5" fillId="9" borderId="2" xfId="0" applyNumberFormat="1" applyFont="1" applyFill="1" applyBorder="1" applyAlignment="1">
      <alignment horizontal="center" vertical="center" wrapText="1"/>
    </xf>
    <xf numFmtId="177" fontId="0" fillId="9" borderId="2" xfId="0" applyNumberFormat="1" applyFill="1" applyBorder="1" applyAlignment="1">
      <alignment horizontal="center" vertical="center" wrapText="1"/>
    </xf>
    <xf numFmtId="14" fontId="5" fillId="9" borderId="11" xfId="2" applyNumberFormat="1" applyFont="1" applyFill="1" applyBorder="1" applyAlignment="1">
      <alignment horizontal="center" vertical="center" wrapText="1"/>
    </xf>
    <xf numFmtId="14" fontId="5" fillId="9" borderId="12" xfId="2" applyNumberFormat="1" applyFont="1" applyFill="1" applyBorder="1" applyAlignment="1">
      <alignment horizontal="center" vertical="center" wrapText="1"/>
    </xf>
    <xf numFmtId="0" fontId="5" fillId="9" borderId="2" xfId="2" applyNumberFormat="1" applyFont="1" applyFill="1" applyBorder="1" applyAlignment="1">
      <alignment horizontal="center" vertical="center" wrapText="1"/>
    </xf>
    <xf numFmtId="0" fontId="5" fillId="9" borderId="5" xfId="2" applyNumberFormat="1" applyFont="1" applyFill="1" applyBorder="1" applyAlignment="1">
      <alignment horizontal="center" vertical="center" wrapText="1"/>
    </xf>
    <xf numFmtId="0" fontId="3" fillId="9" borderId="1" xfId="2" applyNumberFormat="1" applyFont="1" applyFill="1" applyBorder="1" applyAlignment="1">
      <alignment horizontal="center" vertical="center" wrapText="1"/>
    </xf>
    <xf numFmtId="0" fontId="5" fillId="9" borderId="4" xfId="2" applyNumberFormat="1" applyFont="1" applyFill="1" applyBorder="1" applyAlignment="1">
      <alignment horizontal="center" vertical="center" wrapText="1"/>
    </xf>
    <xf numFmtId="0" fontId="3" fillId="9" borderId="11" xfId="2" applyNumberFormat="1" applyFont="1" applyFill="1" applyBorder="1" applyAlignment="1">
      <alignment horizontal="center" vertical="center" wrapText="1"/>
    </xf>
    <xf numFmtId="0" fontId="3" fillId="9" borderId="12" xfId="2" applyNumberFormat="1" applyFont="1" applyFill="1" applyBorder="1" applyAlignment="1">
      <alignment horizontal="center" vertical="center" wrapText="1"/>
    </xf>
    <xf numFmtId="14" fontId="5" fillId="10" borderId="2" xfId="2" applyNumberFormat="1" applyFont="1" applyFill="1" applyBorder="1" applyAlignment="1">
      <alignment horizontal="center" vertical="center" wrapText="1"/>
    </xf>
    <xf numFmtId="14" fontId="5" fillId="10" borderId="5" xfId="2" applyNumberFormat="1" applyFont="1" applyFill="1" applyBorder="1" applyAlignment="1">
      <alignment horizontal="center" vertical="center" wrapText="1"/>
    </xf>
    <xf numFmtId="0" fontId="5" fillId="10" borderId="2" xfId="2" applyNumberFormat="1" applyFont="1" applyFill="1" applyBorder="1" applyAlignment="1">
      <alignment horizontal="center" vertical="center" wrapText="1" shrinkToFit="1"/>
    </xf>
    <xf numFmtId="0" fontId="5" fillId="10" borderId="5" xfId="2" applyNumberFormat="1" applyFont="1" applyFill="1" applyBorder="1" applyAlignment="1">
      <alignment horizontal="center" vertical="center" wrapText="1" shrinkToFit="1"/>
    </xf>
    <xf numFmtId="0" fontId="5" fillId="10" borderId="2" xfId="2" applyNumberFormat="1" applyFont="1" applyFill="1" applyBorder="1" applyAlignment="1">
      <alignment horizontal="center" vertical="center" wrapText="1"/>
    </xf>
    <xf numFmtId="0" fontId="5" fillId="10" borderId="5" xfId="2" applyNumberFormat="1" applyFont="1" applyFill="1" applyBorder="1" applyAlignment="1">
      <alignment horizontal="center" vertical="center" wrapText="1"/>
    </xf>
    <xf numFmtId="0" fontId="5" fillId="10" borderId="11" xfId="2" applyNumberFormat="1" applyFont="1" applyFill="1" applyBorder="1" applyAlignment="1">
      <alignment horizontal="center" vertical="center" wrapText="1"/>
    </xf>
    <xf numFmtId="0" fontId="5" fillId="10" borderId="12" xfId="2" applyNumberFormat="1" applyFont="1" applyFill="1" applyBorder="1" applyAlignment="1">
      <alignment horizontal="center" vertical="center" wrapText="1"/>
    </xf>
    <xf numFmtId="0" fontId="15" fillId="0" borderId="25" xfId="5" applyFont="1" applyBorder="1" applyAlignment="1">
      <alignment horizontal="center" vertical="center"/>
    </xf>
    <xf numFmtId="0" fontId="5" fillId="10" borderId="11" xfId="2" applyFont="1" applyFill="1" applyBorder="1" applyAlignment="1">
      <alignment horizontal="center" vertical="center" wrapText="1"/>
    </xf>
    <xf numFmtId="0" fontId="5" fillId="10" borderId="12" xfId="2" applyFont="1" applyFill="1" applyBorder="1" applyAlignment="1">
      <alignment horizontal="center" vertical="center" wrapText="1"/>
    </xf>
    <xf numFmtId="0" fontId="5" fillId="9" borderId="11" xfId="2" applyFont="1" applyFill="1" applyBorder="1" applyAlignment="1">
      <alignment horizontal="center" vertical="center" wrapText="1"/>
    </xf>
    <xf numFmtId="0" fontId="5" fillId="9" borderId="12" xfId="2" applyFont="1" applyFill="1" applyBorder="1" applyAlignment="1">
      <alignment horizontal="center" vertical="center" wrapText="1"/>
    </xf>
    <xf numFmtId="14" fontId="3" fillId="9" borderId="1" xfId="2" applyNumberFormat="1" applyFont="1" applyFill="1" applyBorder="1" applyAlignment="1">
      <alignment horizontal="center" vertical="center" wrapText="1"/>
    </xf>
    <xf numFmtId="14" fontId="5" fillId="9" borderId="4" xfId="2" applyNumberFormat="1" applyFont="1" applyFill="1" applyBorder="1" applyAlignment="1">
      <alignment horizontal="center" vertical="center" wrapText="1"/>
    </xf>
    <xf numFmtId="14" fontId="3" fillId="9" borderId="11" xfId="2" applyNumberFormat="1" applyFont="1" applyFill="1" applyBorder="1" applyAlignment="1">
      <alignment horizontal="center" vertical="center" wrapText="1"/>
    </xf>
    <xf numFmtId="14" fontId="3" fillId="9" borderId="12" xfId="2" applyNumberFormat="1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 wrapText="1" shrinkToFit="1"/>
    </xf>
    <xf numFmtId="0" fontId="5" fillId="10" borderId="5" xfId="2" applyFont="1" applyFill="1" applyBorder="1" applyAlignment="1">
      <alignment horizontal="center" vertical="center" wrapText="1" shrinkToFit="1"/>
    </xf>
    <xf numFmtId="0" fontId="5" fillId="10" borderId="2" xfId="2" applyFont="1" applyFill="1" applyBorder="1" applyAlignment="1">
      <alignment horizontal="center" vertical="center" wrapText="1"/>
    </xf>
    <xf numFmtId="0" fontId="5" fillId="10" borderId="5" xfId="2" applyFont="1" applyFill="1" applyBorder="1" applyAlignment="1">
      <alignment horizontal="center" vertical="center" wrapText="1"/>
    </xf>
    <xf numFmtId="0" fontId="5" fillId="9" borderId="3" xfId="2" applyFont="1" applyFill="1" applyBorder="1" applyAlignment="1">
      <alignment horizontal="center" vertical="center" wrapText="1"/>
    </xf>
    <xf numFmtId="0" fontId="5" fillId="9" borderId="6" xfId="2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 shrinkToFit="1"/>
    </xf>
    <xf numFmtId="0" fontId="5" fillId="10" borderId="5" xfId="2" applyFont="1" applyFill="1" applyBorder="1" applyAlignment="1">
      <alignment horizontal="center" vertical="center" shrinkToFit="1"/>
    </xf>
    <xf numFmtId="0" fontId="5" fillId="9" borderId="2" xfId="2" applyFont="1" applyFill="1" applyBorder="1" applyAlignment="1">
      <alignment horizontal="center" vertical="center" wrapText="1"/>
    </xf>
    <xf numFmtId="0" fontId="5" fillId="9" borderId="5" xfId="2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78" fontId="5" fillId="9" borderId="2" xfId="0" applyNumberFormat="1" applyFont="1" applyFill="1" applyBorder="1" applyAlignment="1">
      <alignment horizontal="center" vertical="center" wrapText="1"/>
    </xf>
    <xf numFmtId="178" fontId="0" fillId="9" borderId="2" xfId="0" applyNumberFormat="1" applyFill="1" applyBorder="1" applyAlignment="1">
      <alignment horizontal="center" vertical="center" wrapText="1"/>
    </xf>
    <xf numFmtId="181" fontId="5" fillId="9" borderId="11" xfId="0" applyNumberFormat="1" applyFont="1" applyFill="1" applyBorder="1" applyAlignment="1">
      <alignment horizontal="center" vertical="center" wrapText="1"/>
    </xf>
    <xf numFmtId="181" fontId="5" fillId="9" borderId="12" xfId="0" applyNumberFormat="1" applyFont="1" applyFill="1" applyBorder="1" applyAlignment="1">
      <alignment horizontal="center" vertical="center" wrapText="1"/>
    </xf>
  </cellXfs>
  <cellStyles count="22">
    <cellStyle name="20% - 강조색1 2" xfId="6" xr:uid="{00000000-0005-0000-0000-000000000000}"/>
    <cellStyle name="20% - 강조색1 3" xfId="17" xr:uid="{93501B22-38B7-4BB7-9B18-5C3E022EDC21}"/>
    <cellStyle name="40% - 강조색2" xfId="1" builtinId="35"/>
    <cellStyle name="40% - 강조색2 2" xfId="16" xr:uid="{16564AD3-C82B-4B79-BDF9-88B826CD57C3}"/>
    <cellStyle name="40% - 강조색6" xfId="2" builtinId="51"/>
    <cellStyle name="40% - 강조색6 2" xfId="15" xr:uid="{122657DA-BB33-47BF-B1B9-3A9FFB4EDA71}"/>
    <cellStyle name="나쁨 2" xfId="7" xr:uid="{00000000-0005-0000-0000-000004000000}"/>
    <cellStyle name="나쁨 2 2" xfId="18" xr:uid="{E0590BC9-BD68-4129-B932-74125ED02E06}"/>
    <cellStyle name="백분율" xfId="21" builtinId="5"/>
    <cellStyle name="백분율 2" xfId="19" xr:uid="{87506159-B9EA-45EB-929D-3C945851591C}"/>
    <cellStyle name="쉼표 [0]" xfId="4" builtinId="6"/>
    <cellStyle name="쉼표 [0] 2" xfId="12" xr:uid="{E6CC948B-4F10-49C0-B4EB-0DFB7A5EDF08}"/>
    <cellStyle name="쉼표 [0] 2 2" xfId="20" xr:uid="{6BBFC688-4A6F-4CDF-B353-7C7B43635AB0}"/>
    <cellStyle name="스타일 1" xfId="10" xr:uid="{00000000-0005-0000-0000-000006000000}"/>
    <cellStyle name="좋음 2" xfId="11" xr:uid="{00000000-0005-0000-0000-000007000000}"/>
    <cellStyle name="표준" xfId="0" builtinId="0"/>
    <cellStyle name="표준 13 2" xfId="9" xr:uid="{00000000-0005-0000-0000-000009000000}"/>
    <cellStyle name="표준 18 2" xfId="8" xr:uid="{00000000-0005-0000-0000-00000A000000}"/>
    <cellStyle name="표준 2" xfId="5" xr:uid="{00000000-0005-0000-0000-00000B000000}"/>
    <cellStyle name="표준 2 2" xfId="14" xr:uid="{C708C787-DE99-4533-A889-2346F495C50F}"/>
    <cellStyle name="표준 2 2 2 2" xfId="13" xr:uid="{65A27C5A-2A54-4BB4-B166-8365BE104CB2}"/>
    <cellStyle name="하이퍼링크" xfId="3" builtinId="8"/>
  </cellStyles>
  <dxfs count="0"/>
  <tableStyles count="0" defaultTableStyle="TableStyleMedium2" defaultPivotStyle="PivotStyleLight16"/>
  <colors>
    <mruColors>
      <color rgb="FFFFFF00"/>
      <color rgb="FF66FF33"/>
      <color rgb="FF009900"/>
      <color rgb="FF33CC33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V1269"/>
  <sheetViews>
    <sheetView zoomScale="95" zoomScaleNormal="95" workbookViewId="0">
      <pane ySplit="1" topLeftCell="A1229" activePane="bottomLeft" state="frozen"/>
      <selection pane="bottomLeft" activeCell="D1262" sqref="D1262"/>
    </sheetView>
  </sheetViews>
  <sheetFormatPr defaultRowHeight="16.5"/>
  <cols>
    <col min="1" max="1" width="1.375" customWidth="1"/>
    <col min="2" max="2" width="9" style="1" customWidth="1"/>
    <col min="3" max="3" width="9.625" style="1" customWidth="1"/>
    <col min="4" max="4" width="11.125" style="96" bestFit="1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style="204" customWidth="1"/>
    <col min="10" max="10" width="6" style="17" customWidth="1"/>
    <col min="11" max="11" width="10.75" style="17" customWidth="1"/>
    <col min="12" max="12" width="16.125" style="17" bestFit="1" customWidth="1"/>
    <col min="13" max="13" width="14.625" style="17" bestFit="1" customWidth="1"/>
    <col min="14" max="14" width="16.12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19" max="19" width="9" customWidth="1"/>
    <col min="20" max="20" width="12.125" bestFit="1" customWidth="1"/>
    <col min="22" max="22" width="13.625" bestFit="1" customWidth="1"/>
    <col min="24" max="24" width="12.75" bestFit="1" customWidth="1"/>
  </cols>
  <sheetData>
    <row r="1" spans="1:18" ht="27">
      <c r="B1" s="251" t="s">
        <v>69</v>
      </c>
      <c r="C1" s="252" t="s">
        <v>68</v>
      </c>
      <c r="D1" s="133" t="s">
        <v>0</v>
      </c>
      <c r="E1" s="150" t="s">
        <v>1</v>
      </c>
      <c r="F1" s="151" t="s">
        <v>2</v>
      </c>
      <c r="G1" s="152" t="s">
        <v>12</v>
      </c>
      <c r="H1" s="153" t="s">
        <v>14</v>
      </c>
      <c r="I1" s="154" t="s">
        <v>3</v>
      </c>
      <c r="J1" s="183" t="s">
        <v>395</v>
      </c>
      <c r="K1" s="183" t="s">
        <v>8</v>
      </c>
      <c r="L1" s="206" t="s">
        <v>17</v>
      </c>
      <c r="M1" s="207" t="s">
        <v>9</v>
      </c>
      <c r="N1" s="208" t="s">
        <v>18</v>
      </c>
      <c r="O1" s="134" t="s">
        <v>54</v>
      </c>
      <c r="P1" s="173" t="s">
        <v>10</v>
      </c>
      <c r="Q1" s="181" t="s">
        <v>11</v>
      </c>
      <c r="R1" s="179" t="s">
        <v>6</v>
      </c>
    </row>
    <row r="2" spans="1:18" ht="16.5" customHeight="1">
      <c r="A2" t="s">
        <v>64</v>
      </c>
      <c r="B2" s="10" t="str">
        <f>'1월'!B5</f>
        <v>X</v>
      </c>
      <c r="C2" s="12"/>
      <c r="D2" s="13">
        <f>'1월'!D5</f>
        <v>45658</v>
      </c>
      <c r="E2" s="155" t="str">
        <f>'1월'!E5</f>
        <v>에스케이쉴더스 금천지점</v>
      </c>
      <c r="F2" s="155"/>
      <c r="G2" s="156" t="str">
        <f>'1월'!G5</f>
        <v>일반경비</v>
      </c>
      <c r="H2" s="156" t="str">
        <f>'1월'!H5</f>
        <v>지급수수료</v>
      </c>
      <c r="I2" s="69" t="str">
        <f>'1월'!I5</f>
        <v>보안용역 월정료 1월분</v>
      </c>
      <c r="J2" s="122">
        <f>'1월'!J5</f>
        <v>1</v>
      </c>
      <c r="K2" s="15">
        <f>'1월'!K5</f>
        <v>71000</v>
      </c>
      <c r="L2" s="15">
        <f>'1월'!L5</f>
        <v>71000</v>
      </c>
      <c r="M2" s="15">
        <f>'1월'!M5</f>
        <v>7100</v>
      </c>
      <c r="N2" s="15">
        <f>'1월'!N5</f>
        <v>78100</v>
      </c>
      <c r="O2" s="5" t="str">
        <f>'1월'!O5</f>
        <v>자동이체(1/11)</v>
      </c>
      <c r="P2" s="9" t="str">
        <f>'1월'!P5</f>
        <v>정지우</v>
      </c>
      <c r="Q2" s="5" t="str">
        <f>'1월'!Q5</f>
        <v>X</v>
      </c>
      <c r="R2" s="209"/>
    </row>
    <row r="3" spans="1:18" ht="16.5" customHeight="1">
      <c r="A3" t="s">
        <v>64</v>
      </c>
      <c r="B3" s="10" t="str">
        <f>'1월'!B6</f>
        <v>LI-24005</v>
      </c>
      <c r="C3" s="139"/>
      <c r="D3" s="13">
        <f>'1월'!D6</f>
        <v>45658</v>
      </c>
      <c r="E3" s="155" t="str">
        <f>'1월'!E6</f>
        <v>한국아이씨에스</v>
      </c>
      <c r="F3" s="155" t="str">
        <f>'1월'!F6</f>
        <v>해안종합건축사사무소</v>
      </c>
      <c r="G3" s="156" t="str">
        <f>'1월'!G6</f>
        <v>MA</v>
      </c>
      <c r="H3" s="156" t="str">
        <f>'1월'!H6</f>
        <v>월간-IBM</v>
      </c>
      <c r="I3" s="69" t="str">
        <f>'1월'!I6</f>
        <v>1월 유지정비료 - 8/12회</v>
      </c>
      <c r="J3" s="122">
        <f>'1월'!J6</f>
        <v>1</v>
      </c>
      <c r="K3" s="15">
        <f>'1월'!K6</f>
        <v>436400</v>
      </c>
      <c r="L3" s="16">
        <f>'1월'!L6</f>
        <v>436400</v>
      </c>
      <c r="M3" s="15">
        <f>'1월'!M6</f>
        <v>43640</v>
      </c>
      <c r="N3" s="15">
        <f>'1월'!N6</f>
        <v>480040</v>
      </c>
      <c r="O3" s="5" t="str">
        <f>'1월'!O6</f>
        <v>완료(25/1/24)</v>
      </c>
      <c r="P3" s="174" t="str">
        <f>'1월'!P6</f>
        <v>천범석</v>
      </c>
      <c r="Q3" s="5">
        <f>'1월'!Q6</f>
        <v>45658</v>
      </c>
      <c r="R3" s="209"/>
    </row>
    <row r="4" spans="1:18" ht="16.5" customHeight="1">
      <c r="A4" t="s">
        <v>64</v>
      </c>
      <c r="B4" s="10" t="str">
        <f>'1월'!B7</f>
        <v>SM-24007</v>
      </c>
      <c r="C4" s="142"/>
      <c r="D4" s="13">
        <f>'1월'!D7</f>
        <v>45658</v>
      </c>
      <c r="E4" s="155" t="str">
        <f>'1월'!E7</f>
        <v>한국아이씨에스</v>
      </c>
      <c r="F4" s="155" t="str">
        <f>'1월'!F7</f>
        <v>연세의료원</v>
      </c>
      <c r="G4" s="156" t="str">
        <f>'1월'!G7</f>
        <v>MA</v>
      </c>
      <c r="H4" s="156" t="str">
        <f>'1월'!H7</f>
        <v>월간-IBM</v>
      </c>
      <c r="I4" s="69" t="str">
        <f>'1월'!I7</f>
        <v>1월 유지정비료 - 12/12회</v>
      </c>
      <c r="J4" s="122">
        <f>'1월'!J7</f>
        <v>1</v>
      </c>
      <c r="K4" s="15">
        <f>'1월'!K7</f>
        <v>288000</v>
      </c>
      <c r="L4" s="16">
        <f>'1월'!L7</f>
        <v>288000</v>
      </c>
      <c r="M4" s="15">
        <f>'1월'!M7</f>
        <v>28800</v>
      </c>
      <c r="N4" s="15">
        <f>'1월'!N7</f>
        <v>316800</v>
      </c>
      <c r="O4" s="5" t="str">
        <f>'1월'!O7</f>
        <v>완료(25/1/24)</v>
      </c>
      <c r="P4" s="9" t="str">
        <f>'1월'!P7</f>
        <v>이예지</v>
      </c>
      <c r="Q4" s="5">
        <f>'1월'!Q7</f>
        <v>45677</v>
      </c>
      <c r="R4" s="209"/>
    </row>
    <row r="5" spans="1:18" ht="16.5" customHeight="1">
      <c r="A5" t="s">
        <v>64</v>
      </c>
      <c r="B5" s="10" t="str">
        <f>'1월'!B8</f>
        <v>LI-24006</v>
      </c>
      <c r="C5" s="12"/>
      <c r="D5" s="13">
        <f>'1월'!D8</f>
        <v>45658</v>
      </c>
      <c r="E5" s="155" t="str">
        <f>'1월'!E8</f>
        <v>한국아이씨에스</v>
      </c>
      <c r="F5" s="155" t="str">
        <f>'1월'!F8</f>
        <v>보해양조</v>
      </c>
      <c r="G5" s="156" t="str">
        <f>'1월'!G8</f>
        <v>MA</v>
      </c>
      <c r="H5" s="156" t="str">
        <f>'1월'!H8</f>
        <v>월간-IBM</v>
      </c>
      <c r="I5" s="69" t="str">
        <f>'1월'!I8</f>
        <v>1월 유지정비료 - 6/11회</v>
      </c>
      <c r="J5" s="122">
        <f>'1월'!J8</f>
        <v>1</v>
      </c>
      <c r="K5" s="15">
        <f>'1월'!K8</f>
        <v>277600</v>
      </c>
      <c r="L5" s="16">
        <f>'1월'!L8</f>
        <v>277600</v>
      </c>
      <c r="M5" s="16">
        <f>'1월'!M8</f>
        <v>27760</v>
      </c>
      <c r="N5" s="15">
        <f>'1월'!N8</f>
        <v>305360</v>
      </c>
      <c r="O5" s="5" t="str">
        <f>'1월'!O8</f>
        <v>완료(25/1/24)</v>
      </c>
      <c r="P5" s="174" t="str">
        <f>'1월'!P8</f>
        <v>천범석</v>
      </c>
      <c r="Q5" s="5">
        <f>'1월'!Q8</f>
        <v>45682</v>
      </c>
      <c r="R5" s="209"/>
    </row>
    <row r="6" spans="1:18" ht="16.5" customHeight="1">
      <c r="A6" t="s">
        <v>64</v>
      </c>
      <c r="B6" s="10" t="str">
        <f>'1월'!B9</f>
        <v>IK-24006</v>
      </c>
      <c r="C6" s="12"/>
      <c r="D6" s="13">
        <f>'1월'!D9</f>
        <v>45659</v>
      </c>
      <c r="E6" s="155" t="str">
        <f>'1월'!E9</f>
        <v>한국아이씨에스</v>
      </c>
      <c r="F6" s="155" t="str">
        <f>'1월'!F9</f>
        <v>광양항서부터미널</v>
      </c>
      <c r="G6" s="156" t="str">
        <f>'1월'!G9</f>
        <v>MA</v>
      </c>
      <c r="H6" s="156" t="str">
        <f>'1월'!H9</f>
        <v>월간-IBM</v>
      </c>
      <c r="I6" s="69" t="str">
        <f>'1월'!I9</f>
        <v>1월 유지정비료 - 9/24회</v>
      </c>
      <c r="J6" s="122">
        <f>'1월'!J9</f>
        <v>1</v>
      </c>
      <c r="K6" s="15">
        <f>'1월'!K9</f>
        <v>3239404</v>
      </c>
      <c r="L6" s="16">
        <f>'1월'!L9</f>
        <v>3239404</v>
      </c>
      <c r="M6" s="15">
        <f>'1월'!M9</f>
        <v>323940</v>
      </c>
      <c r="N6" s="15">
        <f>'1월'!N9</f>
        <v>3563344</v>
      </c>
      <c r="O6" s="5" t="str">
        <f>'1월'!O9</f>
        <v>완료(2/28)</v>
      </c>
      <c r="P6" s="9" t="str">
        <f>'1월'!P9</f>
        <v>홍승민</v>
      </c>
      <c r="Q6" s="5">
        <f>'1월'!Q9</f>
        <v>45688</v>
      </c>
      <c r="R6" s="209"/>
    </row>
    <row r="7" spans="1:18" ht="16.5" customHeight="1">
      <c r="A7" t="s">
        <v>64</v>
      </c>
      <c r="B7" s="10" t="str">
        <f>'1월'!B10</f>
        <v>LI-24008</v>
      </c>
      <c r="C7" s="12"/>
      <c r="D7" s="13">
        <f>'1월'!D10</f>
        <v>45659</v>
      </c>
      <c r="E7" s="155" t="str">
        <f>'1월'!E10</f>
        <v>한국아이씨에스</v>
      </c>
      <c r="F7" s="155" t="str">
        <f>'1월'!F10</f>
        <v>쿠팡</v>
      </c>
      <c r="G7" s="156" t="str">
        <f>'1월'!G10</f>
        <v>MA</v>
      </c>
      <c r="H7" s="156" t="str">
        <f>'1월'!H10</f>
        <v>월간-IBM</v>
      </c>
      <c r="I7" s="69" t="str">
        <f>'1월'!I10</f>
        <v>1월 유지정비료 - 6/13회</v>
      </c>
      <c r="J7" s="122">
        <f>'1월'!J10</f>
        <v>1</v>
      </c>
      <c r="K7" s="15">
        <f>'1월'!K10</f>
        <v>205780</v>
      </c>
      <c r="L7" s="16">
        <f>'1월'!L10</f>
        <v>205780</v>
      </c>
      <c r="M7" s="16">
        <f>'1월'!M10</f>
        <v>20578</v>
      </c>
      <c r="N7" s="15">
        <f>'1월'!N10</f>
        <v>226358</v>
      </c>
      <c r="O7" s="5" t="str">
        <f>'1월'!O10</f>
        <v>완료(2/28)</v>
      </c>
      <c r="P7" s="174" t="str">
        <f>'1월'!P10</f>
        <v>천범석</v>
      </c>
      <c r="Q7" s="5">
        <f>'1월'!Q10</f>
        <v>45491</v>
      </c>
      <c r="R7" s="209" t="str">
        <f>'1월'!R10</f>
        <v>매출연간</v>
      </c>
    </row>
    <row r="8" spans="1:18" ht="16.5" customHeight="1">
      <c r="A8" t="s">
        <v>64</v>
      </c>
      <c r="B8" s="10" t="str">
        <f>'1월'!B11</f>
        <v>LI-24003</v>
      </c>
      <c r="C8" s="12"/>
      <c r="D8" s="13">
        <f>'1월'!D11</f>
        <v>45659</v>
      </c>
      <c r="E8" s="155" t="str">
        <f>'1월'!E11</f>
        <v>한국아이씨에스</v>
      </c>
      <c r="F8" s="155" t="str">
        <f>'1월'!F11</f>
        <v>지엔콤</v>
      </c>
      <c r="G8" s="156" t="str">
        <f>'1월'!G11</f>
        <v>MA</v>
      </c>
      <c r="H8" s="156" t="str">
        <f>'1월'!H11</f>
        <v>월간-IBM</v>
      </c>
      <c r="I8" s="69" t="str">
        <f>'1월'!I11</f>
        <v>전주교육대학교 1월 유지정비료 - 9/12회</v>
      </c>
      <c r="J8" s="122">
        <f>'1월'!J11</f>
        <v>1</v>
      </c>
      <c r="K8" s="15">
        <f>'1월'!K11</f>
        <v>305280</v>
      </c>
      <c r="L8" s="16">
        <f>'1월'!L11</f>
        <v>305280</v>
      </c>
      <c r="M8" s="15">
        <f>'1월'!M11</f>
        <v>30528</v>
      </c>
      <c r="N8" s="15">
        <f>'1월'!N11</f>
        <v>335808</v>
      </c>
      <c r="O8" s="5" t="str">
        <f>'1월'!O11</f>
        <v>완료(2/28)</v>
      </c>
      <c r="P8" s="9" t="str">
        <f>'1월'!P11</f>
        <v>천범석</v>
      </c>
      <c r="Q8" s="5">
        <f>'1월'!Q11</f>
        <v>45688</v>
      </c>
      <c r="R8" s="209"/>
    </row>
    <row r="9" spans="1:18" ht="16.5" customHeight="1">
      <c r="A9" t="s">
        <v>64</v>
      </c>
      <c r="B9" s="10" t="str">
        <f>'1월'!B12</f>
        <v>IK-23021</v>
      </c>
      <c r="C9" s="12"/>
      <c r="D9" s="13">
        <f>'1월'!D12</f>
        <v>45659</v>
      </c>
      <c r="E9" s="155" t="str">
        <f>'1월'!E12</f>
        <v>한국아이씨에스</v>
      </c>
      <c r="F9" s="155" t="str">
        <f>'1월'!F12</f>
        <v>투아이시스</v>
      </c>
      <c r="G9" s="156" t="str">
        <f>'1월'!G12</f>
        <v>MA</v>
      </c>
      <c r="H9" s="156" t="str">
        <f>'1월'!H12</f>
        <v>월간-IBM</v>
      </c>
      <c r="I9" s="69" t="str">
        <f>'1월'!I12</f>
        <v>1월 유지정비료 - 11/12회</v>
      </c>
      <c r="J9" s="122">
        <f>'1월'!J12</f>
        <v>1</v>
      </c>
      <c r="K9" s="15">
        <f>'1월'!K12</f>
        <v>93445</v>
      </c>
      <c r="L9" s="15">
        <f>'1월'!L12</f>
        <v>93445</v>
      </c>
      <c r="M9" s="15">
        <f>'1월'!M12</f>
        <v>9344</v>
      </c>
      <c r="N9" s="15">
        <f>'1월'!N12</f>
        <v>102789</v>
      </c>
      <c r="O9" s="5" t="str">
        <f>'1월'!O12</f>
        <v>완료(2/28)</v>
      </c>
      <c r="P9" s="174" t="str">
        <f>'1월'!P12</f>
        <v>천범석</v>
      </c>
      <c r="Q9" s="5">
        <f>'1월'!Q12</f>
        <v>45380</v>
      </c>
      <c r="R9" s="209" t="str">
        <f>'1월'!R12</f>
        <v>매출연간</v>
      </c>
    </row>
    <row r="10" spans="1:18" ht="16.5" customHeight="1">
      <c r="A10" t="s">
        <v>64</v>
      </c>
      <c r="B10" s="10" t="str">
        <f>'1월'!B13</f>
        <v>SM-25003</v>
      </c>
      <c r="C10" s="12"/>
      <c r="D10" s="13">
        <f>'1월'!D13</f>
        <v>45659</v>
      </c>
      <c r="E10" s="155" t="str">
        <f>'1월'!E13</f>
        <v>한국아이씨에스</v>
      </c>
      <c r="F10" s="155" t="str">
        <f>'1월'!F13</f>
        <v>CGV 통합</v>
      </c>
      <c r="G10" s="156" t="str">
        <f>'1월'!G13</f>
        <v>MA</v>
      </c>
      <c r="H10" s="156" t="str">
        <f>'1월'!H13</f>
        <v>월간-IBM</v>
      </c>
      <c r="I10" s="69" t="str">
        <f>'1월'!I13</f>
        <v>1월 유지정비료 - 1/12회</v>
      </c>
      <c r="J10" s="122">
        <f>'1월'!J13</f>
        <v>1</v>
      </c>
      <c r="K10" s="15">
        <f>'1월'!K13</f>
        <v>2812500</v>
      </c>
      <c r="L10" s="16">
        <f>'1월'!L13</f>
        <v>2812500</v>
      </c>
      <c r="M10" s="16">
        <f>'1월'!M13</f>
        <v>281250</v>
      </c>
      <c r="N10" s="15">
        <f>'1월'!N13</f>
        <v>3093750</v>
      </c>
      <c r="O10" s="5" t="str">
        <f>'1월'!O13</f>
        <v>완료(2/28)</v>
      </c>
      <c r="P10" s="9" t="str">
        <f>'1월'!P13</f>
        <v>이예지</v>
      </c>
      <c r="Q10" s="5">
        <f>'1월'!Q13</f>
        <v>45666</v>
      </c>
      <c r="R10" s="209" t="str">
        <f>'1월'!R13</f>
        <v>매출연간</v>
      </c>
    </row>
    <row r="11" spans="1:18" ht="16.5" customHeight="1">
      <c r="A11" t="s">
        <v>64</v>
      </c>
      <c r="B11" s="140" t="str">
        <f>'1월'!B14</f>
        <v>IK-23016</v>
      </c>
      <c r="C11" s="12"/>
      <c r="D11" s="13">
        <f>'1월'!D14</f>
        <v>45659</v>
      </c>
      <c r="E11" s="155" t="str">
        <f>'1월'!E14</f>
        <v>한국아이씨에스</v>
      </c>
      <c r="F11" s="155" t="str">
        <f>'1월'!F14</f>
        <v>케이정보기술</v>
      </c>
      <c r="G11" s="157" t="str">
        <f>'1월'!G14</f>
        <v>MA</v>
      </c>
      <c r="H11" s="156" t="str">
        <f>'1월'!H14</f>
        <v>월간-IBM</v>
      </c>
      <c r="I11" s="69" t="str">
        <f>'1월'!I14</f>
        <v>청주시청 1월 유지정비료 - 1/20회 추가</v>
      </c>
      <c r="J11" s="122">
        <f>'1월'!J14</f>
        <v>1</v>
      </c>
      <c r="K11" s="15">
        <f>'1월'!K14</f>
        <v>1123962</v>
      </c>
      <c r="L11" s="16">
        <f>'1월'!L14</f>
        <v>1123962</v>
      </c>
      <c r="M11" s="15">
        <f>'1월'!M14</f>
        <v>112396</v>
      </c>
      <c r="N11" s="15">
        <f>'1월'!N14</f>
        <v>1236358</v>
      </c>
      <c r="O11" s="5" t="str">
        <f>'1월'!O14</f>
        <v>완료(2/28)</v>
      </c>
      <c r="P11" s="9" t="str">
        <f>'1월'!P14</f>
        <v>천범석</v>
      </c>
      <c r="Q11" s="5">
        <f>'1월'!Q14</f>
        <v>45658</v>
      </c>
      <c r="R11" s="209"/>
    </row>
    <row r="12" spans="1:18" ht="16.5" customHeight="1">
      <c r="A12" t="s">
        <v>64</v>
      </c>
      <c r="B12" s="10" t="str">
        <f>'1월'!B15</f>
        <v>IK-22025</v>
      </c>
      <c r="C12" s="12"/>
      <c r="D12" s="13">
        <f>'1월'!D15</f>
        <v>45659</v>
      </c>
      <c r="E12" s="155" t="str">
        <f>'1월'!E15</f>
        <v>한국아이씨에스</v>
      </c>
      <c r="F12" s="155" t="str">
        <f>'1월'!F15</f>
        <v>디에스피</v>
      </c>
      <c r="G12" s="156" t="str">
        <f>'1월'!G15</f>
        <v>MA</v>
      </c>
      <c r="H12" s="9" t="str">
        <f>'1월'!H15</f>
        <v>월간-IBM</v>
      </c>
      <c r="I12" s="69" t="str">
        <f>'1월'!I15</f>
        <v>엘지생활건강 청주공장 1월 유지정비료 - 12/12회</v>
      </c>
      <c r="J12" s="122">
        <f>'1월'!J15</f>
        <v>1</v>
      </c>
      <c r="K12" s="15">
        <f>'1월'!K15</f>
        <v>532212</v>
      </c>
      <c r="L12" s="16">
        <f>'1월'!L15</f>
        <v>532212</v>
      </c>
      <c r="M12" s="15">
        <f>'1월'!M15</f>
        <v>53221</v>
      </c>
      <c r="N12" s="15">
        <f>'1월'!N15</f>
        <v>585433</v>
      </c>
      <c r="O12" s="5" t="str">
        <f>'1월'!O15</f>
        <v>완료(2/28)</v>
      </c>
      <c r="P12" s="9" t="str">
        <f>'1월'!P15</f>
        <v>천범석</v>
      </c>
      <c r="Q12" s="5">
        <f>'1월'!Q15</f>
        <v>45658</v>
      </c>
      <c r="R12" s="209"/>
    </row>
    <row r="13" spans="1:18" ht="16.5" customHeight="1">
      <c r="A13" t="s">
        <v>64</v>
      </c>
      <c r="B13" s="10" t="str">
        <f>'1월'!B16</f>
        <v>IK-23013</v>
      </c>
      <c r="C13" s="12"/>
      <c r="D13" s="13">
        <f>'1월'!D16</f>
        <v>45659</v>
      </c>
      <c r="E13" s="155" t="str">
        <f>'1월'!E16</f>
        <v>한국아이씨에스</v>
      </c>
      <c r="F13" s="155" t="str">
        <f>'1월'!F16</f>
        <v>로보츠</v>
      </c>
      <c r="G13" s="156" t="str">
        <f>'1월'!G16</f>
        <v>MA</v>
      </c>
      <c r="H13" s="156" t="str">
        <f>'1월'!H16</f>
        <v>월간-IBM</v>
      </c>
      <c r="I13" s="69" t="str">
        <f>'1월'!I16</f>
        <v>도시바일렉 1월 유지정비료 - 7/12회</v>
      </c>
      <c r="J13" s="122">
        <f>'1월'!J16</f>
        <v>1</v>
      </c>
      <c r="K13" s="15">
        <f>'1월'!K16</f>
        <v>66498</v>
      </c>
      <c r="L13" s="16">
        <f>'1월'!L16</f>
        <v>66498</v>
      </c>
      <c r="M13" s="15">
        <f>'1월'!M16</f>
        <v>6649</v>
      </c>
      <c r="N13" s="15">
        <f>'1월'!N16</f>
        <v>73147</v>
      </c>
      <c r="O13" s="5" t="str">
        <f>'1월'!O16</f>
        <v>완료(2/28)</v>
      </c>
      <c r="P13" s="174" t="str">
        <f>'1월'!P16</f>
        <v>천범석</v>
      </c>
      <c r="Q13" s="5">
        <f>'1월'!Q16</f>
        <v>45688</v>
      </c>
      <c r="R13" s="209"/>
    </row>
    <row r="14" spans="1:18" ht="16.5" customHeight="1">
      <c r="A14" t="s">
        <v>64</v>
      </c>
      <c r="B14" s="10" t="str">
        <f>'1월'!B17</f>
        <v>LI-24007</v>
      </c>
      <c r="C14" s="12"/>
      <c r="D14" s="13">
        <f>'1월'!D17</f>
        <v>45659</v>
      </c>
      <c r="E14" s="155" t="str">
        <f>'1월'!E17</f>
        <v>한국아이씨에스</v>
      </c>
      <c r="F14" s="155" t="str">
        <f>'1월'!F17</f>
        <v>유더블유에스</v>
      </c>
      <c r="G14" s="157" t="str">
        <f>'1월'!G17</f>
        <v>MA</v>
      </c>
      <c r="H14" s="156" t="str">
        <f>'1월'!H17</f>
        <v>월간-IBM</v>
      </c>
      <c r="I14" s="69" t="str">
        <f>'1월'!I17</f>
        <v>두원정공 1월 유지정비료 - 6/11회</v>
      </c>
      <c r="J14" s="122">
        <f>'1월'!J17</f>
        <v>1</v>
      </c>
      <c r="K14" s="15">
        <f>'1월'!K17</f>
        <v>80160</v>
      </c>
      <c r="L14" s="16">
        <f>'1월'!L17</f>
        <v>80160</v>
      </c>
      <c r="M14" s="16">
        <f>'1월'!M17</f>
        <v>8016</v>
      </c>
      <c r="N14" s="15">
        <f>'1월'!N17</f>
        <v>88176</v>
      </c>
      <c r="O14" s="5" t="str">
        <f>'1월'!O17</f>
        <v>완료(2/28)</v>
      </c>
      <c r="P14" s="174" t="str">
        <f>'1월'!P17</f>
        <v>천범석</v>
      </c>
      <c r="Q14" s="5">
        <f>'1월'!Q17</f>
        <v>45688</v>
      </c>
      <c r="R14" s="209"/>
    </row>
    <row r="15" spans="1:18" ht="16.5" customHeight="1">
      <c r="A15" t="s">
        <v>64</v>
      </c>
      <c r="B15" s="143" t="str">
        <f>'1월'!B18</f>
        <v>IK-23014</v>
      </c>
      <c r="C15" s="144"/>
      <c r="D15" s="13">
        <f>'1월'!D18</f>
        <v>45659</v>
      </c>
      <c r="E15" s="155" t="str">
        <f>'1월'!E18</f>
        <v>한국아이씨에스</v>
      </c>
      <c r="F15" s="155" t="str">
        <f>'1월'!F18</f>
        <v>서비스링크</v>
      </c>
      <c r="G15" s="157" t="str">
        <f>'1월'!G18</f>
        <v>MA</v>
      </c>
      <c r="H15" s="156" t="str">
        <f>'1월'!H18</f>
        <v>월간-IBM</v>
      </c>
      <c r="I15" s="69" t="str">
        <f>'1월'!I18</f>
        <v>세원정공 1월 유지정비료 - 7/12회</v>
      </c>
      <c r="J15" s="122">
        <f>'1월'!J18</f>
        <v>1</v>
      </c>
      <c r="K15" s="15">
        <f>'1월'!K18</f>
        <v>198018</v>
      </c>
      <c r="L15" s="16">
        <f>'1월'!L18</f>
        <v>198018</v>
      </c>
      <c r="M15" s="15">
        <f>'1월'!M18</f>
        <v>19801</v>
      </c>
      <c r="N15" s="15">
        <f>'1월'!N18</f>
        <v>217819</v>
      </c>
      <c r="O15" s="5" t="str">
        <f>'1월'!O18</f>
        <v>완료(2/28)</v>
      </c>
      <c r="P15" s="174" t="str">
        <f>'1월'!P18</f>
        <v>천범석</v>
      </c>
      <c r="Q15" s="5">
        <f>'1월'!Q18</f>
        <v>45658</v>
      </c>
      <c r="R15" s="209"/>
    </row>
    <row r="16" spans="1:18" ht="16.5" customHeight="1">
      <c r="A16" t="s">
        <v>64</v>
      </c>
      <c r="B16" s="10" t="str">
        <f>'1월'!B19</f>
        <v>SM-21021</v>
      </c>
      <c r="C16" s="12"/>
      <c r="D16" s="13">
        <f>'1월'!D19</f>
        <v>45659</v>
      </c>
      <c r="E16" s="155" t="str">
        <f>'1월'!E19</f>
        <v>한국아이씨에스</v>
      </c>
      <c r="F16" s="155" t="str">
        <f>'1월'!F19</f>
        <v>법무법인바른</v>
      </c>
      <c r="G16" s="156" t="str">
        <f>'1월'!G19</f>
        <v>MA</v>
      </c>
      <c r="H16" s="156" t="str">
        <f>'1월'!H19</f>
        <v>월간-IBM</v>
      </c>
      <c r="I16" s="69" t="str">
        <f>'1월'!I19</f>
        <v>1월 유지정비료 - 5/13회</v>
      </c>
      <c r="J16" s="122">
        <f>'1월'!J19</f>
        <v>1</v>
      </c>
      <c r="K16" s="16">
        <f>'1월'!K19</f>
        <v>84811</v>
      </c>
      <c r="L16" s="16">
        <f>'1월'!L19</f>
        <v>84811</v>
      </c>
      <c r="M16" s="15">
        <f>'1월'!M19</f>
        <v>8481</v>
      </c>
      <c r="N16" s="15">
        <f>'1월'!N19</f>
        <v>93292</v>
      </c>
      <c r="O16" s="5" t="str">
        <f>'1월'!O19</f>
        <v>완료(2/28)</v>
      </c>
      <c r="P16" s="174" t="str">
        <f>'1월'!P19</f>
        <v>천범석</v>
      </c>
      <c r="Q16" s="5">
        <f>'1월'!Q19</f>
        <v>45682</v>
      </c>
      <c r="R16" s="209"/>
    </row>
    <row r="17" spans="1:20" ht="16.5" customHeight="1">
      <c r="A17" t="s">
        <v>64</v>
      </c>
      <c r="B17" s="10" t="str">
        <f>'1월'!B20</f>
        <v>IK-24011</v>
      </c>
      <c r="C17" s="12"/>
      <c r="D17" s="13">
        <f>'1월'!D20</f>
        <v>45659</v>
      </c>
      <c r="E17" s="155" t="str">
        <f>'1월'!E20</f>
        <v>한국아이씨에스</v>
      </c>
      <c r="F17" s="155" t="str">
        <f>'1월'!F20</f>
        <v>로보츠</v>
      </c>
      <c r="G17" s="156" t="str">
        <f>'1월'!G20</f>
        <v>MA</v>
      </c>
      <c r="H17" s="156" t="str">
        <f>'1월'!H20</f>
        <v>월간-IBM</v>
      </c>
      <c r="I17" s="69" t="str">
        <f>'1월'!I20</f>
        <v>키오시아(도시바) 1월 유지정비료 - 2/12회</v>
      </c>
      <c r="J17" s="122">
        <f>'1월'!J20</f>
        <v>1</v>
      </c>
      <c r="K17" s="16">
        <f>'1월'!K20</f>
        <v>133875</v>
      </c>
      <c r="L17" s="16">
        <f>'1월'!L20</f>
        <v>133875</v>
      </c>
      <c r="M17" s="16">
        <f>'1월'!M20</f>
        <v>13387</v>
      </c>
      <c r="N17" s="15">
        <f>'1월'!N20</f>
        <v>147262</v>
      </c>
      <c r="O17" s="5" t="str">
        <f>'1월'!O20</f>
        <v>완료(2/28)</v>
      </c>
      <c r="P17" s="9" t="str">
        <f>'1월'!P20</f>
        <v>천범석</v>
      </c>
      <c r="Q17" s="5">
        <f>'1월'!Q20</f>
        <v>45688</v>
      </c>
      <c r="R17" s="209"/>
    </row>
    <row r="18" spans="1:20" ht="16.5" customHeight="1">
      <c r="A18" t="s">
        <v>64</v>
      </c>
      <c r="B18" s="255" t="str">
        <f>'1월'!B21</f>
        <v>SM-25011</v>
      </c>
      <c r="C18" s="12"/>
      <c r="D18" s="13">
        <f>'1월'!D21</f>
        <v>45659</v>
      </c>
      <c r="E18" s="155" t="str">
        <f>'1월'!E21</f>
        <v>한국아이씨에스</v>
      </c>
      <c r="F18" s="155" t="str">
        <f>'1월'!F21</f>
        <v>유니포인트</v>
      </c>
      <c r="G18" s="156" t="str">
        <f>'1월'!G21</f>
        <v>MA</v>
      </c>
      <c r="H18" s="156" t="str">
        <f>'1월'!H21</f>
        <v>월간-IBM</v>
      </c>
      <c r="I18" s="69" t="str">
        <f>'1월'!I21</f>
        <v>한미약품/한미사이언스 1월 유지정비료 - 1/12회</v>
      </c>
      <c r="J18" s="122">
        <f>'1월'!J21</f>
        <v>1</v>
      </c>
      <c r="K18" s="16">
        <f>'1월'!K21</f>
        <v>11623397</v>
      </c>
      <c r="L18" s="16">
        <f>'1월'!L21</f>
        <v>11623397</v>
      </c>
      <c r="M18" s="16">
        <f>'1월'!M21</f>
        <v>1162339</v>
      </c>
      <c r="N18" s="15">
        <f>'1월'!N21</f>
        <v>12785736</v>
      </c>
      <c r="O18" s="5" t="str">
        <f>'1월'!O21</f>
        <v>완료(2/28)</v>
      </c>
      <c r="P18" s="174" t="str">
        <f>'1월'!P21</f>
        <v>천범석</v>
      </c>
      <c r="Q18" s="5">
        <f>'1월'!Q21</f>
        <v>45681</v>
      </c>
      <c r="R18" s="209"/>
    </row>
    <row r="19" spans="1:20" ht="16.5" customHeight="1">
      <c r="A19" t="s">
        <v>64</v>
      </c>
      <c r="B19" s="10" t="str">
        <f>'1월'!B22</f>
        <v>IK-24002</v>
      </c>
      <c r="C19" s="12"/>
      <c r="D19" s="13">
        <f>'1월'!D22</f>
        <v>45659</v>
      </c>
      <c r="E19" s="155" t="str">
        <f>'1월'!E22</f>
        <v>한국아이씨에스</v>
      </c>
      <c r="F19" s="155" t="str">
        <f>'1월'!F22</f>
        <v>리온아이티</v>
      </c>
      <c r="G19" s="156" t="str">
        <f>'1월'!G22</f>
        <v>MA</v>
      </c>
      <c r="H19" s="156" t="str">
        <f>'1월'!H22</f>
        <v>월간-IBM</v>
      </c>
      <c r="I19" s="69" t="str">
        <f>'1월'!I22</f>
        <v>교세라 1월 유지정비료 - 12/36회</v>
      </c>
      <c r="J19" s="122">
        <f>'1월'!J22</f>
        <v>1</v>
      </c>
      <c r="K19" s="15">
        <f>'1월'!K22</f>
        <v>70422</v>
      </c>
      <c r="L19" s="16">
        <f>'1월'!L22</f>
        <v>70422</v>
      </c>
      <c r="M19" s="15">
        <f>'1월'!M22</f>
        <v>7042</v>
      </c>
      <c r="N19" s="15">
        <f>'1월'!N22</f>
        <v>77464</v>
      </c>
      <c r="O19" s="5" t="str">
        <f>'1월'!O22</f>
        <v>완료(2/28)</v>
      </c>
      <c r="P19" s="174" t="str">
        <f>'1월'!P22</f>
        <v>천범석</v>
      </c>
      <c r="Q19" s="5">
        <f>'1월'!Q22</f>
        <v>45688</v>
      </c>
      <c r="R19" s="209"/>
    </row>
    <row r="20" spans="1:20" ht="16.5" customHeight="1">
      <c r="A20" t="s">
        <v>64</v>
      </c>
      <c r="B20" s="10" t="str">
        <f>'1월'!B23</f>
        <v>SM-24021</v>
      </c>
      <c r="C20" s="12"/>
      <c r="D20" s="13">
        <f>'1월'!D23</f>
        <v>45659</v>
      </c>
      <c r="E20" s="155" t="str">
        <f>'1월'!E23</f>
        <v>한국아이씨에스</v>
      </c>
      <c r="F20" s="155" t="str">
        <f>'1월'!F23</f>
        <v>에이캐피탈</v>
      </c>
      <c r="G20" s="156" t="str">
        <f>'1월'!G23</f>
        <v>MA</v>
      </c>
      <c r="H20" s="156" t="str">
        <f>'1월'!H23</f>
        <v>월간-IBM</v>
      </c>
      <c r="I20" s="69" t="str">
        <f>'1월'!I23</f>
        <v>1월 유지정비료 - 5/12회</v>
      </c>
      <c r="J20" s="122">
        <f>'1월'!J23</f>
        <v>1</v>
      </c>
      <c r="K20" s="15">
        <f>'1월'!K23</f>
        <v>691782</v>
      </c>
      <c r="L20" s="16">
        <f>'1월'!L23</f>
        <v>691782</v>
      </c>
      <c r="M20" s="16">
        <f>'1월'!M23</f>
        <v>69178</v>
      </c>
      <c r="N20" s="15">
        <f>'1월'!N23</f>
        <v>760960</v>
      </c>
      <c r="O20" s="5" t="str">
        <f>'1월'!O23</f>
        <v>완료(2/28)</v>
      </c>
      <c r="P20" s="9" t="str">
        <f>'1월'!P23</f>
        <v>천범석</v>
      </c>
      <c r="Q20" s="5">
        <f>'1월'!Q23</f>
        <v>45693</v>
      </c>
      <c r="R20" s="209"/>
    </row>
    <row r="21" spans="1:20" ht="16.5" customHeight="1">
      <c r="A21" t="s">
        <v>64</v>
      </c>
      <c r="B21" s="10" t="str">
        <f>'1월'!B24</f>
        <v>LI-24004</v>
      </c>
      <c r="C21" s="12"/>
      <c r="D21" s="13">
        <f>'1월'!D24</f>
        <v>45659</v>
      </c>
      <c r="E21" s="155" t="str">
        <f>'1월'!E24</f>
        <v>한국아이씨에스</v>
      </c>
      <c r="F21" s="155" t="str">
        <f>'1월'!F24</f>
        <v>한국메탈</v>
      </c>
      <c r="G21" s="156" t="str">
        <f>'1월'!G24</f>
        <v>MA</v>
      </c>
      <c r="H21" s="156" t="str">
        <f>'1월'!H24</f>
        <v>월간-IBM</v>
      </c>
      <c r="I21" s="69" t="str">
        <f>'1월'!I24</f>
        <v>1월유지정비료 - 9/32회</v>
      </c>
      <c r="J21" s="122">
        <f>'1월'!J24</f>
        <v>1</v>
      </c>
      <c r="K21" s="15">
        <f>'1월'!K24</f>
        <v>316682</v>
      </c>
      <c r="L21" s="16">
        <f>'1월'!L24</f>
        <v>316682</v>
      </c>
      <c r="M21" s="15">
        <f>'1월'!M24</f>
        <v>31668</v>
      </c>
      <c r="N21" s="15">
        <f>'1월'!N24</f>
        <v>348350</v>
      </c>
      <c r="O21" s="5" t="str">
        <f>'1월'!O24</f>
        <v>완료(2/28)</v>
      </c>
      <c r="P21" s="9" t="str">
        <f>'1월'!P24</f>
        <v>천범석</v>
      </c>
      <c r="Q21" s="5">
        <f>'1월'!Q24</f>
        <v>45658</v>
      </c>
      <c r="R21" s="209"/>
    </row>
    <row r="22" spans="1:20" ht="16.5" customHeight="1">
      <c r="A22" t="s">
        <v>64</v>
      </c>
      <c r="B22" s="140" t="str">
        <f>'1월'!B25</f>
        <v>SB-24036</v>
      </c>
      <c r="C22" s="12"/>
      <c r="D22" s="13">
        <f>'1월'!D25</f>
        <v>45659</v>
      </c>
      <c r="E22" s="155" t="str">
        <f>'1월'!E25</f>
        <v>한국아이씨에스</v>
      </c>
      <c r="F22" s="155" t="str">
        <f>'1월'!F25</f>
        <v>나라정보</v>
      </c>
      <c r="G22" s="156" t="str">
        <f>'1월'!G25</f>
        <v>MA</v>
      </c>
      <c r="H22" s="156" t="str">
        <f>'1월'!H25</f>
        <v>월간-IBM</v>
      </c>
      <c r="I22" s="69" t="str">
        <f>'1월'!I25</f>
        <v>부국철강 1월 유지정비료 - 9/32 회</v>
      </c>
      <c r="J22" s="122">
        <f>'1월'!J25</f>
        <v>1</v>
      </c>
      <c r="K22" s="15">
        <f>'1월'!K25</f>
        <v>190849</v>
      </c>
      <c r="L22" s="16">
        <f>'1월'!L25</f>
        <v>190849</v>
      </c>
      <c r="M22" s="15">
        <f>'1월'!M25</f>
        <v>19084</v>
      </c>
      <c r="N22" s="15">
        <f>'1월'!N25</f>
        <v>209933</v>
      </c>
      <c r="O22" s="5" t="str">
        <f>'1월'!O25</f>
        <v>완료(2/28)</v>
      </c>
      <c r="P22" s="177" t="str">
        <f>'1월'!P25</f>
        <v>천범석</v>
      </c>
      <c r="Q22" s="5">
        <f>'1월'!Q25</f>
        <v>45688</v>
      </c>
      <c r="R22" s="209"/>
    </row>
    <row r="23" spans="1:20" ht="16.5" customHeight="1">
      <c r="A23" t="s">
        <v>64</v>
      </c>
      <c r="B23" s="10" t="str">
        <f>'1월'!B26</f>
        <v>LI-24009</v>
      </c>
      <c r="C23" s="12"/>
      <c r="D23" s="13">
        <f>'1월'!D26</f>
        <v>45659</v>
      </c>
      <c r="E23" s="155" t="str">
        <f>'1월'!E26</f>
        <v>한국아이씨에스</v>
      </c>
      <c r="F23" s="155" t="str">
        <f>'1월'!F26</f>
        <v>아이리스인포테크</v>
      </c>
      <c r="G23" s="156" t="str">
        <f>'1월'!G26</f>
        <v>MA</v>
      </c>
      <c r="H23" s="156" t="str">
        <f>'1월'!H26</f>
        <v>월간-IBM</v>
      </c>
      <c r="I23" s="69" t="str">
        <f>'1월'!I26</f>
        <v>프레이저플레이스 1월 유지정비료 - 6/12회</v>
      </c>
      <c r="J23" s="122">
        <f>'1월'!J26</f>
        <v>1</v>
      </c>
      <c r="K23" s="15">
        <f>'1월'!K26</f>
        <v>95200</v>
      </c>
      <c r="L23" s="16">
        <f>'1월'!L26</f>
        <v>95200</v>
      </c>
      <c r="M23" s="16">
        <f>'1월'!M26</f>
        <v>9520</v>
      </c>
      <c r="N23" s="15">
        <f>'1월'!N26</f>
        <v>104720</v>
      </c>
      <c r="O23" s="5" t="str">
        <f>'1월'!O26</f>
        <v>완료(2/28)</v>
      </c>
      <c r="P23" s="9" t="str">
        <f>'1월'!P26</f>
        <v>천범석</v>
      </c>
      <c r="Q23" s="5">
        <f>'1월'!Q26</f>
        <v>45625</v>
      </c>
      <c r="R23" s="209" t="str">
        <f>'1월'!R26</f>
        <v>매출분기</v>
      </c>
    </row>
    <row r="24" spans="1:20" ht="16.5" customHeight="1">
      <c r="A24" t="s">
        <v>64</v>
      </c>
      <c r="B24" s="10" t="str">
        <f>'1월'!B27</f>
        <v>IK-24014</v>
      </c>
      <c r="C24" s="12"/>
      <c r="D24" s="13">
        <f>'1월'!D27</f>
        <v>45659</v>
      </c>
      <c r="E24" s="155" t="str">
        <f>'1월'!E27</f>
        <v>한국아이씨에스</v>
      </c>
      <c r="F24" s="155" t="str">
        <f>'1월'!F27</f>
        <v>로보츠</v>
      </c>
      <c r="G24" s="156" t="str">
        <f>'1월'!G27</f>
        <v>MA</v>
      </c>
      <c r="H24" s="156" t="str">
        <f>'1월'!H27</f>
        <v>월간-IBM</v>
      </c>
      <c r="I24" s="69" t="str">
        <f>'1월'!I27</f>
        <v>와이케이케이 1월 유지정비료 - 1/12회</v>
      </c>
      <c r="J24" s="122">
        <f>'1월'!J27</f>
        <v>1</v>
      </c>
      <c r="K24" s="15">
        <f>'1월'!K27</f>
        <v>79496</v>
      </c>
      <c r="L24" s="16">
        <f>'1월'!L27</f>
        <v>79496</v>
      </c>
      <c r="M24" s="15">
        <f>'1월'!M27</f>
        <v>7949</v>
      </c>
      <c r="N24" s="15">
        <f>'1월'!N27</f>
        <v>87445</v>
      </c>
      <c r="O24" s="5" t="str">
        <f>'1월'!O27</f>
        <v>완료(2/28)</v>
      </c>
      <c r="P24" s="9" t="str">
        <f>'1월'!P27</f>
        <v>천범석</v>
      </c>
      <c r="Q24" s="5">
        <f>'1월'!Q27</f>
        <v>45682</v>
      </c>
      <c r="R24" s="209"/>
    </row>
    <row r="25" spans="1:20" ht="16.5" customHeight="1">
      <c r="A25" t="s">
        <v>64</v>
      </c>
      <c r="B25" s="141" t="str">
        <f>'1월'!B28</f>
        <v>IK-22023</v>
      </c>
      <c r="C25" s="142"/>
      <c r="D25" s="13">
        <f>'1월'!D28</f>
        <v>45659</v>
      </c>
      <c r="E25" s="155" t="str">
        <f>'1월'!E28</f>
        <v>한국아이씨에스</v>
      </c>
      <c r="F25" s="155" t="str">
        <f>'1월'!F28</f>
        <v>리온아이티</v>
      </c>
      <c r="G25" s="156" t="str">
        <f>'1월'!G28</f>
        <v>MA</v>
      </c>
      <c r="H25" s="156" t="str">
        <f>'1월'!H28</f>
        <v>월간-IBM</v>
      </c>
      <c r="I25" s="69" t="str">
        <f>'1월'!I28</f>
        <v>성원제강 1월 유지정비료 - 22/36회</v>
      </c>
      <c r="J25" s="122">
        <f>'1월'!J28</f>
        <v>1</v>
      </c>
      <c r="K25" s="15">
        <f>'1월'!K28</f>
        <v>159761</v>
      </c>
      <c r="L25" s="15">
        <f>'1월'!L28</f>
        <v>159761</v>
      </c>
      <c r="M25" s="15">
        <f>'1월'!M28</f>
        <v>15976</v>
      </c>
      <c r="N25" s="15">
        <f>'1월'!N28</f>
        <v>175737</v>
      </c>
      <c r="O25" s="5" t="str">
        <f>'1월'!O28</f>
        <v>완료(2/28)</v>
      </c>
      <c r="P25" s="9" t="str">
        <f>'1월'!P28</f>
        <v>천범석</v>
      </c>
      <c r="Q25" s="5">
        <f>'1월'!Q28</f>
        <v>45688</v>
      </c>
      <c r="R25" s="209"/>
      <c r="S25" s="7"/>
      <c r="T25" s="7"/>
    </row>
    <row r="26" spans="1:20" ht="16.5" customHeight="1">
      <c r="A26" t="s">
        <v>64</v>
      </c>
      <c r="B26" s="10" t="str">
        <f>'1월'!B29</f>
        <v>LI-24006</v>
      </c>
      <c r="C26" s="139"/>
      <c r="D26" s="13">
        <f>'1월'!D29</f>
        <v>45659</v>
      </c>
      <c r="E26" s="155" t="str">
        <f>'1월'!E29</f>
        <v>한국아이씨에스</v>
      </c>
      <c r="F26" s="155" t="str">
        <f>'1월'!F29</f>
        <v>보해양조</v>
      </c>
      <c r="G26" s="156" t="str">
        <f>'1월'!G29</f>
        <v>MA</v>
      </c>
      <c r="H26" s="156" t="str">
        <f>'1월'!H29</f>
        <v>월간-IBM</v>
      </c>
      <c r="I26" s="69" t="str">
        <f>'1월'!I29</f>
        <v>1월 유지정비료 - 7/12회</v>
      </c>
      <c r="J26" s="122">
        <f>'1월'!J29</f>
        <v>1</v>
      </c>
      <c r="K26" s="15">
        <f>'1월'!K29</f>
        <v>142800</v>
      </c>
      <c r="L26" s="16">
        <f>'1월'!L29</f>
        <v>142800</v>
      </c>
      <c r="M26" s="15">
        <f>'1월'!M29</f>
        <v>14280</v>
      </c>
      <c r="N26" s="15">
        <f>'1월'!N29</f>
        <v>157080</v>
      </c>
      <c r="O26" s="5" t="str">
        <f>'1월'!O29</f>
        <v>완료(2/28)</v>
      </c>
      <c r="P26" s="174" t="str">
        <f>'1월'!P29</f>
        <v>천범석</v>
      </c>
      <c r="Q26" s="5">
        <f>'1월'!Q29</f>
        <v>45682</v>
      </c>
      <c r="R26" s="209"/>
    </row>
    <row r="27" spans="1:20" ht="16.5" customHeight="1">
      <c r="A27" t="s">
        <v>64</v>
      </c>
      <c r="B27" s="10" t="str">
        <f>'1월'!B30</f>
        <v>IK-24005</v>
      </c>
      <c r="C27" s="12"/>
      <c r="D27" s="13">
        <f>'1월'!D30</f>
        <v>45659</v>
      </c>
      <c r="E27" s="155" t="str">
        <f>'1월'!E30</f>
        <v>한국아이씨에스</v>
      </c>
      <c r="F27" s="155" t="str">
        <f>'1월'!F30</f>
        <v>엔콤</v>
      </c>
      <c r="G27" s="156" t="str">
        <f>'1월'!G30</f>
        <v>MA</v>
      </c>
      <c r="H27" s="156" t="str">
        <f>'1월'!H30</f>
        <v>월간-IBM</v>
      </c>
      <c r="I27" s="69" t="str">
        <f>'1월'!I30</f>
        <v>전북도시가스 1월 유지정비료 - 10/12회</v>
      </c>
      <c r="J27" s="122">
        <f>'1월'!J30</f>
        <v>1</v>
      </c>
      <c r="K27" s="15">
        <f>'1월'!K30</f>
        <v>1263250</v>
      </c>
      <c r="L27" s="16">
        <f>'1월'!L30</f>
        <v>1263250</v>
      </c>
      <c r="M27" s="15">
        <f>'1월'!M30</f>
        <v>126325</v>
      </c>
      <c r="N27" s="15">
        <f>'1월'!N30</f>
        <v>1389575</v>
      </c>
      <c r="O27" s="5" t="str">
        <f>'1월'!O30</f>
        <v>완료(2/28)</v>
      </c>
      <c r="P27" s="174" t="str">
        <f>'1월'!P30</f>
        <v>천범석</v>
      </c>
      <c r="Q27" s="5">
        <f>'1월'!Q30</f>
        <v>45688</v>
      </c>
      <c r="R27" s="209"/>
    </row>
    <row r="28" spans="1:20" ht="16.5" customHeight="1">
      <c r="A28" t="s">
        <v>64</v>
      </c>
      <c r="B28" s="10" t="str">
        <f>'1월'!B31</f>
        <v>IK-22022</v>
      </c>
      <c r="C28" s="12"/>
      <c r="D28" s="13">
        <f>'1월'!D31</f>
        <v>45659</v>
      </c>
      <c r="E28" s="155" t="str">
        <f>'1월'!E31</f>
        <v>한국아이씨에스</v>
      </c>
      <c r="F28" s="155" t="str">
        <f>'1월'!F31</f>
        <v>리온아이티</v>
      </c>
      <c r="G28" s="156" t="str">
        <f>'1월'!G31</f>
        <v>MA</v>
      </c>
      <c r="H28" s="156" t="str">
        <f>'1월'!H31</f>
        <v>월간-IBM</v>
      </c>
      <c r="I28" s="69" t="str">
        <f>'1월'!I31</f>
        <v>한일전기 1월 유지정비료 - 25/36회</v>
      </c>
      <c r="J28" s="122">
        <f>'1월'!J31</f>
        <v>1</v>
      </c>
      <c r="K28" s="15">
        <f>'1월'!K31</f>
        <v>309047</v>
      </c>
      <c r="L28" s="16">
        <f>'1월'!L31</f>
        <v>309047</v>
      </c>
      <c r="M28" s="15">
        <f>'1월'!M31</f>
        <v>30904</v>
      </c>
      <c r="N28" s="15">
        <f>'1월'!N31</f>
        <v>339951</v>
      </c>
      <c r="O28" s="5" t="str">
        <f>'1월'!O31</f>
        <v>완료(2/28)</v>
      </c>
      <c r="P28" s="9" t="str">
        <f>'1월'!P31</f>
        <v>천범석</v>
      </c>
      <c r="Q28" s="5">
        <f>'1월'!Q31</f>
        <v>45658</v>
      </c>
      <c r="R28" s="209" t="str">
        <f>'1월'!R31</f>
        <v>매출분기</v>
      </c>
    </row>
    <row r="29" spans="1:20" ht="16.5" customHeight="1">
      <c r="A29" t="s">
        <v>64</v>
      </c>
      <c r="B29" s="10" t="str">
        <f>'1월'!B32</f>
        <v>IK-24013</v>
      </c>
      <c r="C29" s="12"/>
      <c r="D29" s="13">
        <f>'1월'!D32</f>
        <v>45659</v>
      </c>
      <c r="E29" s="155" t="str">
        <f>'1월'!E32</f>
        <v>한국아이씨에스</v>
      </c>
      <c r="F29" s="155" t="str">
        <f>'1월'!F32</f>
        <v>레드텍</v>
      </c>
      <c r="G29" s="156" t="str">
        <f>'1월'!G32</f>
        <v>MA</v>
      </c>
      <c r="H29" s="156" t="str">
        <f>'1월'!H32</f>
        <v>월간-IBM</v>
      </c>
      <c r="I29" s="69" t="str">
        <f>'1월'!I32</f>
        <v>대한상공회의소 1월 유지정비료 - 3/12회</v>
      </c>
      <c r="J29" s="122">
        <f>'1월'!J32</f>
        <v>1</v>
      </c>
      <c r="K29" s="15">
        <f>'1월'!K32</f>
        <v>94111</v>
      </c>
      <c r="L29" s="16">
        <f>'1월'!L32</f>
        <v>94111</v>
      </c>
      <c r="M29" s="16">
        <f>'1월'!M32</f>
        <v>9411</v>
      </c>
      <c r="N29" s="15">
        <f>'1월'!N32</f>
        <v>103522</v>
      </c>
      <c r="O29" s="5" t="str">
        <f>'1월'!O32</f>
        <v>완료(2/28)</v>
      </c>
      <c r="P29" s="9" t="str">
        <f>'1월'!P32</f>
        <v>천범석</v>
      </c>
      <c r="Q29" s="5">
        <f>'1월'!Q32</f>
        <v>45658</v>
      </c>
      <c r="R29" s="209"/>
    </row>
    <row r="30" spans="1:20" ht="16.5" customHeight="1">
      <c r="A30" t="s">
        <v>64</v>
      </c>
      <c r="B30" s="141" t="str">
        <f>'1월'!B33</f>
        <v>IK-22021</v>
      </c>
      <c r="C30" s="12"/>
      <c r="D30" s="13">
        <f>'1월'!D33</f>
        <v>45659</v>
      </c>
      <c r="E30" s="155" t="str">
        <f>'1월'!E33</f>
        <v>한국아이씨에스</v>
      </c>
      <c r="F30" s="155" t="str">
        <f>'1월'!F33</f>
        <v>리온아이티</v>
      </c>
      <c r="G30" s="156" t="str">
        <f>'1월'!G33</f>
        <v>MA</v>
      </c>
      <c r="H30" s="156" t="str">
        <f>'1월'!H33</f>
        <v>월간-IBM</v>
      </c>
      <c r="I30" s="69" t="str">
        <f>'1월'!I33</f>
        <v>문배철강 1월 유지정비료 - 22/36회</v>
      </c>
      <c r="J30" s="122">
        <f>'1월'!J33</f>
        <v>1</v>
      </c>
      <c r="K30" s="15">
        <f>'1월'!K33</f>
        <v>212293</v>
      </c>
      <c r="L30" s="15">
        <f>'1월'!L33</f>
        <v>212293</v>
      </c>
      <c r="M30" s="15">
        <f>'1월'!M33</f>
        <v>21229</v>
      </c>
      <c r="N30" s="15">
        <f>'1월'!N33</f>
        <v>233522</v>
      </c>
      <c r="O30" s="5" t="str">
        <f>'1월'!O33</f>
        <v>완료(2/28)</v>
      </c>
      <c r="P30" s="9" t="str">
        <f>'1월'!P33</f>
        <v>천범석</v>
      </c>
      <c r="Q30" s="5">
        <f>'1월'!Q33</f>
        <v>45688</v>
      </c>
      <c r="R30" s="209"/>
    </row>
    <row r="31" spans="1:20" ht="16.5" customHeight="1">
      <c r="A31" t="s">
        <v>64</v>
      </c>
      <c r="B31" s="10" t="str">
        <f>'1월'!B34</f>
        <v>Y241205-01</v>
      </c>
      <c r="C31" s="142"/>
      <c r="D31" s="13">
        <f>'1월'!D34</f>
        <v>45659</v>
      </c>
      <c r="E31" s="155" t="str">
        <f>'1월'!E34</f>
        <v>컴퓨존</v>
      </c>
      <c r="F31" s="155" t="str">
        <f>'1월'!F34</f>
        <v>삼표피앤씨</v>
      </c>
      <c r="G31" s="156" t="str">
        <f>'1월'!G34</f>
        <v>상품</v>
      </c>
      <c r="H31" s="156" t="str">
        <f>'1월'!H34</f>
        <v>랜카드</v>
      </c>
      <c r="I31" s="69" t="str">
        <f>'1월'!I34</f>
        <v>ipTIME U1000 PLUS 유선랜카드</v>
      </c>
      <c r="J31" s="122">
        <f>'1월'!J34</f>
        <v>1</v>
      </c>
      <c r="K31" s="15">
        <f>'1월'!K34</f>
        <v>13545</v>
      </c>
      <c r="L31" s="16">
        <f>'1월'!L34</f>
        <v>13545</v>
      </c>
      <c r="M31" s="16">
        <f>'1월'!M34</f>
        <v>1355</v>
      </c>
      <c r="N31" s="15">
        <f>'1월'!N34</f>
        <v>14900</v>
      </c>
      <c r="O31" s="5" t="str">
        <f>'1월'!O34</f>
        <v>완료(1/2)</v>
      </c>
      <c r="P31" s="9" t="str">
        <f>'1월'!P34</f>
        <v>홍승민</v>
      </c>
      <c r="Q31" s="5">
        <f>'1월'!Q34</f>
        <v>45649</v>
      </c>
      <c r="R31" s="213"/>
    </row>
    <row r="32" spans="1:20" ht="16.5" customHeight="1">
      <c r="A32" t="s">
        <v>64</v>
      </c>
      <c r="B32" s="10" t="str">
        <f>'1월'!B35</f>
        <v>SM-25010</v>
      </c>
      <c r="C32" s="12"/>
      <c r="D32" s="13">
        <f>'1월'!D35</f>
        <v>45659</v>
      </c>
      <c r="E32" s="155" t="str">
        <f>'1월'!E35</f>
        <v>프로미스</v>
      </c>
      <c r="F32" s="155" t="str">
        <f>'1월'!F35</f>
        <v>유니포인트</v>
      </c>
      <c r="G32" s="156" t="str">
        <f>'1월'!G35</f>
        <v>MA</v>
      </c>
      <c r="H32" s="156" t="str">
        <f>'1월'!H35</f>
        <v>분기</v>
      </c>
      <c r="I32" s="69" t="str">
        <f>'1월'!I35</f>
        <v>한미약품, 한미사이언스 유지보수 25년 1Q</v>
      </c>
      <c r="J32" s="122">
        <f>'1월'!J35</f>
        <v>1</v>
      </c>
      <c r="K32" s="15">
        <f>'1월'!K35</f>
        <v>8000000</v>
      </c>
      <c r="L32" s="16">
        <f>'1월'!L35</f>
        <v>8000000</v>
      </c>
      <c r="M32" s="16">
        <f>'1월'!M35</f>
        <v>800000</v>
      </c>
      <c r="N32" s="15">
        <f>'1월'!N35</f>
        <v>8800000</v>
      </c>
      <c r="O32" s="5" t="str">
        <f>'1월'!O35</f>
        <v>완료(1/15)</v>
      </c>
      <c r="P32" s="9" t="str">
        <f>'1월'!P35</f>
        <v>이예지</v>
      </c>
      <c r="Q32" s="5">
        <f>'1월'!Q35</f>
        <v>45688</v>
      </c>
      <c r="R32" s="213"/>
    </row>
    <row r="33" spans="1:18" ht="16.5" customHeight="1">
      <c r="A33" t="s">
        <v>64</v>
      </c>
      <c r="B33" s="10" t="str">
        <f>'1월'!B36</f>
        <v>Y241209-03</v>
      </c>
      <c r="C33" s="12"/>
      <c r="D33" s="13">
        <f>'1월'!D36</f>
        <v>45659</v>
      </c>
      <c r="E33" s="155" t="str">
        <f>'1월'!E36</f>
        <v>프로미스</v>
      </c>
      <c r="F33" s="155" t="str">
        <f>'1월'!F36</f>
        <v>더힘</v>
      </c>
      <c r="G33" s="156" t="str">
        <f>'1월'!G36</f>
        <v>상품</v>
      </c>
      <c r="H33" s="156" t="str">
        <f>'1월'!H36</f>
        <v>기술지원</v>
      </c>
      <c r="I33" s="69" t="str">
        <f>'1월'!I36</f>
        <v>우물단 TR630 설치지원</v>
      </c>
      <c r="J33" s="124">
        <f>'1월'!J36</f>
        <v>1</v>
      </c>
      <c r="K33" s="15">
        <f>'1월'!K36</f>
        <v>3000000</v>
      </c>
      <c r="L33" s="16">
        <f>'1월'!L36</f>
        <v>3000000</v>
      </c>
      <c r="M33" s="16">
        <f>'1월'!M36</f>
        <v>300000</v>
      </c>
      <c r="N33" s="15">
        <f>'1월'!N36</f>
        <v>3300000</v>
      </c>
      <c r="O33" s="5" t="str">
        <f>'1월'!O36</f>
        <v>완료(1/15)</v>
      </c>
      <c r="P33" s="9" t="str">
        <f>'1월'!P36</f>
        <v>홍승민</v>
      </c>
      <c r="Q33" s="5">
        <f>'1월'!Q36</f>
        <v>45645</v>
      </c>
      <c r="R33" s="209"/>
    </row>
    <row r="34" spans="1:18" ht="16.5" customHeight="1">
      <c r="A34" t="s">
        <v>64</v>
      </c>
      <c r="B34" s="10" t="str">
        <f>'1월'!B37</f>
        <v>S</v>
      </c>
      <c r="C34" s="12"/>
      <c r="D34" s="13">
        <f>'1월'!D37</f>
        <v>45659</v>
      </c>
      <c r="E34" s="155" t="str">
        <f>'1월'!E37</f>
        <v>프로미스</v>
      </c>
      <c r="F34" s="155" t="str">
        <f>'1월'!F37</f>
        <v>티엔플러스</v>
      </c>
      <c r="G34" s="157" t="str">
        <f>'1월'!G37</f>
        <v>상품</v>
      </c>
      <c r="H34" s="156" t="str">
        <f>'1월'!H37</f>
        <v>기술지원</v>
      </c>
      <c r="I34" s="69" t="str">
        <f>'1월'!I37</f>
        <v>계양 복지센터 케이코 설치지원</v>
      </c>
      <c r="J34" s="132">
        <f>'1월'!J37</f>
        <v>1</v>
      </c>
      <c r="K34" s="15">
        <f>'1월'!K37</f>
        <v>800000</v>
      </c>
      <c r="L34" s="16">
        <f>'1월'!L37</f>
        <v>800000</v>
      </c>
      <c r="M34" s="16">
        <f>'1월'!M37</f>
        <v>80000</v>
      </c>
      <c r="N34" s="15">
        <f>'1월'!N37</f>
        <v>880000</v>
      </c>
      <c r="O34" s="5" t="str">
        <f>'1월'!O37</f>
        <v>완료(1/15)</v>
      </c>
      <c r="P34" s="9" t="str">
        <f>'1월'!P37</f>
        <v>이예지</v>
      </c>
      <c r="Q34" s="5">
        <f>'1월'!Q37</f>
        <v>45650</v>
      </c>
      <c r="R34" s="213"/>
    </row>
    <row r="35" spans="1:18" ht="16.5" customHeight="1">
      <c r="A35" t="s">
        <v>64</v>
      </c>
      <c r="B35" s="10" t="str">
        <f>'1월'!B38</f>
        <v>S241223</v>
      </c>
      <c r="C35" s="12"/>
      <c r="D35" s="13">
        <f>'1월'!D38</f>
        <v>45659</v>
      </c>
      <c r="E35" s="155" t="str">
        <f>'1월'!E38</f>
        <v>프로미스</v>
      </c>
      <c r="F35" s="155" t="str">
        <f>'1월'!F38</f>
        <v>다솜테크</v>
      </c>
      <c r="G35" s="157" t="str">
        <f>'1월'!G38</f>
        <v>상품</v>
      </c>
      <c r="H35" s="156" t="str">
        <f>'1월'!H38</f>
        <v>기술지원</v>
      </c>
      <c r="I35" s="69" t="str">
        <f>'1월'!I38</f>
        <v>SSD 설치지원</v>
      </c>
      <c r="J35" s="122">
        <f>'1월'!J38</f>
        <v>1</v>
      </c>
      <c r="K35" s="15">
        <f>'1월'!K38</f>
        <v>1700000</v>
      </c>
      <c r="L35" s="16">
        <f>'1월'!L38</f>
        <v>1700000</v>
      </c>
      <c r="M35" s="16">
        <f>'1월'!M38</f>
        <v>170000</v>
      </c>
      <c r="N35" s="15">
        <f>'1월'!N38</f>
        <v>1870000</v>
      </c>
      <c r="O35" s="5" t="str">
        <f>'1월'!O38</f>
        <v>완료(1/15)</v>
      </c>
      <c r="P35" s="9" t="str">
        <f>'1월'!P38</f>
        <v>이예지</v>
      </c>
      <c r="Q35" s="5">
        <f>'1월'!Q38</f>
        <v>45657</v>
      </c>
      <c r="R35" s="209"/>
    </row>
    <row r="36" spans="1:18" ht="16.5" customHeight="1">
      <c r="A36" t="s">
        <v>64</v>
      </c>
      <c r="B36" s="10" t="str">
        <f>'1월'!B39</f>
        <v>SB-24011</v>
      </c>
      <c r="C36" s="12"/>
      <c r="D36" s="13">
        <f>'1월'!D39</f>
        <v>45659</v>
      </c>
      <c r="E36" s="155" t="str">
        <f>'1월'!E39</f>
        <v>프로미스</v>
      </c>
      <c r="F36" s="155" t="str">
        <f>'1월'!F39</f>
        <v>비온시</v>
      </c>
      <c r="G36" s="156" t="str">
        <f>'1월'!G39</f>
        <v>MA</v>
      </c>
      <c r="H36" s="156" t="str">
        <f>'1월'!H39</f>
        <v>연간</v>
      </c>
      <c r="I36" s="69" t="str">
        <f>'1월'!I39</f>
        <v>24년 국립농업과학원 기술지원</v>
      </c>
      <c r="J36" s="122">
        <f>'1월'!J39</f>
        <v>1</v>
      </c>
      <c r="K36" s="15">
        <f>'1월'!K39</f>
        <v>3400000</v>
      </c>
      <c r="L36" s="16">
        <f>'1월'!L39</f>
        <v>3400000</v>
      </c>
      <c r="M36" s="16">
        <f>'1월'!M39</f>
        <v>340000</v>
      </c>
      <c r="N36" s="15">
        <f>'1월'!N39</f>
        <v>3740000</v>
      </c>
      <c r="O36" s="5" t="str">
        <f>'1월'!O39</f>
        <v>완료(1/15)</v>
      </c>
      <c r="P36" s="9" t="str">
        <f>'1월'!P39</f>
        <v>천범석</v>
      </c>
      <c r="Q36" s="5" t="str">
        <f>'1월'!Q39</f>
        <v>24/2/15~25/1/15</v>
      </c>
      <c r="R36" s="213"/>
    </row>
    <row r="37" spans="1:18" ht="16.5" customHeight="1">
      <c r="A37" t="s">
        <v>64</v>
      </c>
      <c r="B37" s="10" t="str">
        <f>'1월'!B40</f>
        <v>SB-24063</v>
      </c>
      <c r="C37" s="12"/>
      <c r="D37" s="13">
        <f>'1월'!D40</f>
        <v>45659</v>
      </c>
      <c r="E37" s="155" t="str">
        <f>'1월'!E40</f>
        <v>프로미스</v>
      </c>
      <c r="F37" s="155" t="str">
        <f>'1월'!F40</f>
        <v>다솜테크</v>
      </c>
      <c r="G37" s="156" t="str">
        <f>'1월'!G40</f>
        <v>MA</v>
      </c>
      <c r="H37" s="156" t="str">
        <f>'1월'!H40</f>
        <v>연간</v>
      </c>
      <c r="I37" s="69" t="str">
        <f>'1월'!I40</f>
        <v>E1컨테이너터미널 기술지원비</v>
      </c>
      <c r="J37" s="122">
        <f>'1월'!J40</f>
        <v>1</v>
      </c>
      <c r="K37" s="15">
        <f>'1월'!K40</f>
        <v>1000000</v>
      </c>
      <c r="L37" s="16">
        <f>'1월'!L40</f>
        <v>1000000</v>
      </c>
      <c r="M37" s="16">
        <f>'1월'!M40</f>
        <v>100000</v>
      </c>
      <c r="N37" s="15">
        <f>'1월'!N40</f>
        <v>1100000</v>
      </c>
      <c r="O37" s="5" t="str">
        <f>'1월'!O40</f>
        <v>완료(1/15)</v>
      </c>
      <c r="P37" s="9" t="str">
        <f>'1월'!P40</f>
        <v>천범석</v>
      </c>
      <c r="Q37" s="5" t="str">
        <f>'1월'!Q40</f>
        <v>1/31~12/31</v>
      </c>
      <c r="R37" s="213"/>
    </row>
    <row r="38" spans="1:18" ht="16.5" customHeight="1">
      <c r="A38" t="s">
        <v>64</v>
      </c>
      <c r="B38" s="10" t="str">
        <f>'1월'!B41</f>
        <v>SM-25001</v>
      </c>
      <c r="C38" s="12"/>
      <c r="D38" s="13">
        <f>'1월'!D41</f>
        <v>45659</v>
      </c>
      <c r="E38" s="155" t="str">
        <f>'1월'!E41</f>
        <v>프로미스</v>
      </c>
      <c r="F38" s="155" t="str">
        <f>'1월'!F41</f>
        <v>로스만스/브리티쉬</v>
      </c>
      <c r="G38" s="156" t="str">
        <f>'1월'!G41</f>
        <v>MA</v>
      </c>
      <c r="H38" s="156" t="str">
        <f>'1월'!H41</f>
        <v>연간</v>
      </c>
      <c r="I38" s="69" t="str">
        <f>'1월'!I41</f>
        <v>BAT 서울 사천 연간 기술지원</v>
      </c>
      <c r="J38" s="122">
        <f>'1월'!J41</f>
        <v>1</v>
      </c>
      <c r="K38" s="15">
        <f>'1월'!K41</f>
        <v>2500000</v>
      </c>
      <c r="L38" s="16">
        <f>'1월'!L41</f>
        <v>2500000</v>
      </c>
      <c r="M38" s="16">
        <f>'1월'!M41</f>
        <v>250000</v>
      </c>
      <c r="N38" s="15">
        <f>'1월'!N41</f>
        <v>2750000</v>
      </c>
      <c r="O38" s="5" t="str">
        <f>'1월'!O41</f>
        <v>완료(1/15)</v>
      </c>
      <c r="P38" s="9" t="str">
        <f>'1월'!P41</f>
        <v>천범석</v>
      </c>
      <c r="Q38" s="5" t="str">
        <f>'1월'!Q41</f>
        <v>1/31~12/31</v>
      </c>
      <c r="R38" s="213"/>
    </row>
    <row r="39" spans="1:18" ht="16.5" customHeight="1">
      <c r="A39" t="s">
        <v>64</v>
      </c>
      <c r="B39" s="10" t="str">
        <f>'1월'!B42</f>
        <v>S</v>
      </c>
      <c r="C39" s="12"/>
      <c r="D39" s="13">
        <f>'1월'!D42</f>
        <v>45659</v>
      </c>
      <c r="E39" s="155" t="str">
        <f>'1월'!E42</f>
        <v>프로미스</v>
      </c>
      <c r="F39" s="155" t="str">
        <f>'1월'!F42</f>
        <v>매사</v>
      </c>
      <c r="G39" s="156" t="str">
        <f>'1월'!G42</f>
        <v>상품</v>
      </c>
      <c r="H39" s="156" t="str">
        <f>'1월'!H42</f>
        <v>Battery</v>
      </c>
      <c r="I39" s="69" t="str">
        <f>'1월'!I42</f>
        <v>FS8600 CTRL Battery</v>
      </c>
      <c r="J39" s="124">
        <f>'1월'!J42</f>
        <v>1</v>
      </c>
      <c r="K39" s="15">
        <f>'1월'!K42</f>
        <v>550000</v>
      </c>
      <c r="L39" s="16">
        <f>'1월'!L42</f>
        <v>550000</v>
      </c>
      <c r="M39" s="16">
        <f>'1월'!M42</f>
        <v>55000</v>
      </c>
      <c r="N39" s="15">
        <f>'1월'!N42</f>
        <v>605000</v>
      </c>
      <c r="O39" s="5" t="str">
        <f>'1월'!O42</f>
        <v>완료(1/15)</v>
      </c>
      <c r="P39" s="9" t="str">
        <f>'1월'!P42</f>
        <v>이예지</v>
      </c>
      <c r="Q39" s="5">
        <f>'1월'!Q42</f>
        <v>45596</v>
      </c>
      <c r="R39" s="209"/>
    </row>
    <row r="40" spans="1:18" ht="16.5" customHeight="1">
      <c r="A40" t="s">
        <v>64</v>
      </c>
      <c r="B40" s="10" t="str">
        <f>'1월'!B43</f>
        <v>H240426-02</v>
      </c>
      <c r="C40" s="12"/>
      <c r="D40" s="13">
        <f>'1월'!D43</f>
        <v>45659</v>
      </c>
      <c r="E40" s="155" t="str">
        <f>'1월'!E43</f>
        <v>프로미스</v>
      </c>
      <c r="F40" s="155" t="str">
        <f>'1월'!F43</f>
        <v>에스엔정보</v>
      </c>
      <c r="G40" s="156" t="str">
        <f>'1월'!G43</f>
        <v>상품</v>
      </c>
      <c r="H40" s="156" t="str">
        <f>'1월'!H43</f>
        <v>9RZ268-150</v>
      </c>
      <c r="I40" s="69" t="str">
        <f>'1월'!I43</f>
        <v>1TB 7.2K 6G SFF SAS</v>
      </c>
      <c r="J40" s="124">
        <f>'1월'!J43</f>
        <v>1</v>
      </c>
      <c r="K40" s="15">
        <f>'1월'!K43</f>
        <v>130000</v>
      </c>
      <c r="L40" s="16">
        <f>'1월'!L43</f>
        <v>130000</v>
      </c>
      <c r="M40" s="16">
        <f>'1월'!M43</f>
        <v>13000</v>
      </c>
      <c r="N40" s="15">
        <f>'1월'!N43</f>
        <v>143000</v>
      </c>
      <c r="O40" s="5" t="str">
        <f>'1월'!O43</f>
        <v>완료(1/15)</v>
      </c>
      <c r="P40" s="9" t="str">
        <f>'1월'!P43</f>
        <v>천범석</v>
      </c>
      <c r="Q40" s="5">
        <f>'1월'!Q43</f>
        <v>45408</v>
      </c>
      <c r="R40" s="209"/>
    </row>
    <row r="41" spans="1:18" ht="16.5" customHeight="1">
      <c r="A41" t="s">
        <v>64</v>
      </c>
      <c r="B41" s="10" t="str">
        <f>'1월'!B44</f>
        <v>H240701-01</v>
      </c>
      <c r="C41" s="12"/>
      <c r="D41" s="13">
        <f>'1월'!D44</f>
        <v>45659</v>
      </c>
      <c r="E41" s="155" t="str">
        <f>'1월'!E44</f>
        <v>프로미스</v>
      </c>
      <c r="F41" s="155" t="str">
        <f>'1월'!F44</f>
        <v>티에스씨인포</v>
      </c>
      <c r="G41" s="156" t="str">
        <f>'1월'!G44</f>
        <v>상품</v>
      </c>
      <c r="H41" s="156" t="str">
        <f>'1월'!H44</f>
        <v>POWER</v>
      </c>
      <c r="I41" s="69" t="str">
        <f>'1월'!I44</f>
        <v>750W R520 620 R720</v>
      </c>
      <c r="J41" s="124">
        <f>'1월'!J44</f>
        <v>1</v>
      </c>
      <c r="K41" s="15">
        <f>'1월'!K44</f>
        <v>70000</v>
      </c>
      <c r="L41" s="16">
        <f>'1월'!L44</f>
        <v>70000</v>
      </c>
      <c r="M41" s="16">
        <f>'1월'!M44</f>
        <v>7000</v>
      </c>
      <c r="N41" s="15">
        <f>'1월'!N44</f>
        <v>77000</v>
      </c>
      <c r="O41" s="5" t="str">
        <f>'1월'!O44</f>
        <v>완료(1/15)</v>
      </c>
      <c r="P41" s="9" t="str">
        <f>'1월'!P44</f>
        <v>천범석</v>
      </c>
      <c r="Q41" s="5">
        <f>'1월'!Q44</f>
        <v>45504</v>
      </c>
      <c r="R41" s="209"/>
    </row>
    <row r="42" spans="1:18" ht="16.5" customHeight="1">
      <c r="A42" t="s">
        <v>64</v>
      </c>
      <c r="B42" s="10" t="str">
        <f>'1월'!B45</f>
        <v>SB-23016</v>
      </c>
      <c r="C42" s="12"/>
      <c r="D42" s="13">
        <f>'1월'!D45</f>
        <v>45659</v>
      </c>
      <c r="E42" s="155" t="str">
        <f>'1월'!E45</f>
        <v>프로미스</v>
      </c>
      <c r="F42" s="155" t="str">
        <f>'1월'!F45</f>
        <v>케이씨에스</v>
      </c>
      <c r="G42" s="156" t="str">
        <f>'1월'!G45</f>
        <v>MA</v>
      </c>
      <c r="H42" s="156" t="str">
        <f>'1월'!H45</f>
        <v>반기</v>
      </c>
      <c r="I42" s="69" t="str">
        <f>'1월'!I45</f>
        <v>항공우주산업HW (25.01.01~06.30) 6,7/9회</v>
      </c>
      <c r="J42" s="122">
        <f>'1월'!J45</f>
        <v>1</v>
      </c>
      <c r="K42" s="15">
        <f>'1월'!K45</f>
        <v>2400000</v>
      </c>
      <c r="L42" s="16">
        <f>'1월'!L45</f>
        <v>2400000</v>
      </c>
      <c r="M42" s="16">
        <f>'1월'!M45</f>
        <v>240000</v>
      </c>
      <c r="N42" s="15">
        <f>'1월'!N45</f>
        <v>2640000</v>
      </c>
      <c r="O42" s="5" t="str">
        <f>'1월'!O45</f>
        <v>완료(1/15)</v>
      </c>
      <c r="P42" s="9" t="str">
        <f>'1월'!P45</f>
        <v>천범석</v>
      </c>
      <c r="Q42" s="5" t="str">
        <f>'1월'!Q45</f>
        <v>3/31,6/30</v>
      </c>
      <c r="R42" s="213"/>
    </row>
    <row r="43" spans="1:18" ht="16.5" customHeight="1">
      <c r="A43" t="s">
        <v>64</v>
      </c>
      <c r="B43" s="10" t="str">
        <f>'1월'!B46</f>
        <v>SB-23016</v>
      </c>
      <c r="C43" s="12"/>
      <c r="D43" s="13">
        <f>'1월'!D46</f>
        <v>45659</v>
      </c>
      <c r="E43" s="155" t="str">
        <f>'1월'!E46</f>
        <v>프로미스</v>
      </c>
      <c r="F43" s="155" t="str">
        <f>'1월'!F46</f>
        <v>케이씨에스</v>
      </c>
      <c r="G43" s="156" t="str">
        <f>'1월'!G46</f>
        <v>MA</v>
      </c>
      <c r="H43" s="156" t="str">
        <f>'1월'!H46</f>
        <v>반기</v>
      </c>
      <c r="I43" s="69" t="str">
        <f>'1월'!I46</f>
        <v>항공우주산업HW (25.07.01~12.31)8,9/9회</v>
      </c>
      <c r="J43" s="122">
        <f>'1월'!J46</f>
        <v>1</v>
      </c>
      <c r="K43" s="15">
        <f>'1월'!K46</f>
        <v>2400000</v>
      </c>
      <c r="L43" s="16">
        <f>'1월'!L46</f>
        <v>2400000</v>
      </c>
      <c r="M43" s="16">
        <f>'1월'!M46</f>
        <v>240000</v>
      </c>
      <c r="N43" s="15">
        <f>'1월'!N46</f>
        <v>2640000</v>
      </c>
      <c r="O43" s="5" t="str">
        <f>'1월'!O46</f>
        <v>완료(1/15)</v>
      </c>
      <c r="P43" s="9" t="str">
        <f>'1월'!P46</f>
        <v>천범석</v>
      </c>
      <c r="Q43" s="5" t="str">
        <f>'1월'!Q46</f>
        <v>9/30,12/30</v>
      </c>
      <c r="R43" s="213"/>
    </row>
    <row r="44" spans="1:18" ht="16.5" customHeight="1">
      <c r="A44" t="s">
        <v>64</v>
      </c>
      <c r="B44" s="10" t="str">
        <f>'1월'!B47</f>
        <v>SM-24007</v>
      </c>
      <c r="C44" s="12"/>
      <c r="D44" s="13">
        <f>'1월'!D47</f>
        <v>45659</v>
      </c>
      <c r="E44" s="155" t="str">
        <f>'1월'!E47</f>
        <v>프로미스</v>
      </c>
      <c r="F44" s="155" t="str">
        <f>'1월'!F47</f>
        <v>연세의료원</v>
      </c>
      <c r="G44" s="156" t="str">
        <f>'1월'!G47</f>
        <v>MA</v>
      </c>
      <c r="H44" s="156" t="str">
        <f>'1월'!H47</f>
        <v>분기</v>
      </c>
      <c r="I44" s="69" t="str">
        <f>'1월'!I47</f>
        <v>기술지원료 1분기</v>
      </c>
      <c r="J44" s="124">
        <f>'1월'!J47</f>
        <v>1</v>
      </c>
      <c r="K44" s="15">
        <f>'1월'!K47</f>
        <v>2100000</v>
      </c>
      <c r="L44" s="16">
        <f>'1월'!L47</f>
        <v>2100000</v>
      </c>
      <c r="M44" s="16">
        <f>'1월'!M47</f>
        <v>210000</v>
      </c>
      <c r="N44" s="15">
        <f>'1월'!N47</f>
        <v>2310000</v>
      </c>
      <c r="O44" s="5" t="str">
        <f>'1월'!O47</f>
        <v>완료(1/15)</v>
      </c>
      <c r="P44" s="9" t="str">
        <f>'1월'!P47</f>
        <v>이예지</v>
      </c>
      <c r="Q44" s="5" t="str">
        <f>'1월'!Q47</f>
        <v>2/20,3/20,4/20</v>
      </c>
      <c r="R44" s="209"/>
    </row>
    <row r="45" spans="1:18" ht="16.5" customHeight="1">
      <c r="A45" t="s">
        <v>64</v>
      </c>
      <c r="B45" s="10" t="str">
        <f>'1월'!B48</f>
        <v>SM-24013</v>
      </c>
      <c r="C45" s="12"/>
      <c r="D45" s="13">
        <f>'1월'!D48</f>
        <v>45659</v>
      </c>
      <c r="E45" s="155" t="str">
        <f>'1월'!E48</f>
        <v>프로미스</v>
      </c>
      <c r="F45" s="155" t="str">
        <f>'1월'!F48</f>
        <v>비즈윈</v>
      </c>
      <c r="G45" s="156" t="str">
        <f>'1월'!G48</f>
        <v>MA</v>
      </c>
      <c r="H45" s="156" t="str">
        <f>'1월'!H48</f>
        <v>연간</v>
      </c>
      <c r="I45" s="69" t="str">
        <f>'1월'!I48</f>
        <v>소비자보호원 25년 연간</v>
      </c>
      <c r="J45" s="124">
        <f>'1월'!J48</f>
        <v>1</v>
      </c>
      <c r="K45" s="15">
        <f>'1월'!K48</f>
        <v>1440000</v>
      </c>
      <c r="L45" s="16">
        <f>'1월'!L48</f>
        <v>1440000</v>
      </c>
      <c r="M45" s="16">
        <f>'1월'!M48</f>
        <v>144000</v>
      </c>
      <c r="N45" s="15">
        <f>'1월'!N48</f>
        <v>1584000</v>
      </c>
      <c r="O45" s="5" t="str">
        <f>'1월'!O48</f>
        <v>완료(1/15)</v>
      </c>
      <c r="P45" s="9" t="str">
        <f>'1월'!P48</f>
        <v>천범석</v>
      </c>
      <c r="Q45" s="5" t="str">
        <f>'1월'!Q48</f>
        <v>1/31~12/31</v>
      </c>
      <c r="R45" s="209"/>
    </row>
    <row r="46" spans="1:18" ht="16.5" customHeight="1">
      <c r="A46" t="s">
        <v>64</v>
      </c>
      <c r="B46" s="10" t="str">
        <f>'1월'!B49</f>
        <v>LI-24004</v>
      </c>
      <c r="C46" s="12"/>
      <c r="D46" s="13">
        <f>'1월'!D49</f>
        <v>45659</v>
      </c>
      <c r="E46" s="155" t="str">
        <f>'1월'!E49</f>
        <v>프로미스</v>
      </c>
      <c r="F46" s="155" t="str">
        <f>'1월'!F49</f>
        <v>한국메탈</v>
      </c>
      <c r="G46" s="156" t="str">
        <f>'1월'!G49</f>
        <v>MA</v>
      </c>
      <c r="H46" s="156" t="str">
        <f>'1월'!H49</f>
        <v>연간</v>
      </c>
      <c r="I46" s="69" t="str">
        <f>'1월'!I49</f>
        <v>25년 연간 기술지원</v>
      </c>
      <c r="J46" s="124">
        <f>'1월'!J49</f>
        <v>1</v>
      </c>
      <c r="K46" s="15">
        <f>'1월'!K49</f>
        <v>1200000</v>
      </c>
      <c r="L46" s="16">
        <f>'1월'!L49</f>
        <v>1200000</v>
      </c>
      <c r="M46" s="16">
        <f>'1월'!M49</f>
        <v>120000</v>
      </c>
      <c r="N46" s="15">
        <f>'1월'!N49</f>
        <v>1320000</v>
      </c>
      <c r="O46" s="5" t="str">
        <f>'1월'!O49</f>
        <v>완료(1/15)</v>
      </c>
      <c r="P46" s="9" t="str">
        <f>'1월'!P49</f>
        <v>천범석</v>
      </c>
      <c r="Q46" s="5" t="str">
        <f>'1월'!Q49</f>
        <v>1/1~12/1</v>
      </c>
      <c r="R46" s="209"/>
    </row>
    <row r="47" spans="1:18" ht="16.5" customHeight="1">
      <c r="A47" t="s">
        <v>64</v>
      </c>
      <c r="B47" s="10" t="str">
        <f>'1월'!B50</f>
        <v>SM-23031</v>
      </c>
      <c r="C47" s="12"/>
      <c r="D47" s="13">
        <f>'1월'!D50</f>
        <v>45659</v>
      </c>
      <c r="E47" s="155" t="str">
        <f>'1월'!E50</f>
        <v>프로미스</v>
      </c>
      <c r="F47" s="155" t="str">
        <f>'1월'!F50</f>
        <v>온피아</v>
      </c>
      <c r="G47" s="156" t="str">
        <f>'1월'!G50</f>
        <v>MA</v>
      </c>
      <c r="H47" s="156" t="str">
        <f>'1월'!H50</f>
        <v>분기</v>
      </c>
      <c r="I47" s="69" t="str">
        <f>'1월'!I50</f>
        <v>삼표DB세이퍼 기술지원(25년 1~7월)</v>
      </c>
      <c r="J47" s="124">
        <f>'1월'!J50</f>
        <v>1</v>
      </c>
      <c r="K47" s="15">
        <f>'1월'!K50</f>
        <v>1750000</v>
      </c>
      <c r="L47" s="16">
        <f>'1월'!L50</f>
        <v>1750000</v>
      </c>
      <c r="M47" s="16">
        <f>'1월'!M50</f>
        <v>175000</v>
      </c>
      <c r="N47" s="15">
        <f>'1월'!N50</f>
        <v>1925000</v>
      </c>
      <c r="O47" s="5" t="str">
        <f>'1월'!O50</f>
        <v>완료(1/15)</v>
      </c>
      <c r="P47" s="9" t="str">
        <f>'1월'!P50</f>
        <v>이예지</v>
      </c>
      <c r="Q47" s="5" t="str">
        <f>'1월'!Q50</f>
        <v>1/31~7/31</v>
      </c>
      <c r="R47" s="209"/>
    </row>
    <row r="48" spans="1:18" ht="16.5" customHeight="1">
      <c r="A48" t="s">
        <v>64</v>
      </c>
      <c r="B48" s="10" t="str">
        <f>'1월'!B51</f>
        <v>H241223-02</v>
      </c>
      <c r="C48" s="12"/>
      <c r="D48" s="13">
        <f>'1월'!D51</f>
        <v>45659</v>
      </c>
      <c r="E48" s="155" t="str">
        <f>'1월'!E51</f>
        <v>이비웨이브</v>
      </c>
      <c r="F48" s="155" t="str">
        <f>'1월'!F51</f>
        <v>CGV용산아이파크몰</v>
      </c>
      <c r="G48" s="156" t="str">
        <f>'1월'!G51</f>
        <v>상품</v>
      </c>
      <c r="H48" s="156" t="str">
        <f>'1월'!H51</f>
        <v>HDD</v>
      </c>
      <c r="I48" s="69" t="str">
        <f>'1월'!I51</f>
        <v>4TB 7.2K 6G SAS 3.5inch Midline Hard Drive</v>
      </c>
      <c r="J48" s="122">
        <f>'1월'!J51</f>
        <v>8</v>
      </c>
      <c r="K48" s="15">
        <f>'1월'!K51</f>
        <v>80000</v>
      </c>
      <c r="L48" s="16">
        <f>'1월'!L51</f>
        <v>640000</v>
      </c>
      <c r="M48" s="16">
        <f>'1월'!M51</f>
        <v>64000</v>
      </c>
      <c r="N48" s="15">
        <f>'1월'!N51</f>
        <v>704000</v>
      </c>
      <c r="O48" s="5" t="str">
        <f>'1월'!O51</f>
        <v>완료(3/31)</v>
      </c>
      <c r="P48" s="9" t="str">
        <f>'1월'!P51</f>
        <v>천범석</v>
      </c>
      <c r="Q48" s="5">
        <f>'1월'!Q51</f>
        <v>45649</v>
      </c>
      <c r="R48" s="209"/>
    </row>
    <row r="49" spans="1:19" ht="16.5" customHeight="1">
      <c r="A49" t="s">
        <v>64</v>
      </c>
      <c r="B49" s="10" t="str">
        <f>'1월'!B52</f>
        <v>H250102-01</v>
      </c>
      <c r="C49" s="12"/>
      <c r="D49" s="13">
        <f>'1월'!D52</f>
        <v>45659</v>
      </c>
      <c r="E49" s="155" t="str">
        <f>'1월'!E52</f>
        <v>이비웨이브</v>
      </c>
      <c r="F49" s="155" t="str">
        <f>'1월'!F52</f>
        <v>아이엠티에스아이</v>
      </c>
      <c r="G49" s="156" t="str">
        <f>'1월'!G52</f>
        <v>상품</v>
      </c>
      <c r="H49" s="156" t="str">
        <f>'1월'!H52</f>
        <v>01AF542</v>
      </c>
      <c r="I49" s="69" t="str">
        <f>'1월'!I52</f>
        <v>Processor VRM 2B4E For 8231-E1C, E1D, E2D, 8268-E1D, 8246-L1C</v>
      </c>
      <c r="J49" s="122">
        <f>'1월'!J52</f>
        <v>1</v>
      </c>
      <c r="K49" s="15">
        <f>'1월'!K52</f>
        <v>400000</v>
      </c>
      <c r="L49" s="16">
        <f>'1월'!L52</f>
        <v>400000</v>
      </c>
      <c r="M49" s="16">
        <f>'1월'!M52</f>
        <v>40000</v>
      </c>
      <c r="N49" s="15">
        <f>'1월'!N52</f>
        <v>440000</v>
      </c>
      <c r="O49" s="5" t="str">
        <f>'1월'!O52</f>
        <v>완료(3/31)</v>
      </c>
      <c r="P49" s="9" t="str">
        <f>'1월'!P52</f>
        <v>천범석</v>
      </c>
      <c r="Q49" s="5">
        <f>'1월'!Q52</f>
        <v>45672</v>
      </c>
      <c r="R49" s="209"/>
    </row>
    <row r="50" spans="1:19" ht="16.5" customHeight="1">
      <c r="A50" t="s">
        <v>64</v>
      </c>
      <c r="B50" s="141" t="str">
        <f>'1월'!B53</f>
        <v>X</v>
      </c>
      <c r="C50" s="142"/>
      <c r="D50" s="13">
        <f>'1월'!D53</f>
        <v>45660</v>
      </c>
      <c r="E50" s="155" t="str">
        <f>'1월'!E53</f>
        <v>에스케이브로드밴드</v>
      </c>
      <c r="F50" s="155"/>
      <c r="G50" s="156" t="str">
        <f>'1월'!G53</f>
        <v>일반경비</v>
      </c>
      <c r="H50" s="156" t="str">
        <f>'1월'!H53</f>
        <v>통신비</v>
      </c>
      <c r="I50" s="159" t="str">
        <f>'1월'!I53</f>
        <v>통신료</v>
      </c>
      <c r="J50" s="124">
        <f>'1월'!J53</f>
        <v>1</v>
      </c>
      <c r="K50" s="16">
        <f>'1월'!K53</f>
        <v>13839</v>
      </c>
      <c r="L50" s="15">
        <f>'1월'!L53</f>
        <v>13839</v>
      </c>
      <c r="M50" s="15">
        <f>'1월'!M53</f>
        <v>1383</v>
      </c>
      <c r="N50" s="15">
        <f>'1월'!N53</f>
        <v>15222</v>
      </c>
      <c r="O50" s="5" t="str">
        <f>'1월'!O53</f>
        <v>자동이체(1/31)</v>
      </c>
      <c r="P50" s="175" t="str">
        <f>'1월'!P53</f>
        <v>정지우</v>
      </c>
      <c r="Q50" s="68" t="str">
        <f>'1월'!Q53</f>
        <v>X</v>
      </c>
      <c r="R50" s="209"/>
      <c r="S50" s="7"/>
    </row>
    <row r="51" spans="1:19" ht="16.5" customHeight="1">
      <c r="A51" t="s">
        <v>64</v>
      </c>
      <c r="B51" s="10" t="str">
        <f>'1월'!B54</f>
        <v>SM-24020</v>
      </c>
      <c r="C51" s="12"/>
      <c r="D51" s="13">
        <f>'1월'!D54</f>
        <v>45663</v>
      </c>
      <c r="E51" s="155" t="str">
        <f>'1월'!E54</f>
        <v>로보츠</v>
      </c>
      <c r="F51" s="155" t="str">
        <f>'1월'!F54</f>
        <v>와이케이케이한국</v>
      </c>
      <c r="G51" s="156" t="str">
        <f>'1월'!G54</f>
        <v>MA</v>
      </c>
      <c r="H51" s="156" t="str">
        <f>'1월'!H54</f>
        <v>월간</v>
      </c>
      <c r="I51" s="69" t="str">
        <f>'1월'!I54</f>
        <v>BoardSystem 유지보수 - 1월 (4/12회)</v>
      </c>
      <c r="J51" s="122">
        <f>'1월'!J54</f>
        <v>1</v>
      </c>
      <c r="K51" s="15">
        <f>'1월'!K54</f>
        <v>1060000</v>
      </c>
      <c r="L51" s="16">
        <f>'1월'!L54</f>
        <v>1060000</v>
      </c>
      <c r="M51" s="16">
        <f>'1월'!M54</f>
        <v>106000</v>
      </c>
      <c r="N51" s="15">
        <f>'1월'!N54</f>
        <v>1166000</v>
      </c>
      <c r="O51" s="5" t="str">
        <f>'1월'!O54</f>
        <v>완료(2/28)</v>
      </c>
      <c r="P51" s="9" t="str">
        <f>'1월'!P54</f>
        <v>이예지</v>
      </c>
      <c r="Q51" s="5">
        <f>'1월'!Q54</f>
        <v>45662</v>
      </c>
      <c r="R51" s="209"/>
    </row>
    <row r="52" spans="1:19" ht="16.5" customHeight="1">
      <c r="A52" t="s">
        <v>64</v>
      </c>
      <c r="B52" s="10" t="str">
        <f>'1월'!B55</f>
        <v>IK-24012</v>
      </c>
      <c r="C52" s="12"/>
      <c r="D52" s="13">
        <f>'1월'!D55</f>
        <v>45663</v>
      </c>
      <c r="E52" s="155" t="str">
        <f>'1월'!E55</f>
        <v>한국아이씨에스</v>
      </c>
      <c r="F52" s="155" t="str">
        <f>'1월'!F55</f>
        <v>인정보</v>
      </c>
      <c r="G52" s="156" t="str">
        <f>'1월'!G55</f>
        <v>MA</v>
      </c>
      <c r="H52" s="156" t="str">
        <f>'1월'!H55</f>
        <v>월간-IBM</v>
      </c>
      <c r="I52" s="69" t="str">
        <f>'1월'!I55</f>
        <v>대구텍 1월 유지정비료 - 1/6회</v>
      </c>
      <c r="J52" s="122">
        <f>'1월'!J55</f>
        <v>1</v>
      </c>
      <c r="K52" s="15">
        <f>'1월'!K55</f>
        <v>862260</v>
      </c>
      <c r="L52" s="16">
        <f>'1월'!L55</f>
        <v>862260</v>
      </c>
      <c r="M52" s="16">
        <f>'1월'!M55</f>
        <v>86226</v>
      </c>
      <c r="N52" s="15">
        <f>'1월'!N55</f>
        <v>948486</v>
      </c>
      <c r="O52" s="5" t="str">
        <f>'1월'!O55</f>
        <v>완료(2/28)</v>
      </c>
      <c r="P52" s="9" t="str">
        <f>'1월'!P55</f>
        <v>천범석</v>
      </c>
      <c r="Q52" s="5">
        <f>'1월'!Q55</f>
        <v>45663</v>
      </c>
      <c r="R52" s="213"/>
    </row>
    <row r="53" spans="1:19" ht="16.5" customHeight="1">
      <c r="A53" t="s">
        <v>64</v>
      </c>
      <c r="B53" s="10" t="str">
        <f>'1월'!B56</f>
        <v>H250106-01</v>
      </c>
      <c r="C53" s="12"/>
      <c r="D53" s="13">
        <f>'1월'!D56</f>
        <v>45663</v>
      </c>
      <c r="E53" s="155" t="str">
        <f>'1월'!E56</f>
        <v>이비웨이브</v>
      </c>
      <c r="F53" s="155" t="str">
        <f>'1월'!F56</f>
        <v>아이엠티에스아이</v>
      </c>
      <c r="G53" s="156" t="str">
        <f>'1월'!G56</f>
        <v>상품</v>
      </c>
      <c r="H53" s="156" t="str">
        <f>'1월'!H56</f>
        <v>69Y2926</v>
      </c>
      <c r="I53" s="69" t="str">
        <f>'1월'!I56</f>
        <v>Controller Battery for DS3512/DS3524</v>
      </c>
      <c r="J53" s="122">
        <f>'1월'!J56</f>
        <v>1</v>
      </c>
      <c r="K53" s="15">
        <f>'1월'!K56</f>
        <v>250000</v>
      </c>
      <c r="L53" s="16">
        <f>'1월'!L56</f>
        <v>250000</v>
      </c>
      <c r="M53" s="16">
        <f>'1월'!M56</f>
        <v>25000</v>
      </c>
      <c r="N53" s="15">
        <f>'1월'!N56</f>
        <v>275000</v>
      </c>
      <c r="O53" s="5" t="str">
        <f>'1월'!O56</f>
        <v>완료(3/31)</v>
      </c>
      <c r="P53" s="9" t="str">
        <f>'1월'!P56</f>
        <v>천범석</v>
      </c>
      <c r="Q53" s="5">
        <f>'1월'!Q56</f>
        <v>45672</v>
      </c>
      <c r="R53" s="209"/>
    </row>
    <row r="54" spans="1:19" ht="16.5" customHeight="1">
      <c r="A54" t="s">
        <v>64</v>
      </c>
      <c r="B54" s="10" t="str">
        <f>'1월'!B57</f>
        <v>H250106-02</v>
      </c>
      <c r="C54" s="12"/>
      <c r="D54" s="13">
        <f>'1월'!D57</f>
        <v>45663</v>
      </c>
      <c r="E54" s="155" t="str">
        <f>'1월'!E57</f>
        <v>이비웨이브</v>
      </c>
      <c r="F54" s="155" t="str">
        <f>'1월'!F57</f>
        <v>티에스씨인포</v>
      </c>
      <c r="G54" s="156" t="str">
        <f>'1월'!G57</f>
        <v>상품</v>
      </c>
      <c r="H54" s="156" t="str">
        <f>'1월'!H57</f>
        <v>1KPX8</v>
      </c>
      <c r="I54" s="69" t="str">
        <f>'1월'!I57</f>
        <v>DELL R740 SYSTEM BOARD = JMK61</v>
      </c>
      <c r="J54" s="122">
        <f>'1월'!J57</f>
        <v>1</v>
      </c>
      <c r="K54" s="15">
        <f>'1월'!K57</f>
        <v>750000</v>
      </c>
      <c r="L54" s="16">
        <f>'1월'!L57</f>
        <v>750000</v>
      </c>
      <c r="M54" s="16">
        <f>'1월'!M57</f>
        <v>75000</v>
      </c>
      <c r="N54" s="15">
        <f>'1월'!N57</f>
        <v>825000</v>
      </c>
      <c r="O54" s="5" t="str">
        <f>'1월'!O57</f>
        <v>완료(3/31)</v>
      </c>
      <c r="P54" s="9" t="str">
        <f>'1월'!P57</f>
        <v>천범석</v>
      </c>
      <c r="Q54" s="5">
        <f>'1월'!Q57</f>
        <v>45681</v>
      </c>
      <c r="R54" s="209"/>
    </row>
    <row r="55" spans="1:19" ht="16.5" customHeight="1">
      <c r="A55" t="s">
        <v>64</v>
      </c>
      <c r="B55" s="10" t="str">
        <f>'1월'!B58</f>
        <v>Y250107-01</v>
      </c>
      <c r="C55" s="139"/>
      <c r="D55" s="13">
        <f>'1월'!D58</f>
        <v>45664</v>
      </c>
      <c r="E55" s="155" t="str">
        <f>'1월'!E58</f>
        <v>컴퓨존</v>
      </c>
      <c r="F55" s="155" t="str">
        <f>'1월'!F58</f>
        <v>라온피플</v>
      </c>
      <c r="G55" s="156" t="str">
        <f>'1월'!G58</f>
        <v>상품</v>
      </c>
      <c r="H55" s="156" t="str">
        <f>'1월'!H58</f>
        <v>모니터</v>
      </c>
      <c r="I55" s="69" t="str">
        <f>'1월'!I58</f>
        <v>LG 27MR400</v>
      </c>
      <c r="J55" s="122">
        <f>'1월'!J58</f>
        <v>1</v>
      </c>
      <c r="K55" s="15">
        <f>'1월'!K58</f>
        <v>150000</v>
      </c>
      <c r="L55" s="16">
        <f>'1월'!L58</f>
        <v>150000</v>
      </c>
      <c r="M55" s="16">
        <f>'1월'!M58</f>
        <v>15000</v>
      </c>
      <c r="N55" s="15">
        <f>'1월'!N58</f>
        <v>165000</v>
      </c>
      <c r="O55" s="5" t="str">
        <f>'1월'!O58</f>
        <v>완료(1/7)</v>
      </c>
      <c r="P55" s="200" t="str">
        <f>'1월'!P58</f>
        <v>홍승민</v>
      </c>
      <c r="Q55" s="5">
        <f>'1월'!Q58</f>
        <v>45673</v>
      </c>
      <c r="R55" s="213"/>
    </row>
    <row r="56" spans="1:19" ht="16.5" customHeight="1">
      <c r="A56" t="s">
        <v>64</v>
      </c>
      <c r="B56" s="10" t="str">
        <f>'1월'!B59</f>
        <v>H250117-02</v>
      </c>
      <c r="C56" s="139"/>
      <c r="D56" s="13">
        <f>'1월'!D59</f>
        <v>45664</v>
      </c>
      <c r="E56" s="155" t="str">
        <f>'1월'!E59</f>
        <v>스토리지케이투</v>
      </c>
      <c r="F56" s="155" t="str">
        <f>'1월'!F59</f>
        <v>에이캐피탈</v>
      </c>
      <c r="G56" s="156" t="str">
        <f>'1월'!G59</f>
        <v>상품</v>
      </c>
      <c r="H56" s="156" t="str">
        <f>'1월'!H59</f>
        <v>00V7590</v>
      </c>
      <c r="I56" s="69" t="str">
        <f>'1월'!I59</f>
        <v>IBM LTO6/B</v>
      </c>
      <c r="J56" s="122">
        <f>'1월'!J59</f>
        <v>100</v>
      </c>
      <c r="K56" s="15">
        <f>'1월'!K59</f>
        <v>48181.818181818177</v>
      </c>
      <c r="L56" s="16">
        <f>'1월'!L59</f>
        <v>4818182</v>
      </c>
      <c r="M56" s="16">
        <f>'1월'!M59</f>
        <v>481818</v>
      </c>
      <c r="N56" s="15">
        <f>'1월'!N59</f>
        <v>5300000</v>
      </c>
      <c r="O56" s="5" t="str">
        <f>'1월'!O59</f>
        <v>완료(2/28)</v>
      </c>
      <c r="P56" s="200" t="str">
        <f>'1월'!P59</f>
        <v>천범석</v>
      </c>
      <c r="Q56" s="5">
        <f>'1월'!Q59</f>
        <v>45677</v>
      </c>
      <c r="R56" s="213"/>
    </row>
    <row r="57" spans="1:19" ht="16.5" customHeight="1">
      <c r="A57" t="s">
        <v>64</v>
      </c>
      <c r="B57" s="10" t="str">
        <f>'1월'!B60</f>
        <v>S</v>
      </c>
      <c r="C57" s="12"/>
      <c r="D57" s="13">
        <f>'1월'!D60</f>
        <v>45665</v>
      </c>
      <c r="E57" s="155" t="str">
        <f>'1월'!E60</f>
        <v>로보츠</v>
      </c>
      <c r="F57" s="155"/>
      <c r="G57" s="158" t="str">
        <f>'1월'!G60</f>
        <v>MA</v>
      </c>
      <c r="H57" s="156" t="str">
        <f>'1월'!H60</f>
        <v>기술지원</v>
      </c>
      <c r="I57" s="69" t="str">
        <f>'1월'!I60</f>
        <v>보안취약점 1차 기술지원</v>
      </c>
      <c r="J57" s="122">
        <f>'1월'!J60</f>
        <v>1</v>
      </c>
      <c r="K57" s="15">
        <f>'1월'!K60</f>
        <v>10000000</v>
      </c>
      <c r="L57" s="16">
        <f>'1월'!L60</f>
        <v>10000000</v>
      </c>
      <c r="M57" s="16">
        <f>'1월'!M60</f>
        <v>1000000</v>
      </c>
      <c r="N57" s="15">
        <f>'1월'!N60</f>
        <v>11000000</v>
      </c>
      <c r="O57" s="5" t="str">
        <f>'1월'!O60</f>
        <v>완료(3/25)</v>
      </c>
      <c r="P57" s="9" t="str">
        <f>'1월'!P60</f>
        <v>이예지</v>
      </c>
      <c r="Q57" s="5">
        <f>'1월'!Q60</f>
        <v>45657</v>
      </c>
      <c r="R57" s="209"/>
    </row>
    <row r="58" spans="1:19" ht="16.5" customHeight="1">
      <c r="A58" t="s">
        <v>64</v>
      </c>
      <c r="B58" s="10" t="str">
        <f>'1월'!B61</f>
        <v>H241107</v>
      </c>
      <c r="C58" s="12"/>
      <c r="D58" s="13">
        <f>'1월'!D61</f>
        <v>45665</v>
      </c>
      <c r="E58" s="155" t="str">
        <f>'1월'!E61</f>
        <v>알앤큐시스템</v>
      </c>
      <c r="F58" s="155" t="str">
        <f>'1월'!F61</f>
        <v>로스만스파이스트비브이</v>
      </c>
      <c r="G58" s="158" t="str">
        <f>'1월'!G61</f>
        <v>MA</v>
      </c>
      <c r="H58" s="156" t="str">
        <f>'1월'!H61</f>
        <v>기술지원</v>
      </c>
      <c r="I58" s="69" t="str">
        <f>'1월'!I61</f>
        <v>Vulnerability Remediation 서울 (2025.01.01~2025.12.31)</v>
      </c>
      <c r="J58" s="122">
        <f>'1월'!J61</f>
        <v>1</v>
      </c>
      <c r="K58" s="15">
        <f>'1월'!K61</f>
        <v>26000000</v>
      </c>
      <c r="L58" s="16">
        <f>'1월'!L61</f>
        <v>26000000</v>
      </c>
      <c r="M58" s="16">
        <f>'1월'!M61</f>
        <v>2600000</v>
      </c>
      <c r="N58" s="15">
        <f>'1월'!N61</f>
        <v>28600000</v>
      </c>
      <c r="O58" s="5" t="str">
        <f>'1월'!O61</f>
        <v>완료(1/24)</v>
      </c>
      <c r="P58" s="9" t="str">
        <f>'1월'!P61</f>
        <v>천범석</v>
      </c>
      <c r="Q58" s="5">
        <f>'1월'!Q61</f>
        <v>45590</v>
      </c>
      <c r="R58" s="209"/>
    </row>
    <row r="59" spans="1:19" ht="16.5" customHeight="1">
      <c r="A59" t="s">
        <v>64</v>
      </c>
      <c r="B59" s="10" t="str">
        <f>'1월'!B62</f>
        <v>X</v>
      </c>
      <c r="C59" s="12"/>
      <c r="D59" s="13">
        <f>'1월'!D62</f>
        <v>45665</v>
      </c>
      <c r="E59" s="155" t="str">
        <f>'1월'!E62</f>
        <v>컴퓨존</v>
      </c>
      <c r="F59" s="155"/>
      <c r="G59" s="156" t="str">
        <f>'1월'!G62</f>
        <v>상품</v>
      </c>
      <c r="H59" s="156" t="str">
        <f>'1월'!H62</f>
        <v>케이블</v>
      </c>
      <c r="I59" s="69" t="str">
        <f>'1월'!I62</f>
        <v>전원케이블 50EA</v>
      </c>
      <c r="J59" s="122">
        <f>'1월'!J62</f>
        <v>1</v>
      </c>
      <c r="K59" s="15">
        <f>'1월'!K62</f>
        <v>90455</v>
      </c>
      <c r="L59" s="16">
        <f>'1월'!L62</f>
        <v>90455</v>
      </c>
      <c r="M59" s="16">
        <f>'1월'!M62</f>
        <v>9045</v>
      </c>
      <c r="N59" s="15">
        <f>'1월'!N62</f>
        <v>99500</v>
      </c>
      <c r="O59" s="5" t="str">
        <f>'1월'!O62</f>
        <v>완료(1/8)</v>
      </c>
      <c r="P59" s="9" t="str">
        <f>'1월'!P62</f>
        <v>이지훈</v>
      </c>
      <c r="Q59" s="5" t="str">
        <f>'1월'!Q62</f>
        <v>X</v>
      </c>
      <c r="R59" s="213"/>
    </row>
    <row r="60" spans="1:19" ht="16.5" customHeight="1">
      <c r="B60" s="10" t="str">
        <f>'1월'!B63</f>
        <v>S</v>
      </c>
      <c r="C60" s="12"/>
      <c r="D60" s="13">
        <f>'1월'!D63</f>
        <v>45666</v>
      </c>
      <c r="E60" s="155" t="str">
        <f>'1월'!E63</f>
        <v>로보츠</v>
      </c>
      <c r="F60" s="155" t="str">
        <f>'1월'!F63</f>
        <v>와이케이케이코리아 서울</v>
      </c>
      <c r="G60" s="156" t="str">
        <f>'1월'!G63</f>
        <v>상품</v>
      </c>
      <c r="H60" s="156" t="str">
        <f>'1월'!H63</f>
        <v>노트북</v>
      </c>
      <c r="I60" s="69" t="str">
        <f>'1월'!I63</f>
        <v>LG전자 노트북 15U50S-G.AP7TL</v>
      </c>
      <c r="J60" s="122">
        <f>'1월'!J63</f>
        <v>1</v>
      </c>
      <c r="K60" s="15">
        <f>'1월'!K63</f>
        <v>1490000</v>
      </c>
      <c r="L60" s="16">
        <f>'1월'!L63</f>
        <v>1490000</v>
      </c>
      <c r="M60" s="16">
        <f>'1월'!M63</f>
        <v>149000</v>
      </c>
      <c r="N60" s="15">
        <f>'1월'!N63</f>
        <v>1639000</v>
      </c>
      <c r="O60" s="5" t="str">
        <f>'1월'!O63</f>
        <v>완료(2/28)</v>
      </c>
      <c r="P60" s="9" t="str">
        <f>'1월'!P63</f>
        <v>이예지</v>
      </c>
      <c r="Q60" s="5">
        <f>'1월'!Q63</f>
        <v>45666</v>
      </c>
      <c r="R60" s="213"/>
    </row>
    <row r="61" spans="1:19" ht="16.5" customHeight="1">
      <c r="A61" t="s">
        <v>64</v>
      </c>
      <c r="B61" s="10" t="str">
        <f>'1월'!B64</f>
        <v>SM-23012</v>
      </c>
      <c r="C61" s="12"/>
      <c r="D61" s="13">
        <f>'1월'!D64</f>
        <v>45667</v>
      </c>
      <c r="E61" s="155" t="str">
        <f>'1월'!E64</f>
        <v>엘림넷</v>
      </c>
      <c r="F61" s="155" t="str">
        <f>'1월'!F64</f>
        <v>택스홈앤아웃 본사</v>
      </c>
      <c r="G61" s="156" t="str">
        <f>'1월'!G64</f>
        <v>MA</v>
      </c>
      <c r="H61" s="156" t="str">
        <f>'1월'!H64</f>
        <v>월간</v>
      </c>
      <c r="I61" s="69" t="str">
        <f>'1월'!I64</f>
        <v>e-NETner 외 1건</v>
      </c>
      <c r="J61" s="122">
        <f>'1월'!J64</f>
        <v>1</v>
      </c>
      <c r="K61" s="15">
        <f>'1월'!K64</f>
        <v>155200</v>
      </c>
      <c r="L61" s="16">
        <f>'1월'!L64</f>
        <v>155200</v>
      </c>
      <c r="M61" s="16">
        <f>'1월'!M64</f>
        <v>15520</v>
      </c>
      <c r="N61" s="15">
        <f>'1월'!N64</f>
        <v>170720</v>
      </c>
      <c r="O61" s="5" t="str">
        <f>'1월'!O64</f>
        <v>완료(1/26법카)</v>
      </c>
      <c r="P61" s="9" t="str">
        <f>'1월'!P64</f>
        <v>이예지</v>
      </c>
      <c r="Q61" s="5">
        <f>'1월'!Q64</f>
        <v>45658</v>
      </c>
      <c r="R61" s="209"/>
    </row>
    <row r="62" spans="1:19" ht="16.5" customHeight="1">
      <c r="A62" t="s">
        <v>64</v>
      </c>
      <c r="B62" s="10" t="str">
        <f>'1월'!B65</f>
        <v>SM-23012</v>
      </c>
      <c r="C62" s="12"/>
      <c r="D62" s="13">
        <f>'1월'!D65</f>
        <v>45667</v>
      </c>
      <c r="E62" s="155" t="str">
        <f>'1월'!E65</f>
        <v>엘림넷</v>
      </c>
      <c r="F62" s="155" t="str">
        <f>'1월'!F65</f>
        <v>택스홈앤아웃 본사</v>
      </c>
      <c r="G62" s="156" t="str">
        <f>'1월'!G65</f>
        <v>MA</v>
      </c>
      <c r="H62" s="156" t="str">
        <f>'1월'!H65</f>
        <v>월간</v>
      </c>
      <c r="I62" s="69" t="str">
        <f>'1월'!I65</f>
        <v>전용회선료 외 1건</v>
      </c>
      <c r="J62" s="122">
        <f>'1월'!J65</f>
        <v>1</v>
      </c>
      <c r="K62" s="15">
        <f>'1월'!K65</f>
        <v>213400</v>
      </c>
      <c r="L62" s="16">
        <f>'1월'!L65</f>
        <v>213400</v>
      </c>
      <c r="M62" s="16">
        <f>'1월'!M65</f>
        <v>21340</v>
      </c>
      <c r="N62" s="15">
        <f>'1월'!N65</f>
        <v>234740</v>
      </c>
      <c r="O62" s="5" t="str">
        <f>'1월'!O65</f>
        <v>완료(1/26법카)</v>
      </c>
      <c r="P62" s="9" t="str">
        <f>'1월'!P65</f>
        <v>이예지</v>
      </c>
      <c r="Q62" s="5">
        <f>'1월'!Q65</f>
        <v>45658</v>
      </c>
      <c r="R62" s="209"/>
    </row>
    <row r="63" spans="1:19" ht="16.5" customHeight="1">
      <c r="A63" t="s">
        <v>64</v>
      </c>
      <c r="B63" s="10" t="str">
        <f>'1월'!B66</f>
        <v>SM-23013</v>
      </c>
      <c r="C63" s="12"/>
      <c r="D63" s="13">
        <f>'1월'!D66</f>
        <v>45667</v>
      </c>
      <c r="E63" s="155" t="str">
        <f>'1월'!E66</f>
        <v>엘림넷</v>
      </c>
      <c r="F63" s="155" t="str">
        <f>'1월'!F66</f>
        <v>하이엔드택스 강남지점(압구정)</v>
      </c>
      <c r="G63" s="156" t="str">
        <f>'1월'!G66</f>
        <v>MA</v>
      </c>
      <c r="H63" s="156" t="str">
        <f>'1월'!H66</f>
        <v>월간</v>
      </c>
      <c r="I63" s="69" t="str">
        <f>'1월'!I66</f>
        <v>e-NETner 외 1건</v>
      </c>
      <c r="J63" s="122">
        <f>'1월'!J66</f>
        <v>1</v>
      </c>
      <c r="K63" s="15">
        <f>'1월'!K66</f>
        <v>77600</v>
      </c>
      <c r="L63" s="16">
        <f>'1월'!L66</f>
        <v>77600</v>
      </c>
      <c r="M63" s="16">
        <f>'1월'!M66</f>
        <v>7760</v>
      </c>
      <c r="N63" s="15">
        <f>'1월'!N66</f>
        <v>85360</v>
      </c>
      <c r="O63" s="5" t="str">
        <f>'1월'!O66</f>
        <v>완료(1/26법카)</v>
      </c>
      <c r="P63" s="9" t="str">
        <f>'1월'!P66</f>
        <v>이예지</v>
      </c>
      <c r="Q63" s="5">
        <f>'1월'!Q66</f>
        <v>45658</v>
      </c>
      <c r="R63" s="209"/>
    </row>
    <row r="64" spans="1:19" ht="16.5" customHeight="1">
      <c r="A64" t="s">
        <v>64</v>
      </c>
      <c r="B64" s="10" t="str">
        <f>'1월'!B67</f>
        <v>SM-23013</v>
      </c>
      <c r="C64" s="12"/>
      <c r="D64" s="13">
        <f>'1월'!D67</f>
        <v>45667</v>
      </c>
      <c r="E64" s="155" t="str">
        <f>'1월'!E67</f>
        <v>엘림넷</v>
      </c>
      <c r="F64" s="155" t="str">
        <f>'1월'!F67</f>
        <v>하이엔드택스 강남지점(압구정)</v>
      </c>
      <c r="G64" s="156" t="str">
        <f>'1월'!G67</f>
        <v>MA</v>
      </c>
      <c r="H64" s="156" t="str">
        <f>'1월'!H67</f>
        <v>월간</v>
      </c>
      <c r="I64" s="69" t="str">
        <f>'1월'!I67</f>
        <v>전용회선료 외 1건</v>
      </c>
      <c r="J64" s="122">
        <f>'1월'!J67</f>
        <v>1</v>
      </c>
      <c r="K64" s="15">
        <f>'1월'!K67</f>
        <v>145500</v>
      </c>
      <c r="L64" s="16">
        <f>'1월'!L67</f>
        <v>145500</v>
      </c>
      <c r="M64" s="16">
        <f>'1월'!M67</f>
        <v>14550</v>
      </c>
      <c r="N64" s="15">
        <f>'1월'!N67</f>
        <v>160050</v>
      </c>
      <c r="O64" s="5" t="str">
        <f>'1월'!O67</f>
        <v>완료(1/26법카)</v>
      </c>
      <c r="P64" s="9" t="str">
        <f>'1월'!P67</f>
        <v>이예지</v>
      </c>
      <c r="Q64" s="5">
        <f>'1월'!Q67</f>
        <v>45658</v>
      </c>
      <c r="R64" s="209"/>
    </row>
    <row r="65" spans="1:21" ht="16.5" customHeight="1">
      <c r="A65" t="s">
        <v>64</v>
      </c>
      <c r="B65" s="10" t="str">
        <f>'1월'!B68</f>
        <v>H250110-01</v>
      </c>
      <c r="C65" s="12"/>
      <c r="D65" s="13">
        <f>'1월'!D68</f>
        <v>45667</v>
      </c>
      <c r="E65" s="155" t="str">
        <f>'1월'!E68</f>
        <v>이비웨이브</v>
      </c>
      <c r="F65" s="155" t="str">
        <f>'1월'!F68</f>
        <v>티에스씨인포</v>
      </c>
      <c r="G65" s="156" t="str">
        <f>'1월'!G68</f>
        <v>상품</v>
      </c>
      <c r="H65" s="156" t="str">
        <f>'1월'!H68</f>
        <v>061XPF</v>
      </c>
      <c r="I65" s="69" t="str">
        <f>'1월'!I68</f>
        <v>DELL 146GB 15K 6G SFF SAS HDD</v>
      </c>
      <c r="J65" s="122">
        <f>'1월'!J68</f>
        <v>2</v>
      </c>
      <c r="K65" s="15">
        <f>'1월'!K68</f>
        <v>80000</v>
      </c>
      <c r="L65" s="16">
        <f>'1월'!L68</f>
        <v>160000</v>
      </c>
      <c r="M65" s="16">
        <f>'1월'!M68</f>
        <v>16000</v>
      </c>
      <c r="N65" s="15">
        <f>'1월'!N68</f>
        <v>176000</v>
      </c>
      <c r="O65" s="5" t="str">
        <f>'1월'!O68</f>
        <v>완료(3/31)</v>
      </c>
      <c r="P65" s="9" t="str">
        <f>'1월'!P68</f>
        <v>천범석</v>
      </c>
      <c r="Q65" s="5">
        <f>'1월'!Q68</f>
        <v>45681</v>
      </c>
      <c r="R65" s="209"/>
    </row>
    <row r="66" spans="1:21" ht="16.5" customHeight="1">
      <c r="A66" t="s">
        <v>64</v>
      </c>
      <c r="B66" s="10" t="str">
        <f>'1월'!B69</f>
        <v>Y250113-01</v>
      </c>
      <c r="C66" s="12"/>
      <c r="D66" s="13">
        <f>'1월'!D69</f>
        <v>45670</v>
      </c>
      <c r="E66" s="155" t="str">
        <f>'1월'!E69</f>
        <v>컴퓨존</v>
      </c>
      <c r="F66" s="155" t="str">
        <f>'1월'!F69</f>
        <v>라온피플</v>
      </c>
      <c r="G66" s="156" t="str">
        <f>'1월'!G69</f>
        <v>상품</v>
      </c>
      <c r="H66" s="156" t="str">
        <f>'1월'!H69</f>
        <v>키보드&amp;마우스</v>
      </c>
      <c r="I66" s="69" t="str">
        <f>'1월'!I69</f>
        <v>로지텍 K120 NEW+ 마우스 M90 세트  외 케이블류</v>
      </c>
      <c r="J66" s="122">
        <f>'1월'!J69</f>
        <v>1</v>
      </c>
      <c r="K66" s="15">
        <f>'1월'!K69</f>
        <v>197545.45454545453</v>
      </c>
      <c r="L66" s="16">
        <f>'1월'!L69</f>
        <v>197545.45454545453</v>
      </c>
      <c r="M66" s="16">
        <f>'1월'!M69</f>
        <v>19755</v>
      </c>
      <c r="N66" s="15">
        <f>'1월'!N69</f>
        <v>217300.45454545453</v>
      </c>
      <c r="O66" s="5" t="str">
        <f>'1월'!O69</f>
        <v>완료(1/13)</v>
      </c>
      <c r="P66" s="9" t="str">
        <f>'1월'!P69</f>
        <v>홍승민</v>
      </c>
      <c r="Q66" s="5">
        <f>'1월'!Q69</f>
        <v>45673</v>
      </c>
      <c r="R66" s="213"/>
    </row>
    <row r="67" spans="1:21" ht="16.5" customHeight="1">
      <c r="A67" t="s">
        <v>64</v>
      </c>
      <c r="B67" s="10" t="str">
        <f>'1월'!B70</f>
        <v>H250113-01</v>
      </c>
      <c r="C67" s="12"/>
      <c r="D67" s="13">
        <f>'1월'!D70</f>
        <v>45670</v>
      </c>
      <c r="E67" s="155" t="str">
        <f>'1월'!E70</f>
        <v>이비웨이브</v>
      </c>
      <c r="F67" s="155" t="str">
        <f>'1월'!F70</f>
        <v>티에스씨인포</v>
      </c>
      <c r="G67" s="156" t="str">
        <f>'1월'!G70</f>
        <v>상품</v>
      </c>
      <c r="H67" s="156" t="str">
        <f>'1월'!H70</f>
        <v>44X3212</v>
      </c>
      <c r="I67" s="69" t="str">
        <f>'1월'!I70</f>
        <v>IBM V7000 Storage 600GB 10K 2.5inch HDD 44X3212/90Y7652</v>
      </c>
      <c r="J67" s="122">
        <f>'1월'!J70</f>
        <v>2</v>
      </c>
      <c r="K67" s="15">
        <f>'1월'!K70</f>
        <v>120000</v>
      </c>
      <c r="L67" s="16">
        <f>'1월'!L70</f>
        <v>240000</v>
      </c>
      <c r="M67" s="16">
        <f>'1월'!M70</f>
        <v>24000</v>
      </c>
      <c r="N67" s="15">
        <f>'1월'!N70</f>
        <v>264000</v>
      </c>
      <c r="O67" s="5" t="str">
        <f>'1월'!O70</f>
        <v>완료(3/31)</v>
      </c>
      <c r="P67" s="9" t="str">
        <f>'1월'!P70</f>
        <v>천범석</v>
      </c>
      <c r="Q67" s="5">
        <f>'1월'!Q70</f>
        <v>45681</v>
      </c>
      <c r="R67" s="209"/>
    </row>
    <row r="68" spans="1:21" ht="16.5" customHeight="1">
      <c r="A68" t="s">
        <v>64</v>
      </c>
      <c r="B68" s="10" t="str">
        <f>'1월'!B71</f>
        <v>S</v>
      </c>
      <c r="C68" s="12"/>
      <c r="D68" s="13">
        <f>'1월'!D71</f>
        <v>45671</v>
      </c>
      <c r="E68" s="155" t="str">
        <f>'1월'!E71</f>
        <v>로보츠</v>
      </c>
      <c r="F68" s="155" t="str">
        <f>'1월'!F71</f>
        <v>와이케이케이한국 평택</v>
      </c>
      <c r="G68" s="156" t="str">
        <f>'1월'!G71</f>
        <v>상품</v>
      </c>
      <c r="H68" s="156" t="str">
        <f>'1월'!H71</f>
        <v>노트북</v>
      </c>
      <c r="I68" s="69" t="str">
        <f>'1월'!I71</f>
        <v>엘지노트북 외</v>
      </c>
      <c r="J68" s="122">
        <f>'1월'!J71</f>
        <v>1</v>
      </c>
      <c r="K68" s="15">
        <f>'1월'!K71</f>
        <v>2227000</v>
      </c>
      <c r="L68" s="16">
        <f>'1월'!L71</f>
        <v>2227000</v>
      </c>
      <c r="M68" s="16">
        <f>'1월'!M71</f>
        <v>222700</v>
      </c>
      <c r="N68" s="15">
        <f>'1월'!N71</f>
        <v>2449700</v>
      </c>
      <c r="O68" s="5" t="str">
        <f>'1월'!O71</f>
        <v>완료(2/28)</v>
      </c>
      <c r="P68" s="9" t="str">
        <f>'1월'!P71</f>
        <v>이예지</v>
      </c>
      <c r="Q68" s="5">
        <f>'1월'!Q71</f>
        <v>45702</v>
      </c>
      <c r="R68" s="213"/>
    </row>
    <row r="69" spans="1:21" ht="16.5" customHeight="1">
      <c r="A69" t="s">
        <v>64</v>
      </c>
      <c r="B69" s="10" t="str">
        <f>'1월'!B72</f>
        <v>S</v>
      </c>
      <c r="C69" s="12"/>
      <c r="D69" s="13">
        <f>'1월'!D72</f>
        <v>45671</v>
      </c>
      <c r="E69" s="155" t="str">
        <f>'1월'!E72</f>
        <v>프로미스</v>
      </c>
      <c r="F69" s="218"/>
      <c r="G69" s="156" t="str">
        <f>'1월'!G72</f>
        <v>상품</v>
      </c>
      <c r="H69" s="156" t="str">
        <f>'1월'!H72</f>
        <v>기술지원</v>
      </c>
      <c r="I69" s="69" t="str">
        <f>'1월'!I72</f>
        <v>보안취약 작업(DELL) #1</v>
      </c>
      <c r="J69" s="124">
        <f>'1월'!J72</f>
        <v>1</v>
      </c>
      <c r="K69" s="15">
        <f>'1월'!K72</f>
        <v>15000000</v>
      </c>
      <c r="L69" s="16">
        <f>'1월'!L72</f>
        <v>15000000</v>
      </c>
      <c r="M69" s="16">
        <f>'1월'!M72</f>
        <v>1500000</v>
      </c>
      <c r="N69" s="15">
        <f>'1월'!N72</f>
        <v>16500000</v>
      </c>
      <c r="O69" s="5" t="str">
        <f>'1월'!O72</f>
        <v>완료(1/15)</v>
      </c>
      <c r="P69" s="9" t="str">
        <f>'1월'!P72</f>
        <v>이예지</v>
      </c>
      <c r="Q69" s="5" t="str">
        <f>'1월'!Q72</f>
        <v>X</v>
      </c>
      <c r="R69" s="213"/>
    </row>
    <row r="70" spans="1:21" ht="16.5" customHeight="1">
      <c r="A70" t="s">
        <v>64</v>
      </c>
      <c r="B70" s="10" t="str">
        <f>'1월'!B73</f>
        <v>H250114-01</v>
      </c>
      <c r="C70" s="12"/>
      <c r="D70" s="13">
        <f>'1월'!D73</f>
        <v>45671</v>
      </c>
      <c r="E70" s="155" t="str">
        <f>'1월'!E73</f>
        <v>위퍼스트</v>
      </c>
      <c r="F70" s="155" t="str">
        <f>'1월'!F73</f>
        <v>다솜테크</v>
      </c>
      <c r="G70" s="156" t="str">
        <f>'1월'!G73</f>
        <v>상품</v>
      </c>
      <c r="H70" s="156" t="str">
        <f>'1월'!H73</f>
        <v>4XG7A38077</v>
      </c>
      <c r="I70" s="69" t="str">
        <f>'1월'!I73</f>
        <v xml:space="preserve">4XG7A38077 SR650 Intel Xeon Gold 6246R 16C 205W 3.4GHz Processor w/o FAN </v>
      </c>
      <c r="J70" s="122">
        <f>'1월'!J73</f>
        <v>1</v>
      </c>
      <c r="K70" s="15">
        <f>'1월'!K73</f>
        <v>1950000</v>
      </c>
      <c r="L70" s="16">
        <f>'1월'!L73</f>
        <v>1950000</v>
      </c>
      <c r="M70" s="16">
        <f>'1월'!M73</f>
        <v>195000</v>
      </c>
      <c r="N70" s="15">
        <f>'1월'!N73</f>
        <v>2145000</v>
      </c>
      <c r="O70" s="5" t="str">
        <f>'1월'!O73</f>
        <v>완료(2/28)</v>
      </c>
      <c r="P70" s="9" t="str">
        <f>'1월'!P73</f>
        <v>천범석</v>
      </c>
      <c r="Q70" s="5">
        <f>'1월'!Q73</f>
        <v>45681</v>
      </c>
      <c r="R70" s="213"/>
    </row>
    <row r="71" spans="1:21" ht="16.5" customHeight="1">
      <c r="A71" t="s">
        <v>64</v>
      </c>
      <c r="B71" s="10" t="str">
        <f>'1월'!B74</f>
        <v>Y250114-02</v>
      </c>
      <c r="C71" s="12"/>
      <c r="D71" s="13">
        <f>'1월'!D74</f>
        <v>45671</v>
      </c>
      <c r="E71" s="155" t="str">
        <f>'1월'!E74</f>
        <v>컴퓨존</v>
      </c>
      <c r="F71" s="155" t="str">
        <f>'1월'!F74</f>
        <v>삼표피앤씨</v>
      </c>
      <c r="G71" s="156" t="str">
        <f>'1월'!G74</f>
        <v>상품</v>
      </c>
      <c r="H71" s="156" t="str">
        <f>'1월'!H74</f>
        <v>HDD</v>
      </c>
      <c r="I71" s="69" t="str">
        <f>'1월'!I74</f>
        <v>2TB 2.5" SATA SSD 외</v>
      </c>
      <c r="J71" s="122">
        <f>'1월'!J74</f>
        <v>1</v>
      </c>
      <c r="K71" s="15">
        <f>'1월'!K74</f>
        <v>149090.90909090909</v>
      </c>
      <c r="L71" s="16">
        <f>'1월'!L74</f>
        <v>149090.90909090909</v>
      </c>
      <c r="M71" s="16">
        <f>'1월'!M74</f>
        <v>14909.09090909091</v>
      </c>
      <c r="N71" s="15">
        <f>'1월'!N74</f>
        <v>164000</v>
      </c>
      <c r="O71" s="5" t="str">
        <f>'1월'!O74</f>
        <v>완료(1/14)</v>
      </c>
      <c r="P71" s="9" t="str">
        <f>'1월'!P74</f>
        <v>홍승민</v>
      </c>
      <c r="Q71" s="5">
        <f>'1월'!Q74</f>
        <v>45679</v>
      </c>
      <c r="R71" s="213"/>
    </row>
    <row r="72" spans="1:21" ht="16.5" customHeight="1">
      <c r="A72" t="s">
        <v>64</v>
      </c>
      <c r="B72" s="143" t="str">
        <f>'1월'!B75</f>
        <v>SM-20017</v>
      </c>
      <c r="C72" s="144"/>
      <c r="D72" s="13">
        <f>'1월'!D75</f>
        <v>45672</v>
      </c>
      <c r="E72" s="161" t="str">
        <f>'1월'!E75</f>
        <v>에스엔에이</v>
      </c>
      <c r="F72" s="155" t="str">
        <f>'1월'!F75</f>
        <v>해안종합건축사사무소</v>
      </c>
      <c r="G72" s="156" t="str">
        <f>'1월'!G75</f>
        <v>MA</v>
      </c>
      <c r="H72" s="156" t="str">
        <f>'1월'!H75</f>
        <v>기술지원</v>
      </c>
      <c r="I72" s="69" t="str">
        <f>'1월'!I75</f>
        <v>HP 1630 유지보수 1월 - 8/12회</v>
      </c>
      <c r="J72" s="122">
        <f>'1월'!J75</f>
        <v>1</v>
      </c>
      <c r="K72" s="15">
        <f>'1월'!K75</f>
        <v>200000</v>
      </c>
      <c r="L72" s="15">
        <f>'1월'!L75</f>
        <v>200000</v>
      </c>
      <c r="M72" s="16">
        <f>'1월'!M75</f>
        <v>20000</v>
      </c>
      <c r="N72" s="15">
        <f>'1월'!N75</f>
        <v>220000</v>
      </c>
      <c r="O72" s="5" t="str">
        <f>'1월'!O75</f>
        <v>완료(3/31)</v>
      </c>
      <c r="P72" s="9" t="str">
        <f>'1월'!P75</f>
        <v>천범석</v>
      </c>
      <c r="Q72" s="5">
        <f>'1월'!Q75</f>
        <v>45658</v>
      </c>
      <c r="R72" s="210"/>
      <c r="S72" s="7"/>
      <c r="T72" s="7"/>
      <c r="U72" s="11"/>
    </row>
    <row r="73" spans="1:21" ht="16.5" customHeight="1">
      <c r="A73" t="s">
        <v>64</v>
      </c>
      <c r="B73" s="10" t="str">
        <f>'1월'!B76</f>
        <v>H250115-01</v>
      </c>
      <c r="C73" s="12"/>
      <c r="D73" s="13">
        <f>'1월'!D76</f>
        <v>45672</v>
      </c>
      <c r="E73" s="155" t="str">
        <f>'1월'!E76</f>
        <v>이비웨이브</v>
      </c>
      <c r="F73" s="155" t="str">
        <f>'1월'!F76</f>
        <v>우리SIT</v>
      </c>
      <c r="G73" s="156" t="str">
        <f>'1월'!G76</f>
        <v>상품</v>
      </c>
      <c r="H73" s="156" t="str">
        <f>'1월'!H76</f>
        <v>AJ763A</v>
      </c>
      <c r="I73" s="69" t="str">
        <f>'1월'!I76</f>
        <v>HPE 82E 8Gb 2-port PCIe Fibre Channel Host Bus Adapter</v>
      </c>
      <c r="J73" s="122">
        <f>'1월'!J76</f>
        <v>2</v>
      </c>
      <c r="K73" s="15">
        <f>'1월'!K76</f>
        <v>100000</v>
      </c>
      <c r="L73" s="16">
        <f>'1월'!L76</f>
        <v>200000</v>
      </c>
      <c r="M73" s="16">
        <f>'1월'!M76</f>
        <v>20000</v>
      </c>
      <c r="N73" s="15">
        <f>'1월'!N76</f>
        <v>220000</v>
      </c>
      <c r="O73" s="5" t="str">
        <f>'1월'!O76</f>
        <v>완료(3/31)</v>
      </c>
      <c r="P73" s="9" t="str">
        <f>'1월'!P76</f>
        <v>천범석</v>
      </c>
      <c r="Q73" s="5">
        <f>'1월'!Q76</f>
        <v>45681</v>
      </c>
      <c r="R73" s="209"/>
    </row>
    <row r="74" spans="1:21" ht="16.5" customHeight="1">
      <c r="A74" t="s">
        <v>64</v>
      </c>
      <c r="B74" s="10" t="str">
        <f>'1월'!B77</f>
        <v>H250117-01</v>
      </c>
      <c r="C74" s="12"/>
      <c r="D74" s="13">
        <f>'1월'!D77</f>
        <v>45673</v>
      </c>
      <c r="E74" s="155" t="str">
        <f>'1월'!E77</f>
        <v>위퍼스트</v>
      </c>
      <c r="F74" s="155" t="str">
        <f>'1월'!F77</f>
        <v>매사</v>
      </c>
      <c r="G74" s="156" t="str">
        <f>'1월'!G77</f>
        <v>상품</v>
      </c>
      <c r="H74" s="156" t="str">
        <f>'1월'!H77</f>
        <v>54C33</v>
      </c>
      <c r="I74" s="69" t="str">
        <f>'1월'!I77</f>
        <v>DELL Controller Battery FS8600(중고)</v>
      </c>
      <c r="J74" s="122">
        <f>'1월'!J77</f>
        <v>1</v>
      </c>
      <c r="K74" s="15">
        <f>'1월'!K77</f>
        <v>550000</v>
      </c>
      <c r="L74" s="16">
        <f>'1월'!L77</f>
        <v>550000</v>
      </c>
      <c r="M74" s="16">
        <f>'1월'!M77</f>
        <v>55000</v>
      </c>
      <c r="N74" s="15">
        <f>'1월'!N77</f>
        <v>605000</v>
      </c>
      <c r="O74" s="5" t="str">
        <f>'1월'!O77</f>
        <v>완료(2/28)</v>
      </c>
      <c r="P74" s="9" t="str">
        <f>'1월'!P77</f>
        <v>천범석</v>
      </c>
      <c r="Q74" s="5">
        <f>'1월'!Q77</f>
        <v>45678</v>
      </c>
      <c r="R74" s="213"/>
    </row>
    <row r="75" spans="1:21" ht="16.5" customHeight="1">
      <c r="A75" t="s">
        <v>64</v>
      </c>
      <c r="B75" s="10" t="str">
        <f>'1월'!B78</f>
        <v>H250116-01</v>
      </c>
      <c r="C75" s="12"/>
      <c r="D75" s="13">
        <f>'1월'!D78</f>
        <v>45673</v>
      </c>
      <c r="E75" s="155" t="str">
        <f>'1월'!E78</f>
        <v>이비웨이브</v>
      </c>
      <c r="F75" s="155" t="str">
        <f>'1월'!F78</f>
        <v>디에이치라이팅</v>
      </c>
      <c r="G75" s="156" t="str">
        <f>'1월'!G78</f>
        <v>상품</v>
      </c>
      <c r="H75" s="156" t="str">
        <f>'1월'!H78</f>
        <v>765873-001</v>
      </c>
      <c r="I75" s="69" t="str">
        <f>'1월'!I78</f>
        <v>2TB 7.2K 12G SAS 2.5inch Enterprise Hard Drive</v>
      </c>
      <c r="J75" s="122">
        <f>'1월'!J78</f>
        <v>3</v>
      </c>
      <c r="K75" s="15">
        <f>'1월'!K78</f>
        <v>200000</v>
      </c>
      <c r="L75" s="16">
        <f>'1월'!L78</f>
        <v>600000</v>
      </c>
      <c r="M75" s="16">
        <f>'1월'!M78</f>
        <v>60000</v>
      </c>
      <c r="N75" s="15">
        <f>'1월'!N78</f>
        <v>660000</v>
      </c>
      <c r="O75" s="5" t="str">
        <f>'1월'!O78</f>
        <v>완료(3/31)</v>
      </c>
      <c r="P75" s="9" t="str">
        <f>'1월'!P78</f>
        <v>천범석</v>
      </c>
      <c r="Q75" s="5">
        <f>'1월'!Q78</f>
        <v>45677</v>
      </c>
      <c r="R75" s="209"/>
    </row>
    <row r="76" spans="1:21" ht="16.5" customHeight="1">
      <c r="A76" t="s">
        <v>64</v>
      </c>
      <c r="B76" s="10" t="str">
        <f>'1월'!B79</f>
        <v>H250117-03</v>
      </c>
      <c r="C76" s="12"/>
      <c r="D76" s="13">
        <f>'1월'!D79</f>
        <v>45674</v>
      </c>
      <c r="E76" s="155" t="str">
        <f>'1월'!E79</f>
        <v>이비웨이브</v>
      </c>
      <c r="F76" s="155" t="str">
        <f>'1월'!F79</f>
        <v>에이캐피탈</v>
      </c>
      <c r="G76" s="157" t="str">
        <f>'1월'!G79</f>
        <v>MA</v>
      </c>
      <c r="H76" s="156" t="str">
        <f>'1월'!H79</f>
        <v>90Y8927</v>
      </c>
      <c r="I76" s="69" t="str">
        <f>'1월'!I79</f>
        <v>IBM 146GB 15K SFF SAS G2HS HDD 7915 06AWPVD</v>
      </c>
      <c r="J76" s="122">
        <f>'1월'!J79</f>
        <v>1</v>
      </c>
      <c r="K76" s="15">
        <f>'1월'!K79</f>
        <v>80000</v>
      </c>
      <c r="L76" s="16">
        <f>'1월'!L79</f>
        <v>80000</v>
      </c>
      <c r="M76" s="16">
        <f>'1월'!M79</f>
        <v>8000</v>
      </c>
      <c r="N76" s="15">
        <f>'1월'!N79</f>
        <v>88000</v>
      </c>
      <c r="O76" s="5" t="str">
        <f>'1월'!O79</f>
        <v>완료(3/31)</v>
      </c>
      <c r="P76" s="9" t="str">
        <f>'1월'!P79</f>
        <v>천범석</v>
      </c>
      <c r="Q76" s="5" t="str">
        <f>'1월'!Q79</f>
        <v>MA</v>
      </c>
      <c r="R76" s="209"/>
    </row>
    <row r="77" spans="1:21" ht="16.5" customHeight="1">
      <c r="A77" t="s">
        <v>64</v>
      </c>
      <c r="B77" s="10" t="str">
        <f>'1월'!B80</f>
        <v>Y250117-01</v>
      </c>
      <c r="C77" s="12"/>
      <c r="D77" s="13">
        <f>'1월'!D80</f>
        <v>45674</v>
      </c>
      <c r="E77" s="155" t="str">
        <f>'1월'!E80</f>
        <v>컴퓨존</v>
      </c>
      <c r="F77" s="155" t="str">
        <f>'1월'!F80</f>
        <v>에스엠티정보기술</v>
      </c>
      <c r="G77" s="156" t="str">
        <f>'1월'!G80</f>
        <v>상품</v>
      </c>
      <c r="H77" s="156" t="str">
        <f>'1월'!H80</f>
        <v>OS</v>
      </c>
      <c r="I77" s="69" t="str">
        <f>'1월'!I80</f>
        <v xml:space="preserve">Windows Server 2022 Standard (DSP/16core/64bit/CAL미포함16 core) </v>
      </c>
      <c r="J77" s="122">
        <f>'1월'!J80</f>
        <v>1</v>
      </c>
      <c r="K77" s="15">
        <f>'1월'!K80</f>
        <v>1096609</v>
      </c>
      <c r="L77" s="16">
        <f>'1월'!L80</f>
        <v>1096609</v>
      </c>
      <c r="M77" s="16">
        <f>'1월'!M80</f>
        <v>109661</v>
      </c>
      <c r="N77" s="15">
        <f>'1월'!N80</f>
        <v>1206270</v>
      </c>
      <c r="O77" s="5" t="str">
        <f>'1월'!O80</f>
        <v>완료(1/17)</v>
      </c>
      <c r="P77" s="9" t="str">
        <f>'1월'!P80</f>
        <v>홍승민</v>
      </c>
      <c r="Q77" s="5">
        <f>'1월'!Q80</f>
        <v>45715</v>
      </c>
      <c r="R77" s="213"/>
    </row>
    <row r="78" spans="1:21" ht="16.5" customHeight="1">
      <c r="A78" t="s">
        <v>64</v>
      </c>
      <c r="B78" s="143" t="str">
        <f>'1월'!B81</f>
        <v>SM-23023</v>
      </c>
      <c r="C78" s="144"/>
      <c r="D78" s="13">
        <f>'1월'!D81</f>
        <v>45677</v>
      </c>
      <c r="E78" s="155" t="str">
        <f>'1월'!E81</f>
        <v>이올테크</v>
      </c>
      <c r="F78" s="155" t="str">
        <f>'1월'!F81</f>
        <v>중앙유통단지관리운영회</v>
      </c>
      <c r="G78" s="157" t="str">
        <f>'1월'!G81</f>
        <v>MA</v>
      </c>
      <c r="H78" s="157" t="str">
        <f>'1월'!H81</f>
        <v>월간</v>
      </c>
      <c r="I78" s="159" t="str">
        <f>'1월'!I81</f>
        <v>1월 유지정비료 - 16/36회</v>
      </c>
      <c r="J78" s="127">
        <f>'1월'!J81</f>
        <v>1</v>
      </c>
      <c r="K78" s="15">
        <f>'1월'!K81</f>
        <v>370000</v>
      </c>
      <c r="L78" s="15">
        <f>'1월'!L81</f>
        <v>370000</v>
      </c>
      <c r="M78" s="123">
        <f>'1월'!M81</f>
        <v>37000</v>
      </c>
      <c r="N78" s="15">
        <f>'1월'!N81</f>
        <v>407000</v>
      </c>
      <c r="O78" s="5" t="str">
        <f>'1월'!O81</f>
        <v>완료(1/24)</v>
      </c>
      <c r="P78" s="177" t="str">
        <f>'1월'!P81</f>
        <v>천범석</v>
      </c>
      <c r="Q78" s="5">
        <f>'1월'!Q81</f>
        <v>45677</v>
      </c>
      <c r="R78" s="211"/>
      <c r="S78" s="7"/>
      <c r="T78" s="11"/>
    </row>
    <row r="79" spans="1:21" ht="16.5" customHeight="1">
      <c r="B79" s="10" t="str">
        <f>'1월'!B82</f>
        <v>Y250116-01</v>
      </c>
      <c r="C79" s="12"/>
      <c r="D79" s="13">
        <f>'1월'!D82</f>
        <v>45677</v>
      </c>
      <c r="E79" s="155" t="str">
        <f>'1월'!E82</f>
        <v>위퍼스트</v>
      </c>
      <c r="F79" s="155" t="str">
        <f>'1월'!F82</f>
        <v>제트컨버터</v>
      </c>
      <c r="G79" s="156" t="str">
        <f>'1월'!G82</f>
        <v>상품</v>
      </c>
      <c r="H79" s="156" t="str">
        <f>'1월'!H82</f>
        <v>서버</v>
      </c>
      <c r="I79" s="69" t="str">
        <f>'1월'!I82</f>
        <v>HPE DL360Gen10</v>
      </c>
      <c r="J79" s="122">
        <f>'1월'!J82</f>
        <v>1</v>
      </c>
      <c r="K79" s="15">
        <f>'1월'!K82</f>
        <v>4400000</v>
      </c>
      <c r="L79" s="16">
        <f>'1월'!L82</f>
        <v>4400000</v>
      </c>
      <c r="M79" s="16">
        <f>'1월'!M82</f>
        <v>440000</v>
      </c>
      <c r="N79" s="15">
        <f>'1월'!N82</f>
        <v>4840000</v>
      </c>
      <c r="O79" s="5" t="str">
        <f>'1월'!O82</f>
        <v>완료(2/28)</v>
      </c>
      <c r="P79" s="9" t="str">
        <f>'1월'!P82</f>
        <v>홍승민</v>
      </c>
      <c r="Q79" s="5">
        <f>'1월'!Q82</f>
        <v>45715</v>
      </c>
      <c r="R79" s="209"/>
    </row>
    <row r="80" spans="1:21" ht="16.5" customHeight="1">
      <c r="A80" t="s">
        <v>64</v>
      </c>
      <c r="B80" s="10" t="str">
        <f>'1월'!B83</f>
        <v>D250121-01</v>
      </c>
      <c r="C80" s="12"/>
      <c r="D80" s="13">
        <f>'1월'!D83</f>
        <v>45677</v>
      </c>
      <c r="E80" s="155" t="str">
        <f>'1월'!E83</f>
        <v>이비웨이브</v>
      </c>
      <c r="F80" s="155" t="str">
        <f>'1월'!F83</f>
        <v>고영테크놀러지</v>
      </c>
      <c r="G80" s="156" t="str">
        <f>'1월'!G83</f>
        <v>상품</v>
      </c>
      <c r="H80" s="156" t="str">
        <f>'1월'!H83</f>
        <v>M393B2G70QH0-CK0</v>
      </c>
      <c r="I80" s="69" t="str">
        <f>'1월'!I83</f>
        <v>16GB PC3-12800R(2Rx4) Memory Dimm</v>
      </c>
      <c r="J80" s="122">
        <f>'1월'!J83</f>
        <v>6</v>
      </c>
      <c r="K80" s="15">
        <f>'1월'!K83</f>
        <v>40000</v>
      </c>
      <c r="L80" s="16">
        <f>'1월'!L83</f>
        <v>240000</v>
      </c>
      <c r="M80" s="16">
        <f>'1월'!M83</f>
        <v>24000</v>
      </c>
      <c r="N80" s="15">
        <f>'1월'!N83</f>
        <v>264000</v>
      </c>
      <c r="O80" s="5" t="str">
        <f>'1월'!O83</f>
        <v>완료(3/31)</v>
      </c>
      <c r="P80" s="9" t="str">
        <f>'1월'!P83</f>
        <v>이지훈</v>
      </c>
      <c r="Q80" s="5">
        <f>'1월'!Q83</f>
        <v>45701</v>
      </c>
      <c r="R80" s="213"/>
    </row>
    <row r="81" spans="1:21" ht="79.5" customHeight="1">
      <c r="A81" t="s">
        <v>64</v>
      </c>
      <c r="B81" s="146" t="str">
        <f>'1월'!B84</f>
        <v>X</v>
      </c>
      <c r="C81" s="12"/>
      <c r="D81" s="13">
        <f>'1월'!D84</f>
        <v>45678</v>
      </c>
      <c r="E81" s="155" t="str">
        <f>'1월'!E84</f>
        <v>아이엠캐피탈</v>
      </c>
      <c r="F81" s="155"/>
      <c r="G81" s="156" t="str">
        <f>'1월'!G84</f>
        <v>일반경비</v>
      </c>
      <c r="H81" s="156" t="str">
        <f>'1월'!H84</f>
        <v>차량유지비</v>
      </c>
      <c r="I81" s="162" t="str">
        <f>'1월'!I84</f>
        <v>법인차량(262무2108) 리스료898,500
선납렌탈료 551,270 -32/37회차</v>
      </c>
      <c r="J81" s="122">
        <f>'1월'!J84</f>
        <v>1</v>
      </c>
      <c r="K81" s="15">
        <f>'1월'!K84</f>
        <v>1449770</v>
      </c>
      <c r="L81" s="16">
        <f>'1월'!L84</f>
        <v>1695350</v>
      </c>
      <c r="M81" s="16" t="str">
        <f>'1월'!M84</f>
        <v>X</v>
      </c>
      <c r="N81" s="15">
        <f>'1월'!N84</f>
        <v>1695350</v>
      </c>
      <c r="O81" s="197" t="str">
        <f>'1월'!O84</f>
        <v>자동이체1,144,080
(1/21)
선납551,270
(22/4/21)</v>
      </c>
      <c r="P81" s="9" t="str">
        <f>'1월'!P84</f>
        <v>정지우</v>
      </c>
      <c r="Q81" s="5" t="str">
        <f>'1월'!Q84</f>
        <v>X</v>
      </c>
      <c r="R81" s="209" t="str">
        <f>'1월'!R84</f>
        <v>비과세</v>
      </c>
    </row>
    <row r="82" spans="1:21" ht="16.5" customHeight="1">
      <c r="A82" t="s">
        <v>64</v>
      </c>
      <c r="B82" s="147" t="str">
        <f>'1월'!B85</f>
        <v>X</v>
      </c>
      <c r="C82" s="145"/>
      <c r="D82" s="65"/>
      <c r="E82" s="160" t="str">
        <f>'1월'!E85</f>
        <v>아이엠캐피탈</v>
      </c>
      <c r="F82" s="160"/>
      <c r="G82" s="156" t="str">
        <f>'1월'!G85</f>
        <v>일반경비</v>
      </c>
      <c r="H82" s="156" t="str">
        <f>'1월'!H85</f>
        <v>차량유지비</v>
      </c>
      <c r="I82" s="159" t="str">
        <f>'1월'!I85</f>
        <v>법인차량(262무2108) 자동차세</v>
      </c>
      <c r="J82" s="122">
        <f>'1월'!J85</f>
        <v>1</v>
      </c>
      <c r="K82" s="15">
        <f>'1월'!K85</f>
        <v>245580</v>
      </c>
      <c r="L82" s="125"/>
      <c r="M82" s="125"/>
      <c r="N82" s="126"/>
      <c r="O82" s="176"/>
      <c r="P82" s="176"/>
      <c r="Q82" s="99"/>
      <c r="R82" s="209"/>
    </row>
    <row r="83" spans="1:21" ht="16.5" customHeight="1">
      <c r="A83" t="s">
        <v>64</v>
      </c>
      <c r="B83" s="10" t="str">
        <f>'1월'!B87</f>
        <v>D250121-02</v>
      </c>
      <c r="C83" s="12"/>
      <c r="D83" s="13">
        <f>'1월'!D87</f>
        <v>45679</v>
      </c>
      <c r="E83" s="155" t="str">
        <f>'1월'!E87</f>
        <v>컴퓨존</v>
      </c>
      <c r="F83" s="155" t="str">
        <f>'1월'!F87</f>
        <v>고영테크놀러지</v>
      </c>
      <c r="G83" s="156" t="str">
        <f>'1월'!G87</f>
        <v>상품</v>
      </c>
      <c r="H83" s="156" t="str">
        <f>'1월'!H87</f>
        <v>조립PC</v>
      </c>
      <c r="I83" s="69" t="str">
        <f>'1월'!I87</f>
        <v>조립PC</v>
      </c>
      <c r="J83" s="122">
        <f>'1월'!J87</f>
        <v>1</v>
      </c>
      <c r="K83" s="15">
        <f>'1월'!K87</f>
        <v>6212655</v>
      </c>
      <c r="L83" s="16">
        <f>'1월'!L87</f>
        <v>6212655</v>
      </c>
      <c r="M83" s="16">
        <f>'1월'!M87</f>
        <v>621265</v>
      </c>
      <c r="N83" s="15">
        <f>'1월'!N87</f>
        <v>6833920</v>
      </c>
      <c r="O83" s="5" t="str">
        <f>'1월'!O87</f>
        <v>완료(1/22)</v>
      </c>
      <c r="P83" s="9" t="str">
        <f>'1월'!P87</f>
        <v>이지훈</v>
      </c>
      <c r="Q83" s="5">
        <f>'1월'!Q87</f>
        <v>45701</v>
      </c>
      <c r="R83" s="213"/>
    </row>
    <row r="84" spans="1:21" ht="16.5" customHeight="1">
      <c r="A84" t="s">
        <v>64</v>
      </c>
      <c r="B84" s="10" t="str">
        <f>'1월'!B88</f>
        <v>D250121-01</v>
      </c>
      <c r="C84" s="12"/>
      <c r="D84" s="13">
        <f>'1월'!D88</f>
        <v>45679</v>
      </c>
      <c r="E84" s="155" t="str">
        <f>'1월'!E88</f>
        <v>위퍼스트</v>
      </c>
      <c r="F84" s="155" t="str">
        <f>'1월'!F88</f>
        <v>고영테크놀러지</v>
      </c>
      <c r="G84" s="156" t="str">
        <f>'1월'!G88</f>
        <v>상품</v>
      </c>
      <c r="H84" s="156" t="str">
        <f>'1월'!H88</f>
        <v>CPU</v>
      </c>
      <c r="I84" s="69" t="str">
        <f>'1월'!I88</f>
        <v>E5-2470V2 10C 2.4GHz</v>
      </c>
      <c r="J84" s="122">
        <f>'1월'!J88</f>
        <v>1</v>
      </c>
      <c r="K84" s="15">
        <f>'1월'!K88</f>
        <v>90000</v>
      </c>
      <c r="L84" s="16">
        <f>'1월'!L88</f>
        <v>90000</v>
      </c>
      <c r="M84" s="16">
        <f>'1월'!M88</f>
        <v>9000</v>
      </c>
      <c r="N84" s="15">
        <f>'1월'!N88</f>
        <v>99000</v>
      </c>
      <c r="O84" s="5" t="str">
        <f>'1월'!O88</f>
        <v>완료(2/28)</v>
      </c>
      <c r="P84" s="9" t="str">
        <f>'1월'!P88</f>
        <v>이지훈</v>
      </c>
      <c r="Q84" s="5">
        <f>'1월'!Q88</f>
        <v>45701</v>
      </c>
      <c r="R84" s="213"/>
    </row>
    <row r="85" spans="1:21" ht="16.5" customHeight="1">
      <c r="A85" t="s">
        <v>64</v>
      </c>
      <c r="B85" s="141" t="str">
        <f>'1월'!B89</f>
        <v>SM-23031</v>
      </c>
      <c r="C85" s="144"/>
      <c r="D85" s="13">
        <f>'1월'!D89</f>
        <v>45679</v>
      </c>
      <c r="E85" s="155" t="str">
        <f>'1월'!E89</f>
        <v>신세계아이앤씨</v>
      </c>
      <c r="F85" s="164" t="str">
        <f>'1월'!F89</f>
        <v>온피아</v>
      </c>
      <c r="G85" s="158" t="str">
        <f>'1월'!G89</f>
        <v>MA</v>
      </c>
      <c r="H85" s="165" t="str">
        <f>'1월'!H89</f>
        <v>월간</v>
      </c>
      <c r="I85" s="166" t="str">
        <f>'1월'!I89</f>
        <v>삼표 DB접근제어 유지보수 1월 - 6/12회</v>
      </c>
      <c r="J85" s="127">
        <f>'1월'!J89</f>
        <v>1</v>
      </c>
      <c r="K85" s="15">
        <f>'1월'!K89</f>
        <v>600000</v>
      </c>
      <c r="L85" s="16">
        <f>'1월'!L89</f>
        <v>600000</v>
      </c>
      <c r="M85" s="16">
        <f>'1월'!M89</f>
        <v>60000</v>
      </c>
      <c r="N85" s="15">
        <f>'1월'!N89</f>
        <v>660000</v>
      </c>
      <c r="O85" s="5" t="str">
        <f>'1월'!O89</f>
        <v>완료(2/28)</v>
      </c>
      <c r="P85" s="9" t="str">
        <f>'1월'!P89</f>
        <v>이예지</v>
      </c>
      <c r="Q85" s="5">
        <f>'1월'!Q89</f>
        <v>45681</v>
      </c>
      <c r="R85" s="209"/>
      <c r="T85" s="11"/>
    </row>
    <row r="86" spans="1:21" ht="16.5" customHeight="1">
      <c r="A86" t="s">
        <v>64</v>
      </c>
      <c r="B86" s="10" t="str">
        <f>'1월'!B90</f>
        <v>SM-24025</v>
      </c>
      <c r="C86" s="12"/>
      <c r="D86" s="13">
        <f>'1월'!D90</f>
        <v>45680</v>
      </c>
      <c r="E86" s="155" t="str">
        <f>'1월'!E90</f>
        <v>제이에스정보시스템</v>
      </c>
      <c r="F86" s="155" t="str">
        <f>'1월'!F90</f>
        <v>소프트아이텍(건국대병원)</v>
      </c>
      <c r="G86" s="156" t="str">
        <f>'1월'!G90</f>
        <v>MA</v>
      </c>
      <c r="H86" s="156" t="str">
        <f>'1월'!H90</f>
        <v>월간</v>
      </c>
      <c r="I86" s="69" t="str">
        <f>'1월'!I90</f>
        <v>2024년 NCSC 사이버센터 고도화 사업 1월 유지정비료-3/5회</v>
      </c>
      <c r="J86" s="122">
        <f>'1월'!J90</f>
        <v>1</v>
      </c>
      <c r="K86" s="15">
        <f>'1월'!K90</f>
        <v>500000</v>
      </c>
      <c r="L86" s="16">
        <f>'1월'!L90</f>
        <v>500000</v>
      </c>
      <c r="M86" s="16">
        <f>'1월'!M90</f>
        <v>50000</v>
      </c>
      <c r="N86" s="15">
        <f>'1월'!N90</f>
        <v>550000</v>
      </c>
      <c r="O86" s="5" t="str">
        <f>'1월'!O90</f>
        <v>완료(3/31)</v>
      </c>
      <c r="P86" s="9" t="str">
        <f>'1월'!P90</f>
        <v>천범석</v>
      </c>
      <c r="Q86" s="5">
        <f>'1월'!Q90</f>
        <v>45636</v>
      </c>
      <c r="R86" s="209" t="str">
        <f>'1월'!R90</f>
        <v>매출연간</v>
      </c>
    </row>
    <row r="87" spans="1:21" ht="16.5" customHeight="1">
      <c r="B87" s="10" t="str">
        <f>'1월'!B91</f>
        <v>H250123-01</v>
      </c>
      <c r="C87" s="12"/>
      <c r="D87" s="13">
        <f>'1월'!D91</f>
        <v>45680</v>
      </c>
      <c r="E87" s="155" t="str">
        <f>'1월'!E91</f>
        <v>이비웨이브</v>
      </c>
      <c r="F87" s="155" t="str">
        <f>'1월'!F91</f>
        <v>티에스씨인포</v>
      </c>
      <c r="G87" s="156" t="str">
        <f>'1월'!G91</f>
        <v>상품</v>
      </c>
      <c r="H87" s="156" t="str">
        <f>'1월'!H91</f>
        <v>85Y6185</v>
      </c>
      <c r="I87" s="69" t="str">
        <f>'1월'!I91</f>
        <v>300GB 15K 6G SAS 2.5inch Hard Drive</v>
      </c>
      <c r="J87" s="122">
        <f>'1월'!J91</f>
        <v>3</v>
      </c>
      <c r="K87" s="15">
        <f>'1월'!K91</f>
        <v>80000</v>
      </c>
      <c r="L87" s="16">
        <f>'1월'!L91</f>
        <v>240000</v>
      </c>
      <c r="M87" s="16">
        <f>'1월'!M91</f>
        <v>24000</v>
      </c>
      <c r="N87" s="15">
        <f>'1월'!N91</f>
        <v>264000</v>
      </c>
      <c r="O87" s="5" t="str">
        <f>'1월'!O91</f>
        <v>완료(3/31)</v>
      </c>
      <c r="P87" s="9" t="str">
        <f>'1월'!P91</f>
        <v>천범석</v>
      </c>
      <c r="Q87" s="5">
        <f>'1월'!Q91</f>
        <v>45715</v>
      </c>
      <c r="R87" s="213"/>
    </row>
    <row r="88" spans="1:21" ht="16.5" customHeight="1">
      <c r="A88" t="s">
        <v>64</v>
      </c>
      <c r="B88" s="10" t="str">
        <f>'1월'!B86</f>
        <v>H250118-01</v>
      </c>
      <c r="C88" s="12"/>
      <c r="D88" s="13">
        <f>'1월'!D86</f>
        <v>45678</v>
      </c>
      <c r="E88" s="155" t="str">
        <f>'1월'!E86</f>
        <v>에스엔에이</v>
      </c>
      <c r="F88" s="155" t="str">
        <f>'1월'!F86</f>
        <v>넷매니아</v>
      </c>
      <c r="G88" s="156" t="str">
        <f>'1월'!G86</f>
        <v>상품</v>
      </c>
      <c r="H88" s="156" t="str">
        <f>'1월'!H86</f>
        <v>POWER</v>
      </c>
      <c r="I88" s="69" t="str">
        <f>'1월'!I86</f>
        <v>POWER SUPPLY for DELL ME4024</v>
      </c>
      <c r="J88" s="122">
        <f>'1월'!J86</f>
        <v>1</v>
      </c>
      <c r="K88" s="15">
        <f>'1월'!K86</f>
        <v>800000</v>
      </c>
      <c r="L88" s="16">
        <f>'1월'!L86</f>
        <v>800000</v>
      </c>
      <c r="M88" s="16">
        <f>'1월'!M86</f>
        <v>80000</v>
      </c>
      <c r="N88" s="15">
        <f>'1월'!N86</f>
        <v>880000</v>
      </c>
      <c r="O88" s="5" t="str">
        <f>'1월'!O86</f>
        <v>완료(3/31)</v>
      </c>
      <c r="P88" s="9" t="str">
        <f>'1월'!P86</f>
        <v>천범석</v>
      </c>
      <c r="Q88" s="5">
        <f>'1월'!Q86</f>
        <v>45675</v>
      </c>
      <c r="R88" s="213"/>
    </row>
    <row r="89" spans="1:21" ht="16.5" customHeight="1">
      <c r="A89" t="s">
        <v>64</v>
      </c>
      <c r="B89" s="10" t="str">
        <f>'1월'!B92</f>
        <v>IK-24001</v>
      </c>
      <c r="C89" s="12"/>
      <c r="D89" s="13">
        <f>'1월'!D92</f>
        <v>45681</v>
      </c>
      <c r="E89" s="155" t="str">
        <f>'1월'!E92</f>
        <v>알앤큐시스템</v>
      </c>
      <c r="F89" s="155" t="str">
        <f>'1월'!F92</f>
        <v>로스만스/브리티쉬</v>
      </c>
      <c r="G89" s="156" t="str">
        <f>'1월'!G92</f>
        <v>MA</v>
      </c>
      <c r="H89" s="156" t="str">
        <f>'1월'!H92</f>
        <v>월간</v>
      </c>
      <c r="I89" s="69" t="str">
        <f>'1월'!I92</f>
        <v>BAT 통합 유지보수 1월분 - 1/12회</v>
      </c>
      <c r="J89" s="122">
        <f>'1월'!J92</f>
        <v>1</v>
      </c>
      <c r="K89" s="15">
        <f>'1월'!K92</f>
        <v>4950000</v>
      </c>
      <c r="L89" s="16">
        <f>'1월'!L92</f>
        <v>4950000</v>
      </c>
      <c r="M89" s="15">
        <f>'1월'!M92</f>
        <v>495000</v>
      </c>
      <c r="N89" s="15">
        <f>'1월'!N92</f>
        <v>5445000</v>
      </c>
      <c r="O89" s="5" t="str">
        <f>'1월'!O92</f>
        <v>완료(4/23)</v>
      </c>
      <c r="P89" s="174" t="str">
        <f>'1월'!P92</f>
        <v>천범석</v>
      </c>
      <c r="Q89" s="5">
        <f>'1월'!Q92</f>
        <v>45681</v>
      </c>
      <c r="R89" s="209"/>
    </row>
    <row r="90" spans="1:21" ht="16.5" customHeight="1">
      <c r="A90" t="s">
        <v>64</v>
      </c>
      <c r="B90" s="10" t="str">
        <f>'1월'!B93</f>
        <v>X</v>
      </c>
      <c r="C90" s="12"/>
      <c r="D90" s="13">
        <f>'1월'!D93</f>
        <v>45681</v>
      </c>
      <c r="E90" s="155" t="str">
        <f>'1월'!E93</f>
        <v>청소의신</v>
      </c>
      <c r="F90" s="155"/>
      <c r="G90" s="156" t="str">
        <f>'1월'!G93</f>
        <v>일반경비</v>
      </c>
      <c r="H90" s="156" t="str">
        <f>'1월'!H93</f>
        <v>지급수수료</v>
      </c>
      <c r="I90" s="69" t="str">
        <f>'1월'!I93</f>
        <v>1월 청소비</v>
      </c>
      <c r="J90" s="122">
        <f>'1월'!J93</f>
        <v>1</v>
      </c>
      <c r="K90" s="16">
        <f>'1월'!K93</f>
        <v>160000</v>
      </c>
      <c r="L90" s="16">
        <f>'1월'!L93</f>
        <v>160000</v>
      </c>
      <c r="M90" s="123">
        <f>'1월'!M93</f>
        <v>16000</v>
      </c>
      <c r="N90" s="15">
        <f>'1월'!N93</f>
        <v>176000</v>
      </c>
      <c r="O90" s="5" t="str">
        <f>'1월'!O93</f>
        <v>완료(1/24)</v>
      </c>
      <c r="P90" s="9" t="str">
        <f>'1월'!P93</f>
        <v>정지우</v>
      </c>
      <c r="Q90" s="5" t="str">
        <f>'1월'!Q93</f>
        <v>X</v>
      </c>
      <c r="R90" s="209"/>
    </row>
    <row r="91" spans="1:21" ht="16.5" customHeight="1">
      <c r="A91" t="s">
        <v>64</v>
      </c>
      <c r="B91" s="141" t="str">
        <f>'1월'!B94</f>
        <v>X</v>
      </c>
      <c r="C91" s="142"/>
      <c r="D91" s="13">
        <f>'1월'!D94</f>
        <v>45681</v>
      </c>
      <c r="E91" s="155" t="str">
        <f>'1월'!E94</f>
        <v>비와이씨하이시티입주사대표회</v>
      </c>
      <c r="F91" s="155"/>
      <c r="G91" s="156" t="str">
        <f>'1월'!G94</f>
        <v>일반경비</v>
      </c>
      <c r="H91" s="156" t="str">
        <f>'1월'!H94</f>
        <v>여비교통비</v>
      </c>
      <c r="I91" s="69" t="str">
        <f>'1월'!I94</f>
        <v>대표님,천범석,엔지니어팀 2월 주차비</v>
      </c>
      <c r="J91" s="124">
        <f>'1월'!J94</f>
        <v>1</v>
      </c>
      <c r="K91" s="16">
        <f>'1월'!K94</f>
        <v>272727</v>
      </c>
      <c r="L91" s="16">
        <f>'1월'!L94</f>
        <v>272727</v>
      </c>
      <c r="M91" s="189">
        <f>'1월'!M94</f>
        <v>27273</v>
      </c>
      <c r="N91" s="15">
        <f>'1월'!N94</f>
        <v>300000</v>
      </c>
      <c r="O91" s="5" t="str">
        <f>'1월'!O94</f>
        <v>완료(1/24)</v>
      </c>
      <c r="P91" s="177" t="str">
        <f>'1월'!P94</f>
        <v>정지우</v>
      </c>
      <c r="Q91" s="68" t="str">
        <f>'1월'!Q94</f>
        <v>X</v>
      </c>
      <c r="R91" s="209" t="str">
        <f>'1월'!R94</f>
        <v>부가세불공</v>
      </c>
      <c r="S91" s="7"/>
      <c r="T91" s="11"/>
    </row>
    <row r="92" spans="1:21" ht="16.5" customHeight="1">
      <c r="A92" t="s">
        <v>64</v>
      </c>
      <c r="B92" s="10" t="str">
        <f>'1월'!B95</f>
        <v>SB-25014</v>
      </c>
      <c r="C92" s="12"/>
      <c r="D92" s="13">
        <f>'1월'!D95</f>
        <v>45681</v>
      </c>
      <c r="E92" s="155" t="str">
        <f>'1월'!E95</f>
        <v>다솜테크</v>
      </c>
      <c r="F92" s="155" t="str">
        <f>'1월'!F95</f>
        <v>와이젠정보기술</v>
      </c>
      <c r="G92" s="157" t="str">
        <f>'1월'!G95</f>
        <v>MA</v>
      </c>
      <c r="H92" s="156" t="str">
        <f>'1월'!H95</f>
        <v>월간</v>
      </c>
      <c r="I92" s="69" t="str">
        <f>'1월'!I95</f>
        <v>안국약품 1월 기술지원료 - 1회</v>
      </c>
      <c r="J92" s="122">
        <f>'1월'!J95</f>
        <v>1</v>
      </c>
      <c r="K92" s="15">
        <f>'1월'!K95</f>
        <v>250000</v>
      </c>
      <c r="L92" s="16">
        <f>'1월'!L95</f>
        <v>250000</v>
      </c>
      <c r="M92" s="16">
        <f>'1월'!M95</f>
        <v>25000</v>
      </c>
      <c r="N92" s="15">
        <f>'1월'!N95</f>
        <v>275000</v>
      </c>
      <c r="O92" s="5" t="str">
        <f>'1월'!O95</f>
        <v>완료(3/31)</v>
      </c>
      <c r="P92" s="9" t="str">
        <f>'1월'!P95</f>
        <v>천범석</v>
      </c>
      <c r="Q92" s="5">
        <f>'1월'!Q95</f>
        <v>45716</v>
      </c>
      <c r="R92" s="209"/>
      <c r="U92" s="11"/>
    </row>
    <row r="93" spans="1:21" ht="16.5" customHeight="1">
      <c r="A93" t="s">
        <v>64</v>
      </c>
      <c r="B93" s="141" t="str">
        <f>'1월'!B96</f>
        <v>X</v>
      </c>
      <c r="C93" s="12"/>
      <c r="D93" s="13">
        <f>'1월'!D96</f>
        <v>45681</v>
      </c>
      <c r="E93" s="155" t="str">
        <f>'1월'!E96</f>
        <v>삼표산업</v>
      </c>
      <c r="F93" s="155"/>
      <c r="G93" s="156" t="str">
        <f>'1월'!G96</f>
        <v>상품</v>
      </c>
      <c r="H93" s="156"/>
      <c r="I93" s="69" t="str">
        <f>'1월'!I96</f>
        <v>매각장비건</v>
      </c>
      <c r="J93" s="122">
        <f>'1월'!J96</f>
        <v>1</v>
      </c>
      <c r="K93" s="15">
        <f>'1월'!K96</f>
        <v>3790000</v>
      </c>
      <c r="L93" s="16">
        <f>'1월'!L96</f>
        <v>3790000</v>
      </c>
      <c r="M93" s="16">
        <f>'1월'!M96</f>
        <v>379000</v>
      </c>
      <c r="N93" s="15">
        <f>'1월'!N96</f>
        <v>4169000</v>
      </c>
      <c r="O93" s="5" t="str">
        <f>'1월'!O96</f>
        <v>완료(2/28)</v>
      </c>
      <c r="P93" s="9" t="str">
        <f>'1월'!P96</f>
        <v>이예지</v>
      </c>
      <c r="Q93" s="5" t="str">
        <f>'1월'!Q96</f>
        <v>X</v>
      </c>
      <c r="R93" s="213"/>
    </row>
    <row r="94" spans="1:21" ht="16.5" customHeight="1">
      <c r="A94" t="s">
        <v>64</v>
      </c>
      <c r="B94" s="10" t="str">
        <f>'1월'!B97</f>
        <v>SM-24007</v>
      </c>
      <c r="C94" s="12"/>
      <c r="D94" s="13">
        <f>'1월'!D97</f>
        <v>45681</v>
      </c>
      <c r="E94" s="155" t="str">
        <f>'1월'!E97</f>
        <v>다원씨앤에스</v>
      </c>
      <c r="F94" s="155" t="str">
        <f>'1월'!F97</f>
        <v>연세의료원</v>
      </c>
      <c r="G94" s="157" t="str">
        <f>'1월'!G97</f>
        <v>MA</v>
      </c>
      <c r="H94" s="156" t="str">
        <f>'1월'!H97</f>
        <v>월간</v>
      </c>
      <c r="I94" s="69" t="str">
        <f>'1월'!I97</f>
        <v>1월분 SIOS Lifekeeper 유지보수료 - 12/12회</v>
      </c>
      <c r="J94" s="122">
        <f>'1월'!J97</f>
        <v>1</v>
      </c>
      <c r="K94" s="15">
        <f>'1월'!K97</f>
        <v>200000</v>
      </c>
      <c r="L94" s="16">
        <f>'1월'!L97</f>
        <v>200000</v>
      </c>
      <c r="M94" s="16">
        <f>'1월'!M97</f>
        <v>20000</v>
      </c>
      <c r="N94" s="15">
        <f>'1월'!N97</f>
        <v>220000</v>
      </c>
      <c r="O94" s="5" t="str">
        <f>'1월'!O97</f>
        <v>완료(2/28)</v>
      </c>
      <c r="P94" s="9" t="str">
        <f>'1월'!P97</f>
        <v>이예지</v>
      </c>
      <c r="Q94" s="5">
        <f>'1월'!Q97</f>
        <v>45677</v>
      </c>
      <c r="R94" s="209"/>
      <c r="T94" s="11"/>
    </row>
    <row r="95" spans="1:21" ht="16.5" customHeight="1">
      <c r="A95" t="s">
        <v>64</v>
      </c>
      <c r="B95" s="10" t="str">
        <f>'1월'!B98</f>
        <v>X</v>
      </c>
      <c r="C95" s="12"/>
      <c r="D95" s="13">
        <f>'1월'!D98</f>
        <v>45682</v>
      </c>
      <c r="E95" s="155" t="str">
        <f>'1월'!E98</f>
        <v>케이카</v>
      </c>
      <c r="F95" s="155"/>
      <c r="G95" s="156" t="str">
        <f>'1월'!G98</f>
        <v>일반경비</v>
      </c>
      <c r="H95" s="157" t="str">
        <f>'1월'!H98</f>
        <v>차량유지비</v>
      </c>
      <c r="I95" s="69" t="str">
        <f>'1월'!I98</f>
        <v>1월 차량렌트(xm3 4429)-25/37회</v>
      </c>
      <c r="J95" s="122">
        <f>'1월'!J98</f>
        <v>1</v>
      </c>
      <c r="K95" s="15">
        <f>'1월'!K98</f>
        <v>337272.72727272724</v>
      </c>
      <c r="L95" s="16">
        <f>'1월'!L98</f>
        <v>437273</v>
      </c>
      <c r="M95" s="187">
        <f>'1월'!M98</f>
        <v>43727</v>
      </c>
      <c r="N95" s="15">
        <f>'1월'!N98</f>
        <v>481000</v>
      </c>
      <c r="O95" s="5" t="str">
        <f>'1월'!O98</f>
        <v>자동이체(1/26)</v>
      </c>
      <c r="P95" s="177" t="str">
        <f>'1월'!P98</f>
        <v>정지우</v>
      </c>
      <c r="Q95" s="5" t="str">
        <f>'1월'!Q98</f>
        <v>X</v>
      </c>
      <c r="R95" s="209" t="str">
        <f>'1월'!R98</f>
        <v>부가세불공</v>
      </c>
    </row>
    <row r="96" spans="1:21" ht="16.5" customHeight="1">
      <c r="A96" t="s">
        <v>64</v>
      </c>
      <c r="B96" s="10" t="str">
        <f>'1월'!B99</f>
        <v>X</v>
      </c>
      <c r="C96" s="145"/>
      <c r="D96" s="65"/>
      <c r="E96" s="160" t="str">
        <f>'1월'!E99</f>
        <v>케이카</v>
      </c>
      <c r="F96" s="160"/>
      <c r="G96" s="156" t="str">
        <f>'1월'!G99</f>
        <v>일반경비</v>
      </c>
      <c r="H96" s="157" t="str">
        <f>'1월'!H99</f>
        <v>차량유지비</v>
      </c>
      <c r="I96" s="69" t="str">
        <f>'1월'!I99</f>
        <v>1월 선급금(xm3 4429)-25/37회</v>
      </c>
      <c r="J96" s="122">
        <f>'1월'!J99</f>
        <v>1</v>
      </c>
      <c r="K96" s="15">
        <f>'1월'!K99</f>
        <v>100000</v>
      </c>
      <c r="L96" s="125"/>
      <c r="M96" s="125"/>
      <c r="N96" s="126"/>
      <c r="O96" s="99" t="str">
        <f>'1월'!O99</f>
        <v>선납(22/12/29)</v>
      </c>
      <c r="P96" s="176" t="str">
        <f>'1월'!P99</f>
        <v>정지우</v>
      </c>
      <c r="Q96" s="99" t="str">
        <f>'1월'!Q99</f>
        <v>X</v>
      </c>
      <c r="R96" s="209"/>
    </row>
    <row r="97" spans="1:20" ht="16.5" customHeight="1">
      <c r="A97" t="s">
        <v>64</v>
      </c>
      <c r="B97" s="10" t="str">
        <f>'1월'!B100</f>
        <v>X</v>
      </c>
      <c r="C97" s="12"/>
      <c r="D97" s="13">
        <f>'1월'!D100</f>
        <v>45682</v>
      </c>
      <c r="E97" s="155" t="str">
        <f>'1월'!E100</f>
        <v>롯데렌탈</v>
      </c>
      <c r="F97" s="155"/>
      <c r="G97" s="156" t="str">
        <f>'1월'!G100</f>
        <v>일반경비</v>
      </c>
      <c r="H97" s="157" t="str">
        <f>'1월'!H100</f>
        <v>차량유지비</v>
      </c>
      <c r="I97" s="69" t="str">
        <f>'1월'!I100</f>
        <v>1월 차량렌트(그랜저 8552)-34/49회</v>
      </c>
      <c r="J97" s="122">
        <f>'1월'!J100</f>
        <v>1</v>
      </c>
      <c r="K97" s="15">
        <f>'1월'!K100</f>
        <v>342614</v>
      </c>
      <c r="L97" s="16">
        <f>'1월'!L100</f>
        <v>342614</v>
      </c>
      <c r="M97" s="187">
        <f>'1월'!M100</f>
        <v>34261</v>
      </c>
      <c r="N97" s="15">
        <f>'1월'!N100</f>
        <v>376875</v>
      </c>
      <c r="O97" s="5" t="str">
        <f>'1월'!O100</f>
        <v>자동이체(1/31)</v>
      </c>
      <c r="P97" s="177" t="str">
        <f>'1월'!P100</f>
        <v>정지우</v>
      </c>
      <c r="Q97" s="5" t="str">
        <f>'1월'!Q100</f>
        <v>X</v>
      </c>
      <c r="R97" s="209" t="str">
        <f>'1월'!R100</f>
        <v>부가세불공</v>
      </c>
      <c r="S97" s="101"/>
      <c r="T97" s="11"/>
    </row>
    <row r="98" spans="1:20" ht="16.5" customHeight="1">
      <c r="A98" t="s">
        <v>64</v>
      </c>
      <c r="B98" s="10" t="str">
        <f>'1월'!B101</f>
        <v>X</v>
      </c>
      <c r="C98" s="12"/>
      <c r="D98" s="13">
        <f>'1월'!D101</f>
        <v>45682</v>
      </c>
      <c r="E98" s="155" t="str">
        <f>'1월'!E101</f>
        <v>롯데렌탈</v>
      </c>
      <c r="F98" s="155"/>
      <c r="G98" s="156" t="str">
        <f>'1월'!G101</f>
        <v>일반경비</v>
      </c>
      <c r="H98" s="157" t="str">
        <f>'1월'!H101</f>
        <v>차량유지비</v>
      </c>
      <c r="I98" s="69" t="str">
        <f>'1월'!I101</f>
        <v>1월 선급금(그랜저 8552)-34/49회</v>
      </c>
      <c r="J98" s="122">
        <f>'1월'!J101</f>
        <v>1</v>
      </c>
      <c r="K98" s="15">
        <f>'1월'!K101</f>
        <v>234659</v>
      </c>
      <c r="L98" s="16">
        <f>'1월'!L101</f>
        <v>234659</v>
      </c>
      <c r="M98" s="187">
        <f>'1월'!M101</f>
        <v>23466</v>
      </c>
      <c r="N98" s="15">
        <f>'1월'!N101</f>
        <v>258125</v>
      </c>
      <c r="O98" s="5" t="str">
        <f>'1월'!O101</f>
        <v>선납(22/4/5)</v>
      </c>
      <c r="P98" s="177" t="str">
        <f>'1월'!P101</f>
        <v>정지우</v>
      </c>
      <c r="Q98" s="5" t="str">
        <f>'1월'!Q101</f>
        <v>X</v>
      </c>
      <c r="R98" s="209" t="str">
        <f>'1월'!R101</f>
        <v>부가세불공</v>
      </c>
      <c r="S98" s="101"/>
      <c r="T98" s="11"/>
    </row>
    <row r="99" spans="1:20" ht="16.5" customHeight="1">
      <c r="A99" t="s">
        <v>64</v>
      </c>
      <c r="B99" s="10" t="str">
        <f>'1월'!B102</f>
        <v>X</v>
      </c>
      <c r="C99" s="12"/>
      <c r="D99" s="13">
        <f>'1월'!D102</f>
        <v>45682</v>
      </c>
      <c r="E99" s="155" t="str">
        <f>'1월'!E102</f>
        <v>롯데렌탈</v>
      </c>
      <c r="F99" s="155"/>
      <c r="G99" s="156" t="str">
        <f>'1월'!G102</f>
        <v>일반경비</v>
      </c>
      <c r="H99" s="157" t="str">
        <f>'1월'!H102</f>
        <v>차량유지비</v>
      </c>
      <c r="I99" s="69" t="str">
        <f>'1월'!I102</f>
        <v>1월 차량렌트(G80 3061)-34/49회</v>
      </c>
      <c r="J99" s="122">
        <f>'1월'!J102</f>
        <v>1</v>
      </c>
      <c r="K99" s="15">
        <f>'1월'!K102</f>
        <v>488069</v>
      </c>
      <c r="L99" s="16">
        <f>'1월'!L102</f>
        <v>488069</v>
      </c>
      <c r="M99" s="187">
        <f>'1월'!M102</f>
        <v>48806</v>
      </c>
      <c r="N99" s="15">
        <f>'1월'!N102</f>
        <v>536875</v>
      </c>
      <c r="O99" s="5" t="str">
        <f>'1월'!O102</f>
        <v>자동이체(1/31)</v>
      </c>
      <c r="P99" s="177" t="str">
        <f>'1월'!P102</f>
        <v>정지우</v>
      </c>
      <c r="Q99" s="5" t="str">
        <f>'1월'!Q102</f>
        <v>X</v>
      </c>
      <c r="R99" s="209" t="str">
        <f>'1월'!R102</f>
        <v>부가세불공</v>
      </c>
      <c r="S99" s="101"/>
      <c r="T99" s="11"/>
    </row>
    <row r="100" spans="1:20" ht="16.5" customHeight="1">
      <c r="A100" t="s">
        <v>64</v>
      </c>
      <c r="B100" s="10" t="str">
        <f>'1월'!B103</f>
        <v>X</v>
      </c>
      <c r="C100" s="12"/>
      <c r="D100" s="13">
        <f>'1월'!D103</f>
        <v>45682</v>
      </c>
      <c r="E100" s="155" t="str">
        <f>'1월'!E103</f>
        <v>롯데렌탈</v>
      </c>
      <c r="F100" s="155"/>
      <c r="G100" s="156" t="str">
        <f>'1월'!G103</f>
        <v>일반경비</v>
      </c>
      <c r="H100" s="157" t="str">
        <f>'1월'!H103</f>
        <v>차량유지비</v>
      </c>
      <c r="I100" s="69" t="str">
        <f>'1월'!I103</f>
        <v>1월 선급금(G80 3061)-34/49회</v>
      </c>
      <c r="J100" s="122">
        <f>'1월'!J103</f>
        <v>1</v>
      </c>
      <c r="K100" s="15">
        <f>'1월'!K103</f>
        <v>307386</v>
      </c>
      <c r="L100" s="16">
        <f>'1월'!L103</f>
        <v>307386</v>
      </c>
      <c r="M100" s="187">
        <f>'1월'!M103</f>
        <v>30739</v>
      </c>
      <c r="N100" s="15">
        <f>'1월'!N103</f>
        <v>338125</v>
      </c>
      <c r="O100" s="5" t="str">
        <f>'1월'!O103</f>
        <v>선납(22/4/5)</v>
      </c>
      <c r="P100" s="177" t="str">
        <f>'1월'!P103</f>
        <v>정지우</v>
      </c>
      <c r="Q100" s="5" t="str">
        <f>'1월'!Q103</f>
        <v>X</v>
      </c>
      <c r="R100" s="209" t="str">
        <f>'1월'!R103</f>
        <v>부가세불공</v>
      </c>
      <c r="S100" s="101"/>
      <c r="T100" s="11"/>
    </row>
    <row r="101" spans="1:20" ht="16.5" customHeight="1">
      <c r="A101" t="s">
        <v>64</v>
      </c>
      <c r="B101" s="10" t="str">
        <f>'1월'!B104</f>
        <v>SM-25010</v>
      </c>
      <c r="C101" s="12"/>
      <c r="D101" s="13">
        <f>'1월'!D104</f>
        <v>45684</v>
      </c>
      <c r="E101" s="155" t="str">
        <f>'1월'!E104</f>
        <v>한국아이씨에스</v>
      </c>
      <c r="F101" s="155" t="str">
        <f>'1월'!F104</f>
        <v>유니포인트</v>
      </c>
      <c r="G101" s="156" t="str">
        <f>'1월'!G104</f>
        <v>MA</v>
      </c>
      <c r="H101" s="156" t="str">
        <f>'1월'!H104</f>
        <v>연간-IBM</v>
      </c>
      <c r="I101" s="69" t="str">
        <f>'1월'!I104</f>
        <v>한미약품 연간유지정비료</v>
      </c>
      <c r="J101" s="122">
        <f>'1월'!J104</f>
        <v>1</v>
      </c>
      <c r="K101" s="16">
        <f>'1월'!K104</f>
        <v>7859914</v>
      </c>
      <c r="L101" s="16">
        <f>'1월'!L104</f>
        <v>7859914</v>
      </c>
      <c r="M101" s="16">
        <f>'1월'!M104</f>
        <v>785991</v>
      </c>
      <c r="N101" s="15">
        <f>'1월'!N104</f>
        <v>8645905</v>
      </c>
      <c r="O101" s="5" t="str">
        <f>'1월'!O104</f>
        <v>완료(2/28)</v>
      </c>
      <c r="P101" s="174" t="str">
        <f>'1월'!P104</f>
        <v>천범석</v>
      </c>
      <c r="Q101" s="5" t="str">
        <f>'1월'!Q104</f>
        <v>1/31~</v>
      </c>
      <c r="R101" s="209" t="str">
        <f>'1월'!R104</f>
        <v>매출월간</v>
      </c>
    </row>
    <row r="102" spans="1:20" ht="16.5" customHeight="1">
      <c r="A102" t="s">
        <v>64</v>
      </c>
      <c r="B102" s="141" t="str">
        <f>'1월'!B105</f>
        <v>X</v>
      </c>
      <c r="C102" s="142"/>
      <c r="D102" s="13">
        <f>'1월'!D105</f>
        <v>45688</v>
      </c>
      <c r="E102" s="155" t="str">
        <f>'1월'!E105</f>
        <v>비와이씨하이시티입주사대표회</v>
      </c>
      <c r="F102" s="163"/>
      <c r="G102" s="156" t="str">
        <f>'1월'!G105</f>
        <v>일반경비</v>
      </c>
      <c r="H102" s="156" t="str">
        <f>'1월'!H105</f>
        <v>건물관리</v>
      </c>
      <c r="I102" s="69" t="str">
        <f>'1월'!I105</f>
        <v>B동 1201호 1월 관리비 -과세분</v>
      </c>
      <c r="J102" s="124">
        <f>'1월'!J105</f>
        <v>1</v>
      </c>
      <c r="K102" s="16">
        <f>'1월'!K105</f>
        <v>572701</v>
      </c>
      <c r="L102" s="16">
        <f>'1월'!L105</f>
        <v>572701</v>
      </c>
      <c r="M102" s="15">
        <f>'1월'!M105</f>
        <v>57270</v>
      </c>
      <c r="N102" s="15">
        <f>'1월'!N105</f>
        <v>629971</v>
      </c>
      <c r="O102" s="5" t="str">
        <f>'1월'!O105</f>
        <v>완료(2/10)</v>
      </c>
      <c r="P102" s="175" t="str">
        <f>'1월'!P105</f>
        <v>정지우</v>
      </c>
      <c r="Q102" s="68" t="str">
        <f>'1월'!Q105</f>
        <v>X</v>
      </c>
      <c r="R102" s="212"/>
      <c r="S102" s="7"/>
    </row>
    <row r="103" spans="1:20" ht="16.5" customHeight="1">
      <c r="A103" t="s">
        <v>64</v>
      </c>
      <c r="B103" s="141" t="str">
        <f>'1월'!B106</f>
        <v>X</v>
      </c>
      <c r="C103" s="142"/>
      <c r="D103" s="13">
        <f>'1월'!D106</f>
        <v>45688</v>
      </c>
      <c r="E103" s="155" t="str">
        <f>'1월'!E106</f>
        <v>비와이씨하이시티입주사대표회</v>
      </c>
      <c r="F103" s="155"/>
      <c r="G103" s="156" t="str">
        <f>'1월'!G106</f>
        <v>일반경비</v>
      </c>
      <c r="H103" s="156" t="str">
        <f>'1월'!H106</f>
        <v>건물관리</v>
      </c>
      <c r="I103" s="69" t="str">
        <f>'1월'!I106</f>
        <v>B동 1201호 12월 관리비 -면세분</v>
      </c>
      <c r="J103" s="124">
        <f>'1월'!J106</f>
        <v>1</v>
      </c>
      <c r="K103" s="16">
        <f>'1월'!K106</f>
        <v>79417</v>
      </c>
      <c r="L103" s="16">
        <f>'1월'!L106</f>
        <v>79417</v>
      </c>
      <c r="M103" s="15" t="str">
        <f>'1월'!M106</f>
        <v>X</v>
      </c>
      <c r="N103" s="15">
        <f>'1월'!N106</f>
        <v>79417</v>
      </c>
      <c r="O103" s="5" t="str">
        <f>'1월'!O106</f>
        <v>완료(2/10)</v>
      </c>
      <c r="P103" s="175" t="str">
        <f>'1월'!P106</f>
        <v>정지우</v>
      </c>
      <c r="Q103" s="68" t="str">
        <f>'1월'!Q106</f>
        <v>X</v>
      </c>
      <c r="R103" s="212" t="str">
        <f>'1월'!R106</f>
        <v>비과세</v>
      </c>
      <c r="S103" s="7"/>
    </row>
    <row r="104" spans="1:20" ht="16.5" customHeight="1">
      <c r="A104" t="s">
        <v>64</v>
      </c>
      <c r="B104" s="141" t="str">
        <f>'1월'!B107</f>
        <v>X</v>
      </c>
      <c r="C104" s="12"/>
      <c r="D104" s="13">
        <f>'1월'!D107</f>
        <v>45688</v>
      </c>
      <c r="E104" s="155" t="str">
        <f>'1월'!E107</f>
        <v>아이디플라워</v>
      </c>
      <c r="F104" s="155"/>
      <c r="G104" s="156" t="str">
        <f>'1월'!G107</f>
        <v>일반경비</v>
      </c>
      <c r="H104" s="156" t="str">
        <f>'1월'!H107</f>
        <v>접대비</v>
      </c>
      <c r="I104" s="69" t="str">
        <f>'1월'!I107</f>
        <v>거래처 경조 화환 - 1건</v>
      </c>
      <c r="J104" s="122">
        <f>'1월'!J107</f>
        <v>1</v>
      </c>
      <c r="K104" s="15">
        <f>'1월'!K107</f>
        <v>80000</v>
      </c>
      <c r="L104" s="16">
        <f>'1월'!L107</f>
        <v>80000</v>
      </c>
      <c r="M104" s="16" t="str">
        <f>'1월'!M107</f>
        <v>X</v>
      </c>
      <c r="N104" s="15">
        <f>'1월'!N107</f>
        <v>80000</v>
      </c>
      <c r="O104" s="5" t="str">
        <f>'1월'!O107</f>
        <v>완료(2/15)</v>
      </c>
      <c r="P104" s="175" t="str">
        <f>'1월'!P107</f>
        <v>정지우</v>
      </c>
      <c r="Q104" s="100" t="str">
        <f>'1월'!Q107</f>
        <v>X</v>
      </c>
      <c r="R104" s="212" t="str">
        <f>'1월'!R107</f>
        <v>비과세</v>
      </c>
    </row>
    <row r="105" spans="1:20" ht="16.5" customHeight="1">
      <c r="A105" t="s">
        <v>64</v>
      </c>
      <c r="B105" s="141" t="str">
        <f>'1월'!B108</f>
        <v>X</v>
      </c>
      <c r="C105" s="142"/>
      <c r="D105" s="13">
        <f>'1월'!D108</f>
        <v>45688</v>
      </c>
      <c r="E105" s="155" t="str">
        <f>'1월'!E108</f>
        <v>시우운수</v>
      </c>
      <c r="F105" s="155"/>
      <c r="G105" s="156" t="str">
        <f>'1월'!G108</f>
        <v>상품</v>
      </c>
      <c r="H105" s="156" t="str">
        <f>'1월'!H108</f>
        <v>운반비</v>
      </c>
      <c r="I105" s="159" t="str">
        <f>'1월'!I108</f>
        <v>로젠택배 1월 택배비</v>
      </c>
      <c r="J105" s="124">
        <f>'1월'!J108</f>
        <v>1</v>
      </c>
      <c r="K105" s="16">
        <f>'1월'!K108</f>
        <v>5455</v>
      </c>
      <c r="L105" s="15">
        <f>'1월'!L108</f>
        <v>5455</v>
      </c>
      <c r="M105" s="15">
        <f>'1월'!M108</f>
        <v>545</v>
      </c>
      <c r="N105" s="15">
        <f>'1월'!N108</f>
        <v>6000</v>
      </c>
      <c r="O105" s="5" t="str">
        <f>'1월'!O108</f>
        <v>완료(2/10)</v>
      </c>
      <c r="P105" s="175" t="str">
        <f>'1월'!P108</f>
        <v>정지우</v>
      </c>
      <c r="Q105" s="68" t="str">
        <f>'1월'!Q108</f>
        <v>X</v>
      </c>
      <c r="R105" s="212"/>
      <c r="S105" s="7"/>
    </row>
    <row r="106" spans="1:20" ht="16.5" customHeight="1">
      <c r="A106" t="s">
        <v>64</v>
      </c>
      <c r="B106" s="10" t="str">
        <f>'1월'!B109</f>
        <v>X</v>
      </c>
      <c r="C106" s="12"/>
      <c r="D106" s="13">
        <f>'1월'!D109</f>
        <v>45683</v>
      </c>
      <c r="E106" s="155" t="str">
        <f>'1월'!E109</f>
        <v>더좋은샘물</v>
      </c>
      <c r="F106" s="155"/>
      <c r="G106" s="156" t="str">
        <f>'1월'!G109</f>
        <v>일반경비</v>
      </c>
      <c r="H106" s="156" t="str">
        <f>'1월'!H109</f>
        <v>복리후생비</v>
      </c>
      <c r="I106" s="69" t="str">
        <f>'1월'!I109</f>
        <v xml:space="preserve">생수 </v>
      </c>
      <c r="J106" s="122">
        <f>'1월'!J109</f>
        <v>3</v>
      </c>
      <c r="K106" s="15">
        <f>'1월'!K109</f>
        <v>6000</v>
      </c>
      <c r="L106" s="16">
        <f>'1월'!L109</f>
        <v>18000</v>
      </c>
      <c r="M106" s="15">
        <f>'1월'!M109</f>
        <v>1800</v>
      </c>
      <c r="N106" s="15">
        <f>'1월'!N109</f>
        <v>19800</v>
      </c>
      <c r="O106" s="5" t="str">
        <f>'1월'!O109</f>
        <v>완료(2/10)</v>
      </c>
      <c r="P106" s="9" t="str">
        <f>'1월'!P109</f>
        <v>정지우</v>
      </c>
      <c r="Q106" s="5" t="str">
        <f>'1월'!Q109</f>
        <v>X</v>
      </c>
      <c r="R106" s="209"/>
      <c r="T106" s="11"/>
    </row>
    <row r="107" spans="1:20" ht="16.5" customHeight="1">
      <c r="A107" t="s">
        <v>64</v>
      </c>
      <c r="B107" s="10" t="str">
        <f>'1월'!B110</f>
        <v>SM-24003</v>
      </c>
      <c r="C107" s="142"/>
      <c r="D107" s="13">
        <f>'1월'!D110</f>
        <v>45688</v>
      </c>
      <c r="E107" s="155" t="str">
        <f>'1월'!E110</f>
        <v>현성솔루션</v>
      </c>
      <c r="F107" s="155" t="str">
        <f>'1월'!F110</f>
        <v>삼표산업</v>
      </c>
      <c r="G107" s="157" t="str">
        <f>'1월'!G110</f>
        <v>MA</v>
      </c>
      <c r="H107" s="157" t="str">
        <f>'1월'!H110</f>
        <v>월간</v>
      </c>
      <c r="I107" s="69" t="str">
        <f>'1월'!I110</f>
        <v>파이오링크 L4 1월 유지정비료 - 1/12회</v>
      </c>
      <c r="J107" s="124">
        <f>'1월'!J110</f>
        <v>1</v>
      </c>
      <c r="K107" s="16">
        <f>'1월'!K110</f>
        <v>100000</v>
      </c>
      <c r="L107" s="15">
        <f>'1월'!L110</f>
        <v>100000</v>
      </c>
      <c r="M107" s="15">
        <f>'1월'!M110</f>
        <v>10000</v>
      </c>
      <c r="N107" s="15">
        <f>'1월'!N110</f>
        <v>110000</v>
      </c>
      <c r="O107" s="5" t="str">
        <f>'1월'!O110</f>
        <v>완료(2/28)</v>
      </c>
      <c r="P107" s="175" t="str">
        <f>'1월'!P110</f>
        <v>홍승민</v>
      </c>
      <c r="Q107" s="5">
        <f>'1월'!Q110</f>
        <v>45681</v>
      </c>
      <c r="R107" s="212"/>
      <c r="S107" s="7"/>
      <c r="T107" s="11"/>
    </row>
    <row r="108" spans="1:20" ht="16.5" customHeight="1">
      <c r="A108" t="s">
        <v>64</v>
      </c>
      <c r="B108" s="140" t="str">
        <f>'1월'!B111</f>
        <v>SM-23025</v>
      </c>
      <c r="C108" s="12"/>
      <c r="D108" s="13">
        <f>'1월'!D111</f>
        <v>45688</v>
      </c>
      <c r="E108" s="155" t="str">
        <f>'1월'!E111</f>
        <v>현성솔루션</v>
      </c>
      <c r="F108" s="155" t="str">
        <f>'1월'!F111</f>
        <v>한국교과서협회</v>
      </c>
      <c r="G108" s="157" t="str">
        <f>'1월'!G111</f>
        <v>MA</v>
      </c>
      <c r="H108" s="167" t="str">
        <f>'1월'!H111</f>
        <v>월간</v>
      </c>
      <c r="I108" s="69" t="str">
        <f>'1월'!I111</f>
        <v>메일호스팅 1월 - 6/12회</v>
      </c>
      <c r="J108" s="124">
        <f>'1월'!J111</f>
        <v>1</v>
      </c>
      <c r="K108" s="16">
        <f>'1월'!K111</f>
        <v>595000</v>
      </c>
      <c r="L108" s="15">
        <f>'1월'!L111</f>
        <v>595000</v>
      </c>
      <c r="M108" s="15">
        <f>'1월'!M111</f>
        <v>59500</v>
      </c>
      <c r="N108" s="15">
        <f>'1월'!N111</f>
        <v>654500</v>
      </c>
      <c r="O108" s="5" t="str">
        <f>'1월'!O111</f>
        <v>완료(2/28)</v>
      </c>
      <c r="P108" s="174" t="str">
        <f>'1월'!P111</f>
        <v>천범석</v>
      </c>
      <c r="Q108" s="5">
        <f>'1월'!Q111</f>
        <v>45681</v>
      </c>
      <c r="R108" s="211"/>
      <c r="S108" s="7"/>
      <c r="T108" s="11"/>
    </row>
    <row r="109" spans="1:20" ht="16.5" customHeight="1">
      <c r="A109" t="s">
        <v>64</v>
      </c>
      <c r="B109" s="140" t="str">
        <f>'1월'!B112</f>
        <v>SM-23026</v>
      </c>
      <c r="C109" s="12"/>
      <c r="D109" s="13">
        <f>'1월'!D112</f>
        <v>45688</v>
      </c>
      <c r="E109" s="155" t="str">
        <f>'1월'!E112</f>
        <v>현성솔루션</v>
      </c>
      <c r="F109" s="155" t="str">
        <f>'1월'!F112</f>
        <v>한국교과서협회</v>
      </c>
      <c r="G109" s="157" t="str">
        <f>'1월'!G112</f>
        <v>MA</v>
      </c>
      <c r="H109" s="167" t="str">
        <f>'1월'!H112</f>
        <v>월간</v>
      </c>
      <c r="I109" s="69" t="str">
        <f>'1월'!I112</f>
        <v>1월 유지정비료 - 6/12회</v>
      </c>
      <c r="J109" s="124">
        <f>'1월'!J112</f>
        <v>1</v>
      </c>
      <c r="K109" s="188">
        <f>'1월'!K112</f>
        <v>840000</v>
      </c>
      <c r="L109" s="15">
        <f>'1월'!L112</f>
        <v>840000</v>
      </c>
      <c r="M109" s="15">
        <f>'1월'!M112</f>
        <v>84000</v>
      </c>
      <c r="N109" s="15">
        <f>'1월'!N112</f>
        <v>924000</v>
      </c>
      <c r="O109" s="5" t="str">
        <f>'1월'!O112</f>
        <v>완료(2/28)</v>
      </c>
      <c r="P109" s="174" t="str">
        <f>'1월'!P112</f>
        <v>천범석</v>
      </c>
      <c r="Q109" s="5">
        <f>'1월'!Q112</f>
        <v>45681</v>
      </c>
      <c r="R109" s="211"/>
      <c r="S109" s="7"/>
      <c r="T109" s="11"/>
    </row>
    <row r="110" spans="1:20" ht="16.5" customHeight="1">
      <c r="A110" t="s">
        <v>64</v>
      </c>
      <c r="B110" s="10" t="str">
        <f>'1월'!B113</f>
        <v>SM-24003</v>
      </c>
      <c r="C110" s="142"/>
      <c r="D110" s="13">
        <f>'1월'!D113</f>
        <v>45688</v>
      </c>
      <c r="E110" s="155" t="str">
        <f>'1월'!E113</f>
        <v>프라테르</v>
      </c>
      <c r="F110" s="155" t="str">
        <f>'1월'!F113</f>
        <v>삼표산업</v>
      </c>
      <c r="G110" s="157" t="str">
        <f>'1월'!G113</f>
        <v>MA</v>
      </c>
      <c r="H110" s="157" t="str">
        <f>'1월'!H113</f>
        <v>월간</v>
      </c>
      <c r="I110" s="69" t="str">
        <f>'1월'!I113</f>
        <v>1월 오라클 유지정비료 - 1/12회</v>
      </c>
      <c r="J110" s="124">
        <f>'1월'!J113</f>
        <v>1</v>
      </c>
      <c r="K110" s="16">
        <f>'1월'!K113</f>
        <v>644700</v>
      </c>
      <c r="L110" s="16">
        <f>'1월'!L113</f>
        <v>644700</v>
      </c>
      <c r="M110" s="16">
        <f>'1월'!M113</f>
        <v>64470</v>
      </c>
      <c r="N110" s="15">
        <f>'1월'!N113</f>
        <v>709170</v>
      </c>
      <c r="O110" s="5" t="str">
        <f>'1월'!O113</f>
        <v>완료(2/28)</v>
      </c>
      <c r="P110" s="175" t="str">
        <f>'1월'!P113</f>
        <v>홍승민</v>
      </c>
      <c r="Q110" s="5">
        <f>'1월'!Q113</f>
        <v>45681</v>
      </c>
      <c r="R110" s="212"/>
      <c r="S110" s="7"/>
      <c r="T110" s="11"/>
    </row>
    <row r="111" spans="1:20" ht="16.5" customHeight="1">
      <c r="A111" t="s">
        <v>64</v>
      </c>
      <c r="B111" s="140" t="str">
        <f>'1월'!B114</f>
        <v>SM-24021</v>
      </c>
      <c r="C111" s="142"/>
      <c r="D111" s="13">
        <f>'1월'!D114</f>
        <v>45688</v>
      </c>
      <c r="E111" s="155" t="str">
        <f>'1월'!E114</f>
        <v>키미데이타</v>
      </c>
      <c r="F111" s="155" t="str">
        <f>'1월'!F114</f>
        <v>에이캐피탈</v>
      </c>
      <c r="G111" s="157" t="str">
        <f>'1월'!G114</f>
        <v>MA</v>
      </c>
      <c r="H111" s="157" t="str">
        <f>'1월'!H114</f>
        <v>월간</v>
      </c>
      <c r="I111" s="69" t="str">
        <f>'1월'!I114</f>
        <v>1월 유지정비료 - 5/12회</v>
      </c>
      <c r="J111" s="124">
        <f>'1월'!J114</f>
        <v>1</v>
      </c>
      <c r="K111" s="16">
        <f>'1월'!K114</f>
        <v>70000</v>
      </c>
      <c r="L111" s="15">
        <f>'1월'!L114</f>
        <v>70000</v>
      </c>
      <c r="M111" s="15">
        <f>'1월'!M114</f>
        <v>7000</v>
      </c>
      <c r="N111" s="15">
        <f>'1월'!N114</f>
        <v>77000</v>
      </c>
      <c r="O111" s="5" t="str">
        <f>'1월'!O114</f>
        <v>완료(3/31)</v>
      </c>
      <c r="P111" s="175" t="str">
        <f>'1월'!P114</f>
        <v>이예지</v>
      </c>
      <c r="Q111" s="5">
        <f>'1월'!Q114</f>
        <v>45693</v>
      </c>
      <c r="R111" s="212"/>
      <c r="S111" s="7"/>
      <c r="T111" s="11"/>
    </row>
    <row r="112" spans="1:20" ht="16.5" customHeight="1">
      <c r="A112" t="s">
        <v>64</v>
      </c>
      <c r="B112" s="141" t="str">
        <f>'1월'!B115</f>
        <v>X</v>
      </c>
      <c r="C112" s="142"/>
      <c r="D112" s="13">
        <f>'1월'!D115</f>
        <v>45688</v>
      </c>
      <c r="E112" s="155" t="str">
        <f>'1월'!E115</f>
        <v>금오이노베이션</v>
      </c>
      <c r="F112" s="155"/>
      <c r="G112" s="156" t="str">
        <f>'1월'!G115</f>
        <v>일반경비</v>
      </c>
      <c r="H112" s="156" t="str">
        <f>'1월'!H115</f>
        <v>통신비</v>
      </c>
      <c r="I112" s="69" t="str">
        <f>'1월'!I115</f>
        <v>기업(구내) 1월 인터넷 사용료</v>
      </c>
      <c r="J112" s="124">
        <f>'1월'!J115</f>
        <v>1</v>
      </c>
      <c r="K112" s="16">
        <f>'1월'!K115</f>
        <v>40000</v>
      </c>
      <c r="L112" s="15">
        <f>'1월'!L115</f>
        <v>40000</v>
      </c>
      <c r="M112" s="15">
        <f>'1월'!M115</f>
        <v>4000</v>
      </c>
      <c r="N112" s="15">
        <f>'1월'!N115</f>
        <v>44000</v>
      </c>
      <c r="O112" s="5" t="str">
        <f>'1월'!O115</f>
        <v>자동이체(25/2/10)</v>
      </c>
      <c r="P112" s="175" t="str">
        <f>'1월'!P115</f>
        <v>정지우</v>
      </c>
      <c r="Q112" s="68" t="str">
        <f>'1월'!Q115</f>
        <v>X</v>
      </c>
      <c r="R112" s="212"/>
      <c r="S112" s="7"/>
      <c r="T112" s="11"/>
    </row>
    <row r="113" spans="1:20" ht="16.5" customHeight="1">
      <c r="A113" t="s">
        <v>64</v>
      </c>
      <c r="B113" s="140" t="str">
        <f>'1월'!B116</f>
        <v>IK-23016</v>
      </c>
      <c r="C113" s="12"/>
      <c r="D113" s="13">
        <f>'1월'!D116</f>
        <v>45688</v>
      </c>
      <c r="E113" s="155" t="str">
        <f>'1월'!E116</f>
        <v>한국아이씨에스</v>
      </c>
      <c r="F113" s="155" t="str">
        <f>'1월'!F116</f>
        <v>케이정보기술</v>
      </c>
      <c r="G113" s="156" t="str">
        <f>'1월'!G116</f>
        <v>MA</v>
      </c>
      <c r="H113" s="156" t="str">
        <f>'1월'!H116</f>
        <v>월간-IBM</v>
      </c>
      <c r="I113" s="69" t="str">
        <f>'1월'!I116</f>
        <v>청주시청 1월 유지정비료 - 17/36회</v>
      </c>
      <c r="J113" s="122">
        <f>'1월'!J116</f>
        <v>1</v>
      </c>
      <c r="K113" s="15">
        <f>'1월'!K116</f>
        <v>8384</v>
      </c>
      <c r="L113" s="16">
        <f>'1월'!L116</f>
        <v>8384</v>
      </c>
      <c r="M113" s="16">
        <f>'1월'!M116</f>
        <v>838</v>
      </c>
      <c r="N113" s="15">
        <f>'1월'!N116</f>
        <v>9222</v>
      </c>
      <c r="O113" s="5" t="str">
        <f>'1월'!O116</f>
        <v>완료(3/31)</v>
      </c>
      <c r="P113" s="174" t="str">
        <f>'1월'!P116</f>
        <v>천범석</v>
      </c>
      <c r="Q113" s="5">
        <f>'1월'!Q116</f>
        <v>45658</v>
      </c>
      <c r="R113" s="213"/>
    </row>
    <row r="114" spans="1:20" ht="16.5" customHeight="1">
      <c r="A114" t="s">
        <v>64</v>
      </c>
      <c r="B114" s="140" t="str">
        <f>'1월'!B117</f>
        <v>SM-24021</v>
      </c>
      <c r="C114" s="12"/>
      <c r="D114" s="13">
        <f>'1월'!D117</f>
        <v>45688</v>
      </c>
      <c r="E114" s="155" t="str">
        <f>'1월'!E117</f>
        <v>에스엔에이</v>
      </c>
      <c r="F114" s="163" t="str">
        <f>'1월'!F117</f>
        <v>에이캐피탈</v>
      </c>
      <c r="G114" s="157" t="str">
        <f>'1월'!G117</f>
        <v>MA</v>
      </c>
      <c r="H114" s="157" t="str">
        <f>'1월'!H117</f>
        <v>월간</v>
      </c>
      <c r="I114" s="159" t="str">
        <f>'1월'!I117</f>
        <v>1월 파트 계약 - 5/12회</v>
      </c>
      <c r="J114" s="124">
        <f>'1월'!J117</f>
        <v>1</v>
      </c>
      <c r="K114" s="188">
        <f>'1월'!K117</f>
        <v>300000</v>
      </c>
      <c r="L114" s="15">
        <f>'1월'!L117</f>
        <v>300000</v>
      </c>
      <c r="M114" s="15">
        <f>'1월'!M117</f>
        <v>30000</v>
      </c>
      <c r="N114" s="15">
        <f>'1월'!N117</f>
        <v>330000</v>
      </c>
      <c r="O114" s="5" t="str">
        <f>'1월'!O117</f>
        <v>완료(3/31)</v>
      </c>
      <c r="P114" s="174" t="str">
        <f>'1월'!P117</f>
        <v>이예지</v>
      </c>
      <c r="Q114" s="5">
        <f>'1월'!Q117</f>
        <v>45693</v>
      </c>
      <c r="R114" s="211"/>
      <c r="S114" s="7"/>
      <c r="T114" s="11"/>
    </row>
    <row r="115" spans="1:20" ht="16.5" customHeight="1">
      <c r="A115" t="s">
        <v>64</v>
      </c>
      <c r="B115" s="141" t="str">
        <f>'1월'!B118</f>
        <v>X</v>
      </c>
      <c r="C115" s="12"/>
      <c r="D115" s="13">
        <f>'1월'!D118</f>
        <v>45688</v>
      </c>
      <c r="E115" s="155" t="str">
        <f>'1월'!E118</f>
        <v>신한회계법인</v>
      </c>
      <c r="F115" s="163"/>
      <c r="G115" s="156" t="str">
        <f>'1월'!G118</f>
        <v>일반경비</v>
      </c>
      <c r="H115" s="157" t="str">
        <f>'1월'!H118</f>
        <v>지급수수료</v>
      </c>
      <c r="I115" s="159" t="str">
        <f>'1월'!I118</f>
        <v>1월 기장료</v>
      </c>
      <c r="J115" s="124">
        <f>'1월'!J118</f>
        <v>1</v>
      </c>
      <c r="K115" s="188">
        <f>'1월'!K118</f>
        <v>200000</v>
      </c>
      <c r="L115" s="15">
        <f>'1월'!L118</f>
        <v>200000</v>
      </c>
      <c r="M115" s="15">
        <f>'1월'!M118</f>
        <v>20000</v>
      </c>
      <c r="N115" s="15">
        <f>'1월'!N118</f>
        <v>220000</v>
      </c>
      <c r="O115" s="5" t="str">
        <f>'1월'!O118</f>
        <v>완료(2/15)</v>
      </c>
      <c r="P115" s="175" t="str">
        <f>'1월'!P118</f>
        <v>정지우</v>
      </c>
      <c r="Q115" s="68" t="str">
        <f>'1월'!Q118</f>
        <v>X</v>
      </c>
      <c r="R115" s="211"/>
      <c r="S115" s="7"/>
      <c r="T115" s="11"/>
    </row>
    <row r="116" spans="1:20" ht="16.5" customHeight="1">
      <c r="A116" t="s">
        <v>64</v>
      </c>
      <c r="B116" s="10" t="str">
        <f>'1월'!B119</f>
        <v>SM-24021</v>
      </c>
      <c r="C116" s="12"/>
      <c r="D116" s="13">
        <f>'1월'!D119</f>
        <v>45688</v>
      </c>
      <c r="E116" s="155" t="str">
        <f>'1월'!E119</f>
        <v>더파트</v>
      </c>
      <c r="F116" s="155" t="str">
        <f>'1월'!F119</f>
        <v>에이캐피탈</v>
      </c>
      <c r="G116" s="156" t="str">
        <f>'1월'!G119</f>
        <v>MA</v>
      </c>
      <c r="H116" s="156" t="str">
        <f>'1월'!H119</f>
        <v>월간</v>
      </c>
      <c r="I116" s="69" t="str">
        <f>'1월'!I119</f>
        <v>소산 서비스대행 1월분 - 5/12회</v>
      </c>
      <c r="J116" s="122">
        <f>'1월'!J119</f>
        <v>1</v>
      </c>
      <c r="K116" s="15">
        <f>'1월'!K119</f>
        <v>810000</v>
      </c>
      <c r="L116" s="16">
        <f>'1월'!L119</f>
        <v>810000</v>
      </c>
      <c r="M116" s="16">
        <f>'1월'!M119</f>
        <v>81000</v>
      </c>
      <c r="N116" s="15">
        <f>'1월'!N119</f>
        <v>891000</v>
      </c>
      <c r="O116" s="5" t="str">
        <f>'1월'!O119</f>
        <v>완료(2/28)</v>
      </c>
      <c r="P116" s="174" t="str">
        <f>'1월'!P119</f>
        <v>이예지</v>
      </c>
      <c r="Q116" s="5">
        <f>'1월'!Q119</f>
        <v>45693</v>
      </c>
      <c r="R116" s="209"/>
      <c r="T116" s="11"/>
    </row>
    <row r="117" spans="1:20" ht="16.5" customHeight="1">
      <c r="A117" t="s">
        <v>64</v>
      </c>
      <c r="B117" s="10" t="str">
        <f>'1월'!B120</f>
        <v>SM-25003</v>
      </c>
      <c r="C117" s="12"/>
      <c r="D117" s="13">
        <f>'1월'!D120</f>
        <v>45688</v>
      </c>
      <c r="E117" s="155" t="str">
        <f>'1월'!E120</f>
        <v>에티버스</v>
      </c>
      <c r="F117" s="69" t="str">
        <f>'1월'!F120</f>
        <v>씨제이 씨지브이 통합</v>
      </c>
      <c r="G117" s="156" t="str">
        <f>'1월'!G120</f>
        <v>MA</v>
      </c>
      <c r="H117" s="156" t="str">
        <f>'1월'!H120</f>
        <v>연간</v>
      </c>
      <c r="I117" s="69" t="str">
        <f>'1월'!I120</f>
        <v>HPE 1y PW TC Ess DL380 Gen10 SVC 8개 외</v>
      </c>
      <c r="J117" s="122">
        <f>'1월'!J120</f>
        <v>1</v>
      </c>
      <c r="K117" s="15">
        <f>'1월'!K120</f>
        <v>8454000</v>
      </c>
      <c r="L117" s="16">
        <f>'1월'!L120</f>
        <v>8454000</v>
      </c>
      <c r="M117" s="16">
        <f>'1월'!M120</f>
        <v>845400</v>
      </c>
      <c r="N117" s="15">
        <f>'1월'!N120</f>
        <v>9299400</v>
      </c>
      <c r="O117" s="5" t="str">
        <f>'1월'!O120</f>
        <v>완료(4/10)</v>
      </c>
      <c r="P117" s="9" t="str">
        <f>'1월'!P120</f>
        <v>천범석</v>
      </c>
      <c r="Q117" s="5">
        <f>'1월'!Q120</f>
        <v>45666</v>
      </c>
      <c r="R117" s="213"/>
    </row>
    <row r="118" spans="1:20" ht="16.5" customHeight="1">
      <c r="A118" t="s">
        <v>64</v>
      </c>
      <c r="B118" s="141" t="str">
        <f>'1월'!B121</f>
        <v>X</v>
      </c>
      <c r="C118" s="12"/>
      <c r="D118" s="13">
        <f>'1월'!D121</f>
        <v>45688</v>
      </c>
      <c r="E118" s="155" t="str">
        <f>'1월'!E121</f>
        <v>웹케시</v>
      </c>
      <c r="F118" s="155"/>
      <c r="G118" s="156" t="str">
        <f>'1월'!G121</f>
        <v>일반경비</v>
      </c>
      <c r="H118" s="157" t="str">
        <f>'1월'!H121</f>
        <v>지급수수료</v>
      </c>
      <c r="I118" s="69" t="str">
        <f>'1월'!I121</f>
        <v>s-erp 1월사용분</v>
      </c>
      <c r="J118" s="122">
        <f>'1월'!J121</f>
        <v>1</v>
      </c>
      <c r="K118" s="15">
        <f>'1월'!K121</f>
        <v>69000</v>
      </c>
      <c r="L118" s="16">
        <f>'1월'!L121</f>
        <v>69000</v>
      </c>
      <c r="M118" s="15">
        <f>'1월'!M121</f>
        <v>6900</v>
      </c>
      <c r="N118" s="15">
        <f>'1월'!N121</f>
        <v>75900</v>
      </c>
      <c r="O118" s="5" t="str">
        <f>'1월'!O121</f>
        <v>자동이체(25/2/10)</v>
      </c>
      <c r="P118" s="175" t="str">
        <f>'1월'!P121</f>
        <v>정지우</v>
      </c>
      <c r="Q118" s="68" t="str">
        <f>'1월'!Q121</f>
        <v>X</v>
      </c>
      <c r="R118" s="209"/>
      <c r="T118" s="11"/>
    </row>
    <row r="119" spans="1:20" ht="16.5" customHeight="1">
      <c r="A119" t="s">
        <v>64</v>
      </c>
      <c r="B119" s="10" t="str">
        <f>'1월'!B122</f>
        <v>SM-25003</v>
      </c>
      <c r="C119" s="12"/>
      <c r="D119" s="13">
        <f>'1월'!D122</f>
        <v>45688</v>
      </c>
      <c r="E119" s="155" t="str">
        <f>'1월'!E122</f>
        <v>코오롱베니트</v>
      </c>
      <c r="F119" s="69" t="str">
        <f>'1월'!F122</f>
        <v>씨제이 씨지브이 통합</v>
      </c>
      <c r="G119" s="156" t="str">
        <f>'1월'!G122</f>
        <v>MA</v>
      </c>
      <c r="H119" s="156" t="str">
        <f>'1월'!H122</f>
        <v>연간</v>
      </c>
      <c r="I119" s="69" t="str">
        <f>'1월'!I122</f>
        <v>연간유지정비료 1Y</v>
      </c>
      <c r="J119" s="122">
        <f>'1월'!J122</f>
        <v>1</v>
      </c>
      <c r="K119" s="15">
        <f>'1월'!K122</f>
        <v>680000</v>
      </c>
      <c r="L119" s="16">
        <f>'1월'!L122</f>
        <v>680000</v>
      </c>
      <c r="M119" s="16">
        <f>'1월'!M122</f>
        <v>68000</v>
      </c>
      <c r="N119" s="15">
        <f>'1월'!N122</f>
        <v>748000</v>
      </c>
      <c r="O119" s="5" t="str">
        <f>'1월'!O122</f>
        <v>완료(4/30)</v>
      </c>
      <c r="P119" s="9" t="str">
        <f>'1월'!P122</f>
        <v>천범석</v>
      </c>
      <c r="Q119" s="5">
        <f>'1월'!Q122</f>
        <v>45666</v>
      </c>
      <c r="R119" s="213"/>
    </row>
    <row r="120" spans="1:20" ht="16.5" customHeight="1">
      <c r="A120" t="s">
        <v>64</v>
      </c>
      <c r="B120" s="141" t="str">
        <f>'1월'!B123</f>
        <v>X</v>
      </c>
      <c r="C120" s="142"/>
      <c r="D120" s="13">
        <f>'1월'!D123</f>
        <v>45688</v>
      </c>
      <c r="E120" s="155" t="str">
        <f>'1월'!E123</f>
        <v>퀵서비스_전국화물</v>
      </c>
      <c r="F120" s="155"/>
      <c r="G120" s="156" t="str">
        <f>'1월'!G123</f>
        <v>상품</v>
      </c>
      <c r="H120" s="157" t="str">
        <f>'1월'!H123</f>
        <v>운반비</v>
      </c>
      <c r="I120" s="159" t="str">
        <f>'1월'!I123</f>
        <v>1월 퀵운송료</v>
      </c>
      <c r="J120" s="124">
        <f>'1월'!J123</f>
        <v>1</v>
      </c>
      <c r="K120" s="16">
        <f>'1월'!K123</f>
        <v>379000</v>
      </c>
      <c r="L120" s="188">
        <f>'1월'!L123</f>
        <v>379000</v>
      </c>
      <c r="M120" s="15">
        <f>'1월'!M123</f>
        <v>37900</v>
      </c>
      <c r="N120" s="15">
        <f>'1월'!N123</f>
        <v>416900</v>
      </c>
      <c r="O120" s="5" t="str">
        <f>'1월'!O123</f>
        <v>완료(2/15)</v>
      </c>
      <c r="P120" s="175" t="str">
        <f>'1월'!P123</f>
        <v>정지우</v>
      </c>
      <c r="Q120" s="68" t="str">
        <f>'1월'!Q123</f>
        <v>X</v>
      </c>
      <c r="R120" s="212"/>
      <c r="S120" s="7"/>
    </row>
    <row r="121" spans="1:20" ht="16.5" customHeight="1">
      <c r="A121" t="s">
        <v>64</v>
      </c>
      <c r="B121" s="10" t="str">
        <f>'1월'!B124</f>
        <v>IK-24011</v>
      </c>
      <c r="C121" s="12"/>
      <c r="D121" s="13">
        <f>'1월'!D124</f>
        <v>45688</v>
      </c>
      <c r="E121" s="155" t="str">
        <f>'1월'!E124</f>
        <v>디씨에스에스테크놀러지코리아</v>
      </c>
      <c r="F121" s="155" t="str">
        <f>'1월'!F124</f>
        <v>로보츠</v>
      </c>
      <c r="G121" s="157" t="str">
        <f>'1월'!G124</f>
        <v>MA</v>
      </c>
      <c r="H121" s="157" t="str">
        <f>'1월'!H124</f>
        <v>월간-DCSS</v>
      </c>
      <c r="I121" s="69" t="str">
        <f>'1월'!I124</f>
        <v>키오시아 1월 유지정비료 - 2/12회</v>
      </c>
      <c r="J121" s="122">
        <f>'1월'!J124</f>
        <v>1</v>
      </c>
      <c r="K121" s="15">
        <f>'1월'!K124</f>
        <v>70180</v>
      </c>
      <c r="L121" s="16">
        <f>'1월'!L124</f>
        <v>443680</v>
      </c>
      <c r="M121" s="16">
        <f>'1월'!M124</f>
        <v>44368</v>
      </c>
      <c r="N121" s="15">
        <f>'1월'!N124</f>
        <v>488048</v>
      </c>
      <c r="O121" s="5" t="str">
        <f>'1월'!O124</f>
        <v>완료(2/28)</v>
      </c>
      <c r="P121" s="9" t="str">
        <f>'1월'!P124</f>
        <v>천범석</v>
      </c>
      <c r="Q121" s="5">
        <f>'1월'!Q124</f>
        <v>45682</v>
      </c>
      <c r="R121" s="209"/>
    </row>
    <row r="122" spans="1:20" ht="16.5" customHeight="1">
      <c r="A122" t="s">
        <v>64</v>
      </c>
      <c r="B122" s="10" t="str">
        <f>'1월'!B125</f>
        <v>SM-24024</v>
      </c>
      <c r="C122" s="145"/>
      <c r="D122" s="65"/>
      <c r="E122" s="160" t="str">
        <f>'1월'!E125</f>
        <v>디씨에스에스테크놀러지코리아</v>
      </c>
      <c r="F122" s="160" t="str">
        <f>'1월'!F125</f>
        <v>강북21세기병원</v>
      </c>
      <c r="G122" s="157" t="str">
        <f>'1월'!G125</f>
        <v>MA</v>
      </c>
      <c r="H122" s="157" t="str">
        <f>'1월'!H125</f>
        <v>월간-DCSS</v>
      </c>
      <c r="I122" s="69" t="str">
        <f>'1월'!I125</f>
        <v>1월 유지정비료 - 2/12회</v>
      </c>
      <c r="J122" s="122">
        <f>'1월'!J125</f>
        <v>1</v>
      </c>
      <c r="K122" s="15">
        <f>'1월'!K125</f>
        <v>20600</v>
      </c>
      <c r="L122" s="125"/>
      <c r="M122" s="125"/>
      <c r="N122" s="126"/>
      <c r="O122" s="99"/>
      <c r="P122" s="9" t="str">
        <f>'1월'!P125</f>
        <v>천범석</v>
      </c>
      <c r="Q122" s="5">
        <f>'1월'!Q125</f>
        <v>45682</v>
      </c>
      <c r="R122" s="209"/>
    </row>
    <row r="123" spans="1:20" ht="16.5" customHeight="1">
      <c r="A123" t="s">
        <v>64</v>
      </c>
      <c r="B123" s="10" t="str">
        <f>'1월'!B126</f>
        <v>SM-24021</v>
      </c>
      <c r="C123" s="145"/>
      <c r="D123" s="65"/>
      <c r="E123" s="160" t="str">
        <f>'1월'!E126</f>
        <v>디씨에스에스테크놀러지코리아</v>
      </c>
      <c r="F123" s="160" t="str">
        <f>'1월'!F126</f>
        <v>에이캐피탈</v>
      </c>
      <c r="G123" s="157" t="str">
        <f>'1월'!G126</f>
        <v>MA</v>
      </c>
      <c r="H123" s="157" t="str">
        <f>'1월'!H126</f>
        <v>월간-DCSS</v>
      </c>
      <c r="I123" s="69" t="str">
        <f>'1월'!I126</f>
        <v>1월 유지정비료 - 2/9회</v>
      </c>
      <c r="J123" s="122">
        <f>'1월'!J126</f>
        <v>1</v>
      </c>
      <c r="K123" s="15">
        <f>'1월'!K126</f>
        <v>352900</v>
      </c>
      <c r="L123" s="125"/>
      <c r="M123" s="125"/>
      <c r="N123" s="126"/>
      <c r="O123" s="99"/>
      <c r="P123" s="9" t="str">
        <f>'1월'!P126</f>
        <v>천범석</v>
      </c>
      <c r="Q123" s="5">
        <f>'1월'!Q126</f>
        <v>45693</v>
      </c>
      <c r="R123" s="209"/>
    </row>
    <row r="124" spans="1:20" ht="16.5" customHeight="1">
      <c r="A124" t="s">
        <v>64</v>
      </c>
      <c r="B124" s="10" t="str">
        <f>'1월'!B127</f>
        <v>SB-24063</v>
      </c>
      <c r="C124" s="12" t="str">
        <f>'1월'!C127</f>
        <v>TAHXA0178</v>
      </c>
      <c r="D124" s="13">
        <f>'1월'!D127</f>
        <v>45658</v>
      </c>
      <c r="E124" s="155" t="str">
        <f>'1월'!E127</f>
        <v>성공글로벌테크놀로지코리아</v>
      </c>
      <c r="F124" s="155" t="str">
        <f>'1월'!F127</f>
        <v>다솜테크</v>
      </c>
      <c r="G124" s="156" t="str">
        <f>'1월'!G127</f>
        <v>MAPAC</v>
      </c>
      <c r="H124" s="156" t="str">
        <f>'1월'!H127</f>
        <v>연간-성공</v>
      </c>
      <c r="I124" s="69" t="str">
        <f>'1월'!I127</f>
        <v>E1컨테이너터미널 #1 SW 연간유지정비료(25.01.01~12.31)</v>
      </c>
      <c r="J124" s="122">
        <f>'1월'!J127</f>
        <v>1</v>
      </c>
      <c r="K124" s="15">
        <f>'1월'!K127</f>
        <v>6750000</v>
      </c>
      <c r="L124" s="16">
        <f>'1월'!L127</f>
        <v>6750000</v>
      </c>
      <c r="M124" s="16">
        <f>'1월'!M127</f>
        <v>675000</v>
      </c>
      <c r="N124" s="15">
        <f>'1월'!N127</f>
        <v>7425000</v>
      </c>
      <c r="O124" s="5" t="str">
        <f>'1월'!O127</f>
        <v>완료(2/28)</v>
      </c>
      <c r="P124" s="9" t="str">
        <f>'1월'!P127</f>
        <v>천범석</v>
      </c>
      <c r="Q124" s="5" t="str">
        <f>'1월'!Q127</f>
        <v>1/31~</v>
      </c>
      <c r="R124" s="213" t="str">
        <f>'1월'!R127</f>
        <v>월간발행</v>
      </c>
    </row>
    <row r="125" spans="1:20" ht="16.5" customHeight="1">
      <c r="A125" t="s">
        <v>64</v>
      </c>
      <c r="B125" s="10" t="str">
        <f>'1월'!B128</f>
        <v>SL-25001</v>
      </c>
      <c r="C125" s="12" t="str">
        <f>'1월'!C128</f>
        <v>SM_C24021</v>
      </c>
      <c r="D125" s="13">
        <f>'1월'!D128</f>
        <v>45659</v>
      </c>
      <c r="E125" s="155" t="str">
        <f>'1월'!E128</f>
        <v>성공글로벌테크놀로지코리아</v>
      </c>
      <c r="F125" s="155" t="str">
        <f>'1월'!F128</f>
        <v>제이엔테크</v>
      </c>
      <c r="G125" s="156" t="str">
        <f>'1월'!G128</f>
        <v>MAPAC</v>
      </c>
      <c r="H125" s="156" t="str">
        <f>'1월'!H128</f>
        <v>연간-성공</v>
      </c>
      <c r="I125" s="69" t="str">
        <f>'1월'!I128</f>
        <v>올릭스파마 연간유지정비료(25.01.01~12.31)</v>
      </c>
      <c r="J125" s="122">
        <f>'1월'!J128</f>
        <v>1</v>
      </c>
      <c r="K125" s="15">
        <f>'1월'!K128</f>
        <v>1530720</v>
      </c>
      <c r="L125" s="16">
        <f>'1월'!L128</f>
        <v>1530720</v>
      </c>
      <c r="M125" s="16">
        <f>'1월'!M128</f>
        <v>153072</v>
      </c>
      <c r="N125" s="15">
        <f>'1월'!N128</f>
        <v>1683792</v>
      </c>
      <c r="O125" s="5" t="str">
        <f>'1월'!O128</f>
        <v>완료(2/28)</v>
      </c>
      <c r="P125" s="9" t="str">
        <f>'1월'!P128</f>
        <v>천범석</v>
      </c>
      <c r="Q125" s="5">
        <f>'1월'!Q128</f>
        <v>45681</v>
      </c>
      <c r="R125" s="213" t="str">
        <f>'1월'!R128</f>
        <v>매출연간</v>
      </c>
    </row>
    <row r="126" spans="1:20" ht="16.5" customHeight="1">
      <c r="A126" t="s">
        <v>64</v>
      </c>
      <c r="B126" s="10" t="str">
        <f>'1월'!B129</f>
        <v>SL-24003</v>
      </c>
      <c r="C126" s="12" t="str">
        <f>'1월'!C129</f>
        <v>Z9MTOY</v>
      </c>
      <c r="D126" s="13">
        <f>'1월'!D129</f>
        <v>45660</v>
      </c>
      <c r="E126" s="155" t="str">
        <f>'1월'!E129</f>
        <v>성공글로벌테크놀로지코리아</v>
      </c>
      <c r="F126" s="155" t="str">
        <f>'1월'!F129</f>
        <v>스마트에프앤디</v>
      </c>
      <c r="G126" s="168" t="str">
        <f>'1월'!G129</f>
        <v>MA</v>
      </c>
      <c r="H126" s="156" t="str">
        <f>'1월'!H129</f>
        <v>월간-성공</v>
      </c>
      <c r="I126" s="69" t="str">
        <f>'1월'!I129</f>
        <v>1월 유지정비료 - 13/13회</v>
      </c>
      <c r="J126" s="122">
        <f>'1월'!J129</f>
        <v>1</v>
      </c>
      <c r="K126" s="15">
        <f>'1월'!K129</f>
        <v>9600</v>
      </c>
      <c r="L126" s="16">
        <f>'1월'!L129</f>
        <v>9600</v>
      </c>
      <c r="M126" s="15">
        <f>'1월'!M129</f>
        <v>960</v>
      </c>
      <c r="N126" s="15">
        <f>'1월'!N129</f>
        <v>10560</v>
      </c>
      <c r="O126" s="5" t="str">
        <f>'1월'!O129</f>
        <v>완료(3/4)</v>
      </c>
      <c r="P126" s="9" t="str">
        <f>'1월'!P129</f>
        <v>천범석</v>
      </c>
      <c r="Q126" s="5">
        <f>'1월'!Q129</f>
        <v>45295</v>
      </c>
      <c r="R126" s="209" t="str">
        <f>'1월'!R129</f>
        <v>매출연간</v>
      </c>
    </row>
    <row r="127" spans="1:20" ht="16.5" customHeight="1">
      <c r="A127" t="s">
        <v>64</v>
      </c>
      <c r="B127" s="10" t="str">
        <f>'1월'!B130</f>
        <v>SL-24006</v>
      </c>
      <c r="C127" s="12" t="str">
        <f>'1월'!C130</f>
        <v>ZGYUSF</v>
      </c>
      <c r="D127" s="13">
        <f>'1월'!D130</f>
        <v>45665</v>
      </c>
      <c r="E127" s="155" t="str">
        <f>'1월'!E130</f>
        <v>성공글로벌테크놀로지코리아</v>
      </c>
      <c r="F127" s="155" t="str">
        <f>'1월'!F130</f>
        <v>씨티아이앤씨</v>
      </c>
      <c r="G127" s="168" t="str">
        <f>'1월'!G130</f>
        <v>MA</v>
      </c>
      <c r="H127" s="156" t="str">
        <f>'1월'!H130</f>
        <v>월간-성공</v>
      </c>
      <c r="I127" s="69" t="str">
        <f>'1월'!I130</f>
        <v>한우리아이티 HW 1월 유지정비료 - 13/13회</v>
      </c>
      <c r="J127" s="122">
        <f>'1월'!J130</f>
        <v>1</v>
      </c>
      <c r="K127" s="15">
        <f>'1월'!K130</f>
        <v>22400</v>
      </c>
      <c r="L127" s="16">
        <f>'1월'!L130</f>
        <v>22400</v>
      </c>
      <c r="M127" s="15">
        <f>'1월'!M130</f>
        <v>2240</v>
      </c>
      <c r="N127" s="15">
        <f>'1월'!N130</f>
        <v>24640</v>
      </c>
      <c r="O127" s="5" t="str">
        <f>'1월'!O130</f>
        <v>완료(3/10)</v>
      </c>
      <c r="P127" s="9" t="str">
        <f>'1월'!P130</f>
        <v>천범석</v>
      </c>
      <c r="Q127" s="5">
        <f>'1월'!Q130</f>
        <v>45322</v>
      </c>
      <c r="R127" s="209" t="str">
        <f>'1월'!R130</f>
        <v>매출연간</v>
      </c>
    </row>
    <row r="128" spans="1:20" ht="16.5" customHeight="1">
      <c r="A128" t="s">
        <v>64</v>
      </c>
      <c r="B128" s="10" t="str">
        <f>'1월'!B131</f>
        <v>S</v>
      </c>
      <c r="C128" s="12" t="str">
        <f>'1월'!C131</f>
        <v>TruScale2024</v>
      </c>
      <c r="D128" s="13">
        <f>'1월'!D131</f>
        <v>45674</v>
      </c>
      <c r="E128" s="155" t="str">
        <f>'1월'!E131</f>
        <v>성공글로벌테크놀로지코리아</v>
      </c>
      <c r="F128" s="155" t="str">
        <f>'1월'!F131</f>
        <v>다솜테크</v>
      </c>
      <c r="G128" s="156" t="str">
        <f>'1월'!G131</f>
        <v>상품</v>
      </c>
      <c r="H128" s="156" t="str">
        <f>'1월'!H131</f>
        <v>서버</v>
      </c>
      <c r="I128" s="69" t="str">
        <f>'1월'!I131</f>
        <v>TruScale SM202400911-001-3</v>
      </c>
      <c r="J128" s="122">
        <f>'1월'!J131</f>
        <v>1</v>
      </c>
      <c r="K128" s="16">
        <f>'1월'!K131</f>
        <v>910700</v>
      </c>
      <c r="L128" s="16">
        <f>'1월'!L131</f>
        <v>910700</v>
      </c>
      <c r="M128" s="16">
        <f>'1월'!M131</f>
        <v>91070</v>
      </c>
      <c r="N128" s="15">
        <f>'1월'!N131</f>
        <v>1001770</v>
      </c>
      <c r="O128" s="5" t="str">
        <f>'1월'!O131</f>
        <v>완료(3/18)</v>
      </c>
      <c r="P128" s="9" t="str">
        <f>'1월'!P131</f>
        <v>천범석</v>
      </c>
      <c r="Q128" s="5">
        <f>'1월'!Q131</f>
        <v>45595</v>
      </c>
      <c r="R128" s="209"/>
    </row>
    <row r="129" spans="1:22" ht="16.5" customHeight="1">
      <c r="A129" t="s">
        <v>64</v>
      </c>
      <c r="B129" s="10" t="str">
        <f>'1월'!B132</f>
        <v>SB-24023</v>
      </c>
      <c r="C129" s="12" t="str">
        <f>'1월'!C132</f>
        <v>ZHWRWD</v>
      </c>
      <c r="D129" s="13">
        <f>'1월'!D132</f>
        <v>45678</v>
      </c>
      <c r="E129" s="155" t="str">
        <f>'1월'!E132</f>
        <v>성공글로벌테크놀로지코리아</v>
      </c>
      <c r="F129" s="155" t="str">
        <f>'1월'!F132</f>
        <v>세연아이넷</v>
      </c>
      <c r="G129" s="168" t="str">
        <f>'1월'!G132</f>
        <v>MA</v>
      </c>
      <c r="H129" s="156" t="str">
        <f>'1월'!H132</f>
        <v>월간-성공</v>
      </c>
      <c r="I129" s="69" t="str">
        <f>'1월'!I132</f>
        <v>도로교통안전공단 1월 유지정비료 - 13/13회</v>
      </c>
      <c r="J129" s="122">
        <f>'1월'!J132</f>
        <v>1</v>
      </c>
      <c r="K129" s="15">
        <f>'1월'!K132</f>
        <v>136710</v>
      </c>
      <c r="L129" s="16">
        <f>'1월'!L132</f>
        <v>136710</v>
      </c>
      <c r="M129" s="15">
        <f>'1월'!M132</f>
        <v>13671</v>
      </c>
      <c r="N129" s="15">
        <f>'1월'!N132</f>
        <v>150381</v>
      </c>
      <c r="O129" s="5" t="str">
        <f>'1월'!O132</f>
        <v>완료(3/24)</v>
      </c>
      <c r="P129" s="177" t="str">
        <f>'1월'!P132</f>
        <v>천범석</v>
      </c>
      <c r="Q129" s="5">
        <f>'1월'!Q132</f>
        <v>45653</v>
      </c>
      <c r="R129" s="209"/>
    </row>
    <row r="130" spans="1:22" ht="16.5" customHeight="1">
      <c r="A130" t="s">
        <v>64</v>
      </c>
      <c r="B130" s="10" t="str">
        <f>'1월'!B133</f>
        <v>SL-25002</v>
      </c>
      <c r="C130" s="12" t="str">
        <f>'1월'!C133</f>
        <v>SM_C25001</v>
      </c>
      <c r="D130" s="13">
        <f>'1월'!D133</f>
        <v>45680</v>
      </c>
      <c r="E130" s="155" t="str">
        <f>'1월'!E133</f>
        <v>성공글로벌테크놀로지코리아</v>
      </c>
      <c r="F130" s="155" t="str">
        <f>'1월'!F133</f>
        <v>유더블유에스</v>
      </c>
      <c r="G130" s="156" t="str">
        <f>'1월'!G133</f>
        <v>MAPAC</v>
      </c>
      <c r="H130" s="156" t="str">
        <f>'1월'!H133</f>
        <v>연간-성공</v>
      </c>
      <c r="I130" s="69" t="str">
        <f>'1월'!I133</f>
        <v>농림수산업자신용보증기금 5WS7B97050 1Yr Post Wty Premier 24x7 4Hr Resp</v>
      </c>
      <c r="J130" s="122">
        <f>'1월'!J133</f>
        <v>1</v>
      </c>
      <c r="K130" s="15">
        <f>'1월'!K133</f>
        <v>282320</v>
      </c>
      <c r="L130" s="16">
        <f>'1월'!L133</f>
        <v>282320</v>
      </c>
      <c r="M130" s="16">
        <f>'1월'!M133</f>
        <v>28232</v>
      </c>
      <c r="N130" s="15">
        <f>'1월'!N133</f>
        <v>310552</v>
      </c>
      <c r="O130" s="5" t="str">
        <f>'1월'!O133</f>
        <v>완료(3/24)</v>
      </c>
      <c r="P130" s="177" t="str">
        <f>'1월'!P133</f>
        <v>천범석</v>
      </c>
      <c r="Q130" s="5">
        <f>'1월'!Q133</f>
        <v>45681</v>
      </c>
      <c r="R130" s="213"/>
    </row>
    <row r="131" spans="1:22" ht="16.5" customHeight="1">
      <c r="A131" t="s">
        <v>64</v>
      </c>
      <c r="B131" s="10" t="str">
        <f>'1월'!B134</f>
        <v>SB-25008</v>
      </c>
      <c r="C131" s="12" t="str">
        <f>'1월'!C134</f>
        <v>ZTGLCD</v>
      </c>
      <c r="D131" s="13">
        <f>'1월'!D134</f>
        <v>45681</v>
      </c>
      <c r="E131" s="155" t="str">
        <f>'1월'!E134</f>
        <v>성공글로벌테크놀로지코리아</v>
      </c>
      <c r="F131" s="155" t="str">
        <f>'1월'!F134</f>
        <v>아이리스인포테크</v>
      </c>
      <c r="G131" s="168" t="str">
        <f>'1월'!G134</f>
        <v>MA</v>
      </c>
      <c r="H131" s="156" t="str">
        <f>'1월'!H134</f>
        <v>월간-성공</v>
      </c>
      <c r="I131" s="69" t="str">
        <f>'1월'!I134</f>
        <v>삼성전자 11월분 - 1/13회</v>
      </c>
      <c r="J131" s="122">
        <f>'1월'!J134</f>
        <v>1</v>
      </c>
      <c r="K131" s="15">
        <f>'1월'!K134</f>
        <v>170160</v>
      </c>
      <c r="L131" s="16">
        <f>'1월'!L134</f>
        <v>170160</v>
      </c>
      <c r="M131" s="16">
        <f>'1월'!M134</f>
        <v>17016</v>
      </c>
      <c r="N131" s="15">
        <f>'1월'!N134</f>
        <v>187176</v>
      </c>
      <c r="O131" s="5" t="str">
        <f>'1월'!O134</f>
        <v>완료(3/25)</v>
      </c>
      <c r="P131" s="177" t="str">
        <f>'1월'!P134</f>
        <v>천범석</v>
      </c>
      <c r="Q131" s="5">
        <f>'1월'!Q134</f>
        <v>45681</v>
      </c>
      <c r="R131" s="213" t="str">
        <f>'1월'!R134</f>
        <v>매출연간</v>
      </c>
    </row>
    <row r="132" spans="1:22" ht="16.5" customHeight="1">
      <c r="A132" t="s">
        <v>64</v>
      </c>
      <c r="B132" s="10" t="str">
        <f>'1월'!B135</f>
        <v>SB-25008</v>
      </c>
      <c r="C132" s="12" t="str">
        <f>'1월'!C135</f>
        <v>ZTGLCD</v>
      </c>
      <c r="D132" s="13">
        <f>'1월'!D135</f>
        <v>45681</v>
      </c>
      <c r="E132" s="155" t="str">
        <f>'1월'!E135</f>
        <v>성공글로벌테크놀로지코리아</v>
      </c>
      <c r="F132" s="155" t="str">
        <f>'1월'!F135</f>
        <v>아이리스인포테크</v>
      </c>
      <c r="G132" s="168" t="str">
        <f>'1월'!G135</f>
        <v>MA</v>
      </c>
      <c r="H132" s="156" t="str">
        <f>'1월'!H135</f>
        <v>월간-성공</v>
      </c>
      <c r="I132" s="69" t="str">
        <f>'1월'!I135</f>
        <v>삼성전자 12월분 - 2/13회</v>
      </c>
      <c r="J132" s="122">
        <f>'1월'!J135</f>
        <v>1</v>
      </c>
      <c r="K132" s="15">
        <f>'1월'!K135</f>
        <v>212700</v>
      </c>
      <c r="L132" s="16">
        <f>'1월'!L135</f>
        <v>212700</v>
      </c>
      <c r="M132" s="16">
        <f>'1월'!M135</f>
        <v>21270</v>
      </c>
      <c r="N132" s="15">
        <f>'1월'!N135</f>
        <v>233970</v>
      </c>
      <c r="O132" s="5" t="str">
        <f>'1월'!O135</f>
        <v>완료(3/25)</v>
      </c>
      <c r="P132" s="177" t="str">
        <f>'1월'!P135</f>
        <v>천범석</v>
      </c>
      <c r="Q132" s="5">
        <f>'1월'!Q135</f>
        <v>45681</v>
      </c>
      <c r="R132" s="213" t="str">
        <f>'1월'!R135</f>
        <v>매출연간</v>
      </c>
    </row>
    <row r="133" spans="1:22" ht="16.5" customHeight="1">
      <c r="A133" t="s">
        <v>64</v>
      </c>
      <c r="B133" s="10" t="str">
        <f>'1월'!B136</f>
        <v>X</v>
      </c>
      <c r="C133" s="12" t="str">
        <f>'1월'!C136</f>
        <v>TruScale2022</v>
      </c>
      <c r="D133" s="13">
        <f>'1월'!D136</f>
        <v>45681</v>
      </c>
      <c r="E133" s="155" t="str">
        <f>'1월'!E136</f>
        <v>성공글로벌테크놀로지코리아</v>
      </c>
      <c r="F133" s="155" t="str">
        <f>'1월'!F136</f>
        <v>별도정리</v>
      </c>
      <c r="G133" s="156" t="str">
        <f>'1월'!G136</f>
        <v>상품</v>
      </c>
      <c r="H133" s="156" t="str">
        <f>'1월'!H136</f>
        <v>서버</v>
      </c>
      <c r="I133" s="69" t="str">
        <f>'1월'!I136</f>
        <v>TruScale SM20220628-002-27</v>
      </c>
      <c r="J133" s="122">
        <f>'1월'!J136</f>
        <v>1</v>
      </c>
      <c r="K133" s="15">
        <f>'1월'!K136</f>
        <v>1666322</v>
      </c>
      <c r="L133" s="16">
        <f>'1월'!L136</f>
        <v>1666322</v>
      </c>
      <c r="M133" s="16">
        <f>'1월'!M136</f>
        <v>166632</v>
      </c>
      <c r="N133" s="15">
        <f>'1월'!N136</f>
        <v>1832954</v>
      </c>
      <c r="O133" s="5" t="str">
        <f>'1월'!O136</f>
        <v>완료(3/25)</v>
      </c>
      <c r="P133" s="9" t="str">
        <f>'1월'!P136</f>
        <v>천범석</v>
      </c>
      <c r="Q133" s="182" t="str">
        <f>'1월'!Q136</f>
        <v>별도정리</v>
      </c>
      <c r="R133" s="209"/>
      <c r="U133" s="11"/>
    </row>
    <row r="134" spans="1:22" ht="16.5" customHeight="1">
      <c r="A134" t="s">
        <v>64</v>
      </c>
      <c r="B134" s="10" t="str">
        <f>'1월'!B137</f>
        <v>SB-22053</v>
      </c>
      <c r="C134" s="12" t="str">
        <f>'1월'!C137</f>
        <v>ZEKV4M</v>
      </c>
      <c r="D134" s="13">
        <f>'1월'!D137</f>
        <v>45688</v>
      </c>
      <c r="E134" s="155" t="str">
        <f>'1월'!E137</f>
        <v>성공글로벌테크놀로지코리아</v>
      </c>
      <c r="F134" s="163" t="str">
        <f>'1월'!F137</f>
        <v>심플키</v>
      </c>
      <c r="G134" s="168" t="str">
        <f>'1월'!G137</f>
        <v>MA</v>
      </c>
      <c r="H134" s="156" t="str">
        <f>'1월'!H137</f>
        <v>월간-성공</v>
      </c>
      <c r="I134" s="69" t="str">
        <f>'1월'!I137</f>
        <v>산업은행 1월 유지정비료 - 25/36회</v>
      </c>
      <c r="J134" s="122">
        <f>'1월'!J137</f>
        <v>1</v>
      </c>
      <c r="K134" s="15">
        <f>'1월'!K137</f>
        <v>58800</v>
      </c>
      <c r="L134" s="16">
        <f>'1월'!L137</f>
        <v>58800</v>
      </c>
      <c r="M134" s="15">
        <f>'1월'!M137</f>
        <v>5880</v>
      </c>
      <c r="N134" s="15">
        <f>'1월'!N137</f>
        <v>64680</v>
      </c>
      <c r="O134" s="5" t="str">
        <f>'1월'!O137</f>
        <v>완료(3/31)</v>
      </c>
      <c r="P134" s="9" t="str">
        <f>'1월'!P137</f>
        <v>천범석</v>
      </c>
      <c r="Q134" s="5">
        <f>'1월'!Q137</f>
        <v>45658</v>
      </c>
      <c r="R134" s="209" t="str">
        <f>'1월'!R137</f>
        <v>매출분기</v>
      </c>
      <c r="U134" s="11"/>
      <c r="V134" s="8"/>
    </row>
    <row r="135" spans="1:22" ht="16.5" customHeight="1">
      <c r="A135" t="s">
        <v>64</v>
      </c>
      <c r="B135" s="10" t="str">
        <f>'1월'!B138</f>
        <v>SL-23009</v>
      </c>
      <c r="C135" s="12" t="str">
        <f>'1월'!C138</f>
        <v>ZI1HRR</v>
      </c>
      <c r="D135" s="13">
        <f>'1월'!D138</f>
        <v>45688</v>
      </c>
      <c r="E135" s="155" t="str">
        <f>'1월'!E138</f>
        <v>성공글로벌테크놀로지코리아</v>
      </c>
      <c r="F135" s="155" t="str">
        <f>'1월'!F138</f>
        <v>대신네트웍스</v>
      </c>
      <c r="G135" s="168" t="str">
        <f>'1월'!G138</f>
        <v>MA</v>
      </c>
      <c r="H135" s="156" t="str">
        <f>'1월'!H138</f>
        <v>월간-성공</v>
      </c>
      <c r="I135" s="69" t="str">
        <f>'1월'!I138</f>
        <v>동두천드림파워 1월 유지정비료 - 25/36회</v>
      </c>
      <c r="J135" s="122">
        <f>'1월'!J138</f>
        <v>1</v>
      </c>
      <c r="K135" s="15">
        <f>'1월'!K138</f>
        <v>115800</v>
      </c>
      <c r="L135" s="16">
        <f>'1월'!L138</f>
        <v>115800</v>
      </c>
      <c r="M135" s="15">
        <f>'1월'!M138</f>
        <v>11580</v>
      </c>
      <c r="N135" s="15">
        <f>'1월'!N138</f>
        <v>127380</v>
      </c>
      <c r="O135" s="5" t="str">
        <f>'1월'!O138</f>
        <v>완료(3/31)</v>
      </c>
      <c r="P135" s="9" t="str">
        <f>'1월'!P138</f>
        <v>천범석</v>
      </c>
      <c r="Q135" s="5">
        <f>'1월'!Q138</f>
        <v>45747</v>
      </c>
      <c r="R135" s="209" t="str">
        <f>'1월'!R138</f>
        <v>매출분기</v>
      </c>
      <c r="U135" s="11"/>
      <c r="V135" s="8"/>
    </row>
    <row r="136" spans="1:22" ht="16.5" customHeight="1">
      <c r="A136" t="s">
        <v>64</v>
      </c>
      <c r="B136" s="10" t="str">
        <f>'1월'!B139</f>
        <v>SB-23012</v>
      </c>
      <c r="C136" s="12" t="str">
        <f>'1월'!C139</f>
        <v>ZKFUER</v>
      </c>
      <c r="D136" s="13">
        <f>'1월'!D139</f>
        <v>45688</v>
      </c>
      <c r="E136" s="155" t="str">
        <f>'1월'!E139</f>
        <v>성공글로벌테크놀로지코리아</v>
      </c>
      <c r="F136" s="155" t="str">
        <f>'1월'!F139</f>
        <v>솔리드이엔지</v>
      </c>
      <c r="G136" s="168" t="str">
        <f>'1월'!G139</f>
        <v>MA</v>
      </c>
      <c r="H136" s="156" t="str">
        <f>'1월'!H139</f>
        <v>월간-성공</v>
      </c>
      <c r="I136" s="69" t="str">
        <f>'1월'!I139</f>
        <v>국립기상과학원 1월 유지정비료-추가 8/12회</v>
      </c>
      <c r="J136" s="122">
        <f>'1월'!J139</f>
        <v>1</v>
      </c>
      <c r="K136" s="15">
        <f>'1월'!K139</f>
        <v>9980400</v>
      </c>
      <c r="L136" s="16">
        <f>'1월'!L139</f>
        <v>9980400</v>
      </c>
      <c r="M136" s="15">
        <f>'1월'!M139</f>
        <v>998040</v>
      </c>
      <c r="N136" s="15">
        <f>'1월'!N139</f>
        <v>10978440</v>
      </c>
      <c r="O136" s="5" t="str">
        <f>'1월'!O139</f>
        <v>완료(3/31)</v>
      </c>
      <c r="P136" s="9" t="str">
        <f>'1월'!P139</f>
        <v>천범석</v>
      </c>
      <c r="Q136" s="5">
        <f>'1월'!Q139</f>
        <v>45681</v>
      </c>
      <c r="R136" s="209"/>
      <c r="U136" s="11"/>
      <c r="V136" s="8"/>
    </row>
    <row r="137" spans="1:22" ht="16.5" customHeight="1">
      <c r="A137" t="s">
        <v>64</v>
      </c>
      <c r="B137" s="10" t="str">
        <f>'1월'!B140</f>
        <v>SL-23020</v>
      </c>
      <c r="C137" s="12" t="str">
        <f>'1월'!C140</f>
        <v>ZM10U8</v>
      </c>
      <c r="D137" s="13">
        <f>'1월'!D140</f>
        <v>45688</v>
      </c>
      <c r="E137" s="155" t="str">
        <f>'1월'!E140</f>
        <v>성공글로벌테크놀로지코리아</v>
      </c>
      <c r="F137" s="155" t="str">
        <f>'1월'!F140</f>
        <v>사이컴테크놀로지스코리아</v>
      </c>
      <c r="G137" s="156" t="str">
        <f>'1월'!G140</f>
        <v>MA</v>
      </c>
      <c r="H137" s="156" t="str">
        <f>'1월'!H140</f>
        <v>월간-성공</v>
      </c>
      <c r="I137" s="69" t="str">
        <f>'1월'!I140</f>
        <v>애플코리아 #2 25년 1월 유지정비료 - 31/69회</v>
      </c>
      <c r="J137" s="122">
        <f>'1월'!J140</f>
        <v>1</v>
      </c>
      <c r="K137" s="15">
        <f>'1월'!K140</f>
        <v>132600</v>
      </c>
      <c r="L137" s="16">
        <f>'1월'!L140</f>
        <v>132600</v>
      </c>
      <c r="M137" s="15">
        <f>'1월'!M140</f>
        <v>13260</v>
      </c>
      <c r="N137" s="15">
        <f>'1월'!N140</f>
        <v>145860</v>
      </c>
      <c r="O137" s="5" t="str">
        <f>'1월'!O140</f>
        <v>완료(3/31)</v>
      </c>
      <c r="P137" s="9" t="str">
        <f>'1월'!P140</f>
        <v>천범석</v>
      </c>
      <c r="Q137" s="5">
        <f>'1월'!Q140</f>
        <v>45057</v>
      </c>
      <c r="R137" s="209" t="str">
        <f>'1월'!R140</f>
        <v>매출연간</v>
      </c>
      <c r="U137" s="11"/>
      <c r="V137" s="8"/>
    </row>
    <row r="138" spans="1:22" ht="16.5" customHeight="1">
      <c r="A138" t="s">
        <v>64</v>
      </c>
      <c r="B138" s="10" t="str">
        <f>'1월'!B141</f>
        <v>SB-23037</v>
      </c>
      <c r="C138" s="12" t="str">
        <f>'1월'!C141</f>
        <v>ZDSTPH</v>
      </c>
      <c r="D138" s="13">
        <f>'1월'!D141</f>
        <v>45688</v>
      </c>
      <c r="E138" s="155" t="str">
        <f>'1월'!E141</f>
        <v>성공글로벌테크놀로지코리아</v>
      </c>
      <c r="F138" s="155" t="str">
        <f>'1월'!F141</f>
        <v>에이트랙</v>
      </c>
      <c r="G138" s="168" t="str">
        <f>'1월'!G141</f>
        <v>MA</v>
      </c>
      <c r="H138" s="156" t="str">
        <f>'1월'!H141</f>
        <v>월간-성공</v>
      </c>
      <c r="I138" s="69" t="str">
        <f>'1월'!I141</f>
        <v>한림대학교HW 1월 유지정비료 - 20/21회</v>
      </c>
      <c r="J138" s="122">
        <f>'1월'!J141</f>
        <v>1</v>
      </c>
      <c r="K138" s="15">
        <f>'1월'!K141</f>
        <v>245700</v>
      </c>
      <c r="L138" s="16">
        <f>'1월'!L141</f>
        <v>245700</v>
      </c>
      <c r="M138" s="15">
        <f>'1월'!M141</f>
        <v>24570</v>
      </c>
      <c r="N138" s="15">
        <f>'1월'!N141</f>
        <v>270270</v>
      </c>
      <c r="O138" s="5" t="str">
        <f>'1월'!O141</f>
        <v>완료(3/31)</v>
      </c>
      <c r="P138" s="174" t="str">
        <f>'1월'!P141</f>
        <v>천범석</v>
      </c>
      <c r="Q138" s="5">
        <f>'1월'!Q141</f>
        <v>45681</v>
      </c>
      <c r="R138" s="209"/>
      <c r="U138" s="11"/>
      <c r="V138" s="8"/>
    </row>
    <row r="139" spans="1:22" ht="16.5" customHeight="1">
      <c r="A139" t="s">
        <v>64</v>
      </c>
      <c r="B139" s="10" t="str">
        <f>'1월'!B142</f>
        <v>SB-23043</v>
      </c>
      <c r="C139" s="12" t="str">
        <f>'1월'!C142</f>
        <v>Z2XAQY</v>
      </c>
      <c r="D139" s="13">
        <f>'1월'!D142</f>
        <v>45688</v>
      </c>
      <c r="E139" s="155" t="str">
        <f>'1월'!E142</f>
        <v>성공글로벌테크놀로지코리아</v>
      </c>
      <c r="F139" s="155" t="str">
        <f>'1월'!F142</f>
        <v>에이트랙</v>
      </c>
      <c r="G139" s="168" t="str">
        <f>'1월'!G142</f>
        <v>MA</v>
      </c>
      <c r="H139" s="156" t="str">
        <f>'1월'!H142</f>
        <v>월간-성공</v>
      </c>
      <c r="I139" s="69" t="str">
        <f>'1월'!I142</f>
        <v>한림대학교 추가 1월 유지정비료 - 19/20회</v>
      </c>
      <c r="J139" s="122">
        <f>'1월'!J142</f>
        <v>1</v>
      </c>
      <c r="K139" s="15">
        <f>'1월'!K142</f>
        <v>45600</v>
      </c>
      <c r="L139" s="16">
        <f>'1월'!L142</f>
        <v>45600</v>
      </c>
      <c r="M139" s="15">
        <f>'1월'!M142</f>
        <v>4560</v>
      </c>
      <c r="N139" s="15">
        <f>'1월'!N142</f>
        <v>50160</v>
      </c>
      <c r="O139" s="5" t="str">
        <f>'1월'!O142</f>
        <v>완료(3/31)</v>
      </c>
      <c r="P139" s="9" t="str">
        <f>'1월'!P142</f>
        <v>천범석</v>
      </c>
      <c r="Q139" s="5">
        <f>'1월'!Q142</f>
        <v>45681</v>
      </c>
      <c r="R139" s="209"/>
      <c r="U139" s="11"/>
      <c r="V139" s="8"/>
    </row>
    <row r="140" spans="1:22" ht="16.5" customHeight="1">
      <c r="A140" t="s">
        <v>64</v>
      </c>
      <c r="B140" s="10" t="str">
        <f>'1월'!B143</f>
        <v>SB-24041</v>
      </c>
      <c r="C140" s="12" t="str">
        <f>'1월'!C143</f>
        <v>ZNHTN1</v>
      </c>
      <c r="D140" s="13">
        <f>'1월'!D143</f>
        <v>45688</v>
      </c>
      <c r="E140" s="155" t="str">
        <f>'1월'!E143</f>
        <v>성공글로벌테크놀로지코리아</v>
      </c>
      <c r="F140" s="155" t="str">
        <f>'1월'!F143</f>
        <v>이비즈테크</v>
      </c>
      <c r="G140" s="168" t="str">
        <f>'1월'!G143</f>
        <v>MA</v>
      </c>
      <c r="H140" s="156" t="str">
        <f>'1월'!H143</f>
        <v>월간-성공</v>
      </c>
      <c r="I140" s="69" t="str">
        <f>'1월'!I143</f>
        <v>초록어린이재단 1월 유지정비료 - 7/12회</v>
      </c>
      <c r="J140" s="122">
        <f>'1월'!J143</f>
        <v>1</v>
      </c>
      <c r="K140" s="15">
        <f>'1월'!K143</f>
        <v>494903</v>
      </c>
      <c r="L140" s="16">
        <f>'1월'!L143</f>
        <v>494903</v>
      </c>
      <c r="M140" s="15">
        <f>'1월'!M143</f>
        <v>49490.3</v>
      </c>
      <c r="N140" s="15">
        <f>'1월'!N143</f>
        <v>544393.30000000005</v>
      </c>
      <c r="O140" s="5" t="str">
        <f>'1월'!O143</f>
        <v>완료(3/31)</v>
      </c>
      <c r="P140" s="9" t="str">
        <f>'1월'!P143</f>
        <v>천범석</v>
      </c>
      <c r="Q140" s="5">
        <f>'1월'!Q143</f>
        <v>45681</v>
      </c>
      <c r="R140" s="213"/>
      <c r="U140" s="216"/>
      <c r="V140" s="8"/>
    </row>
    <row r="141" spans="1:22" ht="16.5" customHeight="1">
      <c r="A141" t="s">
        <v>64</v>
      </c>
      <c r="B141" s="10" t="str">
        <f>'1월'!B144</f>
        <v>SB-23053</v>
      </c>
      <c r="C141" s="12" t="str">
        <f>'1월'!C144</f>
        <v>Z41QIW</v>
      </c>
      <c r="D141" s="13">
        <f>'1월'!D144</f>
        <v>45688</v>
      </c>
      <c r="E141" s="155" t="str">
        <f>'1월'!E144</f>
        <v>성공글로벌테크놀로지코리아</v>
      </c>
      <c r="F141" s="155" t="str">
        <f>'1월'!F144</f>
        <v>서원정보</v>
      </c>
      <c r="G141" s="168" t="str">
        <f>'1월'!G144</f>
        <v>MA</v>
      </c>
      <c r="H141" s="156" t="str">
        <f>'1월'!H144</f>
        <v>월간-성공</v>
      </c>
      <c r="I141" s="69" t="str">
        <f>'1월'!I144</f>
        <v>신세계 아이앤씨 1월 유지정비료 - 24/46회</v>
      </c>
      <c r="J141" s="122">
        <f>'1월'!J144</f>
        <v>1</v>
      </c>
      <c r="K141" s="15">
        <f>'1월'!K144</f>
        <v>3017539</v>
      </c>
      <c r="L141" s="16">
        <f>'1월'!L144</f>
        <v>3017539</v>
      </c>
      <c r="M141" s="15">
        <f>'1월'!M144</f>
        <v>301753</v>
      </c>
      <c r="N141" s="15">
        <f>'1월'!N144</f>
        <v>3319292</v>
      </c>
      <c r="O141" s="5" t="str">
        <f>'1월'!O144</f>
        <v>완료(3/31)</v>
      </c>
      <c r="P141" s="9" t="str">
        <f>'1월'!P144</f>
        <v>천범석</v>
      </c>
      <c r="Q141" s="5">
        <f>'1월'!Q144</f>
        <v>45681</v>
      </c>
      <c r="R141" s="209"/>
      <c r="U141" s="11"/>
      <c r="V141" s="8"/>
    </row>
    <row r="142" spans="1:22" ht="16.5" customHeight="1">
      <c r="A142" t="s">
        <v>64</v>
      </c>
      <c r="B142" s="10" t="str">
        <f>'1월'!B145</f>
        <v>SB-23051</v>
      </c>
      <c r="C142" s="12" t="str">
        <f>'1월'!C145</f>
        <v>ZCKGPP</v>
      </c>
      <c r="D142" s="13">
        <f>'1월'!D145</f>
        <v>45688</v>
      </c>
      <c r="E142" s="155" t="str">
        <f>'1월'!E145</f>
        <v>성공글로벌테크놀로지코리아</v>
      </c>
      <c r="F142" s="155" t="str">
        <f>'1월'!F145</f>
        <v>이너인포</v>
      </c>
      <c r="G142" s="156" t="str">
        <f>'1월'!G145</f>
        <v>MA</v>
      </c>
      <c r="H142" s="156" t="str">
        <f>'1월'!H145</f>
        <v>월간-성공</v>
      </c>
      <c r="I142" s="69" t="str">
        <f>'1월'!I145</f>
        <v>외교부 1월 유지정비료 - 8/12회</v>
      </c>
      <c r="J142" s="122">
        <f>'1월'!J145</f>
        <v>1</v>
      </c>
      <c r="K142" s="15">
        <f>'1월'!K145</f>
        <v>18000</v>
      </c>
      <c r="L142" s="16">
        <f>'1월'!L145</f>
        <v>18000</v>
      </c>
      <c r="M142" s="15">
        <f>'1월'!M145</f>
        <v>1800</v>
      </c>
      <c r="N142" s="15">
        <f>'1월'!N145</f>
        <v>19800</v>
      </c>
      <c r="O142" s="5" t="str">
        <f>'1월'!O145</f>
        <v>완료(3/31)</v>
      </c>
      <c r="P142" s="9" t="str">
        <f>'1월'!P145</f>
        <v>천범석</v>
      </c>
      <c r="Q142" s="5">
        <f>'1월'!Q145</f>
        <v>45195</v>
      </c>
      <c r="R142" s="209" t="str">
        <f>'1월'!R145</f>
        <v>매출연간</v>
      </c>
      <c r="U142" s="11"/>
      <c r="V142" s="8"/>
    </row>
    <row r="143" spans="1:22" ht="16.5" customHeight="1">
      <c r="A143" t="s">
        <v>64</v>
      </c>
      <c r="B143" s="10" t="str">
        <f>'1월'!B146</f>
        <v>SB-23059</v>
      </c>
      <c r="C143" s="12" t="str">
        <f>'1월'!C146</f>
        <v>ZHQC4J</v>
      </c>
      <c r="D143" s="13">
        <f>'1월'!D146</f>
        <v>45688</v>
      </c>
      <c r="E143" s="155" t="str">
        <f>'1월'!E146</f>
        <v>성공글로벌테크놀로지코리아</v>
      </c>
      <c r="F143" s="155" t="str">
        <f>'1월'!F146</f>
        <v>대한변협법학전문대학원평가위원회</v>
      </c>
      <c r="G143" s="168" t="str">
        <f>'1월'!G146</f>
        <v>MA</v>
      </c>
      <c r="H143" s="156" t="str">
        <f>'1월'!H146</f>
        <v>월간-성공</v>
      </c>
      <c r="I143" s="69" t="str">
        <f>'1월'!I146</f>
        <v>1월 유지정비료 - 12/12회</v>
      </c>
      <c r="J143" s="122">
        <f>'1월'!J146</f>
        <v>1</v>
      </c>
      <c r="K143" s="15">
        <f>'1월'!K146</f>
        <v>134700</v>
      </c>
      <c r="L143" s="16">
        <f>'1월'!L146</f>
        <v>134700</v>
      </c>
      <c r="M143" s="15">
        <f>'1월'!M146</f>
        <v>13470</v>
      </c>
      <c r="N143" s="15">
        <f>'1월'!N146</f>
        <v>148170</v>
      </c>
      <c r="O143" s="5" t="str">
        <f>'1월'!O146</f>
        <v>완료(3/31)</v>
      </c>
      <c r="P143" s="9" t="str">
        <f>'1월'!P146</f>
        <v>천범석</v>
      </c>
      <c r="Q143" s="5">
        <f>'1월'!Q146</f>
        <v>45231</v>
      </c>
      <c r="R143" s="209" t="str">
        <f>'1월'!R146</f>
        <v>매출연간</v>
      </c>
    </row>
    <row r="144" spans="1:22" ht="16.5" customHeight="1">
      <c r="B144" s="10" t="str">
        <f>'1월'!B147</f>
        <v>SL-23046</v>
      </c>
      <c r="C144" s="12" t="str">
        <f>'1월'!C147</f>
        <v>ZY3SE4</v>
      </c>
      <c r="D144" s="13">
        <f>'1월'!D147</f>
        <v>45688</v>
      </c>
      <c r="E144" s="155" t="str">
        <f>'1월'!E147</f>
        <v>성공글로벌테크놀로지코리아</v>
      </c>
      <c r="F144" s="155" t="str">
        <f>'1월'!F147</f>
        <v>대유에이텍</v>
      </c>
      <c r="G144" s="156" t="str">
        <f>'1월'!G147</f>
        <v>MA</v>
      </c>
      <c r="H144" s="156" t="str">
        <f>'1월'!H147</f>
        <v>월간-성공</v>
      </c>
      <c r="I144" s="69" t="str">
        <f>'1월'!I147</f>
        <v>1월 유지정비료 - 14/18회</v>
      </c>
      <c r="J144" s="122">
        <f>'1월'!J147</f>
        <v>1</v>
      </c>
      <c r="K144" s="15">
        <f>'1월'!K147</f>
        <v>17220</v>
      </c>
      <c r="L144" s="16">
        <f>'1월'!L147</f>
        <v>17220</v>
      </c>
      <c r="M144" s="15">
        <f>'1월'!M147</f>
        <v>1722</v>
      </c>
      <c r="N144" s="15">
        <f>'1월'!N147</f>
        <v>18942</v>
      </c>
      <c r="O144" s="5" t="str">
        <f>'1월'!O147</f>
        <v>완료(3/31)</v>
      </c>
      <c r="P144" s="9" t="str">
        <f>'1월'!P147</f>
        <v>천범석</v>
      </c>
      <c r="Q144" s="5">
        <f>'1월'!Q147</f>
        <v>45261</v>
      </c>
      <c r="R144" s="209" t="str">
        <f>'1월'!R147</f>
        <v>매출연간</v>
      </c>
    </row>
    <row r="145" spans="1:22" ht="16.5" customHeight="1">
      <c r="A145" t="s">
        <v>64</v>
      </c>
      <c r="B145" s="10" t="str">
        <f>'1월'!B148</f>
        <v>SB-23064</v>
      </c>
      <c r="C145" s="12" t="str">
        <f>'1월'!C148</f>
        <v>ZCQQRT</v>
      </c>
      <c r="D145" s="13">
        <f>'1월'!D148</f>
        <v>45688</v>
      </c>
      <c r="E145" s="155" t="str">
        <f>'1월'!E148</f>
        <v>성공글로벌테크놀로지코리아</v>
      </c>
      <c r="F145" s="155" t="str">
        <f>'1월'!F148</f>
        <v xml:space="preserve">EDP </v>
      </c>
      <c r="G145" s="168" t="str">
        <f>'1월'!G148</f>
        <v>MA</v>
      </c>
      <c r="H145" s="156" t="str">
        <f>'1월'!H148</f>
        <v>월간-성공</v>
      </c>
      <c r="I145" s="69" t="str">
        <f>'1월'!I148</f>
        <v>코클리어 1월 유지정비료 - 10/30회</v>
      </c>
      <c r="J145" s="122">
        <f>'1월'!J148</f>
        <v>1</v>
      </c>
      <c r="K145" s="15">
        <f>'1월'!K148</f>
        <v>90000</v>
      </c>
      <c r="L145" s="16">
        <f>'1월'!L148</f>
        <v>90000</v>
      </c>
      <c r="M145" s="15">
        <f>'1월'!M148</f>
        <v>9000</v>
      </c>
      <c r="N145" s="15">
        <f>'1월'!N148</f>
        <v>99000</v>
      </c>
      <c r="O145" s="5" t="str">
        <f>'1월'!O148</f>
        <v>완료(3/31)</v>
      </c>
      <c r="P145" s="9" t="str">
        <f>'1월'!P148</f>
        <v>천범석</v>
      </c>
      <c r="Q145" s="5">
        <f>'1월'!Q148</f>
        <v>45278</v>
      </c>
      <c r="R145" s="209" t="str">
        <f>'1월'!R148</f>
        <v>매출연간</v>
      </c>
    </row>
    <row r="146" spans="1:22" ht="16.5" customHeight="1">
      <c r="A146" t="s">
        <v>64</v>
      </c>
      <c r="B146" s="10" t="str">
        <f>'1월'!B149</f>
        <v>SB-24009</v>
      </c>
      <c r="C146" s="12" t="str">
        <f>'1월'!C149</f>
        <v>Z0PYQC</v>
      </c>
      <c r="D146" s="13">
        <f>'1월'!D149</f>
        <v>45688</v>
      </c>
      <c r="E146" s="155" t="str">
        <f>'1월'!E149</f>
        <v>성공글로벌테크놀로지코리아</v>
      </c>
      <c r="F146" s="155" t="str">
        <f>'1월'!F149</f>
        <v>유알피</v>
      </c>
      <c r="G146" s="168" t="str">
        <f>'1월'!G149</f>
        <v>MA</v>
      </c>
      <c r="H146" s="156" t="str">
        <f>'1월'!H149</f>
        <v>월간-성공</v>
      </c>
      <c r="I146" s="69" t="str">
        <f>'1월'!I149</f>
        <v>서울디자인재단 1월유지정비료 - 1/12회</v>
      </c>
      <c r="J146" s="122">
        <f>'1월'!J149</f>
        <v>1</v>
      </c>
      <c r="K146" s="15">
        <f>'1월'!K149</f>
        <v>976200</v>
      </c>
      <c r="L146" s="16">
        <f>'1월'!L149</f>
        <v>976200</v>
      </c>
      <c r="M146" s="15">
        <f>'1월'!M149</f>
        <v>97620</v>
      </c>
      <c r="N146" s="15">
        <f>'1월'!N149</f>
        <v>1073820</v>
      </c>
      <c r="O146" s="5" t="str">
        <f>'1월'!O149</f>
        <v>완료(3/31)</v>
      </c>
      <c r="P146" s="9" t="str">
        <f>'1월'!P149</f>
        <v>천범석</v>
      </c>
      <c r="Q146" s="5">
        <f>'1월'!Q149</f>
        <v>45703</v>
      </c>
      <c r="R146" s="209"/>
    </row>
    <row r="147" spans="1:22" ht="16.5" customHeight="1">
      <c r="A147" t="s">
        <v>64</v>
      </c>
      <c r="B147" s="10" t="str">
        <f>'1월'!B150</f>
        <v>SL-24007</v>
      </c>
      <c r="C147" s="12" t="str">
        <f>'1월'!C150</f>
        <v>ZSYEAM</v>
      </c>
      <c r="D147" s="13">
        <f>'1월'!D150</f>
        <v>45688</v>
      </c>
      <c r="E147" s="155" t="str">
        <f>'1월'!E150</f>
        <v>성공글로벌테크놀로지코리아</v>
      </c>
      <c r="F147" s="155" t="str">
        <f>'1월'!F150</f>
        <v>다올시스</v>
      </c>
      <c r="G147" s="168" t="str">
        <f>'1월'!G150</f>
        <v>MA</v>
      </c>
      <c r="H147" s="156" t="str">
        <f>'1월'!H150</f>
        <v>월간-성공</v>
      </c>
      <c r="I147" s="69" t="str">
        <f>'1월'!I150</f>
        <v>대동도어 1월 유지정비료 - 12/13회</v>
      </c>
      <c r="J147" s="122">
        <f>'1월'!J150</f>
        <v>1</v>
      </c>
      <c r="K147" s="15">
        <f>'1월'!K150</f>
        <v>133200</v>
      </c>
      <c r="L147" s="16">
        <f>'1월'!L150</f>
        <v>133200</v>
      </c>
      <c r="M147" s="15">
        <f>'1월'!M150</f>
        <v>13320</v>
      </c>
      <c r="N147" s="15">
        <f>'1월'!N150</f>
        <v>146520</v>
      </c>
      <c r="O147" s="5" t="str">
        <f>'1월'!O150</f>
        <v>완료(3/31)</v>
      </c>
      <c r="P147" s="9" t="str">
        <f>'1월'!P150</f>
        <v>천범석</v>
      </c>
      <c r="Q147" s="5">
        <f>'1월'!Q150</f>
        <v>45351</v>
      </c>
      <c r="R147" s="209" t="str">
        <f>'1월'!R150</f>
        <v>매출연간</v>
      </c>
    </row>
    <row r="148" spans="1:22" ht="16.5" customHeight="1">
      <c r="A148" t="s">
        <v>64</v>
      </c>
      <c r="B148" s="10" t="str">
        <f>'1월'!B151</f>
        <v>SB-24014</v>
      </c>
      <c r="C148" s="12" t="str">
        <f>'1월'!C151</f>
        <v>ZOWZ4O</v>
      </c>
      <c r="D148" s="13">
        <f>'1월'!D151</f>
        <v>45688</v>
      </c>
      <c r="E148" s="155" t="str">
        <f>'1월'!E151</f>
        <v>성공글로벌테크놀로지코리아</v>
      </c>
      <c r="F148" s="155" t="str">
        <f>'1월'!F151</f>
        <v>동행시네마</v>
      </c>
      <c r="G148" s="156" t="str">
        <f>'1월'!G151</f>
        <v>MA</v>
      </c>
      <c r="H148" s="156" t="str">
        <f>'1월'!H151</f>
        <v>월간-성공</v>
      </c>
      <c r="I148" s="69" t="str">
        <f>'1월'!I151</f>
        <v>안동CGV 1월 유지정비료 - 11/13회</v>
      </c>
      <c r="J148" s="122">
        <f>'1월'!J151</f>
        <v>1</v>
      </c>
      <c r="K148" s="15">
        <f>'1월'!K151</f>
        <v>41700</v>
      </c>
      <c r="L148" s="16">
        <f>'1월'!L151</f>
        <v>41700</v>
      </c>
      <c r="M148" s="15">
        <f>'1월'!M151</f>
        <v>4170</v>
      </c>
      <c r="N148" s="15">
        <f>'1월'!N151</f>
        <v>45870</v>
      </c>
      <c r="O148" s="5" t="str">
        <f>'1월'!O151</f>
        <v>완료(3/31)</v>
      </c>
      <c r="P148" s="9" t="str">
        <f>'1월'!P151</f>
        <v>천범석</v>
      </c>
      <c r="Q148" s="5">
        <f>'1월'!Q151</f>
        <v>45380</v>
      </c>
      <c r="R148" s="209" t="str">
        <f>'1월'!R151</f>
        <v>매출연간</v>
      </c>
    </row>
    <row r="149" spans="1:22" ht="16.5" customHeight="1">
      <c r="A149" t="s">
        <v>64</v>
      </c>
      <c r="B149" s="10" t="str">
        <f>'1월'!B152</f>
        <v>SB-24011</v>
      </c>
      <c r="C149" s="12" t="str">
        <f>'1월'!C152</f>
        <v>Z5PURB</v>
      </c>
      <c r="D149" s="13">
        <f>'1월'!D152</f>
        <v>45688</v>
      </c>
      <c r="E149" s="155" t="str">
        <f>'1월'!E152</f>
        <v>성공글로벌테크놀로지코리아</v>
      </c>
      <c r="F149" s="155" t="str">
        <f>'1월'!F152</f>
        <v>비온시이노베이터</v>
      </c>
      <c r="G149" s="168" t="str">
        <f>'1월'!G152</f>
        <v>MA</v>
      </c>
      <c r="H149" s="156" t="str">
        <f>'1월'!H152</f>
        <v>월간-성공</v>
      </c>
      <c r="I149" s="69" t="str">
        <f>'1월'!I152</f>
        <v>국립농업과학원 - 1월유지정비료 - 13/24회</v>
      </c>
      <c r="J149" s="122">
        <f>'1월'!J152</f>
        <v>1</v>
      </c>
      <c r="K149" s="15">
        <f>'1월'!K152</f>
        <v>511500</v>
      </c>
      <c r="L149" s="16">
        <f>'1월'!L152</f>
        <v>511500</v>
      </c>
      <c r="M149" s="15">
        <f>'1월'!M152</f>
        <v>51150</v>
      </c>
      <c r="N149" s="15">
        <f>'1월'!N152</f>
        <v>562650</v>
      </c>
      <c r="O149" s="5" t="str">
        <f>'1월'!O152</f>
        <v>완료(3/31)</v>
      </c>
      <c r="P149" s="9" t="str">
        <f>'1월'!P152</f>
        <v>천범석</v>
      </c>
      <c r="Q149" s="5">
        <f>'1월'!Q152</f>
        <v>45681</v>
      </c>
      <c r="R149" s="209"/>
    </row>
    <row r="150" spans="1:22" ht="16.5" customHeight="1">
      <c r="A150" t="s">
        <v>64</v>
      </c>
      <c r="B150" s="10" t="str">
        <f>'1월'!B153</f>
        <v>SB-24013</v>
      </c>
      <c r="C150" s="12" t="str">
        <f>'1월'!C153</f>
        <v>Z8C798</v>
      </c>
      <c r="D150" s="13">
        <f>'1월'!D153</f>
        <v>45688</v>
      </c>
      <c r="E150" s="155" t="str">
        <f>'1월'!E153</f>
        <v>성공글로벌테크놀로지코리아</v>
      </c>
      <c r="F150" s="155" t="str">
        <f>'1월'!F153</f>
        <v>다솜테크</v>
      </c>
      <c r="G150" s="168" t="str">
        <f>'1월'!G153</f>
        <v>MA</v>
      </c>
      <c r="H150" s="156" t="str">
        <f>'1월'!H153</f>
        <v>월간-성공</v>
      </c>
      <c r="I150" s="69" t="str">
        <f>'1월'!I153</f>
        <v>남부대학교 1월 유지정비료 - 12/12회</v>
      </c>
      <c r="J150" s="122">
        <f>'1월'!J153</f>
        <v>1</v>
      </c>
      <c r="K150" s="15">
        <f>'1월'!K153</f>
        <v>34200</v>
      </c>
      <c r="L150" s="16">
        <f>'1월'!L153</f>
        <v>34200</v>
      </c>
      <c r="M150" s="15">
        <f>'1월'!M153</f>
        <v>3420</v>
      </c>
      <c r="N150" s="15">
        <f>'1월'!N153</f>
        <v>37620</v>
      </c>
      <c r="O150" s="5" t="str">
        <f>'1월'!O153</f>
        <v>완료(3/31)</v>
      </c>
      <c r="P150" s="9" t="str">
        <f>'1월'!P153</f>
        <v>천범석</v>
      </c>
      <c r="Q150" s="5">
        <f>'1월'!Q153</f>
        <v>45351</v>
      </c>
      <c r="R150" s="209" t="str">
        <f>'1월'!R153</f>
        <v>메출연간</v>
      </c>
    </row>
    <row r="151" spans="1:22" ht="16.5" customHeight="1">
      <c r="A151" t="s">
        <v>64</v>
      </c>
      <c r="B151" s="10" t="str">
        <f>'1월'!B154</f>
        <v>SB-24020</v>
      </c>
      <c r="C151" s="12" t="str">
        <f>'1월'!C154</f>
        <v>ZXFKMU</v>
      </c>
      <c r="D151" s="13">
        <f>'1월'!D154</f>
        <v>45688</v>
      </c>
      <c r="E151" s="155" t="str">
        <f>'1월'!E154</f>
        <v>성공글로벌테크놀로지코리아</v>
      </c>
      <c r="F151" s="155" t="str">
        <f>'1월'!F154</f>
        <v>이너엔</v>
      </c>
      <c r="G151" s="156" t="str">
        <f>'1월'!G154</f>
        <v>MA</v>
      </c>
      <c r="H151" s="156" t="str">
        <f>'1월'!H154</f>
        <v>월간-성공</v>
      </c>
      <c r="I151" s="69" t="str">
        <f>'1월'!I154</f>
        <v>태강대부 HW 1월유지정비료 - 11/12회</v>
      </c>
      <c r="J151" s="122">
        <f>'1월'!J154</f>
        <v>1</v>
      </c>
      <c r="K151" s="15">
        <f>'1월'!K154</f>
        <v>209700</v>
      </c>
      <c r="L151" s="16">
        <f>'1월'!L154</f>
        <v>209700</v>
      </c>
      <c r="M151" s="15">
        <f>'1월'!M154</f>
        <v>20970</v>
      </c>
      <c r="N151" s="15">
        <f>'1월'!N154</f>
        <v>230670</v>
      </c>
      <c r="O151" s="5" t="str">
        <f>'1월'!O154</f>
        <v>완료(3/31)</v>
      </c>
      <c r="P151" s="9" t="str">
        <f>'1월'!P154</f>
        <v>천범석</v>
      </c>
      <c r="Q151" s="5">
        <f>'1월'!Q154</f>
        <v>45356</v>
      </c>
      <c r="R151" s="209" t="str">
        <f>'1월'!R154</f>
        <v>매출연간</v>
      </c>
    </row>
    <row r="152" spans="1:22" ht="16.5" customHeight="1">
      <c r="A152" t="s">
        <v>64</v>
      </c>
      <c r="B152" s="10" t="str">
        <f>'1월'!B155</f>
        <v>SB-24019</v>
      </c>
      <c r="C152" s="12" t="str">
        <f>'1월'!C155</f>
        <v>ZNJIYM</v>
      </c>
      <c r="D152" s="13">
        <f>'1월'!D155</f>
        <v>45688</v>
      </c>
      <c r="E152" s="155" t="str">
        <f>'1월'!E155</f>
        <v>성공글로벌테크놀로지코리아</v>
      </c>
      <c r="F152" s="155" t="str">
        <f>'1월'!F155</f>
        <v>나우테크</v>
      </c>
      <c r="G152" s="156" t="str">
        <f>'1월'!G155</f>
        <v>MA</v>
      </c>
      <c r="H152" s="156" t="str">
        <f>'1월'!H155</f>
        <v>월간-성공</v>
      </c>
      <c r="I152" s="69" t="str">
        <f>'1월'!I155</f>
        <v>1월 유지정비료 - 12/16회</v>
      </c>
      <c r="J152" s="122">
        <f>'1월'!J155</f>
        <v>1</v>
      </c>
      <c r="K152" s="15">
        <f>'1월'!K155</f>
        <v>256200</v>
      </c>
      <c r="L152" s="16">
        <f>'1월'!L155</f>
        <v>256200</v>
      </c>
      <c r="M152" s="15">
        <f>'1월'!M155</f>
        <v>25620</v>
      </c>
      <c r="N152" s="15">
        <f>'1월'!N155</f>
        <v>281820</v>
      </c>
      <c r="O152" s="5" t="str">
        <f>'1월'!O155</f>
        <v>완료(3/31)</v>
      </c>
      <c r="P152" s="9" t="str">
        <f>'1월'!P155</f>
        <v>천범석</v>
      </c>
      <c r="Q152" s="5">
        <f>'1월'!Q155</f>
        <v>45357</v>
      </c>
      <c r="R152" s="209" t="str">
        <f>'1월'!R155</f>
        <v>매출연간</v>
      </c>
    </row>
    <row r="153" spans="1:22" ht="16.5" customHeight="1">
      <c r="A153" t="s">
        <v>64</v>
      </c>
      <c r="B153" s="10" t="str">
        <f>'1월'!B156</f>
        <v>SB-24021</v>
      </c>
      <c r="C153" s="12" t="str">
        <f>'1월'!C156</f>
        <v>ZZMCEX</v>
      </c>
      <c r="D153" s="13">
        <f>'1월'!D156</f>
        <v>45688</v>
      </c>
      <c r="E153" s="155" t="str">
        <f>'1월'!E156</f>
        <v>성공글로벌테크놀로지코리아</v>
      </c>
      <c r="F153" s="155" t="str">
        <f>'1월'!F156</f>
        <v>알에스아이티</v>
      </c>
      <c r="G153" s="156" t="str">
        <f>'1월'!G156</f>
        <v>MA</v>
      </c>
      <c r="H153" s="156" t="str">
        <f>'1월'!H156</f>
        <v>월간-성공</v>
      </c>
      <c r="I153" s="69" t="str">
        <f>'1월'!I156</f>
        <v>동국대학교 중앙도서관 1월 유지정비료 - 11/12회</v>
      </c>
      <c r="J153" s="122">
        <f>'1월'!J156</f>
        <v>1</v>
      </c>
      <c r="K153" s="15">
        <f>'1월'!K156</f>
        <v>159900</v>
      </c>
      <c r="L153" s="16">
        <f>'1월'!L156</f>
        <v>159900</v>
      </c>
      <c r="M153" s="15">
        <f>'1월'!M156</f>
        <v>15990</v>
      </c>
      <c r="N153" s="15">
        <f>'1월'!N156</f>
        <v>175890</v>
      </c>
      <c r="O153" s="5" t="str">
        <f>'1월'!O156</f>
        <v>완료(3/31)</v>
      </c>
      <c r="P153" s="9" t="str">
        <f>'1월'!P156</f>
        <v>천범석</v>
      </c>
      <c r="Q153" s="5">
        <f>'1월'!Q156</f>
        <v>45380</v>
      </c>
      <c r="R153" s="209" t="str">
        <f>'1월'!R156</f>
        <v>매출연간</v>
      </c>
    </row>
    <row r="154" spans="1:22" ht="16.5" customHeight="1">
      <c r="A154" t="s">
        <v>64</v>
      </c>
      <c r="B154" s="10" t="str">
        <f>'1월'!B157</f>
        <v>SB-24022</v>
      </c>
      <c r="C154" s="12" t="str">
        <f>'1월'!C157</f>
        <v>ZHXILC</v>
      </c>
      <c r="D154" s="13">
        <f>'1월'!D157</f>
        <v>45688</v>
      </c>
      <c r="E154" s="155" t="str">
        <f>'1월'!E157</f>
        <v>성공글로벌테크놀로지코리아</v>
      </c>
      <c r="F154" s="155" t="str">
        <f>'1월'!F157</f>
        <v>케이디엠디</v>
      </c>
      <c r="G154" s="156" t="str">
        <f>'1월'!G157</f>
        <v>MA</v>
      </c>
      <c r="H154" s="156" t="str">
        <f>'1월'!H157</f>
        <v>월간-성공</v>
      </c>
      <c r="I154" s="69" t="str">
        <f>'1월'!I157</f>
        <v>탑텍 1월 유지정비료 - 10/12회</v>
      </c>
      <c r="J154" s="122">
        <f>'1월'!J157</f>
        <v>1</v>
      </c>
      <c r="K154" s="15">
        <f>'1월'!K157</f>
        <v>111900</v>
      </c>
      <c r="L154" s="16">
        <f>'1월'!L157</f>
        <v>111900</v>
      </c>
      <c r="M154" s="15">
        <f>'1월'!M157</f>
        <v>11190</v>
      </c>
      <c r="N154" s="15">
        <f>'1월'!N157</f>
        <v>123090</v>
      </c>
      <c r="O154" s="5" t="str">
        <f>'1월'!O157</f>
        <v>완료(3/31)</v>
      </c>
      <c r="P154" s="9" t="str">
        <f>'1월'!P157</f>
        <v>천범석</v>
      </c>
      <c r="Q154" s="5">
        <f>'1월'!Q157</f>
        <v>45412</v>
      </c>
      <c r="R154" s="209" t="str">
        <f>'1월'!R157</f>
        <v>매출연간</v>
      </c>
      <c r="U154" s="11"/>
      <c r="V154" s="8"/>
    </row>
    <row r="155" spans="1:22" ht="16.5" customHeight="1">
      <c r="A155" t="s">
        <v>64</v>
      </c>
      <c r="B155" s="10" t="str">
        <f>'1월'!B158</f>
        <v>SB-24027</v>
      </c>
      <c r="C155" s="139" t="str">
        <f>'1월'!C158</f>
        <v>ZGTHWJ</v>
      </c>
      <c r="D155" s="13">
        <f>'1월'!D158</f>
        <v>45688</v>
      </c>
      <c r="E155" s="155" t="str">
        <f>'1월'!E158</f>
        <v>성공글로벌테크놀로지코리아</v>
      </c>
      <c r="F155" s="155" t="str">
        <f>'1월'!F158</f>
        <v>시스템본</v>
      </c>
      <c r="G155" s="156" t="str">
        <f>'1월'!G158</f>
        <v>MA</v>
      </c>
      <c r="H155" s="156" t="str">
        <f>'1월'!H158</f>
        <v>월간-성공</v>
      </c>
      <c r="I155" s="69" t="str">
        <f>'1월'!I158</f>
        <v>엘지유플러스(LG U+) 1월 유지정비료 - 14/37회</v>
      </c>
      <c r="J155" s="122">
        <f>'1월'!J158</f>
        <v>1</v>
      </c>
      <c r="K155" s="15">
        <f>'1월'!K158</f>
        <v>518541</v>
      </c>
      <c r="L155" s="16">
        <f>'1월'!L158</f>
        <v>518541</v>
      </c>
      <c r="M155" s="15">
        <f>'1월'!M158</f>
        <v>51854</v>
      </c>
      <c r="N155" s="15">
        <f>'1월'!N158</f>
        <v>570395</v>
      </c>
      <c r="O155" s="5" t="str">
        <f>'1월'!O158</f>
        <v>완료(3/31)</v>
      </c>
      <c r="P155" s="9" t="str">
        <f>'1월'!P158</f>
        <v>천범석</v>
      </c>
      <c r="Q155" s="5">
        <f>'1월'!Q158</f>
        <v>45681</v>
      </c>
      <c r="R155" s="209"/>
    </row>
    <row r="156" spans="1:22" ht="16.5" customHeight="1">
      <c r="A156" t="s">
        <v>64</v>
      </c>
      <c r="B156" s="10" t="str">
        <f>'1월'!B159</f>
        <v>SB-24034</v>
      </c>
      <c r="C156" s="224" t="str">
        <f>'1월'!C159</f>
        <v>Z11I89</v>
      </c>
      <c r="D156" s="13">
        <f>'1월'!D159</f>
        <v>45688</v>
      </c>
      <c r="E156" s="155" t="str">
        <f>'1월'!E159</f>
        <v>성공글로벌테크놀로지코리아</v>
      </c>
      <c r="F156" s="155" t="str">
        <f>'1월'!F159</f>
        <v>씨원시스템</v>
      </c>
      <c r="G156" s="168" t="str">
        <f>'1월'!G159</f>
        <v>MA</v>
      </c>
      <c r="H156" s="156" t="str">
        <f>'1월'!H159</f>
        <v>월간-성공</v>
      </c>
      <c r="I156" s="69" t="str">
        <f>'1월'!I159</f>
        <v>이녹스 1월 유지정비료 - 8/12회</v>
      </c>
      <c r="J156" s="122">
        <f>'1월'!J159</f>
        <v>1</v>
      </c>
      <c r="K156" s="15">
        <f>'1월'!K159</f>
        <v>249900</v>
      </c>
      <c r="L156" s="16">
        <f>'1월'!L159</f>
        <v>249900</v>
      </c>
      <c r="M156" s="15">
        <f>'1월'!M159</f>
        <v>24990</v>
      </c>
      <c r="N156" s="15">
        <f>'1월'!N159</f>
        <v>274890</v>
      </c>
      <c r="O156" s="5" t="str">
        <f>'1월'!O159</f>
        <v>완료(3/31)</v>
      </c>
      <c r="P156" s="9" t="str">
        <f>'1월'!P159</f>
        <v>천범석</v>
      </c>
      <c r="Q156" s="5">
        <f>'1월'!Q159</f>
        <v>45681</v>
      </c>
      <c r="R156" s="209"/>
      <c r="U156" s="11"/>
      <c r="V156" s="8"/>
    </row>
    <row r="157" spans="1:22" ht="16.5" customHeight="1">
      <c r="A157" t="s">
        <v>64</v>
      </c>
      <c r="B157" s="10" t="str">
        <f>'1월'!B160</f>
        <v>SB-24035</v>
      </c>
      <c r="C157" s="12" t="str">
        <f>'1월'!C160</f>
        <v>ZU35CP</v>
      </c>
      <c r="D157" s="13">
        <f>'1월'!D160</f>
        <v>45688</v>
      </c>
      <c r="E157" s="155" t="str">
        <f>'1월'!E160</f>
        <v>성공글로벌테크놀로지코리아</v>
      </c>
      <c r="F157" s="155" t="str">
        <f>'1월'!F160</f>
        <v>위니텍</v>
      </c>
      <c r="G157" s="156" t="str">
        <f>'1월'!G160</f>
        <v>MA</v>
      </c>
      <c r="H157" s="156" t="str">
        <f>'1월'!H160</f>
        <v>월간-성공</v>
      </c>
      <c r="I157" s="69" t="str">
        <f>'1월'!I160</f>
        <v>경북소방본부 1월 유지정비료 - 8/12회</v>
      </c>
      <c r="J157" s="122">
        <f>'1월'!J160</f>
        <v>1</v>
      </c>
      <c r="K157" s="15">
        <f>'1월'!K160</f>
        <v>111900</v>
      </c>
      <c r="L157" s="16">
        <f>'1월'!L160</f>
        <v>111900</v>
      </c>
      <c r="M157" s="15">
        <f>'1월'!M160</f>
        <v>11190</v>
      </c>
      <c r="N157" s="15">
        <f>'1월'!N160</f>
        <v>123090</v>
      </c>
      <c r="O157" s="5" t="str">
        <f>'1월'!O160</f>
        <v>완료(3/31)</v>
      </c>
      <c r="P157" s="9" t="str">
        <f>'1월'!P160</f>
        <v>천범석</v>
      </c>
      <c r="Q157" s="5">
        <f>'1월'!Q160</f>
        <v>45443</v>
      </c>
      <c r="R157" s="209" t="str">
        <f>'1월'!R160</f>
        <v>매출연간</v>
      </c>
    </row>
    <row r="158" spans="1:22" ht="16.5" customHeight="1">
      <c r="A158" t="s">
        <v>64</v>
      </c>
      <c r="B158" s="10" t="str">
        <f>'1월'!B161</f>
        <v>SB-24028</v>
      </c>
      <c r="C158" s="12" t="str">
        <f>'1월'!C161</f>
        <v>ZCX0IZ</v>
      </c>
      <c r="D158" s="13">
        <f>'1월'!D161</f>
        <v>45688</v>
      </c>
      <c r="E158" s="155" t="str">
        <f>'1월'!E161</f>
        <v>성공글로벌테크놀로지코리아</v>
      </c>
      <c r="F158" s="155" t="str">
        <f>'1월'!F161</f>
        <v>다솜테크</v>
      </c>
      <c r="G158" s="156" t="str">
        <f>'1월'!G161</f>
        <v>MA</v>
      </c>
      <c r="H158" s="156" t="str">
        <f>'1월'!H161</f>
        <v>월간-성공</v>
      </c>
      <c r="I158" s="69" t="str">
        <f>'1월'!I161</f>
        <v>대한산업보건협회 1월 유지정비료 - 9/12회</v>
      </c>
      <c r="J158" s="122">
        <f>'1월'!J161</f>
        <v>1</v>
      </c>
      <c r="K158" s="15">
        <f>'1월'!K161</f>
        <v>243955</v>
      </c>
      <c r="L158" s="16">
        <f>'1월'!L161</f>
        <v>243955</v>
      </c>
      <c r="M158" s="15">
        <f>'1월'!M161</f>
        <v>24395</v>
      </c>
      <c r="N158" s="15">
        <f>'1월'!N161</f>
        <v>268350</v>
      </c>
      <c r="O158" s="5" t="str">
        <f>'1월'!O161</f>
        <v>완료(3/31)</v>
      </c>
      <c r="P158" s="9" t="str">
        <f>'1월'!P161</f>
        <v>천범석</v>
      </c>
      <c r="Q158" s="5">
        <f>'1월'!Q161</f>
        <v>45681</v>
      </c>
      <c r="R158" s="209"/>
    </row>
    <row r="159" spans="1:22" ht="16.5" customHeight="1">
      <c r="A159" t="s">
        <v>64</v>
      </c>
      <c r="B159" s="10" t="str">
        <f>'1월'!B162</f>
        <v>LI-24003</v>
      </c>
      <c r="C159" s="12" t="str">
        <f>'1월'!C162</f>
        <v>ZE7QNO</v>
      </c>
      <c r="D159" s="13">
        <f>'1월'!D162</f>
        <v>45688</v>
      </c>
      <c r="E159" s="155" t="str">
        <f>'1월'!E162</f>
        <v>성공글로벌테크놀로지코리아</v>
      </c>
      <c r="F159" s="155" t="str">
        <f>'1월'!F162</f>
        <v>지엔콤</v>
      </c>
      <c r="G159" s="156" t="str">
        <f>'1월'!G162</f>
        <v>MA</v>
      </c>
      <c r="H159" s="156" t="str">
        <f>'1월'!H162</f>
        <v>월간-성공</v>
      </c>
      <c r="I159" s="69" t="str">
        <f>'1월'!I162</f>
        <v>전주교육대학교 1월 유지정비료 - 11/12회</v>
      </c>
      <c r="J159" s="122">
        <f>'1월'!J162</f>
        <v>1</v>
      </c>
      <c r="K159" s="15">
        <f>'1월'!K162</f>
        <v>310500</v>
      </c>
      <c r="L159" s="16">
        <f>'1월'!L162</f>
        <v>310500</v>
      </c>
      <c r="M159" s="15">
        <f>'1월'!M162</f>
        <v>31050</v>
      </c>
      <c r="N159" s="15">
        <f>'1월'!N162</f>
        <v>341550</v>
      </c>
      <c r="O159" s="5" t="str">
        <f>'1월'!O162</f>
        <v>완료(3/31)</v>
      </c>
      <c r="P159" s="9" t="str">
        <f>'1월'!P162</f>
        <v>천범석</v>
      </c>
      <c r="Q159" s="5">
        <f>'1월'!Q162</f>
        <v>45747</v>
      </c>
      <c r="R159" s="209"/>
    </row>
    <row r="160" spans="1:22" ht="16.5" customHeight="1">
      <c r="A160" t="s">
        <v>64</v>
      </c>
      <c r="B160" s="10" t="str">
        <f>'1월'!B163</f>
        <v>SB-24031</v>
      </c>
      <c r="C160" s="12" t="str">
        <f>'1월'!C163</f>
        <v>ZKZDVZ</v>
      </c>
      <c r="D160" s="13">
        <f>'1월'!D163</f>
        <v>45688</v>
      </c>
      <c r="E160" s="155" t="str">
        <f>'1월'!E163</f>
        <v>성공글로벌테크놀로지코리아</v>
      </c>
      <c r="F160" s="155" t="str">
        <f>'1월'!F163</f>
        <v>데이타메트렉스</v>
      </c>
      <c r="G160" s="168" t="str">
        <f>'1월'!G163</f>
        <v>MA</v>
      </c>
      <c r="H160" s="156" t="str">
        <f>'1월'!H163</f>
        <v>월간-성공</v>
      </c>
      <c r="I160" s="69" t="str">
        <f>'1월'!I163</f>
        <v>롯데하이마트 1월 유지정비료 - 8/13회</v>
      </c>
      <c r="J160" s="122">
        <f>'1월'!J163</f>
        <v>1</v>
      </c>
      <c r="K160" s="15">
        <f>'1월'!K163</f>
        <v>604800</v>
      </c>
      <c r="L160" s="16">
        <f>'1월'!L163</f>
        <v>604800</v>
      </c>
      <c r="M160" s="15">
        <f>'1월'!M163</f>
        <v>60480</v>
      </c>
      <c r="N160" s="15">
        <f>'1월'!N163</f>
        <v>665280</v>
      </c>
      <c r="O160" s="5" t="str">
        <f>'1월'!O163</f>
        <v>완료(3/31)</v>
      </c>
      <c r="P160" s="9" t="str">
        <f>'1월'!P163</f>
        <v>천범석</v>
      </c>
      <c r="Q160" s="5">
        <f>'1월'!Q163</f>
        <v>45681</v>
      </c>
      <c r="R160" s="209"/>
    </row>
    <row r="161" spans="1:22" ht="16.5" customHeight="1">
      <c r="A161" t="s">
        <v>64</v>
      </c>
      <c r="B161" s="10" t="str">
        <f>'1월'!B164</f>
        <v>SB-24033</v>
      </c>
      <c r="C161" s="12" t="str">
        <f>'1월'!C164</f>
        <v>ZIU2XY</v>
      </c>
      <c r="D161" s="13">
        <f>'1월'!D164</f>
        <v>45688</v>
      </c>
      <c r="E161" s="155" t="str">
        <f>'1월'!E164</f>
        <v>성공글로벌테크놀로지코리아</v>
      </c>
      <c r="F161" s="155" t="str">
        <f>'1월'!F164</f>
        <v>EPD</v>
      </c>
      <c r="G161" s="168" t="str">
        <f>'1월'!G164</f>
        <v>MA</v>
      </c>
      <c r="H161" s="156" t="str">
        <f>'1월'!H164</f>
        <v>월간-성공</v>
      </c>
      <c r="I161" s="69" t="str">
        <f>'1월'!I164</f>
        <v>WPP 1월 유지정비료 - 9/11회</v>
      </c>
      <c r="J161" s="122">
        <f>'1월'!J164</f>
        <v>1</v>
      </c>
      <c r="K161" s="15">
        <f>'1월'!K164</f>
        <v>398400</v>
      </c>
      <c r="L161" s="16">
        <f>'1월'!L164</f>
        <v>398400</v>
      </c>
      <c r="M161" s="15">
        <f>'1월'!M164</f>
        <v>39840</v>
      </c>
      <c r="N161" s="15">
        <f>'1월'!N164</f>
        <v>438240</v>
      </c>
      <c r="O161" s="5" t="str">
        <f>'1월'!O164</f>
        <v>완료(3/31)</v>
      </c>
      <c r="P161" s="9" t="str">
        <f>'1월'!P164</f>
        <v>천범석</v>
      </c>
      <c r="Q161" s="5">
        <f>'1월'!Q164</f>
        <v>45414</v>
      </c>
      <c r="R161" s="209" t="str">
        <f>'1월'!R164</f>
        <v>매출연간</v>
      </c>
    </row>
    <row r="162" spans="1:22" ht="16.5" customHeight="1">
      <c r="A162" t="s">
        <v>64</v>
      </c>
      <c r="B162" s="10" t="str">
        <f>'1월'!B165</f>
        <v>SL-25004</v>
      </c>
      <c r="C162" s="12" t="str">
        <f>'1월'!C165</f>
        <v>SM_C25003</v>
      </c>
      <c r="D162" s="13">
        <f>'1월'!D165</f>
        <v>45688</v>
      </c>
      <c r="E162" s="155" t="str">
        <f>'1월'!E165</f>
        <v>성공글로벌테크놀로지코리아</v>
      </c>
      <c r="F162" s="155" t="str">
        <f>'1월'!F165</f>
        <v>제이플러스솔루션</v>
      </c>
      <c r="G162" s="156" t="str">
        <f>'1월'!G165</f>
        <v>MAPAC</v>
      </c>
      <c r="H162" s="156" t="str">
        <f>'1월'!H165</f>
        <v>연간-성공</v>
      </c>
      <c r="I162" s="69" t="str">
        <f>'1월'!I165</f>
        <v>나일소프트 연간유지정비료 1Y</v>
      </c>
      <c r="J162" s="122">
        <f>'1월'!J165</f>
        <v>1</v>
      </c>
      <c r="K162" s="15">
        <f>'1월'!K165</f>
        <v>10093600</v>
      </c>
      <c r="L162" s="16">
        <f>'1월'!L165</f>
        <v>10093600</v>
      </c>
      <c r="M162" s="16">
        <f>'1월'!M165</f>
        <v>1009360</v>
      </c>
      <c r="N162" s="15">
        <f>'1월'!N165</f>
        <v>11102960</v>
      </c>
      <c r="O162" s="5" t="str">
        <f>'1월'!O165</f>
        <v>완료(3/31)</v>
      </c>
      <c r="P162" s="9" t="str">
        <f>'1월'!P165</f>
        <v>천범석</v>
      </c>
      <c r="Q162" s="5">
        <f>'1월'!Q165</f>
        <v>45688</v>
      </c>
      <c r="R162" s="213"/>
    </row>
    <row r="163" spans="1:22" ht="16.5" customHeight="1">
      <c r="B163" s="10" t="str">
        <f>'1월'!B166</f>
        <v>SB-24061</v>
      </c>
      <c r="C163" s="12" t="str">
        <f>'1월'!C166</f>
        <v>ZVVVON</v>
      </c>
      <c r="D163" s="13">
        <f>'1월'!D166</f>
        <v>45688</v>
      </c>
      <c r="E163" s="155" t="str">
        <f>'1월'!E166</f>
        <v>성공글로벌테크놀로지코리아</v>
      </c>
      <c r="F163" s="155" t="str">
        <f>'1월'!F166</f>
        <v>다솜테크</v>
      </c>
      <c r="G163" s="156" t="str">
        <f>'1월'!G166</f>
        <v>MA</v>
      </c>
      <c r="H163" s="156" t="str">
        <f>'1월'!H166</f>
        <v>월간-성공</v>
      </c>
      <c r="I163" s="69" t="str">
        <f>'1월'!I166</f>
        <v>롯데정보통신 1월 유지정비료 - 1/12회</v>
      </c>
      <c r="J163" s="122">
        <f>'1월'!J166</f>
        <v>1</v>
      </c>
      <c r="K163" s="15">
        <f>'1월'!K166</f>
        <v>661800</v>
      </c>
      <c r="L163" s="16">
        <f>'1월'!L166</f>
        <v>661800</v>
      </c>
      <c r="M163" s="16">
        <f>'1월'!M166</f>
        <v>66180</v>
      </c>
      <c r="N163" s="15">
        <f>'1월'!N166</f>
        <v>727980</v>
      </c>
      <c r="O163" s="5" t="str">
        <f>'1월'!O166</f>
        <v>완료(3/31)</v>
      </c>
      <c r="P163" s="9" t="str">
        <f>'1월'!P166</f>
        <v>천범석</v>
      </c>
      <c r="Q163" s="5">
        <f>'1월'!Q166</f>
        <v>45681</v>
      </c>
      <c r="R163" s="213"/>
    </row>
    <row r="164" spans="1:22" ht="16.5" customHeight="1">
      <c r="B164" s="10" t="str">
        <f>'1월'!B167</f>
        <v>SB-24062</v>
      </c>
      <c r="C164" s="12" t="str">
        <f>'1월'!C167</f>
        <v>ZZM77T</v>
      </c>
      <c r="D164" s="13">
        <f>'1월'!D167</f>
        <v>45688</v>
      </c>
      <c r="E164" s="155" t="str">
        <f>'1월'!E167</f>
        <v>성공글로벌테크놀로지코리아</v>
      </c>
      <c r="F164" s="155" t="str">
        <f>'1월'!F167</f>
        <v>대유에이텍</v>
      </c>
      <c r="G164" s="156" t="str">
        <f>'1월'!G167</f>
        <v>MA</v>
      </c>
      <c r="H164" s="156" t="str">
        <f>'1월'!H167</f>
        <v>월간-성공</v>
      </c>
      <c r="I164" s="69" t="str">
        <f>'1월'!I167</f>
        <v>1월 유지정비료 - 2/18회</v>
      </c>
      <c r="J164" s="122">
        <f>'1월'!J167</f>
        <v>1</v>
      </c>
      <c r="K164" s="15">
        <f>'1월'!K167</f>
        <v>319200</v>
      </c>
      <c r="L164" s="16">
        <f>'1월'!L167</f>
        <v>319200</v>
      </c>
      <c r="M164" s="15">
        <f>'1월'!M167</f>
        <v>31920</v>
      </c>
      <c r="N164" s="15">
        <f>'1월'!N167</f>
        <v>351120</v>
      </c>
      <c r="O164" s="5" t="str">
        <f>'1월'!O167</f>
        <v>완료(3/31)</v>
      </c>
      <c r="P164" s="9" t="str">
        <f>'1월'!P167</f>
        <v>천범석</v>
      </c>
      <c r="Q164" s="5">
        <f>'1월'!Q167</f>
        <v>45645</v>
      </c>
      <c r="R164" s="209" t="str">
        <f>'1월'!R167</f>
        <v>매출연간</v>
      </c>
    </row>
    <row r="165" spans="1:22" ht="16.5" customHeight="1">
      <c r="B165" s="10" t="str">
        <f>'1월'!B168</f>
        <v>SL-24028</v>
      </c>
      <c r="C165" s="12" t="str">
        <f>'1월'!C168</f>
        <v>ZJYUVJ</v>
      </c>
      <c r="D165" s="13">
        <f>'1월'!D168</f>
        <v>45688</v>
      </c>
      <c r="E165" s="155" t="str">
        <f>'1월'!E168</f>
        <v>성공글로벌테크놀로지코리아</v>
      </c>
      <c r="F165" s="155" t="str">
        <f>'1월'!F168</f>
        <v>온더레벨</v>
      </c>
      <c r="G165" s="156" t="str">
        <f>'1월'!G168</f>
        <v>MA</v>
      </c>
      <c r="H165" s="156" t="str">
        <f>'1월'!H168</f>
        <v>월간-성공</v>
      </c>
      <c r="I165" s="69" t="str">
        <f>'1월'!I168</f>
        <v>한우리아이티 1월 유지정비료 - 1/7회</v>
      </c>
      <c r="J165" s="122">
        <f>'1월'!J168</f>
        <v>1</v>
      </c>
      <c r="K165" s="15">
        <f>'1월'!K168</f>
        <v>71720</v>
      </c>
      <c r="L165" s="16">
        <f>'1월'!L168</f>
        <v>71720</v>
      </c>
      <c r="M165" s="16">
        <f>'1월'!M168</f>
        <v>7172</v>
      </c>
      <c r="N165" s="15">
        <f>'1월'!N168</f>
        <v>78892</v>
      </c>
      <c r="O165" s="5" t="str">
        <f>'1월'!O168</f>
        <v>완료(3/31)</v>
      </c>
      <c r="P165" s="9" t="str">
        <f>'1월'!P168</f>
        <v>천범석</v>
      </c>
      <c r="Q165" s="5">
        <f>'1월'!Q168</f>
        <v>45681</v>
      </c>
      <c r="R165" s="209" t="str">
        <f>'1월'!R168</f>
        <v>매출연간</v>
      </c>
    </row>
    <row r="166" spans="1:22" ht="16.5" customHeight="1">
      <c r="B166" s="10" t="str">
        <f>'1월'!B169</f>
        <v>SB-24066</v>
      </c>
      <c r="C166" s="12" t="str">
        <f>'1월'!C169</f>
        <v>ZDSNDX</v>
      </c>
      <c r="D166" s="13">
        <f>'1월'!D169</f>
        <v>45688</v>
      </c>
      <c r="E166" s="155" t="str">
        <f>'1월'!E169</f>
        <v>성공글로벌테크놀로지코리아</v>
      </c>
      <c r="F166" s="155" t="str">
        <f>'1월'!F169</f>
        <v>이룸인프라</v>
      </c>
      <c r="G166" s="168" t="str">
        <f>'1월'!G169</f>
        <v>MA</v>
      </c>
      <c r="H166" s="156" t="str">
        <f>'1월'!H169</f>
        <v>월간-성공</v>
      </c>
      <c r="I166" s="69" t="str">
        <f>'1월'!I169</f>
        <v>중국광대은행 1월 유지정비료 - 2/12회</v>
      </c>
      <c r="J166" s="122">
        <f>'1월'!J169</f>
        <v>1</v>
      </c>
      <c r="K166" s="15">
        <f>'1월'!K169</f>
        <v>98100</v>
      </c>
      <c r="L166" s="16">
        <f>'1월'!L169</f>
        <v>98100</v>
      </c>
      <c r="M166" s="15">
        <f>'1월'!M169</f>
        <v>9810</v>
      </c>
      <c r="N166" s="15">
        <f>'1월'!N169</f>
        <v>107910</v>
      </c>
      <c r="O166" s="5" t="str">
        <f>'1월'!O169</f>
        <v>완료(3/31)</v>
      </c>
      <c r="P166" s="9" t="str">
        <f>'1월'!P169</f>
        <v>천범석</v>
      </c>
      <c r="Q166" s="5">
        <f>'1월'!Q169</f>
        <v>45659</v>
      </c>
      <c r="R166" s="209"/>
    </row>
    <row r="167" spans="1:22" ht="16.5" customHeight="1">
      <c r="B167" s="10" t="str">
        <f>'1월'!B170</f>
        <v>SB-24065</v>
      </c>
      <c r="C167" s="12" t="str">
        <f>'1월'!C170</f>
        <v>ZDFIN7</v>
      </c>
      <c r="D167" s="13">
        <f>'1월'!D170</f>
        <v>45688</v>
      </c>
      <c r="E167" s="155" t="str">
        <f>'1월'!E170</f>
        <v>성공글로벌테크놀로지코리아</v>
      </c>
      <c r="F167" s="155" t="str">
        <f>'1월'!F170</f>
        <v>다솜테크</v>
      </c>
      <c r="G167" s="168" t="str">
        <f>'1월'!G170</f>
        <v>MA</v>
      </c>
      <c r="H167" s="156" t="str">
        <f>'1월'!H170</f>
        <v>월간-성공</v>
      </c>
      <c r="I167" s="69" t="str">
        <f>'1월'!I170</f>
        <v>안산시청 1월 유지정비료 - 1/24회</v>
      </c>
      <c r="J167" s="122">
        <f>'1월'!J170</f>
        <v>1</v>
      </c>
      <c r="K167" s="15">
        <f>'1월'!K170</f>
        <v>1196100</v>
      </c>
      <c r="L167" s="16">
        <f>'1월'!L170</f>
        <v>1196100</v>
      </c>
      <c r="M167" s="16">
        <f>'1월'!M170</f>
        <v>119610</v>
      </c>
      <c r="N167" s="15">
        <f>'1월'!N170</f>
        <v>1315710</v>
      </c>
      <c r="O167" s="5" t="str">
        <f>'1월'!O170</f>
        <v>완료(3/31)</v>
      </c>
      <c r="P167" s="9" t="str">
        <f>'1월'!P170</f>
        <v>천범석</v>
      </c>
      <c r="Q167" s="5">
        <f>'1월'!Q170</f>
        <v>45681</v>
      </c>
      <c r="R167" s="213"/>
    </row>
    <row r="168" spans="1:22" ht="16.5" customHeight="1">
      <c r="B168" s="10" t="str">
        <f>'1월'!B171</f>
        <v>SL-24050</v>
      </c>
      <c r="C168" s="12" t="str">
        <f>'1월'!C171</f>
        <v>ZXFJNS</v>
      </c>
      <c r="D168" s="13">
        <f>'1월'!D171</f>
        <v>45688</v>
      </c>
      <c r="E168" s="155" t="str">
        <f>'1월'!E171</f>
        <v>성공글로벌테크놀로지코리아</v>
      </c>
      <c r="F168" s="155" t="str">
        <f>'1월'!F171</f>
        <v>스마트에프앤디</v>
      </c>
      <c r="G168" s="168" t="str">
        <f>'1월'!G171</f>
        <v>MA</v>
      </c>
      <c r="H168" s="156" t="str">
        <f>'1월'!H171</f>
        <v>월간-성공</v>
      </c>
      <c r="I168" s="69" t="str">
        <f>'1월'!I171</f>
        <v>1월(4~31일) 유지정비료 - 1/13회</v>
      </c>
      <c r="J168" s="122">
        <f>'1월'!J171</f>
        <v>1</v>
      </c>
      <c r="K168" s="15">
        <f>'1월'!K171</f>
        <v>89910</v>
      </c>
      <c r="L168" s="16">
        <f>'1월'!L171</f>
        <v>89910</v>
      </c>
      <c r="M168" s="16">
        <f>'1월'!M171</f>
        <v>8991</v>
      </c>
      <c r="N168" s="15">
        <f>'1월'!N171</f>
        <v>98901</v>
      </c>
      <c r="O168" s="5" t="str">
        <f>'1월'!O171</f>
        <v>완료(3/31)</v>
      </c>
      <c r="P168" s="9" t="str">
        <f>'1월'!P171</f>
        <v>천범석</v>
      </c>
      <c r="Q168" s="5">
        <f>'1월'!Q171</f>
        <v>45661</v>
      </c>
      <c r="R168" s="209" t="str">
        <f>'1월'!R171</f>
        <v>매출연간</v>
      </c>
    </row>
    <row r="169" spans="1:22" ht="16.5" customHeight="1">
      <c r="B169" s="10" t="str">
        <f>'1월'!B172</f>
        <v>SB-24064</v>
      </c>
      <c r="C169" s="12" t="str">
        <f>'1월'!C172</f>
        <v>ZOTN1N</v>
      </c>
      <c r="D169" s="13">
        <f>'1월'!D172</f>
        <v>45688</v>
      </c>
      <c r="E169" s="155" t="str">
        <f>'1월'!E172</f>
        <v>성공글로벌테크놀로지코리아</v>
      </c>
      <c r="F169" s="155" t="str">
        <f>'1월'!F172</f>
        <v>다솜테크</v>
      </c>
      <c r="G169" s="168" t="str">
        <f>'1월'!G172</f>
        <v>MA</v>
      </c>
      <c r="H169" s="156" t="str">
        <f>'1월'!H172</f>
        <v>월간-성공</v>
      </c>
      <c r="I169" s="69" t="str">
        <f>'1월'!I172</f>
        <v>이원(E1)컨테이너터미널 1월 유지정비료 1/12회</v>
      </c>
      <c r="J169" s="122">
        <f>'1월'!J172</f>
        <v>1</v>
      </c>
      <c r="K169" s="15">
        <f>'1월'!K172</f>
        <v>590400</v>
      </c>
      <c r="L169" s="16">
        <f>'1월'!L172</f>
        <v>590400</v>
      </c>
      <c r="M169" s="16">
        <f>'1월'!M172</f>
        <v>59040</v>
      </c>
      <c r="N169" s="15">
        <f>'1월'!N172</f>
        <v>649440</v>
      </c>
      <c r="O169" s="5" t="str">
        <f>'1월'!O172</f>
        <v>완료(3/31)</v>
      </c>
      <c r="P169" s="9" t="str">
        <f>'1월'!P172</f>
        <v>천범석</v>
      </c>
      <c r="Q169" s="5">
        <f>'1월'!Q172</f>
        <v>45681</v>
      </c>
      <c r="R169" s="213"/>
    </row>
    <row r="170" spans="1:22" ht="16.5" customHeight="1">
      <c r="B170" s="10" t="str">
        <f>'1월'!B173</f>
        <v>SB-24063</v>
      </c>
      <c r="C170" s="12" t="str">
        <f>'1월'!C173</f>
        <v>ZIR05U</v>
      </c>
      <c r="D170" s="13">
        <f>'1월'!D173</f>
        <v>45688</v>
      </c>
      <c r="E170" s="155" t="str">
        <f>'1월'!E173</f>
        <v>성공글로벌테크놀로지코리아</v>
      </c>
      <c r="F170" s="155" t="str">
        <f>'1월'!F173</f>
        <v>다솜테크</v>
      </c>
      <c r="G170" s="168" t="str">
        <f>'1월'!G173</f>
        <v>MA</v>
      </c>
      <c r="H170" s="156" t="str">
        <f>'1월'!H173</f>
        <v>월간-성공</v>
      </c>
      <c r="I170" s="69" t="str">
        <f>'1월'!I173</f>
        <v>이원(E1)컨테이너터미널 1월 유지정비료 - 1/12회</v>
      </c>
      <c r="J170" s="122">
        <f>'1월'!J173</f>
        <v>1</v>
      </c>
      <c r="K170" s="15">
        <f>'1월'!K173</f>
        <v>289800</v>
      </c>
      <c r="L170" s="16">
        <f>'1월'!L173</f>
        <v>289800</v>
      </c>
      <c r="M170" s="16">
        <f>'1월'!M173</f>
        <v>28980</v>
      </c>
      <c r="N170" s="15">
        <f>'1월'!N173</f>
        <v>318780</v>
      </c>
      <c r="O170" s="5" t="str">
        <f>'1월'!O173</f>
        <v>완료(3/31)</v>
      </c>
      <c r="P170" s="9" t="str">
        <f>'1월'!P173</f>
        <v>천범석</v>
      </c>
      <c r="Q170" s="5">
        <f>'1월'!Q173</f>
        <v>45681</v>
      </c>
      <c r="R170" s="213"/>
    </row>
    <row r="171" spans="1:22" ht="16.5" customHeight="1">
      <c r="A171" t="s">
        <v>64</v>
      </c>
      <c r="B171" s="10" t="str">
        <f>'1월'!B174</f>
        <v>SB-24037</v>
      </c>
      <c r="C171" s="12" t="str">
        <f>'1월'!C174</f>
        <v>ZAI7T4</v>
      </c>
      <c r="D171" s="13">
        <f>'1월'!D174</f>
        <v>45688</v>
      </c>
      <c r="E171" s="155" t="str">
        <f>'1월'!E174</f>
        <v>성공글로벌테크놀로지코리아</v>
      </c>
      <c r="F171" s="155" t="str">
        <f>'1월'!F174</f>
        <v>어보브반도체</v>
      </c>
      <c r="G171" s="156" t="str">
        <f>'1월'!G174</f>
        <v>MA</v>
      </c>
      <c r="H171" s="156" t="str">
        <f>'1월'!H174</f>
        <v>월간-성공</v>
      </c>
      <c r="I171" s="69" t="str">
        <f>'1월'!I174</f>
        <v>1월 유지정비료 - 8/13회</v>
      </c>
      <c r="J171" s="122">
        <f>'1월'!J174</f>
        <v>1</v>
      </c>
      <c r="K171" s="15">
        <f>'1월'!K174</f>
        <v>52200</v>
      </c>
      <c r="L171" s="16">
        <f>'1월'!L174</f>
        <v>52200</v>
      </c>
      <c r="M171" s="15">
        <f>'1월'!M174</f>
        <v>5220</v>
      </c>
      <c r="N171" s="15">
        <f>'1월'!N174</f>
        <v>57420</v>
      </c>
      <c r="O171" s="5" t="str">
        <f>'1월'!O174</f>
        <v>완료(3/31)</v>
      </c>
      <c r="P171" s="9" t="str">
        <f>'1월'!P174</f>
        <v>천범석</v>
      </c>
      <c r="Q171" s="5">
        <f>'1월'!Q174</f>
        <v>45471</v>
      </c>
      <c r="R171" s="209" t="str">
        <f>'1월'!R174</f>
        <v>매출연간</v>
      </c>
      <c r="U171" s="11"/>
      <c r="V171" s="8"/>
    </row>
    <row r="172" spans="1:22" ht="16.5" customHeight="1">
      <c r="A172" t="s">
        <v>64</v>
      </c>
      <c r="B172" s="10" t="str">
        <f>'1월'!B175</f>
        <v>SB-24032</v>
      </c>
      <c r="C172" s="12" t="str">
        <f>'1월'!C175</f>
        <v>ZI76N8</v>
      </c>
      <c r="D172" s="13">
        <f>'1월'!D175</f>
        <v>45688</v>
      </c>
      <c r="E172" s="155" t="str">
        <f>'1월'!E175</f>
        <v>성공글로벌테크놀로지코리아</v>
      </c>
      <c r="F172" s="155" t="str">
        <f>'1월'!F175</f>
        <v>씨티아이앤씨</v>
      </c>
      <c r="G172" s="156" t="str">
        <f>'1월'!G175</f>
        <v>MA</v>
      </c>
      <c r="H172" s="156" t="str">
        <f>'1월'!H175</f>
        <v>월간-성공</v>
      </c>
      <c r="I172" s="69" t="str">
        <f>'1월'!I175</f>
        <v>한림성심대학교 1월 유지정비료 13/14회</v>
      </c>
      <c r="J172" s="122">
        <f>'1월'!J175</f>
        <v>1</v>
      </c>
      <c r="K172" s="15">
        <f>'1월'!K175</f>
        <v>45600</v>
      </c>
      <c r="L172" s="16">
        <f>'1월'!L175</f>
        <v>45600</v>
      </c>
      <c r="M172" s="15">
        <f>'1월'!M175</f>
        <v>4560</v>
      </c>
      <c r="N172" s="15">
        <f>'1월'!N175</f>
        <v>50160</v>
      </c>
      <c r="O172" s="5" t="str">
        <f>'1월'!O175</f>
        <v>완료(3/31)</v>
      </c>
      <c r="P172" s="9" t="str">
        <f>'1월'!P175</f>
        <v>천범석</v>
      </c>
      <c r="Q172" s="5">
        <f>'1월'!Q175</f>
        <v>45412</v>
      </c>
      <c r="R172" s="209" t="str">
        <f>'1월'!R175</f>
        <v>매출연간</v>
      </c>
    </row>
    <row r="173" spans="1:22" ht="16.5" customHeight="1">
      <c r="A173" t="s">
        <v>64</v>
      </c>
      <c r="B173" s="10" t="str">
        <f>'1월'!B176</f>
        <v>SB-24032</v>
      </c>
      <c r="C173" s="12" t="str">
        <f>'1월'!C176</f>
        <v>ZNQ24V</v>
      </c>
      <c r="D173" s="13">
        <f>'1월'!D176</f>
        <v>45688</v>
      </c>
      <c r="E173" s="155" t="str">
        <f>'1월'!E176</f>
        <v>성공글로벌테크놀로지코리아</v>
      </c>
      <c r="F173" s="155" t="str">
        <f>'1월'!F176</f>
        <v>씨티아이앤씨</v>
      </c>
      <c r="G173" s="156" t="str">
        <f>'1월'!G176</f>
        <v>MA</v>
      </c>
      <c r="H173" s="156" t="str">
        <f>'1월'!H176</f>
        <v>월간-성공</v>
      </c>
      <c r="I173" s="69" t="str">
        <f>'1월'!I176</f>
        <v>한림성심대학교 1월 유지정비료 13/14회</v>
      </c>
      <c r="J173" s="122">
        <f>'1월'!J176</f>
        <v>1</v>
      </c>
      <c r="K173" s="15">
        <f>'1월'!K176</f>
        <v>153900</v>
      </c>
      <c r="L173" s="16">
        <f>'1월'!L176</f>
        <v>153900</v>
      </c>
      <c r="M173" s="15">
        <f>'1월'!M176</f>
        <v>15390</v>
      </c>
      <c r="N173" s="15">
        <f>'1월'!N176</f>
        <v>169290</v>
      </c>
      <c r="O173" s="5" t="str">
        <f>'1월'!O176</f>
        <v>완료(3/31)</v>
      </c>
      <c r="P173" s="9" t="str">
        <f>'1월'!P176</f>
        <v>천범석</v>
      </c>
      <c r="Q173" s="5">
        <f>'1월'!Q176</f>
        <v>45412</v>
      </c>
      <c r="R173" s="209" t="str">
        <f>'1월'!R176</f>
        <v>매출연간</v>
      </c>
    </row>
    <row r="174" spans="1:22" ht="16.5" customHeight="1">
      <c r="A174" t="s">
        <v>64</v>
      </c>
      <c r="B174" s="10" t="str">
        <f>'1월'!B177</f>
        <v>SB-24038</v>
      </c>
      <c r="C174" s="224" t="str">
        <f>'1월'!C177</f>
        <v>Z0OK1R</v>
      </c>
      <c r="D174" s="13">
        <f>'1월'!D177</f>
        <v>45688</v>
      </c>
      <c r="E174" s="155" t="str">
        <f>'1월'!E177</f>
        <v>성공글로벌테크놀로지코리아</v>
      </c>
      <c r="F174" s="155" t="str">
        <f>'1월'!F177</f>
        <v>삼정펄프</v>
      </c>
      <c r="G174" s="156" t="str">
        <f>'1월'!G177</f>
        <v>MA</v>
      </c>
      <c r="H174" s="156" t="str">
        <f>'1월'!H177</f>
        <v>월간-성공</v>
      </c>
      <c r="I174" s="69" t="str">
        <f>'1월'!I177</f>
        <v>1월 유지정비료 - 8/13회</v>
      </c>
      <c r="J174" s="122">
        <f>'1월'!J177</f>
        <v>1</v>
      </c>
      <c r="K174" s="15">
        <f>'1월'!K177</f>
        <v>170400</v>
      </c>
      <c r="L174" s="16">
        <f>'1월'!L177</f>
        <v>170400</v>
      </c>
      <c r="M174" s="15">
        <f>'1월'!M177</f>
        <v>17040</v>
      </c>
      <c r="N174" s="15">
        <f>'1월'!N177</f>
        <v>187440</v>
      </c>
      <c r="O174" s="5" t="str">
        <f>'1월'!O177</f>
        <v>완료(3/31)</v>
      </c>
      <c r="P174" s="9" t="str">
        <f>'1월'!P177</f>
        <v>천범석</v>
      </c>
      <c r="Q174" s="5">
        <f>'1월'!Q177</f>
        <v>45471</v>
      </c>
      <c r="R174" s="209" t="str">
        <f>'1월'!R177</f>
        <v>매출연간</v>
      </c>
      <c r="U174" s="11"/>
      <c r="V174" s="8"/>
    </row>
    <row r="175" spans="1:22" ht="16.5" customHeight="1">
      <c r="A175" t="s">
        <v>64</v>
      </c>
      <c r="B175" s="10" t="str">
        <f>'1월'!B178</f>
        <v>SB-24040</v>
      </c>
      <c r="C175" s="12" t="str">
        <f>'1월'!C178</f>
        <v>ZBJK3I</v>
      </c>
      <c r="D175" s="13">
        <f>'1월'!D178</f>
        <v>45688</v>
      </c>
      <c r="E175" s="155" t="str">
        <f>'1월'!E178</f>
        <v>성공글로벌테크놀로지코리아</v>
      </c>
      <c r="F175" s="155" t="str">
        <f>'1월'!F178</f>
        <v>도담솔루션</v>
      </c>
      <c r="G175" s="168" t="str">
        <f>'1월'!G178</f>
        <v>MA</v>
      </c>
      <c r="H175" s="156" t="str">
        <f>'1월'!H178</f>
        <v>월간-성공</v>
      </c>
      <c r="I175" s="69" t="str">
        <f>'1월'!I178</f>
        <v>호원대학교 1월 유지정비료 - 8/13회</v>
      </c>
      <c r="J175" s="122">
        <f>'1월'!J178</f>
        <v>1</v>
      </c>
      <c r="K175" s="15">
        <f>'1월'!K178</f>
        <v>101400</v>
      </c>
      <c r="L175" s="16">
        <f>'1월'!L178</f>
        <v>101400</v>
      </c>
      <c r="M175" s="15">
        <f>'1월'!M178</f>
        <v>10140</v>
      </c>
      <c r="N175" s="15">
        <f>'1월'!N178</f>
        <v>111540</v>
      </c>
      <c r="O175" s="5" t="str">
        <f>'1월'!O178</f>
        <v>완료(3/31)</v>
      </c>
      <c r="P175" s="9" t="str">
        <f>'1월'!P178</f>
        <v>천범석</v>
      </c>
      <c r="Q175" s="5">
        <f>'1월'!Q178</f>
        <v>45681</v>
      </c>
      <c r="R175" s="209"/>
    </row>
    <row r="176" spans="1:22" ht="16.5" customHeight="1">
      <c r="A176" t="s">
        <v>64</v>
      </c>
      <c r="B176" s="10" t="str">
        <f>'1월'!B179</f>
        <v>LI-24005</v>
      </c>
      <c r="C176" s="12" t="str">
        <f>'1월'!C179</f>
        <v>Z4ACEZ</v>
      </c>
      <c r="D176" s="13">
        <f>'1월'!D179</f>
        <v>45688</v>
      </c>
      <c r="E176" s="155" t="str">
        <f>'1월'!E179</f>
        <v>성공글로벌테크놀로지코리아</v>
      </c>
      <c r="F176" s="155" t="str">
        <f>'1월'!F179</f>
        <v>해안종합건축사사무소</v>
      </c>
      <c r="G176" s="156" t="str">
        <f>'1월'!G179</f>
        <v>MA</v>
      </c>
      <c r="H176" s="156" t="str">
        <f>'1월'!H179</f>
        <v>월간-성공</v>
      </c>
      <c r="I176" s="69" t="str">
        <f>'1월'!I179</f>
        <v>1월 유지정비료 - 8/12회</v>
      </c>
      <c r="J176" s="122">
        <f>'1월'!J179</f>
        <v>1</v>
      </c>
      <c r="K176" s="15">
        <f>'1월'!K179</f>
        <v>171600</v>
      </c>
      <c r="L176" s="16">
        <f>'1월'!L179</f>
        <v>171600</v>
      </c>
      <c r="M176" s="15">
        <f>'1월'!M179</f>
        <v>17160</v>
      </c>
      <c r="N176" s="15">
        <f>'1월'!N179</f>
        <v>188760</v>
      </c>
      <c r="O176" s="5" t="str">
        <f>'1월'!O179</f>
        <v>완료(3/31)</v>
      </c>
      <c r="P176" s="9" t="str">
        <f>'1월'!P179</f>
        <v>천범석</v>
      </c>
      <c r="Q176" s="5">
        <f>'1월'!Q179</f>
        <v>45658</v>
      </c>
      <c r="R176" s="209"/>
    </row>
    <row r="177" spans="1:18" ht="16.5" customHeight="1">
      <c r="A177" t="s">
        <v>64</v>
      </c>
      <c r="B177" s="10" t="str">
        <f>'1월'!B180</f>
        <v>SB-24039</v>
      </c>
      <c r="C177" s="12" t="str">
        <f>'1월'!C180</f>
        <v>ZZGBBZ</v>
      </c>
      <c r="D177" s="13">
        <f>'1월'!D180</f>
        <v>45688</v>
      </c>
      <c r="E177" s="155" t="str">
        <f>'1월'!E180</f>
        <v>성공글로벌테크놀로지코리아</v>
      </c>
      <c r="F177" s="155" t="str">
        <f>'1월'!F180</f>
        <v>한국디지털오디오방송</v>
      </c>
      <c r="G177" s="156" t="str">
        <f>'1월'!G180</f>
        <v>MA</v>
      </c>
      <c r="H177" s="156" t="str">
        <f>'1월'!H180</f>
        <v>월간-성공</v>
      </c>
      <c r="I177" s="69" t="str">
        <f>'1월'!I180</f>
        <v>1월유지정비료 - 7/12회</v>
      </c>
      <c r="J177" s="122">
        <f>'1월'!J180</f>
        <v>1</v>
      </c>
      <c r="K177" s="15">
        <f>'1월'!K180</f>
        <v>1120200</v>
      </c>
      <c r="L177" s="16">
        <f>'1월'!L180</f>
        <v>1120200</v>
      </c>
      <c r="M177" s="15">
        <f>'1월'!M180</f>
        <v>112020</v>
      </c>
      <c r="N177" s="15">
        <f>'1월'!N180</f>
        <v>1232220</v>
      </c>
      <c r="O177" s="5" t="str">
        <f>'1월'!O180</f>
        <v>완료(3/31)</v>
      </c>
      <c r="P177" s="9" t="str">
        <f>'1월'!P180</f>
        <v>천범석</v>
      </c>
      <c r="Q177" s="5">
        <f>'1월'!Q180</f>
        <v>45658</v>
      </c>
      <c r="R177" s="209"/>
    </row>
    <row r="178" spans="1:18" ht="16.5" customHeight="1">
      <c r="A178" t="s">
        <v>64</v>
      </c>
      <c r="B178" s="10" t="str">
        <f>'1월'!B181</f>
        <v>SB-24042</v>
      </c>
      <c r="C178" s="12" t="str">
        <f>'1월'!C181</f>
        <v>ZTME0P</v>
      </c>
      <c r="D178" s="13">
        <f>'1월'!D181</f>
        <v>45688</v>
      </c>
      <c r="E178" s="155" t="str">
        <f>'1월'!E181</f>
        <v>성공글로벌테크놀로지코리아</v>
      </c>
      <c r="F178" s="155" t="str">
        <f>'1월'!F181</f>
        <v>심플키</v>
      </c>
      <c r="G178" s="168" t="str">
        <f>'1월'!G181</f>
        <v>MA</v>
      </c>
      <c r="H178" s="156" t="str">
        <f>'1월'!H181</f>
        <v>월간-성공</v>
      </c>
      <c r="I178" s="69" t="str">
        <f>'1월'!I181</f>
        <v>티시스 1월 유지정비료 - 8/17회</v>
      </c>
      <c r="J178" s="122">
        <f>'1월'!J181</f>
        <v>1</v>
      </c>
      <c r="K178" s="15">
        <f>'1월'!K181</f>
        <v>1706400</v>
      </c>
      <c r="L178" s="16">
        <f>'1월'!L181</f>
        <v>1706400</v>
      </c>
      <c r="M178" s="15">
        <f>'1월'!M181</f>
        <v>170640</v>
      </c>
      <c r="N178" s="15">
        <f>'1월'!N181</f>
        <v>1877040</v>
      </c>
      <c r="O178" s="5" t="str">
        <f>'1월'!O181</f>
        <v>완료(3/31)</v>
      </c>
      <c r="P178" s="9" t="str">
        <f>'1월'!P181</f>
        <v>천범석</v>
      </c>
      <c r="Q178" s="5">
        <f>'1월'!Q181</f>
        <v>45658</v>
      </c>
      <c r="R178" s="209" t="str">
        <f>'1월'!R181</f>
        <v>매출분기</v>
      </c>
    </row>
    <row r="179" spans="1:18" ht="16.5" customHeight="1">
      <c r="A179" t="s">
        <v>64</v>
      </c>
      <c r="B179" s="10" t="str">
        <f>'1월'!B182</f>
        <v>SB-24043</v>
      </c>
      <c r="C179" s="12" t="str">
        <f>'1월'!C182</f>
        <v>ZSA1F0</v>
      </c>
      <c r="D179" s="13">
        <f>'1월'!D182</f>
        <v>45688</v>
      </c>
      <c r="E179" s="155" t="str">
        <f>'1월'!E182</f>
        <v>성공글로벌테크놀로지코리아</v>
      </c>
      <c r="F179" s="155" t="str">
        <f>'1월'!F182</f>
        <v>이룸에스앤앤</v>
      </c>
      <c r="G179" s="168" t="str">
        <f>'1월'!G182</f>
        <v>MA</v>
      </c>
      <c r="H179" s="156" t="str">
        <f>'1월'!H182</f>
        <v>월간-성공</v>
      </c>
      <c r="I179" s="69" t="str">
        <f>'1월'!I182</f>
        <v>DB생명 1월 유지정비료 - 7/9회</v>
      </c>
      <c r="J179" s="122">
        <f>'1월'!J182</f>
        <v>1</v>
      </c>
      <c r="K179" s="15">
        <f>'1월'!K182</f>
        <v>173400</v>
      </c>
      <c r="L179" s="16">
        <f>'1월'!L182</f>
        <v>173400</v>
      </c>
      <c r="M179" s="15">
        <f>'1월'!M182</f>
        <v>17340</v>
      </c>
      <c r="N179" s="15">
        <f>'1월'!N182</f>
        <v>190740</v>
      </c>
      <c r="O179" s="5" t="str">
        <f>'1월'!O182</f>
        <v>완료(3/31)</v>
      </c>
      <c r="P179" s="9" t="str">
        <f>'1월'!P182</f>
        <v>천범석</v>
      </c>
      <c r="Q179" s="5">
        <f>'1월'!Q182</f>
        <v>45489</v>
      </c>
      <c r="R179" s="213" t="str">
        <f>'1월'!R182</f>
        <v>매출연간</v>
      </c>
    </row>
    <row r="180" spans="1:18" ht="16.5" customHeight="1">
      <c r="A180" t="s">
        <v>64</v>
      </c>
      <c r="B180" s="10" t="str">
        <f>'1월'!B183</f>
        <v>SB-24044</v>
      </c>
      <c r="C180" s="12" t="str">
        <f>'1월'!C183</f>
        <v>ZSWUX2</v>
      </c>
      <c r="D180" s="13">
        <f>'1월'!D183</f>
        <v>45688</v>
      </c>
      <c r="E180" s="155" t="str">
        <f>'1월'!E183</f>
        <v>성공글로벌테크놀로지코리아</v>
      </c>
      <c r="F180" s="155" t="str">
        <f>'1월'!F183</f>
        <v>다솜테크</v>
      </c>
      <c r="G180" s="168" t="str">
        <f>'1월'!G183</f>
        <v>MA</v>
      </c>
      <c r="H180" s="156" t="str">
        <f>'1월'!H183</f>
        <v>월간-성공</v>
      </c>
      <c r="I180" s="69" t="str">
        <f>'1월'!I183</f>
        <v>LX홀딩스 1월 유지정비료 - 7/12회</v>
      </c>
      <c r="J180" s="122">
        <f>'1월'!J183</f>
        <v>1</v>
      </c>
      <c r="K180" s="15">
        <f>'1월'!K183</f>
        <v>505200</v>
      </c>
      <c r="L180" s="16">
        <f>'1월'!L183</f>
        <v>505200</v>
      </c>
      <c r="M180" s="15">
        <f>'1월'!M183</f>
        <v>50520</v>
      </c>
      <c r="N180" s="15">
        <f>'1월'!N183</f>
        <v>555720</v>
      </c>
      <c r="O180" s="5" t="str">
        <f>'1월'!O183</f>
        <v>완료(3/31)</v>
      </c>
      <c r="P180" s="177" t="str">
        <f>'1월'!P183</f>
        <v>천범석</v>
      </c>
      <c r="Q180" s="5">
        <f>'1월'!Q183</f>
        <v>45681</v>
      </c>
      <c r="R180" s="209"/>
    </row>
    <row r="181" spans="1:18" ht="16.5" customHeight="1">
      <c r="A181" t="s">
        <v>64</v>
      </c>
      <c r="B181" s="10" t="str">
        <f>'1월'!B184</f>
        <v>SL-24021</v>
      </c>
      <c r="C181" s="12" t="str">
        <f>'1월'!C184</f>
        <v>ZTNAYA</v>
      </c>
      <c r="D181" s="13">
        <f>'1월'!D184</f>
        <v>45688</v>
      </c>
      <c r="E181" s="155" t="str">
        <f>'1월'!E184</f>
        <v>성공글로벌테크놀로지코리아</v>
      </c>
      <c r="F181" s="155" t="str">
        <f>'1월'!F184</f>
        <v>씨티아이앤씨</v>
      </c>
      <c r="G181" s="156" t="str">
        <f>'1월'!G184</f>
        <v>MA</v>
      </c>
      <c r="H181" s="156" t="str">
        <f>'1월'!H184</f>
        <v>월간-성공</v>
      </c>
      <c r="I181" s="69" t="str">
        <f>'1월'!I184</f>
        <v>한우리아이티 HW 1월 유지정비료 - 6/13회</v>
      </c>
      <c r="J181" s="122">
        <f>'1월'!J184</f>
        <v>1</v>
      </c>
      <c r="K181" s="15">
        <f>'1월'!K184</f>
        <v>334800</v>
      </c>
      <c r="L181" s="16">
        <f>'1월'!L184</f>
        <v>334800</v>
      </c>
      <c r="M181" s="15">
        <f>'1월'!M184</f>
        <v>33480</v>
      </c>
      <c r="N181" s="15">
        <f>'1월'!N184</f>
        <v>368280</v>
      </c>
      <c r="O181" s="5" t="str">
        <f>'1월'!O184</f>
        <v>완료(3/31)</v>
      </c>
      <c r="P181" s="9" t="str">
        <f>'1월'!P184</f>
        <v>천범석</v>
      </c>
      <c r="Q181" s="5">
        <f>'1월'!Q184</f>
        <v>45504</v>
      </c>
      <c r="R181" s="209" t="str">
        <f>'1월'!R184</f>
        <v>매출연간</v>
      </c>
    </row>
    <row r="182" spans="1:18" ht="16.5" customHeight="1">
      <c r="A182" t="s">
        <v>64</v>
      </c>
      <c r="B182" s="10" t="str">
        <f>'1월'!B185</f>
        <v>SB-24046</v>
      </c>
      <c r="C182" s="12" t="str">
        <f>'1월'!C185</f>
        <v>Z8LTG0</v>
      </c>
      <c r="D182" s="13">
        <f>'1월'!D185</f>
        <v>45688</v>
      </c>
      <c r="E182" s="155" t="str">
        <f>'1월'!E185</f>
        <v>성공글로벌테크놀로지코리아</v>
      </c>
      <c r="F182" s="155" t="str">
        <f>'1월'!F185</f>
        <v>다솜테크</v>
      </c>
      <c r="G182" s="156" t="str">
        <f>'1월'!G185</f>
        <v>MA</v>
      </c>
      <c r="H182" s="156" t="str">
        <f>'1월'!H185</f>
        <v>월간-성공</v>
      </c>
      <c r="I182" s="69" t="str">
        <f>'1월'!I185</f>
        <v>웰컴저축은행 1월 유지정비료 - 6/12회</v>
      </c>
      <c r="J182" s="122">
        <f>'1월'!J185</f>
        <v>1</v>
      </c>
      <c r="K182" s="15">
        <f>'1월'!K185</f>
        <v>204600</v>
      </c>
      <c r="L182" s="16">
        <f>'1월'!L185</f>
        <v>204600</v>
      </c>
      <c r="M182" s="15">
        <f>'1월'!M185</f>
        <v>20460</v>
      </c>
      <c r="N182" s="15">
        <f>'1월'!N185</f>
        <v>225060</v>
      </c>
      <c r="O182" s="5" t="str">
        <f>'1월'!O185</f>
        <v>완료(3/31)</v>
      </c>
      <c r="P182" s="9" t="str">
        <f>'1월'!P185</f>
        <v>천범석</v>
      </c>
      <c r="Q182" s="5">
        <f>'1월'!Q185</f>
        <v>45681</v>
      </c>
      <c r="R182" s="209"/>
    </row>
    <row r="183" spans="1:18" ht="16.5" customHeight="1">
      <c r="A183" t="s">
        <v>64</v>
      </c>
      <c r="B183" s="10" t="str">
        <f>'1월'!B186</f>
        <v>SB-24047</v>
      </c>
      <c r="C183" s="12" t="str">
        <f>'1월'!C186</f>
        <v>ZPANSR</v>
      </c>
      <c r="D183" s="13">
        <f>'1월'!D186</f>
        <v>45688</v>
      </c>
      <c r="E183" s="155" t="str">
        <f>'1월'!E186</f>
        <v>성공글로벌테크놀로지코리아</v>
      </c>
      <c r="F183" s="155" t="str">
        <f>'1월'!F186</f>
        <v>현대종합금속</v>
      </c>
      <c r="G183" s="156" t="str">
        <f>'1월'!G186</f>
        <v>MA</v>
      </c>
      <c r="H183" s="156" t="str">
        <f>'1월'!H186</f>
        <v>월간-성공</v>
      </c>
      <c r="I183" s="69" t="str">
        <f>'1월'!I186</f>
        <v>1월 유지정비료 - 7/12회</v>
      </c>
      <c r="J183" s="122">
        <f>'1월'!J186</f>
        <v>1</v>
      </c>
      <c r="K183" s="15">
        <f>'1월'!K186</f>
        <v>499500</v>
      </c>
      <c r="L183" s="16">
        <f>'1월'!L186</f>
        <v>499500</v>
      </c>
      <c r="M183" s="15">
        <f>'1월'!M186</f>
        <v>49950</v>
      </c>
      <c r="N183" s="15">
        <f>'1월'!N186</f>
        <v>549450</v>
      </c>
      <c r="O183" s="5" t="str">
        <f>'1월'!O186</f>
        <v>완료(3/31)</v>
      </c>
      <c r="P183" s="9" t="str">
        <f>'1월'!P186</f>
        <v>천범석</v>
      </c>
      <c r="Q183" s="5">
        <f>'1월'!Q186</f>
        <v>45681</v>
      </c>
      <c r="R183" s="209"/>
    </row>
    <row r="184" spans="1:18" ht="16.5" customHeight="1">
      <c r="A184" t="s">
        <v>64</v>
      </c>
      <c r="B184" s="10" t="str">
        <f>'1월'!B187</f>
        <v>SB-24045</v>
      </c>
      <c r="C184" s="12" t="str">
        <f>'1월'!C187</f>
        <v>ZQJ1BB</v>
      </c>
      <c r="D184" s="13">
        <f>'1월'!D187</f>
        <v>45688</v>
      </c>
      <c r="E184" s="155" t="str">
        <f>'1월'!E187</f>
        <v>성공글로벌테크놀로지코리아</v>
      </c>
      <c r="F184" s="155" t="str">
        <f>'1월'!F187</f>
        <v>아이엘에스</v>
      </c>
      <c r="G184" s="156" t="str">
        <f>'1월'!G187</f>
        <v>MA</v>
      </c>
      <c r="H184" s="156" t="str">
        <f>'1월'!H187</f>
        <v>월간-성공</v>
      </c>
      <c r="I184" s="69" t="str">
        <f>'1월'!I187</f>
        <v>롯데홈쇼핑 1월 유지정비료 - 8/13회</v>
      </c>
      <c r="J184" s="122">
        <f>'1월'!J187</f>
        <v>1</v>
      </c>
      <c r="K184" s="15">
        <f>'1월'!K187</f>
        <v>251700</v>
      </c>
      <c r="L184" s="16">
        <f>'1월'!L187</f>
        <v>251700</v>
      </c>
      <c r="M184" s="15">
        <f>'1월'!M187</f>
        <v>25170</v>
      </c>
      <c r="N184" s="15">
        <f>'1월'!N187</f>
        <v>276870</v>
      </c>
      <c r="O184" s="5" t="str">
        <f>'1월'!O187</f>
        <v>완료(3/31)</v>
      </c>
      <c r="P184" s="9" t="str">
        <f>'1월'!P187</f>
        <v>천범석</v>
      </c>
      <c r="Q184" s="5">
        <f>'1월'!Q187</f>
        <v>45504</v>
      </c>
      <c r="R184" s="209" t="str">
        <f>'1월'!R187</f>
        <v>매출연간</v>
      </c>
    </row>
    <row r="185" spans="1:18" ht="16.5" customHeight="1">
      <c r="A185" t="s">
        <v>64</v>
      </c>
      <c r="B185" s="10" t="str">
        <f>'1월'!B188</f>
        <v>SB-24048</v>
      </c>
      <c r="C185" s="12" t="str">
        <f>'1월'!C188</f>
        <v>ZEKFHM</v>
      </c>
      <c r="D185" s="13">
        <f>'1월'!D188</f>
        <v>45688</v>
      </c>
      <c r="E185" s="155" t="str">
        <f>'1월'!E188</f>
        <v>성공글로벌테크놀로지코리아</v>
      </c>
      <c r="F185" s="155" t="str">
        <f>'1월'!F188</f>
        <v>에이트랙</v>
      </c>
      <c r="G185" s="156" t="str">
        <f>'1월'!G188</f>
        <v>MA</v>
      </c>
      <c r="H185" s="156" t="str">
        <f>'1월'!H188</f>
        <v>월간-성공</v>
      </c>
      <c r="I185" s="69" t="str">
        <f>'1월'!I188</f>
        <v>한림대 1월 유지정비료 - 5/6회</v>
      </c>
      <c r="J185" s="122">
        <f>'1월'!J188</f>
        <v>1</v>
      </c>
      <c r="K185" s="15">
        <f>'1월'!K188</f>
        <v>111600</v>
      </c>
      <c r="L185" s="16">
        <f>'1월'!L188</f>
        <v>111600</v>
      </c>
      <c r="M185" s="15">
        <f>'1월'!M188</f>
        <v>11160</v>
      </c>
      <c r="N185" s="15">
        <f>'1월'!N188</f>
        <v>122760</v>
      </c>
      <c r="O185" s="5" t="str">
        <f>'1월'!O188</f>
        <v>완료(3/31)</v>
      </c>
      <c r="P185" s="9" t="str">
        <f>'1월'!P188</f>
        <v>천범석</v>
      </c>
      <c r="Q185" s="5">
        <f>'1월'!Q188</f>
        <v>45590</v>
      </c>
      <c r="R185" s="209" t="str">
        <f>'1월'!R188</f>
        <v>매출연간</v>
      </c>
    </row>
    <row r="186" spans="1:18" ht="16.5" customHeight="1">
      <c r="A186" t="s">
        <v>64</v>
      </c>
      <c r="B186" s="10" t="str">
        <f>'1월'!B189</f>
        <v>LI-24009</v>
      </c>
      <c r="C186" s="12" t="str">
        <f>'1월'!C189</f>
        <v>ZMDFL5</v>
      </c>
      <c r="D186" s="13">
        <f>'1월'!D189</f>
        <v>45688</v>
      </c>
      <c r="E186" s="155" t="str">
        <f>'1월'!E189</f>
        <v>성공글로벌테크놀로지코리아</v>
      </c>
      <c r="F186" s="155" t="str">
        <f>'1월'!F189</f>
        <v>아이리스인포테크</v>
      </c>
      <c r="G186" s="156" t="str">
        <f>'1월'!G189</f>
        <v>MA</v>
      </c>
      <c r="H186" s="156" t="str">
        <f>'1월'!H189</f>
        <v>월간-성공</v>
      </c>
      <c r="I186" s="69" t="str">
        <f>'1월'!I189</f>
        <v>프레이저플레이스 1월 유지정비료 - 6/12회</v>
      </c>
      <c r="J186" s="122">
        <f>'1월'!J189</f>
        <v>1</v>
      </c>
      <c r="K186" s="15">
        <f>'1월'!K189</f>
        <v>276600</v>
      </c>
      <c r="L186" s="16">
        <f>'1월'!L189</f>
        <v>276600</v>
      </c>
      <c r="M186" s="15">
        <f>'1월'!M189</f>
        <v>27660</v>
      </c>
      <c r="N186" s="15">
        <f>'1월'!N189</f>
        <v>304260</v>
      </c>
      <c r="O186" s="5" t="str">
        <f>'1월'!O189</f>
        <v>완료(3/31)</v>
      </c>
      <c r="P186" s="9" t="str">
        <f>'1월'!P189</f>
        <v>천범석</v>
      </c>
      <c r="Q186" s="5">
        <f>'1월'!Q189</f>
        <v>45534</v>
      </c>
      <c r="R186" s="209" t="str">
        <f>'1월'!R189</f>
        <v>매출연간</v>
      </c>
    </row>
    <row r="187" spans="1:18" ht="16.5" customHeight="1">
      <c r="A187" t="s">
        <v>64</v>
      </c>
      <c r="B187" s="10" t="str">
        <f>'1월'!B190</f>
        <v>SB-24049</v>
      </c>
      <c r="C187" s="12" t="str">
        <f>'1월'!C190</f>
        <v>ZNUJRM</v>
      </c>
      <c r="D187" s="13">
        <f>'1월'!D190</f>
        <v>45688</v>
      </c>
      <c r="E187" s="155" t="str">
        <f>'1월'!E190</f>
        <v>성공글로벌테크놀로지코리아</v>
      </c>
      <c r="F187" s="155" t="str">
        <f>'1월'!F190</f>
        <v>아이엘에스</v>
      </c>
      <c r="G187" s="156" t="str">
        <f>'1월'!G190</f>
        <v>MA</v>
      </c>
      <c r="H187" s="156" t="str">
        <f>'1월'!H190</f>
        <v>월간-성공</v>
      </c>
      <c r="I187" s="69" t="str">
        <f>'1월'!I190</f>
        <v>1월 유지정비료 - 5/12회</v>
      </c>
      <c r="J187" s="122">
        <f>'1월'!J190</f>
        <v>1</v>
      </c>
      <c r="K187" s="15">
        <f>'1월'!K190</f>
        <v>226200</v>
      </c>
      <c r="L187" s="16">
        <f>'1월'!L190</f>
        <v>226200</v>
      </c>
      <c r="M187" s="15">
        <f>'1월'!M190</f>
        <v>22620</v>
      </c>
      <c r="N187" s="15">
        <f>'1월'!N190</f>
        <v>248820</v>
      </c>
      <c r="O187" s="5" t="str">
        <f>'1월'!O190</f>
        <v>완료(3/31)</v>
      </c>
      <c r="P187" s="9" t="str">
        <f>'1월'!P190</f>
        <v>천범석</v>
      </c>
      <c r="Q187" s="5">
        <f>'1월'!Q190</f>
        <v>45565</v>
      </c>
      <c r="R187" s="209" t="str">
        <f>'1월'!R190</f>
        <v>매출연간</v>
      </c>
    </row>
    <row r="188" spans="1:18" ht="16.5" customHeight="1">
      <c r="A188" t="s">
        <v>64</v>
      </c>
      <c r="B188" s="10" t="str">
        <f>'1월'!B191</f>
        <v>SB-24050</v>
      </c>
      <c r="C188" s="12" t="str">
        <f>'1월'!C191</f>
        <v>ZTHGTA</v>
      </c>
      <c r="D188" s="13">
        <f>'1월'!D191</f>
        <v>45688</v>
      </c>
      <c r="E188" s="155" t="str">
        <f>'1월'!E191</f>
        <v>성공글로벌테크놀로지코리아</v>
      </c>
      <c r="F188" s="155" t="str">
        <f>'1월'!F191</f>
        <v>조선해운</v>
      </c>
      <c r="G188" s="168" t="str">
        <f>'1월'!G191</f>
        <v>MA</v>
      </c>
      <c r="H188" s="156" t="str">
        <f>'1월'!H191</f>
        <v>월간-성공</v>
      </c>
      <c r="I188" s="69" t="str">
        <f>'1월'!I191</f>
        <v>1월 유지정비료 - 5/13회</v>
      </c>
      <c r="J188" s="122">
        <f>'1월'!J191</f>
        <v>1</v>
      </c>
      <c r="K188" s="15">
        <f>'1월'!K191</f>
        <v>78000</v>
      </c>
      <c r="L188" s="16">
        <f>'1월'!L191</f>
        <v>78000</v>
      </c>
      <c r="M188" s="15">
        <f>'1월'!M191</f>
        <v>7800</v>
      </c>
      <c r="N188" s="15">
        <f>'1월'!N191</f>
        <v>85800</v>
      </c>
      <c r="O188" s="5" t="str">
        <f>'1월'!O191</f>
        <v>완료(3/31)</v>
      </c>
      <c r="P188" s="9" t="str">
        <f>'1월'!P191</f>
        <v>천범석</v>
      </c>
      <c r="Q188" s="5">
        <f>'1월'!Q191</f>
        <v>45565</v>
      </c>
      <c r="R188" s="209" t="str">
        <f>'1월'!R191</f>
        <v>매출연간</v>
      </c>
    </row>
    <row r="189" spans="1:18" ht="16.5" customHeight="1">
      <c r="A189" t="s">
        <v>64</v>
      </c>
      <c r="B189" s="10" t="str">
        <f>'1월'!B192</f>
        <v>SB-24051</v>
      </c>
      <c r="C189" s="12" t="str">
        <f>'1월'!C192</f>
        <v>ZWMXXL</v>
      </c>
      <c r="D189" s="13">
        <f>'1월'!D192</f>
        <v>45688</v>
      </c>
      <c r="E189" s="155" t="str">
        <f>'1월'!E192</f>
        <v>성공글로벌테크놀로지코리아</v>
      </c>
      <c r="F189" s="155" t="str">
        <f>'1월'!F192</f>
        <v>지노스</v>
      </c>
      <c r="G189" s="168" t="str">
        <f>'1월'!G192</f>
        <v>MA</v>
      </c>
      <c r="H189" s="156" t="str">
        <f>'1월'!H192</f>
        <v>월간-성공</v>
      </c>
      <c r="I189" s="69" t="str">
        <f>'1월'!I192</f>
        <v>1월 유지정비료 - 4/15회</v>
      </c>
      <c r="J189" s="122">
        <f>'1월'!J192</f>
        <v>1</v>
      </c>
      <c r="K189" s="15">
        <f>'1월'!K192</f>
        <v>534900</v>
      </c>
      <c r="L189" s="16">
        <f>'1월'!L192</f>
        <v>534900</v>
      </c>
      <c r="M189" s="15">
        <f>'1월'!M192</f>
        <v>53490</v>
      </c>
      <c r="N189" s="15">
        <f>'1월'!N192</f>
        <v>588390</v>
      </c>
      <c r="O189" s="5" t="str">
        <f>'1월'!O192</f>
        <v>완료(3/31)</v>
      </c>
      <c r="P189" s="9" t="str">
        <f>'1월'!P192</f>
        <v>천범석</v>
      </c>
      <c r="Q189" s="5">
        <f>'1월'!Q192</f>
        <v>45560</v>
      </c>
      <c r="R189" s="209" t="str">
        <f>'1월'!R192</f>
        <v>매출연간</v>
      </c>
    </row>
    <row r="190" spans="1:18" ht="16.5" customHeight="1">
      <c r="A190" t="s">
        <v>64</v>
      </c>
      <c r="B190" s="10" t="str">
        <f>'1월'!B193</f>
        <v>SB-24052</v>
      </c>
      <c r="C190" s="12" t="str">
        <f>'1월'!C193</f>
        <v>ZUIU6G</v>
      </c>
      <c r="D190" s="13">
        <f>'1월'!D193</f>
        <v>45688</v>
      </c>
      <c r="E190" s="155" t="str">
        <f>'1월'!E193</f>
        <v>성공글로벌테크놀로지코리아</v>
      </c>
      <c r="F190" s="155" t="str">
        <f>'1월'!F193</f>
        <v>유티모스트아이엔에스</v>
      </c>
      <c r="G190" s="168" t="str">
        <f>'1월'!G193</f>
        <v>MA</v>
      </c>
      <c r="H190" s="156" t="str">
        <f>'1월'!H193</f>
        <v>월간-성공</v>
      </c>
      <c r="I190" s="69" t="str">
        <f>'1월'!I193</f>
        <v>삼성중공업 1월 유지정비료 - 5/16회</v>
      </c>
      <c r="J190" s="122">
        <f>'1월'!J193</f>
        <v>1</v>
      </c>
      <c r="K190" s="15">
        <f>'1월'!K193</f>
        <v>11892900</v>
      </c>
      <c r="L190" s="16">
        <f>'1월'!L193</f>
        <v>11892900</v>
      </c>
      <c r="M190" s="15">
        <f>'1월'!M193</f>
        <v>1189290</v>
      </c>
      <c r="N190" s="15">
        <f>'1월'!N193</f>
        <v>13082190</v>
      </c>
      <c r="O190" s="5" t="str">
        <f>'1월'!O193</f>
        <v>완료(3/31)</v>
      </c>
      <c r="P190" s="9" t="str">
        <f>'1월'!P193</f>
        <v>천범석</v>
      </c>
      <c r="Q190" s="5">
        <f>'1월'!Q193</f>
        <v>45681</v>
      </c>
      <c r="R190" s="209"/>
    </row>
    <row r="191" spans="1:18" ht="16.5" customHeight="1">
      <c r="A191" t="s">
        <v>64</v>
      </c>
      <c r="B191" s="10" t="str">
        <f>'1월'!B194</f>
        <v>SB-24058</v>
      </c>
      <c r="C191" s="12" t="str">
        <f>'1월'!C194</f>
        <v>ZM9LCT</v>
      </c>
      <c r="D191" s="13">
        <f>'1월'!D194</f>
        <v>45688</v>
      </c>
      <c r="E191" s="155" t="str">
        <f>'1월'!E194</f>
        <v>성공글로벌테크놀로지코리아</v>
      </c>
      <c r="F191" s="155" t="str">
        <f>'1월'!F194</f>
        <v>에이스기계</v>
      </c>
      <c r="G191" s="168" t="str">
        <f>'1월'!G194</f>
        <v>MA</v>
      </c>
      <c r="H191" s="156" t="str">
        <f>'1월'!H194</f>
        <v>월간-성공</v>
      </c>
      <c r="I191" s="69" t="str">
        <f>'1월'!I194</f>
        <v>1월 유지정비료 - 4/13회</v>
      </c>
      <c r="J191" s="122">
        <f>'1월'!J194</f>
        <v>1</v>
      </c>
      <c r="K191" s="15">
        <f>'1월'!K194</f>
        <v>48900</v>
      </c>
      <c r="L191" s="16">
        <f>'1월'!L194</f>
        <v>48900</v>
      </c>
      <c r="M191" s="15">
        <f>'1월'!M194</f>
        <v>4890</v>
      </c>
      <c r="N191" s="15">
        <f>'1월'!N194</f>
        <v>53790</v>
      </c>
      <c r="O191" s="5" t="str">
        <f>'1월'!O194</f>
        <v>완료(3/31)</v>
      </c>
      <c r="P191" s="9" t="str">
        <f>'1월'!P194</f>
        <v>천범석</v>
      </c>
      <c r="Q191" s="5">
        <f>'1월'!Q194</f>
        <v>45590</v>
      </c>
      <c r="R191" s="209" t="str">
        <f>'1월'!R194</f>
        <v>매출연간</v>
      </c>
    </row>
    <row r="192" spans="1:18" ht="16.5" customHeight="1">
      <c r="A192" t="s">
        <v>64</v>
      </c>
      <c r="B192" s="10" t="str">
        <f>'1월'!B195</f>
        <v>SB-24054</v>
      </c>
      <c r="C192" s="12" t="str">
        <f>'1월'!C195</f>
        <v>ZGYCOY</v>
      </c>
      <c r="D192" s="13">
        <f>'1월'!D195</f>
        <v>45688</v>
      </c>
      <c r="E192" s="155" t="str">
        <f>'1월'!E195</f>
        <v>성공글로벌테크놀로지코리아</v>
      </c>
      <c r="F192" s="155" t="str">
        <f>'1월'!F195</f>
        <v>지인아이티</v>
      </c>
      <c r="G192" s="168" t="str">
        <f>'1월'!G195</f>
        <v>MA</v>
      </c>
      <c r="H192" s="156" t="str">
        <f>'1월'!H195</f>
        <v>월간-성공</v>
      </c>
      <c r="I192" s="69" t="str">
        <f>'1월'!I195</f>
        <v>유아이티 1월 유지정비료 - 4/13회</v>
      </c>
      <c r="J192" s="122">
        <f>'1월'!J195</f>
        <v>1</v>
      </c>
      <c r="K192" s="15">
        <f>'1월'!K195</f>
        <v>306300</v>
      </c>
      <c r="L192" s="16">
        <f>'1월'!L195</f>
        <v>306300</v>
      </c>
      <c r="M192" s="15">
        <f>'1월'!M195</f>
        <v>30630</v>
      </c>
      <c r="N192" s="15">
        <f>'1월'!N195</f>
        <v>336930</v>
      </c>
      <c r="O192" s="5" t="str">
        <f>'1월'!O195</f>
        <v>완료(3/31)</v>
      </c>
      <c r="P192" s="9" t="str">
        <f>'1월'!P195</f>
        <v>천범석</v>
      </c>
      <c r="Q192" s="5">
        <f>'1월'!Q195</f>
        <v>45596</v>
      </c>
      <c r="R192" s="209" t="str">
        <f>'1월'!R195</f>
        <v>매출연간</v>
      </c>
    </row>
    <row r="193" spans="1:18" ht="16.5" customHeight="1">
      <c r="A193" t="s">
        <v>64</v>
      </c>
      <c r="B193" s="10" t="str">
        <f>'1월'!B196</f>
        <v>SB-24055</v>
      </c>
      <c r="C193" s="12" t="str">
        <f>'1월'!C196</f>
        <v>ZAXJCH</v>
      </c>
      <c r="D193" s="13">
        <f>'1월'!D196</f>
        <v>45688</v>
      </c>
      <c r="E193" s="155" t="str">
        <f>'1월'!E196</f>
        <v>성공글로벌테크놀로지코리아</v>
      </c>
      <c r="F193" s="155" t="str">
        <f>'1월'!F196</f>
        <v>이룸인프라</v>
      </c>
      <c r="G193" s="168" t="str">
        <f>'1월'!G196</f>
        <v>MA</v>
      </c>
      <c r="H193" s="156" t="str">
        <f>'1월'!H196</f>
        <v>월간-성공</v>
      </c>
      <c r="I193" s="69" t="str">
        <f>'1월'!I196</f>
        <v>포스코 1월 유지정비료 - 4/15회</v>
      </c>
      <c r="J193" s="122">
        <f>'1월'!J196</f>
        <v>1</v>
      </c>
      <c r="K193" s="15">
        <f>'1월'!K196</f>
        <v>655500</v>
      </c>
      <c r="L193" s="16">
        <f>'1월'!L196</f>
        <v>655500</v>
      </c>
      <c r="M193" s="15">
        <f>'1월'!M196</f>
        <v>65550</v>
      </c>
      <c r="N193" s="15">
        <f>'1월'!N196</f>
        <v>721050</v>
      </c>
      <c r="O193" s="5" t="str">
        <f>'1월'!O196</f>
        <v>완료(3/31)</v>
      </c>
      <c r="P193" s="9" t="str">
        <f>'1월'!P196</f>
        <v>천범석</v>
      </c>
      <c r="Q193" s="5">
        <f>'1월'!Q196</f>
        <v>45681</v>
      </c>
      <c r="R193" s="209"/>
    </row>
    <row r="194" spans="1:18" ht="16.5" customHeight="1">
      <c r="A194" t="s">
        <v>64</v>
      </c>
      <c r="B194" s="10" t="str">
        <f>'1월'!B197</f>
        <v>SB-24055</v>
      </c>
      <c r="C194" s="12" t="str">
        <f>'1월'!C197</f>
        <v>ZP1BPN</v>
      </c>
      <c r="D194" s="13">
        <f>'1월'!D197</f>
        <v>45688</v>
      </c>
      <c r="E194" s="155" t="str">
        <f>'1월'!E197</f>
        <v>성공글로벌테크놀로지코리아</v>
      </c>
      <c r="F194" s="155" t="str">
        <f>'1월'!F197</f>
        <v>이룸인프라</v>
      </c>
      <c r="G194" s="168" t="str">
        <f>'1월'!G197</f>
        <v>MA</v>
      </c>
      <c r="H194" s="156" t="str">
        <f>'1월'!H197</f>
        <v>월간-성공</v>
      </c>
      <c r="I194" s="69" t="str">
        <f>'1월'!I197</f>
        <v>포스코 1월 유지정비료 - 3/14회</v>
      </c>
      <c r="J194" s="122">
        <f>'1월'!J197</f>
        <v>1</v>
      </c>
      <c r="K194" s="15">
        <f>'1월'!K197</f>
        <v>1981200</v>
      </c>
      <c r="L194" s="16">
        <f>'1월'!L197</f>
        <v>1981200</v>
      </c>
      <c r="M194" s="15">
        <f>'1월'!M197</f>
        <v>198120</v>
      </c>
      <c r="N194" s="15">
        <f>'1월'!N197</f>
        <v>2179320</v>
      </c>
      <c r="O194" s="5" t="str">
        <f>'1월'!O197</f>
        <v>완료(3/31)</v>
      </c>
      <c r="P194" s="9" t="str">
        <f>'1월'!P197</f>
        <v>천범석</v>
      </c>
      <c r="Q194" s="5">
        <f>'1월'!Q197</f>
        <v>45681</v>
      </c>
      <c r="R194" s="209"/>
    </row>
    <row r="195" spans="1:18" ht="16.5" customHeight="1">
      <c r="A195" t="s">
        <v>64</v>
      </c>
      <c r="B195" s="10" t="str">
        <f>'1월'!B198</f>
        <v>SB-24059</v>
      </c>
      <c r="C195" s="12" t="str">
        <f>'1월'!C198</f>
        <v>ZISA1K</v>
      </c>
      <c r="D195" s="13">
        <f>'1월'!D198</f>
        <v>45688</v>
      </c>
      <c r="E195" s="155" t="str">
        <f>'1월'!E198</f>
        <v>성공글로벌테크놀로지코리아</v>
      </c>
      <c r="F195" s="155" t="str">
        <f>'1월'!F198</f>
        <v>유노스</v>
      </c>
      <c r="G195" s="168" t="str">
        <f>'1월'!G198</f>
        <v>MA</v>
      </c>
      <c r="H195" s="156" t="str">
        <f>'1월'!H198</f>
        <v>월간-성공</v>
      </c>
      <c r="I195" s="69" t="str">
        <f>'1월'!I198</f>
        <v>신성통상 1월 유지정비료 - 2/12회</v>
      </c>
      <c r="J195" s="122">
        <f>'1월'!J198</f>
        <v>1</v>
      </c>
      <c r="K195" s="15">
        <f>'1월'!K198</f>
        <v>277800</v>
      </c>
      <c r="L195" s="16">
        <f>'1월'!L198</f>
        <v>277800</v>
      </c>
      <c r="M195" s="15">
        <f>'1월'!M198</f>
        <v>27780</v>
      </c>
      <c r="N195" s="15">
        <f>'1월'!N198</f>
        <v>305580</v>
      </c>
      <c r="O195" s="5" t="str">
        <f>'1월'!O198</f>
        <v>완료(3/31)</v>
      </c>
      <c r="P195" s="9" t="str">
        <f>'1월'!P198</f>
        <v>천범석</v>
      </c>
      <c r="Q195" s="5">
        <f>'1월'!Q198</f>
        <v>45627</v>
      </c>
      <c r="R195" s="209" t="str">
        <f>'1월'!R198</f>
        <v>매출연간</v>
      </c>
    </row>
    <row r="196" spans="1:18" ht="16.5" customHeight="1">
      <c r="B196" s="10" t="str">
        <f>'1월'!B199</f>
        <v>SB-25001</v>
      </c>
      <c r="C196" s="12" t="str">
        <f>'1월'!C199</f>
        <v>ZXRZHC</v>
      </c>
      <c r="D196" s="13">
        <f>'1월'!D199</f>
        <v>45688</v>
      </c>
      <c r="E196" s="155" t="str">
        <f>'1월'!E199</f>
        <v>성공글로벌테크놀로지코리아</v>
      </c>
      <c r="F196" s="155" t="str">
        <f>'1월'!F199</f>
        <v>퓨처젠</v>
      </c>
      <c r="G196" s="168" t="str">
        <f>'1월'!G199</f>
        <v>MA</v>
      </c>
      <c r="H196" s="156" t="str">
        <f>'1월'!H199</f>
        <v>월간-성공</v>
      </c>
      <c r="I196" s="69" t="str">
        <f>'1월'!I199</f>
        <v>HB(에이치비)저축은행 1월 유지정비료 - 1/12회</v>
      </c>
      <c r="J196" s="122">
        <f>'1월'!J199</f>
        <v>1</v>
      </c>
      <c r="K196" s="15">
        <f>'1월'!K199</f>
        <v>741900</v>
      </c>
      <c r="L196" s="16">
        <f>'1월'!L199</f>
        <v>741900</v>
      </c>
      <c r="M196" s="16">
        <f>'1월'!M199</f>
        <v>74190</v>
      </c>
      <c r="N196" s="15">
        <f>'1월'!N199</f>
        <v>816090</v>
      </c>
      <c r="O196" s="5" t="str">
        <f>'1월'!O199</f>
        <v>완료(3/31)</v>
      </c>
      <c r="P196" s="9" t="str">
        <f>'1월'!P199</f>
        <v>천범석</v>
      </c>
      <c r="Q196" s="5">
        <f>'1월'!Q199</f>
        <v>45681</v>
      </c>
      <c r="R196" s="213"/>
    </row>
    <row r="197" spans="1:18" ht="16.5" customHeight="1">
      <c r="B197" s="10" t="str">
        <f>'1월'!B200</f>
        <v>SB-25004</v>
      </c>
      <c r="C197" s="12" t="str">
        <f>'1월'!C200</f>
        <v>ZDCPQK</v>
      </c>
      <c r="D197" s="13">
        <f>'1월'!D200</f>
        <v>45688</v>
      </c>
      <c r="E197" s="155" t="str">
        <f>'1월'!E200</f>
        <v>성공글로벌테크놀로지코리아</v>
      </c>
      <c r="F197" s="155" t="str">
        <f>'1월'!F200</f>
        <v>솔리드이엔지</v>
      </c>
      <c r="G197" s="168" t="str">
        <f>'1월'!G200</f>
        <v>MA</v>
      </c>
      <c r="H197" s="156" t="str">
        <f>'1월'!H200</f>
        <v>월간-성공</v>
      </c>
      <c r="I197" s="69" t="str">
        <f>'1월'!I200</f>
        <v>삼성중공업 1월 유지정비료 - 1/12회</v>
      </c>
      <c r="J197" s="122">
        <f>'1월'!J200</f>
        <v>1</v>
      </c>
      <c r="K197" s="15">
        <f>'1월'!K200</f>
        <v>531600</v>
      </c>
      <c r="L197" s="16">
        <f>'1월'!L200</f>
        <v>531600</v>
      </c>
      <c r="M197" s="16">
        <f>'1월'!M200</f>
        <v>53160</v>
      </c>
      <c r="N197" s="15">
        <f>'1월'!N200</f>
        <v>584760</v>
      </c>
      <c r="O197" s="5" t="str">
        <f>'1월'!O200</f>
        <v>완료(3/31)</v>
      </c>
      <c r="P197" s="9" t="str">
        <f>'1월'!P200</f>
        <v>천범석</v>
      </c>
      <c r="Q197" s="5">
        <f>'1월'!Q200</f>
        <v>45681</v>
      </c>
      <c r="R197" s="213"/>
    </row>
    <row r="198" spans="1:18" ht="16.5" customHeight="1">
      <c r="B198" s="10" t="str">
        <f>'1월'!B201</f>
        <v>SB-25005</v>
      </c>
      <c r="C198" s="12" t="str">
        <f>'1월'!C201</f>
        <v>ZSUEIX</v>
      </c>
      <c r="D198" s="13">
        <f>'1월'!D201</f>
        <v>45688</v>
      </c>
      <c r="E198" s="155" t="str">
        <f>'1월'!E201</f>
        <v>성공글로벌테크놀로지코리아</v>
      </c>
      <c r="F198" s="155" t="str">
        <f>'1월'!F201</f>
        <v>제이엔테크놀러지</v>
      </c>
      <c r="G198" s="168" t="str">
        <f>'1월'!G201</f>
        <v>MA</v>
      </c>
      <c r="H198" s="156" t="str">
        <f>'1월'!H201</f>
        <v>월간-성공</v>
      </c>
      <c r="I198" s="69" t="str">
        <f>'1월'!I201</f>
        <v>SK실트론 1월 유지정비료 1/12회</v>
      </c>
      <c r="J198" s="122">
        <f>'1월'!J201</f>
        <v>1</v>
      </c>
      <c r="K198" s="15">
        <f>'1월'!K201</f>
        <v>502800</v>
      </c>
      <c r="L198" s="16">
        <f>'1월'!L201</f>
        <v>502800</v>
      </c>
      <c r="M198" s="16">
        <f>'1월'!M201</f>
        <v>50280</v>
      </c>
      <c r="N198" s="15">
        <f>'1월'!N201</f>
        <v>553080</v>
      </c>
      <c r="O198" s="5" t="str">
        <f>'1월'!O201</f>
        <v>완료(3/31)</v>
      </c>
      <c r="P198" s="9" t="str">
        <f>'1월'!P201</f>
        <v>천범석</v>
      </c>
      <c r="Q198" s="5">
        <f>'1월'!Q201</f>
        <v>45681</v>
      </c>
      <c r="R198" s="213"/>
    </row>
    <row r="199" spans="1:18" ht="16.5" customHeight="1">
      <c r="A199" t="s">
        <v>64</v>
      </c>
      <c r="B199" s="10" t="str">
        <f>'1월'!B202</f>
        <v>SM-25003</v>
      </c>
      <c r="C199" s="12" t="str">
        <f>'1월'!C202</f>
        <v>ZZ6BIS</v>
      </c>
      <c r="D199" s="13">
        <f>'1월'!D202</f>
        <v>45688</v>
      </c>
      <c r="E199" s="155" t="str">
        <f>'1월'!E202</f>
        <v>성공글로벌테크놀로지코리아</v>
      </c>
      <c r="F199" s="155" t="str">
        <f>'1월'!F202</f>
        <v>씨제이 씨지브이 통합</v>
      </c>
      <c r="G199" s="168" t="str">
        <f>'1월'!G202</f>
        <v>MA</v>
      </c>
      <c r="H199" s="156" t="str">
        <f>'1월'!H202</f>
        <v>월간-성공</v>
      </c>
      <c r="I199" s="69" t="str">
        <f>'1월'!I202</f>
        <v>1월 유지정비료 - 1/12회</v>
      </c>
      <c r="J199" s="122">
        <f>'1월'!J202</f>
        <v>1</v>
      </c>
      <c r="K199" s="15">
        <f>'1월'!K202</f>
        <v>1417500</v>
      </c>
      <c r="L199" s="16">
        <f>'1월'!L202</f>
        <v>1417500</v>
      </c>
      <c r="M199" s="16">
        <f>'1월'!M202</f>
        <v>141750</v>
      </c>
      <c r="N199" s="15">
        <f>'1월'!N202</f>
        <v>1559250</v>
      </c>
      <c r="O199" s="5" t="str">
        <f>'1월'!O202</f>
        <v>완료(3/31)</v>
      </c>
      <c r="P199" s="9" t="str">
        <f>'1월'!P202</f>
        <v>천범석</v>
      </c>
      <c r="Q199" s="5">
        <f>'1월'!Q202</f>
        <v>45666</v>
      </c>
      <c r="R199" s="213" t="str">
        <f>'1월'!R202</f>
        <v>매출연간</v>
      </c>
    </row>
    <row r="200" spans="1:18" ht="16.5" customHeight="1">
      <c r="A200" t="s">
        <v>64</v>
      </c>
      <c r="B200" s="10" t="str">
        <f>'1월'!B203</f>
        <v>SB-25007</v>
      </c>
      <c r="C200" s="12" t="str">
        <f>'1월'!C203</f>
        <v xml:space="preserve"> ZROHA2</v>
      </c>
      <c r="D200" s="13">
        <f>'1월'!D203</f>
        <v>45688</v>
      </c>
      <c r="E200" s="155" t="str">
        <f>'1월'!E203</f>
        <v>성공글로벌테크놀로지코리아</v>
      </c>
      <c r="F200" s="155" t="str">
        <f>'1월'!F203</f>
        <v>페타데이타</v>
      </c>
      <c r="G200" s="168" t="str">
        <f>'1월'!G203</f>
        <v>MA</v>
      </c>
      <c r="H200" s="156" t="str">
        <f>'1월'!H203</f>
        <v>월간-성공</v>
      </c>
      <c r="I200" s="69" t="str">
        <f>'1월'!I203</f>
        <v>SBS 1월 유지정비료 - 1/12회</v>
      </c>
      <c r="J200" s="122">
        <f>'1월'!J203</f>
        <v>1</v>
      </c>
      <c r="K200" s="15">
        <f>'1월'!K203</f>
        <v>243000</v>
      </c>
      <c r="L200" s="16">
        <f>'1월'!L203</f>
        <v>243000</v>
      </c>
      <c r="M200" s="15">
        <f>'1월'!M203</f>
        <v>24300</v>
      </c>
      <c r="N200" s="15">
        <f>'1월'!N203</f>
        <v>267300</v>
      </c>
      <c r="O200" s="5" t="str">
        <f>'1월'!O203</f>
        <v>완료(3/31)</v>
      </c>
      <c r="P200" s="9" t="str">
        <f>'1월'!P203</f>
        <v>천범석</v>
      </c>
      <c r="Q200" s="5">
        <f>'1월'!Q203</f>
        <v>45688</v>
      </c>
      <c r="R200" s="209"/>
    </row>
    <row r="201" spans="1:18" ht="16.5" customHeight="1">
      <c r="A201" t="s">
        <v>64</v>
      </c>
      <c r="B201" s="10" t="str">
        <f>'1월'!B204</f>
        <v>SB-25008</v>
      </c>
      <c r="C201" s="12" t="str">
        <f>'1월'!C204</f>
        <v>ZTGLCD</v>
      </c>
      <c r="D201" s="13">
        <f>'1월'!D204</f>
        <v>45688</v>
      </c>
      <c r="E201" s="155" t="str">
        <f>'1월'!E204</f>
        <v>성공글로벌테크놀로지코리아</v>
      </c>
      <c r="F201" s="155" t="str">
        <f>'1월'!F204</f>
        <v>아이리스인포테크</v>
      </c>
      <c r="G201" s="168" t="str">
        <f>'1월'!G204</f>
        <v>MA</v>
      </c>
      <c r="H201" s="156" t="str">
        <f>'1월'!H204</f>
        <v>월간-성공</v>
      </c>
      <c r="I201" s="69" t="str">
        <f>'1월'!I204</f>
        <v>삼성전자 1월분 - 3/13회</v>
      </c>
      <c r="J201" s="122">
        <f>'1월'!J204</f>
        <v>1</v>
      </c>
      <c r="K201" s="15">
        <f>'1월'!K204</f>
        <v>212700</v>
      </c>
      <c r="L201" s="16">
        <f>'1월'!L204</f>
        <v>212700</v>
      </c>
      <c r="M201" s="16">
        <f>'1월'!M204</f>
        <v>21270</v>
      </c>
      <c r="N201" s="15">
        <f>'1월'!N204</f>
        <v>233970</v>
      </c>
      <c r="O201" s="5" t="str">
        <f>'1월'!O204</f>
        <v>완료(3/31)</v>
      </c>
      <c r="P201" s="177" t="str">
        <f>'1월'!P204</f>
        <v>천범석</v>
      </c>
      <c r="Q201" s="5">
        <f>'1월'!Q204</f>
        <v>45681</v>
      </c>
      <c r="R201" s="213" t="str">
        <f>'1월'!R204</f>
        <v>매출연간</v>
      </c>
    </row>
    <row r="202" spans="1:18" ht="16.5" customHeight="1">
      <c r="A202" t="s">
        <v>64</v>
      </c>
      <c r="B202" s="10" t="str">
        <f>'1월'!B205</f>
        <v>SB-25006</v>
      </c>
      <c r="C202" s="12" t="str">
        <f>'1월'!C205</f>
        <v>ZTAHJK</v>
      </c>
      <c r="D202" s="13">
        <f>'1월'!D205</f>
        <v>45688</v>
      </c>
      <c r="E202" s="155" t="str">
        <f>'1월'!E205</f>
        <v>성공글로벌테크놀로지코리아</v>
      </c>
      <c r="F202" s="155" t="str">
        <f>'1월'!F205</f>
        <v>더힘</v>
      </c>
      <c r="G202" s="168" t="str">
        <f>'1월'!G205</f>
        <v>MA</v>
      </c>
      <c r="H202" s="156" t="str">
        <f>'1월'!H205</f>
        <v>월간-성공</v>
      </c>
      <c r="I202" s="69" t="str">
        <f>'1월'!I205</f>
        <v>피에스케이(PSK) 1월 유지정비료 - 1/17회</v>
      </c>
      <c r="J202" s="122">
        <f>'1월'!J205</f>
        <v>1</v>
      </c>
      <c r="K202" s="15">
        <f>'1월'!K205</f>
        <v>1892400</v>
      </c>
      <c r="L202" s="16">
        <f>'1월'!L205</f>
        <v>1892400</v>
      </c>
      <c r="M202" s="16">
        <f>'1월'!M205</f>
        <v>189240</v>
      </c>
      <c r="N202" s="15">
        <f>'1월'!N205</f>
        <v>2081640</v>
      </c>
      <c r="O202" s="5" t="str">
        <f>'1월'!O205</f>
        <v>완료(3/31)</v>
      </c>
      <c r="P202" s="9" t="str">
        <f>'1월'!P205</f>
        <v>천범석</v>
      </c>
      <c r="Q202" s="5">
        <f>'1월'!Q205</f>
        <v>45687</v>
      </c>
      <c r="R202" s="213"/>
    </row>
    <row r="203" spans="1:18" ht="16.5" customHeight="1">
      <c r="A203" t="s">
        <v>64</v>
      </c>
      <c r="B203" s="10" t="str">
        <f>'2월'!B5</f>
        <v>X</v>
      </c>
      <c r="C203" s="12"/>
      <c r="D203" s="13">
        <f>'2월'!D5</f>
        <v>45689</v>
      </c>
      <c r="E203" s="155" t="str">
        <f>'2월'!E5</f>
        <v>에스케이쉴더스 금천지점</v>
      </c>
      <c r="F203" s="155"/>
      <c r="G203" s="156" t="str">
        <f>'2월'!G5</f>
        <v>일반경비</v>
      </c>
      <c r="H203" s="156" t="str">
        <f>'2월'!H5</f>
        <v>지급수수료</v>
      </c>
      <c r="I203" s="69" t="str">
        <f>'2월'!I5</f>
        <v>보안용역 월정료 2월분</v>
      </c>
      <c r="J203" s="122">
        <f>'2월'!J5</f>
        <v>1</v>
      </c>
      <c r="K203" s="15">
        <f>'2월'!K5</f>
        <v>71000</v>
      </c>
      <c r="L203" s="15">
        <f>'2월'!L5</f>
        <v>71000</v>
      </c>
      <c r="M203" s="15">
        <f>'2월'!M5</f>
        <v>7100</v>
      </c>
      <c r="N203" s="15">
        <f>'2월'!N5</f>
        <v>78100</v>
      </c>
      <c r="O203" s="5" t="str">
        <f>'2월'!O5</f>
        <v>자동이체(2/11)</v>
      </c>
      <c r="P203" s="9" t="str">
        <f>'2월'!P5</f>
        <v>정지우</v>
      </c>
      <c r="Q203" s="5" t="str">
        <f>'2월'!Q5</f>
        <v>X</v>
      </c>
      <c r="R203" s="209"/>
    </row>
    <row r="204" spans="1:18" ht="16.5" customHeight="1">
      <c r="A204" t="s">
        <v>64</v>
      </c>
      <c r="B204" s="10" t="str">
        <f>'2월'!B6</f>
        <v>LI-24005</v>
      </c>
      <c r="C204" s="139"/>
      <c r="D204" s="13">
        <f>'2월'!D6</f>
        <v>45689</v>
      </c>
      <c r="E204" s="155" t="str">
        <f>'2월'!E6</f>
        <v>한국아이씨에스</v>
      </c>
      <c r="F204" s="155" t="str">
        <f>'2월'!F6</f>
        <v>해안종합건축사사무소</v>
      </c>
      <c r="G204" s="156" t="str">
        <f>'2월'!G6</f>
        <v>MA</v>
      </c>
      <c r="H204" s="156" t="str">
        <f>'2월'!H6</f>
        <v>월간-IBM</v>
      </c>
      <c r="I204" s="69" t="str">
        <f>'2월'!I6</f>
        <v>2월 유지정비료 - 9/12회</v>
      </c>
      <c r="J204" s="122">
        <f>'2월'!J6</f>
        <v>1</v>
      </c>
      <c r="K204" s="15">
        <f>'2월'!K6</f>
        <v>436400</v>
      </c>
      <c r="L204" s="16">
        <f>'2월'!L6</f>
        <v>436400</v>
      </c>
      <c r="M204" s="15">
        <f>'2월'!M6</f>
        <v>43640</v>
      </c>
      <c r="N204" s="15">
        <f>'2월'!N6</f>
        <v>480040</v>
      </c>
      <c r="O204" s="5" t="str">
        <f>'2월'!O6</f>
        <v>완료(3/31)</v>
      </c>
      <c r="P204" s="174" t="str">
        <f>'2월'!P6</f>
        <v>천범석</v>
      </c>
      <c r="Q204" s="5">
        <f>'2월'!Q6</f>
        <v>45689</v>
      </c>
      <c r="R204" s="209"/>
    </row>
    <row r="205" spans="1:18" ht="16.5" customHeight="1">
      <c r="A205" t="s">
        <v>64</v>
      </c>
      <c r="B205" s="10" t="str">
        <f>'2월'!B7</f>
        <v>LI-24006</v>
      </c>
      <c r="C205" s="12"/>
      <c r="D205" s="13">
        <f>'2월'!D7</f>
        <v>45689</v>
      </c>
      <c r="E205" s="155" t="str">
        <f>'2월'!E7</f>
        <v>한국아이씨에스</v>
      </c>
      <c r="F205" s="155" t="str">
        <f>'2월'!F7</f>
        <v>보해양조</v>
      </c>
      <c r="G205" s="156" t="str">
        <f>'2월'!G7</f>
        <v>MA</v>
      </c>
      <c r="H205" s="156" t="str">
        <f>'2월'!H7</f>
        <v>월간-IBM</v>
      </c>
      <c r="I205" s="69" t="str">
        <f>'2월'!I7</f>
        <v>2월 유지정비료 - 7/11회</v>
      </c>
      <c r="J205" s="122">
        <f>'2월'!J7</f>
        <v>1</v>
      </c>
      <c r="K205" s="15">
        <f>'2월'!K7</f>
        <v>277600</v>
      </c>
      <c r="L205" s="16">
        <f>'2월'!L7</f>
        <v>277600</v>
      </c>
      <c r="M205" s="16">
        <f>'2월'!M7</f>
        <v>27760</v>
      </c>
      <c r="N205" s="15">
        <f>'2월'!N7</f>
        <v>305360</v>
      </c>
      <c r="O205" s="5" t="str">
        <f>'2월'!O7</f>
        <v>완료(3/31)</v>
      </c>
      <c r="P205" s="174" t="str">
        <f>'2월'!P7</f>
        <v>천범석</v>
      </c>
      <c r="Q205" s="5">
        <f>'2월'!Q7</f>
        <v>45713</v>
      </c>
      <c r="R205" s="209"/>
    </row>
    <row r="206" spans="1:18" ht="16.5" customHeight="1">
      <c r="A206" t="s">
        <v>64</v>
      </c>
      <c r="B206" s="10" t="str">
        <f>'2월'!B8</f>
        <v>Y250203-01</v>
      </c>
      <c r="C206" s="12"/>
      <c r="D206" s="13">
        <f>'2월'!D8</f>
        <v>45691</v>
      </c>
      <c r="E206" s="155" t="str">
        <f>'2월'!E8</f>
        <v>컴퓨존</v>
      </c>
      <c r="F206" s="155" t="str">
        <f>'2월'!F8</f>
        <v>에스엠티정보기술</v>
      </c>
      <c r="G206" s="156" t="str">
        <f>'2월'!G8</f>
        <v>상품</v>
      </c>
      <c r="H206" s="156" t="str">
        <f>'2월'!H8</f>
        <v>OS</v>
      </c>
      <c r="I206" s="69" t="str">
        <f>'2월'!I8</f>
        <v xml:space="preserve">Windows Server 2022 Standard (DSP/16core/64bit/CAL미포함16 core) </v>
      </c>
      <c r="J206" s="122">
        <f>'2월'!J8</f>
        <v>1</v>
      </c>
      <c r="K206" s="15">
        <f>'2월'!K8</f>
        <v>1096609</v>
      </c>
      <c r="L206" s="16">
        <f>'2월'!L8</f>
        <v>1096609</v>
      </c>
      <c r="M206" s="16">
        <f>'2월'!M8</f>
        <v>109661</v>
      </c>
      <c r="N206" s="15">
        <f>'2월'!N8</f>
        <v>1206270</v>
      </c>
      <c r="O206" s="5" t="str">
        <f>'2월'!O8</f>
        <v>완료(2/3)</v>
      </c>
      <c r="P206" s="9" t="str">
        <f>'2월'!P8</f>
        <v>홍승민</v>
      </c>
      <c r="Q206" s="5">
        <f>'2월'!Q8</f>
        <v>45715</v>
      </c>
      <c r="R206" s="213"/>
    </row>
    <row r="207" spans="1:18" ht="16.5" customHeight="1">
      <c r="A207" t="s">
        <v>64</v>
      </c>
      <c r="B207" s="10" t="str">
        <f>'2월'!B9</f>
        <v>IK-23021</v>
      </c>
      <c r="C207" s="12"/>
      <c r="D207" s="13">
        <f>'2월'!D9</f>
        <v>45691</v>
      </c>
      <c r="E207" s="155" t="str">
        <f>'2월'!E9</f>
        <v>한국아이씨에스</v>
      </c>
      <c r="F207" s="155" t="str">
        <f>'2월'!F9</f>
        <v>투아이시스</v>
      </c>
      <c r="G207" s="156" t="str">
        <f>'2월'!G9</f>
        <v>MA</v>
      </c>
      <c r="H207" s="156" t="str">
        <f>'2월'!H9</f>
        <v>월간-IBM</v>
      </c>
      <c r="I207" s="69" t="str">
        <f>'2월'!I9</f>
        <v>2월 유지정비료 - 12/12회</v>
      </c>
      <c r="J207" s="122">
        <f>'2월'!J9</f>
        <v>1</v>
      </c>
      <c r="K207" s="15">
        <f>'2월'!K9</f>
        <v>93456</v>
      </c>
      <c r="L207" s="15">
        <f>'2월'!L9</f>
        <v>93456</v>
      </c>
      <c r="M207" s="15">
        <f>'2월'!M9</f>
        <v>9345</v>
      </c>
      <c r="N207" s="15">
        <f>'2월'!N9</f>
        <v>102801</v>
      </c>
      <c r="O207" s="5" t="str">
        <f>'2월'!O9</f>
        <v>완료(3/31)</v>
      </c>
      <c r="P207" s="174" t="str">
        <f>'2월'!P9</f>
        <v>천범석</v>
      </c>
      <c r="Q207" s="5">
        <f>'2월'!Q9</f>
        <v>45380</v>
      </c>
      <c r="R207" s="209" t="str">
        <f>'2월'!R9</f>
        <v>매출연간</v>
      </c>
    </row>
    <row r="208" spans="1:18" ht="16.5" customHeight="1">
      <c r="A208" t="s">
        <v>64</v>
      </c>
      <c r="B208" s="10" t="str">
        <f>'2월'!B10</f>
        <v>IK-24006</v>
      </c>
      <c r="C208" s="12"/>
      <c r="D208" s="13">
        <f>'2월'!D10</f>
        <v>45691</v>
      </c>
      <c r="E208" s="155" t="str">
        <f>'2월'!E10</f>
        <v>한국아이씨에스</v>
      </c>
      <c r="F208" s="155" t="str">
        <f>'2월'!F10</f>
        <v>광양항서부터미널</v>
      </c>
      <c r="G208" s="156" t="str">
        <f>'2월'!G10</f>
        <v>MA</v>
      </c>
      <c r="H208" s="156" t="str">
        <f>'2월'!H10</f>
        <v>월간-IBM</v>
      </c>
      <c r="I208" s="69" t="str">
        <f>'2월'!I10</f>
        <v>2월 유지정비료 - 10/24회</v>
      </c>
      <c r="J208" s="122">
        <f>'2월'!J10</f>
        <v>1</v>
      </c>
      <c r="K208" s="15">
        <f>'2월'!K10</f>
        <v>3239404</v>
      </c>
      <c r="L208" s="16">
        <f>'2월'!L10</f>
        <v>3239404</v>
      </c>
      <c r="M208" s="15">
        <f>'2월'!M10</f>
        <v>323940</v>
      </c>
      <c r="N208" s="15">
        <f>'2월'!N10</f>
        <v>3563344</v>
      </c>
      <c r="O208" s="5" t="str">
        <f>'2월'!O10</f>
        <v>완료(3/31)</v>
      </c>
      <c r="P208" s="9" t="str">
        <f>'2월'!P10</f>
        <v>홍승민</v>
      </c>
      <c r="Q208" s="5">
        <f>'2월'!Q10</f>
        <v>45716</v>
      </c>
      <c r="R208" s="209"/>
    </row>
    <row r="209" spans="1:20" ht="16.5" customHeight="1">
      <c r="A209" t="s">
        <v>64</v>
      </c>
      <c r="B209" s="10" t="str">
        <f>'2월'!B11</f>
        <v>LI-24008</v>
      </c>
      <c r="C209" s="12"/>
      <c r="D209" s="13">
        <f>'2월'!D11</f>
        <v>45691</v>
      </c>
      <c r="E209" s="155" t="str">
        <f>'2월'!E11</f>
        <v>한국아이씨에스</v>
      </c>
      <c r="F209" s="155" t="str">
        <f>'2월'!F11</f>
        <v>쿠팡</v>
      </c>
      <c r="G209" s="156" t="str">
        <f>'2월'!G11</f>
        <v>MA</v>
      </c>
      <c r="H209" s="156" t="str">
        <f>'2월'!H11</f>
        <v>월간-IBM</v>
      </c>
      <c r="I209" s="69" t="str">
        <f>'2월'!I11</f>
        <v>2월 유지정비료 - 7/13회</v>
      </c>
      <c r="J209" s="122">
        <f>'2월'!J11</f>
        <v>1</v>
      </c>
      <c r="K209" s="15">
        <f>'2월'!K11</f>
        <v>205780</v>
      </c>
      <c r="L209" s="16">
        <f>'2월'!L11</f>
        <v>205780</v>
      </c>
      <c r="M209" s="16">
        <f>'2월'!M11</f>
        <v>20578</v>
      </c>
      <c r="N209" s="15">
        <f>'2월'!N11</f>
        <v>226358</v>
      </c>
      <c r="O209" s="5" t="str">
        <f>'2월'!O11</f>
        <v>완료(3/31)</v>
      </c>
      <c r="P209" s="174" t="str">
        <f>'2월'!P11</f>
        <v>천범석</v>
      </c>
      <c r="Q209" s="5">
        <f>'2월'!Q11</f>
        <v>45491</v>
      </c>
      <c r="R209" s="209" t="str">
        <f>'2월'!R11</f>
        <v>매출연간</v>
      </c>
    </row>
    <row r="210" spans="1:20" ht="16.5" customHeight="1">
      <c r="A210" t="s">
        <v>64</v>
      </c>
      <c r="B210" s="10" t="str">
        <f>'2월'!B12</f>
        <v>IK-24012</v>
      </c>
      <c r="C210" s="12"/>
      <c r="D210" s="13">
        <f>'2월'!D12</f>
        <v>45691</v>
      </c>
      <c r="E210" s="155" t="str">
        <f>'2월'!E12</f>
        <v>한국아이씨에스</v>
      </c>
      <c r="F210" s="155" t="str">
        <f>'2월'!F12</f>
        <v>인정보</v>
      </c>
      <c r="G210" s="156" t="str">
        <f>'2월'!G12</f>
        <v>MA</v>
      </c>
      <c r="H210" s="156" t="str">
        <f>'2월'!H12</f>
        <v>월간-IBM</v>
      </c>
      <c r="I210" s="69" t="str">
        <f>'2월'!I12</f>
        <v>대구텍 2월 유지정비료 - 2/6회</v>
      </c>
      <c r="J210" s="122">
        <f>'2월'!J12</f>
        <v>1</v>
      </c>
      <c r="K210" s="15">
        <f>'2월'!K12</f>
        <v>990000</v>
      </c>
      <c r="L210" s="16">
        <f>'2월'!L12</f>
        <v>990000</v>
      </c>
      <c r="M210" s="16">
        <f>'2월'!M12</f>
        <v>99000</v>
      </c>
      <c r="N210" s="15">
        <f>'2월'!N12</f>
        <v>1089000</v>
      </c>
      <c r="O210" s="5" t="str">
        <f>'2월'!O12</f>
        <v>완료(3/31)</v>
      </c>
      <c r="P210" s="174" t="str">
        <f>'2월'!P12</f>
        <v>천범석</v>
      </c>
      <c r="Q210" s="5">
        <f>'2월'!Q12</f>
        <v>45689</v>
      </c>
      <c r="R210" s="213"/>
    </row>
    <row r="211" spans="1:20" ht="16.5" customHeight="1">
      <c r="A211" t="s">
        <v>64</v>
      </c>
      <c r="B211" s="10" t="str">
        <f>'2월'!B13</f>
        <v>LI-24003</v>
      </c>
      <c r="C211" s="12"/>
      <c r="D211" s="13">
        <f>'2월'!D13</f>
        <v>45691</v>
      </c>
      <c r="E211" s="155" t="str">
        <f>'2월'!E13</f>
        <v>한국아이씨에스</v>
      </c>
      <c r="F211" s="155" t="str">
        <f>'2월'!F13</f>
        <v>지엔콤</v>
      </c>
      <c r="G211" s="156" t="str">
        <f>'2월'!G13</f>
        <v>MA</v>
      </c>
      <c r="H211" s="156" t="str">
        <f>'2월'!H13</f>
        <v>월간-IBM</v>
      </c>
      <c r="I211" s="69" t="str">
        <f>'2월'!I13</f>
        <v>전주교육대학교 2월 유지정비료 - 10/12회</v>
      </c>
      <c r="J211" s="122">
        <f>'2월'!J13</f>
        <v>1</v>
      </c>
      <c r="K211" s="15">
        <f>'2월'!K13</f>
        <v>305280</v>
      </c>
      <c r="L211" s="16">
        <f>'2월'!L13</f>
        <v>305280</v>
      </c>
      <c r="M211" s="15">
        <f>'2월'!M13</f>
        <v>30528</v>
      </c>
      <c r="N211" s="15">
        <f>'2월'!N13</f>
        <v>335808</v>
      </c>
      <c r="O211" s="5" t="str">
        <f>'2월'!O13</f>
        <v>완료(3/31)</v>
      </c>
      <c r="P211" s="9" t="str">
        <f>'2월'!P13</f>
        <v>천범석</v>
      </c>
      <c r="Q211" s="5">
        <f>'2월'!Q13</f>
        <v>45716</v>
      </c>
      <c r="R211" s="209"/>
    </row>
    <row r="212" spans="1:20" ht="16.5" customHeight="1">
      <c r="A212" t="s">
        <v>64</v>
      </c>
      <c r="B212" s="140" t="str">
        <f>'2월'!B14</f>
        <v>IK-23016</v>
      </c>
      <c r="C212" s="12"/>
      <c r="D212" s="13">
        <f>'2월'!D14</f>
        <v>45691</v>
      </c>
      <c r="E212" s="155" t="str">
        <f>'2월'!E14</f>
        <v>한국아이씨에스</v>
      </c>
      <c r="F212" s="155" t="str">
        <f>'2월'!F14</f>
        <v>케이정보기술</v>
      </c>
      <c r="G212" s="156" t="str">
        <f>'2월'!G14</f>
        <v>MA</v>
      </c>
      <c r="H212" s="156" t="str">
        <f>'2월'!H14</f>
        <v>월간-IBM</v>
      </c>
      <c r="I212" s="69" t="str">
        <f>'2월'!I14</f>
        <v>청주시청 2월 유지정비료 - 18/36회</v>
      </c>
      <c r="J212" s="122">
        <f>'2월'!J14</f>
        <v>1</v>
      </c>
      <c r="K212" s="15">
        <f>'2월'!K14</f>
        <v>259896</v>
      </c>
      <c r="L212" s="16">
        <f>'2월'!L14</f>
        <v>259896</v>
      </c>
      <c r="M212" s="16">
        <f>'2월'!M14</f>
        <v>25989</v>
      </c>
      <c r="N212" s="15">
        <f>'2월'!N14</f>
        <v>285885</v>
      </c>
      <c r="O212" s="5" t="str">
        <f>'2월'!O14</f>
        <v>완료(3/31)</v>
      </c>
      <c r="P212" s="9" t="str">
        <f>'2월'!P14</f>
        <v>천범석</v>
      </c>
      <c r="Q212" s="5">
        <f>'2월'!Q14</f>
        <v>45689</v>
      </c>
      <c r="R212" s="213"/>
    </row>
    <row r="213" spans="1:20" ht="16.5" customHeight="1">
      <c r="A213" t="s">
        <v>64</v>
      </c>
      <c r="B213" s="10" t="str">
        <f>'2월'!B15</f>
        <v>IK-23013</v>
      </c>
      <c r="C213" s="12"/>
      <c r="D213" s="13">
        <f>'2월'!D15</f>
        <v>45691</v>
      </c>
      <c r="E213" s="155" t="str">
        <f>'2월'!E15</f>
        <v>한국아이씨에스</v>
      </c>
      <c r="F213" s="155" t="str">
        <f>'2월'!F15</f>
        <v>로보츠</v>
      </c>
      <c r="G213" s="156" t="str">
        <f>'2월'!G15</f>
        <v>MA</v>
      </c>
      <c r="H213" s="156" t="str">
        <f>'2월'!H15</f>
        <v>월간-IBM</v>
      </c>
      <c r="I213" s="69" t="str">
        <f>'2월'!I15</f>
        <v>도시바일렉 2월 유지정비료 - 8/12회</v>
      </c>
      <c r="J213" s="122">
        <f>'2월'!J15</f>
        <v>1</v>
      </c>
      <c r="K213" s="15">
        <f>'2월'!K15</f>
        <v>66498</v>
      </c>
      <c r="L213" s="16">
        <f>'2월'!L15</f>
        <v>66498</v>
      </c>
      <c r="M213" s="15">
        <f>'2월'!M15</f>
        <v>6649</v>
      </c>
      <c r="N213" s="15">
        <f>'2월'!N15</f>
        <v>73147</v>
      </c>
      <c r="O213" s="5" t="str">
        <f>'2월'!O15</f>
        <v>완료(3/31)</v>
      </c>
      <c r="P213" s="174" t="str">
        <f>'2월'!P15</f>
        <v>천범석</v>
      </c>
      <c r="Q213" s="5">
        <f>'2월'!Q15</f>
        <v>45716</v>
      </c>
      <c r="R213" s="209"/>
    </row>
    <row r="214" spans="1:20" ht="16.5" customHeight="1">
      <c r="A214" t="s">
        <v>64</v>
      </c>
      <c r="B214" s="10" t="str">
        <f>'2월'!B16</f>
        <v>LI-24007</v>
      </c>
      <c r="C214" s="12"/>
      <c r="D214" s="13">
        <f>'2월'!D16</f>
        <v>45691</v>
      </c>
      <c r="E214" s="155" t="str">
        <f>'2월'!E16</f>
        <v>한국아이씨에스</v>
      </c>
      <c r="F214" s="155" t="str">
        <f>'2월'!F16</f>
        <v>유더블유에스</v>
      </c>
      <c r="G214" s="157" t="str">
        <f>'2월'!G16</f>
        <v>MA</v>
      </c>
      <c r="H214" s="156" t="str">
        <f>'2월'!H16</f>
        <v>월간-IBM</v>
      </c>
      <c r="I214" s="69" t="str">
        <f>'2월'!I16</f>
        <v>두원정공 2월 유지정비료 - 7/11회</v>
      </c>
      <c r="J214" s="122">
        <f>'2월'!J16</f>
        <v>1</v>
      </c>
      <c r="K214" s="15">
        <f>'2월'!K16</f>
        <v>80160</v>
      </c>
      <c r="L214" s="16">
        <f>'2월'!L16</f>
        <v>80160</v>
      </c>
      <c r="M214" s="16">
        <f>'2월'!M16</f>
        <v>8016</v>
      </c>
      <c r="N214" s="15">
        <f>'2월'!N16</f>
        <v>88176</v>
      </c>
      <c r="O214" s="5" t="str">
        <f>'2월'!O16</f>
        <v>완료(3/31)</v>
      </c>
      <c r="P214" s="174" t="str">
        <f>'2월'!P16</f>
        <v>천범석</v>
      </c>
      <c r="Q214" s="5">
        <f>'2월'!Q16</f>
        <v>45716</v>
      </c>
      <c r="R214" s="209"/>
    </row>
    <row r="215" spans="1:20" ht="16.5" customHeight="1">
      <c r="A215" t="s">
        <v>64</v>
      </c>
      <c r="B215" s="143" t="str">
        <f>'2월'!B17</f>
        <v>IK-23014</v>
      </c>
      <c r="C215" s="144"/>
      <c r="D215" s="13">
        <f>'2월'!D17</f>
        <v>45691</v>
      </c>
      <c r="E215" s="155" t="str">
        <f>'2월'!E17</f>
        <v>한국아이씨에스</v>
      </c>
      <c r="F215" s="155" t="str">
        <f>'2월'!F17</f>
        <v>서비스링크</v>
      </c>
      <c r="G215" s="157" t="str">
        <f>'2월'!G17</f>
        <v>MA</v>
      </c>
      <c r="H215" s="156" t="str">
        <f>'2월'!H17</f>
        <v>월간-IBM</v>
      </c>
      <c r="I215" s="69" t="str">
        <f>'2월'!I17</f>
        <v>세원정공 2월 유지정비료 - 8/12회</v>
      </c>
      <c r="J215" s="122">
        <f>'2월'!J17</f>
        <v>1</v>
      </c>
      <c r="K215" s="15">
        <f>'2월'!K17</f>
        <v>198018</v>
      </c>
      <c r="L215" s="16">
        <f>'2월'!L17</f>
        <v>198018</v>
      </c>
      <c r="M215" s="15">
        <f>'2월'!M17</f>
        <v>19801</v>
      </c>
      <c r="N215" s="15">
        <f>'2월'!N17</f>
        <v>217819</v>
      </c>
      <c r="O215" s="5" t="str">
        <f>'2월'!O17</f>
        <v>완료(3/31)</v>
      </c>
      <c r="P215" s="174" t="str">
        <f>'2월'!P17</f>
        <v>천범석</v>
      </c>
      <c r="Q215" s="5">
        <f>'2월'!Q17</f>
        <v>45689</v>
      </c>
      <c r="R215" s="209"/>
    </row>
    <row r="216" spans="1:20" ht="16.5" customHeight="1">
      <c r="A216" t="s">
        <v>64</v>
      </c>
      <c r="B216" s="10" t="str">
        <f>'2월'!B18</f>
        <v>SM-21021</v>
      </c>
      <c r="C216" s="12"/>
      <c r="D216" s="13">
        <f>'2월'!D18</f>
        <v>45691</v>
      </c>
      <c r="E216" s="155" t="str">
        <f>'2월'!E18</f>
        <v>한국아이씨에스</v>
      </c>
      <c r="F216" s="155" t="str">
        <f>'2월'!F18</f>
        <v>법무법인바른</v>
      </c>
      <c r="G216" s="156" t="str">
        <f>'2월'!G18</f>
        <v>MA</v>
      </c>
      <c r="H216" s="156" t="str">
        <f>'2월'!H18</f>
        <v>월간-IBM</v>
      </c>
      <c r="I216" s="69" t="str">
        <f>'2월'!I18</f>
        <v>2월 유지정비료 - 6/13회</v>
      </c>
      <c r="J216" s="122">
        <f>'2월'!J18</f>
        <v>1</v>
      </c>
      <c r="K216" s="16">
        <f>'2월'!K18</f>
        <v>84811</v>
      </c>
      <c r="L216" s="16">
        <f>'2월'!L18</f>
        <v>84811</v>
      </c>
      <c r="M216" s="15">
        <f>'2월'!M18</f>
        <v>8481</v>
      </c>
      <c r="N216" s="15">
        <f>'2월'!N18</f>
        <v>93292</v>
      </c>
      <c r="O216" s="5" t="str">
        <f>'2월'!O18</f>
        <v>완료(3/31)</v>
      </c>
      <c r="P216" s="174" t="str">
        <f>'2월'!P18</f>
        <v>천범석</v>
      </c>
      <c r="Q216" s="5">
        <f>'2월'!Q18</f>
        <v>45713</v>
      </c>
      <c r="R216" s="209"/>
    </row>
    <row r="217" spans="1:20" ht="16.5" customHeight="1">
      <c r="A217" t="s">
        <v>64</v>
      </c>
      <c r="B217" s="10" t="str">
        <f>'2월'!B19</f>
        <v>IK-24011</v>
      </c>
      <c r="C217" s="12"/>
      <c r="D217" s="13">
        <f>'2월'!D19</f>
        <v>45691</v>
      </c>
      <c r="E217" s="155" t="str">
        <f>'2월'!E19</f>
        <v>한국아이씨에스</v>
      </c>
      <c r="F217" s="155" t="str">
        <f>'2월'!F19</f>
        <v>로보츠</v>
      </c>
      <c r="G217" s="156" t="str">
        <f>'2월'!G19</f>
        <v>MA</v>
      </c>
      <c r="H217" s="156" t="str">
        <f>'2월'!H19</f>
        <v>월간-IBM</v>
      </c>
      <c r="I217" s="69" t="str">
        <f>'2월'!I19</f>
        <v>키오시아(도시바) 2월 유지정비료 - 3/12회</v>
      </c>
      <c r="J217" s="122">
        <f>'2월'!J19</f>
        <v>1</v>
      </c>
      <c r="K217" s="16">
        <f>'2월'!K19</f>
        <v>133875</v>
      </c>
      <c r="L217" s="16">
        <f>'2월'!L19</f>
        <v>133875</v>
      </c>
      <c r="M217" s="16">
        <f>'2월'!M19</f>
        <v>13387</v>
      </c>
      <c r="N217" s="15">
        <f>'2월'!N19</f>
        <v>147262</v>
      </c>
      <c r="O217" s="5" t="str">
        <f>'2월'!O19</f>
        <v>완료(3/31)</v>
      </c>
      <c r="P217" s="9" t="str">
        <f>'2월'!P19</f>
        <v>천범석</v>
      </c>
      <c r="Q217" s="5">
        <f>'2월'!Q19</f>
        <v>45716</v>
      </c>
      <c r="R217" s="209"/>
    </row>
    <row r="218" spans="1:20" ht="16.5" customHeight="1">
      <c r="A218" t="s">
        <v>64</v>
      </c>
      <c r="B218" s="255" t="str">
        <f>'2월'!B20</f>
        <v>SM-25011</v>
      </c>
      <c r="C218" s="12"/>
      <c r="D218" s="13">
        <f>'2월'!D20</f>
        <v>45691</v>
      </c>
      <c r="E218" s="155" t="str">
        <f>'2월'!E20</f>
        <v>한국아이씨에스</v>
      </c>
      <c r="F218" s="155" t="str">
        <f>'2월'!F20</f>
        <v>유니포인트</v>
      </c>
      <c r="G218" s="156" t="str">
        <f>'2월'!G20</f>
        <v>MA</v>
      </c>
      <c r="H218" s="156" t="str">
        <f>'2월'!H20</f>
        <v>월간-IBM</v>
      </c>
      <c r="I218" s="69" t="str">
        <f>'2월'!I20</f>
        <v>한미약품/한미사이언스 2월 유지정비료 - 2/12회</v>
      </c>
      <c r="J218" s="122">
        <f>'2월'!J20</f>
        <v>1</v>
      </c>
      <c r="K218" s="16">
        <f>'2월'!K20</f>
        <v>11623397</v>
      </c>
      <c r="L218" s="16">
        <f>'2월'!L20</f>
        <v>11623397</v>
      </c>
      <c r="M218" s="16">
        <f>'2월'!M20</f>
        <v>1162339</v>
      </c>
      <c r="N218" s="15">
        <f>'2월'!N20</f>
        <v>12785736</v>
      </c>
      <c r="O218" s="5" t="str">
        <f>'2월'!O20</f>
        <v>완료(3/31)</v>
      </c>
      <c r="P218" s="174" t="str">
        <f>'2월'!P20</f>
        <v>천범석</v>
      </c>
      <c r="Q218" s="5">
        <f>'2월'!Q20</f>
        <v>45713</v>
      </c>
      <c r="R218" s="209"/>
    </row>
    <row r="219" spans="1:20" ht="16.5" customHeight="1">
      <c r="A219" t="s">
        <v>64</v>
      </c>
      <c r="B219" s="10" t="str">
        <f>'2월'!B21</f>
        <v>IK-22025</v>
      </c>
      <c r="C219" s="12"/>
      <c r="D219" s="13">
        <f>'2월'!D21</f>
        <v>45691</v>
      </c>
      <c r="E219" s="155" t="str">
        <f>'2월'!E21</f>
        <v>한국아이씨에스</v>
      </c>
      <c r="F219" s="155" t="str">
        <f>'2월'!F21</f>
        <v>디에스피</v>
      </c>
      <c r="G219" s="156" t="str">
        <f>'2월'!G21</f>
        <v>MA</v>
      </c>
      <c r="H219" s="9" t="str">
        <f>'2월'!H21</f>
        <v>월간-IBM</v>
      </c>
      <c r="I219" s="69" t="str">
        <f>'2월'!I21</f>
        <v>엘지생활건강 청주공장 2월 유지정비료 - 1/12회</v>
      </c>
      <c r="J219" s="122">
        <f>'2월'!J21</f>
        <v>1</v>
      </c>
      <c r="K219" s="15">
        <f>'2월'!K21</f>
        <v>564192</v>
      </c>
      <c r="L219" s="16">
        <f>'2월'!L21</f>
        <v>564192</v>
      </c>
      <c r="M219" s="15">
        <f>'2월'!M21</f>
        <v>56419</v>
      </c>
      <c r="N219" s="15">
        <f>'2월'!N21</f>
        <v>620611</v>
      </c>
      <c r="O219" s="5" t="str">
        <f>'2월'!O21</f>
        <v>완료(3/31)</v>
      </c>
      <c r="P219" s="9" t="str">
        <f>'2월'!P21</f>
        <v>천범석</v>
      </c>
      <c r="Q219" s="5">
        <f>'2월'!Q21</f>
        <v>45689</v>
      </c>
      <c r="R219" s="209"/>
    </row>
    <row r="220" spans="1:20" ht="16.5" customHeight="1">
      <c r="A220" t="s">
        <v>64</v>
      </c>
      <c r="B220" s="10" t="str">
        <f>'2월'!B22</f>
        <v>SM-25003</v>
      </c>
      <c r="C220" s="12"/>
      <c r="D220" s="13">
        <f>'2월'!D22</f>
        <v>45691</v>
      </c>
      <c r="E220" s="155" t="str">
        <f>'2월'!E22</f>
        <v>한국아이씨에스</v>
      </c>
      <c r="F220" s="155" t="str">
        <f>'2월'!F22</f>
        <v>CGV 통합</v>
      </c>
      <c r="G220" s="156" t="str">
        <f>'2월'!G22</f>
        <v>MA</v>
      </c>
      <c r="H220" s="156" t="str">
        <f>'2월'!H22</f>
        <v>월간-IBM</v>
      </c>
      <c r="I220" s="69" t="str">
        <f>'2월'!I22</f>
        <v>2월 유지정비료 - 2/12회</v>
      </c>
      <c r="J220" s="122">
        <f>'2월'!J22</f>
        <v>1</v>
      </c>
      <c r="K220" s="15">
        <f>'2월'!K22</f>
        <v>2812500</v>
      </c>
      <c r="L220" s="16">
        <f>'2월'!L22</f>
        <v>2812500</v>
      </c>
      <c r="M220" s="16">
        <f>'2월'!M22</f>
        <v>281250</v>
      </c>
      <c r="N220" s="15">
        <f>'2월'!N22</f>
        <v>3093750</v>
      </c>
      <c r="O220" s="5" t="str">
        <f>'2월'!O22</f>
        <v>완료(3/31)</v>
      </c>
      <c r="P220" s="9" t="str">
        <f>'2월'!P22</f>
        <v>이예지</v>
      </c>
      <c r="Q220" s="5">
        <f>'2월'!Q22</f>
        <v>45666</v>
      </c>
      <c r="R220" s="209" t="str">
        <f>'2월'!R22</f>
        <v>매출연간</v>
      </c>
    </row>
    <row r="221" spans="1:20" ht="16.5" customHeight="1">
      <c r="A221" t="s">
        <v>64</v>
      </c>
      <c r="B221" s="140" t="str">
        <f>'2월'!B23</f>
        <v>IK-23016</v>
      </c>
      <c r="C221" s="12"/>
      <c r="D221" s="13">
        <f>'2월'!D23</f>
        <v>45691</v>
      </c>
      <c r="E221" s="155" t="str">
        <f>'2월'!E23</f>
        <v>한국아이씨에스</v>
      </c>
      <c r="F221" s="155" t="str">
        <f>'2월'!F23</f>
        <v>케이정보기술</v>
      </c>
      <c r="G221" s="157" t="str">
        <f>'2월'!G23</f>
        <v>MA</v>
      </c>
      <c r="H221" s="156" t="str">
        <f>'2월'!H23</f>
        <v>월간-IBM</v>
      </c>
      <c r="I221" s="69" t="str">
        <f>'2월'!I23</f>
        <v>청주시청 2월 유지정비료 - 2/20회 추가</v>
      </c>
      <c r="J221" s="122">
        <f>'2월'!J23</f>
        <v>1</v>
      </c>
      <c r="K221" s="15">
        <f>'2월'!K23</f>
        <v>1123962</v>
      </c>
      <c r="L221" s="16">
        <f>'2월'!L23</f>
        <v>1123962</v>
      </c>
      <c r="M221" s="15">
        <f>'2월'!M23</f>
        <v>112396</v>
      </c>
      <c r="N221" s="15">
        <f>'2월'!N23</f>
        <v>1236358</v>
      </c>
      <c r="O221" s="5" t="str">
        <f>'2월'!O23</f>
        <v>완료(3/31)</v>
      </c>
      <c r="P221" s="9" t="str">
        <f>'2월'!P23</f>
        <v>천범석</v>
      </c>
      <c r="Q221" s="5">
        <f>'2월'!Q23</f>
        <v>45689</v>
      </c>
      <c r="R221" s="209"/>
    </row>
    <row r="222" spans="1:20" ht="16.5" customHeight="1">
      <c r="A222" t="s">
        <v>64</v>
      </c>
      <c r="B222" s="10" t="str">
        <f>'2월'!B24</f>
        <v>SM-24021</v>
      </c>
      <c r="C222" s="12"/>
      <c r="D222" s="13">
        <f>'2월'!D24</f>
        <v>45691</v>
      </c>
      <c r="E222" s="155" t="str">
        <f>'2월'!E24</f>
        <v>한국아이씨에스</v>
      </c>
      <c r="F222" s="155" t="str">
        <f>'2월'!F24</f>
        <v>에이캐피탈</v>
      </c>
      <c r="G222" s="156" t="str">
        <f>'2월'!G24</f>
        <v>MA</v>
      </c>
      <c r="H222" s="156" t="str">
        <f>'2월'!H24</f>
        <v>월간-IBM</v>
      </c>
      <c r="I222" s="69" t="str">
        <f>'2월'!I24</f>
        <v>2월 유지정비료 - 6/12회</v>
      </c>
      <c r="J222" s="122">
        <f>'2월'!J24</f>
        <v>1</v>
      </c>
      <c r="K222" s="15">
        <f>'2월'!K24</f>
        <v>691782</v>
      </c>
      <c r="L222" s="16">
        <f>'2월'!L24</f>
        <v>691782</v>
      </c>
      <c r="M222" s="16">
        <f>'2월'!M24</f>
        <v>69178</v>
      </c>
      <c r="N222" s="15">
        <f>'2월'!N24</f>
        <v>760960</v>
      </c>
      <c r="O222" s="5" t="str">
        <f>'2월'!O24</f>
        <v>완료(3/31)</v>
      </c>
      <c r="P222" s="9" t="str">
        <f>'2월'!P24</f>
        <v>천범석</v>
      </c>
      <c r="Q222" s="5">
        <f>'2월'!Q24</f>
        <v>45721</v>
      </c>
      <c r="R222" s="209"/>
    </row>
    <row r="223" spans="1:20" ht="16.5" customHeight="1">
      <c r="A223" t="s">
        <v>64</v>
      </c>
      <c r="B223" s="10" t="str">
        <f>'2월'!B25</f>
        <v>IK-24014</v>
      </c>
      <c r="C223" s="12"/>
      <c r="D223" s="13">
        <f>'2월'!D25</f>
        <v>45691</v>
      </c>
      <c r="E223" s="155" t="str">
        <f>'2월'!E25</f>
        <v>한국아이씨에스</v>
      </c>
      <c r="F223" s="155" t="str">
        <f>'2월'!F25</f>
        <v>로보츠</v>
      </c>
      <c r="G223" s="156" t="str">
        <f>'2월'!G25</f>
        <v>MA</v>
      </c>
      <c r="H223" s="156" t="str">
        <f>'2월'!H25</f>
        <v>월간-IBM</v>
      </c>
      <c r="I223" s="69" t="str">
        <f>'2월'!I25</f>
        <v>와이케이케이 2월 유지정비료 - 2/12회</v>
      </c>
      <c r="J223" s="122">
        <f>'2월'!J25</f>
        <v>1</v>
      </c>
      <c r="K223" s="15">
        <f>'2월'!K25</f>
        <v>79496</v>
      </c>
      <c r="L223" s="16">
        <f>'2월'!L25</f>
        <v>79496</v>
      </c>
      <c r="M223" s="15">
        <f>'2월'!M25</f>
        <v>7949</v>
      </c>
      <c r="N223" s="15">
        <f>'2월'!N25</f>
        <v>87445</v>
      </c>
      <c r="O223" s="5" t="str">
        <f>'2월'!O25</f>
        <v>완료(3/31)</v>
      </c>
      <c r="P223" s="9" t="str">
        <f>'2월'!P25</f>
        <v>천범석</v>
      </c>
      <c r="Q223" s="5">
        <f>'2월'!Q25</f>
        <v>45713</v>
      </c>
      <c r="R223" s="209"/>
    </row>
    <row r="224" spans="1:20" ht="16.5" customHeight="1">
      <c r="A224" t="s">
        <v>64</v>
      </c>
      <c r="B224" s="141" t="str">
        <f>'2월'!B26</f>
        <v>IK-22023</v>
      </c>
      <c r="C224" s="142"/>
      <c r="D224" s="13">
        <f>'2월'!D26</f>
        <v>45691</v>
      </c>
      <c r="E224" s="155" t="str">
        <f>'2월'!E26</f>
        <v>한국아이씨에스</v>
      </c>
      <c r="F224" s="155" t="str">
        <f>'2월'!F26</f>
        <v>리온아이티</v>
      </c>
      <c r="G224" s="156" t="str">
        <f>'2월'!G26</f>
        <v>MA</v>
      </c>
      <c r="H224" s="156" t="str">
        <f>'2월'!H26</f>
        <v>월간-IBM</v>
      </c>
      <c r="I224" s="69" t="str">
        <f>'2월'!I26</f>
        <v>성원제강 2월 유지정비료 - 23/36회</v>
      </c>
      <c r="J224" s="122">
        <f>'2월'!J26</f>
        <v>1</v>
      </c>
      <c r="K224" s="15">
        <f>'2월'!K26</f>
        <v>159761</v>
      </c>
      <c r="L224" s="15">
        <f>'2월'!L26</f>
        <v>159761</v>
      </c>
      <c r="M224" s="15">
        <f>'2월'!M26</f>
        <v>15976</v>
      </c>
      <c r="N224" s="15">
        <f>'2월'!N26</f>
        <v>175737</v>
      </c>
      <c r="O224" s="5" t="str">
        <f>'2월'!O26</f>
        <v>완료(3/31)</v>
      </c>
      <c r="P224" s="9" t="str">
        <f>'2월'!P26</f>
        <v>천범석</v>
      </c>
      <c r="Q224" s="5">
        <f>'2월'!Q26</f>
        <v>45716</v>
      </c>
      <c r="R224" s="209"/>
      <c r="S224" s="7"/>
      <c r="T224" s="7"/>
    </row>
    <row r="225" spans="1:19" ht="16.5" customHeight="1">
      <c r="A225" t="s">
        <v>64</v>
      </c>
      <c r="B225" s="10" t="str">
        <f>'2월'!B27</f>
        <v>IK-24002</v>
      </c>
      <c r="C225" s="12"/>
      <c r="D225" s="13">
        <f>'2월'!D27</f>
        <v>45691</v>
      </c>
      <c r="E225" s="155" t="str">
        <f>'2월'!E27</f>
        <v>한국아이씨에스</v>
      </c>
      <c r="F225" s="155" t="str">
        <f>'2월'!F27</f>
        <v>리온아이티</v>
      </c>
      <c r="G225" s="156" t="str">
        <f>'2월'!G27</f>
        <v>MA</v>
      </c>
      <c r="H225" s="156" t="str">
        <f>'2월'!H27</f>
        <v>월간-IBM</v>
      </c>
      <c r="I225" s="69" t="str">
        <f>'2월'!I27</f>
        <v>교세라 2월 유지정비료 - 13/36회</v>
      </c>
      <c r="J225" s="122">
        <f>'2월'!J27</f>
        <v>1</v>
      </c>
      <c r="K225" s="15">
        <f>'2월'!K27</f>
        <v>70422</v>
      </c>
      <c r="L225" s="16">
        <f>'2월'!L27</f>
        <v>70422</v>
      </c>
      <c r="M225" s="15">
        <f>'2월'!M27</f>
        <v>7042</v>
      </c>
      <c r="N225" s="15">
        <f>'2월'!N27</f>
        <v>77464</v>
      </c>
      <c r="O225" s="5" t="str">
        <f>'2월'!O27</f>
        <v>완료(3/31)</v>
      </c>
      <c r="P225" s="174" t="str">
        <f>'2월'!P27</f>
        <v>천범석</v>
      </c>
      <c r="Q225" s="5">
        <f>'2월'!Q27</f>
        <v>45716</v>
      </c>
      <c r="R225" s="209" t="str">
        <f>'2월'!R27</f>
        <v>매출연간</v>
      </c>
    </row>
    <row r="226" spans="1:19" ht="16.5" customHeight="1">
      <c r="A226" t="s">
        <v>64</v>
      </c>
      <c r="B226" s="10" t="str">
        <f>'2월'!B28</f>
        <v>LI-24009</v>
      </c>
      <c r="C226" s="12"/>
      <c r="D226" s="13">
        <f>'2월'!D28</f>
        <v>45691</v>
      </c>
      <c r="E226" s="155" t="str">
        <f>'2월'!E28</f>
        <v>한국아이씨에스</v>
      </c>
      <c r="F226" s="155" t="str">
        <f>'2월'!F28</f>
        <v>아이리스인포테크</v>
      </c>
      <c r="G226" s="156" t="str">
        <f>'2월'!G28</f>
        <v>MA</v>
      </c>
      <c r="H226" s="156" t="str">
        <f>'2월'!H28</f>
        <v>월간-IBM</v>
      </c>
      <c r="I226" s="69" t="str">
        <f>'2월'!I28</f>
        <v>프레이저플레이스 2월 유지정비료 - 7/12회</v>
      </c>
      <c r="J226" s="122">
        <f>'2월'!J28</f>
        <v>1</v>
      </c>
      <c r="K226" s="15">
        <f>'2월'!K28</f>
        <v>95200</v>
      </c>
      <c r="L226" s="16">
        <f>'2월'!L28</f>
        <v>95200</v>
      </c>
      <c r="M226" s="16">
        <f>'2월'!M28</f>
        <v>9520</v>
      </c>
      <c r="N226" s="15">
        <f>'2월'!N28</f>
        <v>104720</v>
      </c>
      <c r="O226" s="5" t="str">
        <f>'2월'!O28</f>
        <v>완료(3/31)</v>
      </c>
      <c r="P226" s="9" t="str">
        <f>'2월'!P28</f>
        <v>천범석</v>
      </c>
      <c r="Q226" s="5">
        <f>'2월'!Q28</f>
        <v>45716</v>
      </c>
      <c r="R226" s="209" t="str">
        <f>'2월'!R28</f>
        <v>매출분기</v>
      </c>
    </row>
    <row r="227" spans="1:19" ht="16.5" customHeight="1">
      <c r="A227" t="s">
        <v>64</v>
      </c>
      <c r="B227" s="10" t="str">
        <f>'2월'!B29</f>
        <v>LI-24006</v>
      </c>
      <c r="C227" s="139"/>
      <c r="D227" s="13">
        <f>'2월'!D29</f>
        <v>45691</v>
      </c>
      <c r="E227" s="155" t="str">
        <f>'2월'!E29</f>
        <v>한국아이씨에스</v>
      </c>
      <c r="F227" s="155" t="str">
        <f>'2월'!F29</f>
        <v>보해양조</v>
      </c>
      <c r="G227" s="156" t="str">
        <f>'2월'!G29</f>
        <v>MA</v>
      </c>
      <c r="H227" s="156" t="str">
        <f>'2월'!H29</f>
        <v>월간-IBM</v>
      </c>
      <c r="I227" s="69" t="str">
        <f>'2월'!I29</f>
        <v>2월 유지정비료 - 8/12회</v>
      </c>
      <c r="J227" s="122">
        <f>'2월'!J29</f>
        <v>1</v>
      </c>
      <c r="K227" s="15">
        <f>'2월'!K29</f>
        <v>142800</v>
      </c>
      <c r="L227" s="16">
        <f>'2월'!L29</f>
        <v>142800</v>
      </c>
      <c r="M227" s="15">
        <f>'2월'!M29</f>
        <v>14280</v>
      </c>
      <c r="N227" s="15">
        <f>'2월'!N29</f>
        <v>157080</v>
      </c>
      <c r="O227" s="5" t="str">
        <f>'2월'!O29</f>
        <v>완료(3/31)</v>
      </c>
      <c r="P227" s="174" t="str">
        <f>'2월'!P29</f>
        <v>천범석</v>
      </c>
      <c r="Q227" s="5">
        <f>'2월'!Q29</f>
        <v>45713</v>
      </c>
      <c r="R227" s="209"/>
    </row>
    <row r="228" spans="1:19" ht="16.5" customHeight="1">
      <c r="A228" t="s">
        <v>64</v>
      </c>
      <c r="B228" s="10" t="str">
        <f>'2월'!B30</f>
        <v>IK-24005</v>
      </c>
      <c r="C228" s="12"/>
      <c r="D228" s="13">
        <f>'2월'!D30</f>
        <v>45691</v>
      </c>
      <c r="E228" s="155" t="str">
        <f>'2월'!E30</f>
        <v>한국아이씨에스</v>
      </c>
      <c r="F228" s="155" t="str">
        <f>'2월'!F30</f>
        <v>엔콤</v>
      </c>
      <c r="G228" s="156" t="str">
        <f>'2월'!G30</f>
        <v>MA</v>
      </c>
      <c r="H228" s="156" t="str">
        <f>'2월'!H30</f>
        <v>월간-IBM</v>
      </c>
      <c r="I228" s="69" t="str">
        <f>'2월'!I30</f>
        <v>전북도시가스 2월 유지정비료 - 11/12회</v>
      </c>
      <c r="J228" s="122">
        <f>'2월'!J30</f>
        <v>1</v>
      </c>
      <c r="K228" s="15">
        <f>'2월'!K30</f>
        <v>1263250</v>
      </c>
      <c r="L228" s="16">
        <f>'2월'!L30</f>
        <v>1263250</v>
      </c>
      <c r="M228" s="15">
        <f>'2월'!M30</f>
        <v>126325</v>
      </c>
      <c r="N228" s="15">
        <f>'2월'!N30</f>
        <v>1389575</v>
      </c>
      <c r="O228" s="5" t="str">
        <f>'2월'!O30</f>
        <v>완료(3/31)</v>
      </c>
      <c r="P228" s="174" t="str">
        <f>'2월'!P30</f>
        <v>천범석</v>
      </c>
      <c r="Q228" s="5">
        <f>'2월'!Q30</f>
        <v>45716</v>
      </c>
      <c r="R228" s="209"/>
    </row>
    <row r="229" spans="1:19" ht="16.5" customHeight="1">
      <c r="A229" t="s">
        <v>64</v>
      </c>
      <c r="B229" s="10" t="str">
        <f>'2월'!B31</f>
        <v>IK-22022</v>
      </c>
      <c r="C229" s="12"/>
      <c r="D229" s="13">
        <f>'2월'!D31</f>
        <v>45691</v>
      </c>
      <c r="E229" s="155" t="str">
        <f>'2월'!E31</f>
        <v>한국아이씨에스</v>
      </c>
      <c r="F229" s="155" t="str">
        <f>'2월'!F31</f>
        <v>리온아이티</v>
      </c>
      <c r="G229" s="156" t="str">
        <f>'2월'!G31</f>
        <v>MA</v>
      </c>
      <c r="H229" s="156" t="str">
        <f>'2월'!H31</f>
        <v>월간-IBM</v>
      </c>
      <c r="I229" s="69" t="str">
        <f>'2월'!I31</f>
        <v>한일전기 2월 유지정비료 - 26/36회</v>
      </c>
      <c r="J229" s="122">
        <f>'2월'!J31</f>
        <v>1</v>
      </c>
      <c r="K229" s="15">
        <f>'2월'!K31</f>
        <v>309047</v>
      </c>
      <c r="L229" s="16">
        <f>'2월'!L31</f>
        <v>309047</v>
      </c>
      <c r="M229" s="15">
        <f>'2월'!M31</f>
        <v>30904</v>
      </c>
      <c r="N229" s="15">
        <f>'2월'!N31</f>
        <v>339951</v>
      </c>
      <c r="O229" s="5" t="str">
        <f>'2월'!O31</f>
        <v>완료(3/31)</v>
      </c>
      <c r="P229" s="9" t="str">
        <f>'2월'!P31</f>
        <v>천범석</v>
      </c>
      <c r="Q229" s="5">
        <f>'2월'!Q31</f>
        <v>45658</v>
      </c>
      <c r="R229" s="209" t="str">
        <f>'2월'!R31</f>
        <v>매출분기</v>
      </c>
    </row>
    <row r="230" spans="1:19" ht="16.5" customHeight="1">
      <c r="A230" t="s">
        <v>64</v>
      </c>
      <c r="B230" s="141" t="str">
        <f>'2월'!B32</f>
        <v>IK-22021</v>
      </c>
      <c r="C230" s="12"/>
      <c r="D230" s="13">
        <f>'2월'!D32</f>
        <v>45691</v>
      </c>
      <c r="E230" s="155" t="str">
        <f>'2월'!E32</f>
        <v>한국아이씨에스</v>
      </c>
      <c r="F230" s="155" t="str">
        <f>'2월'!F32</f>
        <v>리온아이티</v>
      </c>
      <c r="G230" s="156" t="str">
        <f>'2월'!G32</f>
        <v>MA</v>
      </c>
      <c r="H230" s="156" t="str">
        <f>'2월'!H32</f>
        <v>월간-IBM</v>
      </c>
      <c r="I230" s="69" t="str">
        <f>'2월'!I32</f>
        <v>문배철강 2월 유지정비료 - 23/36회</v>
      </c>
      <c r="J230" s="122">
        <f>'2월'!J32</f>
        <v>1</v>
      </c>
      <c r="K230" s="15">
        <f>'2월'!K32</f>
        <v>212293</v>
      </c>
      <c r="L230" s="15">
        <f>'2월'!L32</f>
        <v>212293</v>
      </c>
      <c r="M230" s="15">
        <f>'2월'!M32</f>
        <v>21229</v>
      </c>
      <c r="N230" s="15">
        <f>'2월'!N32</f>
        <v>233522</v>
      </c>
      <c r="O230" s="5" t="str">
        <f>'2월'!O32</f>
        <v>완료(3/31)</v>
      </c>
      <c r="P230" s="9" t="str">
        <f>'2월'!P32</f>
        <v>천범석</v>
      </c>
      <c r="Q230" s="5">
        <f>'2월'!Q32</f>
        <v>45716</v>
      </c>
      <c r="R230" s="209"/>
    </row>
    <row r="231" spans="1:19" ht="16.5" customHeight="1">
      <c r="A231" t="s">
        <v>64</v>
      </c>
      <c r="B231" s="10" t="str">
        <f>'2월'!B33</f>
        <v>IK-24013</v>
      </c>
      <c r="C231" s="12"/>
      <c r="D231" s="13">
        <f>'2월'!D33</f>
        <v>45691</v>
      </c>
      <c r="E231" s="155" t="str">
        <f>'2월'!E33</f>
        <v>한국아이씨에스</v>
      </c>
      <c r="F231" s="155" t="str">
        <f>'2월'!F33</f>
        <v>레드텍</v>
      </c>
      <c r="G231" s="156" t="str">
        <f>'2월'!G33</f>
        <v>MA</v>
      </c>
      <c r="H231" s="156" t="str">
        <f>'2월'!H33</f>
        <v>월간-IBM</v>
      </c>
      <c r="I231" s="69" t="str">
        <f>'2월'!I33</f>
        <v>대한상공회의소 2월 유지정비료 - 4/12회</v>
      </c>
      <c r="J231" s="122">
        <f>'2월'!J33</f>
        <v>1</v>
      </c>
      <c r="K231" s="15">
        <f>'2월'!K33</f>
        <v>145780</v>
      </c>
      <c r="L231" s="16">
        <f>'2월'!L33</f>
        <v>145780</v>
      </c>
      <c r="M231" s="16">
        <f>'2월'!M33</f>
        <v>14578</v>
      </c>
      <c r="N231" s="15">
        <f>'2월'!N33</f>
        <v>160358</v>
      </c>
      <c r="O231" s="5" t="str">
        <f>'2월'!O33</f>
        <v>완료(3/31)</v>
      </c>
      <c r="P231" s="9" t="str">
        <f>'2월'!P33</f>
        <v>천범석</v>
      </c>
      <c r="Q231" s="5">
        <f>'2월'!Q33</f>
        <v>45689</v>
      </c>
      <c r="R231" s="209"/>
    </row>
    <row r="232" spans="1:19" ht="16.5" customHeight="1">
      <c r="A232" t="s">
        <v>64</v>
      </c>
      <c r="B232" s="10" t="str">
        <f>'2월'!B34</f>
        <v>LI-24004</v>
      </c>
      <c r="C232" s="12"/>
      <c r="D232" s="13">
        <f>'2월'!D34</f>
        <v>45691</v>
      </c>
      <c r="E232" s="155" t="str">
        <f>'2월'!E34</f>
        <v>한국아이씨에스</v>
      </c>
      <c r="F232" s="155" t="str">
        <f>'2월'!F34</f>
        <v>한국메탈</v>
      </c>
      <c r="G232" s="156" t="str">
        <f>'2월'!G34</f>
        <v>MA</v>
      </c>
      <c r="H232" s="156" t="str">
        <f>'2월'!H34</f>
        <v>월간-IBM</v>
      </c>
      <c r="I232" s="69" t="str">
        <f>'2월'!I34</f>
        <v>2월유지정비료 - 10/32회</v>
      </c>
      <c r="J232" s="122">
        <f>'2월'!J34</f>
        <v>1</v>
      </c>
      <c r="K232" s="15">
        <f>'2월'!K34</f>
        <v>316682</v>
      </c>
      <c r="L232" s="16">
        <f>'2월'!L34</f>
        <v>316682</v>
      </c>
      <c r="M232" s="15">
        <f>'2월'!M34</f>
        <v>31668</v>
      </c>
      <c r="N232" s="15">
        <f>'2월'!N34</f>
        <v>348350</v>
      </c>
      <c r="O232" s="5" t="str">
        <f>'2월'!O34</f>
        <v>완료(3/31)</v>
      </c>
      <c r="P232" s="9" t="str">
        <f>'2월'!P34</f>
        <v>천범석</v>
      </c>
      <c r="Q232" s="5">
        <f>'2월'!Q34</f>
        <v>45689</v>
      </c>
      <c r="R232" s="209"/>
    </row>
    <row r="233" spans="1:19" ht="16.5" customHeight="1">
      <c r="A233" t="s">
        <v>64</v>
      </c>
      <c r="B233" s="140" t="str">
        <f>'2월'!B35</f>
        <v>SB-24036</v>
      </c>
      <c r="C233" s="12"/>
      <c r="D233" s="13">
        <f>'2월'!D35</f>
        <v>45691</v>
      </c>
      <c r="E233" s="155" t="str">
        <f>'2월'!E35</f>
        <v>한국아이씨에스</v>
      </c>
      <c r="F233" s="155" t="str">
        <f>'2월'!F35</f>
        <v>나라정보</v>
      </c>
      <c r="G233" s="156" t="str">
        <f>'2월'!G35</f>
        <v>MA</v>
      </c>
      <c r="H233" s="156" t="str">
        <f>'2월'!H35</f>
        <v>월간-IBM</v>
      </c>
      <c r="I233" s="69" t="str">
        <f>'2월'!I35</f>
        <v>부국철강 2월 유지정비료 - 10/32 회</v>
      </c>
      <c r="J233" s="122">
        <f>'2월'!J35</f>
        <v>1</v>
      </c>
      <c r="K233" s="15">
        <f>'2월'!K35</f>
        <v>190849</v>
      </c>
      <c r="L233" s="16">
        <f>'2월'!L35</f>
        <v>190849</v>
      </c>
      <c r="M233" s="15">
        <f>'2월'!M35</f>
        <v>19084</v>
      </c>
      <c r="N233" s="15">
        <f>'2월'!N35</f>
        <v>209933</v>
      </c>
      <c r="O233" s="5" t="str">
        <f>'2월'!O35</f>
        <v>완료(3/31)</v>
      </c>
      <c r="P233" s="177" t="str">
        <f>'2월'!P35</f>
        <v>천범석</v>
      </c>
      <c r="Q233" s="5">
        <f>'2월'!Q35</f>
        <v>45716</v>
      </c>
      <c r="R233" s="209"/>
    </row>
    <row r="234" spans="1:19" ht="16.5" customHeight="1">
      <c r="A234" t="s">
        <v>64</v>
      </c>
      <c r="B234" s="10" t="str">
        <f>'2월'!B36</f>
        <v>S</v>
      </c>
      <c r="C234" s="12"/>
      <c r="D234" s="13">
        <f>'2월'!D36</f>
        <v>45691</v>
      </c>
      <c r="E234" s="155" t="str">
        <f>'2월'!E36</f>
        <v>프로미스</v>
      </c>
      <c r="F234" s="218"/>
      <c r="G234" s="156" t="str">
        <f>'2월'!G36</f>
        <v>상품</v>
      </c>
      <c r="H234" s="156" t="str">
        <f>'2월'!H36</f>
        <v>기술지원</v>
      </c>
      <c r="I234" s="69" t="str">
        <f>'2월'!I36</f>
        <v>보안취약 작업(LENOVO) #2</v>
      </c>
      <c r="J234" s="124">
        <f>'2월'!J36</f>
        <v>1</v>
      </c>
      <c r="K234" s="15">
        <f>'2월'!K36</f>
        <v>15000000</v>
      </c>
      <c r="L234" s="16">
        <f>'2월'!L36</f>
        <v>15000000</v>
      </c>
      <c r="M234" s="16">
        <f>'2월'!M36</f>
        <v>1500000</v>
      </c>
      <c r="N234" s="15">
        <f>'2월'!N36</f>
        <v>16500000</v>
      </c>
      <c r="O234" s="5" t="str">
        <f>'2월'!O36</f>
        <v>완료(2/28)</v>
      </c>
      <c r="P234" s="9" t="str">
        <f>'2월'!P36</f>
        <v>이예지</v>
      </c>
      <c r="Q234" s="5">
        <f>'2월'!Q36</f>
        <v>45643</v>
      </c>
      <c r="R234" s="213"/>
    </row>
    <row r="235" spans="1:19" ht="16.5" customHeight="1">
      <c r="A235" t="s">
        <v>64</v>
      </c>
      <c r="B235" s="10" t="str">
        <f>'2월'!B37</f>
        <v>S241223</v>
      </c>
      <c r="C235" s="12"/>
      <c r="D235" s="13">
        <f>'2월'!D37</f>
        <v>45691</v>
      </c>
      <c r="E235" s="155" t="str">
        <f>'2월'!E37</f>
        <v>프로미스</v>
      </c>
      <c r="F235" s="155" t="str">
        <f>'2월'!F37</f>
        <v>다솜테크</v>
      </c>
      <c r="G235" s="156" t="str">
        <f>'2월'!G37</f>
        <v>상품</v>
      </c>
      <c r="H235" s="156" t="str">
        <f>'2월'!H37</f>
        <v>기술지원</v>
      </c>
      <c r="I235" s="69" t="str">
        <f>'2월'!I37</f>
        <v>dell 서버 기술지원</v>
      </c>
      <c r="J235" s="124">
        <f>'2월'!J37</f>
        <v>1</v>
      </c>
      <c r="K235" s="15">
        <f>'2월'!K37</f>
        <v>600000</v>
      </c>
      <c r="L235" s="16">
        <f>'2월'!L37</f>
        <v>600000</v>
      </c>
      <c r="M235" s="16">
        <f>'2월'!M37</f>
        <v>60000</v>
      </c>
      <c r="N235" s="15">
        <f>'2월'!N37</f>
        <v>660000</v>
      </c>
      <c r="O235" s="5" t="str">
        <f>'2월'!O37</f>
        <v>완료(2/28)</v>
      </c>
      <c r="P235" s="9" t="str">
        <f>'2월'!P37</f>
        <v>이예지</v>
      </c>
      <c r="Q235" s="5">
        <f>'2월'!Q37</f>
        <v>45657</v>
      </c>
      <c r="R235" s="209"/>
    </row>
    <row r="236" spans="1:19" ht="16.5" customHeight="1">
      <c r="A236" t="s">
        <v>64</v>
      </c>
      <c r="B236" s="10" t="str">
        <f>'2월'!B38</f>
        <v>H250203-01</v>
      </c>
      <c r="C236" s="12"/>
      <c r="D236" s="13">
        <f>'2월'!D38</f>
        <v>45691</v>
      </c>
      <c r="E236" s="155" t="str">
        <f>'2월'!E38</f>
        <v>이비웨이브</v>
      </c>
      <c r="F236" s="155" t="str">
        <f>'2월'!F38</f>
        <v>티에스씨인포</v>
      </c>
      <c r="G236" s="156" t="str">
        <f>'2월'!G38</f>
        <v>상품</v>
      </c>
      <c r="H236" s="156" t="str">
        <f>'2월'!H38</f>
        <v>80P3162</v>
      </c>
      <c r="I236" s="69" t="str">
        <f>'2월'!I38</f>
        <v>73GB U320 15K 80Pin SCSI Hard Drive</v>
      </c>
      <c r="J236" s="122">
        <f>'2월'!J38</f>
        <v>1</v>
      </c>
      <c r="K236" s="15">
        <f>'2월'!K38</f>
        <v>120000</v>
      </c>
      <c r="L236" s="16">
        <f>'2월'!L38</f>
        <v>120000</v>
      </c>
      <c r="M236" s="16">
        <f>'2월'!M38</f>
        <v>12000</v>
      </c>
      <c r="N236" s="15">
        <f>'2월'!N38</f>
        <v>132000</v>
      </c>
      <c r="O236" s="5" t="str">
        <f>'2월'!O38</f>
        <v>완료(4/30)</v>
      </c>
      <c r="P236" s="9" t="str">
        <f>'2월'!P38</f>
        <v>천범석</v>
      </c>
      <c r="Q236" s="5">
        <f>'2월'!Q38</f>
        <v>45716</v>
      </c>
      <c r="R236" s="209"/>
    </row>
    <row r="237" spans="1:19" ht="16.5" customHeight="1">
      <c r="A237" t="s">
        <v>64</v>
      </c>
      <c r="B237" s="141" t="str">
        <f>'2월'!B39</f>
        <v>X</v>
      </c>
      <c r="C237" s="142"/>
      <c r="D237" s="13">
        <f>'2월'!D39</f>
        <v>45691</v>
      </c>
      <c r="E237" s="155" t="str">
        <f>'2월'!E39</f>
        <v>에스케이브로드밴드</v>
      </c>
      <c r="F237" s="155"/>
      <c r="G237" s="156" t="str">
        <f>'2월'!G39</f>
        <v>일반경비</v>
      </c>
      <c r="H237" s="156" t="str">
        <f>'2월'!H39</f>
        <v>통신비</v>
      </c>
      <c r="I237" s="159" t="str">
        <f>'2월'!I39</f>
        <v>통신료</v>
      </c>
      <c r="J237" s="124">
        <f>'2월'!J39</f>
        <v>1</v>
      </c>
      <c r="K237" s="16">
        <f>'2월'!K39</f>
        <v>12956</v>
      </c>
      <c r="L237" s="15">
        <f>'2월'!L39</f>
        <v>12956</v>
      </c>
      <c r="M237" s="15">
        <f>'2월'!M39</f>
        <v>1295</v>
      </c>
      <c r="N237" s="15">
        <f>'2월'!N39</f>
        <v>14251</v>
      </c>
      <c r="O237" s="5" t="str">
        <f>'2월'!O39</f>
        <v>자동이체(2/28)</v>
      </c>
      <c r="P237" s="175" t="str">
        <f>'2월'!P39</f>
        <v>정지우</v>
      </c>
      <c r="Q237" s="68" t="str">
        <f>'2월'!Q39</f>
        <v>X</v>
      </c>
      <c r="R237" s="209"/>
      <c r="S237" s="7"/>
    </row>
    <row r="238" spans="1:19" ht="16.5" customHeight="1">
      <c r="A238" t="s">
        <v>64</v>
      </c>
      <c r="B238" s="10" t="str">
        <f>'2월'!B40</f>
        <v>S</v>
      </c>
      <c r="C238" s="12"/>
      <c r="D238" s="13">
        <f>'2월'!D40</f>
        <v>45693</v>
      </c>
      <c r="E238" s="155" t="str">
        <f>'2월'!E40</f>
        <v>로보츠</v>
      </c>
      <c r="F238" s="155"/>
      <c r="G238" s="158" t="str">
        <f>'2월'!G40</f>
        <v>MA</v>
      </c>
      <c r="H238" s="156" t="str">
        <f>'2월'!H40</f>
        <v>기술지원</v>
      </c>
      <c r="I238" s="69" t="str">
        <f>'2월'!I40</f>
        <v>보안취약점 2차 기술지원</v>
      </c>
      <c r="J238" s="122">
        <f>'2월'!J40</f>
        <v>1</v>
      </c>
      <c r="K238" s="15">
        <f>'2월'!K40</f>
        <v>10000000</v>
      </c>
      <c r="L238" s="16">
        <f>'2월'!L40</f>
        <v>10000000</v>
      </c>
      <c r="M238" s="16">
        <f>'2월'!M40</f>
        <v>1000000</v>
      </c>
      <c r="N238" s="15">
        <f>'2월'!N40</f>
        <v>11000000</v>
      </c>
      <c r="O238" s="5" t="str">
        <f>'2월'!O40</f>
        <v>완료(3/25)</v>
      </c>
      <c r="P238" s="9" t="str">
        <f>'2월'!P40</f>
        <v>이예지</v>
      </c>
      <c r="Q238" s="5">
        <f>'2월'!Q40</f>
        <v>45657</v>
      </c>
      <c r="R238" s="209"/>
    </row>
    <row r="239" spans="1:19" ht="16.5" customHeight="1">
      <c r="A239" t="s">
        <v>64</v>
      </c>
      <c r="B239" s="10" t="str">
        <f>'2월'!B41</f>
        <v>SM-24020</v>
      </c>
      <c r="C239" s="12"/>
      <c r="D239" s="13">
        <f>'2월'!D41</f>
        <v>45693</v>
      </c>
      <c r="E239" s="155" t="str">
        <f>'2월'!E41</f>
        <v>로보츠</v>
      </c>
      <c r="F239" s="155" t="str">
        <f>'2월'!F41</f>
        <v>와이케이케이한국</v>
      </c>
      <c r="G239" s="156" t="str">
        <f>'2월'!G41</f>
        <v>MA</v>
      </c>
      <c r="H239" s="156" t="str">
        <f>'2월'!H41</f>
        <v>월간</v>
      </c>
      <c r="I239" s="69" t="str">
        <f>'2월'!I41</f>
        <v>BoardSystem 유지보수 - 2월 (5/12회)</v>
      </c>
      <c r="J239" s="122">
        <f>'2월'!J41</f>
        <v>1</v>
      </c>
      <c r="K239" s="15">
        <f>'2월'!K41</f>
        <v>1060000</v>
      </c>
      <c r="L239" s="16">
        <f>'2월'!L41</f>
        <v>1060000</v>
      </c>
      <c r="M239" s="16">
        <f>'2월'!M41</f>
        <v>106000</v>
      </c>
      <c r="N239" s="15">
        <f>'2월'!N41</f>
        <v>1166000</v>
      </c>
      <c r="O239" s="5" t="str">
        <f>'2월'!O41</f>
        <v>완료(3/25)</v>
      </c>
      <c r="P239" s="9" t="str">
        <f>'2월'!P41</f>
        <v>이예지</v>
      </c>
      <c r="Q239" s="5">
        <f>'2월'!Q41</f>
        <v>45693</v>
      </c>
      <c r="R239" s="209"/>
    </row>
    <row r="240" spans="1:19" ht="16.5" customHeight="1">
      <c r="A240" t="s">
        <v>64</v>
      </c>
      <c r="B240" s="10" t="str">
        <f>'2월'!B42</f>
        <v>H250206-01</v>
      </c>
      <c r="C240" s="12"/>
      <c r="D240" s="13">
        <f>'2월'!D42</f>
        <v>45694</v>
      </c>
      <c r="E240" s="155" t="str">
        <f>'2월'!E42</f>
        <v>이비웨이브</v>
      </c>
      <c r="F240" s="155" t="str">
        <f>'2월'!F42</f>
        <v>티에스씨인포</v>
      </c>
      <c r="G240" s="156" t="str">
        <f>'2월'!G42</f>
        <v>상품</v>
      </c>
      <c r="H240" s="156" t="str">
        <f>'2월'!H42</f>
        <v>46M0918</v>
      </c>
      <c r="I240" s="69" t="str">
        <f>'2월'!I42</f>
        <v>SERVERAID M5014 RAID CONTROLLER</v>
      </c>
      <c r="J240" s="122">
        <f>'2월'!J42</f>
        <v>1</v>
      </c>
      <c r="K240" s="15">
        <f>'2월'!K42</f>
        <v>60000</v>
      </c>
      <c r="L240" s="16">
        <f>'2월'!L42</f>
        <v>380000</v>
      </c>
      <c r="M240" s="16">
        <f>'2월'!M42</f>
        <v>38000</v>
      </c>
      <c r="N240" s="15">
        <f>'2월'!N42</f>
        <v>418000</v>
      </c>
      <c r="O240" s="5" t="str">
        <f>'2월'!O42</f>
        <v>완료(4/30)</v>
      </c>
      <c r="P240" s="9" t="str">
        <f>'2월'!P42</f>
        <v>천범석</v>
      </c>
      <c r="Q240" s="5">
        <f>'2월'!Q42</f>
        <v>45716</v>
      </c>
      <c r="R240" s="209"/>
    </row>
    <row r="241" spans="1:18" ht="16.5" customHeight="1">
      <c r="A241" t="s">
        <v>64</v>
      </c>
      <c r="B241" s="10" t="str">
        <f>'2월'!B43</f>
        <v>H250206-02</v>
      </c>
      <c r="C241" s="145"/>
      <c r="D241" s="65"/>
      <c r="E241" s="160" t="str">
        <f>'2월'!E43</f>
        <v>이비웨이브</v>
      </c>
      <c r="F241" s="160" t="str">
        <f>'2월'!F43</f>
        <v>티에스씨인포</v>
      </c>
      <c r="G241" s="156" t="str">
        <f>'2월'!G43</f>
        <v>상품</v>
      </c>
      <c r="H241" s="156" t="str">
        <f>'2월'!H43</f>
        <v>46M0854</v>
      </c>
      <c r="I241" s="69" t="str">
        <f>'2월'!I43</f>
        <v>SERVERAID M5025 SAS/SATA CONTROLLER</v>
      </c>
      <c r="J241" s="122">
        <f>'2월'!J43</f>
        <v>1</v>
      </c>
      <c r="K241" s="15">
        <f>'2월'!K43</f>
        <v>120000</v>
      </c>
      <c r="L241" s="125"/>
      <c r="M241" s="125"/>
      <c r="N241" s="126"/>
      <c r="O241" s="99"/>
      <c r="P241" s="176"/>
      <c r="Q241" s="176"/>
      <c r="R241" s="209"/>
    </row>
    <row r="242" spans="1:18" ht="16.5" customHeight="1">
      <c r="A242" t="s">
        <v>64</v>
      </c>
      <c r="B242" s="10" t="str">
        <f>'2월'!B44</f>
        <v>H250206-03</v>
      </c>
      <c r="C242" s="145"/>
      <c r="D242" s="65"/>
      <c r="E242" s="160" t="str">
        <f>'2월'!E44</f>
        <v>이비웨이브</v>
      </c>
      <c r="F242" s="160" t="str">
        <f>'2월'!F44</f>
        <v>티에스씨인포</v>
      </c>
      <c r="G242" s="156" t="str">
        <f>'2월'!G44</f>
        <v>상품</v>
      </c>
      <c r="H242" s="156" t="str">
        <f>'2월'!H44</f>
        <v>81Y4451</v>
      </c>
      <c r="I242" s="69" t="str">
        <f>'2월'!I44</f>
        <v>IBM Serveraid M5000 Battery Kit</v>
      </c>
      <c r="J242" s="122">
        <f>'2월'!J44</f>
        <v>2</v>
      </c>
      <c r="K242" s="15">
        <f>'2월'!K44</f>
        <v>100000</v>
      </c>
      <c r="L242" s="125"/>
      <c r="M242" s="125"/>
      <c r="N242" s="126"/>
      <c r="O242" s="99"/>
      <c r="P242" s="176"/>
      <c r="Q242" s="176"/>
      <c r="R242" s="209"/>
    </row>
    <row r="243" spans="1:18" ht="16.5" customHeight="1">
      <c r="A243" t="s">
        <v>64</v>
      </c>
      <c r="B243" s="10" t="str">
        <f>'2월'!B45</f>
        <v>H250207-01</v>
      </c>
      <c r="C243" s="12"/>
      <c r="D243" s="13">
        <f>'2월'!D45</f>
        <v>45695</v>
      </c>
      <c r="E243" s="155" t="str">
        <f>'2월'!E45</f>
        <v>이비웨이브</v>
      </c>
      <c r="F243" s="155" t="str">
        <f>'2월'!F45</f>
        <v>티에스씨인포</v>
      </c>
      <c r="G243" s="156" t="str">
        <f>'2월'!G45</f>
        <v>상품</v>
      </c>
      <c r="H243" s="156" t="str">
        <f>'2월'!H45</f>
        <v>01LJ786</v>
      </c>
      <c r="I243" s="69" t="str">
        <f>'2월'!I45</f>
        <v>IBM 900GB 10K RPM 12Gbps 2.5" SAS HDD</v>
      </c>
      <c r="J243" s="122">
        <f>'2월'!J45</f>
        <v>1</v>
      </c>
      <c r="K243" s="15">
        <f>'2월'!K45</f>
        <v>150000</v>
      </c>
      <c r="L243" s="16">
        <f>'2월'!L45</f>
        <v>150000</v>
      </c>
      <c r="M243" s="16">
        <f>'2월'!M45</f>
        <v>15000</v>
      </c>
      <c r="N243" s="15">
        <f>'2월'!N45</f>
        <v>165000</v>
      </c>
      <c r="O243" s="5" t="str">
        <f>'2월'!O45</f>
        <v>완료(4/30)</v>
      </c>
      <c r="P243" s="9" t="str">
        <f>'2월'!P45</f>
        <v>천범석</v>
      </c>
      <c r="Q243" s="5">
        <f>'2월'!Q45</f>
        <v>45716</v>
      </c>
      <c r="R243" s="209"/>
    </row>
    <row r="244" spans="1:18" ht="16.5" customHeight="1">
      <c r="A244" t="s">
        <v>64</v>
      </c>
      <c r="B244" s="10" t="str">
        <f>'2월'!B46</f>
        <v>H250210-01</v>
      </c>
      <c r="C244" s="12"/>
      <c r="D244" s="13">
        <f>'2월'!D46</f>
        <v>45698</v>
      </c>
      <c r="E244" s="155" t="str">
        <f>'2월'!E46</f>
        <v>이비웨이브</v>
      </c>
      <c r="F244" s="155" t="str">
        <f>'2월'!F46</f>
        <v>인코어</v>
      </c>
      <c r="G244" s="156" t="str">
        <f>'2월'!G46</f>
        <v>상품</v>
      </c>
      <c r="H244" s="156" t="str">
        <f>'2월'!H46</f>
        <v>1P7DP</v>
      </c>
      <c r="I244" s="69" t="str">
        <f>'2월'!I46</f>
        <v>2TB 7.2K 6G SAS 3.5inch Hard Drive</v>
      </c>
      <c r="J244" s="122">
        <f>'2월'!J46</f>
        <v>1</v>
      </c>
      <c r="K244" s="15">
        <f>'2월'!K46</f>
        <v>120000</v>
      </c>
      <c r="L244" s="16">
        <f>'2월'!L46</f>
        <v>120000</v>
      </c>
      <c r="M244" s="16">
        <f>'2월'!M46</f>
        <v>12000</v>
      </c>
      <c r="N244" s="15">
        <f>'2월'!N46</f>
        <v>132000</v>
      </c>
      <c r="O244" s="5" t="str">
        <f>'2월'!O46</f>
        <v>완료(4/30)</v>
      </c>
      <c r="P244" s="9" t="str">
        <f>'2월'!P46</f>
        <v>천범석</v>
      </c>
      <c r="Q244" s="5">
        <f>'2월'!Q46</f>
        <v>45713</v>
      </c>
      <c r="R244" s="209"/>
    </row>
    <row r="245" spans="1:18" ht="16.5" customHeight="1">
      <c r="A245" t="s">
        <v>64</v>
      </c>
      <c r="B245" s="10" t="str">
        <f>'2월'!B47</f>
        <v>X</v>
      </c>
      <c r="C245" s="12"/>
      <c r="D245" s="13">
        <f>'2월'!D47</f>
        <v>45698</v>
      </c>
      <c r="E245" s="155" t="str">
        <f>'2월'!E47</f>
        <v>컴퓨존</v>
      </c>
      <c r="F245" s="155"/>
      <c r="G245" s="156" t="str">
        <f>'2월'!G47</f>
        <v>일반경비</v>
      </c>
      <c r="H245" s="156" t="str">
        <f>'2월'!H47</f>
        <v>소모품</v>
      </c>
      <c r="I245" s="69" t="str">
        <f>'2월'!I47</f>
        <v>보조배터리10000M 외</v>
      </c>
      <c r="J245" s="122">
        <f>'2월'!J47</f>
        <v>1</v>
      </c>
      <c r="K245" s="15">
        <f>'2월'!K47</f>
        <v>25782</v>
      </c>
      <c r="L245" s="16">
        <f>'2월'!L47</f>
        <v>25782</v>
      </c>
      <c r="M245" s="16">
        <f>'2월'!M47</f>
        <v>2578</v>
      </c>
      <c r="N245" s="15">
        <f>'2월'!N47</f>
        <v>28360</v>
      </c>
      <c r="O245" s="5" t="str">
        <f>'2월'!O47</f>
        <v>완료(2/10)</v>
      </c>
      <c r="P245" s="9" t="str">
        <f>'2월'!P47</f>
        <v>이예지</v>
      </c>
      <c r="Q245" s="5" t="str">
        <f>'2월'!Q47</f>
        <v>X</v>
      </c>
      <c r="R245" s="213"/>
    </row>
    <row r="246" spans="1:18" ht="16.5" customHeight="1">
      <c r="A246" t="s">
        <v>64</v>
      </c>
      <c r="B246" s="10" t="str">
        <f>'2월'!B48</f>
        <v>S</v>
      </c>
      <c r="C246" s="12"/>
      <c r="D246" s="13">
        <f>'2월'!D48</f>
        <v>45698</v>
      </c>
      <c r="E246" s="155" t="str">
        <f>'2월'!E48</f>
        <v>로보츠</v>
      </c>
      <c r="F246" s="155" t="str">
        <f>'2월'!F48</f>
        <v>와이케이케이한국</v>
      </c>
      <c r="G246" s="156" t="str">
        <f>'2월'!G48</f>
        <v>상품</v>
      </c>
      <c r="H246" s="156" t="str">
        <f>'2월'!H48</f>
        <v>노트북</v>
      </c>
      <c r="I246" s="69" t="str">
        <f>'2월'!I48</f>
        <v xml:space="preserve">LG전자 노트북 15U50S-G.AP7TL </v>
      </c>
      <c r="J246" s="122">
        <f>'2월'!J48</f>
        <v>1</v>
      </c>
      <c r="K246" s="15">
        <f>'2월'!K48</f>
        <v>1490000</v>
      </c>
      <c r="L246" s="16">
        <f>'2월'!L48</f>
        <v>1490000</v>
      </c>
      <c r="M246" s="16">
        <f>'2월'!M48</f>
        <v>149000</v>
      </c>
      <c r="N246" s="15">
        <f>'2월'!N48</f>
        <v>1639000</v>
      </c>
      <c r="O246" s="5" t="str">
        <f>'2월'!O48</f>
        <v>완료(3/25)</v>
      </c>
      <c r="P246" s="9" t="str">
        <f>'2월'!P48</f>
        <v>이예지</v>
      </c>
      <c r="Q246" s="5">
        <f>'2월'!Q48</f>
        <v>45698</v>
      </c>
      <c r="R246" s="213"/>
    </row>
    <row r="247" spans="1:18" ht="16.5" customHeight="1">
      <c r="A247" t="s">
        <v>64</v>
      </c>
      <c r="B247" s="10" t="str">
        <f>'2월'!B49</f>
        <v>SM-23012</v>
      </c>
      <c r="C247" s="12"/>
      <c r="D247" s="13">
        <f>'2월'!D49</f>
        <v>45698</v>
      </c>
      <c r="E247" s="155" t="str">
        <f>'2월'!E49</f>
        <v>엘림넷</v>
      </c>
      <c r="F247" s="155" t="str">
        <f>'2월'!F49</f>
        <v>택스홈앤아웃 본사</v>
      </c>
      <c r="G247" s="156" t="str">
        <f>'2월'!G49</f>
        <v>MA</v>
      </c>
      <c r="H247" s="156" t="str">
        <f>'2월'!H49</f>
        <v>월간</v>
      </c>
      <c r="I247" s="69" t="str">
        <f>'2월'!I49</f>
        <v>e-NETner 외 1건</v>
      </c>
      <c r="J247" s="122">
        <f>'2월'!J49</f>
        <v>1</v>
      </c>
      <c r="K247" s="15">
        <f>'2월'!K49</f>
        <v>155200</v>
      </c>
      <c r="L247" s="16">
        <f>'2월'!L49</f>
        <v>155200</v>
      </c>
      <c r="M247" s="16">
        <f>'2월'!M49</f>
        <v>15520</v>
      </c>
      <c r="N247" s="15">
        <f>'2월'!N49</f>
        <v>170720</v>
      </c>
      <c r="O247" s="5" t="str">
        <f>'2월'!O49</f>
        <v>완료(2/26법카)</v>
      </c>
      <c r="P247" s="9" t="str">
        <f>'2월'!P49</f>
        <v>이예지</v>
      </c>
      <c r="Q247" s="5">
        <f>'2월'!Q49</f>
        <v>45689</v>
      </c>
      <c r="R247" s="209"/>
    </row>
    <row r="248" spans="1:18" ht="16.5" customHeight="1">
      <c r="A248" t="s">
        <v>64</v>
      </c>
      <c r="B248" s="10" t="str">
        <f>'2월'!B50</f>
        <v>SM-23012</v>
      </c>
      <c r="C248" s="12"/>
      <c r="D248" s="13">
        <f>'2월'!D50</f>
        <v>45698</v>
      </c>
      <c r="E248" s="155" t="str">
        <f>'2월'!E50</f>
        <v>엘림넷</v>
      </c>
      <c r="F248" s="155" t="str">
        <f>'2월'!F50</f>
        <v>택스홈앤아웃 본사</v>
      </c>
      <c r="G248" s="156" t="str">
        <f>'2월'!G50</f>
        <v>MA</v>
      </c>
      <c r="H248" s="156" t="str">
        <f>'2월'!H50</f>
        <v>월간</v>
      </c>
      <c r="I248" s="69" t="str">
        <f>'2월'!I50</f>
        <v>전용회선료 외 1건</v>
      </c>
      <c r="J248" s="122">
        <f>'2월'!J50</f>
        <v>1</v>
      </c>
      <c r="K248" s="15">
        <f>'2월'!K50</f>
        <v>213400</v>
      </c>
      <c r="L248" s="16">
        <f>'2월'!L50</f>
        <v>213400</v>
      </c>
      <c r="M248" s="16">
        <f>'2월'!M50</f>
        <v>21340</v>
      </c>
      <c r="N248" s="15">
        <f>'2월'!N50</f>
        <v>234740</v>
      </c>
      <c r="O248" s="5" t="str">
        <f>'2월'!O50</f>
        <v>완료(2/26법카)</v>
      </c>
      <c r="P248" s="9" t="str">
        <f>'2월'!P50</f>
        <v>이예지</v>
      </c>
      <c r="Q248" s="5">
        <f>'2월'!Q50</f>
        <v>45689</v>
      </c>
      <c r="R248" s="209"/>
    </row>
    <row r="249" spans="1:18" ht="16.5" customHeight="1">
      <c r="A249" t="s">
        <v>64</v>
      </c>
      <c r="B249" s="10" t="str">
        <f>'2월'!B51</f>
        <v>SM-23013</v>
      </c>
      <c r="C249" s="12"/>
      <c r="D249" s="13">
        <f>'2월'!D51</f>
        <v>45698</v>
      </c>
      <c r="E249" s="155" t="str">
        <f>'2월'!E51</f>
        <v>엘림넷</v>
      </c>
      <c r="F249" s="155" t="str">
        <f>'2월'!F51</f>
        <v>하이엔드택스 강남지점(압구정)</v>
      </c>
      <c r="G249" s="156" t="str">
        <f>'2월'!G51</f>
        <v>MA</v>
      </c>
      <c r="H249" s="156" t="str">
        <f>'2월'!H51</f>
        <v>월간</v>
      </c>
      <c r="I249" s="69" t="str">
        <f>'2월'!I51</f>
        <v>e-NETner 외 1건</v>
      </c>
      <c r="J249" s="122">
        <f>'2월'!J51</f>
        <v>1</v>
      </c>
      <c r="K249" s="15">
        <f>'2월'!K51</f>
        <v>77600</v>
      </c>
      <c r="L249" s="16">
        <f>'2월'!L51</f>
        <v>77600</v>
      </c>
      <c r="M249" s="16">
        <f>'2월'!M51</f>
        <v>7760</v>
      </c>
      <c r="N249" s="15">
        <f>'2월'!N51</f>
        <v>85360</v>
      </c>
      <c r="O249" s="5" t="str">
        <f>'2월'!O51</f>
        <v>완료(2/26법카)</v>
      </c>
      <c r="P249" s="9" t="str">
        <f>'2월'!P51</f>
        <v>이예지</v>
      </c>
      <c r="Q249" s="5">
        <f>'2월'!Q51</f>
        <v>45689</v>
      </c>
      <c r="R249" s="209"/>
    </row>
    <row r="250" spans="1:18" ht="16.5" customHeight="1">
      <c r="A250" t="s">
        <v>64</v>
      </c>
      <c r="B250" s="10" t="str">
        <f>'2월'!B52</f>
        <v>SM-23013</v>
      </c>
      <c r="C250" s="12"/>
      <c r="D250" s="13">
        <f>'2월'!D52</f>
        <v>45698</v>
      </c>
      <c r="E250" s="155" t="str">
        <f>'2월'!E52</f>
        <v>엘림넷</v>
      </c>
      <c r="F250" s="155" t="str">
        <f>'2월'!F52</f>
        <v>하이엔드택스 강남지점(압구정)</v>
      </c>
      <c r="G250" s="156" t="str">
        <f>'2월'!G52</f>
        <v>MA</v>
      </c>
      <c r="H250" s="156" t="str">
        <f>'2월'!H52</f>
        <v>월간</v>
      </c>
      <c r="I250" s="69" t="str">
        <f>'2월'!I52</f>
        <v>전용회선료 외 1건</v>
      </c>
      <c r="J250" s="122">
        <f>'2월'!J52</f>
        <v>1</v>
      </c>
      <c r="K250" s="15">
        <f>'2월'!K52</f>
        <v>145500</v>
      </c>
      <c r="L250" s="16">
        <f>'2월'!L52</f>
        <v>145500</v>
      </c>
      <c r="M250" s="16">
        <f>'2월'!M52</f>
        <v>14550</v>
      </c>
      <c r="N250" s="15">
        <f>'2월'!N52</f>
        <v>160050</v>
      </c>
      <c r="O250" s="5" t="str">
        <f>'2월'!O52</f>
        <v>완료(2/26법카)</v>
      </c>
      <c r="P250" s="9" t="str">
        <f>'2월'!P52</f>
        <v>이예지</v>
      </c>
      <c r="Q250" s="5">
        <f>'2월'!Q52</f>
        <v>45689</v>
      </c>
      <c r="R250" s="209"/>
    </row>
    <row r="251" spans="1:18" ht="16.5" customHeight="1">
      <c r="A251" t="s">
        <v>64</v>
      </c>
      <c r="B251" s="10" t="str">
        <f>'2월'!B53</f>
        <v>H250210-02</v>
      </c>
      <c r="C251" s="12"/>
      <c r="D251" s="13">
        <f>'2월'!D53</f>
        <v>45699</v>
      </c>
      <c r="E251" s="155" t="str">
        <f>'2월'!E53</f>
        <v>컴퓨존</v>
      </c>
      <c r="F251" s="155" t="str">
        <f>'2월'!F53</f>
        <v>하이엔드택스 양재지점</v>
      </c>
      <c r="G251" s="156" t="str">
        <f>'2월'!G53</f>
        <v>상품</v>
      </c>
      <c r="H251" s="156" t="str">
        <f>'2월'!H53</f>
        <v>UPS BATTERY</v>
      </c>
      <c r="I251" s="69" t="str">
        <f>'2월'!I53</f>
        <v>APC UPS 2200 BATTERY</v>
      </c>
      <c r="J251" s="122">
        <f>'2월'!J53</f>
        <v>1</v>
      </c>
      <c r="K251" s="15">
        <f>'2월'!K53</f>
        <v>572364</v>
      </c>
      <c r="L251" s="16">
        <f>'2월'!L53</f>
        <v>572364</v>
      </c>
      <c r="M251" s="16">
        <f>'2월'!M53</f>
        <v>57236</v>
      </c>
      <c r="N251" s="15">
        <f>'2월'!N53</f>
        <v>629600</v>
      </c>
      <c r="O251" s="5" t="str">
        <f>'2월'!O53</f>
        <v>완료(2/11)</v>
      </c>
      <c r="P251" s="9" t="str">
        <f>'2월'!P53</f>
        <v>천범석</v>
      </c>
      <c r="Q251" s="5" t="str">
        <f>'2월'!Q53</f>
        <v>2/13신한카드</v>
      </c>
      <c r="R251" s="213"/>
    </row>
    <row r="252" spans="1:18" ht="16.5" customHeight="1">
      <c r="A252" t="s">
        <v>64</v>
      </c>
      <c r="B252" s="10" t="str">
        <f>'2월'!B54</f>
        <v>H250211-01</v>
      </c>
      <c r="C252" s="12"/>
      <c r="D252" s="13">
        <f>'2월'!D54</f>
        <v>45699</v>
      </c>
      <c r="E252" s="155" t="str">
        <f>'2월'!E54</f>
        <v>이비웨이브</v>
      </c>
      <c r="F252" s="155" t="str">
        <f>'2월'!F54</f>
        <v>티에스씨인포</v>
      </c>
      <c r="G252" s="156" t="str">
        <f>'2월'!G54</f>
        <v>상품</v>
      </c>
      <c r="H252" s="156" t="str">
        <f>'2월'!H54</f>
        <v>44X3212</v>
      </c>
      <c r="I252" s="69" t="str">
        <f>'2월'!I54</f>
        <v>IBM V7000 Storage 600GB 10K 2.5inch HDD 44X3212/90Y7652</v>
      </c>
      <c r="J252" s="122">
        <f>'2월'!J54</f>
        <v>1</v>
      </c>
      <c r="K252" s="15">
        <f>'2월'!K54</f>
        <v>150000</v>
      </c>
      <c r="L252" s="16">
        <f>'2월'!L54</f>
        <v>150000</v>
      </c>
      <c r="M252" s="16">
        <f>'2월'!M54</f>
        <v>15000</v>
      </c>
      <c r="N252" s="15">
        <f>'2월'!N54</f>
        <v>165000</v>
      </c>
      <c r="O252" s="5" t="str">
        <f>'2월'!O54</f>
        <v>완료(4/30)</v>
      </c>
      <c r="P252" s="9" t="str">
        <f>'2월'!P54</f>
        <v>천범석</v>
      </c>
      <c r="Q252" s="5">
        <f>'2월'!Q54</f>
        <v>45716</v>
      </c>
      <c r="R252" s="209"/>
    </row>
    <row r="253" spans="1:18" ht="16.5" customHeight="1">
      <c r="A253" t="s">
        <v>64</v>
      </c>
      <c r="B253" s="10" t="str">
        <f>'2월'!B55</f>
        <v>X</v>
      </c>
      <c r="C253" s="12"/>
      <c r="D253" s="13">
        <f>'2월'!D55</f>
        <v>45700</v>
      </c>
      <c r="E253" s="155" t="str">
        <f>'2월'!E55</f>
        <v>컴퓨존</v>
      </c>
      <c r="F253" s="155"/>
      <c r="G253" s="156" t="str">
        <f>'2월'!G55</f>
        <v>일반경비</v>
      </c>
      <c r="H253" s="156" t="str">
        <f>'2월'!H55</f>
        <v>소모품</v>
      </c>
      <c r="I253" s="69" t="str">
        <f>'2월'!I55</f>
        <v>(수정 2/10) 도킹형 C타입 2In1 고속 보조배터리</v>
      </c>
      <c r="J253" s="122">
        <f>'2월'!J55</f>
        <v>1</v>
      </c>
      <c r="K253" s="15">
        <f>'2월'!K55</f>
        <v>-9845</v>
      </c>
      <c r="L253" s="16">
        <f>'2월'!L55</f>
        <v>-9845</v>
      </c>
      <c r="M253" s="16">
        <f>'2월'!M55</f>
        <v>-985</v>
      </c>
      <c r="N253" s="15">
        <f>'2월'!N55</f>
        <v>-10830</v>
      </c>
      <c r="O253" s="5" t="str">
        <f>'2월'!O55</f>
        <v>환불(2/11)</v>
      </c>
      <c r="P253" s="9" t="str">
        <f>'2월'!P55</f>
        <v>이예지</v>
      </c>
      <c r="Q253" s="5" t="str">
        <f>'2월'!Q55</f>
        <v>X</v>
      </c>
      <c r="R253" s="213"/>
    </row>
    <row r="254" spans="1:18" ht="16.5" customHeight="1">
      <c r="A254" t="s">
        <v>64</v>
      </c>
      <c r="B254" s="10" t="str">
        <f>'2월'!B56</f>
        <v>H250212-01</v>
      </c>
      <c r="C254" s="12"/>
      <c r="D254" s="13">
        <f>'2월'!D56</f>
        <v>45700</v>
      </c>
      <c r="E254" s="155" t="str">
        <f>'2월'!E56</f>
        <v>이비웨이브</v>
      </c>
      <c r="F254" s="155" t="str">
        <f>'2월'!F56</f>
        <v>티에스씨인포</v>
      </c>
      <c r="G254" s="156" t="str">
        <f>'2월'!G56</f>
        <v>상품</v>
      </c>
      <c r="H254" s="156" t="str">
        <f>'2월'!H56</f>
        <v>01KR355</v>
      </c>
      <c r="I254" s="69" t="str">
        <f>'2월'!I56</f>
        <v>Lenovo 32GB PC4-23400V DDR4-2933 2RX4 ECC RDIMM Server Memory</v>
      </c>
      <c r="J254" s="122">
        <f>'2월'!J56</f>
        <v>1</v>
      </c>
      <c r="K254" s="15">
        <f>'2월'!K56</f>
        <v>190000</v>
      </c>
      <c r="L254" s="16">
        <f>'2월'!L56</f>
        <v>190000</v>
      </c>
      <c r="M254" s="16">
        <f>'2월'!M56</f>
        <v>19000</v>
      </c>
      <c r="N254" s="15">
        <f>'2월'!N56</f>
        <v>209000</v>
      </c>
      <c r="O254" s="5" t="str">
        <f>'2월'!O56</f>
        <v>완료(4/30)</v>
      </c>
      <c r="P254" s="9" t="str">
        <f>'2월'!P56</f>
        <v>천범석</v>
      </c>
      <c r="Q254" s="5">
        <f>'2월'!Q56</f>
        <v>45716</v>
      </c>
      <c r="R254" s="209"/>
    </row>
    <row r="255" spans="1:18" ht="16.5" customHeight="1">
      <c r="B255" s="10" t="str">
        <f>'2월'!B57</f>
        <v>SM-25008</v>
      </c>
      <c r="C255" s="12"/>
      <c r="D255" s="13">
        <f>'2월'!D57</f>
        <v>45701</v>
      </c>
      <c r="E255" s="155" t="str">
        <f>'2월'!E57</f>
        <v>한국아이씨에스</v>
      </c>
      <c r="F255" s="155" t="str">
        <f>'2월'!F57</f>
        <v>유니포인트</v>
      </c>
      <c r="G255" s="156" t="str">
        <f>'2월'!G57</f>
        <v>MA</v>
      </c>
      <c r="H255" s="156" t="str">
        <f>'2월'!H57</f>
        <v>월간-IBM</v>
      </c>
      <c r="I255" s="69" t="str">
        <f>'2월'!I57</f>
        <v>스마트로 1~2월 유지정비료 - 1~2/12회</v>
      </c>
      <c r="J255" s="122">
        <f>'2월'!J57</f>
        <v>1</v>
      </c>
      <c r="K255" s="15">
        <f>'2월'!K57</f>
        <v>2421068</v>
      </c>
      <c r="L255" s="16">
        <f>'2월'!L57</f>
        <v>2421068</v>
      </c>
      <c r="M255" s="16">
        <f>'2월'!M57</f>
        <v>242106</v>
      </c>
      <c r="N255" s="15">
        <f>'2월'!N57</f>
        <v>2663174</v>
      </c>
      <c r="O255" s="5" t="str">
        <f>'2월'!O57</f>
        <v>완료(3/31)</v>
      </c>
      <c r="P255" s="9" t="str">
        <f>'2월'!P57</f>
        <v>천범석</v>
      </c>
      <c r="Q255" s="5" t="str">
        <f>'2월'!Q57</f>
        <v>1/31,2/24</v>
      </c>
      <c r="R255" s="213"/>
    </row>
    <row r="256" spans="1:18" ht="16.5" customHeight="1">
      <c r="A256" t="s">
        <v>64</v>
      </c>
      <c r="B256" s="10" t="str">
        <f>'2월'!B58</f>
        <v>H250213-02</v>
      </c>
      <c r="C256" s="12"/>
      <c r="D256" s="13">
        <f>'2월'!D58</f>
        <v>45701</v>
      </c>
      <c r="E256" s="155" t="str">
        <f>'2월'!E58</f>
        <v>컴퓨존</v>
      </c>
      <c r="F256" s="155" t="str">
        <f>'2월'!F58</f>
        <v>브리티쉬아메리칸토바코</v>
      </c>
      <c r="G256" s="156" t="str">
        <f>'2월'!G58</f>
        <v>상품</v>
      </c>
      <c r="H256" s="156" t="str">
        <f>'2월'!H58</f>
        <v>USB Blocker</v>
      </c>
      <c r="I256" s="69" t="str">
        <f>'2월'!I58</f>
        <v>[LINDY] 보안 커텍터, 추가구매용 USB 블록, LINDY-40460 10개 [레드/5 SET] / LINDY-40463 [오렌지/21 SET]</v>
      </c>
      <c r="J256" s="122">
        <f>'2월'!J58</f>
        <v>26</v>
      </c>
      <c r="K256" s="15">
        <f>'2월'!K58</f>
        <v>27036</v>
      </c>
      <c r="L256" s="16">
        <f>'2월'!L58</f>
        <v>702945</v>
      </c>
      <c r="M256" s="16">
        <f>'2월'!M58</f>
        <v>70295</v>
      </c>
      <c r="N256" s="15">
        <f>'2월'!N58</f>
        <v>773240</v>
      </c>
      <c r="O256" s="5" t="str">
        <f>'2월'!O58</f>
        <v>완료(2/13)</v>
      </c>
      <c r="P256" s="9" t="str">
        <f>'2월'!P58</f>
        <v>천범석</v>
      </c>
      <c r="Q256" s="5">
        <f>'2월'!Q58</f>
        <v>45706</v>
      </c>
      <c r="R256" s="213"/>
    </row>
    <row r="257" spans="1:21" ht="16.5" customHeight="1">
      <c r="A257" t="s">
        <v>64</v>
      </c>
      <c r="B257" s="10" t="str">
        <f>'2월'!B59</f>
        <v>X</v>
      </c>
      <c r="C257" s="12"/>
      <c r="D257" s="13">
        <f>'2월'!D59</f>
        <v>45701</v>
      </c>
      <c r="E257" s="155" t="str">
        <f>'2월'!E59</f>
        <v>헬프유</v>
      </c>
      <c r="F257" s="155"/>
      <c r="G257" s="156" t="str">
        <f>'2월'!G59</f>
        <v>일반경비</v>
      </c>
      <c r="H257" s="156" t="str">
        <f>'2월'!H59</f>
        <v>소모품</v>
      </c>
      <c r="I257" s="69" t="str">
        <f>'2월'!I59</f>
        <v xml:space="preserve">원격지원 프로그램 - 헬프유 1+2계정 - 1년 </v>
      </c>
      <c r="J257" s="122">
        <f>'2월'!J59</f>
        <v>1</v>
      </c>
      <c r="K257" s="15">
        <f>'2월'!K59</f>
        <v>270000</v>
      </c>
      <c r="L257" s="16">
        <f>'2월'!L59</f>
        <v>270000</v>
      </c>
      <c r="M257" s="16">
        <f>'2월'!M59</f>
        <v>27000</v>
      </c>
      <c r="N257" s="15">
        <f>'2월'!N59</f>
        <v>297000</v>
      </c>
      <c r="O257" s="5" t="str">
        <f>'2월'!O59</f>
        <v>완료(2/13)</v>
      </c>
      <c r="P257" s="9" t="str">
        <f>'2월'!P59</f>
        <v>정지우</v>
      </c>
      <c r="Q257" s="5" t="str">
        <f>'2월'!Q59</f>
        <v>X</v>
      </c>
      <c r="R257" s="213"/>
    </row>
    <row r="258" spans="1:21" ht="16.5" customHeight="1">
      <c r="A258" t="s">
        <v>64</v>
      </c>
      <c r="B258" s="143" t="str">
        <f>'2월'!B60</f>
        <v>SM-20017</v>
      </c>
      <c r="C258" s="144"/>
      <c r="D258" s="13">
        <f>'2월'!D60</f>
        <v>45703</v>
      </c>
      <c r="E258" s="161" t="str">
        <f>'2월'!E60</f>
        <v>에스엔에이</v>
      </c>
      <c r="F258" s="155" t="str">
        <f>'2월'!F60</f>
        <v>해안종합건축사사무소</v>
      </c>
      <c r="G258" s="156" t="str">
        <f>'2월'!G60</f>
        <v>MA</v>
      </c>
      <c r="H258" s="156" t="str">
        <f>'2월'!H60</f>
        <v>기술지원</v>
      </c>
      <c r="I258" s="69" t="str">
        <f>'2월'!I60</f>
        <v>HP 1630 유지보수 2월 - 9/12회</v>
      </c>
      <c r="J258" s="122">
        <f>'2월'!J60</f>
        <v>1</v>
      </c>
      <c r="K258" s="15">
        <f>'2월'!K60</f>
        <v>200000</v>
      </c>
      <c r="L258" s="15">
        <f>'2월'!L60</f>
        <v>200000</v>
      </c>
      <c r="M258" s="16">
        <f>'2월'!M60</f>
        <v>20000</v>
      </c>
      <c r="N258" s="15">
        <f>'2월'!N60</f>
        <v>220000</v>
      </c>
      <c r="O258" s="5" t="str">
        <f>'2월'!O60</f>
        <v>완료(4/30)</v>
      </c>
      <c r="P258" s="9" t="str">
        <f>'2월'!P60</f>
        <v>천범석</v>
      </c>
      <c r="Q258" s="5">
        <f>'2월'!Q60</f>
        <v>45689</v>
      </c>
      <c r="R258" s="210"/>
      <c r="S258" s="7"/>
      <c r="T258" s="7"/>
      <c r="U258" s="11"/>
    </row>
    <row r="259" spans="1:21" ht="16.5" customHeight="1">
      <c r="A259" t="s">
        <v>64</v>
      </c>
      <c r="B259" s="141" t="str">
        <f>'2월'!B61</f>
        <v>SM-23031</v>
      </c>
      <c r="C259" s="144"/>
      <c r="D259" s="13">
        <f>'2월'!D61</f>
        <v>45706</v>
      </c>
      <c r="E259" s="155" t="str">
        <f>'2월'!E61</f>
        <v>신세계아이앤씨</v>
      </c>
      <c r="F259" s="164" t="str">
        <f>'2월'!F61</f>
        <v>온피아</v>
      </c>
      <c r="G259" s="158" t="str">
        <f>'2월'!G61</f>
        <v>MA</v>
      </c>
      <c r="H259" s="165" t="str">
        <f>'2월'!H61</f>
        <v>월간</v>
      </c>
      <c r="I259" s="166" t="str">
        <f>'2월'!I61</f>
        <v>삼표 DB접근제어 유지보수 2월 - 7/12회</v>
      </c>
      <c r="J259" s="127">
        <f>'2월'!J61</f>
        <v>1</v>
      </c>
      <c r="K259" s="15">
        <f>'2월'!K61</f>
        <v>600000</v>
      </c>
      <c r="L259" s="16">
        <f>'2월'!L61</f>
        <v>600000</v>
      </c>
      <c r="M259" s="16">
        <f>'2월'!M61</f>
        <v>60000</v>
      </c>
      <c r="N259" s="15">
        <f>'2월'!N61</f>
        <v>660000</v>
      </c>
      <c r="O259" s="5" t="str">
        <f>'2월'!O61</f>
        <v>완료(3/31)</v>
      </c>
      <c r="P259" s="9" t="str">
        <f>'2월'!P61</f>
        <v>이예지</v>
      </c>
      <c r="Q259" s="5">
        <f>'2월'!Q61</f>
        <v>45716</v>
      </c>
      <c r="R259" s="209"/>
      <c r="T259" s="11"/>
    </row>
    <row r="260" spans="1:21" ht="16.5" customHeight="1">
      <c r="A260" t="s">
        <v>64</v>
      </c>
      <c r="B260" s="10" t="str">
        <f>'2월'!B62</f>
        <v>X</v>
      </c>
      <c r="C260" s="12"/>
      <c r="D260" s="13">
        <f>'2월'!D62</f>
        <v>45706</v>
      </c>
      <c r="E260" s="155" t="str">
        <f>'2월'!E62</f>
        <v>컴퓨존</v>
      </c>
      <c r="F260" s="203">
        <f>'2월'!F62</f>
        <v>0</v>
      </c>
      <c r="G260" s="156" t="str">
        <f>'2월'!G62</f>
        <v>상품</v>
      </c>
      <c r="H260" s="156" t="str">
        <f>'2월'!H62</f>
        <v>공유기</v>
      </c>
      <c r="I260" s="69" t="str">
        <f>'2월'!I62</f>
        <v>ipTIME A604SE</v>
      </c>
      <c r="J260" s="122">
        <f>'2월'!J62</f>
        <v>1</v>
      </c>
      <c r="K260" s="15">
        <f>'2월'!K62</f>
        <v>19545</v>
      </c>
      <c r="L260" s="16">
        <f>'2월'!L62</f>
        <v>19545</v>
      </c>
      <c r="M260" s="16">
        <f>'2월'!M62</f>
        <v>1955</v>
      </c>
      <c r="N260" s="15">
        <f>'2월'!N62</f>
        <v>21500</v>
      </c>
      <c r="O260" s="5" t="str">
        <f>'2월'!O62</f>
        <v>완료(2/18)</v>
      </c>
      <c r="P260" s="9" t="str">
        <f>'2월'!P62</f>
        <v>이예지</v>
      </c>
      <c r="Q260" s="5" t="str">
        <f>'2월'!Q62</f>
        <v>X</v>
      </c>
      <c r="R260" s="213"/>
    </row>
    <row r="261" spans="1:21" ht="16.5" customHeight="1">
      <c r="A261" t="s">
        <v>64</v>
      </c>
      <c r="B261" s="10" t="str">
        <f>'2월'!B63</f>
        <v>H250219-01</v>
      </c>
      <c r="C261" s="12"/>
      <c r="D261" s="13">
        <f>'2월'!D63</f>
        <v>45707</v>
      </c>
      <c r="E261" s="155" t="str">
        <f>'2월'!E63</f>
        <v>이비웨이브</v>
      </c>
      <c r="F261" s="155" t="str">
        <f>'2월'!F63</f>
        <v>강북21세기병원</v>
      </c>
      <c r="G261" s="156" t="str">
        <f>'2월'!G63</f>
        <v>상품</v>
      </c>
      <c r="H261" s="156" t="str">
        <f>'2월'!H63</f>
        <v xml:space="preserve">293048-B21 </v>
      </c>
      <c r="I261" s="69" t="str">
        <f>'2월'!I63</f>
        <v>60x38mm Hot-Plug Fan Proliant DL380G4</v>
      </c>
      <c r="J261" s="122">
        <f>'2월'!J63</f>
        <v>2</v>
      </c>
      <c r="K261" s="15">
        <f>'2월'!K63</f>
        <v>40000</v>
      </c>
      <c r="L261" s="16">
        <f>'2월'!L63</f>
        <v>80000</v>
      </c>
      <c r="M261" s="16">
        <f>'2월'!M63</f>
        <v>8000</v>
      </c>
      <c r="N261" s="15">
        <f>'2월'!N63</f>
        <v>88000</v>
      </c>
      <c r="O261" s="5" t="str">
        <f>'2월'!O63</f>
        <v>완료(4/30)</v>
      </c>
      <c r="P261" s="9" t="str">
        <f>'2월'!P63</f>
        <v>천범석</v>
      </c>
      <c r="Q261" s="5">
        <f>'2월'!Q63</f>
        <v>45713</v>
      </c>
      <c r="R261" s="209"/>
    </row>
    <row r="262" spans="1:21" ht="16.5" customHeight="1">
      <c r="A262" t="s">
        <v>64</v>
      </c>
      <c r="B262" s="10" t="str">
        <f>'2월'!B64</f>
        <v>Y250220-01</v>
      </c>
      <c r="C262" s="12"/>
      <c r="D262" s="13">
        <f>'2월'!D64</f>
        <v>45708</v>
      </c>
      <c r="E262" s="155" t="str">
        <f>'2월'!E64</f>
        <v>컴퓨존</v>
      </c>
      <c r="F262" s="155" t="str">
        <f>'2월'!F64</f>
        <v>라온피플</v>
      </c>
      <c r="G262" s="156" t="str">
        <f>'2월'!G64</f>
        <v>상품</v>
      </c>
      <c r="H262" s="156" t="str">
        <f>'2월'!H64</f>
        <v>케이블</v>
      </c>
      <c r="I262" s="69" t="str">
        <f>'2월'!I64</f>
        <v>DisplayPort 1.2 to HDMI 1.4 변환케이블 1.8m</v>
      </c>
      <c r="J262" s="122">
        <f>'2월'!J64</f>
        <v>20</v>
      </c>
      <c r="K262" s="15">
        <f>'2월'!K64</f>
        <v>1890.9090909090908</v>
      </c>
      <c r="L262" s="16">
        <f>'2월'!L64</f>
        <v>37818</v>
      </c>
      <c r="M262" s="16">
        <f>'2월'!M64</f>
        <v>3782</v>
      </c>
      <c r="N262" s="15">
        <f>'2월'!N64</f>
        <v>41600</v>
      </c>
      <c r="O262" s="5" t="str">
        <f>'2월'!O64</f>
        <v>완료(2/20)</v>
      </c>
      <c r="P262" s="9" t="str">
        <f>'2월'!P64</f>
        <v>홍승민</v>
      </c>
      <c r="Q262" s="5" t="str">
        <f>'2월'!Q64</f>
        <v>무상지원</v>
      </c>
      <c r="R262" s="213"/>
    </row>
    <row r="263" spans="1:21" ht="16.5" customHeight="1">
      <c r="A263" t="s">
        <v>64</v>
      </c>
      <c r="B263" s="143" t="str">
        <f>'2월'!B65</f>
        <v>SM-23023</v>
      </c>
      <c r="C263" s="144"/>
      <c r="D263" s="13">
        <f>'2월'!D65</f>
        <v>45708</v>
      </c>
      <c r="E263" s="155" t="str">
        <f>'2월'!E65</f>
        <v>이올테크</v>
      </c>
      <c r="F263" s="155" t="str">
        <f>'2월'!F65</f>
        <v>중앙유통단지관리운영회</v>
      </c>
      <c r="G263" s="157" t="str">
        <f>'2월'!G65</f>
        <v>MA</v>
      </c>
      <c r="H263" s="157" t="str">
        <f>'2월'!H65</f>
        <v>월간</v>
      </c>
      <c r="I263" s="159" t="str">
        <f>'2월'!I65</f>
        <v>2월 유지정비료 - 17/36회</v>
      </c>
      <c r="J263" s="127">
        <f>'2월'!J65</f>
        <v>1</v>
      </c>
      <c r="K263" s="15">
        <f>'2월'!K65</f>
        <v>370000</v>
      </c>
      <c r="L263" s="15">
        <f>'2월'!L65</f>
        <v>370000</v>
      </c>
      <c r="M263" s="123">
        <f>'2월'!M65</f>
        <v>37000</v>
      </c>
      <c r="N263" s="15">
        <f>'2월'!N65</f>
        <v>407000</v>
      </c>
      <c r="O263" s="5" t="str">
        <f>'2월'!O65</f>
        <v>완료(2/28)</v>
      </c>
      <c r="P263" s="177" t="str">
        <f>'2월'!P65</f>
        <v>천범석</v>
      </c>
      <c r="Q263" s="5">
        <f>'2월'!Q65</f>
        <v>45708</v>
      </c>
      <c r="R263" s="211"/>
      <c r="S263" s="7"/>
      <c r="T263" s="11"/>
    </row>
    <row r="264" spans="1:21" ht="16.5" customHeight="1">
      <c r="A264" t="s">
        <v>64</v>
      </c>
      <c r="B264" s="10" t="str">
        <f>'2월'!B66</f>
        <v>D250217-01</v>
      </c>
      <c r="C264" s="12"/>
      <c r="D264" s="13">
        <f>'2월'!D66</f>
        <v>45708</v>
      </c>
      <c r="E264" s="155" t="str">
        <f>'2월'!E66</f>
        <v>위퍼스트</v>
      </c>
      <c r="F264" s="155" t="str">
        <f>'2월'!F66</f>
        <v>아이엘에스</v>
      </c>
      <c r="G264" s="156" t="str">
        <f>'2월'!G66</f>
        <v>상품</v>
      </c>
      <c r="H264" s="156" t="str">
        <f>'2월'!H66</f>
        <v>00YG670</v>
      </c>
      <c r="I264" s="69" t="str">
        <f>'2월'!I66</f>
        <v>Lenovo 6TB 7.2K SAS 3.5" HDD For DS4200[Used]</v>
      </c>
      <c r="J264" s="122">
        <f>'2월'!J66</f>
        <v>4</v>
      </c>
      <c r="K264" s="15">
        <f>'2월'!K66</f>
        <v>280000</v>
      </c>
      <c r="L264" s="16">
        <f>'2월'!L66</f>
        <v>1120000</v>
      </c>
      <c r="M264" s="16">
        <f>'2월'!M66</f>
        <v>112000</v>
      </c>
      <c r="N264" s="15">
        <f>'2월'!N66</f>
        <v>1232000</v>
      </c>
      <c r="O264" s="5" t="str">
        <f>'2월'!O66</f>
        <v>완료(3/31)</v>
      </c>
      <c r="P264" s="9" t="str">
        <f>'2월'!P66</f>
        <v>이지훈</v>
      </c>
      <c r="Q264" s="5">
        <f>'2월'!Q66</f>
        <v>45716</v>
      </c>
      <c r="R264" s="213"/>
    </row>
    <row r="265" spans="1:21" ht="84" customHeight="1">
      <c r="A265" t="s">
        <v>64</v>
      </c>
      <c r="B265" s="146" t="str">
        <f>'2월'!B67</f>
        <v>X</v>
      </c>
      <c r="C265" s="12"/>
      <c r="D265" s="13">
        <f>'2월'!D67</f>
        <v>45709</v>
      </c>
      <c r="E265" s="155" t="str">
        <f>'2월'!E67</f>
        <v>아이엠캐피탈</v>
      </c>
      <c r="F265" s="155"/>
      <c r="G265" s="156" t="str">
        <f>'2월'!G67</f>
        <v>일반경비</v>
      </c>
      <c r="H265" s="156" t="str">
        <f>'2월'!H67</f>
        <v>차량유지비</v>
      </c>
      <c r="I265" s="162" t="str">
        <f>'2월'!I67</f>
        <v>법인차량(262무2108) 리스료898,500
선납렌탈료 551,270 -33/37회차</v>
      </c>
      <c r="J265" s="122">
        <f>'2월'!J67</f>
        <v>1</v>
      </c>
      <c r="K265" s="15">
        <f>'2월'!K67</f>
        <v>1449770</v>
      </c>
      <c r="L265" s="16">
        <f>'2월'!L67</f>
        <v>1449770</v>
      </c>
      <c r="M265" s="16" t="str">
        <f>'2월'!M67</f>
        <v>X</v>
      </c>
      <c r="N265" s="15">
        <f>'2월'!N67</f>
        <v>1449770</v>
      </c>
      <c r="O265" s="197" t="str">
        <f>'2월'!O67</f>
        <v>자동이체898,500
(2/21)
선납551,270
(22/4/21)</v>
      </c>
      <c r="P265" s="9" t="str">
        <f>'2월'!P67</f>
        <v>정지우</v>
      </c>
      <c r="Q265" s="5" t="str">
        <f>'2월'!Q67</f>
        <v>X</v>
      </c>
      <c r="R265" s="209" t="str">
        <f>'2월'!R67</f>
        <v>비과세</v>
      </c>
    </row>
    <row r="266" spans="1:21" ht="108">
      <c r="A266" t="s">
        <v>64</v>
      </c>
      <c r="B266" s="226" t="str">
        <f>'2월'!B68</f>
        <v>Y250123-01
Y250218-01
Y250305-02
Y250310-01</v>
      </c>
      <c r="C266" s="12"/>
      <c r="D266" s="13">
        <f>'2월'!D68</f>
        <v>45709</v>
      </c>
      <c r="E266" s="155" t="str">
        <f>'2월'!E68</f>
        <v>이룸에스앤앤</v>
      </c>
      <c r="F266" s="227" t="str">
        <f>'2월'!F68</f>
        <v>온피아
온피아
온피아
온피아</v>
      </c>
      <c r="G266" s="156" t="str">
        <f>'2월'!G68</f>
        <v>상품</v>
      </c>
      <c r="H266" s="156" t="str">
        <f>'2월'!H68</f>
        <v>서버</v>
      </c>
      <c r="I266" s="69" t="str">
        <f>'2월'!I68</f>
        <v>Lenovo ThinkSystem SR250v2</v>
      </c>
      <c r="J266" s="122">
        <f>'2월'!J68</f>
        <v>4</v>
      </c>
      <c r="K266" s="15">
        <f>'2월'!K68</f>
        <v>2950000</v>
      </c>
      <c r="L266" s="16">
        <f>'2월'!L68</f>
        <v>11800000</v>
      </c>
      <c r="M266" s="16">
        <f>'2월'!M68</f>
        <v>1180000</v>
      </c>
      <c r="N266" s="15">
        <f>'2월'!N68</f>
        <v>12980000</v>
      </c>
      <c r="O266" s="5" t="str">
        <f>'2월'!O68</f>
        <v>완료(4/30)</v>
      </c>
      <c r="P266" s="9" t="str">
        <f>'2월'!P68</f>
        <v>홍승민</v>
      </c>
      <c r="Q266" s="197" t="str">
        <f>'2월'!Q68</f>
        <v>2025-02-28
2025-02-28
2025-03-31
2025-03-31</v>
      </c>
      <c r="R266" s="209"/>
    </row>
    <row r="267" spans="1:21" ht="16.5" customHeight="1">
      <c r="A267" t="s">
        <v>64</v>
      </c>
      <c r="B267" s="10" t="str">
        <f>'2월'!B78</f>
        <v>IK-24001</v>
      </c>
      <c r="C267" s="12"/>
      <c r="D267" s="13">
        <f>'2월'!D78</f>
        <v>45714</v>
      </c>
      <c r="E267" s="155" t="str">
        <f>'2월'!E78</f>
        <v>알앤큐시스템</v>
      </c>
      <c r="F267" s="155" t="str">
        <f>'2월'!F78</f>
        <v>로스만스/브리티쉬</v>
      </c>
      <c r="G267" s="156" t="str">
        <f>'2월'!G78</f>
        <v>MA</v>
      </c>
      <c r="H267" s="156" t="str">
        <f>'2월'!H78</f>
        <v>월간</v>
      </c>
      <c r="I267" s="69" t="str">
        <f>'2월'!I78</f>
        <v>BAT 통합 유지보수 2월분 - 2/12회</v>
      </c>
      <c r="J267" s="122">
        <f>'2월'!J78</f>
        <v>1</v>
      </c>
      <c r="K267" s="15">
        <f>'2월'!K78</f>
        <v>4950000</v>
      </c>
      <c r="L267" s="16">
        <f>'2월'!L78</f>
        <v>4950000</v>
      </c>
      <c r="M267" s="15">
        <f>'2월'!M78</f>
        <v>495000</v>
      </c>
      <c r="N267" s="15">
        <f>'2월'!N78</f>
        <v>5445000</v>
      </c>
      <c r="O267" s="5" t="str">
        <f>'2월'!O78</f>
        <v>완료(5/15)</v>
      </c>
      <c r="P267" s="174" t="str">
        <f>'2월'!P78</f>
        <v>천범석</v>
      </c>
      <c r="Q267" s="5">
        <f>'2월'!Q78</f>
        <v>45716</v>
      </c>
      <c r="R267" s="209"/>
    </row>
    <row r="268" spans="1:21" ht="16.5" customHeight="1">
      <c r="A268" t="s">
        <v>64</v>
      </c>
      <c r="B268" s="10" t="str">
        <f>'2월'!B69</f>
        <v>X</v>
      </c>
      <c r="C268" s="12"/>
      <c r="D268" s="13">
        <f>'2월'!D69</f>
        <v>45713</v>
      </c>
      <c r="E268" s="155" t="str">
        <f>'2월'!E69</f>
        <v>케이카</v>
      </c>
      <c r="F268" s="155"/>
      <c r="G268" s="156" t="str">
        <f>'2월'!G69</f>
        <v>일반경비</v>
      </c>
      <c r="H268" s="157" t="str">
        <f>'2월'!H69</f>
        <v>차량유지비</v>
      </c>
      <c r="I268" s="69" t="str">
        <f>'2월'!I69</f>
        <v>2월 차량렌트(xm3 4429)-26/37회</v>
      </c>
      <c r="J268" s="122">
        <f>'2월'!J69</f>
        <v>1</v>
      </c>
      <c r="K268" s="15">
        <f>'2월'!K69</f>
        <v>337272.72727272724</v>
      </c>
      <c r="L268" s="16">
        <f>'2월'!L69</f>
        <v>437273</v>
      </c>
      <c r="M268" s="187">
        <f>'2월'!M69</f>
        <v>43727</v>
      </c>
      <c r="N268" s="15">
        <f>'2월'!N69</f>
        <v>481000</v>
      </c>
      <c r="O268" s="5" t="str">
        <f>'2월'!O69</f>
        <v>자동이체(2/25)</v>
      </c>
      <c r="P268" s="177" t="str">
        <f>'2월'!P69</f>
        <v>정지우</v>
      </c>
      <c r="Q268" s="5" t="str">
        <f>'2월'!Q69</f>
        <v>X</v>
      </c>
      <c r="R268" s="209" t="str">
        <f>'2월'!R69</f>
        <v>부가세불공</v>
      </c>
    </row>
    <row r="269" spans="1:21" ht="16.5" customHeight="1">
      <c r="A269" t="s">
        <v>64</v>
      </c>
      <c r="B269" s="10" t="str">
        <f>'2월'!B70</f>
        <v>X</v>
      </c>
      <c r="C269" s="145"/>
      <c r="D269" s="65"/>
      <c r="E269" s="160" t="str">
        <f>'2월'!E70</f>
        <v>케이카</v>
      </c>
      <c r="F269" s="160"/>
      <c r="G269" s="156" t="str">
        <f>'2월'!G70</f>
        <v>일반경비</v>
      </c>
      <c r="H269" s="157" t="str">
        <f>'2월'!H70</f>
        <v>차량유지비</v>
      </c>
      <c r="I269" s="69" t="str">
        <f>'2월'!I70</f>
        <v>2월 선급금(xm3 4429)-26/37회</v>
      </c>
      <c r="J269" s="122">
        <f>'2월'!J70</f>
        <v>1</v>
      </c>
      <c r="K269" s="15">
        <f>'2월'!K70</f>
        <v>100000</v>
      </c>
      <c r="L269" s="125"/>
      <c r="M269" s="125"/>
      <c r="N269" s="126"/>
      <c r="O269" s="99" t="str">
        <f>'2월'!O70</f>
        <v>선납(22/12/29)</v>
      </c>
      <c r="P269" s="9" t="str">
        <f>'2월'!P70</f>
        <v>정지우</v>
      </c>
      <c r="Q269" s="5" t="str">
        <f>'2월'!Q70</f>
        <v>X</v>
      </c>
      <c r="R269" s="209"/>
    </row>
    <row r="270" spans="1:21" ht="16.5" customHeight="1">
      <c r="A270" t="s">
        <v>64</v>
      </c>
      <c r="B270" s="10" t="str">
        <f>'2월'!B71</f>
        <v>X</v>
      </c>
      <c r="C270" s="12"/>
      <c r="D270" s="13">
        <f>'2월'!D71</f>
        <v>45713</v>
      </c>
      <c r="E270" s="155" t="str">
        <f>'2월'!E71</f>
        <v>롯데렌탈</v>
      </c>
      <c r="F270" s="155"/>
      <c r="G270" s="156" t="str">
        <f>'2월'!G71</f>
        <v>일반경비</v>
      </c>
      <c r="H270" s="157" t="str">
        <f>'2월'!H71</f>
        <v>차량유지비</v>
      </c>
      <c r="I270" s="69" t="str">
        <f>'2월'!I71</f>
        <v>2월 차량렌트(그랜저 8552)-35/49회</v>
      </c>
      <c r="J270" s="122">
        <f>'2월'!J71</f>
        <v>1</v>
      </c>
      <c r="K270" s="15">
        <f>'2월'!K71</f>
        <v>342614</v>
      </c>
      <c r="L270" s="16">
        <f>'2월'!L71</f>
        <v>342614</v>
      </c>
      <c r="M270" s="187">
        <f>'2월'!M71</f>
        <v>34261</v>
      </c>
      <c r="N270" s="15">
        <f>'2월'!N71</f>
        <v>376875</v>
      </c>
      <c r="O270" s="5" t="str">
        <f>'2월'!O71</f>
        <v>자동이체(2/25)</v>
      </c>
      <c r="P270" s="177" t="str">
        <f>'2월'!P71</f>
        <v>정지우</v>
      </c>
      <c r="Q270" s="5" t="str">
        <f>'2월'!Q71</f>
        <v>X</v>
      </c>
      <c r="R270" s="209" t="str">
        <f>'2월'!R71</f>
        <v>부가세불공</v>
      </c>
      <c r="S270" s="101"/>
      <c r="T270" s="11"/>
    </row>
    <row r="271" spans="1:21" ht="16.5" customHeight="1">
      <c r="A271" t="s">
        <v>64</v>
      </c>
      <c r="B271" s="10" t="str">
        <f>'2월'!B72</f>
        <v>X</v>
      </c>
      <c r="C271" s="12"/>
      <c r="D271" s="13">
        <f>'2월'!D72</f>
        <v>45713</v>
      </c>
      <c r="E271" s="155" t="str">
        <f>'2월'!E72</f>
        <v>롯데렌탈</v>
      </c>
      <c r="F271" s="155"/>
      <c r="G271" s="156" t="str">
        <f>'2월'!G72</f>
        <v>일반경비</v>
      </c>
      <c r="H271" s="157" t="str">
        <f>'2월'!H72</f>
        <v>차량유지비</v>
      </c>
      <c r="I271" s="69" t="str">
        <f>'2월'!I72</f>
        <v>2월 선급금(그랜저 8552)-35/49회</v>
      </c>
      <c r="J271" s="122">
        <f>'2월'!J72</f>
        <v>1</v>
      </c>
      <c r="K271" s="15">
        <f>'2월'!K72</f>
        <v>234659</v>
      </c>
      <c r="L271" s="16">
        <f>'2월'!L72</f>
        <v>234659</v>
      </c>
      <c r="M271" s="187">
        <f>'2월'!M72</f>
        <v>23466</v>
      </c>
      <c r="N271" s="15">
        <f>'2월'!N72</f>
        <v>258125</v>
      </c>
      <c r="O271" s="5" t="str">
        <f>'2월'!O72</f>
        <v>선납(22/4/5)</v>
      </c>
      <c r="P271" s="177" t="str">
        <f>'2월'!P72</f>
        <v>정지우</v>
      </c>
      <c r="Q271" s="5" t="str">
        <f>'2월'!Q72</f>
        <v>X</v>
      </c>
      <c r="R271" s="209" t="str">
        <f>'2월'!R72</f>
        <v>부가세불공</v>
      </c>
      <c r="S271" s="101"/>
      <c r="T271" s="11"/>
    </row>
    <row r="272" spans="1:21" ht="16.5" customHeight="1">
      <c r="A272" t="s">
        <v>64</v>
      </c>
      <c r="B272" s="10" t="str">
        <f>'2월'!B73</f>
        <v>X</v>
      </c>
      <c r="C272" s="12"/>
      <c r="D272" s="13">
        <f>'2월'!D73</f>
        <v>45713</v>
      </c>
      <c r="E272" s="155" t="str">
        <f>'2월'!E73</f>
        <v>롯데렌탈</v>
      </c>
      <c r="F272" s="155"/>
      <c r="G272" s="156" t="str">
        <f>'2월'!G73</f>
        <v>일반경비</v>
      </c>
      <c r="H272" s="157" t="str">
        <f>'2월'!H73</f>
        <v>차량유지비</v>
      </c>
      <c r="I272" s="69" t="str">
        <f>'2월'!I73</f>
        <v>2월 차량렌트(G80 3061)-35/49회</v>
      </c>
      <c r="J272" s="122">
        <f>'2월'!J73</f>
        <v>1</v>
      </c>
      <c r="K272" s="15">
        <f>'2월'!K73</f>
        <v>488069</v>
      </c>
      <c r="L272" s="16">
        <f>'2월'!L73</f>
        <v>488069</v>
      </c>
      <c r="M272" s="187">
        <f>'2월'!M73</f>
        <v>48806</v>
      </c>
      <c r="N272" s="15">
        <f>'2월'!N73</f>
        <v>536875</v>
      </c>
      <c r="O272" s="5" t="str">
        <f>'2월'!O73</f>
        <v>자동이체(2/25)</v>
      </c>
      <c r="P272" s="177" t="str">
        <f>'2월'!P73</f>
        <v>정지우</v>
      </c>
      <c r="Q272" s="5" t="str">
        <f>'2월'!Q73</f>
        <v>X</v>
      </c>
      <c r="R272" s="209" t="str">
        <f>'2월'!R73</f>
        <v>부가세불공</v>
      </c>
      <c r="S272" s="101"/>
      <c r="T272" s="11"/>
    </row>
    <row r="273" spans="1:20" ht="16.5" customHeight="1">
      <c r="A273" t="s">
        <v>64</v>
      </c>
      <c r="B273" s="10" t="str">
        <f>'2월'!B74</f>
        <v>X</v>
      </c>
      <c r="C273" s="12"/>
      <c r="D273" s="13">
        <f>'2월'!D74</f>
        <v>45713</v>
      </c>
      <c r="E273" s="155" t="str">
        <f>'2월'!E74</f>
        <v>롯데렌탈</v>
      </c>
      <c r="F273" s="155"/>
      <c r="G273" s="156" t="str">
        <f>'2월'!G74</f>
        <v>일반경비</v>
      </c>
      <c r="H273" s="157" t="str">
        <f>'2월'!H74</f>
        <v>차량유지비</v>
      </c>
      <c r="I273" s="69" t="str">
        <f>'2월'!I74</f>
        <v>2월 선급금(G80 3061)-35/49회</v>
      </c>
      <c r="J273" s="122">
        <f>'2월'!J74</f>
        <v>1</v>
      </c>
      <c r="K273" s="15">
        <f>'2월'!K74</f>
        <v>307386</v>
      </c>
      <c r="L273" s="16">
        <f>'2월'!L74</f>
        <v>307386</v>
      </c>
      <c r="M273" s="187">
        <f>'2월'!M74</f>
        <v>30739</v>
      </c>
      <c r="N273" s="15">
        <f>'2월'!N74</f>
        <v>338125</v>
      </c>
      <c r="O273" s="5" t="str">
        <f>'2월'!O74</f>
        <v>선납(22/4/5)</v>
      </c>
      <c r="P273" s="177" t="str">
        <f>'2월'!P74</f>
        <v>정지우</v>
      </c>
      <c r="Q273" s="5" t="str">
        <f>'2월'!Q74</f>
        <v>X</v>
      </c>
      <c r="R273" s="209" t="str">
        <f>'2월'!R74</f>
        <v>부가세불공</v>
      </c>
      <c r="S273" s="101"/>
      <c r="T273" s="11"/>
    </row>
    <row r="274" spans="1:20" ht="16.5" customHeight="1">
      <c r="A274" t="s">
        <v>64</v>
      </c>
      <c r="B274" s="141" t="str">
        <f>'2월'!B75</f>
        <v>X</v>
      </c>
      <c r="C274" s="142"/>
      <c r="D274" s="13">
        <f>'2월'!D75</f>
        <v>45713</v>
      </c>
      <c r="E274" s="155" t="str">
        <f>'2월'!E75</f>
        <v>비와이씨하이시티입주사대표회</v>
      </c>
      <c r="F274" s="155"/>
      <c r="G274" s="156" t="str">
        <f>'2월'!G75</f>
        <v>일반경비</v>
      </c>
      <c r="H274" s="156" t="str">
        <f>'2월'!H75</f>
        <v>여비교통비</v>
      </c>
      <c r="I274" s="69" t="str">
        <f>'2월'!I75</f>
        <v>대표님,천범석,엔지니어팀 3월 주차비</v>
      </c>
      <c r="J274" s="124">
        <f>'2월'!J75</f>
        <v>1</v>
      </c>
      <c r="K274" s="16">
        <f>'2월'!K75</f>
        <v>272727</v>
      </c>
      <c r="L274" s="16">
        <f>'2월'!L75</f>
        <v>272727</v>
      </c>
      <c r="M274" s="189">
        <f>'2월'!M75</f>
        <v>27273</v>
      </c>
      <c r="N274" s="15">
        <f>'2월'!N75</f>
        <v>300000</v>
      </c>
      <c r="O274" s="5" t="str">
        <f>'2월'!O75</f>
        <v>완료(2/25)</v>
      </c>
      <c r="P274" s="177" t="str">
        <f>'2월'!P75</f>
        <v>정지우</v>
      </c>
      <c r="Q274" s="68" t="str">
        <f>'2월'!Q75</f>
        <v>X</v>
      </c>
      <c r="R274" s="209" t="str">
        <f>'2월'!R75</f>
        <v>부가세불공</v>
      </c>
      <c r="S274" s="7"/>
      <c r="T274" s="11"/>
    </row>
    <row r="275" spans="1:20" ht="16.5" customHeight="1">
      <c r="A275" t="s">
        <v>64</v>
      </c>
      <c r="B275" s="10" t="str">
        <f>'2월'!B76</f>
        <v>X</v>
      </c>
      <c r="C275" s="12"/>
      <c r="D275" s="13">
        <f>'2월'!D76</f>
        <v>45713</v>
      </c>
      <c r="E275" s="155" t="str">
        <f>'2월'!E76</f>
        <v>청소의신</v>
      </c>
      <c r="F275" s="155"/>
      <c r="G275" s="156" t="str">
        <f>'2월'!G76</f>
        <v>일반경비</v>
      </c>
      <c r="H275" s="156" t="str">
        <f>'2월'!H76</f>
        <v>지급수수료</v>
      </c>
      <c r="I275" s="69" t="str">
        <f>'2월'!I76</f>
        <v>2월 청소비</v>
      </c>
      <c r="J275" s="122">
        <f>'2월'!J76</f>
        <v>1</v>
      </c>
      <c r="K275" s="16">
        <f>'2월'!K76</f>
        <v>160000</v>
      </c>
      <c r="L275" s="16">
        <f>'2월'!L76</f>
        <v>160000</v>
      </c>
      <c r="M275" s="123">
        <f>'2월'!M76</f>
        <v>16000</v>
      </c>
      <c r="N275" s="15">
        <f>'2월'!N76</f>
        <v>176000</v>
      </c>
      <c r="O275" s="5" t="str">
        <f>'2월'!O76</f>
        <v>완료(2/28)</v>
      </c>
      <c r="P275" s="9" t="str">
        <f>'2월'!P76</f>
        <v>정지우</v>
      </c>
      <c r="Q275" s="5" t="str">
        <f>'2월'!Q76</f>
        <v>X</v>
      </c>
      <c r="R275" s="209"/>
    </row>
    <row r="276" spans="1:20" ht="16.5" customHeight="1">
      <c r="A276" t="s">
        <v>64</v>
      </c>
      <c r="B276" s="10" t="str">
        <f>'2월'!B77</f>
        <v>SM-24007</v>
      </c>
      <c r="C276" s="12"/>
      <c r="D276" s="13">
        <f>'2월'!D77</f>
        <v>45713</v>
      </c>
      <c r="E276" s="155" t="str">
        <f>'2월'!E77</f>
        <v>다원씨앤에스</v>
      </c>
      <c r="F276" s="155" t="str">
        <f>'2월'!F77</f>
        <v>연세의료원</v>
      </c>
      <c r="G276" s="157" t="str">
        <f>'2월'!G77</f>
        <v>MA</v>
      </c>
      <c r="H276" s="156" t="str">
        <f>'2월'!H77</f>
        <v>월간</v>
      </c>
      <c r="I276" s="69" t="str">
        <f>'2월'!I77</f>
        <v>2월분 SIOS Lifekeeper 유지보수료 - 1/12회</v>
      </c>
      <c r="J276" s="122">
        <f>'2월'!J77</f>
        <v>1</v>
      </c>
      <c r="K276" s="15">
        <f>'2월'!K77</f>
        <v>200000</v>
      </c>
      <c r="L276" s="16">
        <f>'2월'!L77</f>
        <v>200000</v>
      </c>
      <c r="M276" s="16">
        <f>'2월'!M77</f>
        <v>20000</v>
      </c>
      <c r="N276" s="15">
        <f>'2월'!N77</f>
        <v>220000</v>
      </c>
      <c r="O276" s="5" t="str">
        <f>'2월'!O77</f>
        <v>완료(3/31)</v>
      </c>
      <c r="P276" s="9" t="str">
        <f>'2월'!P77</f>
        <v>이예지</v>
      </c>
      <c r="Q276" s="5">
        <f>'2월'!Q77</f>
        <v>45708</v>
      </c>
      <c r="R276" s="209"/>
      <c r="T276" s="11"/>
    </row>
    <row r="277" spans="1:20" ht="16.5" customHeight="1">
      <c r="A277" t="s">
        <v>64</v>
      </c>
      <c r="B277" s="10" t="str">
        <f>'2월'!B79</f>
        <v>SM-24025</v>
      </c>
      <c r="C277" s="12"/>
      <c r="D277" s="13">
        <f>'2월'!D79</f>
        <v>45714</v>
      </c>
      <c r="E277" s="155" t="str">
        <f>'2월'!E79</f>
        <v>제이에스정보시스템</v>
      </c>
      <c r="F277" s="155" t="str">
        <f>'2월'!F79</f>
        <v>소프트아이텍(건국대병원)</v>
      </c>
      <c r="G277" s="156" t="str">
        <f>'2월'!G79</f>
        <v>MA</v>
      </c>
      <c r="H277" s="156" t="str">
        <f>'2월'!H79</f>
        <v>월간</v>
      </c>
      <c r="I277" s="69" t="str">
        <f>'2월'!I79</f>
        <v>2024년 NCSC 사이버센터 고도화 사업 2월 유지정비료-4/5회</v>
      </c>
      <c r="J277" s="122">
        <f>'2월'!J79</f>
        <v>1</v>
      </c>
      <c r="K277" s="15">
        <f>'2월'!K79</f>
        <v>500000</v>
      </c>
      <c r="L277" s="16">
        <f>'2월'!L79</f>
        <v>500000</v>
      </c>
      <c r="M277" s="16">
        <f>'2월'!M79</f>
        <v>50000</v>
      </c>
      <c r="N277" s="15">
        <f>'2월'!N79</f>
        <v>550000</v>
      </c>
      <c r="O277" s="5" t="str">
        <f>'2월'!O79</f>
        <v>완료(4/30)</v>
      </c>
      <c r="P277" s="9" t="str">
        <f>'2월'!P79</f>
        <v>천범석</v>
      </c>
      <c r="Q277" s="5">
        <f>'2월'!Q79</f>
        <v>45636</v>
      </c>
      <c r="R277" s="209" t="str">
        <f>'2월'!R79</f>
        <v>매출연간</v>
      </c>
    </row>
    <row r="278" spans="1:20" ht="16.5" customHeight="1">
      <c r="A278" t="s">
        <v>64</v>
      </c>
      <c r="B278" s="10" t="str">
        <f>'2월'!B80</f>
        <v>X</v>
      </c>
      <c r="C278" s="12"/>
      <c r="D278" s="13">
        <f>'2월'!D80</f>
        <v>45714</v>
      </c>
      <c r="E278" s="155" t="str">
        <f>'2월'!E80</f>
        <v>더좋은샘물</v>
      </c>
      <c r="F278" s="155"/>
      <c r="G278" s="156" t="str">
        <f>'2월'!G80</f>
        <v>일반경비</v>
      </c>
      <c r="H278" s="156" t="str">
        <f>'2월'!H80</f>
        <v>복리후생비</v>
      </c>
      <c r="I278" s="69" t="str">
        <f>'2월'!I80</f>
        <v xml:space="preserve">생수 </v>
      </c>
      <c r="J278" s="122">
        <f>'2월'!J80</f>
        <v>4</v>
      </c>
      <c r="K278" s="15">
        <f>'2월'!K80</f>
        <v>6000</v>
      </c>
      <c r="L278" s="16">
        <f>'2월'!L80</f>
        <v>24000</v>
      </c>
      <c r="M278" s="15">
        <f>'2월'!M80</f>
        <v>2400</v>
      </c>
      <c r="N278" s="15">
        <f>'2월'!N80</f>
        <v>26400</v>
      </c>
      <c r="O278" s="5" t="str">
        <f>'2월'!O80</f>
        <v>완료(3/10)</v>
      </c>
      <c r="P278" s="9" t="str">
        <f>'2월'!P80</f>
        <v>정지우</v>
      </c>
      <c r="Q278" s="5" t="str">
        <f>'2월'!Q80</f>
        <v>X</v>
      </c>
      <c r="R278" s="209"/>
      <c r="T278" s="11"/>
    </row>
    <row r="279" spans="1:20" ht="16.5" customHeight="1">
      <c r="A279" t="s">
        <v>64</v>
      </c>
      <c r="B279" s="10" t="str">
        <f>'2월'!B81</f>
        <v>H250227-03</v>
      </c>
      <c r="C279" s="12"/>
      <c r="D279" s="13">
        <f>'2월'!D81</f>
        <v>45715</v>
      </c>
      <c r="E279" s="155" t="str">
        <f>'2월'!E81</f>
        <v>컴퓨존</v>
      </c>
      <c r="F279" s="155" t="str">
        <f>'2월'!F81</f>
        <v>브리티쉬아메리칸토바코</v>
      </c>
      <c r="G279" s="156" t="str">
        <f>'2월'!G81</f>
        <v>상품</v>
      </c>
      <c r="H279" s="156" t="str">
        <f>'2월'!H81</f>
        <v>USB Blocker</v>
      </c>
      <c r="I279" s="69" t="str">
        <f>'2월'!I81</f>
        <v>[LINDY] 보안 커텍터, 추가구매용 USB 블록, LINDY-40460 20개 [레드/10 SET] / LINDY-40463 [오렌지/10 SET] 외</v>
      </c>
      <c r="J279" s="122">
        <f>'2월'!J81</f>
        <v>1</v>
      </c>
      <c r="K279" s="15">
        <f>'2월'!K81</f>
        <v>1081455</v>
      </c>
      <c r="L279" s="16">
        <f>'2월'!L81</f>
        <v>1081455</v>
      </c>
      <c r="M279" s="16">
        <f>'2월'!M81</f>
        <v>108145</v>
      </c>
      <c r="N279" s="15">
        <f>'2월'!N81</f>
        <v>1189600</v>
      </c>
      <c r="O279" s="5" t="str">
        <f>'2월'!O81</f>
        <v>완료(2/27)</v>
      </c>
      <c r="P279" s="9" t="str">
        <f>'2월'!P81</f>
        <v>천범석</v>
      </c>
      <c r="Q279" s="5">
        <f>'2월'!Q81</f>
        <v>45727</v>
      </c>
      <c r="R279" s="213"/>
    </row>
    <row r="280" spans="1:20" ht="16.5" customHeight="1">
      <c r="B280" s="10" t="str">
        <f>'2월'!B82</f>
        <v>X</v>
      </c>
      <c r="C280" s="12"/>
      <c r="D280" s="13">
        <f>'2월'!D82</f>
        <v>45715</v>
      </c>
      <c r="E280" s="155" t="str">
        <f>'2월'!E82</f>
        <v>법무법인원</v>
      </c>
      <c r="F280" s="155"/>
      <c r="G280" s="156" t="str">
        <f>'2월'!G82</f>
        <v>일반경비</v>
      </c>
      <c r="H280" s="156" t="str">
        <f>'2월'!H82</f>
        <v>지급수수료</v>
      </c>
      <c r="I280" s="69" t="str">
        <f>'2월'!I82</f>
        <v>대표이사 주소변경 등기수수료</v>
      </c>
      <c r="J280" s="122">
        <f>'2월'!J82</f>
        <v>1</v>
      </c>
      <c r="K280" s="15">
        <f>'2월'!K82</f>
        <v>100000</v>
      </c>
      <c r="L280" s="16">
        <f>'2월'!L82</f>
        <v>100000</v>
      </c>
      <c r="M280" s="16">
        <f>'2월'!M82</f>
        <v>10000</v>
      </c>
      <c r="N280" s="15">
        <f>'2월'!N82</f>
        <v>110000</v>
      </c>
      <c r="O280" s="5" t="str">
        <f>'2월'!O82</f>
        <v>완료(2/28)</v>
      </c>
      <c r="P280" s="9" t="str">
        <f>'2월'!P82</f>
        <v>정지우</v>
      </c>
      <c r="Q280" s="5" t="str">
        <f>'2월'!Q82</f>
        <v>X</v>
      </c>
      <c r="R280" s="213"/>
    </row>
    <row r="281" spans="1:20" ht="16.5" customHeight="1">
      <c r="A281" t="s">
        <v>64</v>
      </c>
      <c r="B281" s="10" t="str">
        <f>'2월'!B83</f>
        <v>H250227-02</v>
      </c>
      <c r="C281" s="12"/>
      <c r="D281" s="13">
        <f>'2월'!D83</f>
        <v>45715</v>
      </c>
      <c r="E281" s="155" t="str">
        <f>'2월'!E83</f>
        <v>이비웨이브</v>
      </c>
      <c r="F281" s="155" t="str">
        <f>'2월'!F83</f>
        <v>포테크</v>
      </c>
      <c r="G281" s="156" t="str">
        <f>'2월'!G83</f>
        <v>상품</v>
      </c>
      <c r="H281" s="156" t="str">
        <f>'2월'!H83</f>
        <v>785410-001</v>
      </c>
      <c r="I281" s="69" t="str">
        <f>'2월'!I83</f>
        <v>HP 300GB 12G SAS 10K 2.5 SC ENT HDD</v>
      </c>
      <c r="J281" s="122">
        <f>'2월'!J83</f>
        <v>1</v>
      </c>
      <c r="K281" s="15">
        <f>'2월'!K83</f>
        <v>100000</v>
      </c>
      <c r="L281" s="16">
        <f>'2월'!L83</f>
        <v>100000</v>
      </c>
      <c r="M281" s="16">
        <f>'2월'!M83</f>
        <v>10000</v>
      </c>
      <c r="N281" s="15">
        <f>'2월'!N83</f>
        <v>110000</v>
      </c>
      <c r="O281" s="5" t="str">
        <f>'2월'!O83</f>
        <v>완료(4/30)</v>
      </c>
      <c r="P281" s="9" t="str">
        <f>'2월'!P83</f>
        <v>천범석</v>
      </c>
      <c r="Q281" s="5">
        <f>'2월'!Q83</f>
        <v>45716</v>
      </c>
      <c r="R281" s="209"/>
    </row>
    <row r="282" spans="1:20" ht="16.5" customHeight="1">
      <c r="A282" t="s">
        <v>64</v>
      </c>
      <c r="B282" s="10" t="str">
        <f>'2월'!B84</f>
        <v>SM-24024</v>
      </c>
      <c r="C282" s="12"/>
      <c r="D282" s="13">
        <f>'2월'!D84</f>
        <v>45716</v>
      </c>
      <c r="E282" s="155" t="str">
        <f>'2월'!E84</f>
        <v>디씨에스에스테크놀러지코리아</v>
      </c>
      <c r="F282" s="155" t="str">
        <f>'2월'!F84</f>
        <v>강북21세기병원</v>
      </c>
      <c r="G282" s="157" t="str">
        <f>'2월'!G84</f>
        <v>MA</v>
      </c>
      <c r="H282" s="157" t="str">
        <f>'2월'!H84</f>
        <v>월간-DCSS</v>
      </c>
      <c r="I282" s="69" t="str">
        <f>'2월'!I84</f>
        <v>2월 유지정비료 - 3/12회</v>
      </c>
      <c r="J282" s="122">
        <f>'2월'!J84</f>
        <v>1</v>
      </c>
      <c r="K282" s="15">
        <f>'2월'!K84</f>
        <v>20600</v>
      </c>
      <c r="L282" s="16">
        <f>'2월'!L84</f>
        <v>1302080</v>
      </c>
      <c r="M282" s="16">
        <f>'2월'!M84</f>
        <v>130208</v>
      </c>
      <c r="N282" s="15">
        <f>'2월'!N84</f>
        <v>1432288</v>
      </c>
      <c r="O282" s="5" t="str">
        <f>'2월'!O84</f>
        <v>완료(3/31)</v>
      </c>
      <c r="P282" s="9" t="str">
        <f>'2월'!P84</f>
        <v>천범석</v>
      </c>
      <c r="Q282" s="5">
        <f>'2월'!Q84</f>
        <v>45713</v>
      </c>
      <c r="R282" s="209"/>
    </row>
    <row r="283" spans="1:20" ht="16.5" customHeight="1">
      <c r="A283" t="s">
        <v>64</v>
      </c>
      <c r="B283" s="10" t="str">
        <f>'2월'!B85</f>
        <v>IK-24011</v>
      </c>
      <c r="C283" s="145"/>
      <c r="D283" s="65"/>
      <c r="E283" s="160" t="str">
        <f>'2월'!E85</f>
        <v>디씨에스에스테크놀러지코리아</v>
      </c>
      <c r="F283" s="160" t="str">
        <f>'2월'!F85</f>
        <v>로보츠</v>
      </c>
      <c r="G283" s="157" t="str">
        <f>'2월'!G85</f>
        <v>MA</v>
      </c>
      <c r="H283" s="157" t="str">
        <f>'2월'!H85</f>
        <v>월간-DCSS</v>
      </c>
      <c r="I283" s="69" t="str">
        <f>'2월'!I85</f>
        <v>키오시아 2월 유지정비료 - 3/12회</v>
      </c>
      <c r="J283" s="122">
        <f>'2월'!J85</f>
        <v>1</v>
      </c>
      <c r="K283" s="15">
        <f>'2월'!K85</f>
        <v>70180</v>
      </c>
      <c r="L283" s="125"/>
      <c r="M283" s="125"/>
      <c r="N283" s="126"/>
      <c r="O283" s="99"/>
      <c r="P283" s="9" t="str">
        <f>'2월'!P85</f>
        <v>천범석</v>
      </c>
      <c r="Q283" s="5">
        <f>'2월'!Q85</f>
        <v>45713</v>
      </c>
      <c r="R283" s="209"/>
    </row>
    <row r="284" spans="1:20" ht="16.5" customHeight="1">
      <c r="A284" t="s">
        <v>64</v>
      </c>
      <c r="B284" s="10" t="str">
        <f>'2월'!B86</f>
        <v>SM-24021</v>
      </c>
      <c r="C284" s="145"/>
      <c r="D284" s="65"/>
      <c r="E284" s="160" t="str">
        <f>'2월'!E86</f>
        <v>디씨에스에스테크놀러지코리아</v>
      </c>
      <c r="F284" s="160" t="str">
        <f>'2월'!F86</f>
        <v>에이캐피탈</v>
      </c>
      <c r="G284" s="157" t="str">
        <f>'2월'!G86</f>
        <v>MA</v>
      </c>
      <c r="H284" s="157" t="str">
        <f>'2월'!H86</f>
        <v>월간-DCSS</v>
      </c>
      <c r="I284" s="69" t="str">
        <f>'2월'!I86</f>
        <v>2월 유지정비료 - 3/9회</v>
      </c>
      <c r="J284" s="122">
        <f>'2월'!J86</f>
        <v>1</v>
      </c>
      <c r="K284" s="15">
        <f>'2월'!K86</f>
        <v>352900</v>
      </c>
      <c r="L284" s="125"/>
      <c r="M284" s="125"/>
      <c r="N284" s="126"/>
      <c r="O284" s="99"/>
      <c r="P284" s="9" t="str">
        <f>'2월'!P86</f>
        <v>이예지</v>
      </c>
      <c r="Q284" s="5">
        <f>'2월'!Q86</f>
        <v>45721</v>
      </c>
      <c r="R284" s="209"/>
    </row>
    <row r="285" spans="1:20" ht="16.5" customHeight="1">
      <c r="A285" t="s">
        <v>64</v>
      </c>
      <c r="B285" s="10" t="str">
        <f>'2월'!B87</f>
        <v>SM-24007</v>
      </c>
      <c r="C285" s="145"/>
      <c r="D285" s="65"/>
      <c r="E285" s="160" t="str">
        <f>'2월'!E87</f>
        <v>디씨에스에스테크놀러지코리아</v>
      </c>
      <c r="F285" s="160" t="str">
        <f>'2월'!F87</f>
        <v>연세의료원</v>
      </c>
      <c r="G285" s="157" t="str">
        <f>'2월'!G87</f>
        <v>MA</v>
      </c>
      <c r="H285" s="157" t="str">
        <f>'2월'!H87</f>
        <v>월간-DCSS</v>
      </c>
      <c r="I285" s="69" t="str">
        <f>'2월'!I87</f>
        <v>2월 유지정비료 - 1/12회</v>
      </c>
      <c r="J285" s="122">
        <f>'2월'!J87</f>
        <v>1</v>
      </c>
      <c r="K285" s="15">
        <f>'2월'!K87</f>
        <v>80000</v>
      </c>
      <c r="L285" s="125"/>
      <c r="M285" s="125"/>
      <c r="N285" s="126"/>
      <c r="O285" s="99"/>
      <c r="P285" s="9" t="str">
        <f>'2월'!P87</f>
        <v>이예지</v>
      </c>
      <c r="Q285" s="5">
        <f>'2월'!Q87</f>
        <v>45708</v>
      </c>
      <c r="R285" s="213"/>
    </row>
    <row r="286" spans="1:20" ht="16.5" customHeight="1">
      <c r="A286" t="s">
        <v>64</v>
      </c>
      <c r="B286" s="10" t="str">
        <f>'2월'!B88</f>
        <v>SM-25002</v>
      </c>
      <c r="C286" s="145"/>
      <c r="D286" s="65"/>
      <c r="E286" s="160" t="str">
        <f>'2월'!E88</f>
        <v>디씨에스에스테크놀러지코리아</v>
      </c>
      <c r="F286" s="160" t="str">
        <f>'2월'!F88</f>
        <v>지비에쓰시스템</v>
      </c>
      <c r="G286" s="157" t="str">
        <f>'2월'!G88</f>
        <v>MA</v>
      </c>
      <c r="H286" s="157" t="str">
        <f>'2월'!H88</f>
        <v>월간-DCSS</v>
      </c>
      <c r="I286" s="69" t="str">
        <f>'2월'!I88</f>
        <v>현대하이카 2월 유지정비료 - 1/11회</v>
      </c>
      <c r="J286" s="122">
        <f>'2월'!J88</f>
        <v>1</v>
      </c>
      <c r="K286" s="15">
        <f>'2월'!K88</f>
        <v>66000</v>
      </c>
      <c r="L286" s="125"/>
      <c r="M286" s="125"/>
      <c r="N286" s="126"/>
      <c r="O286" s="99"/>
      <c r="P286" s="9" t="str">
        <f>'2월'!P88</f>
        <v>천범석</v>
      </c>
      <c r="Q286" s="5">
        <f>'2월'!Q88</f>
        <v>45747</v>
      </c>
      <c r="R286" s="213"/>
    </row>
    <row r="287" spans="1:20" ht="16.5" customHeight="1">
      <c r="A287" t="s">
        <v>64</v>
      </c>
      <c r="B287" s="10" t="str">
        <f>'2월'!B89</f>
        <v>SM-25006</v>
      </c>
      <c r="C287" s="145"/>
      <c r="D287" s="65"/>
      <c r="E287" s="160" t="str">
        <f>'2월'!E89</f>
        <v>디씨에스에스테크놀러지코리아</v>
      </c>
      <c r="F287" s="160" t="str">
        <f>'2월'!F89</f>
        <v>장금상선</v>
      </c>
      <c r="G287" s="157" t="str">
        <f>'2월'!G89</f>
        <v>MA</v>
      </c>
      <c r="H287" s="157" t="str">
        <f>'2월'!H89</f>
        <v>월간-DCSS</v>
      </c>
      <c r="I287" s="69" t="str">
        <f>'2월'!I89</f>
        <v>2월 유지정비료 - 1/11회</v>
      </c>
      <c r="J287" s="124">
        <f>'2월'!J89</f>
        <v>1</v>
      </c>
      <c r="K287" s="15">
        <f>'2월'!K89</f>
        <v>44000</v>
      </c>
      <c r="L287" s="125"/>
      <c r="M287" s="125"/>
      <c r="N287" s="126"/>
      <c r="O287" s="99"/>
      <c r="P287" s="9" t="str">
        <f>'2월'!P89</f>
        <v>홍승민</v>
      </c>
      <c r="Q287" s="5">
        <f>'2월'!Q89</f>
        <v>45716</v>
      </c>
      <c r="R287" s="209"/>
    </row>
    <row r="288" spans="1:20" ht="16.5" customHeight="1">
      <c r="A288" t="s">
        <v>64</v>
      </c>
      <c r="B288" s="10" t="str">
        <f>'2월'!B90</f>
        <v>SM-25010</v>
      </c>
      <c r="C288" s="145"/>
      <c r="D288" s="65"/>
      <c r="E288" s="160" t="str">
        <f>'2월'!E90</f>
        <v>디씨에스에스테크놀러지코리아</v>
      </c>
      <c r="F288" s="160" t="str">
        <f>'2월'!F90</f>
        <v>유니포인트</v>
      </c>
      <c r="G288" s="157" t="str">
        <f>'2월'!G90</f>
        <v>MA</v>
      </c>
      <c r="H288" s="157" t="str">
        <f>'2월'!H90</f>
        <v>월간-DCSS</v>
      </c>
      <c r="I288" s="69" t="str">
        <f>'2월'!I90</f>
        <v>한미약품 2월 유지정비료 - 1/11회</v>
      </c>
      <c r="J288" s="122">
        <f>'2월'!J90</f>
        <v>1</v>
      </c>
      <c r="K288" s="15">
        <f>'2월'!K90</f>
        <v>292200</v>
      </c>
      <c r="L288" s="125"/>
      <c r="M288" s="125"/>
      <c r="N288" s="126"/>
      <c r="O288" s="99"/>
      <c r="P288" s="9" t="str">
        <f>'2월'!P90</f>
        <v>이예지</v>
      </c>
      <c r="Q288" s="5">
        <f>'2월'!Q90</f>
        <v>45716</v>
      </c>
      <c r="R288" s="213"/>
    </row>
    <row r="289" spans="1:21" ht="16.5" customHeight="1">
      <c r="A289" t="s">
        <v>64</v>
      </c>
      <c r="B289" s="10" t="str">
        <f>'2월'!B91</f>
        <v>SM-25011</v>
      </c>
      <c r="C289" s="145"/>
      <c r="D289" s="65"/>
      <c r="E289" s="160" t="str">
        <f>'2월'!E91</f>
        <v>디씨에스에스테크놀러지코리아</v>
      </c>
      <c r="F289" s="160" t="str">
        <f>'2월'!F91</f>
        <v>유니포인트</v>
      </c>
      <c r="G289" s="157" t="str">
        <f>'2월'!G91</f>
        <v>MA</v>
      </c>
      <c r="H289" s="157" t="str">
        <f>'2월'!H91</f>
        <v>월간-DCSS</v>
      </c>
      <c r="I289" s="69" t="str">
        <f>'2월'!I91</f>
        <v>교보문고 2월 유지정비료 - 1/11회</v>
      </c>
      <c r="J289" s="122">
        <f>'2월'!J91</f>
        <v>1</v>
      </c>
      <c r="K289" s="15">
        <f>'2월'!K91</f>
        <v>376200</v>
      </c>
      <c r="L289" s="125"/>
      <c r="M289" s="125"/>
      <c r="N289" s="126"/>
      <c r="O289" s="99"/>
      <c r="P289" s="9" t="str">
        <f>'2월'!P91</f>
        <v>이예지</v>
      </c>
      <c r="Q289" s="5">
        <f>'2월'!Q91</f>
        <v>45716</v>
      </c>
      <c r="R289" s="213"/>
    </row>
    <row r="290" spans="1:21" ht="16.5" customHeight="1">
      <c r="A290" t="s">
        <v>64</v>
      </c>
      <c r="B290" s="10" t="str">
        <f>'2월'!B92</f>
        <v>D250224-01</v>
      </c>
      <c r="C290" s="12"/>
      <c r="D290" s="13">
        <f>'2월'!D92</f>
        <v>45716</v>
      </c>
      <c r="E290" s="155" t="str">
        <f>'2월'!E92</f>
        <v>디씨에스에스테크놀러지코리아</v>
      </c>
      <c r="F290" s="155" t="str">
        <f>'2월'!F92</f>
        <v>리더스시스템즈</v>
      </c>
      <c r="G290" s="156" t="str">
        <f>'2월'!G92</f>
        <v>상품</v>
      </c>
      <c r="H290" s="156" t="str">
        <f>'2월'!H92</f>
        <v>01LJ207</v>
      </c>
      <c r="I290" s="69" t="str">
        <f>'2월'!I92</f>
        <v>IBM 32GB DDR4 DIMM For Elastic Storage System</v>
      </c>
      <c r="J290" s="122">
        <f>'2월'!J92</f>
        <v>1</v>
      </c>
      <c r="K290" s="15">
        <f>'2월'!K92</f>
        <v>200000</v>
      </c>
      <c r="L290" s="16">
        <f>'2월'!L92</f>
        <v>200000</v>
      </c>
      <c r="M290" s="16">
        <f>'2월'!M92</f>
        <v>20000</v>
      </c>
      <c r="N290" s="15">
        <f>'2월'!N92</f>
        <v>220000</v>
      </c>
      <c r="O290" s="5" t="str">
        <f>'2월'!O92</f>
        <v>완료(3/31)</v>
      </c>
      <c r="P290" s="9" t="str">
        <f>'2월'!P92</f>
        <v>이지훈</v>
      </c>
      <c r="Q290" s="5">
        <f>'2월'!Q92</f>
        <v>45721</v>
      </c>
      <c r="R290" s="213"/>
    </row>
    <row r="291" spans="1:21" ht="16.5" customHeight="1">
      <c r="A291" t="s">
        <v>64</v>
      </c>
      <c r="B291" s="10" t="str">
        <f>'2월'!B93</f>
        <v>SB-25014</v>
      </c>
      <c r="C291" s="12"/>
      <c r="D291" s="13">
        <f>'2월'!D93</f>
        <v>45716</v>
      </c>
      <c r="E291" s="155" t="str">
        <f>'2월'!E93</f>
        <v>다솜테크</v>
      </c>
      <c r="F291" s="155" t="str">
        <f>'2월'!F93</f>
        <v>와이젠정보기술</v>
      </c>
      <c r="G291" s="157" t="str">
        <f>'2월'!G93</f>
        <v>MA</v>
      </c>
      <c r="H291" s="156" t="str">
        <f>'2월'!H93</f>
        <v>월간</v>
      </c>
      <c r="I291" s="69" t="str">
        <f>'2월'!I93</f>
        <v>안국약품 2월 기술지원료 - 2회</v>
      </c>
      <c r="J291" s="122">
        <f>'2월'!J93</f>
        <v>1</v>
      </c>
      <c r="K291" s="15">
        <f>'2월'!K93</f>
        <v>250000</v>
      </c>
      <c r="L291" s="16">
        <f>'2월'!L93</f>
        <v>250000</v>
      </c>
      <c r="M291" s="16">
        <f>'2월'!M93</f>
        <v>25000</v>
      </c>
      <c r="N291" s="15">
        <f>'2월'!N93</f>
        <v>275000</v>
      </c>
      <c r="O291" s="5" t="str">
        <f>'2월'!O93</f>
        <v>완료(4/30)</v>
      </c>
      <c r="P291" s="9" t="str">
        <f>'2월'!P93</f>
        <v>천범석</v>
      </c>
      <c r="Q291" s="5">
        <f>'2월'!Q93</f>
        <v>45716</v>
      </c>
      <c r="R291" s="209"/>
      <c r="U291" s="11"/>
    </row>
    <row r="292" spans="1:21" ht="16.5" customHeight="1">
      <c r="A292" t="s">
        <v>64</v>
      </c>
      <c r="B292" s="10" t="str">
        <f>'2월'!B94</f>
        <v>H241101-001</v>
      </c>
      <c r="C292" s="12"/>
      <c r="D292" s="13">
        <f>'2월'!D94</f>
        <v>45716</v>
      </c>
      <c r="E292" s="155" t="str">
        <f>'2월'!E94</f>
        <v>다솜테크</v>
      </c>
      <c r="F292" s="155" t="str">
        <f>'2월'!F94</f>
        <v>케이엠디엠(대한지방행정공제회)</v>
      </c>
      <c r="G292" s="156" t="str">
        <f>'2월'!G94</f>
        <v>MA</v>
      </c>
      <c r="H292" s="156" t="str">
        <f>'2월'!H94</f>
        <v>4XB7A14101</v>
      </c>
      <c r="I292" s="69" t="str">
        <f>'2월'!I94</f>
        <v>Lenovo ThinkSystem DE Series 8TB 7.2K 3.5" HDD 2U12</v>
      </c>
      <c r="J292" s="122">
        <f>'2월'!J94</f>
        <v>1</v>
      </c>
      <c r="K292" s="15">
        <f>'2월'!K94</f>
        <v>475000</v>
      </c>
      <c r="L292" s="16">
        <f>'2월'!L94</f>
        <v>950000</v>
      </c>
      <c r="M292" s="16">
        <f>'2월'!M94</f>
        <v>95000</v>
      </c>
      <c r="N292" s="15">
        <f>'2월'!N94</f>
        <v>1045000</v>
      </c>
      <c r="O292" s="5" t="str">
        <f>'2월'!O94</f>
        <v>완료(4/30)</v>
      </c>
      <c r="P292" s="9" t="str">
        <f>'2월'!P94</f>
        <v>천범석</v>
      </c>
      <c r="Q292" s="5">
        <f>'2월'!Q94</f>
        <v>45565</v>
      </c>
      <c r="R292" s="209"/>
    </row>
    <row r="293" spans="1:21" ht="16.5" customHeight="1">
      <c r="A293" t="s">
        <v>64</v>
      </c>
      <c r="B293" s="10" t="str">
        <f>'2월'!B95</f>
        <v>H250213-01</v>
      </c>
      <c r="C293" s="145"/>
      <c r="D293" s="65"/>
      <c r="E293" s="160" t="str">
        <f>'2월'!E95</f>
        <v>다솜테크</v>
      </c>
      <c r="F293" s="160" t="str">
        <f>'2월'!F95</f>
        <v>케이엠디엠(대한지방행정공제회)</v>
      </c>
      <c r="G293" s="156" t="str">
        <f>'2월'!G95</f>
        <v>MA</v>
      </c>
      <c r="H293" s="156" t="str">
        <f>'2월'!H95</f>
        <v>4XB7A14101</v>
      </c>
      <c r="I293" s="69" t="str">
        <f>'2월'!I95</f>
        <v>Lenovo ThinkSystem DE Series 8TB 7.2K 3.5" HDD 2U12</v>
      </c>
      <c r="J293" s="122">
        <f>'2월'!J95</f>
        <v>1</v>
      </c>
      <c r="K293" s="15">
        <f>'2월'!K95</f>
        <v>475000</v>
      </c>
      <c r="L293" s="125"/>
      <c r="M293" s="125"/>
      <c r="N293" s="126"/>
      <c r="O293" s="99"/>
      <c r="P293" s="9" t="str">
        <f>'2월'!P95</f>
        <v>천범석</v>
      </c>
      <c r="Q293" s="5">
        <f>'2월'!Q95</f>
        <v>45565</v>
      </c>
      <c r="R293" s="209"/>
    </row>
    <row r="294" spans="1:21" ht="16.5" customHeight="1">
      <c r="A294" t="s">
        <v>64</v>
      </c>
      <c r="B294" s="10" t="str">
        <f>'2월'!B96</f>
        <v>SM-24003</v>
      </c>
      <c r="C294" s="142"/>
      <c r="D294" s="13">
        <f>'2월'!D96</f>
        <v>45716</v>
      </c>
      <c r="E294" s="155" t="str">
        <f>'2월'!E96</f>
        <v>현성솔루션</v>
      </c>
      <c r="F294" s="155" t="str">
        <f>'2월'!F96</f>
        <v>삼표산업</v>
      </c>
      <c r="G294" s="157" t="str">
        <f>'2월'!G96</f>
        <v>MA</v>
      </c>
      <c r="H294" s="157" t="str">
        <f>'2월'!H96</f>
        <v>월간</v>
      </c>
      <c r="I294" s="69" t="str">
        <f>'2월'!I96</f>
        <v>파이오링크 L4 2월 유지정비료 - 2회</v>
      </c>
      <c r="J294" s="124">
        <f>'2월'!J96</f>
        <v>1</v>
      </c>
      <c r="K294" s="16">
        <f>'2월'!K96</f>
        <v>100000</v>
      </c>
      <c r="L294" s="15">
        <f>'2월'!L96</f>
        <v>100000</v>
      </c>
      <c r="M294" s="15">
        <f>'2월'!M96</f>
        <v>10000</v>
      </c>
      <c r="N294" s="15">
        <f>'2월'!N96</f>
        <v>110000</v>
      </c>
      <c r="O294" s="5" t="str">
        <f>'2월'!O96</f>
        <v>완료(3/31)</v>
      </c>
      <c r="P294" s="175" t="str">
        <f>'2월'!P96</f>
        <v>홍승민</v>
      </c>
      <c r="Q294" s="5">
        <f>'2월'!Q96</f>
        <v>45716</v>
      </c>
      <c r="R294" s="212"/>
      <c r="S294" s="7"/>
      <c r="T294" s="11"/>
    </row>
    <row r="295" spans="1:21" ht="16.5" customHeight="1">
      <c r="A295" t="s">
        <v>64</v>
      </c>
      <c r="B295" s="140" t="str">
        <f>'2월'!B97</f>
        <v>SM-23025</v>
      </c>
      <c r="C295" s="12"/>
      <c r="D295" s="13">
        <f>'2월'!D97</f>
        <v>45716</v>
      </c>
      <c r="E295" s="155" t="str">
        <f>'2월'!E97</f>
        <v>현성솔루션</v>
      </c>
      <c r="F295" s="155" t="str">
        <f>'2월'!F97</f>
        <v>한국교과서협회</v>
      </c>
      <c r="G295" s="157" t="str">
        <f>'2월'!G97</f>
        <v>MA</v>
      </c>
      <c r="H295" s="167" t="str">
        <f>'2월'!H97</f>
        <v>월간</v>
      </c>
      <c r="I295" s="69" t="str">
        <f>'2월'!I97</f>
        <v>메일호스팅 2월 - 7/12회</v>
      </c>
      <c r="J295" s="124">
        <f>'2월'!J97</f>
        <v>1</v>
      </c>
      <c r="K295" s="16">
        <f>'2월'!K97</f>
        <v>595000</v>
      </c>
      <c r="L295" s="15">
        <f>'2월'!L97</f>
        <v>595000</v>
      </c>
      <c r="M295" s="15">
        <f>'2월'!M97</f>
        <v>59500</v>
      </c>
      <c r="N295" s="15">
        <f>'2월'!N97</f>
        <v>654500</v>
      </c>
      <c r="O295" s="5" t="str">
        <f>'2월'!O97</f>
        <v>완료(3/31)</v>
      </c>
      <c r="P295" s="174" t="str">
        <f>'2월'!P97</f>
        <v>천범석</v>
      </c>
      <c r="Q295" s="5">
        <f>'2월'!Q97</f>
        <v>45716</v>
      </c>
      <c r="R295" s="211"/>
      <c r="S295" s="7"/>
      <c r="T295" s="11"/>
    </row>
    <row r="296" spans="1:21" ht="16.5" customHeight="1">
      <c r="A296" t="s">
        <v>64</v>
      </c>
      <c r="B296" s="140" t="str">
        <f>'2월'!B98</f>
        <v>SM-23026</v>
      </c>
      <c r="C296" s="12"/>
      <c r="D296" s="13">
        <f>'2월'!D98</f>
        <v>45716</v>
      </c>
      <c r="E296" s="155" t="str">
        <f>'2월'!E98</f>
        <v>현성솔루션</v>
      </c>
      <c r="F296" s="155" t="str">
        <f>'2월'!F98</f>
        <v>한국교과서협회</v>
      </c>
      <c r="G296" s="157" t="str">
        <f>'2월'!G98</f>
        <v>MA</v>
      </c>
      <c r="H296" s="167" t="str">
        <f>'2월'!H98</f>
        <v>월간</v>
      </c>
      <c r="I296" s="69" t="str">
        <f>'2월'!I98</f>
        <v>2월 유지정비료 - 7/12회</v>
      </c>
      <c r="J296" s="124">
        <f>'2월'!J98</f>
        <v>1</v>
      </c>
      <c r="K296" s="188">
        <f>'2월'!K98</f>
        <v>840000</v>
      </c>
      <c r="L296" s="15">
        <f>'2월'!L98</f>
        <v>840000</v>
      </c>
      <c r="M296" s="15">
        <f>'2월'!M98</f>
        <v>84000</v>
      </c>
      <c r="N296" s="15">
        <f>'2월'!N98</f>
        <v>924000</v>
      </c>
      <c r="O296" s="5" t="str">
        <f>'2월'!O98</f>
        <v>완료(3/31)</v>
      </c>
      <c r="P296" s="174" t="str">
        <f>'2월'!P98</f>
        <v>천범석</v>
      </c>
      <c r="Q296" s="5">
        <f>'2월'!Q98</f>
        <v>45716</v>
      </c>
      <c r="R296" s="211"/>
      <c r="S296" s="7"/>
      <c r="T296" s="11"/>
    </row>
    <row r="297" spans="1:21" ht="16.5" customHeight="1">
      <c r="A297" t="s">
        <v>64</v>
      </c>
      <c r="B297" s="10" t="str">
        <f>'2월'!B99</f>
        <v>SM-24003</v>
      </c>
      <c r="C297" s="142"/>
      <c r="D297" s="13">
        <f>'2월'!D99</f>
        <v>45716</v>
      </c>
      <c r="E297" s="155" t="str">
        <f>'2월'!E99</f>
        <v>프라테르</v>
      </c>
      <c r="F297" s="155" t="str">
        <f>'2월'!F99</f>
        <v>삼표산업</v>
      </c>
      <c r="G297" s="157" t="str">
        <f>'2월'!G99</f>
        <v>MA</v>
      </c>
      <c r="H297" s="157" t="str">
        <f>'2월'!H99</f>
        <v>월간</v>
      </c>
      <c r="I297" s="69" t="str">
        <f>'2월'!I99</f>
        <v>2월 오라클 유지정비료 - 2/12회</v>
      </c>
      <c r="J297" s="124">
        <f>'2월'!J99</f>
        <v>1</v>
      </c>
      <c r="K297" s="16">
        <f>'2월'!K99</f>
        <v>672000</v>
      </c>
      <c r="L297" s="16">
        <f>'2월'!L99</f>
        <v>699300</v>
      </c>
      <c r="M297" s="16">
        <f>'2월'!M99</f>
        <v>69930</v>
      </c>
      <c r="N297" s="15">
        <f>'2월'!N99</f>
        <v>769230</v>
      </c>
      <c r="O297" s="5" t="str">
        <f>'2월'!O99</f>
        <v>완료(3/31)</v>
      </c>
      <c r="P297" s="175" t="str">
        <f>'2월'!P99</f>
        <v>홍승민</v>
      </c>
      <c r="Q297" s="5">
        <f>'2월'!Q99</f>
        <v>45716</v>
      </c>
      <c r="R297" s="212"/>
      <c r="S297" s="7"/>
      <c r="T297" s="11"/>
    </row>
    <row r="298" spans="1:21" ht="16.5" customHeight="1">
      <c r="A298" t="s">
        <v>64</v>
      </c>
      <c r="B298" s="10" t="str">
        <f>'2월'!B100</f>
        <v>SM-24003</v>
      </c>
      <c r="C298" s="145"/>
      <c r="D298" s="65"/>
      <c r="E298" s="160" t="str">
        <f>'2월'!E100</f>
        <v>프라테르</v>
      </c>
      <c r="F298" s="160" t="str">
        <f>'2월'!F100</f>
        <v>삼표산업</v>
      </c>
      <c r="G298" s="157" t="str">
        <f>'2월'!G100</f>
        <v>MA</v>
      </c>
      <c r="H298" s="157" t="str">
        <f>'2월'!H100</f>
        <v>월간</v>
      </c>
      <c r="I298" s="69" t="str">
        <f>'2월'!I100</f>
        <v>1월 오라클 유지정비료 - 1/12회 부족분</v>
      </c>
      <c r="J298" s="122">
        <f>'2월'!J100</f>
        <v>1</v>
      </c>
      <c r="K298" s="15">
        <f>'2월'!K100</f>
        <v>27300</v>
      </c>
      <c r="L298" s="125"/>
      <c r="M298" s="125"/>
      <c r="N298" s="126"/>
      <c r="O298" s="99"/>
      <c r="P298" s="9" t="str">
        <f>'2월'!P100</f>
        <v>홍승민</v>
      </c>
      <c r="Q298" s="5">
        <f>'2월'!Q100</f>
        <v>45681</v>
      </c>
      <c r="R298" s="213"/>
    </row>
    <row r="299" spans="1:21" ht="16.5" customHeight="1">
      <c r="A299" t="s">
        <v>64</v>
      </c>
      <c r="B299" s="140" t="str">
        <f>'2월'!B101</f>
        <v>SM-24021</v>
      </c>
      <c r="C299" s="142"/>
      <c r="D299" s="13">
        <f>'2월'!D101</f>
        <v>45716</v>
      </c>
      <c r="E299" s="155" t="str">
        <f>'2월'!E101</f>
        <v>키미데이타</v>
      </c>
      <c r="F299" s="155" t="str">
        <f>'2월'!F101</f>
        <v>에이캐피탈</v>
      </c>
      <c r="G299" s="157" t="str">
        <f>'2월'!G101</f>
        <v>MA</v>
      </c>
      <c r="H299" s="157" t="str">
        <f>'2월'!H101</f>
        <v>월간</v>
      </c>
      <c r="I299" s="69" t="str">
        <f>'2월'!I101</f>
        <v>2월 유지정비료 - 6/12회</v>
      </c>
      <c r="J299" s="124">
        <f>'2월'!J101</f>
        <v>1</v>
      </c>
      <c r="K299" s="16">
        <f>'2월'!K101</f>
        <v>70000</v>
      </c>
      <c r="L299" s="15">
        <f>'2월'!L101</f>
        <v>70000</v>
      </c>
      <c r="M299" s="15">
        <f>'2월'!M101</f>
        <v>7000</v>
      </c>
      <c r="N299" s="15">
        <f>'2월'!N101</f>
        <v>77000</v>
      </c>
      <c r="O299" s="5" t="str">
        <f>'2월'!O101</f>
        <v>완료(4/30)</v>
      </c>
      <c r="P299" s="175" t="str">
        <f>'2월'!P101</f>
        <v>이예지</v>
      </c>
      <c r="Q299" s="5">
        <f>'2월'!Q101</f>
        <v>45721</v>
      </c>
      <c r="R299" s="212"/>
      <c r="S299" s="7"/>
      <c r="T299" s="11"/>
    </row>
    <row r="300" spans="1:21" ht="16.5" customHeight="1">
      <c r="A300" t="s">
        <v>64</v>
      </c>
      <c r="B300" s="10" t="str">
        <f>'2월'!B102</f>
        <v>SM-24021</v>
      </c>
      <c r="C300" s="12"/>
      <c r="D300" s="13">
        <f>'2월'!D102</f>
        <v>45716</v>
      </c>
      <c r="E300" s="155" t="str">
        <f>'2월'!E102</f>
        <v>더파트</v>
      </c>
      <c r="F300" s="155" t="str">
        <f>'2월'!F102</f>
        <v>에이캐피탈</v>
      </c>
      <c r="G300" s="156" t="str">
        <f>'2월'!G102</f>
        <v>MA</v>
      </c>
      <c r="H300" s="156" t="str">
        <f>'2월'!H102</f>
        <v>월간</v>
      </c>
      <c r="I300" s="69" t="str">
        <f>'2월'!I102</f>
        <v>소산 서비스대행 2월분 - 6/12회</v>
      </c>
      <c r="J300" s="122">
        <f>'2월'!J102</f>
        <v>1</v>
      </c>
      <c r="K300" s="15">
        <f>'2월'!K102</f>
        <v>810000</v>
      </c>
      <c r="L300" s="16">
        <f>'2월'!L102</f>
        <v>810000</v>
      </c>
      <c r="M300" s="16">
        <f>'2월'!M102</f>
        <v>81000</v>
      </c>
      <c r="N300" s="15">
        <f>'2월'!N102</f>
        <v>891000</v>
      </c>
      <c r="O300" s="5" t="str">
        <f>'2월'!O102</f>
        <v>완료(3/31)</v>
      </c>
      <c r="P300" s="174" t="str">
        <f>'2월'!P102</f>
        <v>이예지</v>
      </c>
      <c r="Q300" s="5">
        <f>'2월'!Q102</f>
        <v>45721</v>
      </c>
      <c r="R300" s="209"/>
      <c r="T300" s="11"/>
    </row>
    <row r="301" spans="1:21" ht="16.5" customHeight="1">
      <c r="A301" t="s">
        <v>64</v>
      </c>
      <c r="B301" s="141" t="str">
        <f>'2월'!B103</f>
        <v>X</v>
      </c>
      <c r="C301" s="142"/>
      <c r="D301" s="13">
        <f>'2월'!D103</f>
        <v>45716</v>
      </c>
      <c r="E301" s="155" t="str">
        <f>'2월'!E103</f>
        <v>금오이노베이션</v>
      </c>
      <c r="F301" s="155"/>
      <c r="G301" s="156" t="str">
        <f>'2월'!G103</f>
        <v>일반경비</v>
      </c>
      <c r="H301" s="156" t="str">
        <f>'2월'!H103</f>
        <v>통신비</v>
      </c>
      <c r="I301" s="69" t="str">
        <f>'2월'!I103</f>
        <v>기업(구내) 2월 인터넷 사용료</v>
      </c>
      <c r="J301" s="124">
        <f>'2월'!J103</f>
        <v>1</v>
      </c>
      <c r="K301" s="16">
        <f>'2월'!K103</f>
        <v>40000</v>
      </c>
      <c r="L301" s="15">
        <f>'2월'!L103</f>
        <v>40000</v>
      </c>
      <c r="M301" s="15">
        <f>'2월'!M103</f>
        <v>4000</v>
      </c>
      <c r="N301" s="15">
        <f>'2월'!N103</f>
        <v>44000</v>
      </c>
      <c r="O301" s="5" t="str">
        <f>'2월'!O103</f>
        <v>자동이체(25/3/10)</v>
      </c>
      <c r="P301" s="175" t="str">
        <f>'2월'!P103</f>
        <v>정지우</v>
      </c>
      <c r="Q301" s="68" t="str">
        <f>'2월'!Q103</f>
        <v>X</v>
      </c>
      <c r="R301" s="212"/>
      <c r="S301" s="7"/>
      <c r="T301" s="11"/>
    </row>
    <row r="302" spans="1:21" ht="16.5" customHeight="1">
      <c r="A302" t="s">
        <v>64</v>
      </c>
      <c r="B302" s="140" t="str">
        <f>'2월'!B104</f>
        <v>SM-24021</v>
      </c>
      <c r="C302" s="12"/>
      <c r="D302" s="13">
        <f>'2월'!D104</f>
        <v>45716</v>
      </c>
      <c r="E302" s="155" t="str">
        <f>'2월'!E104</f>
        <v>에스엔에이</v>
      </c>
      <c r="F302" s="163" t="str">
        <f>'2월'!F104</f>
        <v>에이캐피탈</v>
      </c>
      <c r="G302" s="157" t="str">
        <f>'2월'!G104</f>
        <v>MA</v>
      </c>
      <c r="H302" s="157" t="str">
        <f>'2월'!H104</f>
        <v>월간</v>
      </c>
      <c r="I302" s="159" t="str">
        <f>'2월'!I104</f>
        <v>2월 파트 계약 - 6/12회</v>
      </c>
      <c r="J302" s="124">
        <f>'2월'!J104</f>
        <v>1</v>
      </c>
      <c r="K302" s="188">
        <f>'2월'!K104</f>
        <v>300000</v>
      </c>
      <c r="L302" s="15">
        <f>'2월'!L104</f>
        <v>300000</v>
      </c>
      <c r="M302" s="15">
        <f>'2월'!M104</f>
        <v>30000</v>
      </c>
      <c r="N302" s="15">
        <f>'2월'!N104</f>
        <v>330000</v>
      </c>
      <c r="O302" s="5" t="str">
        <f>'2월'!O104</f>
        <v>완료(4/30)</v>
      </c>
      <c r="P302" s="174" t="str">
        <f>'2월'!P104</f>
        <v>이예지</v>
      </c>
      <c r="Q302" s="5">
        <f>'2월'!Q104</f>
        <v>45721</v>
      </c>
      <c r="R302" s="211"/>
      <c r="S302" s="7"/>
      <c r="T302" s="11"/>
    </row>
    <row r="303" spans="1:21" ht="16.5" customHeight="1">
      <c r="A303" t="s">
        <v>64</v>
      </c>
      <c r="B303" s="141" t="str">
        <f>'2월'!B105</f>
        <v>X</v>
      </c>
      <c r="C303" s="142"/>
      <c r="D303" s="13">
        <f>'2월'!D105</f>
        <v>45716</v>
      </c>
      <c r="E303" s="155" t="str">
        <f>'2월'!E105</f>
        <v>비와이씨하이시티입주사대표회</v>
      </c>
      <c r="F303" s="163"/>
      <c r="G303" s="156" t="str">
        <f>'2월'!G105</f>
        <v>일반경비</v>
      </c>
      <c r="H303" s="156" t="str">
        <f>'2월'!H105</f>
        <v>건물관리</v>
      </c>
      <c r="I303" s="69" t="str">
        <f>'2월'!I105</f>
        <v>B동 1201호 2월 관리비 -과세분</v>
      </c>
      <c r="J303" s="124">
        <f>'2월'!J105</f>
        <v>1</v>
      </c>
      <c r="K303" s="16">
        <f>'2월'!K105</f>
        <v>530377</v>
      </c>
      <c r="L303" s="16">
        <f>'2월'!L105</f>
        <v>530377</v>
      </c>
      <c r="M303" s="15">
        <f>'2월'!M105</f>
        <v>53037</v>
      </c>
      <c r="N303" s="15">
        <f>'2월'!N105</f>
        <v>583414</v>
      </c>
      <c r="O303" s="5" t="str">
        <f>'2월'!O105</f>
        <v>완료(3/10)</v>
      </c>
      <c r="P303" s="175" t="str">
        <f>'2월'!P105</f>
        <v>정지우</v>
      </c>
      <c r="Q303" s="68" t="str">
        <f>'2월'!Q105</f>
        <v>X</v>
      </c>
      <c r="R303" s="212"/>
      <c r="S303" s="7"/>
    </row>
    <row r="304" spans="1:21" ht="16.5" customHeight="1">
      <c r="A304" t="s">
        <v>64</v>
      </c>
      <c r="B304" s="141" t="str">
        <f>'2월'!B106</f>
        <v>X</v>
      </c>
      <c r="C304" s="142"/>
      <c r="D304" s="13">
        <f>'2월'!D106</f>
        <v>45716</v>
      </c>
      <c r="E304" s="155" t="str">
        <f>'2월'!E106</f>
        <v>비와이씨하이시티입주사대표회</v>
      </c>
      <c r="F304" s="155"/>
      <c r="G304" s="156" t="str">
        <f>'2월'!G106</f>
        <v>일반경비</v>
      </c>
      <c r="H304" s="156" t="str">
        <f>'2월'!H106</f>
        <v>건물관리</v>
      </c>
      <c r="I304" s="69" t="str">
        <f>'2월'!I106</f>
        <v>B동 1201호 2월 관리비 -면세분</v>
      </c>
      <c r="J304" s="124">
        <f>'2월'!J106</f>
        <v>1</v>
      </c>
      <c r="K304" s="16">
        <f>'2월'!K106</f>
        <v>115665</v>
      </c>
      <c r="L304" s="16">
        <f>'2월'!L106</f>
        <v>115665</v>
      </c>
      <c r="M304" s="15" t="str">
        <f>'2월'!M106</f>
        <v>X</v>
      </c>
      <c r="N304" s="15">
        <f>'2월'!N106</f>
        <v>115665</v>
      </c>
      <c r="O304" s="5" t="str">
        <f>'2월'!O106</f>
        <v>완료(3/10)</v>
      </c>
      <c r="P304" s="175" t="str">
        <f>'2월'!P106</f>
        <v>정지우</v>
      </c>
      <c r="Q304" s="68" t="str">
        <f>'2월'!Q106</f>
        <v>X</v>
      </c>
      <c r="R304" s="212" t="str">
        <f>'2월'!R106</f>
        <v>비과세</v>
      </c>
      <c r="S304" s="7"/>
    </row>
    <row r="305" spans="1:20" ht="16.5" customHeight="1">
      <c r="A305" t="s">
        <v>64</v>
      </c>
      <c r="B305" s="141" t="str">
        <f>'2월'!B107</f>
        <v>X</v>
      </c>
      <c r="C305" s="12"/>
      <c r="D305" s="13">
        <f>'2월'!D107</f>
        <v>45716</v>
      </c>
      <c r="E305" s="155" t="str">
        <f>'2월'!E107</f>
        <v>신한회계법인</v>
      </c>
      <c r="F305" s="163"/>
      <c r="G305" s="156" t="str">
        <f>'2월'!G107</f>
        <v>일반경비</v>
      </c>
      <c r="H305" s="157" t="str">
        <f>'2월'!H107</f>
        <v>지급수수료</v>
      </c>
      <c r="I305" s="159" t="str">
        <f>'2월'!I107</f>
        <v>2월 기장료</v>
      </c>
      <c r="J305" s="124">
        <f>'2월'!J107</f>
        <v>1</v>
      </c>
      <c r="K305" s="188">
        <f>'2월'!K107</f>
        <v>200000</v>
      </c>
      <c r="L305" s="15">
        <f>'2월'!L107</f>
        <v>200000</v>
      </c>
      <c r="M305" s="15">
        <f>'2월'!M107</f>
        <v>20000</v>
      </c>
      <c r="N305" s="15">
        <f>'2월'!N107</f>
        <v>220000</v>
      </c>
      <c r="O305" s="5" t="str">
        <f>'2월'!O107</f>
        <v>완료(3/14)</v>
      </c>
      <c r="P305" s="175" t="str">
        <f>'2월'!P107</f>
        <v>정지우</v>
      </c>
      <c r="Q305" s="68" t="str">
        <f>'2월'!Q107</f>
        <v>X</v>
      </c>
      <c r="R305" s="211"/>
      <c r="S305" s="7"/>
      <c r="T305" s="11"/>
    </row>
    <row r="306" spans="1:20" ht="16.5" customHeight="1">
      <c r="A306" t="s">
        <v>64</v>
      </c>
      <c r="B306" s="10" t="str">
        <f>'2월'!B108</f>
        <v>SM-24017</v>
      </c>
      <c r="C306" s="12"/>
      <c r="D306" s="13">
        <f>'2월'!D108</f>
        <v>45716</v>
      </c>
      <c r="E306" s="155" t="str">
        <f>'2월'!E108</f>
        <v>프로미스</v>
      </c>
      <c r="F306" s="155" t="str">
        <f>'2월'!F108</f>
        <v>케이엠디엠</v>
      </c>
      <c r="G306" s="156" t="str">
        <f>'2월'!G108</f>
        <v>MA</v>
      </c>
      <c r="H306" s="156" t="str">
        <f>'2월'!H108</f>
        <v>연간</v>
      </c>
      <c r="I306" s="69" t="str">
        <f>'2월'!I108</f>
        <v>대한지방행정공제회 기술지원(24.9~25.8)</v>
      </c>
      <c r="J306" s="132">
        <f>'2월'!J108</f>
        <v>1</v>
      </c>
      <c r="K306" s="15">
        <f>'2월'!K108</f>
        <v>2000000</v>
      </c>
      <c r="L306" s="16">
        <f>'2월'!L108</f>
        <v>2000000</v>
      </c>
      <c r="M306" s="16">
        <f>'2월'!M108</f>
        <v>200000</v>
      </c>
      <c r="N306" s="15">
        <f>'2월'!N108</f>
        <v>2200000</v>
      </c>
      <c r="O306" s="5" t="str">
        <f>'2월'!O108</f>
        <v>완료(2/28)</v>
      </c>
      <c r="P306" s="9" t="str">
        <f>'2월'!P108</f>
        <v>천범석</v>
      </c>
      <c r="Q306" s="5">
        <f>'2월'!Q108</f>
        <v>45565</v>
      </c>
      <c r="R306" s="209"/>
    </row>
    <row r="307" spans="1:20" ht="16.5" customHeight="1">
      <c r="A307" t="s">
        <v>64</v>
      </c>
      <c r="B307" s="10" t="str">
        <f>'2월'!B109</f>
        <v>SM-25003</v>
      </c>
      <c r="C307" s="12"/>
      <c r="D307" s="13">
        <f>'2월'!D109</f>
        <v>45716</v>
      </c>
      <c r="E307" s="155" t="str">
        <f>'2월'!E109</f>
        <v>프로미스</v>
      </c>
      <c r="F307" s="155" t="str">
        <f>'2월'!F109</f>
        <v>씨제이씨지브이 통합</v>
      </c>
      <c r="G307" s="156" t="str">
        <f>'2월'!G109</f>
        <v>MA</v>
      </c>
      <c r="H307" s="156" t="str">
        <f>'2월'!H109</f>
        <v>연간</v>
      </c>
      <c r="I307" s="69" t="str">
        <f>'2월'!I109</f>
        <v>CGV통합 MA (25.01.01 ~ 25.12.31)</v>
      </c>
      <c r="J307" s="122">
        <f>'2월'!J109</f>
        <v>1</v>
      </c>
      <c r="K307" s="15">
        <f>'2월'!K109</f>
        <v>18000000</v>
      </c>
      <c r="L307" s="16">
        <f>'2월'!L109</f>
        <v>18000000</v>
      </c>
      <c r="M307" s="16">
        <f>'2월'!M109</f>
        <v>1800000</v>
      </c>
      <c r="N307" s="15">
        <f>'2월'!N109</f>
        <v>19800000</v>
      </c>
      <c r="O307" s="5" t="str">
        <f>'2월'!O109</f>
        <v>완료(2/28)</v>
      </c>
      <c r="P307" s="9" t="str">
        <f>'2월'!P109</f>
        <v>천범석</v>
      </c>
      <c r="Q307" s="5">
        <f>'2월'!Q109</f>
        <v>45666</v>
      </c>
      <c r="R307" s="209"/>
    </row>
    <row r="308" spans="1:20" ht="16.5" customHeight="1">
      <c r="A308" t="s">
        <v>64</v>
      </c>
      <c r="B308" s="10" t="str">
        <f>'2월'!B110</f>
        <v>SB-25014</v>
      </c>
      <c r="C308" s="12"/>
      <c r="D308" s="13">
        <f>'2월'!D110</f>
        <v>45716</v>
      </c>
      <c r="E308" s="155" t="str">
        <f>'2월'!E110</f>
        <v>프로미스</v>
      </c>
      <c r="F308" s="155" t="str">
        <f>'2월'!F110</f>
        <v>와이젠</v>
      </c>
      <c r="G308" s="156" t="str">
        <f>'2월'!G110</f>
        <v>MA</v>
      </c>
      <c r="H308" s="156" t="str">
        <f>'2월'!H110</f>
        <v>반기</v>
      </c>
      <c r="I308" s="69" t="str">
        <f>'2월'!I110</f>
        <v>안국약품 기술지원 (1~6월)</v>
      </c>
      <c r="J308" s="132">
        <f>'2월'!J110</f>
        <v>1</v>
      </c>
      <c r="K308" s="15">
        <f>'2월'!K110</f>
        <v>2500000</v>
      </c>
      <c r="L308" s="16">
        <f>'2월'!L110</f>
        <v>2500000</v>
      </c>
      <c r="M308" s="16">
        <f>'2월'!M110</f>
        <v>250000</v>
      </c>
      <c r="N308" s="15">
        <f>'2월'!N110</f>
        <v>2750000</v>
      </c>
      <c r="O308" s="5" t="str">
        <f>'2월'!O110</f>
        <v>완료(2/28)</v>
      </c>
      <c r="P308" s="9" t="str">
        <f>'2월'!P110</f>
        <v>천범석</v>
      </c>
      <c r="Q308" s="5" t="str">
        <f>'2월'!Q110</f>
        <v>2/28~</v>
      </c>
      <c r="R308" s="213" t="str">
        <f>'2월'!R110</f>
        <v>매출월간</v>
      </c>
    </row>
    <row r="309" spans="1:20" ht="16.5" customHeight="1">
      <c r="A309" t="s">
        <v>64</v>
      </c>
      <c r="B309" s="10" t="str">
        <f>'2월'!B111</f>
        <v>S</v>
      </c>
      <c r="C309" s="12"/>
      <c r="D309" s="13">
        <f>'2월'!D111</f>
        <v>45716</v>
      </c>
      <c r="E309" s="155" t="str">
        <f>'2월'!E111</f>
        <v>프로미스</v>
      </c>
      <c r="F309" s="155" t="str">
        <f>'2월'!F111</f>
        <v>에이치인포</v>
      </c>
      <c r="G309" s="156" t="str">
        <f>'2월'!G111</f>
        <v>MA</v>
      </c>
      <c r="H309" s="156" t="str">
        <f>'2월'!H111</f>
        <v>기술지원</v>
      </c>
      <c r="I309" s="69" t="str">
        <f>'2월'!I111</f>
        <v>HMM 서비스 기술지원 3차</v>
      </c>
      <c r="J309" s="122">
        <f>'2월'!J111</f>
        <v>1</v>
      </c>
      <c r="K309" s="15">
        <f>'2월'!K111</f>
        <v>900000</v>
      </c>
      <c r="L309" s="16">
        <f>'2월'!L111</f>
        <v>900000</v>
      </c>
      <c r="M309" s="16">
        <f>'2월'!M111</f>
        <v>90000</v>
      </c>
      <c r="N309" s="15">
        <f>'2월'!N111</f>
        <v>990000</v>
      </c>
      <c r="O309" s="5" t="str">
        <f>'2월'!O111</f>
        <v>완료(2/28)</v>
      </c>
      <c r="P309" s="9" t="str">
        <f>'2월'!P111</f>
        <v>이예지</v>
      </c>
      <c r="Q309" s="5">
        <f>'2월'!Q111</f>
        <v>45716</v>
      </c>
      <c r="R309" s="209"/>
    </row>
    <row r="310" spans="1:20" ht="16.5" customHeight="1">
      <c r="A310" t="s">
        <v>64</v>
      </c>
      <c r="B310" s="10" t="str">
        <f>'2월'!B112</f>
        <v>SL-23014</v>
      </c>
      <c r="C310" s="12"/>
      <c r="D310" s="13">
        <f>'2월'!D112</f>
        <v>45716</v>
      </c>
      <c r="E310" s="155" t="str">
        <f>'2월'!E112</f>
        <v>프로미스</v>
      </c>
      <c r="F310" s="155" t="str">
        <f>'2월'!F112</f>
        <v>케이씨에스</v>
      </c>
      <c r="G310" s="156" t="str">
        <f>'2월'!G112</f>
        <v>MA</v>
      </c>
      <c r="H310" s="156" t="str">
        <f>'2월'!H112</f>
        <v>연간</v>
      </c>
      <c r="I310" s="69" t="str">
        <f>'2월'!I112</f>
        <v>2024년 한국항공우주산업 HX5520 연간 기술지원</v>
      </c>
      <c r="J310" s="122">
        <f>'2월'!J112</f>
        <v>1</v>
      </c>
      <c r="K310" s="15">
        <f>'2월'!K112</f>
        <v>1800000</v>
      </c>
      <c r="L310" s="16">
        <f>'2월'!L112</f>
        <v>1800000</v>
      </c>
      <c r="M310" s="16">
        <f>'2월'!M112</f>
        <v>180000</v>
      </c>
      <c r="N310" s="15">
        <f>'2월'!N112</f>
        <v>1980000</v>
      </c>
      <c r="O310" s="5" t="str">
        <f>'2월'!O112</f>
        <v>완료(2/28)</v>
      </c>
      <c r="P310" s="9" t="str">
        <f>'2월'!P112</f>
        <v>천범석</v>
      </c>
      <c r="Q310" s="5" t="str">
        <f>'2월'!Q112</f>
        <v>24년3,6,9,12월</v>
      </c>
      <c r="R310" s="209"/>
    </row>
    <row r="311" spans="1:20" ht="16.5" customHeight="1">
      <c r="A311" t="s">
        <v>64</v>
      </c>
      <c r="B311" s="10" t="str">
        <f>'2월'!B113</f>
        <v>SB-23053</v>
      </c>
      <c r="C311" s="12"/>
      <c r="D311" s="13">
        <f>'2월'!D113</f>
        <v>45716</v>
      </c>
      <c r="E311" s="155" t="str">
        <f>'2월'!E113</f>
        <v>프로미스</v>
      </c>
      <c r="F311" s="155" t="str">
        <f>'2월'!F113</f>
        <v>서원정보</v>
      </c>
      <c r="G311" s="156" t="str">
        <f>'2월'!G113</f>
        <v>MA</v>
      </c>
      <c r="H311" s="156" t="str">
        <f>'2월'!H113</f>
        <v>연간</v>
      </c>
      <c r="I311" s="69" t="str">
        <f>'2월'!I113</f>
        <v>신세계 24년 연간 기술지원</v>
      </c>
      <c r="J311" s="122">
        <f>'2월'!J113</f>
        <v>1</v>
      </c>
      <c r="K311" s="15">
        <f>'2월'!K113</f>
        <v>10560000</v>
      </c>
      <c r="L311" s="16">
        <f>'2월'!L113</f>
        <v>10560000</v>
      </c>
      <c r="M311" s="16">
        <f>'2월'!M113</f>
        <v>1056000</v>
      </c>
      <c r="N311" s="15">
        <f>'2월'!N113</f>
        <v>11616000</v>
      </c>
      <c r="O311" s="5" t="str">
        <f>'2월'!O113</f>
        <v>완료(2/28)</v>
      </c>
      <c r="P311" s="9" t="str">
        <f>'2월'!P113</f>
        <v>천범석</v>
      </c>
      <c r="Q311" s="5" t="str">
        <f>'2월'!Q113</f>
        <v>24/6~25/5</v>
      </c>
      <c r="R311" s="209"/>
    </row>
    <row r="312" spans="1:20" ht="16.5" customHeight="1">
      <c r="A312" t="s">
        <v>64</v>
      </c>
      <c r="B312" s="10" t="str">
        <f>'2월'!B114</f>
        <v>SB-24031</v>
      </c>
      <c r="C312" s="12"/>
      <c r="D312" s="13">
        <f>'2월'!D114</f>
        <v>45716</v>
      </c>
      <c r="E312" s="155" t="str">
        <f>'2월'!E114</f>
        <v>프로미스</v>
      </c>
      <c r="F312" s="155" t="str">
        <f>'2월'!F114</f>
        <v>데이타메트렉스</v>
      </c>
      <c r="G312" s="156" t="str">
        <f>'2월'!G114</f>
        <v>MA</v>
      </c>
      <c r="H312" s="156" t="str">
        <f>'2월'!H114</f>
        <v>반기</v>
      </c>
      <c r="I312" s="69" t="str">
        <f>'2월'!I114</f>
        <v>하이마트 24.7~12</v>
      </c>
      <c r="J312" s="122">
        <f>'2월'!J114</f>
        <v>1</v>
      </c>
      <c r="K312" s="15">
        <f>'2월'!K114</f>
        <v>2160000</v>
      </c>
      <c r="L312" s="16">
        <f>'2월'!L114</f>
        <v>2160000</v>
      </c>
      <c r="M312" s="16">
        <f>'2월'!M114</f>
        <v>216000</v>
      </c>
      <c r="N312" s="15">
        <f>'2월'!N114</f>
        <v>2376000</v>
      </c>
      <c r="O312" s="5" t="str">
        <f>'2월'!O114</f>
        <v>완료(2/28)</v>
      </c>
      <c r="P312" s="9" t="str">
        <f>'2월'!P114</f>
        <v>천범석</v>
      </c>
      <c r="Q312" s="5" t="str">
        <f>'2월'!Q114</f>
        <v>24/6~24/12</v>
      </c>
      <c r="R312" s="209"/>
    </row>
    <row r="313" spans="1:20" ht="16.5" customHeight="1">
      <c r="A313" t="s">
        <v>64</v>
      </c>
      <c r="B313" s="10" t="str">
        <f>'2월'!B115</f>
        <v>SB-24030</v>
      </c>
      <c r="C313" s="12"/>
      <c r="D313" s="13">
        <f>'2월'!D115</f>
        <v>45716</v>
      </c>
      <c r="E313" s="155" t="str">
        <f>'2월'!E115</f>
        <v>프로미스</v>
      </c>
      <c r="F313" s="155" t="str">
        <f>'2월'!F115</f>
        <v>유니원아이앤씨</v>
      </c>
      <c r="G313" s="156" t="str">
        <f>'2월'!G115</f>
        <v>MA</v>
      </c>
      <c r="H313" s="156" t="str">
        <f>'2월'!H115</f>
        <v>연간</v>
      </c>
      <c r="I313" s="69" t="str">
        <f>'2월'!I115</f>
        <v>예금보험공사 HW 추가분 기술지원</v>
      </c>
      <c r="J313" s="122">
        <f>'2월'!J115</f>
        <v>1</v>
      </c>
      <c r="K313" s="15">
        <f>'2월'!K115</f>
        <v>700000</v>
      </c>
      <c r="L313" s="16">
        <f>'2월'!L115</f>
        <v>700000</v>
      </c>
      <c r="M313" s="16">
        <f>'2월'!M115</f>
        <v>70000</v>
      </c>
      <c r="N313" s="15">
        <f>'2월'!N115</f>
        <v>770000</v>
      </c>
      <c r="O313" s="5" t="str">
        <f>'2월'!O115</f>
        <v>완료(2/28)</v>
      </c>
      <c r="P313" s="9" t="str">
        <f>'2월'!P115</f>
        <v>천범석</v>
      </c>
      <c r="Q313" s="5" t="str">
        <f>'2월'!Q115</f>
        <v>24/1~12/12</v>
      </c>
      <c r="R313" s="209"/>
    </row>
    <row r="314" spans="1:20" ht="16.5" customHeight="1">
      <c r="A314" t="s">
        <v>64</v>
      </c>
      <c r="B314" s="10" t="str">
        <f>'2월'!B116</f>
        <v>SB-25007</v>
      </c>
      <c r="C314" s="12"/>
      <c r="D314" s="13">
        <f>'2월'!D116</f>
        <v>45716</v>
      </c>
      <c r="E314" s="155" t="str">
        <f>'2월'!E116</f>
        <v>프로미스</v>
      </c>
      <c r="F314" s="155" t="str">
        <f>'2월'!F116</f>
        <v>페타데이타</v>
      </c>
      <c r="G314" s="156" t="str">
        <f>'2월'!G116</f>
        <v>MA</v>
      </c>
      <c r="H314" s="156" t="str">
        <f>'2월'!H116</f>
        <v>반기</v>
      </c>
      <c r="I314" s="69" t="str">
        <f>'2월'!I116</f>
        <v>SBS 25.01~06 기술지원</v>
      </c>
      <c r="J314" s="122">
        <f>'2월'!J116</f>
        <v>1</v>
      </c>
      <c r="K314" s="15">
        <f>'2월'!K116</f>
        <v>1100000</v>
      </c>
      <c r="L314" s="16">
        <f>'2월'!L116</f>
        <v>1100000</v>
      </c>
      <c r="M314" s="16">
        <f>'2월'!M116</f>
        <v>110000</v>
      </c>
      <c r="N314" s="15">
        <f>'2월'!N116</f>
        <v>1210000</v>
      </c>
      <c r="O314" s="5" t="str">
        <f>'2월'!O116</f>
        <v>완료(2/28)</v>
      </c>
      <c r="P314" s="9" t="str">
        <f>'2월'!P116</f>
        <v>천범석</v>
      </c>
      <c r="Q314" s="5" t="str">
        <f>'2월'!Q116</f>
        <v>1/31~6/30</v>
      </c>
      <c r="R314" s="209"/>
    </row>
    <row r="315" spans="1:20" ht="16.5" customHeight="1">
      <c r="A315" t="s">
        <v>64</v>
      </c>
      <c r="B315" s="141" t="str">
        <f>'2월'!B117</f>
        <v>X</v>
      </c>
      <c r="C315" s="12"/>
      <c r="D315" s="13">
        <f>'2월'!D117</f>
        <v>45716</v>
      </c>
      <c r="E315" s="155" t="str">
        <f>'2월'!E117</f>
        <v>아이디플라워</v>
      </c>
      <c r="F315" s="155"/>
      <c r="G315" s="156" t="str">
        <f>'2월'!G117</f>
        <v>일반경비</v>
      </c>
      <c r="H315" s="156" t="str">
        <f>'2월'!H117</f>
        <v>접대비</v>
      </c>
      <c r="I315" s="69" t="str">
        <f>'2월'!I117</f>
        <v>거래처 경조 화환 - 4건</v>
      </c>
      <c r="J315" s="122">
        <f>'2월'!J117</f>
        <v>1</v>
      </c>
      <c r="K315" s="15">
        <f>'2월'!K117</f>
        <v>320000</v>
      </c>
      <c r="L315" s="16">
        <f>'2월'!L117</f>
        <v>320000</v>
      </c>
      <c r="M315" s="16" t="str">
        <f>'2월'!M117</f>
        <v>X</v>
      </c>
      <c r="N315" s="15">
        <f>'2월'!N117</f>
        <v>320000</v>
      </c>
      <c r="O315" s="5" t="str">
        <f>'2월'!O117</f>
        <v>완료(3/14)</v>
      </c>
      <c r="P315" s="175" t="str">
        <f>'2월'!P117</f>
        <v>정지우</v>
      </c>
      <c r="Q315" s="100" t="str">
        <f>'2월'!Q117</f>
        <v>X</v>
      </c>
      <c r="R315" s="212" t="str">
        <f>'2월'!R117</f>
        <v>비과세</v>
      </c>
    </row>
    <row r="316" spans="1:20" ht="16.5" customHeight="1">
      <c r="A316" t="s">
        <v>64</v>
      </c>
      <c r="B316" s="141" t="str">
        <f>'2월'!B118</f>
        <v>SM-24003</v>
      </c>
      <c r="C316" s="142"/>
      <c r="D316" s="13">
        <f>'2월'!D118</f>
        <v>45716</v>
      </c>
      <c r="E316" s="155" t="str">
        <f>'2월'!E118</f>
        <v>트리거정보기술</v>
      </c>
      <c r="F316" s="155" t="str">
        <f>'2월'!F118</f>
        <v>삼표산업</v>
      </c>
      <c r="G316" s="157" t="str">
        <f>'2월'!G118</f>
        <v>MA</v>
      </c>
      <c r="H316" s="157" t="str">
        <f>'2월'!H118</f>
        <v>월간</v>
      </c>
      <c r="I316" s="69" t="str">
        <f>'2월'!I118</f>
        <v>삼표시멘트 1월 유지정비료 1/12회</v>
      </c>
      <c r="J316" s="124">
        <f>'2월'!J118</f>
        <v>1</v>
      </c>
      <c r="K316" s="16">
        <f>'2월'!K118</f>
        <v>700000</v>
      </c>
      <c r="L316" s="16">
        <f>'2월'!L118</f>
        <v>700000</v>
      </c>
      <c r="M316" s="16">
        <f>'2월'!M118</f>
        <v>70000</v>
      </c>
      <c r="N316" s="15">
        <f>'2월'!N118</f>
        <v>770000</v>
      </c>
      <c r="O316" s="5" t="str">
        <f>'2월'!O118</f>
        <v>완료(3/31)</v>
      </c>
      <c r="P316" s="177" t="str">
        <f>'2월'!P118</f>
        <v>홍승민</v>
      </c>
      <c r="Q316" s="5">
        <f>'2월'!Q118</f>
        <v>45681</v>
      </c>
      <c r="R316" s="212"/>
      <c r="S316" s="7"/>
      <c r="T316" s="11"/>
    </row>
    <row r="317" spans="1:20" ht="16.5" customHeight="1">
      <c r="A317" t="s">
        <v>64</v>
      </c>
      <c r="B317" s="141" t="str">
        <f>'2월'!B119</f>
        <v>SM-24003</v>
      </c>
      <c r="C317" s="142"/>
      <c r="D317" s="13">
        <f>'2월'!D119</f>
        <v>45716</v>
      </c>
      <c r="E317" s="155" t="str">
        <f>'2월'!E119</f>
        <v>트리거정보기술</v>
      </c>
      <c r="F317" s="155" t="str">
        <f>'2월'!F119</f>
        <v>삼표산업</v>
      </c>
      <c r="G317" s="157" t="str">
        <f>'2월'!G119</f>
        <v>MA</v>
      </c>
      <c r="H317" s="157" t="str">
        <f>'2월'!H119</f>
        <v>월간</v>
      </c>
      <c r="I317" s="69" t="str">
        <f>'2월'!I119</f>
        <v>삼표시멘트 2월 유지정비료 2/12회</v>
      </c>
      <c r="J317" s="124">
        <f>'2월'!J119</f>
        <v>1</v>
      </c>
      <c r="K317" s="16">
        <f>'2월'!K119</f>
        <v>700000</v>
      </c>
      <c r="L317" s="16">
        <f>'2월'!L119</f>
        <v>700000</v>
      </c>
      <c r="M317" s="16">
        <f>'2월'!M119</f>
        <v>70000</v>
      </c>
      <c r="N317" s="15">
        <f>'2월'!N119</f>
        <v>770000</v>
      </c>
      <c r="O317" s="5" t="str">
        <f>'2월'!O119</f>
        <v>완료(3/31)</v>
      </c>
      <c r="P317" s="177" t="str">
        <f>'2월'!P119</f>
        <v>홍승민</v>
      </c>
      <c r="Q317" s="5">
        <f>'2월'!Q119</f>
        <v>45716</v>
      </c>
      <c r="R317" s="212"/>
      <c r="S317" s="7"/>
      <c r="T317" s="11"/>
    </row>
    <row r="318" spans="1:20" ht="16.5" customHeight="1">
      <c r="A318" t="s">
        <v>64</v>
      </c>
      <c r="B318" s="141" t="str">
        <f>'2월'!B120</f>
        <v>X</v>
      </c>
      <c r="C318" s="142"/>
      <c r="D318" s="13">
        <f>'2월'!D120</f>
        <v>45716</v>
      </c>
      <c r="E318" s="155" t="str">
        <f>'2월'!E120</f>
        <v>시우운수</v>
      </c>
      <c r="F318" s="155"/>
      <c r="G318" s="156" t="str">
        <f>'2월'!G120</f>
        <v>상품</v>
      </c>
      <c r="H318" s="156" t="str">
        <f>'2월'!H120</f>
        <v>운반비</v>
      </c>
      <c r="I318" s="159" t="str">
        <f>'2월'!I120</f>
        <v>로젠택배 2월 택배비</v>
      </c>
      <c r="J318" s="124">
        <f>'2월'!J120</f>
        <v>1</v>
      </c>
      <c r="K318" s="16">
        <f>'2월'!K120</f>
        <v>13818</v>
      </c>
      <c r="L318" s="15">
        <f>'2월'!L120</f>
        <v>13818</v>
      </c>
      <c r="M318" s="15">
        <f>'2월'!M120</f>
        <v>1382</v>
      </c>
      <c r="N318" s="15">
        <f>'2월'!N120</f>
        <v>15200</v>
      </c>
      <c r="O318" s="5" t="str">
        <f>'2월'!O120</f>
        <v>완료(3/10)</v>
      </c>
      <c r="P318" s="175" t="str">
        <f>'2월'!P120</f>
        <v>정지우</v>
      </c>
      <c r="Q318" s="68" t="str">
        <f>'2월'!Q120</f>
        <v>X</v>
      </c>
      <c r="R318" s="212"/>
      <c r="S318" s="7"/>
    </row>
    <row r="319" spans="1:20" ht="16.5" customHeight="1">
      <c r="A319" t="s">
        <v>64</v>
      </c>
      <c r="B319" s="141" t="str">
        <f>'2월'!B121</f>
        <v>X</v>
      </c>
      <c r="C319" s="12"/>
      <c r="D319" s="13">
        <f>'2월'!D121</f>
        <v>45716</v>
      </c>
      <c r="E319" s="155" t="str">
        <f>'2월'!E121</f>
        <v>웹케시</v>
      </c>
      <c r="F319" s="155"/>
      <c r="G319" s="156" t="str">
        <f>'2월'!G121</f>
        <v>일반경비</v>
      </c>
      <c r="H319" s="157" t="str">
        <f>'2월'!H121</f>
        <v>지급수수료</v>
      </c>
      <c r="I319" s="69" t="str">
        <f>'2월'!I121</f>
        <v>s-erp 2월사용분</v>
      </c>
      <c r="J319" s="122">
        <f>'2월'!J121</f>
        <v>1</v>
      </c>
      <c r="K319" s="15">
        <f>'2월'!K121</f>
        <v>69000</v>
      </c>
      <c r="L319" s="16">
        <f>'2월'!L121</f>
        <v>69000</v>
      </c>
      <c r="M319" s="15">
        <f>'2월'!M121</f>
        <v>6900</v>
      </c>
      <c r="N319" s="15">
        <f>'2월'!N121</f>
        <v>75900</v>
      </c>
      <c r="O319" s="5" t="str">
        <f>'2월'!O121</f>
        <v>자동이체(3/10)</v>
      </c>
      <c r="P319" s="175" t="str">
        <f>'2월'!P121</f>
        <v>정지우</v>
      </c>
      <c r="Q319" s="68" t="str">
        <f>'2월'!Q121</f>
        <v>X</v>
      </c>
      <c r="R319" s="209"/>
      <c r="T319" s="11"/>
    </row>
    <row r="320" spans="1:20" ht="16.5" customHeight="1">
      <c r="A320" t="s">
        <v>64</v>
      </c>
      <c r="B320" s="141" t="str">
        <f>'2월'!B122</f>
        <v>X</v>
      </c>
      <c r="C320" s="142"/>
      <c r="D320" s="13">
        <f>'2월'!D122</f>
        <v>45716</v>
      </c>
      <c r="E320" s="155" t="str">
        <f>'2월'!E122</f>
        <v>퀵서비스_전국화물</v>
      </c>
      <c r="F320" s="155"/>
      <c r="G320" s="156" t="str">
        <f>'2월'!G122</f>
        <v>상품</v>
      </c>
      <c r="H320" s="157" t="str">
        <f>'2월'!H122</f>
        <v>운반비</v>
      </c>
      <c r="I320" s="159" t="str">
        <f>'2월'!I122</f>
        <v>2월 퀵운송료</v>
      </c>
      <c r="J320" s="124">
        <f>'2월'!J122</f>
        <v>1</v>
      </c>
      <c r="K320" s="16">
        <f>'2월'!K122</f>
        <v>347000</v>
      </c>
      <c r="L320" s="188">
        <f>'2월'!L122</f>
        <v>347000</v>
      </c>
      <c r="M320" s="15">
        <f>'2월'!M122</f>
        <v>34700</v>
      </c>
      <c r="N320" s="15">
        <f>'2월'!N122</f>
        <v>381700</v>
      </c>
      <c r="O320" s="5" t="str">
        <f>'2월'!O122</f>
        <v>완료(3/14)</v>
      </c>
      <c r="P320" s="175" t="str">
        <f>'2월'!P122</f>
        <v>정지우</v>
      </c>
      <c r="Q320" s="68" t="str">
        <f>'2월'!Q122</f>
        <v>X</v>
      </c>
      <c r="R320" s="212"/>
      <c r="S320" s="7"/>
    </row>
    <row r="321" spans="1:21" ht="16.5" customHeight="1">
      <c r="A321" t="s">
        <v>64</v>
      </c>
      <c r="B321" s="10" t="str">
        <f>'2월'!B123</f>
        <v>SM-24003</v>
      </c>
      <c r="C321" s="198"/>
      <c r="D321" s="13">
        <f>'2월'!D123</f>
        <v>45716</v>
      </c>
      <c r="E321" s="199" t="str">
        <f>'2월'!E123</f>
        <v>유니와이드</v>
      </c>
      <c r="F321" s="199" t="str">
        <f>'2월'!F123</f>
        <v>삼표산업</v>
      </c>
      <c r="G321" s="157" t="str">
        <f>'2월'!G123</f>
        <v>MA</v>
      </c>
      <c r="H321" s="157" t="str">
        <f>'2월'!H123</f>
        <v>월간</v>
      </c>
      <c r="I321" s="69" t="str">
        <f>'2월'!I123</f>
        <v>1~2월 유지정비료 - 1,2/12회</v>
      </c>
      <c r="J321" s="201">
        <f>'2월'!J123</f>
        <v>2</v>
      </c>
      <c r="K321" s="15">
        <f>'2월'!K123</f>
        <v>290000</v>
      </c>
      <c r="L321" s="16">
        <f>'2월'!L123</f>
        <v>580000</v>
      </c>
      <c r="M321" s="16">
        <f>'2월'!M123</f>
        <v>58000</v>
      </c>
      <c r="N321" s="15">
        <f>'2월'!N123</f>
        <v>638000</v>
      </c>
      <c r="O321" s="5" t="str">
        <f>'2월'!O123</f>
        <v>완료(3/31)</v>
      </c>
      <c r="P321" s="175" t="str">
        <f>'2월'!P123</f>
        <v>홍승민</v>
      </c>
      <c r="Q321" s="5" t="str">
        <f>'2월'!Q123</f>
        <v>1/24,2/28</v>
      </c>
      <c r="R321" s="213"/>
      <c r="U321" s="11"/>
    </row>
    <row r="322" spans="1:21" ht="16.5" customHeight="1">
      <c r="A322" t="s">
        <v>64</v>
      </c>
      <c r="B322" s="10" t="str">
        <f>'2월'!B124</f>
        <v>SL-25003</v>
      </c>
      <c r="C322" s="12" t="str">
        <f>'2월'!C124</f>
        <v>SM_C25002</v>
      </c>
      <c r="D322" s="13">
        <f>'2월'!D124</f>
        <v>45691</v>
      </c>
      <c r="E322" s="155" t="str">
        <f>'2월'!E124</f>
        <v>성공글로벌테크놀로지코리아</v>
      </c>
      <c r="F322" s="155" t="str">
        <f>'2월'!F124</f>
        <v>씨원시스템</v>
      </c>
      <c r="G322" s="156" t="str">
        <f>'2월'!G124</f>
        <v>MAPAC</v>
      </c>
      <c r="H322" s="156" t="str">
        <f>'2월'!H124</f>
        <v>연간-성공</v>
      </c>
      <c r="I322" s="69" t="str">
        <f>'2월'!I124</f>
        <v>경기도보건환경연구원 연간유지정비료(25.02.23~26.02.22)</v>
      </c>
      <c r="J322" s="122">
        <f>'2월'!J124</f>
        <v>1</v>
      </c>
      <c r="K322" s="15">
        <f>'2월'!K124</f>
        <v>1530720</v>
      </c>
      <c r="L322" s="16">
        <f>'2월'!L124</f>
        <v>1530720</v>
      </c>
      <c r="M322" s="16">
        <f>'2월'!M124</f>
        <v>153072</v>
      </c>
      <c r="N322" s="15">
        <f>'2월'!N124</f>
        <v>1683792</v>
      </c>
      <c r="O322" s="5" t="str">
        <f>'2월'!O124</f>
        <v>완료(4/4)</v>
      </c>
      <c r="P322" s="9" t="str">
        <f>'2월'!P124</f>
        <v>천범석</v>
      </c>
      <c r="Q322" s="5">
        <f>'2월'!Q124</f>
        <v>45711</v>
      </c>
      <c r="R322" s="213"/>
    </row>
    <row r="323" spans="1:21" ht="16.5" customHeight="1">
      <c r="A323" t="s">
        <v>64</v>
      </c>
      <c r="B323" s="10" t="str">
        <f>'2월'!B125</f>
        <v>SB-25010</v>
      </c>
      <c r="C323" s="12" t="str">
        <f>'2월'!C125</f>
        <v>ZCXAPZ</v>
      </c>
      <c r="D323" s="13">
        <f>'2월'!D125</f>
        <v>45693</v>
      </c>
      <c r="E323" s="155" t="str">
        <f>'2월'!E125</f>
        <v>성공글로벌테크놀로지코리아</v>
      </c>
      <c r="F323" s="155" t="str">
        <f>'2월'!F125</f>
        <v>유티모스트아이엔에스</v>
      </c>
      <c r="G323" s="168" t="str">
        <f>'2월'!G125</f>
        <v>MA</v>
      </c>
      <c r="H323" s="156" t="str">
        <f>'2월'!H125</f>
        <v>월간-성공</v>
      </c>
      <c r="I323" s="69" t="str">
        <f>'2월'!I125</f>
        <v>메타넷디지털 24년 4월 - 1/21회</v>
      </c>
      <c r="J323" s="122">
        <f>'2월'!J125</f>
        <v>1</v>
      </c>
      <c r="K323" s="15">
        <f>'2월'!K125</f>
        <v>72240</v>
      </c>
      <c r="L323" s="16">
        <f>'2월'!L125</f>
        <v>72240</v>
      </c>
      <c r="M323" s="16">
        <f>'2월'!M125</f>
        <v>7224</v>
      </c>
      <c r="N323" s="15">
        <f>'2월'!N125</f>
        <v>79464</v>
      </c>
      <c r="O323" s="5" t="str">
        <f>'2월'!O125</f>
        <v>완료(4/7)</v>
      </c>
      <c r="P323" s="9" t="str">
        <f>'2월'!P125</f>
        <v>천범석</v>
      </c>
      <c r="Q323" s="5">
        <f>'2월'!Q125</f>
        <v>45688</v>
      </c>
      <c r="R323" s="213"/>
    </row>
    <row r="324" spans="1:21" ht="16.5" customHeight="1">
      <c r="A324" t="s">
        <v>64</v>
      </c>
      <c r="B324" s="10" t="str">
        <f>'2월'!B126</f>
        <v>SB-25010</v>
      </c>
      <c r="C324" s="12" t="str">
        <f>'2월'!C126</f>
        <v>ZCXAPZ</v>
      </c>
      <c r="D324" s="13">
        <f>'2월'!D126</f>
        <v>45693</v>
      </c>
      <c r="E324" s="155" t="str">
        <f>'2월'!E126</f>
        <v>성공글로벌테크놀로지코리아</v>
      </c>
      <c r="F324" s="155" t="str">
        <f>'2월'!F126</f>
        <v>유티모스트아이엔에스</v>
      </c>
      <c r="G324" s="168" t="str">
        <f>'2월'!G126</f>
        <v>MA</v>
      </c>
      <c r="H324" s="156" t="str">
        <f>'2월'!H126</f>
        <v>월간-성공</v>
      </c>
      <c r="I324" s="69" t="str">
        <f>'2월'!I126</f>
        <v>메타넷디지털 24년 5월 - 2/21회</v>
      </c>
      <c r="J324" s="122">
        <f>'2월'!J126</f>
        <v>1</v>
      </c>
      <c r="K324" s="15">
        <f>'2월'!K126</f>
        <v>180600</v>
      </c>
      <c r="L324" s="16">
        <f>'2월'!L126</f>
        <v>180600</v>
      </c>
      <c r="M324" s="16">
        <f>'2월'!M126</f>
        <v>18060</v>
      </c>
      <c r="N324" s="15">
        <f>'2월'!N126</f>
        <v>198660</v>
      </c>
      <c r="O324" s="5" t="str">
        <f>'2월'!O126</f>
        <v>완료(4/7)</v>
      </c>
      <c r="P324" s="9" t="str">
        <f>'2월'!P126</f>
        <v>천범석</v>
      </c>
      <c r="Q324" s="5">
        <f>'2월'!Q126</f>
        <v>45688</v>
      </c>
      <c r="R324" s="213"/>
    </row>
    <row r="325" spans="1:21" ht="16.5" customHeight="1">
      <c r="A325" t="s">
        <v>64</v>
      </c>
      <c r="B325" s="10" t="str">
        <f>'2월'!B127</f>
        <v>SB-25010</v>
      </c>
      <c r="C325" s="12" t="str">
        <f>'2월'!C127</f>
        <v>ZCXAPZ</v>
      </c>
      <c r="D325" s="13">
        <f>'2월'!D127</f>
        <v>45693</v>
      </c>
      <c r="E325" s="155" t="str">
        <f>'2월'!E127</f>
        <v>성공글로벌테크놀로지코리아</v>
      </c>
      <c r="F325" s="155" t="str">
        <f>'2월'!F127</f>
        <v>유티모스트아이엔에스</v>
      </c>
      <c r="G325" s="168" t="str">
        <f>'2월'!G127</f>
        <v>MA</v>
      </c>
      <c r="H325" s="156" t="str">
        <f>'2월'!H127</f>
        <v>월간-성공</v>
      </c>
      <c r="I325" s="69" t="str">
        <f>'2월'!I127</f>
        <v>메타넷디지털 24년 6월 - 3/21회</v>
      </c>
      <c r="J325" s="122">
        <f>'2월'!J127</f>
        <v>1</v>
      </c>
      <c r="K325" s="15">
        <f>'2월'!K127</f>
        <v>180600</v>
      </c>
      <c r="L325" s="16">
        <f>'2월'!L127</f>
        <v>180600</v>
      </c>
      <c r="M325" s="16">
        <f>'2월'!M127</f>
        <v>18060</v>
      </c>
      <c r="N325" s="15">
        <f>'2월'!N127</f>
        <v>198660</v>
      </c>
      <c r="O325" s="5" t="str">
        <f>'2월'!O127</f>
        <v>완료(4/7)</v>
      </c>
      <c r="P325" s="9" t="str">
        <f>'2월'!P127</f>
        <v>천범석</v>
      </c>
      <c r="Q325" s="5">
        <f>'2월'!Q127</f>
        <v>45688</v>
      </c>
      <c r="R325" s="213"/>
    </row>
    <row r="326" spans="1:21" ht="16.5" customHeight="1">
      <c r="A326" t="s">
        <v>64</v>
      </c>
      <c r="B326" s="10" t="str">
        <f>'2월'!B128</f>
        <v>SB-25010</v>
      </c>
      <c r="C326" s="12" t="str">
        <f>'2월'!C128</f>
        <v>ZCXAPZ</v>
      </c>
      <c r="D326" s="13">
        <f>'2월'!D128</f>
        <v>45693</v>
      </c>
      <c r="E326" s="155" t="str">
        <f>'2월'!E128</f>
        <v>성공글로벌테크놀로지코리아</v>
      </c>
      <c r="F326" s="155" t="str">
        <f>'2월'!F128</f>
        <v>유티모스트아이엔에스</v>
      </c>
      <c r="G326" s="168" t="str">
        <f>'2월'!G128</f>
        <v>MA</v>
      </c>
      <c r="H326" s="156" t="str">
        <f>'2월'!H128</f>
        <v>월간-성공</v>
      </c>
      <c r="I326" s="69" t="str">
        <f>'2월'!I128</f>
        <v>메타넷디지털 24년 7월 - 4/21회</v>
      </c>
      <c r="J326" s="122">
        <f>'2월'!J128</f>
        <v>1</v>
      </c>
      <c r="K326" s="15">
        <f>'2월'!K128</f>
        <v>180600</v>
      </c>
      <c r="L326" s="16">
        <f>'2월'!L128</f>
        <v>180600</v>
      </c>
      <c r="M326" s="16">
        <f>'2월'!M128</f>
        <v>18060</v>
      </c>
      <c r="N326" s="15">
        <f>'2월'!N128</f>
        <v>198660</v>
      </c>
      <c r="O326" s="5" t="str">
        <f>'2월'!O128</f>
        <v>완료(4/7)</v>
      </c>
      <c r="P326" s="9" t="str">
        <f>'2월'!P128</f>
        <v>천범석</v>
      </c>
      <c r="Q326" s="5">
        <f>'2월'!Q128</f>
        <v>45688</v>
      </c>
      <c r="R326" s="213"/>
    </row>
    <row r="327" spans="1:21" ht="16.5" customHeight="1">
      <c r="A327" t="s">
        <v>64</v>
      </c>
      <c r="B327" s="10" t="str">
        <f>'2월'!B129</f>
        <v>SB-25010</v>
      </c>
      <c r="C327" s="12" t="str">
        <f>'2월'!C129</f>
        <v>ZCXAPZ</v>
      </c>
      <c r="D327" s="13">
        <f>'2월'!D129</f>
        <v>45693</v>
      </c>
      <c r="E327" s="155" t="str">
        <f>'2월'!E129</f>
        <v>성공글로벌테크놀로지코리아</v>
      </c>
      <c r="F327" s="155" t="str">
        <f>'2월'!F129</f>
        <v>유티모스트아이엔에스</v>
      </c>
      <c r="G327" s="168" t="str">
        <f>'2월'!G129</f>
        <v>MA</v>
      </c>
      <c r="H327" s="156" t="str">
        <f>'2월'!H129</f>
        <v>월간-성공</v>
      </c>
      <c r="I327" s="69" t="str">
        <f>'2월'!I129</f>
        <v>메타넷디지털 24년 8월 - 5/21회</v>
      </c>
      <c r="J327" s="122">
        <f>'2월'!J129</f>
        <v>1</v>
      </c>
      <c r="K327" s="15">
        <f>'2월'!K129</f>
        <v>180600</v>
      </c>
      <c r="L327" s="16">
        <f>'2월'!L129</f>
        <v>180600</v>
      </c>
      <c r="M327" s="16">
        <f>'2월'!M129</f>
        <v>18060</v>
      </c>
      <c r="N327" s="15">
        <f>'2월'!N129</f>
        <v>198660</v>
      </c>
      <c r="O327" s="5" t="str">
        <f>'2월'!O129</f>
        <v>완료(4/7)</v>
      </c>
      <c r="P327" s="9" t="str">
        <f>'2월'!P129</f>
        <v>천범석</v>
      </c>
      <c r="Q327" s="5">
        <f>'2월'!Q129</f>
        <v>45688</v>
      </c>
      <c r="R327" s="213"/>
    </row>
    <row r="328" spans="1:21" ht="16.5" customHeight="1">
      <c r="A328" t="s">
        <v>64</v>
      </c>
      <c r="B328" s="10" t="str">
        <f>'2월'!B130</f>
        <v>SB-25010</v>
      </c>
      <c r="C328" s="12" t="str">
        <f>'2월'!C130</f>
        <v>ZCXAPZ</v>
      </c>
      <c r="D328" s="13">
        <f>'2월'!D130</f>
        <v>45693</v>
      </c>
      <c r="E328" s="155" t="str">
        <f>'2월'!E130</f>
        <v>성공글로벌테크놀로지코리아</v>
      </c>
      <c r="F328" s="155" t="str">
        <f>'2월'!F130</f>
        <v>유티모스트아이엔에스</v>
      </c>
      <c r="G328" s="168" t="str">
        <f>'2월'!G130</f>
        <v>MA</v>
      </c>
      <c r="H328" s="156" t="str">
        <f>'2월'!H130</f>
        <v>월간-성공</v>
      </c>
      <c r="I328" s="69" t="str">
        <f>'2월'!I130</f>
        <v>메타넷디지털 24년 9월 - 6/21회</v>
      </c>
      <c r="J328" s="122">
        <f>'2월'!J130</f>
        <v>1</v>
      </c>
      <c r="K328" s="15">
        <f>'2월'!K130</f>
        <v>180600</v>
      </c>
      <c r="L328" s="16">
        <f>'2월'!L130</f>
        <v>180600</v>
      </c>
      <c r="M328" s="16">
        <f>'2월'!M130</f>
        <v>18060</v>
      </c>
      <c r="N328" s="15">
        <f>'2월'!N130</f>
        <v>198660</v>
      </c>
      <c r="O328" s="5" t="str">
        <f>'2월'!O130</f>
        <v>완료(4/7)</v>
      </c>
      <c r="P328" s="9" t="str">
        <f>'2월'!P130</f>
        <v>천범석</v>
      </c>
      <c r="Q328" s="5">
        <f>'2월'!Q130</f>
        <v>45688</v>
      </c>
      <c r="R328" s="213"/>
    </row>
    <row r="329" spans="1:21" ht="16.5" customHeight="1">
      <c r="A329" t="s">
        <v>64</v>
      </c>
      <c r="B329" s="10" t="str">
        <f>'2월'!B131</f>
        <v>SB-25010</v>
      </c>
      <c r="C329" s="12" t="str">
        <f>'2월'!C131</f>
        <v>ZCXAPZ</v>
      </c>
      <c r="D329" s="13">
        <f>'2월'!D131</f>
        <v>45693</v>
      </c>
      <c r="E329" s="155" t="str">
        <f>'2월'!E131</f>
        <v>성공글로벌테크놀로지코리아</v>
      </c>
      <c r="F329" s="155" t="str">
        <f>'2월'!F131</f>
        <v>유티모스트아이엔에스</v>
      </c>
      <c r="G329" s="168" t="str">
        <f>'2월'!G131</f>
        <v>MA</v>
      </c>
      <c r="H329" s="156" t="str">
        <f>'2월'!H131</f>
        <v>월간-성공</v>
      </c>
      <c r="I329" s="69" t="str">
        <f>'2월'!I131</f>
        <v>메타넷디지털 24년 10월 - 7/21회</v>
      </c>
      <c r="J329" s="122">
        <f>'2월'!J131</f>
        <v>1</v>
      </c>
      <c r="K329" s="15">
        <f>'2월'!K131</f>
        <v>180600</v>
      </c>
      <c r="L329" s="16">
        <f>'2월'!L131</f>
        <v>180600</v>
      </c>
      <c r="M329" s="16">
        <f>'2월'!M131</f>
        <v>18060</v>
      </c>
      <c r="N329" s="15">
        <f>'2월'!N131</f>
        <v>198660</v>
      </c>
      <c r="O329" s="5" t="str">
        <f>'2월'!O131</f>
        <v>완료(4/7)</v>
      </c>
      <c r="P329" s="9" t="str">
        <f>'2월'!P131</f>
        <v>천범석</v>
      </c>
      <c r="Q329" s="5">
        <f>'2월'!Q131</f>
        <v>45688</v>
      </c>
      <c r="R329" s="213"/>
    </row>
    <row r="330" spans="1:21" ht="16.5" customHeight="1">
      <c r="A330" t="s">
        <v>64</v>
      </c>
      <c r="B330" s="10" t="str">
        <f>'2월'!B132</f>
        <v>SB-25010</v>
      </c>
      <c r="C330" s="12" t="str">
        <f>'2월'!C132</f>
        <v>ZCXAPZ</v>
      </c>
      <c r="D330" s="13">
        <f>'2월'!D132</f>
        <v>45693</v>
      </c>
      <c r="E330" s="155" t="str">
        <f>'2월'!E132</f>
        <v>성공글로벌테크놀로지코리아</v>
      </c>
      <c r="F330" s="155" t="str">
        <f>'2월'!F132</f>
        <v>유티모스트아이엔에스</v>
      </c>
      <c r="G330" s="168" t="str">
        <f>'2월'!G132</f>
        <v>MA</v>
      </c>
      <c r="H330" s="156" t="str">
        <f>'2월'!H132</f>
        <v>월간-성공</v>
      </c>
      <c r="I330" s="69" t="str">
        <f>'2월'!I132</f>
        <v>메타넷디지털 24년 11월 - 8/21회</v>
      </c>
      <c r="J330" s="122">
        <f>'2월'!J132</f>
        <v>1</v>
      </c>
      <c r="K330" s="15">
        <f>'2월'!K132</f>
        <v>180600</v>
      </c>
      <c r="L330" s="16">
        <f>'2월'!L132</f>
        <v>180600</v>
      </c>
      <c r="M330" s="16">
        <f>'2월'!M132</f>
        <v>18060</v>
      </c>
      <c r="N330" s="15">
        <f>'2월'!N132</f>
        <v>198660</v>
      </c>
      <c r="O330" s="5" t="str">
        <f>'2월'!O132</f>
        <v>완료(4/7)</v>
      </c>
      <c r="P330" s="9" t="str">
        <f>'2월'!P132</f>
        <v>천범석</v>
      </c>
      <c r="Q330" s="5">
        <f>'2월'!Q132</f>
        <v>45688</v>
      </c>
      <c r="R330" s="213"/>
    </row>
    <row r="331" spans="1:21" ht="16.5" customHeight="1">
      <c r="A331" t="s">
        <v>64</v>
      </c>
      <c r="B331" s="10" t="str">
        <f>'2월'!B133</f>
        <v>SB-25010</v>
      </c>
      <c r="C331" s="12" t="str">
        <f>'2월'!C133</f>
        <v>ZCXAPZ</v>
      </c>
      <c r="D331" s="13">
        <f>'2월'!D133</f>
        <v>45693</v>
      </c>
      <c r="E331" s="155" t="str">
        <f>'2월'!E133</f>
        <v>성공글로벌테크놀로지코리아</v>
      </c>
      <c r="F331" s="155" t="str">
        <f>'2월'!F133</f>
        <v>유티모스트아이엔에스</v>
      </c>
      <c r="G331" s="168" t="str">
        <f>'2월'!G133</f>
        <v>MA</v>
      </c>
      <c r="H331" s="156" t="str">
        <f>'2월'!H133</f>
        <v>월간-성공</v>
      </c>
      <c r="I331" s="69" t="str">
        <f>'2월'!I133</f>
        <v>메타넷디지털 24년 12월 - 9/21회</v>
      </c>
      <c r="J331" s="122">
        <f>'2월'!J133</f>
        <v>1</v>
      </c>
      <c r="K331" s="15">
        <f>'2월'!K133</f>
        <v>180600</v>
      </c>
      <c r="L331" s="16">
        <f>'2월'!L133</f>
        <v>180600</v>
      </c>
      <c r="M331" s="16">
        <f>'2월'!M133</f>
        <v>18060</v>
      </c>
      <c r="N331" s="15">
        <f>'2월'!N133</f>
        <v>198660</v>
      </c>
      <c r="O331" s="5" t="str">
        <f>'2월'!O133</f>
        <v>완료(4/7)</v>
      </c>
      <c r="P331" s="9" t="str">
        <f>'2월'!P133</f>
        <v>천범석</v>
      </c>
      <c r="Q331" s="5">
        <f>'2월'!Q133</f>
        <v>45688</v>
      </c>
      <c r="R331" s="213"/>
    </row>
    <row r="332" spans="1:21" ht="16.5" customHeight="1">
      <c r="A332" t="s">
        <v>64</v>
      </c>
      <c r="B332" s="10" t="str">
        <f>'2월'!B134</f>
        <v>SB-25010</v>
      </c>
      <c r="C332" s="12" t="str">
        <f>'2월'!C134</f>
        <v>ZCXAPZ</v>
      </c>
      <c r="D332" s="13">
        <f>'2월'!D134</f>
        <v>45693</v>
      </c>
      <c r="E332" s="155" t="str">
        <f>'2월'!E134</f>
        <v>성공글로벌테크놀로지코리아</v>
      </c>
      <c r="F332" s="155" t="str">
        <f>'2월'!F134</f>
        <v>유티모스트아이엔에스</v>
      </c>
      <c r="G332" s="168" t="str">
        <f>'2월'!G134</f>
        <v>MA</v>
      </c>
      <c r="H332" s="156" t="str">
        <f>'2월'!H134</f>
        <v>월간-성공</v>
      </c>
      <c r="I332" s="69" t="str">
        <f>'2월'!I134</f>
        <v>메타넷디지털 25년 1월 - 10/21회</v>
      </c>
      <c r="J332" s="122">
        <f>'2월'!J134</f>
        <v>1</v>
      </c>
      <c r="K332" s="15">
        <f>'2월'!K134</f>
        <v>180600</v>
      </c>
      <c r="L332" s="16">
        <f>'2월'!L134</f>
        <v>180600</v>
      </c>
      <c r="M332" s="16">
        <f>'2월'!M134</f>
        <v>18060</v>
      </c>
      <c r="N332" s="15">
        <f>'2월'!N134</f>
        <v>198660</v>
      </c>
      <c r="O332" s="5" t="str">
        <f>'2월'!O134</f>
        <v>완료(4/7)</v>
      </c>
      <c r="P332" s="9" t="str">
        <f>'2월'!P134</f>
        <v>천범석</v>
      </c>
      <c r="Q332" s="5">
        <f>'2월'!Q134</f>
        <v>45688</v>
      </c>
      <c r="R332" s="213"/>
    </row>
    <row r="333" spans="1:21" ht="16.5" customHeight="1">
      <c r="A333" t="s">
        <v>64</v>
      </c>
      <c r="B333" s="10" t="str">
        <f>'2월'!B135</f>
        <v>SL-25005</v>
      </c>
      <c r="C333" s="12" t="str">
        <f>'2월'!C135</f>
        <v xml:space="preserve"> TAHXA0200</v>
      </c>
      <c r="D333" s="13">
        <f>'2월'!D135</f>
        <v>45693</v>
      </c>
      <c r="E333" s="155" t="str">
        <f>'2월'!E135</f>
        <v>성공글로벌테크놀로지코리아</v>
      </c>
      <c r="F333" s="155" t="str">
        <f>'2월'!F135</f>
        <v>반코리아</v>
      </c>
      <c r="G333" s="156" t="str">
        <f>'2월'!G135</f>
        <v>MAPAC</v>
      </c>
      <c r="H333" s="156" t="str">
        <f>'2월'!H135</f>
        <v>연간-성공</v>
      </c>
      <c r="I333" s="69" t="str">
        <f>'2월'!I135</f>
        <v>대상정보기술 (24.05.25~26.03.31)</v>
      </c>
      <c r="J333" s="122">
        <f>'2월'!J135</f>
        <v>1</v>
      </c>
      <c r="K333" s="15">
        <f>'2월'!K135</f>
        <v>14492160</v>
      </c>
      <c r="L333" s="16">
        <f>'2월'!L135</f>
        <v>14492160</v>
      </c>
      <c r="M333" s="16">
        <f>'2월'!M135</f>
        <v>1449216</v>
      </c>
      <c r="N333" s="15">
        <f>'2월'!N135</f>
        <v>15941376</v>
      </c>
      <c r="O333" s="5" t="str">
        <f>'2월'!O135</f>
        <v>완료(4/7)</v>
      </c>
      <c r="P333" s="9" t="str">
        <f>'2월'!P135</f>
        <v>천범석</v>
      </c>
      <c r="Q333" s="5">
        <f>'2월'!Q135</f>
        <v>45693</v>
      </c>
      <c r="R333" s="213"/>
    </row>
    <row r="334" spans="1:21" ht="16.5" customHeight="1">
      <c r="A334" t="s">
        <v>64</v>
      </c>
      <c r="B334" s="10" t="str">
        <f>'2월'!B136</f>
        <v>SL-25006</v>
      </c>
      <c r="C334" s="12" t="str">
        <f>'2월'!C136</f>
        <v>SM_C25005</v>
      </c>
      <c r="D334" s="13">
        <f>'2월'!D136</f>
        <v>45695</v>
      </c>
      <c r="E334" s="155" t="str">
        <f>'2월'!E136</f>
        <v>성공글로벌테크놀로지코리아</v>
      </c>
      <c r="F334" s="155" t="str">
        <f>'2월'!F136</f>
        <v>TESEDI</v>
      </c>
      <c r="G334" s="156" t="str">
        <f>'2월'!G136</f>
        <v>WSU</v>
      </c>
      <c r="H334" s="156" t="str">
        <f>'2월'!H136</f>
        <v>연간-성공</v>
      </c>
      <c r="I334" s="69" t="str">
        <f>'2월'!I136</f>
        <v>대구텍 연간유지정비료(24.12.28~29.12.27)</v>
      </c>
      <c r="J334" s="122">
        <f>'2월'!J136</f>
        <v>1</v>
      </c>
      <c r="K334" s="15">
        <f>'2월'!K136</f>
        <v>30435093</v>
      </c>
      <c r="L334" s="16">
        <f>'2월'!L136</f>
        <v>30435093</v>
      </c>
      <c r="M334" s="16">
        <f>'2월'!M136</f>
        <v>3043509</v>
      </c>
      <c r="N334" s="15">
        <f>'2월'!N136</f>
        <v>33478602</v>
      </c>
      <c r="O334" s="5" t="str">
        <f>'2월'!O136</f>
        <v>완료(4/8)</v>
      </c>
      <c r="P334" s="9" t="str">
        <f>'2월'!P136</f>
        <v>천범석</v>
      </c>
      <c r="Q334" s="5">
        <f>'2월'!Q136</f>
        <v>45694</v>
      </c>
      <c r="R334" s="213"/>
    </row>
    <row r="335" spans="1:21" ht="16.5" customHeight="1">
      <c r="A335" t="s">
        <v>64</v>
      </c>
      <c r="B335" s="10" t="str">
        <f>'2월'!B137</f>
        <v>SB-25011</v>
      </c>
      <c r="C335" s="12" t="str">
        <f>'2월'!C137</f>
        <v>ZJREZL</v>
      </c>
      <c r="D335" s="13">
        <f>'2월'!D137</f>
        <v>45698</v>
      </c>
      <c r="E335" s="155" t="str">
        <f>'2월'!E137</f>
        <v>성공글로벌테크놀로지코리아</v>
      </c>
      <c r="F335" s="155" t="str">
        <f>'2월'!F137</f>
        <v>이룸에스앤앤</v>
      </c>
      <c r="G335" s="168" t="str">
        <f>'2월'!G137</f>
        <v>MA</v>
      </c>
      <c r="H335" s="156" t="str">
        <f>'2월'!H137</f>
        <v>월간-성공</v>
      </c>
      <c r="I335" s="69" t="str">
        <f>'2월'!I137</f>
        <v>코리아미카사 24년 1월 유지정비료 - 1/25회</v>
      </c>
      <c r="J335" s="122">
        <f>'2월'!J137</f>
        <v>1</v>
      </c>
      <c r="K335" s="15">
        <f>'2월'!K137</f>
        <v>24090</v>
      </c>
      <c r="L335" s="16">
        <f>'2월'!L137</f>
        <v>24090</v>
      </c>
      <c r="M335" s="16">
        <f>'2월'!M137</f>
        <v>2409</v>
      </c>
      <c r="N335" s="15">
        <f>'2월'!N137</f>
        <v>26499</v>
      </c>
      <c r="O335" s="5" t="str">
        <f>'2월'!O137</f>
        <v>완료(4/11)</v>
      </c>
      <c r="P335" s="9" t="str">
        <f>'2월'!P137</f>
        <v>천범석</v>
      </c>
      <c r="Q335" s="5">
        <f>'2월'!Q137</f>
        <v>45700</v>
      </c>
      <c r="R335" s="213" t="str">
        <f>'2월'!R137</f>
        <v>매출연간</v>
      </c>
    </row>
    <row r="336" spans="1:21" ht="16.5" customHeight="1">
      <c r="A336" t="s">
        <v>64</v>
      </c>
      <c r="B336" s="10" t="str">
        <f>'2월'!B138</f>
        <v>SB-25011</v>
      </c>
      <c r="C336" s="12" t="str">
        <f>'2월'!C138</f>
        <v>ZJREZL</v>
      </c>
      <c r="D336" s="13">
        <f>'2월'!D138</f>
        <v>45698</v>
      </c>
      <c r="E336" s="155" t="str">
        <f>'2월'!E138</f>
        <v>성공글로벌테크놀로지코리아</v>
      </c>
      <c r="F336" s="155" t="str">
        <f>'2월'!F138</f>
        <v>이룸에스앤앤</v>
      </c>
      <c r="G336" s="168" t="str">
        <f>'2월'!G138</f>
        <v>MA</v>
      </c>
      <c r="H336" s="156" t="str">
        <f>'2월'!H138</f>
        <v>월간-성공</v>
      </c>
      <c r="I336" s="69" t="str">
        <f>'2월'!I138</f>
        <v>코리아미카사 24년 2월 유지정비료 - 2/25회</v>
      </c>
      <c r="J336" s="122">
        <f>'2월'!J138</f>
        <v>1</v>
      </c>
      <c r="K336" s="15">
        <f>'2월'!K138</f>
        <v>65700</v>
      </c>
      <c r="L336" s="16">
        <f>'2월'!L138</f>
        <v>65700</v>
      </c>
      <c r="M336" s="16">
        <f>'2월'!M138</f>
        <v>6570</v>
      </c>
      <c r="N336" s="15">
        <f>'2월'!N138</f>
        <v>72270</v>
      </c>
      <c r="O336" s="5" t="str">
        <f>'2월'!O138</f>
        <v>완료(4/11)</v>
      </c>
      <c r="P336" s="9" t="str">
        <f>'2월'!P138</f>
        <v>천범석</v>
      </c>
      <c r="Q336" s="5">
        <f>'2월'!Q138</f>
        <v>45700</v>
      </c>
      <c r="R336" s="213" t="str">
        <f>'2월'!R138</f>
        <v>매출연간</v>
      </c>
    </row>
    <row r="337" spans="1:18" ht="16.5" customHeight="1">
      <c r="A337" t="s">
        <v>64</v>
      </c>
      <c r="B337" s="10" t="str">
        <f>'2월'!B139</f>
        <v>SB-25011</v>
      </c>
      <c r="C337" s="12" t="str">
        <f>'2월'!C139</f>
        <v>ZJREZL</v>
      </c>
      <c r="D337" s="13">
        <f>'2월'!D139</f>
        <v>45698</v>
      </c>
      <c r="E337" s="155" t="str">
        <f>'2월'!E139</f>
        <v>성공글로벌테크놀로지코리아</v>
      </c>
      <c r="F337" s="155" t="str">
        <f>'2월'!F139</f>
        <v>이룸에스앤앤</v>
      </c>
      <c r="G337" s="168" t="str">
        <f>'2월'!G139</f>
        <v>MA</v>
      </c>
      <c r="H337" s="156" t="str">
        <f>'2월'!H139</f>
        <v>월간-성공</v>
      </c>
      <c r="I337" s="69" t="str">
        <f>'2월'!I139</f>
        <v>코리아미카사 24년 3월 유지정비료 - 3/25회</v>
      </c>
      <c r="J337" s="122">
        <f>'2월'!J139</f>
        <v>1</v>
      </c>
      <c r="K337" s="15">
        <f>'2월'!K139</f>
        <v>65700</v>
      </c>
      <c r="L337" s="16">
        <f>'2월'!L139</f>
        <v>65700</v>
      </c>
      <c r="M337" s="16">
        <f>'2월'!M139</f>
        <v>6570</v>
      </c>
      <c r="N337" s="15">
        <f>'2월'!N139</f>
        <v>72270</v>
      </c>
      <c r="O337" s="5" t="str">
        <f>'2월'!O139</f>
        <v>완료(4/11)</v>
      </c>
      <c r="P337" s="9" t="str">
        <f>'2월'!P139</f>
        <v>천범석</v>
      </c>
      <c r="Q337" s="5">
        <f>'2월'!Q139</f>
        <v>45700</v>
      </c>
      <c r="R337" s="213" t="str">
        <f>'2월'!R139</f>
        <v>매출연간</v>
      </c>
    </row>
    <row r="338" spans="1:18" ht="16.5" customHeight="1">
      <c r="A338" t="s">
        <v>64</v>
      </c>
      <c r="B338" s="10" t="str">
        <f>'2월'!B140</f>
        <v>SB-25011</v>
      </c>
      <c r="C338" s="12" t="str">
        <f>'2월'!C140</f>
        <v>ZJREZL</v>
      </c>
      <c r="D338" s="13">
        <f>'2월'!D140</f>
        <v>45698</v>
      </c>
      <c r="E338" s="155" t="str">
        <f>'2월'!E140</f>
        <v>성공글로벌테크놀로지코리아</v>
      </c>
      <c r="F338" s="155" t="str">
        <f>'2월'!F140</f>
        <v>이룸에스앤앤</v>
      </c>
      <c r="G338" s="168" t="str">
        <f>'2월'!G140</f>
        <v>MA</v>
      </c>
      <c r="H338" s="156" t="str">
        <f>'2월'!H140</f>
        <v>월간-성공</v>
      </c>
      <c r="I338" s="69" t="str">
        <f>'2월'!I140</f>
        <v>코리아미카사 24년 4월 유지정비료 - 4/25회</v>
      </c>
      <c r="J338" s="122">
        <f>'2월'!J140</f>
        <v>1</v>
      </c>
      <c r="K338" s="15">
        <f>'2월'!K140</f>
        <v>65700</v>
      </c>
      <c r="L338" s="16">
        <f>'2월'!L140</f>
        <v>65700</v>
      </c>
      <c r="M338" s="16">
        <f>'2월'!M140</f>
        <v>6570</v>
      </c>
      <c r="N338" s="15">
        <f>'2월'!N140</f>
        <v>72270</v>
      </c>
      <c r="O338" s="5" t="str">
        <f>'2월'!O140</f>
        <v>완료(4/11)</v>
      </c>
      <c r="P338" s="9" t="str">
        <f>'2월'!P140</f>
        <v>천범석</v>
      </c>
      <c r="Q338" s="5">
        <f>'2월'!Q140</f>
        <v>45700</v>
      </c>
      <c r="R338" s="213" t="str">
        <f>'2월'!R140</f>
        <v>매출연간</v>
      </c>
    </row>
    <row r="339" spans="1:18" ht="16.5" customHeight="1">
      <c r="A339" t="s">
        <v>64</v>
      </c>
      <c r="B339" s="10" t="str">
        <f>'2월'!B141</f>
        <v>SB-25011</v>
      </c>
      <c r="C339" s="12" t="str">
        <f>'2월'!C141</f>
        <v>ZJREZL</v>
      </c>
      <c r="D339" s="13">
        <f>'2월'!D141</f>
        <v>45698</v>
      </c>
      <c r="E339" s="155" t="str">
        <f>'2월'!E141</f>
        <v>성공글로벌테크놀로지코리아</v>
      </c>
      <c r="F339" s="155" t="str">
        <f>'2월'!F141</f>
        <v>이룸에스앤앤</v>
      </c>
      <c r="G339" s="168" t="str">
        <f>'2월'!G141</f>
        <v>MA</v>
      </c>
      <c r="H339" s="156" t="str">
        <f>'2월'!H141</f>
        <v>월간-성공</v>
      </c>
      <c r="I339" s="69" t="str">
        <f>'2월'!I141</f>
        <v>코리아미카사 24년 5월 유지정비료 - 5/25회</v>
      </c>
      <c r="J339" s="122">
        <f>'2월'!J141</f>
        <v>1</v>
      </c>
      <c r="K339" s="15">
        <f>'2월'!K141</f>
        <v>65700</v>
      </c>
      <c r="L339" s="16">
        <f>'2월'!L141</f>
        <v>65700</v>
      </c>
      <c r="M339" s="16">
        <f>'2월'!M141</f>
        <v>6570</v>
      </c>
      <c r="N339" s="15">
        <f>'2월'!N141</f>
        <v>72270</v>
      </c>
      <c r="O339" s="5" t="str">
        <f>'2월'!O141</f>
        <v>완료(4/11)</v>
      </c>
      <c r="P339" s="9" t="str">
        <f>'2월'!P141</f>
        <v>천범석</v>
      </c>
      <c r="Q339" s="5">
        <f>'2월'!Q141</f>
        <v>45700</v>
      </c>
      <c r="R339" s="213" t="str">
        <f>'2월'!R141</f>
        <v>매출연간</v>
      </c>
    </row>
    <row r="340" spans="1:18" ht="16.5" customHeight="1">
      <c r="A340" t="s">
        <v>64</v>
      </c>
      <c r="B340" s="10" t="str">
        <f>'2월'!B142</f>
        <v>SB-25011</v>
      </c>
      <c r="C340" s="12" t="str">
        <f>'2월'!C142</f>
        <v>ZJREZL</v>
      </c>
      <c r="D340" s="13">
        <f>'2월'!D142</f>
        <v>45698</v>
      </c>
      <c r="E340" s="155" t="str">
        <f>'2월'!E142</f>
        <v>성공글로벌테크놀로지코리아</v>
      </c>
      <c r="F340" s="155" t="str">
        <f>'2월'!F142</f>
        <v>이룸에스앤앤</v>
      </c>
      <c r="G340" s="168" t="str">
        <f>'2월'!G142</f>
        <v>MA</v>
      </c>
      <c r="H340" s="156" t="str">
        <f>'2월'!H142</f>
        <v>월간-성공</v>
      </c>
      <c r="I340" s="69" t="str">
        <f>'2월'!I142</f>
        <v>코리아미카사 24년 6월 유지정비료 - 6/25회</v>
      </c>
      <c r="J340" s="122">
        <f>'2월'!J142</f>
        <v>1</v>
      </c>
      <c r="K340" s="15">
        <f>'2월'!K142</f>
        <v>65700</v>
      </c>
      <c r="L340" s="16">
        <f>'2월'!L142</f>
        <v>65700</v>
      </c>
      <c r="M340" s="16">
        <f>'2월'!M142</f>
        <v>6570</v>
      </c>
      <c r="N340" s="15">
        <f>'2월'!N142</f>
        <v>72270</v>
      </c>
      <c r="O340" s="5" t="str">
        <f>'2월'!O142</f>
        <v>완료(4/11)</v>
      </c>
      <c r="P340" s="9" t="str">
        <f>'2월'!P142</f>
        <v>천범석</v>
      </c>
      <c r="Q340" s="5">
        <f>'2월'!Q142</f>
        <v>45700</v>
      </c>
      <c r="R340" s="213" t="str">
        <f>'2월'!R142</f>
        <v>매출연간</v>
      </c>
    </row>
    <row r="341" spans="1:18" ht="16.5" customHeight="1">
      <c r="A341" t="s">
        <v>64</v>
      </c>
      <c r="B341" s="10" t="str">
        <f>'2월'!B143</f>
        <v>SB-25011</v>
      </c>
      <c r="C341" s="12" t="str">
        <f>'2월'!C143</f>
        <v>ZJREZL</v>
      </c>
      <c r="D341" s="13">
        <f>'2월'!D143</f>
        <v>45698</v>
      </c>
      <c r="E341" s="155" t="str">
        <f>'2월'!E143</f>
        <v>성공글로벌테크놀로지코리아</v>
      </c>
      <c r="F341" s="155" t="str">
        <f>'2월'!F143</f>
        <v>이룸에스앤앤</v>
      </c>
      <c r="G341" s="168" t="str">
        <f>'2월'!G143</f>
        <v>MA</v>
      </c>
      <c r="H341" s="156" t="str">
        <f>'2월'!H143</f>
        <v>월간-성공</v>
      </c>
      <c r="I341" s="69" t="str">
        <f>'2월'!I143</f>
        <v>코리아미카사 24년 7월 유지정비료 - 7/25회</v>
      </c>
      <c r="J341" s="122">
        <f>'2월'!J143</f>
        <v>1</v>
      </c>
      <c r="K341" s="15">
        <f>'2월'!K143</f>
        <v>65700</v>
      </c>
      <c r="L341" s="16">
        <f>'2월'!L143</f>
        <v>65700</v>
      </c>
      <c r="M341" s="16">
        <f>'2월'!M143</f>
        <v>6570</v>
      </c>
      <c r="N341" s="15">
        <f>'2월'!N143</f>
        <v>72270</v>
      </c>
      <c r="O341" s="5" t="str">
        <f>'2월'!O143</f>
        <v>완료(4/11)</v>
      </c>
      <c r="P341" s="9" t="str">
        <f>'2월'!P143</f>
        <v>천범석</v>
      </c>
      <c r="Q341" s="5">
        <f>'2월'!Q143</f>
        <v>45700</v>
      </c>
      <c r="R341" s="213" t="str">
        <f>'2월'!R143</f>
        <v>매출연간</v>
      </c>
    </row>
    <row r="342" spans="1:18" ht="16.5" customHeight="1">
      <c r="A342" t="s">
        <v>64</v>
      </c>
      <c r="B342" s="10" t="str">
        <f>'2월'!B144</f>
        <v>SB-25011</v>
      </c>
      <c r="C342" s="12" t="str">
        <f>'2월'!C144</f>
        <v>ZJREZL</v>
      </c>
      <c r="D342" s="13">
        <f>'2월'!D144</f>
        <v>45698</v>
      </c>
      <c r="E342" s="155" t="str">
        <f>'2월'!E144</f>
        <v>성공글로벌테크놀로지코리아</v>
      </c>
      <c r="F342" s="155" t="str">
        <f>'2월'!F144</f>
        <v>이룸에스앤앤</v>
      </c>
      <c r="G342" s="168" t="str">
        <f>'2월'!G144</f>
        <v>MA</v>
      </c>
      <c r="H342" s="156" t="str">
        <f>'2월'!H144</f>
        <v>월간-성공</v>
      </c>
      <c r="I342" s="69" t="str">
        <f>'2월'!I144</f>
        <v>코리아미카사 24년 8월 유지정비료 - 8/25회</v>
      </c>
      <c r="J342" s="122">
        <f>'2월'!J144</f>
        <v>1</v>
      </c>
      <c r="K342" s="15">
        <f>'2월'!K144</f>
        <v>65700</v>
      </c>
      <c r="L342" s="16">
        <f>'2월'!L144</f>
        <v>65700</v>
      </c>
      <c r="M342" s="16">
        <f>'2월'!M144</f>
        <v>6570</v>
      </c>
      <c r="N342" s="15">
        <f>'2월'!N144</f>
        <v>72270</v>
      </c>
      <c r="O342" s="5" t="str">
        <f>'2월'!O144</f>
        <v>완료(4/11)</v>
      </c>
      <c r="P342" s="9" t="str">
        <f>'2월'!P144</f>
        <v>천범석</v>
      </c>
      <c r="Q342" s="5">
        <f>'2월'!Q144</f>
        <v>45700</v>
      </c>
      <c r="R342" s="213" t="str">
        <f>'2월'!R144</f>
        <v>매출연간</v>
      </c>
    </row>
    <row r="343" spans="1:18" ht="16.5" customHeight="1">
      <c r="A343" t="s">
        <v>64</v>
      </c>
      <c r="B343" s="10" t="str">
        <f>'2월'!B145</f>
        <v>SB-25011</v>
      </c>
      <c r="C343" s="12" t="str">
        <f>'2월'!C145</f>
        <v>ZJREZL</v>
      </c>
      <c r="D343" s="13">
        <f>'2월'!D145</f>
        <v>45698</v>
      </c>
      <c r="E343" s="155" t="str">
        <f>'2월'!E145</f>
        <v>성공글로벌테크놀로지코리아</v>
      </c>
      <c r="F343" s="155" t="str">
        <f>'2월'!F145</f>
        <v>이룸에스앤앤</v>
      </c>
      <c r="G343" s="168" t="str">
        <f>'2월'!G145</f>
        <v>MA</v>
      </c>
      <c r="H343" s="156" t="str">
        <f>'2월'!H145</f>
        <v>월간-성공</v>
      </c>
      <c r="I343" s="69" t="str">
        <f>'2월'!I145</f>
        <v>코리아미카사 24년 9월 유지정비료 - 9/25회</v>
      </c>
      <c r="J343" s="122">
        <f>'2월'!J145</f>
        <v>1</v>
      </c>
      <c r="K343" s="15">
        <f>'2월'!K145</f>
        <v>65700</v>
      </c>
      <c r="L343" s="16">
        <f>'2월'!L145</f>
        <v>65700</v>
      </c>
      <c r="M343" s="16">
        <f>'2월'!M145</f>
        <v>6570</v>
      </c>
      <c r="N343" s="15">
        <f>'2월'!N145</f>
        <v>72270</v>
      </c>
      <c r="O343" s="5" t="str">
        <f>'2월'!O145</f>
        <v>완료(4/11)</v>
      </c>
      <c r="P343" s="9" t="str">
        <f>'2월'!P145</f>
        <v>천범석</v>
      </c>
      <c r="Q343" s="5">
        <f>'2월'!Q145</f>
        <v>45700</v>
      </c>
      <c r="R343" s="213" t="str">
        <f>'2월'!R145</f>
        <v>매출연간</v>
      </c>
    </row>
    <row r="344" spans="1:18" ht="16.5" customHeight="1">
      <c r="A344" t="s">
        <v>64</v>
      </c>
      <c r="B344" s="10" t="str">
        <f>'2월'!B146</f>
        <v>SB-25011</v>
      </c>
      <c r="C344" s="12" t="str">
        <f>'2월'!C146</f>
        <v>ZJREZL</v>
      </c>
      <c r="D344" s="13">
        <f>'2월'!D146</f>
        <v>45698</v>
      </c>
      <c r="E344" s="155" t="str">
        <f>'2월'!E146</f>
        <v>성공글로벌테크놀로지코리아</v>
      </c>
      <c r="F344" s="155" t="str">
        <f>'2월'!F146</f>
        <v>이룸에스앤앤</v>
      </c>
      <c r="G344" s="168" t="str">
        <f>'2월'!G146</f>
        <v>MA</v>
      </c>
      <c r="H344" s="156" t="str">
        <f>'2월'!H146</f>
        <v>월간-성공</v>
      </c>
      <c r="I344" s="69" t="str">
        <f>'2월'!I146</f>
        <v>코리아미카사 24년 10월 유지정비료 - 10/25회</v>
      </c>
      <c r="J344" s="122">
        <f>'2월'!J146</f>
        <v>1</v>
      </c>
      <c r="K344" s="15">
        <f>'2월'!K146</f>
        <v>65700</v>
      </c>
      <c r="L344" s="16">
        <f>'2월'!L146</f>
        <v>65700</v>
      </c>
      <c r="M344" s="16">
        <f>'2월'!M146</f>
        <v>6570</v>
      </c>
      <c r="N344" s="15">
        <f>'2월'!N146</f>
        <v>72270</v>
      </c>
      <c r="O344" s="5" t="str">
        <f>'2월'!O146</f>
        <v>완료(4/11)</v>
      </c>
      <c r="P344" s="9" t="str">
        <f>'2월'!P146</f>
        <v>천범석</v>
      </c>
      <c r="Q344" s="5">
        <f>'2월'!Q146</f>
        <v>45700</v>
      </c>
      <c r="R344" s="213" t="str">
        <f>'2월'!R146</f>
        <v>매출연간</v>
      </c>
    </row>
    <row r="345" spans="1:18" ht="16.5" customHeight="1">
      <c r="A345" t="s">
        <v>64</v>
      </c>
      <c r="B345" s="10" t="str">
        <f>'2월'!B147</f>
        <v>SB-25011</v>
      </c>
      <c r="C345" s="12" t="str">
        <f>'2월'!C147</f>
        <v>ZJREZL</v>
      </c>
      <c r="D345" s="13">
        <f>'2월'!D147</f>
        <v>45698</v>
      </c>
      <c r="E345" s="155" t="str">
        <f>'2월'!E147</f>
        <v>성공글로벌테크놀로지코리아</v>
      </c>
      <c r="F345" s="155" t="str">
        <f>'2월'!F147</f>
        <v>이룸에스앤앤</v>
      </c>
      <c r="G345" s="168" t="str">
        <f>'2월'!G147</f>
        <v>MA</v>
      </c>
      <c r="H345" s="156" t="str">
        <f>'2월'!H147</f>
        <v>월간-성공</v>
      </c>
      <c r="I345" s="69" t="str">
        <f>'2월'!I147</f>
        <v>코리아미카사 24년 11월 유지정비료 - 11/25회</v>
      </c>
      <c r="J345" s="122">
        <f>'2월'!J147</f>
        <v>1</v>
      </c>
      <c r="K345" s="15">
        <f>'2월'!K147</f>
        <v>65700</v>
      </c>
      <c r="L345" s="16">
        <f>'2월'!L147</f>
        <v>65700</v>
      </c>
      <c r="M345" s="16">
        <f>'2월'!M147</f>
        <v>6570</v>
      </c>
      <c r="N345" s="15">
        <f>'2월'!N147</f>
        <v>72270</v>
      </c>
      <c r="O345" s="5" t="str">
        <f>'2월'!O147</f>
        <v>완료(4/11)</v>
      </c>
      <c r="P345" s="9" t="str">
        <f>'2월'!P147</f>
        <v>천범석</v>
      </c>
      <c r="Q345" s="5">
        <f>'2월'!Q147</f>
        <v>45700</v>
      </c>
      <c r="R345" s="213" t="str">
        <f>'2월'!R147</f>
        <v>매출연간</v>
      </c>
    </row>
    <row r="346" spans="1:18" ht="16.5" customHeight="1">
      <c r="A346" t="s">
        <v>64</v>
      </c>
      <c r="B346" s="10" t="str">
        <f>'2월'!B148</f>
        <v>SB-25011</v>
      </c>
      <c r="C346" s="12" t="str">
        <f>'2월'!C148</f>
        <v>ZJREZL</v>
      </c>
      <c r="D346" s="13">
        <f>'2월'!D148</f>
        <v>45698</v>
      </c>
      <c r="E346" s="155" t="str">
        <f>'2월'!E148</f>
        <v>성공글로벌테크놀로지코리아</v>
      </c>
      <c r="F346" s="155" t="str">
        <f>'2월'!F148</f>
        <v>이룸에스앤앤</v>
      </c>
      <c r="G346" s="168" t="str">
        <f>'2월'!G148</f>
        <v>MA</v>
      </c>
      <c r="H346" s="156" t="str">
        <f>'2월'!H148</f>
        <v>월간-성공</v>
      </c>
      <c r="I346" s="69" t="str">
        <f>'2월'!I148</f>
        <v>코리아미카사 24년 12월 유지정비료 - 12/25회</v>
      </c>
      <c r="J346" s="122">
        <f>'2월'!J148</f>
        <v>1</v>
      </c>
      <c r="K346" s="15">
        <f>'2월'!K148</f>
        <v>65700</v>
      </c>
      <c r="L346" s="16">
        <f>'2월'!L148</f>
        <v>65700</v>
      </c>
      <c r="M346" s="16">
        <f>'2월'!M148</f>
        <v>6570</v>
      </c>
      <c r="N346" s="15">
        <f>'2월'!N148</f>
        <v>72270</v>
      </c>
      <c r="O346" s="5" t="str">
        <f>'2월'!O148</f>
        <v>완료(4/11)</v>
      </c>
      <c r="P346" s="9" t="str">
        <f>'2월'!P148</f>
        <v>천범석</v>
      </c>
      <c r="Q346" s="5">
        <f>'2월'!Q148</f>
        <v>45700</v>
      </c>
      <c r="R346" s="213" t="str">
        <f>'2월'!R148</f>
        <v>매출연간</v>
      </c>
    </row>
    <row r="347" spans="1:18" ht="16.5" customHeight="1">
      <c r="A347" t="s">
        <v>64</v>
      </c>
      <c r="B347" s="10" t="str">
        <f>'2월'!B149</f>
        <v>SB-25011</v>
      </c>
      <c r="C347" s="12" t="str">
        <f>'2월'!C149</f>
        <v>ZJREZL</v>
      </c>
      <c r="D347" s="13">
        <f>'2월'!D149</f>
        <v>45698</v>
      </c>
      <c r="E347" s="155" t="str">
        <f>'2월'!E149</f>
        <v>성공글로벌테크놀로지코리아</v>
      </c>
      <c r="F347" s="155" t="str">
        <f>'2월'!F149</f>
        <v>이룸에스앤앤</v>
      </c>
      <c r="G347" s="168" t="str">
        <f>'2월'!G149</f>
        <v>MA</v>
      </c>
      <c r="H347" s="156" t="str">
        <f>'2월'!H149</f>
        <v>월간-성공</v>
      </c>
      <c r="I347" s="69" t="str">
        <f>'2월'!I149</f>
        <v>코리아미카사 25년 1월 유지정비료 - 13/25회</v>
      </c>
      <c r="J347" s="122">
        <f>'2월'!J149</f>
        <v>1</v>
      </c>
      <c r="K347" s="15">
        <f>'2월'!K149</f>
        <v>65700</v>
      </c>
      <c r="L347" s="16">
        <f>'2월'!L149</f>
        <v>65700</v>
      </c>
      <c r="M347" s="16">
        <f>'2월'!M149</f>
        <v>6570</v>
      </c>
      <c r="N347" s="15">
        <f>'2월'!N149</f>
        <v>72270</v>
      </c>
      <c r="O347" s="5" t="str">
        <f>'2월'!O149</f>
        <v>완료(4/11)</v>
      </c>
      <c r="P347" s="9" t="str">
        <f>'2월'!P149</f>
        <v>천범석</v>
      </c>
      <c r="Q347" s="5">
        <f>'2월'!Q149</f>
        <v>45700</v>
      </c>
      <c r="R347" s="213" t="str">
        <f>'2월'!R149</f>
        <v>매출연간</v>
      </c>
    </row>
    <row r="348" spans="1:18" ht="16.5" customHeight="1">
      <c r="A348" t="s">
        <v>64</v>
      </c>
      <c r="B348" s="10" t="str">
        <f>'2월'!B150</f>
        <v>SL-25007</v>
      </c>
      <c r="C348" s="12" t="str">
        <f>'2월'!C150</f>
        <v>SM_C25006</v>
      </c>
      <c r="D348" s="13">
        <f>'2월'!D150</f>
        <v>45699</v>
      </c>
      <c r="E348" s="155" t="str">
        <f>'2월'!E150</f>
        <v>성공글로벌테크놀로지코리아</v>
      </c>
      <c r="F348" s="155" t="str">
        <f>'2월'!F150</f>
        <v>지인아이티</v>
      </c>
      <c r="G348" s="156" t="str">
        <f>'2월'!G150</f>
        <v>MAPAC</v>
      </c>
      <c r="H348" s="156" t="str">
        <f>'2월'!H150</f>
        <v>연간-성공</v>
      </c>
      <c r="I348" s="69" t="str">
        <f>'2월'!I150</f>
        <v>두원공조 연간유지정비료 5PS7A06785 Prem 1Y</v>
      </c>
      <c r="J348" s="122">
        <f>'2월'!J150</f>
        <v>1</v>
      </c>
      <c r="K348" s="15">
        <f>'2월'!K150</f>
        <v>1900080</v>
      </c>
      <c r="L348" s="16">
        <f>'2월'!L150</f>
        <v>1900080</v>
      </c>
      <c r="M348" s="16">
        <f>'2월'!M150</f>
        <v>190008</v>
      </c>
      <c r="N348" s="15">
        <f>'2월'!N150</f>
        <v>2090088</v>
      </c>
      <c r="O348" s="5" t="str">
        <f>'2월'!O150</f>
        <v>완료(4/14)</v>
      </c>
      <c r="P348" s="9" t="str">
        <f>'2월'!P150</f>
        <v>천범석</v>
      </c>
      <c r="Q348" s="5">
        <f>'2월'!Q150</f>
        <v>45716</v>
      </c>
      <c r="R348" s="213"/>
    </row>
    <row r="349" spans="1:18" ht="16.5" customHeight="1">
      <c r="A349" t="s">
        <v>64</v>
      </c>
      <c r="B349" s="10" t="str">
        <f>'2월'!B151</f>
        <v>SB-25013</v>
      </c>
      <c r="C349" s="12" t="str">
        <f>'2월'!C151</f>
        <v>ZL9ADS</v>
      </c>
      <c r="D349" s="13">
        <f>'2월'!D151</f>
        <v>45705</v>
      </c>
      <c r="E349" s="155" t="str">
        <f>'2월'!E151</f>
        <v>성공글로벌테크놀로지코리아</v>
      </c>
      <c r="F349" s="155" t="str">
        <f>'2월'!F151</f>
        <v>다솜테크</v>
      </c>
      <c r="G349" s="168" t="str">
        <f>'2월'!G151</f>
        <v>MA</v>
      </c>
      <c r="H349" s="156" t="str">
        <f>'2월'!H151</f>
        <v>월간-성공</v>
      </c>
      <c r="I349" s="69" t="str">
        <f>'2월'!I151</f>
        <v>LG AI 1월 유지정비료 - 1/12회</v>
      </c>
      <c r="J349" s="122">
        <f>'2월'!J151</f>
        <v>1</v>
      </c>
      <c r="K349" s="15">
        <f>'2월'!K151</f>
        <v>496800</v>
      </c>
      <c r="L349" s="16">
        <f>'2월'!L151</f>
        <v>496800</v>
      </c>
      <c r="M349" s="16">
        <f>'2월'!M151</f>
        <v>49680</v>
      </c>
      <c r="N349" s="15">
        <f>'2월'!N151</f>
        <v>546480</v>
      </c>
      <c r="O349" s="5" t="str">
        <f>'2월'!O151</f>
        <v>완료(4/18)</v>
      </c>
      <c r="P349" s="9" t="str">
        <f>'2월'!P151</f>
        <v>천범석</v>
      </c>
      <c r="Q349" s="5">
        <f>'2월'!Q151</f>
        <v>45716</v>
      </c>
      <c r="R349" s="213"/>
    </row>
    <row r="350" spans="1:18" ht="16.5" customHeight="1">
      <c r="A350" t="s">
        <v>64</v>
      </c>
      <c r="B350" s="10" t="str">
        <f>'2월'!B152</f>
        <v>S</v>
      </c>
      <c r="C350" s="12" t="str">
        <f>'2월'!C152</f>
        <v>TruScale2024</v>
      </c>
      <c r="D350" s="13">
        <f>'2월'!D152</f>
        <v>45705</v>
      </c>
      <c r="E350" s="155" t="str">
        <f>'2월'!E152</f>
        <v>성공글로벌테크놀로지코리아</v>
      </c>
      <c r="F350" s="155" t="str">
        <f>'2월'!F152</f>
        <v>다솜테크</v>
      </c>
      <c r="G350" s="156" t="str">
        <f>'2월'!G152</f>
        <v>상품</v>
      </c>
      <c r="H350" s="156" t="str">
        <f>'2월'!H152</f>
        <v>서버</v>
      </c>
      <c r="I350" s="69" t="str">
        <f>'2월'!I152</f>
        <v>TruScale SM202400911-001-4</v>
      </c>
      <c r="J350" s="122">
        <f>'2월'!J152</f>
        <v>1</v>
      </c>
      <c r="K350" s="16">
        <f>'2월'!K152</f>
        <v>910700</v>
      </c>
      <c r="L350" s="16">
        <f>'2월'!L152</f>
        <v>910700</v>
      </c>
      <c r="M350" s="16">
        <f>'2월'!M152</f>
        <v>91070</v>
      </c>
      <c r="N350" s="15">
        <f>'2월'!N152</f>
        <v>1001770</v>
      </c>
      <c r="O350" s="5" t="str">
        <f>'2월'!O152</f>
        <v>완료(4/18)</v>
      </c>
      <c r="P350" s="9" t="str">
        <f>'2월'!P152</f>
        <v>천범석</v>
      </c>
      <c r="Q350" s="5">
        <f>'2월'!Q152</f>
        <v>45595</v>
      </c>
      <c r="R350" s="209" t="str">
        <f>'2월'!R152</f>
        <v>매출연간</v>
      </c>
    </row>
    <row r="351" spans="1:18" ht="16.5" customHeight="1">
      <c r="A351" t="s">
        <v>64</v>
      </c>
      <c r="B351" s="10" t="str">
        <f>'2월'!B153</f>
        <v>SL-25008</v>
      </c>
      <c r="C351" s="12" t="str">
        <f>'2월'!C153</f>
        <v>SM_C25007</v>
      </c>
      <c r="D351" s="13">
        <f>'2월'!D153</f>
        <v>45707</v>
      </c>
      <c r="E351" s="155" t="str">
        <f>'2월'!E153</f>
        <v>성공글로벌테크놀로지코리아</v>
      </c>
      <c r="F351" s="155" t="str">
        <f>'2월'!F153</f>
        <v>사이컴테크놀로지스코리아</v>
      </c>
      <c r="G351" s="156" t="str">
        <f>'2월'!G153</f>
        <v>WSU</v>
      </c>
      <c r="H351" s="156" t="str">
        <f>'2월'!H153</f>
        <v>연간-성공</v>
      </c>
      <c r="I351" s="69" t="str">
        <f>'2월'!I153</f>
        <v>애플코리아 5Y WSU</v>
      </c>
      <c r="J351" s="122">
        <f>'2월'!J153</f>
        <v>1</v>
      </c>
      <c r="K351" s="15">
        <f>'2월'!K153</f>
        <v>6111828</v>
      </c>
      <c r="L351" s="16">
        <f>'2월'!L153</f>
        <v>6111828</v>
      </c>
      <c r="M351" s="16">
        <f>'2월'!M153</f>
        <v>611182</v>
      </c>
      <c r="N351" s="15">
        <f>'2월'!N153</f>
        <v>6723010</v>
      </c>
      <c r="O351" s="5" t="str">
        <f>'2월'!O153</f>
        <v>완료(4/21)</v>
      </c>
      <c r="P351" s="9" t="str">
        <f>'2월'!P153</f>
        <v>천범석</v>
      </c>
      <c r="Q351" s="5">
        <f>'2월'!Q153</f>
        <v>45712</v>
      </c>
      <c r="R351" s="213"/>
    </row>
    <row r="352" spans="1:18" ht="16.5" customHeight="1">
      <c r="A352" t="s">
        <v>64</v>
      </c>
      <c r="B352" s="10" t="str">
        <f>'2월'!B154</f>
        <v>SL-25009</v>
      </c>
      <c r="C352" s="12" t="str">
        <f>'2월'!C154</f>
        <v>SM_C25008</v>
      </c>
      <c r="D352" s="13">
        <f>'2월'!D154</f>
        <v>45709</v>
      </c>
      <c r="E352" s="155" t="str">
        <f>'2월'!E154</f>
        <v>성공글로벌테크놀로지코리아</v>
      </c>
      <c r="F352" s="155" t="str">
        <f>'2월'!F154</f>
        <v>나우테크</v>
      </c>
      <c r="G352" s="156" t="str">
        <f>'2월'!G154</f>
        <v>MAPAC</v>
      </c>
      <c r="H352" s="156" t="str">
        <f>'2월'!H154</f>
        <v>연간-성공</v>
      </c>
      <c r="I352" s="69" t="str">
        <f>'2월'!I154</f>
        <v>5WS7C03244 1Yr Post Wty Premier 24x7 4Hr Resp</v>
      </c>
      <c r="J352" s="122">
        <f>'2월'!J154</f>
        <v>2</v>
      </c>
      <c r="K352" s="15">
        <f>'2월'!K154</f>
        <v>1312160</v>
      </c>
      <c r="L352" s="16">
        <f>'2월'!L154</f>
        <v>2624320</v>
      </c>
      <c r="M352" s="16">
        <f>'2월'!M154</f>
        <v>262432</v>
      </c>
      <c r="N352" s="15">
        <f>'2월'!N154</f>
        <v>2886752</v>
      </c>
      <c r="O352" s="5" t="str">
        <f>'2월'!O154</f>
        <v>완료(4/23)</v>
      </c>
      <c r="P352" s="9" t="str">
        <f>'2월'!P154</f>
        <v>천범석</v>
      </c>
      <c r="Q352" s="5">
        <f>'2월'!Q154</f>
        <v>45716</v>
      </c>
      <c r="R352" s="213"/>
    </row>
    <row r="353" spans="1:22" ht="16.5" customHeight="1">
      <c r="A353" t="s">
        <v>64</v>
      </c>
      <c r="B353" s="10" t="str">
        <f>'2월'!B155</f>
        <v>X</v>
      </c>
      <c r="C353" s="12" t="str">
        <f>'2월'!C155</f>
        <v>TruScale2022</v>
      </c>
      <c r="D353" s="13">
        <f>'2월'!D155</f>
        <v>45712</v>
      </c>
      <c r="E353" s="155" t="str">
        <f>'2월'!E155</f>
        <v>성공글로벌테크놀로지코리아</v>
      </c>
      <c r="F353" s="155" t="str">
        <f>'2월'!F155</f>
        <v>별도정리</v>
      </c>
      <c r="G353" s="156" t="str">
        <f>'2월'!G155</f>
        <v>상품</v>
      </c>
      <c r="H353" s="156" t="str">
        <f>'2월'!H155</f>
        <v>서버</v>
      </c>
      <c r="I353" s="69" t="str">
        <f>'2월'!I155</f>
        <v>TruScale SM20220628-002-28</v>
      </c>
      <c r="J353" s="122">
        <f>'2월'!J155</f>
        <v>1</v>
      </c>
      <c r="K353" s="15">
        <f>'2월'!K155</f>
        <v>1666322</v>
      </c>
      <c r="L353" s="16">
        <f>'2월'!L155</f>
        <v>1666322</v>
      </c>
      <c r="M353" s="16">
        <f>'2월'!M155</f>
        <v>166632</v>
      </c>
      <c r="N353" s="15">
        <f>'2월'!N155</f>
        <v>1832954</v>
      </c>
      <c r="O353" s="5" t="str">
        <f>'2월'!O155</f>
        <v>완료(4/25)</v>
      </c>
      <c r="P353" s="9" t="str">
        <f>'2월'!P155</f>
        <v>천범석</v>
      </c>
      <c r="Q353" s="182" t="str">
        <f>'2월'!Q155</f>
        <v>별도정리</v>
      </c>
      <c r="R353" s="209"/>
      <c r="U353" s="11"/>
    </row>
    <row r="354" spans="1:22" ht="16.5" customHeight="1">
      <c r="A354" t="s">
        <v>64</v>
      </c>
      <c r="B354" s="10" t="str">
        <f>'2월'!B156</f>
        <v>SB-25006</v>
      </c>
      <c r="C354" s="12" t="str">
        <f>'2월'!C156</f>
        <v>SM_C25004</v>
      </c>
      <c r="D354" s="13">
        <f>'2월'!D156</f>
        <v>45712</v>
      </c>
      <c r="E354" s="155" t="str">
        <f>'2월'!E156</f>
        <v>성공글로벌테크놀로지코리아</v>
      </c>
      <c r="F354" s="155" t="str">
        <f>'2월'!F156</f>
        <v>더힘</v>
      </c>
      <c r="G354" s="156" t="str">
        <f>'2월'!G156</f>
        <v>MAPAC</v>
      </c>
      <c r="H354" s="156" t="str">
        <f>'2월'!H156</f>
        <v>연간-성공</v>
      </c>
      <c r="I354" s="69" t="str">
        <f>'2월'!I156</f>
        <v xml:space="preserve">피에스케이(PSK) 5MS7A85708 DAN TC Labor Unit (Remote) </v>
      </c>
      <c r="J354" s="122">
        <f>'2월'!J156</f>
        <v>4</v>
      </c>
      <c r="K354" s="15">
        <f>'2월'!K156</f>
        <v>1542400</v>
      </c>
      <c r="L354" s="16">
        <f>'2월'!L156</f>
        <v>6169600</v>
      </c>
      <c r="M354" s="16">
        <f>'2월'!M156</f>
        <v>616960</v>
      </c>
      <c r="N354" s="15">
        <f>'2월'!N156</f>
        <v>6786560</v>
      </c>
      <c r="O354" s="5" t="str">
        <f>'2월'!O156</f>
        <v>완료(4/25)</v>
      </c>
      <c r="P354" s="9" t="str">
        <f>'2월'!P156</f>
        <v>천범석</v>
      </c>
      <c r="Q354" s="5">
        <f>'2월'!Q156</f>
        <v>45687</v>
      </c>
      <c r="R354" s="213"/>
    </row>
    <row r="355" spans="1:22" ht="16.5" customHeight="1">
      <c r="A355" t="s">
        <v>64</v>
      </c>
      <c r="B355" s="10" t="str">
        <f>'2월'!B157</f>
        <v>SB-25014</v>
      </c>
      <c r="C355" s="12" t="str">
        <f>'2월'!C157</f>
        <v xml:space="preserve"> ZAVPY3</v>
      </c>
      <c r="D355" s="13">
        <f>'2월'!D157</f>
        <v>45715</v>
      </c>
      <c r="E355" s="155" t="str">
        <f>'2월'!E157</f>
        <v>성공글로벌테크놀로지코리아</v>
      </c>
      <c r="F355" s="155" t="str">
        <f>'2월'!F157</f>
        <v>와이젠정보기술</v>
      </c>
      <c r="G355" s="168" t="str">
        <f>'2월'!G157</f>
        <v>MA</v>
      </c>
      <c r="H355" s="156" t="str">
        <f>'2월'!H157</f>
        <v>월간-성공</v>
      </c>
      <c r="I355" s="69" t="str">
        <f>'2월'!I157</f>
        <v>안국약품 1월 유지정비료 - 1/12회</v>
      </c>
      <c r="J355" s="122">
        <f>'2월'!J157</f>
        <v>1</v>
      </c>
      <c r="K355" s="15">
        <f>'2월'!K157</f>
        <v>1515900</v>
      </c>
      <c r="L355" s="16">
        <f>'2월'!L157</f>
        <v>1515900</v>
      </c>
      <c r="M355" s="16">
        <f>'2월'!M157</f>
        <v>151590</v>
      </c>
      <c r="N355" s="15">
        <f>'2월'!N157</f>
        <v>1667490</v>
      </c>
      <c r="O355" s="5" t="str">
        <f>'2월'!O157</f>
        <v>완료(4/29)</v>
      </c>
      <c r="P355" s="9" t="str">
        <f>'2월'!P157</f>
        <v>천범석</v>
      </c>
      <c r="Q355" s="5">
        <f>'2월'!Q157</f>
        <v>45716</v>
      </c>
      <c r="R355" s="213"/>
    </row>
    <row r="356" spans="1:22" ht="16.5" customHeight="1">
      <c r="A356" t="s">
        <v>64</v>
      </c>
      <c r="B356" s="10" t="str">
        <f>'2월'!B158</f>
        <v>SB-22053</v>
      </c>
      <c r="C356" s="12" t="str">
        <f>'2월'!C158</f>
        <v>ZEKV4M</v>
      </c>
      <c r="D356" s="13">
        <f>'2월'!D158</f>
        <v>45716</v>
      </c>
      <c r="E356" s="155" t="str">
        <f>'2월'!E158</f>
        <v>성공글로벌테크놀로지코리아</v>
      </c>
      <c r="F356" s="163" t="str">
        <f>'2월'!F158</f>
        <v>심플키</v>
      </c>
      <c r="G356" s="168" t="str">
        <f>'2월'!G158</f>
        <v>MA</v>
      </c>
      <c r="H356" s="156" t="str">
        <f>'2월'!H158</f>
        <v>월간-성공</v>
      </c>
      <c r="I356" s="69" t="str">
        <f>'2월'!I158</f>
        <v>산업은행 2월 유지정비료 - 26/36회</v>
      </c>
      <c r="J356" s="122">
        <f>'2월'!J158</f>
        <v>1</v>
      </c>
      <c r="K356" s="15">
        <f>'2월'!K158</f>
        <v>58800</v>
      </c>
      <c r="L356" s="16">
        <f>'2월'!L158</f>
        <v>58800</v>
      </c>
      <c r="M356" s="15">
        <f>'2월'!M158</f>
        <v>5880</v>
      </c>
      <c r="N356" s="15">
        <f>'2월'!N158</f>
        <v>64680</v>
      </c>
      <c r="O356" s="5" t="str">
        <f>'2월'!O158</f>
        <v>완료(4/30)</v>
      </c>
      <c r="P356" s="9" t="str">
        <f>'2월'!P158</f>
        <v>천범석</v>
      </c>
      <c r="Q356" s="5">
        <f>'2월'!Q158</f>
        <v>45658</v>
      </c>
      <c r="R356" s="209" t="str">
        <f>'2월'!R158</f>
        <v>매출분기</v>
      </c>
      <c r="U356" s="11"/>
      <c r="V356" s="8"/>
    </row>
    <row r="357" spans="1:22" ht="16.5" customHeight="1">
      <c r="A357" t="s">
        <v>64</v>
      </c>
      <c r="B357" s="10" t="str">
        <f>'2월'!B159</f>
        <v>SL-23009</v>
      </c>
      <c r="C357" s="12" t="str">
        <f>'2월'!C159</f>
        <v>ZI1HRR</v>
      </c>
      <c r="D357" s="13">
        <f>'2월'!D159</f>
        <v>45716</v>
      </c>
      <c r="E357" s="155" t="str">
        <f>'2월'!E159</f>
        <v>성공글로벌테크놀로지코리아</v>
      </c>
      <c r="F357" s="155" t="str">
        <f>'2월'!F159</f>
        <v>대신네트웍스</v>
      </c>
      <c r="G357" s="168" t="str">
        <f>'2월'!G159</f>
        <v>MA</v>
      </c>
      <c r="H357" s="156" t="str">
        <f>'2월'!H159</f>
        <v>월간-성공</v>
      </c>
      <c r="I357" s="69" t="str">
        <f>'2월'!I159</f>
        <v>동두천드림파워 2월 유지정비료 - 26/36회</v>
      </c>
      <c r="J357" s="122">
        <f>'2월'!J159</f>
        <v>1</v>
      </c>
      <c r="K357" s="15">
        <f>'2월'!K159</f>
        <v>115800</v>
      </c>
      <c r="L357" s="16">
        <f>'2월'!L159</f>
        <v>115800</v>
      </c>
      <c r="M357" s="15">
        <f>'2월'!M159</f>
        <v>11580</v>
      </c>
      <c r="N357" s="15">
        <f>'2월'!N159</f>
        <v>127380</v>
      </c>
      <c r="O357" s="5" t="str">
        <f>'2월'!O159</f>
        <v>완료(4/30)</v>
      </c>
      <c r="P357" s="9" t="str">
        <f>'2월'!P159</f>
        <v>천범석</v>
      </c>
      <c r="Q357" s="5">
        <f>'2월'!Q159</f>
        <v>45747</v>
      </c>
      <c r="R357" s="209" t="str">
        <f>'2월'!R159</f>
        <v>매출분기</v>
      </c>
      <c r="U357" s="11"/>
      <c r="V357" s="8"/>
    </row>
    <row r="358" spans="1:22" ht="16.5" customHeight="1">
      <c r="A358" t="s">
        <v>64</v>
      </c>
      <c r="B358" s="10" t="str">
        <f>'2월'!B160</f>
        <v>SB-23012</v>
      </c>
      <c r="C358" s="12" t="str">
        <f>'2월'!C160</f>
        <v>ZKFUER</v>
      </c>
      <c r="D358" s="13">
        <f>'2월'!D160</f>
        <v>45716</v>
      </c>
      <c r="E358" s="155" t="str">
        <f>'2월'!E160</f>
        <v>성공글로벌테크놀로지코리아</v>
      </c>
      <c r="F358" s="155" t="str">
        <f>'2월'!F160</f>
        <v>솔리드이엔지</v>
      </c>
      <c r="G358" s="168" t="str">
        <f>'2월'!G160</f>
        <v>MA</v>
      </c>
      <c r="H358" s="156" t="str">
        <f>'2월'!H160</f>
        <v>월간-성공</v>
      </c>
      <c r="I358" s="69" t="str">
        <f>'2월'!I160</f>
        <v>국립기상과학원 2월 유지정비료-추가 9/12회</v>
      </c>
      <c r="J358" s="122">
        <f>'2월'!J160</f>
        <v>1</v>
      </c>
      <c r="K358" s="15">
        <f>'2월'!K160</f>
        <v>9980400</v>
      </c>
      <c r="L358" s="16">
        <f>'2월'!L160</f>
        <v>9980400</v>
      </c>
      <c r="M358" s="15">
        <f>'2월'!M160</f>
        <v>998040</v>
      </c>
      <c r="N358" s="15">
        <f>'2월'!N160</f>
        <v>10978440</v>
      </c>
      <c r="O358" s="5" t="str">
        <f>'2월'!O160</f>
        <v>완료(4/30)</v>
      </c>
      <c r="P358" s="9" t="str">
        <f>'2월'!P160</f>
        <v>천범석</v>
      </c>
      <c r="Q358" s="5">
        <f>'2월'!Q160</f>
        <v>45716</v>
      </c>
      <c r="R358" s="209"/>
      <c r="U358" s="11"/>
      <c r="V358" s="8"/>
    </row>
    <row r="359" spans="1:22" ht="16.5" customHeight="1">
      <c r="A359" t="s">
        <v>64</v>
      </c>
      <c r="B359" s="10" t="str">
        <f>'2월'!B161</f>
        <v>SL-23020</v>
      </c>
      <c r="C359" s="12" t="str">
        <f>'2월'!C161</f>
        <v>ZM10U8</v>
      </c>
      <c r="D359" s="13">
        <f>'2월'!D161</f>
        <v>45716</v>
      </c>
      <c r="E359" s="155" t="str">
        <f>'2월'!E161</f>
        <v>성공글로벌테크놀로지코리아</v>
      </c>
      <c r="F359" s="155" t="str">
        <f>'2월'!F161</f>
        <v>사이컴테크놀로지스코리아</v>
      </c>
      <c r="G359" s="156" t="str">
        <f>'2월'!G161</f>
        <v>MA</v>
      </c>
      <c r="H359" s="156" t="str">
        <f>'2월'!H161</f>
        <v>월간-성공</v>
      </c>
      <c r="I359" s="69" t="str">
        <f>'2월'!I161</f>
        <v>애플코리아 #2 25년 2월 유지정비료 - 32/69회</v>
      </c>
      <c r="J359" s="122">
        <f>'2월'!J161</f>
        <v>1</v>
      </c>
      <c r="K359" s="15">
        <f>'2월'!K161</f>
        <v>132600</v>
      </c>
      <c r="L359" s="16">
        <f>'2월'!L161</f>
        <v>132600</v>
      </c>
      <c r="M359" s="15">
        <f>'2월'!M161</f>
        <v>13260</v>
      </c>
      <c r="N359" s="15">
        <f>'2월'!N161</f>
        <v>145860</v>
      </c>
      <c r="O359" s="5" t="str">
        <f>'2월'!O161</f>
        <v>완료(4/30)</v>
      </c>
      <c r="P359" s="9" t="str">
        <f>'2월'!P161</f>
        <v>천범석</v>
      </c>
      <c r="Q359" s="5">
        <f>'2월'!Q161</f>
        <v>45057</v>
      </c>
      <c r="R359" s="209" t="str">
        <f>'2월'!R161</f>
        <v>매출연간</v>
      </c>
      <c r="U359" s="11"/>
      <c r="V359" s="8"/>
    </row>
    <row r="360" spans="1:22" ht="16.5" customHeight="1">
      <c r="A360" t="s">
        <v>64</v>
      </c>
      <c r="B360" s="10" t="str">
        <f>'2월'!B162</f>
        <v>SB-23037</v>
      </c>
      <c r="C360" s="12" t="str">
        <f>'2월'!C162</f>
        <v>ZDSTPH</v>
      </c>
      <c r="D360" s="13">
        <f>'2월'!D162</f>
        <v>45716</v>
      </c>
      <c r="E360" s="155" t="str">
        <f>'2월'!E162</f>
        <v>성공글로벌테크놀로지코리아</v>
      </c>
      <c r="F360" s="155" t="str">
        <f>'2월'!F162</f>
        <v>에이트랙</v>
      </c>
      <c r="G360" s="168" t="str">
        <f>'2월'!G162</f>
        <v>MA</v>
      </c>
      <c r="H360" s="156" t="str">
        <f>'2월'!H162</f>
        <v>월간-성공</v>
      </c>
      <c r="I360" s="69" t="str">
        <f>'2월'!I162</f>
        <v>한림대학교HW 2월 유지정비료 - 21/21회</v>
      </c>
      <c r="J360" s="122">
        <f>'2월'!J162</f>
        <v>1</v>
      </c>
      <c r="K360" s="15">
        <f>'2월'!K162</f>
        <v>245700</v>
      </c>
      <c r="L360" s="16">
        <f>'2월'!L162</f>
        <v>245700</v>
      </c>
      <c r="M360" s="15">
        <f>'2월'!M162</f>
        <v>24570</v>
      </c>
      <c r="N360" s="15">
        <f>'2월'!N162</f>
        <v>270270</v>
      </c>
      <c r="O360" s="5" t="str">
        <f>'2월'!O162</f>
        <v>완료(4/30)</v>
      </c>
      <c r="P360" s="174" t="str">
        <f>'2월'!P162</f>
        <v>천범석</v>
      </c>
      <c r="Q360" s="5">
        <f>'2월'!Q162</f>
        <v>45716</v>
      </c>
      <c r="R360" s="209"/>
      <c r="U360" s="11"/>
      <c r="V360" s="8"/>
    </row>
    <row r="361" spans="1:22" ht="16.5" customHeight="1">
      <c r="A361" t="s">
        <v>64</v>
      </c>
      <c r="B361" s="10" t="str">
        <f>'2월'!B163</f>
        <v>SB-23043</v>
      </c>
      <c r="C361" s="12" t="str">
        <f>'2월'!C163</f>
        <v>Z2XAQY</v>
      </c>
      <c r="D361" s="13">
        <f>'2월'!D163</f>
        <v>45716</v>
      </c>
      <c r="E361" s="155" t="str">
        <f>'2월'!E163</f>
        <v>성공글로벌테크놀로지코리아</v>
      </c>
      <c r="F361" s="155" t="str">
        <f>'2월'!F163</f>
        <v>에이트랙</v>
      </c>
      <c r="G361" s="168" t="str">
        <f>'2월'!G163</f>
        <v>MA</v>
      </c>
      <c r="H361" s="156" t="str">
        <f>'2월'!H163</f>
        <v>월간-성공</v>
      </c>
      <c r="I361" s="69" t="str">
        <f>'2월'!I163</f>
        <v>한림대학교 추가 2월 유지정비료 - 20/20회</v>
      </c>
      <c r="J361" s="122">
        <f>'2월'!J163</f>
        <v>1</v>
      </c>
      <c r="K361" s="15">
        <f>'2월'!K163</f>
        <v>45600</v>
      </c>
      <c r="L361" s="16">
        <f>'2월'!L163</f>
        <v>45600</v>
      </c>
      <c r="M361" s="15">
        <f>'2월'!M163</f>
        <v>4560</v>
      </c>
      <c r="N361" s="15">
        <f>'2월'!N163</f>
        <v>50160</v>
      </c>
      <c r="O361" s="5" t="str">
        <f>'2월'!O163</f>
        <v>완료(4/30)</v>
      </c>
      <c r="P361" s="9" t="str">
        <f>'2월'!P163</f>
        <v>천범석</v>
      </c>
      <c r="Q361" s="5">
        <f>'2월'!Q163</f>
        <v>45716</v>
      </c>
      <c r="R361" s="209"/>
      <c r="U361" s="11"/>
      <c r="V361" s="8"/>
    </row>
    <row r="362" spans="1:22" ht="16.5" customHeight="1">
      <c r="A362" t="s">
        <v>64</v>
      </c>
      <c r="B362" s="10" t="str">
        <f>'2월'!B164</f>
        <v>SB-24041</v>
      </c>
      <c r="C362" s="12" t="str">
        <f>'2월'!C164</f>
        <v>ZNHTN1</v>
      </c>
      <c r="D362" s="13">
        <f>'2월'!D164</f>
        <v>45716</v>
      </c>
      <c r="E362" s="155" t="str">
        <f>'2월'!E164</f>
        <v>성공글로벌테크놀로지코리아</v>
      </c>
      <c r="F362" s="155" t="str">
        <f>'2월'!F164</f>
        <v>이비즈테크</v>
      </c>
      <c r="G362" s="168" t="str">
        <f>'2월'!G164</f>
        <v>MA</v>
      </c>
      <c r="H362" s="156" t="str">
        <f>'2월'!H164</f>
        <v>월간-성공</v>
      </c>
      <c r="I362" s="69" t="str">
        <f>'2월'!I164</f>
        <v>초록어린이재단 2월 유지정비료 - 8/12회</v>
      </c>
      <c r="J362" s="122">
        <f>'2월'!J164</f>
        <v>1</v>
      </c>
      <c r="K362" s="15">
        <f>'2월'!K164</f>
        <v>494903</v>
      </c>
      <c r="L362" s="16">
        <f>'2월'!L164</f>
        <v>494903</v>
      </c>
      <c r="M362" s="15">
        <f>'2월'!M164</f>
        <v>49490.3</v>
      </c>
      <c r="N362" s="15">
        <f>'2월'!N164</f>
        <v>544393.30000000005</v>
      </c>
      <c r="O362" s="5" t="str">
        <f>'2월'!O164</f>
        <v>완료(4/30)</v>
      </c>
      <c r="P362" s="9" t="str">
        <f>'2월'!P164</f>
        <v>천범석</v>
      </c>
      <c r="Q362" s="5">
        <f>'2월'!Q164</f>
        <v>45716</v>
      </c>
      <c r="R362" s="213"/>
      <c r="U362" s="216"/>
      <c r="V362" s="8"/>
    </row>
    <row r="363" spans="1:22" ht="16.5" customHeight="1">
      <c r="A363" t="s">
        <v>64</v>
      </c>
      <c r="B363" s="10" t="str">
        <f>'2월'!B165</f>
        <v>SB-23053</v>
      </c>
      <c r="C363" s="12" t="str">
        <f>'2월'!C165</f>
        <v>Z41QIW</v>
      </c>
      <c r="D363" s="13">
        <f>'2월'!D165</f>
        <v>45716</v>
      </c>
      <c r="E363" s="155" t="str">
        <f>'2월'!E165</f>
        <v>성공글로벌테크놀로지코리아</v>
      </c>
      <c r="F363" s="155" t="str">
        <f>'2월'!F165</f>
        <v>서원정보</v>
      </c>
      <c r="G363" s="168" t="str">
        <f>'2월'!G165</f>
        <v>MA</v>
      </c>
      <c r="H363" s="156" t="str">
        <f>'2월'!H165</f>
        <v>월간-성공</v>
      </c>
      <c r="I363" s="69" t="str">
        <f>'2월'!I165</f>
        <v>신세계 아이앤씨 2월 유지정비료 - 25/46회</v>
      </c>
      <c r="J363" s="122">
        <f>'2월'!J165</f>
        <v>1</v>
      </c>
      <c r="K363" s="15">
        <f>'2월'!K165</f>
        <v>3709756</v>
      </c>
      <c r="L363" s="16">
        <f>'2월'!L165</f>
        <v>3709756</v>
      </c>
      <c r="M363" s="15">
        <f>'2월'!M165</f>
        <v>370975</v>
      </c>
      <c r="N363" s="15">
        <f>'2월'!N165</f>
        <v>4080731</v>
      </c>
      <c r="O363" s="5" t="str">
        <f>'2월'!O165</f>
        <v>완료(4/30)</v>
      </c>
      <c r="P363" s="9" t="str">
        <f>'2월'!P165</f>
        <v>천범석</v>
      </c>
      <c r="Q363" s="5">
        <f>'2월'!Q165</f>
        <v>45716</v>
      </c>
      <c r="R363" s="209"/>
      <c r="U363" s="11"/>
      <c r="V363" s="8"/>
    </row>
    <row r="364" spans="1:22" ht="16.5" customHeight="1">
      <c r="A364" t="s">
        <v>64</v>
      </c>
      <c r="B364" s="10" t="str">
        <f>'2월'!B166</f>
        <v>SB-23051</v>
      </c>
      <c r="C364" s="12" t="str">
        <f>'2월'!C166</f>
        <v>ZCKGPP</v>
      </c>
      <c r="D364" s="13">
        <f>'2월'!D166</f>
        <v>45716</v>
      </c>
      <c r="E364" s="155" t="str">
        <f>'2월'!E166</f>
        <v>성공글로벌테크놀로지코리아</v>
      </c>
      <c r="F364" s="155" t="str">
        <f>'2월'!F166</f>
        <v>이너인포</v>
      </c>
      <c r="G364" s="156" t="str">
        <f>'2월'!G166</f>
        <v>MA</v>
      </c>
      <c r="H364" s="156" t="str">
        <f>'2월'!H166</f>
        <v>월간-성공</v>
      </c>
      <c r="I364" s="69" t="str">
        <f>'2월'!I166</f>
        <v>외교부 2월 유지정비료 - 9/12회</v>
      </c>
      <c r="J364" s="122">
        <f>'2월'!J166</f>
        <v>1</v>
      </c>
      <c r="K364" s="15">
        <f>'2월'!K166</f>
        <v>18000</v>
      </c>
      <c r="L364" s="16">
        <f>'2월'!L166</f>
        <v>18000</v>
      </c>
      <c r="M364" s="15">
        <f>'2월'!M166</f>
        <v>1800</v>
      </c>
      <c r="N364" s="15">
        <f>'2월'!N166</f>
        <v>19800</v>
      </c>
      <c r="O364" s="5" t="str">
        <f>'2월'!O166</f>
        <v>완료(4/30)</v>
      </c>
      <c r="P364" s="9" t="str">
        <f>'2월'!P166</f>
        <v>천범석</v>
      </c>
      <c r="Q364" s="5">
        <f>'2월'!Q166</f>
        <v>45195</v>
      </c>
      <c r="R364" s="209" t="str">
        <f>'2월'!R166</f>
        <v>매출연간</v>
      </c>
      <c r="U364" s="11"/>
      <c r="V364" s="8"/>
    </row>
    <row r="365" spans="1:22" ht="16.5" customHeight="1">
      <c r="A365" t="s">
        <v>64</v>
      </c>
      <c r="B365" s="10" t="str">
        <f>'2월'!B167</f>
        <v>SL-23046</v>
      </c>
      <c r="C365" s="12" t="str">
        <f>'2월'!C167</f>
        <v>ZY3SE4</v>
      </c>
      <c r="D365" s="13">
        <f>'2월'!D167</f>
        <v>45716</v>
      </c>
      <c r="E365" s="155" t="str">
        <f>'2월'!E167</f>
        <v>성공글로벌테크놀로지코리아</v>
      </c>
      <c r="F365" s="155" t="str">
        <f>'2월'!F167</f>
        <v>대유에이텍</v>
      </c>
      <c r="G365" s="156" t="str">
        <f>'2월'!G167</f>
        <v>MA</v>
      </c>
      <c r="H365" s="156" t="str">
        <f>'2월'!H167</f>
        <v>월간-성공</v>
      </c>
      <c r="I365" s="69" t="str">
        <f>'2월'!I167</f>
        <v>2월 유지정비료 - 15/18회</v>
      </c>
      <c r="J365" s="122">
        <f>'2월'!J167</f>
        <v>1</v>
      </c>
      <c r="K365" s="15">
        <f>'2월'!K167</f>
        <v>17220</v>
      </c>
      <c r="L365" s="16">
        <f>'2월'!L167</f>
        <v>17220</v>
      </c>
      <c r="M365" s="15">
        <f>'2월'!M167</f>
        <v>1722</v>
      </c>
      <c r="N365" s="15">
        <f>'2월'!N167</f>
        <v>18942</v>
      </c>
      <c r="O365" s="5" t="str">
        <f>'2월'!O167</f>
        <v>완료(4/30)</v>
      </c>
      <c r="P365" s="9" t="str">
        <f>'2월'!P167</f>
        <v>천범석</v>
      </c>
      <c r="Q365" s="5">
        <f>'2월'!Q167</f>
        <v>45261</v>
      </c>
      <c r="R365" s="209" t="str">
        <f>'2월'!R167</f>
        <v>매출연간</v>
      </c>
    </row>
    <row r="366" spans="1:22" ht="16.5" customHeight="1">
      <c r="A366" t="s">
        <v>64</v>
      </c>
      <c r="B366" s="10" t="str">
        <f>'2월'!B168</f>
        <v>SB-23064</v>
      </c>
      <c r="C366" s="12" t="str">
        <f>'2월'!C168</f>
        <v>ZCQQRT</v>
      </c>
      <c r="D366" s="13">
        <f>'2월'!D168</f>
        <v>45716</v>
      </c>
      <c r="E366" s="155" t="str">
        <f>'2월'!E168</f>
        <v>성공글로벌테크놀로지코리아</v>
      </c>
      <c r="F366" s="155" t="str">
        <f>'2월'!F168</f>
        <v xml:space="preserve">EDP </v>
      </c>
      <c r="G366" s="168" t="str">
        <f>'2월'!G168</f>
        <v>MA</v>
      </c>
      <c r="H366" s="156" t="str">
        <f>'2월'!H168</f>
        <v>월간-성공</v>
      </c>
      <c r="I366" s="69" t="str">
        <f>'2월'!I168</f>
        <v>코클리어 2월 유지정비료 - 11/30회</v>
      </c>
      <c r="J366" s="122">
        <f>'2월'!J168</f>
        <v>1</v>
      </c>
      <c r="K366" s="15">
        <f>'2월'!K168</f>
        <v>90000</v>
      </c>
      <c r="L366" s="16">
        <f>'2월'!L168</f>
        <v>90000</v>
      </c>
      <c r="M366" s="15">
        <f>'2월'!M168</f>
        <v>9000</v>
      </c>
      <c r="N366" s="15">
        <f>'2월'!N168</f>
        <v>99000</v>
      </c>
      <c r="O366" s="5" t="str">
        <f>'2월'!O168</f>
        <v>완료(4/30)</v>
      </c>
      <c r="P366" s="9" t="str">
        <f>'2월'!P168</f>
        <v>천범석</v>
      </c>
      <c r="Q366" s="5">
        <f>'2월'!Q168</f>
        <v>45278</v>
      </c>
      <c r="R366" s="209" t="str">
        <f>'2월'!R168</f>
        <v>매출연간</v>
      </c>
    </row>
    <row r="367" spans="1:22" ht="16.5" customHeight="1">
      <c r="A367" t="s">
        <v>64</v>
      </c>
      <c r="B367" s="10" t="str">
        <f>'2월'!B169</f>
        <v>SB-24009</v>
      </c>
      <c r="C367" s="12" t="str">
        <f>'2월'!C169</f>
        <v>Z0PYQC</v>
      </c>
      <c r="D367" s="13">
        <f>'2월'!D169</f>
        <v>45716</v>
      </c>
      <c r="E367" s="155" t="str">
        <f>'2월'!E169</f>
        <v>성공글로벌테크놀로지코리아</v>
      </c>
      <c r="F367" s="155" t="str">
        <f>'2월'!F169</f>
        <v>유알피</v>
      </c>
      <c r="G367" s="168" t="str">
        <f>'2월'!G169</f>
        <v>MA</v>
      </c>
      <c r="H367" s="156" t="str">
        <f>'2월'!H169</f>
        <v>월간-성공</v>
      </c>
      <c r="I367" s="69" t="str">
        <f>'2월'!I169</f>
        <v>서울디자인재단 2월유지정비료 - 2/12회</v>
      </c>
      <c r="J367" s="122">
        <f>'2월'!J169</f>
        <v>1</v>
      </c>
      <c r="K367" s="15">
        <f>'2월'!K169</f>
        <v>976200</v>
      </c>
      <c r="L367" s="16">
        <f>'2월'!L169</f>
        <v>976200</v>
      </c>
      <c r="M367" s="15">
        <f>'2월'!M169</f>
        <v>97620</v>
      </c>
      <c r="N367" s="15">
        <f>'2월'!N169</f>
        <v>1073820</v>
      </c>
      <c r="O367" s="5" t="str">
        <f>'2월'!O169</f>
        <v>완료(4/30)</v>
      </c>
      <c r="P367" s="9" t="str">
        <f>'2월'!P169</f>
        <v>천범석</v>
      </c>
      <c r="Q367" s="5">
        <f>'2월'!Q169</f>
        <v>45731</v>
      </c>
      <c r="R367" s="209"/>
    </row>
    <row r="368" spans="1:22" ht="16.5" customHeight="1">
      <c r="A368" t="s">
        <v>64</v>
      </c>
      <c r="B368" s="10" t="str">
        <f>'2월'!B170</f>
        <v>SB-24014</v>
      </c>
      <c r="C368" s="12" t="str">
        <f>'2월'!C170</f>
        <v>ZOWZ4O</v>
      </c>
      <c r="D368" s="13">
        <f>'2월'!D170</f>
        <v>45716</v>
      </c>
      <c r="E368" s="155" t="str">
        <f>'2월'!E170</f>
        <v>성공글로벌테크놀로지코리아</v>
      </c>
      <c r="F368" s="155" t="str">
        <f>'2월'!F170</f>
        <v>동행시네마</v>
      </c>
      <c r="G368" s="156" t="str">
        <f>'2월'!G170</f>
        <v>MA</v>
      </c>
      <c r="H368" s="156" t="str">
        <f>'2월'!H170</f>
        <v>월간-성공</v>
      </c>
      <c r="I368" s="69" t="str">
        <f>'2월'!I170</f>
        <v>안동CGV 2월 유지정비료 - 12/13회</v>
      </c>
      <c r="J368" s="122">
        <f>'2월'!J170</f>
        <v>1</v>
      </c>
      <c r="K368" s="15">
        <f>'2월'!K170</f>
        <v>41700</v>
      </c>
      <c r="L368" s="16">
        <f>'2월'!L170</f>
        <v>41700</v>
      </c>
      <c r="M368" s="15">
        <f>'2월'!M170</f>
        <v>4170</v>
      </c>
      <c r="N368" s="15">
        <f>'2월'!N170</f>
        <v>45870</v>
      </c>
      <c r="O368" s="5" t="str">
        <f>'2월'!O170</f>
        <v>완료(4/30)</v>
      </c>
      <c r="P368" s="9" t="str">
        <f>'2월'!P170</f>
        <v>천범석</v>
      </c>
      <c r="Q368" s="5">
        <f>'2월'!Q170</f>
        <v>45380</v>
      </c>
      <c r="R368" s="209" t="str">
        <f>'2월'!R170</f>
        <v>매출연간</v>
      </c>
    </row>
    <row r="369" spans="1:22" ht="16.5" customHeight="1">
      <c r="A369" t="s">
        <v>64</v>
      </c>
      <c r="B369" s="10" t="str">
        <f>'2월'!B171</f>
        <v>SB-24011</v>
      </c>
      <c r="C369" s="12" t="str">
        <f>'2월'!C171</f>
        <v>Z5PURB</v>
      </c>
      <c r="D369" s="13">
        <f>'2월'!D171</f>
        <v>45716</v>
      </c>
      <c r="E369" s="155" t="str">
        <f>'2월'!E171</f>
        <v>성공글로벌테크놀로지코리아</v>
      </c>
      <c r="F369" s="155" t="str">
        <f>'2월'!F171</f>
        <v>비온시이노베이터</v>
      </c>
      <c r="G369" s="168" t="str">
        <f>'2월'!G171</f>
        <v>MA</v>
      </c>
      <c r="H369" s="156" t="str">
        <f>'2월'!H171</f>
        <v>월간-성공</v>
      </c>
      <c r="I369" s="69" t="str">
        <f>'2월'!I171</f>
        <v>국립농업과학원 - 2월유지정비료 - 14/24회</v>
      </c>
      <c r="J369" s="122">
        <f>'2월'!J171</f>
        <v>1</v>
      </c>
      <c r="K369" s="15">
        <f>'2월'!K171</f>
        <v>511500</v>
      </c>
      <c r="L369" s="16">
        <f>'2월'!L171</f>
        <v>511500</v>
      </c>
      <c r="M369" s="15">
        <f>'2월'!M171</f>
        <v>51150</v>
      </c>
      <c r="N369" s="15">
        <f>'2월'!N171</f>
        <v>562650</v>
      </c>
      <c r="O369" s="5" t="str">
        <f>'2월'!O171</f>
        <v>완료(4/30)</v>
      </c>
      <c r="P369" s="9" t="str">
        <f>'2월'!P171</f>
        <v>천범석</v>
      </c>
      <c r="Q369" s="5">
        <f>'2월'!Q171</f>
        <v>45716</v>
      </c>
      <c r="R369" s="209"/>
    </row>
    <row r="370" spans="1:22" ht="16.5" customHeight="1">
      <c r="A370" t="s">
        <v>64</v>
      </c>
      <c r="B370" s="10" t="str">
        <f>'2월'!B172</f>
        <v>SB-24020</v>
      </c>
      <c r="C370" s="12" t="str">
        <f>'2월'!C172</f>
        <v>ZXFKMU</v>
      </c>
      <c r="D370" s="13">
        <f>'2월'!D172</f>
        <v>45716</v>
      </c>
      <c r="E370" s="155" t="str">
        <f>'2월'!E172</f>
        <v>성공글로벌테크놀로지코리아</v>
      </c>
      <c r="F370" s="155" t="str">
        <f>'2월'!F172</f>
        <v>이너엔</v>
      </c>
      <c r="G370" s="156" t="str">
        <f>'2월'!G172</f>
        <v>MA</v>
      </c>
      <c r="H370" s="156" t="str">
        <f>'2월'!H172</f>
        <v>월간-성공</v>
      </c>
      <c r="I370" s="69" t="str">
        <f>'2월'!I172</f>
        <v>태강대부 HW 2월유지정비료 - 12/12회</v>
      </c>
      <c r="J370" s="122">
        <f>'2월'!J172</f>
        <v>1</v>
      </c>
      <c r="K370" s="15">
        <f>'2월'!K172</f>
        <v>209700</v>
      </c>
      <c r="L370" s="16">
        <f>'2월'!L172</f>
        <v>209700</v>
      </c>
      <c r="M370" s="15">
        <f>'2월'!M172</f>
        <v>20970</v>
      </c>
      <c r="N370" s="15">
        <f>'2월'!N172</f>
        <v>230670</v>
      </c>
      <c r="O370" s="5" t="str">
        <f>'2월'!O172</f>
        <v>완료(4/30)</v>
      </c>
      <c r="P370" s="9" t="str">
        <f>'2월'!P172</f>
        <v>천범석</v>
      </c>
      <c r="Q370" s="5">
        <f>'2월'!Q172</f>
        <v>45356</v>
      </c>
      <c r="R370" s="209" t="str">
        <f>'2월'!R172</f>
        <v>매출연간</v>
      </c>
    </row>
    <row r="371" spans="1:22" ht="16.5" customHeight="1">
      <c r="A371" t="s">
        <v>64</v>
      </c>
      <c r="B371" s="10" t="str">
        <f>'2월'!B173</f>
        <v>SB-24019</v>
      </c>
      <c r="C371" s="12" t="str">
        <f>'2월'!C173</f>
        <v>ZNJIYM</v>
      </c>
      <c r="D371" s="13">
        <f>'2월'!D173</f>
        <v>45716</v>
      </c>
      <c r="E371" s="155" t="str">
        <f>'2월'!E173</f>
        <v>성공글로벌테크놀로지코리아</v>
      </c>
      <c r="F371" s="155" t="str">
        <f>'2월'!F173</f>
        <v>나우테크</v>
      </c>
      <c r="G371" s="156" t="str">
        <f>'2월'!G173</f>
        <v>MA</v>
      </c>
      <c r="H371" s="156" t="str">
        <f>'2월'!H173</f>
        <v>월간-성공</v>
      </c>
      <c r="I371" s="69" t="str">
        <f>'2월'!I173</f>
        <v>2월 유지정비료 - 13/16회</v>
      </c>
      <c r="J371" s="122">
        <f>'2월'!J173</f>
        <v>1</v>
      </c>
      <c r="K371" s="15">
        <f>'2월'!K173</f>
        <v>238300</v>
      </c>
      <c r="L371" s="16">
        <f>'2월'!L173</f>
        <v>238300</v>
      </c>
      <c r="M371" s="15">
        <f>'2월'!M173</f>
        <v>23830</v>
      </c>
      <c r="N371" s="15">
        <f>'2월'!N173</f>
        <v>262130</v>
      </c>
      <c r="O371" s="5" t="str">
        <f>'2월'!O173</f>
        <v>완료(4/30)</v>
      </c>
      <c r="P371" s="9" t="str">
        <f>'2월'!P173</f>
        <v>천범석</v>
      </c>
      <c r="Q371" s="5">
        <f>'2월'!Q173</f>
        <v>45357</v>
      </c>
      <c r="R371" s="209" t="str">
        <f>'2월'!R173</f>
        <v>매출연간</v>
      </c>
    </row>
    <row r="372" spans="1:22" ht="16.5" customHeight="1">
      <c r="A372" t="s">
        <v>64</v>
      </c>
      <c r="B372" s="10" t="str">
        <f>'2월'!B174</f>
        <v>SB-24021</v>
      </c>
      <c r="C372" s="12" t="str">
        <f>'2월'!C174</f>
        <v>ZZMCEX</v>
      </c>
      <c r="D372" s="13">
        <f>'2월'!D174</f>
        <v>45716</v>
      </c>
      <c r="E372" s="155" t="str">
        <f>'2월'!E174</f>
        <v>성공글로벌테크놀로지코리아</v>
      </c>
      <c r="F372" s="155" t="str">
        <f>'2월'!F174</f>
        <v>알에스아이티</v>
      </c>
      <c r="G372" s="156" t="str">
        <f>'2월'!G174</f>
        <v>MA</v>
      </c>
      <c r="H372" s="156" t="str">
        <f>'2월'!H174</f>
        <v>월간-성공</v>
      </c>
      <c r="I372" s="69" t="str">
        <f>'2월'!I174</f>
        <v>동국대학교 중앙도서관 2월 유지정비료 - 12/12회</v>
      </c>
      <c r="J372" s="122">
        <f>'2월'!J174</f>
        <v>1</v>
      </c>
      <c r="K372" s="15">
        <f>'2월'!K174</f>
        <v>159900</v>
      </c>
      <c r="L372" s="16">
        <f>'2월'!L174</f>
        <v>159900</v>
      </c>
      <c r="M372" s="15">
        <f>'2월'!M174</f>
        <v>15990</v>
      </c>
      <c r="N372" s="15">
        <f>'2월'!N174</f>
        <v>175890</v>
      </c>
      <c r="O372" s="5" t="str">
        <f>'2월'!O174</f>
        <v>완료(4/30)</v>
      </c>
      <c r="P372" s="9" t="str">
        <f>'2월'!P174</f>
        <v>천범석</v>
      </c>
      <c r="Q372" s="5">
        <f>'2월'!Q174</f>
        <v>45380</v>
      </c>
      <c r="R372" s="209" t="str">
        <f>'2월'!R174</f>
        <v>매출연간</v>
      </c>
    </row>
    <row r="373" spans="1:22" ht="16.5" customHeight="1">
      <c r="A373" t="s">
        <v>64</v>
      </c>
      <c r="B373" s="10" t="str">
        <f>'2월'!B175</f>
        <v>SB-24022</v>
      </c>
      <c r="C373" s="12" t="str">
        <f>'2월'!C175</f>
        <v>ZHXILC</v>
      </c>
      <c r="D373" s="13">
        <f>'2월'!D175</f>
        <v>45716</v>
      </c>
      <c r="E373" s="155" t="str">
        <f>'2월'!E175</f>
        <v>성공글로벌테크놀로지코리아</v>
      </c>
      <c r="F373" s="155" t="str">
        <f>'2월'!F175</f>
        <v>케이디엠디</v>
      </c>
      <c r="G373" s="156" t="str">
        <f>'2월'!G175</f>
        <v>MA</v>
      </c>
      <c r="H373" s="156" t="str">
        <f>'2월'!H175</f>
        <v>월간-성공</v>
      </c>
      <c r="I373" s="69" t="str">
        <f>'2월'!I175</f>
        <v>탑텍 2월 유지정비료 - 11/12회</v>
      </c>
      <c r="J373" s="122">
        <f>'2월'!J175</f>
        <v>1</v>
      </c>
      <c r="K373" s="15">
        <f>'2월'!K175</f>
        <v>111900</v>
      </c>
      <c r="L373" s="16">
        <f>'2월'!L175</f>
        <v>111900</v>
      </c>
      <c r="M373" s="15">
        <f>'2월'!M175</f>
        <v>11190</v>
      </c>
      <c r="N373" s="15">
        <f>'2월'!N175</f>
        <v>123090</v>
      </c>
      <c r="O373" s="5" t="str">
        <f>'2월'!O175</f>
        <v>완료(4/30)</v>
      </c>
      <c r="P373" s="9" t="str">
        <f>'2월'!P175</f>
        <v>천범석</v>
      </c>
      <c r="Q373" s="5">
        <f>'2월'!Q175</f>
        <v>45412</v>
      </c>
      <c r="R373" s="209" t="str">
        <f>'2월'!R175</f>
        <v>매출연간</v>
      </c>
      <c r="U373" s="11"/>
      <c r="V373" s="8"/>
    </row>
    <row r="374" spans="1:22" ht="16.5" customHeight="1">
      <c r="A374" t="s">
        <v>64</v>
      </c>
      <c r="B374" s="10" t="str">
        <f>'2월'!B176</f>
        <v>SB-24027</v>
      </c>
      <c r="C374" s="139" t="str">
        <f>'2월'!C176</f>
        <v>ZGTHWJ</v>
      </c>
      <c r="D374" s="13">
        <f>'2월'!D176</f>
        <v>45716</v>
      </c>
      <c r="E374" s="155" t="str">
        <f>'2월'!E176</f>
        <v>성공글로벌테크놀로지코리아</v>
      </c>
      <c r="F374" s="155" t="str">
        <f>'2월'!F176</f>
        <v>시스템본</v>
      </c>
      <c r="G374" s="156" t="str">
        <f>'2월'!G176</f>
        <v>MA</v>
      </c>
      <c r="H374" s="156" t="str">
        <f>'2월'!H176</f>
        <v>월간-성공</v>
      </c>
      <c r="I374" s="69" t="str">
        <f>'2월'!I176</f>
        <v>엘지유플러스(LG U+) 2월 유지정비료 - 15/37회</v>
      </c>
      <c r="J374" s="122">
        <f>'2월'!J176</f>
        <v>1</v>
      </c>
      <c r="K374" s="15">
        <f>'2월'!K176</f>
        <v>518541</v>
      </c>
      <c r="L374" s="16">
        <f>'2월'!L176</f>
        <v>518541</v>
      </c>
      <c r="M374" s="15">
        <f>'2월'!M176</f>
        <v>51854</v>
      </c>
      <c r="N374" s="15">
        <f>'2월'!N176</f>
        <v>570395</v>
      </c>
      <c r="O374" s="5" t="str">
        <f>'2월'!O176</f>
        <v>완료(4/30)</v>
      </c>
      <c r="P374" s="9" t="str">
        <f>'2월'!P176</f>
        <v>천범석</v>
      </c>
      <c r="Q374" s="5">
        <f>'2월'!Q176</f>
        <v>45716</v>
      </c>
      <c r="R374" s="209"/>
    </row>
    <row r="375" spans="1:22" ht="16.5" customHeight="1">
      <c r="A375" t="s">
        <v>64</v>
      </c>
      <c r="B375" s="10" t="str">
        <f>'2월'!B177</f>
        <v>SB-24034</v>
      </c>
      <c r="C375" s="224" t="str">
        <f>'2월'!C177</f>
        <v>Z11I89</v>
      </c>
      <c r="D375" s="13">
        <f>'2월'!D177</f>
        <v>45716</v>
      </c>
      <c r="E375" s="155" t="str">
        <f>'2월'!E177</f>
        <v>성공글로벌테크놀로지코리아</v>
      </c>
      <c r="F375" s="155" t="str">
        <f>'2월'!F177</f>
        <v>씨원시스템</v>
      </c>
      <c r="G375" s="168" t="str">
        <f>'2월'!G177</f>
        <v>MA</v>
      </c>
      <c r="H375" s="156" t="str">
        <f>'2월'!H177</f>
        <v>월간-성공</v>
      </c>
      <c r="I375" s="69" t="str">
        <f>'2월'!I177</f>
        <v>이녹스 2월 유지정비료 - 9/12회</v>
      </c>
      <c r="J375" s="122">
        <f>'2월'!J177</f>
        <v>1</v>
      </c>
      <c r="K375" s="15">
        <f>'2월'!K177</f>
        <v>249900</v>
      </c>
      <c r="L375" s="16">
        <f>'2월'!L177</f>
        <v>249900</v>
      </c>
      <c r="M375" s="15">
        <f>'2월'!M177</f>
        <v>24990</v>
      </c>
      <c r="N375" s="15">
        <f>'2월'!N177</f>
        <v>274890</v>
      </c>
      <c r="O375" s="5" t="str">
        <f>'2월'!O177</f>
        <v>완료(4/30)</v>
      </c>
      <c r="P375" s="9" t="str">
        <f>'2월'!P177</f>
        <v>천범석</v>
      </c>
      <c r="Q375" s="5">
        <f>'2월'!Q177</f>
        <v>45716</v>
      </c>
      <c r="R375" s="209"/>
      <c r="U375" s="11"/>
      <c r="V375" s="8"/>
    </row>
    <row r="376" spans="1:22" ht="16.5" customHeight="1">
      <c r="A376" t="s">
        <v>64</v>
      </c>
      <c r="B376" s="10" t="str">
        <f>'2월'!B178</f>
        <v>SB-24035</v>
      </c>
      <c r="C376" s="12" t="str">
        <f>'2월'!C178</f>
        <v>ZU35CP</v>
      </c>
      <c r="D376" s="13">
        <f>'2월'!D178</f>
        <v>45716</v>
      </c>
      <c r="E376" s="155" t="str">
        <f>'2월'!E178</f>
        <v>성공글로벌테크놀로지코리아</v>
      </c>
      <c r="F376" s="155" t="str">
        <f>'2월'!F178</f>
        <v>위니텍</v>
      </c>
      <c r="G376" s="156" t="str">
        <f>'2월'!G178</f>
        <v>MA</v>
      </c>
      <c r="H376" s="156" t="str">
        <f>'2월'!H178</f>
        <v>월간-성공</v>
      </c>
      <c r="I376" s="69" t="str">
        <f>'2월'!I178</f>
        <v>경북소방본부 2월 유지정비료 - 9/12회</v>
      </c>
      <c r="J376" s="122">
        <f>'2월'!J178</f>
        <v>1</v>
      </c>
      <c r="K376" s="15">
        <f>'2월'!K178</f>
        <v>111900</v>
      </c>
      <c r="L376" s="16">
        <f>'2월'!L178</f>
        <v>111900</v>
      </c>
      <c r="M376" s="15">
        <f>'2월'!M178</f>
        <v>11190</v>
      </c>
      <c r="N376" s="15">
        <f>'2월'!N178</f>
        <v>123090</v>
      </c>
      <c r="O376" s="5" t="str">
        <f>'2월'!O178</f>
        <v>완료(4/30)</v>
      </c>
      <c r="P376" s="9" t="str">
        <f>'2월'!P178</f>
        <v>천범석</v>
      </c>
      <c r="Q376" s="5">
        <f>'2월'!Q178</f>
        <v>45443</v>
      </c>
      <c r="R376" s="209" t="str">
        <f>'2월'!R178</f>
        <v>매출연간</v>
      </c>
    </row>
    <row r="377" spans="1:22" ht="16.5" customHeight="1">
      <c r="A377" t="s">
        <v>64</v>
      </c>
      <c r="B377" s="10" t="str">
        <f>'2월'!B179</f>
        <v>SB-24028</v>
      </c>
      <c r="C377" s="12" t="str">
        <f>'2월'!C179</f>
        <v>ZCX0IZ</v>
      </c>
      <c r="D377" s="13">
        <f>'2월'!D179</f>
        <v>45716</v>
      </c>
      <c r="E377" s="155" t="str">
        <f>'2월'!E179</f>
        <v>성공글로벌테크놀로지코리아</v>
      </c>
      <c r="F377" s="155" t="str">
        <f>'2월'!F179</f>
        <v>다솜테크</v>
      </c>
      <c r="G377" s="156" t="str">
        <f>'2월'!G179</f>
        <v>MA</v>
      </c>
      <c r="H377" s="156" t="str">
        <f>'2월'!H179</f>
        <v>월간-성공</v>
      </c>
      <c r="I377" s="69" t="str">
        <f>'2월'!I179</f>
        <v>대한산업보건협회 2월 유지정비료 - 10/12회</v>
      </c>
      <c r="J377" s="122">
        <f>'2월'!J179</f>
        <v>1</v>
      </c>
      <c r="K377" s="15">
        <f>'2월'!K179</f>
        <v>243955</v>
      </c>
      <c r="L377" s="16">
        <f>'2월'!L179</f>
        <v>243955</v>
      </c>
      <c r="M377" s="15">
        <f>'2월'!M179</f>
        <v>24395</v>
      </c>
      <c r="N377" s="15">
        <f>'2월'!N179</f>
        <v>268350</v>
      </c>
      <c r="O377" s="5" t="str">
        <f>'2월'!O179</f>
        <v>완료(4/30)</v>
      </c>
      <c r="P377" s="9" t="str">
        <f>'2월'!P179</f>
        <v>천범석</v>
      </c>
      <c r="Q377" s="5">
        <f>'2월'!Q179</f>
        <v>45716</v>
      </c>
      <c r="R377" s="209"/>
    </row>
    <row r="378" spans="1:22" ht="16.5" customHeight="1">
      <c r="A378" t="s">
        <v>64</v>
      </c>
      <c r="B378" s="10" t="str">
        <f>'2월'!B180</f>
        <v>LI-24003</v>
      </c>
      <c r="C378" s="12" t="str">
        <f>'2월'!C180</f>
        <v>ZE7QNO</v>
      </c>
      <c r="D378" s="13">
        <f>'2월'!D180</f>
        <v>45716</v>
      </c>
      <c r="E378" s="155" t="str">
        <f>'2월'!E180</f>
        <v>성공글로벌테크놀로지코리아</v>
      </c>
      <c r="F378" s="155" t="str">
        <f>'2월'!F180</f>
        <v>지엔콤</v>
      </c>
      <c r="G378" s="156" t="str">
        <f>'2월'!G180</f>
        <v>MA</v>
      </c>
      <c r="H378" s="156" t="str">
        <f>'2월'!H180</f>
        <v>월간-성공</v>
      </c>
      <c r="I378" s="69" t="str">
        <f>'2월'!I180</f>
        <v>전주교육대학교 2월 유지정비료 - 12/12회</v>
      </c>
      <c r="J378" s="122">
        <f>'2월'!J180</f>
        <v>1</v>
      </c>
      <c r="K378" s="15">
        <f>'2월'!K180</f>
        <v>310500</v>
      </c>
      <c r="L378" s="16">
        <f>'2월'!L180</f>
        <v>310500</v>
      </c>
      <c r="M378" s="15">
        <f>'2월'!M180</f>
        <v>31050</v>
      </c>
      <c r="N378" s="15">
        <f>'2월'!N180</f>
        <v>341550</v>
      </c>
      <c r="O378" s="5" t="str">
        <f>'2월'!O180</f>
        <v>완료(4/30)</v>
      </c>
      <c r="P378" s="9" t="str">
        <f>'2월'!P180</f>
        <v>천범석</v>
      </c>
      <c r="Q378" s="5">
        <f>'2월'!Q180</f>
        <v>45716</v>
      </c>
      <c r="R378" s="209"/>
    </row>
    <row r="379" spans="1:22" ht="16.5" customHeight="1">
      <c r="A379" t="s">
        <v>64</v>
      </c>
      <c r="B379" s="10" t="str">
        <f>'2월'!B181</f>
        <v>SB-24031</v>
      </c>
      <c r="C379" s="12" t="str">
        <f>'2월'!C181</f>
        <v>ZKZDVZ</v>
      </c>
      <c r="D379" s="13">
        <f>'2월'!D181</f>
        <v>45716</v>
      </c>
      <c r="E379" s="155" t="str">
        <f>'2월'!E181</f>
        <v>성공글로벌테크놀로지코리아</v>
      </c>
      <c r="F379" s="155" t="str">
        <f>'2월'!F181</f>
        <v>데이타메트렉스</v>
      </c>
      <c r="G379" s="168" t="str">
        <f>'2월'!G181</f>
        <v>MA</v>
      </c>
      <c r="H379" s="156" t="str">
        <f>'2월'!H181</f>
        <v>월간-성공</v>
      </c>
      <c r="I379" s="69" t="str">
        <f>'2월'!I181</f>
        <v>롯데하이마트 2월 유지정비료 - 9/13회</v>
      </c>
      <c r="J379" s="122">
        <f>'2월'!J181</f>
        <v>1</v>
      </c>
      <c r="K379" s="15">
        <f>'2월'!K181</f>
        <v>604800</v>
      </c>
      <c r="L379" s="16">
        <f>'2월'!L181</f>
        <v>604800</v>
      </c>
      <c r="M379" s="15">
        <f>'2월'!M181</f>
        <v>60480</v>
      </c>
      <c r="N379" s="15">
        <f>'2월'!N181</f>
        <v>665280</v>
      </c>
      <c r="O379" s="5" t="str">
        <f>'2월'!O181</f>
        <v>완료(4/30)</v>
      </c>
      <c r="P379" s="9" t="str">
        <f>'2월'!P181</f>
        <v>천범석</v>
      </c>
      <c r="Q379" s="5">
        <f>'2월'!Q181</f>
        <v>45716</v>
      </c>
      <c r="R379" s="209"/>
    </row>
    <row r="380" spans="1:22" ht="16.5" customHeight="1">
      <c r="A380" t="s">
        <v>64</v>
      </c>
      <c r="B380" s="10" t="str">
        <f>'2월'!B182</f>
        <v>SB-24033</v>
      </c>
      <c r="C380" s="12" t="str">
        <f>'2월'!C182</f>
        <v>ZIU2XY</v>
      </c>
      <c r="D380" s="13">
        <f>'2월'!D182</f>
        <v>45716</v>
      </c>
      <c r="E380" s="155" t="str">
        <f>'2월'!E182</f>
        <v>성공글로벌테크놀로지코리아</v>
      </c>
      <c r="F380" s="155" t="str">
        <f>'2월'!F182</f>
        <v>EPD</v>
      </c>
      <c r="G380" s="168" t="str">
        <f>'2월'!G182</f>
        <v>MA</v>
      </c>
      <c r="H380" s="156" t="str">
        <f>'2월'!H182</f>
        <v>월간-성공</v>
      </c>
      <c r="I380" s="69" t="str">
        <f>'2월'!I182</f>
        <v>WPP 2월 유지정비료 - 10/11회</v>
      </c>
      <c r="J380" s="122">
        <f>'2월'!J182</f>
        <v>1</v>
      </c>
      <c r="K380" s="15">
        <f>'2월'!K182</f>
        <v>398400</v>
      </c>
      <c r="L380" s="16">
        <f>'2월'!L182</f>
        <v>398400</v>
      </c>
      <c r="M380" s="15">
        <f>'2월'!M182</f>
        <v>39840</v>
      </c>
      <c r="N380" s="15">
        <f>'2월'!N182</f>
        <v>438240</v>
      </c>
      <c r="O380" s="5" t="str">
        <f>'2월'!O182</f>
        <v>완료(4/30)</v>
      </c>
      <c r="P380" s="9" t="str">
        <f>'2월'!P182</f>
        <v>천범석</v>
      </c>
      <c r="Q380" s="5">
        <f>'2월'!Q182</f>
        <v>45414</v>
      </c>
      <c r="R380" s="209" t="str">
        <f>'2월'!R182</f>
        <v>매출연간</v>
      </c>
    </row>
    <row r="381" spans="1:22" ht="16.5" customHeight="1">
      <c r="A381" t="s">
        <v>64</v>
      </c>
      <c r="B381" s="10" t="str">
        <f>'2월'!B183</f>
        <v>SB-24037</v>
      </c>
      <c r="C381" s="12" t="str">
        <f>'2월'!C183</f>
        <v>ZAI7T4</v>
      </c>
      <c r="D381" s="13">
        <f>'2월'!D183</f>
        <v>45716</v>
      </c>
      <c r="E381" s="155" t="str">
        <f>'2월'!E183</f>
        <v>성공글로벌테크놀로지코리아</v>
      </c>
      <c r="F381" s="155" t="str">
        <f>'2월'!F183</f>
        <v>어보브반도체</v>
      </c>
      <c r="G381" s="156" t="str">
        <f>'2월'!G183</f>
        <v>MA</v>
      </c>
      <c r="H381" s="156" t="str">
        <f>'2월'!H183</f>
        <v>월간-성공</v>
      </c>
      <c r="I381" s="69" t="str">
        <f>'2월'!I183</f>
        <v>2월 유지정비료 - 9/13회</v>
      </c>
      <c r="J381" s="122">
        <f>'2월'!J183</f>
        <v>1</v>
      </c>
      <c r="K381" s="15">
        <f>'2월'!K183</f>
        <v>52200</v>
      </c>
      <c r="L381" s="16">
        <f>'2월'!L183</f>
        <v>52200</v>
      </c>
      <c r="M381" s="15">
        <f>'2월'!M183</f>
        <v>5220</v>
      </c>
      <c r="N381" s="15">
        <f>'2월'!N183</f>
        <v>57420</v>
      </c>
      <c r="O381" s="5" t="str">
        <f>'2월'!O183</f>
        <v>완료(4/30)</v>
      </c>
      <c r="P381" s="9" t="str">
        <f>'2월'!P183</f>
        <v>천범석</v>
      </c>
      <c r="Q381" s="5">
        <f>'2월'!Q183</f>
        <v>45471</v>
      </c>
      <c r="R381" s="209" t="str">
        <f>'2월'!R183</f>
        <v>매출연간</v>
      </c>
      <c r="U381" s="11"/>
      <c r="V381" s="8"/>
    </row>
    <row r="382" spans="1:22" ht="16.5" customHeight="1">
      <c r="A382" t="s">
        <v>64</v>
      </c>
      <c r="B382" s="10" t="str">
        <f>'2월'!B184</f>
        <v>SB-24032</v>
      </c>
      <c r="C382" s="12" t="str">
        <f>'2월'!C184</f>
        <v>ZI76N8</v>
      </c>
      <c r="D382" s="13">
        <f>'2월'!D184</f>
        <v>45716</v>
      </c>
      <c r="E382" s="155" t="str">
        <f>'2월'!E184</f>
        <v>성공글로벌테크놀로지코리아</v>
      </c>
      <c r="F382" s="155" t="str">
        <f>'2월'!F184</f>
        <v>씨티아이앤씨</v>
      </c>
      <c r="G382" s="156" t="str">
        <f>'2월'!G184</f>
        <v>MA</v>
      </c>
      <c r="H382" s="156" t="str">
        <f>'2월'!H184</f>
        <v>월간-성공</v>
      </c>
      <c r="I382" s="69" t="str">
        <f>'2월'!I184</f>
        <v>한림성심대학교 2월 유지정비료 14/14회</v>
      </c>
      <c r="J382" s="122">
        <f>'2월'!J184</f>
        <v>1</v>
      </c>
      <c r="K382" s="15">
        <f>'2월'!K184</f>
        <v>45600</v>
      </c>
      <c r="L382" s="16">
        <f>'2월'!L184</f>
        <v>45600</v>
      </c>
      <c r="M382" s="15">
        <f>'2월'!M184</f>
        <v>4560</v>
      </c>
      <c r="N382" s="15">
        <f>'2월'!N184</f>
        <v>50160</v>
      </c>
      <c r="O382" s="5" t="str">
        <f>'2월'!O184</f>
        <v>완료(4/30)</v>
      </c>
      <c r="P382" s="9" t="str">
        <f>'2월'!P184</f>
        <v>천범석</v>
      </c>
      <c r="Q382" s="5">
        <f>'2월'!Q184</f>
        <v>45412</v>
      </c>
      <c r="R382" s="209" t="str">
        <f>'2월'!R184</f>
        <v>매출연간</v>
      </c>
    </row>
    <row r="383" spans="1:22" ht="16.5" customHeight="1">
      <c r="A383" t="s">
        <v>64</v>
      </c>
      <c r="B383" s="10" t="str">
        <f>'2월'!B185</f>
        <v>SB-24032</v>
      </c>
      <c r="C383" s="12" t="str">
        <f>'2월'!C185</f>
        <v>ZNQ24V</v>
      </c>
      <c r="D383" s="13">
        <f>'2월'!D185</f>
        <v>45716</v>
      </c>
      <c r="E383" s="155" t="str">
        <f>'2월'!E185</f>
        <v>성공글로벌테크놀로지코리아</v>
      </c>
      <c r="F383" s="155" t="str">
        <f>'2월'!F185</f>
        <v>씨티아이앤씨</v>
      </c>
      <c r="G383" s="156" t="str">
        <f>'2월'!G185</f>
        <v>MA</v>
      </c>
      <c r="H383" s="156" t="str">
        <f>'2월'!H185</f>
        <v>월간-성공</v>
      </c>
      <c r="I383" s="69" t="str">
        <f>'2월'!I185</f>
        <v>한림성심대학교 2월 유지정비료 14/14회</v>
      </c>
      <c r="J383" s="122">
        <f>'2월'!J185</f>
        <v>1</v>
      </c>
      <c r="K383" s="15">
        <f>'2월'!K185</f>
        <v>153900</v>
      </c>
      <c r="L383" s="16">
        <f>'2월'!L185</f>
        <v>153900</v>
      </c>
      <c r="M383" s="15">
        <f>'2월'!M185</f>
        <v>15390</v>
      </c>
      <c r="N383" s="15">
        <f>'2월'!N185</f>
        <v>169290</v>
      </c>
      <c r="O383" s="5" t="str">
        <f>'2월'!O185</f>
        <v>완료(4/30)</v>
      </c>
      <c r="P383" s="9" t="str">
        <f>'2월'!P185</f>
        <v>천범석</v>
      </c>
      <c r="Q383" s="5">
        <f>'2월'!Q185</f>
        <v>45412</v>
      </c>
      <c r="R383" s="209" t="str">
        <f>'2월'!R185</f>
        <v>매출연간</v>
      </c>
    </row>
    <row r="384" spans="1:22" ht="16.5" customHeight="1">
      <c r="A384" t="s">
        <v>64</v>
      </c>
      <c r="B384" s="10" t="str">
        <f>'2월'!B186</f>
        <v>SB-24038</v>
      </c>
      <c r="C384" s="224" t="str">
        <f>'2월'!C186</f>
        <v>Z0OK1R</v>
      </c>
      <c r="D384" s="13">
        <f>'2월'!D186</f>
        <v>45716</v>
      </c>
      <c r="E384" s="155" t="str">
        <f>'2월'!E186</f>
        <v>성공글로벌테크놀로지코리아</v>
      </c>
      <c r="F384" s="155" t="str">
        <f>'2월'!F186</f>
        <v>삼정펄프</v>
      </c>
      <c r="G384" s="156" t="str">
        <f>'2월'!G186</f>
        <v>MA</v>
      </c>
      <c r="H384" s="156" t="str">
        <f>'2월'!H186</f>
        <v>월간-성공</v>
      </c>
      <c r="I384" s="69" t="str">
        <f>'2월'!I186</f>
        <v>2월 유지정비료 - 9/13회</v>
      </c>
      <c r="J384" s="122">
        <f>'2월'!J186</f>
        <v>1</v>
      </c>
      <c r="K384" s="15">
        <f>'2월'!K186</f>
        <v>170400</v>
      </c>
      <c r="L384" s="16">
        <f>'2월'!L186</f>
        <v>170400</v>
      </c>
      <c r="M384" s="15">
        <f>'2월'!M186</f>
        <v>17040</v>
      </c>
      <c r="N384" s="15">
        <f>'2월'!N186</f>
        <v>187440</v>
      </c>
      <c r="O384" s="5" t="str">
        <f>'2월'!O186</f>
        <v>완료(4/30)</v>
      </c>
      <c r="P384" s="9" t="str">
        <f>'2월'!P186</f>
        <v>천범석</v>
      </c>
      <c r="Q384" s="5">
        <f>'2월'!Q186</f>
        <v>45471</v>
      </c>
      <c r="R384" s="209" t="str">
        <f>'2월'!R186</f>
        <v>매출연간</v>
      </c>
      <c r="U384" s="11"/>
      <c r="V384" s="8"/>
    </row>
    <row r="385" spans="1:18" ht="16.5" customHeight="1">
      <c r="A385" t="s">
        <v>64</v>
      </c>
      <c r="B385" s="10" t="str">
        <f>'2월'!B187</f>
        <v>SB-24040</v>
      </c>
      <c r="C385" s="12" t="str">
        <f>'2월'!C187</f>
        <v>ZBJK3I</v>
      </c>
      <c r="D385" s="13">
        <f>'2월'!D187</f>
        <v>45716</v>
      </c>
      <c r="E385" s="155" t="str">
        <f>'2월'!E187</f>
        <v>성공글로벌테크놀로지코리아</v>
      </c>
      <c r="F385" s="155" t="str">
        <f>'2월'!F187</f>
        <v>도담솔루션</v>
      </c>
      <c r="G385" s="168" t="str">
        <f>'2월'!G187</f>
        <v>MA</v>
      </c>
      <c r="H385" s="156" t="str">
        <f>'2월'!H187</f>
        <v>월간-성공</v>
      </c>
      <c r="I385" s="69" t="str">
        <f>'2월'!I187</f>
        <v>호원대학교 2월 유지정비료 - 9/13회</v>
      </c>
      <c r="J385" s="122">
        <f>'2월'!J187</f>
        <v>1</v>
      </c>
      <c r="K385" s="15">
        <f>'2월'!K187</f>
        <v>101400</v>
      </c>
      <c r="L385" s="16">
        <f>'2월'!L187</f>
        <v>101400</v>
      </c>
      <c r="M385" s="15">
        <f>'2월'!M187</f>
        <v>10140</v>
      </c>
      <c r="N385" s="15">
        <f>'2월'!N187</f>
        <v>111540</v>
      </c>
      <c r="O385" s="5" t="str">
        <f>'2월'!O187</f>
        <v>완료(4/30)</v>
      </c>
      <c r="P385" s="9" t="str">
        <f>'2월'!P187</f>
        <v>천범석</v>
      </c>
      <c r="Q385" s="5">
        <f>'2월'!Q187</f>
        <v>45716</v>
      </c>
      <c r="R385" s="209"/>
    </row>
    <row r="386" spans="1:18" ht="16.5" customHeight="1">
      <c r="A386" t="s">
        <v>64</v>
      </c>
      <c r="B386" s="10" t="str">
        <f>'2월'!B188</f>
        <v>LI-24005</v>
      </c>
      <c r="C386" s="12" t="str">
        <f>'2월'!C188</f>
        <v>Z4ACEZ</v>
      </c>
      <c r="D386" s="13">
        <f>'2월'!D188</f>
        <v>45716</v>
      </c>
      <c r="E386" s="155" t="str">
        <f>'2월'!E188</f>
        <v>성공글로벌테크놀로지코리아</v>
      </c>
      <c r="F386" s="155" t="str">
        <f>'2월'!F188</f>
        <v>해안종합건축사사무소</v>
      </c>
      <c r="G386" s="156" t="str">
        <f>'2월'!G188</f>
        <v>MA</v>
      </c>
      <c r="H386" s="156" t="str">
        <f>'2월'!H188</f>
        <v>월간-성공</v>
      </c>
      <c r="I386" s="69" t="str">
        <f>'2월'!I188</f>
        <v>2월 유지정비료 - 9/12회</v>
      </c>
      <c r="J386" s="122">
        <f>'2월'!J188</f>
        <v>1</v>
      </c>
      <c r="K386" s="15">
        <f>'2월'!K188</f>
        <v>171600</v>
      </c>
      <c r="L386" s="16">
        <f>'2월'!L188</f>
        <v>171600</v>
      </c>
      <c r="M386" s="15">
        <f>'2월'!M188</f>
        <v>17160</v>
      </c>
      <c r="N386" s="15">
        <f>'2월'!N188</f>
        <v>188760</v>
      </c>
      <c r="O386" s="5" t="str">
        <f>'2월'!O188</f>
        <v>완료(4/30)</v>
      </c>
      <c r="P386" s="9" t="str">
        <f>'2월'!P188</f>
        <v>천범석</v>
      </c>
      <c r="Q386" s="5">
        <f>'2월'!Q188</f>
        <v>45689</v>
      </c>
      <c r="R386" s="209"/>
    </row>
    <row r="387" spans="1:18" ht="16.5" customHeight="1">
      <c r="A387" t="s">
        <v>64</v>
      </c>
      <c r="B387" s="10" t="str">
        <f>'2월'!B189</f>
        <v>SB-24039</v>
      </c>
      <c r="C387" s="12" t="str">
        <f>'2월'!C189</f>
        <v>ZZGBBZ</v>
      </c>
      <c r="D387" s="13">
        <f>'2월'!D189</f>
        <v>45716</v>
      </c>
      <c r="E387" s="155" t="str">
        <f>'2월'!E189</f>
        <v>성공글로벌테크놀로지코리아</v>
      </c>
      <c r="F387" s="155" t="str">
        <f>'2월'!F189</f>
        <v>한국디지털오디오방송</v>
      </c>
      <c r="G387" s="156" t="str">
        <f>'2월'!G189</f>
        <v>MA</v>
      </c>
      <c r="H387" s="156" t="str">
        <f>'2월'!H189</f>
        <v>월간-성공</v>
      </c>
      <c r="I387" s="69" t="str">
        <f>'2월'!I189</f>
        <v>2월유지정비료 - 8/12회</v>
      </c>
      <c r="J387" s="122">
        <f>'2월'!J189</f>
        <v>1</v>
      </c>
      <c r="K387" s="15">
        <f>'2월'!K189</f>
        <v>1120200</v>
      </c>
      <c r="L387" s="16">
        <f>'2월'!L189</f>
        <v>1120200</v>
      </c>
      <c r="M387" s="15">
        <f>'2월'!M189</f>
        <v>112020</v>
      </c>
      <c r="N387" s="15">
        <f>'2월'!N189</f>
        <v>1232220</v>
      </c>
      <c r="O387" s="5" t="str">
        <f>'2월'!O189</f>
        <v>완료(4/30)</v>
      </c>
      <c r="P387" s="9" t="str">
        <f>'2월'!P189</f>
        <v>천범석</v>
      </c>
      <c r="Q387" s="5">
        <f>'2월'!Q189</f>
        <v>45689</v>
      </c>
      <c r="R387" s="209"/>
    </row>
    <row r="388" spans="1:18" ht="16.5" customHeight="1">
      <c r="A388" t="s">
        <v>64</v>
      </c>
      <c r="B388" s="10" t="str">
        <f>'2월'!B190</f>
        <v>SB-24042</v>
      </c>
      <c r="C388" s="12" t="str">
        <f>'2월'!C190</f>
        <v>ZTME0P</v>
      </c>
      <c r="D388" s="13">
        <f>'2월'!D190</f>
        <v>45716</v>
      </c>
      <c r="E388" s="155" t="str">
        <f>'2월'!E190</f>
        <v>성공글로벌테크놀로지코리아</v>
      </c>
      <c r="F388" s="155" t="str">
        <f>'2월'!F190</f>
        <v>심플키</v>
      </c>
      <c r="G388" s="168" t="str">
        <f>'2월'!G190</f>
        <v>MA</v>
      </c>
      <c r="H388" s="156" t="str">
        <f>'2월'!H190</f>
        <v>월간-성공</v>
      </c>
      <c r="I388" s="69" t="str">
        <f>'2월'!I190</f>
        <v>티시스 2월 유지정비료 - 9/17회</v>
      </c>
      <c r="J388" s="122">
        <f>'2월'!J190</f>
        <v>1</v>
      </c>
      <c r="K388" s="15">
        <f>'2월'!K190</f>
        <v>1706400</v>
      </c>
      <c r="L388" s="16">
        <f>'2월'!L190</f>
        <v>1706400</v>
      </c>
      <c r="M388" s="15">
        <f>'2월'!M190</f>
        <v>170640</v>
      </c>
      <c r="N388" s="15">
        <f>'2월'!N190</f>
        <v>1877040</v>
      </c>
      <c r="O388" s="5" t="str">
        <f>'2월'!O190</f>
        <v>완료(4/30)</v>
      </c>
      <c r="P388" s="9" t="str">
        <f>'2월'!P190</f>
        <v>천범석</v>
      </c>
      <c r="Q388" s="5">
        <f>'2월'!Q190</f>
        <v>45658</v>
      </c>
      <c r="R388" s="209" t="str">
        <f>'2월'!R190</f>
        <v>매출분기</v>
      </c>
    </row>
    <row r="389" spans="1:18" ht="16.5" customHeight="1">
      <c r="A389" t="s">
        <v>64</v>
      </c>
      <c r="B389" s="10" t="str">
        <f>'2월'!B191</f>
        <v>SB-24043</v>
      </c>
      <c r="C389" s="12" t="str">
        <f>'2월'!C191</f>
        <v>ZSA1F0</v>
      </c>
      <c r="D389" s="13">
        <f>'2월'!D191</f>
        <v>45716</v>
      </c>
      <c r="E389" s="155" t="str">
        <f>'2월'!E191</f>
        <v>성공글로벌테크놀로지코리아</v>
      </c>
      <c r="F389" s="155" t="str">
        <f>'2월'!F191</f>
        <v>이룸에스앤앤</v>
      </c>
      <c r="G389" s="168" t="str">
        <f>'2월'!G191</f>
        <v>MA</v>
      </c>
      <c r="H389" s="156" t="str">
        <f>'2월'!H191</f>
        <v>월간-성공</v>
      </c>
      <c r="I389" s="69" t="str">
        <f>'2월'!I191</f>
        <v>DB생명 2월 유지정비료 - 8/9회</v>
      </c>
      <c r="J389" s="122">
        <f>'2월'!J191</f>
        <v>1</v>
      </c>
      <c r="K389" s="15">
        <f>'2월'!K191</f>
        <v>173400</v>
      </c>
      <c r="L389" s="16">
        <f>'2월'!L191</f>
        <v>173400</v>
      </c>
      <c r="M389" s="15">
        <f>'2월'!M191</f>
        <v>17340</v>
      </c>
      <c r="N389" s="15">
        <f>'2월'!N191</f>
        <v>190740</v>
      </c>
      <c r="O389" s="5" t="str">
        <f>'2월'!O191</f>
        <v>완료(4/30)</v>
      </c>
      <c r="P389" s="9" t="str">
        <f>'2월'!P191</f>
        <v>천범석</v>
      </c>
      <c r="Q389" s="5">
        <f>'2월'!Q191</f>
        <v>45489</v>
      </c>
      <c r="R389" s="213" t="str">
        <f>'2월'!R191</f>
        <v>매출연간</v>
      </c>
    </row>
    <row r="390" spans="1:18" ht="16.5" customHeight="1">
      <c r="A390" t="s">
        <v>64</v>
      </c>
      <c r="B390" s="10" t="str">
        <f>'2월'!B192</f>
        <v>SB-24044</v>
      </c>
      <c r="C390" s="12" t="str">
        <f>'2월'!C192</f>
        <v>ZSWUX2</v>
      </c>
      <c r="D390" s="13">
        <f>'2월'!D192</f>
        <v>45716</v>
      </c>
      <c r="E390" s="155" t="str">
        <f>'2월'!E192</f>
        <v>성공글로벌테크놀로지코리아</v>
      </c>
      <c r="F390" s="155" t="str">
        <f>'2월'!F192</f>
        <v>다솜테크</v>
      </c>
      <c r="G390" s="168" t="str">
        <f>'2월'!G192</f>
        <v>MA</v>
      </c>
      <c r="H390" s="156" t="str">
        <f>'2월'!H192</f>
        <v>월간-성공</v>
      </c>
      <c r="I390" s="69" t="str">
        <f>'2월'!I192</f>
        <v>LX홀딩스 2월 유지정비료 - 8/12회</v>
      </c>
      <c r="J390" s="122">
        <f>'2월'!J192</f>
        <v>1</v>
      </c>
      <c r="K390" s="15">
        <f>'2월'!K192</f>
        <v>505200</v>
      </c>
      <c r="L390" s="16">
        <f>'2월'!L192</f>
        <v>505200</v>
      </c>
      <c r="M390" s="15">
        <f>'2월'!M192</f>
        <v>50520</v>
      </c>
      <c r="N390" s="15">
        <f>'2월'!N192</f>
        <v>555720</v>
      </c>
      <c r="O390" s="5" t="str">
        <f>'2월'!O192</f>
        <v>완료(4/30)</v>
      </c>
      <c r="P390" s="177" t="str">
        <f>'2월'!P192</f>
        <v>천범석</v>
      </c>
      <c r="Q390" s="5">
        <f>'2월'!Q192</f>
        <v>45716</v>
      </c>
      <c r="R390" s="209"/>
    </row>
    <row r="391" spans="1:18" ht="16.5" customHeight="1">
      <c r="A391" t="s">
        <v>64</v>
      </c>
      <c r="B391" s="10" t="str">
        <f>'2월'!B193</f>
        <v>SL-24021</v>
      </c>
      <c r="C391" s="12" t="str">
        <f>'2월'!C193</f>
        <v>ZTNAYA</v>
      </c>
      <c r="D391" s="13">
        <f>'2월'!D193</f>
        <v>45716</v>
      </c>
      <c r="E391" s="155" t="str">
        <f>'2월'!E193</f>
        <v>성공글로벌테크놀로지코리아</v>
      </c>
      <c r="F391" s="155" t="str">
        <f>'2월'!F193</f>
        <v>씨티아이앤씨</v>
      </c>
      <c r="G391" s="156" t="str">
        <f>'2월'!G193</f>
        <v>MA</v>
      </c>
      <c r="H391" s="156" t="str">
        <f>'2월'!H193</f>
        <v>월간-성공</v>
      </c>
      <c r="I391" s="69" t="str">
        <f>'2월'!I193</f>
        <v>한우리아이티 HW 2월 유지정비료 - 7/13회</v>
      </c>
      <c r="J391" s="122">
        <f>'2월'!J193</f>
        <v>1</v>
      </c>
      <c r="K391" s="15">
        <f>'2월'!K193</f>
        <v>334800</v>
      </c>
      <c r="L391" s="16">
        <f>'2월'!L193</f>
        <v>334800</v>
      </c>
      <c r="M391" s="15">
        <f>'2월'!M193</f>
        <v>33480</v>
      </c>
      <c r="N391" s="15">
        <f>'2월'!N193</f>
        <v>368280</v>
      </c>
      <c r="O391" s="5" t="str">
        <f>'2월'!O193</f>
        <v>완료(4/30)</v>
      </c>
      <c r="P391" s="9" t="str">
        <f>'2월'!P193</f>
        <v>천범석</v>
      </c>
      <c r="Q391" s="5">
        <f>'2월'!Q193</f>
        <v>45504</v>
      </c>
      <c r="R391" s="209" t="str">
        <f>'2월'!R193</f>
        <v>매출연간</v>
      </c>
    </row>
    <row r="392" spans="1:18" ht="16.5" customHeight="1">
      <c r="A392" t="s">
        <v>64</v>
      </c>
      <c r="B392" s="10" t="str">
        <f>'2월'!B194</f>
        <v>SB-24046</v>
      </c>
      <c r="C392" s="12" t="str">
        <f>'2월'!C194</f>
        <v>Z8LTG0</v>
      </c>
      <c r="D392" s="13">
        <f>'2월'!D194</f>
        <v>45716</v>
      </c>
      <c r="E392" s="155" t="str">
        <f>'2월'!E194</f>
        <v>성공글로벌테크놀로지코리아</v>
      </c>
      <c r="F392" s="155" t="str">
        <f>'2월'!F194</f>
        <v>다솜테크</v>
      </c>
      <c r="G392" s="156" t="str">
        <f>'2월'!G194</f>
        <v>MA</v>
      </c>
      <c r="H392" s="156" t="str">
        <f>'2월'!H194</f>
        <v>월간-성공</v>
      </c>
      <c r="I392" s="69" t="str">
        <f>'2월'!I194</f>
        <v>웰컴저축은행 2월 유지정비료 - 7/12회</v>
      </c>
      <c r="J392" s="122">
        <f>'2월'!J194</f>
        <v>1</v>
      </c>
      <c r="K392" s="15">
        <f>'2월'!K194</f>
        <v>204600</v>
      </c>
      <c r="L392" s="16">
        <f>'2월'!L194</f>
        <v>204600</v>
      </c>
      <c r="M392" s="15">
        <f>'2월'!M194</f>
        <v>20460</v>
      </c>
      <c r="N392" s="15">
        <f>'2월'!N194</f>
        <v>225060</v>
      </c>
      <c r="O392" s="5" t="str">
        <f>'2월'!O194</f>
        <v>완료(4/30)</v>
      </c>
      <c r="P392" s="9" t="str">
        <f>'2월'!P194</f>
        <v>천범석</v>
      </c>
      <c r="Q392" s="5">
        <f>'2월'!Q194</f>
        <v>45716</v>
      </c>
      <c r="R392" s="209"/>
    </row>
    <row r="393" spans="1:18" ht="16.5" customHeight="1">
      <c r="A393" t="s">
        <v>64</v>
      </c>
      <c r="B393" s="10" t="str">
        <f>'2월'!B195</f>
        <v>SB-24047</v>
      </c>
      <c r="C393" s="12" t="str">
        <f>'2월'!C195</f>
        <v>ZPANSR</v>
      </c>
      <c r="D393" s="13">
        <f>'2월'!D195</f>
        <v>45716</v>
      </c>
      <c r="E393" s="155" t="str">
        <f>'2월'!E195</f>
        <v>성공글로벌테크놀로지코리아</v>
      </c>
      <c r="F393" s="155" t="str">
        <f>'2월'!F195</f>
        <v>현대종합금속</v>
      </c>
      <c r="G393" s="156" t="str">
        <f>'2월'!G195</f>
        <v>MA</v>
      </c>
      <c r="H393" s="156" t="str">
        <f>'2월'!H195</f>
        <v>월간-성공</v>
      </c>
      <c r="I393" s="69" t="str">
        <f>'2월'!I195</f>
        <v>2월 유지정비료 - 8/12회</v>
      </c>
      <c r="J393" s="122">
        <f>'2월'!J195</f>
        <v>1</v>
      </c>
      <c r="K393" s="15">
        <f>'2월'!K195</f>
        <v>499500</v>
      </c>
      <c r="L393" s="16">
        <f>'2월'!L195</f>
        <v>499500</v>
      </c>
      <c r="M393" s="15">
        <f>'2월'!M195</f>
        <v>49950</v>
      </c>
      <c r="N393" s="15">
        <f>'2월'!N195</f>
        <v>549450</v>
      </c>
      <c r="O393" s="5" t="str">
        <f>'2월'!O195</f>
        <v>완료(4/30)</v>
      </c>
      <c r="P393" s="9" t="str">
        <f>'2월'!P195</f>
        <v>천범석</v>
      </c>
      <c r="Q393" s="5">
        <f>'2월'!Q195</f>
        <v>45716</v>
      </c>
      <c r="R393" s="209"/>
    </row>
    <row r="394" spans="1:18" ht="16.5" customHeight="1">
      <c r="A394" t="s">
        <v>64</v>
      </c>
      <c r="B394" s="10" t="str">
        <f>'2월'!B196</f>
        <v>SB-24045</v>
      </c>
      <c r="C394" s="12" t="str">
        <f>'2월'!C196</f>
        <v>ZQJ1BB</v>
      </c>
      <c r="D394" s="13">
        <f>'2월'!D196</f>
        <v>45716</v>
      </c>
      <c r="E394" s="155" t="str">
        <f>'2월'!E196</f>
        <v>성공글로벌테크놀로지코리아</v>
      </c>
      <c r="F394" s="155" t="str">
        <f>'2월'!F196</f>
        <v>아이엘에스</v>
      </c>
      <c r="G394" s="156" t="str">
        <f>'2월'!G196</f>
        <v>MA</v>
      </c>
      <c r="H394" s="156" t="str">
        <f>'2월'!H196</f>
        <v>월간-성공</v>
      </c>
      <c r="I394" s="69" t="str">
        <f>'2월'!I196</f>
        <v>롯데홈쇼핑 2월 유지정비료 - 9/13회</v>
      </c>
      <c r="J394" s="122">
        <f>'2월'!J196</f>
        <v>1</v>
      </c>
      <c r="K394" s="15">
        <f>'2월'!K196</f>
        <v>251700</v>
      </c>
      <c r="L394" s="16">
        <f>'2월'!L196</f>
        <v>251700</v>
      </c>
      <c r="M394" s="15">
        <f>'2월'!M196</f>
        <v>25170</v>
      </c>
      <c r="N394" s="15">
        <f>'2월'!N196</f>
        <v>276870</v>
      </c>
      <c r="O394" s="5" t="str">
        <f>'2월'!O196</f>
        <v>완료(4/30)</v>
      </c>
      <c r="P394" s="9" t="str">
        <f>'2월'!P196</f>
        <v>천범석</v>
      </c>
      <c r="Q394" s="5">
        <f>'2월'!Q196</f>
        <v>45504</v>
      </c>
      <c r="R394" s="209" t="str">
        <f>'2월'!R196</f>
        <v>매출연간</v>
      </c>
    </row>
    <row r="395" spans="1:18" ht="16.5" customHeight="1">
      <c r="A395" t="s">
        <v>64</v>
      </c>
      <c r="B395" s="10" t="str">
        <f>'2월'!B197</f>
        <v>SB-24048</v>
      </c>
      <c r="C395" s="12" t="str">
        <f>'2월'!C197</f>
        <v>ZEKFHM</v>
      </c>
      <c r="D395" s="13">
        <f>'2월'!D197</f>
        <v>45716</v>
      </c>
      <c r="E395" s="155" t="str">
        <f>'2월'!E197</f>
        <v>성공글로벌테크놀로지코리아</v>
      </c>
      <c r="F395" s="155" t="str">
        <f>'2월'!F197</f>
        <v>에이트랙</v>
      </c>
      <c r="G395" s="156" t="str">
        <f>'2월'!G197</f>
        <v>MA</v>
      </c>
      <c r="H395" s="156" t="str">
        <f>'2월'!H197</f>
        <v>월간-성공</v>
      </c>
      <c r="I395" s="69" t="str">
        <f>'2월'!I197</f>
        <v>한림대 2월 유지정비료 - 6/6회</v>
      </c>
      <c r="J395" s="122">
        <f>'2월'!J197</f>
        <v>1</v>
      </c>
      <c r="K395" s="15">
        <f>'2월'!K197</f>
        <v>111600</v>
      </c>
      <c r="L395" s="16">
        <f>'2월'!L197</f>
        <v>111600</v>
      </c>
      <c r="M395" s="15">
        <f>'2월'!M197</f>
        <v>11160</v>
      </c>
      <c r="N395" s="15">
        <f>'2월'!N197</f>
        <v>122760</v>
      </c>
      <c r="O395" s="5" t="str">
        <f>'2월'!O197</f>
        <v>완료(4/30)</v>
      </c>
      <c r="P395" s="9" t="str">
        <f>'2월'!P197</f>
        <v>천범석</v>
      </c>
      <c r="Q395" s="5">
        <f>'2월'!Q197</f>
        <v>45590</v>
      </c>
      <c r="R395" s="209" t="str">
        <f>'2월'!R197</f>
        <v>매출연간</v>
      </c>
    </row>
    <row r="396" spans="1:18" ht="16.5" customHeight="1">
      <c r="A396" t="s">
        <v>64</v>
      </c>
      <c r="B396" s="10" t="str">
        <f>'2월'!B198</f>
        <v>LI-24009</v>
      </c>
      <c r="C396" s="12" t="str">
        <f>'2월'!C198</f>
        <v>ZMDFL5</v>
      </c>
      <c r="D396" s="13">
        <f>'2월'!D198</f>
        <v>45716</v>
      </c>
      <c r="E396" s="155" t="str">
        <f>'2월'!E198</f>
        <v>성공글로벌테크놀로지코리아</v>
      </c>
      <c r="F396" s="155" t="str">
        <f>'2월'!F198</f>
        <v>아이리스인포테크</v>
      </c>
      <c r="G396" s="156" t="str">
        <f>'2월'!G198</f>
        <v>MA</v>
      </c>
      <c r="H396" s="156" t="str">
        <f>'2월'!H198</f>
        <v>월간-성공</v>
      </c>
      <c r="I396" s="69" t="str">
        <f>'2월'!I198</f>
        <v>프레이저플레이스 2월 유지정비료 - 7/12회</v>
      </c>
      <c r="J396" s="122">
        <f>'2월'!J198</f>
        <v>1</v>
      </c>
      <c r="K396" s="15">
        <f>'2월'!K198</f>
        <v>276600</v>
      </c>
      <c r="L396" s="16">
        <f>'2월'!L198</f>
        <v>276600</v>
      </c>
      <c r="M396" s="15">
        <f>'2월'!M198</f>
        <v>27660</v>
      </c>
      <c r="N396" s="15">
        <f>'2월'!N198</f>
        <v>304260</v>
      </c>
      <c r="O396" s="5" t="str">
        <f>'2월'!O198</f>
        <v>완료(4/30)</v>
      </c>
      <c r="P396" s="9" t="str">
        <f>'2월'!P198</f>
        <v>천범석</v>
      </c>
      <c r="Q396" s="5">
        <f>'2월'!Q198</f>
        <v>45534</v>
      </c>
      <c r="R396" s="209" t="str">
        <f>'2월'!R198</f>
        <v>매출연간</v>
      </c>
    </row>
    <row r="397" spans="1:18" ht="16.5" customHeight="1">
      <c r="A397" t="s">
        <v>64</v>
      </c>
      <c r="B397" s="10" t="str">
        <f>'2월'!B199</f>
        <v>SB-24049</v>
      </c>
      <c r="C397" s="12" t="str">
        <f>'2월'!C199</f>
        <v>ZNUJRM</v>
      </c>
      <c r="D397" s="13">
        <f>'2월'!D199</f>
        <v>45716</v>
      </c>
      <c r="E397" s="155" t="str">
        <f>'2월'!E199</f>
        <v>성공글로벌테크놀로지코리아</v>
      </c>
      <c r="F397" s="155" t="str">
        <f>'2월'!F199</f>
        <v>아이엘에스</v>
      </c>
      <c r="G397" s="156" t="str">
        <f>'2월'!G199</f>
        <v>MA</v>
      </c>
      <c r="H397" s="156" t="str">
        <f>'2월'!H199</f>
        <v>월간-성공</v>
      </c>
      <c r="I397" s="69" t="str">
        <f>'2월'!I199</f>
        <v>2월 유지정비료 - 6/12회</v>
      </c>
      <c r="J397" s="122">
        <f>'2월'!J199</f>
        <v>1</v>
      </c>
      <c r="K397" s="15">
        <f>'2월'!K199</f>
        <v>226200</v>
      </c>
      <c r="L397" s="16">
        <f>'2월'!L199</f>
        <v>226200</v>
      </c>
      <c r="M397" s="15">
        <f>'2월'!M199</f>
        <v>22620</v>
      </c>
      <c r="N397" s="15">
        <f>'2월'!N199</f>
        <v>248820</v>
      </c>
      <c r="O397" s="5" t="str">
        <f>'2월'!O199</f>
        <v>완료(4/30)</v>
      </c>
      <c r="P397" s="9" t="str">
        <f>'2월'!P199</f>
        <v>천범석</v>
      </c>
      <c r="Q397" s="5">
        <f>'2월'!Q199</f>
        <v>45565</v>
      </c>
      <c r="R397" s="209" t="str">
        <f>'2월'!R199</f>
        <v>매출연간</v>
      </c>
    </row>
    <row r="398" spans="1:18" ht="16.5" customHeight="1">
      <c r="A398" t="s">
        <v>64</v>
      </c>
      <c r="B398" s="10" t="str">
        <f>'2월'!B200</f>
        <v>SB-24050</v>
      </c>
      <c r="C398" s="12" t="str">
        <f>'2월'!C200</f>
        <v>ZTHGTA</v>
      </c>
      <c r="D398" s="13">
        <f>'2월'!D200</f>
        <v>45716</v>
      </c>
      <c r="E398" s="155" t="str">
        <f>'2월'!E200</f>
        <v>성공글로벌테크놀로지코리아</v>
      </c>
      <c r="F398" s="155" t="str">
        <f>'2월'!F200</f>
        <v>조선해운</v>
      </c>
      <c r="G398" s="168" t="str">
        <f>'2월'!G200</f>
        <v>MA</v>
      </c>
      <c r="H398" s="156" t="str">
        <f>'2월'!H200</f>
        <v>월간-성공</v>
      </c>
      <c r="I398" s="69" t="str">
        <f>'2월'!I200</f>
        <v>2월 유지정비료 - 6/13회</v>
      </c>
      <c r="J398" s="122">
        <f>'2월'!J200</f>
        <v>1</v>
      </c>
      <c r="K398" s="15">
        <f>'2월'!K200</f>
        <v>78000</v>
      </c>
      <c r="L398" s="16">
        <f>'2월'!L200</f>
        <v>78000</v>
      </c>
      <c r="M398" s="15">
        <f>'2월'!M200</f>
        <v>7800</v>
      </c>
      <c r="N398" s="15">
        <f>'2월'!N200</f>
        <v>85800</v>
      </c>
      <c r="O398" s="5" t="str">
        <f>'2월'!O200</f>
        <v>완료(4/30)</v>
      </c>
      <c r="P398" s="9" t="str">
        <f>'2월'!P200</f>
        <v>천범석</v>
      </c>
      <c r="Q398" s="5">
        <f>'2월'!Q200</f>
        <v>45565</v>
      </c>
      <c r="R398" s="209" t="str">
        <f>'2월'!R200</f>
        <v>매출연간</v>
      </c>
    </row>
    <row r="399" spans="1:18" ht="16.5" customHeight="1">
      <c r="A399" t="s">
        <v>64</v>
      </c>
      <c r="B399" s="10" t="str">
        <f>'2월'!B201</f>
        <v>SB-24051</v>
      </c>
      <c r="C399" s="12" t="str">
        <f>'2월'!C201</f>
        <v>ZWMXXL</v>
      </c>
      <c r="D399" s="13">
        <f>'2월'!D201</f>
        <v>45716</v>
      </c>
      <c r="E399" s="155" t="str">
        <f>'2월'!E201</f>
        <v>성공글로벌테크놀로지코리아</v>
      </c>
      <c r="F399" s="155" t="str">
        <f>'2월'!F201</f>
        <v>지노스</v>
      </c>
      <c r="G399" s="168" t="str">
        <f>'2월'!G201</f>
        <v>MA</v>
      </c>
      <c r="H399" s="156" t="str">
        <f>'2월'!H201</f>
        <v>월간-성공</v>
      </c>
      <c r="I399" s="69" t="str">
        <f>'2월'!I201</f>
        <v>2월 유지정비료 - 5/15회</v>
      </c>
      <c r="J399" s="122">
        <f>'2월'!J201</f>
        <v>1</v>
      </c>
      <c r="K399" s="15">
        <f>'2월'!K201</f>
        <v>534900</v>
      </c>
      <c r="L399" s="16">
        <f>'2월'!L201</f>
        <v>534900</v>
      </c>
      <c r="M399" s="15">
        <f>'2월'!M201</f>
        <v>53490</v>
      </c>
      <c r="N399" s="15">
        <f>'2월'!N201</f>
        <v>588390</v>
      </c>
      <c r="O399" s="5" t="str">
        <f>'2월'!O201</f>
        <v>완료(4/30)</v>
      </c>
      <c r="P399" s="9" t="str">
        <f>'2월'!P201</f>
        <v>천범석</v>
      </c>
      <c r="Q399" s="5">
        <f>'2월'!Q201</f>
        <v>45560</v>
      </c>
      <c r="R399" s="209" t="str">
        <f>'2월'!R201</f>
        <v>매출연간</v>
      </c>
    </row>
    <row r="400" spans="1:18" ht="16.5" customHeight="1">
      <c r="A400" t="s">
        <v>64</v>
      </c>
      <c r="B400" s="10" t="str">
        <f>'2월'!B202</f>
        <v>SB-24052</v>
      </c>
      <c r="C400" s="12" t="str">
        <f>'2월'!C202</f>
        <v>ZUIU6G</v>
      </c>
      <c r="D400" s="13">
        <f>'2월'!D202</f>
        <v>45716</v>
      </c>
      <c r="E400" s="155" t="str">
        <f>'2월'!E202</f>
        <v>성공글로벌테크놀로지코리아</v>
      </c>
      <c r="F400" s="155" t="str">
        <f>'2월'!F202</f>
        <v>유티모스트아이엔에스</v>
      </c>
      <c r="G400" s="168" t="str">
        <f>'2월'!G202</f>
        <v>MA</v>
      </c>
      <c r="H400" s="156" t="str">
        <f>'2월'!H202</f>
        <v>월간-성공</v>
      </c>
      <c r="I400" s="69" t="str">
        <f>'2월'!I202</f>
        <v>삼성중공업 2월 유지정비료 - 6/16회</v>
      </c>
      <c r="J400" s="122">
        <f>'2월'!J202</f>
        <v>1</v>
      </c>
      <c r="K400" s="15">
        <f>'2월'!K202</f>
        <v>11892900</v>
      </c>
      <c r="L400" s="16">
        <f>'2월'!L202</f>
        <v>11892900</v>
      </c>
      <c r="M400" s="15">
        <f>'2월'!M202</f>
        <v>1189290</v>
      </c>
      <c r="N400" s="15">
        <f>'2월'!N202</f>
        <v>13082190</v>
      </c>
      <c r="O400" s="5" t="str">
        <f>'2월'!O202</f>
        <v>완료(4/30)</v>
      </c>
      <c r="P400" s="9" t="str">
        <f>'2월'!P202</f>
        <v>천범석</v>
      </c>
      <c r="Q400" s="5">
        <f>'2월'!Q202</f>
        <v>45716</v>
      </c>
      <c r="R400" s="209"/>
    </row>
    <row r="401" spans="1:18" ht="16.5" customHeight="1">
      <c r="A401" t="s">
        <v>64</v>
      </c>
      <c r="B401" s="10" t="str">
        <f>'2월'!B203</f>
        <v>SB-24058</v>
      </c>
      <c r="C401" s="12" t="str">
        <f>'2월'!C203</f>
        <v>ZM9LCT</v>
      </c>
      <c r="D401" s="13">
        <f>'2월'!D203</f>
        <v>45716</v>
      </c>
      <c r="E401" s="155" t="str">
        <f>'2월'!E203</f>
        <v>성공글로벌테크놀로지코리아</v>
      </c>
      <c r="F401" s="155" t="str">
        <f>'2월'!F203</f>
        <v>에이스기계</v>
      </c>
      <c r="G401" s="168" t="str">
        <f>'2월'!G203</f>
        <v>MA</v>
      </c>
      <c r="H401" s="156" t="str">
        <f>'2월'!H203</f>
        <v>월간-성공</v>
      </c>
      <c r="I401" s="69" t="str">
        <f>'2월'!I203</f>
        <v>2월 유지정비료 - 5/13회</v>
      </c>
      <c r="J401" s="122">
        <f>'2월'!J203</f>
        <v>1</v>
      </c>
      <c r="K401" s="15">
        <f>'2월'!K203</f>
        <v>48900</v>
      </c>
      <c r="L401" s="16">
        <f>'2월'!L203</f>
        <v>48900</v>
      </c>
      <c r="M401" s="15">
        <f>'2월'!M203</f>
        <v>4890</v>
      </c>
      <c r="N401" s="15">
        <f>'2월'!N203</f>
        <v>53790</v>
      </c>
      <c r="O401" s="5" t="str">
        <f>'2월'!O203</f>
        <v>완료(4/30)</v>
      </c>
      <c r="P401" s="9" t="str">
        <f>'2월'!P203</f>
        <v>천범석</v>
      </c>
      <c r="Q401" s="5">
        <f>'2월'!Q203</f>
        <v>45590</v>
      </c>
      <c r="R401" s="209" t="str">
        <f>'2월'!R203</f>
        <v>매출연간</v>
      </c>
    </row>
    <row r="402" spans="1:18" ht="16.5" customHeight="1">
      <c r="A402" t="s">
        <v>64</v>
      </c>
      <c r="B402" s="10" t="str">
        <f>'2월'!B204</f>
        <v>SB-24054</v>
      </c>
      <c r="C402" s="12" t="str">
        <f>'2월'!C204</f>
        <v>ZGYCOY</v>
      </c>
      <c r="D402" s="13">
        <f>'2월'!D204</f>
        <v>45716</v>
      </c>
      <c r="E402" s="155" t="str">
        <f>'2월'!E204</f>
        <v>성공글로벌테크놀로지코리아</v>
      </c>
      <c r="F402" s="155" t="str">
        <f>'2월'!F204</f>
        <v>지인아이티</v>
      </c>
      <c r="G402" s="168" t="str">
        <f>'2월'!G204</f>
        <v>MA</v>
      </c>
      <c r="H402" s="156" t="str">
        <f>'2월'!H204</f>
        <v>월간-성공</v>
      </c>
      <c r="I402" s="69" t="str">
        <f>'2월'!I204</f>
        <v>유아이티 2월 유지정비료 - 5/13회</v>
      </c>
      <c r="J402" s="122">
        <f>'2월'!J204</f>
        <v>1</v>
      </c>
      <c r="K402" s="15">
        <f>'2월'!K204</f>
        <v>306300</v>
      </c>
      <c r="L402" s="16">
        <f>'2월'!L204</f>
        <v>306300</v>
      </c>
      <c r="M402" s="15">
        <f>'2월'!M204</f>
        <v>30630</v>
      </c>
      <c r="N402" s="15">
        <f>'2월'!N204</f>
        <v>336930</v>
      </c>
      <c r="O402" s="5" t="str">
        <f>'2월'!O204</f>
        <v>완료(4/30)</v>
      </c>
      <c r="P402" s="9" t="str">
        <f>'2월'!P204</f>
        <v>천범석</v>
      </c>
      <c r="Q402" s="5">
        <f>'2월'!Q204</f>
        <v>45596</v>
      </c>
      <c r="R402" s="209" t="str">
        <f>'2월'!R204</f>
        <v>매출연간</v>
      </c>
    </row>
    <row r="403" spans="1:18" ht="16.5" customHeight="1">
      <c r="A403" t="s">
        <v>64</v>
      </c>
      <c r="B403" s="10" t="str">
        <f>'2월'!B205</f>
        <v>SB-24055</v>
      </c>
      <c r="C403" s="12" t="str">
        <f>'2월'!C205</f>
        <v>ZAXJCH</v>
      </c>
      <c r="D403" s="13">
        <f>'2월'!D205</f>
        <v>45716</v>
      </c>
      <c r="E403" s="155" t="str">
        <f>'2월'!E205</f>
        <v>성공글로벌테크놀로지코리아</v>
      </c>
      <c r="F403" s="155" t="str">
        <f>'2월'!F205</f>
        <v>이룸인프라</v>
      </c>
      <c r="G403" s="168" t="str">
        <f>'2월'!G205</f>
        <v>MA</v>
      </c>
      <c r="H403" s="156" t="str">
        <f>'2월'!H205</f>
        <v>월간-성공</v>
      </c>
      <c r="I403" s="69" t="str">
        <f>'2월'!I205</f>
        <v>포스코 2월 유지정비료 - 5/15회</v>
      </c>
      <c r="J403" s="122">
        <f>'2월'!J205</f>
        <v>1</v>
      </c>
      <c r="K403" s="15">
        <f>'2월'!K205</f>
        <v>655500</v>
      </c>
      <c r="L403" s="16">
        <f>'2월'!L205</f>
        <v>655500</v>
      </c>
      <c r="M403" s="15">
        <f>'2월'!M205</f>
        <v>65550</v>
      </c>
      <c r="N403" s="15">
        <f>'2월'!N205</f>
        <v>721050</v>
      </c>
      <c r="O403" s="5" t="str">
        <f>'2월'!O205</f>
        <v>완료(4/30)</v>
      </c>
      <c r="P403" s="9" t="str">
        <f>'2월'!P205</f>
        <v>천범석</v>
      </c>
      <c r="Q403" s="5">
        <f>'2월'!Q205</f>
        <v>45716</v>
      </c>
      <c r="R403" s="209"/>
    </row>
    <row r="404" spans="1:18" ht="16.5" customHeight="1">
      <c r="A404" t="s">
        <v>64</v>
      </c>
      <c r="B404" s="10" t="str">
        <f>'2월'!B206</f>
        <v>SB-24055</v>
      </c>
      <c r="C404" s="12" t="str">
        <f>'2월'!C206</f>
        <v>ZP1BPN</v>
      </c>
      <c r="D404" s="13">
        <f>'2월'!D206</f>
        <v>45716</v>
      </c>
      <c r="E404" s="155" t="str">
        <f>'2월'!E206</f>
        <v>성공글로벌테크놀로지코리아</v>
      </c>
      <c r="F404" s="155" t="str">
        <f>'2월'!F206</f>
        <v>이룸인프라</v>
      </c>
      <c r="G404" s="168" t="str">
        <f>'2월'!G206</f>
        <v>MA</v>
      </c>
      <c r="H404" s="156" t="str">
        <f>'2월'!H206</f>
        <v>월간-성공</v>
      </c>
      <c r="I404" s="69" t="str">
        <f>'2월'!I206</f>
        <v>포스코 2월 유지정비료 - 4/14회</v>
      </c>
      <c r="J404" s="122">
        <f>'2월'!J206</f>
        <v>1</v>
      </c>
      <c r="K404" s="15">
        <f>'2월'!K206</f>
        <v>1981200</v>
      </c>
      <c r="L404" s="16">
        <f>'2월'!L206</f>
        <v>1981200</v>
      </c>
      <c r="M404" s="15">
        <f>'2월'!M206</f>
        <v>198120</v>
      </c>
      <c r="N404" s="15">
        <f>'2월'!N206</f>
        <v>2179320</v>
      </c>
      <c r="O404" s="5" t="str">
        <f>'2월'!O206</f>
        <v>완료(4/30)</v>
      </c>
      <c r="P404" s="9" t="str">
        <f>'2월'!P206</f>
        <v>천범석</v>
      </c>
      <c r="Q404" s="5">
        <f>'2월'!Q206</f>
        <v>45716</v>
      </c>
      <c r="R404" s="209"/>
    </row>
    <row r="405" spans="1:18" ht="16.5" customHeight="1">
      <c r="A405" t="s">
        <v>64</v>
      </c>
      <c r="B405" s="10" t="str">
        <f>'2월'!B207</f>
        <v>SB-24053</v>
      </c>
      <c r="C405" s="12" t="str">
        <f>'2월'!C207</f>
        <v>Z5LOLW</v>
      </c>
      <c r="D405" s="13">
        <f>'2월'!D207</f>
        <v>45716</v>
      </c>
      <c r="E405" s="155" t="str">
        <f>'2월'!E207</f>
        <v>성공글로벌테크놀로지코리아</v>
      </c>
      <c r="F405" s="155" t="str">
        <f>'2월'!F207</f>
        <v>대한변협법학전문대학원평가위원회</v>
      </c>
      <c r="G405" s="168" t="str">
        <f>'2월'!G207</f>
        <v>MA</v>
      </c>
      <c r="H405" s="156" t="str">
        <f>'2월'!H207</f>
        <v>월간-성공</v>
      </c>
      <c r="I405" s="69" t="str">
        <f>'2월'!I207</f>
        <v>2월 유지정비료 - 1/12회</v>
      </c>
      <c r="J405" s="122">
        <f>'2월'!J207</f>
        <v>1</v>
      </c>
      <c r="K405" s="15">
        <f>'2월'!K207</f>
        <v>153900</v>
      </c>
      <c r="L405" s="16">
        <f>'2월'!L207</f>
        <v>153900</v>
      </c>
      <c r="M405" s="15">
        <f>'2월'!M207</f>
        <v>15390</v>
      </c>
      <c r="N405" s="15">
        <f>'2월'!N207</f>
        <v>169290</v>
      </c>
      <c r="O405" s="5" t="str">
        <f>'2월'!O207</f>
        <v>완료(4/30)</v>
      </c>
      <c r="P405" s="9" t="str">
        <f>'2월'!P207</f>
        <v>천범석</v>
      </c>
      <c r="Q405" s="5">
        <f>'2월'!Q207</f>
        <v>45588</v>
      </c>
      <c r="R405" s="209" t="str">
        <f>'2월'!R207</f>
        <v>매출연간</v>
      </c>
    </row>
    <row r="406" spans="1:18" ht="16.5" customHeight="1">
      <c r="A406" t="s">
        <v>64</v>
      </c>
      <c r="B406" s="10" t="str">
        <f>'2월'!B208</f>
        <v>SB-24059</v>
      </c>
      <c r="C406" s="12" t="str">
        <f>'2월'!C208</f>
        <v>ZISA1K</v>
      </c>
      <c r="D406" s="13">
        <f>'2월'!D208</f>
        <v>45716</v>
      </c>
      <c r="E406" s="155" t="str">
        <f>'2월'!E208</f>
        <v>성공글로벌테크놀로지코리아</v>
      </c>
      <c r="F406" s="155" t="str">
        <f>'2월'!F208</f>
        <v>유노스</v>
      </c>
      <c r="G406" s="168" t="str">
        <f>'2월'!G208</f>
        <v>MA</v>
      </c>
      <c r="H406" s="156" t="str">
        <f>'2월'!H208</f>
        <v>월간-성공</v>
      </c>
      <c r="I406" s="69" t="str">
        <f>'2월'!I208</f>
        <v>신성통상 2월 유지정비료 - 3/12회</v>
      </c>
      <c r="J406" s="122">
        <f>'2월'!J208</f>
        <v>1</v>
      </c>
      <c r="K406" s="15">
        <f>'2월'!K208</f>
        <v>277800</v>
      </c>
      <c r="L406" s="16">
        <f>'2월'!L208</f>
        <v>277800</v>
      </c>
      <c r="M406" s="15">
        <f>'2월'!M208</f>
        <v>27780</v>
      </c>
      <c r="N406" s="15">
        <f>'2월'!N208</f>
        <v>305580</v>
      </c>
      <c r="O406" s="5" t="str">
        <f>'2월'!O208</f>
        <v>완료(4/30)</v>
      </c>
      <c r="P406" s="9" t="str">
        <f>'2월'!P208</f>
        <v>천범석</v>
      </c>
      <c r="Q406" s="5">
        <f>'2월'!Q208</f>
        <v>45627</v>
      </c>
      <c r="R406" s="209" t="str">
        <f>'2월'!R208</f>
        <v>매출연간</v>
      </c>
    </row>
    <row r="407" spans="1:18" ht="16.5" customHeight="1">
      <c r="A407" t="s">
        <v>64</v>
      </c>
      <c r="B407" s="10" t="str">
        <f>'2월'!B209</f>
        <v>SB-24061</v>
      </c>
      <c r="C407" s="12" t="str">
        <f>'2월'!C209</f>
        <v>ZVVVON</v>
      </c>
      <c r="D407" s="13">
        <f>'2월'!D209</f>
        <v>45716</v>
      </c>
      <c r="E407" s="155" t="str">
        <f>'2월'!E209</f>
        <v>성공글로벌테크놀로지코리아</v>
      </c>
      <c r="F407" s="155" t="str">
        <f>'2월'!F209</f>
        <v>다솜테크</v>
      </c>
      <c r="G407" s="156" t="str">
        <f>'2월'!G209</f>
        <v>MA</v>
      </c>
      <c r="H407" s="156" t="str">
        <f>'2월'!H209</f>
        <v>월간-성공</v>
      </c>
      <c r="I407" s="69" t="str">
        <f>'2월'!I209</f>
        <v>롯데정보통신 2월 유지정비료 - 2/12회</v>
      </c>
      <c r="J407" s="122">
        <f>'2월'!J209</f>
        <v>1</v>
      </c>
      <c r="K407" s="15">
        <f>'2월'!K209</f>
        <v>661800</v>
      </c>
      <c r="L407" s="16">
        <f>'2월'!L209</f>
        <v>661800</v>
      </c>
      <c r="M407" s="16">
        <f>'2월'!M209</f>
        <v>66180</v>
      </c>
      <c r="N407" s="15">
        <f>'2월'!N209</f>
        <v>727980</v>
      </c>
      <c r="O407" s="5" t="str">
        <f>'2월'!O209</f>
        <v>완료(4/30)</v>
      </c>
      <c r="P407" s="9" t="str">
        <f>'2월'!P209</f>
        <v>천범석</v>
      </c>
      <c r="Q407" s="5">
        <f>'2월'!Q209</f>
        <v>45716</v>
      </c>
      <c r="R407" s="213"/>
    </row>
    <row r="408" spans="1:18" ht="16.5" customHeight="1">
      <c r="A408" t="s">
        <v>64</v>
      </c>
      <c r="B408" s="10" t="str">
        <f>'2월'!B210</f>
        <v>SB-24062</v>
      </c>
      <c r="C408" s="12" t="str">
        <f>'2월'!C210</f>
        <v>ZZM77T</v>
      </c>
      <c r="D408" s="13">
        <f>'2월'!D210</f>
        <v>45716</v>
      </c>
      <c r="E408" s="155" t="str">
        <f>'2월'!E210</f>
        <v>성공글로벌테크놀로지코리아</v>
      </c>
      <c r="F408" s="155" t="str">
        <f>'2월'!F210</f>
        <v>대유에이텍</v>
      </c>
      <c r="G408" s="156" t="str">
        <f>'2월'!G210</f>
        <v>MA</v>
      </c>
      <c r="H408" s="156" t="str">
        <f>'2월'!H210</f>
        <v>월간-성공</v>
      </c>
      <c r="I408" s="69" t="str">
        <f>'2월'!I210</f>
        <v>2월 유지정비료 - 3/18회</v>
      </c>
      <c r="J408" s="122">
        <f>'2월'!J210</f>
        <v>1</v>
      </c>
      <c r="K408" s="15">
        <f>'2월'!K210</f>
        <v>319200</v>
      </c>
      <c r="L408" s="16">
        <f>'2월'!L210</f>
        <v>319200</v>
      </c>
      <c r="M408" s="15">
        <f>'2월'!M210</f>
        <v>31920</v>
      </c>
      <c r="N408" s="15">
        <f>'2월'!N210</f>
        <v>351120</v>
      </c>
      <c r="O408" s="5" t="str">
        <f>'2월'!O210</f>
        <v>완료(4/30)</v>
      </c>
      <c r="P408" s="9" t="str">
        <f>'2월'!P210</f>
        <v>천범석</v>
      </c>
      <c r="Q408" s="5">
        <f>'2월'!Q210</f>
        <v>45645</v>
      </c>
      <c r="R408" s="209" t="str">
        <f>'2월'!R210</f>
        <v>매출연간</v>
      </c>
    </row>
    <row r="409" spans="1:18" ht="16.5" customHeight="1">
      <c r="A409" t="s">
        <v>64</v>
      </c>
      <c r="B409" s="10" t="str">
        <f>'2월'!B211</f>
        <v>SL-24028</v>
      </c>
      <c r="C409" s="12" t="str">
        <f>'2월'!C211</f>
        <v>ZJYUVJ</v>
      </c>
      <c r="D409" s="13">
        <f>'2월'!D211</f>
        <v>45716</v>
      </c>
      <c r="E409" s="155" t="str">
        <f>'2월'!E211</f>
        <v>성공글로벌테크놀로지코리아</v>
      </c>
      <c r="F409" s="155" t="str">
        <f>'2월'!F211</f>
        <v>온더레벨</v>
      </c>
      <c r="G409" s="156" t="str">
        <f>'2월'!G211</f>
        <v>MA</v>
      </c>
      <c r="H409" s="156" t="str">
        <f>'2월'!H211</f>
        <v>월간-성공</v>
      </c>
      <c r="I409" s="69" t="str">
        <f>'2월'!I211</f>
        <v>한우리아이티 2월 유지정비료 - 2/7회</v>
      </c>
      <c r="J409" s="122">
        <f>'2월'!J211</f>
        <v>1</v>
      </c>
      <c r="K409" s="15">
        <f>'2월'!K211</f>
        <v>97800</v>
      </c>
      <c r="L409" s="16">
        <f>'2월'!L211</f>
        <v>97800</v>
      </c>
      <c r="M409" s="16">
        <f>'2월'!M211</f>
        <v>9780</v>
      </c>
      <c r="N409" s="15">
        <f>'2월'!N211</f>
        <v>107580</v>
      </c>
      <c r="O409" s="5" t="str">
        <f>'2월'!O211</f>
        <v>완료(4/30)</v>
      </c>
      <c r="P409" s="9" t="str">
        <f>'2월'!P211</f>
        <v>천범석</v>
      </c>
      <c r="Q409" s="5">
        <f>'2월'!Q211</f>
        <v>45681</v>
      </c>
      <c r="R409" s="209" t="str">
        <f>'2월'!R211</f>
        <v>매출연간</v>
      </c>
    </row>
    <row r="410" spans="1:18" ht="16.5" customHeight="1">
      <c r="A410" t="s">
        <v>64</v>
      </c>
      <c r="B410" s="10" t="str">
        <f>'2월'!B212</f>
        <v>SB-24066</v>
      </c>
      <c r="C410" s="12" t="str">
        <f>'2월'!C212</f>
        <v>ZDSNDX</v>
      </c>
      <c r="D410" s="13">
        <f>'2월'!D212</f>
        <v>45716</v>
      </c>
      <c r="E410" s="155" t="str">
        <f>'2월'!E212</f>
        <v>성공글로벌테크놀로지코리아</v>
      </c>
      <c r="F410" s="155" t="str">
        <f>'2월'!F212</f>
        <v>이룸인프라</v>
      </c>
      <c r="G410" s="168" t="str">
        <f>'2월'!G212</f>
        <v>MA</v>
      </c>
      <c r="H410" s="156" t="str">
        <f>'2월'!H212</f>
        <v>월간-성공</v>
      </c>
      <c r="I410" s="69" t="str">
        <f>'2월'!I212</f>
        <v>중국광대은행 2월 유지정비료 - 3/12회</v>
      </c>
      <c r="J410" s="122">
        <f>'2월'!J212</f>
        <v>1</v>
      </c>
      <c r="K410" s="15">
        <f>'2월'!K212</f>
        <v>98100</v>
      </c>
      <c r="L410" s="16">
        <f>'2월'!L212</f>
        <v>98100</v>
      </c>
      <c r="M410" s="15">
        <f>'2월'!M212</f>
        <v>9810</v>
      </c>
      <c r="N410" s="15">
        <f>'2월'!N212</f>
        <v>107910</v>
      </c>
      <c r="O410" s="5" t="str">
        <f>'2월'!O212</f>
        <v>완료(4/30)</v>
      </c>
      <c r="P410" s="9" t="str">
        <f>'2월'!P212</f>
        <v>천범석</v>
      </c>
      <c r="Q410" s="5">
        <f>'2월'!Q212</f>
        <v>45659</v>
      </c>
      <c r="R410" s="209"/>
    </row>
    <row r="411" spans="1:18" ht="16.5" customHeight="1">
      <c r="A411" t="s">
        <v>64</v>
      </c>
      <c r="B411" s="10" t="str">
        <f>'2월'!B213</f>
        <v>SB-24065</v>
      </c>
      <c r="C411" s="12" t="str">
        <f>'2월'!C213</f>
        <v>ZDFIN7</v>
      </c>
      <c r="D411" s="13">
        <f>'2월'!D213</f>
        <v>45716</v>
      </c>
      <c r="E411" s="155" t="str">
        <f>'2월'!E213</f>
        <v>성공글로벌테크놀로지코리아</v>
      </c>
      <c r="F411" s="155" t="str">
        <f>'2월'!F213</f>
        <v>다솜테크</v>
      </c>
      <c r="G411" s="168" t="str">
        <f>'2월'!G213</f>
        <v>MA</v>
      </c>
      <c r="H411" s="156" t="str">
        <f>'2월'!H213</f>
        <v>월간-성공</v>
      </c>
      <c r="I411" s="69" t="str">
        <f>'2월'!I213</f>
        <v>안산시청 2월 유지정비료 - 2/24회</v>
      </c>
      <c r="J411" s="122">
        <f>'2월'!J213</f>
        <v>1</v>
      </c>
      <c r="K411" s="15">
        <f>'2월'!K213</f>
        <v>1196100</v>
      </c>
      <c r="L411" s="16">
        <f>'2월'!L213</f>
        <v>1196100</v>
      </c>
      <c r="M411" s="16">
        <f>'2월'!M213</f>
        <v>119610</v>
      </c>
      <c r="N411" s="15">
        <f>'2월'!N213</f>
        <v>1315710</v>
      </c>
      <c r="O411" s="5" t="str">
        <f>'2월'!O213</f>
        <v>완료(4/30)</v>
      </c>
      <c r="P411" s="9" t="str">
        <f>'2월'!P213</f>
        <v>천범석</v>
      </c>
      <c r="Q411" s="5">
        <f>'2월'!Q213</f>
        <v>45716</v>
      </c>
      <c r="R411" s="213"/>
    </row>
    <row r="412" spans="1:18" ht="16.5" customHeight="1">
      <c r="A412" t="s">
        <v>64</v>
      </c>
      <c r="B412" s="10" t="str">
        <f>'2월'!B214</f>
        <v>SL-24050</v>
      </c>
      <c r="C412" s="12" t="str">
        <f>'2월'!C214</f>
        <v>ZXFJNS</v>
      </c>
      <c r="D412" s="13">
        <f>'2월'!D214</f>
        <v>45716</v>
      </c>
      <c r="E412" s="155" t="str">
        <f>'2월'!E214</f>
        <v>성공글로벌테크놀로지코리아</v>
      </c>
      <c r="F412" s="155" t="str">
        <f>'2월'!F214</f>
        <v>스마트에프앤디</v>
      </c>
      <c r="G412" s="168" t="str">
        <f>'2월'!G214</f>
        <v>MA</v>
      </c>
      <c r="H412" s="156" t="str">
        <f>'2월'!H214</f>
        <v>월간-성공</v>
      </c>
      <c r="I412" s="69" t="str">
        <f>'2월'!I214</f>
        <v>2월 유지정비료 - 2/13회</v>
      </c>
      <c r="J412" s="122">
        <f>'2월'!J214</f>
        <v>1</v>
      </c>
      <c r="K412" s="15">
        <f>'2월'!K214</f>
        <v>99900</v>
      </c>
      <c r="L412" s="16">
        <f>'2월'!L214</f>
        <v>99900</v>
      </c>
      <c r="M412" s="16">
        <f>'2월'!M214</f>
        <v>9990</v>
      </c>
      <c r="N412" s="15">
        <f>'2월'!N214</f>
        <v>109890</v>
      </c>
      <c r="O412" s="5" t="str">
        <f>'2월'!O214</f>
        <v>완료(4/30)</v>
      </c>
      <c r="P412" s="9" t="str">
        <f>'2월'!P214</f>
        <v>천범석</v>
      </c>
      <c r="Q412" s="5">
        <f>'2월'!Q214</f>
        <v>45661</v>
      </c>
      <c r="R412" s="209" t="str">
        <f>'2월'!R214</f>
        <v>매출연간</v>
      </c>
    </row>
    <row r="413" spans="1:18" ht="16.5" customHeight="1">
      <c r="A413" t="s">
        <v>64</v>
      </c>
      <c r="B413" s="10" t="str">
        <f>'2월'!B215</f>
        <v>SB-24064</v>
      </c>
      <c r="C413" s="12" t="str">
        <f>'2월'!C215</f>
        <v>ZOTN1N</v>
      </c>
      <c r="D413" s="13">
        <f>'2월'!D215</f>
        <v>45716</v>
      </c>
      <c r="E413" s="155" t="str">
        <f>'2월'!E215</f>
        <v>성공글로벌테크놀로지코리아</v>
      </c>
      <c r="F413" s="155" t="str">
        <f>'2월'!F215</f>
        <v>다솜테크</v>
      </c>
      <c r="G413" s="168" t="str">
        <f>'2월'!G215</f>
        <v>MA</v>
      </c>
      <c r="H413" s="156" t="str">
        <f>'2월'!H215</f>
        <v>월간-성공</v>
      </c>
      <c r="I413" s="69" t="str">
        <f>'2월'!I215</f>
        <v>이원(E1)컨테이너터미널 2월 유지정비료 2/12회</v>
      </c>
      <c r="J413" s="122">
        <f>'2월'!J215</f>
        <v>1</v>
      </c>
      <c r="K413" s="15">
        <f>'2월'!K215</f>
        <v>590400</v>
      </c>
      <c r="L413" s="16">
        <f>'2월'!L215</f>
        <v>590400</v>
      </c>
      <c r="M413" s="16">
        <f>'2월'!M215</f>
        <v>59040</v>
      </c>
      <c r="N413" s="15">
        <f>'2월'!N215</f>
        <v>649440</v>
      </c>
      <c r="O413" s="5" t="str">
        <f>'2월'!O215</f>
        <v>완료(4/30)</v>
      </c>
      <c r="P413" s="9" t="str">
        <f>'2월'!P215</f>
        <v>천범석</v>
      </c>
      <c r="Q413" s="5">
        <f>'2월'!Q215</f>
        <v>45716</v>
      </c>
      <c r="R413" s="213"/>
    </row>
    <row r="414" spans="1:18" ht="16.5" customHeight="1">
      <c r="A414" t="s">
        <v>64</v>
      </c>
      <c r="B414" s="10" t="str">
        <f>'2월'!B216</f>
        <v>SB-24063</v>
      </c>
      <c r="C414" s="12" t="str">
        <f>'2월'!C216</f>
        <v>ZIR05U</v>
      </c>
      <c r="D414" s="13">
        <f>'2월'!D216</f>
        <v>45716</v>
      </c>
      <c r="E414" s="155" t="str">
        <f>'2월'!E216</f>
        <v>성공글로벌테크놀로지코리아</v>
      </c>
      <c r="F414" s="155" t="str">
        <f>'2월'!F216</f>
        <v>다솜테크</v>
      </c>
      <c r="G414" s="168" t="str">
        <f>'2월'!G216</f>
        <v>MA</v>
      </c>
      <c r="H414" s="156" t="str">
        <f>'2월'!H216</f>
        <v>월간-성공</v>
      </c>
      <c r="I414" s="69" t="str">
        <f>'2월'!I216</f>
        <v>이원(E1)컨테이너터미널 2월 유지정비료 - 2/12회</v>
      </c>
      <c r="J414" s="122">
        <f>'2월'!J216</f>
        <v>1</v>
      </c>
      <c r="K414" s="15">
        <f>'2월'!K216</f>
        <v>289800</v>
      </c>
      <c r="L414" s="16">
        <f>'2월'!L216</f>
        <v>289800</v>
      </c>
      <c r="M414" s="16">
        <f>'2월'!M216</f>
        <v>28980</v>
      </c>
      <c r="N414" s="15">
        <f>'2월'!N216</f>
        <v>318780</v>
      </c>
      <c r="O414" s="5" t="str">
        <f>'2월'!O216</f>
        <v>완료(4/30)</v>
      </c>
      <c r="P414" s="9" t="str">
        <f>'2월'!P216</f>
        <v>천범석</v>
      </c>
      <c r="Q414" s="5">
        <f>'2월'!Q216</f>
        <v>45716</v>
      </c>
      <c r="R414" s="213"/>
    </row>
    <row r="415" spans="1:18" ht="16.5" customHeight="1">
      <c r="A415" t="s">
        <v>64</v>
      </c>
      <c r="B415" s="10" t="str">
        <f>'2월'!B217</f>
        <v>SB-25009</v>
      </c>
      <c r="C415" s="12" t="str">
        <f>'2월'!C217</f>
        <v>ZPXA6W</v>
      </c>
      <c r="D415" s="13">
        <f>'2월'!D217</f>
        <v>45716</v>
      </c>
      <c r="E415" s="155" t="str">
        <f>'2월'!E217</f>
        <v>성공글로벌테크놀로지코리아</v>
      </c>
      <c r="F415" s="155" t="str">
        <f>'2월'!F217</f>
        <v>다올시스</v>
      </c>
      <c r="G415" s="168" t="str">
        <f>'2월'!G217</f>
        <v>MA</v>
      </c>
      <c r="H415" s="156" t="str">
        <f>'2월'!H217</f>
        <v>월간-성공</v>
      </c>
      <c r="I415" s="69" t="str">
        <f>'2월'!I217</f>
        <v>대동도어 2월(11~28일) 유지정비료 - 1/13회</v>
      </c>
      <c r="J415" s="122">
        <f>'2월'!J217</f>
        <v>1</v>
      </c>
      <c r="K415" s="15">
        <f>'2월'!K217</f>
        <v>99600</v>
      </c>
      <c r="L415" s="16">
        <f>'2월'!L217</f>
        <v>99600</v>
      </c>
      <c r="M415" s="15">
        <f>'2월'!M217</f>
        <v>9960</v>
      </c>
      <c r="N415" s="15">
        <f>'2월'!N217</f>
        <v>109560</v>
      </c>
      <c r="O415" s="5" t="str">
        <f>'2월'!O217</f>
        <v>완료(4/30)</v>
      </c>
      <c r="P415" s="9" t="str">
        <f>'2월'!P217</f>
        <v>천범석</v>
      </c>
      <c r="Q415" s="5">
        <f>'2월'!Q217</f>
        <v>45716</v>
      </c>
      <c r="R415" s="209" t="str">
        <f>'2월'!R217</f>
        <v>매출연간</v>
      </c>
    </row>
    <row r="416" spans="1:18" ht="16.5" customHeight="1">
      <c r="A416" t="s">
        <v>64</v>
      </c>
      <c r="B416" s="10" t="str">
        <f>'2월'!B218</f>
        <v>SB-25010</v>
      </c>
      <c r="C416" s="12" t="str">
        <f>'2월'!C218</f>
        <v>ZCXAPZ</v>
      </c>
      <c r="D416" s="13">
        <f>'2월'!D218</f>
        <v>45716</v>
      </c>
      <c r="E416" s="155" t="str">
        <f>'2월'!E218</f>
        <v>성공글로벌테크놀로지코리아</v>
      </c>
      <c r="F416" s="155" t="str">
        <f>'2월'!F218</f>
        <v>유티모스트아이엔에스</v>
      </c>
      <c r="G416" s="168" t="str">
        <f>'2월'!G218</f>
        <v>MA</v>
      </c>
      <c r="H416" s="156" t="str">
        <f>'2월'!H218</f>
        <v>월간-성공</v>
      </c>
      <c r="I416" s="69" t="str">
        <f>'2월'!I218</f>
        <v>메타넷디지털 25년 2월 - 11/21회</v>
      </c>
      <c r="J416" s="122">
        <f>'2월'!J218</f>
        <v>1</v>
      </c>
      <c r="K416" s="15">
        <f>'2월'!K218</f>
        <v>180600</v>
      </c>
      <c r="L416" s="16">
        <f>'2월'!L218</f>
        <v>180600</v>
      </c>
      <c r="M416" s="16">
        <f>'2월'!M218</f>
        <v>18060</v>
      </c>
      <c r="N416" s="15">
        <f>'2월'!N218</f>
        <v>198660</v>
      </c>
      <c r="O416" s="5" t="str">
        <f>'2월'!O218</f>
        <v>완료(4/30)</v>
      </c>
      <c r="P416" s="9" t="str">
        <f>'2월'!P218</f>
        <v>천범석</v>
      </c>
      <c r="Q416" s="5">
        <f>'2월'!Q218</f>
        <v>45716</v>
      </c>
      <c r="R416" s="213"/>
    </row>
    <row r="417" spans="1:18" ht="16.5" customHeight="1">
      <c r="A417" t="s">
        <v>64</v>
      </c>
      <c r="B417" s="10" t="str">
        <f>'2월'!B219</f>
        <v>SB-25011</v>
      </c>
      <c r="C417" s="12" t="str">
        <f>'2월'!C219</f>
        <v>ZJREZL</v>
      </c>
      <c r="D417" s="13">
        <f>'2월'!D219</f>
        <v>45716</v>
      </c>
      <c r="E417" s="155" t="str">
        <f>'2월'!E219</f>
        <v>성공글로벌테크놀로지코리아</v>
      </c>
      <c r="F417" s="155" t="str">
        <f>'2월'!F219</f>
        <v>이룸에스앤앤</v>
      </c>
      <c r="G417" s="168" t="str">
        <f>'2월'!G219</f>
        <v>MA</v>
      </c>
      <c r="H417" s="156" t="str">
        <f>'2월'!H219</f>
        <v>월간-성공</v>
      </c>
      <c r="I417" s="69" t="str">
        <f>'2월'!I219</f>
        <v>코리아미카사 25년 2월 유지정비료 - 14/25회</v>
      </c>
      <c r="J417" s="122">
        <f>'2월'!J219</f>
        <v>1</v>
      </c>
      <c r="K417" s="15">
        <f>'2월'!K219</f>
        <v>65700</v>
      </c>
      <c r="L417" s="16">
        <f>'2월'!L219</f>
        <v>65700</v>
      </c>
      <c r="M417" s="16">
        <f>'2월'!M219</f>
        <v>6570</v>
      </c>
      <c r="N417" s="15">
        <f>'2월'!N219</f>
        <v>72270</v>
      </c>
      <c r="O417" s="5" t="str">
        <f>'2월'!O219</f>
        <v>완료(4/30)</v>
      </c>
      <c r="P417" s="9" t="str">
        <f>'2월'!P219</f>
        <v>천범석</v>
      </c>
      <c r="Q417" s="5">
        <f>'2월'!Q219</f>
        <v>45700</v>
      </c>
      <c r="R417" s="213" t="str">
        <f>'2월'!R219</f>
        <v>매출연간</v>
      </c>
    </row>
    <row r="418" spans="1:18" ht="16.5" customHeight="1">
      <c r="A418" t="s">
        <v>64</v>
      </c>
      <c r="B418" s="10" t="str">
        <f>'2월'!B220</f>
        <v>SB-25013</v>
      </c>
      <c r="C418" s="12" t="str">
        <f>'2월'!C220</f>
        <v>ZL9ADS</v>
      </c>
      <c r="D418" s="13">
        <f>'2월'!D220</f>
        <v>45716</v>
      </c>
      <c r="E418" s="155" t="str">
        <f>'2월'!E220</f>
        <v>성공글로벌테크놀로지코리아</v>
      </c>
      <c r="F418" s="155" t="str">
        <f>'2월'!F220</f>
        <v>다솜테크</v>
      </c>
      <c r="G418" s="168" t="str">
        <f>'2월'!G220</f>
        <v>MA</v>
      </c>
      <c r="H418" s="156" t="str">
        <f>'2월'!H220</f>
        <v>월간-성공</v>
      </c>
      <c r="I418" s="69" t="str">
        <f>'2월'!I220</f>
        <v>LG AI 2월 유지정비료 - 2/12회</v>
      </c>
      <c r="J418" s="122">
        <f>'2월'!J220</f>
        <v>1</v>
      </c>
      <c r="K418" s="15">
        <f>'2월'!K220</f>
        <v>496800</v>
      </c>
      <c r="L418" s="16">
        <f>'2월'!L220</f>
        <v>496800</v>
      </c>
      <c r="M418" s="16">
        <f>'2월'!M220</f>
        <v>49680</v>
      </c>
      <c r="N418" s="15">
        <f>'2월'!N220</f>
        <v>546480</v>
      </c>
      <c r="O418" s="5" t="str">
        <f>'2월'!O220</f>
        <v>완료(4/30)</v>
      </c>
      <c r="P418" s="9" t="str">
        <f>'2월'!P220</f>
        <v>천범석</v>
      </c>
      <c r="Q418" s="5">
        <f>'2월'!Q220</f>
        <v>45716</v>
      </c>
      <c r="R418" s="213"/>
    </row>
    <row r="419" spans="1:18" ht="16.5" customHeight="1">
      <c r="A419" t="s">
        <v>64</v>
      </c>
      <c r="B419" s="10" t="str">
        <f>'2월'!B221</f>
        <v>SB-25014</v>
      </c>
      <c r="C419" s="12" t="str">
        <f>'2월'!C221</f>
        <v>ZAVPY3</v>
      </c>
      <c r="D419" s="13">
        <f>'2월'!D221</f>
        <v>45716</v>
      </c>
      <c r="E419" s="155" t="str">
        <f>'2월'!E221</f>
        <v>성공글로벌테크놀로지코리아</v>
      </c>
      <c r="F419" s="155" t="str">
        <f>'2월'!F221</f>
        <v>와이젠정보기술</v>
      </c>
      <c r="G419" s="168" t="str">
        <f>'2월'!G221</f>
        <v>MA</v>
      </c>
      <c r="H419" s="156" t="str">
        <f>'2월'!H221</f>
        <v>월간-성공</v>
      </c>
      <c r="I419" s="69" t="str">
        <f>'2월'!I221</f>
        <v>안국약품 2월 유지정비료 - 2/12회</v>
      </c>
      <c r="J419" s="122">
        <f>'2월'!J221</f>
        <v>1</v>
      </c>
      <c r="K419" s="15">
        <f>'2월'!K221</f>
        <v>1515900</v>
      </c>
      <c r="L419" s="16">
        <f>'2월'!L221</f>
        <v>1515900</v>
      </c>
      <c r="M419" s="16">
        <f>'2월'!M221</f>
        <v>151590</v>
      </c>
      <c r="N419" s="15">
        <f>'2월'!N221</f>
        <v>1667490</v>
      </c>
      <c r="O419" s="5" t="str">
        <f>'2월'!O221</f>
        <v>완료(4/30)</v>
      </c>
      <c r="P419" s="9" t="str">
        <f>'2월'!P221</f>
        <v>천범석</v>
      </c>
      <c r="Q419" s="5">
        <f>'2월'!Q221</f>
        <v>45716</v>
      </c>
      <c r="R419" s="213"/>
    </row>
    <row r="420" spans="1:18" ht="16.5" customHeight="1">
      <c r="A420" t="s">
        <v>64</v>
      </c>
      <c r="B420" s="10" t="str">
        <f>'2월'!B222</f>
        <v>SB-25001</v>
      </c>
      <c r="C420" s="12" t="str">
        <f>'2월'!C222</f>
        <v>ZXRZHC</v>
      </c>
      <c r="D420" s="13">
        <f>'2월'!D222</f>
        <v>45716</v>
      </c>
      <c r="E420" s="155" t="str">
        <f>'2월'!E222</f>
        <v>성공글로벌테크놀로지코리아</v>
      </c>
      <c r="F420" s="155" t="str">
        <f>'2월'!F222</f>
        <v>퓨처젠</v>
      </c>
      <c r="G420" s="168" t="str">
        <f>'2월'!G222</f>
        <v>MA</v>
      </c>
      <c r="H420" s="156" t="str">
        <f>'2월'!H222</f>
        <v>월간-성공</v>
      </c>
      <c r="I420" s="69" t="str">
        <f>'2월'!I222</f>
        <v>HB(에이치비)저축은행 2월 유지정비료 - 2/12회</v>
      </c>
      <c r="J420" s="122">
        <f>'2월'!J222</f>
        <v>1</v>
      </c>
      <c r="K420" s="15">
        <f>'2월'!K222</f>
        <v>820200</v>
      </c>
      <c r="L420" s="16">
        <f>'2월'!L222</f>
        <v>820200</v>
      </c>
      <c r="M420" s="16">
        <f>'2월'!M222</f>
        <v>82020</v>
      </c>
      <c r="N420" s="15">
        <f>'2월'!N222</f>
        <v>902220</v>
      </c>
      <c r="O420" s="5" t="str">
        <f>'2월'!O222</f>
        <v>완료(4/30)</v>
      </c>
      <c r="P420" s="9" t="str">
        <f>'2월'!P222</f>
        <v>천범석</v>
      </c>
      <c r="Q420" s="5">
        <f>'2월'!Q222</f>
        <v>45716</v>
      </c>
      <c r="R420" s="213"/>
    </row>
    <row r="421" spans="1:18" ht="16.5" customHeight="1">
      <c r="A421" t="s">
        <v>64</v>
      </c>
      <c r="B421" s="10" t="str">
        <f>'2월'!B223</f>
        <v>SB-25004</v>
      </c>
      <c r="C421" s="12" t="str">
        <f>'2월'!C223</f>
        <v>ZDCPQK</v>
      </c>
      <c r="D421" s="13">
        <f>'2월'!D223</f>
        <v>45716</v>
      </c>
      <c r="E421" s="155" t="str">
        <f>'2월'!E223</f>
        <v>성공글로벌테크놀로지코리아</v>
      </c>
      <c r="F421" s="155" t="str">
        <f>'2월'!F223</f>
        <v>솔리드이엔지</v>
      </c>
      <c r="G421" s="168" t="str">
        <f>'2월'!G223</f>
        <v>MA</v>
      </c>
      <c r="H421" s="156" t="str">
        <f>'2월'!H223</f>
        <v>월간-성공</v>
      </c>
      <c r="I421" s="69" t="str">
        <f>'2월'!I223</f>
        <v>삼성중공업 2월 유지정비료 - 2/12회</v>
      </c>
      <c r="J421" s="122">
        <f>'2월'!J223</f>
        <v>1</v>
      </c>
      <c r="K421" s="15">
        <f>'2월'!K223</f>
        <v>531600</v>
      </c>
      <c r="L421" s="16">
        <f>'2월'!L223</f>
        <v>531600</v>
      </c>
      <c r="M421" s="16">
        <f>'2월'!M223</f>
        <v>53160</v>
      </c>
      <c r="N421" s="15">
        <f>'2월'!N223</f>
        <v>584760</v>
      </c>
      <c r="O421" s="5" t="str">
        <f>'2월'!O223</f>
        <v>완료(4/30)</v>
      </c>
      <c r="P421" s="9" t="str">
        <f>'2월'!P223</f>
        <v>천범석</v>
      </c>
      <c r="Q421" s="5">
        <f>'2월'!Q223</f>
        <v>45716</v>
      </c>
      <c r="R421" s="213"/>
    </row>
    <row r="422" spans="1:18" ht="16.5" customHeight="1">
      <c r="A422" t="s">
        <v>64</v>
      </c>
      <c r="B422" s="10" t="str">
        <f>'2월'!B224</f>
        <v>SB-25005</v>
      </c>
      <c r="C422" s="12" t="str">
        <f>'2월'!C224</f>
        <v>ZSUEIX</v>
      </c>
      <c r="D422" s="13">
        <f>'2월'!D224</f>
        <v>45716</v>
      </c>
      <c r="E422" s="155" t="str">
        <f>'2월'!E224</f>
        <v>성공글로벌테크놀로지코리아</v>
      </c>
      <c r="F422" s="155" t="str">
        <f>'2월'!F224</f>
        <v>제이엔테크놀러지</v>
      </c>
      <c r="G422" s="168" t="str">
        <f>'2월'!G224</f>
        <v>MA</v>
      </c>
      <c r="H422" s="156" t="str">
        <f>'2월'!H224</f>
        <v>월간-성공</v>
      </c>
      <c r="I422" s="69" t="str">
        <f>'2월'!I224</f>
        <v>SK실트론 2월 유지정비료 2/12회</v>
      </c>
      <c r="J422" s="122">
        <f>'2월'!J224</f>
        <v>1</v>
      </c>
      <c r="K422" s="15">
        <f>'2월'!K224</f>
        <v>502800</v>
      </c>
      <c r="L422" s="16">
        <f>'2월'!L224</f>
        <v>502800</v>
      </c>
      <c r="M422" s="16">
        <f>'2월'!M224</f>
        <v>50280</v>
      </c>
      <c r="N422" s="15">
        <f>'2월'!N224</f>
        <v>553080</v>
      </c>
      <c r="O422" s="5" t="str">
        <f>'2월'!O224</f>
        <v>완료(4/30)</v>
      </c>
      <c r="P422" s="9" t="str">
        <f>'2월'!P224</f>
        <v>천범석</v>
      </c>
      <c r="Q422" s="5">
        <f>'2월'!Q224</f>
        <v>45716</v>
      </c>
      <c r="R422" s="213"/>
    </row>
    <row r="423" spans="1:18" ht="16.5" customHeight="1">
      <c r="A423" t="s">
        <v>64</v>
      </c>
      <c r="B423" s="10" t="str">
        <f>'2월'!B225</f>
        <v>SM-25003</v>
      </c>
      <c r="C423" s="12" t="str">
        <f>'2월'!C225</f>
        <v>ZZ6BIS</v>
      </c>
      <c r="D423" s="13">
        <f>'2월'!D225</f>
        <v>45716</v>
      </c>
      <c r="E423" s="155" t="str">
        <f>'2월'!E225</f>
        <v>성공글로벌테크놀로지코리아</v>
      </c>
      <c r="F423" s="155" t="str">
        <f>'2월'!F225</f>
        <v>씨제이 씨지브이 통합</v>
      </c>
      <c r="G423" s="168" t="str">
        <f>'2월'!G225</f>
        <v>MA</v>
      </c>
      <c r="H423" s="156" t="str">
        <f>'2월'!H225</f>
        <v>월간-성공</v>
      </c>
      <c r="I423" s="69" t="str">
        <f>'2월'!I225</f>
        <v>2월 유지정비료 - 2/12회</v>
      </c>
      <c r="J423" s="122">
        <f>'2월'!J225</f>
        <v>1</v>
      </c>
      <c r="K423" s="15">
        <f>'2월'!K225</f>
        <v>1417500</v>
      </c>
      <c r="L423" s="16">
        <f>'2월'!L225</f>
        <v>1417500</v>
      </c>
      <c r="M423" s="16">
        <f>'2월'!M225</f>
        <v>141750</v>
      </c>
      <c r="N423" s="15">
        <f>'2월'!N225</f>
        <v>1559250</v>
      </c>
      <c r="O423" s="5" t="str">
        <f>'2월'!O225</f>
        <v>완료(4/30)</v>
      </c>
      <c r="P423" s="9" t="str">
        <f>'2월'!P225</f>
        <v>천범석</v>
      </c>
      <c r="Q423" s="5">
        <f>'2월'!Q225</f>
        <v>45666</v>
      </c>
      <c r="R423" s="213" t="str">
        <f>'2월'!R225</f>
        <v>매출연간</v>
      </c>
    </row>
    <row r="424" spans="1:18" ht="16.5" customHeight="1">
      <c r="A424" t="s">
        <v>64</v>
      </c>
      <c r="B424" s="10" t="str">
        <f>'2월'!B226</f>
        <v>SB-25007</v>
      </c>
      <c r="C424" s="12" t="str">
        <f>'2월'!C226</f>
        <v xml:space="preserve"> ZROHA2</v>
      </c>
      <c r="D424" s="13">
        <f>'2월'!D226</f>
        <v>45716</v>
      </c>
      <c r="E424" s="155" t="str">
        <f>'2월'!E226</f>
        <v>성공글로벌테크놀로지코리아</v>
      </c>
      <c r="F424" s="155" t="str">
        <f>'2월'!F226</f>
        <v>페타데이타</v>
      </c>
      <c r="G424" s="168" t="str">
        <f>'2월'!G226</f>
        <v>MA</v>
      </c>
      <c r="H424" s="156" t="str">
        <f>'2월'!H226</f>
        <v>월간-성공</v>
      </c>
      <c r="I424" s="69" t="str">
        <f>'2월'!I226</f>
        <v>SBS 2월 유지정비료 - 2/12회</v>
      </c>
      <c r="J424" s="122">
        <f>'2월'!J226</f>
        <v>1</v>
      </c>
      <c r="K424" s="15">
        <f>'2월'!K226</f>
        <v>243000</v>
      </c>
      <c r="L424" s="16">
        <f>'2월'!L226</f>
        <v>243000</v>
      </c>
      <c r="M424" s="15">
        <f>'2월'!M226</f>
        <v>24300</v>
      </c>
      <c r="N424" s="15">
        <f>'2월'!N226</f>
        <v>267300</v>
      </c>
      <c r="O424" s="5" t="str">
        <f>'2월'!O226</f>
        <v>완료(4/30)</v>
      </c>
      <c r="P424" s="9" t="str">
        <f>'2월'!P226</f>
        <v>천범석</v>
      </c>
      <c r="Q424" s="5">
        <f>'2월'!Q226</f>
        <v>45716</v>
      </c>
      <c r="R424" s="209"/>
    </row>
    <row r="425" spans="1:18" ht="16.5" customHeight="1">
      <c r="A425" t="s">
        <v>64</v>
      </c>
      <c r="B425" s="10" t="str">
        <f>'2월'!B227</f>
        <v>SB-25006</v>
      </c>
      <c r="C425" s="12" t="str">
        <f>'2월'!C227</f>
        <v>ZTAHJK</v>
      </c>
      <c r="D425" s="13">
        <f>'2월'!D227</f>
        <v>45716</v>
      </c>
      <c r="E425" s="155" t="str">
        <f>'2월'!E227</f>
        <v>성공글로벌테크놀로지코리아</v>
      </c>
      <c r="F425" s="155" t="str">
        <f>'2월'!F227</f>
        <v>더힘</v>
      </c>
      <c r="G425" s="168" t="str">
        <f>'2월'!G227</f>
        <v>MA</v>
      </c>
      <c r="H425" s="156" t="str">
        <f>'2월'!H227</f>
        <v>월간-성공</v>
      </c>
      <c r="I425" s="69" t="str">
        <f>'2월'!I227</f>
        <v>피에스케이(PSK) 2월 유지정비료 - 2/17회</v>
      </c>
      <c r="J425" s="122">
        <f>'2월'!J227</f>
        <v>1</v>
      </c>
      <c r="K425" s="15">
        <f>'2월'!K227</f>
        <v>1892400</v>
      </c>
      <c r="L425" s="16">
        <f>'2월'!L227</f>
        <v>1892400</v>
      </c>
      <c r="M425" s="16">
        <f>'2월'!M227</f>
        <v>189240</v>
      </c>
      <c r="N425" s="15">
        <f>'2월'!N227</f>
        <v>2081640</v>
      </c>
      <c r="O425" s="5" t="str">
        <f>'2월'!O227</f>
        <v>완료(4/30)</v>
      </c>
      <c r="P425" s="9" t="str">
        <f>'2월'!P227</f>
        <v>천범석</v>
      </c>
      <c r="Q425" s="5">
        <f>'2월'!Q227</f>
        <v>45687</v>
      </c>
      <c r="R425" s="213"/>
    </row>
    <row r="426" spans="1:18" ht="16.5" customHeight="1">
      <c r="A426" t="s">
        <v>64</v>
      </c>
      <c r="B426" s="10" t="str">
        <f>'2월'!B228</f>
        <v>SB-25008</v>
      </c>
      <c r="C426" s="12" t="str">
        <f>'2월'!C228</f>
        <v>ZTGLCD</v>
      </c>
      <c r="D426" s="13">
        <f>'2월'!D228</f>
        <v>45716</v>
      </c>
      <c r="E426" s="155" t="str">
        <f>'2월'!E228</f>
        <v>성공글로벌테크놀로지코리아</v>
      </c>
      <c r="F426" s="155" t="str">
        <f>'2월'!F228</f>
        <v>아이리스인포테크</v>
      </c>
      <c r="G426" s="168" t="str">
        <f>'2월'!G228</f>
        <v>MA</v>
      </c>
      <c r="H426" s="156" t="str">
        <f>'2월'!H228</f>
        <v>월간-성공</v>
      </c>
      <c r="I426" s="69" t="str">
        <f>'2월'!I228</f>
        <v>삼성전자 2월분 - 4/13회</v>
      </c>
      <c r="J426" s="122">
        <f>'2월'!J228</f>
        <v>1</v>
      </c>
      <c r="K426" s="15">
        <f>'2월'!K228</f>
        <v>212700</v>
      </c>
      <c r="L426" s="16">
        <f>'2월'!L228</f>
        <v>212700</v>
      </c>
      <c r="M426" s="16">
        <f>'2월'!M228</f>
        <v>21270</v>
      </c>
      <c r="N426" s="15">
        <f>'2월'!N228</f>
        <v>233970</v>
      </c>
      <c r="O426" s="5" t="str">
        <f>'2월'!O228</f>
        <v>완료(4/30)</v>
      </c>
      <c r="P426" s="177" t="str">
        <f>'2월'!P228</f>
        <v>천범석</v>
      </c>
      <c r="Q426" s="5">
        <f>'2월'!Q228</f>
        <v>45681</v>
      </c>
      <c r="R426" s="213" t="str">
        <f>'2월'!R228</f>
        <v>매출연간</v>
      </c>
    </row>
    <row r="427" spans="1:18" ht="16.5" customHeight="1">
      <c r="A427" t="s">
        <v>64</v>
      </c>
      <c r="B427" s="10" t="str">
        <f>'3월'!B5</f>
        <v>X</v>
      </c>
      <c r="C427" s="12"/>
      <c r="D427" s="13">
        <f>'3월'!D5</f>
        <v>45717</v>
      </c>
      <c r="E427" s="155" t="str">
        <f>'3월'!E5</f>
        <v>에스케이쉴더스 금천지점</v>
      </c>
      <c r="F427" s="155"/>
      <c r="G427" s="168" t="str">
        <f>'3월'!G5</f>
        <v>일반경비</v>
      </c>
      <c r="H427" s="156" t="str">
        <f>'3월'!H5</f>
        <v>지급수수료</v>
      </c>
      <c r="I427" s="69" t="str">
        <f>'3월'!I5</f>
        <v>보안용역 월정료 3월분</v>
      </c>
      <c r="J427" s="122">
        <f>'3월'!J5</f>
        <v>1</v>
      </c>
      <c r="K427" s="15">
        <f>'3월'!K5</f>
        <v>71000</v>
      </c>
      <c r="L427" s="16">
        <f>'3월'!L5</f>
        <v>71000</v>
      </c>
      <c r="M427" s="16">
        <f>'3월'!M5</f>
        <v>7100</v>
      </c>
      <c r="N427" s="15">
        <f>'3월'!N5</f>
        <v>78100</v>
      </c>
      <c r="O427" s="5" t="str">
        <f>'3월'!O5</f>
        <v>자동이체(3/11)</v>
      </c>
      <c r="P427" s="177" t="str">
        <f>'3월'!P5</f>
        <v>정지우</v>
      </c>
      <c r="Q427" s="5" t="str">
        <f>'3월'!Q5</f>
        <v>X</v>
      </c>
      <c r="R427" s="213"/>
    </row>
    <row r="428" spans="1:18" ht="16.5" customHeight="1">
      <c r="A428" t="s">
        <v>64</v>
      </c>
      <c r="B428" s="10" t="str">
        <f>'3월'!B6</f>
        <v>LI-24005</v>
      </c>
      <c r="C428" s="12"/>
      <c r="D428" s="13">
        <f>'3월'!D6</f>
        <v>45717</v>
      </c>
      <c r="E428" s="155" t="str">
        <f>'3월'!E6</f>
        <v>한국아이씨에스</v>
      </c>
      <c r="F428" s="155" t="str">
        <f>'3월'!F6</f>
        <v>해안종합건축사사무소</v>
      </c>
      <c r="G428" s="168" t="str">
        <f>'3월'!G6</f>
        <v>MA</v>
      </c>
      <c r="H428" s="156" t="str">
        <f>'3월'!H6</f>
        <v>월간-IBM</v>
      </c>
      <c r="I428" s="69" t="str">
        <f>'3월'!I6</f>
        <v>3월 유지정비료 - 10/12회</v>
      </c>
      <c r="J428" s="122">
        <f>'3월'!J6</f>
        <v>1</v>
      </c>
      <c r="K428" s="15">
        <f>'3월'!K6</f>
        <v>436400</v>
      </c>
      <c r="L428" s="16">
        <f>'3월'!L6</f>
        <v>436400</v>
      </c>
      <c r="M428" s="16">
        <f>'3월'!M6</f>
        <v>43640</v>
      </c>
      <c r="N428" s="15">
        <f>'3월'!N6</f>
        <v>480040</v>
      </c>
      <c r="O428" s="5" t="str">
        <f>'3월'!O6</f>
        <v>완료(3/31)</v>
      </c>
      <c r="P428" s="177" t="str">
        <f>'3월'!P6</f>
        <v>천범석</v>
      </c>
      <c r="Q428" s="5">
        <f>'3월'!Q6</f>
        <v>45717</v>
      </c>
      <c r="R428" s="213"/>
    </row>
    <row r="429" spans="1:18" ht="16.5" customHeight="1">
      <c r="A429" t="s">
        <v>64</v>
      </c>
      <c r="B429" s="10" t="str">
        <f>'3월'!B7</f>
        <v>LI-24006</v>
      </c>
      <c r="C429" s="12"/>
      <c r="D429" s="13">
        <f>'3월'!D7</f>
        <v>45717</v>
      </c>
      <c r="E429" s="155" t="str">
        <f>'3월'!E7</f>
        <v>한국아이씨에스</v>
      </c>
      <c r="F429" s="155" t="str">
        <f>'3월'!F7</f>
        <v>보해양조</v>
      </c>
      <c r="G429" s="168" t="str">
        <f>'3월'!G7</f>
        <v>MA</v>
      </c>
      <c r="H429" s="156" t="str">
        <f>'3월'!H7</f>
        <v>월간-IBM</v>
      </c>
      <c r="I429" s="69" t="str">
        <f>'3월'!I7</f>
        <v>3월 유지정비료 - 8/11회</v>
      </c>
      <c r="J429" s="122">
        <f>'3월'!J7</f>
        <v>1</v>
      </c>
      <c r="K429" s="15">
        <f>'3월'!K7</f>
        <v>277600</v>
      </c>
      <c r="L429" s="16">
        <f>'3월'!L7</f>
        <v>277600</v>
      </c>
      <c r="M429" s="16">
        <f>'3월'!M7</f>
        <v>27760</v>
      </c>
      <c r="N429" s="15">
        <f>'3월'!N7</f>
        <v>305360</v>
      </c>
      <c r="O429" s="5" t="str">
        <f>'3월'!O7</f>
        <v>완료(3/31)</v>
      </c>
      <c r="P429" s="177" t="str">
        <f>'3월'!P7</f>
        <v>천범석</v>
      </c>
      <c r="Q429" s="5">
        <f>'3월'!Q7</f>
        <v>45741</v>
      </c>
      <c r="R429" s="213"/>
    </row>
    <row r="430" spans="1:18" ht="16.5" customHeight="1">
      <c r="A430" t="s">
        <v>64</v>
      </c>
      <c r="B430" s="10" t="str">
        <f>'3월'!B8</f>
        <v>H250218-01</v>
      </c>
      <c r="C430" s="12"/>
      <c r="D430" s="13">
        <f>'3월'!D8</f>
        <v>45717</v>
      </c>
      <c r="E430" s="155" t="str">
        <f>'3월'!E8</f>
        <v>이비웨이브</v>
      </c>
      <c r="F430" s="155" t="str">
        <f>'3월'!F8</f>
        <v>우리에스아이티</v>
      </c>
      <c r="G430" s="168" t="str">
        <f>'3월'!G8</f>
        <v>상품</v>
      </c>
      <c r="H430" s="156" t="str">
        <f>'3월'!H8</f>
        <v>00AJ122</v>
      </c>
      <c r="I430" s="69" t="str">
        <f>'3월'!I8</f>
        <v>500GB 7.2K 6G NL SAS 2.5inch Hard Drive</v>
      </c>
      <c r="J430" s="122">
        <f>'3월'!J8</f>
        <v>1</v>
      </c>
      <c r="K430" s="15">
        <f>'3월'!K8</f>
        <v>150000</v>
      </c>
      <c r="L430" s="16">
        <f>'3월'!L8</f>
        <v>150000</v>
      </c>
      <c r="M430" s="16">
        <f>'3월'!M8</f>
        <v>15000</v>
      </c>
      <c r="N430" s="15">
        <f>'3월'!N8</f>
        <v>165000</v>
      </c>
      <c r="O430" s="5" t="str">
        <f>'3월'!O8</f>
        <v>완료(5/30)</v>
      </c>
      <c r="P430" s="177" t="str">
        <f>'3월'!P8</f>
        <v>천범석</v>
      </c>
      <c r="Q430" s="5">
        <f>'3월'!Q8</f>
        <v>45713</v>
      </c>
      <c r="R430" s="213"/>
    </row>
    <row r="431" spans="1:18" ht="16.5" customHeight="1">
      <c r="A431" t="s">
        <v>64</v>
      </c>
      <c r="B431" s="10" t="str">
        <f>'3월'!B9</f>
        <v>LI-24004</v>
      </c>
      <c r="C431" s="12"/>
      <c r="D431" s="13">
        <f>'3월'!D9</f>
        <v>45719</v>
      </c>
      <c r="E431" s="155" t="str">
        <f>'3월'!E9</f>
        <v>한국아이씨에스</v>
      </c>
      <c r="F431" s="155" t="str">
        <f>'3월'!F9</f>
        <v>한국메탈</v>
      </c>
      <c r="G431" s="168" t="str">
        <f>'3월'!G9</f>
        <v>MA</v>
      </c>
      <c r="H431" s="156" t="str">
        <f>'3월'!H9</f>
        <v>월간-IBM</v>
      </c>
      <c r="I431" s="69" t="str">
        <f>'3월'!I9</f>
        <v>3월유지정비료 - 11/32회</v>
      </c>
      <c r="J431" s="122">
        <f>'3월'!J9</f>
        <v>1</v>
      </c>
      <c r="K431" s="15">
        <f>'3월'!K9</f>
        <v>316682</v>
      </c>
      <c r="L431" s="16">
        <f>'3월'!L9</f>
        <v>316682</v>
      </c>
      <c r="M431" s="16">
        <f>'3월'!M9</f>
        <v>31668</v>
      </c>
      <c r="N431" s="15">
        <f>'3월'!N9</f>
        <v>348350</v>
      </c>
      <c r="O431" s="5" t="str">
        <f>'3월'!O9</f>
        <v>완료(4/30)</v>
      </c>
      <c r="P431" s="177" t="str">
        <f>'3월'!P9</f>
        <v>천범석</v>
      </c>
      <c r="Q431" s="5">
        <f>'3월'!Q9</f>
        <v>45717</v>
      </c>
      <c r="R431" s="213"/>
    </row>
    <row r="432" spans="1:18" ht="16.5" customHeight="1">
      <c r="A432" t="s">
        <v>64</v>
      </c>
      <c r="B432" s="10" t="str">
        <f>'3월'!B10</f>
        <v>SB-24036</v>
      </c>
      <c r="C432" s="12"/>
      <c r="D432" s="13">
        <f>'3월'!D10</f>
        <v>45719</v>
      </c>
      <c r="E432" s="155" t="str">
        <f>'3월'!E10</f>
        <v>한국아이씨에스</v>
      </c>
      <c r="F432" s="155" t="str">
        <f>'3월'!F10</f>
        <v>나라정보</v>
      </c>
      <c r="G432" s="168" t="str">
        <f>'3월'!G10</f>
        <v>MA</v>
      </c>
      <c r="H432" s="156" t="str">
        <f>'3월'!H10</f>
        <v>월간-IBM</v>
      </c>
      <c r="I432" s="69" t="str">
        <f>'3월'!I10</f>
        <v>부국철강 3월 유지정비료 - 11/32 회</v>
      </c>
      <c r="J432" s="122">
        <f>'3월'!J10</f>
        <v>1</v>
      </c>
      <c r="K432" s="15">
        <f>'3월'!K10</f>
        <v>190849</v>
      </c>
      <c r="L432" s="16">
        <f>'3월'!L10</f>
        <v>190849</v>
      </c>
      <c r="M432" s="16">
        <f>'3월'!M10</f>
        <v>19084</v>
      </c>
      <c r="N432" s="15">
        <f>'3월'!N10</f>
        <v>209933</v>
      </c>
      <c r="O432" s="5" t="str">
        <f>'3월'!O10</f>
        <v>완료(4/30)</v>
      </c>
      <c r="P432" s="177" t="str">
        <f>'3월'!P10</f>
        <v>천범석</v>
      </c>
      <c r="Q432" s="5">
        <f>'3월'!Q10</f>
        <v>45747</v>
      </c>
      <c r="R432" s="213"/>
    </row>
    <row r="433" spans="1:18" ht="16.5" customHeight="1">
      <c r="A433" t="s">
        <v>64</v>
      </c>
      <c r="B433" s="10" t="str">
        <f>'3월'!B11</f>
        <v>IK-22025</v>
      </c>
      <c r="C433" s="12"/>
      <c r="D433" s="13">
        <f>'3월'!D11</f>
        <v>45719</v>
      </c>
      <c r="E433" s="155" t="str">
        <f>'3월'!E11</f>
        <v>한국아이씨에스</v>
      </c>
      <c r="F433" s="155" t="str">
        <f>'3월'!F11</f>
        <v>디에스피</v>
      </c>
      <c r="G433" s="168" t="str">
        <f>'3월'!G11</f>
        <v>MA</v>
      </c>
      <c r="H433" s="156" t="str">
        <f>'3월'!H11</f>
        <v>월간-IBM</v>
      </c>
      <c r="I433" s="69" t="str">
        <f>'3월'!I11</f>
        <v>엘지생활건강 청주공장 3월 유지정비료 - 2/12회</v>
      </c>
      <c r="J433" s="122">
        <f>'3월'!J11</f>
        <v>1</v>
      </c>
      <c r="K433" s="15">
        <f>'3월'!K11</f>
        <v>564192</v>
      </c>
      <c r="L433" s="16">
        <f>'3월'!L11</f>
        <v>564192</v>
      </c>
      <c r="M433" s="16">
        <f>'3월'!M11</f>
        <v>56419</v>
      </c>
      <c r="N433" s="15">
        <f>'3월'!N11</f>
        <v>620611</v>
      </c>
      <c r="O433" s="5" t="str">
        <f>'3월'!O11</f>
        <v>완료(4/30)</v>
      </c>
      <c r="P433" s="177" t="str">
        <f>'3월'!P11</f>
        <v>천범석</v>
      </c>
      <c r="Q433" s="5">
        <f>'3월'!Q11</f>
        <v>45717</v>
      </c>
      <c r="R433" s="213"/>
    </row>
    <row r="434" spans="1:18" ht="16.5" customHeight="1">
      <c r="A434" t="s">
        <v>64</v>
      </c>
      <c r="B434" s="10" t="str">
        <f>'3월'!B12</f>
        <v>IK-25001</v>
      </c>
      <c r="C434" s="12"/>
      <c r="D434" s="13">
        <f>'3월'!D12</f>
        <v>45719</v>
      </c>
      <c r="E434" s="155" t="str">
        <f>'3월'!E12</f>
        <v>한국아이씨에스</v>
      </c>
      <c r="F434" s="155" t="str">
        <f>'3월'!F12</f>
        <v>투아이시스</v>
      </c>
      <c r="G434" s="168" t="str">
        <f>'3월'!G12</f>
        <v>MA</v>
      </c>
      <c r="H434" s="156" t="str">
        <f>'3월'!H12</f>
        <v>월간-IBM</v>
      </c>
      <c r="I434" s="69" t="str">
        <f>'3월'!I12</f>
        <v>3월 유지정비료 - 1/12회</v>
      </c>
      <c r="J434" s="122">
        <f>'3월'!J12</f>
        <v>1</v>
      </c>
      <c r="K434" s="15">
        <f>'3월'!K12</f>
        <v>93445</v>
      </c>
      <c r="L434" s="16">
        <f>'3월'!L12</f>
        <v>93445</v>
      </c>
      <c r="M434" s="16">
        <f>'3월'!M12</f>
        <v>9344</v>
      </c>
      <c r="N434" s="15">
        <f>'3월'!N12</f>
        <v>102789</v>
      </c>
      <c r="O434" s="5" t="str">
        <f>'3월'!O12</f>
        <v>완료(4/30)</v>
      </c>
      <c r="P434" s="177" t="str">
        <f>'3월'!P12</f>
        <v>천범석</v>
      </c>
      <c r="Q434" s="5">
        <f>'3월'!Q12</f>
        <v>45747</v>
      </c>
      <c r="R434" s="246" t="str">
        <f>'3월'!R12</f>
        <v>매출연간</v>
      </c>
    </row>
    <row r="435" spans="1:18" ht="16.5" customHeight="1">
      <c r="A435" t="s">
        <v>64</v>
      </c>
      <c r="B435" s="10" t="str">
        <f>'3월'!B13</f>
        <v>SM-24021</v>
      </c>
      <c r="C435" s="12"/>
      <c r="D435" s="13">
        <f>'3월'!D13</f>
        <v>45719</v>
      </c>
      <c r="E435" s="155" t="str">
        <f>'3월'!E13</f>
        <v>한국아이씨에스</v>
      </c>
      <c r="F435" s="155" t="str">
        <f>'3월'!F13</f>
        <v>에이캐피탈</v>
      </c>
      <c r="G435" s="168" t="str">
        <f>'3월'!G13</f>
        <v>MA</v>
      </c>
      <c r="H435" s="156" t="str">
        <f>'3월'!H13</f>
        <v>월간-IBM</v>
      </c>
      <c r="I435" s="69" t="str">
        <f>'3월'!I13</f>
        <v>3월 유지정비료 - 7/12회</v>
      </c>
      <c r="J435" s="122">
        <f>'3월'!J13</f>
        <v>1</v>
      </c>
      <c r="K435" s="15">
        <f>'3월'!K13</f>
        <v>691782</v>
      </c>
      <c r="L435" s="16">
        <f>'3월'!L13</f>
        <v>691782</v>
      </c>
      <c r="M435" s="16">
        <f>'3월'!M13</f>
        <v>69178</v>
      </c>
      <c r="N435" s="15">
        <f>'3월'!N13</f>
        <v>760960</v>
      </c>
      <c r="O435" s="5" t="str">
        <f>'3월'!O13</f>
        <v>완료(4/30)</v>
      </c>
      <c r="P435" s="177" t="str">
        <f>'3월'!P13</f>
        <v>천범석</v>
      </c>
      <c r="Q435" s="5">
        <f>'3월'!Q13</f>
        <v>45752</v>
      </c>
      <c r="R435" s="213"/>
    </row>
    <row r="436" spans="1:18" ht="16.5" customHeight="1">
      <c r="A436" t="s">
        <v>64</v>
      </c>
      <c r="B436" s="10" t="str">
        <f>'3월'!B14</f>
        <v>X</v>
      </c>
      <c r="C436" s="12"/>
      <c r="D436" s="13">
        <f>'3월'!D14</f>
        <v>45719</v>
      </c>
      <c r="E436" s="155" t="str">
        <f>'3월'!E14</f>
        <v>에스케이브로드밴드</v>
      </c>
      <c r="F436" s="155"/>
      <c r="G436" s="168" t="str">
        <f>'3월'!G14</f>
        <v>일반경비</v>
      </c>
      <c r="H436" s="156" t="str">
        <f>'3월'!H14</f>
        <v>통신비</v>
      </c>
      <c r="I436" s="69" t="str">
        <f>'3월'!I14</f>
        <v>통신료</v>
      </c>
      <c r="J436" s="122">
        <f>'3월'!J14</f>
        <v>1</v>
      </c>
      <c r="K436" s="15">
        <f>'3월'!K14</f>
        <v>14676</v>
      </c>
      <c r="L436" s="16">
        <f>'3월'!L14</f>
        <v>14676</v>
      </c>
      <c r="M436" s="16">
        <f>'3월'!M14</f>
        <v>1467</v>
      </c>
      <c r="N436" s="15">
        <f>'3월'!N14</f>
        <v>16143</v>
      </c>
      <c r="O436" s="5" t="str">
        <f>'3월'!O14</f>
        <v>자동이체(3/31)</v>
      </c>
      <c r="P436" s="177" t="str">
        <f>'3월'!P14</f>
        <v>정지우</v>
      </c>
      <c r="Q436" s="5" t="str">
        <f>'3월'!Q14</f>
        <v>X</v>
      </c>
      <c r="R436" s="213"/>
    </row>
    <row r="437" spans="1:18" ht="16.5" customHeight="1">
      <c r="A437" t="s">
        <v>64</v>
      </c>
      <c r="B437" s="10" t="str">
        <f>'3월'!B15</f>
        <v>IK-24006</v>
      </c>
      <c r="C437" s="12"/>
      <c r="D437" s="13">
        <f>'3월'!D15</f>
        <v>45720</v>
      </c>
      <c r="E437" s="155" t="str">
        <f>'3월'!E15</f>
        <v>한국아이씨에스</v>
      </c>
      <c r="F437" s="155" t="str">
        <f>'3월'!F15</f>
        <v>광양항서부터미널</v>
      </c>
      <c r="G437" s="168" t="str">
        <f>'3월'!G15</f>
        <v>MA</v>
      </c>
      <c r="H437" s="156" t="str">
        <f>'3월'!H15</f>
        <v>월간-IBM</v>
      </c>
      <c r="I437" s="69" t="str">
        <f>'3월'!I15</f>
        <v>3월 유지정비료 - 11/24회</v>
      </c>
      <c r="J437" s="122">
        <f>'3월'!J15</f>
        <v>1</v>
      </c>
      <c r="K437" s="15">
        <f>'3월'!K15</f>
        <v>3239404</v>
      </c>
      <c r="L437" s="16">
        <f>'3월'!L15</f>
        <v>3239404</v>
      </c>
      <c r="M437" s="16">
        <f>'3월'!M15</f>
        <v>323940</v>
      </c>
      <c r="N437" s="15">
        <f>'3월'!N15</f>
        <v>3563344</v>
      </c>
      <c r="O437" s="5" t="str">
        <f>'3월'!O15</f>
        <v>완료(4/30)</v>
      </c>
      <c r="P437" s="177" t="str">
        <f>'3월'!P15</f>
        <v>홍승민</v>
      </c>
      <c r="Q437" s="5">
        <f>'3월'!Q15</f>
        <v>45747</v>
      </c>
      <c r="R437" s="213"/>
    </row>
    <row r="438" spans="1:18" ht="16.5" customHeight="1">
      <c r="A438" t="s">
        <v>64</v>
      </c>
      <c r="B438" s="10" t="str">
        <f>'3월'!B16</f>
        <v>LI-24008</v>
      </c>
      <c r="C438" s="12"/>
      <c r="D438" s="13">
        <f>'3월'!D16</f>
        <v>45720</v>
      </c>
      <c r="E438" s="155" t="str">
        <f>'3월'!E16</f>
        <v>한국아이씨에스</v>
      </c>
      <c r="F438" s="155" t="str">
        <f>'3월'!F16</f>
        <v>쿠팡</v>
      </c>
      <c r="G438" s="168" t="str">
        <f>'3월'!G16</f>
        <v>MA</v>
      </c>
      <c r="H438" s="156" t="str">
        <f>'3월'!H16</f>
        <v>월간-IBM</v>
      </c>
      <c r="I438" s="69" t="str">
        <f>'3월'!I16</f>
        <v>3월 유지정비료 - 8/13회</v>
      </c>
      <c r="J438" s="122">
        <f>'3월'!J16</f>
        <v>1</v>
      </c>
      <c r="K438" s="15">
        <f>'3월'!K16</f>
        <v>205780</v>
      </c>
      <c r="L438" s="16">
        <f>'3월'!L16</f>
        <v>205780</v>
      </c>
      <c r="M438" s="16">
        <f>'3월'!M16</f>
        <v>20578</v>
      </c>
      <c r="N438" s="15">
        <f>'3월'!N16</f>
        <v>226358</v>
      </c>
      <c r="O438" s="5" t="str">
        <f>'3월'!O16</f>
        <v>완료(4/30)</v>
      </c>
      <c r="P438" s="177" t="str">
        <f>'3월'!P16</f>
        <v>천범석</v>
      </c>
      <c r="Q438" s="5">
        <f>'3월'!Q16</f>
        <v>45491</v>
      </c>
      <c r="R438" s="213" t="str">
        <f>'3월'!R16</f>
        <v>매출연간</v>
      </c>
    </row>
    <row r="439" spans="1:18" ht="16.5" customHeight="1">
      <c r="A439" t="s">
        <v>64</v>
      </c>
      <c r="B439" s="10" t="str">
        <f>'3월'!B17</f>
        <v>SM-25008</v>
      </c>
      <c r="C439" s="12"/>
      <c r="D439" s="13">
        <f>'3월'!D17</f>
        <v>45720</v>
      </c>
      <c r="E439" s="155" t="str">
        <f>'3월'!E17</f>
        <v>한국아이씨에스</v>
      </c>
      <c r="F439" s="155" t="str">
        <f>'3월'!F17</f>
        <v>유니포인트</v>
      </c>
      <c r="G439" s="168" t="str">
        <f>'3월'!G17</f>
        <v>MA</v>
      </c>
      <c r="H439" s="156" t="str">
        <f>'3월'!H17</f>
        <v>월간-IBM</v>
      </c>
      <c r="I439" s="69" t="str">
        <f>'3월'!I17</f>
        <v>스마트로 3월 유지정비료 - 3/12회</v>
      </c>
      <c r="J439" s="122">
        <f>'3월'!J17</f>
        <v>1</v>
      </c>
      <c r="K439" s="15">
        <f>'3월'!K17</f>
        <v>1210534</v>
      </c>
      <c r="L439" s="16">
        <f>'3월'!L17</f>
        <v>1210534</v>
      </c>
      <c r="M439" s="16">
        <f>'3월'!M17</f>
        <v>121053</v>
      </c>
      <c r="N439" s="15">
        <f>'3월'!N17</f>
        <v>1331587</v>
      </c>
      <c r="O439" s="5" t="str">
        <f>'3월'!O17</f>
        <v>완료(4/30)</v>
      </c>
      <c r="P439" s="177" t="str">
        <f>'3월'!P17</f>
        <v>천범석</v>
      </c>
      <c r="Q439" s="5">
        <f>'3월'!Q17</f>
        <v>45747</v>
      </c>
      <c r="R439" s="213"/>
    </row>
    <row r="440" spans="1:18" ht="16.5" customHeight="1">
      <c r="A440" t="s">
        <v>64</v>
      </c>
      <c r="B440" s="10" t="str">
        <f>'3월'!B18</f>
        <v>SM-25003</v>
      </c>
      <c r="C440" s="12"/>
      <c r="D440" s="13">
        <f>'3월'!D18</f>
        <v>45720</v>
      </c>
      <c r="E440" s="155" t="str">
        <f>'3월'!E18</f>
        <v>한국아이씨에스</v>
      </c>
      <c r="F440" s="155" t="str">
        <f>'3월'!F18</f>
        <v>CGV 통합</v>
      </c>
      <c r="G440" s="168" t="str">
        <f>'3월'!G18</f>
        <v>MA</v>
      </c>
      <c r="H440" s="156" t="str">
        <f>'3월'!H18</f>
        <v>월간-IBM</v>
      </c>
      <c r="I440" s="69" t="str">
        <f>'3월'!I18</f>
        <v>3월 유지정비료 - 3/12회</v>
      </c>
      <c r="J440" s="122">
        <f>'3월'!J18</f>
        <v>1</v>
      </c>
      <c r="K440" s="15">
        <f>'3월'!K18</f>
        <v>2812500</v>
      </c>
      <c r="L440" s="16">
        <f>'3월'!L18</f>
        <v>2812500</v>
      </c>
      <c r="M440" s="16">
        <f>'3월'!M18</f>
        <v>281250</v>
      </c>
      <c r="N440" s="15">
        <f>'3월'!N18</f>
        <v>3093750</v>
      </c>
      <c r="O440" s="5" t="str">
        <f>'3월'!O18</f>
        <v>완료(4/30)</v>
      </c>
      <c r="P440" s="177" t="str">
        <f>'3월'!P18</f>
        <v>이예지</v>
      </c>
      <c r="Q440" s="5">
        <f>'3월'!Q18</f>
        <v>45666</v>
      </c>
      <c r="R440" s="213" t="str">
        <f>'3월'!R18</f>
        <v>매출연간</v>
      </c>
    </row>
    <row r="441" spans="1:18" ht="16.5" customHeight="1">
      <c r="A441" t="s">
        <v>64</v>
      </c>
      <c r="B441" s="10" t="str">
        <f>'3월'!B19</f>
        <v>IK-23016</v>
      </c>
      <c r="C441" s="12"/>
      <c r="D441" s="13">
        <f>'3월'!D19</f>
        <v>45720</v>
      </c>
      <c r="E441" s="155" t="str">
        <f>'3월'!E19</f>
        <v>한국아이씨에스</v>
      </c>
      <c r="F441" s="155" t="str">
        <f>'3월'!F19</f>
        <v>케이정보기술</v>
      </c>
      <c r="G441" s="168" t="str">
        <f>'3월'!G19</f>
        <v>MA</v>
      </c>
      <c r="H441" s="156" t="str">
        <f>'3월'!H19</f>
        <v>월간-IBM</v>
      </c>
      <c r="I441" s="69" t="str">
        <f>'3월'!I19</f>
        <v>청주시청 3월 유지정비료 - 3/20회 추가</v>
      </c>
      <c r="J441" s="122">
        <f>'3월'!J19</f>
        <v>1</v>
      </c>
      <c r="K441" s="15">
        <f>'3월'!K19</f>
        <v>1123962</v>
      </c>
      <c r="L441" s="16">
        <f>'3월'!L19</f>
        <v>1123962</v>
      </c>
      <c r="M441" s="16">
        <f>'3월'!M19</f>
        <v>112396</v>
      </c>
      <c r="N441" s="15">
        <f>'3월'!N19</f>
        <v>1236358</v>
      </c>
      <c r="O441" s="5" t="str">
        <f>'3월'!O19</f>
        <v>완료(4/30)</v>
      </c>
      <c r="P441" s="177" t="str">
        <f>'3월'!P19</f>
        <v>천범석</v>
      </c>
      <c r="Q441" s="5">
        <f>'3월'!Q19</f>
        <v>45717</v>
      </c>
      <c r="R441" s="213"/>
    </row>
    <row r="442" spans="1:18" ht="16.5" customHeight="1">
      <c r="A442" t="s">
        <v>64</v>
      </c>
      <c r="B442" s="10" t="str">
        <f>'3월'!B20</f>
        <v>LI-24003</v>
      </c>
      <c r="C442" s="12"/>
      <c r="D442" s="13">
        <f>'3월'!D20</f>
        <v>45720</v>
      </c>
      <c r="E442" s="155" t="str">
        <f>'3월'!E20</f>
        <v>한국아이씨에스</v>
      </c>
      <c r="F442" s="155" t="str">
        <f>'3월'!F20</f>
        <v>지엔콤</v>
      </c>
      <c r="G442" s="168" t="str">
        <f>'3월'!G20</f>
        <v>MA</v>
      </c>
      <c r="H442" s="156" t="str">
        <f>'3월'!H20</f>
        <v>월간-IBM</v>
      </c>
      <c r="I442" s="69" t="str">
        <f>'3월'!I20</f>
        <v>전주교육대학교 3월 유지정비료 - 11/12회</v>
      </c>
      <c r="J442" s="122">
        <f>'3월'!J20</f>
        <v>1</v>
      </c>
      <c r="K442" s="15">
        <f>'3월'!K20</f>
        <v>305280</v>
      </c>
      <c r="L442" s="16">
        <f>'3월'!L20</f>
        <v>305280</v>
      </c>
      <c r="M442" s="16">
        <f>'3월'!M20</f>
        <v>30528</v>
      </c>
      <c r="N442" s="15">
        <f>'3월'!N20</f>
        <v>335808</v>
      </c>
      <c r="O442" s="5" t="str">
        <f>'3월'!O20</f>
        <v>완료(4/30)</v>
      </c>
      <c r="P442" s="177" t="str">
        <f>'3월'!P20</f>
        <v>천범석</v>
      </c>
      <c r="Q442" s="5">
        <f>'3월'!Q20</f>
        <v>45747</v>
      </c>
      <c r="R442" s="213"/>
    </row>
    <row r="443" spans="1:18" ht="16.5" customHeight="1">
      <c r="A443" t="s">
        <v>64</v>
      </c>
      <c r="B443" s="10" t="str">
        <f>'3월'!B21</f>
        <v>IK-23016</v>
      </c>
      <c r="C443" s="12"/>
      <c r="D443" s="13">
        <f>'3월'!D21</f>
        <v>45720</v>
      </c>
      <c r="E443" s="155" t="str">
        <f>'3월'!E21</f>
        <v>한국아이씨에스</v>
      </c>
      <c r="F443" s="155" t="str">
        <f>'3월'!F21</f>
        <v>케이정보기술</v>
      </c>
      <c r="G443" s="168" t="str">
        <f>'3월'!G21</f>
        <v>MA</v>
      </c>
      <c r="H443" s="156" t="str">
        <f>'3월'!H21</f>
        <v>월간-IBM</v>
      </c>
      <c r="I443" s="69" t="str">
        <f>'3월'!I21</f>
        <v>청주시청 3월 유지정비료 - 19/36회</v>
      </c>
      <c r="J443" s="122">
        <f>'3월'!J21</f>
        <v>1</v>
      </c>
      <c r="K443" s="15">
        <f>'3월'!K21</f>
        <v>259896</v>
      </c>
      <c r="L443" s="16">
        <f>'3월'!L21</f>
        <v>259896</v>
      </c>
      <c r="M443" s="16">
        <f>'3월'!M21</f>
        <v>25989</v>
      </c>
      <c r="N443" s="15">
        <f>'3월'!N21</f>
        <v>285885</v>
      </c>
      <c r="O443" s="5" t="str">
        <f>'3월'!O21</f>
        <v>완료(4/30)</v>
      </c>
      <c r="P443" s="177" t="str">
        <f>'3월'!P21</f>
        <v>천범석</v>
      </c>
      <c r="Q443" s="5">
        <f>'3월'!Q21</f>
        <v>45717</v>
      </c>
      <c r="R443" s="213"/>
    </row>
    <row r="444" spans="1:18" ht="16.5" customHeight="1">
      <c r="A444" t="s">
        <v>64</v>
      </c>
      <c r="B444" s="10" t="str">
        <f>'3월'!B22</f>
        <v>IK-23013</v>
      </c>
      <c r="C444" s="12"/>
      <c r="D444" s="13">
        <f>'3월'!D22</f>
        <v>45720</v>
      </c>
      <c r="E444" s="155" t="str">
        <f>'3월'!E22</f>
        <v>한국아이씨에스</v>
      </c>
      <c r="F444" s="155" t="str">
        <f>'3월'!F22</f>
        <v>로보츠</v>
      </c>
      <c r="G444" s="168" t="str">
        <f>'3월'!G22</f>
        <v>MA</v>
      </c>
      <c r="H444" s="156" t="str">
        <f>'3월'!H22</f>
        <v>월간-IBM</v>
      </c>
      <c r="I444" s="69" t="str">
        <f>'3월'!I22</f>
        <v>도시바일렉 3월 유지정비료 - 9/12회</v>
      </c>
      <c r="J444" s="122">
        <f>'3월'!J22</f>
        <v>1</v>
      </c>
      <c r="K444" s="15">
        <f>'3월'!K22</f>
        <v>66498</v>
      </c>
      <c r="L444" s="16">
        <f>'3월'!L22</f>
        <v>66498</v>
      </c>
      <c r="M444" s="16">
        <f>'3월'!M22</f>
        <v>6649</v>
      </c>
      <c r="N444" s="15">
        <f>'3월'!N22</f>
        <v>73147</v>
      </c>
      <c r="O444" s="5" t="str">
        <f>'3월'!O22</f>
        <v>완료(4/30)</v>
      </c>
      <c r="P444" s="177" t="str">
        <f>'3월'!P22</f>
        <v>천범석</v>
      </c>
      <c r="Q444" s="5">
        <f>'3월'!Q22</f>
        <v>45747</v>
      </c>
      <c r="R444" s="213"/>
    </row>
    <row r="445" spans="1:18" ht="16.5" customHeight="1">
      <c r="A445" t="s">
        <v>64</v>
      </c>
      <c r="B445" s="10" t="str">
        <f>'3월'!B23</f>
        <v>LI-24007</v>
      </c>
      <c r="C445" s="12"/>
      <c r="D445" s="13">
        <f>'3월'!D23</f>
        <v>45720</v>
      </c>
      <c r="E445" s="155" t="str">
        <f>'3월'!E23</f>
        <v>한국아이씨에스</v>
      </c>
      <c r="F445" s="155" t="str">
        <f>'3월'!F23</f>
        <v>유더블유에스</v>
      </c>
      <c r="G445" s="168" t="str">
        <f>'3월'!G23</f>
        <v>MA</v>
      </c>
      <c r="H445" s="156" t="str">
        <f>'3월'!H23</f>
        <v>월간-IBM</v>
      </c>
      <c r="I445" s="69" t="str">
        <f>'3월'!I23</f>
        <v>두원정공 3월 유지정비료 - 8/11회</v>
      </c>
      <c r="J445" s="122">
        <f>'3월'!J23</f>
        <v>1</v>
      </c>
      <c r="K445" s="15">
        <f>'3월'!K23</f>
        <v>80160</v>
      </c>
      <c r="L445" s="16">
        <f>'3월'!L23</f>
        <v>80160</v>
      </c>
      <c r="M445" s="16">
        <f>'3월'!M23</f>
        <v>8016</v>
      </c>
      <c r="N445" s="15">
        <f>'3월'!N23</f>
        <v>88176</v>
      </c>
      <c r="O445" s="5" t="str">
        <f>'3월'!O23</f>
        <v>완료(4/30)</v>
      </c>
      <c r="P445" s="177" t="str">
        <f>'3월'!P23</f>
        <v>천범석</v>
      </c>
      <c r="Q445" s="5">
        <f>'3월'!Q23</f>
        <v>45747</v>
      </c>
      <c r="R445" s="213"/>
    </row>
    <row r="446" spans="1:18" ht="16.5" customHeight="1">
      <c r="A446" t="s">
        <v>64</v>
      </c>
      <c r="B446" s="10" t="str">
        <f>'3월'!B24</f>
        <v>IK-23014</v>
      </c>
      <c r="C446" s="12"/>
      <c r="D446" s="13">
        <f>'3월'!D24</f>
        <v>45720</v>
      </c>
      <c r="E446" s="155" t="str">
        <f>'3월'!E24</f>
        <v>한국아이씨에스</v>
      </c>
      <c r="F446" s="155" t="str">
        <f>'3월'!F24</f>
        <v>서비스링크</v>
      </c>
      <c r="G446" s="168" t="str">
        <f>'3월'!G24</f>
        <v>MA</v>
      </c>
      <c r="H446" s="156" t="str">
        <f>'3월'!H24</f>
        <v>월간-IBM</v>
      </c>
      <c r="I446" s="69" t="str">
        <f>'3월'!I24</f>
        <v>세원정공 3월 유지정비료 - 9/12회</v>
      </c>
      <c r="J446" s="122">
        <f>'3월'!J24</f>
        <v>1</v>
      </c>
      <c r="K446" s="15">
        <f>'3월'!K24</f>
        <v>198018</v>
      </c>
      <c r="L446" s="16">
        <f>'3월'!L24</f>
        <v>198018</v>
      </c>
      <c r="M446" s="16">
        <f>'3월'!M24</f>
        <v>19801</v>
      </c>
      <c r="N446" s="15">
        <f>'3월'!N24</f>
        <v>217819</v>
      </c>
      <c r="O446" s="5" t="str">
        <f>'3월'!O24</f>
        <v>완료(4/30)</v>
      </c>
      <c r="P446" s="177" t="str">
        <f>'3월'!P24</f>
        <v>천범석</v>
      </c>
      <c r="Q446" s="5">
        <f>'3월'!Q24</f>
        <v>45717</v>
      </c>
      <c r="R446" s="213"/>
    </row>
    <row r="447" spans="1:18" ht="16.5" customHeight="1">
      <c r="A447" t="s">
        <v>64</v>
      </c>
      <c r="B447" s="10" t="str">
        <f>'3월'!B25</f>
        <v>SM-21021</v>
      </c>
      <c r="C447" s="12"/>
      <c r="D447" s="13">
        <f>'3월'!D25</f>
        <v>45720</v>
      </c>
      <c r="E447" s="155" t="str">
        <f>'3월'!E25</f>
        <v>한국아이씨에스</v>
      </c>
      <c r="F447" s="155" t="str">
        <f>'3월'!F25</f>
        <v>법무법인바른</v>
      </c>
      <c r="G447" s="168" t="str">
        <f>'3월'!G25</f>
        <v>MA</v>
      </c>
      <c r="H447" s="156" t="str">
        <f>'3월'!H25</f>
        <v>월간-IBM</v>
      </c>
      <c r="I447" s="69" t="str">
        <f>'3월'!I25</f>
        <v>3월 유지정비료 - 7/13회</v>
      </c>
      <c r="J447" s="122">
        <f>'3월'!J25</f>
        <v>1</v>
      </c>
      <c r="K447" s="15">
        <f>'3월'!K25</f>
        <v>84811</v>
      </c>
      <c r="L447" s="16">
        <f>'3월'!L25</f>
        <v>84811</v>
      </c>
      <c r="M447" s="16">
        <f>'3월'!M25</f>
        <v>8481</v>
      </c>
      <c r="N447" s="15">
        <f>'3월'!N25</f>
        <v>93292</v>
      </c>
      <c r="O447" s="5" t="str">
        <f>'3월'!O25</f>
        <v>완료(4/30)</v>
      </c>
      <c r="P447" s="177" t="str">
        <f>'3월'!P25</f>
        <v>천범석</v>
      </c>
      <c r="Q447" s="5">
        <f>'3월'!Q25</f>
        <v>45741</v>
      </c>
      <c r="R447" s="213"/>
    </row>
    <row r="448" spans="1:18" ht="16.5" customHeight="1">
      <c r="A448" t="s">
        <v>64</v>
      </c>
      <c r="B448" s="10" t="str">
        <f>'3월'!B26</f>
        <v>IK-24011</v>
      </c>
      <c r="C448" s="12"/>
      <c r="D448" s="13">
        <f>'3월'!D26</f>
        <v>45720</v>
      </c>
      <c r="E448" s="155" t="str">
        <f>'3월'!E26</f>
        <v>한국아이씨에스</v>
      </c>
      <c r="F448" s="155" t="str">
        <f>'3월'!F26</f>
        <v>로보츠</v>
      </c>
      <c r="G448" s="168" t="str">
        <f>'3월'!G26</f>
        <v>MA</v>
      </c>
      <c r="H448" s="156" t="str">
        <f>'3월'!H26</f>
        <v>월간-IBM</v>
      </c>
      <c r="I448" s="69" t="str">
        <f>'3월'!I26</f>
        <v>키오시아(도시바) 3월 유지정비료 - 4/12회</v>
      </c>
      <c r="J448" s="122">
        <f>'3월'!J26</f>
        <v>1</v>
      </c>
      <c r="K448" s="15">
        <f>'3월'!K26</f>
        <v>133875</v>
      </c>
      <c r="L448" s="16">
        <f>'3월'!L26</f>
        <v>133875</v>
      </c>
      <c r="M448" s="16">
        <f>'3월'!M26</f>
        <v>13387</v>
      </c>
      <c r="N448" s="15">
        <f>'3월'!N26</f>
        <v>147262</v>
      </c>
      <c r="O448" s="5" t="str">
        <f>'3월'!O26</f>
        <v>완료(4/30)</v>
      </c>
      <c r="P448" s="177" t="str">
        <f>'3월'!P26</f>
        <v>천범석</v>
      </c>
      <c r="Q448" s="5">
        <f>'3월'!Q26</f>
        <v>45747</v>
      </c>
      <c r="R448" s="213"/>
    </row>
    <row r="449" spans="1:18" ht="16.5" customHeight="1">
      <c r="A449" t="s">
        <v>64</v>
      </c>
      <c r="B449" s="255" t="str">
        <f>'3월'!B27</f>
        <v>SM-25011</v>
      </c>
      <c r="C449" s="12"/>
      <c r="D449" s="13">
        <f>'3월'!D27</f>
        <v>45720</v>
      </c>
      <c r="E449" s="155" t="str">
        <f>'3월'!E27</f>
        <v>한국아이씨에스</v>
      </c>
      <c r="F449" s="155" t="str">
        <f>'3월'!F27</f>
        <v>유니포인트</v>
      </c>
      <c r="G449" s="168" t="str">
        <f>'3월'!G27</f>
        <v>MA</v>
      </c>
      <c r="H449" s="156" t="str">
        <f>'3월'!H27</f>
        <v>월간-IBM</v>
      </c>
      <c r="I449" s="69" t="str">
        <f>'3월'!I27</f>
        <v>한미약품/한미사이언스 3월 유지정비료 - 3/12회</v>
      </c>
      <c r="J449" s="122">
        <f>'3월'!J27</f>
        <v>1</v>
      </c>
      <c r="K449" s="15">
        <f>'3월'!K27</f>
        <v>11623397</v>
      </c>
      <c r="L449" s="16">
        <f>'3월'!L27</f>
        <v>11623397</v>
      </c>
      <c r="M449" s="16">
        <f>'3월'!M27</f>
        <v>1162339</v>
      </c>
      <c r="N449" s="15">
        <f>'3월'!N27</f>
        <v>12785736</v>
      </c>
      <c r="O449" s="5" t="str">
        <f>'3월'!O27</f>
        <v>완료(4/30)</v>
      </c>
      <c r="P449" s="177" t="str">
        <f>'3월'!P27</f>
        <v>천범석</v>
      </c>
      <c r="Q449" s="5">
        <f>'3월'!Q27</f>
        <v>45741</v>
      </c>
      <c r="R449" s="213"/>
    </row>
    <row r="450" spans="1:18" ht="16.5" customHeight="1">
      <c r="A450" t="s">
        <v>64</v>
      </c>
      <c r="B450" s="10" t="str">
        <f>'3월'!B28</f>
        <v>IK-24012</v>
      </c>
      <c r="C450" s="12"/>
      <c r="D450" s="13">
        <f>'3월'!D28</f>
        <v>45720</v>
      </c>
      <c r="E450" s="155" t="str">
        <f>'3월'!E28</f>
        <v>한국아이씨에스</v>
      </c>
      <c r="F450" s="155" t="str">
        <f>'3월'!F28</f>
        <v>인정보</v>
      </c>
      <c r="G450" s="168" t="str">
        <f>'3월'!G28</f>
        <v>MA</v>
      </c>
      <c r="H450" s="156" t="str">
        <f>'3월'!H28</f>
        <v>월간-IBM</v>
      </c>
      <c r="I450" s="69" t="str">
        <f>'3월'!I28</f>
        <v>대구텍 3월 유지정비료 - 3/6회</v>
      </c>
      <c r="J450" s="122">
        <f>'3월'!J28</f>
        <v>1</v>
      </c>
      <c r="K450" s="15">
        <f>'3월'!K28</f>
        <v>990000</v>
      </c>
      <c r="L450" s="16">
        <f>'3월'!L28</f>
        <v>990000</v>
      </c>
      <c r="M450" s="16">
        <f>'3월'!M28</f>
        <v>99000</v>
      </c>
      <c r="N450" s="15">
        <f>'3월'!N28</f>
        <v>1089000</v>
      </c>
      <c r="O450" s="5" t="str">
        <f>'3월'!O28</f>
        <v>완료(4/30)</v>
      </c>
      <c r="P450" s="177" t="str">
        <f>'3월'!P28</f>
        <v>천범석</v>
      </c>
      <c r="Q450" s="5">
        <f>'3월'!Q28</f>
        <v>45717</v>
      </c>
      <c r="R450" s="213"/>
    </row>
    <row r="451" spans="1:18" ht="16.5" customHeight="1">
      <c r="A451" t="s">
        <v>64</v>
      </c>
      <c r="B451" s="10" t="str">
        <f>'3월'!B29</f>
        <v>IK-24005</v>
      </c>
      <c r="C451" s="12"/>
      <c r="D451" s="13">
        <f>'3월'!D29</f>
        <v>45720</v>
      </c>
      <c r="E451" s="155" t="str">
        <f>'3월'!E29</f>
        <v>한국아이씨에스</v>
      </c>
      <c r="F451" s="155" t="str">
        <f>'3월'!F29</f>
        <v>엔콤</v>
      </c>
      <c r="G451" s="168" t="str">
        <f>'3월'!G29</f>
        <v>MA</v>
      </c>
      <c r="H451" s="156" t="str">
        <f>'3월'!H29</f>
        <v>월간-IBM</v>
      </c>
      <c r="I451" s="69" t="str">
        <f>'3월'!I29</f>
        <v>전북도시가스 3월 유지정비료 - 12/12회</v>
      </c>
      <c r="J451" s="122">
        <f>'3월'!J29</f>
        <v>1</v>
      </c>
      <c r="K451" s="15">
        <f>'3월'!K29</f>
        <v>1263248</v>
      </c>
      <c r="L451" s="16">
        <f>'3월'!L29</f>
        <v>1263248</v>
      </c>
      <c r="M451" s="16">
        <f>'3월'!M29</f>
        <v>126324</v>
      </c>
      <c r="N451" s="15">
        <f>'3월'!N29</f>
        <v>1389572</v>
      </c>
      <c r="O451" s="5" t="str">
        <f>'3월'!O29</f>
        <v>완료(4/30)</v>
      </c>
      <c r="P451" s="177" t="str">
        <f>'3월'!P29</f>
        <v>천범석</v>
      </c>
      <c r="Q451" s="5">
        <f>'3월'!Q29</f>
        <v>45747</v>
      </c>
      <c r="R451" s="213"/>
    </row>
    <row r="452" spans="1:18" ht="16.5" customHeight="1">
      <c r="A452" t="s">
        <v>64</v>
      </c>
      <c r="B452" s="10" t="str">
        <f>'3월'!B30</f>
        <v>IK-22021</v>
      </c>
      <c r="C452" s="12"/>
      <c r="D452" s="13">
        <f>'3월'!D30</f>
        <v>45720</v>
      </c>
      <c r="E452" s="155" t="str">
        <f>'3월'!E30</f>
        <v>한국아이씨에스</v>
      </c>
      <c r="F452" s="155" t="str">
        <f>'3월'!F30</f>
        <v>리온아이티</v>
      </c>
      <c r="G452" s="168" t="str">
        <f>'3월'!G30</f>
        <v>MA</v>
      </c>
      <c r="H452" s="156" t="str">
        <f>'3월'!H30</f>
        <v>월간-IBM</v>
      </c>
      <c r="I452" s="69" t="str">
        <f>'3월'!I30</f>
        <v>문배철강 3월 유지정비료 - 24/36회</v>
      </c>
      <c r="J452" s="122">
        <f>'3월'!J30</f>
        <v>1</v>
      </c>
      <c r="K452" s="15">
        <f>'3월'!K30</f>
        <v>212293</v>
      </c>
      <c r="L452" s="16">
        <f>'3월'!L30</f>
        <v>212293</v>
      </c>
      <c r="M452" s="16">
        <f>'3월'!M30</f>
        <v>21229</v>
      </c>
      <c r="N452" s="15">
        <f>'3월'!N30</f>
        <v>233522</v>
      </c>
      <c r="O452" s="5" t="str">
        <f>'3월'!O30</f>
        <v>완료(4/30)</v>
      </c>
      <c r="P452" s="177" t="str">
        <f>'3월'!P30</f>
        <v>천범석</v>
      </c>
      <c r="Q452" s="5">
        <f>'3월'!Q30</f>
        <v>45747</v>
      </c>
      <c r="R452" s="213"/>
    </row>
    <row r="453" spans="1:18" ht="16.5" customHeight="1">
      <c r="A453" t="s">
        <v>64</v>
      </c>
      <c r="B453" s="10" t="str">
        <f>'3월'!B31</f>
        <v>IK-24013</v>
      </c>
      <c r="C453" s="12"/>
      <c r="D453" s="13">
        <f>'3월'!D31</f>
        <v>45720</v>
      </c>
      <c r="E453" s="155" t="str">
        <f>'3월'!E31</f>
        <v>한국아이씨에스</v>
      </c>
      <c r="F453" s="155" t="str">
        <f>'3월'!F31</f>
        <v>레드텍</v>
      </c>
      <c r="G453" s="168" t="str">
        <f>'3월'!G31</f>
        <v>MA</v>
      </c>
      <c r="H453" s="156" t="str">
        <f>'3월'!H31</f>
        <v>월간-IBM</v>
      </c>
      <c r="I453" s="69" t="str">
        <f>'3월'!I31</f>
        <v>대한상공회의소 3월 유지정비료 - 5/12회</v>
      </c>
      <c r="J453" s="122">
        <f>'3월'!J31</f>
        <v>1</v>
      </c>
      <c r="K453" s="15">
        <f>'3월'!K31</f>
        <v>145780</v>
      </c>
      <c r="L453" s="16">
        <f>'3월'!L31</f>
        <v>145780</v>
      </c>
      <c r="M453" s="16">
        <f>'3월'!M31</f>
        <v>14578</v>
      </c>
      <c r="N453" s="15">
        <f>'3월'!N31</f>
        <v>160358</v>
      </c>
      <c r="O453" s="5" t="str">
        <f>'3월'!O31</f>
        <v>완료(4/30)</v>
      </c>
      <c r="P453" s="177" t="str">
        <f>'3월'!P31</f>
        <v>천범석</v>
      </c>
      <c r="Q453" s="5">
        <f>'3월'!Q31</f>
        <v>45717</v>
      </c>
      <c r="R453" s="213"/>
    </row>
    <row r="454" spans="1:18" ht="16.5" customHeight="1">
      <c r="A454" t="s">
        <v>64</v>
      </c>
      <c r="B454" s="10" t="str">
        <f>'3월'!B32</f>
        <v>IK-22022</v>
      </c>
      <c r="C454" s="12"/>
      <c r="D454" s="13">
        <f>'3월'!D32</f>
        <v>45720</v>
      </c>
      <c r="E454" s="155" t="str">
        <f>'3월'!E32</f>
        <v>한국아이씨에스</v>
      </c>
      <c r="F454" s="155" t="str">
        <f>'3월'!F32</f>
        <v>리온아이티</v>
      </c>
      <c r="G454" s="168" t="str">
        <f>'3월'!G32</f>
        <v>MA</v>
      </c>
      <c r="H454" s="156" t="str">
        <f>'3월'!H32</f>
        <v>월간-IBM</v>
      </c>
      <c r="I454" s="69" t="str">
        <f>'3월'!I32</f>
        <v>한일전기 3월 유지정비료 - 27/36회</v>
      </c>
      <c r="J454" s="122">
        <f>'3월'!J32</f>
        <v>1</v>
      </c>
      <c r="K454" s="15">
        <f>'3월'!K32</f>
        <v>309047</v>
      </c>
      <c r="L454" s="16">
        <f>'3월'!L32</f>
        <v>309047</v>
      </c>
      <c r="M454" s="16">
        <f>'3월'!M32</f>
        <v>30904</v>
      </c>
      <c r="N454" s="15">
        <f>'3월'!N32</f>
        <v>339951</v>
      </c>
      <c r="O454" s="5" t="str">
        <f>'3월'!O32</f>
        <v>완료(4/30)</v>
      </c>
      <c r="P454" s="177" t="str">
        <f>'3월'!P32</f>
        <v>천범석</v>
      </c>
      <c r="Q454" s="5">
        <f>'3월'!Q32</f>
        <v>45658</v>
      </c>
      <c r="R454" s="213" t="str">
        <f>'3월'!R32</f>
        <v>매출분기</v>
      </c>
    </row>
    <row r="455" spans="1:18" ht="16.5" customHeight="1">
      <c r="A455" t="s">
        <v>64</v>
      </c>
      <c r="B455" s="10" t="str">
        <f>'3월'!B33</f>
        <v>LI-24006</v>
      </c>
      <c r="C455" s="12"/>
      <c r="D455" s="13">
        <f>'3월'!D33</f>
        <v>45720</v>
      </c>
      <c r="E455" s="155" t="str">
        <f>'3월'!E33</f>
        <v>한국아이씨에스</v>
      </c>
      <c r="F455" s="155" t="str">
        <f>'3월'!F33</f>
        <v>보해양조</v>
      </c>
      <c r="G455" s="168" t="str">
        <f>'3월'!G33</f>
        <v>MA</v>
      </c>
      <c r="H455" s="156" t="str">
        <f>'3월'!H33</f>
        <v>월간-IBM</v>
      </c>
      <c r="I455" s="69" t="str">
        <f>'3월'!I33</f>
        <v>3월 유지정비료 - 9/12회</v>
      </c>
      <c r="J455" s="122">
        <f>'3월'!J33</f>
        <v>1</v>
      </c>
      <c r="K455" s="15">
        <f>'3월'!K33</f>
        <v>142800</v>
      </c>
      <c r="L455" s="16">
        <f>'3월'!L33</f>
        <v>142800</v>
      </c>
      <c r="M455" s="16">
        <f>'3월'!M33</f>
        <v>14280</v>
      </c>
      <c r="N455" s="15">
        <f>'3월'!N33</f>
        <v>157080</v>
      </c>
      <c r="O455" s="5" t="str">
        <f>'3월'!O33</f>
        <v>완료(4/30)</v>
      </c>
      <c r="P455" s="177" t="str">
        <f>'3월'!P33</f>
        <v>천범석</v>
      </c>
      <c r="Q455" s="5">
        <f>'3월'!Q33</f>
        <v>45741</v>
      </c>
      <c r="R455" s="213"/>
    </row>
    <row r="456" spans="1:18" ht="16.5" customHeight="1">
      <c r="A456" t="s">
        <v>64</v>
      </c>
      <c r="B456" s="10" t="str">
        <f>'3월'!B34</f>
        <v>IK-24002</v>
      </c>
      <c r="C456" s="12"/>
      <c r="D456" s="13">
        <f>'3월'!D34</f>
        <v>45720</v>
      </c>
      <c r="E456" s="155" t="str">
        <f>'3월'!E34</f>
        <v>한국아이씨에스</v>
      </c>
      <c r="F456" s="155" t="str">
        <f>'3월'!F34</f>
        <v>리온아이티</v>
      </c>
      <c r="G456" s="168" t="str">
        <f>'3월'!G34</f>
        <v>MA</v>
      </c>
      <c r="H456" s="156" t="str">
        <f>'3월'!H34</f>
        <v>월간-IBM</v>
      </c>
      <c r="I456" s="69" t="str">
        <f>'3월'!I34</f>
        <v>교세라 3월 유지정비료 - 14/36회</v>
      </c>
      <c r="J456" s="122">
        <f>'3월'!J34</f>
        <v>1</v>
      </c>
      <c r="K456" s="15">
        <f>'3월'!K34</f>
        <v>70422</v>
      </c>
      <c r="L456" s="16">
        <f>'3월'!L34</f>
        <v>70422</v>
      </c>
      <c r="M456" s="16">
        <f>'3월'!M34</f>
        <v>7042</v>
      </c>
      <c r="N456" s="15">
        <f>'3월'!N34</f>
        <v>77464</v>
      </c>
      <c r="O456" s="5" t="str">
        <f>'3월'!O34</f>
        <v>완료(4/30)</v>
      </c>
      <c r="P456" s="177" t="str">
        <f>'3월'!P34</f>
        <v>천범석</v>
      </c>
      <c r="Q456" s="5">
        <f>'3월'!Q34</f>
        <v>45716</v>
      </c>
      <c r="R456" s="213" t="str">
        <f>'3월'!R34</f>
        <v>매출연간</v>
      </c>
    </row>
    <row r="457" spans="1:18" ht="16.5" customHeight="1">
      <c r="A457" t="s">
        <v>64</v>
      </c>
      <c r="B457" s="10" t="str">
        <f>'3월'!B35</f>
        <v>IK-22023</v>
      </c>
      <c r="C457" s="12"/>
      <c r="D457" s="13">
        <f>'3월'!D35</f>
        <v>45720</v>
      </c>
      <c r="E457" s="155" t="str">
        <f>'3월'!E35</f>
        <v>한국아이씨에스</v>
      </c>
      <c r="F457" s="155" t="str">
        <f>'3월'!F35</f>
        <v>리온아이티</v>
      </c>
      <c r="G457" s="168" t="str">
        <f>'3월'!G35</f>
        <v>MA</v>
      </c>
      <c r="H457" s="156" t="str">
        <f>'3월'!H35</f>
        <v>월간-IBM</v>
      </c>
      <c r="I457" s="69" t="str">
        <f>'3월'!I35</f>
        <v>성원제강 3월 유지정비료 - 24/36회</v>
      </c>
      <c r="J457" s="122">
        <f>'3월'!J35</f>
        <v>1</v>
      </c>
      <c r="K457" s="15">
        <f>'3월'!K35</f>
        <v>159761</v>
      </c>
      <c r="L457" s="16">
        <f>'3월'!L35</f>
        <v>159761</v>
      </c>
      <c r="M457" s="16">
        <f>'3월'!M35</f>
        <v>15976</v>
      </c>
      <c r="N457" s="15">
        <f>'3월'!N35</f>
        <v>175737</v>
      </c>
      <c r="O457" s="5" t="str">
        <f>'3월'!O35</f>
        <v>완료(4/30)</v>
      </c>
      <c r="P457" s="177" t="str">
        <f>'3월'!P35</f>
        <v>천범석</v>
      </c>
      <c r="Q457" s="5">
        <f>'3월'!Q35</f>
        <v>45747</v>
      </c>
      <c r="R457" s="213"/>
    </row>
    <row r="458" spans="1:18" ht="16.5" customHeight="1">
      <c r="A458" t="s">
        <v>64</v>
      </c>
      <c r="B458" s="10" t="str">
        <f>'3월'!B36</f>
        <v>IK-24014</v>
      </c>
      <c r="C458" s="12"/>
      <c r="D458" s="13">
        <f>'3월'!D36</f>
        <v>45720</v>
      </c>
      <c r="E458" s="155" t="str">
        <f>'3월'!E36</f>
        <v>한국아이씨에스</v>
      </c>
      <c r="F458" s="155" t="str">
        <f>'3월'!F36</f>
        <v>로보츠</v>
      </c>
      <c r="G458" s="168" t="str">
        <f>'3월'!G36</f>
        <v>MA</v>
      </c>
      <c r="H458" s="156" t="str">
        <f>'3월'!H36</f>
        <v>월간-IBM</v>
      </c>
      <c r="I458" s="69" t="str">
        <f>'3월'!I36</f>
        <v>와이케이케이 3월 유지정비료 - 3/12회</v>
      </c>
      <c r="J458" s="122">
        <f>'3월'!J36</f>
        <v>1</v>
      </c>
      <c r="K458" s="15">
        <f>'3월'!K36</f>
        <v>79496</v>
      </c>
      <c r="L458" s="16">
        <f>'3월'!L36</f>
        <v>79496</v>
      </c>
      <c r="M458" s="16">
        <f>'3월'!M36</f>
        <v>7949</v>
      </c>
      <c r="N458" s="15">
        <f>'3월'!N36</f>
        <v>87445</v>
      </c>
      <c r="O458" s="5" t="str">
        <f>'3월'!O36</f>
        <v>완료(4/30)</v>
      </c>
      <c r="P458" s="177" t="str">
        <f>'3월'!P36</f>
        <v>천범석</v>
      </c>
      <c r="Q458" s="5">
        <f>'3월'!Q36</f>
        <v>45741</v>
      </c>
      <c r="R458" s="213"/>
    </row>
    <row r="459" spans="1:18" ht="16.5" customHeight="1">
      <c r="A459" t="s">
        <v>64</v>
      </c>
      <c r="B459" s="10" t="str">
        <f>'3월'!B37</f>
        <v>LI-24009</v>
      </c>
      <c r="C459" s="12"/>
      <c r="D459" s="13">
        <f>'3월'!D37</f>
        <v>45720</v>
      </c>
      <c r="E459" s="155" t="str">
        <f>'3월'!E37</f>
        <v>한국아이씨에스</v>
      </c>
      <c r="F459" s="155" t="str">
        <f>'3월'!F37</f>
        <v>아이리스인포테크</v>
      </c>
      <c r="G459" s="168" t="str">
        <f>'3월'!G37</f>
        <v>MA</v>
      </c>
      <c r="H459" s="156" t="str">
        <f>'3월'!H37</f>
        <v>월간-IBM</v>
      </c>
      <c r="I459" s="69" t="str">
        <f>'3월'!I37</f>
        <v>프레이저플레이스 3월 유지정비료 - 8/12회</v>
      </c>
      <c r="J459" s="122">
        <f>'3월'!J37</f>
        <v>1</v>
      </c>
      <c r="K459" s="15">
        <f>'3월'!K37</f>
        <v>95200</v>
      </c>
      <c r="L459" s="16">
        <f>'3월'!L37</f>
        <v>95200</v>
      </c>
      <c r="M459" s="16">
        <f>'3월'!M37</f>
        <v>9520</v>
      </c>
      <c r="N459" s="15">
        <f>'3월'!N37</f>
        <v>104720</v>
      </c>
      <c r="O459" s="5" t="str">
        <f>'3월'!O37</f>
        <v>완료(4/30)</v>
      </c>
      <c r="P459" s="177" t="str">
        <f>'3월'!P37</f>
        <v>천범석</v>
      </c>
      <c r="Q459" s="5">
        <f>'3월'!Q37</f>
        <v>45716</v>
      </c>
      <c r="R459" s="213" t="str">
        <f>'3월'!R37</f>
        <v>매출분기</v>
      </c>
    </row>
    <row r="460" spans="1:18" ht="16.5" customHeight="1">
      <c r="A460" t="s">
        <v>64</v>
      </c>
      <c r="B460" s="10" t="str">
        <f>'3월'!B38</f>
        <v>SM-25008
SM-25009</v>
      </c>
      <c r="C460" s="12"/>
      <c r="D460" s="13">
        <f>'3월'!D38</f>
        <v>45720</v>
      </c>
      <c r="E460" s="155" t="str">
        <f>'3월'!E38</f>
        <v>프로미스</v>
      </c>
      <c r="F460" s="155" t="str">
        <f>'3월'!F38</f>
        <v>유니포인트</v>
      </c>
      <c r="G460" s="168" t="str">
        <f>'3월'!G38</f>
        <v>MA</v>
      </c>
      <c r="H460" s="156" t="str">
        <f>'3월'!H38</f>
        <v>분기</v>
      </c>
      <c r="I460" s="69" t="str">
        <f>'3월'!I38</f>
        <v>스마트로 유지보수 25년 1Q</v>
      </c>
      <c r="J460" s="122">
        <f>'3월'!J38</f>
        <v>1</v>
      </c>
      <c r="K460" s="15">
        <f>'3월'!K38</f>
        <v>14000000</v>
      </c>
      <c r="L460" s="16">
        <f>'3월'!L38</f>
        <v>14000000</v>
      </c>
      <c r="M460" s="16">
        <f>'3월'!M38</f>
        <v>1400000</v>
      </c>
      <c r="N460" s="15">
        <f>'3월'!N38</f>
        <v>15400000</v>
      </c>
      <c r="O460" s="5" t="str">
        <f>'3월'!O38</f>
        <v>완료(3/24)</v>
      </c>
      <c r="P460" s="177" t="str">
        <f>'3월'!P38</f>
        <v>이예지</v>
      </c>
      <c r="Q460" s="5" t="str">
        <f>'3월'!Q38</f>
        <v>1/24,2/28/,3/31</v>
      </c>
      <c r="R460" s="213"/>
    </row>
    <row r="461" spans="1:18" ht="16.5" customHeight="1">
      <c r="A461" t="s">
        <v>64</v>
      </c>
      <c r="B461" s="10" t="str">
        <f>'3월'!B39</f>
        <v>SM-23033</v>
      </c>
      <c r="C461" s="12"/>
      <c r="D461" s="13">
        <f>'3월'!D39</f>
        <v>45720</v>
      </c>
      <c r="E461" s="155" t="str">
        <f>'3월'!E39</f>
        <v>프로미스</v>
      </c>
      <c r="F461" s="155" t="str">
        <f>'3월'!F39</f>
        <v>강북21세기병원</v>
      </c>
      <c r="G461" s="168" t="str">
        <f>'3월'!G39</f>
        <v>MA</v>
      </c>
      <c r="H461" s="156" t="str">
        <f>'3월'!H39</f>
        <v>연간</v>
      </c>
      <c r="I461" s="69" t="str">
        <f>'3월'!I39</f>
        <v>연간 24년(23.12~24.11)</v>
      </c>
      <c r="J461" s="122">
        <f>'3월'!J39</f>
        <v>1</v>
      </c>
      <c r="K461" s="15">
        <f>'3월'!K39</f>
        <v>1200000</v>
      </c>
      <c r="L461" s="16">
        <f>'3월'!L39</f>
        <v>1200000</v>
      </c>
      <c r="M461" s="16">
        <f>'3월'!M39</f>
        <v>120000</v>
      </c>
      <c r="N461" s="15">
        <f>'3월'!N39</f>
        <v>1320000</v>
      </c>
      <c r="O461" s="5" t="str">
        <f>'3월'!O39</f>
        <v>완료(3/24)</v>
      </c>
      <c r="P461" s="177" t="str">
        <f>'3월'!P39</f>
        <v>천범석</v>
      </c>
      <c r="Q461" s="5" t="str">
        <f>'3월'!Q39</f>
        <v>23/12/25~</v>
      </c>
      <c r="R461" s="213" t="str">
        <f>'3월'!R39</f>
        <v>매출월간</v>
      </c>
    </row>
    <row r="462" spans="1:18" ht="16.5" customHeight="1">
      <c r="A462" t="s">
        <v>64</v>
      </c>
      <c r="B462" s="10" t="str">
        <f>'3월'!B40</f>
        <v>SB-24031</v>
      </c>
      <c r="C462" s="12"/>
      <c r="D462" s="13">
        <f>'3월'!D40</f>
        <v>45720</v>
      </c>
      <c r="E462" s="155" t="str">
        <f>'3월'!E40</f>
        <v>프로미스</v>
      </c>
      <c r="F462" s="155" t="str">
        <f>'3월'!F40</f>
        <v>데이타메트렉스</v>
      </c>
      <c r="G462" s="168" t="str">
        <f>'3월'!G40</f>
        <v>MA</v>
      </c>
      <c r="H462" s="156" t="str">
        <f>'3월'!H40</f>
        <v>반기</v>
      </c>
      <c r="I462" s="69" t="str">
        <f>'3월'!I40</f>
        <v>하이마트 MA (24.12~25.5) - 반기</v>
      </c>
      <c r="J462" s="122">
        <f>'3월'!J40</f>
        <v>1</v>
      </c>
      <c r="K462" s="15">
        <f>'3월'!K40</f>
        <v>2160000</v>
      </c>
      <c r="L462" s="16">
        <f>'3월'!L40</f>
        <v>2160000</v>
      </c>
      <c r="M462" s="16">
        <f>'3월'!M40</f>
        <v>216000</v>
      </c>
      <c r="N462" s="15">
        <f>'3월'!N40</f>
        <v>2376000</v>
      </c>
      <c r="O462" s="5" t="str">
        <f>'3월'!O40</f>
        <v>완료(3/24)</v>
      </c>
      <c r="P462" s="177" t="str">
        <f>'3월'!P40</f>
        <v>천범석</v>
      </c>
      <c r="Q462" s="5" t="str">
        <f>'3월'!Q40</f>
        <v>12/27~</v>
      </c>
      <c r="R462" s="213" t="str">
        <f>'3월'!R40</f>
        <v>매출월간</v>
      </c>
    </row>
    <row r="463" spans="1:18" ht="16.5" customHeight="1">
      <c r="A463" t="s">
        <v>64</v>
      </c>
      <c r="B463" s="10" t="str">
        <f>'3월'!B41</f>
        <v>LI-24005</v>
      </c>
      <c r="C463" s="12"/>
      <c r="D463" s="13">
        <f>'3월'!D41</f>
        <v>45720</v>
      </c>
      <c r="E463" s="155" t="str">
        <f>'3월'!E41</f>
        <v>프로미스</v>
      </c>
      <c r="F463" s="155" t="str">
        <f>'3월'!F41</f>
        <v>해안건축사사무소</v>
      </c>
      <c r="G463" s="168" t="str">
        <f>'3월'!G41</f>
        <v>MA</v>
      </c>
      <c r="H463" s="156" t="str">
        <f>'3월'!H41</f>
        <v>연간</v>
      </c>
      <c r="I463" s="69" t="str">
        <f>'3월'!I41</f>
        <v>연간(24.06.~25.05)</v>
      </c>
      <c r="J463" s="122">
        <f>'3월'!J41</f>
        <v>1</v>
      </c>
      <c r="K463" s="15">
        <f>'3월'!K41</f>
        <v>6000000</v>
      </c>
      <c r="L463" s="16">
        <f>'3월'!L41</f>
        <v>6000000</v>
      </c>
      <c r="M463" s="16">
        <f>'3월'!M41</f>
        <v>600000</v>
      </c>
      <c r="N463" s="15">
        <f>'3월'!N41</f>
        <v>6600000</v>
      </c>
      <c r="O463" s="5" t="str">
        <f>'3월'!O41</f>
        <v>완료(3/24)</v>
      </c>
      <c r="P463" s="177" t="str">
        <f>'3월'!P41</f>
        <v>천범석</v>
      </c>
      <c r="Q463" s="5" t="str">
        <f>'3월'!Q41</f>
        <v>6/1~</v>
      </c>
      <c r="R463" s="213" t="str">
        <f>'3월'!R41</f>
        <v>매출월간</v>
      </c>
    </row>
    <row r="464" spans="1:18" ht="16.5" customHeight="1">
      <c r="A464" t="s">
        <v>64</v>
      </c>
      <c r="B464" s="10" t="str">
        <f>'3월'!B42</f>
        <v>SB-24041</v>
      </c>
      <c r="C464" s="12"/>
      <c r="D464" s="13">
        <f>'3월'!D42</f>
        <v>45720</v>
      </c>
      <c r="E464" s="155" t="str">
        <f>'3월'!E42</f>
        <v>프로미스</v>
      </c>
      <c r="F464" s="155" t="str">
        <f>'3월'!F42</f>
        <v>이비즈테크</v>
      </c>
      <c r="G464" s="168" t="str">
        <f>'3월'!G42</f>
        <v>MA</v>
      </c>
      <c r="H464" s="156" t="str">
        <f>'3월'!H42</f>
        <v>연간</v>
      </c>
      <c r="I464" s="69" t="str">
        <f>'3월'!I42</f>
        <v>초록우산어린이재단 반기(24.7~25.6)</v>
      </c>
      <c r="J464" s="122">
        <f>'3월'!J42</f>
        <v>1</v>
      </c>
      <c r="K464" s="15">
        <f>'3월'!K42</f>
        <v>1200000</v>
      </c>
      <c r="L464" s="16">
        <f>'3월'!L42</f>
        <v>1200000</v>
      </c>
      <c r="M464" s="16">
        <f>'3월'!M42</f>
        <v>120000</v>
      </c>
      <c r="N464" s="15">
        <f>'3월'!N42</f>
        <v>1320000</v>
      </c>
      <c r="O464" s="5" t="str">
        <f>'3월'!O42</f>
        <v>완료(3/24)</v>
      </c>
      <c r="P464" s="177" t="str">
        <f>'3월'!P42</f>
        <v>천범석</v>
      </c>
      <c r="Q464" s="5" t="str">
        <f>'3월'!Q42</f>
        <v>7/31~</v>
      </c>
      <c r="R464" s="213" t="str">
        <f>'3월'!R42</f>
        <v>매출월간</v>
      </c>
    </row>
    <row r="465" spans="1:18" ht="16.5" customHeight="1">
      <c r="A465" t="s">
        <v>64</v>
      </c>
      <c r="B465" s="10" t="str">
        <f>'3월'!B43</f>
        <v>SM-20023</v>
      </c>
      <c r="C465" s="12"/>
      <c r="D465" s="13">
        <f>'3월'!D43</f>
        <v>45720</v>
      </c>
      <c r="E465" s="155" t="str">
        <f>'3월'!E43</f>
        <v>프로미스</v>
      </c>
      <c r="F465" s="155" t="str">
        <f>'3월'!F43</f>
        <v>비씨엠정보통신</v>
      </c>
      <c r="G465" s="168" t="str">
        <f>'3월'!G43</f>
        <v>MA</v>
      </c>
      <c r="H465" s="156" t="str">
        <f>'3월'!H43</f>
        <v>연간</v>
      </c>
      <c r="I465" s="69" t="str">
        <f>'3월'!I43</f>
        <v>꼬망스 연간 24년(24.9~25.8)</v>
      </c>
      <c r="J465" s="122">
        <f>'3월'!J43</f>
        <v>1</v>
      </c>
      <c r="K465" s="15">
        <f>'3월'!K43</f>
        <v>1800000</v>
      </c>
      <c r="L465" s="16">
        <f>'3월'!L43</f>
        <v>1800000</v>
      </c>
      <c r="M465" s="16">
        <f>'3월'!M43</f>
        <v>180000</v>
      </c>
      <c r="N465" s="15">
        <f>'3월'!N43</f>
        <v>1980000</v>
      </c>
      <c r="O465" s="5" t="str">
        <f>'3월'!O43</f>
        <v>완료(3/24)</v>
      </c>
      <c r="P465" s="177" t="str">
        <f>'3월'!P43</f>
        <v>천범석</v>
      </c>
      <c r="Q465" s="5" t="str">
        <f>'3월'!Q43</f>
        <v>7/25~</v>
      </c>
      <c r="R465" s="213" t="str">
        <f>'3월'!R43</f>
        <v>매출월간</v>
      </c>
    </row>
    <row r="466" spans="1:18" ht="16.5" customHeight="1">
      <c r="A466" t="s">
        <v>64</v>
      </c>
      <c r="B466" s="10" t="str">
        <f>'3월'!B44</f>
        <v>SM-23015</v>
      </c>
      <c r="C466" s="12"/>
      <c r="D466" s="13">
        <f>'3월'!D44</f>
        <v>45720</v>
      </c>
      <c r="E466" s="155" t="str">
        <f>'3월'!E44</f>
        <v>프로미스</v>
      </c>
      <c r="F466" s="155" t="str">
        <f>'3월'!F44</f>
        <v>동원플라스틱</v>
      </c>
      <c r="G466" s="168" t="str">
        <f>'3월'!G44</f>
        <v>MA</v>
      </c>
      <c r="H466" s="156" t="str">
        <f>'3월'!H44</f>
        <v>반기</v>
      </c>
      <c r="I466" s="69" t="str">
        <f>'3월'!I44</f>
        <v>유지정비료 (25.1 ~ 25.06) - 1Q, 2Q</v>
      </c>
      <c r="J466" s="122">
        <f>'3월'!J44</f>
        <v>1</v>
      </c>
      <c r="K466" s="15">
        <f>'3월'!K44</f>
        <v>4800000</v>
      </c>
      <c r="L466" s="16">
        <f>'3월'!L44</f>
        <v>4800000</v>
      </c>
      <c r="M466" s="16">
        <f>'3월'!M44</f>
        <v>480000</v>
      </c>
      <c r="N466" s="15">
        <f>'3월'!N44</f>
        <v>5280000</v>
      </c>
      <c r="O466" s="5" t="str">
        <f>'3월'!O44</f>
        <v>완료(3/24)</v>
      </c>
      <c r="P466" s="177" t="str">
        <f>'3월'!P44</f>
        <v>이예지</v>
      </c>
      <c r="Q466" s="5" t="str">
        <f>'3월'!Q44</f>
        <v>1/1,2/1,3/1,4/1,5/1,6/1</v>
      </c>
      <c r="R466" s="213"/>
    </row>
    <row r="467" spans="1:18" ht="16.5" customHeight="1">
      <c r="A467" t="s">
        <v>64</v>
      </c>
      <c r="B467" s="10" t="str">
        <f>'3월'!B45</f>
        <v>SM-25005</v>
      </c>
      <c r="C467" s="12"/>
      <c r="D467" s="13">
        <f>'3월'!D45</f>
        <v>45720</v>
      </c>
      <c r="E467" s="155" t="str">
        <f>'3월'!E45</f>
        <v>프로미스</v>
      </c>
      <c r="F467" s="155" t="str">
        <f>'3월'!F45</f>
        <v>고영테크놀러지</v>
      </c>
      <c r="G467" s="168" t="str">
        <f>'3월'!G45</f>
        <v>MA</v>
      </c>
      <c r="H467" s="156" t="str">
        <f>'3월'!H45</f>
        <v>분기</v>
      </c>
      <c r="I467" s="69" t="str">
        <f>'3월'!I45</f>
        <v>1분기 유지정비료</v>
      </c>
      <c r="J467" s="122">
        <f>'3월'!J45</f>
        <v>1</v>
      </c>
      <c r="K467" s="15">
        <f>'3월'!K45</f>
        <v>1500000</v>
      </c>
      <c r="L467" s="16">
        <f>'3월'!L45</f>
        <v>1500000</v>
      </c>
      <c r="M467" s="16">
        <f>'3월'!M45</f>
        <v>150000</v>
      </c>
      <c r="N467" s="15">
        <f>'3월'!N45</f>
        <v>1650000</v>
      </c>
      <c r="O467" s="5" t="str">
        <f>'3월'!O45</f>
        <v>완료(3/24)</v>
      </c>
      <c r="P467" s="177" t="str">
        <f>'3월'!P45</f>
        <v>홍승민</v>
      </c>
      <c r="Q467" s="5" t="str">
        <f>'3월'!Q45</f>
        <v>1/24,2/25,3/25</v>
      </c>
      <c r="R467" s="213"/>
    </row>
    <row r="468" spans="1:18" ht="16.5" customHeight="1">
      <c r="A468" t="s">
        <v>64</v>
      </c>
      <c r="B468" s="10" t="str">
        <f>'3월'!B46</f>
        <v>SM-25004</v>
      </c>
      <c r="C468" s="12"/>
      <c r="D468" s="13">
        <f>'3월'!D46</f>
        <v>45720</v>
      </c>
      <c r="E468" s="155" t="str">
        <f>'3월'!E46</f>
        <v>프로미스</v>
      </c>
      <c r="F468" s="155" t="str">
        <f>'3월'!F46</f>
        <v>삼표산업</v>
      </c>
      <c r="G468" s="168" t="str">
        <f>'3월'!G46</f>
        <v>MA</v>
      </c>
      <c r="H468" s="156" t="str">
        <f>'3월'!H46</f>
        <v>분기</v>
      </c>
      <c r="I468" s="69" t="str">
        <f>'3월'!I46</f>
        <v>삼표 MA 25년 (25.01~25.06) - 반기</v>
      </c>
      <c r="J468" s="122">
        <f>'3월'!J46</f>
        <v>1</v>
      </c>
      <c r="K468" s="15">
        <f>'3월'!K46</f>
        <v>6000000</v>
      </c>
      <c r="L468" s="16">
        <f>'3월'!L46</f>
        <v>6000000</v>
      </c>
      <c r="M468" s="16">
        <f>'3월'!M46</f>
        <v>600000</v>
      </c>
      <c r="N468" s="15">
        <f>'3월'!N46</f>
        <v>6600000</v>
      </c>
      <c r="O468" s="5" t="str">
        <f>'3월'!O46</f>
        <v>완료(3/24)</v>
      </c>
      <c r="P468" s="177" t="str">
        <f>'3월'!P46</f>
        <v>홍승민</v>
      </c>
      <c r="Q468" s="5" t="str">
        <f>'3월'!Q46</f>
        <v>1/24,2/28/,3/31</v>
      </c>
      <c r="R468" s="213"/>
    </row>
    <row r="469" spans="1:18" ht="16.5" customHeight="1">
      <c r="A469" t="s">
        <v>64</v>
      </c>
      <c r="B469" s="10" t="str">
        <f>'3월'!B47</f>
        <v>S</v>
      </c>
      <c r="C469" s="12"/>
      <c r="D469" s="13">
        <f>'3월'!D47</f>
        <v>45720</v>
      </c>
      <c r="E469" s="155" t="str">
        <f>'3월'!E47</f>
        <v>프로미스</v>
      </c>
      <c r="F469" s="155" t="str">
        <f>'3월'!F47</f>
        <v>TYK</v>
      </c>
      <c r="G469" s="168" t="str">
        <f>'3월'!G47</f>
        <v>상품</v>
      </c>
      <c r="H469" s="156" t="str">
        <f>'3월'!H47</f>
        <v>기술지원</v>
      </c>
      <c r="I469" s="69" t="str">
        <f>'3월'!I47</f>
        <v>시스템 구축 컨설팅 기술지원</v>
      </c>
      <c r="J469" s="122">
        <f>'3월'!J47</f>
        <v>1</v>
      </c>
      <c r="K469" s="15">
        <f>'3월'!K47</f>
        <v>5070000</v>
      </c>
      <c r="L469" s="16">
        <f>'3월'!L47</f>
        <v>5070000</v>
      </c>
      <c r="M469" s="16">
        <f>'3월'!M47</f>
        <v>507000</v>
      </c>
      <c r="N469" s="15">
        <f>'3월'!N47</f>
        <v>5577000</v>
      </c>
      <c r="O469" s="5" t="str">
        <f>'3월'!O47</f>
        <v>완료(3/24)</v>
      </c>
      <c r="P469" s="177" t="str">
        <f>'3월'!P47</f>
        <v>이예지</v>
      </c>
      <c r="Q469" s="5" t="str">
        <f>'3월'!Q47</f>
        <v>X</v>
      </c>
      <c r="R469" s="213"/>
    </row>
    <row r="470" spans="1:18" ht="16.5" customHeight="1">
      <c r="A470" t="s">
        <v>64</v>
      </c>
      <c r="B470" s="10" t="str">
        <f>'3월'!B48</f>
        <v>H250310</v>
      </c>
      <c r="C470" s="12"/>
      <c r="D470" s="13">
        <f>'3월'!D48</f>
        <v>45720</v>
      </c>
      <c r="E470" s="155" t="str">
        <f>'3월'!E48</f>
        <v>프로미스</v>
      </c>
      <c r="F470" s="155" t="str">
        <f>'3월'!F48</f>
        <v>유니포인트</v>
      </c>
      <c r="G470" s="168" t="str">
        <f>'3월'!G48</f>
        <v>상품</v>
      </c>
      <c r="H470" s="156" t="str">
        <f>'3월'!H48</f>
        <v>기술지원</v>
      </c>
      <c r="I470" s="69" t="str">
        <f>'3월'!I48</f>
        <v>딜라이브 기술지원</v>
      </c>
      <c r="J470" s="122">
        <f>'3월'!J48</f>
        <v>1</v>
      </c>
      <c r="K470" s="15">
        <f>'3월'!K48</f>
        <v>330000</v>
      </c>
      <c r="L470" s="16">
        <f>'3월'!L48</f>
        <v>330000</v>
      </c>
      <c r="M470" s="16">
        <f>'3월'!M48</f>
        <v>33000</v>
      </c>
      <c r="N470" s="15">
        <f>'3월'!N48</f>
        <v>363000</v>
      </c>
      <c r="O470" s="5" t="str">
        <f>'3월'!O48</f>
        <v>완료(3/24)</v>
      </c>
      <c r="P470" s="177" t="str">
        <f>'3월'!P48</f>
        <v>이예지</v>
      </c>
      <c r="Q470" s="5">
        <f>'3월'!Q48</f>
        <v>45673</v>
      </c>
      <c r="R470" s="213"/>
    </row>
    <row r="471" spans="1:18" ht="16.5" customHeight="1">
      <c r="A471" t="s">
        <v>64</v>
      </c>
      <c r="B471" s="10" t="str">
        <f>'3월'!B49</f>
        <v>H250304-01</v>
      </c>
      <c r="C471" s="12"/>
      <c r="D471" s="13">
        <f>'3월'!D49</f>
        <v>45720</v>
      </c>
      <c r="E471" s="155" t="str">
        <f>'3월'!E49</f>
        <v>이비웨이브</v>
      </c>
      <c r="F471" s="155" t="str">
        <f>'3월'!F49</f>
        <v>한국정보기술</v>
      </c>
      <c r="G471" s="168" t="str">
        <f>'3월'!G49</f>
        <v>상품</v>
      </c>
      <c r="H471" s="156" t="str">
        <f>'3월'!H49</f>
        <v>870794-001</v>
      </c>
      <c r="I471" s="69" t="str">
        <f>'3월'!I49</f>
        <v>600GB 15K 12G SAS 2.5inch Enterprise Hard Drive</v>
      </c>
      <c r="J471" s="122">
        <f>'3월'!J49</f>
        <v>1</v>
      </c>
      <c r="K471" s="15">
        <f>'3월'!K49</f>
        <v>180000</v>
      </c>
      <c r="L471" s="16">
        <f>'3월'!L49</f>
        <v>180000</v>
      </c>
      <c r="M471" s="16">
        <f>'3월'!M49</f>
        <v>18000</v>
      </c>
      <c r="N471" s="15">
        <f>'3월'!N49</f>
        <v>198000</v>
      </c>
      <c r="O471" s="5" t="str">
        <f>'3월'!O49</f>
        <v>완료(5/30)</v>
      </c>
      <c r="P471" s="177" t="str">
        <f>'3월'!P49</f>
        <v>천범석</v>
      </c>
      <c r="Q471" s="5">
        <f>'3월'!Q49</f>
        <v>45737</v>
      </c>
      <c r="R471" s="213"/>
    </row>
    <row r="472" spans="1:18" ht="16.5" customHeight="1">
      <c r="A472" t="s">
        <v>64</v>
      </c>
      <c r="B472" s="10" t="str">
        <f>'3월'!B50</f>
        <v>S</v>
      </c>
      <c r="C472" s="12"/>
      <c r="D472" s="13">
        <f>'3월'!D50</f>
        <v>45721</v>
      </c>
      <c r="E472" s="155" t="str">
        <f>'3월'!E50</f>
        <v>로보츠</v>
      </c>
      <c r="F472" s="155"/>
      <c r="G472" s="168" t="str">
        <f>'3월'!G50</f>
        <v>MA</v>
      </c>
      <c r="H472" s="156" t="str">
        <f>'3월'!H50</f>
        <v>기술지원</v>
      </c>
      <c r="I472" s="69" t="str">
        <f>'3월'!I50</f>
        <v>보안취약점 3차 기술지원</v>
      </c>
      <c r="J472" s="122">
        <f>'3월'!J50</f>
        <v>1</v>
      </c>
      <c r="K472" s="15">
        <f>'3월'!K50</f>
        <v>10000000</v>
      </c>
      <c r="L472" s="16">
        <f>'3월'!L50</f>
        <v>10000000</v>
      </c>
      <c r="M472" s="16">
        <f>'3월'!M50</f>
        <v>1000000</v>
      </c>
      <c r="N472" s="15">
        <f>'3월'!N50</f>
        <v>11000000</v>
      </c>
      <c r="O472" s="5" t="str">
        <f>'3월'!O50</f>
        <v>완료(3/25)</v>
      </c>
      <c r="P472" s="177" t="str">
        <f>'3월'!P50</f>
        <v>이예지</v>
      </c>
      <c r="Q472" s="5">
        <f>'3월'!Q50</f>
        <v>45657</v>
      </c>
      <c r="R472" s="213"/>
    </row>
    <row r="473" spans="1:18" ht="16.5" customHeight="1">
      <c r="A473" t="s">
        <v>64</v>
      </c>
      <c r="B473" s="10" t="str">
        <f>'3월'!B51</f>
        <v>SM-24020</v>
      </c>
      <c r="C473" s="12"/>
      <c r="D473" s="13">
        <f>'3월'!D51</f>
        <v>45721</v>
      </c>
      <c r="E473" s="155" t="str">
        <f>'3월'!E51</f>
        <v>로보츠</v>
      </c>
      <c r="F473" s="155" t="str">
        <f>'3월'!F51</f>
        <v>와이케이케이한국</v>
      </c>
      <c r="G473" s="168" t="str">
        <f>'3월'!G51</f>
        <v>MA</v>
      </c>
      <c r="H473" s="156" t="str">
        <f>'3월'!H51</f>
        <v>월간</v>
      </c>
      <c r="I473" s="69" t="str">
        <f>'3월'!I51</f>
        <v>BoardSystem 유지보수 - 3월 (6/12회)</v>
      </c>
      <c r="J473" s="122">
        <f>'3월'!J51</f>
        <v>1</v>
      </c>
      <c r="K473" s="15">
        <f>'3월'!K51</f>
        <v>1060000</v>
      </c>
      <c r="L473" s="16">
        <f>'3월'!L51</f>
        <v>1060000</v>
      </c>
      <c r="M473" s="16">
        <f>'3월'!M51</f>
        <v>106000</v>
      </c>
      <c r="N473" s="15">
        <f>'3월'!N51</f>
        <v>1166000</v>
      </c>
      <c r="O473" s="5" t="str">
        <f>'3월'!O51</f>
        <v>완료(4/30)</v>
      </c>
      <c r="P473" s="177" t="str">
        <f>'3월'!P51</f>
        <v>이예지</v>
      </c>
      <c r="Q473" s="5">
        <f>'3월'!Q51</f>
        <v>45721</v>
      </c>
      <c r="R473" s="213"/>
    </row>
    <row r="474" spans="1:18" ht="16.5" customHeight="1">
      <c r="A474" t="s">
        <v>64</v>
      </c>
      <c r="B474" s="10" t="str">
        <f>'3월'!B52</f>
        <v>D250305-01</v>
      </c>
      <c r="C474" s="12"/>
      <c r="D474" s="13">
        <f>'3월'!D52</f>
        <v>45721</v>
      </c>
      <c r="E474" s="155" t="str">
        <f>'3월'!E52</f>
        <v>컴퓨존</v>
      </c>
      <c r="F474" s="155" t="str">
        <f>'3월'!F52</f>
        <v>고영테크놀러지</v>
      </c>
      <c r="G474" s="168" t="str">
        <f>'3월'!G52</f>
        <v>상품</v>
      </c>
      <c r="H474" s="156" t="str">
        <f>'3월'!H52</f>
        <v>조립PC</v>
      </c>
      <c r="I474" s="69" t="str">
        <f>'3월'!I52</f>
        <v>조립PC</v>
      </c>
      <c r="J474" s="122">
        <f>'3월'!J52</f>
        <v>1</v>
      </c>
      <c r="K474" s="15">
        <f>'3월'!K52</f>
        <v>3161791</v>
      </c>
      <c r="L474" s="16">
        <f>'3월'!L52</f>
        <v>3161791</v>
      </c>
      <c r="M474" s="16">
        <f>'3월'!M52</f>
        <v>316179</v>
      </c>
      <c r="N474" s="15">
        <f>'3월'!N52</f>
        <v>3477970</v>
      </c>
      <c r="O474" s="5" t="str">
        <f>'3월'!O52</f>
        <v>완료(3/5)</v>
      </c>
      <c r="P474" s="177" t="str">
        <f>'3월'!P52</f>
        <v>이지훈</v>
      </c>
      <c r="Q474" s="5">
        <f>'3월'!Q52</f>
        <v>45735</v>
      </c>
      <c r="R474" s="213"/>
    </row>
    <row r="475" spans="1:18" ht="16.5" customHeight="1">
      <c r="A475" t="s">
        <v>64</v>
      </c>
      <c r="B475" s="10" t="str">
        <f>'3월'!B53</f>
        <v>Y250306-01</v>
      </c>
      <c r="C475" s="12"/>
      <c r="D475" s="13">
        <f>'3월'!D53</f>
        <v>45722</v>
      </c>
      <c r="E475" s="155" t="str">
        <f>'3월'!E53</f>
        <v>컴퓨존</v>
      </c>
      <c r="F475" s="155" t="str">
        <f>'3월'!F53</f>
        <v>라온피플</v>
      </c>
      <c r="G475" s="168" t="str">
        <f>'3월'!G53</f>
        <v>상품</v>
      </c>
      <c r="H475" s="156" t="str">
        <f>'3월'!H53</f>
        <v>조립PC</v>
      </c>
      <c r="I475" s="69" t="str">
        <f>'3월'!I53</f>
        <v>조립PC</v>
      </c>
      <c r="J475" s="122">
        <f>'3월'!J53</f>
        <v>1</v>
      </c>
      <c r="K475" s="15">
        <f>'3월'!K53</f>
        <v>3159164</v>
      </c>
      <c r="L475" s="16">
        <f>'3월'!L53</f>
        <v>3159164</v>
      </c>
      <c r="M475" s="16">
        <f>'3월'!M53</f>
        <v>315916</v>
      </c>
      <c r="N475" s="15">
        <f>'3월'!N53</f>
        <v>3475080</v>
      </c>
      <c r="O475" s="5" t="str">
        <f>'3월'!O53</f>
        <v>완료(3/6)</v>
      </c>
      <c r="P475" s="177" t="str">
        <f>'3월'!P53</f>
        <v>홍승민</v>
      </c>
      <c r="Q475" s="5">
        <f>'3월'!Q53</f>
        <v>45733</v>
      </c>
      <c r="R475" s="213"/>
    </row>
    <row r="476" spans="1:18" ht="16.5" customHeight="1">
      <c r="A476" t="s">
        <v>64</v>
      </c>
      <c r="B476" s="10" t="str">
        <f>'3월'!B54</f>
        <v>D250305-01</v>
      </c>
      <c r="C476" s="12"/>
      <c r="D476" s="13">
        <f>'3월'!D54</f>
        <v>45722</v>
      </c>
      <c r="E476" s="155" t="str">
        <f>'3월'!E54</f>
        <v>리더스시스템즈</v>
      </c>
      <c r="F476" s="155" t="str">
        <f>'3월'!F54</f>
        <v>고영테크놀러지</v>
      </c>
      <c r="G476" s="168" t="str">
        <f>'3월'!G54</f>
        <v>상품</v>
      </c>
      <c r="H476" s="156" t="str">
        <f>'3월'!H54</f>
        <v>RTX4500 ADA</v>
      </c>
      <c r="I476" s="69" t="str">
        <f>'3월'!I54</f>
        <v>[NVIDIA] RTX 4500 Ada Generation D6 24GB</v>
      </c>
      <c r="J476" s="122">
        <f>'3월'!J54</f>
        <v>1</v>
      </c>
      <c r="K476" s="15">
        <f>'3월'!K54</f>
        <v>3714000</v>
      </c>
      <c r="L476" s="16">
        <f>'3월'!L54</f>
        <v>3714000</v>
      </c>
      <c r="M476" s="16">
        <f>'3월'!M54</f>
        <v>371400</v>
      </c>
      <c r="N476" s="15">
        <f>'3월'!N54</f>
        <v>4085400</v>
      </c>
      <c r="O476" s="5" t="str">
        <f>'3월'!O54</f>
        <v>완료(3/5)</v>
      </c>
      <c r="P476" s="177" t="str">
        <f>'3월'!P54</f>
        <v>이지훈</v>
      </c>
      <c r="Q476" s="5">
        <f>'3월'!Q54</f>
        <v>45735</v>
      </c>
      <c r="R476" s="213"/>
    </row>
    <row r="477" spans="1:18" ht="16.5" customHeight="1">
      <c r="A477" t="s">
        <v>64</v>
      </c>
      <c r="B477" s="10" t="str">
        <f>'3월'!B55</f>
        <v>H250306-01</v>
      </c>
      <c r="C477" s="12"/>
      <c r="D477" s="13">
        <f>'3월'!D55</f>
        <v>45722</v>
      </c>
      <c r="E477" s="155" t="str">
        <f>'3월'!E55</f>
        <v>이비웨이브</v>
      </c>
      <c r="F477" s="155" t="str">
        <f>'3월'!F55</f>
        <v>아이티엔</v>
      </c>
      <c r="G477" s="168" t="str">
        <f>'3월'!G55</f>
        <v>상품</v>
      </c>
      <c r="H477" s="156" t="str">
        <f>'3월'!H55</f>
        <v>42D0752</v>
      </c>
      <c r="I477" s="69" t="str">
        <f>'3월'!I55</f>
        <v>IBM 500GB 7200 NL SATA 2.5'' SFF Slim-HS HDD</v>
      </c>
      <c r="J477" s="122">
        <f>'3월'!J55</f>
        <v>1</v>
      </c>
      <c r="K477" s="15">
        <f>'3월'!K55</f>
        <v>150000</v>
      </c>
      <c r="L477" s="16">
        <f>'3월'!L55</f>
        <v>150000</v>
      </c>
      <c r="M477" s="16">
        <f>'3월'!M55</f>
        <v>15000</v>
      </c>
      <c r="N477" s="15">
        <f>'3월'!N55</f>
        <v>165000</v>
      </c>
      <c r="O477" s="5" t="str">
        <f>'3월'!O55</f>
        <v>완료(5/30)</v>
      </c>
      <c r="P477" s="177" t="str">
        <f>'3월'!P55</f>
        <v>천범석</v>
      </c>
      <c r="Q477" s="5">
        <f>'3월'!Q55</f>
        <v>45737</v>
      </c>
      <c r="R477" s="213"/>
    </row>
    <row r="478" spans="1:18" ht="16.5" customHeight="1">
      <c r="A478" t="s">
        <v>64</v>
      </c>
      <c r="B478" s="10" t="str">
        <f>'3월'!B56</f>
        <v>SM-23012</v>
      </c>
      <c r="C478" s="12"/>
      <c r="D478" s="13">
        <f>'3월'!D56</f>
        <v>45726</v>
      </c>
      <c r="E478" s="155" t="str">
        <f>'3월'!E56</f>
        <v>엘림넷</v>
      </c>
      <c r="F478" s="155" t="str">
        <f>'3월'!F56</f>
        <v>택스홈앤아웃 본사</v>
      </c>
      <c r="G478" s="168" t="str">
        <f>'3월'!G56</f>
        <v>MA</v>
      </c>
      <c r="H478" s="156" t="str">
        <f>'3월'!H56</f>
        <v>월간</v>
      </c>
      <c r="I478" s="69" t="str">
        <f>'3월'!I56</f>
        <v>전용회선료 외 1건</v>
      </c>
      <c r="J478" s="122">
        <f>'3월'!J56</f>
        <v>1</v>
      </c>
      <c r="K478" s="15">
        <f>'3월'!K56</f>
        <v>213400</v>
      </c>
      <c r="L478" s="16">
        <f>'3월'!L56</f>
        <v>213400</v>
      </c>
      <c r="M478" s="16">
        <f>'3월'!M56</f>
        <v>21340</v>
      </c>
      <c r="N478" s="15">
        <f>'3월'!N56</f>
        <v>234740</v>
      </c>
      <c r="O478" s="5" t="str">
        <f>'3월'!O56</f>
        <v>완료(3/26법카)</v>
      </c>
      <c r="P478" s="177" t="str">
        <f>'3월'!P56</f>
        <v>이예지</v>
      </c>
      <c r="Q478" s="5">
        <f>'3월'!Q56</f>
        <v>45717</v>
      </c>
      <c r="R478" s="213"/>
    </row>
    <row r="479" spans="1:18" ht="16.5" customHeight="1">
      <c r="A479" t="s">
        <v>64</v>
      </c>
      <c r="B479" s="10" t="str">
        <f>'3월'!B57</f>
        <v>SM-23013</v>
      </c>
      <c r="C479" s="12"/>
      <c r="D479" s="13">
        <f>'3월'!D57</f>
        <v>45726</v>
      </c>
      <c r="E479" s="155" t="str">
        <f>'3월'!E57</f>
        <v>엘림넷</v>
      </c>
      <c r="F479" s="155" t="str">
        <f>'3월'!F57</f>
        <v>하이엔드택스 강남지점(압구정)</v>
      </c>
      <c r="G479" s="168" t="str">
        <f>'3월'!G57</f>
        <v>MA</v>
      </c>
      <c r="H479" s="156" t="str">
        <f>'3월'!H57</f>
        <v>월간</v>
      </c>
      <c r="I479" s="69" t="str">
        <f>'3월'!I57</f>
        <v>e-NETner 외 1건</v>
      </c>
      <c r="J479" s="122">
        <f>'3월'!J57</f>
        <v>1</v>
      </c>
      <c r="K479" s="15">
        <f>'3월'!K57</f>
        <v>77600</v>
      </c>
      <c r="L479" s="16">
        <f>'3월'!L57</f>
        <v>77600</v>
      </c>
      <c r="M479" s="16">
        <f>'3월'!M57</f>
        <v>7760</v>
      </c>
      <c r="N479" s="15">
        <f>'3월'!N57</f>
        <v>85360</v>
      </c>
      <c r="O479" s="5" t="str">
        <f>'3월'!O57</f>
        <v>완료(3/26법카)</v>
      </c>
      <c r="P479" s="177" t="str">
        <f>'3월'!P57</f>
        <v>이예지</v>
      </c>
      <c r="Q479" s="5">
        <f>'3월'!Q57</f>
        <v>45717</v>
      </c>
      <c r="R479" s="213"/>
    </row>
    <row r="480" spans="1:18" ht="16.5" customHeight="1">
      <c r="A480" t="s">
        <v>64</v>
      </c>
      <c r="B480" s="10" t="str">
        <f>'3월'!B58</f>
        <v>SM-23012</v>
      </c>
      <c r="C480" s="12"/>
      <c r="D480" s="13">
        <f>'3월'!D58</f>
        <v>45726</v>
      </c>
      <c r="E480" s="155" t="str">
        <f>'3월'!E58</f>
        <v>엘림넷</v>
      </c>
      <c r="F480" s="155" t="str">
        <f>'3월'!F58</f>
        <v>택스홈앤아웃 본사</v>
      </c>
      <c r="G480" s="168" t="str">
        <f>'3월'!G58</f>
        <v>MA</v>
      </c>
      <c r="H480" s="156" t="str">
        <f>'3월'!H58</f>
        <v>월간</v>
      </c>
      <c r="I480" s="69" t="str">
        <f>'3월'!I58</f>
        <v>e-NETner 외 1건</v>
      </c>
      <c r="J480" s="122">
        <f>'3월'!J58</f>
        <v>1</v>
      </c>
      <c r="K480" s="15">
        <f>'3월'!K58</f>
        <v>155200</v>
      </c>
      <c r="L480" s="16">
        <f>'3월'!L58</f>
        <v>155200</v>
      </c>
      <c r="M480" s="16">
        <f>'3월'!M58</f>
        <v>15520</v>
      </c>
      <c r="N480" s="15">
        <f>'3월'!N58</f>
        <v>170720</v>
      </c>
      <c r="O480" s="5" t="str">
        <f>'3월'!O58</f>
        <v>완료(3/26법카)</v>
      </c>
      <c r="P480" s="177" t="str">
        <f>'3월'!P58</f>
        <v>이예지</v>
      </c>
      <c r="Q480" s="5">
        <f>'3월'!Q58</f>
        <v>45717</v>
      </c>
      <c r="R480" s="213"/>
    </row>
    <row r="481" spans="1:18" ht="16.5" customHeight="1">
      <c r="A481" t="s">
        <v>64</v>
      </c>
      <c r="B481" s="10" t="str">
        <f>'3월'!B59</f>
        <v>SM-23013</v>
      </c>
      <c r="C481" s="12"/>
      <c r="D481" s="13">
        <f>'3월'!D59</f>
        <v>45726</v>
      </c>
      <c r="E481" s="155" t="str">
        <f>'3월'!E59</f>
        <v>엘림넷</v>
      </c>
      <c r="F481" s="155" t="str">
        <f>'3월'!F59</f>
        <v>하이엔드택스 강남지점(압구정)</v>
      </c>
      <c r="G481" s="168" t="str">
        <f>'3월'!G59</f>
        <v>MA</v>
      </c>
      <c r="H481" s="156" t="str">
        <f>'3월'!H59</f>
        <v>월간</v>
      </c>
      <c r="I481" s="69" t="str">
        <f>'3월'!I59</f>
        <v>전용회선료 외 1건</v>
      </c>
      <c r="J481" s="122">
        <f>'3월'!J59</f>
        <v>1</v>
      </c>
      <c r="K481" s="15">
        <f>'3월'!K59</f>
        <v>145500</v>
      </c>
      <c r="L481" s="16">
        <f>'3월'!L59</f>
        <v>145500</v>
      </c>
      <c r="M481" s="16">
        <f>'3월'!M59</f>
        <v>14550</v>
      </c>
      <c r="N481" s="15">
        <f>'3월'!N59</f>
        <v>160050</v>
      </c>
      <c r="O481" s="5" t="str">
        <f>'3월'!O59</f>
        <v>완료(3/26법카)</v>
      </c>
      <c r="P481" s="177" t="str">
        <f>'3월'!P59</f>
        <v>이예지</v>
      </c>
      <c r="Q481" s="5">
        <f>'3월'!Q59</f>
        <v>45717</v>
      </c>
      <c r="R481" s="213"/>
    </row>
    <row r="482" spans="1:18" ht="16.5" customHeight="1">
      <c r="A482" t="s">
        <v>64</v>
      </c>
      <c r="B482" s="10" t="str">
        <f>'3월'!B60</f>
        <v>SM-23031</v>
      </c>
      <c r="C482" s="12"/>
      <c r="D482" s="13">
        <f>'3월'!D60</f>
        <v>45727</v>
      </c>
      <c r="E482" s="155" t="str">
        <f>'3월'!E60</f>
        <v>신세계아이앤씨</v>
      </c>
      <c r="F482" s="155" t="str">
        <f>'3월'!F60</f>
        <v>온피아</v>
      </c>
      <c r="G482" s="168" t="str">
        <f>'3월'!G60</f>
        <v>MA</v>
      </c>
      <c r="H482" s="156" t="str">
        <f>'3월'!H60</f>
        <v>월간</v>
      </c>
      <c r="I482" s="69" t="str">
        <f>'3월'!I60</f>
        <v>삼표 DB접근제어 유지보수 3월 - 8/12회</v>
      </c>
      <c r="J482" s="122">
        <f>'3월'!J60</f>
        <v>1</v>
      </c>
      <c r="K482" s="15">
        <f>'3월'!K60</f>
        <v>600000</v>
      </c>
      <c r="L482" s="16">
        <f>'3월'!L60</f>
        <v>600000</v>
      </c>
      <c r="M482" s="16">
        <f>'3월'!M60</f>
        <v>60000</v>
      </c>
      <c r="N482" s="15">
        <f>'3월'!N60</f>
        <v>660000</v>
      </c>
      <c r="O482" s="5" t="str">
        <f>'3월'!O60</f>
        <v>완료(4/30)</v>
      </c>
      <c r="P482" s="177" t="str">
        <f>'3월'!P60</f>
        <v>이예지</v>
      </c>
      <c r="Q482" s="5">
        <f>'3월'!Q60</f>
        <v>45747</v>
      </c>
      <c r="R482" s="213"/>
    </row>
    <row r="483" spans="1:18" ht="16.5" customHeight="1">
      <c r="A483" t="s">
        <v>64</v>
      </c>
      <c r="B483" s="10" t="str">
        <f>'3월'!B61</f>
        <v>H250311-01</v>
      </c>
      <c r="C483" s="12"/>
      <c r="D483" s="13">
        <f>'3월'!D61</f>
        <v>45727</v>
      </c>
      <c r="E483" s="155" t="str">
        <f>'3월'!E61</f>
        <v>이비웨이브</v>
      </c>
      <c r="F483" s="155" t="str">
        <f>'3월'!F61</f>
        <v>티에스씨인포</v>
      </c>
      <c r="G483" s="168" t="str">
        <f>'3월'!G61</f>
        <v>상품</v>
      </c>
      <c r="H483" s="156" t="str">
        <f>'3월'!H61</f>
        <v>69Y2926</v>
      </c>
      <c r="I483" s="69" t="str">
        <f>'3월'!I61</f>
        <v>Controller Battery for DS3512/DS3524</v>
      </c>
      <c r="J483" s="122">
        <f>'3월'!J61</f>
        <v>1</v>
      </c>
      <c r="K483" s="15">
        <f>'3월'!K61</f>
        <v>250000</v>
      </c>
      <c r="L483" s="16">
        <f>'3월'!L61</f>
        <v>250000</v>
      </c>
      <c r="M483" s="16">
        <f>'3월'!M61</f>
        <v>25000</v>
      </c>
      <c r="N483" s="15">
        <f>'3월'!N61</f>
        <v>275000</v>
      </c>
      <c r="O483" s="5" t="str">
        <f>'3월'!O61</f>
        <v>완료(5/30)</v>
      </c>
      <c r="P483" s="177" t="str">
        <f>'3월'!P61</f>
        <v>천범석</v>
      </c>
      <c r="Q483" s="5">
        <f>'3월'!Q61</f>
        <v>45747</v>
      </c>
      <c r="R483" s="213"/>
    </row>
    <row r="484" spans="1:18" ht="16.5" customHeight="1">
      <c r="A484" t="s">
        <v>64</v>
      </c>
      <c r="B484" s="10" t="str">
        <f>'3월'!B62</f>
        <v>H250313-01</v>
      </c>
      <c r="C484" s="12"/>
      <c r="D484" s="13">
        <f>'3월'!D62</f>
        <v>45728</v>
      </c>
      <c r="E484" s="155" t="str">
        <f>'3월'!E62</f>
        <v>이비웨이브</v>
      </c>
      <c r="F484" s="155" t="str">
        <f>'3월'!F62</f>
        <v>씨제이씨지브이 대학로</v>
      </c>
      <c r="G484" s="168" t="str">
        <f>'3월'!G62</f>
        <v>상품</v>
      </c>
      <c r="H484" s="156" t="str">
        <f>'3월'!H62</f>
        <v>42D0767</v>
      </c>
      <c r="I484" s="69" t="str">
        <f>'3월'!I62</f>
        <v>2TB 7.2K 6Gbps NL SAS 3.5" HS HDD</v>
      </c>
      <c r="J484" s="122">
        <f>'3월'!J62</f>
        <v>8</v>
      </c>
      <c r="K484" s="15">
        <f>'3월'!K62</f>
        <v>70000</v>
      </c>
      <c r="L484" s="16">
        <f>'3월'!L62</f>
        <v>560000</v>
      </c>
      <c r="M484" s="16">
        <f>'3월'!M62</f>
        <v>56000</v>
      </c>
      <c r="N484" s="15">
        <f>'3월'!N62</f>
        <v>616000</v>
      </c>
      <c r="O484" s="5" t="str">
        <f>'3월'!O62</f>
        <v>완료(5/30)</v>
      </c>
      <c r="P484" s="177" t="str">
        <f>'3월'!P62</f>
        <v>천범석</v>
      </c>
      <c r="Q484" s="5">
        <f>'3월'!Q62</f>
        <v>45737</v>
      </c>
      <c r="R484" s="213"/>
    </row>
    <row r="485" spans="1:18" ht="16.5" customHeight="1">
      <c r="A485" t="s">
        <v>64</v>
      </c>
      <c r="B485" s="10" t="str">
        <f>'3월'!B63</f>
        <v>X</v>
      </c>
      <c r="C485" s="12"/>
      <c r="D485" s="13">
        <f>'3월'!D63</f>
        <v>45728</v>
      </c>
      <c r="E485" s="155" t="str">
        <f>'3월'!E63</f>
        <v>중소기업은행</v>
      </c>
      <c r="F485" s="155"/>
      <c r="G485" s="168" t="str">
        <f>'3월'!G63</f>
        <v>일반경비</v>
      </c>
      <c r="H485" s="156" t="str">
        <f>'3월'!H63</f>
        <v>지급수수료</v>
      </c>
      <c r="I485" s="69" t="str">
        <f>'3월'!I63</f>
        <v>인증서(은행용)갱신</v>
      </c>
      <c r="J485" s="122">
        <f>'3월'!J63</f>
        <v>1</v>
      </c>
      <c r="K485" s="15">
        <f>'3월'!K63</f>
        <v>4000</v>
      </c>
      <c r="L485" s="16">
        <f>'3월'!L63</f>
        <v>4000</v>
      </c>
      <c r="M485" s="16">
        <f>'3월'!M63</f>
        <v>400</v>
      </c>
      <c r="N485" s="15">
        <f>'3월'!N63</f>
        <v>4400</v>
      </c>
      <c r="O485" s="5" t="str">
        <f>'3월'!O63</f>
        <v>완료(3/12)</v>
      </c>
      <c r="P485" s="177" t="str">
        <f>'3월'!P63</f>
        <v>정지우</v>
      </c>
      <c r="Q485" s="5" t="str">
        <f>'3월'!Q63</f>
        <v>X</v>
      </c>
      <c r="R485" s="213"/>
    </row>
    <row r="486" spans="1:18" ht="16.5" customHeight="1">
      <c r="A486" t="s">
        <v>64</v>
      </c>
      <c r="B486" s="10" t="str">
        <f>'3월'!B64</f>
        <v>H250318-02</v>
      </c>
      <c r="C486" s="12"/>
      <c r="D486" s="13">
        <f>'3월'!D64</f>
        <v>45730</v>
      </c>
      <c r="E486" s="155" t="str">
        <f>'3월'!E64</f>
        <v>테이아인포</v>
      </c>
      <c r="F486" s="155" t="str">
        <f>'3월'!F64</f>
        <v>제이원아이티시스템</v>
      </c>
      <c r="G486" s="168" t="str">
        <f>'3월'!G64</f>
        <v>상품</v>
      </c>
      <c r="H486" s="156" t="str">
        <f>'3월'!H64</f>
        <v>기술지원</v>
      </c>
      <c r="I486" s="69" t="str">
        <f>'3월'!I64</f>
        <v>스토리지 기술지원</v>
      </c>
      <c r="J486" s="122">
        <f>'3월'!J64</f>
        <v>1</v>
      </c>
      <c r="K486" s="15">
        <f>'3월'!K64</f>
        <v>500000</v>
      </c>
      <c r="L486" s="16">
        <f>'3월'!L64</f>
        <v>500000</v>
      </c>
      <c r="M486" s="16">
        <f>'3월'!M64</f>
        <v>50000</v>
      </c>
      <c r="N486" s="15">
        <f>'3월'!N64</f>
        <v>550000</v>
      </c>
      <c r="O486" s="5" t="str">
        <f>'3월'!O64</f>
        <v>완료(6/23)</v>
      </c>
      <c r="P486" s="177" t="str">
        <f>'3월'!P64</f>
        <v>이예지</v>
      </c>
      <c r="Q486" s="5">
        <f>'3월'!Q64</f>
        <v>45734</v>
      </c>
      <c r="R486" s="213"/>
    </row>
    <row r="487" spans="1:18" ht="16.5" customHeight="1">
      <c r="A487" t="s">
        <v>64</v>
      </c>
      <c r="B487" s="10" t="str">
        <f>'3월'!B65</f>
        <v>H250310</v>
      </c>
      <c r="C487" s="12"/>
      <c r="D487" s="13">
        <f>'3월'!D65</f>
        <v>45730</v>
      </c>
      <c r="E487" s="155" t="str">
        <f>'3월'!E65</f>
        <v>컴퓨존</v>
      </c>
      <c r="F487" s="155" t="str">
        <f>'3월'!F65</f>
        <v>유니포인트</v>
      </c>
      <c r="G487" s="168" t="str">
        <f>'3월'!G65</f>
        <v>상품</v>
      </c>
      <c r="H487" s="156" t="str">
        <f>'3월'!H65</f>
        <v>케이블</v>
      </c>
      <c r="I487" s="69" t="str">
        <f>'3월'!I65</f>
        <v>LC-LC OM3, 멀티 광점퍼코드 5M</v>
      </c>
      <c r="J487" s="122">
        <f>'3월'!J65</f>
        <v>32</v>
      </c>
      <c r="K487" s="15">
        <f>'3월'!K65</f>
        <v>7045.454545454545</v>
      </c>
      <c r="L487" s="16">
        <f>'3월'!L65</f>
        <v>225455</v>
      </c>
      <c r="M487" s="16">
        <f>'3월'!M65</f>
        <v>22545</v>
      </c>
      <c r="N487" s="15">
        <f>'3월'!N65</f>
        <v>248000</v>
      </c>
      <c r="O487" s="5" t="str">
        <f>'3월'!O65</f>
        <v>완료(3/14)</v>
      </c>
      <c r="P487" s="177" t="str">
        <f>'3월'!P65</f>
        <v>이예지</v>
      </c>
      <c r="Q487" s="5">
        <f>'3월'!Q65</f>
        <v>45673</v>
      </c>
      <c r="R487" s="213"/>
    </row>
    <row r="488" spans="1:18" ht="16.5" customHeight="1">
      <c r="A488" t="s">
        <v>64</v>
      </c>
      <c r="B488" s="10" t="str">
        <f>'3월'!B66</f>
        <v>SM-20017</v>
      </c>
      <c r="C488" s="12"/>
      <c r="D488" s="13">
        <f>'3월'!D66</f>
        <v>45731</v>
      </c>
      <c r="E488" s="155" t="str">
        <f>'3월'!E66</f>
        <v>에스엔에이</v>
      </c>
      <c r="F488" s="155" t="str">
        <f>'3월'!F66</f>
        <v>해안종합건축사사무소</v>
      </c>
      <c r="G488" s="168" t="str">
        <f>'3월'!G66</f>
        <v>MA</v>
      </c>
      <c r="H488" s="156" t="str">
        <f>'3월'!H66</f>
        <v>기술지원</v>
      </c>
      <c r="I488" s="69" t="str">
        <f>'3월'!I66</f>
        <v>HP 1630 유지보수 3월 - 10/12회</v>
      </c>
      <c r="J488" s="122">
        <f>'3월'!J66</f>
        <v>1</v>
      </c>
      <c r="K488" s="15">
        <f>'3월'!K66</f>
        <v>200000</v>
      </c>
      <c r="L488" s="16">
        <f>'3월'!L66</f>
        <v>200000</v>
      </c>
      <c r="M488" s="16">
        <f>'3월'!M66</f>
        <v>20000</v>
      </c>
      <c r="N488" s="15">
        <f>'3월'!N66</f>
        <v>220000</v>
      </c>
      <c r="O488" s="5" t="str">
        <f>'3월'!O66</f>
        <v>완료(5/30)</v>
      </c>
      <c r="P488" s="177" t="str">
        <f>'3월'!P66</f>
        <v>천범석</v>
      </c>
      <c r="Q488" s="5">
        <f>'3월'!Q66</f>
        <v>45717</v>
      </c>
      <c r="R488" s="213"/>
    </row>
    <row r="489" spans="1:18" ht="16.5" customHeight="1">
      <c r="A489" t="s">
        <v>64</v>
      </c>
      <c r="B489" s="10" t="str">
        <f>'3월'!B67</f>
        <v>S</v>
      </c>
      <c r="C489" s="12"/>
      <c r="D489" s="13">
        <f>'3월'!D67</f>
        <v>45731</v>
      </c>
      <c r="E489" s="155" t="str">
        <f>'3월'!E67</f>
        <v>프로미스</v>
      </c>
      <c r="F489" s="155"/>
      <c r="G489" s="168" t="str">
        <f>'3월'!G67</f>
        <v>상품</v>
      </c>
      <c r="H489" s="156" t="str">
        <f>'3월'!H67</f>
        <v>기술지원</v>
      </c>
      <c r="I489" s="69" t="str">
        <f>'3월'!I67</f>
        <v>보안취약 작업(HP) #3</v>
      </c>
      <c r="J489" s="122">
        <f>'3월'!J67</f>
        <v>1</v>
      </c>
      <c r="K489" s="15">
        <f>'3월'!K67</f>
        <v>10000000</v>
      </c>
      <c r="L489" s="16">
        <f>'3월'!L67</f>
        <v>10000000</v>
      </c>
      <c r="M489" s="16">
        <f>'3월'!M67</f>
        <v>1000000</v>
      </c>
      <c r="N489" s="15">
        <f>'3월'!N67</f>
        <v>11000000</v>
      </c>
      <c r="O489" s="5" t="str">
        <f>'3월'!O67</f>
        <v>완료(3/24)</v>
      </c>
      <c r="P489" s="177" t="str">
        <f>'3월'!P67</f>
        <v>이예지</v>
      </c>
      <c r="Q489" s="5">
        <f>'3월'!Q67</f>
        <v>45643</v>
      </c>
      <c r="R489" s="213"/>
    </row>
    <row r="490" spans="1:18" ht="16.5" customHeight="1">
      <c r="A490" t="s">
        <v>64</v>
      </c>
      <c r="B490" s="10" t="str">
        <f>'3월'!B68</f>
        <v>S</v>
      </c>
      <c r="C490" s="12"/>
      <c r="D490" s="13">
        <f>'3월'!D68</f>
        <v>45733</v>
      </c>
      <c r="E490" s="155" t="str">
        <f>'3월'!E68</f>
        <v>로보츠</v>
      </c>
      <c r="F490" s="155"/>
      <c r="G490" s="168" t="str">
        <f>'3월'!G68</f>
        <v>상품</v>
      </c>
      <c r="H490" s="156" t="str">
        <f>'3월'!H68</f>
        <v>PC</v>
      </c>
      <c r="I490" s="69" t="str">
        <f>'3월'!I68</f>
        <v xml:space="preserve">LG 슬림PC 외 </v>
      </c>
      <c r="J490" s="122">
        <f>'3월'!J68</f>
        <v>1</v>
      </c>
      <c r="K490" s="15">
        <f>'3월'!K68</f>
        <v>1499000</v>
      </c>
      <c r="L490" s="16">
        <f>'3월'!L68</f>
        <v>1499000</v>
      </c>
      <c r="M490" s="16">
        <f>'3월'!M68</f>
        <v>149900</v>
      </c>
      <c r="N490" s="15">
        <f>'3월'!N68</f>
        <v>1648900</v>
      </c>
      <c r="O490" s="5" t="str">
        <f>'3월'!O68</f>
        <v>완료(4/30)</v>
      </c>
      <c r="P490" s="177" t="str">
        <f>'3월'!P68</f>
        <v>이예지</v>
      </c>
      <c r="Q490" s="5">
        <f>'3월'!Q68</f>
        <v>45729</v>
      </c>
      <c r="R490" s="213"/>
    </row>
    <row r="491" spans="1:18" ht="16.5" customHeight="1">
      <c r="A491" t="s">
        <v>64</v>
      </c>
      <c r="B491" s="10" t="str">
        <f>'3월'!B69</f>
        <v>X</v>
      </c>
      <c r="C491" s="12"/>
      <c r="D491" s="13">
        <f>'3월'!D69</f>
        <v>45733</v>
      </c>
      <c r="E491" s="155" t="str">
        <f>'3월'!E69</f>
        <v>광명역자이타워관리단</v>
      </c>
      <c r="F491" s="155" t="str">
        <f>'3월'!F69</f>
        <v>광명자이 A1811호</v>
      </c>
      <c r="G491" s="168" t="str">
        <f>'3월'!G69</f>
        <v>일반경비</v>
      </c>
      <c r="H491" s="156" t="str">
        <f>'3월'!H69</f>
        <v>건물관리</v>
      </c>
      <c r="I491" s="69" t="str">
        <f>'3월'!I69</f>
        <v>2월분관리비 과세분</v>
      </c>
      <c r="J491" s="122">
        <f>'3월'!J69</f>
        <v>1</v>
      </c>
      <c r="K491" s="15">
        <f>'3월'!K69</f>
        <v>88110</v>
      </c>
      <c r="L491" s="16">
        <f>'3월'!L69</f>
        <v>88110</v>
      </c>
      <c r="M491" s="16">
        <f>'3월'!M69</f>
        <v>8810</v>
      </c>
      <c r="N491" s="15">
        <f>'3월'!N69</f>
        <v>96920</v>
      </c>
      <c r="O491" s="5" t="str">
        <f>'3월'!O69</f>
        <v>완료(3/31)</v>
      </c>
      <c r="P491" s="177" t="str">
        <f>'3월'!P69</f>
        <v>정지우</v>
      </c>
      <c r="Q491" s="5" t="str">
        <f>'3월'!Q69</f>
        <v>X</v>
      </c>
      <c r="R491" s="213"/>
    </row>
    <row r="492" spans="1:18" ht="16.5" customHeight="1">
      <c r="A492" t="s">
        <v>64</v>
      </c>
      <c r="B492" s="10" t="str">
        <f>'3월'!B70</f>
        <v>X</v>
      </c>
      <c r="C492" s="12"/>
      <c r="D492" s="13">
        <f>'3월'!D70</f>
        <v>45733</v>
      </c>
      <c r="E492" s="155" t="str">
        <f>'3월'!E70</f>
        <v>광명역자이타워관리단</v>
      </c>
      <c r="F492" s="155" t="str">
        <f>'3월'!F70</f>
        <v>광명자이 A1811호</v>
      </c>
      <c r="G492" s="156" t="str">
        <f>'3월'!G70</f>
        <v>일반경비</v>
      </c>
      <c r="H492" s="156" t="str">
        <f>'3월'!H70</f>
        <v>건물관리</v>
      </c>
      <c r="I492" s="69" t="str">
        <f>'3월'!I70</f>
        <v>2월분관리비 면세분</v>
      </c>
      <c r="J492" s="122">
        <f>'3월'!J70</f>
        <v>1</v>
      </c>
      <c r="K492" s="15">
        <f>'3월'!K70</f>
        <v>8090</v>
      </c>
      <c r="L492" s="16">
        <f>'3월'!L70</f>
        <v>8090</v>
      </c>
      <c r="M492" s="16" t="str">
        <f>'3월'!M70</f>
        <v>X</v>
      </c>
      <c r="N492" s="15">
        <f>'3월'!N70</f>
        <v>8090</v>
      </c>
      <c r="O492" s="5" t="str">
        <f>'3월'!O70</f>
        <v>완료(3/31)</v>
      </c>
      <c r="P492" s="9" t="str">
        <f>'3월'!P70</f>
        <v>정지우</v>
      </c>
      <c r="Q492" s="5" t="str">
        <f>'3월'!Q70</f>
        <v>X</v>
      </c>
      <c r="R492" s="213"/>
    </row>
    <row r="493" spans="1:18" ht="16.5" customHeight="1">
      <c r="A493" t="s">
        <v>64</v>
      </c>
      <c r="B493" s="10" t="str">
        <f>'3월'!B71</f>
        <v>Y250318-01</v>
      </c>
      <c r="C493" s="12"/>
      <c r="D493" s="13">
        <f>'3월'!D71</f>
        <v>45734</v>
      </c>
      <c r="E493" s="155" t="str">
        <f>'3월'!E71</f>
        <v>컴퓨존</v>
      </c>
      <c r="F493" s="155" t="str">
        <f>'3월'!F71</f>
        <v>리드피플</v>
      </c>
      <c r="G493" s="168" t="str">
        <f>'3월'!G71</f>
        <v>상품</v>
      </c>
      <c r="H493" s="156" t="str">
        <f>'3월'!H71</f>
        <v>PC</v>
      </c>
      <c r="I493" s="69" t="str">
        <f>'3월'!I71</f>
        <v>조립PC</v>
      </c>
      <c r="J493" s="122">
        <f>'3월'!J71</f>
        <v>1</v>
      </c>
      <c r="K493" s="15">
        <f>'3월'!K71</f>
        <v>2173245</v>
      </c>
      <c r="L493" s="16">
        <f>'3월'!L71</f>
        <v>2173245</v>
      </c>
      <c r="M493" s="16">
        <f>'3월'!M71</f>
        <v>217325</v>
      </c>
      <c r="N493" s="15">
        <f>'3월'!N71</f>
        <v>2390570</v>
      </c>
      <c r="O493" s="5" t="str">
        <f>'3월'!O71</f>
        <v>완료(3/18)</v>
      </c>
      <c r="P493" s="177" t="str">
        <f>'3월'!P71</f>
        <v>이예지</v>
      </c>
      <c r="Q493" s="5">
        <f>'3월'!Q71</f>
        <v>45749</v>
      </c>
      <c r="R493" s="213"/>
    </row>
    <row r="494" spans="1:18" ht="16.5" customHeight="1">
      <c r="A494" t="s">
        <v>64</v>
      </c>
      <c r="B494" s="10" t="str">
        <f>'3월'!B72</f>
        <v>SM-23023</v>
      </c>
      <c r="C494" s="12"/>
      <c r="D494" s="13">
        <f>'3월'!D72</f>
        <v>45736</v>
      </c>
      <c r="E494" s="155" t="str">
        <f>'3월'!E72</f>
        <v>이올테크</v>
      </c>
      <c r="F494" s="155" t="str">
        <f>'3월'!F72</f>
        <v>중앙유통단지관리운영회</v>
      </c>
      <c r="G494" s="168" t="str">
        <f>'3월'!G72</f>
        <v>MA</v>
      </c>
      <c r="H494" s="156" t="str">
        <f>'3월'!H72</f>
        <v>월간</v>
      </c>
      <c r="I494" s="69" t="str">
        <f>'3월'!I72</f>
        <v>3월 유지정비료 - 18/36회</v>
      </c>
      <c r="J494" s="122">
        <f>'3월'!J72</f>
        <v>1</v>
      </c>
      <c r="K494" s="15">
        <f>'3월'!K72</f>
        <v>370000</v>
      </c>
      <c r="L494" s="16">
        <f>'3월'!L72</f>
        <v>370000</v>
      </c>
      <c r="M494" s="16">
        <f>'3월'!M72</f>
        <v>37000</v>
      </c>
      <c r="N494" s="15">
        <f>'3월'!N72</f>
        <v>407000</v>
      </c>
      <c r="O494" s="5" t="str">
        <f>'3월'!O72</f>
        <v>완료(3/31)</v>
      </c>
      <c r="P494" s="177" t="str">
        <f>'3월'!P72</f>
        <v>천범석</v>
      </c>
      <c r="Q494" s="5">
        <f>'3월'!Q72</f>
        <v>45736</v>
      </c>
      <c r="R494" s="213"/>
    </row>
    <row r="495" spans="1:18" ht="84" customHeight="1">
      <c r="A495" t="s">
        <v>64</v>
      </c>
      <c r="B495" s="146" t="str">
        <f>'3월'!B73</f>
        <v>X</v>
      </c>
      <c r="C495" s="12"/>
      <c r="D495" s="13">
        <f>'3월'!D73</f>
        <v>45737</v>
      </c>
      <c r="E495" s="155" t="str">
        <f>'3월'!E73</f>
        <v>아이엠캐피탈</v>
      </c>
      <c r="F495" s="155"/>
      <c r="G495" s="156" t="str">
        <f>'3월'!G73</f>
        <v>일반경비</v>
      </c>
      <c r="H495" s="156" t="str">
        <f>'3월'!H73</f>
        <v>차량유지비</v>
      </c>
      <c r="I495" s="162" t="str">
        <f>'3월'!I73</f>
        <v>법인차량(262무2108) 리스료898,500
선납렌탈료 551,270 -34/37회차</v>
      </c>
      <c r="J495" s="122">
        <f>'3월'!J73</f>
        <v>1</v>
      </c>
      <c r="K495" s="15">
        <f>'3월'!K73</f>
        <v>1449770</v>
      </c>
      <c r="L495" s="16">
        <f>'3월'!L73</f>
        <v>1449770</v>
      </c>
      <c r="M495" s="16" t="str">
        <f>'3월'!M73</f>
        <v>X</v>
      </c>
      <c r="N495" s="15">
        <f>'3월'!N73</f>
        <v>1449770</v>
      </c>
      <c r="O495" s="197" t="str">
        <f>'3월'!O73</f>
        <v>자동이체898,500
(3/21)
선납551,270
(22/4/21)</v>
      </c>
      <c r="P495" s="9" t="str">
        <f>'3월'!P73</f>
        <v>정지우</v>
      </c>
      <c r="Q495" s="5" t="str">
        <f>'3월'!Q73</f>
        <v>X</v>
      </c>
      <c r="R495" s="209" t="str">
        <f>'3월'!R73</f>
        <v>비과세</v>
      </c>
    </row>
    <row r="496" spans="1:18" ht="16.5" customHeight="1">
      <c r="A496" t="s">
        <v>64</v>
      </c>
      <c r="B496" s="10" t="str">
        <f>'3월'!B74</f>
        <v>H250321-02</v>
      </c>
      <c r="C496" s="12"/>
      <c r="D496" s="13">
        <f>'3월'!D74</f>
        <v>45737</v>
      </c>
      <c r="E496" s="155" t="str">
        <f>'3월'!E74</f>
        <v>컴퓨존</v>
      </c>
      <c r="F496" s="155" t="str">
        <f>'3월'!F74</f>
        <v>브리티쉬아메리칸토바코</v>
      </c>
      <c r="G496" s="168" t="str">
        <f>'3월'!G74</f>
        <v>상품</v>
      </c>
      <c r="H496" s="156" t="str">
        <f>'3월'!H74</f>
        <v>커넥터</v>
      </c>
      <c r="I496" s="69" t="str">
        <f>'3월'!I74</f>
        <v>보안키,커넥터</v>
      </c>
      <c r="J496" s="122">
        <f>'3월'!J74</f>
        <v>1</v>
      </c>
      <c r="K496" s="15">
        <f>'3월'!K74</f>
        <v>1070364</v>
      </c>
      <c r="L496" s="16">
        <f>'3월'!L74</f>
        <v>1070364</v>
      </c>
      <c r="M496" s="16">
        <f>'3월'!M74</f>
        <v>107036</v>
      </c>
      <c r="N496" s="15">
        <f>'3월'!N74</f>
        <v>1177400</v>
      </c>
      <c r="O496" s="5" t="str">
        <f>'3월'!O74</f>
        <v>완료(3/21)</v>
      </c>
      <c r="P496" s="177" t="str">
        <f>'3월'!P74</f>
        <v>천범석</v>
      </c>
      <c r="Q496" s="5">
        <f>'3월'!Q74</f>
        <v>45741</v>
      </c>
      <c r="R496" s="213"/>
    </row>
    <row r="497" spans="1:18" ht="16.5" customHeight="1">
      <c r="A497" t="s">
        <v>64</v>
      </c>
      <c r="B497" s="10"/>
      <c r="C497" s="12"/>
      <c r="D497" s="13">
        <f>'3월'!D75</f>
        <v>45740</v>
      </c>
      <c r="E497" s="155" t="str">
        <f>'3월'!E75</f>
        <v>이룸에스앤앤</v>
      </c>
      <c r="F497" s="155" t="str">
        <f>'3월'!F75</f>
        <v>온피아</v>
      </c>
      <c r="G497" s="168" t="str">
        <f>'3월'!G75</f>
        <v>상품</v>
      </c>
      <c r="H497" s="156" t="str">
        <f>'3월'!H75</f>
        <v>서버</v>
      </c>
      <c r="I497" s="69" t="str">
        <f>'3월'!I75</f>
        <v>SR250V2</v>
      </c>
      <c r="J497" s="122">
        <f>'3월'!J75</f>
        <v>1</v>
      </c>
      <c r="K497" s="15">
        <f>'3월'!K75</f>
        <v>2950000</v>
      </c>
      <c r="L497" s="16">
        <f>'3월'!L75</f>
        <v>2950000</v>
      </c>
      <c r="M497" s="16">
        <f>'3월'!M75</f>
        <v>295000</v>
      </c>
      <c r="N497" s="15">
        <f>'3월'!N75</f>
        <v>3245000</v>
      </c>
      <c r="O497" s="5" t="str">
        <f>'3월'!O75</f>
        <v>완료(5/30)</v>
      </c>
      <c r="P497" s="177" t="str">
        <f>'3월'!P75</f>
        <v>홍승민</v>
      </c>
      <c r="Q497" s="5">
        <f>'3월'!Q75</f>
        <v>45805</v>
      </c>
      <c r="R497" s="213"/>
    </row>
    <row r="498" spans="1:18" ht="16.5" customHeight="1">
      <c r="A498" t="s">
        <v>64</v>
      </c>
      <c r="B498" s="10" t="str">
        <f>'3월'!B76</f>
        <v>Y250311-01</v>
      </c>
      <c r="C498" s="12"/>
      <c r="D498" s="13">
        <f>'3월'!D76</f>
        <v>45740</v>
      </c>
      <c r="E498" s="155" t="str">
        <f>'3월'!E76</f>
        <v>이룸에스앤앤</v>
      </c>
      <c r="F498" s="155" t="str">
        <f>'3월'!F76</f>
        <v>온피아</v>
      </c>
      <c r="G498" s="168" t="str">
        <f>'3월'!G76</f>
        <v>상품</v>
      </c>
      <c r="H498" s="156" t="str">
        <f>'3월'!H76</f>
        <v>7ZT7A00482</v>
      </c>
      <c r="I498" s="69" t="str">
        <f>'3월'!I76</f>
        <v>ThinkSystem Broadcom 5720 1GbE RJ45 2-Port PCIe Ethernet Adapter</v>
      </c>
      <c r="J498" s="122">
        <f>'3월'!J76</f>
        <v>1</v>
      </c>
      <c r="K498" s="15">
        <f>'3월'!K76</f>
        <v>112000</v>
      </c>
      <c r="L498" s="16">
        <f>'3월'!L76</f>
        <v>112000</v>
      </c>
      <c r="M498" s="16">
        <f>'3월'!M76</f>
        <v>11200</v>
      </c>
      <c r="N498" s="15">
        <f>'3월'!N76</f>
        <v>123200</v>
      </c>
      <c r="O498" s="5" t="str">
        <f>'3월'!O76</f>
        <v>완료(5/30)</v>
      </c>
      <c r="P498" s="177" t="str">
        <f>'3월'!P76</f>
        <v>홍승민</v>
      </c>
      <c r="Q498" s="5">
        <f>'3월'!Q76</f>
        <v>45747</v>
      </c>
      <c r="R498" s="213"/>
    </row>
    <row r="499" spans="1:18" ht="16.5" customHeight="1">
      <c r="A499" t="s">
        <v>64</v>
      </c>
      <c r="B499" s="10" t="str">
        <f>'3월'!B77</f>
        <v>H250324-01</v>
      </c>
      <c r="C499" s="12"/>
      <c r="D499" s="13">
        <f>'3월'!D77</f>
        <v>45740</v>
      </c>
      <c r="E499" s="155" t="str">
        <f>'3월'!E77</f>
        <v>컴퓨존</v>
      </c>
      <c r="F499" s="155" t="str">
        <f>'3월'!F77</f>
        <v>CIT</v>
      </c>
      <c r="G499" s="168" t="str">
        <f>'3월'!G77</f>
        <v>상품</v>
      </c>
      <c r="H499" s="156" t="str">
        <f>'3월'!H77</f>
        <v>SDSSDE61-2T00-G25</v>
      </c>
      <c r="I499" s="69" t="str">
        <f>'3월'!I77</f>
        <v>[SanDisk] 외장SSD, E61 Extreme Portable SSD</v>
      </c>
      <c r="J499" s="122">
        <f>'3월'!J77</f>
        <v>1</v>
      </c>
      <c r="K499" s="15">
        <f>'3월'!K77</f>
        <v>191764</v>
      </c>
      <c r="L499" s="16">
        <f>'3월'!L77</f>
        <v>191764</v>
      </c>
      <c r="M499" s="16">
        <f>'3월'!M77</f>
        <v>19176</v>
      </c>
      <c r="N499" s="15">
        <f>'3월'!N77</f>
        <v>210940</v>
      </c>
      <c r="O499" s="5" t="str">
        <f>'3월'!O77</f>
        <v>완료(3/24)</v>
      </c>
      <c r="P499" s="177" t="str">
        <f>'3월'!P77</f>
        <v>천범석</v>
      </c>
      <c r="Q499" s="5">
        <f>'3월'!Q77</f>
        <v>45741</v>
      </c>
      <c r="R499" s="213"/>
    </row>
    <row r="500" spans="1:18" ht="16.5" customHeight="1">
      <c r="A500" t="s">
        <v>64</v>
      </c>
      <c r="B500" s="10" t="str">
        <f>'3월'!B78</f>
        <v>H250324-03</v>
      </c>
      <c r="C500" s="12"/>
      <c r="D500" s="13">
        <f>'3월'!D78</f>
        <v>45740</v>
      </c>
      <c r="E500" s="155" t="str">
        <f>'3월'!E78</f>
        <v>이비웨이브</v>
      </c>
      <c r="F500" s="155" t="str">
        <f>'3월'!F78</f>
        <v>우리에스아이티</v>
      </c>
      <c r="G500" s="168" t="str">
        <f>'3월'!G78</f>
        <v>상품</v>
      </c>
      <c r="H500" s="156" t="str">
        <f>'3월'!H78</f>
        <v>43X0805</v>
      </c>
      <c r="I500" s="69" t="str">
        <f>'3월'!I78</f>
        <v>IBM 300GB 15K 3.5IN SAS HDD</v>
      </c>
      <c r="J500" s="122">
        <f>'3월'!J78</f>
        <v>1</v>
      </c>
      <c r="K500" s="15">
        <f>'3월'!K78</f>
        <v>120000</v>
      </c>
      <c r="L500" s="16">
        <f>'3월'!L78</f>
        <v>120000</v>
      </c>
      <c r="M500" s="16">
        <f>'3월'!M78</f>
        <v>12000</v>
      </c>
      <c r="N500" s="15">
        <f>'3월'!N78</f>
        <v>132000</v>
      </c>
      <c r="O500" s="5" t="str">
        <f>'3월'!O78</f>
        <v>완료(5/30)</v>
      </c>
      <c r="P500" s="177" t="str">
        <f>'3월'!P78</f>
        <v>천범석</v>
      </c>
      <c r="Q500" s="5">
        <f>'3월'!Q78</f>
        <v>45747</v>
      </c>
      <c r="R500" s="213"/>
    </row>
    <row r="501" spans="1:18" ht="16.5" customHeight="1">
      <c r="A501" t="s">
        <v>64</v>
      </c>
      <c r="B501" s="10" t="str">
        <f>'3월'!B79</f>
        <v>X</v>
      </c>
      <c r="C501" s="12"/>
      <c r="D501" s="13">
        <f>'3월'!D79</f>
        <v>45741</v>
      </c>
      <c r="E501" s="155" t="str">
        <f>'3월'!E79</f>
        <v>케이카</v>
      </c>
      <c r="F501" s="155"/>
      <c r="G501" s="168" t="str">
        <f>'3월'!G79</f>
        <v>일반경비</v>
      </c>
      <c r="H501" s="156" t="str">
        <f>'3월'!H79</f>
        <v>차량유지비</v>
      </c>
      <c r="I501" s="69" t="str">
        <f>'3월'!I79</f>
        <v>3월 차량렌트(xm3 4429)-27/37회</v>
      </c>
      <c r="J501" s="122">
        <f>'3월'!J79</f>
        <v>1</v>
      </c>
      <c r="K501" s="15">
        <f>'3월'!K79</f>
        <v>337272.72727272724</v>
      </c>
      <c r="L501" s="16">
        <f>'3월'!L79</f>
        <v>437273</v>
      </c>
      <c r="M501" s="16">
        <f>'3월'!M79</f>
        <v>43727</v>
      </c>
      <c r="N501" s="15">
        <f>'3월'!N79</f>
        <v>481000</v>
      </c>
      <c r="O501" s="5" t="str">
        <f>'3월'!O79</f>
        <v>자동이체(3/25)</v>
      </c>
      <c r="P501" s="177" t="str">
        <f>'3월'!P79</f>
        <v>정지우</v>
      </c>
      <c r="Q501" s="5" t="str">
        <f>'3월'!Q79</f>
        <v>X</v>
      </c>
      <c r="R501" s="213" t="str">
        <f>'3월'!R79</f>
        <v>부가세불공</v>
      </c>
    </row>
    <row r="502" spans="1:18" ht="16.5" customHeight="1">
      <c r="A502" t="s">
        <v>64</v>
      </c>
      <c r="B502" s="10" t="str">
        <f>'3월'!B80</f>
        <v>X</v>
      </c>
      <c r="C502" s="145"/>
      <c r="D502" s="65"/>
      <c r="E502" s="160" t="str">
        <f>'3월'!E80</f>
        <v>케이카</v>
      </c>
      <c r="F502" s="160"/>
      <c r="G502" s="168" t="str">
        <f>'3월'!G80</f>
        <v>일반경비</v>
      </c>
      <c r="H502" s="156" t="str">
        <f>'3월'!H80</f>
        <v>차량유지비</v>
      </c>
      <c r="I502" s="69" t="str">
        <f>'3월'!I80</f>
        <v>3월 선급금(xm3 4429)-27/37회</v>
      </c>
      <c r="J502" s="122">
        <f>'3월'!J80</f>
        <v>1</v>
      </c>
      <c r="K502" s="15">
        <f>'3월'!K80</f>
        <v>100000</v>
      </c>
      <c r="L502" s="125"/>
      <c r="M502" s="125"/>
      <c r="N502" s="126"/>
      <c r="O502" s="99" t="str">
        <f>'3월'!O80</f>
        <v>선납(22/12/29)</v>
      </c>
      <c r="P502" s="177" t="str">
        <f>'3월'!P80</f>
        <v>정지우</v>
      </c>
      <c r="Q502" s="5" t="str">
        <f>'3월'!Q80</f>
        <v>X</v>
      </c>
      <c r="R502" s="213"/>
    </row>
    <row r="503" spans="1:18" ht="16.5" customHeight="1">
      <c r="A503" t="s">
        <v>64</v>
      </c>
      <c r="B503" s="10" t="str">
        <f>'3월'!B81</f>
        <v>X</v>
      </c>
      <c r="C503" s="12"/>
      <c r="D503" s="13">
        <f>'3월'!D81</f>
        <v>45741</v>
      </c>
      <c r="E503" s="155" t="str">
        <f>'3월'!E81</f>
        <v>롯데렌탈</v>
      </c>
      <c r="F503" s="155"/>
      <c r="G503" s="168" t="str">
        <f>'3월'!G81</f>
        <v>일반경비</v>
      </c>
      <c r="H503" s="156" t="str">
        <f>'3월'!H81</f>
        <v>차량유지비</v>
      </c>
      <c r="I503" s="69" t="str">
        <f>'3월'!I81</f>
        <v>3월 차량렌트(그랜저 8552)-36/49회</v>
      </c>
      <c r="J503" s="122">
        <f>'3월'!J81</f>
        <v>1</v>
      </c>
      <c r="K503" s="15">
        <f>'3월'!K81</f>
        <v>342614</v>
      </c>
      <c r="L503" s="16">
        <f>'3월'!L81</f>
        <v>342614</v>
      </c>
      <c r="M503" s="16">
        <f>'3월'!M81</f>
        <v>34261</v>
      </c>
      <c r="N503" s="15">
        <f>'3월'!N81</f>
        <v>376875</v>
      </c>
      <c r="O503" s="5" t="str">
        <f>'3월'!O81</f>
        <v>자동이체(3/25)</v>
      </c>
      <c r="P503" s="177" t="str">
        <f>'3월'!P81</f>
        <v>정지우</v>
      </c>
      <c r="Q503" s="5" t="str">
        <f>'3월'!Q81</f>
        <v>X</v>
      </c>
      <c r="R503" s="213" t="str">
        <f>'3월'!R81</f>
        <v>부가세불공</v>
      </c>
    </row>
    <row r="504" spans="1:18" ht="16.5" customHeight="1">
      <c r="A504" t="s">
        <v>64</v>
      </c>
      <c r="B504" s="10" t="str">
        <f>'3월'!B82</f>
        <v>X</v>
      </c>
      <c r="C504" s="12"/>
      <c r="D504" s="13">
        <f>'3월'!D82</f>
        <v>45741</v>
      </c>
      <c r="E504" s="155" t="str">
        <f>'3월'!E82</f>
        <v>롯데렌탈</v>
      </c>
      <c r="F504" s="155"/>
      <c r="G504" s="168" t="str">
        <f>'3월'!G82</f>
        <v>일반경비</v>
      </c>
      <c r="H504" s="156" t="str">
        <f>'3월'!H82</f>
        <v>차량유지비</v>
      </c>
      <c r="I504" s="69" t="str">
        <f>'3월'!I82</f>
        <v>3월 선급금(그랜저 8552)-36/49회</v>
      </c>
      <c r="J504" s="122">
        <f>'3월'!J82</f>
        <v>1</v>
      </c>
      <c r="K504" s="15">
        <f>'3월'!K82</f>
        <v>234659</v>
      </c>
      <c r="L504" s="16">
        <f>'3월'!L82</f>
        <v>234659</v>
      </c>
      <c r="M504" s="16">
        <f>'3월'!M82</f>
        <v>23466</v>
      </c>
      <c r="N504" s="15">
        <f>'3월'!N82</f>
        <v>258125</v>
      </c>
      <c r="O504" s="5" t="str">
        <f>'3월'!O82</f>
        <v>선납(22/4/5)</v>
      </c>
      <c r="P504" s="177" t="str">
        <f>'3월'!P82</f>
        <v>정지우</v>
      </c>
      <c r="Q504" s="5" t="str">
        <f>'3월'!Q82</f>
        <v>X</v>
      </c>
      <c r="R504" s="213" t="str">
        <f>'3월'!R82</f>
        <v>부가세불공</v>
      </c>
    </row>
    <row r="505" spans="1:18" ht="16.5" customHeight="1">
      <c r="A505" t="s">
        <v>64</v>
      </c>
      <c r="B505" s="10" t="str">
        <f>'3월'!B83</f>
        <v>X</v>
      </c>
      <c r="C505" s="12"/>
      <c r="D505" s="13">
        <f>'3월'!D83</f>
        <v>45741</v>
      </c>
      <c r="E505" s="155" t="str">
        <f>'3월'!E83</f>
        <v>롯데렌탈</v>
      </c>
      <c r="F505" s="155"/>
      <c r="G505" s="168" t="str">
        <f>'3월'!G83</f>
        <v>일반경비</v>
      </c>
      <c r="H505" s="156" t="str">
        <f>'3월'!H83</f>
        <v>차량유지비</v>
      </c>
      <c r="I505" s="69" t="str">
        <f>'3월'!I83</f>
        <v>3월 차량렌트(G80 3061)-36/49회</v>
      </c>
      <c r="J505" s="122">
        <f>'3월'!J83</f>
        <v>1</v>
      </c>
      <c r="K505" s="15">
        <f>'3월'!K83</f>
        <v>488069</v>
      </c>
      <c r="L505" s="16">
        <f>'3월'!L83</f>
        <v>488069</v>
      </c>
      <c r="M505" s="16">
        <f>'3월'!M83</f>
        <v>48806</v>
      </c>
      <c r="N505" s="15">
        <f>'3월'!N83</f>
        <v>536875</v>
      </c>
      <c r="O505" s="5" t="str">
        <f>'3월'!O83</f>
        <v>자동이체(3/25)</v>
      </c>
      <c r="P505" s="177" t="str">
        <f>'3월'!P83</f>
        <v>정지우</v>
      </c>
      <c r="Q505" s="5" t="str">
        <f>'3월'!Q83</f>
        <v>X</v>
      </c>
      <c r="R505" s="213" t="str">
        <f>'3월'!R83</f>
        <v>부가세불공</v>
      </c>
    </row>
    <row r="506" spans="1:18" ht="16.5" customHeight="1">
      <c r="A506" t="s">
        <v>64</v>
      </c>
      <c r="B506" s="10" t="str">
        <f>'3월'!B84</f>
        <v>X</v>
      </c>
      <c r="C506" s="12"/>
      <c r="D506" s="13">
        <f>'3월'!D84</f>
        <v>45741</v>
      </c>
      <c r="E506" s="155" t="str">
        <f>'3월'!E84</f>
        <v>롯데렌탈</v>
      </c>
      <c r="F506" s="155"/>
      <c r="G506" s="168" t="str">
        <f>'3월'!G84</f>
        <v>일반경비</v>
      </c>
      <c r="H506" s="156" t="str">
        <f>'3월'!H84</f>
        <v>차량유지비</v>
      </c>
      <c r="I506" s="69" t="str">
        <f>'3월'!I84</f>
        <v>3월 선급금(G80 3061)-36/49회</v>
      </c>
      <c r="J506" s="122">
        <f>'3월'!J84</f>
        <v>1</v>
      </c>
      <c r="K506" s="15">
        <f>'3월'!K84</f>
        <v>307386</v>
      </c>
      <c r="L506" s="16">
        <f>'3월'!L84</f>
        <v>307386</v>
      </c>
      <c r="M506" s="16">
        <f>'3월'!M84</f>
        <v>30739</v>
      </c>
      <c r="N506" s="15">
        <f>'3월'!N84</f>
        <v>338125</v>
      </c>
      <c r="O506" s="5" t="str">
        <f>'3월'!O84</f>
        <v>선납(22/4/5)</v>
      </c>
      <c r="P506" s="177" t="str">
        <f>'3월'!P84</f>
        <v>정지우</v>
      </c>
      <c r="Q506" s="5" t="str">
        <f>'3월'!Q84</f>
        <v>X</v>
      </c>
      <c r="R506" s="213" t="str">
        <f>'3월'!R84</f>
        <v>부가세불공</v>
      </c>
    </row>
    <row r="507" spans="1:18" ht="16.5" customHeight="1">
      <c r="A507" t="s">
        <v>64</v>
      </c>
      <c r="B507" s="10" t="str">
        <f>'3월'!B85</f>
        <v>X</v>
      </c>
      <c r="C507" s="12"/>
      <c r="D507" s="13">
        <f>'3월'!D85</f>
        <v>45741</v>
      </c>
      <c r="E507" s="155" t="str">
        <f>'3월'!E85</f>
        <v>비와이씨하이시티입주사대표회</v>
      </c>
      <c r="F507" s="155"/>
      <c r="G507" s="168" t="str">
        <f>'3월'!G85</f>
        <v>일반경비</v>
      </c>
      <c r="H507" s="156" t="str">
        <f>'3월'!H85</f>
        <v>여비교통비</v>
      </c>
      <c r="I507" s="69" t="str">
        <f>'3월'!I85</f>
        <v>대표님,천범석,엔지니어팀 4월 주차비</v>
      </c>
      <c r="J507" s="122">
        <f>'3월'!J85</f>
        <v>1</v>
      </c>
      <c r="K507" s="15">
        <f>'3월'!K85</f>
        <v>272727</v>
      </c>
      <c r="L507" s="16">
        <f>'3월'!L85</f>
        <v>272727</v>
      </c>
      <c r="M507" s="16">
        <f>'3월'!M85</f>
        <v>27273</v>
      </c>
      <c r="N507" s="15">
        <f>'3월'!N85</f>
        <v>300000</v>
      </c>
      <c r="O507" s="5" t="str">
        <f>'3월'!O85</f>
        <v>완료(3/25)</v>
      </c>
      <c r="P507" s="177" t="str">
        <f>'3월'!P85</f>
        <v>정지우</v>
      </c>
      <c r="Q507" s="5" t="str">
        <f>'3월'!Q85</f>
        <v>X</v>
      </c>
      <c r="R507" s="213" t="str">
        <f>'3월'!R85</f>
        <v>부가세불공</v>
      </c>
    </row>
    <row r="508" spans="1:18" ht="16.5" customHeight="1">
      <c r="A508" t="s">
        <v>64</v>
      </c>
      <c r="B508" s="10" t="str">
        <f>'3월'!B86</f>
        <v>X</v>
      </c>
      <c r="C508" s="12"/>
      <c r="D508" s="13">
        <f>'3월'!D86</f>
        <v>45741</v>
      </c>
      <c r="E508" s="155" t="str">
        <f>'3월'!E86</f>
        <v>청소의신</v>
      </c>
      <c r="F508" s="155"/>
      <c r="G508" s="168" t="str">
        <f>'3월'!G86</f>
        <v>일반경비</v>
      </c>
      <c r="H508" s="156" t="str">
        <f>'3월'!H86</f>
        <v>지급수수료</v>
      </c>
      <c r="I508" s="69" t="str">
        <f>'3월'!I86</f>
        <v>3월 청소비</v>
      </c>
      <c r="J508" s="122">
        <f>'3월'!J86</f>
        <v>1</v>
      </c>
      <c r="K508" s="15">
        <f>'3월'!K86</f>
        <v>160000</v>
      </c>
      <c r="L508" s="16">
        <f>'3월'!L86</f>
        <v>160000</v>
      </c>
      <c r="M508" s="16">
        <f>'3월'!M86</f>
        <v>16000</v>
      </c>
      <c r="N508" s="15">
        <f>'3월'!N86</f>
        <v>176000</v>
      </c>
      <c r="O508" s="5" t="str">
        <f>'3월'!O86</f>
        <v>완료(3/31)</v>
      </c>
      <c r="P508" s="177" t="str">
        <f>'3월'!P86</f>
        <v>정지우</v>
      </c>
      <c r="Q508" s="5" t="str">
        <f>'3월'!Q86</f>
        <v>X</v>
      </c>
      <c r="R508" s="213"/>
    </row>
    <row r="509" spans="1:18" ht="16.5" customHeight="1">
      <c r="A509" t="s">
        <v>64</v>
      </c>
      <c r="B509" s="10" t="str">
        <f>'3월'!B87</f>
        <v>H250401-03</v>
      </c>
      <c r="C509" s="12"/>
      <c r="D509" s="13">
        <f>'3월'!D87</f>
        <v>45741</v>
      </c>
      <c r="E509" s="155" t="str">
        <f>'3월'!E87</f>
        <v>위퍼스트</v>
      </c>
      <c r="F509" s="155" t="str">
        <f>'3월'!F87</f>
        <v>엘림넷</v>
      </c>
      <c r="G509" s="168" t="str">
        <f>'3월'!G87</f>
        <v>상품</v>
      </c>
      <c r="H509" s="156" t="str">
        <f>'3월'!H87</f>
        <v>RAM</v>
      </c>
      <c r="I509" s="69" t="str">
        <f>'3월'!I87</f>
        <v xml:space="preserve">S26361-F3781-E515 Fujitsu 8GB 1Rx4 PC3L-12800R ECC Server Memory(중고) </v>
      </c>
      <c r="J509" s="122">
        <f>'3월'!J87</f>
        <v>3</v>
      </c>
      <c r="K509" s="15">
        <f>'3월'!K87</f>
        <v>170000</v>
      </c>
      <c r="L509" s="16">
        <f>'3월'!L87</f>
        <v>510000</v>
      </c>
      <c r="M509" s="16">
        <f>'3월'!M87</f>
        <v>51000</v>
      </c>
      <c r="N509" s="15">
        <f>'3월'!N87</f>
        <v>561000</v>
      </c>
      <c r="O509" s="5" t="str">
        <f>'3월'!O87</f>
        <v>완료(4/30)</v>
      </c>
      <c r="P509" s="177" t="str">
        <f>'3월'!P87</f>
        <v>천범석</v>
      </c>
      <c r="Q509" s="5">
        <f>'3월'!Q87</f>
        <v>45749</v>
      </c>
      <c r="R509" s="213"/>
    </row>
    <row r="510" spans="1:18" ht="16.5" customHeight="1">
      <c r="A510" t="s">
        <v>64</v>
      </c>
      <c r="B510" s="10" t="str">
        <f>'3월'!B88</f>
        <v>SM-24007</v>
      </c>
      <c r="C510" s="12"/>
      <c r="D510" s="13">
        <f>'3월'!D88</f>
        <v>45741</v>
      </c>
      <c r="E510" s="155" t="str">
        <f>'3월'!E88</f>
        <v>다원씨앤에스</v>
      </c>
      <c r="F510" s="155" t="str">
        <f>'3월'!F88</f>
        <v>연세의료원</v>
      </c>
      <c r="G510" s="168" t="str">
        <f>'3월'!G88</f>
        <v>MA</v>
      </c>
      <c r="H510" s="156" t="str">
        <f>'3월'!H88</f>
        <v>월간</v>
      </c>
      <c r="I510" s="69" t="str">
        <f>'3월'!I88</f>
        <v>3월분 SIOS Lifekeeper 유지보수료 - 2/12회</v>
      </c>
      <c r="J510" s="122">
        <f>'3월'!J88</f>
        <v>1</v>
      </c>
      <c r="K510" s="15">
        <f>'3월'!K88</f>
        <v>200000</v>
      </c>
      <c r="L510" s="16">
        <f>'3월'!L88</f>
        <v>200000</v>
      </c>
      <c r="M510" s="16">
        <f>'3월'!M88</f>
        <v>20000</v>
      </c>
      <c r="N510" s="15">
        <f>'3월'!N88</f>
        <v>220000</v>
      </c>
      <c r="O510" s="5" t="str">
        <f>'3월'!O88</f>
        <v>완료(4/30)</v>
      </c>
      <c r="P510" s="177" t="str">
        <f>'3월'!P88</f>
        <v>이예지</v>
      </c>
      <c r="Q510" s="5">
        <f>'3월'!Q88</f>
        <v>45736</v>
      </c>
      <c r="R510" s="213"/>
    </row>
    <row r="511" spans="1:18" ht="16.5" customHeight="1">
      <c r="A511" t="s">
        <v>64</v>
      </c>
      <c r="B511" s="10" t="str">
        <f>'3월'!B89</f>
        <v>H250401-02</v>
      </c>
      <c r="C511" s="12"/>
      <c r="D511" s="13">
        <f>'3월'!D89</f>
        <v>45741</v>
      </c>
      <c r="E511" s="155" t="str">
        <f>'3월'!E89</f>
        <v>에스엔에이</v>
      </c>
      <c r="F511" s="155" t="str">
        <f>'3월'!F89</f>
        <v>엘림넷</v>
      </c>
      <c r="G511" s="168" t="str">
        <f>'3월'!G89</f>
        <v>상품</v>
      </c>
      <c r="H511" s="156" t="str">
        <f>'3월'!H89</f>
        <v>42D0786</v>
      </c>
      <c r="I511" s="69" t="str">
        <f>'3월'!I89</f>
        <v>IBM 2TB 7200 RPM SATA 3.5" HDD</v>
      </c>
      <c r="J511" s="122">
        <f>'3월'!J89</f>
        <v>1</v>
      </c>
      <c r="K511" s="15">
        <f>'3월'!K89</f>
        <v>120000</v>
      </c>
      <c r="L511" s="16">
        <f>'3월'!L89</f>
        <v>120000</v>
      </c>
      <c r="M511" s="16">
        <f>'3월'!M89</f>
        <v>12000</v>
      </c>
      <c r="N511" s="15">
        <f>'3월'!N89</f>
        <v>132000</v>
      </c>
      <c r="O511" s="5" t="str">
        <f>'3월'!O89</f>
        <v>완료(5/30)</v>
      </c>
      <c r="P511" s="177" t="str">
        <f>'3월'!P89</f>
        <v>천범석</v>
      </c>
      <c r="Q511" s="5">
        <f>'3월'!Q89</f>
        <v>45749</v>
      </c>
      <c r="R511" s="213"/>
    </row>
    <row r="512" spans="1:18" ht="16.5" customHeight="1">
      <c r="A512" t="s">
        <v>64</v>
      </c>
      <c r="B512" s="10" t="str">
        <f>'3월'!B90</f>
        <v>SM-24025</v>
      </c>
      <c r="C512" s="12"/>
      <c r="D512" s="13">
        <f>'3월'!D90</f>
        <v>45743</v>
      </c>
      <c r="E512" s="155" t="str">
        <f>'3월'!E90</f>
        <v>제이에스정보시스템</v>
      </c>
      <c r="F512" s="155" t="str">
        <f>'3월'!F90</f>
        <v>소프트아이텍(건국대병원)</v>
      </c>
      <c r="G512" s="168" t="str">
        <f>'3월'!G90</f>
        <v>MA</v>
      </c>
      <c r="H512" s="156" t="str">
        <f>'3월'!H90</f>
        <v>월간</v>
      </c>
      <c r="I512" s="69" t="str">
        <f>'3월'!I90</f>
        <v>2024년 NCSC 사이버센터 고도화 사업 3월 유지정비료-5/5회</v>
      </c>
      <c r="J512" s="122">
        <f>'3월'!J90</f>
        <v>1</v>
      </c>
      <c r="K512" s="15">
        <f>'3월'!K90</f>
        <v>500000</v>
      </c>
      <c r="L512" s="16">
        <f>'3월'!L90</f>
        <v>500000</v>
      </c>
      <c r="M512" s="16">
        <f>'3월'!M90</f>
        <v>50000</v>
      </c>
      <c r="N512" s="15">
        <f>'3월'!N90</f>
        <v>550000</v>
      </c>
      <c r="O512" s="5" t="str">
        <f>'3월'!O90</f>
        <v>완료(5/30)</v>
      </c>
      <c r="P512" s="177" t="str">
        <f>'3월'!P90</f>
        <v>천범석</v>
      </c>
      <c r="Q512" s="5">
        <f>'3월'!Q90</f>
        <v>45636</v>
      </c>
      <c r="R512" s="213" t="str">
        <f>'3월'!R90</f>
        <v>매출연간</v>
      </c>
    </row>
    <row r="513" spans="1:18" ht="16.5" customHeight="1">
      <c r="A513" t="s">
        <v>64</v>
      </c>
      <c r="B513" s="10" t="str">
        <f>'3월'!B91</f>
        <v>X</v>
      </c>
      <c r="C513" s="12"/>
      <c r="D513" s="13">
        <f>'3월'!D91</f>
        <v>45743</v>
      </c>
      <c r="E513" s="155" t="str">
        <f>'3월'!E91</f>
        <v>더좋은샘물</v>
      </c>
      <c r="F513" s="155"/>
      <c r="G513" s="168" t="str">
        <f>'3월'!G91</f>
        <v>일반경비</v>
      </c>
      <c r="H513" s="156" t="str">
        <f>'3월'!H91</f>
        <v>복리후생비</v>
      </c>
      <c r="I513" s="69" t="str">
        <f>'3월'!I91</f>
        <v xml:space="preserve">생수 </v>
      </c>
      <c r="J513" s="122">
        <f>'3월'!J91</f>
        <v>4</v>
      </c>
      <c r="K513" s="15">
        <f>'3월'!K91</f>
        <v>6000</v>
      </c>
      <c r="L513" s="16">
        <f>'3월'!L91</f>
        <v>24000</v>
      </c>
      <c r="M513" s="16">
        <f>'3월'!M91</f>
        <v>2400</v>
      </c>
      <c r="N513" s="15">
        <f>'3월'!N91</f>
        <v>26400</v>
      </c>
      <c r="O513" s="5" t="str">
        <f>'3월'!O91</f>
        <v>완료(4/10)</v>
      </c>
      <c r="P513" s="177" t="str">
        <f>'3월'!P91</f>
        <v>정지우</v>
      </c>
      <c r="Q513" s="5" t="str">
        <f>'3월'!Q91</f>
        <v>X</v>
      </c>
      <c r="R513" s="213"/>
    </row>
    <row r="514" spans="1:18" ht="16.5" customHeight="1">
      <c r="A514" t="s">
        <v>64</v>
      </c>
      <c r="B514" s="10" t="str">
        <f>'3월'!B92</f>
        <v>IK-24001</v>
      </c>
      <c r="C514" s="12"/>
      <c r="D514" s="13">
        <f>'3월'!D92</f>
        <v>45743</v>
      </c>
      <c r="E514" s="155" t="str">
        <f>'3월'!E92</f>
        <v>알앤큐시스템</v>
      </c>
      <c r="F514" s="155" t="str">
        <f>'3월'!F92</f>
        <v>로스만스/브리티쉬</v>
      </c>
      <c r="G514" s="168" t="str">
        <f>'3월'!G92</f>
        <v>MA</v>
      </c>
      <c r="H514" s="156" t="str">
        <f>'3월'!H92</f>
        <v>월간</v>
      </c>
      <c r="I514" s="69" t="str">
        <f>'3월'!I92</f>
        <v>BAT 통합 유지보수 3월분 - 3/12회</v>
      </c>
      <c r="J514" s="122">
        <f>'3월'!J92</f>
        <v>1</v>
      </c>
      <c r="K514" s="15">
        <f>'3월'!K92</f>
        <v>4950000</v>
      </c>
      <c r="L514" s="16">
        <f>'3월'!L92</f>
        <v>4950000</v>
      </c>
      <c r="M514" s="16">
        <f>'3월'!M92</f>
        <v>495000</v>
      </c>
      <c r="N514" s="15">
        <f>'3월'!N92</f>
        <v>5445000</v>
      </c>
      <c r="O514" s="5" t="str">
        <f>'3월'!O92</f>
        <v>완료(6/16)</v>
      </c>
      <c r="P514" s="177" t="str">
        <f>'3월'!P92</f>
        <v>천범석</v>
      </c>
      <c r="Q514" s="5">
        <f>'3월'!Q92</f>
        <v>45747</v>
      </c>
      <c r="R514" s="213"/>
    </row>
    <row r="515" spans="1:18" ht="16.5" customHeight="1">
      <c r="A515" t="s">
        <v>64</v>
      </c>
      <c r="B515" s="10" t="str">
        <f>'3월'!B93</f>
        <v>D250327-01</v>
      </c>
      <c r="C515" s="12"/>
      <c r="D515" s="13">
        <f>'3월'!D93</f>
        <v>45744</v>
      </c>
      <c r="E515" s="155" t="str">
        <f>'3월'!E93</f>
        <v>컴퓨존</v>
      </c>
      <c r="F515" s="155" t="str">
        <f>'3월'!F93</f>
        <v>고영테크놀러지</v>
      </c>
      <c r="G515" s="168" t="str">
        <f>'3월'!G93</f>
        <v>상품</v>
      </c>
      <c r="H515" s="156" t="str">
        <f>'3월'!H93</f>
        <v>PC</v>
      </c>
      <c r="I515" s="69" t="str">
        <f>'3월'!I93</f>
        <v>조립PC</v>
      </c>
      <c r="J515" s="122">
        <f>'3월'!J93</f>
        <v>1</v>
      </c>
      <c r="K515" s="15">
        <f>'3월'!K93</f>
        <v>2055836.3636363635</v>
      </c>
      <c r="L515" s="16">
        <f>'3월'!L93</f>
        <v>2055836.3636363635</v>
      </c>
      <c r="M515" s="16">
        <f>'3월'!M93</f>
        <v>205583.63636363635</v>
      </c>
      <c r="N515" s="15">
        <f>'3월'!N93</f>
        <v>2261420</v>
      </c>
      <c r="O515" s="5" t="str">
        <f>'3월'!O93</f>
        <v>완료(3/27)</v>
      </c>
      <c r="P515" s="177" t="str">
        <f>'3월'!P93</f>
        <v>이지훈</v>
      </c>
      <c r="Q515" s="5">
        <f>'3월'!Q93</f>
        <v>45761</v>
      </c>
      <c r="R515" s="213"/>
    </row>
    <row r="516" spans="1:18" ht="16.5" customHeight="1">
      <c r="A516" t="s">
        <v>64</v>
      </c>
      <c r="B516" s="10" t="str">
        <f>'3월'!B94</f>
        <v>S</v>
      </c>
      <c r="C516" s="12"/>
      <c r="D516" s="13">
        <f>'3월'!D94</f>
        <v>45744</v>
      </c>
      <c r="E516" s="155" t="str">
        <f>'3월'!E94</f>
        <v>로보츠</v>
      </c>
      <c r="F516" s="155" t="str">
        <f>'3월'!F94</f>
        <v>와이케이케이한국</v>
      </c>
      <c r="G516" s="168" t="str">
        <f>'3월'!G94</f>
        <v>상품</v>
      </c>
      <c r="H516" s="156" t="str">
        <f>'3월'!H94</f>
        <v>모니터</v>
      </c>
      <c r="I516" s="69" t="str">
        <f>'3월'!I94</f>
        <v>삼성전자 24인치 모니터 LF24T452FQKXKR</v>
      </c>
      <c r="J516" s="122">
        <f>'3월'!J94</f>
        <v>1</v>
      </c>
      <c r="K516" s="15">
        <f>'3월'!K94</f>
        <v>200000</v>
      </c>
      <c r="L516" s="16">
        <f>'3월'!L94</f>
        <v>200000</v>
      </c>
      <c r="M516" s="16">
        <f>'3월'!M94</f>
        <v>20000</v>
      </c>
      <c r="N516" s="15">
        <f>'3월'!N94</f>
        <v>220000</v>
      </c>
      <c r="O516" s="5" t="str">
        <f>'3월'!O94</f>
        <v>완료(4/30)</v>
      </c>
      <c r="P516" s="177" t="str">
        <f>'3월'!P94</f>
        <v>이예지</v>
      </c>
      <c r="Q516" s="5">
        <f>'3월'!Q94</f>
        <v>45742</v>
      </c>
      <c r="R516" s="213"/>
    </row>
    <row r="517" spans="1:18" ht="16.5" customHeight="1">
      <c r="A517" t="s">
        <v>64</v>
      </c>
      <c r="B517" s="10" t="str">
        <f>'3월'!B95</f>
        <v>H250328-01</v>
      </c>
      <c r="C517" s="12"/>
      <c r="D517" s="13">
        <f>'3월'!D95</f>
        <v>45744</v>
      </c>
      <c r="E517" s="155" t="str">
        <f>'3월'!E95</f>
        <v>에스엔에이</v>
      </c>
      <c r="F517" s="155" t="str">
        <f>'3월'!F95</f>
        <v>티에스씨인포</v>
      </c>
      <c r="G517" s="168" t="str">
        <f>'3월'!G95</f>
        <v>상품</v>
      </c>
      <c r="H517" s="156" t="str">
        <f>'3월'!H95</f>
        <v>44X3212</v>
      </c>
      <c r="I517" s="69" t="str">
        <f>'3월'!I95</f>
        <v>Controller for V7000G2</v>
      </c>
      <c r="J517" s="122">
        <f>'3월'!J95</f>
        <v>1</v>
      </c>
      <c r="K517" s="15">
        <f>'3월'!K95</f>
        <v>300000</v>
      </c>
      <c r="L517" s="16">
        <f>'3월'!L95</f>
        <v>300000</v>
      </c>
      <c r="M517" s="16">
        <f>'3월'!M95</f>
        <v>30000</v>
      </c>
      <c r="N517" s="15">
        <f>'3월'!N95</f>
        <v>330000</v>
      </c>
      <c r="O517" s="5" t="str">
        <f>'3월'!O95</f>
        <v>완료(5/30)</v>
      </c>
      <c r="P517" s="177" t="str">
        <f>'3월'!P95</f>
        <v>천범석</v>
      </c>
      <c r="Q517" s="5">
        <f>'3월'!Q95</f>
        <v>45747</v>
      </c>
      <c r="R517" s="213"/>
    </row>
    <row r="518" spans="1:18" ht="16.5" customHeight="1">
      <c r="A518" t="s">
        <v>64</v>
      </c>
      <c r="B518" s="10" t="str">
        <f>'3월'!B96</f>
        <v>H250328-02</v>
      </c>
      <c r="C518" s="12"/>
      <c r="D518" s="13">
        <f>'3월'!D96</f>
        <v>45744</v>
      </c>
      <c r="E518" s="155" t="str">
        <f>'3월'!E96</f>
        <v>이비웨이브</v>
      </c>
      <c r="F518" s="155" t="str">
        <f>'3월'!F96</f>
        <v>티에스씨인포</v>
      </c>
      <c r="G518" s="168" t="str">
        <f>'3월'!G96</f>
        <v>상품</v>
      </c>
      <c r="H518" s="156" t="str">
        <f>'3월'!H96</f>
        <v>00RY381</v>
      </c>
      <c r="I518" s="69" t="str">
        <f>'3월'!I96</f>
        <v>Controller for V7000G2 (No Battery)</v>
      </c>
      <c r="J518" s="122">
        <f>'3월'!J96</f>
        <v>1</v>
      </c>
      <c r="K518" s="15">
        <f>'3월'!K96</f>
        <v>1150000</v>
      </c>
      <c r="L518" s="16">
        <f>'3월'!L96</f>
        <v>1150000</v>
      </c>
      <c r="M518" s="16">
        <f>'3월'!M96</f>
        <v>115000</v>
      </c>
      <c r="N518" s="15">
        <f>'3월'!N96</f>
        <v>1265000</v>
      </c>
      <c r="O518" s="5" t="str">
        <f>'3월'!O96</f>
        <v>완료(5/30)</v>
      </c>
      <c r="P518" s="177" t="str">
        <f>'3월'!P96</f>
        <v>천범석</v>
      </c>
      <c r="Q518" s="5">
        <f>'3월'!Q96</f>
        <v>45747</v>
      </c>
      <c r="R518" s="213"/>
    </row>
    <row r="519" spans="1:18" ht="16.5" customHeight="1">
      <c r="A519" t="s">
        <v>64</v>
      </c>
      <c r="B519" s="10" t="str">
        <f>'3월'!B97</f>
        <v>H250331-01</v>
      </c>
      <c r="C519" s="12"/>
      <c r="D519" s="13">
        <f>'3월'!D97</f>
        <v>45747</v>
      </c>
      <c r="E519" s="155" t="str">
        <f>'3월'!E97</f>
        <v>컴퓨존</v>
      </c>
      <c r="F519" s="155" t="str">
        <f>'3월'!F97</f>
        <v>브리티쉬아메리칸토바코</v>
      </c>
      <c r="G519" s="168" t="str">
        <f>'3월'!G97</f>
        <v>상품</v>
      </c>
      <c r="H519" s="156" t="str">
        <f>'3월'!H97</f>
        <v>커넥터</v>
      </c>
      <c r="I519" s="69" t="str">
        <f>'3월'!I97</f>
        <v>보안키,커넥터</v>
      </c>
      <c r="J519" s="122">
        <f>'3월'!J97</f>
        <v>8</v>
      </c>
      <c r="K519" s="15">
        <f>'3월'!K97</f>
        <v>27320.454545454544</v>
      </c>
      <c r="L519" s="16">
        <f>'3월'!L97</f>
        <v>218564</v>
      </c>
      <c r="M519" s="16">
        <f>'3월'!M97</f>
        <v>21856</v>
      </c>
      <c r="N519" s="15">
        <f>'3월'!N97</f>
        <v>240420</v>
      </c>
      <c r="O519" s="5" t="str">
        <f>'3월'!O97</f>
        <v>완료(3/31)</v>
      </c>
      <c r="P519" s="177" t="str">
        <f>'3월'!P97</f>
        <v>천범석</v>
      </c>
      <c r="Q519" s="5">
        <f>'3월'!Q97</f>
        <v>45757</v>
      </c>
      <c r="R519" s="213"/>
    </row>
    <row r="520" spans="1:18" ht="16.5" customHeight="1">
      <c r="A520" t="s">
        <v>64</v>
      </c>
      <c r="B520" s="10" t="str">
        <f>'3월'!B98</f>
        <v>SM-24021</v>
      </c>
      <c r="C520" s="12"/>
      <c r="D520" s="13">
        <f>'3월'!D98</f>
        <v>45747</v>
      </c>
      <c r="E520" s="155" t="str">
        <f>'3월'!E98</f>
        <v>에스엔에이</v>
      </c>
      <c r="F520" s="155" t="str">
        <f>'3월'!F98</f>
        <v>에이캐피탈</v>
      </c>
      <c r="G520" s="168" t="str">
        <f>'3월'!G98</f>
        <v>MA</v>
      </c>
      <c r="H520" s="156" t="str">
        <f>'3월'!H98</f>
        <v>월간</v>
      </c>
      <c r="I520" s="69" t="str">
        <f>'3월'!I98</f>
        <v>3월 파트 계약 - 7/12회</v>
      </c>
      <c r="J520" s="122">
        <f>'3월'!J98</f>
        <v>1</v>
      </c>
      <c r="K520" s="15">
        <f>'3월'!K98</f>
        <v>300000</v>
      </c>
      <c r="L520" s="16">
        <f>'3월'!L98</f>
        <v>300000</v>
      </c>
      <c r="M520" s="16">
        <f>'3월'!M98</f>
        <v>30000</v>
      </c>
      <c r="N520" s="15">
        <f>'3월'!N98</f>
        <v>330000</v>
      </c>
      <c r="O520" s="5" t="str">
        <f>'3월'!O98</f>
        <v>완료(5/30)</v>
      </c>
      <c r="P520" s="177" t="str">
        <f>'3월'!P98</f>
        <v>이예지</v>
      </c>
      <c r="Q520" s="5">
        <f>'3월'!Q98</f>
        <v>45752</v>
      </c>
      <c r="R520" s="213"/>
    </row>
    <row r="521" spans="1:18" ht="16.5" customHeight="1">
      <c r="A521" t="s">
        <v>64</v>
      </c>
      <c r="B521" s="10" t="str">
        <f>'3월'!B99</f>
        <v>SM-24003</v>
      </c>
      <c r="C521" s="12"/>
      <c r="D521" s="13">
        <f>'3월'!D99</f>
        <v>45747</v>
      </c>
      <c r="E521" s="155" t="str">
        <f>'3월'!E99</f>
        <v>현성솔루션</v>
      </c>
      <c r="F521" s="155" t="str">
        <f>'3월'!F99</f>
        <v>삼표산업</v>
      </c>
      <c r="G521" s="168" t="str">
        <f>'3월'!G99</f>
        <v>MA</v>
      </c>
      <c r="H521" s="156" t="str">
        <f>'3월'!H99</f>
        <v>월간</v>
      </c>
      <c r="I521" s="69" t="str">
        <f>'3월'!I99</f>
        <v>파이오링크 L4 3월 유지정비료 - 3/12회</v>
      </c>
      <c r="J521" s="122">
        <f>'3월'!J99</f>
        <v>1</v>
      </c>
      <c r="K521" s="15">
        <f>'3월'!K99</f>
        <v>100000</v>
      </c>
      <c r="L521" s="16">
        <f>'3월'!L99</f>
        <v>100000</v>
      </c>
      <c r="M521" s="16">
        <f>'3월'!M99</f>
        <v>10000</v>
      </c>
      <c r="N521" s="15">
        <f>'3월'!N99</f>
        <v>110000</v>
      </c>
      <c r="O521" s="5" t="str">
        <f>'3월'!O99</f>
        <v>완료(4/30)</v>
      </c>
      <c r="P521" s="177" t="str">
        <f>'3월'!P99</f>
        <v>홍승민</v>
      </c>
      <c r="Q521" s="5">
        <f>'3월'!Q99</f>
        <v>45747</v>
      </c>
      <c r="R521" s="213"/>
    </row>
    <row r="522" spans="1:18" ht="16.5" customHeight="1">
      <c r="A522" t="s">
        <v>64</v>
      </c>
      <c r="B522" s="10" t="str">
        <f>'3월'!B100</f>
        <v>SM-23025</v>
      </c>
      <c r="C522" s="12"/>
      <c r="D522" s="13">
        <f>'3월'!D100</f>
        <v>45747</v>
      </c>
      <c r="E522" s="155" t="str">
        <f>'3월'!E100</f>
        <v>현성솔루션</v>
      </c>
      <c r="F522" s="155" t="str">
        <f>'3월'!F100</f>
        <v>한국교과서협회</v>
      </c>
      <c r="G522" s="168" t="str">
        <f>'3월'!G100</f>
        <v>MA</v>
      </c>
      <c r="H522" s="156" t="str">
        <f>'3월'!H100</f>
        <v>월간</v>
      </c>
      <c r="I522" s="69" t="str">
        <f>'3월'!I100</f>
        <v>메일호스팅 3월 - 8/12회</v>
      </c>
      <c r="J522" s="122">
        <f>'3월'!J100</f>
        <v>1</v>
      </c>
      <c r="K522" s="15">
        <f>'3월'!K100</f>
        <v>595000</v>
      </c>
      <c r="L522" s="16">
        <f>'3월'!L100</f>
        <v>595000</v>
      </c>
      <c r="M522" s="16">
        <f>'3월'!M100</f>
        <v>59500</v>
      </c>
      <c r="N522" s="15">
        <f>'3월'!N100</f>
        <v>654500</v>
      </c>
      <c r="O522" s="5" t="str">
        <f>'3월'!O100</f>
        <v>완료(4/30)</v>
      </c>
      <c r="P522" s="177" t="str">
        <f>'3월'!P100</f>
        <v>천범석</v>
      </c>
      <c r="Q522" s="5">
        <f>'3월'!Q100</f>
        <v>45747</v>
      </c>
      <c r="R522" s="213"/>
    </row>
    <row r="523" spans="1:18" ht="16.5" customHeight="1">
      <c r="A523" t="s">
        <v>64</v>
      </c>
      <c r="B523" s="10" t="str">
        <f>'3월'!B101</f>
        <v>SM-23026</v>
      </c>
      <c r="C523" s="12"/>
      <c r="D523" s="13">
        <f>'3월'!D101</f>
        <v>45747</v>
      </c>
      <c r="E523" s="155" t="str">
        <f>'3월'!E101</f>
        <v>현성솔루션</v>
      </c>
      <c r="F523" s="155" t="str">
        <f>'3월'!F101</f>
        <v>한국교과서협회</v>
      </c>
      <c r="G523" s="168" t="str">
        <f>'3월'!G101</f>
        <v>MA</v>
      </c>
      <c r="H523" s="156" t="str">
        <f>'3월'!H101</f>
        <v>월간</v>
      </c>
      <c r="I523" s="69" t="str">
        <f>'3월'!I101</f>
        <v>3월 유지정비료 - 8/12회</v>
      </c>
      <c r="J523" s="122">
        <f>'3월'!J101</f>
        <v>1</v>
      </c>
      <c r="K523" s="15">
        <f>'3월'!K101</f>
        <v>840000</v>
      </c>
      <c r="L523" s="16">
        <f>'3월'!L101</f>
        <v>840000</v>
      </c>
      <c r="M523" s="16">
        <f>'3월'!M101</f>
        <v>84000</v>
      </c>
      <c r="N523" s="15">
        <f>'3월'!N101</f>
        <v>924000</v>
      </c>
      <c r="O523" s="5" t="str">
        <f>'3월'!O101</f>
        <v>완료(4/30)</v>
      </c>
      <c r="P523" s="177" t="str">
        <f>'3월'!P101</f>
        <v>천범석</v>
      </c>
      <c r="Q523" s="5">
        <f>'3월'!Q101</f>
        <v>45747</v>
      </c>
      <c r="R523" s="213"/>
    </row>
    <row r="524" spans="1:18" ht="16.5" customHeight="1">
      <c r="A524" t="s">
        <v>64</v>
      </c>
      <c r="B524" s="10" t="str">
        <f>'3월'!B102</f>
        <v>SM-24003</v>
      </c>
      <c r="C524" s="12"/>
      <c r="D524" s="13">
        <f>'3월'!D102</f>
        <v>45747</v>
      </c>
      <c r="E524" s="155" t="str">
        <f>'3월'!E102</f>
        <v>프라테르</v>
      </c>
      <c r="F524" s="155" t="str">
        <f>'3월'!F102</f>
        <v>삼표산업</v>
      </c>
      <c r="G524" s="168" t="str">
        <f>'3월'!G102</f>
        <v>MA</v>
      </c>
      <c r="H524" s="156" t="str">
        <f>'3월'!H102</f>
        <v>월간</v>
      </c>
      <c r="I524" s="69" t="str">
        <f>'3월'!I102</f>
        <v>3월 오라클 유지정비료 - 3/12회</v>
      </c>
      <c r="J524" s="122">
        <f>'3월'!J102</f>
        <v>1</v>
      </c>
      <c r="K524" s="15">
        <f>'3월'!K102</f>
        <v>672000</v>
      </c>
      <c r="L524" s="16">
        <f>'3월'!L102</f>
        <v>672000</v>
      </c>
      <c r="M524" s="16">
        <f>'3월'!M102</f>
        <v>67200</v>
      </c>
      <c r="N524" s="15">
        <f>'3월'!N102</f>
        <v>739200</v>
      </c>
      <c r="O524" s="5" t="str">
        <f>'3월'!O102</f>
        <v>완료(4/30)</v>
      </c>
      <c r="P524" s="177" t="str">
        <f>'3월'!P102</f>
        <v>홍승민</v>
      </c>
      <c r="Q524" s="5">
        <f>'3월'!Q102</f>
        <v>45747</v>
      </c>
      <c r="R524" s="213"/>
    </row>
    <row r="525" spans="1:18" ht="16.5" customHeight="1">
      <c r="A525" t="s">
        <v>64</v>
      </c>
      <c r="B525" s="10" t="str">
        <f>'3월'!B103</f>
        <v>SM-24021</v>
      </c>
      <c r="C525" s="12"/>
      <c r="D525" s="13">
        <f>'3월'!D103</f>
        <v>45747</v>
      </c>
      <c r="E525" s="155" t="str">
        <f>'3월'!E103</f>
        <v>키미데이타</v>
      </c>
      <c r="F525" s="155" t="str">
        <f>'3월'!F103</f>
        <v>에이캐피탈</v>
      </c>
      <c r="G525" s="168" t="str">
        <f>'3월'!G103</f>
        <v>MA</v>
      </c>
      <c r="H525" s="156" t="str">
        <f>'3월'!H103</f>
        <v>월간</v>
      </c>
      <c r="I525" s="69" t="str">
        <f>'3월'!I103</f>
        <v>3월 유지정비료 - 7/12회</v>
      </c>
      <c r="J525" s="122">
        <f>'3월'!J103</f>
        <v>1</v>
      </c>
      <c r="K525" s="15">
        <f>'3월'!K103</f>
        <v>70000</v>
      </c>
      <c r="L525" s="16">
        <f>'3월'!L103</f>
        <v>70000</v>
      </c>
      <c r="M525" s="16">
        <f>'3월'!M103</f>
        <v>7000</v>
      </c>
      <c r="N525" s="15">
        <f>'3월'!N103</f>
        <v>77000</v>
      </c>
      <c r="O525" s="5" t="str">
        <f>'3월'!O103</f>
        <v>완료(5/30)</v>
      </c>
      <c r="P525" s="177" t="str">
        <f>'3월'!P103</f>
        <v>이예지</v>
      </c>
      <c r="Q525" s="5">
        <f>'3월'!Q103</f>
        <v>45752</v>
      </c>
      <c r="R525" s="213"/>
    </row>
    <row r="526" spans="1:18" ht="16.5" customHeight="1">
      <c r="A526" t="s">
        <v>64</v>
      </c>
      <c r="B526" s="10" t="str">
        <f>'3월'!B104</f>
        <v>IK-25002</v>
      </c>
      <c r="C526" s="12"/>
      <c r="D526" s="13">
        <f>'3월'!D104</f>
        <v>45747</v>
      </c>
      <c r="E526" s="155" t="str">
        <f>'3월'!E104</f>
        <v>티에스씨인포</v>
      </c>
      <c r="F526" s="155" t="str">
        <f>'3월'!F104</f>
        <v>시너지온</v>
      </c>
      <c r="G526" s="168" t="str">
        <f>'3월'!G104</f>
        <v>MA</v>
      </c>
      <c r="H526" s="156" t="str">
        <f>'3월'!H104</f>
        <v>월간</v>
      </c>
      <c r="I526" s="69" t="str">
        <f>'3월'!I104</f>
        <v>명지병원 3월 정기점검 - 1/12회</v>
      </c>
      <c r="J526" s="122">
        <f>'3월'!J104</f>
        <v>1</v>
      </c>
      <c r="K526" s="15">
        <f>'3월'!K104</f>
        <v>300000</v>
      </c>
      <c r="L526" s="16">
        <f>'3월'!L104</f>
        <v>300000</v>
      </c>
      <c r="M526" s="16">
        <f>'3월'!M104</f>
        <v>30000</v>
      </c>
      <c r="N526" s="15">
        <f>'3월'!N104</f>
        <v>330000</v>
      </c>
      <c r="O526" s="5" t="str">
        <f>'3월'!O104</f>
        <v>완료(4/30)</v>
      </c>
      <c r="P526" s="177" t="str">
        <f>'3월'!P104</f>
        <v>정지우</v>
      </c>
      <c r="Q526" s="5">
        <f>'3월'!Q104</f>
        <v>45736</v>
      </c>
      <c r="R526" s="213"/>
    </row>
    <row r="527" spans="1:18" ht="16.5" customHeight="1">
      <c r="A527" t="s">
        <v>64</v>
      </c>
      <c r="B527" s="10" t="str">
        <f>'3월'!B105</f>
        <v>X</v>
      </c>
      <c r="C527" s="12"/>
      <c r="D527" s="13">
        <f>'3월'!D105</f>
        <v>45747</v>
      </c>
      <c r="E527" s="155" t="str">
        <f>'3월'!E105</f>
        <v>신한회계법인</v>
      </c>
      <c r="F527" s="155"/>
      <c r="G527" s="168" t="str">
        <f>'3월'!G105</f>
        <v>일반경비</v>
      </c>
      <c r="H527" s="156" t="str">
        <f>'3월'!H105</f>
        <v>지급수수료</v>
      </c>
      <c r="I527" s="69" t="str">
        <f>'3월'!I105</f>
        <v>3월 기장료</v>
      </c>
      <c r="J527" s="122">
        <f>'3월'!J105</f>
        <v>1</v>
      </c>
      <c r="K527" s="15">
        <f>'3월'!K105</f>
        <v>200000</v>
      </c>
      <c r="L527" s="16">
        <f>'3월'!L105</f>
        <v>200000</v>
      </c>
      <c r="M527" s="16">
        <f>'3월'!M105</f>
        <v>20000</v>
      </c>
      <c r="N527" s="15">
        <f>'3월'!N105</f>
        <v>220000</v>
      </c>
      <c r="O527" s="5" t="str">
        <f>'3월'!O105</f>
        <v>완료(4/15)</v>
      </c>
      <c r="P527" s="177" t="str">
        <f>'3월'!P105</f>
        <v>정지우</v>
      </c>
      <c r="Q527" s="5" t="str">
        <f>'3월'!Q105</f>
        <v>X</v>
      </c>
      <c r="R527" s="213"/>
    </row>
    <row r="528" spans="1:18" ht="16.5" customHeight="1">
      <c r="A528" t="s">
        <v>64</v>
      </c>
      <c r="B528" s="10" t="str">
        <f>'3월'!B106</f>
        <v>SM-24003</v>
      </c>
      <c r="C528" s="12"/>
      <c r="D528" s="13">
        <f>'3월'!D106</f>
        <v>45747</v>
      </c>
      <c r="E528" s="155" t="str">
        <f>'3월'!E106</f>
        <v>트리거정보기술</v>
      </c>
      <c r="F528" s="155" t="str">
        <f>'3월'!F106</f>
        <v>삼표산업</v>
      </c>
      <c r="G528" s="168" t="str">
        <f>'3월'!G106</f>
        <v>MA</v>
      </c>
      <c r="H528" s="156" t="str">
        <f>'3월'!H106</f>
        <v>월간</v>
      </c>
      <c r="I528" s="69" t="str">
        <f>'3월'!I106</f>
        <v>삼표시멘트 3월 유지정비료 3/12회</v>
      </c>
      <c r="J528" s="122">
        <f>'3월'!J106</f>
        <v>1</v>
      </c>
      <c r="K528" s="15">
        <f>'3월'!K106</f>
        <v>700000</v>
      </c>
      <c r="L528" s="16">
        <f>'3월'!L106</f>
        <v>700000</v>
      </c>
      <c r="M528" s="16">
        <f>'3월'!M106</f>
        <v>70000</v>
      </c>
      <c r="N528" s="15">
        <f>'3월'!N106</f>
        <v>770000</v>
      </c>
      <c r="O528" s="5" t="str">
        <f>'3월'!O106</f>
        <v>완료(4/30)</v>
      </c>
      <c r="P528" s="177" t="str">
        <f>'3월'!P106</f>
        <v>홍승민</v>
      </c>
      <c r="Q528" s="5">
        <f>'3월'!Q106</f>
        <v>45747</v>
      </c>
      <c r="R528" s="213"/>
    </row>
    <row r="529" spans="1:19" ht="16.5" customHeight="1">
      <c r="A529" t="s">
        <v>64</v>
      </c>
      <c r="B529" s="10" t="str">
        <f>'3월'!B107</f>
        <v>SB-24007</v>
      </c>
      <c r="C529" s="12"/>
      <c r="D529" s="13">
        <f>'3월'!D107</f>
        <v>45747</v>
      </c>
      <c r="E529" s="155" t="str">
        <f>'3월'!E107</f>
        <v>다솜테크</v>
      </c>
      <c r="F529" s="155" t="str">
        <f>'3월'!F107</f>
        <v>와이젠정보기술</v>
      </c>
      <c r="G529" s="168" t="str">
        <f>'3월'!G107</f>
        <v>MA</v>
      </c>
      <c r="H529" s="156" t="str">
        <f>'3월'!H107</f>
        <v>월간</v>
      </c>
      <c r="I529" s="69" t="str">
        <f>'3월'!I107</f>
        <v>안국약품 3월 기술지원료 - 3/12회</v>
      </c>
      <c r="J529" s="122">
        <f>'3월'!J107</f>
        <v>1</v>
      </c>
      <c r="K529" s="15">
        <f>'3월'!K107</f>
        <v>250000</v>
      </c>
      <c r="L529" s="16">
        <f>'3월'!L107</f>
        <v>250000</v>
      </c>
      <c r="M529" s="16">
        <f>'3월'!M107</f>
        <v>25000</v>
      </c>
      <c r="N529" s="15">
        <f>'3월'!N107</f>
        <v>275000</v>
      </c>
      <c r="O529" s="5" t="str">
        <f>'3월'!O107</f>
        <v>완료(5/30)</v>
      </c>
      <c r="P529" s="177" t="str">
        <f>'3월'!P107</f>
        <v>천범석</v>
      </c>
      <c r="Q529" s="5">
        <f>'3월'!Q107</f>
        <v>45747</v>
      </c>
      <c r="R529" s="213"/>
    </row>
    <row r="530" spans="1:19" ht="16.5" customHeight="1">
      <c r="A530" t="s">
        <v>64</v>
      </c>
      <c r="B530" s="10" t="str">
        <f>'3월'!B108</f>
        <v>Y250319-02</v>
      </c>
      <c r="C530" s="12"/>
      <c r="D530" s="13">
        <f>'3월'!D108</f>
        <v>45747</v>
      </c>
      <c r="E530" s="155" t="str">
        <f>'3월'!E108</f>
        <v>다솜테크</v>
      </c>
      <c r="F530" s="155" t="str">
        <f>'3월'!F108</f>
        <v>에스엠티정보기술</v>
      </c>
      <c r="G530" s="168" t="str">
        <f>'3월'!G108</f>
        <v>상품</v>
      </c>
      <c r="H530" s="156" t="str">
        <f>'3월'!H108</f>
        <v>서버</v>
      </c>
      <c r="I530" s="69" t="str">
        <f>'3월'!I108</f>
        <v>Lenovo SR630v2</v>
      </c>
      <c r="J530" s="122">
        <f>'3월'!J108</f>
        <v>1</v>
      </c>
      <c r="K530" s="15">
        <f>'3월'!K108</f>
        <v>6300000</v>
      </c>
      <c r="L530" s="16">
        <f>'3월'!L108</f>
        <v>6300000</v>
      </c>
      <c r="M530" s="16">
        <f>'3월'!M108</f>
        <v>630000</v>
      </c>
      <c r="N530" s="15">
        <f>'3월'!N108</f>
        <v>6930000</v>
      </c>
      <c r="O530" s="5" t="str">
        <f>'3월'!O108</f>
        <v>완료(5/30)</v>
      </c>
      <c r="P530" s="177" t="str">
        <f>'3월'!P108</f>
        <v>홍승민</v>
      </c>
      <c r="Q530" s="5">
        <f>'3월'!Q108</f>
        <v>45776</v>
      </c>
      <c r="R530" s="213"/>
    </row>
    <row r="531" spans="1:19" ht="16.5" customHeight="1">
      <c r="A531" t="s">
        <v>64</v>
      </c>
      <c r="B531" s="10" t="str">
        <f>'3월'!B109</f>
        <v>H250318-01</v>
      </c>
      <c r="C531" s="12"/>
      <c r="D531" s="13">
        <f>'3월'!D109</f>
        <v>45747</v>
      </c>
      <c r="E531" s="155" t="str">
        <f>'3월'!E109</f>
        <v>다솜테크</v>
      </c>
      <c r="F531" s="155" t="str">
        <f>'3월'!F109</f>
        <v>케이엠디엠(대한지방행정공제회)</v>
      </c>
      <c r="G531" s="168" t="str">
        <f>'3월'!G109</f>
        <v>MA</v>
      </c>
      <c r="H531" s="156" t="str">
        <f>'3월'!H109</f>
        <v>4XB7A14101</v>
      </c>
      <c r="I531" s="69" t="str">
        <f>'3월'!I109</f>
        <v>Lenovo ThinkSystem DE Series 8TB 7.2K 3.5" HDD 2U12</v>
      </c>
      <c r="J531" s="122">
        <f>'3월'!J109</f>
        <v>1</v>
      </c>
      <c r="K531" s="15">
        <f>'3월'!K109</f>
        <v>475000</v>
      </c>
      <c r="L531" s="16">
        <f>'3월'!L109</f>
        <v>475000</v>
      </c>
      <c r="M531" s="16">
        <f>'3월'!M109</f>
        <v>47500</v>
      </c>
      <c r="N531" s="15">
        <f>'3월'!N109</f>
        <v>522500</v>
      </c>
      <c r="O531" s="5" t="str">
        <f>'3월'!O109</f>
        <v>완료(5/30)</v>
      </c>
      <c r="P531" s="177" t="str">
        <f>'3월'!P109</f>
        <v>천범석</v>
      </c>
      <c r="Q531" s="5" t="str">
        <f>'3월'!Q109</f>
        <v>MA</v>
      </c>
      <c r="R531" s="213"/>
    </row>
    <row r="532" spans="1:19" ht="16.5" customHeight="1">
      <c r="A532" t="s">
        <v>64</v>
      </c>
      <c r="B532" s="10" t="str">
        <f>'3월'!B110</f>
        <v>SM-25007</v>
      </c>
      <c r="C532" s="12"/>
      <c r="D532" s="13">
        <f>'3월'!D110</f>
        <v>45747</v>
      </c>
      <c r="E532" s="155" t="str">
        <f>'3월'!E110</f>
        <v>아이젝스</v>
      </c>
      <c r="F532" s="155" t="str">
        <f>'3월'!F110</f>
        <v>BAT사천</v>
      </c>
      <c r="G532" s="168" t="str">
        <f>'3월'!G110</f>
        <v>MA</v>
      </c>
      <c r="H532" s="156" t="str">
        <f>'3월'!H110</f>
        <v>연간</v>
      </c>
      <c r="I532" s="69" t="str">
        <f>'3월'!I110</f>
        <v>IZEX Solution 유지보수(2025.03~2026.02)</v>
      </c>
      <c r="J532" s="122">
        <f>'3월'!J110</f>
        <v>1</v>
      </c>
      <c r="K532" s="15">
        <f>'3월'!K110</f>
        <v>4050000</v>
      </c>
      <c r="L532" s="16">
        <f>'3월'!L110</f>
        <v>4050000</v>
      </c>
      <c r="M532" s="16">
        <f>'3월'!M110</f>
        <v>405000</v>
      </c>
      <c r="N532" s="15">
        <f>'3월'!N110</f>
        <v>4455000</v>
      </c>
      <c r="O532" s="5" t="str">
        <f>'3월'!O110</f>
        <v>완료(5/30)</v>
      </c>
      <c r="P532" s="177" t="str">
        <f>'3월'!P110</f>
        <v>천범석</v>
      </c>
      <c r="Q532" s="5">
        <f>'3월'!Q110</f>
        <v>45716</v>
      </c>
      <c r="R532" s="213"/>
    </row>
    <row r="533" spans="1:19" ht="16.5" customHeight="1">
      <c r="A533" t="s">
        <v>64</v>
      </c>
      <c r="B533" s="10" t="str">
        <f>'3월'!B111</f>
        <v>X</v>
      </c>
      <c r="C533" s="12"/>
      <c r="D533" s="13">
        <f>'3월'!D111</f>
        <v>45747</v>
      </c>
      <c r="E533" s="155" t="str">
        <f>'3월'!E111</f>
        <v>금오이노베이션</v>
      </c>
      <c r="F533" s="155"/>
      <c r="G533" s="168" t="str">
        <f>'3월'!G111</f>
        <v>일반경비</v>
      </c>
      <c r="H533" s="156" t="str">
        <f>'3월'!H111</f>
        <v>통신비</v>
      </c>
      <c r="I533" s="69" t="str">
        <f>'3월'!I111</f>
        <v>기업(구내) 3월 인터넷 사용료</v>
      </c>
      <c r="J533" s="122">
        <f>'3월'!J111</f>
        <v>1</v>
      </c>
      <c r="K533" s="15">
        <f>'3월'!K111</f>
        <v>40000</v>
      </c>
      <c r="L533" s="16">
        <f>'3월'!L111</f>
        <v>40000</v>
      </c>
      <c r="M533" s="16">
        <f>'3월'!M111</f>
        <v>4000</v>
      </c>
      <c r="N533" s="15">
        <f>'3월'!N111</f>
        <v>44000</v>
      </c>
      <c r="O533" s="5" t="str">
        <f>'3월'!O111</f>
        <v>자동이체(25/4/10)</v>
      </c>
      <c r="P533" s="177" t="str">
        <f>'3월'!P111</f>
        <v>정지우</v>
      </c>
      <c r="Q533" s="5" t="str">
        <f>'3월'!Q111</f>
        <v>X</v>
      </c>
      <c r="R533" s="213"/>
    </row>
    <row r="534" spans="1:19" ht="16.5" customHeight="1">
      <c r="A534" t="s">
        <v>64</v>
      </c>
      <c r="B534" s="10" t="str">
        <f>'3월'!B112</f>
        <v>X</v>
      </c>
      <c r="C534" s="12"/>
      <c r="D534" s="13">
        <f>'3월'!D112</f>
        <v>45747</v>
      </c>
      <c r="E534" s="155" t="str">
        <f>'3월'!E112</f>
        <v>비와이씨하이시티입주사대표회</v>
      </c>
      <c r="F534" s="155"/>
      <c r="G534" s="168" t="str">
        <f>'3월'!G112</f>
        <v>일반경비</v>
      </c>
      <c r="H534" s="156" t="str">
        <f>'3월'!H112</f>
        <v>건물관리</v>
      </c>
      <c r="I534" s="69" t="str">
        <f>'3월'!I112</f>
        <v>B동 1201호 3월 관리비 -과세분</v>
      </c>
      <c r="J534" s="122">
        <f>'3월'!J112</f>
        <v>1</v>
      </c>
      <c r="K534" s="15">
        <f>'3월'!K112</f>
        <v>557648</v>
      </c>
      <c r="L534" s="16">
        <f>'3월'!L112</f>
        <v>557648</v>
      </c>
      <c r="M534" s="16">
        <f>'3월'!M112</f>
        <v>55764</v>
      </c>
      <c r="N534" s="15">
        <f>'3월'!N112</f>
        <v>613412</v>
      </c>
      <c r="O534" s="5" t="str">
        <f>'3월'!O112</f>
        <v>완료(4/10)</v>
      </c>
      <c r="P534" s="177" t="str">
        <f>'3월'!P112</f>
        <v>정지우</v>
      </c>
      <c r="Q534" s="5" t="str">
        <f>'3월'!Q112</f>
        <v>X</v>
      </c>
      <c r="R534" s="213"/>
    </row>
    <row r="535" spans="1:19" ht="16.5" customHeight="1">
      <c r="A535" t="s">
        <v>64</v>
      </c>
      <c r="B535" s="141" t="str">
        <f>'3월'!B113</f>
        <v>X</v>
      </c>
      <c r="C535" s="142"/>
      <c r="D535" s="13">
        <f>'3월'!D113</f>
        <v>45747</v>
      </c>
      <c r="E535" s="155" t="str">
        <f>'3월'!E113</f>
        <v>비와이씨하이시티입주사대표회</v>
      </c>
      <c r="F535" s="155"/>
      <c r="G535" s="156" t="str">
        <f>'3월'!G113</f>
        <v>일반경비</v>
      </c>
      <c r="H535" s="156" t="str">
        <f>'3월'!H113</f>
        <v>건물관리</v>
      </c>
      <c r="I535" s="69" t="str">
        <f>'3월'!I113</f>
        <v>B동 1201호 3월 관리비 -면세분</v>
      </c>
      <c r="J535" s="124">
        <f>'3월'!J113</f>
        <v>1</v>
      </c>
      <c r="K535" s="16">
        <f>'3월'!K113</f>
        <v>80011</v>
      </c>
      <c r="L535" s="16">
        <f>'3월'!L113</f>
        <v>80011</v>
      </c>
      <c r="M535" s="15" t="str">
        <f>'3월'!M113</f>
        <v>X</v>
      </c>
      <c r="N535" s="15">
        <f>'3월'!N113</f>
        <v>80011</v>
      </c>
      <c r="O535" s="5" t="str">
        <f>'3월'!O113</f>
        <v>완료(4/10)</v>
      </c>
      <c r="P535" s="175" t="str">
        <f>'3월'!P113</f>
        <v>정지우</v>
      </c>
      <c r="Q535" s="68" t="str">
        <f>'3월'!Q113</f>
        <v>X</v>
      </c>
      <c r="R535" s="212" t="str">
        <f>'3월'!R113</f>
        <v>비과세</v>
      </c>
      <c r="S535" s="7"/>
    </row>
    <row r="536" spans="1:19" ht="16.5" customHeight="1">
      <c r="A536" t="s">
        <v>64</v>
      </c>
      <c r="B536" s="10" t="str">
        <f>'3월'!B114</f>
        <v>SM-24021</v>
      </c>
      <c r="C536" s="12"/>
      <c r="D536" s="13">
        <f>'3월'!D114</f>
        <v>45747</v>
      </c>
      <c r="E536" s="155" t="str">
        <f>'3월'!E114</f>
        <v>더파트</v>
      </c>
      <c r="F536" s="155" t="str">
        <f>'3월'!F114</f>
        <v>에이캐피탈</v>
      </c>
      <c r="G536" s="168" t="str">
        <f>'3월'!G114</f>
        <v>MA</v>
      </c>
      <c r="H536" s="156" t="str">
        <f>'3월'!H114</f>
        <v>월간</v>
      </c>
      <c r="I536" s="69" t="str">
        <f>'3월'!I114</f>
        <v>소산 서비스대행 3월분 - 7/12회</v>
      </c>
      <c r="J536" s="122">
        <f>'3월'!J114</f>
        <v>1</v>
      </c>
      <c r="K536" s="15">
        <f>'3월'!K114</f>
        <v>810000</v>
      </c>
      <c r="L536" s="16">
        <f>'3월'!L114</f>
        <v>810000</v>
      </c>
      <c r="M536" s="16">
        <f>'3월'!M114</f>
        <v>81000</v>
      </c>
      <c r="N536" s="15">
        <f>'3월'!N114</f>
        <v>891000</v>
      </c>
      <c r="O536" s="5" t="str">
        <f>'3월'!O114</f>
        <v>완료(4/30)</v>
      </c>
      <c r="P536" s="177" t="str">
        <f>'3월'!P114</f>
        <v>이예지</v>
      </c>
      <c r="Q536" s="5">
        <f>'3월'!Q114</f>
        <v>45752</v>
      </c>
      <c r="R536" s="213"/>
    </row>
    <row r="537" spans="1:19" ht="16.5" customHeight="1">
      <c r="A537" t="s">
        <v>64</v>
      </c>
      <c r="B537" s="10" t="str">
        <f>'3월'!B115</f>
        <v>SM-24024</v>
      </c>
      <c r="C537" s="12"/>
      <c r="D537" s="13">
        <f>'3월'!D115</f>
        <v>45747</v>
      </c>
      <c r="E537" s="155" t="str">
        <f>'3월'!E115</f>
        <v>디씨에스에스테크놀러지코리아</v>
      </c>
      <c r="F537" s="155" t="str">
        <f>'3월'!F115</f>
        <v>강북21세기병원</v>
      </c>
      <c r="G537" s="168" t="str">
        <f>'3월'!G115</f>
        <v>MA</v>
      </c>
      <c r="H537" s="156" t="str">
        <f>'3월'!H115</f>
        <v>월간-DCSS</v>
      </c>
      <c r="I537" s="69" t="str">
        <f>'3월'!I115</f>
        <v>3월 유지정비료 - 4/12회</v>
      </c>
      <c r="J537" s="122">
        <f>'3월'!J115</f>
        <v>1</v>
      </c>
      <c r="K537" s="15">
        <f>'3월'!K115</f>
        <v>20600</v>
      </c>
      <c r="L537" s="16">
        <f>'3월'!L115</f>
        <v>1693080</v>
      </c>
      <c r="M537" s="16">
        <f>'3월'!M115</f>
        <v>169308</v>
      </c>
      <c r="N537" s="15">
        <f>'3월'!N115</f>
        <v>1862388</v>
      </c>
      <c r="O537" s="5" t="str">
        <f>'3월'!O115</f>
        <v>완료(4/30)</v>
      </c>
      <c r="P537" s="177" t="str">
        <f>'3월'!P115</f>
        <v>천범석</v>
      </c>
      <c r="Q537" s="5">
        <f>'3월'!Q115</f>
        <v>45741</v>
      </c>
      <c r="R537" s="213"/>
    </row>
    <row r="538" spans="1:19" ht="16.5" customHeight="1">
      <c r="A538" t="s">
        <v>64</v>
      </c>
      <c r="B538" s="10" t="str">
        <f>'3월'!B116</f>
        <v>IK-24011</v>
      </c>
      <c r="C538" s="145"/>
      <c r="D538" s="65"/>
      <c r="E538" s="160" t="str">
        <f>'3월'!E116</f>
        <v>디씨에스에스테크놀러지코리아</v>
      </c>
      <c r="F538" s="160" t="str">
        <f>'3월'!F116</f>
        <v>로보츠</v>
      </c>
      <c r="G538" s="168" t="str">
        <f>'3월'!G116</f>
        <v>MA</v>
      </c>
      <c r="H538" s="156" t="str">
        <f>'3월'!H116</f>
        <v>월간-DCSS</v>
      </c>
      <c r="I538" s="69" t="str">
        <f>'3월'!I116</f>
        <v>키오시아 3월 유지정비료 - 4/12회</v>
      </c>
      <c r="J538" s="122">
        <f>'3월'!J116</f>
        <v>1</v>
      </c>
      <c r="K538" s="15">
        <f>'3월'!K116</f>
        <v>70180</v>
      </c>
      <c r="L538" s="125"/>
      <c r="M538" s="125"/>
      <c r="N538" s="126"/>
      <c r="O538" s="99"/>
      <c r="P538" s="177" t="str">
        <f>'3월'!P116</f>
        <v>천범석</v>
      </c>
      <c r="Q538" s="5">
        <f>'3월'!Q116</f>
        <v>45741</v>
      </c>
      <c r="R538" s="213"/>
    </row>
    <row r="539" spans="1:19" ht="16.5" customHeight="1">
      <c r="A539" t="s">
        <v>64</v>
      </c>
      <c r="B539" s="10" t="str">
        <f>'3월'!B117</f>
        <v>SM-24021</v>
      </c>
      <c r="C539" s="145"/>
      <c r="D539" s="65"/>
      <c r="E539" s="160" t="str">
        <f>'3월'!E117</f>
        <v>디씨에스에스테크놀러지코리아</v>
      </c>
      <c r="F539" s="160" t="str">
        <f>'3월'!F117</f>
        <v>에이캐피탈</v>
      </c>
      <c r="G539" s="168" t="str">
        <f>'3월'!G117</f>
        <v>MA</v>
      </c>
      <c r="H539" s="156" t="str">
        <f>'3월'!H117</f>
        <v>월간-DCSS</v>
      </c>
      <c r="I539" s="69" t="str">
        <f>'3월'!I117</f>
        <v>3월 유지정비료 - 4/9회</v>
      </c>
      <c r="J539" s="122">
        <f>'3월'!J117</f>
        <v>1</v>
      </c>
      <c r="K539" s="15">
        <f>'3월'!K117</f>
        <v>352900</v>
      </c>
      <c r="L539" s="125"/>
      <c r="M539" s="125"/>
      <c r="N539" s="126"/>
      <c r="O539" s="99"/>
      <c r="P539" s="177" t="str">
        <f>'3월'!P117</f>
        <v>이예지</v>
      </c>
      <c r="Q539" s="5">
        <f>'3월'!Q117</f>
        <v>45752</v>
      </c>
      <c r="R539" s="213"/>
    </row>
    <row r="540" spans="1:19" ht="16.5" customHeight="1">
      <c r="A540" t="s">
        <v>64</v>
      </c>
      <c r="B540" s="10" t="str">
        <f>'3월'!B118</f>
        <v>SM-24007</v>
      </c>
      <c r="C540" s="145"/>
      <c r="D540" s="65"/>
      <c r="E540" s="160" t="str">
        <f>'3월'!E118</f>
        <v>디씨에스에스테크놀러지코리아</v>
      </c>
      <c r="F540" s="160" t="str">
        <f>'3월'!F118</f>
        <v>연세의료원</v>
      </c>
      <c r="G540" s="168" t="str">
        <f>'3월'!G118</f>
        <v>MA</v>
      </c>
      <c r="H540" s="156" t="str">
        <f>'3월'!H118</f>
        <v>월간-DCSS</v>
      </c>
      <c r="I540" s="69" t="str">
        <f>'3월'!I118</f>
        <v>3월 유지정비료 - 2/12회</v>
      </c>
      <c r="J540" s="122">
        <f>'3월'!J118</f>
        <v>1</v>
      </c>
      <c r="K540" s="15">
        <f>'3월'!K118</f>
        <v>80000</v>
      </c>
      <c r="L540" s="125"/>
      <c r="M540" s="125"/>
      <c r="N540" s="126"/>
      <c r="O540" s="99"/>
      <c r="P540" s="177" t="str">
        <f>'3월'!P118</f>
        <v>이예지</v>
      </c>
      <c r="Q540" s="5">
        <f>'3월'!Q118</f>
        <v>45736</v>
      </c>
      <c r="R540" s="213"/>
    </row>
    <row r="541" spans="1:19" ht="16.5" customHeight="1">
      <c r="A541" t="s">
        <v>64</v>
      </c>
      <c r="B541" s="10" t="str">
        <f>'3월'!B119</f>
        <v>SM-25002</v>
      </c>
      <c r="C541" s="145"/>
      <c r="D541" s="65"/>
      <c r="E541" s="160" t="str">
        <f>'3월'!E119</f>
        <v>디씨에스에스테크놀러지코리아</v>
      </c>
      <c r="F541" s="160" t="str">
        <f>'3월'!F119</f>
        <v>지비에쓰시스템</v>
      </c>
      <c r="G541" s="168" t="str">
        <f>'3월'!G119</f>
        <v>MA</v>
      </c>
      <c r="H541" s="156" t="str">
        <f>'3월'!H119</f>
        <v>월간-DCSS</v>
      </c>
      <c r="I541" s="69" t="str">
        <f>'3월'!I119</f>
        <v>현대하이카 3월 유지정비료 - 2/11회</v>
      </c>
      <c r="J541" s="122">
        <f>'3월'!J119</f>
        <v>1</v>
      </c>
      <c r="K541" s="15">
        <f>'3월'!K119</f>
        <v>66000</v>
      </c>
      <c r="L541" s="125"/>
      <c r="M541" s="125"/>
      <c r="N541" s="126"/>
      <c r="O541" s="99"/>
      <c r="P541" s="177" t="str">
        <f>'3월'!P119</f>
        <v>천범석</v>
      </c>
      <c r="Q541" s="5">
        <f>'3월'!Q119</f>
        <v>45747</v>
      </c>
      <c r="R541" s="213"/>
    </row>
    <row r="542" spans="1:19" ht="16.5" customHeight="1">
      <c r="A542" t="s">
        <v>64</v>
      </c>
      <c r="B542" s="10" t="str">
        <f>'3월'!B120</f>
        <v>SM-25006</v>
      </c>
      <c r="C542" s="145"/>
      <c r="D542" s="65"/>
      <c r="E542" s="160" t="str">
        <f>'3월'!E120</f>
        <v>디씨에스에스테크놀러지코리아</v>
      </c>
      <c r="F542" s="160" t="str">
        <f>'3월'!F120</f>
        <v>장금상선</v>
      </c>
      <c r="G542" s="168" t="str">
        <f>'3월'!G120</f>
        <v>MA</v>
      </c>
      <c r="H542" s="156" t="str">
        <f>'3월'!H120</f>
        <v>월간-DCSS</v>
      </c>
      <c r="I542" s="69" t="str">
        <f>'3월'!I120</f>
        <v>3월 유지정비료 - 2/11회</v>
      </c>
      <c r="J542" s="122">
        <f>'3월'!J120</f>
        <v>1</v>
      </c>
      <c r="K542" s="15">
        <f>'3월'!K120</f>
        <v>44000</v>
      </c>
      <c r="L542" s="125"/>
      <c r="M542" s="125"/>
      <c r="N542" s="126"/>
      <c r="O542" s="99"/>
      <c r="P542" s="177" t="str">
        <f>'3월'!P120</f>
        <v>홍승민</v>
      </c>
      <c r="Q542" s="5">
        <f>'3월'!Q120</f>
        <v>45747</v>
      </c>
      <c r="R542" s="213"/>
    </row>
    <row r="543" spans="1:19" ht="16.5" customHeight="1">
      <c r="A543" t="s">
        <v>64</v>
      </c>
      <c r="B543" s="10" t="str">
        <f>'3월'!B121</f>
        <v>SM-25010</v>
      </c>
      <c r="C543" s="145"/>
      <c r="D543" s="65"/>
      <c r="E543" s="160" t="str">
        <f>'3월'!E121</f>
        <v>디씨에스에스테크놀러지코리아</v>
      </c>
      <c r="F543" s="160" t="str">
        <f>'3월'!F121</f>
        <v>유니포인트</v>
      </c>
      <c r="G543" s="168" t="str">
        <f>'3월'!G121</f>
        <v>MA</v>
      </c>
      <c r="H543" s="156" t="str">
        <f>'3월'!H121</f>
        <v>월간-DCSS</v>
      </c>
      <c r="I543" s="69" t="str">
        <f>'3월'!I121</f>
        <v>한미약품 3월 유지정비료 - 2/11회</v>
      </c>
      <c r="J543" s="122">
        <f>'3월'!J121</f>
        <v>1</v>
      </c>
      <c r="K543" s="15">
        <f>'3월'!K121</f>
        <v>292200</v>
      </c>
      <c r="L543" s="125"/>
      <c r="M543" s="125"/>
      <c r="N543" s="126"/>
      <c r="O543" s="99"/>
      <c r="P543" s="177" t="str">
        <f>'3월'!P121</f>
        <v>이예지</v>
      </c>
      <c r="Q543" s="5">
        <f>'3월'!Q121</f>
        <v>45747</v>
      </c>
      <c r="R543" s="213"/>
    </row>
    <row r="544" spans="1:19" ht="16.5" customHeight="1">
      <c r="A544" t="s">
        <v>64</v>
      </c>
      <c r="B544" s="10" t="str">
        <f>'3월'!B122</f>
        <v>SM-25009</v>
      </c>
      <c r="C544" s="145"/>
      <c r="D544" s="65"/>
      <c r="E544" s="160" t="str">
        <f>'3월'!E122</f>
        <v>디씨에스에스테크놀러지코리아</v>
      </c>
      <c r="F544" s="160" t="str">
        <f>'3월'!F122</f>
        <v>유니포인트</v>
      </c>
      <c r="G544" s="168" t="str">
        <f>'3월'!G122</f>
        <v>MA</v>
      </c>
      <c r="H544" s="156" t="str">
        <f>'3월'!H122</f>
        <v>월간-DCSS</v>
      </c>
      <c r="I544" s="69" t="str">
        <f>'3월'!I122</f>
        <v>교보문고 3월 유지정비료 - 2/11회</v>
      </c>
      <c r="J544" s="122">
        <f>'3월'!J122</f>
        <v>1</v>
      </c>
      <c r="K544" s="15">
        <f>'3월'!K122</f>
        <v>376200</v>
      </c>
      <c r="L544" s="125"/>
      <c r="M544" s="125"/>
      <c r="N544" s="126"/>
      <c r="O544" s="99"/>
      <c r="P544" s="177" t="str">
        <f>'3월'!P122</f>
        <v>이예지</v>
      </c>
      <c r="Q544" s="5">
        <f>'3월'!Q122</f>
        <v>45747</v>
      </c>
      <c r="R544" s="213"/>
    </row>
    <row r="545" spans="1:18" ht="16.5" customHeight="1">
      <c r="A545" t="s">
        <v>64</v>
      </c>
      <c r="B545" s="10" t="str">
        <f>'3월'!B123</f>
        <v>SB-25014</v>
      </c>
      <c r="C545" s="145"/>
      <c r="D545" s="65"/>
      <c r="E545" s="160" t="str">
        <f>'3월'!E123</f>
        <v>디씨에스에스테크놀러지코리아</v>
      </c>
      <c r="F545" s="160" t="str">
        <f>'3월'!F123</f>
        <v>와이젠정보기술</v>
      </c>
      <c r="G545" s="168" t="str">
        <f>'3월'!G123</f>
        <v>MA</v>
      </c>
      <c r="H545" s="156" t="str">
        <f>'3월'!H123</f>
        <v>월간-DCSS</v>
      </c>
      <c r="I545" s="69" t="str">
        <f>'3월'!I123</f>
        <v>안국약품 3월 유지정비료 - 1/10회</v>
      </c>
      <c r="J545" s="122">
        <f>'3월'!J123</f>
        <v>1</v>
      </c>
      <c r="K545" s="15">
        <f>'3월'!K123</f>
        <v>391000</v>
      </c>
      <c r="L545" s="125"/>
      <c r="M545" s="125"/>
      <c r="N545" s="126"/>
      <c r="O545" s="99"/>
      <c r="P545" s="177" t="str">
        <f>'3월'!P123</f>
        <v>천범석</v>
      </c>
      <c r="Q545" s="5">
        <f>'3월'!Q123</f>
        <v>45747</v>
      </c>
      <c r="R545" s="213"/>
    </row>
    <row r="546" spans="1:18" ht="16.5" customHeight="1">
      <c r="A546" t="s">
        <v>64</v>
      </c>
      <c r="B546" s="141" t="str">
        <f>'3월'!B124</f>
        <v>X</v>
      </c>
      <c r="C546" s="12"/>
      <c r="D546" s="13">
        <f>'3월'!D124</f>
        <v>45747</v>
      </c>
      <c r="E546" s="155" t="str">
        <f>'3월'!E124</f>
        <v>아이디플라워</v>
      </c>
      <c r="F546" s="155"/>
      <c r="G546" s="156" t="str">
        <f>'3월'!G124</f>
        <v>일반경비</v>
      </c>
      <c r="H546" s="156" t="str">
        <f>'3월'!H124</f>
        <v>접대비</v>
      </c>
      <c r="I546" s="69" t="str">
        <f>'3월'!I124</f>
        <v>거래처 경조 화환 - 4건</v>
      </c>
      <c r="J546" s="122">
        <f>'3월'!J124</f>
        <v>1</v>
      </c>
      <c r="K546" s="15">
        <f>'3월'!K124</f>
        <v>320000</v>
      </c>
      <c r="L546" s="16">
        <f>'3월'!L124</f>
        <v>320000</v>
      </c>
      <c r="M546" s="16" t="str">
        <f>'3월'!M124</f>
        <v>X</v>
      </c>
      <c r="N546" s="15">
        <f>'3월'!N124</f>
        <v>320000</v>
      </c>
      <c r="O546" s="5" t="str">
        <f>'3월'!O124</f>
        <v>완료(4/15)</v>
      </c>
      <c r="P546" s="175" t="str">
        <f>'3월'!P124</f>
        <v>정지우</v>
      </c>
      <c r="Q546" s="100" t="str">
        <f>'3월'!Q124</f>
        <v>X</v>
      </c>
      <c r="R546" s="212" t="str">
        <f>'3월'!R124</f>
        <v>비과세</v>
      </c>
    </row>
    <row r="547" spans="1:18" ht="16.5" customHeight="1">
      <c r="A547" t="s">
        <v>64</v>
      </c>
      <c r="B547" s="10" t="str">
        <f>'3월'!B125</f>
        <v>SM-24003</v>
      </c>
      <c r="C547" s="12"/>
      <c r="D547" s="13">
        <f>'3월'!D125</f>
        <v>45747</v>
      </c>
      <c r="E547" s="155" t="str">
        <f>'3월'!E125</f>
        <v>유니와이드</v>
      </c>
      <c r="F547" s="155" t="str">
        <f>'3월'!F125</f>
        <v>삼표산업</v>
      </c>
      <c r="G547" s="168" t="str">
        <f>'3월'!G125</f>
        <v>MA</v>
      </c>
      <c r="H547" s="156" t="str">
        <f>'3월'!H125</f>
        <v>월간</v>
      </c>
      <c r="I547" s="69" t="str">
        <f>'3월'!I125</f>
        <v>3월 유지정비료 - 3/12회</v>
      </c>
      <c r="J547" s="122">
        <f>'3월'!J125</f>
        <v>1</v>
      </c>
      <c r="K547" s="15">
        <f>'3월'!K125</f>
        <v>290000</v>
      </c>
      <c r="L547" s="16">
        <f>'3월'!L125</f>
        <v>290000</v>
      </c>
      <c r="M547" s="16">
        <f>'3월'!M125</f>
        <v>29000</v>
      </c>
      <c r="N547" s="15">
        <f>'3월'!N125</f>
        <v>319000</v>
      </c>
      <c r="O547" s="5" t="str">
        <f>'3월'!O125</f>
        <v>완료(4/30)</v>
      </c>
      <c r="P547" s="177" t="str">
        <f>'3월'!P125</f>
        <v>홍승민</v>
      </c>
      <c r="Q547" s="5">
        <f>'3월'!Q125</f>
        <v>45747</v>
      </c>
      <c r="R547" s="213"/>
    </row>
    <row r="548" spans="1:18" ht="16.5" customHeight="1">
      <c r="A548" t="s">
        <v>64</v>
      </c>
      <c r="B548" s="10" t="str">
        <f>'3월'!B126</f>
        <v>X</v>
      </c>
      <c r="C548" s="12"/>
      <c r="D548" s="13">
        <f>'3월'!D126</f>
        <v>45747</v>
      </c>
      <c r="E548" s="155" t="str">
        <f>'3월'!E126</f>
        <v>시우운수</v>
      </c>
      <c r="F548" s="155"/>
      <c r="G548" s="168" t="str">
        <f>'3월'!G126</f>
        <v>상품</v>
      </c>
      <c r="H548" s="156" t="str">
        <f>'3월'!H126</f>
        <v>운반비</v>
      </c>
      <c r="I548" s="69" t="str">
        <f>'3월'!I126</f>
        <v>로젠택배 3월 택배비(7건)</v>
      </c>
      <c r="J548" s="122">
        <f>'3월'!J126</f>
        <v>1</v>
      </c>
      <c r="K548" s="15">
        <f>'3월'!K126</f>
        <v>24182</v>
      </c>
      <c r="L548" s="16">
        <f>'3월'!L126</f>
        <v>24182</v>
      </c>
      <c r="M548" s="16">
        <f>'3월'!M126</f>
        <v>2418</v>
      </c>
      <c r="N548" s="15">
        <f>'3월'!N126</f>
        <v>26600</v>
      </c>
      <c r="O548" s="5" t="str">
        <f>'3월'!O126</f>
        <v>완료(4/10)</v>
      </c>
      <c r="P548" s="177" t="str">
        <f>'3월'!P126</f>
        <v>정지우</v>
      </c>
      <c r="Q548" s="5" t="str">
        <f>'3월'!Q126</f>
        <v>X</v>
      </c>
      <c r="R548" s="213"/>
    </row>
    <row r="549" spans="1:18" ht="16.5" customHeight="1">
      <c r="A549" t="s">
        <v>64</v>
      </c>
      <c r="B549" s="10" t="str">
        <f>'3월'!B127</f>
        <v>X</v>
      </c>
      <c r="C549" s="12"/>
      <c r="D549" s="13">
        <f>'3월'!D127</f>
        <v>45747</v>
      </c>
      <c r="E549" s="155" t="str">
        <f>'3월'!E127</f>
        <v>웹케시</v>
      </c>
      <c r="F549" s="155"/>
      <c r="G549" s="168" t="str">
        <f>'3월'!G127</f>
        <v>일반경비</v>
      </c>
      <c r="H549" s="156" t="str">
        <f>'3월'!H127</f>
        <v>지급수수료</v>
      </c>
      <c r="I549" s="69" t="str">
        <f>'3월'!I127</f>
        <v>s-erp 3월사용분</v>
      </c>
      <c r="J549" s="122">
        <f>'3월'!J127</f>
        <v>1</v>
      </c>
      <c r="K549" s="15">
        <f>'3월'!K127</f>
        <v>69000</v>
      </c>
      <c r="L549" s="16">
        <f>'3월'!L127</f>
        <v>69000</v>
      </c>
      <c r="M549" s="16">
        <f>'3월'!M127</f>
        <v>6900</v>
      </c>
      <c r="N549" s="15">
        <f>'3월'!N127</f>
        <v>75900</v>
      </c>
      <c r="O549" s="5" t="str">
        <f>'3월'!O127</f>
        <v>자동이체(4/10)</v>
      </c>
      <c r="P549" s="177" t="str">
        <f>'3월'!P127</f>
        <v>정지우</v>
      </c>
      <c r="Q549" s="5" t="str">
        <f>'3월'!Q127</f>
        <v>X</v>
      </c>
      <c r="R549" s="213"/>
    </row>
    <row r="550" spans="1:18" ht="16.5" customHeight="1">
      <c r="A550" t="s">
        <v>64</v>
      </c>
      <c r="B550" s="10" t="str">
        <f>'3월'!B128</f>
        <v>X</v>
      </c>
      <c r="C550" s="12"/>
      <c r="D550" s="13">
        <f>'3월'!D128</f>
        <v>45747</v>
      </c>
      <c r="E550" s="155" t="str">
        <f>'3월'!E128</f>
        <v>퀵서비스_전국화물</v>
      </c>
      <c r="F550" s="155"/>
      <c r="G550" s="168" t="str">
        <f>'3월'!G128</f>
        <v>상품</v>
      </c>
      <c r="H550" s="156" t="str">
        <f>'3월'!H128</f>
        <v>운반비</v>
      </c>
      <c r="I550" s="69" t="str">
        <f>'3월'!I128</f>
        <v>3월 퀵운송료</v>
      </c>
      <c r="J550" s="122">
        <f>'3월'!J128</f>
        <v>1</v>
      </c>
      <c r="K550" s="15">
        <f>'3월'!K128</f>
        <v>175000</v>
      </c>
      <c r="L550" s="16">
        <f>'3월'!L128</f>
        <v>175000</v>
      </c>
      <c r="M550" s="16">
        <f>'3월'!M128</f>
        <v>17500</v>
      </c>
      <c r="N550" s="15">
        <f>'3월'!N128</f>
        <v>192500</v>
      </c>
      <c r="O550" s="5" t="str">
        <f>'3월'!O128</f>
        <v>완료(4/15)</v>
      </c>
      <c r="P550" s="177" t="str">
        <f>'3월'!P128</f>
        <v>정지우</v>
      </c>
      <c r="Q550" s="5" t="str">
        <f>'3월'!Q128</f>
        <v>X</v>
      </c>
      <c r="R550" s="213"/>
    </row>
    <row r="551" spans="1:18" ht="16.5" customHeight="1">
      <c r="A551" t="s">
        <v>64</v>
      </c>
      <c r="B551" s="10" t="str">
        <f>'3월'!B129</f>
        <v>X</v>
      </c>
      <c r="C551" s="12"/>
      <c r="D551" s="13">
        <f>'3월'!D129</f>
        <v>45747</v>
      </c>
      <c r="E551" s="155" t="str">
        <f>'3월'!E129</f>
        <v>케이씨씨오토</v>
      </c>
      <c r="F551" s="155"/>
      <c r="G551" s="168" t="str">
        <f>'3월'!G129</f>
        <v>일반경비</v>
      </c>
      <c r="H551" s="156" t="str">
        <f>'3월'!H129</f>
        <v>자산</v>
      </c>
      <c r="I551" s="69" t="str">
        <f>'3월'!I129</f>
        <v>법인차량 구입(벤츠  GLE 450 4MATIC 283주3550)</v>
      </c>
      <c r="J551" s="122">
        <f>'3월'!J129</f>
        <v>1</v>
      </c>
      <c r="K551" s="15">
        <f>'3월'!K129</f>
        <v>112818182</v>
      </c>
      <c r="L551" s="16">
        <f>'3월'!L129</f>
        <v>112818182</v>
      </c>
      <c r="M551" s="16">
        <f>'3월'!M129</f>
        <v>11281818</v>
      </c>
      <c r="N551" s="15">
        <f>'3월'!N129</f>
        <v>124100000</v>
      </c>
      <c r="O551" s="5" t="str">
        <f>'3월'!O129</f>
        <v>완료(3/31)</v>
      </c>
      <c r="P551" s="9" t="str">
        <f>'3월'!P129</f>
        <v>정지우</v>
      </c>
      <c r="Q551" s="5" t="str">
        <f>'3월'!Q129</f>
        <v>X</v>
      </c>
      <c r="R551" s="213" t="str">
        <f>'3월'!R129</f>
        <v>부가세불공</v>
      </c>
    </row>
    <row r="552" spans="1:18" ht="16.5" customHeight="1">
      <c r="B552" s="141" t="str">
        <f>'3월'!B130</f>
        <v>X</v>
      </c>
      <c r="C552" s="12"/>
      <c r="D552" s="13">
        <f>'3월'!D130</f>
        <v>45747</v>
      </c>
      <c r="E552" s="155" t="str">
        <f>'3월'!E130</f>
        <v>신한회계법인</v>
      </c>
      <c r="F552" s="155"/>
      <c r="G552" s="156" t="str">
        <f>'3월'!G130</f>
        <v>일반경비</v>
      </c>
      <c r="H552" s="239" t="str">
        <f>'3월'!H130</f>
        <v>지급수수료</v>
      </c>
      <c r="I552" s="69" t="str">
        <f>'3월'!I130</f>
        <v>결산조정료 2024년</v>
      </c>
      <c r="J552" s="122">
        <f>'3월'!J130</f>
        <v>1</v>
      </c>
      <c r="K552" s="15">
        <f>'3월'!K130</f>
        <v>3000000</v>
      </c>
      <c r="L552" s="16">
        <f>'3월'!L130</f>
        <v>3000000</v>
      </c>
      <c r="M552" s="16">
        <f>'3월'!M130</f>
        <v>300000</v>
      </c>
      <c r="N552" s="15">
        <f>'3월'!N130</f>
        <v>3300000</v>
      </c>
      <c r="O552" s="5" t="str">
        <f>'3월'!O130</f>
        <v>완료(4/15)</v>
      </c>
      <c r="P552" s="9" t="str">
        <f>'3월'!P130</f>
        <v>정지우</v>
      </c>
      <c r="Q552" s="5" t="str">
        <f>'3월'!Q130</f>
        <v>X</v>
      </c>
      <c r="R552" s="209"/>
    </row>
    <row r="553" spans="1:18" ht="16.5" customHeight="1">
      <c r="A553" t="s">
        <v>64</v>
      </c>
      <c r="B553" s="10" t="str">
        <f>'3월'!B131</f>
        <v>SB-25016</v>
      </c>
      <c r="C553" s="12" t="str">
        <f>'3월'!C131</f>
        <v>TAHXA0203</v>
      </c>
      <c r="D553" s="13">
        <f>'3월'!D131</f>
        <v>45720</v>
      </c>
      <c r="E553" s="155" t="str">
        <f>'3월'!E131</f>
        <v>성공글로벌테크놀로지코리아</v>
      </c>
      <c r="F553" s="155" t="str">
        <f>'3월'!F131</f>
        <v>에이트랙</v>
      </c>
      <c r="G553" s="168" t="str">
        <f>'3월'!G131</f>
        <v>MAPAC</v>
      </c>
      <c r="H553" s="156" t="str">
        <f>'3월'!H131</f>
        <v>연간-성공</v>
      </c>
      <c r="I553" s="69" t="str">
        <f>'3월'!I131</f>
        <v>한림대 SW 연간유지정비료(25.03.01~26.02.28)</v>
      </c>
      <c r="J553" s="122">
        <f>'3월'!J131</f>
        <v>1</v>
      </c>
      <c r="K553" s="15">
        <f>'3월'!K131</f>
        <v>11840700</v>
      </c>
      <c r="L553" s="16">
        <f>'3월'!L131</f>
        <v>11840700</v>
      </c>
      <c r="M553" s="16">
        <f>'3월'!M131</f>
        <v>1184070</v>
      </c>
      <c r="N553" s="15">
        <f>'3월'!N131</f>
        <v>13024770</v>
      </c>
      <c r="O553" s="5" t="str">
        <f>'3월'!O131</f>
        <v>완료(5/7)</v>
      </c>
      <c r="P553" s="9" t="str">
        <f>'3월'!P131</f>
        <v>천범석</v>
      </c>
      <c r="Q553" s="5">
        <f>'3월'!Q131</f>
        <v>45747</v>
      </c>
      <c r="R553" s="213"/>
    </row>
    <row r="554" spans="1:18" ht="16.5" customHeight="1">
      <c r="A554" t="s">
        <v>64</v>
      </c>
      <c r="B554" s="10" t="str">
        <f>'3월'!B132</f>
        <v>SB-25017</v>
      </c>
      <c r="C554" s="12" t="str">
        <f>'3월'!C132</f>
        <v>ZQIURA</v>
      </c>
      <c r="D554" s="13">
        <f>'3월'!D132</f>
        <v>45722</v>
      </c>
      <c r="E554" s="155" t="str">
        <f>'3월'!E132</f>
        <v>성공글로벌테크놀로지코리아</v>
      </c>
      <c r="F554" s="155" t="str">
        <f>'3월'!F132</f>
        <v>케이아이티앤씨</v>
      </c>
      <c r="G554" s="168" t="str">
        <f>'3월'!G132</f>
        <v>MA</v>
      </c>
      <c r="H554" s="156" t="str">
        <f>'3월'!H132</f>
        <v>월간-성공</v>
      </c>
      <c r="I554" s="69" t="str">
        <f>'3월'!I132</f>
        <v>인천국제공항공사 1월 유지정비료</v>
      </c>
      <c r="J554" s="122">
        <f>'3월'!J132</f>
        <v>1</v>
      </c>
      <c r="K554" s="15">
        <f>'3월'!K132</f>
        <v>10869600</v>
      </c>
      <c r="L554" s="16">
        <f>'3월'!L132</f>
        <v>10869600</v>
      </c>
      <c r="M554" s="16">
        <f>'3월'!M132</f>
        <v>1086960</v>
      </c>
      <c r="N554" s="15">
        <f>'3월'!N132</f>
        <v>11956560</v>
      </c>
      <c r="O554" s="5" t="str">
        <f>'3월'!O132</f>
        <v>완료(5/7)</v>
      </c>
      <c r="P554" s="9" t="str">
        <f>'3월'!P132</f>
        <v>천범석</v>
      </c>
      <c r="Q554" s="5">
        <f>'3월'!Q132</f>
        <v>45747</v>
      </c>
      <c r="R554" s="213"/>
    </row>
    <row r="555" spans="1:18" ht="16.5" customHeight="1">
      <c r="A555" t="s">
        <v>64</v>
      </c>
      <c r="B555" s="10" t="str">
        <f>'3월'!B133</f>
        <v>SB-25017</v>
      </c>
      <c r="C555" s="12" t="str">
        <f>'3월'!C133</f>
        <v>ZQIURA</v>
      </c>
      <c r="D555" s="13">
        <f>'3월'!D133</f>
        <v>45722</v>
      </c>
      <c r="E555" s="155" t="str">
        <f>'3월'!E133</f>
        <v>성공글로벌테크놀로지코리아</v>
      </c>
      <c r="F555" s="155" t="str">
        <f>'3월'!F133</f>
        <v>케이아이티앤씨</v>
      </c>
      <c r="G555" s="168" t="str">
        <f>'3월'!G133</f>
        <v>MA</v>
      </c>
      <c r="H555" s="156" t="str">
        <f>'3월'!H133</f>
        <v>월간-성공</v>
      </c>
      <c r="I555" s="69" t="str">
        <f>'3월'!I133</f>
        <v>인천국제공항공사 2월 유지정비료</v>
      </c>
      <c r="J555" s="122">
        <f>'3월'!J133</f>
        <v>1</v>
      </c>
      <c r="K555" s="15">
        <f>'3월'!K133</f>
        <v>10869600</v>
      </c>
      <c r="L555" s="16">
        <f>'3월'!L133</f>
        <v>10869600</v>
      </c>
      <c r="M555" s="16">
        <f>'3월'!M133</f>
        <v>1086960</v>
      </c>
      <c r="N555" s="15">
        <f>'3월'!N133</f>
        <v>11956560</v>
      </c>
      <c r="O555" s="5" t="str">
        <f>'3월'!O133</f>
        <v>완료(5/7)</v>
      </c>
      <c r="P555" s="9" t="str">
        <f>'3월'!P133</f>
        <v>천범석</v>
      </c>
      <c r="Q555" s="5">
        <f>'3월'!Q133</f>
        <v>45747</v>
      </c>
      <c r="R555" s="213"/>
    </row>
    <row r="556" spans="1:18" ht="16.5" customHeight="1">
      <c r="A556" t="s">
        <v>64</v>
      </c>
      <c r="B556" s="10" t="str">
        <f>'3월'!B134</f>
        <v>SB-25015</v>
      </c>
      <c r="C556" s="12" t="str">
        <f>'3월'!C134</f>
        <v>ZBLJQA</v>
      </c>
      <c r="D556" s="13">
        <f>'3월'!D134</f>
        <v>45728</v>
      </c>
      <c r="E556" s="155" t="str">
        <f>'3월'!E134</f>
        <v>성공글로벌테크놀로지코리아</v>
      </c>
      <c r="F556" s="155" t="str">
        <f>'3월'!F134</f>
        <v>아이엘에스</v>
      </c>
      <c r="G556" s="168" t="str">
        <f>'3월'!G134</f>
        <v>MA</v>
      </c>
      <c r="H556" s="156" t="str">
        <f>'3월'!H134</f>
        <v>월간-성공</v>
      </c>
      <c r="I556" s="69" t="str">
        <f>'3월'!I134</f>
        <v>국회방송 10월 유지정비료 - 1/15회</v>
      </c>
      <c r="J556" s="122">
        <f>'3월'!J134</f>
        <v>1</v>
      </c>
      <c r="K556" s="15">
        <f>'3월'!K134</f>
        <v>77840</v>
      </c>
      <c r="L556" s="16">
        <f>'3월'!L134</f>
        <v>77840</v>
      </c>
      <c r="M556" s="16">
        <f>'3월'!M134</f>
        <v>7784</v>
      </c>
      <c r="N556" s="15">
        <f>'3월'!N134</f>
        <v>85624</v>
      </c>
      <c r="O556" s="5" t="str">
        <f>'3월'!O134</f>
        <v>완료(5/12)</v>
      </c>
      <c r="P556" s="9" t="str">
        <f>'3월'!P134</f>
        <v>천범석</v>
      </c>
      <c r="Q556" s="5">
        <f>'3월'!Q134</f>
        <v>45747</v>
      </c>
      <c r="R556" s="213" t="str">
        <f>'3월'!R134</f>
        <v>매출연간</v>
      </c>
    </row>
    <row r="557" spans="1:18" ht="16.5" customHeight="1">
      <c r="A557" t="s">
        <v>64</v>
      </c>
      <c r="B557" s="10" t="str">
        <f>'3월'!B135</f>
        <v>SB-25015</v>
      </c>
      <c r="C557" s="12" t="str">
        <f>'3월'!C135</f>
        <v>ZBLJQA</v>
      </c>
      <c r="D557" s="13">
        <f>'3월'!D135</f>
        <v>45728</v>
      </c>
      <c r="E557" s="155" t="str">
        <f>'3월'!E135</f>
        <v>성공글로벌테크놀로지코리아</v>
      </c>
      <c r="F557" s="155" t="str">
        <f>'3월'!F135</f>
        <v>아이엘에스</v>
      </c>
      <c r="G557" s="168" t="str">
        <f>'3월'!G135</f>
        <v>MA</v>
      </c>
      <c r="H557" s="156" t="str">
        <f>'3월'!H135</f>
        <v>월간-성공</v>
      </c>
      <c r="I557" s="69" t="str">
        <f>'3월'!I135</f>
        <v>국회방송 11월 유지정비료 - 2/15회</v>
      </c>
      <c r="J557" s="122">
        <f>'3월'!J135</f>
        <v>1</v>
      </c>
      <c r="K557" s="15">
        <f>'3월'!K135</f>
        <v>1167600</v>
      </c>
      <c r="L557" s="16">
        <f>'3월'!L135</f>
        <v>1167600</v>
      </c>
      <c r="M557" s="16">
        <f>'3월'!M135</f>
        <v>116760</v>
      </c>
      <c r="N557" s="15">
        <f>'3월'!N135</f>
        <v>1284360</v>
      </c>
      <c r="O557" s="5" t="str">
        <f>'3월'!O135</f>
        <v>완료(5/12)</v>
      </c>
      <c r="P557" s="9" t="str">
        <f>'3월'!P135</f>
        <v>천범석</v>
      </c>
      <c r="Q557" s="5">
        <f>'3월'!Q135</f>
        <v>45747</v>
      </c>
      <c r="R557" s="213" t="str">
        <f>'3월'!R135</f>
        <v>매출연간</v>
      </c>
    </row>
    <row r="558" spans="1:18" ht="16.5" customHeight="1">
      <c r="A558" t="s">
        <v>64</v>
      </c>
      <c r="B558" s="10" t="str">
        <f>'3월'!B136</f>
        <v>SB-25015</v>
      </c>
      <c r="C558" s="12" t="str">
        <f>'3월'!C136</f>
        <v>ZBLJQA</v>
      </c>
      <c r="D558" s="13">
        <f>'3월'!D136</f>
        <v>45728</v>
      </c>
      <c r="E558" s="155" t="str">
        <f>'3월'!E136</f>
        <v>성공글로벌테크놀로지코리아</v>
      </c>
      <c r="F558" s="155" t="str">
        <f>'3월'!F136</f>
        <v>아이엘에스</v>
      </c>
      <c r="G558" s="168" t="str">
        <f>'3월'!G136</f>
        <v>MA</v>
      </c>
      <c r="H558" s="156" t="str">
        <f>'3월'!H136</f>
        <v>월간-성공</v>
      </c>
      <c r="I558" s="69" t="str">
        <f>'3월'!I136</f>
        <v>국회방송 12월 유지정비료 - 3/15회</v>
      </c>
      <c r="J558" s="122">
        <f>'3월'!J136</f>
        <v>1</v>
      </c>
      <c r="K558" s="15">
        <f>'3월'!K136</f>
        <v>1167600</v>
      </c>
      <c r="L558" s="16">
        <f>'3월'!L136</f>
        <v>1167600</v>
      </c>
      <c r="M558" s="16">
        <f>'3월'!M136</f>
        <v>116760</v>
      </c>
      <c r="N558" s="15">
        <f>'3월'!N136</f>
        <v>1284360</v>
      </c>
      <c r="O558" s="5" t="str">
        <f>'3월'!O136</f>
        <v>완료(5/12)</v>
      </c>
      <c r="P558" s="9" t="str">
        <f>'3월'!P136</f>
        <v>천범석</v>
      </c>
      <c r="Q558" s="5">
        <f>'3월'!Q136</f>
        <v>45747</v>
      </c>
      <c r="R558" s="213" t="str">
        <f>'3월'!R136</f>
        <v>매출연간</v>
      </c>
    </row>
    <row r="559" spans="1:18" ht="16.5" customHeight="1">
      <c r="A559" t="s">
        <v>64</v>
      </c>
      <c r="B559" s="10" t="str">
        <f>'3월'!B137</f>
        <v>SB-25015</v>
      </c>
      <c r="C559" s="12" t="str">
        <f>'3월'!C137</f>
        <v>ZBLJQA</v>
      </c>
      <c r="D559" s="13">
        <f>'3월'!D137</f>
        <v>45728</v>
      </c>
      <c r="E559" s="155" t="str">
        <f>'3월'!E137</f>
        <v>성공글로벌테크놀로지코리아</v>
      </c>
      <c r="F559" s="155" t="str">
        <f>'3월'!F137</f>
        <v>아이엘에스</v>
      </c>
      <c r="G559" s="168" t="str">
        <f>'3월'!G137</f>
        <v>MA</v>
      </c>
      <c r="H559" s="156" t="str">
        <f>'3월'!H137</f>
        <v>월간-성공</v>
      </c>
      <c r="I559" s="69" t="str">
        <f>'3월'!I137</f>
        <v>국회방송 1월 유지정비료 - 4/15회</v>
      </c>
      <c r="J559" s="122">
        <f>'3월'!J137</f>
        <v>1</v>
      </c>
      <c r="K559" s="15">
        <f>'3월'!K137</f>
        <v>1167600</v>
      </c>
      <c r="L559" s="16">
        <f>'3월'!L137</f>
        <v>1167600</v>
      </c>
      <c r="M559" s="16">
        <f>'3월'!M137</f>
        <v>116760</v>
      </c>
      <c r="N559" s="15">
        <f>'3월'!N137</f>
        <v>1284360</v>
      </c>
      <c r="O559" s="5" t="str">
        <f>'3월'!O137</f>
        <v>완료(5/12)</v>
      </c>
      <c r="P559" s="9" t="str">
        <f>'3월'!P137</f>
        <v>천범석</v>
      </c>
      <c r="Q559" s="5">
        <f>'3월'!Q137</f>
        <v>45747</v>
      </c>
      <c r="R559" s="213" t="str">
        <f>'3월'!R137</f>
        <v>매출연간</v>
      </c>
    </row>
    <row r="560" spans="1:18" ht="16.5" customHeight="1">
      <c r="A560" t="s">
        <v>64</v>
      </c>
      <c r="B560" s="10" t="str">
        <f>'3월'!B138</f>
        <v>SB-25015</v>
      </c>
      <c r="C560" s="12" t="str">
        <f>'3월'!C138</f>
        <v>ZBLJQA</v>
      </c>
      <c r="D560" s="13">
        <f>'3월'!D138</f>
        <v>45728</v>
      </c>
      <c r="E560" s="155" t="str">
        <f>'3월'!E138</f>
        <v>성공글로벌테크놀로지코리아</v>
      </c>
      <c r="F560" s="155" t="str">
        <f>'3월'!F138</f>
        <v>아이엘에스</v>
      </c>
      <c r="G560" s="168" t="str">
        <f>'3월'!G138</f>
        <v>MA</v>
      </c>
      <c r="H560" s="156" t="str">
        <f>'3월'!H138</f>
        <v>월간-성공</v>
      </c>
      <c r="I560" s="69" t="str">
        <f>'3월'!I138</f>
        <v>국회방송 2월 유지정비료 - 5/15회</v>
      </c>
      <c r="J560" s="122">
        <f>'3월'!J138</f>
        <v>1</v>
      </c>
      <c r="K560" s="15">
        <f>'3월'!K138</f>
        <v>1167600</v>
      </c>
      <c r="L560" s="16">
        <f>'3월'!L138</f>
        <v>1167600</v>
      </c>
      <c r="M560" s="16">
        <f>'3월'!M138</f>
        <v>116760</v>
      </c>
      <c r="N560" s="15">
        <f>'3월'!N138</f>
        <v>1284360</v>
      </c>
      <c r="O560" s="5" t="str">
        <f>'3월'!O138</f>
        <v>완료(5/12)</v>
      </c>
      <c r="P560" s="9" t="str">
        <f>'3월'!P138</f>
        <v>천범석</v>
      </c>
      <c r="Q560" s="5">
        <f>'3월'!Q138</f>
        <v>45747</v>
      </c>
      <c r="R560" s="213" t="str">
        <f>'3월'!R138</f>
        <v>매출연간</v>
      </c>
    </row>
    <row r="561" spans="1:18" ht="16.5" customHeight="1">
      <c r="A561" t="s">
        <v>64</v>
      </c>
      <c r="B561" s="10" t="str">
        <f>'3월'!B139</f>
        <v>S</v>
      </c>
      <c r="C561" s="12" t="str">
        <f>'3월'!C139</f>
        <v>TruScale2024</v>
      </c>
      <c r="D561" s="13">
        <f>'3월'!D139</f>
        <v>45733</v>
      </c>
      <c r="E561" s="155" t="str">
        <f>'3월'!E139</f>
        <v>성공글로벌테크놀로지코리아</v>
      </c>
      <c r="F561" s="155" t="str">
        <f>'3월'!F139</f>
        <v>다솜테크</v>
      </c>
      <c r="G561" s="168" t="str">
        <f>'3월'!G139</f>
        <v>상품</v>
      </c>
      <c r="H561" s="156" t="str">
        <f>'3월'!H139</f>
        <v>서버</v>
      </c>
      <c r="I561" s="69" t="str">
        <f>'3월'!I139</f>
        <v>TruScale SM202400911-001-5</v>
      </c>
      <c r="J561" s="122">
        <f>'3월'!J139</f>
        <v>1</v>
      </c>
      <c r="K561" s="15">
        <f>'3월'!K139</f>
        <v>910700</v>
      </c>
      <c r="L561" s="16">
        <f>'3월'!L139</f>
        <v>910700</v>
      </c>
      <c r="M561" s="16">
        <f>'3월'!M139</f>
        <v>91070</v>
      </c>
      <c r="N561" s="15">
        <f>'3월'!N139</f>
        <v>1001770</v>
      </c>
      <c r="O561" s="5" t="str">
        <f>'3월'!O139</f>
        <v>완료(5/16)</v>
      </c>
      <c r="P561" s="9" t="str">
        <f>'3월'!P139</f>
        <v>천범석</v>
      </c>
      <c r="Q561" s="5">
        <f>'3월'!Q139</f>
        <v>45595</v>
      </c>
      <c r="R561" s="213" t="str">
        <f>'3월'!R139</f>
        <v>매출연간</v>
      </c>
    </row>
    <row r="562" spans="1:18" ht="16.5" customHeight="1">
      <c r="A562" t="s">
        <v>64</v>
      </c>
      <c r="B562" s="10" t="str">
        <f>'3월'!B140</f>
        <v>X</v>
      </c>
      <c r="C562" s="12" t="str">
        <f>'3월'!C140</f>
        <v>TruScale2022</v>
      </c>
      <c r="D562" s="13">
        <f>'3월'!D140</f>
        <v>45740</v>
      </c>
      <c r="E562" s="155" t="str">
        <f>'3월'!E140</f>
        <v>성공글로벌테크놀로지코리아</v>
      </c>
      <c r="F562" s="155" t="str">
        <f>'3월'!F140</f>
        <v>별도정리</v>
      </c>
      <c r="G562" s="168" t="str">
        <f>'3월'!G140</f>
        <v>상품</v>
      </c>
      <c r="H562" s="156" t="str">
        <f>'3월'!H140</f>
        <v>서버</v>
      </c>
      <c r="I562" s="69" t="str">
        <f>'3월'!I140</f>
        <v>TruScale SM20220628-002-29</v>
      </c>
      <c r="J562" s="122">
        <f>'3월'!J140</f>
        <v>1</v>
      </c>
      <c r="K562" s="15">
        <f>'3월'!K140</f>
        <v>1666322</v>
      </c>
      <c r="L562" s="16">
        <f>'3월'!L140</f>
        <v>1666322</v>
      </c>
      <c r="M562" s="16">
        <f>'3월'!M140</f>
        <v>166632</v>
      </c>
      <c r="N562" s="15">
        <f>'3월'!N140</f>
        <v>1832954</v>
      </c>
      <c r="O562" s="5" t="str">
        <f>'3월'!O140</f>
        <v>완료(5/23)</v>
      </c>
      <c r="P562" s="177" t="str">
        <f>'3월'!P140</f>
        <v>천범석</v>
      </c>
      <c r="Q562" s="5" t="str">
        <f>'3월'!Q140</f>
        <v>별도정리</v>
      </c>
      <c r="R562" s="213"/>
    </row>
    <row r="563" spans="1:18" ht="16.5" customHeight="1">
      <c r="A563" t="s">
        <v>64</v>
      </c>
      <c r="B563" s="10" t="str">
        <f>'3월'!B141</f>
        <v>SB-24014</v>
      </c>
      <c r="C563" s="12" t="str">
        <f>'3월'!C141</f>
        <v>ZOWZ4O</v>
      </c>
      <c r="D563" s="13">
        <f>'3월'!D141</f>
        <v>45742</v>
      </c>
      <c r="E563" s="155" t="str">
        <f>'3월'!E141</f>
        <v>성공글로벌테크놀로지코리아</v>
      </c>
      <c r="F563" s="155" t="str">
        <f>'3월'!F141</f>
        <v>동행시네마</v>
      </c>
      <c r="G563" s="168" t="str">
        <f>'3월'!G141</f>
        <v>MA</v>
      </c>
      <c r="H563" s="156" t="str">
        <f>'3월'!H141</f>
        <v>월간-성공</v>
      </c>
      <c r="I563" s="69" t="str">
        <f>'3월'!I141</f>
        <v>안동CGV 3월 유지정비료 - 13/13회</v>
      </c>
      <c r="J563" s="122">
        <f>'3월'!J141</f>
        <v>1</v>
      </c>
      <c r="K563" s="15">
        <f>'3월'!K141</f>
        <v>36140</v>
      </c>
      <c r="L563" s="16">
        <f>'3월'!L141</f>
        <v>36140</v>
      </c>
      <c r="M563" s="16">
        <f>'3월'!M141</f>
        <v>3614</v>
      </c>
      <c r="N563" s="15">
        <f>'3월'!N141</f>
        <v>39754</v>
      </c>
      <c r="O563" s="5" t="str">
        <f>'3월'!O141</f>
        <v>완료(5/26)</v>
      </c>
      <c r="P563" s="177" t="str">
        <f>'3월'!P141</f>
        <v>천범석</v>
      </c>
      <c r="Q563" s="5">
        <f>'3월'!Q141</f>
        <v>45380</v>
      </c>
      <c r="R563" s="213" t="str">
        <f>'3월'!R141</f>
        <v>매출연간</v>
      </c>
    </row>
    <row r="564" spans="1:18" ht="16.5" customHeight="1">
      <c r="A564" t="s">
        <v>64</v>
      </c>
      <c r="B564" s="10" t="str">
        <f>'3월'!B142</f>
        <v>SB-24034</v>
      </c>
      <c r="C564" s="12" t="str">
        <f>'3월'!C142</f>
        <v>Z11I89</v>
      </c>
      <c r="D564" s="13">
        <f>'3월'!D142</f>
        <v>45747</v>
      </c>
      <c r="E564" s="155" t="str">
        <f>'3월'!E142</f>
        <v>성공글로벌테크놀로지코리아</v>
      </c>
      <c r="F564" s="155" t="str">
        <f>'3월'!F142</f>
        <v>씨원시스템</v>
      </c>
      <c r="G564" s="168" t="str">
        <f>'3월'!G142</f>
        <v>MA</v>
      </c>
      <c r="H564" s="156" t="str">
        <f>'3월'!H142</f>
        <v>월간-성공</v>
      </c>
      <c r="I564" s="69" t="str">
        <f>'3월'!I142</f>
        <v>이녹스 3월 유지정비료 - 10/12회</v>
      </c>
      <c r="J564" s="122">
        <f>'3월'!J142</f>
        <v>1</v>
      </c>
      <c r="K564" s="15">
        <f>'3월'!K142</f>
        <v>249900</v>
      </c>
      <c r="L564" s="16">
        <f>'3월'!L142</f>
        <v>249900</v>
      </c>
      <c r="M564" s="16">
        <f>'3월'!M142</f>
        <v>24990</v>
      </c>
      <c r="N564" s="15">
        <f>'3월'!N142</f>
        <v>274890</v>
      </c>
      <c r="O564" s="5" t="str">
        <f>'3월'!O142</f>
        <v>완료(5/30)</v>
      </c>
      <c r="P564" s="177" t="str">
        <f>'3월'!P142</f>
        <v>천범석</v>
      </c>
      <c r="Q564" s="5">
        <f>'3월'!Q142</f>
        <v>45747</v>
      </c>
      <c r="R564" s="213"/>
    </row>
    <row r="565" spans="1:18" ht="16.5" customHeight="1">
      <c r="A565" t="s">
        <v>64</v>
      </c>
      <c r="B565" s="10" t="str">
        <f>'3월'!B143</f>
        <v>SB-24035</v>
      </c>
      <c r="C565" s="12" t="str">
        <f>'3월'!C143</f>
        <v>ZU35CP</v>
      </c>
      <c r="D565" s="13">
        <f>'3월'!D143</f>
        <v>45747</v>
      </c>
      <c r="E565" s="155" t="str">
        <f>'3월'!E143</f>
        <v>성공글로벌테크놀로지코리아</v>
      </c>
      <c r="F565" s="155" t="str">
        <f>'3월'!F143</f>
        <v>위니텍</v>
      </c>
      <c r="G565" s="168" t="str">
        <f>'3월'!G143</f>
        <v>MA</v>
      </c>
      <c r="H565" s="156" t="str">
        <f>'3월'!H143</f>
        <v>월간-성공</v>
      </c>
      <c r="I565" s="69" t="str">
        <f>'3월'!I143</f>
        <v>경북소방본부 3월 유지정비료 - 10/12회</v>
      </c>
      <c r="J565" s="122">
        <f>'3월'!J143</f>
        <v>1</v>
      </c>
      <c r="K565" s="15">
        <f>'3월'!K143</f>
        <v>111900</v>
      </c>
      <c r="L565" s="16">
        <f>'3월'!L143</f>
        <v>111900</v>
      </c>
      <c r="M565" s="16">
        <f>'3월'!M143</f>
        <v>11190</v>
      </c>
      <c r="N565" s="15">
        <f>'3월'!N143</f>
        <v>123090</v>
      </c>
      <c r="O565" s="5" t="str">
        <f>'3월'!O143</f>
        <v>완료(5/30)</v>
      </c>
      <c r="P565" s="177" t="str">
        <f>'3월'!P143</f>
        <v>천범석</v>
      </c>
      <c r="Q565" s="5">
        <f>'3월'!Q143</f>
        <v>45443</v>
      </c>
      <c r="R565" s="213" t="str">
        <f>'3월'!R143</f>
        <v>매출연간</v>
      </c>
    </row>
    <row r="566" spans="1:18" ht="16.5" customHeight="1">
      <c r="A566" t="s">
        <v>64</v>
      </c>
      <c r="B566" s="10" t="str">
        <f>'3월'!B144</f>
        <v>SB-24028</v>
      </c>
      <c r="C566" s="12" t="str">
        <f>'3월'!C144</f>
        <v>ZCX0IZ</v>
      </c>
      <c r="D566" s="13">
        <f>'3월'!D144</f>
        <v>45747</v>
      </c>
      <c r="E566" s="155" t="str">
        <f>'3월'!E144</f>
        <v>성공글로벌테크놀로지코리아</v>
      </c>
      <c r="F566" s="155" t="str">
        <f>'3월'!F144</f>
        <v>다솜테크</v>
      </c>
      <c r="G566" s="168" t="str">
        <f>'3월'!G144</f>
        <v>MA</v>
      </c>
      <c r="H566" s="156" t="str">
        <f>'3월'!H144</f>
        <v>월간-성공</v>
      </c>
      <c r="I566" s="69" t="str">
        <f>'3월'!I144</f>
        <v>대한산업보건협회 3월 유지정비료 - 11/12회</v>
      </c>
      <c r="J566" s="122">
        <f>'3월'!J144</f>
        <v>1</v>
      </c>
      <c r="K566" s="15">
        <f>'3월'!K144</f>
        <v>243955</v>
      </c>
      <c r="L566" s="16">
        <f>'3월'!L144</f>
        <v>243955</v>
      </c>
      <c r="M566" s="16">
        <f>'3월'!M144</f>
        <v>24395</v>
      </c>
      <c r="N566" s="15">
        <f>'3월'!N144</f>
        <v>268350</v>
      </c>
      <c r="O566" s="5" t="str">
        <f>'3월'!O144</f>
        <v>완료(5/30)</v>
      </c>
      <c r="P566" s="177" t="str">
        <f>'3월'!P144</f>
        <v>천범석</v>
      </c>
      <c r="Q566" s="5">
        <f>'3월'!Q144</f>
        <v>45747</v>
      </c>
      <c r="R566" s="213"/>
    </row>
    <row r="567" spans="1:18" ht="16.5" customHeight="1">
      <c r="A567" t="s">
        <v>64</v>
      </c>
      <c r="B567" s="10" t="str">
        <f>'3월'!B145</f>
        <v>SB-24031</v>
      </c>
      <c r="C567" s="12" t="str">
        <f>'3월'!C145</f>
        <v>ZKZDVZ</v>
      </c>
      <c r="D567" s="13">
        <f>'3월'!D145</f>
        <v>45747</v>
      </c>
      <c r="E567" s="155" t="str">
        <f>'3월'!E145</f>
        <v>성공글로벌테크놀로지코리아</v>
      </c>
      <c r="F567" s="155" t="str">
        <f>'3월'!F145</f>
        <v>데이타메트렉스</v>
      </c>
      <c r="G567" s="168" t="str">
        <f>'3월'!G145</f>
        <v>MA</v>
      </c>
      <c r="H567" s="156" t="str">
        <f>'3월'!H145</f>
        <v>월간-성공</v>
      </c>
      <c r="I567" s="69" t="str">
        <f>'3월'!I145</f>
        <v>롯데하이마트 3월 유지정비료 - 10/13회</v>
      </c>
      <c r="J567" s="122">
        <f>'3월'!J145</f>
        <v>1</v>
      </c>
      <c r="K567" s="15">
        <f>'3월'!K145</f>
        <v>604800</v>
      </c>
      <c r="L567" s="16">
        <f>'3월'!L145</f>
        <v>604800</v>
      </c>
      <c r="M567" s="16">
        <f>'3월'!M145</f>
        <v>60480</v>
      </c>
      <c r="N567" s="15">
        <f>'3월'!N145</f>
        <v>665280</v>
      </c>
      <c r="O567" s="5" t="str">
        <f>'3월'!O145</f>
        <v>완료(5/30)</v>
      </c>
      <c r="P567" s="177" t="str">
        <f>'3월'!P145</f>
        <v>천범석</v>
      </c>
      <c r="Q567" s="5">
        <f>'3월'!Q145</f>
        <v>45747</v>
      </c>
      <c r="R567" s="213"/>
    </row>
    <row r="568" spans="1:18" ht="16.5" customHeight="1">
      <c r="A568" t="s">
        <v>64</v>
      </c>
      <c r="B568" s="10" t="str">
        <f>'3월'!B146</f>
        <v>SB-24033</v>
      </c>
      <c r="C568" s="12" t="str">
        <f>'3월'!C146</f>
        <v>ZIU2XY</v>
      </c>
      <c r="D568" s="13">
        <f>'3월'!D146</f>
        <v>45747</v>
      </c>
      <c r="E568" s="155" t="str">
        <f>'3월'!E146</f>
        <v>성공글로벌테크놀로지코리아</v>
      </c>
      <c r="F568" s="155" t="str">
        <f>'3월'!F146</f>
        <v>EPD</v>
      </c>
      <c r="G568" s="168" t="str">
        <f>'3월'!G146</f>
        <v>MA</v>
      </c>
      <c r="H568" s="156" t="str">
        <f>'3월'!H146</f>
        <v>월간-성공</v>
      </c>
      <c r="I568" s="69" t="str">
        <f>'3월'!I146</f>
        <v>WPP 3월 유지정비료 - 11/11회</v>
      </c>
      <c r="J568" s="122">
        <f>'3월'!J146</f>
        <v>1</v>
      </c>
      <c r="K568" s="15">
        <f>'3월'!K146</f>
        <v>398400</v>
      </c>
      <c r="L568" s="16">
        <f>'3월'!L146</f>
        <v>398400</v>
      </c>
      <c r="M568" s="16">
        <f>'3월'!M146</f>
        <v>39840</v>
      </c>
      <c r="N568" s="15">
        <f>'3월'!N146</f>
        <v>438240</v>
      </c>
      <c r="O568" s="5" t="str">
        <f>'3월'!O146</f>
        <v>완료(5/30)</v>
      </c>
      <c r="P568" s="177" t="str">
        <f>'3월'!P146</f>
        <v>천범석</v>
      </c>
      <c r="Q568" s="5">
        <f>'3월'!Q146</f>
        <v>45414</v>
      </c>
      <c r="R568" s="213" t="str">
        <f>'3월'!R146</f>
        <v>매출연간</v>
      </c>
    </row>
    <row r="569" spans="1:18" ht="16.5" customHeight="1">
      <c r="A569" t="s">
        <v>64</v>
      </c>
      <c r="B569" s="10" t="str">
        <f>'3월'!B147</f>
        <v>SB-24037</v>
      </c>
      <c r="C569" s="12" t="str">
        <f>'3월'!C147</f>
        <v>ZAI7T4</v>
      </c>
      <c r="D569" s="13">
        <f>'3월'!D147</f>
        <v>45747</v>
      </c>
      <c r="E569" s="155" t="str">
        <f>'3월'!E147</f>
        <v>성공글로벌테크놀로지코리아</v>
      </c>
      <c r="F569" s="155" t="str">
        <f>'3월'!F147</f>
        <v>어보브반도체</v>
      </c>
      <c r="G569" s="168" t="str">
        <f>'3월'!G147</f>
        <v>MA</v>
      </c>
      <c r="H569" s="156" t="str">
        <f>'3월'!H147</f>
        <v>월간-성공</v>
      </c>
      <c r="I569" s="69" t="str">
        <f>'3월'!I147</f>
        <v>3월 유지정비료 - 10/13회</v>
      </c>
      <c r="J569" s="122">
        <f>'3월'!J147</f>
        <v>1</v>
      </c>
      <c r="K569" s="15">
        <f>'3월'!K147</f>
        <v>52200</v>
      </c>
      <c r="L569" s="16">
        <f>'3월'!L147</f>
        <v>52200</v>
      </c>
      <c r="M569" s="16">
        <f>'3월'!M147</f>
        <v>5220</v>
      </c>
      <c r="N569" s="15">
        <f>'3월'!N147</f>
        <v>57420</v>
      </c>
      <c r="O569" s="5" t="str">
        <f>'3월'!O147</f>
        <v>완료(5/30)</v>
      </c>
      <c r="P569" s="177" t="str">
        <f>'3월'!P147</f>
        <v>천범석</v>
      </c>
      <c r="Q569" s="5">
        <f>'3월'!Q147</f>
        <v>45471</v>
      </c>
      <c r="R569" s="213" t="str">
        <f>'3월'!R147</f>
        <v>매출연간</v>
      </c>
    </row>
    <row r="570" spans="1:18" ht="16.5" customHeight="1">
      <c r="A570" t="s">
        <v>64</v>
      </c>
      <c r="B570" s="10" t="str">
        <f>'3월'!B148</f>
        <v>SB-22053</v>
      </c>
      <c r="C570" s="12" t="str">
        <f>'3월'!C148</f>
        <v>ZEKV4M</v>
      </c>
      <c r="D570" s="13">
        <f>'3월'!D148</f>
        <v>45747</v>
      </c>
      <c r="E570" s="155" t="str">
        <f>'3월'!E148</f>
        <v>성공글로벌테크놀로지코리아</v>
      </c>
      <c r="F570" s="155" t="str">
        <f>'3월'!F148</f>
        <v>심플키</v>
      </c>
      <c r="G570" s="168" t="str">
        <f>'3월'!G148</f>
        <v>MA</v>
      </c>
      <c r="H570" s="156" t="str">
        <f>'3월'!H148</f>
        <v>월간-성공</v>
      </c>
      <c r="I570" s="69" t="str">
        <f>'3월'!I148</f>
        <v>산업은행 3월 유지정비료 - 27/36회</v>
      </c>
      <c r="J570" s="122">
        <f>'3월'!J148</f>
        <v>1</v>
      </c>
      <c r="K570" s="15">
        <f>'3월'!K148</f>
        <v>58800</v>
      </c>
      <c r="L570" s="16">
        <f>'3월'!L148</f>
        <v>58800</v>
      </c>
      <c r="M570" s="16">
        <f>'3월'!M148</f>
        <v>5880</v>
      </c>
      <c r="N570" s="15">
        <f>'3월'!N148</f>
        <v>64680</v>
      </c>
      <c r="O570" s="5" t="str">
        <f>'3월'!O148</f>
        <v>완료(5/30)</v>
      </c>
      <c r="P570" s="177" t="str">
        <f>'3월'!P148</f>
        <v>천범석</v>
      </c>
      <c r="Q570" s="5">
        <f>'3월'!Q148</f>
        <v>45658</v>
      </c>
      <c r="R570" s="213" t="str">
        <f>'3월'!R148</f>
        <v>매출분기</v>
      </c>
    </row>
    <row r="571" spans="1:18" ht="16.5" customHeight="1">
      <c r="A571" t="s">
        <v>64</v>
      </c>
      <c r="B571" s="10" t="str">
        <f>'3월'!B149</f>
        <v>SL-23009</v>
      </c>
      <c r="C571" s="12" t="str">
        <f>'3월'!C149</f>
        <v>ZI1HRR</v>
      </c>
      <c r="D571" s="13">
        <f>'3월'!D149</f>
        <v>45747</v>
      </c>
      <c r="E571" s="155" t="str">
        <f>'3월'!E149</f>
        <v>성공글로벌테크놀로지코리아</v>
      </c>
      <c r="F571" s="155" t="str">
        <f>'3월'!F149</f>
        <v>대신네트웍스</v>
      </c>
      <c r="G571" s="168" t="str">
        <f>'3월'!G149</f>
        <v>MA</v>
      </c>
      <c r="H571" s="156" t="str">
        <f>'3월'!H149</f>
        <v>월간-성공</v>
      </c>
      <c r="I571" s="69" t="str">
        <f>'3월'!I149</f>
        <v>동두천드림파워 3월 유지정비료 - 27/36회</v>
      </c>
      <c r="J571" s="122">
        <f>'3월'!J149</f>
        <v>1</v>
      </c>
      <c r="K571" s="15">
        <f>'3월'!K149</f>
        <v>115800</v>
      </c>
      <c r="L571" s="16">
        <f>'3월'!L149</f>
        <v>115800</v>
      </c>
      <c r="M571" s="16">
        <f>'3월'!M149</f>
        <v>11580</v>
      </c>
      <c r="N571" s="15">
        <f>'3월'!N149</f>
        <v>127380</v>
      </c>
      <c r="O571" s="5" t="str">
        <f>'3월'!O149</f>
        <v>완료(5/30)</v>
      </c>
      <c r="P571" s="177" t="str">
        <f>'3월'!P149</f>
        <v>천범석</v>
      </c>
      <c r="Q571" s="5">
        <f>'3월'!Q149</f>
        <v>45747</v>
      </c>
      <c r="R571" s="213" t="str">
        <f>'3월'!R149</f>
        <v>매출분기</v>
      </c>
    </row>
    <row r="572" spans="1:18" ht="16.5" customHeight="1">
      <c r="A572" t="s">
        <v>64</v>
      </c>
      <c r="B572" s="10" t="str">
        <f>'3월'!B150</f>
        <v>SL-23014</v>
      </c>
      <c r="C572" s="12" t="str">
        <f>'3월'!C150</f>
        <v>ZHUDGM</v>
      </c>
      <c r="D572" s="13">
        <f>'3월'!D150</f>
        <v>45747</v>
      </c>
      <c r="E572" s="155" t="str">
        <f>'3월'!E150</f>
        <v>성공글로벌테크놀로지코리아</v>
      </c>
      <c r="F572" s="155" t="str">
        <f>'3월'!F150</f>
        <v>케이씨에스</v>
      </c>
      <c r="G572" s="168" t="str">
        <f>'3월'!G150</f>
        <v>MA</v>
      </c>
      <c r="H572" s="156" t="str">
        <f>'3월'!H150</f>
        <v>분기-성공</v>
      </c>
      <c r="I572" s="69" t="str">
        <f>'3월'!I150</f>
        <v>한국항공우주산업 #1 HW 1분기</v>
      </c>
      <c r="J572" s="122">
        <f>'3월'!J150</f>
        <v>1</v>
      </c>
      <c r="K572" s="15">
        <f>'3월'!K150</f>
        <v>666000</v>
      </c>
      <c r="L572" s="16">
        <f>'3월'!L150</f>
        <v>666000</v>
      </c>
      <c r="M572" s="16">
        <f>'3월'!M150</f>
        <v>66600</v>
      </c>
      <c r="N572" s="15">
        <f>'3월'!N150</f>
        <v>732600</v>
      </c>
      <c r="O572" s="5" t="str">
        <f>'3월'!O150</f>
        <v>완료(5/30)</v>
      </c>
      <c r="P572" s="177" t="str">
        <f>'3월'!P150</f>
        <v>천범석</v>
      </c>
      <c r="Q572" s="5">
        <f>'3월'!Q150</f>
        <v>45747</v>
      </c>
      <c r="R572" s="213"/>
    </row>
    <row r="573" spans="1:18" ht="16.5" customHeight="1">
      <c r="A573" t="s">
        <v>64</v>
      </c>
      <c r="B573" s="10" t="str">
        <f>'3월'!B151</f>
        <v>SB-23016</v>
      </c>
      <c r="C573" s="12" t="str">
        <f>'3월'!C151</f>
        <v>ZGUKWA</v>
      </c>
      <c r="D573" s="13">
        <f>'3월'!D151</f>
        <v>45747</v>
      </c>
      <c r="E573" s="155" t="str">
        <f>'3월'!E151</f>
        <v>성공글로벌테크놀로지코리아</v>
      </c>
      <c r="F573" s="155" t="str">
        <f>'3월'!F151</f>
        <v>케이씨에스</v>
      </c>
      <c r="G573" s="168" t="str">
        <f>'3월'!G151</f>
        <v>MA</v>
      </c>
      <c r="H573" s="156" t="str">
        <f>'3월'!H151</f>
        <v>분기-성공</v>
      </c>
      <c r="I573" s="69" t="str">
        <f>'3월'!I151</f>
        <v>한국항공우주산업 #2 1분기 - 6/9회</v>
      </c>
      <c r="J573" s="122">
        <f>'3월'!J151</f>
        <v>1</v>
      </c>
      <c r="K573" s="15">
        <f>'3월'!K151</f>
        <v>8742600</v>
      </c>
      <c r="L573" s="16">
        <f>'3월'!L151</f>
        <v>8742600</v>
      </c>
      <c r="M573" s="16">
        <f>'3월'!M151</f>
        <v>874260</v>
      </c>
      <c r="N573" s="15">
        <f>'3월'!N151</f>
        <v>9616860</v>
      </c>
      <c r="O573" s="5" t="str">
        <f>'3월'!O151</f>
        <v>완료(5/30)</v>
      </c>
      <c r="P573" s="177" t="str">
        <f>'3월'!P151</f>
        <v>천범석</v>
      </c>
      <c r="Q573" s="5">
        <f>'3월'!Q151</f>
        <v>45747</v>
      </c>
      <c r="R573" s="213"/>
    </row>
    <row r="574" spans="1:18" ht="16.5" customHeight="1">
      <c r="A574" t="s">
        <v>64</v>
      </c>
      <c r="B574" s="10" t="str">
        <f>'3월'!B152</f>
        <v>SB-23012</v>
      </c>
      <c r="C574" s="12" t="str">
        <f>'3월'!C152</f>
        <v>ZKFUER</v>
      </c>
      <c r="D574" s="13">
        <f>'3월'!D152</f>
        <v>45747</v>
      </c>
      <c r="E574" s="155" t="str">
        <f>'3월'!E152</f>
        <v>성공글로벌테크놀로지코리아</v>
      </c>
      <c r="F574" s="155" t="str">
        <f>'3월'!F152</f>
        <v>솔리드이엔지</v>
      </c>
      <c r="G574" s="168" t="str">
        <f>'3월'!G152</f>
        <v>MA</v>
      </c>
      <c r="H574" s="156" t="str">
        <f>'3월'!H152</f>
        <v>월간-성공</v>
      </c>
      <c r="I574" s="69" t="str">
        <f>'3월'!I152</f>
        <v>국립기상과학원 3월 유지정비료-추가 10/12회</v>
      </c>
      <c r="J574" s="122">
        <f>'3월'!J152</f>
        <v>1</v>
      </c>
      <c r="K574" s="15">
        <f>'3월'!K152</f>
        <v>9980400</v>
      </c>
      <c r="L574" s="16">
        <f>'3월'!L152</f>
        <v>9980400</v>
      </c>
      <c r="M574" s="16">
        <f>'3월'!M152</f>
        <v>998040</v>
      </c>
      <c r="N574" s="15">
        <f>'3월'!N152</f>
        <v>10978440</v>
      </c>
      <c r="O574" s="5" t="str">
        <f>'3월'!O152</f>
        <v>완료(5/30)</v>
      </c>
      <c r="P574" s="177" t="str">
        <f>'3월'!P152</f>
        <v>천범석</v>
      </c>
      <c r="Q574" s="5">
        <f>'3월'!Q152</f>
        <v>45747</v>
      </c>
      <c r="R574" s="213"/>
    </row>
    <row r="575" spans="1:18" ht="16.5" customHeight="1">
      <c r="A575" t="s">
        <v>64</v>
      </c>
      <c r="B575" s="10" t="str">
        <f>'3월'!B153</f>
        <v>SL-23020</v>
      </c>
      <c r="C575" s="12" t="str">
        <f>'3월'!C153</f>
        <v>ZM10U8</v>
      </c>
      <c r="D575" s="13">
        <f>'3월'!D153</f>
        <v>45747</v>
      </c>
      <c r="E575" s="155" t="str">
        <f>'3월'!E153</f>
        <v>성공글로벌테크놀로지코리아</v>
      </c>
      <c r="F575" s="155" t="str">
        <f>'3월'!F153</f>
        <v>사이컴테크놀로지스코리아</v>
      </c>
      <c r="G575" s="168" t="str">
        <f>'3월'!G153</f>
        <v>MA</v>
      </c>
      <c r="H575" s="156" t="str">
        <f>'3월'!H153</f>
        <v>월간-성공</v>
      </c>
      <c r="I575" s="69" t="str">
        <f>'3월'!I153</f>
        <v>애플코리아 #2 25년 3월 유지정비료 - 33/69회</v>
      </c>
      <c r="J575" s="122">
        <f>'3월'!J153</f>
        <v>1</v>
      </c>
      <c r="K575" s="15">
        <f>'3월'!K153</f>
        <v>132600</v>
      </c>
      <c r="L575" s="16">
        <f>'3월'!L153</f>
        <v>132600</v>
      </c>
      <c r="M575" s="16">
        <f>'3월'!M153</f>
        <v>13260</v>
      </c>
      <c r="N575" s="15">
        <f>'3월'!N153</f>
        <v>145860</v>
      </c>
      <c r="O575" s="5" t="str">
        <f>'3월'!O153</f>
        <v>완료(5/30)</v>
      </c>
      <c r="P575" s="177" t="str">
        <f>'3월'!P153</f>
        <v>천범석</v>
      </c>
      <c r="Q575" s="5">
        <f>'3월'!Q153</f>
        <v>45057</v>
      </c>
      <c r="R575" s="213" t="str">
        <f>'3월'!R153</f>
        <v>매출연간</v>
      </c>
    </row>
    <row r="576" spans="1:18" ht="16.5" customHeight="1">
      <c r="A576" t="s">
        <v>64</v>
      </c>
      <c r="B576" s="10" t="str">
        <f>'3월'!B154</f>
        <v>SB-24041</v>
      </c>
      <c r="C576" s="12" t="str">
        <f>'3월'!C154</f>
        <v>ZNHTN1</v>
      </c>
      <c r="D576" s="13">
        <f>'3월'!D154</f>
        <v>45747</v>
      </c>
      <c r="E576" s="155" t="str">
        <f>'3월'!E154</f>
        <v>성공글로벌테크놀로지코리아</v>
      </c>
      <c r="F576" s="155" t="str">
        <f>'3월'!F154</f>
        <v>이비즈테크</v>
      </c>
      <c r="G576" s="168" t="str">
        <f>'3월'!G154</f>
        <v>MA</v>
      </c>
      <c r="H576" s="156" t="str">
        <f>'3월'!H154</f>
        <v>월간-성공</v>
      </c>
      <c r="I576" s="69" t="str">
        <f>'3월'!I154</f>
        <v>초록어린이재단 3월 유지정비료 - 9/12회</v>
      </c>
      <c r="J576" s="122">
        <f>'3월'!J154</f>
        <v>1</v>
      </c>
      <c r="K576" s="15">
        <f>'3월'!K154</f>
        <v>494903</v>
      </c>
      <c r="L576" s="16">
        <f>'3월'!L154</f>
        <v>494903</v>
      </c>
      <c r="M576" s="16">
        <f>'3월'!M154</f>
        <v>49490.3</v>
      </c>
      <c r="N576" s="15">
        <f>'3월'!N154</f>
        <v>544393.30000000005</v>
      </c>
      <c r="O576" s="5" t="str">
        <f>'3월'!O154</f>
        <v>완료(5/30)</v>
      </c>
      <c r="P576" s="177" t="str">
        <f>'3월'!P154</f>
        <v>천범석</v>
      </c>
      <c r="Q576" s="5">
        <f>'3월'!Q154</f>
        <v>45747</v>
      </c>
      <c r="R576" s="213"/>
    </row>
    <row r="577" spans="1:18" ht="16.5" customHeight="1">
      <c r="A577" t="s">
        <v>64</v>
      </c>
      <c r="B577" s="10" t="str">
        <f>'3월'!B155</f>
        <v>SB-23053</v>
      </c>
      <c r="C577" s="12" t="str">
        <f>'3월'!C155</f>
        <v>Z41QIW</v>
      </c>
      <c r="D577" s="13">
        <f>'3월'!D155</f>
        <v>45747</v>
      </c>
      <c r="E577" s="155" t="str">
        <f>'3월'!E155</f>
        <v>성공글로벌테크놀로지코리아</v>
      </c>
      <c r="F577" s="155" t="str">
        <f>'3월'!F155</f>
        <v>서원정보</v>
      </c>
      <c r="G577" s="168" t="str">
        <f>'3월'!G155</f>
        <v>MA</v>
      </c>
      <c r="H577" s="156" t="str">
        <f>'3월'!H155</f>
        <v>월간-성공</v>
      </c>
      <c r="I577" s="69" t="str">
        <f>'3월'!I155</f>
        <v>신세계 아이앤씨 3월 유지정비료 - 26/46회</v>
      </c>
      <c r="J577" s="122">
        <f>'3월'!J155</f>
        <v>1</v>
      </c>
      <c r="K577" s="15">
        <f>'3월'!K155</f>
        <v>3709756</v>
      </c>
      <c r="L577" s="16">
        <f>'3월'!L155</f>
        <v>3709756</v>
      </c>
      <c r="M577" s="16">
        <f>'3월'!M155</f>
        <v>370975</v>
      </c>
      <c r="N577" s="15">
        <f>'3월'!N155</f>
        <v>4080731</v>
      </c>
      <c r="O577" s="5" t="str">
        <f>'3월'!O155</f>
        <v>완료(5/30)</v>
      </c>
      <c r="P577" s="177" t="str">
        <f>'3월'!P155</f>
        <v>천범석</v>
      </c>
      <c r="Q577" s="5">
        <f>'3월'!Q155</f>
        <v>45747</v>
      </c>
      <c r="R577" s="213"/>
    </row>
    <row r="578" spans="1:18" ht="16.5" customHeight="1">
      <c r="A578" t="s">
        <v>64</v>
      </c>
      <c r="B578" s="10" t="str">
        <f>'3월'!B156</f>
        <v>SB-23051</v>
      </c>
      <c r="C578" s="12" t="str">
        <f>'3월'!C156</f>
        <v>ZCKGPP</v>
      </c>
      <c r="D578" s="13">
        <f>'3월'!D156</f>
        <v>45747</v>
      </c>
      <c r="E578" s="155" t="str">
        <f>'3월'!E156</f>
        <v>성공글로벌테크놀로지코리아</v>
      </c>
      <c r="F578" s="155" t="str">
        <f>'3월'!F156</f>
        <v>이너인포</v>
      </c>
      <c r="G578" s="168" t="str">
        <f>'3월'!G156</f>
        <v>MA</v>
      </c>
      <c r="H578" s="156" t="str">
        <f>'3월'!H156</f>
        <v>월간-성공</v>
      </c>
      <c r="I578" s="69" t="str">
        <f>'3월'!I156</f>
        <v>외교부 3월 유지정비료 - 10/12회</v>
      </c>
      <c r="J578" s="122">
        <f>'3월'!J156</f>
        <v>1</v>
      </c>
      <c r="K578" s="15">
        <f>'3월'!K156</f>
        <v>18000</v>
      </c>
      <c r="L578" s="16">
        <f>'3월'!L156</f>
        <v>18000</v>
      </c>
      <c r="M578" s="16">
        <f>'3월'!M156</f>
        <v>1800</v>
      </c>
      <c r="N578" s="15">
        <f>'3월'!N156</f>
        <v>19800</v>
      </c>
      <c r="O578" s="5" t="str">
        <f>'3월'!O156</f>
        <v>완료(5/30)</v>
      </c>
      <c r="P578" s="177" t="str">
        <f>'3월'!P156</f>
        <v>천범석</v>
      </c>
      <c r="Q578" s="5">
        <f>'3월'!Q156</f>
        <v>45195</v>
      </c>
      <c r="R578" s="213" t="str">
        <f>'3월'!R156</f>
        <v>매출연간</v>
      </c>
    </row>
    <row r="579" spans="1:18" ht="16.5" customHeight="1">
      <c r="A579" t="s">
        <v>64</v>
      </c>
      <c r="B579" s="10" t="str">
        <f>'3월'!B157</f>
        <v>SL-23046</v>
      </c>
      <c r="C579" s="12" t="str">
        <f>'3월'!C157</f>
        <v>ZY3SE4</v>
      </c>
      <c r="D579" s="13">
        <f>'3월'!D157</f>
        <v>45747</v>
      </c>
      <c r="E579" s="155" t="str">
        <f>'3월'!E157</f>
        <v>성공글로벌테크놀로지코리아</v>
      </c>
      <c r="F579" s="155" t="str">
        <f>'3월'!F157</f>
        <v>대유에이텍</v>
      </c>
      <c r="G579" s="168" t="str">
        <f>'3월'!G157</f>
        <v>MA</v>
      </c>
      <c r="H579" s="156" t="str">
        <f>'3월'!H157</f>
        <v>월간-성공</v>
      </c>
      <c r="I579" s="69" t="str">
        <f>'3월'!I157</f>
        <v>3월 유지정비료 - 16/18회</v>
      </c>
      <c r="J579" s="122">
        <f>'3월'!J157</f>
        <v>1</v>
      </c>
      <c r="K579" s="15">
        <f>'3월'!K157</f>
        <v>17220</v>
      </c>
      <c r="L579" s="16">
        <f>'3월'!L157</f>
        <v>17220</v>
      </c>
      <c r="M579" s="16">
        <f>'3월'!M157</f>
        <v>1722</v>
      </c>
      <c r="N579" s="15">
        <f>'3월'!N157</f>
        <v>18942</v>
      </c>
      <c r="O579" s="5" t="str">
        <f>'3월'!O157</f>
        <v>완료(5/30)</v>
      </c>
      <c r="P579" s="177" t="str">
        <f>'3월'!P157</f>
        <v>천범석</v>
      </c>
      <c r="Q579" s="5">
        <f>'3월'!Q157</f>
        <v>45261</v>
      </c>
      <c r="R579" s="213" t="str">
        <f>'3월'!R157</f>
        <v>매출연간</v>
      </c>
    </row>
    <row r="580" spans="1:18" ht="16.5" customHeight="1">
      <c r="A580" t="s">
        <v>64</v>
      </c>
      <c r="B580" s="10" t="str">
        <f>'3월'!B158</f>
        <v>SB-23064</v>
      </c>
      <c r="C580" s="12" t="str">
        <f>'3월'!C158</f>
        <v>ZCQQRT</v>
      </c>
      <c r="D580" s="13">
        <f>'3월'!D158</f>
        <v>45747</v>
      </c>
      <c r="E580" s="155" t="str">
        <f>'3월'!E158</f>
        <v>성공글로벌테크놀로지코리아</v>
      </c>
      <c r="F580" s="155" t="str">
        <f>'3월'!F158</f>
        <v xml:space="preserve">EDP </v>
      </c>
      <c r="G580" s="168" t="str">
        <f>'3월'!G158</f>
        <v>MA</v>
      </c>
      <c r="H580" s="156" t="str">
        <f>'3월'!H158</f>
        <v>월간-성공</v>
      </c>
      <c r="I580" s="69" t="str">
        <f>'3월'!I158</f>
        <v>코클리어 3월 유지정비료 - 12/30회</v>
      </c>
      <c r="J580" s="122">
        <f>'3월'!J158</f>
        <v>1</v>
      </c>
      <c r="K580" s="15">
        <f>'3월'!K158</f>
        <v>90000</v>
      </c>
      <c r="L580" s="16">
        <f>'3월'!L158</f>
        <v>90000</v>
      </c>
      <c r="M580" s="16">
        <f>'3월'!M158</f>
        <v>9000</v>
      </c>
      <c r="N580" s="15">
        <f>'3월'!N158</f>
        <v>99000</v>
      </c>
      <c r="O580" s="5" t="str">
        <f>'3월'!O158</f>
        <v>완료(5/30)</v>
      </c>
      <c r="P580" s="177" t="str">
        <f>'3월'!P158</f>
        <v>천범석</v>
      </c>
      <c r="Q580" s="5">
        <f>'3월'!Q158</f>
        <v>45278</v>
      </c>
      <c r="R580" s="213" t="str">
        <f>'3월'!R158</f>
        <v>매출연간</v>
      </c>
    </row>
    <row r="581" spans="1:18" ht="16.5" customHeight="1">
      <c r="A581" t="s">
        <v>64</v>
      </c>
      <c r="B581" s="10" t="str">
        <f>'3월'!B159</f>
        <v>SB-24009</v>
      </c>
      <c r="C581" s="12" t="str">
        <f>'3월'!C159</f>
        <v>Z0PYQC</v>
      </c>
      <c r="D581" s="13">
        <f>'3월'!D159</f>
        <v>45747</v>
      </c>
      <c r="E581" s="155" t="str">
        <f>'3월'!E159</f>
        <v>성공글로벌테크놀로지코리아</v>
      </c>
      <c r="F581" s="155" t="str">
        <f>'3월'!F159</f>
        <v>유알피</v>
      </c>
      <c r="G581" s="168" t="str">
        <f>'3월'!G159</f>
        <v>MA</v>
      </c>
      <c r="H581" s="156" t="str">
        <f>'3월'!H159</f>
        <v>월간-성공</v>
      </c>
      <c r="I581" s="69" t="str">
        <f>'3월'!I159</f>
        <v>서울디자인재단 3월유지정비료 - 3/12회</v>
      </c>
      <c r="J581" s="122">
        <f>'3월'!J159</f>
        <v>1</v>
      </c>
      <c r="K581" s="15">
        <f>'3월'!K159</f>
        <v>976200</v>
      </c>
      <c r="L581" s="16">
        <f>'3월'!L159</f>
        <v>976200</v>
      </c>
      <c r="M581" s="16">
        <f>'3월'!M159</f>
        <v>97620</v>
      </c>
      <c r="N581" s="15">
        <f>'3월'!N159</f>
        <v>1073820</v>
      </c>
      <c r="O581" s="5" t="str">
        <f>'3월'!O159</f>
        <v>완료(5/30)</v>
      </c>
      <c r="P581" s="177" t="str">
        <f>'3월'!P159</f>
        <v>천범석</v>
      </c>
      <c r="Q581" s="5">
        <f>'3월'!Q159</f>
        <v>45762</v>
      </c>
      <c r="R581" s="213"/>
    </row>
    <row r="582" spans="1:18" ht="16.5" customHeight="1">
      <c r="A582" t="s">
        <v>64</v>
      </c>
      <c r="B582" s="10" t="str">
        <f>'3월'!B160</f>
        <v>SB-24011</v>
      </c>
      <c r="C582" s="12" t="str">
        <f>'3월'!C160</f>
        <v>Z5PURB</v>
      </c>
      <c r="D582" s="13">
        <f>'3월'!D160</f>
        <v>45747</v>
      </c>
      <c r="E582" s="155" t="str">
        <f>'3월'!E160</f>
        <v>성공글로벌테크놀로지코리아</v>
      </c>
      <c r="F582" s="155" t="str">
        <f>'3월'!F160</f>
        <v>비온시이노베이터</v>
      </c>
      <c r="G582" s="168" t="str">
        <f>'3월'!G160</f>
        <v>MA</v>
      </c>
      <c r="H582" s="156" t="str">
        <f>'3월'!H160</f>
        <v>월간-성공</v>
      </c>
      <c r="I582" s="69" t="str">
        <f>'3월'!I160</f>
        <v>국립농업과학원 - 3월유지정비료 - 15/24회</v>
      </c>
      <c r="J582" s="122">
        <f>'3월'!J160</f>
        <v>1</v>
      </c>
      <c r="K582" s="15">
        <f>'3월'!K160</f>
        <v>511500</v>
      </c>
      <c r="L582" s="16">
        <f>'3월'!L160</f>
        <v>511500</v>
      </c>
      <c r="M582" s="16">
        <f>'3월'!M160</f>
        <v>51150</v>
      </c>
      <c r="N582" s="15">
        <f>'3월'!N160</f>
        <v>562650</v>
      </c>
      <c r="O582" s="5" t="str">
        <f>'3월'!O160</f>
        <v>완료(5/30)</v>
      </c>
      <c r="P582" s="177" t="str">
        <f>'3월'!P160</f>
        <v>천범석</v>
      </c>
      <c r="Q582" s="5">
        <f>'3월'!Q160</f>
        <v>45747</v>
      </c>
      <c r="R582" s="213"/>
    </row>
    <row r="583" spans="1:18" ht="16.5" customHeight="1">
      <c r="A583" t="s">
        <v>64</v>
      </c>
      <c r="B583" s="10" t="str">
        <f>'3월'!B161</f>
        <v>SB-24019</v>
      </c>
      <c r="C583" s="12" t="str">
        <f>'3월'!C161</f>
        <v>ZNJIYM</v>
      </c>
      <c r="D583" s="13">
        <f>'3월'!D161</f>
        <v>45747</v>
      </c>
      <c r="E583" s="155" t="str">
        <f>'3월'!E161</f>
        <v>성공글로벌테크놀로지코리아</v>
      </c>
      <c r="F583" s="155" t="str">
        <f>'3월'!F161</f>
        <v>나우테크</v>
      </c>
      <c r="G583" s="168" t="str">
        <f>'3월'!G161</f>
        <v>MA</v>
      </c>
      <c r="H583" s="156" t="str">
        <f>'3월'!H161</f>
        <v>월간-성공</v>
      </c>
      <c r="I583" s="69" t="str">
        <f>'3월'!I161</f>
        <v>3월 유지정비료 - 14/16회</v>
      </c>
      <c r="J583" s="122">
        <f>'3월'!J161</f>
        <v>1</v>
      </c>
      <c r="K583" s="15">
        <f>'3월'!K161</f>
        <v>148800</v>
      </c>
      <c r="L583" s="16">
        <f>'3월'!L161</f>
        <v>148800</v>
      </c>
      <c r="M583" s="16">
        <f>'3월'!M161</f>
        <v>14880</v>
      </c>
      <c r="N583" s="15">
        <f>'3월'!N161</f>
        <v>163680</v>
      </c>
      <c r="O583" s="5" t="str">
        <f>'3월'!O161</f>
        <v>완료(5/30)</v>
      </c>
      <c r="P583" s="177" t="str">
        <f>'3월'!P161</f>
        <v>천범석</v>
      </c>
      <c r="Q583" s="5">
        <f>'3월'!Q161</f>
        <v>45722</v>
      </c>
      <c r="R583" s="213"/>
    </row>
    <row r="584" spans="1:18" ht="16.5" customHeight="1">
      <c r="A584" t="s">
        <v>64</v>
      </c>
      <c r="B584" s="10" t="str">
        <f>'3월'!B162</f>
        <v>SB-24022</v>
      </c>
      <c r="C584" s="12" t="str">
        <f>'3월'!C162</f>
        <v>ZHXILC</v>
      </c>
      <c r="D584" s="13">
        <f>'3월'!D162</f>
        <v>45747</v>
      </c>
      <c r="E584" s="155" t="str">
        <f>'3월'!E162</f>
        <v>성공글로벌테크놀로지코리아</v>
      </c>
      <c r="F584" s="155" t="str">
        <f>'3월'!F162</f>
        <v>탑텍</v>
      </c>
      <c r="G584" s="168" t="str">
        <f>'3월'!G162</f>
        <v>MA</v>
      </c>
      <c r="H584" s="156" t="str">
        <f>'3월'!H162</f>
        <v>월간-성공</v>
      </c>
      <c r="I584" s="69" t="str">
        <f>'3월'!I162</f>
        <v>탑텍 2월 유지정비료 - 12/12회</v>
      </c>
      <c r="J584" s="122">
        <f>'3월'!J162</f>
        <v>1</v>
      </c>
      <c r="K584" s="15">
        <f>'3월'!K162</f>
        <v>111900</v>
      </c>
      <c r="L584" s="16">
        <f>'3월'!L162</f>
        <v>111900</v>
      </c>
      <c r="M584" s="16">
        <f>'3월'!M162</f>
        <v>11190</v>
      </c>
      <c r="N584" s="15">
        <f>'3월'!N162</f>
        <v>123090</v>
      </c>
      <c r="O584" s="5" t="str">
        <f>'3월'!O162</f>
        <v>완료(5/30)</v>
      </c>
      <c r="P584" s="177" t="str">
        <f>'3월'!P162</f>
        <v>천범석</v>
      </c>
      <c r="Q584" s="5">
        <f>'3월'!Q162</f>
        <v>45412</v>
      </c>
      <c r="R584" s="213" t="str">
        <f>'3월'!R162</f>
        <v>매출연간</v>
      </c>
    </row>
    <row r="585" spans="1:18" ht="16.5" customHeight="1">
      <c r="A585" t="s">
        <v>64</v>
      </c>
      <c r="B585" s="10" t="str">
        <f>'3월'!B163</f>
        <v>SB-24027</v>
      </c>
      <c r="C585" s="12" t="str">
        <f>'3월'!C163</f>
        <v>ZGTHWJ</v>
      </c>
      <c r="D585" s="13">
        <f>'3월'!D163</f>
        <v>45747</v>
      </c>
      <c r="E585" s="155" t="str">
        <f>'3월'!E163</f>
        <v>성공글로벌테크놀로지코리아</v>
      </c>
      <c r="F585" s="155" t="str">
        <f>'3월'!F163</f>
        <v>시스템본</v>
      </c>
      <c r="G585" s="168" t="str">
        <f>'3월'!G163</f>
        <v>MA</v>
      </c>
      <c r="H585" s="156" t="str">
        <f>'3월'!H163</f>
        <v>월간-성공</v>
      </c>
      <c r="I585" s="69" t="str">
        <f>'3월'!I163</f>
        <v>엘지유플러스(LG U+) 3월 유지정비료 - 16/37회</v>
      </c>
      <c r="J585" s="122">
        <f>'3월'!J163</f>
        <v>1</v>
      </c>
      <c r="K585" s="15">
        <f>'3월'!K163</f>
        <v>518541</v>
      </c>
      <c r="L585" s="16">
        <f>'3월'!L163</f>
        <v>518541</v>
      </c>
      <c r="M585" s="16">
        <f>'3월'!M163</f>
        <v>51854</v>
      </c>
      <c r="N585" s="15">
        <f>'3월'!N163</f>
        <v>570395</v>
      </c>
      <c r="O585" s="5" t="str">
        <f>'3월'!O163</f>
        <v>완료(5/30)</v>
      </c>
      <c r="P585" s="177" t="str">
        <f>'3월'!P163</f>
        <v>천범석</v>
      </c>
      <c r="Q585" s="5">
        <f>'3월'!Q163</f>
        <v>45747</v>
      </c>
      <c r="R585" s="213"/>
    </row>
    <row r="586" spans="1:18" ht="16.5" customHeight="1">
      <c r="A586" t="s">
        <v>64</v>
      </c>
      <c r="B586" s="10" t="str">
        <f>'3월'!B164</f>
        <v>SL-24050</v>
      </c>
      <c r="C586" s="12" t="str">
        <f>'3월'!C164</f>
        <v>ZXFJNS</v>
      </c>
      <c r="D586" s="13">
        <f>'3월'!D164</f>
        <v>45747</v>
      </c>
      <c r="E586" s="155" t="str">
        <f>'3월'!E164</f>
        <v>성공글로벌테크놀로지코리아</v>
      </c>
      <c r="F586" s="155" t="str">
        <f>'3월'!F164</f>
        <v>스마트에프앤디</v>
      </c>
      <c r="G586" s="168" t="str">
        <f>'3월'!G164</f>
        <v>MA</v>
      </c>
      <c r="H586" s="156" t="str">
        <f>'3월'!H164</f>
        <v>월간-성공</v>
      </c>
      <c r="I586" s="69" t="str">
        <f>'3월'!I164</f>
        <v>3월 유지정비료 - 3/13회</v>
      </c>
      <c r="J586" s="122">
        <f>'3월'!J164</f>
        <v>1</v>
      </c>
      <c r="K586" s="15">
        <f>'3월'!K164</f>
        <v>99900</v>
      </c>
      <c r="L586" s="16">
        <f>'3월'!L164</f>
        <v>99900</v>
      </c>
      <c r="M586" s="16">
        <f>'3월'!M164</f>
        <v>9990</v>
      </c>
      <c r="N586" s="15">
        <f>'3월'!N164</f>
        <v>109890</v>
      </c>
      <c r="O586" s="5" t="str">
        <f>'3월'!O164</f>
        <v>완료(5/30)</v>
      </c>
      <c r="P586" s="177" t="str">
        <f>'3월'!P164</f>
        <v>천범석</v>
      </c>
      <c r="Q586" s="5">
        <f>'3월'!Q164</f>
        <v>45661</v>
      </c>
      <c r="R586" s="213" t="str">
        <f>'3월'!R164</f>
        <v>매출연간</v>
      </c>
    </row>
    <row r="587" spans="1:18" ht="16.5" customHeight="1">
      <c r="A587" t="s">
        <v>64</v>
      </c>
      <c r="B587" s="10" t="str">
        <f>'3월'!B165</f>
        <v>SB-24038</v>
      </c>
      <c r="C587" s="12" t="str">
        <f>'3월'!C165</f>
        <v>Z0OK1R</v>
      </c>
      <c r="D587" s="13">
        <f>'3월'!D165</f>
        <v>45747</v>
      </c>
      <c r="E587" s="155" t="str">
        <f>'3월'!E165</f>
        <v>성공글로벌테크놀로지코리아</v>
      </c>
      <c r="F587" s="155" t="str">
        <f>'3월'!F165</f>
        <v>삼정펄프</v>
      </c>
      <c r="G587" s="168" t="str">
        <f>'3월'!G165</f>
        <v>MA</v>
      </c>
      <c r="H587" s="156" t="str">
        <f>'3월'!H165</f>
        <v>월간-성공</v>
      </c>
      <c r="I587" s="69" t="str">
        <f>'3월'!I165</f>
        <v>3월 유지정비료 - 10/13회</v>
      </c>
      <c r="J587" s="122">
        <f>'3월'!J165</f>
        <v>1</v>
      </c>
      <c r="K587" s="15">
        <f>'3월'!K165</f>
        <v>170400</v>
      </c>
      <c r="L587" s="16">
        <f>'3월'!L165</f>
        <v>170400</v>
      </c>
      <c r="M587" s="16">
        <f>'3월'!M165</f>
        <v>17040</v>
      </c>
      <c r="N587" s="15">
        <f>'3월'!N165</f>
        <v>187440</v>
      </c>
      <c r="O587" s="5" t="str">
        <f>'3월'!O165</f>
        <v>완료(5/30)</v>
      </c>
      <c r="P587" s="177" t="str">
        <f>'3월'!P165</f>
        <v>천범석</v>
      </c>
      <c r="Q587" s="5">
        <f>'3월'!Q165</f>
        <v>45471</v>
      </c>
      <c r="R587" s="213" t="str">
        <f>'3월'!R165</f>
        <v>매출연간</v>
      </c>
    </row>
    <row r="588" spans="1:18" ht="16.5" customHeight="1">
      <c r="A588" t="s">
        <v>64</v>
      </c>
      <c r="B588" s="10" t="str">
        <f>'3월'!B166</f>
        <v>SB-24040</v>
      </c>
      <c r="C588" s="12" t="str">
        <f>'3월'!C166</f>
        <v>ZBJK3I</v>
      </c>
      <c r="D588" s="13">
        <f>'3월'!D166</f>
        <v>45747</v>
      </c>
      <c r="E588" s="155" t="str">
        <f>'3월'!E166</f>
        <v>성공글로벌테크놀로지코리아</v>
      </c>
      <c r="F588" s="155" t="str">
        <f>'3월'!F166</f>
        <v>도담솔루션</v>
      </c>
      <c r="G588" s="168" t="str">
        <f>'3월'!G166</f>
        <v>MA</v>
      </c>
      <c r="H588" s="156" t="str">
        <f>'3월'!H166</f>
        <v>월간-성공</v>
      </c>
      <c r="I588" s="69" t="str">
        <f>'3월'!I166</f>
        <v>호원대학교 3월 유지정비료 - 10/13회</v>
      </c>
      <c r="J588" s="122">
        <f>'3월'!J166</f>
        <v>1</v>
      </c>
      <c r="K588" s="15">
        <f>'3월'!K166</f>
        <v>101400</v>
      </c>
      <c r="L588" s="16">
        <f>'3월'!L166</f>
        <v>101400</v>
      </c>
      <c r="M588" s="16">
        <f>'3월'!M166</f>
        <v>10140</v>
      </c>
      <c r="N588" s="15">
        <f>'3월'!N166</f>
        <v>111540</v>
      </c>
      <c r="O588" s="5" t="str">
        <f>'3월'!O166</f>
        <v>완료(5/30)</v>
      </c>
      <c r="P588" s="177" t="str">
        <f>'3월'!P166</f>
        <v>천범석</v>
      </c>
      <c r="Q588" s="5">
        <f>'3월'!Q166</f>
        <v>45747</v>
      </c>
      <c r="R588" s="213"/>
    </row>
    <row r="589" spans="1:18" ht="16.5" customHeight="1">
      <c r="A589" t="s">
        <v>64</v>
      </c>
      <c r="B589" s="10" t="str">
        <f>'3월'!B167</f>
        <v>LI-24005</v>
      </c>
      <c r="C589" s="12" t="str">
        <f>'3월'!C167</f>
        <v>Z4ACEZ</v>
      </c>
      <c r="D589" s="13">
        <f>'3월'!D167</f>
        <v>45747</v>
      </c>
      <c r="E589" s="155" t="str">
        <f>'3월'!E167</f>
        <v>성공글로벌테크놀로지코리아</v>
      </c>
      <c r="F589" s="155" t="str">
        <f>'3월'!F167</f>
        <v>해안종합건축사사무소</v>
      </c>
      <c r="G589" s="168" t="str">
        <f>'3월'!G167</f>
        <v>MA</v>
      </c>
      <c r="H589" s="156" t="str">
        <f>'3월'!H167</f>
        <v>월간-성공</v>
      </c>
      <c r="I589" s="69" t="str">
        <f>'3월'!I167</f>
        <v>3월 유지정비료 - 10/12회</v>
      </c>
      <c r="J589" s="122">
        <f>'3월'!J167</f>
        <v>1</v>
      </c>
      <c r="K589" s="15">
        <f>'3월'!K167</f>
        <v>171600</v>
      </c>
      <c r="L589" s="16">
        <f>'3월'!L167</f>
        <v>171600</v>
      </c>
      <c r="M589" s="16">
        <f>'3월'!M167</f>
        <v>17160</v>
      </c>
      <c r="N589" s="15">
        <f>'3월'!N167</f>
        <v>188760</v>
      </c>
      <c r="O589" s="5" t="str">
        <f>'3월'!O167</f>
        <v>완료(5/30)</v>
      </c>
      <c r="P589" s="177" t="str">
        <f>'3월'!P167</f>
        <v>천범석</v>
      </c>
      <c r="Q589" s="5">
        <f>'3월'!Q167</f>
        <v>45717</v>
      </c>
      <c r="R589" s="213"/>
    </row>
    <row r="590" spans="1:18" ht="16.5" customHeight="1">
      <c r="A590" t="s">
        <v>64</v>
      </c>
      <c r="B590" s="10" t="str">
        <f>'3월'!B168</f>
        <v>SB-24039</v>
      </c>
      <c r="C590" s="12" t="str">
        <f>'3월'!C168</f>
        <v>ZZGBBZ</v>
      </c>
      <c r="D590" s="13">
        <f>'3월'!D168</f>
        <v>45747</v>
      </c>
      <c r="E590" s="155" t="str">
        <f>'3월'!E168</f>
        <v>성공글로벌테크놀로지코리아</v>
      </c>
      <c r="F590" s="155" t="str">
        <f>'3월'!F168</f>
        <v>한국디지털오디오방송</v>
      </c>
      <c r="G590" s="168" t="str">
        <f>'3월'!G168</f>
        <v>MA</v>
      </c>
      <c r="H590" s="156" t="str">
        <f>'3월'!H168</f>
        <v>월간-성공</v>
      </c>
      <c r="I590" s="69" t="str">
        <f>'3월'!I168</f>
        <v>3월유지정비료 - 9/12회</v>
      </c>
      <c r="J590" s="122">
        <f>'3월'!J168</f>
        <v>1</v>
      </c>
      <c r="K590" s="15">
        <f>'3월'!K168</f>
        <v>1120200</v>
      </c>
      <c r="L590" s="16">
        <f>'3월'!L168</f>
        <v>1120200</v>
      </c>
      <c r="M590" s="16">
        <f>'3월'!M168</f>
        <v>112020</v>
      </c>
      <c r="N590" s="15">
        <f>'3월'!N168</f>
        <v>1232220</v>
      </c>
      <c r="O590" s="5" t="str">
        <f>'3월'!O168</f>
        <v>완료(5/30)</v>
      </c>
      <c r="P590" s="177" t="str">
        <f>'3월'!P168</f>
        <v>천범석</v>
      </c>
      <c r="Q590" s="5">
        <f>'3월'!Q168</f>
        <v>45717</v>
      </c>
      <c r="R590" s="213"/>
    </row>
    <row r="591" spans="1:18" ht="16.5" customHeight="1">
      <c r="A591" t="s">
        <v>64</v>
      </c>
      <c r="B591" s="10" t="str">
        <f>'3월'!B169</f>
        <v>SB-24042</v>
      </c>
      <c r="C591" s="12" t="str">
        <f>'3월'!C169</f>
        <v>ZTME0P</v>
      </c>
      <c r="D591" s="13">
        <f>'3월'!D169</f>
        <v>45747</v>
      </c>
      <c r="E591" s="155" t="str">
        <f>'3월'!E169</f>
        <v>성공글로벌테크놀로지코리아</v>
      </c>
      <c r="F591" s="155" t="str">
        <f>'3월'!F169</f>
        <v>심플키</v>
      </c>
      <c r="G591" s="168" t="str">
        <f>'3월'!G169</f>
        <v>MA</v>
      </c>
      <c r="H591" s="156" t="str">
        <f>'3월'!H169</f>
        <v>월간-성공</v>
      </c>
      <c r="I591" s="69" t="str">
        <f>'3월'!I169</f>
        <v>티시스 3월 유지정비료 - 10/17회</v>
      </c>
      <c r="J591" s="122">
        <f>'3월'!J169</f>
        <v>1</v>
      </c>
      <c r="K591" s="15">
        <f>'3월'!K169</f>
        <v>1706400</v>
      </c>
      <c r="L591" s="16">
        <f>'3월'!L169</f>
        <v>1706400</v>
      </c>
      <c r="M591" s="16">
        <f>'3월'!M169</f>
        <v>170640</v>
      </c>
      <c r="N591" s="15">
        <f>'3월'!N169</f>
        <v>1877040</v>
      </c>
      <c r="O591" s="5" t="str">
        <f>'3월'!O169</f>
        <v>완료(5/30)</v>
      </c>
      <c r="P591" s="177" t="str">
        <f>'3월'!P169</f>
        <v>천범석</v>
      </c>
      <c r="Q591" s="5">
        <f>'3월'!Q169</f>
        <v>45658</v>
      </c>
      <c r="R591" s="213" t="str">
        <f>'3월'!R169</f>
        <v>매출분기</v>
      </c>
    </row>
    <row r="592" spans="1:18" ht="16.5" customHeight="1">
      <c r="A592" t="s">
        <v>64</v>
      </c>
      <c r="B592" s="10" t="str">
        <f>'3월'!B170</f>
        <v>SB-24043</v>
      </c>
      <c r="C592" s="12" t="str">
        <f>'3월'!C170</f>
        <v>ZSA1F0</v>
      </c>
      <c r="D592" s="13">
        <f>'3월'!D170</f>
        <v>45747</v>
      </c>
      <c r="E592" s="155" t="str">
        <f>'3월'!E170</f>
        <v>성공글로벌테크놀로지코리아</v>
      </c>
      <c r="F592" s="155" t="str">
        <f>'3월'!F170</f>
        <v>이룸에스앤앤</v>
      </c>
      <c r="G592" s="168" t="str">
        <f>'3월'!G170</f>
        <v>MA</v>
      </c>
      <c r="H592" s="156" t="str">
        <f>'3월'!H170</f>
        <v>월간-성공</v>
      </c>
      <c r="I592" s="69" t="str">
        <f>'3월'!I170</f>
        <v>DB생명 3월 유지정비료 - 9/9회</v>
      </c>
      <c r="J592" s="122">
        <f>'3월'!J170</f>
        <v>1</v>
      </c>
      <c r="K592" s="15">
        <f>'3월'!K170</f>
        <v>173400</v>
      </c>
      <c r="L592" s="16">
        <f>'3월'!L170</f>
        <v>173400</v>
      </c>
      <c r="M592" s="16">
        <f>'3월'!M170</f>
        <v>17340</v>
      </c>
      <c r="N592" s="15">
        <f>'3월'!N170</f>
        <v>190740</v>
      </c>
      <c r="O592" s="5" t="str">
        <f>'3월'!O170</f>
        <v>완료(5/30)</v>
      </c>
      <c r="P592" s="177" t="str">
        <f>'3월'!P170</f>
        <v>천범석</v>
      </c>
      <c r="Q592" s="5">
        <f>'3월'!Q170</f>
        <v>45489</v>
      </c>
      <c r="R592" s="213" t="str">
        <f>'3월'!R170</f>
        <v>매출연간</v>
      </c>
    </row>
    <row r="593" spans="1:18" ht="16.5" customHeight="1">
      <c r="A593" t="s">
        <v>64</v>
      </c>
      <c r="B593" s="10" t="str">
        <f>'3월'!B171</f>
        <v>SB-24044</v>
      </c>
      <c r="C593" s="12" t="str">
        <f>'3월'!C171</f>
        <v>ZSWUX2</v>
      </c>
      <c r="D593" s="13">
        <f>'3월'!D171</f>
        <v>45747</v>
      </c>
      <c r="E593" s="155" t="str">
        <f>'3월'!E171</f>
        <v>성공글로벌테크놀로지코리아</v>
      </c>
      <c r="F593" s="155" t="str">
        <f>'3월'!F171</f>
        <v>다솜테크</v>
      </c>
      <c r="G593" s="168" t="str">
        <f>'3월'!G171</f>
        <v>MA</v>
      </c>
      <c r="H593" s="156" t="str">
        <f>'3월'!H171</f>
        <v>월간-성공</v>
      </c>
      <c r="I593" s="69" t="str">
        <f>'3월'!I171</f>
        <v>LX홀딩스 3월 유지정비료 - 9/12회</v>
      </c>
      <c r="J593" s="122">
        <f>'3월'!J171</f>
        <v>1</v>
      </c>
      <c r="K593" s="15">
        <f>'3월'!K171</f>
        <v>505200</v>
      </c>
      <c r="L593" s="16">
        <f>'3월'!L171</f>
        <v>505200</v>
      </c>
      <c r="M593" s="16">
        <f>'3월'!M171</f>
        <v>50520</v>
      </c>
      <c r="N593" s="15">
        <f>'3월'!N171</f>
        <v>555720</v>
      </c>
      <c r="O593" s="5" t="str">
        <f>'3월'!O171</f>
        <v>완료(5/30)</v>
      </c>
      <c r="P593" s="177" t="str">
        <f>'3월'!P171</f>
        <v>천범석</v>
      </c>
      <c r="Q593" s="5">
        <f>'3월'!Q171</f>
        <v>45747</v>
      </c>
      <c r="R593" s="213"/>
    </row>
    <row r="594" spans="1:18" ht="16.5" customHeight="1">
      <c r="A594" t="s">
        <v>64</v>
      </c>
      <c r="B594" s="10" t="str">
        <f>'3월'!B172</f>
        <v>SL-24021</v>
      </c>
      <c r="C594" s="12" t="str">
        <f>'3월'!C172</f>
        <v>ZTNAYA</v>
      </c>
      <c r="D594" s="13">
        <f>'3월'!D172</f>
        <v>45747</v>
      </c>
      <c r="E594" s="155" t="str">
        <f>'3월'!E172</f>
        <v>성공글로벌테크놀로지코리아</v>
      </c>
      <c r="F594" s="155" t="str">
        <f>'3월'!F172</f>
        <v>씨티아이앤씨</v>
      </c>
      <c r="G594" s="168" t="str">
        <f>'3월'!G172</f>
        <v>MA</v>
      </c>
      <c r="H594" s="156" t="str">
        <f>'3월'!H172</f>
        <v>월간-성공</v>
      </c>
      <c r="I594" s="69" t="str">
        <f>'3월'!I172</f>
        <v>한우리아이티 HW 3월 유지정비료 - 8/13회</v>
      </c>
      <c r="J594" s="122">
        <f>'3월'!J172</f>
        <v>1</v>
      </c>
      <c r="K594" s="15">
        <f>'3월'!K172</f>
        <v>334800</v>
      </c>
      <c r="L594" s="16">
        <f>'3월'!L172</f>
        <v>334800</v>
      </c>
      <c r="M594" s="16">
        <f>'3월'!M172</f>
        <v>33480</v>
      </c>
      <c r="N594" s="15">
        <f>'3월'!N172</f>
        <v>368280</v>
      </c>
      <c r="O594" s="5" t="str">
        <f>'3월'!O172</f>
        <v>완료(5/30)</v>
      </c>
      <c r="P594" s="177" t="str">
        <f>'3월'!P172</f>
        <v>천범석</v>
      </c>
      <c r="Q594" s="5">
        <f>'3월'!Q172</f>
        <v>45504</v>
      </c>
      <c r="R594" s="213" t="str">
        <f>'3월'!R172</f>
        <v>매출연간</v>
      </c>
    </row>
    <row r="595" spans="1:18" ht="16.5" customHeight="1">
      <c r="A595" t="s">
        <v>64</v>
      </c>
      <c r="B595" s="10" t="str">
        <f>'3월'!B173</f>
        <v>SB-24046</v>
      </c>
      <c r="C595" s="12" t="str">
        <f>'3월'!C173</f>
        <v>Z8LTG0</v>
      </c>
      <c r="D595" s="13">
        <f>'3월'!D173</f>
        <v>45747</v>
      </c>
      <c r="E595" s="155" t="str">
        <f>'3월'!E173</f>
        <v>성공글로벌테크놀로지코리아</v>
      </c>
      <c r="F595" s="155" t="str">
        <f>'3월'!F173</f>
        <v>다솜테크</v>
      </c>
      <c r="G595" s="168" t="str">
        <f>'3월'!G173</f>
        <v>MA</v>
      </c>
      <c r="H595" s="156" t="str">
        <f>'3월'!H173</f>
        <v>월간-성공</v>
      </c>
      <c r="I595" s="69" t="str">
        <f>'3월'!I173</f>
        <v>웰컴저축은행 3월 유지정비료 - 8/12회</v>
      </c>
      <c r="J595" s="122">
        <f>'3월'!J173</f>
        <v>1</v>
      </c>
      <c r="K595" s="15">
        <f>'3월'!K173</f>
        <v>204600</v>
      </c>
      <c r="L595" s="16">
        <f>'3월'!L173</f>
        <v>204600</v>
      </c>
      <c r="M595" s="16">
        <f>'3월'!M173</f>
        <v>20460</v>
      </c>
      <c r="N595" s="15">
        <f>'3월'!N173</f>
        <v>225060</v>
      </c>
      <c r="O595" s="5" t="str">
        <f>'3월'!O173</f>
        <v>완료(5/30)</v>
      </c>
      <c r="P595" s="177" t="str">
        <f>'3월'!P173</f>
        <v>천범석</v>
      </c>
      <c r="Q595" s="5">
        <f>'3월'!Q173</f>
        <v>45747</v>
      </c>
      <c r="R595" s="213"/>
    </row>
    <row r="596" spans="1:18" ht="16.5" customHeight="1">
      <c r="A596" t="s">
        <v>64</v>
      </c>
      <c r="B596" s="10" t="str">
        <f>'3월'!B174</f>
        <v>SB-24047</v>
      </c>
      <c r="C596" s="12" t="str">
        <f>'3월'!C174</f>
        <v>ZPANSR</v>
      </c>
      <c r="D596" s="13">
        <f>'3월'!D174</f>
        <v>45747</v>
      </c>
      <c r="E596" s="155" t="str">
        <f>'3월'!E174</f>
        <v>성공글로벌테크놀로지코리아</v>
      </c>
      <c r="F596" s="155" t="str">
        <f>'3월'!F174</f>
        <v>현대종합금속</v>
      </c>
      <c r="G596" s="168" t="str">
        <f>'3월'!G174</f>
        <v>MA</v>
      </c>
      <c r="H596" s="156" t="str">
        <f>'3월'!H174</f>
        <v>월간-성공</v>
      </c>
      <c r="I596" s="69" t="str">
        <f>'3월'!I174</f>
        <v>3월 유지정비료 - 9/12회</v>
      </c>
      <c r="J596" s="122">
        <f>'3월'!J174</f>
        <v>1</v>
      </c>
      <c r="K596" s="15">
        <f>'3월'!K174</f>
        <v>499500</v>
      </c>
      <c r="L596" s="16">
        <f>'3월'!L174</f>
        <v>499500</v>
      </c>
      <c r="M596" s="16">
        <f>'3월'!M174</f>
        <v>49950</v>
      </c>
      <c r="N596" s="15">
        <f>'3월'!N174</f>
        <v>549450</v>
      </c>
      <c r="O596" s="5" t="str">
        <f>'3월'!O174</f>
        <v>완료(5/30)</v>
      </c>
      <c r="P596" s="177" t="str">
        <f>'3월'!P174</f>
        <v>천범석</v>
      </c>
      <c r="Q596" s="5">
        <f>'3월'!Q174</f>
        <v>45747</v>
      </c>
      <c r="R596" s="213"/>
    </row>
    <row r="597" spans="1:18" ht="16.5" customHeight="1">
      <c r="A597" t="s">
        <v>64</v>
      </c>
      <c r="B597" s="10" t="str">
        <f>'3월'!B175</f>
        <v>SB-24045</v>
      </c>
      <c r="C597" s="12" t="str">
        <f>'3월'!C175</f>
        <v>ZQJ1BB</v>
      </c>
      <c r="D597" s="13">
        <f>'3월'!D175</f>
        <v>45747</v>
      </c>
      <c r="E597" s="155" t="str">
        <f>'3월'!E175</f>
        <v>성공글로벌테크놀로지코리아</v>
      </c>
      <c r="F597" s="155" t="str">
        <f>'3월'!F175</f>
        <v>아이엘에스</v>
      </c>
      <c r="G597" s="168" t="str">
        <f>'3월'!G175</f>
        <v>MA</v>
      </c>
      <c r="H597" s="156" t="str">
        <f>'3월'!H175</f>
        <v>월간-성공</v>
      </c>
      <c r="I597" s="69" t="str">
        <f>'3월'!I175</f>
        <v>롯데홈쇼핑 3월 유지정비료 - 10/13회</v>
      </c>
      <c r="J597" s="122">
        <f>'3월'!J175</f>
        <v>1</v>
      </c>
      <c r="K597" s="15">
        <f>'3월'!K175</f>
        <v>251700</v>
      </c>
      <c r="L597" s="16">
        <f>'3월'!L175</f>
        <v>251700</v>
      </c>
      <c r="M597" s="16">
        <f>'3월'!M175</f>
        <v>25170</v>
      </c>
      <c r="N597" s="15">
        <f>'3월'!N175</f>
        <v>276870</v>
      </c>
      <c r="O597" s="5" t="str">
        <f>'3월'!O175</f>
        <v>완료(5/30)</v>
      </c>
      <c r="P597" s="177" t="str">
        <f>'3월'!P175</f>
        <v>천범석</v>
      </c>
      <c r="Q597" s="5">
        <f>'3월'!Q175</f>
        <v>45504</v>
      </c>
      <c r="R597" s="213" t="str">
        <f>'3월'!R175</f>
        <v>매출연간</v>
      </c>
    </row>
    <row r="598" spans="1:18" ht="16.5" customHeight="1">
      <c r="A598" t="s">
        <v>64</v>
      </c>
      <c r="B598" s="10" t="str">
        <f>'3월'!B176</f>
        <v>LI-24009</v>
      </c>
      <c r="C598" s="12" t="str">
        <f>'3월'!C176</f>
        <v>ZMDFL5</v>
      </c>
      <c r="D598" s="13">
        <f>'3월'!D176</f>
        <v>45747</v>
      </c>
      <c r="E598" s="155" t="str">
        <f>'3월'!E176</f>
        <v>성공글로벌테크놀로지코리아</v>
      </c>
      <c r="F598" s="155" t="str">
        <f>'3월'!F176</f>
        <v>아이리스인포테크</v>
      </c>
      <c r="G598" s="168" t="str">
        <f>'3월'!G176</f>
        <v>MA</v>
      </c>
      <c r="H598" s="156" t="str">
        <f>'3월'!H176</f>
        <v>월간-성공</v>
      </c>
      <c r="I598" s="69" t="str">
        <f>'3월'!I176</f>
        <v>프레이저플레이스 3월 유지정비료 - 8/12회</v>
      </c>
      <c r="J598" s="122">
        <f>'3월'!J176</f>
        <v>1</v>
      </c>
      <c r="K598" s="15">
        <f>'3월'!K176</f>
        <v>276600</v>
      </c>
      <c r="L598" s="16">
        <f>'3월'!L176</f>
        <v>276600</v>
      </c>
      <c r="M598" s="16">
        <f>'3월'!M176</f>
        <v>27660</v>
      </c>
      <c r="N598" s="15">
        <f>'3월'!N176</f>
        <v>304260</v>
      </c>
      <c r="O598" s="5" t="str">
        <f>'3월'!O176</f>
        <v>완료(5/30)</v>
      </c>
      <c r="P598" s="177" t="str">
        <f>'3월'!P176</f>
        <v>천범석</v>
      </c>
      <c r="Q598" s="5">
        <f>'3월'!Q176</f>
        <v>45534</v>
      </c>
      <c r="R598" s="213" t="str">
        <f>'3월'!R176</f>
        <v>매출연간</v>
      </c>
    </row>
    <row r="599" spans="1:18" ht="16.5" customHeight="1">
      <c r="A599" t="s">
        <v>64</v>
      </c>
      <c r="B599" s="10" t="str">
        <f>'3월'!B177</f>
        <v>SB-24049</v>
      </c>
      <c r="C599" s="12" t="str">
        <f>'3월'!C177</f>
        <v>ZNUJRM</v>
      </c>
      <c r="D599" s="13">
        <f>'3월'!D177</f>
        <v>45747</v>
      </c>
      <c r="E599" s="155" t="str">
        <f>'3월'!E177</f>
        <v>성공글로벌테크놀로지코리아</v>
      </c>
      <c r="F599" s="155" t="str">
        <f>'3월'!F177</f>
        <v>아이엘에스</v>
      </c>
      <c r="G599" s="168" t="str">
        <f>'3월'!G177</f>
        <v>MA</v>
      </c>
      <c r="H599" s="156" t="str">
        <f>'3월'!H177</f>
        <v>월간-성공</v>
      </c>
      <c r="I599" s="69" t="str">
        <f>'3월'!I177</f>
        <v>3월 유지정비료 - 7/12회</v>
      </c>
      <c r="J599" s="122">
        <f>'3월'!J177</f>
        <v>1</v>
      </c>
      <c r="K599" s="15">
        <f>'3월'!K177</f>
        <v>226200</v>
      </c>
      <c r="L599" s="16">
        <f>'3월'!L177</f>
        <v>226200</v>
      </c>
      <c r="M599" s="16">
        <f>'3월'!M177</f>
        <v>22620</v>
      </c>
      <c r="N599" s="15">
        <f>'3월'!N177</f>
        <v>248820</v>
      </c>
      <c r="O599" s="5" t="str">
        <f>'3월'!O177</f>
        <v>완료(5/30)</v>
      </c>
      <c r="P599" s="177" t="str">
        <f>'3월'!P177</f>
        <v>천범석</v>
      </c>
      <c r="Q599" s="5">
        <f>'3월'!Q177</f>
        <v>45565</v>
      </c>
      <c r="R599" s="213" t="str">
        <f>'3월'!R177</f>
        <v>매출연간</v>
      </c>
    </row>
    <row r="600" spans="1:18" ht="16.5" customHeight="1">
      <c r="A600" t="s">
        <v>64</v>
      </c>
      <c r="B600" s="10" t="str">
        <f>'3월'!B178</f>
        <v>SB-24050</v>
      </c>
      <c r="C600" s="12" t="str">
        <f>'3월'!C178</f>
        <v>ZTHGTA</v>
      </c>
      <c r="D600" s="13">
        <f>'3월'!D178</f>
        <v>45747</v>
      </c>
      <c r="E600" s="155" t="str">
        <f>'3월'!E178</f>
        <v>성공글로벌테크놀로지코리아</v>
      </c>
      <c r="F600" s="155" t="str">
        <f>'3월'!F178</f>
        <v>조선해운</v>
      </c>
      <c r="G600" s="168" t="str">
        <f>'3월'!G178</f>
        <v>MA</v>
      </c>
      <c r="H600" s="156" t="str">
        <f>'3월'!H178</f>
        <v>월간-성공</v>
      </c>
      <c r="I600" s="69" t="str">
        <f>'3월'!I178</f>
        <v>3월 유지정비료 - 7/13회</v>
      </c>
      <c r="J600" s="122">
        <f>'3월'!J178</f>
        <v>1</v>
      </c>
      <c r="K600" s="15">
        <f>'3월'!K178</f>
        <v>78000</v>
      </c>
      <c r="L600" s="16">
        <f>'3월'!L178</f>
        <v>78000</v>
      </c>
      <c r="M600" s="16">
        <f>'3월'!M178</f>
        <v>7800</v>
      </c>
      <c r="N600" s="15">
        <f>'3월'!N178</f>
        <v>85800</v>
      </c>
      <c r="O600" s="5" t="str">
        <f>'3월'!O178</f>
        <v>완료(5/30)</v>
      </c>
      <c r="P600" s="177" t="str">
        <f>'3월'!P178</f>
        <v>천범석</v>
      </c>
      <c r="Q600" s="5">
        <f>'3월'!Q178</f>
        <v>45565</v>
      </c>
      <c r="R600" s="213" t="str">
        <f>'3월'!R178</f>
        <v>매출연간</v>
      </c>
    </row>
    <row r="601" spans="1:18" ht="16.5" customHeight="1">
      <c r="A601" t="s">
        <v>64</v>
      </c>
      <c r="B601" s="10" t="str">
        <f>'3월'!B179</f>
        <v>SB-24051</v>
      </c>
      <c r="C601" s="12" t="str">
        <f>'3월'!C179</f>
        <v>ZWMXXL</v>
      </c>
      <c r="D601" s="13">
        <f>'3월'!D179</f>
        <v>45747</v>
      </c>
      <c r="E601" s="155" t="str">
        <f>'3월'!E179</f>
        <v>성공글로벌테크놀로지코리아</v>
      </c>
      <c r="F601" s="155" t="str">
        <f>'3월'!F179</f>
        <v>지노스</v>
      </c>
      <c r="G601" s="168" t="str">
        <f>'3월'!G179</f>
        <v>MA</v>
      </c>
      <c r="H601" s="156" t="str">
        <f>'3월'!H179</f>
        <v>월간-성공</v>
      </c>
      <c r="I601" s="69" t="str">
        <f>'3월'!I179</f>
        <v>3월 유지정비료 - 6/15회</v>
      </c>
      <c r="J601" s="122">
        <f>'3월'!J179</f>
        <v>1</v>
      </c>
      <c r="K601" s="15">
        <f>'3월'!K179</f>
        <v>534900</v>
      </c>
      <c r="L601" s="16">
        <f>'3월'!L179</f>
        <v>534900</v>
      </c>
      <c r="M601" s="16">
        <f>'3월'!M179</f>
        <v>53490</v>
      </c>
      <c r="N601" s="15">
        <f>'3월'!N179</f>
        <v>588390</v>
      </c>
      <c r="O601" s="5" t="str">
        <f>'3월'!O179</f>
        <v>완료(5/30)</v>
      </c>
      <c r="P601" s="177" t="str">
        <f>'3월'!P179</f>
        <v>천범석</v>
      </c>
      <c r="Q601" s="5">
        <f>'3월'!Q179</f>
        <v>45560</v>
      </c>
      <c r="R601" s="213" t="str">
        <f>'3월'!R179</f>
        <v>매출연간</v>
      </c>
    </row>
    <row r="602" spans="1:18" ht="16.5" customHeight="1">
      <c r="A602" t="s">
        <v>64</v>
      </c>
      <c r="B602" s="10" t="str">
        <f>'3월'!B180</f>
        <v>SB-24052</v>
      </c>
      <c r="C602" s="12" t="str">
        <f>'3월'!C180</f>
        <v>ZUIU6G</v>
      </c>
      <c r="D602" s="13">
        <f>'3월'!D180</f>
        <v>45747</v>
      </c>
      <c r="E602" s="155" t="str">
        <f>'3월'!E180</f>
        <v>성공글로벌테크놀로지코리아</v>
      </c>
      <c r="F602" s="155" t="str">
        <f>'3월'!F180</f>
        <v>유티모스트아이엔에스</v>
      </c>
      <c r="G602" s="168" t="str">
        <f>'3월'!G180</f>
        <v>MA</v>
      </c>
      <c r="H602" s="156" t="str">
        <f>'3월'!H180</f>
        <v>월간-성공</v>
      </c>
      <c r="I602" s="69" t="str">
        <f>'3월'!I180</f>
        <v>삼성중공업 3월 유지정비료 - 7/16회</v>
      </c>
      <c r="J602" s="122">
        <f>'3월'!J180</f>
        <v>1</v>
      </c>
      <c r="K602" s="15">
        <f>'3월'!K180</f>
        <v>11892900</v>
      </c>
      <c r="L602" s="16">
        <f>'3월'!L180</f>
        <v>11892900</v>
      </c>
      <c r="M602" s="16">
        <f>'3월'!M180</f>
        <v>1189290</v>
      </c>
      <c r="N602" s="15">
        <f>'3월'!N180</f>
        <v>13082190</v>
      </c>
      <c r="O602" s="5" t="str">
        <f>'3월'!O180</f>
        <v>완료(5/30)</v>
      </c>
      <c r="P602" s="177" t="str">
        <f>'3월'!P180</f>
        <v>천범석</v>
      </c>
      <c r="Q602" s="5">
        <f>'3월'!Q180</f>
        <v>45747</v>
      </c>
      <c r="R602" s="213"/>
    </row>
    <row r="603" spans="1:18" ht="16.5" customHeight="1">
      <c r="A603" t="s">
        <v>64</v>
      </c>
      <c r="B603" s="10" t="str">
        <f>'3월'!B181</f>
        <v>SB-24058</v>
      </c>
      <c r="C603" s="12" t="str">
        <f>'3월'!C181</f>
        <v>ZM9LCT</v>
      </c>
      <c r="D603" s="13">
        <f>'3월'!D181</f>
        <v>45747</v>
      </c>
      <c r="E603" s="155" t="str">
        <f>'3월'!E181</f>
        <v>성공글로벌테크놀로지코리아</v>
      </c>
      <c r="F603" s="155" t="str">
        <f>'3월'!F181</f>
        <v>에이스기계</v>
      </c>
      <c r="G603" s="168" t="str">
        <f>'3월'!G181</f>
        <v>MA</v>
      </c>
      <c r="H603" s="156" t="str">
        <f>'3월'!H181</f>
        <v>월간-성공</v>
      </c>
      <c r="I603" s="69" t="str">
        <f>'3월'!I181</f>
        <v>3월 유지정비료 - 6/13회</v>
      </c>
      <c r="J603" s="122">
        <f>'3월'!J181</f>
        <v>1</v>
      </c>
      <c r="K603" s="15">
        <f>'3월'!K181</f>
        <v>48900</v>
      </c>
      <c r="L603" s="16">
        <f>'3월'!L181</f>
        <v>48900</v>
      </c>
      <c r="M603" s="16">
        <f>'3월'!M181</f>
        <v>4890</v>
      </c>
      <c r="N603" s="15">
        <f>'3월'!N181</f>
        <v>53790</v>
      </c>
      <c r="O603" s="5" t="str">
        <f>'3월'!O181</f>
        <v>완료(5/30)</v>
      </c>
      <c r="P603" s="177" t="str">
        <f>'3월'!P181</f>
        <v>천범석</v>
      </c>
      <c r="Q603" s="5">
        <f>'3월'!Q181</f>
        <v>45590</v>
      </c>
      <c r="R603" s="213" t="str">
        <f>'3월'!R181</f>
        <v>매출연간</v>
      </c>
    </row>
    <row r="604" spans="1:18" ht="16.5" customHeight="1">
      <c r="A604" t="s">
        <v>64</v>
      </c>
      <c r="B604" s="10" t="str">
        <f>'3월'!B182</f>
        <v>SB-24054</v>
      </c>
      <c r="C604" s="12" t="str">
        <f>'3월'!C182</f>
        <v>ZGYCOY</v>
      </c>
      <c r="D604" s="13">
        <f>'3월'!D182</f>
        <v>45747</v>
      </c>
      <c r="E604" s="155" t="str">
        <f>'3월'!E182</f>
        <v>성공글로벌테크놀로지코리아</v>
      </c>
      <c r="F604" s="155" t="str">
        <f>'3월'!F182</f>
        <v>지인아이티</v>
      </c>
      <c r="G604" s="168" t="str">
        <f>'3월'!G182</f>
        <v>MA</v>
      </c>
      <c r="H604" s="156" t="str">
        <f>'3월'!H182</f>
        <v>월간-성공</v>
      </c>
      <c r="I604" s="69" t="str">
        <f>'3월'!I182</f>
        <v>유아이티 3월 유지정비료 - 6/13회</v>
      </c>
      <c r="J604" s="122">
        <f>'3월'!J182</f>
        <v>1</v>
      </c>
      <c r="K604" s="15">
        <f>'3월'!K182</f>
        <v>306300</v>
      </c>
      <c r="L604" s="16">
        <f>'3월'!L182</f>
        <v>306300</v>
      </c>
      <c r="M604" s="16">
        <f>'3월'!M182</f>
        <v>30630</v>
      </c>
      <c r="N604" s="15">
        <f>'3월'!N182</f>
        <v>336930</v>
      </c>
      <c r="O604" s="5" t="str">
        <f>'3월'!O182</f>
        <v>완료(5/30)</v>
      </c>
      <c r="P604" s="177" t="str">
        <f>'3월'!P182</f>
        <v>천범석</v>
      </c>
      <c r="Q604" s="5">
        <f>'3월'!Q182</f>
        <v>45596</v>
      </c>
      <c r="R604" s="213" t="str">
        <f>'3월'!R182</f>
        <v>매출연간</v>
      </c>
    </row>
    <row r="605" spans="1:18" ht="16.5" customHeight="1">
      <c r="A605" t="s">
        <v>64</v>
      </c>
      <c r="B605" s="10" t="str">
        <f>'3월'!B183</f>
        <v>SB-24055</v>
      </c>
      <c r="C605" s="12" t="str">
        <f>'3월'!C183</f>
        <v>ZAXJCH</v>
      </c>
      <c r="D605" s="13">
        <f>'3월'!D183</f>
        <v>45747</v>
      </c>
      <c r="E605" s="155" t="str">
        <f>'3월'!E183</f>
        <v>성공글로벌테크놀로지코리아</v>
      </c>
      <c r="F605" s="155" t="str">
        <f>'3월'!F183</f>
        <v>이룸인프라</v>
      </c>
      <c r="G605" s="168" t="str">
        <f>'3월'!G183</f>
        <v>MA</v>
      </c>
      <c r="H605" s="156" t="str">
        <f>'3월'!H183</f>
        <v>월간-성공</v>
      </c>
      <c r="I605" s="69" t="str">
        <f>'3월'!I183</f>
        <v>포스코 3월 유지정비료 - 6/15회</v>
      </c>
      <c r="J605" s="122">
        <f>'3월'!J183</f>
        <v>1</v>
      </c>
      <c r="K605" s="15">
        <f>'3월'!K183</f>
        <v>655500</v>
      </c>
      <c r="L605" s="16">
        <f>'3월'!L183</f>
        <v>655500</v>
      </c>
      <c r="M605" s="16">
        <f>'3월'!M183</f>
        <v>65550</v>
      </c>
      <c r="N605" s="15">
        <f>'3월'!N183</f>
        <v>721050</v>
      </c>
      <c r="O605" s="5" t="str">
        <f>'3월'!O183</f>
        <v>완료(5/30)</v>
      </c>
      <c r="P605" s="177" t="str">
        <f>'3월'!P183</f>
        <v>천범석</v>
      </c>
      <c r="Q605" s="5">
        <f>'3월'!Q183</f>
        <v>45747</v>
      </c>
      <c r="R605" s="213"/>
    </row>
    <row r="606" spans="1:18" ht="16.5" customHeight="1">
      <c r="A606" t="s">
        <v>64</v>
      </c>
      <c r="B606" s="10" t="str">
        <f>'3월'!B184</f>
        <v>SB-24055</v>
      </c>
      <c r="C606" s="12" t="str">
        <f>'3월'!C184</f>
        <v>ZP1BPN</v>
      </c>
      <c r="D606" s="13">
        <f>'3월'!D184</f>
        <v>45747</v>
      </c>
      <c r="E606" s="155" t="str">
        <f>'3월'!E184</f>
        <v>성공글로벌테크놀로지코리아</v>
      </c>
      <c r="F606" s="155" t="str">
        <f>'3월'!F184</f>
        <v>이룸인프라</v>
      </c>
      <c r="G606" s="168" t="str">
        <f>'3월'!G184</f>
        <v>MA</v>
      </c>
      <c r="H606" s="156" t="str">
        <f>'3월'!H184</f>
        <v>월간-성공</v>
      </c>
      <c r="I606" s="69" t="str">
        <f>'3월'!I184</f>
        <v>포스코 3월 유지정비료 - 5/14회</v>
      </c>
      <c r="J606" s="122">
        <f>'3월'!J184</f>
        <v>1</v>
      </c>
      <c r="K606" s="15">
        <f>'3월'!K184</f>
        <v>1981200</v>
      </c>
      <c r="L606" s="16">
        <f>'3월'!L184</f>
        <v>1981200</v>
      </c>
      <c r="M606" s="16">
        <f>'3월'!M184</f>
        <v>198120</v>
      </c>
      <c r="N606" s="15">
        <f>'3월'!N184</f>
        <v>2179320</v>
      </c>
      <c r="O606" s="5" t="str">
        <f>'3월'!O184</f>
        <v>완료(5/30)</v>
      </c>
      <c r="P606" s="177" t="str">
        <f>'3월'!P184</f>
        <v>천범석</v>
      </c>
      <c r="Q606" s="5">
        <f>'3월'!Q184</f>
        <v>45747</v>
      </c>
      <c r="R606" s="213"/>
    </row>
    <row r="607" spans="1:18" ht="16.5" customHeight="1">
      <c r="A607" t="s">
        <v>64</v>
      </c>
      <c r="B607" s="10" t="str">
        <f>'3월'!B185</f>
        <v>SB-24053</v>
      </c>
      <c r="C607" s="12" t="str">
        <f>'3월'!C185</f>
        <v>Z5LOLW</v>
      </c>
      <c r="D607" s="13">
        <f>'3월'!D185</f>
        <v>45747</v>
      </c>
      <c r="E607" s="155" t="str">
        <f>'3월'!E185</f>
        <v>성공글로벌테크놀로지코리아</v>
      </c>
      <c r="F607" s="155" t="str">
        <f>'3월'!F185</f>
        <v>대한변협법학전문대학원평가위원회</v>
      </c>
      <c r="G607" s="168" t="str">
        <f>'3월'!G185</f>
        <v>MA</v>
      </c>
      <c r="H607" s="156" t="str">
        <f>'3월'!H185</f>
        <v>월간-성공</v>
      </c>
      <c r="I607" s="69" t="str">
        <f>'3월'!I185</f>
        <v>3월 유지정비료 - 2/12회</v>
      </c>
      <c r="J607" s="122">
        <f>'3월'!J185</f>
        <v>1</v>
      </c>
      <c r="K607" s="15">
        <f>'3월'!K185</f>
        <v>153900</v>
      </c>
      <c r="L607" s="16">
        <f>'3월'!L185</f>
        <v>153900</v>
      </c>
      <c r="M607" s="16">
        <f>'3월'!M185</f>
        <v>15390</v>
      </c>
      <c r="N607" s="15">
        <f>'3월'!N185</f>
        <v>169290</v>
      </c>
      <c r="O607" s="5" t="str">
        <f>'3월'!O185</f>
        <v>완료(5/30)</v>
      </c>
      <c r="P607" s="177" t="str">
        <f>'3월'!P185</f>
        <v>천범석</v>
      </c>
      <c r="Q607" s="5">
        <f>'3월'!Q185</f>
        <v>45588</v>
      </c>
      <c r="R607" s="213" t="str">
        <f>'3월'!R185</f>
        <v>매출연간</v>
      </c>
    </row>
    <row r="608" spans="1:18" ht="16.5" customHeight="1">
      <c r="A608" t="s">
        <v>64</v>
      </c>
      <c r="B608" s="10" t="str">
        <f>'3월'!B186</f>
        <v>SB-24059</v>
      </c>
      <c r="C608" s="12" t="str">
        <f>'3월'!C186</f>
        <v>ZISA1K</v>
      </c>
      <c r="D608" s="13">
        <f>'3월'!D186</f>
        <v>45747</v>
      </c>
      <c r="E608" s="155" t="str">
        <f>'3월'!E186</f>
        <v>성공글로벌테크놀로지코리아</v>
      </c>
      <c r="F608" s="155" t="str">
        <f>'3월'!F186</f>
        <v>유노스</v>
      </c>
      <c r="G608" s="168" t="str">
        <f>'3월'!G186</f>
        <v>MA</v>
      </c>
      <c r="H608" s="156" t="str">
        <f>'3월'!H186</f>
        <v>월간-성공</v>
      </c>
      <c r="I608" s="69" t="str">
        <f>'3월'!I186</f>
        <v>신성통상 3월 유지정비료 - 4/12회</v>
      </c>
      <c r="J608" s="122">
        <f>'3월'!J186</f>
        <v>1</v>
      </c>
      <c r="K608" s="15">
        <f>'3월'!K186</f>
        <v>277800</v>
      </c>
      <c r="L608" s="16">
        <f>'3월'!L186</f>
        <v>277800</v>
      </c>
      <c r="M608" s="16">
        <f>'3월'!M186</f>
        <v>27780</v>
      </c>
      <c r="N608" s="15">
        <f>'3월'!N186</f>
        <v>305580</v>
      </c>
      <c r="O608" s="5" t="str">
        <f>'3월'!O186</f>
        <v>완료(5/30)</v>
      </c>
      <c r="P608" s="177" t="str">
        <f>'3월'!P186</f>
        <v>천범석</v>
      </c>
      <c r="Q608" s="5">
        <f>'3월'!Q186</f>
        <v>45627</v>
      </c>
      <c r="R608" s="213" t="str">
        <f>'3월'!R186</f>
        <v>매출연간</v>
      </c>
    </row>
    <row r="609" spans="1:18" ht="16.5" customHeight="1">
      <c r="A609" t="s">
        <v>64</v>
      </c>
      <c r="B609" s="10" t="str">
        <f>'3월'!B187</f>
        <v>SB-24061</v>
      </c>
      <c r="C609" s="12" t="str">
        <f>'3월'!C187</f>
        <v>ZVVVON</v>
      </c>
      <c r="D609" s="13">
        <f>'3월'!D187</f>
        <v>45747</v>
      </c>
      <c r="E609" s="155" t="str">
        <f>'3월'!E187</f>
        <v>성공글로벌테크놀로지코리아</v>
      </c>
      <c r="F609" s="155" t="str">
        <f>'3월'!F187</f>
        <v>다솜테크</v>
      </c>
      <c r="G609" s="168" t="str">
        <f>'3월'!G187</f>
        <v>MA</v>
      </c>
      <c r="H609" s="156" t="str">
        <f>'3월'!H187</f>
        <v>월간-성공</v>
      </c>
      <c r="I609" s="69" t="str">
        <f>'3월'!I187</f>
        <v>롯데정보통신 3월 유지정비료 - 3/12회</v>
      </c>
      <c r="J609" s="122">
        <f>'3월'!J187</f>
        <v>1</v>
      </c>
      <c r="K609" s="15">
        <f>'3월'!K187</f>
        <v>661800</v>
      </c>
      <c r="L609" s="16">
        <f>'3월'!L187</f>
        <v>661800</v>
      </c>
      <c r="M609" s="16">
        <f>'3월'!M187</f>
        <v>66180</v>
      </c>
      <c r="N609" s="15">
        <f>'3월'!N187</f>
        <v>727980</v>
      </c>
      <c r="O609" s="5" t="str">
        <f>'3월'!O187</f>
        <v>완료(5/30)</v>
      </c>
      <c r="P609" s="177" t="str">
        <f>'3월'!P187</f>
        <v>천범석</v>
      </c>
      <c r="Q609" s="5">
        <f>'3월'!Q187</f>
        <v>45747</v>
      </c>
      <c r="R609" s="213"/>
    </row>
    <row r="610" spans="1:18" ht="16.5" customHeight="1">
      <c r="A610" t="s">
        <v>64</v>
      </c>
      <c r="B610" s="10" t="str">
        <f>'3월'!B188</f>
        <v>SB-24062</v>
      </c>
      <c r="C610" s="12" t="str">
        <f>'3월'!C188</f>
        <v>ZZM77T</v>
      </c>
      <c r="D610" s="13">
        <f>'3월'!D188</f>
        <v>45747</v>
      </c>
      <c r="E610" s="155" t="str">
        <f>'3월'!E188</f>
        <v>성공글로벌테크놀로지코리아</v>
      </c>
      <c r="F610" s="155" t="str">
        <f>'3월'!F188</f>
        <v>대유에이텍</v>
      </c>
      <c r="G610" s="168" t="str">
        <f>'3월'!G188</f>
        <v>MA</v>
      </c>
      <c r="H610" s="156" t="str">
        <f>'3월'!H188</f>
        <v>월간-성공</v>
      </c>
      <c r="I610" s="69" t="str">
        <f>'3월'!I188</f>
        <v>3월 유지정비료 - 4/18회</v>
      </c>
      <c r="J610" s="122">
        <f>'3월'!J188</f>
        <v>1</v>
      </c>
      <c r="K610" s="15">
        <f>'3월'!K188</f>
        <v>319200</v>
      </c>
      <c r="L610" s="16">
        <f>'3월'!L188</f>
        <v>319200</v>
      </c>
      <c r="M610" s="16">
        <f>'3월'!M188</f>
        <v>31920</v>
      </c>
      <c r="N610" s="15">
        <f>'3월'!N188</f>
        <v>351120</v>
      </c>
      <c r="O610" s="5" t="str">
        <f>'3월'!O188</f>
        <v>완료(5/30)</v>
      </c>
      <c r="P610" s="177" t="str">
        <f>'3월'!P188</f>
        <v>천범석</v>
      </c>
      <c r="Q610" s="5">
        <f>'3월'!Q188</f>
        <v>45645</v>
      </c>
      <c r="R610" s="213" t="str">
        <f>'3월'!R188</f>
        <v>매출연간</v>
      </c>
    </row>
    <row r="611" spans="1:18" ht="16.5" customHeight="1">
      <c r="A611" t="s">
        <v>64</v>
      </c>
      <c r="B611" s="10" t="str">
        <f>'3월'!B189</f>
        <v>SL-24028</v>
      </c>
      <c r="C611" s="12" t="str">
        <f>'3월'!C189</f>
        <v>ZJYUVJ</v>
      </c>
      <c r="D611" s="13">
        <f>'3월'!D189</f>
        <v>45747</v>
      </c>
      <c r="E611" s="155" t="str">
        <f>'3월'!E189</f>
        <v>성공글로벌테크놀로지코리아</v>
      </c>
      <c r="F611" s="155" t="str">
        <f>'3월'!F189</f>
        <v>온더레벨</v>
      </c>
      <c r="G611" s="168" t="str">
        <f>'3월'!G189</f>
        <v>MA</v>
      </c>
      <c r="H611" s="156" t="str">
        <f>'3월'!H189</f>
        <v>월간-성공</v>
      </c>
      <c r="I611" s="69" t="str">
        <f>'3월'!I189</f>
        <v>한우리아이티 3월 유지정비료 - 3/7회</v>
      </c>
      <c r="J611" s="122">
        <f>'3월'!J189</f>
        <v>1</v>
      </c>
      <c r="K611" s="15">
        <f>'3월'!K189</f>
        <v>97800</v>
      </c>
      <c r="L611" s="16">
        <f>'3월'!L189</f>
        <v>97800</v>
      </c>
      <c r="M611" s="16">
        <f>'3월'!M189</f>
        <v>9780</v>
      </c>
      <c r="N611" s="15">
        <f>'3월'!N189</f>
        <v>107580</v>
      </c>
      <c r="O611" s="5" t="str">
        <f>'3월'!O189</f>
        <v>완료(5/30)</v>
      </c>
      <c r="P611" s="177" t="str">
        <f>'3월'!P189</f>
        <v>천범석</v>
      </c>
      <c r="Q611" s="5">
        <f>'3월'!Q189</f>
        <v>45681</v>
      </c>
      <c r="R611" s="213" t="str">
        <f>'3월'!R189</f>
        <v>매출연간</v>
      </c>
    </row>
    <row r="612" spans="1:18" ht="16.5" customHeight="1">
      <c r="A612" t="s">
        <v>64</v>
      </c>
      <c r="B612" s="10" t="str">
        <f>'3월'!B190</f>
        <v>SB-24066</v>
      </c>
      <c r="C612" s="12" t="str">
        <f>'3월'!C190</f>
        <v>ZDSNDX</v>
      </c>
      <c r="D612" s="13">
        <f>'3월'!D190</f>
        <v>45747</v>
      </c>
      <c r="E612" s="155" t="str">
        <f>'3월'!E190</f>
        <v>성공글로벌테크놀로지코리아</v>
      </c>
      <c r="F612" s="155" t="str">
        <f>'3월'!F190</f>
        <v>이룸인프라</v>
      </c>
      <c r="G612" s="168" t="str">
        <f>'3월'!G190</f>
        <v>MA</v>
      </c>
      <c r="H612" s="156" t="str">
        <f>'3월'!H190</f>
        <v>월간-성공</v>
      </c>
      <c r="I612" s="69" t="str">
        <f>'3월'!I190</f>
        <v>중국광대은행 3월 유지정비료 - 4/12회</v>
      </c>
      <c r="J612" s="122">
        <f>'3월'!J190</f>
        <v>1</v>
      </c>
      <c r="K612" s="15">
        <f>'3월'!K190</f>
        <v>98100</v>
      </c>
      <c r="L612" s="16">
        <f>'3월'!L190</f>
        <v>98100</v>
      </c>
      <c r="M612" s="16">
        <f>'3월'!M190</f>
        <v>9810</v>
      </c>
      <c r="N612" s="15">
        <f>'3월'!N190</f>
        <v>107910</v>
      </c>
      <c r="O612" s="5" t="str">
        <f>'3월'!O190</f>
        <v>완료(5/30)</v>
      </c>
      <c r="P612" s="177" t="str">
        <f>'3월'!P190</f>
        <v>천범석</v>
      </c>
      <c r="Q612" s="5">
        <f>'3월'!Q190</f>
        <v>45659</v>
      </c>
      <c r="R612" s="213"/>
    </row>
    <row r="613" spans="1:18" ht="16.5" customHeight="1">
      <c r="A613" t="s">
        <v>64</v>
      </c>
      <c r="B613" s="10" t="str">
        <f>'3월'!B191</f>
        <v>SB-24065</v>
      </c>
      <c r="C613" s="12" t="str">
        <f>'3월'!C191</f>
        <v>ZDFIN7</v>
      </c>
      <c r="D613" s="13">
        <f>'3월'!D191</f>
        <v>45747</v>
      </c>
      <c r="E613" s="155" t="str">
        <f>'3월'!E191</f>
        <v>성공글로벌테크놀로지코리아</v>
      </c>
      <c r="F613" s="155" t="str">
        <f>'3월'!F191</f>
        <v>다솜테크</v>
      </c>
      <c r="G613" s="168" t="str">
        <f>'3월'!G191</f>
        <v>MA</v>
      </c>
      <c r="H613" s="156" t="str">
        <f>'3월'!H191</f>
        <v>월간-성공</v>
      </c>
      <c r="I613" s="69" t="str">
        <f>'3월'!I191</f>
        <v>안산시청 3월 유지정비료 - 3/24회</v>
      </c>
      <c r="J613" s="122">
        <f>'3월'!J191</f>
        <v>1</v>
      </c>
      <c r="K613" s="15">
        <f>'3월'!K191</f>
        <v>1196100</v>
      </c>
      <c r="L613" s="16">
        <f>'3월'!L191</f>
        <v>1196100</v>
      </c>
      <c r="M613" s="16">
        <f>'3월'!M191</f>
        <v>119610</v>
      </c>
      <c r="N613" s="15">
        <f>'3월'!N191</f>
        <v>1315710</v>
      </c>
      <c r="O613" s="5" t="str">
        <f>'3월'!O191</f>
        <v>완료(5/30)</v>
      </c>
      <c r="P613" s="177" t="str">
        <f>'3월'!P191</f>
        <v>천범석</v>
      </c>
      <c r="Q613" s="5">
        <f>'3월'!Q191</f>
        <v>45747</v>
      </c>
      <c r="R613" s="213"/>
    </row>
    <row r="614" spans="1:18" ht="16.5" customHeight="1">
      <c r="A614" t="s">
        <v>64</v>
      </c>
      <c r="B614" s="10" t="str">
        <f>'3월'!B192</f>
        <v>SB-24064</v>
      </c>
      <c r="C614" s="12" t="str">
        <f>'3월'!C192</f>
        <v>ZOTN1N</v>
      </c>
      <c r="D614" s="13">
        <f>'3월'!D192</f>
        <v>45747</v>
      </c>
      <c r="E614" s="155" t="str">
        <f>'3월'!E192</f>
        <v>성공글로벌테크놀로지코리아</v>
      </c>
      <c r="F614" s="155" t="str">
        <f>'3월'!F192</f>
        <v>다솜테크</v>
      </c>
      <c r="G614" s="168" t="str">
        <f>'3월'!G192</f>
        <v>MA</v>
      </c>
      <c r="H614" s="156" t="str">
        <f>'3월'!H192</f>
        <v>월간-성공</v>
      </c>
      <c r="I614" s="69" t="str">
        <f>'3월'!I192</f>
        <v>이원(E1)컨테이너터미널 3월 유지정비료 3/12회</v>
      </c>
      <c r="J614" s="122">
        <f>'3월'!J192</f>
        <v>1</v>
      </c>
      <c r="K614" s="15">
        <f>'3월'!K192</f>
        <v>590400</v>
      </c>
      <c r="L614" s="16">
        <f>'3월'!L192</f>
        <v>590400</v>
      </c>
      <c r="M614" s="16">
        <f>'3월'!M192</f>
        <v>59040</v>
      </c>
      <c r="N614" s="15">
        <f>'3월'!N192</f>
        <v>649440</v>
      </c>
      <c r="O614" s="5" t="str">
        <f>'3월'!O192</f>
        <v>완료(5/30)</v>
      </c>
      <c r="P614" s="177" t="str">
        <f>'3월'!P192</f>
        <v>천범석</v>
      </c>
      <c r="Q614" s="5">
        <f>'3월'!Q192</f>
        <v>45747</v>
      </c>
      <c r="R614" s="213"/>
    </row>
    <row r="615" spans="1:18" ht="16.5" customHeight="1">
      <c r="A615" t="s">
        <v>64</v>
      </c>
      <c r="B615" s="10" t="str">
        <f>'3월'!B193</f>
        <v>SB-24063</v>
      </c>
      <c r="C615" s="12" t="str">
        <f>'3월'!C193</f>
        <v>ZIR05U</v>
      </c>
      <c r="D615" s="13">
        <f>'3월'!D193</f>
        <v>45747</v>
      </c>
      <c r="E615" s="155" t="str">
        <f>'3월'!E193</f>
        <v>성공글로벌테크놀로지코리아</v>
      </c>
      <c r="F615" s="155" t="str">
        <f>'3월'!F193</f>
        <v>다솜테크</v>
      </c>
      <c r="G615" s="168" t="str">
        <f>'3월'!G193</f>
        <v>MA</v>
      </c>
      <c r="H615" s="156" t="str">
        <f>'3월'!H193</f>
        <v>월간-성공</v>
      </c>
      <c r="I615" s="69" t="str">
        <f>'3월'!I193</f>
        <v>이원(E1)컨테이너터미널 3월 유지정비료 - 3/12회</v>
      </c>
      <c r="J615" s="122">
        <f>'3월'!J193</f>
        <v>1</v>
      </c>
      <c r="K615" s="15">
        <f>'3월'!K193</f>
        <v>289800</v>
      </c>
      <c r="L615" s="16">
        <f>'3월'!L193</f>
        <v>289800</v>
      </c>
      <c r="M615" s="16">
        <f>'3월'!M193</f>
        <v>28980</v>
      </c>
      <c r="N615" s="15">
        <f>'3월'!N193</f>
        <v>318780</v>
      </c>
      <c r="O615" s="5" t="str">
        <f>'3월'!O193</f>
        <v>완료(5/30)</v>
      </c>
      <c r="P615" s="177" t="str">
        <f>'3월'!P193</f>
        <v>천범석</v>
      </c>
      <c r="Q615" s="5">
        <f>'3월'!Q193</f>
        <v>45747</v>
      </c>
      <c r="R615" s="213"/>
    </row>
    <row r="616" spans="1:18" ht="16.5" customHeight="1">
      <c r="A616" t="s">
        <v>64</v>
      </c>
      <c r="B616" s="10" t="str">
        <f>'3월'!B194</f>
        <v>SB-25001</v>
      </c>
      <c r="C616" s="12" t="str">
        <f>'3월'!C194</f>
        <v>ZXRZHC</v>
      </c>
      <c r="D616" s="13">
        <f>'3월'!D194</f>
        <v>45747</v>
      </c>
      <c r="E616" s="155" t="str">
        <f>'3월'!E194</f>
        <v>성공글로벌테크놀로지코리아</v>
      </c>
      <c r="F616" s="155" t="str">
        <f>'3월'!F194</f>
        <v>퓨처젠</v>
      </c>
      <c r="G616" s="168" t="str">
        <f>'3월'!G194</f>
        <v>MA</v>
      </c>
      <c r="H616" s="156" t="str">
        <f>'3월'!H194</f>
        <v>월간-성공</v>
      </c>
      <c r="I616" s="69" t="str">
        <f>'3월'!I194</f>
        <v>HB(에이치비)저축은행 3월 유지정비료 - 3/12회</v>
      </c>
      <c r="J616" s="122">
        <f>'3월'!J194</f>
        <v>1</v>
      </c>
      <c r="K616" s="15">
        <f>'3월'!K194</f>
        <v>820200</v>
      </c>
      <c r="L616" s="16">
        <f>'3월'!L194</f>
        <v>820200</v>
      </c>
      <c r="M616" s="16">
        <f>'3월'!M194</f>
        <v>82020</v>
      </c>
      <c r="N616" s="15">
        <f>'3월'!N194</f>
        <v>902220</v>
      </c>
      <c r="O616" s="5" t="str">
        <f>'3월'!O194</f>
        <v>완료(5/30)</v>
      </c>
      <c r="P616" s="177" t="str">
        <f>'3월'!P194</f>
        <v>천범석</v>
      </c>
      <c r="Q616" s="5">
        <f>'3월'!Q194</f>
        <v>45747</v>
      </c>
      <c r="R616" s="213"/>
    </row>
    <row r="617" spans="1:18" ht="16.5" customHeight="1">
      <c r="A617" t="s">
        <v>64</v>
      </c>
      <c r="B617" s="10" t="str">
        <f>'3월'!B195</f>
        <v>SB-25014</v>
      </c>
      <c r="C617" s="12" t="str">
        <f>'3월'!C195</f>
        <v>ZAVPY3</v>
      </c>
      <c r="D617" s="13">
        <f>'3월'!D195</f>
        <v>45747</v>
      </c>
      <c r="E617" s="155" t="str">
        <f>'3월'!E195</f>
        <v>성공글로벌테크놀로지코리아</v>
      </c>
      <c r="F617" s="155" t="str">
        <f>'3월'!F195</f>
        <v>와이젠정보기술</v>
      </c>
      <c r="G617" s="168" t="str">
        <f>'3월'!G195</f>
        <v>MA</v>
      </c>
      <c r="H617" s="156" t="str">
        <f>'3월'!H195</f>
        <v>월간-성공</v>
      </c>
      <c r="I617" s="69" t="str">
        <f>'3월'!I195</f>
        <v>안국약품 3월 유지정비료 - 3/12회</v>
      </c>
      <c r="J617" s="122">
        <f>'3월'!J195</f>
        <v>1</v>
      </c>
      <c r="K617" s="15">
        <f>'3월'!K195</f>
        <v>1515900</v>
      </c>
      <c r="L617" s="16">
        <f>'3월'!L195</f>
        <v>1515900</v>
      </c>
      <c r="M617" s="16">
        <f>'3월'!M195</f>
        <v>151590</v>
      </c>
      <c r="N617" s="15">
        <f>'3월'!N195</f>
        <v>1667490</v>
      </c>
      <c r="O617" s="5" t="str">
        <f>'3월'!O195</f>
        <v>완료(5/30)</v>
      </c>
      <c r="P617" s="177" t="str">
        <f>'3월'!P195</f>
        <v>천범석</v>
      </c>
      <c r="Q617" s="5">
        <f>'3월'!Q195</f>
        <v>45747</v>
      </c>
      <c r="R617" s="213"/>
    </row>
    <row r="618" spans="1:18" ht="16.5" customHeight="1">
      <c r="A618" t="s">
        <v>64</v>
      </c>
      <c r="B618" s="10" t="str">
        <f>'3월'!B196</f>
        <v>SB-25016</v>
      </c>
      <c r="C618" s="12" t="str">
        <f>'3월'!C196</f>
        <v>ZLXVVE</v>
      </c>
      <c r="D618" s="13">
        <f>'3월'!D196</f>
        <v>45747</v>
      </c>
      <c r="E618" s="155" t="str">
        <f>'3월'!E196</f>
        <v>성공글로벌테크놀로지코리아</v>
      </c>
      <c r="F618" s="155" t="str">
        <f>'3월'!F196</f>
        <v>에이트랙</v>
      </c>
      <c r="G618" s="168" t="str">
        <f>'3월'!G196</f>
        <v>MA</v>
      </c>
      <c r="H618" s="156" t="str">
        <f>'3월'!H196</f>
        <v>월간-성공</v>
      </c>
      <c r="I618" s="69" t="str">
        <f>'3월'!I196</f>
        <v>한림대학교HW 3월 유지정비료 - 1/12회</v>
      </c>
      <c r="J618" s="122">
        <f>'3월'!J196</f>
        <v>1</v>
      </c>
      <c r="K618" s="15">
        <f>'3월'!K196</f>
        <v>405600</v>
      </c>
      <c r="L618" s="16">
        <f>'3월'!L196</f>
        <v>405600</v>
      </c>
      <c r="M618" s="16">
        <f>'3월'!M196</f>
        <v>40560</v>
      </c>
      <c r="N618" s="15">
        <f>'3월'!N196</f>
        <v>446160</v>
      </c>
      <c r="O618" s="5" t="str">
        <f>'3월'!O196</f>
        <v>완료(5/30)</v>
      </c>
      <c r="P618" s="177" t="str">
        <f>'3월'!P196</f>
        <v>천범석</v>
      </c>
      <c r="Q618" s="5">
        <f>'3월'!Q196</f>
        <v>45747</v>
      </c>
      <c r="R618" s="213"/>
    </row>
    <row r="619" spans="1:18" ht="16.5" customHeight="1">
      <c r="A619" t="s">
        <v>64</v>
      </c>
      <c r="B619" s="10" t="str">
        <f>'3월'!B197</f>
        <v>SB-25015</v>
      </c>
      <c r="C619" s="12" t="str">
        <f>'3월'!C197</f>
        <v>ZBLJQA</v>
      </c>
      <c r="D619" s="13">
        <f>'3월'!D197</f>
        <v>45747</v>
      </c>
      <c r="E619" s="155" t="str">
        <f>'3월'!E197</f>
        <v>성공글로벌테크놀로지코리아</v>
      </c>
      <c r="F619" s="155" t="str">
        <f>'3월'!F197</f>
        <v>아이엘에스</v>
      </c>
      <c r="G619" s="168" t="str">
        <f>'3월'!G197</f>
        <v>MA</v>
      </c>
      <c r="H619" s="156" t="str">
        <f>'3월'!H197</f>
        <v>월간-성공</v>
      </c>
      <c r="I619" s="69" t="str">
        <f>'3월'!I197</f>
        <v>국회방송 3월 유지정비료 - 6/15회</v>
      </c>
      <c r="J619" s="122">
        <f>'3월'!J197</f>
        <v>1</v>
      </c>
      <c r="K619" s="15">
        <f>'3월'!K197</f>
        <v>1167600</v>
      </c>
      <c r="L619" s="16">
        <f>'3월'!L197</f>
        <v>1167600</v>
      </c>
      <c r="M619" s="16">
        <f>'3월'!M197</f>
        <v>116760</v>
      </c>
      <c r="N619" s="15">
        <f>'3월'!N197</f>
        <v>1284360</v>
      </c>
      <c r="O619" s="5" t="str">
        <f>'3월'!O197</f>
        <v>완료(5/30)</v>
      </c>
      <c r="P619" s="177" t="str">
        <f>'3월'!P197</f>
        <v>천범석</v>
      </c>
      <c r="Q619" s="5">
        <f>'3월'!Q197</f>
        <v>45747</v>
      </c>
      <c r="R619" s="213" t="str">
        <f>'3월'!R197</f>
        <v>매출연간</v>
      </c>
    </row>
    <row r="620" spans="1:18" ht="16.5" customHeight="1">
      <c r="A620" t="s">
        <v>64</v>
      </c>
      <c r="B620" s="10" t="str">
        <f>'3월'!B198</f>
        <v>SB-25004</v>
      </c>
      <c r="C620" s="12" t="str">
        <f>'3월'!C198</f>
        <v>ZDCPQK</v>
      </c>
      <c r="D620" s="13">
        <f>'3월'!D198</f>
        <v>45747</v>
      </c>
      <c r="E620" s="155" t="str">
        <f>'3월'!E198</f>
        <v>성공글로벌테크놀로지코리아</v>
      </c>
      <c r="F620" s="155" t="str">
        <f>'3월'!F198</f>
        <v>솔리드이엔지</v>
      </c>
      <c r="G620" s="168" t="str">
        <f>'3월'!G198</f>
        <v>MA</v>
      </c>
      <c r="H620" s="156" t="str">
        <f>'3월'!H198</f>
        <v>월간-성공</v>
      </c>
      <c r="I620" s="69" t="str">
        <f>'3월'!I198</f>
        <v>삼성중공업 3월 유지정비료 - 3/12회</v>
      </c>
      <c r="J620" s="122">
        <f>'3월'!J198</f>
        <v>1</v>
      </c>
      <c r="K620" s="15">
        <f>'3월'!K198</f>
        <v>531600</v>
      </c>
      <c r="L620" s="16">
        <f>'3월'!L198</f>
        <v>531600</v>
      </c>
      <c r="M620" s="16">
        <f>'3월'!M198</f>
        <v>53160</v>
      </c>
      <c r="N620" s="15">
        <f>'3월'!N198</f>
        <v>584760</v>
      </c>
      <c r="O620" s="5" t="str">
        <f>'3월'!O198</f>
        <v>완료(5/30)</v>
      </c>
      <c r="P620" s="177" t="str">
        <f>'3월'!P198</f>
        <v>천범석</v>
      </c>
      <c r="Q620" s="5">
        <f>'3월'!Q198</f>
        <v>45747</v>
      </c>
      <c r="R620" s="213"/>
    </row>
    <row r="621" spans="1:18" ht="16.5" customHeight="1">
      <c r="A621" t="s">
        <v>64</v>
      </c>
      <c r="B621" s="10" t="str">
        <f>'3월'!B199</f>
        <v>SB-25005</v>
      </c>
      <c r="C621" s="12" t="str">
        <f>'3월'!C199</f>
        <v>ZSUEIX</v>
      </c>
      <c r="D621" s="13">
        <f>'3월'!D199</f>
        <v>45747</v>
      </c>
      <c r="E621" s="155" t="str">
        <f>'3월'!E199</f>
        <v>성공글로벌테크놀로지코리아</v>
      </c>
      <c r="F621" s="155" t="str">
        <f>'3월'!F199</f>
        <v>제이엔테크놀러지</v>
      </c>
      <c r="G621" s="168" t="str">
        <f>'3월'!G199</f>
        <v>MA</v>
      </c>
      <c r="H621" s="156" t="str">
        <f>'3월'!H199</f>
        <v>월간-성공</v>
      </c>
      <c r="I621" s="69" t="str">
        <f>'3월'!I199</f>
        <v>SK실트론 3월 유지정비료 - 3/12회</v>
      </c>
      <c r="J621" s="122">
        <f>'3월'!J199</f>
        <v>1</v>
      </c>
      <c r="K621" s="15">
        <f>'3월'!K199</f>
        <v>502800</v>
      </c>
      <c r="L621" s="16">
        <f>'3월'!L199</f>
        <v>502800</v>
      </c>
      <c r="M621" s="16">
        <f>'3월'!M199</f>
        <v>50280</v>
      </c>
      <c r="N621" s="15">
        <f>'3월'!N199</f>
        <v>553080</v>
      </c>
      <c r="O621" s="5" t="str">
        <f>'3월'!O199</f>
        <v>완료(5/30)</v>
      </c>
      <c r="P621" s="177" t="str">
        <f>'3월'!P199</f>
        <v>천범석</v>
      </c>
      <c r="Q621" s="5">
        <f>'3월'!Q199</f>
        <v>45747</v>
      </c>
      <c r="R621" s="213"/>
    </row>
    <row r="622" spans="1:18" ht="16.5" customHeight="1">
      <c r="A622" t="s">
        <v>64</v>
      </c>
      <c r="B622" s="10" t="str">
        <f>'3월'!B200</f>
        <v>SM-25003</v>
      </c>
      <c r="C622" s="12" t="str">
        <f>'3월'!C200</f>
        <v>ZZ6BIS</v>
      </c>
      <c r="D622" s="13">
        <f>'3월'!D200</f>
        <v>45747</v>
      </c>
      <c r="E622" s="155" t="str">
        <f>'3월'!E200</f>
        <v>성공글로벌테크놀로지코리아</v>
      </c>
      <c r="F622" s="155" t="str">
        <f>'3월'!F200</f>
        <v>씨제이 씨지브이 통합</v>
      </c>
      <c r="G622" s="168" t="str">
        <f>'3월'!G200</f>
        <v>MA</v>
      </c>
      <c r="H622" s="156" t="str">
        <f>'3월'!H200</f>
        <v>월간-성공</v>
      </c>
      <c r="I622" s="69" t="str">
        <f>'3월'!I200</f>
        <v>3월 유지정비료 - 3/12회</v>
      </c>
      <c r="J622" s="122">
        <f>'3월'!J200</f>
        <v>1</v>
      </c>
      <c r="K622" s="15">
        <f>'3월'!K200</f>
        <v>1417500</v>
      </c>
      <c r="L622" s="16">
        <f>'3월'!L200</f>
        <v>1417500</v>
      </c>
      <c r="M622" s="16">
        <f>'3월'!M200</f>
        <v>141750</v>
      </c>
      <c r="N622" s="15">
        <f>'3월'!N200</f>
        <v>1559250</v>
      </c>
      <c r="O622" s="5" t="str">
        <f>'3월'!O200</f>
        <v>완료(5/30)</v>
      </c>
      <c r="P622" s="177" t="str">
        <f>'3월'!P200</f>
        <v>천범석</v>
      </c>
      <c r="Q622" s="5">
        <f>'3월'!Q200</f>
        <v>45666</v>
      </c>
      <c r="R622" s="213" t="str">
        <f>'3월'!R200</f>
        <v>매출연간</v>
      </c>
    </row>
    <row r="623" spans="1:18" ht="16.5" customHeight="1">
      <c r="A623" t="s">
        <v>64</v>
      </c>
      <c r="B623" s="10" t="str">
        <f>'3월'!B201</f>
        <v>SB-25007</v>
      </c>
      <c r="C623" s="12" t="str">
        <f>'3월'!C201</f>
        <v xml:space="preserve"> ZROHA2</v>
      </c>
      <c r="D623" s="13">
        <f>'3월'!D201</f>
        <v>45747</v>
      </c>
      <c r="E623" s="155" t="str">
        <f>'3월'!E201</f>
        <v>성공글로벌테크놀로지코리아</v>
      </c>
      <c r="F623" s="155" t="str">
        <f>'3월'!F201</f>
        <v>페타데이타</v>
      </c>
      <c r="G623" s="168" t="str">
        <f>'3월'!G201</f>
        <v>MA</v>
      </c>
      <c r="H623" s="156" t="str">
        <f>'3월'!H201</f>
        <v>월간-성공</v>
      </c>
      <c r="I623" s="69" t="str">
        <f>'3월'!I201</f>
        <v>SBS 3월 유지정비료 - 3/12회</v>
      </c>
      <c r="J623" s="122">
        <f>'3월'!J201</f>
        <v>1</v>
      </c>
      <c r="K623" s="15">
        <f>'3월'!K201</f>
        <v>243000</v>
      </c>
      <c r="L623" s="16">
        <f>'3월'!L201</f>
        <v>243000</v>
      </c>
      <c r="M623" s="16">
        <f>'3월'!M201</f>
        <v>24300</v>
      </c>
      <c r="N623" s="15">
        <f>'3월'!N201</f>
        <v>267300</v>
      </c>
      <c r="O623" s="5" t="str">
        <f>'3월'!O201</f>
        <v>완료(5/30)</v>
      </c>
      <c r="P623" s="177" t="str">
        <f>'3월'!P201</f>
        <v>천범석</v>
      </c>
      <c r="Q623" s="5">
        <f>'3월'!Q201</f>
        <v>45747</v>
      </c>
      <c r="R623" s="213"/>
    </row>
    <row r="624" spans="1:18" ht="16.5" customHeight="1">
      <c r="A624" t="s">
        <v>64</v>
      </c>
      <c r="B624" s="10" t="str">
        <f>'3월'!B202</f>
        <v>SB-25006</v>
      </c>
      <c r="C624" s="12" t="str">
        <f>'3월'!C202</f>
        <v>ZTAHJK</v>
      </c>
      <c r="D624" s="13">
        <f>'3월'!D202</f>
        <v>45747</v>
      </c>
      <c r="E624" s="155" t="str">
        <f>'3월'!E202</f>
        <v>성공글로벌테크놀로지코리아</v>
      </c>
      <c r="F624" s="155" t="str">
        <f>'3월'!F202</f>
        <v>더힘</v>
      </c>
      <c r="G624" s="168" t="str">
        <f>'3월'!G202</f>
        <v>MA</v>
      </c>
      <c r="H624" s="156" t="str">
        <f>'3월'!H202</f>
        <v>월간-성공</v>
      </c>
      <c r="I624" s="69" t="str">
        <f>'3월'!I202</f>
        <v>피에스케이(PSK) 3월 유지정비료 - 3/17회</v>
      </c>
      <c r="J624" s="122">
        <f>'3월'!J202</f>
        <v>1</v>
      </c>
      <c r="K624" s="15">
        <f>'3월'!K202</f>
        <v>1892400</v>
      </c>
      <c r="L624" s="16">
        <f>'3월'!L202</f>
        <v>1892400</v>
      </c>
      <c r="M624" s="16">
        <f>'3월'!M202</f>
        <v>189240</v>
      </c>
      <c r="N624" s="15">
        <f>'3월'!N202</f>
        <v>2081640</v>
      </c>
      <c r="O624" s="5" t="str">
        <f>'3월'!O202</f>
        <v>완료(5/30)</v>
      </c>
      <c r="P624" s="177" t="str">
        <f>'3월'!P202</f>
        <v>천범석</v>
      </c>
      <c r="Q624" s="5">
        <f>'3월'!Q202</f>
        <v>45687</v>
      </c>
      <c r="R624" s="213"/>
    </row>
    <row r="625" spans="1:18" ht="16.5" customHeight="1">
      <c r="A625" t="s">
        <v>64</v>
      </c>
      <c r="B625" s="10" t="str">
        <f>'3월'!B203</f>
        <v>SB-25008</v>
      </c>
      <c r="C625" s="12" t="str">
        <f>'3월'!C203</f>
        <v>ZTGLCD</v>
      </c>
      <c r="D625" s="13">
        <f>'3월'!D203</f>
        <v>45747</v>
      </c>
      <c r="E625" s="155" t="str">
        <f>'3월'!E203</f>
        <v>성공글로벌테크놀로지코리아</v>
      </c>
      <c r="F625" s="155" t="str">
        <f>'3월'!F203</f>
        <v>아이리스인포테크</v>
      </c>
      <c r="G625" s="168" t="str">
        <f>'3월'!G203</f>
        <v>MA</v>
      </c>
      <c r="H625" s="156" t="str">
        <f>'3월'!H203</f>
        <v>월간-성공</v>
      </c>
      <c r="I625" s="69" t="str">
        <f>'3월'!I203</f>
        <v>삼성전자 3월분 - 5/13회</v>
      </c>
      <c r="J625" s="122">
        <f>'3월'!J203</f>
        <v>1</v>
      </c>
      <c r="K625" s="15">
        <f>'3월'!K203</f>
        <v>212700</v>
      </c>
      <c r="L625" s="16">
        <f>'3월'!L203</f>
        <v>212700</v>
      </c>
      <c r="M625" s="16">
        <f>'3월'!M203</f>
        <v>21270</v>
      </c>
      <c r="N625" s="15">
        <f>'3월'!N203</f>
        <v>233970</v>
      </c>
      <c r="O625" s="5" t="str">
        <f>'3월'!O203</f>
        <v>완료(5/30)</v>
      </c>
      <c r="P625" s="177" t="str">
        <f>'3월'!P203</f>
        <v>천범석</v>
      </c>
      <c r="Q625" s="5">
        <f>'3월'!Q203</f>
        <v>45681</v>
      </c>
      <c r="R625" s="213" t="str">
        <f>'3월'!R203</f>
        <v>매출연간</v>
      </c>
    </row>
    <row r="626" spans="1:18" ht="16.5" customHeight="1">
      <c r="A626" t="s">
        <v>64</v>
      </c>
      <c r="B626" s="10" t="str">
        <f>'3월'!B204</f>
        <v>SB-25009</v>
      </c>
      <c r="C626" s="12" t="str">
        <f>'3월'!C204</f>
        <v>ZPXA6W</v>
      </c>
      <c r="D626" s="13">
        <f>'3월'!D204</f>
        <v>45747</v>
      </c>
      <c r="E626" s="155" t="str">
        <f>'3월'!E204</f>
        <v>성공글로벌테크놀로지코리아</v>
      </c>
      <c r="F626" s="155" t="str">
        <f>'3월'!F204</f>
        <v>다올시스</v>
      </c>
      <c r="G626" s="168" t="str">
        <f>'3월'!G204</f>
        <v>MA</v>
      </c>
      <c r="H626" s="156" t="str">
        <f>'3월'!H204</f>
        <v>월간-성공</v>
      </c>
      <c r="I626" s="69" t="str">
        <f>'3월'!I204</f>
        <v>대동도어 3월 유지정비료 - 2/13회</v>
      </c>
      <c r="J626" s="122">
        <f>'3월'!J204</f>
        <v>1</v>
      </c>
      <c r="K626" s="15">
        <f>'3월'!K204</f>
        <v>149400</v>
      </c>
      <c r="L626" s="16">
        <f>'3월'!L204</f>
        <v>149400</v>
      </c>
      <c r="M626" s="16">
        <f>'3월'!M204</f>
        <v>14940</v>
      </c>
      <c r="N626" s="15">
        <f>'3월'!N204</f>
        <v>164340</v>
      </c>
      <c r="O626" s="5" t="str">
        <f>'3월'!O204</f>
        <v>완료(5/30)</v>
      </c>
      <c r="P626" s="177" t="str">
        <f>'3월'!P204</f>
        <v>천범석</v>
      </c>
      <c r="Q626" s="5">
        <f>'3월'!Q204</f>
        <v>45716</v>
      </c>
      <c r="R626" s="213" t="str">
        <f>'3월'!R204</f>
        <v>매출연간</v>
      </c>
    </row>
    <row r="627" spans="1:18" ht="16.5" customHeight="1">
      <c r="A627" t="s">
        <v>64</v>
      </c>
      <c r="B627" s="10" t="str">
        <f>'3월'!B205</f>
        <v>SB-25010</v>
      </c>
      <c r="C627" s="12" t="str">
        <f>'3월'!C205</f>
        <v>ZCXAPZ</v>
      </c>
      <c r="D627" s="13">
        <f>'3월'!D205</f>
        <v>45747</v>
      </c>
      <c r="E627" s="155" t="str">
        <f>'3월'!E205</f>
        <v>성공글로벌테크놀로지코리아</v>
      </c>
      <c r="F627" s="155" t="str">
        <f>'3월'!F205</f>
        <v>유티모스트아이엔에스</v>
      </c>
      <c r="G627" s="168" t="str">
        <f>'3월'!G205</f>
        <v>MA</v>
      </c>
      <c r="H627" s="156" t="str">
        <f>'3월'!H205</f>
        <v>월간-성공</v>
      </c>
      <c r="I627" s="69" t="str">
        <f>'3월'!I205</f>
        <v>메타넷디지털 25년 3월 - 12/21회</v>
      </c>
      <c r="J627" s="122">
        <f>'3월'!J205</f>
        <v>1</v>
      </c>
      <c r="K627" s="15">
        <f>'3월'!K205</f>
        <v>180600</v>
      </c>
      <c r="L627" s="16">
        <f>'3월'!L205</f>
        <v>180600</v>
      </c>
      <c r="M627" s="16">
        <f>'3월'!M205</f>
        <v>18060</v>
      </c>
      <c r="N627" s="15">
        <f>'3월'!N205</f>
        <v>198660</v>
      </c>
      <c r="O627" s="5" t="str">
        <f>'3월'!O205</f>
        <v>완료(5/30)</v>
      </c>
      <c r="P627" s="177" t="str">
        <f>'3월'!P205</f>
        <v>천범석</v>
      </c>
      <c r="Q627" s="5">
        <f>'3월'!Q205</f>
        <v>45747</v>
      </c>
      <c r="R627" s="213"/>
    </row>
    <row r="628" spans="1:18" ht="16.5" customHeight="1">
      <c r="A628" t="s">
        <v>64</v>
      </c>
      <c r="B628" s="10" t="str">
        <f>'3월'!B206</f>
        <v>SB-25011</v>
      </c>
      <c r="C628" s="12" t="str">
        <f>'3월'!C206</f>
        <v>ZJREZL</v>
      </c>
      <c r="D628" s="13">
        <f>'3월'!D206</f>
        <v>45747</v>
      </c>
      <c r="E628" s="155" t="str">
        <f>'3월'!E206</f>
        <v>성공글로벌테크놀로지코리아</v>
      </c>
      <c r="F628" s="155" t="str">
        <f>'3월'!F206</f>
        <v>이룸에스앤앤</v>
      </c>
      <c r="G628" s="168" t="str">
        <f>'3월'!G206</f>
        <v>MA</v>
      </c>
      <c r="H628" s="156" t="str">
        <f>'3월'!H206</f>
        <v>월간-성공</v>
      </c>
      <c r="I628" s="69" t="str">
        <f>'3월'!I206</f>
        <v>코리아미카사 25년 3월 유지정비료 - 15/25회</v>
      </c>
      <c r="J628" s="122">
        <f>'3월'!J206</f>
        <v>1</v>
      </c>
      <c r="K628" s="15">
        <f>'3월'!K206</f>
        <v>65700</v>
      </c>
      <c r="L628" s="16">
        <f>'3월'!L206</f>
        <v>65700</v>
      </c>
      <c r="M628" s="16">
        <f>'3월'!M206</f>
        <v>6570</v>
      </c>
      <c r="N628" s="15">
        <f>'3월'!N206</f>
        <v>72270</v>
      </c>
      <c r="O628" s="5" t="str">
        <f>'3월'!O206</f>
        <v>완료(5/30)</v>
      </c>
      <c r="P628" s="177" t="str">
        <f>'3월'!P206</f>
        <v>천범석</v>
      </c>
      <c r="Q628" s="5">
        <f>'3월'!Q206</f>
        <v>45700</v>
      </c>
      <c r="R628" s="213" t="str">
        <f>'3월'!R206</f>
        <v>매출연간</v>
      </c>
    </row>
    <row r="629" spans="1:18" ht="16.5" customHeight="1">
      <c r="A629" t="s">
        <v>64</v>
      </c>
      <c r="B629" s="10" t="str">
        <f>'3월'!B207</f>
        <v>SB-25013</v>
      </c>
      <c r="C629" s="12" t="str">
        <f>'3월'!C207</f>
        <v>ZL9ADS</v>
      </c>
      <c r="D629" s="13">
        <f>'3월'!D207</f>
        <v>45747</v>
      </c>
      <c r="E629" s="155" t="str">
        <f>'3월'!E207</f>
        <v>성공글로벌테크놀로지코리아</v>
      </c>
      <c r="F629" s="155" t="str">
        <f>'3월'!F207</f>
        <v>다솜테크</v>
      </c>
      <c r="G629" s="168" t="str">
        <f>'3월'!G207</f>
        <v>MA</v>
      </c>
      <c r="H629" s="156" t="str">
        <f>'3월'!H207</f>
        <v>월간-성공</v>
      </c>
      <c r="I629" s="69" t="str">
        <f>'3월'!I207</f>
        <v>LG AI 3월 유지정비료 - 3/12회</v>
      </c>
      <c r="J629" s="122">
        <f>'3월'!J207</f>
        <v>1</v>
      </c>
      <c r="K629" s="15">
        <f>'3월'!K207</f>
        <v>496800</v>
      </c>
      <c r="L629" s="16">
        <f>'3월'!L207</f>
        <v>496800</v>
      </c>
      <c r="M629" s="16">
        <f>'3월'!M207</f>
        <v>49680</v>
      </c>
      <c r="N629" s="15">
        <f>'3월'!N207</f>
        <v>546480</v>
      </c>
      <c r="O629" s="5" t="str">
        <f>'3월'!O207</f>
        <v>완료(5/30)</v>
      </c>
      <c r="P629" s="177" t="str">
        <f>'3월'!P207</f>
        <v>천범석</v>
      </c>
      <c r="Q629" s="5">
        <f>'3월'!Q207</f>
        <v>45747</v>
      </c>
      <c r="R629" s="213"/>
    </row>
    <row r="630" spans="1:18" ht="16.5" customHeight="1">
      <c r="A630" t="s">
        <v>64</v>
      </c>
      <c r="B630" s="10" t="str">
        <f>'4월'!B5</f>
        <v>X</v>
      </c>
      <c r="C630" s="12"/>
      <c r="D630" s="13">
        <f>'4월'!D5</f>
        <v>45748</v>
      </c>
      <c r="E630" s="155" t="str">
        <f>'4월'!E5</f>
        <v>에스케이쉴더스 금천지점</v>
      </c>
      <c r="F630" s="155"/>
      <c r="G630" s="156" t="str">
        <f>'4월'!G5</f>
        <v>일반경비</v>
      </c>
      <c r="H630" s="156" t="str">
        <f>'4월'!H5</f>
        <v>지급수수료</v>
      </c>
      <c r="I630" s="69" t="str">
        <f>'4월'!I5</f>
        <v>보안용역 월정료 4월분</v>
      </c>
      <c r="J630" s="122">
        <f>'4월'!J5</f>
        <v>1</v>
      </c>
      <c r="K630" s="15">
        <f>'4월'!K5</f>
        <v>71000</v>
      </c>
      <c r="L630" s="15">
        <f>'4월'!L5</f>
        <v>71000</v>
      </c>
      <c r="M630" s="15">
        <f>'4월'!M5</f>
        <v>7100</v>
      </c>
      <c r="N630" s="15">
        <f>'4월'!N5</f>
        <v>78100</v>
      </c>
      <c r="O630" s="5" t="str">
        <f>'4월'!O5</f>
        <v>자동이체(4/11)</v>
      </c>
      <c r="P630" s="9" t="str">
        <f>'4월'!P5</f>
        <v>정지우</v>
      </c>
      <c r="Q630" s="5" t="str">
        <f>'4월'!Q5</f>
        <v>X</v>
      </c>
      <c r="R630" s="209"/>
    </row>
    <row r="631" spans="1:18" ht="16.5" customHeight="1">
      <c r="A631" t="s">
        <v>64</v>
      </c>
      <c r="B631" s="10" t="str">
        <f>'4월'!B6</f>
        <v>S</v>
      </c>
      <c r="C631" s="12"/>
      <c r="D631" s="13">
        <f>'4월'!D6</f>
        <v>45748</v>
      </c>
      <c r="E631" s="155" t="str">
        <f>'4월'!E6</f>
        <v>로보츠</v>
      </c>
      <c r="F631" s="155" t="str">
        <f>'4월'!F6</f>
        <v>와이케이케이한국</v>
      </c>
      <c r="G631" s="156" t="str">
        <f>'4월'!G6</f>
        <v>상품</v>
      </c>
      <c r="H631" s="156" t="str">
        <f>'4월'!H6</f>
        <v>스위치</v>
      </c>
      <c r="I631" s="69" t="str">
        <f>'4월'!I6</f>
        <v xml:space="preserve">HP Instant On 48port + 4SFP 외 </v>
      </c>
      <c r="J631" s="122">
        <f>'4월'!J6</f>
        <v>1</v>
      </c>
      <c r="K631" s="15">
        <f>'4월'!K6</f>
        <v>7546000</v>
      </c>
      <c r="L631" s="16">
        <f>'4월'!L6</f>
        <v>7546000</v>
      </c>
      <c r="M631" s="16">
        <f>'4월'!M6</f>
        <v>754600</v>
      </c>
      <c r="N631" s="15">
        <f>'4월'!N6</f>
        <v>8300600</v>
      </c>
      <c r="O631" s="5" t="str">
        <f>'4월'!O6</f>
        <v>완료(5/30)</v>
      </c>
      <c r="P631" s="9" t="str">
        <f>'4월'!P6</f>
        <v>이예지</v>
      </c>
      <c r="Q631" s="5">
        <f>'4월'!Q6</f>
        <v>45748</v>
      </c>
      <c r="R631" s="213"/>
    </row>
    <row r="632" spans="1:18" ht="16.5" customHeight="1">
      <c r="A632" t="s">
        <v>64</v>
      </c>
      <c r="B632" s="10" t="str">
        <f>'4월'!B7</f>
        <v>LI-24005</v>
      </c>
      <c r="C632" s="139"/>
      <c r="D632" s="13">
        <f>'4월'!D7</f>
        <v>45748</v>
      </c>
      <c r="E632" s="155" t="str">
        <f>'4월'!E7</f>
        <v>한국아이씨에스</v>
      </c>
      <c r="F632" s="155" t="str">
        <f>'4월'!F7</f>
        <v>해안종합건축사사무소</v>
      </c>
      <c r="G632" s="156" t="str">
        <f>'4월'!G7</f>
        <v>MA</v>
      </c>
      <c r="H632" s="156" t="str">
        <f>'4월'!H7</f>
        <v>월간-IBM</v>
      </c>
      <c r="I632" s="69" t="str">
        <f>'4월'!I7</f>
        <v>4월 유지정비료 - 11/12회</v>
      </c>
      <c r="J632" s="122">
        <f>'4월'!J7</f>
        <v>1</v>
      </c>
      <c r="K632" s="15">
        <f>'4월'!K7</f>
        <v>436400</v>
      </c>
      <c r="L632" s="16">
        <f>'4월'!L7</f>
        <v>436400</v>
      </c>
      <c r="M632" s="15">
        <f>'4월'!M7</f>
        <v>43640</v>
      </c>
      <c r="N632" s="15">
        <f>'4월'!N7</f>
        <v>480040</v>
      </c>
      <c r="O632" s="5" t="str">
        <f>'4월'!O7</f>
        <v>완료(5/30)</v>
      </c>
      <c r="P632" s="174" t="str">
        <f>'4월'!P7</f>
        <v>천범석</v>
      </c>
      <c r="Q632" s="5">
        <f>'4월'!Q7</f>
        <v>45748</v>
      </c>
      <c r="R632" s="209"/>
    </row>
    <row r="633" spans="1:18" ht="16.5" customHeight="1">
      <c r="A633" t="s">
        <v>64</v>
      </c>
      <c r="B633" s="10" t="str">
        <f>'4월'!B8</f>
        <v>LI-24008</v>
      </c>
      <c r="C633" s="12"/>
      <c r="D633" s="13">
        <f>'4월'!D8</f>
        <v>45748</v>
      </c>
      <c r="E633" s="155" t="str">
        <f>'4월'!E8</f>
        <v>한국아이씨에스</v>
      </c>
      <c r="F633" s="155" t="str">
        <f>'4월'!F8</f>
        <v>쿠팡</v>
      </c>
      <c r="G633" s="156" t="str">
        <f>'4월'!G8</f>
        <v>MA</v>
      </c>
      <c r="H633" s="156" t="str">
        <f>'4월'!H8</f>
        <v>월간-IBM</v>
      </c>
      <c r="I633" s="69" t="str">
        <f>'4월'!I8</f>
        <v>4월 유지정비료 - 9/13회</v>
      </c>
      <c r="J633" s="122">
        <f>'4월'!J8</f>
        <v>1</v>
      </c>
      <c r="K633" s="15">
        <f>'4월'!K8</f>
        <v>205780</v>
      </c>
      <c r="L633" s="16">
        <f>'4월'!L8</f>
        <v>205780</v>
      </c>
      <c r="M633" s="16">
        <f>'4월'!M8</f>
        <v>20578</v>
      </c>
      <c r="N633" s="15">
        <f>'4월'!N8</f>
        <v>226358</v>
      </c>
      <c r="O633" s="5" t="str">
        <f>'4월'!O8</f>
        <v>완료(5/30)</v>
      </c>
      <c r="P633" s="174" t="str">
        <f>'4월'!P8</f>
        <v>천범석</v>
      </c>
      <c r="Q633" s="5">
        <f>'4월'!Q8</f>
        <v>45491</v>
      </c>
      <c r="R633" s="209" t="str">
        <f>'4월'!R8</f>
        <v>매출연간</v>
      </c>
    </row>
    <row r="634" spans="1:18" ht="16.5" customHeight="1">
      <c r="A634" t="s">
        <v>64</v>
      </c>
      <c r="B634" s="10" t="str">
        <f>'4월'!B9</f>
        <v>IK-22025</v>
      </c>
      <c r="C634" s="12"/>
      <c r="D634" s="13">
        <f>'4월'!D9</f>
        <v>45748</v>
      </c>
      <c r="E634" s="155" t="str">
        <f>'4월'!E9</f>
        <v>한국아이씨에스</v>
      </c>
      <c r="F634" s="155" t="str">
        <f>'4월'!F9</f>
        <v>디에스피</v>
      </c>
      <c r="G634" s="156" t="str">
        <f>'4월'!G9</f>
        <v>MA</v>
      </c>
      <c r="H634" s="9" t="str">
        <f>'4월'!H9</f>
        <v>월간-IBM</v>
      </c>
      <c r="I634" s="69" t="str">
        <f>'4월'!I9</f>
        <v>엘지생활건강 청주공장 4월 유지정비료 - 3/12회</v>
      </c>
      <c r="J634" s="122">
        <f>'4월'!J9</f>
        <v>1</v>
      </c>
      <c r="K634" s="15">
        <f>'4월'!K9</f>
        <v>564192</v>
      </c>
      <c r="L634" s="16">
        <f>'4월'!L9</f>
        <v>564192</v>
      </c>
      <c r="M634" s="15">
        <f>'4월'!M9</f>
        <v>56419</v>
      </c>
      <c r="N634" s="15">
        <f>'4월'!N9</f>
        <v>620611</v>
      </c>
      <c r="O634" s="5" t="str">
        <f>'4월'!O9</f>
        <v>완료(5/30)</v>
      </c>
      <c r="P634" s="9" t="str">
        <f>'4월'!P9</f>
        <v>천범석</v>
      </c>
      <c r="Q634" s="5">
        <f>'4월'!Q9</f>
        <v>45748</v>
      </c>
      <c r="R634" s="209"/>
    </row>
    <row r="635" spans="1:18" ht="16.5" customHeight="1">
      <c r="A635" t="s">
        <v>64</v>
      </c>
      <c r="B635" s="10" t="str">
        <f>'4월'!B10</f>
        <v>IK-25001</v>
      </c>
      <c r="C635" s="12"/>
      <c r="D635" s="13">
        <f>'4월'!D10</f>
        <v>45748</v>
      </c>
      <c r="E635" s="155" t="str">
        <f>'4월'!E10</f>
        <v>한국아이씨에스</v>
      </c>
      <c r="F635" s="155" t="str">
        <f>'4월'!F10</f>
        <v>투아이시스</v>
      </c>
      <c r="G635" s="156" t="str">
        <f>'4월'!G10</f>
        <v>MA</v>
      </c>
      <c r="H635" s="156" t="str">
        <f>'4월'!H10</f>
        <v>월간-IBM</v>
      </c>
      <c r="I635" s="69" t="str">
        <f>'4월'!I10</f>
        <v>4월 유지정비료 - 2/12회</v>
      </c>
      <c r="J635" s="122">
        <f>'4월'!J10</f>
        <v>1</v>
      </c>
      <c r="K635" s="15">
        <f>'4월'!K10</f>
        <v>93445</v>
      </c>
      <c r="L635" s="16">
        <f>'4월'!L10</f>
        <v>93445</v>
      </c>
      <c r="M635" s="15">
        <f>'4월'!M10</f>
        <v>9344</v>
      </c>
      <c r="N635" s="15">
        <f>'4월'!N10</f>
        <v>102789</v>
      </c>
      <c r="O635" s="5" t="str">
        <f>'4월'!O10</f>
        <v>완료(5/30)</v>
      </c>
      <c r="P635" s="174" t="str">
        <f>'4월'!P10</f>
        <v>천범석</v>
      </c>
      <c r="Q635" s="5">
        <f>'4월'!Q10</f>
        <v>45747</v>
      </c>
      <c r="R635" s="246" t="str">
        <f>'4월'!R10</f>
        <v>매출연간</v>
      </c>
    </row>
    <row r="636" spans="1:18" ht="16.5" customHeight="1">
      <c r="A636" t="s">
        <v>64</v>
      </c>
      <c r="B636" s="10" t="str">
        <f>'4월'!B11</f>
        <v>IK-24012</v>
      </c>
      <c r="C636" s="12"/>
      <c r="D636" s="13">
        <f>'4월'!D11</f>
        <v>45748</v>
      </c>
      <c r="E636" s="155" t="str">
        <f>'4월'!E11</f>
        <v>한국아이씨에스</v>
      </c>
      <c r="F636" s="155" t="str">
        <f>'4월'!F11</f>
        <v>인정보</v>
      </c>
      <c r="G636" s="156" t="str">
        <f>'4월'!G11</f>
        <v>MA</v>
      </c>
      <c r="H636" s="156" t="str">
        <f>'4월'!H11</f>
        <v>월간-IBM</v>
      </c>
      <c r="I636" s="69" t="str">
        <f>'4월'!I11</f>
        <v>대구텍 4월 유지정비료 - 4/6회</v>
      </c>
      <c r="J636" s="122">
        <f>'4월'!J11</f>
        <v>1</v>
      </c>
      <c r="K636" s="15">
        <f>'4월'!K11</f>
        <v>990000</v>
      </c>
      <c r="L636" s="16">
        <f>'4월'!L11</f>
        <v>990000</v>
      </c>
      <c r="M636" s="16">
        <f>'4월'!M11</f>
        <v>99000</v>
      </c>
      <c r="N636" s="15">
        <f>'4월'!N11</f>
        <v>1089000</v>
      </c>
      <c r="O636" s="5" t="str">
        <f>'4월'!O11</f>
        <v>완료(5/30)</v>
      </c>
      <c r="P636" s="174" t="str">
        <f>'4월'!P11</f>
        <v>천범석</v>
      </c>
      <c r="Q636" s="5">
        <f>'4월'!Q11</f>
        <v>45748</v>
      </c>
      <c r="R636" s="213"/>
    </row>
    <row r="637" spans="1:18" ht="16.5" customHeight="1">
      <c r="A637" t="s">
        <v>64</v>
      </c>
      <c r="B637" s="10" t="str">
        <f>'4월'!B12</f>
        <v>LI-24003</v>
      </c>
      <c r="C637" s="12"/>
      <c r="D637" s="13">
        <f>'4월'!D12</f>
        <v>45748</v>
      </c>
      <c r="E637" s="155" t="str">
        <f>'4월'!E12</f>
        <v>한국아이씨에스</v>
      </c>
      <c r="F637" s="155" t="str">
        <f>'4월'!F12</f>
        <v>지엔콤</v>
      </c>
      <c r="G637" s="156" t="str">
        <f>'4월'!G12</f>
        <v>MA</v>
      </c>
      <c r="H637" s="156" t="str">
        <f>'4월'!H12</f>
        <v>월간-IBM</v>
      </c>
      <c r="I637" s="69" t="str">
        <f>'4월'!I12</f>
        <v>전주교육대학교 4월 유지정비료 - 12/12회</v>
      </c>
      <c r="J637" s="122">
        <f>'4월'!J12</f>
        <v>1</v>
      </c>
      <c r="K637" s="15">
        <f>'4월'!K12</f>
        <v>305280</v>
      </c>
      <c r="L637" s="16">
        <f>'4월'!L12</f>
        <v>305280</v>
      </c>
      <c r="M637" s="15">
        <f>'4월'!M12</f>
        <v>30528</v>
      </c>
      <c r="N637" s="15">
        <f>'4월'!N12</f>
        <v>335808</v>
      </c>
      <c r="O637" s="5" t="str">
        <f>'4월'!O12</f>
        <v>완료(5/30)</v>
      </c>
      <c r="P637" s="9" t="str">
        <f>'4월'!P12</f>
        <v>천범석</v>
      </c>
      <c r="Q637" s="5">
        <f>'4월'!Q12</f>
        <v>45777</v>
      </c>
      <c r="R637" s="209"/>
    </row>
    <row r="638" spans="1:18" ht="16.5" customHeight="1">
      <c r="A638" t="s">
        <v>64</v>
      </c>
      <c r="B638" s="140" t="str">
        <f>'4월'!B13</f>
        <v>IK-23016</v>
      </c>
      <c r="C638" s="12"/>
      <c r="D638" s="13">
        <f>'4월'!D13</f>
        <v>45748</v>
      </c>
      <c r="E638" s="155" t="str">
        <f>'4월'!E13</f>
        <v>한국아이씨에스</v>
      </c>
      <c r="F638" s="155" t="str">
        <f>'4월'!F13</f>
        <v>케이정보기술</v>
      </c>
      <c r="G638" s="156" t="str">
        <f>'4월'!G13</f>
        <v>MA</v>
      </c>
      <c r="H638" s="156" t="str">
        <f>'4월'!H13</f>
        <v>월간-IBM</v>
      </c>
      <c r="I638" s="69" t="str">
        <f>'4월'!I13</f>
        <v>청주시청 4월 유지정비료 - 20/36회</v>
      </c>
      <c r="J638" s="122">
        <f>'4월'!J13</f>
        <v>1</v>
      </c>
      <c r="K638" s="15">
        <f>'4월'!K13</f>
        <v>259896</v>
      </c>
      <c r="L638" s="16">
        <f>'4월'!L13</f>
        <v>259896</v>
      </c>
      <c r="M638" s="16">
        <f>'4월'!M13</f>
        <v>25989</v>
      </c>
      <c r="N638" s="15">
        <f>'4월'!N13</f>
        <v>285885</v>
      </c>
      <c r="O638" s="5" t="str">
        <f>'4월'!O13</f>
        <v>완료(5/30)</v>
      </c>
      <c r="P638" s="9" t="str">
        <f>'4월'!P13</f>
        <v>천범석</v>
      </c>
      <c r="Q638" s="5">
        <f>'4월'!Q13</f>
        <v>45748</v>
      </c>
      <c r="R638" s="213"/>
    </row>
    <row r="639" spans="1:18" ht="16.5" customHeight="1">
      <c r="A639" t="s">
        <v>64</v>
      </c>
      <c r="B639" s="10" t="str">
        <f>'4월'!B14</f>
        <v>LI-24007</v>
      </c>
      <c r="C639" s="12"/>
      <c r="D639" s="13">
        <f>'4월'!D14</f>
        <v>45748</v>
      </c>
      <c r="E639" s="155" t="str">
        <f>'4월'!E14</f>
        <v>한국아이씨에스</v>
      </c>
      <c r="F639" s="155" t="str">
        <f>'4월'!F14</f>
        <v>유더블유에스</v>
      </c>
      <c r="G639" s="157" t="str">
        <f>'4월'!G14</f>
        <v>MA</v>
      </c>
      <c r="H639" s="156" t="str">
        <f>'4월'!H14</f>
        <v>월간-IBM</v>
      </c>
      <c r="I639" s="69" t="str">
        <f>'4월'!I14</f>
        <v>두원정공 4월 유지정비료 - 9/11회</v>
      </c>
      <c r="J639" s="122">
        <f>'4월'!J14</f>
        <v>1</v>
      </c>
      <c r="K639" s="15">
        <f>'4월'!K14</f>
        <v>80160</v>
      </c>
      <c r="L639" s="16">
        <f>'4월'!L14</f>
        <v>80160</v>
      </c>
      <c r="M639" s="16">
        <f>'4월'!M14</f>
        <v>8016</v>
      </c>
      <c r="N639" s="15">
        <f>'4월'!N14</f>
        <v>88176</v>
      </c>
      <c r="O639" s="5" t="str">
        <f>'4월'!O14</f>
        <v>완료(5/30)</v>
      </c>
      <c r="P639" s="174" t="str">
        <f>'4월'!P14</f>
        <v>천범석</v>
      </c>
      <c r="Q639" s="5">
        <f>'4월'!Q14</f>
        <v>45777</v>
      </c>
      <c r="R639" s="209"/>
    </row>
    <row r="640" spans="1:18" ht="16.5" customHeight="1">
      <c r="A640" t="s">
        <v>64</v>
      </c>
      <c r="B640" s="143" t="str">
        <f>'4월'!B15</f>
        <v>IK-23014</v>
      </c>
      <c r="C640" s="144"/>
      <c r="D640" s="13">
        <f>'4월'!D15</f>
        <v>45748</v>
      </c>
      <c r="E640" s="155" t="str">
        <f>'4월'!E15</f>
        <v>한국아이씨에스</v>
      </c>
      <c r="F640" s="155" t="str">
        <f>'4월'!F15</f>
        <v>서비스링크</v>
      </c>
      <c r="G640" s="157" t="str">
        <f>'4월'!G15</f>
        <v>MA</v>
      </c>
      <c r="H640" s="156" t="str">
        <f>'4월'!H15</f>
        <v>월간-IBM</v>
      </c>
      <c r="I640" s="69" t="str">
        <f>'4월'!I15</f>
        <v>세원정공 4월 유지정비료 - 10/12회</v>
      </c>
      <c r="J640" s="122">
        <f>'4월'!J15</f>
        <v>1</v>
      </c>
      <c r="K640" s="15">
        <f>'4월'!K15</f>
        <v>198018</v>
      </c>
      <c r="L640" s="16">
        <f>'4월'!L15</f>
        <v>198018</v>
      </c>
      <c r="M640" s="15">
        <f>'4월'!M15</f>
        <v>19801</v>
      </c>
      <c r="N640" s="15">
        <f>'4월'!N15</f>
        <v>217819</v>
      </c>
      <c r="O640" s="5" t="str">
        <f>'4월'!O15</f>
        <v>완료(5/30)</v>
      </c>
      <c r="P640" s="174" t="str">
        <f>'4월'!P15</f>
        <v>천범석</v>
      </c>
      <c r="Q640" s="5">
        <f>'4월'!Q15</f>
        <v>45748</v>
      </c>
      <c r="R640" s="209"/>
    </row>
    <row r="641" spans="1:20" ht="16.5" customHeight="1">
      <c r="A641" t="s">
        <v>64</v>
      </c>
      <c r="B641" s="10" t="str">
        <f>'4월'!B16</f>
        <v>SM-21021</v>
      </c>
      <c r="C641" s="12"/>
      <c r="D641" s="13">
        <f>'4월'!D16</f>
        <v>45748</v>
      </c>
      <c r="E641" s="155" t="str">
        <f>'4월'!E16</f>
        <v>한국아이씨에스</v>
      </c>
      <c r="F641" s="155" t="str">
        <f>'4월'!F16</f>
        <v>법무법인바른</v>
      </c>
      <c r="G641" s="156" t="str">
        <f>'4월'!G16</f>
        <v>MA</v>
      </c>
      <c r="H641" s="156" t="str">
        <f>'4월'!H16</f>
        <v>월간-IBM</v>
      </c>
      <c r="I641" s="69" t="str">
        <f>'4월'!I16</f>
        <v>4월 유지정비료 - 8/13회</v>
      </c>
      <c r="J641" s="122">
        <f>'4월'!J16</f>
        <v>1</v>
      </c>
      <c r="K641" s="16">
        <f>'4월'!K16</f>
        <v>84811</v>
      </c>
      <c r="L641" s="16">
        <f>'4월'!L16</f>
        <v>84811</v>
      </c>
      <c r="M641" s="15">
        <f>'4월'!M16</f>
        <v>8481</v>
      </c>
      <c r="N641" s="15">
        <f>'4월'!N16</f>
        <v>93292</v>
      </c>
      <c r="O641" s="5" t="str">
        <f>'4월'!O16</f>
        <v>완료(5/30)</v>
      </c>
      <c r="P641" s="174" t="str">
        <f>'4월'!P16</f>
        <v>천범석</v>
      </c>
      <c r="Q641" s="5">
        <f>'4월'!Q16</f>
        <v>45772</v>
      </c>
      <c r="R641" s="209"/>
    </row>
    <row r="642" spans="1:20" ht="16.5" customHeight="1">
      <c r="A642" t="s">
        <v>64</v>
      </c>
      <c r="B642" s="10" t="str">
        <f>'4월'!B17</f>
        <v>IK-24011</v>
      </c>
      <c r="C642" s="12"/>
      <c r="D642" s="13">
        <f>'4월'!D17</f>
        <v>45748</v>
      </c>
      <c r="E642" s="155" t="str">
        <f>'4월'!E17</f>
        <v>한국아이씨에스</v>
      </c>
      <c r="F642" s="155" t="str">
        <f>'4월'!F17</f>
        <v>로보츠</v>
      </c>
      <c r="G642" s="156" t="str">
        <f>'4월'!G17</f>
        <v>MA</v>
      </c>
      <c r="H642" s="156" t="str">
        <f>'4월'!H17</f>
        <v>월간-IBM</v>
      </c>
      <c r="I642" s="69" t="str">
        <f>'4월'!I17</f>
        <v>키오시아(도시바) 4월 유지정비료 - 5/12회</v>
      </c>
      <c r="J642" s="122">
        <f>'4월'!J17</f>
        <v>1</v>
      </c>
      <c r="K642" s="16">
        <f>'4월'!K17</f>
        <v>133875</v>
      </c>
      <c r="L642" s="16">
        <f>'4월'!L17</f>
        <v>133875</v>
      </c>
      <c r="M642" s="16">
        <f>'4월'!M17</f>
        <v>13387</v>
      </c>
      <c r="N642" s="15">
        <f>'4월'!N17</f>
        <v>147262</v>
      </c>
      <c r="O642" s="5" t="str">
        <f>'4월'!O17</f>
        <v>완료(5/30)</v>
      </c>
      <c r="P642" s="9" t="str">
        <f>'4월'!P17</f>
        <v>천범석</v>
      </c>
      <c r="Q642" s="5">
        <f>'4월'!Q17</f>
        <v>45777</v>
      </c>
      <c r="R642" s="209"/>
    </row>
    <row r="643" spans="1:20" ht="16.5" customHeight="1">
      <c r="A643" t="s">
        <v>64</v>
      </c>
      <c r="B643" s="10" t="str">
        <f>'4월'!B18</f>
        <v>IK-25003</v>
      </c>
      <c r="C643" s="12"/>
      <c r="D643" s="13">
        <f>'4월'!D18</f>
        <v>45748</v>
      </c>
      <c r="E643" s="155" t="str">
        <f>'4월'!E18</f>
        <v>한국아이씨에스</v>
      </c>
      <c r="F643" s="155" t="str">
        <f>'4월'!F18</f>
        <v>엔콤</v>
      </c>
      <c r="G643" s="156" t="str">
        <f>'4월'!G18</f>
        <v>MA</v>
      </c>
      <c r="H643" s="156" t="str">
        <f>'4월'!H18</f>
        <v>월간-IBM</v>
      </c>
      <c r="I643" s="69" t="str">
        <f>'4월'!I18</f>
        <v>전북도시가스 4월 유지정비료 - 1/12회</v>
      </c>
      <c r="J643" s="122">
        <f>'4월'!J18</f>
        <v>1</v>
      </c>
      <c r="K643" s="15">
        <f>'4월'!K18</f>
        <v>1352754</v>
      </c>
      <c r="L643" s="16">
        <f>'4월'!L18</f>
        <v>1352754</v>
      </c>
      <c r="M643" s="15">
        <f>'4월'!M18</f>
        <v>135275</v>
      </c>
      <c r="N643" s="15">
        <f>'4월'!N18</f>
        <v>1488029</v>
      </c>
      <c r="O643" s="5" t="str">
        <f>'4월'!O18</f>
        <v>완료(5/30)</v>
      </c>
      <c r="P643" s="174" t="str">
        <f>'4월'!P18</f>
        <v>천범석</v>
      </c>
      <c r="Q643" s="5">
        <f>'4월'!Q18</f>
        <v>45777</v>
      </c>
      <c r="R643" s="209"/>
    </row>
    <row r="644" spans="1:20" ht="16.5" customHeight="1">
      <c r="A644" t="s">
        <v>64</v>
      </c>
      <c r="B644" s="10" t="str">
        <f>'4월'!B19</f>
        <v>IK-23013</v>
      </c>
      <c r="C644" s="12"/>
      <c r="D644" s="13">
        <f>'4월'!D19</f>
        <v>45748</v>
      </c>
      <c r="E644" s="155" t="str">
        <f>'4월'!E19</f>
        <v>한국아이씨에스</v>
      </c>
      <c r="F644" s="155" t="str">
        <f>'4월'!F19</f>
        <v>로보츠</v>
      </c>
      <c r="G644" s="156" t="str">
        <f>'4월'!G19</f>
        <v>MA</v>
      </c>
      <c r="H644" s="156" t="str">
        <f>'4월'!H19</f>
        <v>월간-IBM</v>
      </c>
      <c r="I644" s="69" t="str">
        <f>'4월'!I19</f>
        <v>도시바일렉 4월 유지정비료 - 10/12회</v>
      </c>
      <c r="J644" s="122">
        <f>'4월'!J19</f>
        <v>1</v>
      </c>
      <c r="K644" s="15">
        <f>'4월'!K19</f>
        <v>66498</v>
      </c>
      <c r="L644" s="16">
        <f>'4월'!L19</f>
        <v>66498</v>
      </c>
      <c r="M644" s="15">
        <f>'4월'!M19</f>
        <v>6649</v>
      </c>
      <c r="N644" s="15">
        <f>'4월'!N19</f>
        <v>73147</v>
      </c>
      <c r="O644" s="5" t="str">
        <f>'4월'!O19</f>
        <v>완료(5/30)</v>
      </c>
      <c r="P644" s="174" t="str">
        <f>'4월'!P19</f>
        <v>천범석</v>
      </c>
      <c r="Q644" s="5">
        <f>'4월'!Q19</f>
        <v>45777</v>
      </c>
      <c r="R644" s="209"/>
    </row>
    <row r="645" spans="1:20" ht="16.5" customHeight="1">
      <c r="A645" t="s">
        <v>64</v>
      </c>
      <c r="B645" s="255" t="str">
        <f>'4월'!B20</f>
        <v>SM-25011</v>
      </c>
      <c r="C645" s="12"/>
      <c r="D645" s="13">
        <f>'4월'!D20</f>
        <v>45748</v>
      </c>
      <c r="E645" s="155" t="str">
        <f>'4월'!E20</f>
        <v>한국아이씨에스</v>
      </c>
      <c r="F645" s="155" t="str">
        <f>'4월'!F20</f>
        <v>유니포인트</v>
      </c>
      <c r="G645" s="156" t="str">
        <f>'4월'!G20</f>
        <v>MA</v>
      </c>
      <c r="H645" s="156" t="str">
        <f>'4월'!H20</f>
        <v>월간-IBM</v>
      </c>
      <c r="I645" s="69" t="str">
        <f>'4월'!I20</f>
        <v>한미약품/한미사이언스 4월 유지정비료 - 4/12회</v>
      </c>
      <c r="J645" s="122">
        <f>'4월'!J20</f>
        <v>1</v>
      </c>
      <c r="K645" s="16">
        <f>'4월'!K20</f>
        <v>11623397</v>
      </c>
      <c r="L645" s="16">
        <f>'4월'!L20</f>
        <v>11623397</v>
      </c>
      <c r="M645" s="16">
        <f>'4월'!M20</f>
        <v>1162339</v>
      </c>
      <c r="N645" s="15">
        <f>'4월'!N20</f>
        <v>12785736</v>
      </c>
      <c r="O645" s="5" t="str">
        <f>'4월'!O20</f>
        <v>완료(5/30)</v>
      </c>
      <c r="P645" s="174" t="str">
        <f>'4월'!P20</f>
        <v>천범석</v>
      </c>
      <c r="Q645" s="5">
        <f>'4월'!Q20</f>
        <v>45772</v>
      </c>
      <c r="R645" s="209"/>
    </row>
    <row r="646" spans="1:20" ht="16.5" customHeight="1">
      <c r="A646" t="s">
        <v>64</v>
      </c>
      <c r="B646" s="10" t="str">
        <f>'4월'!B21</f>
        <v>SM-25008</v>
      </c>
      <c r="C646" s="12"/>
      <c r="D646" s="13">
        <f>'4월'!D21</f>
        <v>45748</v>
      </c>
      <c r="E646" s="155" t="str">
        <f>'4월'!E21</f>
        <v>한국아이씨에스</v>
      </c>
      <c r="F646" s="155" t="str">
        <f>'4월'!F21</f>
        <v>유니포인트</v>
      </c>
      <c r="G646" s="156" t="str">
        <f>'4월'!G21</f>
        <v>MA</v>
      </c>
      <c r="H646" s="156" t="str">
        <f>'4월'!H21</f>
        <v>월간-IBM</v>
      </c>
      <c r="I646" s="69" t="str">
        <f>'4월'!I21</f>
        <v>스마트로 4월 유지정비료 - 4/12회</v>
      </c>
      <c r="J646" s="122">
        <f>'4월'!J21</f>
        <v>1</v>
      </c>
      <c r="K646" s="15">
        <f>'4월'!K21</f>
        <v>1210534</v>
      </c>
      <c r="L646" s="16">
        <f>'4월'!L21</f>
        <v>1210534</v>
      </c>
      <c r="M646" s="16">
        <f>'4월'!M21</f>
        <v>121053</v>
      </c>
      <c r="N646" s="15">
        <f>'4월'!N21</f>
        <v>1331587</v>
      </c>
      <c r="O646" s="5" t="str">
        <f>'4월'!O21</f>
        <v>완료(5/30)</v>
      </c>
      <c r="P646" s="174" t="str">
        <f>'4월'!P21</f>
        <v>천범석</v>
      </c>
      <c r="Q646" s="5">
        <f>'4월'!Q21</f>
        <v>45777</v>
      </c>
      <c r="R646" s="209"/>
    </row>
    <row r="647" spans="1:20" ht="16.5" customHeight="1">
      <c r="A647" t="s">
        <v>64</v>
      </c>
      <c r="B647" s="10" t="str">
        <f>'4월'!B22</f>
        <v>SM-25003</v>
      </c>
      <c r="C647" s="12"/>
      <c r="D647" s="13">
        <f>'4월'!D22</f>
        <v>45748</v>
      </c>
      <c r="E647" s="155" t="str">
        <f>'4월'!E22</f>
        <v>한국아이씨에스</v>
      </c>
      <c r="F647" s="155" t="str">
        <f>'4월'!F22</f>
        <v>CGV 통합</v>
      </c>
      <c r="G647" s="156" t="str">
        <f>'4월'!G22</f>
        <v>MA</v>
      </c>
      <c r="H647" s="156" t="str">
        <f>'4월'!H22</f>
        <v>월간-IBM</v>
      </c>
      <c r="I647" s="69" t="str">
        <f>'4월'!I22</f>
        <v>4월 유지정비료 - 4/12회</v>
      </c>
      <c r="J647" s="122">
        <f>'4월'!J22</f>
        <v>1</v>
      </c>
      <c r="K647" s="15">
        <f>'4월'!K22</f>
        <v>2812500</v>
      </c>
      <c r="L647" s="16">
        <f>'4월'!L22</f>
        <v>2812500</v>
      </c>
      <c r="M647" s="16">
        <f>'4월'!M22</f>
        <v>281250</v>
      </c>
      <c r="N647" s="15">
        <f>'4월'!N22</f>
        <v>3093750</v>
      </c>
      <c r="O647" s="5" t="str">
        <f>'4월'!O22</f>
        <v>완료(5/30)</v>
      </c>
      <c r="P647" s="9" t="str">
        <f>'4월'!P22</f>
        <v>이예지</v>
      </c>
      <c r="Q647" s="5">
        <f>'4월'!Q22</f>
        <v>45666</v>
      </c>
      <c r="R647" s="209" t="str">
        <f>'4월'!R22</f>
        <v>매출연간</v>
      </c>
    </row>
    <row r="648" spans="1:20" ht="16.5" customHeight="1">
      <c r="A648" t="s">
        <v>64</v>
      </c>
      <c r="B648" s="140" t="str">
        <f>'4월'!B23</f>
        <v>IK-23016</v>
      </c>
      <c r="C648" s="12"/>
      <c r="D648" s="13">
        <f>'4월'!D23</f>
        <v>45748</v>
      </c>
      <c r="E648" s="155" t="str">
        <f>'4월'!E23</f>
        <v>한국아이씨에스</v>
      </c>
      <c r="F648" s="155" t="str">
        <f>'4월'!F23</f>
        <v>케이정보기술</v>
      </c>
      <c r="G648" s="157" t="str">
        <f>'4월'!G23</f>
        <v>MA</v>
      </c>
      <c r="H648" s="156" t="str">
        <f>'4월'!H23</f>
        <v>월간-IBM</v>
      </c>
      <c r="I648" s="69" t="str">
        <f>'4월'!I23</f>
        <v>청주시청 4월 유지정비료 - 4/20회 추가</v>
      </c>
      <c r="J648" s="122">
        <f>'4월'!J23</f>
        <v>1</v>
      </c>
      <c r="K648" s="15">
        <f>'4월'!K23</f>
        <v>1123962</v>
      </c>
      <c r="L648" s="16">
        <f>'4월'!L23</f>
        <v>1123962</v>
      </c>
      <c r="M648" s="15">
        <f>'4월'!M23</f>
        <v>112396</v>
      </c>
      <c r="N648" s="15">
        <f>'4월'!N23</f>
        <v>1236358</v>
      </c>
      <c r="O648" s="5" t="str">
        <f>'4월'!O23</f>
        <v>완료(5/30)</v>
      </c>
      <c r="P648" s="9" t="str">
        <f>'4월'!P23</f>
        <v>천범석</v>
      </c>
      <c r="Q648" s="5">
        <f>'4월'!Q23</f>
        <v>45748</v>
      </c>
      <c r="R648" s="209"/>
    </row>
    <row r="649" spans="1:20" ht="16.5" customHeight="1">
      <c r="A649" t="s">
        <v>64</v>
      </c>
      <c r="B649" s="10" t="str">
        <f>'4월'!B24</f>
        <v>IK-24014</v>
      </c>
      <c r="C649" s="12"/>
      <c r="D649" s="13">
        <f>'4월'!D24</f>
        <v>45748</v>
      </c>
      <c r="E649" s="155" t="str">
        <f>'4월'!E24</f>
        <v>한국아이씨에스</v>
      </c>
      <c r="F649" s="155" t="str">
        <f>'4월'!F24</f>
        <v>로보츠</v>
      </c>
      <c r="G649" s="156" t="str">
        <f>'4월'!G24</f>
        <v>MA</v>
      </c>
      <c r="H649" s="156" t="str">
        <f>'4월'!H24</f>
        <v>월간-IBM</v>
      </c>
      <c r="I649" s="69" t="str">
        <f>'4월'!I24</f>
        <v>와이케이케이 4월 유지정비료 - 4/12회</v>
      </c>
      <c r="J649" s="122">
        <f>'4월'!J24</f>
        <v>1</v>
      </c>
      <c r="K649" s="15">
        <f>'4월'!K24</f>
        <v>79496</v>
      </c>
      <c r="L649" s="16">
        <f>'4월'!L24</f>
        <v>79496</v>
      </c>
      <c r="M649" s="15">
        <f>'4월'!M24</f>
        <v>7949</v>
      </c>
      <c r="N649" s="15">
        <f>'4월'!N24</f>
        <v>87445</v>
      </c>
      <c r="O649" s="5" t="str">
        <f>'4월'!O24</f>
        <v>완료(5/30)</v>
      </c>
      <c r="P649" s="9" t="str">
        <f>'4월'!P24</f>
        <v>천범석</v>
      </c>
      <c r="Q649" s="5">
        <f>'4월'!Q24</f>
        <v>45772</v>
      </c>
      <c r="R649" s="209"/>
    </row>
    <row r="650" spans="1:20" ht="16.5" customHeight="1">
      <c r="A650" t="s">
        <v>64</v>
      </c>
      <c r="B650" s="141" t="str">
        <f>'4월'!B25</f>
        <v>IK-22023</v>
      </c>
      <c r="C650" s="142"/>
      <c r="D650" s="13">
        <f>'4월'!D25</f>
        <v>45748</v>
      </c>
      <c r="E650" s="155" t="str">
        <f>'4월'!E25</f>
        <v>한국아이씨에스</v>
      </c>
      <c r="F650" s="155" t="str">
        <f>'4월'!F25</f>
        <v>리온아이티</v>
      </c>
      <c r="G650" s="156" t="str">
        <f>'4월'!G25</f>
        <v>MA</v>
      </c>
      <c r="H650" s="156" t="str">
        <f>'4월'!H25</f>
        <v>월간-IBM</v>
      </c>
      <c r="I650" s="69" t="str">
        <f>'4월'!I25</f>
        <v>성원제강 4월 유지정비료 - 25/36회</v>
      </c>
      <c r="J650" s="122">
        <f>'4월'!J25</f>
        <v>1</v>
      </c>
      <c r="K650" s="15">
        <f>'4월'!K25</f>
        <v>159761</v>
      </c>
      <c r="L650" s="15">
        <f>'4월'!L25</f>
        <v>159761</v>
      </c>
      <c r="M650" s="15">
        <f>'4월'!M25</f>
        <v>15976</v>
      </c>
      <c r="N650" s="15">
        <f>'4월'!N25</f>
        <v>175737</v>
      </c>
      <c r="O650" s="5" t="str">
        <f>'4월'!O25</f>
        <v>완료(5/30)</v>
      </c>
      <c r="P650" s="9" t="str">
        <f>'4월'!P25</f>
        <v>천범석</v>
      </c>
      <c r="Q650" s="5">
        <f>'4월'!Q25</f>
        <v>45777</v>
      </c>
      <c r="R650" s="209"/>
      <c r="S650" s="7"/>
      <c r="T650" s="7"/>
    </row>
    <row r="651" spans="1:20" ht="16.5" customHeight="1">
      <c r="A651" t="s">
        <v>64</v>
      </c>
      <c r="B651" s="10" t="str">
        <f>'4월'!B26</f>
        <v>IK-24002</v>
      </c>
      <c r="C651" s="12"/>
      <c r="D651" s="13">
        <f>'4월'!D26</f>
        <v>45748</v>
      </c>
      <c r="E651" s="155" t="str">
        <f>'4월'!E26</f>
        <v>한국아이씨에스</v>
      </c>
      <c r="F651" s="155" t="str">
        <f>'4월'!F26</f>
        <v>리온아이티</v>
      </c>
      <c r="G651" s="156" t="str">
        <f>'4월'!G26</f>
        <v>MA</v>
      </c>
      <c r="H651" s="156" t="str">
        <f>'4월'!H26</f>
        <v>월간-IBM</v>
      </c>
      <c r="I651" s="69" t="str">
        <f>'4월'!I26</f>
        <v>교세라 4월 유지정비료 - 15/36회</v>
      </c>
      <c r="J651" s="122">
        <f>'4월'!J26</f>
        <v>1</v>
      </c>
      <c r="K651" s="15">
        <f>'4월'!K26</f>
        <v>70422</v>
      </c>
      <c r="L651" s="16">
        <f>'4월'!L26</f>
        <v>70422</v>
      </c>
      <c r="M651" s="15">
        <f>'4월'!M26</f>
        <v>7042</v>
      </c>
      <c r="N651" s="15">
        <f>'4월'!N26</f>
        <v>77464</v>
      </c>
      <c r="O651" s="5" t="str">
        <f>'4월'!O26</f>
        <v>완료(5/30)</v>
      </c>
      <c r="P651" s="174" t="str">
        <f>'4월'!P26</f>
        <v>천범석</v>
      </c>
      <c r="Q651" s="5">
        <f>'4월'!Q26</f>
        <v>45716</v>
      </c>
      <c r="R651" s="209" t="str">
        <f>'4월'!R26</f>
        <v>매출연간</v>
      </c>
    </row>
    <row r="652" spans="1:20" ht="16.5" customHeight="1">
      <c r="A652" t="s">
        <v>64</v>
      </c>
      <c r="B652" s="10" t="str">
        <f>'4월'!B27</f>
        <v>LI-24009</v>
      </c>
      <c r="C652" s="12"/>
      <c r="D652" s="13">
        <f>'4월'!D27</f>
        <v>45748</v>
      </c>
      <c r="E652" s="155" t="str">
        <f>'4월'!E27</f>
        <v>한국아이씨에스</v>
      </c>
      <c r="F652" s="155" t="str">
        <f>'4월'!F27</f>
        <v>아이리스인포테크</v>
      </c>
      <c r="G652" s="156" t="str">
        <f>'4월'!G27</f>
        <v>MA</v>
      </c>
      <c r="H652" s="156" t="str">
        <f>'4월'!H27</f>
        <v>월간-IBM</v>
      </c>
      <c r="I652" s="69" t="str">
        <f>'4월'!I27</f>
        <v>프레이저플레이스 4월 유지정비료 - 9/12회</v>
      </c>
      <c r="J652" s="122">
        <f>'4월'!J27</f>
        <v>1</v>
      </c>
      <c r="K652" s="15">
        <f>'4월'!K27</f>
        <v>95200</v>
      </c>
      <c r="L652" s="16">
        <f>'4월'!L27</f>
        <v>95200</v>
      </c>
      <c r="M652" s="16">
        <f>'4월'!M27</f>
        <v>9520</v>
      </c>
      <c r="N652" s="15">
        <f>'4월'!N27</f>
        <v>104720</v>
      </c>
      <c r="O652" s="5" t="str">
        <f>'4월'!O27</f>
        <v>완료(5/30)</v>
      </c>
      <c r="P652" s="9" t="str">
        <f>'4월'!P27</f>
        <v>천범석</v>
      </c>
      <c r="Q652" s="5">
        <f>'4월'!Q27</f>
        <v>45716</v>
      </c>
      <c r="R652" s="209" t="str">
        <f>'4월'!R27</f>
        <v>매출분기</v>
      </c>
    </row>
    <row r="653" spans="1:20" ht="16.5" customHeight="1">
      <c r="A653" t="s">
        <v>64</v>
      </c>
      <c r="B653" s="10" t="str">
        <f>'4월'!B28</f>
        <v>LI-24004</v>
      </c>
      <c r="C653" s="12"/>
      <c r="D653" s="13">
        <f>'4월'!D28</f>
        <v>45748</v>
      </c>
      <c r="E653" s="155" t="str">
        <f>'4월'!E28</f>
        <v>한국아이씨에스</v>
      </c>
      <c r="F653" s="155" t="str">
        <f>'4월'!F28</f>
        <v>한국메탈</v>
      </c>
      <c r="G653" s="156" t="str">
        <f>'4월'!G28</f>
        <v>MA</v>
      </c>
      <c r="H653" s="156" t="str">
        <f>'4월'!H28</f>
        <v>월간-IBM</v>
      </c>
      <c r="I653" s="69" t="str">
        <f>'4월'!I28</f>
        <v>4월유지정비료 - 12/32회</v>
      </c>
      <c r="J653" s="122">
        <f>'4월'!J28</f>
        <v>1</v>
      </c>
      <c r="K653" s="15">
        <f>'4월'!K28</f>
        <v>316682</v>
      </c>
      <c r="L653" s="16">
        <f>'4월'!L28</f>
        <v>316682</v>
      </c>
      <c r="M653" s="15">
        <f>'4월'!M28</f>
        <v>31668</v>
      </c>
      <c r="N653" s="15">
        <f>'4월'!N28</f>
        <v>348350</v>
      </c>
      <c r="O653" s="5" t="str">
        <f>'4월'!O28</f>
        <v>완료(5/30)</v>
      </c>
      <c r="P653" s="9" t="str">
        <f>'4월'!P28</f>
        <v>천범석</v>
      </c>
      <c r="Q653" s="5">
        <f>'4월'!Q28</f>
        <v>45748</v>
      </c>
      <c r="R653" s="209"/>
    </row>
    <row r="654" spans="1:20" ht="16.5" customHeight="1">
      <c r="A654" t="s">
        <v>64</v>
      </c>
      <c r="B654" s="140" t="str">
        <f>'4월'!B29</f>
        <v>SB-24036</v>
      </c>
      <c r="C654" s="12"/>
      <c r="D654" s="13">
        <f>'4월'!D29</f>
        <v>45748</v>
      </c>
      <c r="E654" s="155" t="str">
        <f>'4월'!E29</f>
        <v>한국아이씨에스</v>
      </c>
      <c r="F654" s="155" t="str">
        <f>'4월'!F29</f>
        <v>나라정보</v>
      </c>
      <c r="G654" s="156" t="str">
        <f>'4월'!G29</f>
        <v>MA</v>
      </c>
      <c r="H654" s="156" t="str">
        <f>'4월'!H29</f>
        <v>월간-IBM</v>
      </c>
      <c r="I654" s="69" t="str">
        <f>'4월'!I29</f>
        <v>부국철강 4월 유지정비료 - 12/32 회</v>
      </c>
      <c r="J654" s="122">
        <f>'4월'!J29</f>
        <v>1</v>
      </c>
      <c r="K654" s="15">
        <f>'4월'!K29</f>
        <v>190849</v>
      </c>
      <c r="L654" s="16">
        <f>'4월'!L29</f>
        <v>190849</v>
      </c>
      <c r="M654" s="15">
        <f>'4월'!M29</f>
        <v>19084</v>
      </c>
      <c r="N654" s="15">
        <f>'4월'!N29</f>
        <v>209933</v>
      </c>
      <c r="O654" s="5" t="str">
        <f>'4월'!O29</f>
        <v>완료(5/30)</v>
      </c>
      <c r="P654" s="177" t="str">
        <f>'4월'!P29</f>
        <v>천범석</v>
      </c>
      <c r="Q654" s="5">
        <f>'4월'!Q29</f>
        <v>45777</v>
      </c>
      <c r="R654" s="209"/>
    </row>
    <row r="655" spans="1:20" ht="16.5" customHeight="1">
      <c r="A655" t="s">
        <v>64</v>
      </c>
      <c r="B655" s="10" t="str">
        <f>'4월'!B30</f>
        <v>LI-24006</v>
      </c>
      <c r="C655" s="139"/>
      <c r="D655" s="13">
        <f>'4월'!D30</f>
        <v>45748</v>
      </c>
      <c r="E655" s="155" t="str">
        <f>'4월'!E30</f>
        <v>한국아이씨에스</v>
      </c>
      <c r="F655" s="155" t="str">
        <f>'4월'!F30</f>
        <v>보해양조</v>
      </c>
      <c r="G655" s="156" t="str">
        <f>'4월'!G30</f>
        <v>MA</v>
      </c>
      <c r="H655" s="156" t="str">
        <f>'4월'!H30</f>
        <v>월간-IBM</v>
      </c>
      <c r="I655" s="69" t="str">
        <f>'4월'!I30</f>
        <v>4월 유지정비료 - 10/12회</v>
      </c>
      <c r="J655" s="122">
        <f>'4월'!J30</f>
        <v>1</v>
      </c>
      <c r="K655" s="15">
        <f>'4월'!K30</f>
        <v>142800</v>
      </c>
      <c r="L655" s="16">
        <f>'4월'!L30</f>
        <v>142800</v>
      </c>
      <c r="M655" s="15">
        <f>'4월'!M30</f>
        <v>14280</v>
      </c>
      <c r="N655" s="15">
        <f>'4월'!N30</f>
        <v>157080</v>
      </c>
      <c r="O655" s="5" t="str">
        <f>'4월'!O30</f>
        <v>완료(5/30)</v>
      </c>
      <c r="P655" s="174" t="str">
        <f>'4월'!P30</f>
        <v>천범석</v>
      </c>
      <c r="Q655" s="5">
        <f>'4월'!Q30</f>
        <v>45772</v>
      </c>
      <c r="R655" s="209"/>
    </row>
    <row r="656" spans="1:20" ht="16.5" customHeight="1">
      <c r="A656" t="s">
        <v>64</v>
      </c>
      <c r="B656" s="10" t="str">
        <f>'4월'!B31</f>
        <v>IK-22022</v>
      </c>
      <c r="C656" s="12"/>
      <c r="D656" s="13">
        <f>'4월'!D31</f>
        <v>45748</v>
      </c>
      <c r="E656" s="155" t="str">
        <f>'4월'!E31</f>
        <v>한국아이씨에스</v>
      </c>
      <c r="F656" s="155" t="str">
        <f>'4월'!F31</f>
        <v>리온아이티</v>
      </c>
      <c r="G656" s="156" t="str">
        <f>'4월'!G31</f>
        <v>MA</v>
      </c>
      <c r="H656" s="156" t="str">
        <f>'4월'!H31</f>
        <v>월간-IBM</v>
      </c>
      <c r="I656" s="69" t="str">
        <f>'4월'!I31</f>
        <v>한일전기 4월 유지정비료 - 28/36회</v>
      </c>
      <c r="J656" s="122">
        <f>'4월'!J31</f>
        <v>1</v>
      </c>
      <c r="K656" s="15">
        <f>'4월'!K31</f>
        <v>309047</v>
      </c>
      <c r="L656" s="16">
        <f>'4월'!L31</f>
        <v>309047</v>
      </c>
      <c r="M656" s="15">
        <f>'4월'!M31</f>
        <v>30904</v>
      </c>
      <c r="N656" s="15">
        <f>'4월'!N31</f>
        <v>339951</v>
      </c>
      <c r="O656" s="5" t="str">
        <f>'4월'!O31</f>
        <v>완료(5/30)</v>
      </c>
      <c r="P656" s="9" t="str">
        <f>'4월'!P31</f>
        <v>천범석</v>
      </c>
      <c r="Q656" s="5">
        <f>'4월'!Q31</f>
        <v>45748</v>
      </c>
      <c r="R656" s="209" t="str">
        <f>'4월'!R31</f>
        <v>매출분기</v>
      </c>
    </row>
    <row r="657" spans="1:19" ht="16.5" customHeight="1">
      <c r="A657" t="s">
        <v>64</v>
      </c>
      <c r="B657" s="10" t="str">
        <f>'4월'!B32</f>
        <v>IK-24013</v>
      </c>
      <c r="C657" s="12"/>
      <c r="D657" s="13">
        <f>'4월'!D32</f>
        <v>45748</v>
      </c>
      <c r="E657" s="155" t="str">
        <f>'4월'!E32</f>
        <v>한국아이씨에스</v>
      </c>
      <c r="F657" s="155" t="str">
        <f>'4월'!F32</f>
        <v>레드텍</v>
      </c>
      <c r="G657" s="156" t="str">
        <f>'4월'!G32</f>
        <v>MA</v>
      </c>
      <c r="H657" s="156" t="str">
        <f>'4월'!H32</f>
        <v>월간-IBM</v>
      </c>
      <c r="I657" s="69" t="str">
        <f>'4월'!I32</f>
        <v>대한상공회의소 4월 유지정비료 - 6/12회</v>
      </c>
      <c r="J657" s="122">
        <f>'4월'!J32</f>
        <v>1</v>
      </c>
      <c r="K657" s="15">
        <f>'4월'!K32</f>
        <v>145780</v>
      </c>
      <c r="L657" s="16">
        <f>'4월'!L32</f>
        <v>145780</v>
      </c>
      <c r="M657" s="16">
        <f>'4월'!M32</f>
        <v>14578</v>
      </c>
      <c r="N657" s="15">
        <f>'4월'!N32</f>
        <v>160358</v>
      </c>
      <c r="O657" s="5" t="str">
        <f>'4월'!O32</f>
        <v>완료(5/30)</v>
      </c>
      <c r="P657" s="9" t="str">
        <f>'4월'!P32</f>
        <v>천범석</v>
      </c>
      <c r="Q657" s="5">
        <f>'4월'!Q32</f>
        <v>45748</v>
      </c>
      <c r="R657" s="209"/>
    </row>
    <row r="658" spans="1:19" ht="16.5" customHeight="1">
      <c r="A658" t="s">
        <v>64</v>
      </c>
      <c r="B658" s="141" t="str">
        <f>'4월'!B33</f>
        <v>IK-22021</v>
      </c>
      <c r="C658" s="12"/>
      <c r="D658" s="13">
        <f>'4월'!D33</f>
        <v>45748</v>
      </c>
      <c r="E658" s="155" t="str">
        <f>'4월'!E33</f>
        <v>한국아이씨에스</v>
      </c>
      <c r="F658" s="155" t="str">
        <f>'4월'!F33</f>
        <v>리온아이티</v>
      </c>
      <c r="G658" s="156" t="str">
        <f>'4월'!G33</f>
        <v>MA</v>
      </c>
      <c r="H658" s="156" t="str">
        <f>'4월'!H33</f>
        <v>월간-IBM</v>
      </c>
      <c r="I658" s="69" t="str">
        <f>'4월'!I33</f>
        <v>문배철강 4월 유지정비료 - 25/36회</v>
      </c>
      <c r="J658" s="122">
        <f>'4월'!J33</f>
        <v>1</v>
      </c>
      <c r="K658" s="15">
        <f>'4월'!K33</f>
        <v>212293</v>
      </c>
      <c r="L658" s="15">
        <f>'4월'!L33</f>
        <v>212293</v>
      </c>
      <c r="M658" s="15">
        <f>'4월'!M33</f>
        <v>21229</v>
      </c>
      <c r="N658" s="15">
        <f>'4월'!N33</f>
        <v>233522</v>
      </c>
      <c r="O658" s="5" t="str">
        <f>'4월'!O33</f>
        <v>완료(5/30)</v>
      </c>
      <c r="P658" s="9" t="str">
        <f>'4월'!P33</f>
        <v>천범석</v>
      </c>
      <c r="Q658" s="5">
        <f>'4월'!Q33</f>
        <v>45777</v>
      </c>
      <c r="R658" s="209"/>
    </row>
    <row r="659" spans="1:19" ht="16.5" customHeight="1">
      <c r="A659" t="s">
        <v>64</v>
      </c>
      <c r="B659" s="10" t="str">
        <f>'4월'!B34</f>
        <v>LI-24006</v>
      </c>
      <c r="C659" s="12"/>
      <c r="D659" s="13">
        <f>'4월'!D34</f>
        <v>45748</v>
      </c>
      <c r="E659" s="155" t="str">
        <f>'4월'!E34</f>
        <v>한국아이씨에스</v>
      </c>
      <c r="F659" s="155" t="str">
        <f>'4월'!F34</f>
        <v>보해양조</v>
      </c>
      <c r="G659" s="156" t="str">
        <f>'4월'!G34</f>
        <v>MA</v>
      </c>
      <c r="H659" s="156" t="str">
        <f>'4월'!H34</f>
        <v>월간-IBM</v>
      </c>
      <c r="I659" s="69" t="str">
        <f>'4월'!I34</f>
        <v>4월 유지정비료 - 9/11회</v>
      </c>
      <c r="J659" s="122">
        <f>'4월'!J34</f>
        <v>1</v>
      </c>
      <c r="K659" s="15">
        <f>'4월'!K34</f>
        <v>277600</v>
      </c>
      <c r="L659" s="16">
        <f>'4월'!L34</f>
        <v>277600</v>
      </c>
      <c r="M659" s="16">
        <f>'4월'!M34</f>
        <v>27760</v>
      </c>
      <c r="N659" s="15">
        <f>'4월'!N34</f>
        <v>305360</v>
      </c>
      <c r="O659" s="5" t="str">
        <f>'4월'!O34</f>
        <v>완료(5/30)</v>
      </c>
      <c r="P659" s="174" t="str">
        <f>'4월'!P34</f>
        <v>천범석</v>
      </c>
      <c r="Q659" s="5">
        <f>'4월'!Q34</f>
        <v>45772</v>
      </c>
      <c r="R659" s="209"/>
    </row>
    <row r="660" spans="1:19" ht="16.5" customHeight="1">
      <c r="A660" t="s">
        <v>64</v>
      </c>
      <c r="B660" s="10" t="str">
        <f>'4월'!B35</f>
        <v>SM-24021</v>
      </c>
      <c r="C660" s="12"/>
      <c r="D660" s="13">
        <f>'4월'!D35</f>
        <v>45748</v>
      </c>
      <c r="E660" s="155" t="str">
        <f>'4월'!E35</f>
        <v>한국아이씨에스</v>
      </c>
      <c r="F660" s="155" t="str">
        <f>'4월'!F35</f>
        <v>에이캐피탈</v>
      </c>
      <c r="G660" s="156" t="str">
        <f>'4월'!G35</f>
        <v>MA</v>
      </c>
      <c r="H660" s="156" t="str">
        <f>'4월'!H35</f>
        <v>월간-IBM</v>
      </c>
      <c r="I660" s="69" t="str">
        <f>'4월'!I35</f>
        <v>4월 유지정비료 - 8/12회</v>
      </c>
      <c r="J660" s="122">
        <f>'4월'!J35</f>
        <v>1</v>
      </c>
      <c r="K660" s="15">
        <f>'4월'!K35</f>
        <v>691782</v>
      </c>
      <c r="L660" s="16">
        <f>'4월'!L35</f>
        <v>691782</v>
      </c>
      <c r="M660" s="16">
        <f>'4월'!M35</f>
        <v>69178</v>
      </c>
      <c r="N660" s="15">
        <f>'4월'!N35</f>
        <v>760960</v>
      </c>
      <c r="O660" s="5" t="str">
        <f>'4월'!O35</f>
        <v>완료(5/30)</v>
      </c>
      <c r="P660" s="9" t="str">
        <f>'4월'!P35</f>
        <v>천범석</v>
      </c>
      <c r="Q660" s="5">
        <f>'4월'!Q35</f>
        <v>45782</v>
      </c>
      <c r="R660" s="209"/>
    </row>
    <row r="661" spans="1:19" ht="16.5" customHeight="1">
      <c r="A661" t="s">
        <v>64</v>
      </c>
      <c r="B661" s="10" t="str">
        <f>'4월'!B36</f>
        <v>IK-24006</v>
      </c>
      <c r="C661" s="12"/>
      <c r="D661" s="13">
        <f>'4월'!D36</f>
        <v>45748</v>
      </c>
      <c r="E661" s="155" t="str">
        <f>'4월'!E36</f>
        <v>한국아이씨에스</v>
      </c>
      <c r="F661" s="155" t="str">
        <f>'4월'!F36</f>
        <v>광양항서부터미널</v>
      </c>
      <c r="G661" s="156" t="str">
        <f>'4월'!G36</f>
        <v>MA</v>
      </c>
      <c r="H661" s="156" t="str">
        <f>'4월'!H36</f>
        <v>월간-IBM</v>
      </c>
      <c r="I661" s="69" t="str">
        <f>'4월'!I36</f>
        <v>4월 유지정비료 - 12/24회</v>
      </c>
      <c r="J661" s="122">
        <f>'4월'!J36</f>
        <v>1</v>
      </c>
      <c r="K661" s="15">
        <f>'4월'!K36</f>
        <v>3239414</v>
      </c>
      <c r="L661" s="16">
        <f>'4월'!L36</f>
        <v>3239414</v>
      </c>
      <c r="M661" s="15">
        <f>'4월'!M36</f>
        <v>323941</v>
      </c>
      <c r="N661" s="15">
        <f>'4월'!N36</f>
        <v>3563355</v>
      </c>
      <c r="O661" s="5" t="str">
        <f>'4월'!O36</f>
        <v>완료(5/30)</v>
      </c>
      <c r="P661" s="9" t="str">
        <f>'4월'!P36</f>
        <v>홍승민</v>
      </c>
      <c r="Q661" s="5">
        <f>'4월'!Q36</f>
        <v>45777</v>
      </c>
      <c r="R661" s="209"/>
    </row>
    <row r="662" spans="1:19" ht="16.5" customHeight="1">
      <c r="A662" t="s">
        <v>64</v>
      </c>
      <c r="B662" s="10" t="str">
        <f>'4월'!B37</f>
        <v>D250402-02</v>
      </c>
      <c r="C662" s="12"/>
      <c r="D662" s="13">
        <f>'4월'!D37</f>
        <v>45749</v>
      </c>
      <c r="E662" s="155" t="str">
        <f>'4월'!E37</f>
        <v>컴퓨존</v>
      </c>
      <c r="F662" s="155" t="str">
        <f>'4월'!F37</f>
        <v>고영테크놀러지</v>
      </c>
      <c r="G662" s="156" t="str">
        <f>'4월'!G37</f>
        <v>상품</v>
      </c>
      <c r="H662" s="156" t="str">
        <f>'4월'!H37</f>
        <v>PC</v>
      </c>
      <c r="I662" s="69" t="str">
        <f>'4월'!I37</f>
        <v>조립 PC</v>
      </c>
      <c r="J662" s="122">
        <f>'4월'!J37</f>
        <v>1</v>
      </c>
      <c r="K662" s="15">
        <f>'4월'!K37</f>
        <v>1610999.9999999998</v>
      </c>
      <c r="L662" s="16">
        <f>'4월'!L37</f>
        <v>1610999.9999999998</v>
      </c>
      <c r="M662" s="16">
        <f>'4월'!M37</f>
        <v>161100</v>
      </c>
      <c r="N662" s="15">
        <f>'4월'!N37</f>
        <v>1772099.9999999998</v>
      </c>
      <c r="O662" s="5" t="str">
        <f>'4월'!O37</f>
        <v>완료(4/2)</v>
      </c>
      <c r="P662" s="9" t="str">
        <f>'4월'!P37</f>
        <v>이지훈</v>
      </c>
      <c r="Q662" s="5">
        <f>'4월'!Q37</f>
        <v>45761</v>
      </c>
      <c r="R662" s="213"/>
    </row>
    <row r="663" spans="1:19" ht="16.5" customHeight="1">
      <c r="A663" t="s">
        <v>64</v>
      </c>
      <c r="B663" s="10" t="str">
        <f>'4월'!B38</f>
        <v>S</v>
      </c>
      <c r="C663" s="12"/>
      <c r="D663" s="13">
        <f>'4월'!D38</f>
        <v>45750</v>
      </c>
      <c r="E663" s="155" t="str">
        <f>'4월'!E38</f>
        <v>로보츠</v>
      </c>
      <c r="F663" s="155" t="str">
        <f>'4월'!F38</f>
        <v>와이케이케이한국</v>
      </c>
      <c r="G663" s="156" t="str">
        <f>'4월'!G38</f>
        <v>상품</v>
      </c>
      <c r="H663" s="156" t="str">
        <f>'4월'!H38</f>
        <v>PC</v>
      </c>
      <c r="I663" s="69" t="str">
        <f>'4월'!I38</f>
        <v>[LG전자] 슬림타워 데스크탑 Z80LV.AP47B3E 외</v>
      </c>
      <c r="J663" s="122">
        <f>'4월'!J38</f>
        <v>1</v>
      </c>
      <c r="K663" s="15">
        <f>'4월'!K38</f>
        <v>2188000</v>
      </c>
      <c r="L663" s="16">
        <f>'4월'!L38</f>
        <v>2188000</v>
      </c>
      <c r="M663" s="16">
        <f>'4월'!M38</f>
        <v>218800</v>
      </c>
      <c r="N663" s="15">
        <f>'4월'!N38</f>
        <v>2406800</v>
      </c>
      <c r="O663" s="5" t="str">
        <f>'4월'!O38</f>
        <v>완료(5/30)</v>
      </c>
      <c r="P663" s="9" t="str">
        <f>'4월'!P38</f>
        <v>이예지</v>
      </c>
      <c r="Q663" s="5">
        <f>'4월'!Q38</f>
        <v>45750</v>
      </c>
      <c r="R663" s="213"/>
    </row>
    <row r="664" spans="1:19" ht="16.5" customHeight="1">
      <c r="A664" t="s">
        <v>64</v>
      </c>
      <c r="B664" s="10" t="str">
        <f>'4월'!B39</f>
        <v>Y250403-01</v>
      </c>
      <c r="C664" s="12"/>
      <c r="D664" s="13">
        <f>'4월'!D39</f>
        <v>45750</v>
      </c>
      <c r="E664" s="155" t="str">
        <f>'4월'!E39</f>
        <v>컴퓨존</v>
      </c>
      <c r="F664" s="155" t="str">
        <f>'4월'!F39</f>
        <v>라온피플</v>
      </c>
      <c r="G664" s="156" t="str">
        <f>'4월'!G39</f>
        <v>상품</v>
      </c>
      <c r="H664" s="156" t="str">
        <f>'4월'!H39</f>
        <v>PC</v>
      </c>
      <c r="I664" s="69" t="str">
        <f>'4월'!I39</f>
        <v>조립 PC</v>
      </c>
      <c r="J664" s="122">
        <f>'4월'!J39</f>
        <v>1</v>
      </c>
      <c r="K664" s="15">
        <f>'4월'!K39</f>
        <v>3332182</v>
      </c>
      <c r="L664" s="16">
        <f>'4월'!L39</f>
        <v>4438491</v>
      </c>
      <c r="M664" s="16">
        <f>'4월'!M39</f>
        <v>443849</v>
      </c>
      <c r="N664" s="15">
        <f>'4월'!N39</f>
        <v>4882340</v>
      </c>
      <c r="O664" s="5" t="str">
        <f>'4월'!O39</f>
        <v>완료(4/3)</v>
      </c>
      <c r="P664" s="9" t="str">
        <f>'4월'!P39</f>
        <v>홍승민</v>
      </c>
      <c r="Q664" s="5">
        <f>'4월'!Q39</f>
        <v>45768</v>
      </c>
      <c r="R664" s="213"/>
    </row>
    <row r="665" spans="1:19" ht="16.5" customHeight="1">
      <c r="A665" t="s">
        <v>64</v>
      </c>
      <c r="B665" s="10" t="str">
        <f>'4월'!B40</f>
        <v>Y250403-02</v>
      </c>
      <c r="C665" s="145"/>
      <c r="D665" s="65"/>
      <c r="E665" s="160" t="str">
        <f>'4월'!E40</f>
        <v>컴퓨존</v>
      </c>
      <c r="F665" s="160" t="str">
        <f>'4월'!F40</f>
        <v>라온피플</v>
      </c>
      <c r="G665" s="156" t="str">
        <f>'4월'!G40</f>
        <v>상품</v>
      </c>
      <c r="H665" s="156" t="str">
        <f>'4월'!H40</f>
        <v>POWER</v>
      </c>
      <c r="I665" s="69" t="str">
        <f>'4월'!I40</f>
        <v>[마이크로닉스] Classic II 1050W 80PLUS GOLD 230V 외</v>
      </c>
      <c r="J665" s="122">
        <f>'4월'!J40</f>
        <v>1</v>
      </c>
      <c r="K665" s="15">
        <f>'4월'!K40</f>
        <v>1106309.0909090908</v>
      </c>
      <c r="L665" s="125"/>
      <c r="M665" s="125"/>
      <c r="N665" s="126"/>
      <c r="O665" s="99"/>
      <c r="P665" s="99"/>
      <c r="Q665" s="99"/>
      <c r="R665" s="213"/>
    </row>
    <row r="666" spans="1:19" ht="16.5" customHeight="1">
      <c r="A666" t="s">
        <v>64</v>
      </c>
      <c r="B666" s="141" t="str">
        <f>'4월'!B41</f>
        <v>X</v>
      </c>
      <c r="C666" s="142"/>
      <c r="D666" s="13">
        <f>'4월'!D41</f>
        <v>45750</v>
      </c>
      <c r="E666" s="155" t="str">
        <f>'4월'!E41</f>
        <v>에스케이브로드밴드</v>
      </c>
      <c r="F666" s="155"/>
      <c r="G666" s="156" t="str">
        <f>'4월'!G41</f>
        <v>일반경비</v>
      </c>
      <c r="H666" s="156" t="str">
        <f>'4월'!H41</f>
        <v>통신비</v>
      </c>
      <c r="I666" s="159" t="str">
        <f>'4월'!I41</f>
        <v>통신료</v>
      </c>
      <c r="J666" s="124">
        <f>'4월'!J41</f>
        <v>1</v>
      </c>
      <c r="K666" s="16">
        <f>'4월'!K41</f>
        <v>13167</v>
      </c>
      <c r="L666" s="15">
        <f>'4월'!L41</f>
        <v>13167</v>
      </c>
      <c r="M666" s="15">
        <f>'4월'!M41</f>
        <v>1316</v>
      </c>
      <c r="N666" s="15">
        <f>'4월'!N41</f>
        <v>14483</v>
      </c>
      <c r="O666" s="5" t="str">
        <f>'4월'!O41</f>
        <v>자동이체(4/25)</v>
      </c>
      <c r="P666" s="175" t="str">
        <f>'4월'!P41</f>
        <v>정지우</v>
      </c>
      <c r="Q666" s="68" t="str">
        <f>'4월'!Q41</f>
        <v>X</v>
      </c>
      <c r="R666" s="209"/>
      <c r="S666" s="7"/>
    </row>
    <row r="667" spans="1:19" ht="16.5" customHeight="1">
      <c r="A667" t="s">
        <v>64</v>
      </c>
      <c r="B667" s="10" t="str">
        <f>'4월'!B42</f>
        <v>H250404-01</v>
      </c>
      <c r="C667" s="12"/>
      <c r="D667" s="13">
        <f>'4월'!D42</f>
        <v>45751</v>
      </c>
      <c r="E667" s="155" t="str">
        <f>'4월'!E42</f>
        <v>이비웨이브</v>
      </c>
      <c r="F667" s="155" t="str">
        <f>'4월'!F42</f>
        <v>티에스씨인포</v>
      </c>
      <c r="G667" s="156" t="str">
        <f>'4월'!G42</f>
        <v>상품</v>
      </c>
      <c r="H667" s="156" t="str">
        <f>'4월'!H42</f>
        <v>00E9961</v>
      </c>
      <c r="I667" s="69" t="str">
        <f>'4월'!I42</f>
        <v>IBM 1.2TB 10K SAS 6G</v>
      </c>
      <c r="J667" s="122">
        <f>'4월'!J42</f>
        <v>1</v>
      </c>
      <c r="K667" s="15">
        <f>'4월'!K42</f>
        <v>340000</v>
      </c>
      <c r="L667" s="16">
        <f>'4월'!L42</f>
        <v>340000</v>
      </c>
      <c r="M667" s="16">
        <f>'4월'!M42</f>
        <v>34000</v>
      </c>
      <c r="N667" s="15">
        <f>'4월'!N42</f>
        <v>374000</v>
      </c>
      <c r="O667" s="5" t="str">
        <f>'4월'!O42</f>
        <v>완료(6/30)</v>
      </c>
      <c r="P667" s="9" t="str">
        <f>'4월'!P42</f>
        <v>천범석</v>
      </c>
      <c r="Q667" s="5">
        <f>'4월'!Q42</f>
        <v>45777</v>
      </c>
      <c r="R667" s="209"/>
    </row>
    <row r="668" spans="1:19" ht="16.5" customHeight="1">
      <c r="A668" t="s">
        <v>64</v>
      </c>
      <c r="B668" s="10" t="str">
        <f>'4월'!B43</f>
        <v>H250404-01</v>
      </c>
      <c r="C668" s="12"/>
      <c r="D668" s="13">
        <f>'4월'!D43</f>
        <v>45751</v>
      </c>
      <c r="E668" s="155" t="str">
        <f>'4월'!E43</f>
        <v>이비웨이브</v>
      </c>
      <c r="F668" s="155" t="str">
        <f>'4월'!F43</f>
        <v>티에스씨인포</v>
      </c>
      <c r="G668" s="156" t="str">
        <f>'4월'!G43</f>
        <v>상품</v>
      </c>
      <c r="H668" s="156" t="str">
        <f>'4월'!H43</f>
        <v>00E9961</v>
      </c>
      <c r="I668" s="69" t="str">
        <f>'4월'!I43</f>
        <v>IBM 1.2TB 10K SAS 6G</v>
      </c>
      <c r="J668" s="122">
        <f>'4월'!J43</f>
        <v>1</v>
      </c>
      <c r="K668" s="15">
        <f>'4월'!K43</f>
        <v>340000</v>
      </c>
      <c r="L668" s="16">
        <f>'4월'!L43</f>
        <v>340000</v>
      </c>
      <c r="M668" s="16">
        <f>'4월'!M43</f>
        <v>34000</v>
      </c>
      <c r="N668" s="15">
        <f>'4월'!N43</f>
        <v>374000</v>
      </c>
      <c r="O668" s="5" t="str">
        <f>'4월'!O43</f>
        <v>완료(6/30)</v>
      </c>
      <c r="P668" s="9" t="str">
        <f>'4월'!P43</f>
        <v>천범석</v>
      </c>
      <c r="Q668" s="5">
        <f>'4월'!Q43</f>
        <v>45777</v>
      </c>
      <c r="R668" s="209"/>
    </row>
    <row r="669" spans="1:19" ht="16.5" customHeight="1">
      <c r="A669" t="s">
        <v>64</v>
      </c>
      <c r="B669" s="10" t="str">
        <f>'4월'!B44</f>
        <v>SM-24020</v>
      </c>
      <c r="C669" s="12"/>
      <c r="D669" s="13">
        <f>'4월'!D44</f>
        <v>45754</v>
      </c>
      <c r="E669" s="155" t="str">
        <f>'4월'!E44</f>
        <v>로보츠</v>
      </c>
      <c r="F669" s="155" t="str">
        <f>'4월'!F44</f>
        <v>와이케이케이한국</v>
      </c>
      <c r="G669" s="156" t="str">
        <f>'4월'!G44</f>
        <v>MA</v>
      </c>
      <c r="H669" s="156" t="str">
        <f>'4월'!H44</f>
        <v>월간</v>
      </c>
      <c r="I669" s="69" t="str">
        <f>'4월'!I44</f>
        <v>BoardSystem 유지보수 - 4월 (7/12회)</v>
      </c>
      <c r="J669" s="122">
        <f>'4월'!J44</f>
        <v>1</v>
      </c>
      <c r="K669" s="15">
        <f>'4월'!K44</f>
        <v>1060000</v>
      </c>
      <c r="L669" s="16">
        <f>'4월'!L44</f>
        <v>1060000</v>
      </c>
      <c r="M669" s="16">
        <f>'4월'!M44</f>
        <v>106000</v>
      </c>
      <c r="N669" s="15">
        <f>'4월'!N44</f>
        <v>1166000</v>
      </c>
      <c r="O669" s="5" t="str">
        <f>'4월'!O44</f>
        <v>완료(5/30)</v>
      </c>
      <c r="P669" s="9" t="str">
        <f>'4월'!P44</f>
        <v>이예지</v>
      </c>
      <c r="Q669" s="5">
        <f>'4월'!Q44</f>
        <v>45754</v>
      </c>
      <c r="R669" s="209"/>
    </row>
    <row r="670" spans="1:19" ht="16.5" customHeight="1">
      <c r="A670" t="s">
        <v>64</v>
      </c>
      <c r="B670" s="10" t="str">
        <f>'4월'!B45</f>
        <v>Y250403-01</v>
      </c>
      <c r="C670" s="12"/>
      <c r="D670" s="13">
        <f>'4월'!D45</f>
        <v>45754</v>
      </c>
      <c r="E670" s="155" t="str">
        <f>'4월'!E45</f>
        <v>컴퓨존</v>
      </c>
      <c r="F670" s="155" t="str">
        <f>'4월'!F45</f>
        <v>라온피플</v>
      </c>
      <c r="G670" s="156" t="str">
        <f>'4월'!G45</f>
        <v>상품</v>
      </c>
      <c r="H670" s="156" t="str">
        <f>'4월'!H45</f>
        <v>Case</v>
      </c>
      <c r="I670" s="69" t="str">
        <f>'4월'!I45</f>
        <v>[Antec]P20CE ELITE 6Fan 미들타워</v>
      </c>
      <c r="J670" s="122">
        <f>'4월'!J45</f>
        <v>1</v>
      </c>
      <c r="K670" s="15">
        <f>'4월'!K45</f>
        <v>100427</v>
      </c>
      <c r="L670" s="16">
        <f>'4월'!L45</f>
        <v>100427</v>
      </c>
      <c r="M670" s="16">
        <f>'4월'!M45</f>
        <v>10043</v>
      </c>
      <c r="N670" s="15">
        <f>'4월'!N45</f>
        <v>110470</v>
      </c>
      <c r="O670" s="5" t="str">
        <f>'4월'!O45</f>
        <v>포인트구매</v>
      </c>
      <c r="P670" s="9" t="str">
        <f>'4월'!P45</f>
        <v>홍승민</v>
      </c>
      <c r="Q670" s="5">
        <f>'4월'!Q45</f>
        <v>45768</v>
      </c>
      <c r="R670" s="209"/>
    </row>
    <row r="671" spans="1:19" ht="16.5" customHeight="1">
      <c r="A671" t="s">
        <v>64</v>
      </c>
      <c r="B671" s="10" t="str">
        <f>'4월'!B46</f>
        <v>S</v>
      </c>
      <c r="C671" s="12"/>
      <c r="D671" s="13">
        <f>'4월'!D46</f>
        <v>45755</v>
      </c>
      <c r="E671" s="155" t="str">
        <f>'4월'!E46</f>
        <v>아이티타워부동산중개법인</v>
      </c>
      <c r="F671" s="155"/>
      <c r="G671" s="156" t="str">
        <f>'4월'!G46</f>
        <v>일반경비</v>
      </c>
      <c r="H671" s="156" t="str">
        <f>'4월'!H46</f>
        <v>지급수수료</v>
      </c>
      <c r="I671" s="69" t="str">
        <f>'4월'!I46</f>
        <v>광명자이1811호 중개수수료</v>
      </c>
      <c r="J671" s="122">
        <f>'4월'!J46</f>
        <v>1</v>
      </c>
      <c r="K671" s="15">
        <f>'4월'!K46</f>
        <v>500000</v>
      </c>
      <c r="L671" s="16">
        <f>'4월'!L46</f>
        <v>500000</v>
      </c>
      <c r="M671" s="16">
        <f>'4월'!M46</f>
        <v>50000</v>
      </c>
      <c r="N671" s="15">
        <f>'4월'!N46</f>
        <v>550000</v>
      </c>
      <c r="O671" s="5" t="str">
        <f>'4월'!O46</f>
        <v>완료(4/8)</v>
      </c>
      <c r="P671" s="9" t="str">
        <f>'4월'!P46</f>
        <v>이예지</v>
      </c>
      <c r="Q671" s="5" t="str">
        <f>'4월'!Q46</f>
        <v>X</v>
      </c>
      <c r="R671" s="213"/>
    </row>
    <row r="672" spans="1:19" ht="16.5" customHeight="1">
      <c r="A672" t="s">
        <v>64</v>
      </c>
      <c r="B672" s="10" t="str">
        <f>'4월'!B47</f>
        <v>Y250409-01</v>
      </c>
      <c r="C672" s="12"/>
      <c r="D672" s="13">
        <f>'4월'!D47</f>
        <v>45756</v>
      </c>
      <c r="E672" s="155" t="str">
        <f>'4월'!E47</f>
        <v>컴퓨존</v>
      </c>
      <c r="F672" s="155" t="str">
        <f>'4월'!F47</f>
        <v>현성솔루션</v>
      </c>
      <c r="G672" s="156" t="str">
        <f>'4월'!G47</f>
        <v>상품</v>
      </c>
      <c r="H672" s="156" t="str">
        <f>'4월'!H47</f>
        <v>SSD</v>
      </c>
      <c r="I672" s="69" t="str">
        <f>'4월'!I47</f>
        <v xml:space="preserve">500GB 2.5" SATA SSD </v>
      </c>
      <c r="J672" s="122">
        <f>'4월'!J47</f>
        <v>6</v>
      </c>
      <c r="K672" s="15">
        <f>'4월'!K47</f>
        <v>68181.8</v>
      </c>
      <c r="L672" s="16">
        <f>'4월'!L47</f>
        <v>1714418</v>
      </c>
      <c r="M672" s="16">
        <f>'4월'!M47</f>
        <v>171442</v>
      </c>
      <c r="N672" s="15">
        <f>'4월'!N47</f>
        <v>1885860</v>
      </c>
      <c r="O672" s="5" t="str">
        <f>'4월'!O47</f>
        <v>완료(4/9)</v>
      </c>
      <c r="P672" s="9" t="str">
        <f>'4월'!P47</f>
        <v>홍승민</v>
      </c>
      <c r="Q672" s="5">
        <f>'4월'!Q47</f>
        <v>45776</v>
      </c>
      <c r="R672" s="213"/>
    </row>
    <row r="673" spans="1:21" ht="16.5" customHeight="1">
      <c r="A673" t="s">
        <v>64</v>
      </c>
      <c r="B673" s="147"/>
      <c r="C673" s="145"/>
      <c r="D673" s="65"/>
      <c r="E673" s="160" t="str">
        <f>'4월'!E48</f>
        <v>컴퓨존</v>
      </c>
      <c r="F673" s="160" t="str">
        <f>'4월'!F48</f>
        <v>현성솔루션</v>
      </c>
      <c r="G673" s="156" t="str">
        <f>'4월'!G48</f>
        <v>상품</v>
      </c>
      <c r="H673" s="156" t="str">
        <f>'4월'!H48</f>
        <v>SSD</v>
      </c>
      <c r="I673" s="69" t="str">
        <f>'4월'!I48</f>
        <v xml:space="preserve">2TB 2.5" SATA SSD </v>
      </c>
      <c r="J673" s="122">
        <f>'4월'!J48</f>
        <v>6</v>
      </c>
      <c r="K673" s="15">
        <f>'4월'!K48</f>
        <v>217554.5</v>
      </c>
      <c r="L673" s="125"/>
      <c r="M673" s="125"/>
      <c r="N673" s="126"/>
      <c r="O673" s="99"/>
      <c r="P673" s="176"/>
      <c r="Q673" s="99"/>
      <c r="R673" s="213"/>
    </row>
    <row r="674" spans="1:21" ht="16.5" customHeight="1">
      <c r="A674" t="s">
        <v>64</v>
      </c>
      <c r="B674" s="10" t="str">
        <f>'4월'!B49</f>
        <v>H250409-01</v>
      </c>
      <c r="C674" s="12"/>
      <c r="D674" s="13">
        <f>'4월'!D49</f>
        <v>45756</v>
      </c>
      <c r="E674" s="155" t="str">
        <f>'4월'!E49</f>
        <v>이비웨이브</v>
      </c>
      <c r="F674" s="155" t="str">
        <f>'4월'!F49</f>
        <v>티에스씨인포</v>
      </c>
      <c r="G674" s="156" t="str">
        <f>'4월'!G49</f>
        <v>상품</v>
      </c>
      <c r="H674" s="156" t="str">
        <f>'4월'!H49</f>
        <v xml:space="preserve">44V3454 </v>
      </c>
      <c r="I674" s="69" t="str">
        <f>'4월'!I49</f>
        <v>Fan for P6 550/P750</v>
      </c>
      <c r="J674" s="122">
        <f>'4월'!J49</f>
        <v>4</v>
      </c>
      <c r="K674" s="15">
        <f>'4월'!K49</f>
        <v>90000</v>
      </c>
      <c r="L674" s="16">
        <f>'4월'!L49</f>
        <v>360000</v>
      </c>
      <c r="M674" s="16">
        <f>'4월'!M49</f>
        <v>36000</v>
      </c>
      <c r="N674" s="15">
        <f>'4월'!N49</f>
        <v>396000</v>
      </c>
      <c r="O674" s="5" t="str">
        <f>'4월'!O49</f>
        <v>완료(6/30)</v>
      </c>
      <c r="P674" s="9" t="str">
        <f>'4월'!P49</f>
        <v>천범석</v>
      </c>
      <c r="Q674" s="5">
        <f>'4월'!Q49</f>
        <v>45777</v>
      </c>
      <c r="R674" s="209"/>
    </row>
    <row r="675" spans="1:21" ht="16.5" customHeight="1">
      <c r="A675" t="s">
        <v>64</v>
      </c>
      <c r="B675" s="10" t="str">
        <f>'4월'!B50</f>
        <v>SM-23012</v>
      </c>
      <c r="C675" s="12"/>
      <c r="D675" s="13">
        <f>'4월'!D50</f>
        <v>45757</v>
      </c>
      <c r="E675" s="155" t="str">
        <f>'4월'!E50</f>
        <v>엘림넷</v>
      </c>
      <c r="F675" s="155" t="str">
        <f>'4월'!F50</f>
        <v>택스홈앤아웃 본사</v>
      </c>
      <c r="G675" s="156" t="str">
        <f>'4월'!G50</f>
        <v>MA</v>
      </c>
      <c r="H675" s="156" t="str">
        <f>'4월'!H50</f>
        <v>월간</v>
      </c>
      <c r="I675" s="69" t="str">
        <f>'4월'!I50</f>
        <v>전용회선료 외 1건</v>
      </c>
      <c r="J675" s="122">
        <f>'4월'!J50</f>
        <v>1</v>
      </c>
      <c r="K675" s="15">
        <f>'4월'!K50</f>
        <v>213400</v>
      </c>
      <c r="L675" s="16">
        <f>'4월'!L50</f>
        <v>213400</v>
      </c>
      <c r="M675" s="16">
        <f>'4월'!M50</f>
        <v>21340</v>
      </c>
      <c r="N675" s="15">
        <f>'4월'!N50</f>
        <v>234740</v>
      </c>
      <c r="O675" s="5" t="str">
        <f>'4월'!O50</f>
        <v>완료(4/26법카)</v>
      </c>
      <c r="P675" s="9" t="str">
        <f>'4월'!P50</f>
        <v>이예지</v>
      </c>
      <c r="Q675" s="5">
        <f>'4월'!Q50</f>
        <v>45748</v>
      </c>
      <c r="R675" s="209"/>
    </row>
    <row r="676" spans="1:21" ht="16.5" customHeight="1">
      <c r="A676" t="s">
        <v>64</v>
      </c>
      <c r="B676" s="10" t="str">
        <f>'4월'!B51</f>
        <v>SM-23013</v>
      </c>
      <c r="C676" s="12"/>
      <c r="D676" s="13">
        <f>'4월'!D51</f>
        <v>45757</v>
      </c>
      <c r="E676" s="155" t="str">
        <f>'4월'!E51</f>
        <v>엘림넷</v>
      </c>
      <c r="F676" s="155" t="str">
        <f>'4월'!F51</f>
        <v>하이엔드택스 강남지점(압구정)</v>
      </c>
      <c r="G676" s="156" t="str">
        <f>'4월'!G51</f>
        <v>MA</v>
      </c>
      <c r="H676" s="156" t="str">
        <f>'4월'!H51</f>
        <v>월간</v>
      </c>
      <c r="I676" s="69" t="str">
        <f>'4월'!I51</f>
        <v>e-NETner 외 1건</v>
      </c>
      <c r="J676" s="122">
        <f>'4월'!J51</f>
        <v>1</v>
      </c>
      <c r="K676" s="15">
        <f>'4월'!K51</f>
        <v>77600</v>
      </c>
      <c r="L676" s="16">
        <f>'4월'!L51</f>
        <v>77600</v>
      </c>
      <c r="M676" s="16">
        <f>'4월'!M51</f>
        <v>7760</v>
      </c>
      <c r="N676" s="15">
        <f>'4월'!N51</f>
        <v>85360</v>
      </c>
      <c r="O676" s="5" t="str">
        <f>'4월'!O51</f>
        <v>완료(4/26법카)</v>
      </c>
      <c r="P676" s="9" t="str">
        <f>'4월'!P51</f>
        <v>이예지</v>
      </c>
      <c r="Q676" s="5">
        <f>'4월'!Q51</f>
        <v>45748</v>
      </c>
      <c r="R676" s="209"/>
    </row>
    <row r="677" spans="1:21" ht="16.5" customHeight="1">
      <c r="A677" t="s">
        <v>64</v>
      </c>
      <c r="B677" s="10" t="str">
        <f>'4월'!B52</f>
        <v>SM-23012</v>
      </c>
      <c r="C677" s="12"/>
      <c r="D677" s="13">
        <f>'4월'!D52</f>
        <v>45757</v>
      </c>
      <c r="E677" s="155" t="str">
        <f>'4월'!E52</f>
        <v>엘림넷</v>
      </c>
      <c r="F677" s="155" t="str">
        <f>'4월'!F52</f>
        <v>택스홈앤아웃 본사</v>
      </c>
      <c r="G677" s="156" t="str">
        <f>'4월'!G52</f>
        <v>MA</v>
      </c>
      <c r="H677" s="156" t="str">
        <f>'4월'!H52</f>
        <v>월간</v>
      </c>
      <c r="I677" s="69" t="str">
        <f>'4월'!I52</f>
        <v>e-NETner 외 1건</v>
      </c>
      <c r="J677" s="122">
        <f>'4월'!J52</f>
        <v>1</v>
      </c>
      <c r="K677" s="15">
        <f>'4월'!K52</f>
        <v>155200</v>
      </c>
      <c r="L677" s="16">
        <f>'4월'!L52</f>
        <v>155200</v>
      </c>
      <c r="M677" s="16">
        <f>'4월'!M52</f>
        <v>15520</v>
      </c>
      <c r="N677" s="15">
        <f>'4월'!N52</f>
        <v>170720</v>
      </c>
      <c r="O677" s="5" t="str">
        <f>'4월'!O52</f>
        <v>완료(4/26법카)</v>
      </c>
      <c r="P677" s="9" t="str">
        <f>'4월'!P52</f>
        <v>이예지</v>
      </c>
      <c r="Q677" s="5">
        <f>'4월'!Q52</f>
        <v>45748</v>
      </c>
      <c r="R677" s="209"/>
    </row>
    <row r="678" spans="1:21" ht="16.5" customHeight="1">
      <c r="A678" t="s">
        <v>64</v>
      </c>
      <c r="B678" s="10" t="str">
        <f>'4월'!B53</f>
        <v>SM-23013</v>
      </c>
      <c r="C678" s="12"/>
      <c r="D678" s="13">
        <f>'4월'!D53</f>
        <v>45757</v>
      </c>
      <c r="E678" s="155" t="str">
        <f>'4월'!E53</f>
        <v>엘림넷</v>
      </c>
      <c r="F678" s="155" t="str">
        <f>'4월'!F53</f>
        <v>하이엔드택스 강남지점(압구정)</v>
      </c>
      <c r="G678" s="156" t="str">
        <f>'4월'!G53</f>
        <v>MA</v>
      </c>
      <c r="H678" s="156" t="str">
        <f>'4월'!H53</f>
        <v>월간</v>
      </c>
      <c r="I678" s="69" t="str">
        <f>'4월'!I53</f>
        <v>전용회선료 외 1건</v>
      </c>
      <c r="J678" s="122">
        <f>'4월'!J53</f>
        <v>1</v>
      </c>
      <c r="K678" s="15">
        <f>'4월'!K53</f>
        <v>145500</v>
      </c>
      <c r="L678" s="16">
        <f>'4월'!L53</f>
        <v>145500</v>
      </c>
      <c r="M678" s="16">
        <f>'4월'!M53</f>
        <v>14550</v>
      </c>
      <c r="N678" s="15">
        <f>'4월'!N53</f>
        <v>160050</v>
      </c>
      <c r="O678" s="5" t="str">
        <f>'4월'!O53</f>
        <v>완료(4/26법카)</v>
      </c>
      <c r="P678" s="9" t="str">
        <f>'4월'!P53</f>
        <v>이예지</v>
      </c>
      <c r="Q678" s="5">
        <f>'4월'!Q53</f>
        <v>45748</v>
      </c>
      <c r="R678" s="209"/>
    </row>
    <row r="679" spans="1:21" ht="16.5" customHeight="1">
      <c r="A679" t="s">
        <v>64</v>
      </c>
      <c r="B679" s="10" t="str">
        <f>'4월'!B54</f>
        <v>D250402-01</v>
      </c>
      <c r="C679" s="12"/>
      <c r="D679" s="13">
        <f>'4월'!D54</f>
        <v>45757</v>
      </c>
      <c r="E679" s="155" t="str">
        <f>'4월'!E54</f>
        <v>디지알코리아</v>
      </c>
      <c r="F679" s="155" t="str">
        <f>'4월'!F54</f>
        <v>동원프라스틱</v>
      </c>
      <c r="G679" s="156" t="str">
        <f>'4월'!G54</f>
        <v>상품</v>
      </c>
      <c r="H679" s="156" t="str">
        <f>'4월'!H54</f>
        <v>알약</v>
      </c>
      <c r="I679" s="69" t="str">
        <f>'4월'!I54</f>
        <v>알약 5.1 서버</v>
      </c>
      <c r="J679" s="122">
        <f>'4월'!J54</f>
        <v>1</v>
      </c>
      <c r="K679" s="15">
        <f>'4월'!K54</f>
        <v>310000</v>
      </c>
      <c r="L679" s="16">
        <f>'4월'!L54</f>
        <v>310000</v>
      </c>
      <c r="M679" s="16">
        <f>'4월'!M54</f>
        <v>31000</v>
      </c>
      <c r="N679" s="15">
        <f>'4월'!N54</f>
        <v>341000</v>
      </c>
      <c r="O679" s="5" t="str">
        <f>'4월'!O54</f>
        <v>완료(5/30)</v>
      </c>
      <c r="P679" s="9" t="str">
        <f>'4월'!P54</f>
        <v>이지훈</v>
      </c>
      <c r="Q679" s="5">
        <f>'4월'!Q54</f>
        <v>45750</v>
      </c>
      <c r="R679" s="213"/>
    </row>
    <row r="680" spans="1:21" ht="16.5" customHeight="1">
      <c r="A680" t="s">
        <v>64</v>
      </c>
      <c r="B680" s="143" t="str">
        <f>'4월'!B55</f>
        <v>SM-20017</v>
      </c>
      <c r="C680" s="144"/>
      <c r="D680" s="13">
        <f>'4월'!D55</f>
        <v>45762</v>
      </c>
      <c r="E680" s="161" t="str">
        <f>'4월'!E55</f>
        <v>에스엔에이</v>
      </c>
      <c r="F680" s="155" t="str">
        <f>'4월'!F55</f>
        <v>해안종합건축사사무소</v>
      </c>
      <c r="G680" s="156" t="str">
        <f>'4월'!G55</f>
        <v>MA</v>
      </c>
      <c r="H680" s="156" t="str">
        <f>'4월'!H55</f>
        <v>기술지원</v>
      </c>
      <c r="I680" s="69" t="str">
        <f>'4월'!I55</f>
        <v>HP 1630 유지보수 4월 - 11/12회</v>
      </c>
      <c r="J680" s="122">
        <f>'4월'!J55</f>
        <v>1</v>
      </c>
      <c r="K680" s="15">
        <f>'4월'!K55</f>
        <v>200000</v>
      </c>
      <c r="L680" s="15">
        <f>'4월'!L55</f>
        <v>200000</v>
      </c>
      <c r="M680" s="16">
        <f>'4월'!M55</f>
        <v>20000</v>
      </c>
      <c r="N680" s="15">
        <f>'4월'!N55</f>
        <v>220000</v>
      </c>
      <c r="O680" s="5" t="str">
        <f>'4월'!O55</f>
        <v>완료(6/30)</v>
      </c>
      <c r="P680" s="9" t="str">
        <f>'4월'!P55</f>
        <v>천범석</v>
      </c>
      <c r="Q680" s="5">
        <f>'4월'!Q55</f>
        <v>45748</v>
      </c>
      <c r="R680" s="210"/>
      <c r="S680" s="7"/>
      <c r="T680" s="7"/>
      <c r="U680" s="11"/>
    </row>
    <row r="681" spans="1:21" ht="16.5" customHeight="1">
      <c r="A681" t="s">
        <v>64</v>
      </c>
      <c r="B681" s="10" t="str">
        <f>'4월'!B56</f>
        <v>X</v>
      </c>
      <c r="C681" s="12"/>
      <c r="D681" s="13">
        <f>'4월'!D56</f>
        <v>45762</v>
      </c>
      <c r="E681" s="155" t="str">
        <f>'4월'!E56</f>
        <v>광명역자이타워관리단</v>
      </c>
      <c r="F681" s="155" t="str">
        <f>'4월'!F56</f>
        <v>광명자이 A1811호</v>
      </c>
      <c r="G681" s="156" t="str">
        <f>'4월'!G56</f>
        <v>일반경비</v>
      </c>
      <c r="H681" s="156" t="str">
        <f>'4월'!H56</f>
        <v>건물관리</v>
      </c>
      <c r="I681" s="69" t="str">
        <f>'4월'!I56</f>
        <v>3월분관리비 과세분</v>
      </c>
      <c r="J681" s="122">
        <f>'4월'!J56</f>
        <v>1</v>
      </c>
      <c r="K681" s="15">
        <f>'4월'!K56</f>
        <v>116310</v>
      </c>
      <c r="L681" s="16">
        <f>'4월'!L56</f>
        <v>116310</v>
      </c>
      <c r="M681" s="16">
        <f>'4월'!M56</f>
        <v>11630</v>
      </c>
      <c r="N681" s="15">
        <f>'4월'!N56</f>
        <v>127940</v>
      </c>
      <c r="O681" s="5" t="str">
        <f>'4월'!O56</f>
        <v>완료(4/30)</v>
      </c>
      <c r="P681" s="9" t="str">
        <f>'4월'!P56</f>
        <v>정지우</v>
      </c>
      <c r="Q681" s="5" t="str">
        <f>'4월'!Q56</f>
        <v>X</v>
      </c>
      <c r="R681" s="213"/>
    </row>
    <row r="682" spans="1:21" ht="16.5" customHeight="1">
      <c r="A682" t="s">
        <v>64</v>
      </c>
      <c r="B682" s="10" t="str">
        <f>'4월'!B57</f>
        <v>X</v>
      </c>
      <c r="C682" s="12"/>
      <c r="D682" s="13">
        <f>'4월'!D57</f>
        <v>45762</v>
      </c>
      <c r="E682" s="155" t="str">
        <f>'4월'!E57</f>
        <v>광명역자이타워관리단</v>
      </c>
      <c r="F682" s="155" t="str">
        <f>'4월'!F57</f>
        <v>광명자이 A1811호</v>
      </c>
      <c r="G682" s="156" t="str">
        <f>'4월'!G57</f>
        <v>일반경비</v>
      </c>
      <c r="H682" s="156" t="str">
        <f>'4월'!H57</f>
        <v>건물관리</v>
      </c>
      <c r="I682" s="69" t="str">
        <f>'4월'!I57</f>
        <v>3월분관리비 면세분</v>
      </c>
      <c r="J682" s="122">
        <f>'4월'!J57</f>
        <v>1</v>
      </c>
      <c r="K682" s="15">
        <f>'4월'!K57</f>
        <v>12580</v>
      </c>
      <c r="L682" s="16">
        <f>'4월'!L57</f>
        <v>12580</v>
      </c>
      <c r="M682" s="16" t="str">
        <f>'4월'!M57</f>
        <v>X</v>
      </c>
      <c r="N682" s="15">
        <f>'4월'!N57</f>
        <v>12580</v>
      </c>
      <c r="O682" s="5" t="str">
        <f>'4월'!O57</f>
        <v>완료(4/30)</v>
      </c>
      <c r="P682" s="9" t="str">
        <f>'4월'!P57</f>
        <v>정지우</v>
      </c>
      <c r="Q682" s="5" t="str">
        <f>'4월'!Q57</f>
        <v>X</v>
      </c>
      <c r="R682" s="209" t="str">
        <f>'4월'!R57</f>
        <v>비과세</v>
      </c>
    </row>
    <row r="683" spans="1:21" ht="16.5" customHeight="1">
      <c r="A683" t="s">
        <v>64</v>
      </c>
      <c r="B683" s="10" t="str">
        <f>'4월'!B58</f>
        <v>X</v>
      </c>
      <c r="C683" s="12"/>
      <c r="D683" s="13">
        <f>'4월'!D58</f>
        <v>45763</v>
      </c>
      <c r="E683" s="155" t="str">
        <f>'4월'!E58</f>
        <v>한국이러닝인재개발원</v>
      </c>
      <c r="F683" s="155"/>
      <c r="G683" s="156" t="str">
        <f>'4월'!G58</f>
        <v>일반경비</v>
      </c>
      <c r="H683" s="156" t="str">
        <f>'4월'!H58</f>
        <v>교육비</v>
      </c>
      <c r="I683" s="69" t="str">
        <f>'4월'!I58</f>
        <v>법정의무교육 2025년</v>
      </c>
      <c r="J683" s="124">
        <f>'4월'!J58</f>
        <v>1</v>
      </c>
      <c r="K683" s="15">
        <f>'4월'!K58</f>
        <v>295000</v>
      </c>
      <c r="L683" s="16">
        <f>'4월'!L58</f>
        <v>295000</v>
      </c>
      <c r="M683" s="16" t="str">
        <f>'4월'!M58</f>
        <v>X</v>
      </c>
      <c r="N683" s="15">
        <f>'4월'!N58</f>
        <v>295000</v>
      </c>
      <c r="O683" s="5" t="str">
        <f>'4월'!O58</f>
        <v>완료(4/30)</v>
      </c>
      <c r="P683" s="9" t="str">
        <f>'4월'!P58</f>
        <v>정지우</v>
      </c>
      <c r="Q683" s="5" t="str">
        <f>'4월'!Q58</f>
        <v>X</v>
      </c>
      <c r="R683" s="209"/>
    </row>
    <row r="684" spans="1:21" ht="16.5" customHeight="1">
      <c r="A684" t="s">
        <v>64</v>
      </c>
      <c r="B684" s="10" t="str">
        <f>'4월'!B59</f>
        <v>D250418-01</v>
      </c>
      <c r="C684" s="12"/>
      <c r="D684" s="13">
        <f>'4월'!D59</f>
        <v>45763</v>
      </c>
      <c r="E684" s="155" t="str">
        <f>'4월'!E59</f>
        <v>이비웨이브</v>
      </c>
      <c r="F684" s="155" t="str">
        <f>'4월'!F59</f>
        <v>현성솔루션</v>
      </c>
      <c r="G684" s="156" t="str">
        <f>'4월'!G59</f>
        <v>상품</v>
      </c>
      <c r="H684" s="156" t="str">
        <f>'4월'!H59</f>
        <v>00TKYT</v>
      </c>
      <c r="I684" s="69" t="str">
        <f>'4월'!I59</f>
        <v>Dell 2U 슬라이딩 레일킷</v>
      </c>
      <c r="J684" s="122">
        <f>'4월'!J59</f>
        <v>2</v>
      </c>
      <c r="K684" s="15">
        <f>'4월'!K59</f>
        <v>100000</v>
      </c>
      <c r="L684" s="16">
        <f>'4월'!L59</f>
        <v>200000</v>
      </c>
      <c r="M684" s="16">
        <f>'4월'!M59</f>
        <v>20000</v>
      </c>
      <c r="N684" s="15">
        <f>'4월'!N59</f>
        <v>220000</v>
      </c>
      <c r="O684" s="5" t="str">
        <f>'4월'!O59</f>
        <v>완료(6/30)</v>
      </c>
      <c r="P684" s="9" t="str">
        <f>'4월'!P59</f>
        <v>이지훈</v>
      </c>
      <c r="Q684" s="5">
        <f>'4월'!Q59</f>
        <v>45777</v>
      </c>
      <c r="R684" s="209"/>
    </row>
    <row r="685" spans="1:21" ht="16.5" customHeight="1">
      <c r="A685" t="s">
        <v>64</v>
      </c>
      <c r="B685" s="10" t="str">
        <f>'4월'!B60</f>
        <v>H250421-01</v>
      </c>
      <c r="C685" s="12"/>
      <c r="D685" s="13">
        <f>'4월'!D60</f>
        <v>45764</v>
      </c>
      <c r="E685" s="155" t="str">
        <f>'4월'!E60</f>
        <v>이비웨이브</v>
      </c>
      <c r="F685" s="155" t="str">
        <f>'4월'!F60</f>
        <v>케이엠디엠</v>
      </c>
      <c r="G685" s="156" t="str">
        <f>'4월'!G60</f>
        <v>장비임대</v>
      </c>
      <c r="H685" s="156" t="str">
        <f>'4월'!H60</f>
        <v>장비임대</v>
      </c>
      <c r="I685" s="69" t="str">
        <f>'4월'!I60</f>
        <v>HP DL380G10 Server 임대(04/18-05/17)</v>
      </c>
      <c r="J685" s="122">
        <f>'4월'!J60</f>
        <v>1</v>
      </c>
      <c r="K685" s="15">
        <f>'4월'!K60</f>
        <v>930000</v>
      </c>
      <c r="L685" s="16">
        <f>'4월'!L60</f>
        <v>930000</v>
      </c>
      <c r="M685" s="16">
        <f>'4월'!M60</f>
        <v>93000</v>
      </c>
      <c r="N685" s="15">
        <f>'4월'!N60</f>
        <v>1023000</v>
      </c>
      <c r="O685" s="5" t="str">
        <f>'4월'!O60</f>
        <v>완료(6/30)</v>
      </c>
      <c r="P685" s="9" t="str">
        <f>'4월'!P60</f>
        <v>천범석</v>
      </c>
      <c r="Q685" s="5">
        <f>'4월'!Q60</f>
        <v>45768</v>
      </c>
      <c r="R685" s="209"/>
    </row>
    <row r="686" spans="1:21" ht="84" customHeight="1">
      <c r="A686" t="s">
        <v>64</v>
      </c>
      <c r="B686" s="146" t="str">
        <f>'4월'!B61</f>
        <v>X</v>
      </c>
      <c r="C686" s="12"/>
      <c r="D686" s="13">
        <f>'4월'!D61</f>
        <v>45768</v>
      </c>
      <c r="E686" s="155" t="str">
        <f>'4월'!E61</f>
        <v>아이엠캐피탈</v>
      </c>
      <c r="F686" s="155"/>
      <c r="G686" s="156" t="str">
        <f>'4월'!G61</f>
        <v>일반경비</v>
      </c>
      <c r="H686" s="156" t="str">
        <f>'4월'!H61</f>
        <v>차량유지비</v>
      </c>
      <c r="I686" s="162" t="str">
        <f>'4월'!I61</f>
        <v>법인차량(262무2108) 리스료898,500
선납렌탈료 551,270 -35/37회차</v>
      </c>
      <c r="J686" s="122">
        <f>'4월'!J61</f>
        <v>1</v>
      </c>
      <c r="K686" s="15">
        <f>'4월'!K61</f>
        <v>1449770</v>
      </c>
      <c r="L686" s="16">
        <f>'4월'!L61</f>
        <v>1449770</v>
      </c>
      <c r="M686" s="16" t="str">
        <f>'4월'!M61</f>
        <v>X</v>
      </c>
      <c r="N686" s="15">
        <f>'4월'!N61</f>
        <v>1449770</v>
      </c>
      <c r="O686" s="197" t="str">
        <f>'4월'!O61</f>
        <v>자동이체898,500
(4/21)
선납551,270
(22/4/21)</v>
      </c>
      <c r="P686" s="9" t="str">
        <f>'4월'!P61</f>
        <v>정지우</v>
      </c>
      <c r="Q686" s="5" t="str">
        <f>'4월'!Q61</f>
        <v>X</v>
      </c>
      <c r="R686" s="209" t="str">
        <f>'4월'!R61</f>
        <v>비과세</v>
      </c>
    </row>
    <row r="687" spans="1:21" ht="16.5" customHeight="1">
      <c r="A687" t="s">
        <v>64</v>
      </c>
      <c r="B687" s="141" t="str">
        <f>'4월'!B62</f>
        <v>SM-23031</v>
      </c>
      <c r="C687" s="144"/>
      <c r="D687" s="13">
        <f>'4월'!D62</f>
        <v>45768</v>
      </c>
      <c r="E687" s="155" t="str">
        <f>'4월'!E62</f>
        <v>신세계아이앤씨</v>
      </c>
      <c r="F687" s="164" t="str">
        <f>'4월'!F62</f>
        <v>온피아</v>
      </c>
      <c r="G687" s="158" t="str">
        <f>'4월'!G62</f>
        <v>MA</v>
      </c>
      <c r="H687" s="165" t="str">
        <f>'4월'!H62</f>
        <v>월간</v>
      </c>
      <c r="I687" s="166" t="str">
        <f>'4월'!I62</f>
        <v>삼표 DB접근제어 유지보수 4월 - 9/12회</v>
      </c>
      <c r="J687" s="127">
        <f>'4월'!J62</f>
        <v>1</v>
      </c>
      <c r="K687" s="15">
        <f>'4월'!K62</f>
        <v>600000</v>
      </c>
      <c r="L687" s="16">
        <f>'4월'!L62</f>
        <v>600000</v>
      </c>
      <c r="M687" s="16">
        <f>'4월'!M62</f>
        <v>60000</v>
      </c>
      <c r="N687" s="15">
        <f>'4월'!N62</f>
        <v>660000</v>
      </c>
      <c r="O687" s="5" t="str">
        <f>'4월'!O62</f>
        <v>완료(5/30)</v>
      </c>
      <c r="P687" s="9" t="str">
        <f>'4월'!P62</f>
        <v>이예지</v>
      </c>
      <c r="Q687" s="5">
        <f>'4월'!Q62</f>
        <v>45777</v>
      </c>
      <c r="R687" s="209"/>
      <c r="T687" s="11"/>
    </row>
    <row r="688" spans="1:21" ht="16.5" customHeight="1">
      <c r="A688" t="s">
        <v>64</v>
      </c>
      <c r="B688" s="143" t="str">
        <f>'4월'!B63</f>
        <v>SM-23023</v>
      </c>
      <c r="C688" s="144"/>
      <c r="D688" s="13">
        <f>'4월'!D63</f>
        <v>45768</v>
      </c>
      <c r="E688" s="155" t="str">
        <f>'4월'!E63</f>
        <v>이올테크</v>
      </c>
      <c r="F688" s="155" t="str">
        <f>'4월'!F63</f>
        <v>중앙유통단지관리운영회</v>
      </c>
      <c r="G688" s="157" t="str">
        <f>'4월'!G63</f>
        <v>MA</v>
      </c>
      <c r="H688" s="157" t="str">
        <f>'4월'!H63</f>
        <v>월간</v>
      </c>
      <c r="I688" s="159" t="str">
        <f>'4월'!I63</f>
        <v>4월 유지정비료 - 19/36회</v>
      </c>
      <c r="J688" s="127">
        <f>'4월'!J63</f>
        <v>1</v>
      </c>
      <c r="K688" s="15">
        <f>'4월'!K63</f>
        <v>370000</v>
      </c>
      <c r="L688" s="15">
        <f>'4월'!L63</f>
        <v>370000</v>
      </c>
      <c r="M688" s="123">
        <f>'4월'!M63</f>
        <v>37000</v>
      </c>
      <c r="N688" s="15">
        <f>'4월'!N63</f>
        <v>407000</v>
      </c>
      <c r="O688" s="5" t="str">
        <f>'4월'!O63</f>
        <v>완료(4/30)</v>
      </c>
      <c r="P688" s="177" t="str">
        <f>'4월'!P63</f>
        <v>천범석</v>
      </c>
      <c r="Q688" s="5">
        <f>'4월'!Q63</f>
        <v>45767</v>
      </c>
      <c r="R688" s="211"/>
      <c r="S688" s="7"/>
      <c r="T688" s="11"/>
    </row>
    <row r="689" spans="1:20" ht="16.5" customHeight="1">
      <c r="A689" t="s">
        <v>64</v>
      </c>
      <c r="B689" s="10" t="str">
        <f>'4월'!B64</f>
        <v>H250421-02</v>
      </c>
      <c r="C689" s="12"/>
      <c r="D689" s="13">
        <f>'4월'!D64</f>
        <v>45768</v>
      </c>
      <c r="E689" s="155" t="str">
        <f>'4월'!E64</f>
        <v>이비웨이브</v>
      </c>
      <c r="F689" s="155" t="str">
        <f>'4월'!F64</f>
        <v>티에스씨인포</v>
      </c>
      <c r="G689" s="156" t="str">
        <f>'4월'!G64</f>
        <v>상품</v>
      </c>
      <c r="H689" s="156" t="str">
        <f>'4월'!H64</f>
        <v>90Y8954</v>
      </c>
      <c r="I689" s="69" t="str">
        <f>'4월'!I64</f>
        <v>500GB 7.2K 6G SAS 2.5inch Hard Drive</v>
      </c>
      <c r="J689" s="122">
        <f>'4월'!J64</f>
        <v>1</v>
      </c>
      <c r="K689" s="15">
        <f>'4월'!K64</f>
        <v>120000</v>
      </c>
      <c r="L689" s="16">
        <f>'4월'!L64</f>
        <v>220000</v>
      </c>
      <c r="M689" s="16">
        <f>'4월'!M64</f>
        <v>22000</v>
      </c>
      <c r="N689" s="15">
        <f>'4월'!N64</f>
        <v>242000</v>
      </c>
      <c r="O689" s="5" t="str">
        <f>'4월'!O64</f>
        <v>완료(6/30)</v>
      </c>
      <c r="P689" s="9" t="str">
        <f>'4월'!P64</f>
        <v>천범석</v>
      </c>
      <c r="Q689" s="5">
        <f>'4월'!Q64</f>
        <v>45777</v>
      </c>
      <c r="R689" s="209"/>
    </row>
    <row r="690" spans="1:20" ht="16.5" customHeight="1">
      <c r="A690" t="s">
        <v>64</v>
      </c>
      <c r="B690" s="10" t="str">
        <f>'4월'!B65</f>
        <v>H250421-03</v>
      </c>
      <c r="C690" s="145"/>
      <c r="D690" s="65"/>
      <c r="E690" s="160" t="str">
        <f>'4월'!E65</f>
        <v>이비웨이브</v>
      </c>
      <c r="F690" s="160" t="str">
        <f>'4월'!F65</f>
        <v>티에스씨인포</v>
      </c>
      <c r="G690" s="156" t="str">
        <f>'4월'!G65</f>
        <v>상품</v>
      </c>
      <c r="H690" s="156" t="str">
        <f>'4월'!H65</f>
        <v>42D0678</v>
      </c>
      <c r="I690" s="69" t="str">
        <f>'4월'!I65</f>
        <v>146GB 15K 6G SAS 2.5inch Hard Drive</v>
      </c>
      <c r="J690" s="122">
        <f>'4월'!J65</f>
        <v>1</v>
      </c>
      <c r="K690" s="15">
        <f>'4월'!K65</f>
        <v>100000</v>
      </c>
      <c r="L690" s="125"/>
      <c r="M690" s="125"/>
      <c r="N690" s="126"/>
      <c r="O690" s="99"/>
      <c r="P690" s="176"/>
      <c r="Q690" s="99"/>
      <c r="R690" s="209"/>
    </row>
    <row r="691" spans="1:20" ht="16.5" customHeight="1">
      <c r="A691" t="s">
        <v>64</v>
      </c>
      <c r="B691" s="10" t="str">
        <f>'4월'!B66</f>
        <v>H250422-02</v>
      </c>
      <c r="C691" s="12"/>
      <c r="D691" s="13">
        <f>'4월'!D66</f>
        <v>45769</v>
      </c>
      <c r="E691" s="155" t="str">
        <f>'4월'!E66</f>
        <v>이비웨이브</v>
      </c>
      <c r="F691" s="155" t="str">
        <f>'4월'!F66</f>
        <v>티에스씨인포</v>
      </c>
      <c r="G691" s="156" t="str">
        <f>'4월'!G66</f>
        <v>상품</v>
      </c>
      <c r="H691" s="156" t="str">
        <f>'4월'!H66</f>
        <v>01LJ743</v>
      </c>
      <c r="I691" s="69" t="str">
        <f>'4월'!I66</f>
        <v>V7000 Gen2+ Node Canister 624/AF</v>
      </c>
      <c r="J691" s="122">
        <f>'4월'!J66</f>
        <v>1</v>
      </c>
      <c r="K691" s="15">
        <f>'4월'!K66</f>
        <v>1200000</v>
      </c>
      <c r="L691" s="16">
        <f>'4월'!L66</f>
        <v>1200000</v>
      </c>
      <c r="M691" s="16">
        <f>'4월'!M66</f>
        <v>120000</v>
      </c>
      <c r="N691" s="15">
        <f>'4월'!N66</f>
        <v>1320000</v>
      </c>
      <c r="O691" s="5" t="str">
        <f>'4월'!O66</f>
        <v>완료(6/30)</v>
      </c>
      <c r="P691" s="9" t="str">
        <f>'4월'!P66</f>
        <v>천범석</v>
      </c>
      <c r="Q691" s="5">
        <f>'4월'!Q66</f>
        <v>45777</v>
      </c>
      <c r="R691" s="209"/>
    </row>
    <row r="692" spans="1:20" ht="16.5" customHeight="1">
      <c r="A692" t="s">
        <v>64</v>
      </c>
      <c r="B692" s="10" t="str">
        <f>'4월'!B67</f>
        <v>H250422-01</v>
      </c>
      <c r="C692" s="12"/>
      <c r="D692" s="13">
        <f>'4월'!D67</f>
        <v>45769</v>
      </c>
      <c r="E692" s="155" t="str">
        <f>'4월'!E67</f>
        <v>스토리지케이투</v>
      </c>
      <c r="F692" s="155" t="str">
        <f>'4월'!F67</f>
        <v>다올시스</v>
      </c>
      <c r="G692" s="156" t="str">
        <f>'4월'!G67</f>
        <v>상품</v>
      </c>
      <c r="H692" s="156" t="str">
        <f>'4월'!H67</f>
        <v>RDX Media</v>
      </c>
      <c r="I692" s="69" t="str">
        <f>'4월'!I67</f>
        <v>TD RDX 4TB</v>
      </c>
      <c r="J692" s="122">
        <f>'4월'!J67</f>
        <v>1</v>
      </c>
      <c r="K692" s="15">
        <f>'4월'!K67</f>
        <v>800000</v>
      </c>
      <c r="L692" s="16">
        <f>'4월'!L67</f>
        <v>800000</v>
      </c>
      <c r="M692" s="16">
        <f>'4월'!M67</f>
        <v>80000</v>
      </c>
      <c r="N692" s="15">
        <f>'4월'!N67</f>
        <v>880000</v>
      </c>
      <c r="O692" s="5" t="str">
        <f>'4월'!O67</f>
        <v>완료(5/30)</v>
      </c>
      <c r="P692" s="177" t="str">
        <f>'4월'!P67</f>
        <v>천범석</v>
      </c>
      <c r="Q692" s="5">
        <f>'4월'!Q67</f>
        <v>45777</v>
      </c>
      <c r="R692" s="213"/>
    </row>
    <row r="693" spans="1:20" ht="16.5" customHeight="1">
      <c r="A693" t="s">
        <v>64</v>
      </c>
      <c r="B693" s="10" t="str">
        <f>'4월'!B68</f>
        <v>H250423-01</v>
      </c>
      <c r="C693" s="12"/>
      <c r="D693" s="13">
        <f>'4월'!D68</f>
        <v>45770</v>
      </c>
      <c r="E693" s="155" t="str">
        <f>'4월'!E68</f>
        <v>이비웨이브</v>
      </c>
      <c r="F693" s="155" t="str">
        <f>'4월'!F68</f>
        <v>로보츠</v>
      </c>
      <c r="G693" s="156" t="str">
        <f>'4월'!G68</f>
        <v>상품</v>
      </c>
      <c r="H693" s="156" t="str">
        <f>'4월'!H68</f>
        <v>836220-B21</v>
      </c>
      <c r="I693" s="69" t="str">
        <f>'4월'!I68</f>
        <v>HPE 16GB (1x16GB) Dual Rank x4 DDR4-2400 CAS-17-17-17 Registered Memory Kit</v>
      </c>
      <c r="J693" s="122">
        <f>'4월'!J68</f>
        <v>3</v>
      </c>
      <c r="K693" s="15">
        <f>'4월'!K68</f>
        <v>90000</v>
      </c>
      <c r="L693" s="16">
        <f>'4월'!L68</f>
        <v>270000</v>
      </c>
      <c r="M693" s="16">
        <f>'4월'!M68</f>
        <v>27000</v>
      </c>
      <c r="N693" s="15">
        <f>'4월'!N68</f>
        <v>297000</v>
      </c>
      <c r="O693" s="5" t="str">
        <f>'4월'!O68</f>
        <v>완료(6/30)</v>
      </c>
      <c r="P693" s="9" t="str">
        <f>'4월'!P68</f>
        <v>천범석</v>
      </c>
      <c r="Q693" s="5">
        <f>'4월'!Q68</f>
        <v>45777</v>
      </c>
      <c r="R693" s="209"/>
    </row>
    <row r="694" spans="1:20" ht="16.5" customHeight="1">
      <c r="A694" t="s">
        <v>64</v>
      </c>
      <c r="B694" s="10" t="str">
        <f>'4월'!B69</f>
        <v>X</v>
      </c>
      <c r="C694" s="12"/>
      <c r="D694" s="13">
        <f>'4월'!D69</f>
        <v>45772</v>
      </c>
      <c r="E694" s="155" t="str">
        <f>'4월'!E69</f>
        <v>케이카</v>
      </c>
      <c r="F694" s="155"/>
      <c r="G694" s="156" t="str">
        <f>'4월'!G69</f>
        <v>일반경비</v>
      </c>
      <c r="H694" s="157" t="str">
        <f>'4월'!H69</f>
        <v>차량유지비</v>
      </c>
      <c r="I694" s="69" t="str">
        <f>'4월'!I69</f>
        <v>4월 차량렌트(xm3 4429)-28/37회</v>
      </c>
      <c r="J694" s="122">
        <f>'4월'!J69</f>
        <v>1</v>
      </c>
      <c r="K694" s="15">
        <f>'4월'!K69</f>
        <v>337272.72727272724</v>
      </c>
      <c r="L694" s="16">
        <f>'4월'!L69</f>
        <v>437273</v>
      </c>
      <c r="M694" s="187">
        <f>'4월'!M69</f>
        <v>43727</v>
      </c>
      <c r="N694" s="15">
        <f>'4월'!N69</f>
        <v>481000</v>
      </c>
      <c r="O694" s="5" t="str">
        <f>'4월'!O69</f>
        <v>자동이체(4/25)</v>
      </c>
      <c r="P694" s="177" t="str">
        <f>'4월'!P69</f>
        <v>정지우</v>
      </c>
      <c r="Q694" s="5" t="str">
        <f>'4월'!Q69</f>
        <v>X</v>
      </c>
      <c r="R694" s="209" t="str">
        <f>'4월'!R69</f>
        <v>부가세불공</v>
      </c>
    </row>
    <row r="695" spans="1:20" ht="16.5" customHeight="1">
      <c r="A695" t="s">
        <v>64</v>
      </c>
      <c r="B695" s="10" t="str">
        <f>'4월'!B70</f>
        <v>X</v>
      </c>
      <c r="C695" s="145"/>
      <c r="D695" s="65"/>
      <c r="E695" s="160" t="str">
        <f>'4월'!E70</f>
        <v>케이카</v>
      </c>
      <c r="F695" s="160"/>
      <c r="G695" s="156" t="str">
        <f>'4월'!G70</f>
        <v>일반경비</v>
      </c>
      <c r="H695" s="157" t="str">
        <f>'4월'!H70</f>
        <v>차량유지비</v>
      </c>
      <c r="I695" s="69" t="str">
        <f>'4월'!I70</f>
        <v>4월 선급금(xm3 4429)-28/37회</v>
      </c>
      <c r="J695" s="122">
        <f>'4월'!J70</f>
        <v>1</v>
      </c>
      <c r="K695" s="15">
        <f>'4월'!K70</f>
        <v>100000</v>
      </c>
      <c r="L695" s="125"/>
      <c r="M695" s="125"/>
      <c r="N695" s="126"/>
      <c r="O695" s="99" t="str">
        <f>'4월'!O70</f>
        <v>선납(22/12/29)</v>
      </c>
      <c r="P695" s="9" t="str">
        <f>'4월'!P70</f>
        <v>정지우</v>
      </c>
      <c r="Q695" s="5" t="str">
        <f>'4월'!Q70</f>
        <v>X</v>
      </c>
      <c r="R695" s="209"/>
    </row>
    <row r="696" spans="1:20" ht="16.5" customHeight="1">
      <c r="A696" t="s">
        <v>64</v>
      </c>
      <c r="B696" s="10" t="str">
        <f>'4월'!B71</f>
        <v>X</v>
      </c>
      <c r="C696" s="12"/>
      <c r="D696" s="13">
        <f>'4월'!D71</f>
        <v>45772</v>
      </c>
      <c r="E696" s="155" t="str">
        <f>'4월'!E71</f>
        <v>롯데렌탈</v>
      </c>
      <c r="F696" s="155"/>
      <c r="G696" s="156" t="str">
        <f>'4월'!G71</f>
        <v>일반경비</v>
      </c>
      <c r="H696" s="157" t="str">
        <f>'4월'!H71</f>
        <v>차량유지비</v>
      </c>
      <c r="I696" s="69" t="str">
        <f>'4월'!I71</f>
        <v>4월 차량렌트(그랜저 8552)-37/49회</v>
      </c>
      <c r="J696" s="122">
        <f>'4월'!J71</f>
        <v>1</v>
      </c>
      <c r="K696" s="15">
        <f>'4월'!K71</f>
        <v>342614</v>
      </c>
      <c r="L696" s="16">
        <f>'4월'!L71</f>
        <v>342614</v>
      </c>
      <c r="M696" s="187">
        <f>'4월'!M71</f>
        <v>34261</v>
      </c>
      <c r="N696" s="15">
        <f>'4월'!N71</f>
        <v>376875</v>
      </c>
      <c r="O696" s="5" t="str">
        <f>'4월'!O71</f>
        <v>자동이체(4/25)</v>
      </c>
      <c r="P696" s="177" t="str">
        <f>'4월'!P71</f>
        <v>정지우</v>
      </c>
      <c r="Q696" s="5" t="str">
        <f>'4월'!Q71</f>
        <v>X</v>
      </c>
      <c r="R696" s="209" t="str">
        <f>'4월'!R71</f>
        <v>부가세불공</v>
      </c>
      <c r="S696" s="101"/>
      <c r="T696" s="11"/>
    </row>
    <row r="697" spans="1:20" ht="16.5" customHeight="1">
      <c r="A697" t="s">
        <v>64</v>
      </c>
      <c r="B697" s="10" t="str">
        <f>'4월'!B72</f>
        <v>X</v>
      </c>
      <c r="C697" s="12"/>
      <c r="D697" s="13">
        <f>'4월'!D72</f>
        <v>45772</v>
      </c>
      <c r="E697" s="155" t="str">
        <f>'4월'!E72</f>
        <v>롯데렌탈</v>
      </c>
      <c r="F697" s="155"/>
      <c r="G697" s="156" t="str">
        <f>'4월'!G72</f>
        <v>일반경비</v>
      </c>
      <c r="H697" s="157" t="str">
        <f>'4월'!H72</f>
        <v>차량유지비</v>
      </c>
      <c r="I697" s="69" t="str">
        <f>'4월'!I72</f>
        <v>4월 선급금(그랜저 8552)-37/49회</v>
      </c>
      <c r="J697" s="122">
        <f>'4월'!J72</f>
        <v>1</v>
      </c>
      <c r="K697" s="15">
        <f>'4월'!K72</f>
        <v>234659</v>
      </c>
      <c r="L697" s="16">
        <f>'4월'!L72</f>
        <v>234659</v>
      </c>
      <c r="M697" s="187">
        <f>'4월'!M72</f>
        <v>23466</v>
      </c>
      <c r="N697" s="15">
        <f>'4월'!N72</f>
        <v>258125</v>
      </c>
      <c r="O697" s="5" t="str">
        <f>'4월'!O72</f>
        <v>선납(22/4/5)</v>
      </c>
      <c r="P697" s="177" t="str">
        <f>'4월'!P72</f>
        <v>정지우</v>
      </c>
      <c r="Q697" s="5" t="str">
        <f>'4월'!Q72</f>
        <v>X</v>
      </c>
      <c r="R697" s="209" t="str">
        <f>'4월'!R72</f>
        <v>부가세불공</v>
      </c>
      <c r="S697" s="101"/>
      <c r="T697" s="11"/>
    </row>
    <row r="698" spans="1:20" ht="16.5" customHeight="1">
      <c r="A698" t="s">
        <v>64</v>
      </c>
      <c r="B698" s="10" t="str">
        <f>'4월'!B73</f>
        <v>X</v>
      </c>
      <c r="C698" s="12"/>
      <c r="D698" s="13">
        <f>'4월'!D73</f>
        <v>45772</v>
      </c>
      <c r="E698" s="155" t="str">
        <f>'4월'!E73</f>
        <v>롯데렌탈</v>
      </c>
      <c r="F698" s="155"/>
      <c r="G698" s="156" t="str">
        <f>'4월'!G73</f>
        <v>일반경비</v>
      </c>
      <c r="H698" s="157" t="str">
        <f>'4월'!H73</f>
        <v>차량유지비</v>
      </c>
      <c r="I698" s="69" t="str">
        <f>'4월'!I73</f>
        <v>4월 차량렌트(G80 3061)-37/49회</v>
      </c>
      <c r="J698" s="122">
        <f>'4월'!J73</f>
        <v>1</v>
      </c>
      <c r="K698" s="15">
        <f>'4월'!K73</f>
        <v>488069</v>
      </c>
      <c r="L698" s="16">
        <f>'4월'!L73</f>
        <v>488069</v>
      </c>
      <c r="M698" s="187">
        <f>'4월'!M73</f>
        <v>48806</v>
      </c>
      <c r="N698" s="15">
        <f>'4월'!N73</f>
        <v>536875</v>
      </c>
      <c r="O698" s="5" t="str">
        <f>'4월'!O73</f>
        <v>자동이체(4/25)</v>
      </c>
      <c r="P698" s="177" t="str">
        <f>'4월'!P73</f>
        <v>정지우</v>
      </c>
      <c r="Q698" s="5" t="str">
        <f>'4월'!Q73</f>
        <v>X</v>
      </c>
      <c r="R698" s="209" t="str">
        <f>'4월'!R73</f>
        <v>부가세불공</v>
      </c>
      <c r="S698" s="101"/>
      <c r="T698" s="11"/>
    </row>
    <row r="699" spans="1:20" ht="16.5" customHeight="1">
      <c r="A699" t="s">
        <v>64</v>
      </c>
      <c r="B699" s="10" t="str">
        <f>'4월'!B74</f>
        <v>X</v>
      </c>
      <c r="C699" s="12"/>
      <c r="D699" s="13">
        <f>'4월'!D74</f>
        <v>45772</v>
      </c>
      <c r="E699" s="155" t="str">
        <f>'4월'!E74</f>
        <v>롯데렌탈</v>
      </c>
      <c r="F699" s="155"/>
      <c r="G699" s="156" t="str">
        <f>'4월'!G74</f>
        <v>일반경비</v>
      </c>
      <c r="H699" s="157" t="str">
        <f>'4월'!H74</f>
        <v>차량유지비</v>
      </c>
      <c r="I699" s="69" t="str">
        <f>'4월'!I74</f>
        <v>4월 선급금(G80 3061)-37/49회</v>
      </c>
      <c r="J699" s="122">
        <f>'4월'!J74</f>
        <v>1</v>
      </c>
      <c r="K699" s="15">
        <f>'4월'!K74</f>
        <v>307386</v>
      </c>
      <c r="L699" s="16">
        <f>'4월'!L74</f>
        <v>307386</v>
      </c>
      <c r="M699" s="187">
        <f>'4월'!M74</f>
        <v>30739</v>
      </c>
      <c r="N699" s="15">
        <f>'4월'!N74</f>
        <v>338125</v>
      </c>
      <c r="O699" s="5" t="str">
        <f>'4월'!O74</f>
        <v>선납(22/4/5)</v>
      </c>
      <c r="P699" s="177" t="str">
        <f>'4월'!P74</f>
        <v>정지우</v>
      </c>
      <c r="Q699" s="5" t="str">
        <f>'4월'!Q74</f>
        <v>X</v>
      </c>
      <c r="R699" s="209" t="str">
        <f>'4월'!R74</f>
        <v>부가세불공</v>
      </c>
      <c r="S699" s="101"/>
      <c r="T699" s="11"/>
    </row>
    <row r="700" spans="1:20" ht="16.5" customHeight="1">
      <c r="A700" t="s">
        <v>64</v>
      </c>
      <c r="B700" s="10" t="str">
        <f>'4월'!B75</f>
        <v>SM-25010</v>
      </c>
      <c r="C700" s="12"/>
      <c r="D700" s="13">
        <f>'4월'!D75</f>
        <v>45772</v>
      </c>
      <c r="E700" s="155" t="str">
        <f>'4월'!E75</f>
        <v>프로미스</v>
      </c>
      <c r="F700" s="155" t="str">
        <f>'4월'!F75</f>
        <v>유니포인트</v>
      </c>
      <c r="G700" s="156" t="str">
        <f>'4월'!G75</f>
        <v>MA</v>
      </c>
      <c r="H700" s="156" t="str">
        <f>'4월'!H75</f>
        <v>분기</v>
      </c>
      <c r="I700" s="69" t="str">
        <f>'4월'!I75</f>
        <v>한미사이언스 2분기 기술지원</v>
      </c>
      <c r="J700" s="132">
        <f>'4월'!J75</f>
        <v>1</v>
      </c>
      <c r="K700" s="15">
        <f>'4월'!K75</f>
        <v>8000000</v>
      </c>
      <c r="L700" s="16">
        <f>'4월'!L75</f>
        <v>8000000</v>
      </c>
      <c r="M700" s="16">
        <f>'4월'!M75</f>
        <v>800000</v>
      </c>
      <c r="N700" s="15">
        <f>'4월'!N75</f>
        <v>8800000</v>
      </c>
      <c r="O700" s="5" t="str">
        <f>'4월'!O75</f>
        <v>완료(4/25)</v>
      </c>
      <c r="P700" s="9" t="str">
        <f>'4월'!P75</f>
        <v>이예지</v>
      </c>
      <c r="Q700" s="5" t="str">
        <f>'4월'!Q75</f>
        <v>4/30,5/31,6/30</v>
      </c>
      <c r="R700" s="213"/>
    </row>
    <row r="701" spans="1:20" ht="16.5" customHeight="1">
      <c r="A701" t="s">
        <v>64</v>
      </c>
      <c r="B701" s="10" t="str">
        <f>'4월'!B76</f>
        <v>SM-24007</v>
      </c>
      <c r="C701" s="12"/>
      <c r="D701" s="13">
        <f>'4월'!D76</f>
        <v>45772</v>
      </c>
      <c r="E701" s="155" t="str">
        <f>'4월'!E76</f>
        <v>프로미스</v>
      </c>
      <c r="F701" s="155" t="str">
        <f>'4월'!F76</f>
        <v>연세의료원</v>
      </c>
      <c r="G701" s="156" t="str">
        <f>'4월'!G76</f>
        <v>MA</v>
      </c>
      <c r="H701" s="156" t="str">
        <f>'4월'!H76</f>
        <v>분기</v>
      </c>
      <c r="I701" s="69" t="str">
        <f>'4월'!I76</f>
        <v>기술지원료 2분기</v>
      </c>
      <c r="J701" s="132">
        <f>'4월'!J76</f>
        <v>1</v>
      </c>
      <c r="K701" s="15">
        <f>'4월'!K76</f>
        <v>2100000</v>
      </c>
      <c r="L701" s="16">
        <f>'4월'!L76</f>
        <v>2100000</v>
      </c>
      <c r="M701" s="16">
        <f>'4월'!M76</f>
        <v>210000</v>
      </c>
      <c r="N701" s="15">
        <f>'4월'!N76</f>
        <v>2310000</v>
      </c>
      <c r="O701" s="5" t="str">
        <f>'4월'!O76</f>
        <v>완료(4/25)</v>
      </c>
      <c r="P701" s="9" t="str">
        <f>'4월'!P76</f>
        <v>이예지</v>
      </c>
      <c r="Q701" s="5" t="str">
        <f>'4월'!Q76</f>
        <v>5/20,6/20,7/20</v>
      </c>
      <c r="R701" s="209"/>
    </row>
    <row r="702" spans="1:20" ht="16.5" customHeight="1">
      <c r="A702" t="s">
        <v>64</v>
      </c>
      <c r="B702" s="10" t="str">
        <f>'4월'!B77</f>
        <v>SM-24021</v>
      </c>
      <c r="C702" s="12"/>
      <c r="D702" s="13">
        <f>'4월'!D77</f>
        <v>45772</v>
      </c>
      <c r="E702" s="155" t="str">
        <f>'4월'!E77</f>
        <v>프로미스</v>
      </c>
      <c r="F702" s="155" t="str">
        <f>'4월'!F77</f>
        <v>에이캐피탈</v>
      </c>
      <c r="G702" s="156" t="str">
        <f>'4월'!G77</f>
        <v>MA</v>
      </c>
      <c r="H702" s="156" t="str">
        <f>'4월'!H77</f>
        <v>분기</v>
      </c>
      <c r="I702" s="69" t="str">
        <f>'4월'!I77</f>
        <v>1분기 유지정비료 - 1/4회</v>
      </c>
      <c r="J702" s="132">
        <f>'4월'!J77</f>
        <v>1</v>
      </c>
      <c r="K702" s="15">
        <f>'4월'!K77</f>
        <v>5000000</v>
      </c>
      <c r="L702" s="16">
        <f>'4월'!L77</f>
        <v>5000000</v>
      </c>
      <c r="M702" s="16">
        <f>'4월'!M77</f>
        <v>500000</v>
      </c>
      <c r="N702" s="15">
        <f>'4월'!N77</f>
        <v>5500000</v>
      </c>
      <c r="O702" s="5" t="str">
        <f>'4월'!O77</f>
        <v>완료(4/25)</v>
      </c>
      <c r="P702" s="9" t="str">
        <f>'4월'!P77</f>
        <v>이예지</v>
      </c>
      <c r="Q702" s="5" t="str">
        <f>'4월'!Q77</f>
        <v>2/5,3/5,4/5</v>
      </c>
      <c r="R702" s="213"/>
    </row>
    <row r="703" spans="1:20" ht="16.5" customHeight="1">
      <c r="A703" t="s">
        <v>64</v>
      </c>
      <c r="B703" s="10" t="str">
        <f>'4월'!B78</f>
        <v>SM-24014</v>
      </c>
      <c r="C703" s="12"/>
      <c r="D703" s="13">
        <f>'4월'!D78</f>
        <v>45772</v>
      </c>
      <c r="E703" s="155" t="str">
        <f>'4월'!E78</f>
        <v>프로미스</v>
      </c>
      <c r="F703" s="155" t="str">
        <f>'4월'!F78</f>
        <v>신동아건설</v>
      </c>
      <c r="G703" s="156" t="str">
        <f>'4월'!G78</f>
        <v>MA</v>
      </c>
      <c r="H703" s="156" t="str">
        <f>'4월'!H78</f>
        <v>분기</v>
      </c>
      <c r="I703" s="69" t="str">
        <f>'4월'!I78</f>
        <v>1~4월 기술지원료</v>
      </c>
      <c r="J703" s="132">
        <f>'4월'!J78</f>
        <v>1</v>
      </c>
      <c r="K703" s="15">
        <f>'4월'!K78</f>
        <v>2000000</v>
      </c>
      <c r="L703" s="16">
        <f>'4월'!L78</f>
        <v>2000000</v>
      </c>
      <c r="M703" s="16">
        <f>'4월'!M78</f>
        <v>200000</v>
      </c>
      <c r="N703" s="15">
        <f>'4월'!N78</f>
        <v>2200000</v>
      </c>
      <c r="O703" s="5" t="str">
        <f>'4월'!O78</f>
        <v>완료(4/25)</v>
      </c>
      <c r="P703" s="9" t="str">
        <f>'4월'!P78</f>
        <v>천범석</v>
      </c>
      <c r="Q703" s="5" t="str">
        <f>'4월'!Q78</f>
        <v>1/20,2/20,3/20,4/20</v>
      </c>
      <c r="R703" s="213"/>
    </row>
    <row r="704" spans="1:20" ht="16.5" customHeight="1">
      <c r="A704" t="s">
        <v>64</v>
      </c>
      <c r="B704" s="10" t="str">
        <f>'4월'!B79</f>
        <v>SB-23012</v>
      </c>
      <c r="C704" s="12"/>
      <c r="D704" s="13">
        <f>'4월'!D79</f>
        <v>45772</v>
      </c>
      <c r="E704" s="155" t="str">
        <f>'4월'!E79</f>
        <v>프로미스</v>
      </c>
      <c r="F704" s="155" t="str">
        <f>'4월'!F79</f>
        <v>솔리드이엔지</v>
      </c>
      <c r="G704" s="156" t="str">
        <f>'4월'!G79</f>
        <v>MA</v>
      </c>
      <c r="H704" s="156" t="str">
        <f>'4월'!H79</f>
        <v>기술지원</v>
      </c>
      <c r="I704" s="69" t="str">
        <f>'4월'!I79</f>
        <v>국립기상과학원 19개월(23.01~24.7) 기술지원</v>
      </c>
      <c r="J704" s="132">
        <f>'4월'!J79</f>
        <v>1</v>
      </c>
      <c r="K704" s="15">
        <f>'4월'!K79</f>
        <v>11400000</v>
      </c>
      <c r="L704" s="16">
        <f>'4월'!L79</f>
        <v>11400000</v>
      </c>
      <c r="M704" s="16">
        <f>'4월'!M79</f>
        <v>1140000</v>
      </c>
      <c r="N704" s="15">
        <f>'4월'!N79</f>
        <v>12540000</v>
      </c>
      <c r="O704" s="5" t="str">
        <f>'4월'!O79</f>
        <v>완료(4/25)</v>
      </c>
      <c r="P704" s="9" t="str">
        <f>'4월'!P79</f>
        <v>천범석</v>
      </c>
      <c r="Q704" s="5" t="str">
        <f>'4월'!Q79</f>
        <v>23/1/31~</v>
      </c>
      <c r="R704" s="209" t="str">
        <f>'4월'!R79</f>
        <v>매출월간</v>
      </c>
    </row>
    <row r="705" spans="1:20" ht="16.5" customHeight="1">
      <c r="A705" t="s">
        <v>64</v>
      </c>
      <c r="B705" s="10" t="str">
        <f>'4월'!B80</f>
        <v>SM-24024</v>
      </c>
      <c r="C705" s="12"/>
      <c r="D705" s="13">
        <f>'4월'!D80</f>
        <v>45772</v>
      </c>
      <c r="E705" s="155" t="str">
        <f>'4월'!E80</f>
        <v>프로미스</v>
      </c>
      <c r="F705" s="155" t="str">
        <f>'4월'!F80</f>
        <v>강북21세기병원</v>
      </c>
      <c r="G705" s="156" t="str">
        <f>'4월'!G80</f>
        <v>MA</v>
      </c>
      <c r="H705" s="156" t="str">
        <f>'4월'!H80</f>
        <v>반기</v>
      </c>
      <c r="I705" s="69" t="str">
        <f>'4월'!I80</f>
        <v>25년 반기(24.12~25.5) 유지정비료</v>
      </c>
      <c r="J705" s="132">
        <f>'4월'!J80</f>
        <v>1</v>
      </c>
      <c r="K705" s="15">
        <f>'4월'!K80</f>
        <v>600000</v>
      </c>
      <c r="L705" s="16">
        <f>'4월'!L80</f>
        <v>600000</v>
      </c>
      <c r="M705" s="16">
        <f>'4월'!M80</f>
        <v>60000</v>
      </c>
      <c r="N705" s="15">
        <f>'4월'!N80</f>
        <v>660000</v>
      </c>
      <c r="O705" s="5" t="str">
        <f>'4월'!O80</f>
        <v>완료(4/25)</v>
      </c>
      <c r="P705" s="9" t="str">
        <f>'4월'!P80</f>
        <v>천범석</v>
      </c>
      <c r="Q705" s="5" t="str">
        <f>'4월'!Q80</f>
        <v>24/12/25~</v>
      </c>
      <c r="R705" s="209" t="str">
        <f>'4월'!R80</f>
        <v>매출월간</v>
      </c>
    </row>
    <row r="706" spans="1:20" ht="16.5" customHeight="1">
      <c r="A706" t="s">
        <v>64</v>
      </c>
      <c r="B706" s="10" t="str">
        <f>'4월'!B81</f>
        <v>SM-25005</v>
      </c>
      <c r="C706" s="12"/>
      <c r="D706" s="13">
        <f>'4월'!D81</f>
        <v>45772</v>
      </c>
      <c r="E706" s="155" t="str">
        <f>'4월'!E81</f>
        <v>프로미스</v>
      </c>
      <c r="F706" s="155" t="str">
        <f>'4월'!F81</f>
        <v>고영테크놀러지</v>
      </c>
      <c r="G706" s="156" t="str">
        <f>'4월'!G81</f>
        <v>MA</v>
      </c>
      <c r="H706" s="156" t="str">
        <f>'4월'!H81</f>
        <v>분기</v>
      </c>
      <c r="I706" s="69" t="str">
        <f>'4월'!I81</f>
        <v>2분기 기술지원료</v>
      </c>
      <c r="J706" s="132">
        <f>'4월'!J81</f>
        <v>1</v>
      </c>
      <c r="K706" s="15">
        <f>'4월'!K81</f>
        <v>1500000</v>
      </c>
      <c r="L706" s="16">
        <f>'4월'!L81</f>
        <v>1500000</v>
      </c>
      <c r="M706" s="16">
        <f>'4월'!M81</f>
        <v>150000</v>
      </c>
      <c r="N706" s="15">
        <f>'4월'!N81</f>
        <v>1650000</v>
      </c>
      <c r="O706" s="5" t="str">
        <f>'4월'!O81</f>
        <v>완료(4/25)</v>
      </c>
      <c r="P706" s="9" t="str">
        <f>'4월'!P81</f>
        <v>홍승민</v>
      </c>
      <c r="Q706" s="5" t="str">
        <f>'4월'!Q81</f>
        <v>4/25,5/25,6/25</v>
      </c>
      <c r="R706" s="213"/>
    </row>
    <row r="707" spans="1:20" ht="16.5" customHeight="1">
      <c r="A707" t="s">
        <v>64</v>
      </c>
      <c r="B707" s="10" t="str">
        <f>'4월'!B82</f>
        <v>SB-24011</v>
      </c>
      <c r="C707" s="12"/>
      <c r="D707" s="13">
        <f>'4월'!D82</f>
        <v>45772</v>
      </c>
      <c r="E707" s="155" t="str">
        <f>'4월'!E82</f>
        <v>프로미스</v>
      </c>
      <c r="F707" s="155" t="str">
        <f>'4월'!F82</f>
        <v>비온시이노베이터</v>
      </c>
      <c r="G707" s="156" t="str">
        <f>'4월'!G82</f>
        <v>MA</v>
      </c>
      <c r="H707" s="156" t="str">
        <f>'4월'!H82</f>
        <v>연간</v>
      </c>
      <c r="I707" s="69" t="str">
        <f>'4월'!I82</f>
        <v>25년 국립농업과학원 기술지원</v>
      </c>
      <c r="J707" s="132">
        <f>'4월'!J82</f>
        <v>1</v>
      </c>
      <c r="K707" s="15">
        <f>'4월'!K82</f>
        <v>3400000</v>
      </c>
      <c r="L707" s="16">
        <f>'4월'!L82</f>
        <v>3400000</v>
      </c>
      <c r="M707" s="16">
        <f>'4월'!M82</f>
        <v>340000</v>
      </c>
      <c r="N707" s="15">
        <f>'4월'!N82</f>
        <v>3740000</v>
      </c>
      <c r="O707" s="5" t="str">
        <f>'4월'!O82</f>
        <v>완료(4/25)</v>
      </c>
      <c r="P707" s="9" t="str">
        <f>'4월'!P82</f>
        <v>천범석</v>
      </c>
      <c r="Q707" s="5" t="str">
        <f>'4월'!Q82</f>
        <v>2/15~</v>
      </c>
      <c r="R707" s="213" t="str">
        <f>'4월'!R82</f>
        <v>매출연간</v>
      </c>
    </row>
    <row r="708" spans="1:20" ht="16.5" customHeight="1">
      <c r="A708" t="s">
        <v>64</v>
      </c>
      <c r="B708" s="10" t="str">
        <f>'4월'!B83</f>
        <v>SM-25009</v>
      </c>
      <c r="C708" s="12"/>
      <c r="D708" s="13">
        <f>'4월'!D83</f>
        <v>45772</v>
      </c>
      <c r="E708" s="155" t="str">
        <f>'4월'!E83</f>
        <v>프로미스</v>
      </c>
      <c r="F708" s="155" t="str">
        <f>'4월'!F83</f>
        <v>유니포인트</v>
      </c>
      <c r="G708" s="156" t="str">
        <f>'4월'!G83</f>
        <v>MA</v>
      </c>
      <c r="H708" s="156" t="str">
        <f>'4월'!H83</f>
        <v>분기</v>
      </c>
      <c r="I708" s="69" t="str">
        <f>'4월'!I83</f>
        <v>교보문고 1Q 기술지원</v>
      </c>
      <c r="J708" s="132">
        <f>'4월'!J83</f>
        <v>1</v>
      </c>
      <c r="K708" s="15">
        <f>'4월'!K83</f>
        <v>1000000</v>
      </c>
      <c r="L708" s="16">
        <f>'4월'!L83</f>
        <v>1000000</v>
      </c>
      <c r="M708" s="16">
        <f>'4월'!M83</f>
        <v>100000</v>
      </c>
      <c r="N708" s="15">
        <f>'4월'!N83</f>
        <v>1100000</v>
      </c>
      <c r="O708" s="5" t="str">
        <f>'4월'!O83</f>
        <v>완료(4/25)</v>
      </c>
      <c r="P708" s="9" t="str">
        <f>'4월'!P83</f>
        <v>천범석</v>
      </c>
      <c r="Q708" s="5" t="str">
        <f>'4월'!Q83</f>
        <v>1/31,2/28,3/31</v>
      </c>
      <c r="R708" s="213"/>
    </row>
    <row r="709" spans="1:20" ht="16.5" customHeight="1">
      <c r="A709" t="s">
        <v>64</v>
      </c>
      <c r="B709" s="141" t="str">
        <f>'4월'!B84</f>
        <v>X</v>
      </c>
      <c r="C709" s="142"/>
      <c r="D709" s="13">
        <f>'4월'!D84</f>
        <v>45772</v>
      </c>
      <c r="E709" s="155" t="str">
        <f>'4월'!E84</f>
        <v>비와이씨하이시티입주사대표회</v>
      </c>
      <c r="F709" s="155"/>
      <c r="G709" s="156" t="str">
        <f>'4월'!G84</f>
        <v>일반경비</v>
      </c>
      <c r="H709" s="156" t="str">
        <f>'4월'!H84</f>
        <v>여비교통비</v>
      </c>
      <c r="I709" s="69" t="str">
        <f>'4월'!I84</f>
        <v>대표님,천범석,엔지니어팀 5월 주차비</v>
      </c>
      <c r="J709" s="124">
        <f>'4월'!J84</f>
        <v>1</v>
      </c>
      <c r="K709" s="16">
        <f>'4월'!K84</f>
        <v>272727</v>
      </c>
      <c r="L709" s="16">
        <f>'4월'!L84</f>
        <v>272727</v>
      </c>
      <c r="M709" s="189">
        <f>'4월'!M84</f>
        <v>27273</v>
      </c>
      <c r="N709" s="15">
        <f>'4월'!N84</f>
        <v>300000</v>
      </c>
      <c r="O709" s="5" t="str">
        <f>'4월'!O84</f>
        <v>완료(4/25)</v>
      </c>
      <c r="P709" s="177" t="str">
        <f>'4월'!P84</f>
        <v>정지우</v>
      </c>
      <c r="Q709" s="68" t="str">
        <f>'4월'!Q84</f>
        <v>X</v>
      </c>
      <c r="R709" s="209" t="str">
        <f>'4월'!R84</f>
        <v>부가세불공</v>
      </c>
      <c r="S709" s="7"/>
      <c r="T709" s="11"/>
    </row>
    <row r="710" spans="1:20" ht="16.5" customHeight="1">
      <c r="A710" t="s">
        <v>64</v>
      </c>
      <c r="B710" s="10" t="str">
        <f>'4월'!B85</f>
        <v>X</v>
      </c>
      <c r="C710" s="12"/>
      <c r="D710" s="13">
        <f>'4월'!D85</f>
        <v>45772</v>
      </c>
      <c r="E710" s="155" t="str">
        <f>'4월'!E85</f>
        <v>청소의신</v>
      </c>
      <c r="F710" s="155"/>
      <c r="G710" s="156" t="str">
        <f>'4월'!G85</f>
        <v>일반경비</v>
      </c>
      <c r="H710" s="156" t="str">
        <f>'4월'!H85</f>
        <v>지급수수료</v>
      </c>
      <c r="I710" s="69" t="str">
        <f>'4월'!I85</f>
        <v>4월 청소비</v>
      </c>
      <c r="J710" s="122">
        <f>'4월'!J85</f>
        <v>1</v>
      </c>
      <c r="K710" s="16">
        <f>'4월'!K85</f>
        <v>160000</v>
      </c>
      <c r="L710" s="16">
        <f>'4월'!L85</f>
        <v>160000</v>
      </c>
      <c r="M710" s="123">
        <f>'4월'!M85</f>
        <v>16000</v>
      </c>
      <c r="N710" s="15">
        <f>'4월'!N85</f>
        <v>176000</v>
      </c>
      <c r="O710" s="5" t="str">
        <f>'4월'!O85</f>
        <v>완료(4/30)</v>
      </c>
      <c r="P710" s="177" t="str">
        <f>'4월'!P85</f>
        <v>정지우</v>
      </c>
      <c r="Q710" s="5" t="str">
        <f>'4월'!Q85</f>
        <v>X</v>
      </c>
      <c r="R710" s="209"/>
    </row>
    <row r="711" spans="1:20" ht="16.5" customHeight="1">
      <c r="A711" t="s">
        <v>64</v>
      </c>
      <c r="B711" s="10" t="str">
        <f>'4월'!B86</f>
        <v>SM-24007</v>
      </c>
      <c r="C711" s="12"/>
      <c r="D711" s="13">
        <f>'4월'!D86</f>
        <v>45772</v>
      </c>
      <c r="E711" s="155" t="str">
        <f>'4월'!E86</f>
        <v>다원씨앤에스</v>
      </c>
      <c r="F711" s="155" t="str">
        <f>'4월'!F86</f>
        <v>연세의료원</v>
      </c>
      <c r="G711" s="157" t="str">
        <f>'4월'!G86</f>
        <v>MA</v>
      </c>
      <c r="H711" s="156" t="str">
        <f>'4월'!H86</f>
        <v>월간</v>
      </c>
      <c r="I711" s="69" t="str">
        <f>'4월'!I86</f>
        <v>4월분 SIOS Lifekeeper 유지보수료 - 3/12회</v>
      </c>
      <c r="J711" s="122">
        <f>'4월'!J86</f>
        <v>1</v>
      </c>
      <c r="K711" s="15">
        <f>'4월'!K86</f>
        <v>200000</v>
      </c>
      <c r="L711" s="16">
        <f>'4월'!L86</f>
        <v>200000</v>
      </c>
      <c r="M711" s="16">
        <f>'4월'!M86</f>
        <v>20000</v>
      </c>
      <c r="N711" s="15">
        <f>'4월'!N86</f>
        <v>220000</v>
      </c>
      <c r="O711" s="5" t="str">
        <f>'4월'!O86</f>
        <v>완료(5/30)</v>
      </c>
      <c r="P711" s="9" t="str">
        <f>'4월'!P86</f>
        <v>이예지</v>
      </c>
      <c r="Q711" s="5">
        <f>'4월'!Q86</f>
        <v>45767</v>
      </c>
      <c r="R711" s="209"/>
      <c r="T711" s="11"/>
    </row>
    <row r="712" spans="1:20" ht="16.5" customHeight="1">
      <c r="A712" t="s">
        <v>64</v>
      </c>
      <c r="B712" s="10" t="str">
        <f>'4월'!B87</f>
        <v>SM-25014</v>
      </c>
      <c r="C712" s="12"/>
      <c r="D712" s="13">
        <f>'4월'!D87</f>
        <v>45772</v>
      </c>
      <c r="E712" s="155" t="str">
        <f>'4월'!E87</f>
        <v>제이에스정보시스템</v>
      </c>
      <c r="F712" s="155" t="str">
        <f>'4월'!F87</f>
        <v>시너지온</v>
      </c>
      <c r="G712" s="157" t="str">
        <f>'4월'!G87</f>
        <v>MA</v>
      </c>
      <c r="H712" s="157" t="str">
        <f>'4월'!H87</f>
        <v>월간</v>
      </c>
      <c r="I712" s="69" t="str">
        <f>'4월'!I87</f>
        <v>건국대병원 4월 유지정비료 - 1/29회</v>
      </c>
      <c r="J712" s="122">
        <f>'4월'!J87</f>
        <v>1</v>
      </c>
      <c r="K712" s="15">
        <f>'4월'!K87</f>
        <v>500000</v>
      </c>
      <c r="L712" s="16">
        <f>'4월'!L87</f>
        <v>500000</v>
      </c>
      <c r="M712" s="16">
        <f>'4월'!M87</f>
        <v>50000</v>
      </c>
      <c r="N712" s="15">
        <f>'4월'!N87</f>
        <v>550000</v>
      </c>
      <c r="O712" s="5" t="str">
        <f>'4월'!O87</f>
        <v>완료(6/30)</v>
      </c>
      <c r="P712" s="9" t="str">
        <f>'4월'!P87</f>
        <v>천범석</v>
      </c>
      <c r="Q712" s="5">
        <f>'4월'!Q87</f>
        <v>45777</v>
      </c>
      <c r="R712" s="209"/>
    </row>
    <row r="713" spans="1:20" ht="16.5" customHeight="1">
      <c r="A713" t="s">
        <v>64</v>
      </c>
      <c r="B713" s="141" t="str">
        <f>'4월'!B88</f>
        <v>LI-24003</v>
      </c>
      <c r="C713" s="142"/>
      <c r="D713" s="13">
        <f>'4월'!D88</f>
        <v>45772</v>
      </c>
      <c r="E713" s="155" t="str">
        <f>'4월'!E88</f>
        <v>제이에스정보시스템</v>
      </c>
      <c r="F713" s="155" t="str">
        <f>'4월'!F88</f>
        <v>신동아건설</v>
      </c>
      <c r="G713" s="156" t="str">
        <f>'4월'!G88</f>
        <v>MA</v>
      </c>
      <c r="H713" s="156" t="str">
        <f>'4월'!H88</f>
        <v>월간</v>
      </c>
      <c r="I713" s="69" t="str">
        <f>'4월'!I88</f>
        <v>3~4월 기술지원료</v>
      </c>
      <c r="J713" s="132">
        <f>'4월'!J88</f>
        <v>1</v>
      </c>
      <c r="K713" s="16">
        <f>'4월'!K88</f>
        <v>300000</v>
      </c>
      <c r="L713" s="16">
        <f>'4월'!L88</f>
        <v>300000</v>
      </c>
      <c r="M713" s="16">
        <f>'4월'!M88</f>
        <v>30000</v>
      </c>
      <c r="N713" s="15">
        <f>'4월'!N88</f>
        <v>330000</v>
      </c>
      <c r="O713" s="5" t="str">
        <f>'4월'!O88</f>
        <v>완료(6/30)</v>
      </c>
      <c r="P713" s="9" t="str">
        <f>'4월'!P88</f>
        <v>이예지</v>
      </c>
      <c r="Q713" s="5" t="str">
        <f>'4월'!Q88</f>
        <v>3/20,4/20</v>
      </c>
      <c r="R713" s="212"/>
      <c r="S713" s="7"/>
      <c r="T713" s="11"/>
    </row>
    <row r="714" spans="1:20" ht="16.5" customHeight="1">
      <c r="A714" t="s">
        <v>64</v>
      </c>
      <c r="B714" s="10" t="str">
        <f>'4월'!B89</f>
        <v>D250424-01</v>
      </c>
      <c r="C714" s="12"/>
      <c r="D714" s="13">
        <f>'4월'!D89</f>
        <v>45775</v>
      </c>
      <c r="E714" s="155" t="str">
        <f>'4월'!E89</f>
        <v>컴퓨존</v>
      </c>
      <c r="F714" s="155" t="str">
        <f>'4월'!F89</f>
        <v>고영테크놀러지</v>
      </c>
      <c r="G714" s="156" t="str">
        <f>'4월'!G89</f>
        <v>상품</v>
      </c>
      <c r="H714" s="156" t="str">
        <f>'4월'!H89</f>
        <v>조립PC</v>
      </c>
      <c r="I714" s="69" t="str">
        <f>'4월'!I89</f>
        <v>조립 PC</v>
      </c>
      <c r="J714" s="124">
        <f>'4월'!J89</f>
        <v>3</v>
      </c>
      <c r="K714" s="15">
        <f>'4월'!K89</f>
        <v>958454.66666666663</v>
      </c>
      <c r="L714" s="16">
        <f>'4월'!L89</f>
        <v>2875364</v>
      </c>
      <c r="M714" s="16">
        <f>'4월'!M89</f>
        <v>287536</v>
      </c>
      <c r="N714" s="15">
        <f>'4월'!N89</f>
        <v>3162900</v>
      </c>
      <c r="O714" s="5" t="str">
        <f>'4월'!O89</f>
        <v>완료(4/28)</v>
      </c>
      <c r="P714" s="9" t="str">
        <f>'4월'!P89</f>
        <v>이지훈</v>
      </c>
      <c r="Q714" s="5">
        <f>'4월'!Q89</f>
        <v>45798</v>
      </c>
      <c r="R714" s="209"/>
    </row>
    <row r="715" spans="1:20" ht="16.5" customHeight="1">
      <c r="A715" t="s">
        <v>64</v>
      </c>
      <c r="B715" s="10" t="str">
        <f>'4월'!B90</f>
        <v>Y250409-01</v>
      </c>
      <c r="C715" s="12"/>
      <c r="D715" s="13">
        <f>'4월'!D90</f>
        <v>45775</v>
      </c>
      <c r="E715" s="155" t="str">
        <f>'4월'!E90</f>
        <v>컴퓨존</v>
      </c>
      <c r="F715" s="155" t="str">
        <f>'4월'!F90</f>
        <v>현성솔루션</v>
      </c>
      <c r="G715" s="156" t="str">
        <f>'4월'!G90</f>
        <v>상품</v>
      </c>
      <c r="H715" s="156" t="str">
        <f>'4월'!H90</f>
        <v>GBIC</v>
      </c>
      <c r="I715" s="69" t="str">
        <f>'4월'!I90</f>
        <v>10Gbps 호환 Gbic</v>
      </c>
      <c r="J715" s="124">
        <f>'4월'!J90</f>
        <v>12</v>
      </c>
      <c r="K715" s="15">
        <f>'4월'!K90</f>
        <v>14582</v>
      </c>
      <c r="L715" s="16">
        <f>'4월'!L90</f>
        <v>174982</v>
      </c>
      <c r="M715" s="16">
        <f>'4월'!M90</f>
        <v>17498</v>
      </c>
      <c r="N715" s="15">
        <f>'4월'!N90</f>
        <v>192480</v>
      </c>
      <c r="O715" s="5" t="str">
        <f>'4월'!O90</f>
        <v>완료(4/28)</v>
      </c>
      <c r="P715" s="9" t="str">
        <f>'4월'!P90</f>
        <v>홍승민</v>
      </c>
      <c r="Q715" s="5">
        <f>'4월'!Q90</f>
        <v>45776</v>
      </c>
      <c r="R715" s="209"/>
    </row>
    <row r="716" spans="1:20" ht="16.5" customHeight="1">
      <c r="A716" t="s">
        <v>64</v>
      </c>
      <c r="B716" s="10" t="str">
        <f>'4월'!B91</f>
        <v>X</v>
      </c>
      <c r="C716" s="12"/>
      <c r="D716" s="13">
        <f>'4월'!D91</f>
        <v>45775</v>
      </c>
      <c r="E716" s="155" t="str">
        <f>'4월'!E91</f>
        <v>에이피에스</v>
      </c>
      <c r="F716" s="155"/>
      <c r="G716" s="156" t="str">
        <f>'4월'!G91</f>
        <v>일반경비</v>
      </c>
      <c r="H716" s="156" t="str">
        <f>'4월'!H91</f>
        <v>차량유지비</v>
      </c>
      <c r="I716" s="69" t="str">
        <f>'4월'!I91</f>
        <v xml:space="preserve">E350(262무2108) 반납 원상복구비용 </v>
      </c>
      <c r="J716" s="124">
        <f>'4월'!J91</f>
        <v>1</v>
      </c>
      <c r="K716" s="15">
        <f>'4월'!K91</f>
        <v>780000</v>
      </c>
      <c r="L716" s="16">
        <f>'4월'!L91</f>
        <v>780000</v>
      </c>
      <c r="M716" s="16">
        <f>'4월'!M91</f>
        <v>78000</v>
      </c>
      <c r="N716" s="15">
        <f>'4월'!N91</f>
        <v>858000</v>
      </c>
      <c r="O716" s="5" t="str">
        <f>'4월'!O91</f>
        <v>완료(4/28)</v>
      </c>
      <c r="P716" s="9" t="str">
        <f>'4월'!P91</f>
        <v>정지우</v>
      </c>
      <c r="Q716" s="5" t="str">
        <f>'4월'!Q91</f>
        <v>X</v>
      </c>
      <c r="R716" s="209"/>
    </row>
    <row r="717" spans="1:20" ht="16.5" customHeight="1">
      <c r="A717" t="s">
        <v>64</v>
      </c>
      <c r="B717" s="10" t="str">
        <f>'4월'!B92</f>
        <v>D250424-01</v>
      </c>
      <c r="C717" s="12"/>
      <c r="D717" s="13">
        <f>'4월'!D92</f>
        <v>45775</v>
      </c>
      <c r="E717" s="155" t="str">
        <f>'4월'!E92</f>
        <v>리더스시스템즈</v>
      </c>
      <c r="F717" s="155" t="str">
        <f>'4월'!F92</f>
        <v>고영테크놀러지</v>
      </c>
      <c r="G717" s="156" t="str">
        <f>'4월'!G92</f>
        <v>상품</v>
      </c>
      <c r="H717" s="156" t="str">
        <f>'4월'!H92</f>
        <v>GPU</v>
      </c>
      <c r="I717" s="69" t="str">
        <f>'4월'!I92</f>
        <v>[NVIDIA] RTX 4000 Ada Generation D6 20GB</v>
      </c>
      <c r="J717" s="122">
        <f>'4월'!J92</f>
        <v>3</v>
      </c>
      <c r="K717" s="15">
        <f>'4월'!K92</f>
        <v>2033000</v>
      </c>
      <c r="L717" s="16">
        <f>'4월'!L92</f>
        <v>6099000</v>
      </c>
      <c r="M717" s="16">
        <f>'4월'!M92</f>
        <v>609900</v>
      </c>
      <c r="N717" s="15">
        <f>'4월'!N92</f>
        <v>6708900</v>
      </c>
      <c r="O717" s="5" t="str">
        <f>'4월'!O92</f>
        <v>완료(4/28)</v>
      </c>
      <c r="P717" s="9" t="str">
        <f>'4월'!P92</f>
        <v>이지훈</v>
      </c>
      <c r="Q717" s="5">
        <f>'4월'!Q92</f>
        <v>45798</v>
      </c>
      <c r="R717" s="209"/>
    </row>
    <row r="718" spans="1:20" ht="16.5" customHeight="1">
      <c r="A718" t="s">
        <v>64</v>
      </c>
      <c r="B718" s="10" t="str">
        <f>'4월'!B93</f>
        <v>D250424-01</v>
      </c>
      <c r="C718" s="12"/>
      <c r="D718" s="13">
        <f>'4월'!D93</f>
        <v>45775</v>
      </c>
      <c r="E718" s="155" t="str">
        <f>'4월'!E93</f>
        <v>조이젠</v>
      </c>
      <c r="F718" s="155" t="str">
        <f>'4월'!F93</f>
        <v>고영테크놀러지</v>
      </c>
      <c r="G718" s="156" t="str">
        <f>'4월'!G93</f>
        <v>상품</v>
      </c>
      <c r="H718" s="156" t="str">
        <f>'4월'!H93</f>
        <v>CPU</v>
      </c>
      <c r="I718" s="69" t="str">
        <f>'4월'!I93</f>
        <v>[INTEL] 코어 i7-14700 정품박스 (랩터레이크 리프레시/2.1GHz)</v>
      </c>
      <c r="J718" s="124">
        <f>'4월'!J93</f>
        <v>3</v>
      </c>
      <c r="K718" s="15">
        <f>'4월'!K93</f>
        <v>454991</v>
      </c>
      <c r="L718" s="16">
        <f>'4월'!L93</f>
        <v>1364973</v>
      </c>
      <c r="M718" s="16">
        <f>'4월'!M93</f>
        <v>136497</v>
      </c>
      <c r="N718" s="15">
        <f>'4월'!N93</f>
        <v>1501470</v>
      </c>
      <c r="O718" s="5" t="str">
        <f>'4월'!O93</f>
        <v>완료(4/28)</v>
      </c>
      <c r="P718" s="9" t="str">
        <f>'4월'!P93</f>
        <v>이지훈</v>
      </c>
      <c r="Q718" s="5">
        <f>'4월'!Q93</f>
        <v>45798</v>
      </c>
      <c r="R718" s="209"/>
    </row>
    <row r="719" spans="1:20" ht="16.5" customHeight="1">
      <c r="A719" t="s">
        <v>64</v>
      </c>
      <c r="B719" s="10" t="str">
        <f>'4월'!B94</f>
        <v>IK-24001</v>
      </c>
      <c r="C719" s="12"/>
      <c r="D719" s="13">
        <f>'4월'!D94</f>
        <v>45775</v>
      </c>
      <c r="E719" s="155" t="str">
        <f>'4월'!E94</f>
        <v>알앤큐시스템</v>
      </c>
      <c r="F719" s="155" t="str">
        <f>'4월'!F94</f>
        <v>로스만스/브리티쉬</v>
      </c>
      <c r="G719" s="156" t="str">
        <f>'4월'!G94</f>
        <v>MA</v>
      </c>
      <c r="H719" s="156" t="str">
        <f>'4월'!H94</f>
        <v>월간</v>
      </c>
      <c r="I719" s="69" t="str">
        <f>'4월'!I94</f>
        <v>BAT 통합 유지보수 4월분 - 4/12회</v>
      </c>
      <c r="J719" s="122">
        <f>'4월'!J94</f>
        <v>1</v>
      </c>
      <c r="K719" s="15">
        <f>'4월'!K94</f>
        <v>4950000</v>
      </c>
      <c r="L719" s="16">
        <f>'4월'!L94</f>
        <v>4950000</v>
      </c>
      <c r="M719" s="15">
        <f>'4월'!M94</f>
        <v>495000</v>
      </c>
      <c r="N719" s="15">
        <f>'4월'!N94</f>
        <v>5445000</v>
      </c>
      <c r="O719" s="5" t="str">
        <f>'4월'!O94</f>
        <v>완료(7/15)</v>
      </c>
      <c r="P719" s="174" t="str">
        <f>'4월'!P94</f>
        <v>천범석</v>
      </c>
      <c r="Q719" s="5">
        <f>'4월'!Q94</f>
        <v>45777</v>
      </c>
      <c r="R719" s="209"/>
    </row>
    <row r="720" spans="1:20" ht="16.5" customHeight="1">
      <c r="A720" t="s">
        <v>64</v>
      </c>
      <c r="B720" s="10" t="str">
        <f>'4월'!B95</f>
        <v>H250410-01</v>
      </c>
      <c r="C720" s="12"/>
      <c r="D720" s="13">
        <f>'4월'!D95</f>
        <v>45775</v>
      </c>
      <c r="E720" s="155" t="str">
        <f>'4월'!E95</f>
        <v>알앤큐시스템</v>
      </c>
      <c r="F720" s="155" t="str">
        <f>'4월'!F95</f>
        <v>브리티쉬아메리칸토바코</v>
      </c>
      <c r="G720" s="156" t="str">
        <f>'4월'!G95</f>
        <v>상품</v>
      </c>
      <c r="H720" s="156" t="str">
        <f>'4월'!H95</f>
        <v>VXRail 라이선스</v>
      </c>
      <c r="I720" s="69" t="str">
        <f>'4월'!I95</f>
        <v>VXRail Software(Vmware) 라이선스</v>
      </c>
      <c r="J720" s="122">
        <f>'4월'!J95</f>
        <v>1</v>
      </c>
      <c r="K720" s="15">
        <f>'4월'!K95</f>
        <v>44400000</v>
      </c>
      <c r="L720" s="16">
        <f>'4월'!L95</f>
        <v>44400000</v>
      </c>
      <c r="M720" s="16">
        <f>'4월'!M95</f>
        <v>4440000</v>
      </c>
      <c r="N720" s="15">
        <f>'4월'!N95</f>
        <v>48840000</v>
      </c>
      <c r="O720" s="5" t="str">
        <f>'4월'!O95</f>
        <v>완료(7/15)</v>
      </c>
      <c r="P720" s="9" t="str">
        <f>'4월'!P95</f>
        <v>천범석</v>
      </c>
      <c r="Q720" s="5">
        <f>'4월'!Q95</f>
        <v>45771</v>
      </c>
      <c r="R720" s="209"/>
    </row>
    <row r="721" spans="1:20" ht="16.5" customHeight="1">
      <c r="A721" t="s">
        <v>64</v>
      </c>
      <c r="B721" s="10" t="str">
        <f>'4월'!B96</f>
        <v>H250428-01</v>
      </c>
      <c r="C721" s="12"/>
      <c r="D721" s="13">
        <f>'4월'!D96</f>
        <v>45775</v>
      </c>
      <c r="E721" s="155" t="str">
        <f>'4월'!E96</f>
        <v>이비웨이브</v>
      </c>
      <c r="F721" s="155" t="str">
        <f>'4월'!F96</f>
        <v>동원프라스틱</v>
      </c>
      <c r="G721" s="156" t="str">
        <f>'4월'!G96</f>
        <v>MA</v>
      </c>
      <c r="H721" s="156" t="str">
        <f>'4월'!H96</f>
        <v xml:space="preserve">43W8250 </v>
      </c>
      <c r="I721" s="69" t="str">
        <f>'4월'!I96</f>
        <v>System Board for X3650</v>
      </c>
      <c r="J721" s="122">
        <f>'4월'!J96</f>
        <v>1</v>
      </c>
      <c r="K721" s="15">
        <f>'4월'!K96</f>
        <v>250000</v>
      </c>
      <c r="L721" s="16">
        <f>'4월'!L96</f>
        <v>250000</v>
      </c>
      <c r="M721" s="16">
        <f>'4월'!M96</f>
        <v>25000</v>
      </c>
      <c r="N721" s="15">
        <f>'4월'!N96</f>
        <v>275000</v>
      </c>
      <c r="O721" s="5" t="str">
        <f>'4월'!O96</f>
        <v>완료(6/30)</v>
      </c>
      <c r="P721" s="9" t="str">
        <f>'4월'!P96</f>
        <v>천범석</v>
      </c>
      <c r="Q721" s="5" t="str">
        <f>'4월'!Q96</f>
        <v>MA</v>
      </c>
      <c r="R721" s="209"/>
    </row>
    <row r="722" spans="1:20" ht="16.5" customHeight="1">
      <c r="A722" t="s">
        <v>64</v>
      </c>
      <c r="B722" s="10" t="str">
        <f>'4월'!B97</f>
        <v>H250428-02</v>
      </c>
      <c r="C722" s="12"/>
      <c r="D722" s="13">
        <f>'4월'!D97</f>
        <v>45775</v>
      </c>
      <c r="E722" s="155" t="str">
        <f>'4월'!E97</f>
        <v>이비웨이브</v>
      </c>
      <c r="F722" s="155" t="str">
        <f>'4월'!F97</f>
        <v>동원프라스틱</v>
      </c>
      <c r="G722" s="156" t="str">
        <f>'4월'!G97</f>
        <v>MA</v>
      </c>
      <c r="H722" s="156" t="str">
        <f>'4월'!H97</f>
        <v xml:space="preserve">39Y7377 </v>
      </c>
      <c r="I722" s="69" t="str">
        <f>'4월'!I97</f>
        <v>835w Power Supply for X3650</v>
      </c>
      <c r="J722" s="122">
        <f>'4월'!J97</f>
        <v>2</v>
      </c>
      <c r="K722" s="15">
        <f>'4월'!K97</f>
        <v>60000</v>
      </c>
      <c r="L722" s="16">
        <f>'4월'!L97</f>
        <v>120000</v>
      </c>
      <c r="M722" s="16">
        <f>'4월'!M97</f>
        <v>12000</v>
      </c>
      <c r="N722" s="15">
        <f>'4월'!N97</f>
        <v>132000</v>
      </c>
      <c r="O722" s="5" t="str">
        <f>'4월'!O97</f>
        <v>완료(6/30)</v>
      </c>
      <c r="P722" s="9" t="str">
        <f>'4월'!P97</f>
        <v>천범석</v>
      </c>
      <c r="Q722" s="5" t="str">
        <f>'4월'!Q97</f>
        <v>MA</v>
      </c>
      <c r="R722" s="209"/>
    </row>
    <row r="723" spans="1:20" ht="16.5" customHeight="1">
      <c r="A723" t="s">
        <v>64</v>
      </c>
      <c r="B723" s="10" t="str">
        <f>'4월'!B98</f>
        <v>Y250409-01</v>
      </c>
      <c r="C723" s="12"/>
      <c r="D723" s="13">
        <f>'4월'!D98</f>
        <v>45776</v>
      </c>
      <c r="E723" s="155" t="str">
        <f>'4월'!E98</f>
        <v>컴퓨존</v>
      </c>
      <c r="F723" s="155" t="str">
        <f>'4월'!F98</f>
        <v>현성솔루션</v>
      </c>
      <c r="G723" s="156" t="str">
        <f>'4월'!G98</f>
        <v>상품</v>
      </c>
      <c r="H723" s="156" t="str">
        <f>'4월'!H98</f>
        <v>GBIC</v>
      </c>
      <c r="I723" s="69" t="str">
        <f>'4월'!I98</f>
        <v>10Gbps 호환 Gbic</v>
      </c>
      <c r="J723" s="124">
        <f>'4월'!J98</f>
        <v>12</v>
      </c>
      <c r="K723" s="15">
        <f>'4월'!K98</f>
        <v>22736.363636363636</v>
      </c>
      <c r="L723" s="16">
        <f>'4월'!L98</f>
        <v>272836</v>
      </c>
      <c r="M723" s="16">
        <f>'4월'!M98</f>
        <v>27284</v>
      </c>
      <c r="N723" s="15">
        <f>'4월'!N98</f>
        <v>300120</v>
      </c>
      <c r="O723" s="5" t="str">
        <f>'4월'!O98</f>
        <v>완료(4/29)</v>
      </c>
      <c r="P723" s="9" t="str">
        <f>'4월'!P98</f>
        <v>홍승민</v>
      </c>
      <c r="Q723" s="5">
        <f>'4월'!Q98</f>
        <v>45776</v>
      </c>
      <c r="R723" s="209"/>
    </row>
    <row r="724" spans="1:20" ht="16.5" customHeight="1">
      <c r="A724" t="s">
        <v>64</v>
      </c>
      <c r="B724" s="10" t="str">
        <f>'4월'!B99</f>
        <v>Y250409-01</v>
      </c>
      <c r="C724" s="12"/>
      <c r="D724" s="13">
        <f>'4월'!D99</f>
        <v>45776</v>
      </c>
      <c r="E724" s="155" t="str">
        <f>'4월'!E99</f>
        <v>컴퓨존</v>
      </c>
      <c r="F724" s="155" t="str">
        <f>'4월'!F99</f>
        <v>현성솔루션</v>
      </c>
      <c r="G724" s="156" t="str">
        <f>'4월'!G99</f>
        <v>상품</v>
      </c>
      <c r="H724" s="156" t="str">
        <f>'4월'!H99</f>
        <v>GBIC</v>
      </c>
      <c r="I724" s="69" t="str">
        <f>'4월'!I99</f>
        <v>10Gbps 호환 Gbic</v>
      </c>
      <c r="J724" s="124">
        <f>'4월'!J99</f>
        <v>12</v>
      </c>
      <c r="K724" s="15">
        <f>'4월'!K99</f>
        <v>-14582</v>
      </c>
      <c r="L724" s="16">
        <f>'4월'!L99</f>
        <v>-174982</v>
      </c>
      <c r="M724" s="16">
        <f>'4월'!M99</f>
        <v>-17498</v>
      </c>
      <c r="N724" s="15">
        <f>'4월'!N99</f>
        <v>-192480</v>
      </c>
      <c r="O724" s="5" t="str">
        <f>'4월'!O99</f>
        <v>환불(4/29)</v>
      </c>
      <c r="P724" s="9" t="str">
        <f>'4월'!P99</f>
        <v>홍승민</v>
      </c>
      <c r="Q724" s="5">
        <f>'4월'!Q99</f>
        <v>45776</v>
      </c>
      <c r="R724" s="209"/>
    </row>
    <row r="725" spans="1:20" ht="16.5" customHeight="1">
      <c r="A725" t="s">
        <v>64</v>
      </c>
      <c r="B725" s="10" t="str">
        <f>'4월'!B100</f>
        <v>D250424-01</v>
      </c>
      <c r="C725" s="12"/>
      <c r="D725" s="13">
        <f>'4월'!D100</f>
        <v>45776</v>
      </c>
      <c r="E725" s="155" t="str">
        <f>'4월'!E100</f>
        <v>컴퓨존</v>
      </c>
      <c r="F725" s="155" t="str">
        <f>'4월'!F100</f>
        <v>고영테크놀러지</v>
      </c>
      <c r="G725" s="156" t="str">
        <f>'4월'!G100</f>
        <v>상품</v>
      </c>
      <c r="H725" s="156" t="str">
        <f>'4월'!H100</f>
        <v>SSD</v>
      </c>
      <c r="I725" s="69" t="str">
        <f>'4월'!I100</f>
        <v>[SK]Platinum P41 M1.2 NVMe 2280 1TB</v>
      </c>
      <c r="J725" s="124">
        <f>'4월'!J100</f>
        <v>6</v>
      </c>
      <c r="K725" s="15">
        <f>'4월'!K100</f>
        <v>129090.90909090907</v>
      </c>
      <c r="L725" s="16">
        <f>'4월'!L100</f>
        <v>774545</v>
      </c>
      <c r="M725" s="16">
        <f>'4월'!M100</f>
        <v>77455</v>
      </c>
      <c r="N725" s="15">
        <f>'4월'!N100</f>
        <v>852000</v>
      </c>
      <c r="O725" s="5" t="str">
        <f>'4월'!O100</f>
        <v>완료(4/29)</v>
      </c>
      <c r="P725" s="9" t="str">
        <f>'4월'!P100</f>
        <v>이지훈</v>
      </c>
      <c r="Q725" s="5">
        <f>'4월'!Q100</f>
        <v>45798</v>
      </c>
      <c r="R725" s="209"/>
    </row>
    <row r="726" spans="1:20" ht="16.5" customHeight="1">
      <c r="A726" t="s">
        <v>64</v>
      </c>
      <c r="B726" s="10" t="str">
        <f>'4월'!B101</f>
        <v>D250424-01</v>
      </c>
      <c r="C726" s="12"/>
      <c r="D726" s="13">
        <f>'4월'!D101</f>
        <v>45776</v>
      </c>
      <c r="E726" s="155" t="str">
        <f>'4월'!E101</f>
        <v>컴퓨존</v>
      </c>
      <c r="F726" s="155" t="str">
        <f>'4월'!F101</f>
        <v>고영테크놀러지</v>
      </c>
      <c r="G726" s="156" t="str">
        <f>'4월'!G101</f>
        <v>상품</v>
      </c>
      <c r="H726" s="156" t="str">
        <f>'4월'!H101</f>
        <v>SSD</v>
      </c>
      <c r="I726" s="69" t="str">
        <f>'4월'!I101</f>
        <v>[SK]Platinum P41 M1.2 NVMe 2280 2TB</v>
      </c>
      <c r="J726" s="124">
        <f>'4월'!J101</f>
        <v>6</v>
      </c>
      <c r="K726" s="15">
        <f>'4월'!K101</f>
        <v>-222727.27272727271</v>
      </c>
      <c r="L726" s="16">
        <f>'4월'!L101</f>
        <v>-1336363.6363636362</v>
      </c>
      <c r="M726" s="16">
        <f>'4월'!M101</f>
        <v>-133636.36363636362</v>
      </c>
      <c r="N726" s="15">
        <f>'4월'!N101</f>
        <v>-1469999.9999999998</v>
      </c>
      <c r="O726" s="5" t="str">
        <f>'4월'!O101</f>
        <v>환불(4/29)</v>
      </c>
      <c r="P726" s="9" t="str">
        <f>'4월'!P101</f>
        <v>이지훈</v>
      </c>
      <c r="Q726" s="5">
        <f>'4월'!Q101</f>
        <v>45798</v>
      </c>
      <c r="R726" s="209"/>
    </row>
    <row r="727" spans="1:20" ht="16.5" customHeight="1">
      <c r="A727" t="s">
        <v>64</v>
      </c>
      <c r="B727" s="10" t="str">
        <f>'4월'!B102</f>
        <v>H250507-01</v>
      </c>
      <c r="C727" s="12"/>
      <c r="D727" s="13">
        <f>'4월'!D102</f>
        <v>45776</v>
      </c>
      <c r="E727" s="155" t="str">
        <f>'4월'!E102</f>
        <v>이비웨이브</v>
      </c>
      <c r="F727" s="155" t="str">
        <f>'4월'!F102</f>
        <v>유니포인트</v>
      </c>
      <c r="G727" s="156" t="str">
        <f>'4월'!G102</f>
        <v>상품</v>
      </c>
      <c r="H727" s="156" t="str">
        <f>'4월'!H102</f>
        <v xml:space="preserve">00L4521 </v>
      </c>
      <c r="I727" s="69" t="str">
        <f>'4월'!I102</f>
        <v>600GB 10K 6G SAS 2.5inch Hard Dr</v>
      </c>
      <c r="J727" s="122">
        <f>'4월'!J102</f>
        <v>2</v>
      </c>
      <c r="K727" s="15">
        <f>'4월'!K102</f>
        <v>125000</v>
      </c>
      <c r="L727" s="16">
        <f>'4월'!L102</f>
        <v>250000</v>
      </c>
      <c r="M727" s="16">
        <f>'4월'!M102</f>
        <v>25000</v>
      </c>
      <c r="N727" s="15">
        <f>'4월'!N102</f>
        <v>275000</v>
      </c>
      <c r="O727" s="5" t="str">
        <f>'4월'!O102</f>
        <v>완료(6/30)</v>
      </c>
      <c r="P727" s="9" t="str">
        <f>'4월'!P102</f>
        <v>천범석</v>
      </c>
      <c r="Q727" s="5">
        <f>'4월'!Q102</f>
        <v>45785</v>
      </c>
      <c r="R727" s="209"/>
    </row>
    <row r="728" spans="1:20" ht="16.5" customHeight="1">
      <c r="A728" t="s">
        <v>64</v>
      </c>
      <c r="B728" s="10" t="str">
        <f>'4월'!B103</f>
        <v>H250430-01</v>
      </c>
      <c r="C728" s="12"/>
      <c r="D728" s="13">
        <f>'4월'!D103</f>
        <v>45777</v>
      </c>
      <c r="E728" s="155" t="str">
        <f>'4월'!E103</f>
        <v>이비웨이브</v>
      </c>
      <c r="F728" s="155" t="str">
        <f>'4월'!F103</f>
        <v>우리에스아이티</v>
      </c>
      <c r="G728" s="156" t="str">
        <f>'4월'!G103</f>
        <v>상품</v>
      </c>
      <c r="H728" s="244" t="str">
        <f>'4월'!H103</f>
        <v>43W9715</v>
      </c>
      <c r="I728" s="69" t="str">
        <f>'4월'!I103</f>
        <v>750GB 7.2K SATA 3.5inch Hard Dri</v>
      </c>
      <c r="J728" s="122">
        <f>'4월'!J103</f>
        <v>2</v>
      </c>
      <c r="K728" s="15">
        <f>'4월'!K103</f>
        <v>200000</v>
      </c>
      <c r="L728" s="16">
        <f>'4월'!L103</f>
        <v>400000</v>
      </c>
      <c r="M728" s="16">
        <f>'4월'!M103</f>
        <v>40000</v>
      </c>
      <c r="N728" s="15">
        <f>'4월'!N103</f>
        <v>440000</v>
      </c>
      <c r="O728" s="5" t="str">
        <f>'4월'!O103</f>
        <v>완료(6/30)</v>
      </c>
      <c r="P728" s="9" t="str">
        <f>'4월'!P103</f>
        <v>천범석</v>
      </c>
      <c r="Q728" s="5">
        <f>'4월'!Q103</f>
        <v>45791</v>
      </c>
      <c r="R728" s="209"/>
    </row>
    <row r="729" spans="1:20" ht="16.5" customHeight="1">
      <c r="A729" t="s">
        <v>64</v>
      </c>
      <c r="B729" s="141" t="str">
        <f>'4월'!B104</f>
        <v>X</v>
      </c>
      <c r="C729" s="142"/>
      <c r="D729" s="13">
        <f>'4월'!D104</f>
        <v>45777</v>
      </c>
      <c r="E729" s="155" t="str">
        <f>'4월'!E104</f>
        <v>비와이씨하이시티입주사대표회</v>
      </c>
      <c r="F729" s="163"/>
      <c r="G729" s="156" t="str">
        <f>'4월'!G104</f>
        <v>일반경비</v>
      </c>
      <c r="H729" s="156" t="str">
        <f>'4월'!H104</f>
        <v>건물관리</v>
      </c>
      <c r="I729" s="69" t="str">
        <f>'4월'!I104</f>
        <v>B동 1201호 4월 관리비 -과세분</v>
      </c>
      <c r="J729" s="124">
        <f>'4월'!J104</f>
        <v>1</v>
      </c>
      <c r="K729" s="16">
        <f>'4월'!K104</f>
        <v>416985</v>
      </c>
      <c r="L729" s="16">
        <f>'4월'!L104</f>
        <v>416985</v>
      </c>
      <c r="M729" s="15">
        <f>'4월'!M104</f>
        <v>41698</v>
      </c>
      <c r="N729" s="15">
        <f>'4월'!N104</f>
        <v>458683</v>
      </c>
      <c r="O729" s="5" t="str">
        <f>'4월'!O104</f>
        <v>완료(5/12)</v>
      </c>
      <c r="P729" s="175" t="str">
        <f>'4월'!P104</f>
        <v>정지우</v>
      </c>
      <c r="Q729" s="68" t="str">
        <f>'4월'!Q104</f>
        <v>X</v>
      </c>
      <c r="R729" s="212"/>
      <c r="S729" s="7"/>
    </row>
    <row r="730" spans="1:20" ht="16.5" customHeight="1">
      <c r="A730" t="s">
        <v>64</v>
      </c>
      <c r="B730" s="141" t="str">
        <f>'4월'!B105</f>
        <v>X</v>
      </c>
      <c r="C730" s="142"/>
      <c r="D730" s="13">
        <f>'4월'!D105</f>
        <v>45777</v>
      </c>
      <c r="E730" s="155" t="str">
        <f>'4월'!E105</f>
        <v>비와이씨하이시티입주사대표회</v>
      </c>
      <c r="F730" s="155"/>
      <c r="G730" s="156" t="str">
        <f>'4월'!G105</f>
        <v>일반경비</v>
      </c>
      <c r="H730" s="156" t="str">
        <f>'4월'!H105</f>
        <v>건물관리</v>
      </c>
      <c r="I730" s="69" t="str">
        <f>'4월'!I105</f>
        <v>B동 1201호 4월 관리비 -면세분</v>
      </c>
      <c r="J730" s="124">
        <f>'4월'!J105</f>
        <v>1</v>
      </c>
      <c r="K730" s="16">
        <f>'4월'!K105</f>
        <v>82368</v>
      </c>
      <c r="L730" s="16">
        <f>'4월'!L105</f>
        <v>82368</v>
      </c>
      <c r="M730" s="15" t="str">
        <f>'4월'!M105</f>
        <v>X</v>
      </c>
      <c r="N730" s="15">
        <f>'4월'!N105</f>
        <v>82368</v>
      </c>
      <c r="O730" s="5" t="str">
        <f>'4월'!O105</f>
        <v>완료(5/12)</v>
      </c>
      <c r="P730" s="175" t="str">
        <f>'4월'!P105</f>
        <v>정지우</v>
      </c>
      <c r="Q730" s="68" t="str">
        <f>'4월'!Q105</f>
        <v>X</v>
      </c>
      <c r="R730" s="212" t="str">
        <f>'4월'!R105</f>
        <v>비과세</v>
      </c>
      <c r="S730" s="7"/>
    </row>
    <row r="731" spans="1:20" ht="16.5" customHeight="1">
      <c r="A731" t="s">
        <v>64</v>
      </c>
      <c r="B731" s="10" t="str">
        <f>'4월'!B106</f>
        <v>SM-24003</v>
      </c>
      <c r="C731" s="142"/>
      <c r="D731" s="13">
        <f>'4월'!D106</f>
        <v>45777</v>
      </c>
      <c r="E731" s="155" t="str">
        <f>'4월'!E106</f>
        <v>프라테르</v>
      </c>
      <c r="F731" s="155" t="str">
        <f>'4월'!F106</f>
        <v>삼표산업</v>
      </c>
      <c r="G731" s="157" t="str">
        <f>'4월'!G106</f>
        <v>MA</v>
      </c>
      <c r="H731" s="157" t="str">
        <f>'4월'!H106</f>
        <v>월간</v>
      </c>
      <c r="I731" s="69" t="str">
        <f>'4월'!I106</f>
        <v>4월 오라클 유지정비료 - 4/12회</v>
      </c>
      <c r="J731" s="124">
        <f>'4월'!J106</f>
        <v>1</v>
      </c>
      <c r="K731" s="16">
        <f>'4월'!K106</f>
        <v>672000</v>
      </c>
      <c r="L731" s="15">
        <f>'4월'!L106</f>
        <v>672000</v>
      </c>
      <c r="M731" s="16">
        <f>'4월'!M106</f>
        <v>67200</v>
      </c>
      <c r="N731" s="15">
        <f>'4월'!N106</f>
        <v>739200</v>
      </c>
      <c r="O731" s="5" t="str">
        <f>'4월'!O106</f>
        <v>완료(5/30)</v>
      </c>
      <c r="P731" s="175" t="str">
        <f>'4월'!P106</f>
        <v>홍승민</v>
      </c>
      <c r="Q731" s="5">
        <f>'4월'!Q106</f>
        <v>45777</v>
      </c>
      <c r="R731" s="212"/>
      <c r="S731" s="7"/>
      <c r="T731" s="11"/>
    </row>
    <row r="732" spans="1:20" ht="16.5" customHeight="1">
      <c r="A732" t="s">
        <v>64</v>
      </c>
      <c r="B732" s="140" t="str">
        <f>'4월'!B107</f>
        <v>SM-24021</v>
      </c>
      <c r="C732" s="142"/>
      <c r="D732" s="13">
        <f>'4월'!D107</f>
        <v>45777</v>
      </c>
      <c r="E732" s="155" t="str">
        <f>'4월'!E107</f>
        <v>키미데이타</v>
      </c>
      <c r="F732" s="155" t="str">
        <f>'4월'!F107</f>
        <v>에이캐피탈</v>
      </c>
      <c r="G732" s="157" t="str">
        <f>'4월'!G107</f>
        <v>MA</v>
      </c>
      <c r="H732" s="157" t="str">
        <f>'4월'!H107</f>
        <v>월간</v>
      </c>
      <c r="I732" s="69" t="str">
        <f>'4월'!I107</f>
        <v>4월 유지정비료 - 8/12회</v>
      </c>
      <c r="J732" s="124">
        <f>'4월'!J107</f>
        <v>1</v>
      </c>
      <c r="K732" s="16">
        <f>'4월'!K107</f>
        <v>70000</v>
      </c>
      <c r="L732" s="15">
        <f>'4월'!L107</f>
        <v>70000</v>
      </c>
      <c r="M732" s="15">
        <f>'4월'!M107</f>
        <v>7000</v>
      </c>
      <c r="N732" s="15">
        <f>'4월'!N107</f>
        <v>77000</v>
      </c>
      <c r="O732" s="5" t="str">
        <f>'4월'!O107</f>
        <v>완료(6/30)</v>
      </c>
      <c r="P732" s="175" t="str">
        <f>'4월'!P107</f>
        <v>이예지</v>
      </c>
      <c r="Q732" s="5">
        <f>'4월'!Q107</f>
        <v>45782</v>
      </c>
      <c r="R732" s="212"/>
      <c r="S732" s="7"/>
      <c r="T732" s="11"/>
    </row>
    <row r="733" spans="1:20" ht="16.5" customHeight="1">
      <c r="A733" t="s">
        <v>64</v>
      </c>
      <c r="B733" s="141" t="str">
        <f>'4월'!B108</f>
        <v>X</v>
      </c>
      <c r="C733" s="142"/>
      <c r="D733" s="13">
        <f>'4월'!D108</f>
        <v>45777</v>
      </c>
      <c r="E733" s="155" t="str">
        <f>'4월'!E108</f>
        <v>금오이노베이션</v>
      </c>
      <c r="F733" s="155"/>
      <c r="G733" s="156" t="str">
        <f>'4월'!G108</f>
        <v>일반경비</v>
      </c>
      <c r="H733" s="156" t="str">
        <f>'4월'!H108</f>
        <v>통신비</v>
      </c>
      <c r="I733" s="69" t="str">
        <f>'4월'!I108</f>
        <v>기업(구내) 4월 인터넷 사용료</v>
      </c>
      <c r="J733" s="124">
        <f>'4월'!J108</f>
        <v>1</v>
      </c>
      <c r="K733" s="16">
        <f>'4월'!K108</f>
        <v>40000</v>
      </c>
      <c r="L733" s="15">
        <f>'4월'!L108</f>
        <v>40000</v>
      </c>
      <c r="M733" s="15">
        <f>'4월'!M108</f>
        <v>4000</v>
      </c>
      <c r="N733" s="15">
        <f>'4월'!N108</f>
        <v>44000</v>
      </c>
      <c r="O733" s="5" t="str">
        <f>'4월'!O108</f>
        <v>자동이체(5/12)</v>
      </c>
      <c r="P733" s="175" t="str">
        <f>'4월'!P108</f>
        <v>정지우</v>
      </c>
      <c r="Q733" s="68" t="str">
        <f>'4월'!Q108</f>
        <v>X</v>
      </c>
      <c r="R733" s="212"/>
      <c r="S733" s="7"/>
      <c r="T733" s="11"/>
    </row>
    <row r="734" spans="1:20" ht="16.5" customHeight="1">
      <c r="A734" t="s">
        <v>64</v>
      </c>
      <c r="B734" s="10" t="str">
        <f>'4월'!B109</f>
        <v>SM-24003</v>
      </c>
      <c r="C734" s="142"/>
      <c r="D734" s="13">
        <f>'4월'!D109</f>
        <v>45777</v>
      </c>
      <c r="E734" s="155" t="str">
        <f>'4월'!E109</f>
        <v>현성솔루션</v>
      </c>
      <c r="F734" s="155" t="str">
        <f>'4월'!F109</f>
        <v>삼표산업</v>
      </c>
      <c r="G734" s="157" t="str">
        <f>'4월'!G109</f>
        <v>MA</v>
      </c>
      <c r="H734" s="157" t="str">
        <f>'4월'!H109</f>
        <v>월간</v>
      </c>
      <c r="I734" s="69" t="str">
        <f>'4월'!I109</f>
        <v>파이오링크 L4 4월 유지정비료 - 4/12회</v>
      </c>
      <c r="J734" s="124">
        <f>'4월'!J109</f>
        <v>1</v>
      </c>
      <c r="K734" s="16">
        <f>'4월'!K109</f>
        <v>100000</v>
      </c>
      <c r="L734" s="15">
        <f>'4월'!L109</f>
        <v>100000</v>
      </c>
      <c r="M734" s="15">
        <f>'4월'!M109</f>
        <v>10000</v>
      </c>
      <c r="N734" s="15">
        <f>'4월'!N109</f>
        <v>110000</v>
      </c>
      <c r="O734" s="5" t="str">
        <f>'4월'!O109</f>
        <v>완료(5/30)</v>
      </c>
      <c r="P734" s="175" t="str">
        <f>'4월'!P109</f>
        <v>홍승민</v>
      </c>
      <c r="Q734" s="5">
        <f>'4월'!Q109</f>
        <v>45777</v>
      </c>
      <c r="R734" s="212"/>
      <c r="S734" s="7"/>
      <c r="T734" s="11"/>
    </row>
    <row r="735" spans="1:20" ht="16.5" customHeight="1">
      <c r="A735" t="s">
        <v>64</v>
      </c>
      <c r="B735" s="140" t="str">
        <f>'4월'!B110</f>
        <v>SM-23025</v>
      </c>
      <c r="C735" s="12"/>
      <c r="D735" s="13">
        <f>'4월'!D110</f>
        <v>45777</v>
      </c>
      <c r="E735" s="155" t="str">
        <f>'4월'!E110</f>
        <v>현성솔루션</v>
      </c>
      <c r="F735" s="155" t="str">
        <f>'4월'!F110</f>
        <v>한국교과서협회</v>
      </c>
      <c r="G735" s="157" t="str">
        <f>'4월'!G110</f>
        <v>MA</v>
      </c>
      <c r="H735" s="167" t="str">
        <f>'4월'!H110</f>
        <v>월간</v>
      </c>
      <c r="I735" s="69" t="str">
        <f>'4월'!I110</f>
        <v>메일호스팅 4월 - 9/12회</v>
      </c>
      <c r="J735" s="124">
        <f>'4월'!J110</f>
        <v>1</v>
      </c>
      <c r="K735" s="16">
        <f>'4월'!K110</f>
        <v>595000</v>
      </c>
      <c r="L735" s="15">
        <f>'4월'!L110</f>
        <v>595000</v>
      </c>
      <c r="M735" s="15">
        <f>'4월'!M110</f>
        <v>59500</v>
      </c>
      <c r="N735" s="15">
        <f>'4월'!N110</f>
        <v>654500</v>
      </c>
      <c r="O735" s="5" t="str">
        <f>'4월'!O110</f>
        <v>완료(5/30)</v>
      </c>
      <c r="P735" s="174" t="str">
        <f>'4월'!P110</f>
        <v>천범석</v>
      </c>
      <c r="Q735" s="5">
        <f>'4월'!Q110</f>
        <v>45777</v>
      </c>
      <c r="R735" s="211"/>
      <c r="S735" s="7"/>
      <c r="T735" s="11"/>
    </row>
    <row r="736" spans="1:20" ht="16.5" customHeight="1">
      <c r="A736" t="s">
        <v>64</v>
      </c>
      <c r="B736" s="140" t="str">
        <f>'4월'!B111</f>
        <v>SM-23026</v>
      </c>
      <c r="C736" s="12"/>
      <c r="D736" s="13">
        <f>'4월'!D111</f>
        <v>45777</v>
      </c>
      <c r="E736" s="155" t="str">
        <f>'4월'!E111</f>
        <v>현성솔루션</v>
      </c>
      <c r="F736" s="155" t="str">
        <f>'4월'!F111</f>
        <v>한국교과서협회</v>
      </c>
      <c r="G736" s="157" t="str">
        <f>'4월'!G111</f>
        <v>MA</v>
      </c>
      <c r="H736" s="167" t="str">
        <f>'4월'!H111</f>
        <v>월간</v>
      </c>
      <c r="I736" s="69" t="str">
        <f>'4월'!I111</f>
        <v>4월 유지정비료 - 9/12회</v>
      </c>
      <c r="J736" s="124">
        <f>'4월'!J111</f>
        <v>1</v>
      </c>
      <c r="K736" s="188">
        <f>'4월'!K111</f>
        <v>840000</v>
      </c>
      <c r="L736" s="15">
        <f>'4월'!L111</f>
        <v>840000</v>
      </c>
      <c r="M736" s="15">
        <f>'4월'!M111</f>
        <v>84000</v>
      </c>
      <c r="N736" s="15">
        <f>'4월'!N111</f>
        <v>924000</v>
      </c>
      <c r="O736" s="5" t="str">
        <f>'4월'!O111</f>
        <v>완료(5/30)</v>
      </c>
      <c r="P736" s="174" t="str">
        <f>'4월'!P111</f>
        <v>천범석</v>
      </c>
      <c r="Q736" s="5">
        <f>'4월'!Q111</f>
        <v>45777</v>
      </c>
      <c r="R736" s="211"/>
      <c r="S736" s="7"/>
      <c r="T736" s="11"/>
    </row>
    <row r="737" spans="1:21" ht="16.5" customHeight="1">
      <c r="A737" t="s">
        <v>64</v>
      </c>
      <c r="B737" s="141" t="str">
        <f>'4월'!B112</f>
        <v>X</v>
      </c>
      <c r="C737" s="12"/>
      <c r="D737" s="13">
        <f>'4월'!D112</f>
        <v>45777</v>
      </c>
      <c r="E737" s="155" t="str">
        <f>'4월'!E112</f>
        <v>신한회계법인</v>
      </c>
      <c r="F737" s="163"/>
      <c r="G737" s="156" t="str">
        <f>'4월'!G112</f>
        <v>일반경비</v>
      </c>
      <c r="H737" s="157" t="str">
        <f>'4월'!H112</f>
        <v>지급수수료</v>
      </c>
      <c r="I737" s="159" t="str">
        <f>'4월'!I112</f>
        <v>4월 기장료</v>
      </c>
      <c r="J737" s="124">
        <f>'4월'!J112</f>
        <v>1</v>
      </c>
      <c r="K737" s="188">
        <f>'4월'!K112</f>
        <v>200000</v>
      </c>
      <c r="L737" s="15">
        <f>'4월'!L112</f>
        <v>200000</v>
      </c>
      <c r="M737" s="15">
        <f>'4월'!M112</f>
        <v>20000</v>
      </c>
      <c r="N737" s="15">
        <f>'4월'!N112</f>
        <v>220000</v>
      </c>
      <c r="O737" s="5" t="str">
        <f>'4월'!O112</f>
        <v>완료(5/15)</v>
      </c>
      <c r="P737" s="175" t="str">
        <f>'4월'!P112</f>
        <v>정지우</v>
      </c>
      <c r="Q737" s="68" t="str">
        <f>'4월'!Q112</f>
        <v>X</v>
      </c>
      <c r="R737" s="211"/>
      <c r="S737" s="7"/>
      <c r="T737" s="11"/>
    </row>
    <row r="738" spans="1:21" ht="16.5" customHeight="1">
      <c r="A738" t="s">
        <v>64</v>
      </c>
      <c r="B738" s="10" t="str">
        <f>'4월'!B113</f>
        <v>SB-24007</v>
      </c>
      <c r="C738" s="12"/>
      <c r="D738" s="13">
        <f>'4월'!D113</f>
        <v>45777</v>
      </c>
      <c r="E738" s="155" t="str">
        <f>'4월'!E113</f>
        <v>다솜테크</v>
      </c>
      <c r="F738" s="155" t="str">
        <f>'4월'!F113</f>
        <v>와이젠정보기술</v>
      </c>
      <c r="G738" s="157" t="str">
        <f>'4월'!G113</f>
        <v>MA</v>
      </c>
      <c r="H738" s="156" t="str">
        <f>'4월'!H113</f>
        <v>월간</v>
      </c>
      <c r="I738" s="69" t="str">
        <f>'4월'!I113</f>
        <v>안국약품 4월 기술지원료 - 4/12회</v>
      </c>
      <c r="J738" s="122">
        <f>'4월'!J113</f>
        <v>1</v>
      </c>
      <c r="K738" s="15">
        <f>'4월'!K113</f>
        <v>250000</v>
      </c>
      <c r="L738" s="16">
        <f>'4월'!L113</f>
        <v>250000</v>
      </c>
      <c r="M738" s="16">
        <f>'4월'!M113</f>
        <v>25000</v>
      </c>
      <c r="N738" s="15">
        <f>'4월'!N113</f>
        <v>275000</v>
      </c>
      <c r="O738" s="5" t="str">
        <f>'4월'!O113</f>
        <v>완료(6/30)</v>
      </c>
      <c r="P738" s="9" t="str">
        <f>'4월'!P113</f>
        <v>천범석</v>
      </c>
      <c r="Q738" s="5">
        <f>'4월'!Q113</f>
        <v>45777</v>
      </c>
      <c r="R738" s="209"/>
      <c r="U738" s="11"/>
    </row>
    <row r="739" spans="1:21" ht="16.5" customHeight="1">
      <c r="A739" t="s">
        <v>64</v>
      </c>
      <c r="B739" s="10" t="str">
        <f>'4월'!B114</f>
        <v>IK-25002</v>
      </c>
      <c r="C739" s="12"/>
      <c r="D739" s="13">
        <f>'4월'!D114</f>
        <v>45777</v>
      </c>
      <c r="E739" s="155" t="str">
        <f>'4월'!E114</f>
        <v>티에스씨인포</v>
      </c>
      <c r="F739" s="155" t="str">
        <f>'4월'!F114</f>
        <v>시너지온</v>
      </c>
      <c r="G739" s="157" t="str">
        <f>'4월'!G114</f>
        <v>MA</v>
      </c>
      <c r="H739" s="157" t="str">
        <f>'4월'!H114</f>
        <v>월간</v>
      </c>
      <c r="I739" s="69" t="str">
        <f>'4월'!I114</f>
        <v>명지병원 4월 정기점검 - 2/12회</v>
      </c>
      <c r="J739" s="122">
        <f>'4월'!J114</f>
        <v>1</v>
      </c>
      <c r="K739" s="15">
        <f>'4월'!K114</f>
        <v>300000</v>
      </c>
      <c r="L739" s="16">
        <f>'4월'!L114</f>
        <v>300000</v>
      </c>
      <c r="M739" s="16">
        <f>'4월'!M114</f>
        <v>30000</v>
      </c>
      <c r="N739" s="15">
        <f>'4월'!N114</f>
        <v>330000</v>
      </c>
      <c r="O739" s="5" t="str">
        <f>'4월'!O114</f>
        <v>완료(5/30)</v>
      </c>
      <c r="P739" s="175" t="str">
        <f>'4월'!P114</f>
        <v>정지우</v>
      </c>
      <c r="Q739" s="5">
        <f>'4월'!Q114</f>
        <v>45767</v>
      </c>
      <c r="R739" s="213"/>
    </row>
    <row r="740" spans="1:21" ht="16.5" customHeight="1">
      <c r="A740" t="s">
        <v>64</v>
      </c>
      <c r="B740" s="140" t="str">
        <f>'4월'!B115</f>
        <v>SM-24021</v>
      </c>
      <c r="C740" s="12"/>
      <c r="D740" s="13">
        <f>'4월'!D115</f>
        <v>45777</v>
      </c>
      <c r="E740" s="155" t="str">
        <f>'4월'!E115</f>
        <v>에스엔에이</v>
      </c>
      <c r="F740" s="163" t="str">
        <f>'4월'!F115</f>
        <v>에이캐피탈</v>
      </c>
      <c r="G740" s="157" t="str">
        <f>'4월'!G115</f>
        <v>MA</v>
      </c>
      <c r="H740" s="157" t="str">
        <f>'4월'!H115</f>
        <v>월간</v>
      </c>
      <c r="I740" s="159" t="str">
        <f>'4월'!I115</f>
        <v>4월 파트 계약 - 8/12회</v>
      </c>
      <c r="J740" s="124">
        <f>'4월'!J115</f>
        <v>1</v>
      </c>
      <c r="K740" s="188">
        <f>'4월'!K115</f>
        <v>300000</v>
      </c>
      <c r="L740" s="15">
        <f>'4월'!L115</f>
        <v>300000</v>
      </c>
      <c r="M740" s="15">
        <f>'4월'!M115</f>
        <v>30000</v>
      </c>
      <c r="N740" s="15">
        <f>'4월'!N115</f>
        <v>330000</v>
      </c>
      <c r="O740" s="5" t="str">
        <f>'4월'!O115</f>
        <v>완료(6/30)</v>
      </c>
      <c r="P740" s="174" t="str">
        <f>'4월'!P115</f>
        <v>이예지</v>
      </c>
      <c r="Q740" s="5">
        <f>'4월'!Q115</f>
        <v>45782</v>
      </c>
      <c r="R740" s="211"/>
      <c r="S740" s="7"/>
      <c r="T740" s="11"/>
    </row>
    <row r="741" spans="1:21" ht="16.5" customHeight="1">
      <c r="A741" t="s">
        <v>64</v>
      </c>
      <c r="B741" s="141" t="str">
        <f>'4월'!B116</f>
        <v>SM-24003</v>
      </c>
      <c r="C741" s="142"/>
      <c r="D741" s="13">
        <f>'4월'!D116</f>
        <v>45777</v>
      </c>
      <c r="E741" s="155" t="str">
        <f>'4월'!E116</f>
        <v>트리거정보기술</v>
      </c>
      <c r="F741" s="155" t="str">
        <f>'4월'!F116</f>
        <v>삼표산업</v>
      </c>
      <c r="G741" s="157" t="str">
        <f>'4월'!G116</f>
        <v>MA</v>
      </c>
      <c r="H741" s="157" t="str">
        <f>'4월'!H116</f>
        <v>월간</v>
      </c>
      <c r="I741" s="69" t="str">
        <f>'4월'!I116</f>
        <v>삼표시멘트 4월 유지정비료 4/12회</v>
      </c>
      <c r="J741" s="124">
        <f>'4월'!J116</f>
        <v>1</v>
      </c>
      <c r="K741" s="16">
        <f>'4월'!K116</f>
        <v>700000</v>
      </c>
      <c r="L741" s="16">
        <f>'4월'!L116</f>
        <v>700000</v>
      </c>
      <c r="M741" s="16">
        <f>'4월'!M116</f>
        <v>70000</v>
      </c>
      <c r="N741" s="15">
        <f>'4월'!N116</f>
        <v>770000</v>
      </c>
      <c r="O741" s="5" t="str">
        <f>'4월'!O116</f>
        <v>완료(5/30)</v>
      </c>
      <c r="P741" s="177" t="str">
        <f>'4월'!P116</f>
        <v>홍승민</v>
      </c>
      <c r="Q741" s="5">
        <f>'4월'!Q116</f>
        <v>45777</v>
      </c>
      <c r="R741" s="212"/>
      <c r="S741" s="7"/>
      <c r="T741" s="11"/>
    </row>
    <row r="742" spans="1:21" ht="16.5" customHeight="1">
      <c r="A742" t="s">
        <v>64</v>
      </c>
      <c r="B742" s="10" t="str">
        <f>'4월'!B117</f>
        <v>SM-24021</v>
      </c>
      <c r="C742" s="12"/>
      <c r="D742" s="13">
        <f>'4월'!D117</f>
        <v>45777</v>
      </c>
      <c r="E742" s="155" t="str">
        <f>'4월'!E117</f>
        <v>더파트</v>
      </c>
      <c r="F742" s="155" t="str">
        <f>'4월'!F117</f>
        <v>에이캐피탈</v>
      </c>
      <c r="G742" s="156" t="str">
        <f>'4월'!G117</f>
        <v>MA</v>
      </c>
      <c r="H742" s="156" t="str">
        <f>'4월'!H117</f>
        <v>월간</v>
      </c>
      <c r="I742" s="69" t="str">
        <f>'4월'!I117</f>
        <v>소산 서비스대행 4월분 - 8/12회</v>
      </c>
      <c r="J742" s="122">
        <f>'4월'!J117</f>
        <v>1</v>
      </c>
      <c r="K742" s="15">
        <f>'4월'!K117</f>
        <v>810000</v>
      </c>
      <c r="L742" s="16">
        <f>'4월'!L117</f>
        <v>810000</v>
      </c>
      <c r="M742" s="16">
        <f>'4월'!M117</f>
        <v>81000</v>
      </c>
      <c r="N742" s="15">
        <f>'4월'!N117</f>
        <v>891000</v>
      </c>
      <c r="O742" s="5" t="str">
        <f>'4월'!O117</f>
        <v>완료(5/30)</v>
      </c>
      <c r="P742" s="174" t="str">
        <f>'4월'!P117</f>
        <v>이예지</v>
      </c>
      <c r="Q742" s="5">
        <f>'4월'!Q117</f>
        <v>45782</v>
      </c>
      <c r="R742" s="209"/>
      <c r="T742" s="11"/>
    </row>
    <row r="743" spans="1:21" ht="16.5" customHeight="1">
      <c r="A743" t="s">
        <v>64</v>
      </c>
      <c r="B743" s="10" t="str">
        <f>'4월'!B118</f>
        <v>SM-24024</v>
      </c>
      <c r="C743" s="12"/>
      <c r="D743" s="13">
        <f>'4월'!D118</f>
        <v>45777</v>
      </c>
      <c r="E743" s="155" t="str">
        <f>'4월'!E118</f>
        <v>디씨에스에스테크놀러지코리아</v>
      </c>
      <c r="F743" s="155" t="str">
        <f>'4월'!F118</f>
        <v>강북21세기병원</v>
      </c>
      <c r="G743" s="157" t="str">
        <f>'4월'!G118</f>
        <v>MA</v>
      </c>
      <c r="H743" s="157" t="str">
        <f>'4월'!H118</f>
        <v>월간-DCSS</v>
      </c>
      <c r="I743" s="69" t="str">
        <f>'4월'!I118</f>
        <v>4월 유지정비료 - 5/12회</v>
      </c>
      <c r="J743" s="122">
        <f>'4월'!J118</f>
        <v>1</v>
      </c>
      <c r="K743" s="15">
        <f>'4월'!K118</f>
        <v>20600</v>
      </c>
      <c r="L743" s="16">
        <f>'4월'!L118</f>
        <v>1721080</v>
      </c>
      <c r="M743" s="16">
        <f>'4월'!M118</f>
        <v>172108</v>
      </c>
      <c r="N743" s="15">
        <f>'4월'!N118</f>
        <v>1893188</v>
      </c>
      <c r="O743" s="5" t="str">
        <f>'4월'!O118</f>
        <v>완료(5/30)</v>
      </c>
      <c r="P743" s="9" t="str">
        <f>'4월'!P118</f>
        <v>천범석</v>
      </c>
      <c r="Q743" s="5">
        <f>'4월'!Q118</f>
        <v>45772</v>
      </c>
      <c r="R743" s="209"/>
    </row>
    <row r="744" spans="1:21" ht="16.5" customHeight="1">
      <c r="A744" t="s">
        <v>64</v>
      </c>
      <c r="B744" s="10" t="str">
        <f>'4월'!B119</f>
        <v>IK-24011</v>
      </c>
      <c r="C744" s="145"/>
      <c r="D744" s="65"/>
      <c r="E744" s="160" t="str">
        <f>'4월'!E119</f>
        <v>디씨에스에스테크놀러지코리아</v>
      </c>
      <c r="F744" s="160" t="str">
        <f>'4월'!F119</f>
        <v>로보츠</v>
      </c>
      <c r="G744" s="157" t="str">
        <f>'4월'!G119</f>
        <v>MA</v>
      </c>
      <c r="H744" s="157" t="str">
        <f>'4월'!H119</f>
        <v>월간-DCSS</v>
      </c>
      <c r="I744" s="69" t="str">
        <f>'4월'!I119</f>
        <v>키오시아 4월 유지정비료 - 5/12회</v>
      </c>
      <c r="J744" s="122">
        <f>'4월'!J119</f>
        <v>1</v>
      </c>
      <c r="K744" s="15">
        <f>'4월'!K119</f>
        <v>70180</v>
      </c>
      <c r="L744" s="125"/>
      <c r="M744" s="125"/>
      <c r="N744" s="126"/>
      <c r="O744" s="99"/>
      <c r="P744" s="9" t="str">
        <f>'4월'!P119</f>
        <v>천범석</v>
      </c>
      <c r="Q744" s="5">
        <f>'4월'!Q119</f>
        <v>45772</v>
      </c>
      <c r="R744" s="209"/>
    </row>
    <row r="745" spans="1:21" ht="16.5" customHeight="1">
      <c r="A745" t="s">
        <v>64</v>
      </c>
      <c r="B745" s="10" t="str">
        <f>'4월'!B120</f>
        <v>SM-24021</v>
      </c>
      <c r="C745" s="145"/>
      <c r="D745" s="65"/>
      <c r="E745" s="160" t="str">
        <f>'4월'!E120</f>
        <v>디씨에스에스테크놀러지코리아</v>
      </c>
      <c r="F745" s="160" t="str">
        <f>'4월'!F120</f>
        <v>에이캐피탈</v>
      </c>
      <c r="G745" s="157" t="str">
        <f>'4월'!G120</f>
        <v>MA</v>
      </c>
      <c r="H745" s="157" t="str">
        <f>'4월'!H120</f>
        <v>월간-DCSS</v>
      </c>
      <c r="I745" s="69" t="str">
        <f>'4월'!I120</f>
        <v>4월 유지정비료 - 5/9회</v>
      </c>
      <c r="J745" s="122">
        <f>'4월'!J120</f>
        <v>1</v>
      </c>
      <c r="K745" s="15">
        <f>'4월'!K120</f>
        <v>352900</v>
      </c>
      <c r="L745" s="125"/>
      <c r="M745" s="125"/>
      <c r="N745" s="126"/>
      <c r="O745" s="99"/>
      <c r="P745" s="9" t="str">
        <f>'4월'!P120</f>
        <v>이예지</v>
      </c>
      <c r="Q745" s="5">
        <f>'4월'!Q120</f>
        <v>45782</v>
      </c>
      <c r="R745" s="209"/>
    </row>
    <row r="746" spans="1:21" ht="16.5" customHeight="1">
      <c r="A746" t="s">
        <v>64</v>
      </c>
      <c r="B746" s="10" t="str">
        <f>'4월'!B121</f>
        <v>SM-24007</v>
      </c>
      <c r="C746" s="145"/>
      <c r="D746" s="65"/>
      <c r="E746" s="160" t="str">
        <f>'4월'!E121</f>
        <v>디씨에스에스테크놀러지코리아</v>
      </c>
      <c r="F746" s="160" t="str">
        <f>'4월'!F121</f>
        <v>연세의료원</v>
      </c>
      <c r="G746" s="157" t="str">
        <f>'4월'!G121</f>
        <v>MA</v>
      </c>
      <c r="H746" s="157" t="str">
        <f>'4월'!H121</f>
        <v>월간-DCSS</v>
      </c>
      <c r="I746" s="69" t="str">
        <f>'4월'!I121</f>
        <v>4월 유지정비료 - 3/12회</v>
      </c>
      <c r="J746" s="122">
        <f>'4월'!J121</f>
        <v>1</v>
      </c>
      <c r="K746" s="15">
        <f>'4월'!K121</f>
        <v>80000</v>
      </c>
      <c r="L746" s="125"/>
      <c r="M746" s="125"/>
      <c r="N746" s="126"/>
      <c r="O746" s="99"/>
      <c r="P746" s="9" t="str">
        <f>'4월'!P121</f>
        <v>이예지</v>
      </c>
      <c r="Q746" s="5">
        <f>'4월'!Q121</f>
        <v>45767</v>
      </c>
      <c r="R746" s="213"/>
    </row>
    <row r="747" spans="1:21" ht="16.5" customHeight="1">
      <c r="A747" t="s">
        <v>64</v>
      </c>
      <c r="B747" s="10" t="str">
        <f>'4월'!B122</f>
        <v>SM-25002</v>
      </c>
      <c r="C747" s="145"/>
      <c r="D747" s="65"/>
      <c r="E747" s="160" t="str">
        <f>'4월'!E122</f>
        <v>디씨에스에스테크놀러지코리아</v>
      </c>
      <c r="F747" s="160" t="str">
        <f>'4월'!F122</f>
        <v>지비에쓰시스템</v>
      </c>
      <c r="G747" s="157" t="str">
        <f>'4월'!G122</f>
        <v>MA</v>
      </c>
      <c r="H747" s="157" t="str">
        <f>'4월'!H122</f>
        <v>월간-DCSS</v>
      </c>
      <c r="I747" s="69" t="str">
        <f>'4월'!I122</f>
        <v>현대하이카 4월 유지정비료 - 3/11회</v>
      </c>
      <c r="J747" s="122">
        <f>'4월'!J122</f>
        <v>1</v>
      </c>
      <c r="K747" s="15">
        <f>'4월'!K122</f>
        <v>66000</v>
      </c>
      <c r="L747" s="125"/>
      <c r="M747" s="125"/>
      <c r="N747" s="126"/>
      <c r="O747" s="99"/>
      <c r="P747" s="9" t="str">
        <f>'4월'!P122</f>
        <v>천범석</v>
      </c>
      <c r="Q747" s="5">
        <f>'4월'!Q122</f>
        <v>45838</v>
      </c>
      <c r="R747" s="213"/>
    </row>
    <row r="748" spans="1:21" ht="16.5" customHeight="1">
      <c r="A748" t="s">
        <v>64</v>
      </c>
      <c r="B748" s="10" t="str">
        <f>'4월'!B123</f>
        <v>SM-25006</v>
      </c>
      <c r="C748" s="145"/>
      <c r="D748" s="65"/>
      <c r="E748" s="160" t="str">
        <f>'4월'!E123</f>
        <v>디씨에스에스테크놀러지코리아</v>
      </c>
      <c r="F748" s="160" t="str">
        <f>'4월'!F123</f>
        <v>장금상선</v>
      </c>
      <c r="G748" s="157" t="str">
        <f>'4월'!G123</f>
        <v>MA</v>
      </c>
      <c r="H748" s="157" t="str">
        <f>'4월'!H123</f>
        <v>월간-DCSS</v>
      </c>
      <c r="I748" s="69" t="str">
        <f>'4월'!I123</f>
        <v>4월 유지정비료 - 3/11회</v>
      </c>
      <c r="J748" s="124">
        <f>'4월'!J123</f>
        <v>1</v>
      </c>
      <c r="K748" s="15">
        <f>'4월'!K123</f>
        <v>44000</v>
      </c>
      <c r="L748" s="125"/>
      <c r="M748" s="125"/>
      <c r="N748" s="126"/>
      <c r="O748" s="99"/>
      <c r="P748" s="9" t="str">
        <f>'4월'!P123</f>
        <v>홍승민</v>
      </c>
      <c r="Q748" s="5">
        <f>'4월'!Q123</f>
        <v>45777</v>
      </c>
      <c r="R748" s="209"/>
    </row>
    <row r="749" spans="1:21" ht="16.5" customHeight="1">
      <c r="A749" t="s">
        <v>64</v>
      </c>
      <c r="B749" s="10" t="str">
        <f>'4월'!B124</f>
        <v>SM-25010</v>
      </c>
      <c r="C749" s="145"/>
      <c r="D749" s="65"/>
      <c r="E749" s="160" t="str">
        <f>'4월'!E124</f>
        <v>디씨에스에스테크놀러지코리아</v>
      </c>
      <c r="F749" s="160" t="str">
        <f>'4월'!F124</f>
        <v>유니포인트</v>
      </c>
      <c r="G749" s="157" t="str">
        <f>'4월'!G124</f>
        <v>MA</v>
      </c>
      <c r="H749" s="157" t="str">
        <f>'4월'!H124</f>
        <v>월간-DCSS</v>
      </c>
      <c r="I749" s="69" t="str">
        <f>'4월'!I124</f>
        <v>한미약품 4월 유지정비료 - 3/11회</v>
      </c>
      <c r="J749" s="122">
        <f>'4월'!J124</f>
        <v>1</v>
      </c>
      <c r="K749" s="15">
        <f>'4월'!K124</f>
        <v>292200</v>
      </c>
      <c r="L749" s="125"/>
      <c r="M749" s="125"/>
      <c r="N749" s="126"/>
      <c r="O749" s="99"/>
      <c r="P749" s="9" t="str">
        <f>'4월'!P124</f>
        <v>이예지</v>
      </c>
      <c r="Q749" s="5">
        <f>'4월'!Q124</f>
        <v>45777</v>
      </c>
      <c r="R749" s="213"/>
    </row>
    <row r="750" spans="1:21" ht="16.5" customHeight="1">
      <c r="A750" t="s">
        <v>64</v>
      </c>
      <c r="B750" s="10" t="str">
        <f>'4월'!B125</f>
        <v>SM-25009</v>
      </c>
      <c r="C750" s="145"/>
      <c r="D750" s="65"/>
      <c r="E750" s="160" t="str">
        <f>'4월'!E125</f>
        <v>디씨에스에스테크놀러지코리아</v>
      </c>
      <c r="F750" s="160" t="str">
        <f>'4월'!F125</f>
        <v>유니포인트</v>
      </c>
      <c r="G750" s="157" t="str">
        <f>'4월'!G125</f>
        <v>MA</v>
      </c>
      <c r="H750" s="157" t="str">
        <f>'4월'!H125</f>
        <v>월간-DCSS</v>
      </c>
      <c r="I750" s="69" t="str">
        <f>'4월'!I125</f>
        <v>교보문고 4월 유지정비료 - 3/11회</v>
      </c>
      <c r="J750" s="122">
        <f>'4월'!J125</f>
        <v>1</v>
      </c>
      <c r="K750" s="15">
        <f>'4월'!K125</f>
        <v>376200</v>
      </c>
      <c r="L750" s="125"/>
      <c r="M750" s="125"/>
      <c r="N750" s="126"/>
      <c r="O750" s="99"/>
      <c r="P750" s="9" t="str">
        <f>'4월'!P125</f>
        <v>이예지</v>
      </c>
      <c r="Q750" s="5">
        <f>'4월'!Q125</f>
        <v>45777</v>
      </c>
      <c r="R750" s="213"/>
    </row>
    <row r="751" spans="1:21" ht="16.5" customHeight="1">
      <c r="A751" t="s">
        <v>64</v>
      </c>
      <c r="B751" s="10" t="str">
        <f>'4월'!B126</f>
        <v>SB-25014</v>
      </c>
      <c r="C751" s="145"/>
      <c r="D751" s="65"/>
      <c r="E751" s="160" t="str">
        <f>'4월'!E126</f>
        <v>디씨에스에스테크놀러지코리아</v>
      </c>
      <c r="F751" s="160" t="str">
        <f>'4월'!F126</f>
        <v>와이젠정보기술</v>
      </c>
      <c r="G751" s="157" t="str">
        <f>'4월'!G126</f>
        <v>MA</v>
      </c>
      <c r="H751" s="157" t="str">
        <f>'4월'!H126</f>
        <v>월간-DCSS</v>
      </c>
      <c r="I751" s="69" t="str">
        <f>'4월'!I126</f>
        <v>안국약품 4월 유지정비료 - 2/10회</v>
      </c>
      <c r="J751" s="122">
        <f>'4월'!J126</f>
        <v>1</v>
      </c>
      <c r="K751" s="15">
        <f>'4월'!K126</f>
        <v>391000</v>
      </c>
      <c r="L751" s="125"/>
      <c r="M751" s="125"/>
      <c r="N751" s="126"/>
      <c r="O751" s="99"/>
      <c r="P751" s="9" t="str">
        <f>'4월'!P126</f>
        <v>천범석</v>
      </c>
      <c r="Q751" s="5">
        <f>'4월'!Q126</f>
        <v>45777</v>
      </c>
      <c r="R751" s="213"/>
    </row>
    <row r="752" spans="1:21" ht="16.5" customHeight="1">
      <c r="A752" t="s">
        <v>64</v>
      </c>
      <c r="B752" s="10" t="str">
        <f>'4월'!B127</f>
        <v>SM-25015</v>
      </c>
      <c r="C752" s="145"/>
      <c r="D752" s="65"/>
      <c r="E752" s="160" t="str">
        <f>'4월'!E127</f>
        <v>디씨에스에스테크놀러지코리아</v>
      </c>
      <c r="F752" s="160" t="str">
        <f>'4월'!F127</f>
        <v>탑텍</v>
      </c>
      <c r="G752" s="157" t="str">
        <f>'4월'!G127</f>
        <v>MA</v>
      </c>
      <c r="H752" s="157" t="str">
        <f>'4월'!H127</f>
        <v>월간-DCSS</v>
      </c>
      <c r="I752" s="69" t="str">
        <f>'4월'!I127</f>
        <v>4월 유지정비료 - 1/12회</v>
      </c>
      <c r="J752" s="122">
        <f>'4월'!J127</f>
        <v>1</v>
      </c>
      <c r="K752" s="15">
        <f>'4월'!K127</f>
        <v>14000</v>
      </c>
      <c r="L752" s="125"/>
      <c r="M752" s="125"/>
      <c r="N752" s="126"/>
      <c r="O752" s="99"/>
      <c r="P752" s="9" t="str">
        <f>'4월'!P127</f>
        <v>천범석</v>
      </c>
      <c r="Q752" s="5">
        <f>'4월'!Q127</f>
        <v>45777</v>
      </c>
      <c r="R752" s="213" t="str">
        <f>'4월'!R127</f>
        <v>매출연간</v>
      </c>
    </row>
    <row r="753" spans="1:21" ht="16.5" customHeight="1">
      <c r="A753" t="s">
        <v>64</v>
      </c>
      <c r="B753" s="10" t="str">
        <f>'4월'!B128</f>
        <v>SM-25016</v>
      </c>
      <c r="C753" s="145"/>
      <c r="D753" s="65"/>
      <c r="E753" s="160" t="str">
        <f>'4월'!E128</f>
        <v>디씨에스에스테크놀러지코리아</v>
      </c>
      <c r="F753" s="160" t="str">
        <f>'4월'!F128</f>
        <v>케이엠디엠</v>
      </c>
      <c r="G753" s="157" t="str">
        <f>'4월'!G128</f>
        <v>MA</v>
      </c>
      <c r="H753" s="157" t="str">
        <f>'4월'!H128</f>
        <v>월간-DCSS</v>
      </c>
      <c r="I753" s="69" t="str">
        <f>'4월'!I128</f>
        <v>SKB 4월 유지정비료 - 1/12회</v>
      </c>
      <c r="J753" s="122">
        <f>'4월'!J128</f>
        <v>1</v>
      </c>
      <c r="K753" s="15">
        <f>'4월'!K128</f>
        <v>14000</v>
      </c>
      <c r="L753" s="125"/>
      <c r="M753" s="125"/>
      <c r="N753" s="126"/>
      <c r="O753" s="99"/>
      <c r="P753" s="9" t="str">
        <f>'4월'!P128</f>
        <v>천범석</v>
      </c>
      <c r="Q753" s="5">
        <f>'4월'!Q128</f>
        <v>45777</v>
      </c>
      <c r="R753" s="213" t="str">
        <f>'4월'!R128</f>
        <v>매출연간</v>
      </c>
    </row>
    <row r="754" spans="1:21" ht="16.5" customHeight="1">
      <c r="A754" t="s">
        <v>64</v>
      </c>
      <c r="B754" s="141" t="str">
        <f>'4월'!B129</f>
        <v>X</v>
      </c>
      <c r="C754" s="142"/>
      <c r="D754" s="13">
        <f>'4월'!D129</f>
        <v>45777</v>
      </c>
      <c r="E754" s="155" t="str">
        <f>'4월'!E129</f>
        <v>시우운수</v>
      </c>
      <c r="F754" s="155"/>
      <c r="G754" s="156" t="str">
        <f>'4월'!G129</f>
        <v>상품</v>
      </c>
      <c r="H754" s="156" t="str">
        <f>'4월'!H129</f>
        <v>운반비</v>
      </c>
      <c r="I754" s="159" t="str">
        <f>'4월'!I129</f>
        <v>로젠택배 4월 택배비(8건)</v>
      </c>
      <c r="J754" s="124">
        <f>'4월'!J129</f>
        <v>1</v>
      </c>
      <c r="K754" s="16">
        <f>'4월'!K129</f>
        <v>31636</v>
      </c>
      <c r="L754" s="15">
        <f>'4월'!L129</f>
        <v>31636</v>
      </c>
      <c r="M754" s="15">
        <f>'4월'!M129</f>
        <v>3164</v>
      </c>
      <c r="N754" s="15">
        <f>'4월'!N129</f>
        <v>34800</v>
      </c>
      <c r="O754" s="5" t="str">
        <f>'4월'!O129</f>
        <v>완료(5/12)</v>
      </c>
      <c r="P754" s="175" t="str">
        <f>'4월'!P129</f>
        <v>정지우</v>
      </c>
      <c r="Q754" s="68" t="str">
        <f>'4월'!Q129</f>
        <v>X</v>
      </c>
      <c r="R754" s="212"/>
      <c r="S754" s="7"/>
    </row>
    <row r="755" spans="1:21" ht="16.5" customHeight="1">
      <c r="A755" t="s">
        <v>64</v>
      </c>
      <c r="B755" s="141" t="str">
        <f>'4월'!B130</f>
        <v>X</v>
      </c>
      <c r="C755" s="142"/>
      <c r="D755" s="13">
        <f>'4월'!D130</f>
        <v>45777</v>
      </c>
      <c r="E755" s="155" t="str">
        <f>'4월'!E130</f>
        <v>퀵서비스_전국화물</v>
      </c>
      <c r="F755" s="155"/>
      <c r="G755" s="156" t="str">
        <f>'4월'!G130</f>
        <v>상품</v>
      </c>
      <c r="H755" s="157" t="str">
        <f>'4월'!H130</f>
        <v>운반비</v>
      </c>
      <c r="I755" s="159" t="str">
        <f>'4월'!I130</f>
        <v>4월 퀵운송료</v>
      </c>
      <c r="J755" s="124">
        <f>'4월'!J130</f>
        <v>1</v>
      </c>
      <c r="K755" s="16">
        <f>'4월'!K130</f>
        <v>277000</v>
      </c>
      <c r="L755" s="188">
        <f>'4월'!L130</f>
        <v>277000</v>
      </c>
      <c r="M755" s="15">
        <f>'4월'!M130</f>
        <v>27700</v>
      </c>
      <c r="N755" s="15">
        <f>'4월'!N130</f>
        <v>304700</v>
      </c>
      <c r="O755" s="5" t="str">
        <f>'4월'!O130</f>
        <v>완료(5/15)</v>
      </c>
      <c r="P755" s="175" t="str">
        <f>'4월'!P130</f>
        <v>정지우</v>
      </c>
      <c r="Q755" s="68" t="str">
        <f>'4월'!Q130</f>
        <v>X</v>
      </c>
      <c r="R755" s="212"/>
      <c r="S755" s="7"/>
    </row>
    <row r="756" spans="1:21" ht="16.5" customHeight="1">
      <c r="A756" t="s">
        <v>64</v>
      </c>
      <c r="B756" s="141" t="str">
        <f>'4월'!B131</f>
        <v>X</v>
      </c>
      <c r="C756" s="12"/>
      <c r="D756" s="13">
        <f>'4월'!D131</f>
        <v>45777</v>
      </c>
      <c r="E756" s="155" t="str">
        <f>'4월'!E131</f>
        <v>웹케시</v>
      </c>
      <c r="F756" s="155"/>
      <c r="G756" s="156" t="str">
        <f>'4월'!G131</f>
        <v>일반경비</v>
      </c>
      <c r="H756" s="157" t="str">
        <f>'4월'!H131</f>
        <v>지급수수료</v>
      </c>
      <c r="I756" s="69" t="str">
        <f>'4월'!I131</f>
        <v>s-erp 4월사용분</v>
      </c>
      <c r="J756" s="122">
        <f>'4월'!J131</f>
        <v>1</v>
      </c>
      <c r="K756" s="15">
        <f>'4월'!K131</f>
        <v>69000</v>
      </c>
      <c r="L756" s="16">
        <f>'4월'!L131</f>
        <v>69000</v>
      </c>
      <c r="M756" s="15">
        <f>'4월'!M131</f>
        <v>6900</v>
      </c>
      <c r="N756" s="15">
        <f>'4월'!N131</f>
        <v>75900</v>
      </c>
      <c r="O756" s="5" t="str">
        <f>'4월'!O131</f>
        <v>자동이체(5/12)</v>
      </c>
      <c r="P756" s="175" t="str">
        <f>'4월'!P131</f>
        <v>정지우</v>
      </c>
      <c r="Q756" s="68" t="str">
        <f>'4월'!Q131</f>
        <v>X</v>
      </c>
      <c r="R756" s="209"/>
      <c r="T756" s="11"/>
    </row>
    <row r="757" spans="1:21" ht="16.5" customHeight="1">
      <c r="A757" t="s">
        <v>64</v>
      </c>
      <c r="B757" s="10" t="str">
        <f>'4월'!B132</f>
        <v>Y250319-01</v>
      </c>
      <c r="C757" s="12"/>
      <c r="D757" s="13">
        <f>'4월'!D132</f>
        <v>45777</v>
      </c>
      <c r="E757" s="155" t="str">
        <f>'4월'!E132</f>
        <v>씨플랫폼</v>
      </c>
      <c r="F757" s="155" t="str">
        <f>'4월'!F132</f>
        <v>불교텔레비전</v>
      </c>
      <c r="G757" s="156" t="str">
        <f>'4월'!G132</f>
        <v>MA</v>
      </c>
      <c r="H757" s="156" t="str">
        <f>'4월'!H132</f>
        <v>리뉴얼</v>
      </c>
      <c r="I757" s="69" t="str">
        <f>'4월'!I132</f>
        <v>HPE Aruba Switch Renewal(25.03.01 ~ 26.02.28)</v>
      </c>
      <c r="J757" s="122">
        <f>'4월'!J132</f>
        <v>1</v>
      </c>
      <c r="K757" s="15">
        <f>'4월'!K132</f>
        <v>2040000</v>
      </c>
      <c r="L757" s="16">
        <f>'4월'!L132</f>
        <v>2040000</v>
      </c>
      <c r="M757" s="16">
        <f>'4월'!M132</f>
        <v>204000</v>
      </c>
      <c r="N757" s="15">
        <f>'4월'!N132</f>
        <v>2244000</v>
      </c>
      <c r="O757" s="5" t="str">
        <f>'4월'!O132</f>
        <v>완료(7/31)</v>
      </c>
      <c r="P757" s="9" t="str">
        <f>'4월'!P132</f>
        <v>홍승민</v>
      </c>
      <c r="Q757" s="5">
        <f>'4월'!Q132</f>
        <v>45735</v>
      </c>
      <c r="R757" s="209"/>
    </row>
    <row r="758" spans="1:21" ht="16.5" customHeight="1">
      <c r="A758" t="s">
        <v>64</v>
      </c>
      <c r="B758" s="10" t="str">
        <f>'4월'!B133</f>
        <v>SM-24003</v>
      </c>
      <c r="C758" s="198"/>
      <c r="D758" s="13">
        <f>'4월'!D133</f>
        <v>45777</v>
      </c>
      <c r="E758" s="199" t="str">
        <f>'4월'!E133</f>
        <v>유니와이드</v>
      </c>
      <c r="F758" s="199" t="str">
        <f>'4월'!F133</f>
        <v>삼표산업</v>
      </c>
      <c r="G758" s="157" t="str">
        <f>'4월'!G133</f>
        <v>MA</v>
      </c>
      <c r="H758" s="157" t="str">
        <f>'4월'!H133</f>
        <v>월간</v>
      </c>
      <c r="I758" s="69" t="str">
        <f>'4월'!I133</f>
        <v>4월 유지정비료 - 3/12회</v>
      </c>
      <c r="J758" s="201">
        <f>'4월'!J133</f>
        <v>1</v>
      </c>
      <c r="K758" s="15">
        <f>'4월'!K133</f>
        <v>290000</v>
      </c>
      <c r="L758" s="16">
        <f>'4월'!L133</f>
        <v>290000</v>
      </c>
      <c r="M758" s="16">
        <f>'4월'!M133</f>
        <v>29000</v>
      </c>
      <c r="N758" s="15">
        <f>'4월'!N133</f>
        <v>319000</v>
      </c>
      <c r="O758" s="5" t="str">
        <f>'4월'!O133</f>
        <v>완료(5/30)</v>
      </c>
      <c r="P758" s="175" t="str">
        <f>'4월'!P133</f>
        <v>홍승민</v>
      </c>
      <c r="Q758" s="5">
        <f>'4월'!Q133</f>
        <v>45777</v>
      </c>
      <c r="R758" s="213"/>
      <c r="U758" s="11"/>
    </row>
    <row r="759" spans="1:21" ht="16.5" customHeight="1">
      <c r="A759" t="s">
        <v>64</v>
      </c>
      <c r="B759" s="10" t="str">
        <f>'4월'!B134</f>
        <v>SB-25017</v>
      </c>
      <c r="C759" s="12" t="str">
        <f>'4월'!C134</f>
        <v>ZQIURA</v>
      </c>
      <c r="D759" s="13">
        <f>'4월'!D134</f>
        <v>45748</v>
      </c>
      <c r="E759" s="155" t="str">
        <f>'4월'!E134</f>
        <v>성공글로벌테크놀로지코리아</v>
      </c>
      <c r="F759" s="155" t="str">
        <f>'4월'!F134</f>
        <v>케이아이티앤씨</v>
      </c>
      <c r="G759" s="156" t="str">
        <f>'4월'!G134</f>
        <v>MA</v>
      </c>
      <c r="H759" s="156" t="str">
        <f>'4월'!H134</f>
        <v>월간-성공</v>
      </c>
      <c r="I759" s="69" t="str">
        <f>'4월'!I134</f>
        <v>인천국제공항공사 3월 유지정비료</v>
      </c>
      <c r="J759" s="122">
        <f>'4월'!J134</f>
        <v>1</v>
      </c>
      <c r="K759" s="15">
        <f>'4월'!K134</f>
        <v>10869600</v>
      </c>
      <c r="L759" s="16">
        <f>'4월'!L134</f>
        <v>10869600</v>
      </c>
      <c r="M759" s="16">
        <f>'4월'!M134</f>
        <v>1086960</v>
      </c>
      <c r="N759" s="15">
        <f>'4월'!N134</f>
        <v>11956560</v>
      </c>
      <c r="O759" s="5" t="str">
        <f>'4월'!O134</f>
        <v>완료(6/2)</v>
      </c>
      <c r="P759" s="9" t="str">
        <f>'4월'!P134</f>
        <v>천범석</v>
      </c>
      <c r="Q759" s="5">
        <f>'4월'!Q134</f>
        <v>45747</v>
      </c>
      <c r="R759" s="213"/>
    </row>
    <row r="760" spans="1:21" ht="16.5" customHeight="1">
      <c r="A760" t="s">
        <v>64</v>
      </c>
      <c r="B760" s="10" t="str">
        <f>'4월'!B135</f>
        <v>SB-25018</v>
      </c>
      <c r="C760" s="12" t="str">
        <f>'4월'!C135</f>
        <v>ZTMJAV</v>
      </c>
      <c r="D760" s="13">
        <f>'4월'!D135</f>
        <v>45749</v>
      </c>
      <c r="E760" s="155" t="str">
        <f>'4월'!E135</f>
        <v>성공글로벌테크놀로지코리아</v>
      </c>
      <c r="F760" s="155" t="str">
        <f>'4월'!F135</f>
        <v>동행시네마</v>
      </c>
      <c r="G760" s="156" t="str">
        <f>'4월'!G135</f>
        <v>MA</v>
      </c>
      <c r="H760" s="156" t="str">
        <f>'4월'!H135</f>
        <v>월간-성공</v>
      </c>
      <c r="I760" s="69" t="str">
        <f>'4월'!I135</f>
        <v>CGV안동 3월(3/27~3/31) 유지정비료 - 1/13회</v>
      </c>
      <c r="J760" s="124">
        <f>'4월'!J135</f>
        <v>1</v>
      </c>
      <c r="K760" s="15">
        <f>'4월'!K135</f>
        <v>6840</v>
      </c>
      <c r="L760" s="16">
        <f>'4월'!L135</f>
        <v>6840</v>
      </c>
      <c r="M760" s="16">
        <f>'4월'!M135</f>
        <v>684</v>
      </c>
      <c r="N760" s="15">
        <f>'4월'!N135</f>
        <v>7524</v>
      </c>
      <c r="O760" s="5" t="str">
        <f>'4월'!O135</f>
        <v>완료(6/2)</v>
      </c>
      <c r="P760" s="9" t="str">
        <f>'4월'!P135</f>
        <v>천범석</v>
      </c>
      <c r="Q760" s="5">
        <f>'4월'!Q135</f>
        <v>45748</v>
      </c>
      <c r="R760" s="209" t="str">
        <f>'4월'!R135</f>
        <v>매출연간</v>
      </c>
    </row>
    <row r="761" spans="1:21" ht="16.5" customHeight="1">
      <c r="A761" t="s">
        <v>64</v>
      </c>
      <c r="B761" s="10" t="str">
        <f>'4월'!B136</f>
        <v>H250214-01</v>
      </c>
      <c r="C761" s="12" t="str">
        <f>'4월'!C136</f>
        <v>X</v>
      </c>
      <c r="D761" s="13">
        <f>'4월'!D136</f>
        <v>45751</v>
      </c>
      <c r="E761" s="155" t="str">
        <f>'4월'!E136</f>
        <v>성공글로벌테크놀로지코리아</v>
      </c>
      <c r="F761" s="155" t="str">
        <f>'4월'!F136</f>
        <v>준아이앤씨(흥국화재)</v>
      </c>
      <c r="G761" s="156" t="str">
        <f>'4월'!G136</f>
        <v>상품</v>
      </c>
      <c r="H761" s="156" t="str">
        <f>'4월'!H136</f>
        <v>00YK025</v>
      </c>
      <c r="I761" s="69" t="str">
        <f>'4월'!I136</f>
        <v xml:space="preserve">ThinkSystem 2.5" 1TB 7.2K SATA 6Gb Hot Swap 512n HDD </v>
      </c>
      <c r="J761" s="122">
        <f>'4월'!J136</f>
        <v>1</v>
      </c>
      <c r="K761" s="15">
        <f>'4월'!K136</f>
        <v>455000</v>
      </c>
      <c r="L761" s="16">
        <f>'4월'!L136</f>
        <v>455000</v>
      </c>
      <c r="M761" s="16">
        <f>'4월'!M136</f>
        <v>45500</v>
      </c>
      <c r="N761" s="15">
        <f>'4월'!N136</f>
        <v>500500</v>
      </c>
      <c r="O761" s="5" t="str">
        <f>'4월'!O136</f>
        <v>완료(5/7)</v>
      </c>
      <c r="P761" s="9" t="str">
        <f>'4월'!P136</f>
        <v>천범석</v>
      </c>
      <c r="Q761" s="5">
        <f>'4월'!Q136</f>
        <v>45702</v>
      </c>
      <c r="R761" s="209"/>
    </row>
    <row r="762" spans="1:21" ht="16.5" customHeight="1">
      <c r="A762" t="s">
        <v>64</v>
      </c>
      <c r="B762" s="10" t="str">
        <f>'4월'!B137</f>
        <v>SB-25019</v>
      </c>
      <c r="C762" s="12" t="str">
        <f>'4월'!C137</f>
        <v>TAHXA0208</v>
      </c>
      <c r="D762" s="13">
        <f>'4월'!D137</f>
        <v>45756</v>
      </c>
      <c r="E762" s="155" t="str">
        <f>'4월'!E137</f>
        <v>성공글로벌테크놀로지코리아</v>
      </c>
      <c r="F762" s="155" t="str">
        <f>'4월'!F137</f>
        <v>씨티아이앤씨</v>
      </c>
      <c r="G762" s="156" t="str">
        <f>'4월'!G137</f>
        <v>MAPAC</v>
      </c>
      <c r="H762" s="156" t="str">
        <f>'4월'!H137</f>
        <v>연간-성공</v>
      </c>
      <c r="I762" s="69" t="str">
        <f>'4월'!I137</f>
        <v>KBS SW연간(25.01.01~12.31)</v>
      </c>
      <c r="J762" s="124">
        <f>'4월'!J137</f>
        <v>1</v>
      </c>
      <c r="K762" s="15">
        <f>'4월'!K137</f>
        <v>16300800</v>
      </c>
      <c r="L762" s="16">
        <f>'4월'!L137</f>
        <v>16300800</v>
      </c>
      <c r="M762" s="16">
        <f>'4월'!M137</f>
        <v>1630080</v>
      </c>
      <c r="N762" s="15">
        <f>'4월'!N137</f>
        <v>17930880</v>
      </c>
      <c r="O762" s="5" t="str">
        <f>'4월'!O137</f>
        <v>완료(6/9)</v>
      </c>
      <c r="P762" s="9" t="str">
        <f>'4월'!P137</f>
        <v>천범석</v>
      </c>
      <c r="Q762" s="5">
        <f>'4월'!Q137</f>
        <v>45747</v>
      </c>
      <c r="R762" s="209"/>
    </row>
    <row r="763" spans="1:21" ht="16.5" customHeight="1">
      <c r="A763" t="s">
        <v>64</v>
      </c>
      <c r="B763" s="10" t="str">
        <f>'4월'!B138</f>
        <v>SB-25019</v>
      </c>
      <c r="C763" s="12" t="str">
        <f>'4월'!C138</f>
        <v>ZQ07QG</v>
      </c>
      <c r="D763" s="13">
        <f>'4월'!D138</f>
        <v>45758</v>
      </c>
      <c r="E763" s="155" t="str">
        <f>'4월'!E138</f>
        <v>성공글로벌테크놀로지코리아</v>
      </c>
      <c r="F763" s="155" t="str">
        <f>'4월'!F138</f>
        <v>씨티아이앤씨</v>
      </c>
      <c r="G763" s="156" t="str">
        <f>'4월'!G138</f>
        <v>MA</v>
      </c>
      <c r="H763" s="156" t="str">
        <f>'4월'!H138</f>
        <v>월간-성공</v>
      </c>
      <c r="I763" s="69" t="str">
        <f>'4월'!I138</f>
        <v>KBS HW 1월 유지정비료 - 1/12회</v>
      </c>
      <c r="J763" s="124">
        <f>'4월'!J138</f>
        <v>1</v>
      </c>
      <c r="K763" s="15">
        <f>'4월'!K138</f>
        <v>420000</v>
      </c>
      <c r="L763" s="16">
        <f>'4월'!L138</f>
        <v>420000</v>
      </c>
      <c r="M763" s="16">
        <f>'4월'!M138</f>
        <v>42000</v>
      </c>
      <c r="N763" s="15">
        <f>'4월'!N138</f>
        <v>462000</v>
      </c>
      <c r="O763" s="5" t="str">
        <f>'4월'!O138</f>
        <v>완료(6/11)</v>
      </c>
      <c r="P763" s="9" t="str">
        <f>'4월'!P138</f>
        <v>천범석</v>
      </c>
      <c r="Q763" s="5">
        <f>'4월'!Q138</f>
        <v>45747</v>
      </c>
      <c r="R763" s="209"/>
    </row>
    <row r="764" spans="1:21" ht="16.5" customHeight="1">
      <c r="A764" t="s">
        <v>64</v>
      </c>
      <c r="B764" s="10" t="str">
        <f>'4월'!B139</f>
        <v>SB-25019</v>
      </c>
      <c r="C764" s="12" t="str">
        <f>'4월'!C139</f>
        <v>ZQ07QG</v>
      </c>
      <c r="D764" s="13">
        <f>'4월'!D139</f>
        <v>45758</v>
      </c>
      <c r="E764" s="155" t="str">
        <f>'4월'!E139</f>
        <v>성공글로벌테크놀로지코리아</v>
      </c>
      <c r="F764" s="155" t="str">
        <f>'4월'!F139</f>
        <v>씨티아이앤씨</v>
      </c>
      <c r="G764" s="156" t="str">
        <f>'4월'!G139</f>
        <v>MA</v>
      </c>
      <c r="H764" s="156" t="str">
        <f>'4월'!H139</f>
        <v>월간-성공</v>
      </c>
      <c r="I764" s="69" t="str">
        <f>'4월'!I139</f>
        <v>KBS HW 2월 유지정비료 - 2/12회</v>
      </c>
      <c r="J764" s="124">
        <f>'4월'!J139</f>
        <v>1</v>
      </c>
      <c r="K764" s="15">
        <f>'4월'!K139</f>
        <v>420000</v>
      </c>
      <c r="L764" s="16">
        <f>'4월'!L139</f>
        <v>420000</v>
      </c>
      <c r="M764" s="16">
        <f>'4월'!M139</f>
        <v>42000</v>
      </c>
      <c r="N764" s="15">
        <f>'4월'!N139</f>
        <v>462000</v>
      </c>
      <c r="O764" s="5" t="str">
        <f>'4월'!O139</f>
        <v>완료(6/11)</v>
      </c>
      <c r="P764" s="9" t="str">
        <f>'4월'!P139</f>
        <v>천범석</v>
      </c>
      <c r="Q764" s="5">
        <f>'4월'!Q139</f>
        <v>45747</v>
      </c>
      <c r="R764" s="209"/>
    </row>
    <row r="765" spans="1:21" ht="16.5" customHeight="1">
      <c r="A765" t="s">
        <v>64</v>
      </c>
      <c r="B765" s="10" t="str">
        <f>'4월'!B140</f>
        <v>SB-25019</v>
      </c>
      <c r="C765" s="12" t="str">
        <f>'4월'!C140</f>
        <v>ZQ07QG</v>
      </c>
      <c r="D765" s="13">
        <f>'4월'!D140</f>
        <v>45758</v>
      </c>
      <c r="E765" s="155" t="str">
        <f>'4월'!E140</f>
        <v>성공글로벌테크놀로지코리아</v>
      </c>
      <c r="F765" s="155" t="str">
        <f>'4월'!F140</f>
        <v>씨티아이앤씨</v>
      </c>
      <c r="G765" s="156" t="str">
        <f>'4월'!G140</f>
        <v>MA</v>
      </c>
      <c r="H765" s="156" t="str">
        <f>'4월'!H140</f>
        <v>월간-성공</v>
      </c>
      <c r="I765" s="69" t="str">
        <f>'4월'!I140</f>
        <v>KBS HW 3월 유지정비료 - 3/12회</v>
      </c>
      <c r="J765" s="124">
        <f>'4월'!J140</f>
        <v>1</v>
      </c>
      <c r="K765" s="15">
        <f>'4월'!K140</f>
        <v>420000</v>
      </c>
      <c r="L765" s="16">
        <f>'4월'!L140</f>
        <v>420000</v>
      </c>
      <c r="M765" s="16">
        <f>'4월'!M140</f>
        <v>42000</v>
      </c>
      <c r="N765" s="15">
        <f>'4월'!N140</f>
        <v>462000</v>
      </c>
      <c r="O765" s="5" t="str">
        <f>'4월'!O140</f>
        <v>완료(6/11)</v>
      </c>
      <c r="P765" s="9" t="str">
        <f>'4월'!P140</f>
        <v>천범석</v>
      </c>
      <c r="Q765" s="5">
        <f>'4월'!Q140</f>
        <v>45747</v>
      </c>
      <c r="R765" s="209"/>
    </row>
    <row r="766" spans="1:21" ht="16.5" customHeight="1">
      <c r="A766" t="s">
        <v>64</v>
      </c>
      <c r="B766" s="10" t="str">
        <f>'4월'!B141</f>
        <v>S</v>
      </c>
      <c r="C766" s="12" t="str">
        <f>'4월'!C141</f>
        <v>TruScale2024</v>
      </c>
      <c r="D766" s="13">
        <f>'4월'!D141</f>
        <v>45764</v>
      </c>
      <c r="E766" s="155" t="str">
        <f>'4월'!E141</f>
        <v>성공글로벌테크놀로지코리아</v>
      </c>
      <c r="F766" s="155" t="str">
        <f>'4월'!F141</f>
        <v>다솜테크</v>
      </c>
      <c r="G766" s="156" t="str">
        <f>'4월'!G141</f>
        <v>상품</v>
      </c>
      <c r="H766" s="156" t="str">
        <f>'4월'!H141</f>
        <v>서버</v>
      </c>
      <c r="I766" s="69" t="str">
        <f>'4월'!I141</f>
        <v>TruScale SM202400911-001-6</v>
      </c>
      <c r="J766" s="122">
        <f>'4월'!J141</f>
        <v>1</v>
      </c>
      <c r="K766" s="16">
        <f>'4월'!K141</f>
        <v>910700</v>
      </c>
      <c r="L766" s="16">
        <f>'4월'!L141</f>
        <v>910700</v>
      </c>
      <c r="M766" s="16">
        <f>'4월'!M141</f>
        <v>91070</v>
      </c>
      <c r="N766" s="15">
        <f>'4월'!N141</f>
        <v>1001770</v>
      </c>
      <c r="O766" s="5" t="str">
        <f>'4월'!O141</f>
        <v>완료(6/17)</v>
      </c>
      <c r="P766" s="9" t="str">
        <f>'4월'!P141</f>
        <v>천범석</v>
      </c>
      <c r="Q766" s="5">
        <f>'4월'!Q141</f>
        <v>45595</v>
      </c>
      <c r="R766" s="209" t="str">
        <f>'4월'!R141</f>
        <v>매출연간</v>
      </c>
    </row>
    <row r="767" spans="1:21" ht="16.5" customHeight="1">
      <c r="A767" t="s">
        <v>64</v>
      </c>
      <c r="B767" s="10" t="str">
        <f>'4월'!B142</f>
        <v>X</v>
      </c>
      <c r="C767" s="12" t="str">
        <f>'4월'!C142</f>
        <v>TruScale2022</v>
      </c>
      <c r="D767" s="13">
        <f>'4월'!D142</f>
        <v>45771</v>
      </c>
      <c r="E767" s="155" t="str">
        <f>'4월'!E142</f>
        <v>성공글로벌테크놀로지코리아</v>
      </c>
      <c r="F767" s="155" t="str">
        <f>'4월'!F142</f>
        <v>별도정리</v>
      </c>
      <c r="G767" s="156" t="str">
        <f>'4월'!G142</f>
        <v>상품</v>
      </c>
      <c r="H767" s="156" t="str">
        <f>'4월'!H142</f>
        <v>서버</v>
      </c>
      <c r="I767" s="69" t="str">
        <f>'4월'!I142</f>
        <v>TruScale SM20220628-002-30</v>
      </c>
      <c r="J767" s="122">
        <f>'4월'!J142</f>
        <v>1</v>
      </c>
      <c r="K767" s="15">
        <f>'4월'!K142</f>
        <v>1666322</v>
      </c>
      <c r="L767" s="16">
        <f>'4월'!L142</f>
        <v>1666322</v>
      </c>
      <c r="M767" s="16">
        <f>'4월'!M142</f>
        <v>166632</v>
      </c>
      <c r="N767" s="15">
        <f>'4월'!N142</f>
        <v>1832954</v>
      </c>
      <c r="O767" s="5" t="str">
        <f>'4월'!O142</f>
        <v>완료(6/23)</v>
      </c>
      <c r="P767" s="9" t="str">
        <f>'4월'!P142</f>
        <v>천범석</v>
      </c>
      <c r="Q767" s="182" t="str">
        <f>'4월'!Q142</f>
        <v>별도정리</v>
      </c>
      <c r="R767" s="209"/>
      <c r="U767" s="11"/>
    </row>
    <row r="768" spans="1:21" ht="16.5" customHeight="1">
      <c r="A768" t="s">
        <v>64</v>
      </c>
      <c r="B768" s="10" t="str">
        <f>'4월'!B143</f>
        <v>SB-25023</v>
      </c>
      <c r="C768" s="12" t="str">
        <f>'4월'!C143</f>
        <v>ZKGVNQ</v>
      </c>
      <c r="D768" s="13">
        <f>'4월'!D143</f>
        <v>45775</v>
      </c>
      <c r="E768" s="155" t="str">
        <f>'4월'!E143</f>
        <v>성공글로벌테크놀로지코리아</v>
      </c>
      <c r="F768" s="155" t="str">
        <f>'4월'!F143</f>
        <v>다솜테크</v>
      </c>
      <c r="G768" s="156" t="str">
        <f>'4월'!G143</f>
        <v>MA</v>
      </c>
      <c r="H768" s="156" t="str">
        <f>'4월'!H143</f>
        <v>월간-성공</v>
      </c>
      <c r="I768" s="69" t="str">
        <f>'4월'!I143</f>
        <v>LX(엘엑스)세미콘 2월 유지정비료 - 1/47회</v>
      </c>
      <c r="J768" s="124">
        <f>'4월'!J143</f>
        <v>1</v>
      </c>
      <c r="K768" s="15">
        <f>'4월'!K143</f>
        <v>777840</v>
      </c>
      <c r="L768" s="16">
        <f>'4월'!L143</f>
        <v>777840</v>
      </c>
      <c r="M768" s="16">
        <f>'4월'!M143</f>
        <v>77784</v>
      </c>
      <c r="N768" s="15">
        <f>'4월'!N143</f>
        <v>855624</v>
      </c>
      <c r="O768" s="5" t="str">
        <f>'4월'!O143</f>
        <v>완료(6/27)</v>
      </c>
      <c r="P768" s="9" t="str">
        <f>'4월'!P143</f>
        <v>천범석</v>
      </c>
      <c r="Q768" s="5">
        <f>'4월'!Q143</f>
        <v>45777</v>
      </c>
      <c r="R768" s="209"/>
    </row>
    <row r="769" spans="1:22" ht="16.5" customHeight="1">
      <c r="A769" t="s">
        <v>64</v>
      </c>
      <c r="B769" s="10" t="str">
        <f>'4월'!B144</f>
        <v>SB-25023</v>
      </c>
      <c r="C769" s="12" t="str">
        <f>'4월'!C144</f>
        <v>ZKGVNQ</v>
      </c>
      <c r="D769" s="13">
        <f>'4월'!D144</f>
        <v>45775</v>
      </c>
      <c r="E769" s="155" t="str">
        <f>'4월'!E144</f>
        <v>성공글로벌테크놀로지코리아</v>
      </c>
      <c r="F769" s="155" t="str">
        <f>'4월'!F144</f>
        <v>다솜테크</v>
      </c>
      <c r="G769" s="156" t="str">
        <f>'4월'!G144</f>
        <v>MA</v>
      </c>
      <c r="H769" s="156" t="str">
        <f>'4월'!H144</f>
        <v>월간-성공</v>
      </c>
      <c r="I769" s="69" t="str">
        <f>'4월'!I144</f>
        <v>LX(엘엑스)세미콘 3월 유지정비료 - 2/47회</v>
      </c>
      <c r="J769" s="124">
        <f>'4월'!J144</f>
        <v>1</v>
      </c>
      <c r="K769" s="15">
        <f>'4월'!K144</f>
        <v>1111200</v>
      </c>
      <c r="L769" s="16">
        <f>'4월'!L144</f>
        <v>1111200</v>
      </c>
      <c r="M769" s="16">
        <f>'4월'!M144</f>
        <v>111120</v>
      </c>
      <c r="N769" s="15">
        <f>'4월'!N144</f>
        <v>1222320</v>
      </c>
      <c r="O769" s="5" t="str">
        <f>'4월'!O144</f>
        <v>완료(6/27)</v>
      </c>
      <c r="P769" s="9" t="str">
        <f>'4월'!P144</f>
        <v>천범석</v>
      </c>
      <c r="Q769" s="5">
        <f>'4월'!Q144</f>
        <v>45777</v>
      </c>
      <c r="R769" s="209"/>
    </row>
    <row r="770" spans="1:22" ht="16.5" customHeight="1">
      <c r="A770" t="s">
        <v>64</v>
      </c>
      <c r="B770" s="10" t="str">
        <f>'4월'!B145</f>
        <v>SB-24040</v>
      </c>
      <c r="C770" s="12" t="str">
        <f>'4월'!C145</f>
        <v>ZBJK3I</v>
      </c>
      <c r="D770" s="13">
        <f>'4월'!D145</f>
        <v>45777</v>
      </c>
      <c r="E770" s="155" t="str">
        <f>'4월'!E145</f>
        <v>성공글로벌테크놀로지코리아</v>
      </c>
      <c r="F770" s="155" t="str">
        <f>'4월'!F145</f>
        <v>도담솔루션</v>
      </c>
      <c r="G770" s="168" t="str">
        <f>'4월'!G145</f>
        <v>MA</v>
      </c>
      <c r="H770" s="156" t="str">
        <f>'4월'!H145</f>
        <v>월간-성공</v>
      </c>
      <c r="I770" s="69" t="str">
        <f>'4월'!I145</f>
        <v>호원대학교 4월 유지정비료 - 11/13회</v>
      </c>
      <c r="J770" s="122">
        <f>'4월'!J145</f>
        <v>1</v>
      </c>
      <c r="K770" s="15">
        <f>'4월'!K145</f>
        <v>101400</v>
      </c>
      <c r="L770" s="16">
        <f>'4월'!L145</f>
        <v>101400</v>
      </c>
      <c r="M770" s="15">
        <f>'4월'!M145</f>
        <v>10140</v>
      </c>
      <c r="N770" s="15">
        <f>'4월'!N145</f>
        <v>111540</v>
      </c>
      <c r="O770" s="5" t="str">
        <f>'4월'!O145</f>
        <v>완료(6/30)</v>
      </c>
      <c r="P770" s="9" t="str">
        <f>'4월'!P145</f>
        <v>천범석</v>
      </c>
      <c r="Q770" s="5">
        <f>'4월'!Q145</f>
        <v>45777</v>
      </c>
      <c r="R770" s="209"/>
    </row>
    <row r="771" spans="1:22" ht="16.5" customHeight="1">
      <c r="A771" t="s">
        <v>64</v>
      </c>
      <c r="B771" s="10" t="str">
        <f>'4월'!B146</f>
        <v>LI-24005</v>
      </c>
      <c r="C771" s="12" t="str">
        <f>'4월'!C146</f>
        <v>Z4ACEZ</v>
      </c>
      <c r="D771" s="13">
        <f>'4월'!D146</f>
        <v>45777</v>
      </c>
      <c r="E771" s="155" t="str">
        <f>'4월'!E146</f>
        <v>성공글로벌테크놀로지코리아</v>
      </c>
      <c r="F771" s="155" t="str">
        <f>'4월'!F146</f>
        <v>해안종합건축사사무소</v>
      </c>
      <c r="G771" s="156" t="str">
        <f>'4월'!G146</f>
        <v>MA</v>
      </c>
      <c r="H771" s="156" t="str">
        <f>'4월'!H146</f>
        <v>월간-성공</v>
      </c>
      <c r="I771" s="69" t="str">
        <f>'4월'!I146</f>
        <v>4월 유지정비료 - 11/12회</v>
      </c>
      <c r="J771" s="122">
        <f>'4월'!J146</f>
        <v>1</v>
      </c>
      <c r="K771" s="15">
        <f>'4월'!K146</f>
        <v>171600</v>
      </c>
      <c r="L771" s="16">
        <f>'4월'!L146</f>
        <v>171600</v>
      </c>
      <c r="M771" s="15">
        <f>'4월'!M146</f>
        <v>17160</v>
      </c>
      <c r="N771" s="15">
        <f>'4월'!N146</f>
        <v>188760</v>
      </c>
      <c r="O771" s="5" t="str">
        <f>'4월'!O146</f>
        <v>완료(6/30)</v>
      </c>
      <c r="P771" s="9" t="str">
        <f>'4월'!P146</f>
        <v>천범석</v>
      </c>
      <c r="Q771" s="5">
        <f>'4월'!Q146</f>
        <v>45748</v>
      </c>
      <c r="R771" s="209"/>
    </row>
    <row r="772" spans="1:22" ht="16.5" customHeight="1">
      <c r="A772" t="s">
        <v>64</v>
      </c>
      <c r="B772" s="10" t="str">
        <f>'4월'!B147</f>
        <v>SB-24039</v>
      </c>
      <c r="C772" s="12" t="str">
        <f>'4월'!C147</f>
        <v>ZZGBBZ</v>
      </c>
      <c r="D772" s="13">
        <f>'4월'!D147</f>
        <v>45777</v>
      </c>
      <c r="E772" s="155" t="str">
        <f>'4월'!E147</f>
        <v>성공글로벌테크놀로지코리아</v>
      </c>
      <c r="F772" s="155" t="str">
        <f>'4월'!F147</f>
        <v>한국디지털오디오방송</v>
      </c>
      <c r="G772" s="156" t="str">
        <f>'4월'!G147</f>
        <v>MA</v>
      </c>
      <c r="H772" s="156" t="str">
        <f>'4월'!H147</f>
        <v>월간-성공</v>
      </c>
      <c r="I772" s="69" t="str">
        <f>'4월'!I147</f>
        <v>4월유지정비료 - 10/12회</v>
      </c>
      <c r="J772" s="122">
        <f>'4월'!J147</f>
        <v>1</v>
      </c>
      <c r="K772" s="15">
        <f>'4월'!K147</f>
        <v>1120200</v>
      </c>
      <c r="L772" s="16">
        <f>'4월'!L147</f>
        <v>1120200</v>
      </c>
      <c r="M772" s="15">
        <f>'4월'!M147</f>
        <v>112020</v>
      </c>
      <c r="N772" s="15">
        <f>'4월'!N147</f>
        <v>1232220</v>
      </c>
      <c r="O772" s="5" t="str">
        <f>'4월'!O147</f>
        <v>완료(6/30)</v>
      </c>
      <c r="P772" s="9" t="str">
        <f>'4월'!P147</f>
        <v>천범석</v>
      </c>
      <c r="Q772" s="5">
        <f>'4월'!Q147</f>
        <v>45748</v>
      </c>
      <c r="R772" s="209"/>
    </row>
    <row r="773" spans="1:22" ht="16.5" customHeight="1">
      <c r="A773" t="s">
        <v>64</v>
      </c>
      <c r="B773" s="10" t="str">
        <f>'4월'!B148</f>
        <v>SB-24042</v>
      </c>
      <c r="C773" s="12" t="str">
        <f>'4월'!C148</f>
        <v>ZTME0P</v>
      </c>
      <c r="D773" s="13">
        <f>'4월'!D148</f>
        <v>45777</v>
      </c>
      <c r="E773" s="155" t="str">
        <f>'4월'!E148</f>
        <v>성공글로벌테크놀로지코리아</v>
      </c>
      <c r="F773" s="155" t="str">
        <f>'4월'!F148</f>
        <v>심플키</v>
      </c>
      <c r="G773" s="168" t="str">
        <f>'4월'!G148</f>
        <v>MA</v>
      </c>
      <c r="H773" s="156" t="str">
        <f>'4월'!H148</f>
        <v>월간-성공</v>
      </c>
      <c r="I773" s="69" t="str">
        <f>'4월'!I148</f>
        <v>티시스 4월 유지정비료 - 11/17회</v>
      </c>
      <c r="J773" s="122">
        <f>'4월'!J148</f>
        <v>1</v>
      </c>
      <c r="K773" s="15">
        <f>'4월'!K148</f>
        <v>1706400</v>
      </c>
      <c r="L773" s="16">
        <f>'4월'!L148</f>
        <v>1706400</v>
      </c>
      <c r="M773" s="15">
        <f>'4월'!M148</f>
        <v>170640</v>
      </c>
      <c r="N773" s="15">
        <f>'4월'!N148</f>
        <v>1877040</v>
      </c>
      <c r="O773" s="5" t="str">
        <f>'4월'!O148</f>
        <v>완료(6/30)</v>
      </c>
      <c r="P773" s="9" t="str">
        <f>'4월'!P148</f>
        <v>천범석</v>
      </c>
      <c r="Q773" s="5">
        <f>'4월'!Q148</f>
        <v>45748</v>
      </c>
      <c r="R773" s="209" t="str">
        <f>'4월'!R148</f>
        <v>매출분기</v>
      </c>
    </row>
    <row r="774" spans="1:22" ht="16.5" customHeight="1">
      <c r="A774" t="s">
        <v>64</v>
      </c>
      <c r="B774" s="10" t="str">
        <f>'4월'!B149</f>
        <v>SB-22053</v>
      </c>
      <c r="C774" s="12" t="str">
        <f>'4월'!C149</f>
        <v>ZEKV4M</v>
      </c>
      <c r="D774" s="13">
        <f>'4월'!D149</f>
        <v>45777</v>
      </c>
      <c r="E774" s="155" t="str">
        <f>'4월'!E149</f>
        <v>성공글로벌테크놀로지코리아</v>
      </c>
      <c r="F774" s="163" t="str">
        <f>'4월'!F149</f>
        <v>심플키</v>
      </c>
      <c r="G774" s="168" t="str">
        <f>'4월'!G149</f>
        <v>MA</v>
      </c>
      <c r="H774" s="156" t="str">
        <f>'4월'!H149</f>
        <v>월간-성공</v>
      </c>
      <c r="I774" s="69" t="str">
        <f>'4월'!I149</f>
        <v>산업은행 4월 유지정비료 - 28/36회</v>
      </c>
      <c r="J774" s="122">
        <f>'4월'!J149</f>
        <v>1</v>
      </c>
      <c r="K774" s="15">
        <f>'4월'!K149</f>
        <v>58800</v>
      </c>
      <c r="L774" s="16">
        <f>'4월'!L149</f>
        <v>58800</v>
      </c>
      <c r="M774" s="15">
        <f>'4월'!M149</f>
        <v>5880</v>
      </c>
      <c r="N774" s="15">
        <f>'4월'!N149</f>
        <v>64680</v>
      </c>
      <c r="O774" s="5" t="str">
        <f>'4월'!O149</f>
        <v>완료(6/30)</v>
      </c>
      <c r="P774" s="9" t="str">
        <f>'4월'!P149</f>
        <v>천범석</v>
      </c>
      <c r="Q774" s="5">
        <f>'4월'!Q149</f>
        <v>45748</v>
      </c>
      <c r="R774" s="209" t="str">
        <f>'4월'!R149</f>
        <v>매출분기</v>
      </c>
      <c r="U774" s="11"/>
      <c r="V774" s="8"/>
    </row>
    <row r="775" spans="1:22" ht="16.5" customHeight="1">
      <c r="A775" t="s">
        <v>64</v>
      </c>
      <c r="B775" s="10" t="str">
        <f>'4월'!B150</f>
        <v>SL-23009</v>
      </c>
      <c r="C775" s="12" t="str">
        <f>'4월'!C150</f>
        <v>ZI1HRR</v>
      </c>
      <c r="D775" s="13">
        <f>'4월'!D150</f>
        <v>45777</v>
      </c>
      <c r="E775" s="155" t="str">
        <f>'4월'!E150</f>
        <v>성공글로벌테크놀로지코리아</v>
      </c>
      <c r="F775" s="155" t="str">
        <f>'4월'!F150</f>
        <v>대신네트웍스</v>
      </c>
      <c r="G775" s="168" t="str">
        <f>'4월'!G150</f>
        <v>MA</v>
      </c>
      <c r="H775" s="156" t="str">
        <f>'4월'!H150</f>
        <v>월간-성공</v>
      </c>
      <c r="I775" s="69" t="str">
        <f>'4월'!I150</f>
        <v>동두천드림파워 4월 유지정비료 - 28/36회</v>
      </c>
      <c r="J775" s="122">
        <f>'4월'!J150</f>
        <v>1</v>
      </c>
      <c r="K775" s="15">
        <f>'4월'!K150</f>
        <v>115800</v>
      </c>
      <c r="L775" s="16">
        <f>'4월'!L150</f>
        <v>115800</v>
      </c>
      <c r="M775" s="15">
        <f>'4월'!M150</f>
        <v>11580</v>
      </c>
      <c r="N775" s="15">
        <f>'4월'!N150</f>
        <v>127380</v>
      </c>
      <c r="O775" s="5" t="str">
        <f>'4월'!O150</f>
        <v>완료(6/30)</v>
      </c>
      <c r="P775" s="9" t="str">
        <f>'4월'!P150</f>
        <v>천범석</v>
      </c>
      <c r="Q775" s="5">
        <f>'4월'!Q150</f>
        <v>45838</v>
      </c>
      <c r="R775" s="209" t="str">
        <f>'4월'!R150</f>
        <v>매출분기</v>
      </c>
      <c r="U775" s="11"/>
      <c r="V775" s="8"/>
    </row>
    <row r="776" spans="1:22" ht="16.5" customHeight="1">
      <c r="A776" t="s">
        <v>64</v>
      </c>
      <c r="B776" s="10" t="str">
        <f>'4월'!B151</f>
        <v>SB-23012</v>
      </c>
      <c r="C776" s="12" t="str">
        <f>'4월'!C151</f>
        <v>ZKFUER</v>
      </c>
      <c r="D776" s="13">
        <f>'4월'!D151</f>
        <v>45777</v>
      </c>
      <c r="E776" s="155" t="str">
        <f>'4월'!E151</f>
        <v>성공글로벌테크놀로지코리아</v>
      </c>
      <c r="F776" s="155" t="str">
        <f>'4월'!F151</f>
        <v>솔리드이엔지</v>
      </c>
      <c r="G776" s="168" t="str">
        <f>'4월'!G151</f>
        <v>MA</v>
      </c>
      <c r="H776" s="156" t="str">
        <f>'4월'!H151</f>
        <v>월간-성공</v>
      </c>
      <c r="I776" s="69" t="str">
        <f>'4월'!I151</f>
        <v>국립기상과학원 4월 유지정비료-추가 11/12회</v>
      </c>
      <c r="J776" s="122">
        <f>'4월'!J151</f>
        <v>1</v>
      </c>
      <c r="K776" s="15">
        <f>'4월'!K151</f>
        <v>9980400</v>
      </c>
      <c r="L776" s="16">
        <f>'4월'!L151</f>
        <v>9980400</v>
      </c>
      <c r="M776" s="15">
        <f>'4월'!M151</f>
        <v>998040</v>
      </c>
      <c r="N776" s="15">
        <f>'4월'!N151</f>
        <v>10978440</v>
      </c>
      <c r="O776" s="5" t="str">
        <f>'4월'!O151</f>
        <v>완료(6/30)</v>
      </c>
      <c r="P776" s="9" t="str">
        <f>'4월'!P151</f>
        <v>천범석</v>
      </c>
      <c r="Q776" s="5">
        <f>'4월'!Q151</f>
        <v>45777</v>
      </c>
      <c r="R776" s="209"/>
      <c r="U776" s="11"/>
      <c r="V776" s="8"/>
    </row>
    <row r="777" spans="1:22" ht="16.5" customHeight="1">
      <c r="A777" t="s">
        <v>64</v>
      </c>
      <c r="B777" s="10" t="str">
        <f>'4월'!B152</f>
        <v>SL-23020</v>
      </c>
      <c r="C777" s="12" t="str">
        <f>'4월'!C152</f>
        <v>ZM10U8</v>
      </c>
      <c r="D777" s="13">
        <f>'4월'!D152</f>
        <v>45777</v>
      </c>
      <c r="E777" s="155" t="str">
        <f>'4월'!E152</f>
        <v>성공글로벌테크놀로지코리아</v>
      </c>
      <c r="F777" s="155" t="str">
        <f>'4월'!F152</f>
        <v>사이컴테크놀로지스코리아</v>
      </c>
      <c r="G777" s="156" t="str">
        <f>'4월'!G152</f>
        <v>MA</v>
      </c>
      <c r="H777" s="156" t="str">
        <f>'4월'!H152</f>
        <v>월간-성공</v>
      </c>
      <c r="I777" s="69" t="str">
        <f>'4월'!I152</f>
        <v>애플코리아 #2 25년 4월 유지정비료 - 34/69회</v>
      </c>
      <c r="J777" s="122">
        <f>'4월'!J152</f>
        <v>1</v>
      </c>
      <c r="K777" s="15">
        <f>'4월'!K152</f>
        <v>132600</v>
      </c>
      <c r="L777" s="16">
        <f>'4월'!L152</f>
        <v>132600</v>
      </c>
      <c r="M777" s="15">
        <f>'4월'!M152</f>
        <v>13260</v>
      </c>
      <c r="N777" s="15">
        <f>'4월'!N152</f>
        <v>145860</v>
      </c>
      <c r="O777" s="5" t="str">
        <f>'4월'!O152</f>
        <v>완료(6/30)</v>
      </c>
      <c r="P777" s="9" t="str">
        <f>'4월'!P152</f>
        <v>천범석</v>
      </c>
      <c r="Q777" s="5">
        <f>'4월'!Q152</f>
        <v>45057</v>
      </c>
      <c r="R777" s="209" t="str">
        <f>'4월'!R152</f>
        <v>매출연간</v>
      </c>
      <c r="U777" s="11"/>
      <c r="V777" s="8"/>
    </row>
    <row r="778" spans="1:22" ht="16.5" customHeight="1">
      <c r="A778" t="s">
        <v>64</v>
      </c>
      <c r="B778" s="10" t="str">
        <f>'4월'!B153</f>
        <v>SL-23035</v>
      </c>
      <c r="C778" s="12" t="str">
        <f>'4월'!C153</f>
        <v>ZBQCP7</v>
      </c>
      <c r="D778" s="13">
        <f>'4월'!D153</f>
        <v>45777</v>
      </c>
      <c r="E778" s="155" t="str">
        <f>'4월'!E153</f>
        <v>성공글로벌테크놀로지코리아</v>
      </c>
      <c r="F778" s="155" t="str">
        <f>'4월'!F153</f>
        <v>씨티아이앤씨</v>
      </c>
      <c r="G778" s="168" t="str">
        <f>'4월'!G153</f>
        <v>MA</v>
      </c>
      <c r="H778" s="156" t="str">
        <f>'4월'!H153</f>
        <v>월간-성공</v>
      </c>
      <c r="I778" s="69" t="str">
        <f>'4월'!I153</f>
        <v>OK데이터시스템HW 4월 유지정비료 - 1/14회</v>
      </c>
      <c r="J778" s="122">
        <f>'4월'!J153</f>
        <v>1</v>
      </c>
      <c r="K778" s="15">
        <f>'4월'!K153</f>
        <v>475200</v>
      </c>
      <c r="L778" s="16">
        <f>'4월'!L153</f>
        <v>475200</v>
      </c>
      <c r="M778" s="15">
        <f>'4월'!M153</f>
        <v>47520</v>
      </c>
      <c r="N778" s="15">
        <f>'4월'!N153</f>
        <v>522720</v>
      </c>
      <c r="O778" s="5" t="str">
        <f>'4월'!O153</f>
        <v>완료(6/30)</v>
      </c>
      <c r="P778" s="9" t="str">
        <f>'4월'!P153</f>
        <v>천범석</v>
      </c>
      <c r="Q778" s="5">
        <f>'4월'!Q153</f>
        <v>45681</v>
      </c>
      <c r="R778" s="209" t="str">
        <f>'4월'!R153</f>
        <v>매출연간</v>
      </c>
    </row>
    <row r="779" spans="1:22" ht="16.5" customHeight="1">
      <c r="A779" t="s">
        <v>64</v>
      </c>
      <c r="B779" s="10" t="str">
        <f>'4월'!B154</f>
        <v>SB-23053</v>
      </c>
      <c r="C779" s="12" t="str">
        <f>'4월'!C154</f>
        <v>Z41QIW</v>
      </c>
      <c r="D779" s="13">
        <f>'4월'!D154</f>
        <v>45777</v>
      </c>
      <c r="E779" s="155" t="str">
        <f>'4월'!E154</f>
        <v>성공글로벌테크놀로지코리아</v>
      </c>
      <c r="F779" s="155" t="str">
        <f>'4월'!F154</f>
        <v>서원정보</v>
      </c>
      <c r="G779" s="168" t="str">
        <f>'4월'!G154</f>
        <v>MA</v>
      </c>
      <c r="H779" s="156" t="str">
        <f>'4월'!H154</f>
        <v>월간-성공</v>
      </c>
      <c r="I779" s="69" t="str">
        <f>'4월'!I154</f>
        <v>신세계 아이앤씨 4월 유지정비료 - 27/46회</v>
      </c>
      <c r="J779" s="122">
        <f>'4월'!J154</f>
        <v>1</v>
      </c>
      <c r="K779" s="15">
        <f>'4월'!K154</f>
        <v>4859055.4545454541</v>
      </c>
      <c r="L779" s="16">
        <f>'4월'!L154</f>
        <v>4859055.4545454541</v>
      </c>
      <c r="M779" s="15">
        <f>'4월'!M154</f>
        <v>485906</v>
      </c>
      <c r="N779" s="15">
        <f>'4월'!N154</f>
        <v>5344961.4545454541</v>
      </c>
      <c r="O779" s="5" t="str">
        <f>'4월'!O154</f>
        <v>완료(6/30)</v>
      </c>
      <c r="P779" s="9" t="str">
        <f>'4월'!P154</f>
        <v>천범석</v>
      </c>
      <c r="Q779" s="5">
        <f>'4월'!Q154</f>
        <v>45777</v>
      </c>
      <c r="R779" s="209"/>
      <c r="U779" s="11"/>
      <c r="V779" s="8"/>
    </row>
    <row r="780" spans="1:22" ht="16.5" customHeight="1">
      <c r="A780" t="s">
        <v>64</v>
      </c>
      <c r="B780" s="10" t="str">
        <f>'4월'!B155</f>
        <v>SB-23051</v>
      </c>
      <c r="C780" s="12" t="str">
        <f>'4월'!C155</f>
        <v>ZCKGPP</v>
      </c>
      <c r="D780" s="13">
        <f>'4월'!D155</f>
        <v>45777</v>
      </c>
      <c r="E780" s="155" t="str">
        <f>'4월'!E155</f>
        <v>성공글로벌테크놀로지코리아</v>
      </c>
      <c r="F780" s="155" t="str">
        <f>'4월'!F155</f>
        <v>이너인포</v>
      </c>
      <c r="G780" s="156" t="str">
        <f>'4월'!G155</f>
        <v>MA</v>
      </c>
      <c r="H780" s="156" t="str">
        <f>'4월'!H155</f>
        <v>월간-성공</v>
      </c>
      <c r="I780" s="69" t="str">
        <f>'4월'!I155</f>
        <v>외교부 4월 유지정비료 - 11/12회</v>
      </c>
      <c r="J780" s="122">
        <f>'4월'!J155</f>
        <v>1</v>
      </c>
      <c r="K780" s="15">
        <f>'4월'!K155</f>
        <v>18000</v>
      </c>
      <c r="L780" s="16">
        <f>'4월'!L155</f>
        <v>18000</v>
      </c>
      <c r="M780" s="15">
        <f>'4월'!M155</f>
        <v>1800</v>
      </c>
      <c r="N780" s="15">
        <f>'4월'!N155</f>
        <v>19800</v>
      </c>
      <c r="O780" s="5" t="str">
        <f>'4월'!O155</f>
        <v>완료(6/30)</v>
      </c>
      <c r="P780" s="9" t="str">
        <f>'4월'!P155</f>
        <v>천범석</v>
      </c>
      <c r="Q780" s="5">
        <f>'4월'!Q155</f>
        <v>45195</v>
      </c>
      <c r="R780" s="209" t="str">
        <f>'4월'!R155</f>
        <v>매출연간</v>
      </c>
      <c r="U780" s="11"/>
      <c r="V780" s="8"/>
    </row>
    <row r="781" spans="1:22" ht="16.5" customHeight="1">
      <c r="A781" t="s">
        <v>64</v>
      </c>
      <c r="B781" s="10" t="str">
        <f>'4월'!B156</f>
        <v>SL-23046</v>
      </c>
      <c r="C781" s="12" t="str">
        <f>'4월'!C156</f>
        <v>ZY3SE4</v>
      </c>
      <c r="D781" s="13">
        <f>'4월'!D156</f>
        <v>45777</v>
      </c>
      <c r="E781" s="155" t="str">
        <f>'4월'!E156</f>
        <v>성공글로벌테크놀로지코리아</v>
      </c>
      <c r="F781" s="155" t="str">
        <f>'4월'!F156</f>
        <v>대유에이텍</v>
      </c>
      <c r="G781" s="156" t="str">
        <f>'4월'!G156</f>
        <v>MA</v>
      </c>
      <c r="H781" s="156" t="str">
        <f>'4월'!H156</f>
        <v>월간-성공</v>
      </c>
      <c r="I781" s="69" t="str">
        <f>'4월'!I156</f>
        <v>4월 유지정비료 - 17/18회</v>
      </c>
      <c r="J781" s="122">
        <f>'4월'!J156</f>
        <v>1</v>
      </c>
      <c r="K781" s="15">
        <f>'4월'!K156</f>
        <v>17220</v>
      </c>
      <c r="L781" s="16">
        <f>'4월'!L156</f>
        <v>17220</v>
      </c>
      <c r="M781" s="15">
        <f>'4월'!M156</f>
        <v>1722</v>
      </c>
      <c r="N781" s="15">
        <f>'4월'!N156</f>
        <v>18942</v>
      </c>
      <c r="O781" s="5" t="str">
        <f>'4월'!O156</f>
        <v>완료(6/30)</v>
      </c>
      <c r="P781" s="9" t="str">
        <f>'4월'!P156</f>
        <v>천범석</v>
      </c>
      <c r="Q781" s="5">
        <f>'4월'!Q156</f>
        <v>45261</v>
      </c>
      <c r="R781" s="209" t="str">
        <f>'4월'!R156</f>
        <v>매출연간</v>
      </c>
    </row>
    <row r="782" spans="1:22" ht="16.5" customHeight="1">
      <c r="A782" t="s">
        <v>64</v>
      </c>
      <c r="B782" s="10" t="str">
        <f>'4월'!B157</f>
        <v>SB-23064</v>
      </c>
      <c r="C782" s="12" t="str">
        <f>'4월'!C157</f>
        <v>ZCQQRT</v>
      </c>
      <c r="D782" s="13">
        <f>'4월'!D157</f>
        <v>45777</v>
      </c>
      <c r="E782" s="155" t="str">
        <f>'4월'!E157</f>
        <v>성공글로벌테크놀로지코리아</v>
      </c>
      <c r="F782" s="155" t="str">
        <f>'4월'!F157</f>
        <v xml:space="preserve">EDP </v>
      </c>
      <c r="G782" s="168" t="str">
        <f>'4월'!G157</f>
        <v>MA</v>
      </c>
      <c r="H782" s="156" t="str">
        <f>'4월'!H157</f>
        <v>월간-성공</v>
      </c>
      <c r="I782" s="69" t="str">
        <f>'4월'!I157</f>
        <v>코클리어 4월 유지정비료 - 13/30회</v>
      </c>
      <c r="J782" s="122">
        <f>'4월'!J157</f>
        <v>1</v>
      </c>
      <c r="K782" s="15">
        <f>'4월'!K157</f>
        <v>90000</v>
      </c>
      <c r="L782" s="16">
        <f>'4월'!L157</f>
        <v>90000</v>
      </c>
      <c r="M782" s="15">
        <f>'4월'!M157</f>
        <v>9000</v>
      </c>
      <c r="N782" s="15">
        <f>'4월'!N157</f>
        <v>99000</v>
      </c>
      <c r="O782" s="5" t="str">
        <f>'4월'!O157</f>
        <v>완료(6/30)</v>
      </c>
      <c r="P782" s="9" t="str">
        <f>'4월'!P157</f>
        <v>천범석</v>
      </c>
      <c r="Q782" s="5">
        <f>'4월'!Q157</f>
        <v>45278</v>
      </c>
      <c r="R782" s="209" t="str">
        <f>'4월'!R157</f>
        <v>매출연간</v>
      </c>
    </row>
    <row r="783" spans="1:22" ht="16.5" customHeight="1">
      <c r="A783" t="s">
        <v>64</v>
      </c>
      <c r="B783" s="10" t="str">
        <f>'4월'!B158</f>
        <v>SB-24009</v>
      </c>
      <c r="C783" s="12" t="str">
        <f>'4월'!C158</f>
        <v>Z0PYQC</v>
      </c>
      <c r="D783" s="13">
        <f>'4월'!D158</f>
        <v>45777</v>
      </c>
      <c r="E783" s="155" t="str">
        <f>'4월'!E158</f>
        <v>성공글로벌테크놀로지코리아</v>
      </c>
      <c r="F783" s="155" t="str">
        <f>'4월'!F158</f>
        <v>유알피</v>
      </c>
      <c r="G783" s="168" t="str">
        <f>'4월'!G158</f>
        <v>MA</v>
      </c>
      <c r="H783" s="156" t="str">
        <f>'4월'!H158</f>
        <v>월간-성공</v>
      </c>
      <c r="I783" s="69" t="str">
        <f>'4월'!I158</f>
        <v>서울디자인재단 4월유지정비료 - 4/12회</v>
      </c>
      <c r="J783" s="122">
        <f>'4월'!J158</f>
        <v>1</v>
      </c>
      <c r="K783" s="15">
        <f>'4월'!K158</f>
        <v>976200</v>
      </c>
      <c r="L783" s="16">
        <f>'4월'!L158</f>
        <v>976200</v>
      </c>
      <c r="M783" s="15">
        <f>'4월'!M158</f>
        <v>97620</v>
      </c>
      <c r="N783" s="15">
        <f>'4월'!N158</f>
        <v>1073820</v>
      </c>
      <c r="O783" s="5" t="str">
        <f>'4월'!O158</f>
        <v>완료(6/30)</v>
      </c>
      <c r="P783" s="9" t="str">
        <f>'4월'!P158</f>
        <v>천범석</v>
      </c>
      <c r="Q783" s="5">
        <f>'4월'!Q158</f>
        <v>45792</v>
      </c>
      <c r="R783" s="209"/>
    </row>
    <row r="784" spans="1:22" ht="16.5" customHeight="1">
      <c r="A784" t="s">
        <v>64</v>
      </c>
      <c r="B784" s="10" t="str">
        <f>'4월'!B159</f>
        <v>SB-24011</v>
      </c>
      <c r="C784" s="12" t="str">
        <f>'4월'!C159</f>
        <v>Z5PURB</v>
      </c>
      <c r="D784" s="13">
        <f>'4월'!D159</f>
        <v>45777</v>
      </c>
      <c r="E784" s="155" t="str">
        <f>'4월'!E159</f>
        <v>성공글로벌테크놀로지코리아</v>
      </c>
      <c r="F784" s="155" t="str">
        <f>'4월'!F159</f>
        <v>비온시이노베이터</v>
      </c>
      <c r="G784" s="168" t="str">
        <f>'4월'!G159</f>
        <v>MA</v>
      </c>
      <c r="H784" s="156" t="str">
        <f>'4월'!H159</f>
        <v>월간-성공</v>
      </c>
      <c r="I784" s="69" t="str">
        <f>'4월'!I159</f>
        <v>국립농업과학원 - 4월유지정비료 - 16/24회</v>
      </c>
      <c r="J784" s="122">
        <f>'4월'!J159</f>
        <v>1</v>
      </c>
      <c r="K784" s="15">
        <f>'4월'!K159</f>
        <v>511500</v>
      </c>
      <c r="L784" s="16">
        <f>'4월'!L159</f>
        <v>511500</v>
      </c>
      <c r="M784" s="15">
        <f>'4월'!M159</f>
        <v>51150</v>
      </c>
      <c r="N784" s="15">
        <f>'4월'!N159</f>
        <v>562650</v>
      </c>
      <c r="O784" s="5" t="str">
        <f>'4월'!O159</f>
        <v>완료(6/30)</v>
      </c>
      <c r="P784" s="9" t="str">
        <f>'4월'!P159</f>
        <v>천범석</v>
      </c>
      <c r="Q784" s="5">
        <f>'4월'!Q159</f>
        <v>45777</v>
      </c>
      <c r="R784" s="209"/>
    </row>
    <row r="785" spans="1:22" ht="16.5" customHeight="1">
      <c r="A785" t="s">
        <v>64</v>
      </c>
      <c r="B785" s="10" t="str">
        <f>'4월'!B160</f>
        <v>SB-24019</v>
      </c>
      <c r="C785" s="12" t="str">
        <f>'4월'!C160</f>
        <v>ZNJIYM</v>
      </c>
      <c r="D785" s="13">
        <f>'4월'!D160</f>
        <v>45777</v>
      </c>
      <c r="E785" s="155" t="str">
        <f>'4월'!E160</f>
        <v>성공글로벌테크놀로지코리아</v>
      </c>
      <c r="F785" s="155" t="str">
        <f>'4월'!F160</f>
        <v>나우테크</v>
      </c>
      <c r="G785" s="168" t="str">
        <f>'4월'!G160</f>
        <v>MA</v>
      </c>
      <c r="H785" s="156" t="str">
        <f>'4월'!H160</f>
        <v>월간-성공</v>
      </c>
      <c r="I785" s="69" t="str">
        <f>'4월'!I160</f>
        <v>4월 유지정비료 - 15/16회</v>
      </c>
      <c r="J785" s="122">
        <f>'4월'!J160</f>
        <v>1</v>
      </c>
      <c r="K785" s="15">
        <f>'4월'!K160</f>
        <v>148800</v>
      </c>
      <c r="L785" s="16">
        <f>'4월'!L160</f>
        <v>148800</v>
      </c>
      <c r="M785" s="16">
        <f>'4월'!M160</f>
        <v>14880</v>
      </c>
      <c r="N785" s="15">
        <f>'4월'!N160</f>
        <v>163680</v>
      </c>
      <c r="O785" s="5" t="str">
        <f>'4월'!O160</f>
        <v>완료(6/30)</v>
      </c>
      <c r="P785" s="177" t="str">
        <f>'4월'!P160</f>
        <v>천범석</v>
      </c>
      <c r="Q785" s="5">
        <f>'4월'!Q160</f>
        <v>45357</v>
      </c>
      <c r="R785" s="213" t="str">
        <f>'4월'!R160</f>
        <v>매출연간</v>
      </c>
    </row>
    <row r="786" spans="1:22">
      <c r="A786" t="s">
        <v>64</v>
      </c>
      <c r="B786" s="10" t="str">
        <f>'4월'!B161</f>
        <v>SB-24027</v>
      </c>
      <c r="C786" s="139" t="str">
        <f>'4월'!C161</f>
        <v>ZGTHWJ</v>
      </c>
      <c r="D786" s="13">
        <f>'4월'!D161</f>
        <v>45777</v>
      </c>
      <c r="E786" s="155" t="str">
        <f>'4월'!E161</f>
        <v>성공글로벌테크놀로지코리아</v>
      </c>
      <c r="F786" s="155" t="str">
        <f>'4월'!F161</f>
        <v>시스템본</v>
      </c>
      <c r="G786" s="156" t="str">
        <f>'4월'!G161</f>
        <v>MA</v>
      </c>
      <c r="H786" s="156" t="str">
        <f>'4월'!H161</f>
        <v>월간-성공</v>
      </c>
      <c r="I786" s="69" t="str">
        <f>'4월'!I161</f>
        <v>엘지유플러스(LG U+) 4월 유지정비료 - 17/37회</v>
      </c>
      <c r="J786" s="122">
        <f>'4월'!J161</f>
        <v>1</v>
      </c>
      <c r="K786" s="15">
        <f>'4월'!K161</f>
        <v>518541</v>
      </c>
      <c r="L786" s="16">
        <f>'4월'!L161</f>
        <v>518541</v>
      </c>
      <c r="M786" s="15">
        <f>'4월'!M161</f>
        <v>51854</v>
      </c>
      <c r="N786" s="15">
        <f>'4월'!N161</f>
        <v>570395</v>
      </c>
      <c r="O786" s="5" t="str">
        <f>'4월'!O161</f>
        <v>완료(6/30)</v>
      </c>
      <c r="P786" s="9" t="str">
        <f>'4월'!P161</f>
        <v>천범석</v>
      </c>
      <c r="Q786" s="5">
        <f>'4월'!Q161</f>
        <v>45777</v>
      </c>
      <c r="R786" s="209"/>
    </row>
    <row r="787" spans="1:22" ht="16.5" customHeight="1">
      <c r="A787" t="s">
        <v>64</v>
      </c>
      <c r="B787" s="10" t="str">
        <f>'4월'!B162</f>
        <v>SB-24034</v>
      </c>
      <c r="C787" s="224" t="str">
        <f>'4월'!C162</f>
        <v>Z11I89</v>
      </c>
      <c r="D787" s="13">
        <f>'4월'!D162</f>
        <v>45777</v>
      </c>
      <c r="E787" s="155" t="str">
        <f>'4월'!E162</f>
        <v>성공글로벌테크놀로지코리아</v>
      </c>
      <c r="F787" s="155" t="str">
        <f>'4월'!F162</f>
        <v>씨원시스템</v>
      </c>
      <c r="G787" s="168" t="str">
        <f>'4월'!G162</f>
        <v>MA</v>
      </c>
      <c r="H787" s="156" t="str">
        <f>'4월'!H162</f>
        <v>월간-성공</v>
      </c>
      <c r="I787" s="69" t="str">
        <f>'4월'!I162</f>
        <v>이녹스 4월 유지정비료 - 11/12회</v>
      </c>
      <c r="J787" s="122">
        <f>'4월'!J162</f>
        <v>1</v>
      </c>
      <c r="K787" s="15">
        <f>'4월'!K162</f>
        <v>249900</v>
      </c>
      <c r="L787" s="16">
        <f>'4월'!L162</f>
        <v>249900</v>
      </c>
      <c r="M787" s="15">
        <f>'4월'!M162</f>
        <v>24990</v>
      </c>
      <c r="N787" s="15">
        <f>'4월'!N162</f>
        <v>274890</v>
      </c>
      <c r="O787" s="5" t="str">
        <f>'4월'!O162</f>
        <v>완료(6/30)</v>
      </c>
      <c r="P787" s="9" t="str">
        <f>'4월'!P162</f>
        <v>천범석</v>
      </c>
      <c r="Q787" s="5">
        <f>'4월'!Q162</f>
        <v>45777</v>
      </c>
      <c r="R787" s="209"/>
      <c r="U787" s="11"/>
      <c r="V787" s="8"/>
    </row>
    <row r="788" spans="1:22" ht="16.5" customHeight="1">
      <c r="A788" t="s">
        <v>64</v>
      </c>
      <c r="B788" s="10" t="str">
        <f>'4월'!B163</f>
        <v>SB-24035</v>
      </c>
      <c r="C788" s="12" t="str">
        <f>'4월'!C163</f>
        <v>ZU35CP</v>
      </c>
      <c r="D788" s="13">
        <f>'4월'!D163</f>
        <v>45777</v>
      </c>
      <c r="E788" s="155" t="str">
        <f>'4월'!E163</f>
        <v>성공글로벌테크놀로지코리아</v>
      </c>
      <c r="F788" s="155" t="str">
        <f>'4월'!F163</f>
        <v>위니텍</v>
      </c>
      <c r="G788" s="156" t="str">
        <f>'4월'!G163</f>
        <v>MA</v>
      </c>
      <c r="H788" s="156" t="str">
        <f>'4월'!H163</f>
        <v>월간-성공</v>
      </c>
      <c r="I788" s="69" t="str">
        <f>'4월'!I163</f>
        <v>경북소방본부 4월 유지정비료 - 11/12회</v>
      </c>
      <c r="J788" s="122">
        <f>'4월'!J163</f>
        <v>1</v>
      </c>
      <c r="K788" s="15">
        <f>'4월'!K163</f>
        <v>111900</v>
      </c>
      <c r="L788" s="16">
        <f>'4월'!L163</f>
        <v>111900</v>
      </c>
      <c r="M788" s="15">
        <f>'4월'!M163</f>
        <v>11190</v>
      </c>
      <c r="N788" s="15">
        <f>'4월'!N163</f>
        <v>123090</v>
      </c>
      <c r="O788" s="5" t="str">
        <f>'4월'!O163</f>
        <v>완료(6/30)</v>
      </c>
      <c r="P788" s="9" t="str">
        <f>'4월'!P163</f>
        <v>천범석</v>
      </c>
      <c r="Q788" s="5">
        <f>'4월'!Q163</f>
        <v>45443</v>
      </c>
      <c r="R788" s="209" t="str">
        <f>'4월'!R163</f>
        <v>매출연간</v>
      </c>
    </row>
    <row r="789" spans="1:22" ht="16.5" customHeight="1">
      <c r="A789" t="s">
        <v>64</v>
      </c>
      <c r="B789" s="10" t="str">
        <f>'4월'!B164</f>
        <v>SB-24028</v>
      </c>
      <c r="C789" s="12" t="str">
        <f>'4월'!C164</f>
        <v>ZCX0IZ</v>
      </c>
      <c r="D789" s="13">
        <f>'4월'!D164</f>
        <v>45777</v>
      </c>
      <c r="E789" s="155" t="str">
        <f>'4월'!E164</f>
        <v>성공글로벌테크놀로지코리아</v>
      </c>
      <c r="F789" s="155" t="str">
        <f>'4월'!F164</f>
        <v>다솜테크</v>
      </c>
      <c r="G789" s="156" t="str">
        <f>'4월'!G164</f>
        <v>MA</v>
      </c>
      <c r="H789" s="156" t="str">
        <f>'4월'!H164</f>
        <v>월간-성공</v>
      </c>
      <c r="I789" s="69" t="str">
        <f>'4월'!I164</f>
        <v>대한산업보건협회 4월 유지정비료 - 12/12회</v>
      </c>
      <c r="J789" s="122">
        <f>'4월'!J164</f>
        <v>1</v>
      </c>
      <c r="K789" s="15">
        <f>'4월'!K164</f>
        <v>243955</v>
      </c>
      <c r="L789" s="16">
        <f>'4월'!L164</f>
        <v>243955</v>
      </c>
      <c r="M789" s="15">
        <f>'4월'!M164</f>
        <v>24395</v>
      </c>
      <c r="N789" s="15">
        <f>'4월'!N164</f>
        <v>268350</v>
      </c>
      <c r="O789" s="5" t="str">
        <f>'4월'!O164</f>
        <v>완료(6/30)</v>
      </c>
      <c r="P789" s="9" t="str">
        <f>'4월'!P164</f>
        <v>천범석</v>
      </c>
      <c r="Q789" s="5">
        <f>'4월'!Q164</f>
        <v>45777</v>
      </c>
      <c r="R789" s="209"/>
    </row>
    <row r="790" spans="1:22" ht="16.5" customHeight="1">
      <c r="A790" t="s">
        <v>64</v>
      </c>
      <c r="B790" s="10" t="str">
        <f>'4월'!B165</f>
        <v>SB-24031</v>
      </c>
      <c r="C790" s="12" t="str">
        <f>'4월'!C165</f>
        <v>ZKZDVZ</v>
      </c>
      <c r="D790" s="13">
        <f>'4월'!D165</f>
        <v>45777</v>
      </c>
      <c r="E790" s="155" t="str">
        <f>'4월'!E165</f>
        <v>성공글로벌테크놀로지코리아</v>
      </c>
      <c r="F790" s="155" t="str">
        <f>'4월'!F165</f>
        <v>데이타메트렉스</v>
      </c>
      <c r="G790" s="168" t="str">
        <f>'4월'!G165</f>
        <v>MA</v>
      </c>
      <c r="H790" s="156" t="str">
        <f>'4월'!H165</f>
        <v>월간-성공</v>
      </c>
      <c r="I790" s="69" t="str">
        <f>'4월'!I165</f>
        <v>롯데하이마트 4월 유지정비료 - 11/13회</v>
      </c>
      <c r="J790" s="122">
        <f>'4월'!J165</f>
        <v>1</v>
      </c>
      <c r="K790" s="15">
        <f>'4월'!K165</f>
        <v>604800</v>
      </c>
      <c r="L790" s="16">
        <f>'4월'!L165</f>
        <v>604800</v>
      </c>
      <c r="M790" s="15">
        <f>'4월'!M165</f>
        <v>60480</v>
      </c>
      <c r="N790" s="15">
        <f>'4월'!N165</f>
        <v>665280</v>
      </c>
      <c r="O790" s="5" t="str">
        <f>'4월'!O165</f>
        <v>완료(6/30)</v>
      </c>
      <c r="P790" s="9" t="str">
        <f>'4월'!P165</f>
        <v>천범석</v>
      </c>
      <c r="Q790" s="5">
        <f>'4월'!Q165</f>
        <v>45777</v>
      </c>
      <c r="R790" s="209"/>
    </row>
    <row r="791" spans="1:22" ht="16.5" customHeight="1">
      <c r="A791" t="s">
        <v>64</v>
      </c>
      <c r="B791" s="10" t="str">
        <f>'4월'!B166</f>
        <v>SB-24037</v>
      </c>
      <c r="C791" s="12" t="str">
        <f>'4월'!C166</f>
        <v>ZAI7T4</v>
      </c>
      <c r="D791" s="13">
        <f>'4월'!D166</f>
        <v>45777</v>
      </c>
      <c r="E791" s="155" t="str">
        <f>'4월'!E166</f>
        <v>성공글로벌테크놀로지코리아</v>
      </c>
      <c r="F791" s="155" t="str">
        <f>'4월'!F166</f>
        <v>어보브반도체</v>
      </c>
      <c r="G791" s="156" t="str">
        <f>'4월'!G166</f>
        <v>MA</v>
      </c>
      <c r="H791" s="156" t="str">
        <f>'4월'!H166</f>
        <v>월간-성공</v>
      </c>
      <c r="I791" s="69" t="str">
        <f>'4월'!I166</f>
        <v>4월 유지정비료 - 11/13회</v>
      </c>
      <c r="J791" s="122">
        <f>'4월'!J166</f>
        <v>1</v>
      </c>
      <c r="K791" s="15">
        <f>'4월'!K166</f>
        <v>52200</v>
      </c>
      <c r="L791" s="16">
        <f>'4월'!L166</f>
        <v>52200</v>
      </c>
      <c r="M791" s="15">
        <f>'4월'!M166</f>
        <v>5220</v>
      </c>
      <c r="N791" s="15">
        <f>'4월'!N166</f>
        <v>57420</v>
      </c>
      <c r="O791" s="5" t="str">
        <f>'4월'!O166</f>
        <v>완료(6/30)</v>
      </c>
      <c r="P791" s="9" t="str">
        <f>'4월'!P166</f>
        <v>천범석</v>
      </c>
      <c r="Q791" s="5">
        <f>'4월'!Q166</f>
        <v>45471</v>
      </c>
      <c r="R791" s="209" t="str">
        <f>'4월'!R166</f>
        <v>매출연간</v>
      </c>
      <c r="U791" s="11"/>
      <c r="V791" s="8"/>
    </row>
    <row r="792" spans="1:22" ht="16.5" customHeight="1">
      <c r="A792" t="s">
        <v>64</v>
      </c>
      <c r="B792" s="10" t="str">
        <f>'4월'!B167</f>
        <v>SB-24038</v>
      </c>
      <c r="C792" s="224" t="str">
        <f>'4월'!C167</f>
        <v>Z0OK1R</v>
      </c>
      <c r="D792" s="13">
        <f>'4월'!D167</f>
        <v>45777</v>
      </c>
      <c r="E792" s="155" t="str">
        <f>'4월'!E167</f>
        <v>성공글로벌테크놀로지코리아</v>
      </c>
      <c r="F792" s="155" t="str">
        <f>'4월'!F167</f>
        <v>삼정펄프</v>
      </c>
      <c r="G792" s="156" t="str">
        <f>'4월'!G167</f>
        <v>MA</v>
      </c>
      <c r="H792" s="156" t="str">
        <f>'4월'!H167</f>
        <v>월간-성공</v>
      </c>
      <c r="I792" s="69" t="str">
        <f>'4월'!I167</f>
        <v>4월 유지정비료 - 11/13회</v>
      </c>
      <c r="J792" s="122">
        <f>'4월'!J167</f>
        <v>1</v>
      </c>
      <c r="K792" s="15">
        <f>'4월'!K167</f>
        <v>170400</v>
      </c>
      <c r="L792" s="16">
        <f>'4월'!L167</f>
        <v>170400</v>
      </c>
      <c r="M792" s="15">
        <f>'4월'!M167</f>
        <v>17040</v>
      </c>
      <c r="N792" s="15">
        <f>'4월'!N167</f>
        <v>187440</v>
      </c>
      <c r="O792" s="5" t="str">
        <f>'4월'!O167</f>
        <v>완료(6/30)</v>
      </c>
      <c r="P792" s="9" t="str">
        <f>'4월'!P167</f>
        <v>천범석</v>
      </c>
      <c r="Q792" s="5">
        <f>'4월'!Q167</f>
        <v>45471</v>
      </c>
      <c r="R792" s="209" t="str">
        <f>'4월'!R167</f>
        <v>매출연간</v>
      </c>
      <c r="U792" s="11"/>
      <c r="V792" s="8"/>
    </row>
    <row r="793" spans="1:22" ht="16.5" customHeight="1">
      <c r="A793" t="s">
        <v>64</v>
      </c>
      <c r="B793" s="10" t="str">
        <f>'4월'!B168</f>
        <v>SB-24064</v>
      </c>
      <c r="C793" s="12" t="str">
        <f>'4월'!C168</f>
        <v>ZOTN1N</v>
      </c>
      <c r="D793" s="13">
        <f>'4월'!D168</f>
        <v>45777</v>
      </c>
      <c r="E793" s="155" t="str">
        <f>'4월'!E168</f>
        <v>성공글로벌테크놀로지코리아</v>
      </c>
      <c r="F793" s="155" t="str">
        <f>'4월'!F168</f>
        <v>다솜테크</v>
      </c>
      <c r="G793" s="168" t="str">
        <f>'4월'!G168</f>
        <v>MA</v>
      </c>
      <c r="H793" s="156" t="str">
        <f>'4월'!H168</f>
        <v>월간-성공</v>
      </c>
      <c r="I793" s="69" t="str">
        <f>'4월'!I168</f>
        <v>이원(E1)컨테이너터미널 4월 유지정비료 4/12회</v>
      </c>
      <c r="J793" s="122">
        <f>'4월'!J168</f>
        <v>1</v>
      </c>
      <c r="K793" s="15">
        <f>'4월'!K168</f>
        <v>590400</v>
      </c>
      <c r="L793" s="16">
        <f>'4월'!L168</f>
        <v>590400</v>
      </c>
      <c r="M793" s="16">
        <f>'4월'!M168</f>
        <v>59040</v>
      </c>
      <c r="N793" s="15">
        <f>'4월'!N168</f>
        <v>649440</v>
      </c>
      <c r="O793" s="5" t="str">
        <f>'4월'!O168</f>
        <v>완료(6/30)</v>
      </c>
      <c r="P793" s="9" t="str">
        <f>'4월'!P168</f>
        <v>천범석</v>
      </c>
      <c r="Q793" s="5">
        <f>'4월'!Q168</f>
        <v>45777</v>
      </c>
      <c r="R793" s="213"/>
    </row>
    <row r="794" spans="1:22" ht="16.5" customHeight="1">
      <c r="A794" t="s">
        <v>64</v>
      </c>
      <c r="B794" s="10" t="str">
        <f>'4월'!B169</f>
        <v>SB-24063</v>
      </c>
      <c r="C794" s="12" t="str">
        <f>'4월'!C169</f>
        <v>ZIR05U</v>
      </c>
      <c r="D794" s="13">
        <f>'4월'!D169</f>
        <v>45777</v>
      </c>
      <c r="E794" s="155" t="str">
        <f>'4월'!E169</f>
        <v>성공글로벌테크놀로지코리아</v>
      </c>
      <c r="F794" s="155" t="str">
        <f>'4월'!F169</f>
        <v>다솜테크</v>
      </c>
      <c r="G794" s="168" t="str">
        <f>'4월'!G169</f>
        <v>MA</v>
      </c>
      <c r="H794" s="156" t="str">
        <f>'4월'!H169</f>
        <v>월간-성공</v>
      </c>
      <c r="I794" s="69" t="str">
        <f>'4월'!I169</f>
        <v>이원(E1)컨테이너터미널 4월 유지정비료 - 4/12회</v>
      </c>
      <c r="J794" s="122">
        <f>'4월'!J169</f>
        <v>1</v>
      </c>
      <c r="K794" s="15">
        <f>'4월'!K169</f>
        <v>289800</v>
      </c>
      <c r="L794" s="16">
        <f>'4월'!L169</f>
        <v>289800</v>
      </c>
      <c r="M794" s="16">
        <f>'4월'!M169</f>
        <v>28980</v>
      </c>
      <c r="N794" s="15">
        <f>'4월'!N169</f>
        <v>318780</v>
      </c>
      <c r="O794" s="5" t="str">
        <f>'4월'!O169</f>
        <v>완료(6/30)</v>
      </c>
      <c r="P794" s="9" t="str">
        <f>'4월'!P169</f>
        <v>천범석</v>
      </c>
      <c r="Q794" s="5">
        <f>'4월'!Q169</f>
        <v>45777</v>
      </c>
      <c r="R794" s="213"/>
    </row>
    <row r="795" spans="1:22" ht="16.5" customHeight="1">
      <c r="A795" t="s">
        <v>64</v>
      </c>
      <c r="B795" s="10" t="str">
        <f>'4월'!B170</f>
        <v>SB-24044</v>
      </c>
      <c r="C795" s="12" t="str">
        <f>'4월'!C170</f>
        <v>ZSWUX2</v>
      </c>
      <c r="D795" s="13">
        <f>'4월'!D170</f>
        <v>45777</v>
      </c>
      <c r="E795" s="155" t="str">
        <f>'4월'!E170</f>
        <v>성공글로벌테크놀로지코리아</v>
      </c>
      <c r="F795" s="155" t="str">
        <f>'4월'!F170</f>
        <v>다솜테크</v>
      </c>
      <c r="G795" s="168" t="str">
        <f>'4월'!G170</f>
        <v>MA</v>
      </c>
      <c r="H795" s="156" t="str">
        <f>'4월'!H170</f>
        <v>월간-성공</v>
      </c>
      <c r="I795" s="69" t="str">
        <f>'4월'!I170</f>
        <v>LX홀딩스 4월 유지정비료 - 10/12회</v>
      </c>
      <c r="J795" s="122">
        <f>'4월'!J170</f>
        <v>1</v>
      </c>
      <c r="K795" s="15">
        <f>'4월'!K170</f>
        <v>505200</v>
      </c>
      <c r="L795" s="16">
        <f>'4월'!L170</f>
        <v>505200</v>
      </c>
      <c r="M795" s="15">
        <f>'4월'!M170</f>
        <v>50520</v>
      </c>
      <c r="N795" s="15">
        <f>'4월'!N170</f>
        <v>555720</v>
      </c>
      <c r="O795" s="5" t="str">
        <f>'4월'!O170</f>
        <v>완료(6/30)</v>
      </c>
      <c r="P795" s="177" t="str">
        <f>'4월'!P170</f>
        <v>천범석</v>
      </c>
      <c r="Q795" s="5">
        <f>'4월'!Q170</f>
        <v>45777</v>
      </c>
      <c r="R795" s="209"/>
    </row>
    <row r="796" spans="1:22" ht="16.5" customHeight="1">
      <c r="A796" t="s">
        <v>64</v>
      </c>
      <c r="B796" s="10" t="str">
        <f>'4월'!B171</f>
        <v>SL-24021</v>
      </c>
      <c r="C796" s="12" t="str">
        <f>'4월'!C171</f>
        <v>ZTNAYA</v>
      </c>
      <c r="D796" s="13">
        <f>'4월'!D171</f>
        <v>45777</v>
      </c>
      <c r="E796" s="155" t="str">
        <f>'4월'!E171</f>
        <v>성공글로벌테크놀로지코리아</v>
      </c>
      <c r="F796" s="155" t="str">
        <f>'4월'!F171</f>
        <v>씨티아이앤씨</v>
      </c>
      <c r="G796" s="156" t="str">
        <f>'4월'!G171</f>
        <v>MA</v>
      </c>
      <c r="H796" s="156" t="str">
        <f>'4월'!H171</f>
        <v>월간-성공</v>
      </c>
      <c r="I796" s="69" t="str">
        <f>'4월'!I171</f>
        <v>한우리아이티 HW 4월 유지정비료 - 9/13회</v>
      </c>
      <c r="J796" s="122">
        <f>'4월'!J171</f>
        <v>1</v>
      </c>
      <c r="K796" s="15">
        <f>'4월'!K171</f>
        <v>334800</v>
      </c>
      <c r="L796" s="16">
        <f>'4월'!L171</f>
        <v>334800</v>
      </c>
      <c r="M796" s="15">
        <f>'4월'!M171</f>
        <v>33480</v>
      </c>
      <c r="N796" s="15">
        <f>'4월'!N171</f>
        <v>368280</v>
      </c>
      <c r="O796" s="5" t="str">
        <f>'4월'!O171</f>
        <v>완료(6/30)</v>
      </c>
      <c r="P796" s="9" t="str">
        <f>'4월'!P171</f>
        <v>천범석</v>
      </c>
      <c r="Q796" s="5">
        <f>'4월'!Q171</f>
        <v>45504</v>
      </c>
      <c r="R796" s="209" t="str">
        <f>'4월'!R171</f>
        <v>매출연간</v>
      </c>
    </row>
    <row r="797" spans="1:22" ht="16.5" customHeight="1">
      <c r="A797" t="s">
        <v>64</v>
      </c>
      <c r="B797" s="10" t="str">
        <f>'4월'!B172</f>
        <v>SB-24046</v>
      </c>
      <c r="C797" s="12" t="str">
        <f>'4월'!C172</f>
        <v>Z8LTG0</v>
      </c>
      <c r="D797" s="13">
        <f>'4월'!D172</f>
        <v>45777</v>
      </c>
      <c r="E797" s="155" t="str">
        <f>'4월'!E172</f>
        <v>성공글로벌테크놀로지코리아</v>
      </c>
      <c r="F797" s="155" t="str">
        <f>'4월'!F172</f>
        <v>다솜테크</v>
      </c>
      <c r="G797" s="156" t="str">
        <f>'4월'!G172</f>
        <v>MA</v>
      </c>
      <c r="H797" s="156" t="str">
        <f>'4월'!H172</f>
        <v>월간-성공</v>
      </c>
      <c r="I797" s="69" t="str">
        <f>'4월'!I172</f>
        <v>웰컴저축은행 4월 유지정비료 - 9/12회</v>
      </c>
      <c r="J797" s="122">
        <f>'4월'!J172</f>
        <v>1</v>
      </c>
      <c r="K797" s="15">
        <f>'4월'!K172</f>
        <v>204600</v>
      </c>
      <c r="L797" s="16">
        <f>'4월'!L172</f>
        <v>204600</v>
      </c>
      <c r="M797" s="15">
        <f>'4월'!M172</f>
        <v>20460</v>
      </c>
      <c r="N797" s="15">
        <f>'4월'!N172</f>
        <v>225060</v>
      </c>
      <c r="O797" s="5" t="str">
        <f>'4월'!O172</f>
        <v>완료(6/30)</v>
      </c>
      <c r="P797" s="9" t="str">
        <f>'4월'!P172</f>
        <v>천범석</v>
      </c>
      <c r="Q797" s="5">
        <f>'4월'!Q172</f>
        <v>45777</v>
      </c>
      <c r="R797" s="209"/>
    </row>
    <row r="798" spans="1:22" ht="16.5" customHeight="1">
      <c r="A798" t="s">
        <v>64</v>
      </c>
      <c r="B798" s="10" t="str">
        <f>'4월'!B173</f>
        <v>SB-24047</v>
      </c>
      <c r="C798" s="12" t="str">
        <f>'4월'!C173</f>
        <v>ZPANSR</v>
      </c>
      <c r="D798" s="13">
        <f>'4월'!D173</f>
        <v>45777</v>
      </c>
      <c r="E798" s="155" t="str">
        <f>'4월'!E173</f>
        <v>성공글로벌테크놀로지코리아</v>
      </c>
      <c r="F798" s="155" t="str">
        <f>'4월'!F173</f>
        <v>현대종합금속</v>
      </c>
      <c r="G798" s="156" t="str">
        <f>'4월'!G173</f>
        <v>MA</v>
      </c>
      <c r="H798" s="156" t="str">
        <f>'4월'!H173</f>
        <v>월간-성공</v>
      </c>
      <c r="I798" s="69" t="str">
        <f>'4월'!I173</f>
        <v>4월 유지정비료 - 10/12회</v>
      </c>
      <c r="J798" s="122">
        <f>'4월'!J173</f>
        <v>1</v>
      </c>
      <c r="K798" s="15">
        <f>'4월'!K173</f>
        <v>499500</v>
      </c>
      <c r="L798" s="16">
        <f>'4월'!L173</f>
        <v>499500</v>
      </c>
      <c r="M798" s="15">
        <f>'4월'!M173</f>
        <v>49950</v>
      </c>
      <c r="N798" s="15">
        <f>'4월'!N173</f>
        <v>549450</v>
      </c>
      <c r="O798" s="5" t="str">
        <f>'4월'!O173</f>
        <v>완료(6/30)</v>
      </c>
      <c r="P798" s="9" t="str">
        <f>'4월'!P173</f>
        <v>천범석</v>
      </c>
      <c r="Q798" s="5">
        <f>'4월'!Q173</f>
        <v>45777</v>
      </c>
      <c r="R798" s="209"/>
    </row>
    <row r="799" spans="1:22" ht="16.5" customHeight="1">
      <c r="A799" t="s">
        <v>64</v>
      </c>
      <c r="B799" s="10" t="str">
        <f>'4월'!B174</f>
        <v>SB-24045</v>
      </c>
      <c r="C799" s="12" t="str">
        <f>'4월'!C174</f>
        <v>ZQJ1BB</v>
      </c>
      <c r="D799" s="13">
        <f>'4월'!D174</f>
        <v>45777</v>
      </c>
      <c r="E799" s="155" t="str">
        <f>'4월'!E174</f>
        <v>성공글로벌테크놀로지코리아</v>
      </c>
      <c r="F799" s="155" t="str">
        <f>'4월'!F174</f>
        <v>아이엘에스</v>
      </c>
      <c r="G799" s="156" t="str">
        <f>'4월'!G174</f>
        <v>MA</v>
      </c>
      <c r="H799" s="156" t="str">
        <f>'4월'!H174</f>
        <v>월간-성공</v>
      </c>
      <c r="I799" s="69" t="str">
        <f>'4월'!I174</f>
        <v>롯데홈쇼핑 4월 유지정비료 - 11/13회</v>
      </c>
      <c r="J799" s="122">
        <f>'4월'!J174</f>
        <v>1</v>
      </c>
      <c r="K799" s="15">
        <f>'4월'!K174</f>
        <v>251700</v>
      </c>
      <c r="L799" s="16">
        <f>'4월'!L174</f>
        <v>251700</v>
      </c>
      <c r="M799" s="15">
        <f>'4월'!M174</f>
        <v>25170</v>
      </c>
      <c r="N799" s="15">
        <f>'4월'!N174</f>
        <v>276870</v>
      </c>
      <c r="O799" s="5" t="str">
        <f>'4월'!O174</f>
        <v>완료(6/30)</v>
      </c>
      <c r="P799" s="9" t="str">
        <f>'4월'!P174</f>
        <v>천범석</v>
      </c>
      <c r="Q799" s="5">
        <f>'4월'!Q174</f>
        <v>45504</v>
      </c>
      <c r="R799" s="209" t="str">
        <f>'4월'!R174</f>
        <v>매출연간</v>
      </c>
    </row>
    <row r="800" spans="1:22" ht="16.5" customHeight="1">
      <c r="A800" t="s">
        <v>64</v>
      </c>
      <c r="B800" s="10" t="str">
        <f>'4월'!B175</f>
        <v>LI-24009</v>
      </c>
      <c r="C800" s="12" t="str">
        <f>'4월'!C175</f>
        <v>ZMDFL5</v>
      </c>
      <c r="D800" s="13">
        <f>'4월'!D175</f>
        <v>45777</v>
      </c>
      <c r="E800" s="155" t="str">
        <f>'4월'!E175</f>
        <v>성공글로벌테크놀로지코리아</v>
      </c>
      <c r="F800" s="155" t="str">
        <f>'4월'!F175</f>
        <v>아이리스인포테크</v>
      </c>
      <c r="G800" s="156" t="str">
        <f>'4월'!G175</f>
        <v>MA</v>
      </c>
      <c r="H800" s="156" t="str">
        <f>'4월'!H175</f>
        <v>월간-성공</v>
      </c>
      <c r="I800" s="69" t="str">
        <f>'4월'!I175</f>
        <v>프레이저플레이스 4월 유지정비료 - 9/12회</v>
      </c>
      <c r="J800" s="122">
        <f>'4월'!J175</f>
        <v>1</v>
      </c>
      <c r="K800" s="15">
        <f>'4월'!K175</f>
        <v>276600</v>
      </c>
      <c r="L800" s="16">
        <f>'4월'!L175</f>
        <v>276600</v>
      </c>
      <c r="M800" s="15">
        <f>'4월'!M175</f>
        <v>27660</v>
      </c>
      <c r="N800" s="15">
        <f>'4월'!N175</f>
        <v>304260</v>
      </c>
      <c r="O800" s="5" t="str">
        <f>'4월'!O175</f>
        <v>완료(6/30)</v>
      </c>
      <c r="P800" s="9" t="str">
        <f>'4월'!P175</f>
        <v>천범석</v>
      </c>
      <c r="Q800" s="5">
        <f>'4월'!Q175</f>
        <v>45534</v>
      </c>
      <c r="R800" s="209" t="str">
        <f>'4월'!R175</f>
        <v>매출연간</v>
      </c>
    </row>
    <row r="801" spans="1:18" ht="16.5" customHeight="1">
      <c r="A801" t="s">
        <v>64</v>
      </c>
      <c r="B801" s="10" t="str">
        <f>'4월'!B176</f>
        <v>SB-24049</v>
      </c>
      <c r="C801" s="12" t="str">
        <f>'4월'!C176</f>
        <v>ZNUJRM</v>
      </c>
      <c r="D801" s="13">
        <f>'4월'!D176</f>
        <v>45777</v>
      </c>
      <c r="E801" s="155" t="str">
        <f>'4월'!E176</f>
        <v>성공글로벌테크놀로지코리아</v>
      </c>
      <c r="F801" s="155" t="str">
        <f>'4월'!F176</f>
        <v>아이엘에스</v>
      </c>
      <c r="G801" s="156" t="str">
        <f>'4월'!G176</f>
        <v>MA</v>
      </c>
      <c r="H801" s="156" t="str">
        <f>'4월'!H176</f>
        <v>월간-성공</v>
      </c>
      <c r="I801" s="69" t="str">
        <f>'4월'!I176</f>
        <v>4월 유지정비료 - 8/12회</v>
      </c>
      <c r="J801" s="122">
        <f>'4월'!J176</f>
        <v>1</v>
      </c>
      <c r="K801" s="15">
        <f>'4월'!K176</f>
        <v>226200</v>
      </c>
      <c r="L801" s="16">
        <f>'4월'!L176</f>
        <v>226200</v>
      </c>
      <c r="M801" s="15">
        <f>'4월'!M176</f>
        <v>22620</v>
      </c>
      <c r="N801" s="15">
        <f>'4월'!N176</f>
        <v>248820</v>
      </c>
      <c r="O801" s="5" t="str">
        <f>'4월'!O176</f>
        <v>완료(6/30)</v>
      </c>
      <c r="P801" s="9" t="str">
        <f>'4월'!P176</f>
        <v>천범석</v>
      </c>
      <c r="Q801" s="5">
        <f>'4월'!Q176</f>
        <v>45565</v>
      </c>
      <c r="R801" s="209" t="str">
        <f>'4월'!R176</f>
        <v>매출연간</v>
      </c>
    </row>
    <row r="802" spans="1:18" ht="16.5" customHeight="1">
      <c r="A802" t="s">
        <v>64</v>
      </c>
      <c r="B802" s="10" t="str">
        <f>'4월'!B177</f>
        <v>SB-24050</v>
      </c>
      <c r="C802" s="12" t="str">
        <f>'4월'!C177</f>
        <v>ZTHGTA</v>
      </c>
      <c r="D802" s="13">
        <f>'4월'!D177</f>
        <v>45777</v>
      </c>
      <c r="E802" s="155" t="str">
        <f>'4월'!E177</f>
        <v>성공글로벌테크놀로지코리아</v>
      </c>
      <c r="F802" s="155" t="str">
        <f>'4월'!F177</f>
        <v>조선해운</v>
      </c>
      <c r="G802" s="168" t="str">
        <f>'4월'!G177</f>
        <v>MA</v>
      </c>
      <c r="H802" s="156" t="str">
        <f>'4월'!H177</f>
        <v>월간-성공</v>
      </c>
      <c r="I802" s="69" t="str">
        <f>'4월'!I177</f>
        <v>4월 유지정비료 - 8/13회</v>
      </c>
      <c r="J802" s="122">
        <f>'4월'!J177</f>
        <v>1</v>
      </c>
      <c r="K802" s="15">
        <f>'4월'!K177</f>
        <v>78000</v>
      </c>
      <c r="L802" s="16">
        <f>'4월'!L177</f>
        <v>78000</v>
      </c>
      <c r="M802" s="15">
        <f>'4월'!M177</f>
        <v>7800</v>
      </c>
      <c r="N802" s="15">
        <f>'4월'!N177</f>
        <v>85800</v>
      </c>
      <c r="O802" s="5" t="str">
        <f>'4월'!O177</f>
        <v>완료(6/30)</v>
      </c>
      <c r="P802" s="9" t="str">
        <f>'4월'!P177</f>
        <v>천범석</v>
      </c>
      <c r="Q802" s="5">
        <f>'4월'!Q177</f>
        <v>45565</v>
      </c>
      <c r="R802" s="209" t="str">
        <f>'4월'!R177</f>
        <v>매출연간</v>
      </c>
    </row>
    <row r="803" spans="1:18" ht="16.5" customHeight="1">
      <c r="A803" t="s">
        <v>64</v>
      </c>
      <c r="B803" s="10" t="str">
        <f>'4월'!B178</f>
        <v>SB-24051</v>
      </c>
      <c r="C803" s="12" t="str">
        <f>'4월'!C178</f>
        <v>ZWMXXL</v>
      </c>
      <c r="D803" s="13">
        <f>'4월'!D178</f>
        <v>45777</v>
      </c>
      <c r="E803" s="155" t="str">
        <f>'4월'!E178</f>
        <v>성공글로벌테크놀로지코리아</v>
      </c>
      <c r="F803" s="155" t="str">
        <f>'4월'!F178</f>
        <v>지노스</v>
      </c>
      <c r="G803" s="168" t="str">
        <f>'4월'!G178</f>
        <v>MA</v>
      </c>
      <c r="H803" s="156" t="str">
        <f>'4월'!H178</f>
        <v>월간-성공</v>
      </c>
      <c r="I803" s="69" t="str">
        <f>'4월'!I178</f>
        <v>4월 유지정비료 - 7/15회</v>
      </c>
      <c r="J803" s="122">
        <f>'4월'!J178</f>
        <v>1</v>
      </c>
      <c r="K803" s="15">
        <f>'4월'!K178</f>
        <v>534900</v>
      </c>
      <c r="L803" s="16">
        <f>'4월'!L178</f>
        <v>534900</v>
      </c>
      <c r="M803" s="15">
        <f>'4월'!M178</f>
        <v>53490</v>
      </c>
      <c r="N803" s="15">
        <f>'4월'!N178</f>
        <v>588390</v>
      </c>
      <c r="O803" s="5" t="str">
        <f>'4월'!O178</f>
        <v>완료(6/30)</v>
      </c>
      <c r="P803" s="9" t="str">
        <f>'4월'!P178</f>
        <v>천범석</v>
      </c>
      <c r="Q803" s="5">
        <f>'4월'!Q178</f>
        <v>45560</v>
      </c>
      <c r="R803" s="209" t="str">
        <f>'4월'!R178</f>
        <v>매출연간</v>
      </c>
    </row>
    <row r="804" spans="1:18" ht="16.5" customHeight="1">
      <c r="A804" t="s">
        <v>64</v>
      </c>
      <c r="B804" s="10" t="str">
        <f>'4월'!B179</f>
        <v>SB-24052</v>
      </c>
      <c r="C804" s="12" t="str">
        <f>'4월'!C179</f>
        <v>ZUIU6G</v>
      </c>
      <c r="D804" s="13">
        <f>'4월'!D179</f>
        <v>45777</v>
      </c>
      <c r="E804" s="155" t="str">
        <f>'4월'!E179</f>
        <v>성공글로벌테크놀로지코리아</v>
      </c>
      <c r="F804" s="155" t="str">
        <f>'4월'!F179</f>
        <v>유티모스트아이엔에스</v>
      </c>
      <c r="G804" s="168" t="str">
        <f>'4월'!G179</f>
        <v>MA</v>
      </c>
      <c r="H804" s="156" t="str">
        <f>'4월'!H179</f>
        <v>월간-성공</v>
      </c>
      <c r="I804" s="69" t="str">
        <f>'4월'!I179</f>
        <v>삼성중공업 4월 유지정비료 - 8/16회</v>
      </c>
      <c r="J804" s="122">
        <f>'4월'!J179</f>
        <v>1</v>
      </c>
      <c r="K804" s="15">
        <f>'4월'!K179</f>
        <v>11892900</v>
      </c>
      <c r="L804" s="16">
        <f>'4월'!L179</f>
        <v>11892900</v>
      </c>
      <c r="M804" s="15">
        <f>'4월'!M179</f>
        <v>1189290</v>
      </c>
      <c r="N804" s="15">
        <f>'4월'!N179</f>
        <v>13082190</v>
      </c>
      <c r="O804" s="5" t="str">
        <f>'4월'!O179</f>
        <v>완료(6/30)</v>
      </c>
      <c r="P804" s="9" t="str">
        <f>'4월'!P179</f>
        <v>천범석</v>
      </c>
      <c r="Q804" s="5">
        <f>'4월'!Q179</f>
        <v>45777</v>
      </c>
      <c r="R804" s="209"/>
    </row>
    <row r="805" spans="1:18" ht="16.5" customHeight="1">
      <c r="A805" t="s">
        <v>64</v>
      </c>
      <c r="B805" s="10" t="str">
        <f>'4월'!B180</f>
        <v>SB-24058</v>
      </c>
      <c r="C805" s="12" t="str">
        <f>'4월'!C180</f>
        <v>ZM9LCT</v>
      </c>
      <c r="D805" s="13">
        <f>'4월'!D180</f>
        <v>45777</v>
      </c>
      <c r="E805" s="155" t="str">
        <f>'4월'!E180</f>
        <v>성공글로벌테크놀로지코리아</v>
      </c>
      <c r="F805" s="155" t="str">
        <f>'4월'!F180</f>
        <v>에이스기계</v>
      </c>
      <c r="G805" s="168" t="str">
        <f>'4월'!G180</f>
        <v>MA</v>
      </c>
      <c r="H805" s="156" t="str">
        <f>'4월'!H180</f>
        <v>월간-성공</v>
      </c>
      <c r="I805" s="69" t="str">
        <f>'4월'!I180</f>
        <v>4월 유지정비료 - 7/13회</v>
      </c>
      <c r="J805" s="122">
        <f>'4월'!J180</f>
        <v>1</v>
      </c>
      <c r="K805" s="15">
        <f>'4월'!K180</f>
        <v>48900</v>
      </c>
      <c r="L805" s="16">
        <f>'4월'!L180</f>
        <v>48900</v>
      </c>
      <c r="M805" s="15">
        <f>'4월'!M180</f>
        <v>4890</v>
      </c>
      <c r="N805" s="15">
        <f>'4월'!N180</f>
        <v>53790</v>
      </c>
      <c r="O805" s="5" t="str">
        <f>'4월'!O180</f>
        <v>완료(6/30)</v>
      </c>
      <c r="P805" s="9" t="str">
        <f>'4월'!P180</f>
        <v>천범석</v>
      </c>
      <c r="Q805" s="5">
        <f>'4월'!Q180</f>
        <v>45590</v>
      </c>
      <c r="R805" s="209" t="str">
        <f>'4월'!R180</f>
        <v>매출연간</v>
      </c>
    </row>
    <row r="806" spans="1:18" ht="16.5" customHeight="1">
      <c r="A806" t="s">
        <v>64</v>
      </c>
      <c r="B806" s="10" t="str">
        <f>'4월'!B181</f>
        <v>SB-24054</v>
      </c>
      <c r="C806" s="12" t="str">
        <f>'4월'!C181</f>
        <v>ZGYCOY</v>
      </c>
      <c r="D806" s="13">
        <f>'4월'!D181</f>
        <v>45777</v>
      </c>
      <c r="E806" s="155" t="str">
        <f>'4월'!E181</f>
        <v>성공글로벌테크놀로지코리아</v>
      </c>
      <c r="F806" s="155" t="str">
        <f>'4월'!F181</f>
        <v>지인아이티</v>
      </c>
      <c r="G806" s="168" t="str">
        <f>'4월'!G181</f>
        <v>MA</v>
      </c>
      <c r="H806" s="156" t="str">
        <f>'4월'!H181</f>
        <v>월간-성공</v>
      </c>
      <c r="I806" s="69" t="str">
        <f>'4월'!I181</f>
        <v>유아이티 4월 유지정비료 - 7/13회</v>
      </c>
      <c r="J806" s="122">
        <f>'4월'!J181</f>
        <v>1</v>
      </c>
      <c r="K806" s="15">
        <f>'4월'!K181</f>
        <v>306300</v>
      </c>
      <c r="L806" s="16">
        <f>'4월'!L181</f>
        <v>306300</v>
      </c>
      <c r="M806" s="15">
        <f>'4월'!M181</f>
        <v>30630</v>
      </c>
      <c r="N806" s="15">
        <f>'4월'!N181</f>
        <v>336930</v>
      </c>
      <c r="O806" s="5" t="str">
        <f>'4월'!O181</f>
        <v>완료(6/30)</v>
      </c>
      <c r="P806" s="9" t="str">
        <f>'4월'!P181</f>
        <v>천범석</v>
      </c>
      <c r="Q806" s="5">
        <f>'4월'!Q181</f>
        <v>45596</v>
      </c>
      <c r="R806" s="209" t="str">
        <f>'4월'!R181</f>
        <v>매출연간</v>
      </c>
    </row>
    <row r="807" spans="1:18" ht="16.5" customHeight="1">
      <c r="A807" t="s">
        <v>64</v>
      </c>
      <c r="B807" s="10" t="str">
        <f>'4월'!B182</f>
        <v>SB-24055</v>
      </c>
      <c r="C807" s="12" t="str">
        <f>'4월'!C182</f>
        <v>ZAXJCH</v>
      </c>
      <c r="D807" s="13">
        <f>'4월'!D182</f>
        <v>45777</v>
      </c>
      <c r="E807" s="155" t="str">
        <f>'4월'!E182</f>
        <v>성공글로벌테크놀로지코리아</v>
      </c>
      <c r="F807" s="155" t="str">
        <f>'4월'!F182</f>
        <v>이룸인프라</v>
      </c>
      <c r="G807" s="168" t="str">
        <f>'4월'!G182</f>
        <v>MA</v>
      </c>
      <c r="H807" s="156" t="str">
        <f>'4월'!H182</f>
        <v>월간-성공</v>
      </c>
      <c r="I807" s="69" t="str">
        <f>'4월'!I182</f>
        <v>포스코 4월 유지정비료 - 7/15회</v>
      </c>
      <c r="J807" s="122">
        <f>'4월'!J182</f>
        <v>1</v>
      </c>
      <c r="K807" s="15">
        <f>'4월'!K182</f>
        <v>655500</v>
      </c>
      <c r="L807" s="16">
        <f>'4월'!L182</f>
        <v>655500</v>
      </c>
      <c r="M807" s="15">
        <f>'4월'!M182</f>
        <v>65550</v>
      </c>
      <c r="N807" s="15">
        <f>'4월'!N182</f>
        <v>721050</v>
      </c>
      <c r="O807" s="5" t="str">
        <f>'4월'!O182</f>
        <v>완료(6/30)</v>
      </c>
      <c r="P807" s="9" t="str">
        <f>'4월'!P182</f>
        <v>천범석</v>
      </c>
      <c r="Q807" s="5">
        <f>'4월'!Q182</f>
        <v>45777</v>
      </c>
      <c r="R807" s="209"/>
    </row>
    <row r="808" spans="1:18" ht="16.5" customHeight="1">
      <c r="A808" t="s">
        <v>64</v>
      </c>
      <c r="B808" s="10" t="str">
        <f>'4월'!B183</f>
        <v>SB-24055</v>
      </c>
      <c r="C808" s="12" t="str">
        <f>'4월'!C183</f>
        <v>ZP1BPN</v>
      </c>
      <c r="D808" s="13">
        <f>'4월'!D183</f>
        <v>45777</v>
      </c>
      <c r="E808" s="155" t="str">
        <f>'4월'!E183</f>
        <v>성공글로벌테크놀로지코리아</v>
      </c>
      <c r="F808" s="155" t="str">
        <f>'4월'!F183</f>
        <v>이룸인프라</v>
      </c>
      <c r="G808" s="168" t="str">
        <f>'4월'!G183</f>
        <v>MA</v>
      </c>
      <c r="H808" s="156" t="str">
        <f>'4월'!H183</f>
        <v>월간-성공</v>
      </c>
      <c r="I808" s="69" t="str">
        <f>'4월'!I183</f>
        <v>포스코 4월 유지정비료 - 6/14회</v>
      </c>
      <c r="J808" s="122">
        <f>'4월'!J183</f>
        <v>1</v>
      </c>
      <c r="K808" s="15">
        <f>'4월'!K183</f>
        <v>1981200</v>
      </c>
      <c r="L808" s="16">
        <f>'4월'!L183</f>
        <v>1981200</v>
      </c>
      <c r="M808" s="15">
        <f>'4월'!M183</f>
        <v>198120</v>
      </c>
      <c r="N808" s="15">
        <f>'4월'!N183</f>
        <v>2179320</v>
      </c>
      <c r="O808" s="5" t="str">
        <f>'4월'!O183</f>
        <v>완료(6/30)</v>
      </c>
      <c r="P808" s="9" t="str">
        <f>'4월'!P183</f>
        <v>천범석</v>
      </c>
      <c r="Q808" s="5">
        <f>'4월'!Q183</f>
        <v>45777</v>
      </c>
      <c r="R808" s="209"/>
    </row>
    <row r="809" spans="1:18" ht="16.5" customHeight="1">
      <c r="A809" t="s">
        <v>64</v>
      </c>
      <c r="B809" s="10" t="str">
        <f>'4월'!B184</f>
        <v>SB-24053</v>
      </c>
      <c r="C809" s="12" t="str">
        <f>'4월'!C184</f>
        <v>Z5LOLW</v>
      </c>
      <c r="D809" s="13">
        <f>'4월'!D184</f>
        <v>45777</v>
      </c>
      <c r="E809" s="155" t="str">
        <f>'4월'!E184</f>
        <v>성공글로벌테크놀로지코리아</v>
      </c>
      <c r="F809" s="155" t="str">
        <f>'4월'!F184</f>
        <v>대한변협법학전문대학원평가위원회</v>
      </c>
      <c r="G809" s="168" t="str">
        <f>'4월'!G184</f>
        <v>MA</v>
      </c>
      <c r="H809" s="156" t="str">
        <f>'4월'!H184</f>
        <v>월간-성공</v>
      </c>
      <c r="I809" s="69" t="str">
        <f>'4월'!I184</f>
        <v>4월 유지정비료 - 3/12회</v>
      </c>
      <c r="J809" s="122">
        <f>'4월'!J184</f>
        <v>1</v>
      </c>
      <c r="K809" s="15">
        <f>'4월'!K184</f>
        <v>153900</v>
      </c>
      <c r="L809" s="16">
        <f>'4월'!L184</f>
        <v>153900</v>
      </c>
      <c r="M809" s="15">
        <f>'4월'!M184</f>
        <v>15390</v>
      </c>
      <c r="N809" s="15">
        <f>'4월'!N184</f>
        <v>169290</v>
      </c>
      <c r="O809" s="5" t="str">
        <f>'4월'!O184</f>
        <v>완료(6/30)</v>
      </c>
      <c r="P809" s="9" t="str">
        <f>'4월'!P184</f>
        <v>천범석</v>
      </c>
      <c r="Q809" s="5">
        <f>'4월'!Q184</f>
        <v>45588</v>
      </c>
      <c r="R809" s="209" t="str">
        <f>'4월'!R184</f>
        <v>매출연간</v>
      </c>
    </row>
    <row r="810" spans="1:18" ht="16.5" customHeight="1">
      <c r="A810" t="s">
        <v>64</v>
      </c>
      <c r="B810" s="10" t="str">
        <f>'4월'!B185</f>
        <v>SB-24059</v>
      </c>
      <c r="C810" s="12" t="str">
        <f>'4월'!C185</f>
        <v>ZISA1K</v>
      </c>
      <c r="D810" s="13">
        <f>'4월'!D185</f>
        <v>45777</v>
      </c>
      <c r="E810" s="155" t="str">
        <f>'4월'!E185</f>
        <v>성공글로벌테크놀로지코리아</v>
      </c>
      <c r="F810" s="155" t="str">
        <f>'4월'!F185</f>
        <v>유노스</v>
      </c>
      <c r="G810" s="168" t="str">
        <f>'4월'!G185</f>
        <v>MA</v>
      </c>
      <c r="H810" s="156" t="str">
        <f>'4월'!H185</f>
        <v>월간-성공</v>
      </c>
      <c r="I810" s="69" t="str">
        <f>'4월'!I185</f>
        <v>신성통상 4월 유지정비료 - 5/12회</v>
      </c>
      <c r="J810" s="122">
        <f>'4월'!J185</f>
        <v>1</v>
      </c>
      <c r="K810" s="15">
        <f>'4월'!K185</f>
        <v>444480</v>
      </c>
      <c r="L810" s="16">
        <f>'4월'!L185</f>
        <v>444480</v>
      </c>
      <c r="M810" s="15">
        <f>'4월'!M185</f>
        <v>44448</v>
      </c>
      <c r="N810" s="15">
        <f>'4월'!N185</f>
        <v>488928</v>
      </c>
      <c r="O810" s="5" t="str">
        <f>'4월'!O185</f>
        <v>완료(6/30)</v>
      </c>
      <c r="P810" s="9" t="str">
        <f>'4월'!P185</f>
        <v>천범석</v>
      </c>
      <c r="Q810" s="5">
        <f>'4월'!Q185</f>
        <v>45627</v>
      </c>
      <c r="R810" s="209" t="str">
        <f>'4월'!R185</f>
        <v>매출연간</v>
      </c>
    </row>
    <row r="811" spans="1:18" ht="16.5" customHeight="1">
      <c r="A811" t="s">
        <v>64</v>
      </c>
      <c r="B811" s="10" t="str">
        <f>'4월'!B186</f>
        <v>SB-24061</v>
      </c>
      <c r="C811" s="12" t="str">
        <f>'4월'!C186</f>
        <v>ZVVVON</v>
      </c>
      <c r="D811" s="13">
        <f>'4월'!D186</f>
        <v>45777</v>
      </c>
      <c r="E811" s="155" t="str">
        <f>'4월'!E186</f>
        <v>성공글로벌테크놀로지코리아</v>
      </c>
      <c r="F811" s="155" t="str">
        <f>'4월'!F186</f>
        <v>다솜테크</v>
      </c>
      <c r="G811" s="156" t="str">
        <f>'4월'!G186</f>
        <v>MA</v>
      </c>
      <c r="H811" s="156" t="str">
        <f>'4월'!H186</f>
        <v>월간-성공</v>
      </c>
      <c r="I811" s="69" t="str">
        <f>'4월'!I186</f>
        <v>롯데정보통신 4월 유지정비료 - 4/12회</v>
      </c>
      <c r="J811" s="122">
        <f>'4월'!J186</f>
        <v>1</v>
      </c>
      <c r="K811" s="15">
        <f>'4월'!K186</f>
        <v>661800</v>
      </c>
      <c r="L811" s="16">
        <f>'4월'!L186</f>
        <v>661800</v>
      </c>
      <c r="M811" s="16">
        <f>'4월'!M186</f>
        <v>66180</v>
      </c>
      <c r="N811" s="15">
        <f>'4월'!N186</f>
        <v>727980</v>
      </c>
      <c r="O811" s="5" t="str">
        <f>'4월'!O186</f>
        <v>완료(6/30)</v>
      </c>
      <c r="P811" s="9" t="str">
        <f>'4월'!P186</f>
        <v>천범석</v>
      </c>
      <c r="Q811" s="5">
        <f>'4월'!Q186</f>
        <v>45777</v>
      </c>
      <c r="R811" s="213"/>
    </row>
    <row r="812" spans="1:18" ht="16.5" customHeight="1">
      <c r="A812" t="s">
        <v>64</v>
      </c>
      <c r="B812" s="10" t="str">
        <f>'4월'!B187</f>
        <v>SB-24062</v>
      </c>
      <c r="C812" s="12" t="str">
        <f>'4월'!C187</f>
        <v>ZZM77T</v>
      </c>
      <c r="D812" s="13">
        <f>'4월'!D187</f>
        <v>45777</v>
      </c>
      <c r="E812" s="155" t="str">
        <f>'4월'!E187</f>
        <v>성공글로벌테크놀로지코리아</v>
      </c>
      <c r="F812" s="155" t="str">
        <f>'4월'!F187</f>
        <v>대유에이텍</v>
      </c>
      <c r="G812" s="156" t="str">
        <f>'4월'!G187</f>
        <v>MA</v>
      </c>
      <c r="H812" s="156" t="str">
        <f>'4월'!H187</f>
        <v>월간-성공</v>
      </c>
      <c r="I812" s="69" t="str">
        <f>'4월'!I187</f>
        <v>4월 유지정비료 - 5/18회</v>
      </c>
      <c r="J812" s="122">
        <f>'4월'!J187</f>
        <v>1</v>
      </c>
      <c r="K812" s="15">
        <f>'4월'!K187</f>
        <v>319200</v>
      </c>
      <c r="L812" s="16">
        <f>'4월'!L187</f>
        <v>319200</v>
      </c>
      <c r="M812" s="15">
        <f>'4월'!M187</f>
        <v>31920</v>
      </c>
      <c r="N812" s="15">
        <f>'4월'!N187</f>
        <v>351120</v>
      </c>
      <c r="O812" s="5" t="str">
        <f>'4월'!O187</f>
        <v>완료(6/30)</v>
      </c>
      <c r="P812" s="9" t="str">
        <f>'4월'!P187</f>
        <v>천범석</v>
      </c>
      <c r="Q812" s="5">
        <f>'4월'!Q187</f>
        <v>45645</v>
      </c>
      <c r="R812" s="209" t="str">
        <f>'4월'!R187</f>
        <v>매출연간</v>
      </c>
    </row>
    <row r="813" spans="1:18" ht="16.5" customHeight="1">
      <c r="A813" t="s">
        <v>64</v>
      </c>
      <c r="B813" s="10" t="str">
        <f>'4월'!B188</f>
        <v>SL-24028</v>
      </c>
      <c r="C813" s="12" t="str">
        <f>'4월'!C188</f>
        <v>ZJYUVJ</v>
      </c>
      <c r="D813" s="13">
        <f>'4월'!D188</f>
        <v>45777</v>
      </c>
      <c r="E813" s="155" t="str">
        <f>'4월'!E188</f>
        <v>성공글로벌테크놀로지코리아</v>
      </c>
      <c r="F813" s="155" t="str">
        <f>'4월'!F188</f>
        <v>온더레벨</v>
      </c>
      <c r="G813" s="156" t="str">
        <f>'4월'!G188</f>
        <v>MA</v>
      </c>
      <c r="H813" s="156" t="str">
        <f>'4월'!H188</f>
        <v>월간-성공</v>
      </c>
      <c r="I813" s="69" t="str">
        <f>'4월'!I188</f>
        <v>한우리아이티 4월 유지정비료 - 4/7회</v>
      </c>
      <c r="J813" s="122">
        <f>'4월'!J188</f>
        <v>1</v>
      </c>
      <c r="K813" s="15">
        <f>'4월'!K188</f>
        <v>97800</v>
      </c>
      <c r="L813" s="16">
        <f>'4월'!L188</f>
        <v>97800</v>
      </c>
      <c r="M813" s="16">
        <f>'4월'!M188</f>
        <v>9780</v>
      </c>
      <c r="N813" s="15">
        <f>'4월'!N188</f>
        <v>107580</v>
      </c>
      <c r="O813" s="5" t="str">
        <f>'4월'!O188</f>
        <v>완료(6/30)</v>
      </c>
      <c r="P813" s="9" t="str">
        <f>'4월'!P188</f>
        <v>천범석</v>
      </c>
      <c r="Q813" s="5">
        <f>'4월'!Q188</f>
        <v>45681</v>
      </c>
      <c r="R813" s="209" t="str">
        <f>'4월'!R188</f>
        <v>매출연간</v>
      </c>
    </row>
    <row r="814" spans="1:18" ht="16.5" customHeight="1">
      <c r="A814" t="s">
        <v>64</v>
      </c>
      <c r="B814" s="10" t="str">
        <f>'4월'!B189</f>
        <v>SB-24066</v>
      </c>
      <c r="C814" s="12" t="str">
        <f>'4월'!C189</f>
        <v>ZDSNDX</v>
      </c>
      <c r="D814" s="13">
        <f>'4월'!D189</f>
        <v>45777</v>
      </c>
      <c r="E814" s="155" t="str">
        <f>'4월'!E189</f>
        <v>성공글로벌테크놀로지코리아</v>
      </c>
      <c r="F814" s="155" t="str">
        <f>'4월'!F189</f>
        <v>이룸인프라</v>
      </c>
      <c r="G814" s="168" t="str">
        <f>'4월'!G189</f>
        <v>MA</v>
      </c>
      <c r="H814" s="156" t="str">
        <f>'4월'!H189</f>
        <v>월간-성공</v>
      </c>
      <c r="I814" s="69" t="str">
        <f>'4월'!I189</f>
        <v>중국광대은행 4월 유지정비료 - 5/12회</v>
      </c>
      <c r="J814" s="122">
        <f>'4월'!J189</f>
        <v>1</v>
      </c>
      <c r="K814" s="15">
        <f>'4월'!K189</f>
        <v>98100</v>
      </c>
      <c r="L814" s="16">
        <f>'4월'!L189</f>
        <v>98100</v>
      </c>
      <c r="M814" s="15">
        <f>'4월'!M189</f>
        <v>9810</v>
      </c>
      <c r="N814" s="15">
        <f>'4월'!N189</f>
        <v>107910</v>
      </c>
      <c r="O814" s="5" t="str">
        <f>'4월'!O189</f>
        <v>완료(6/30)</v>
      </c>
      <c r="P814" s="9" t="str">
        <f>'4월'!P189</f>
        <v>천범석</v>
      </c>
      <c r="Q814" s="5">
        <f>'4월'!Q189</f>
        <v>45659</v>
      </c>
      <c r="R814" s="209"/>
    </row>
    <row r="815" spans="1:18" ht="16.5" customHeight="1">
      <c r="A815" t="s">
        <v>64</v>
      </c>
      <c r="B815" s="10" t="str">
        <f>'4월'!B190</f>
        <v>SB-24065</v>
      </c>
      <c r="C815" s="12" t="str">
        <f>'4월'!C190</f>
        <v>ZDFIN7</v>
      </c>
      <c r="D815" s="13">
        <f>'4월'!D190</f>
        <v>45777</v>
      </c>
      <c r="E815" s="155" t="str">
        <f>'4월'!E190</f>
        <v>성공글로벌테크놀로지코리아</v>
      </c>
      <c r="F815" s="155" t="str">
        <f>'4월'!F190</f>
        <v>다솜테크</v>
      </c>
      <c r="G815" s="168" t="str">
        <f>'4월'!G190</f>
        <v>MA</v>
      </c>
      <c r="H815" s="156" t="str">
        <f>'4월'!H190</f>
        <v>월간-성공</v>
      </c>
      <c r="I815" s="69" t="str">
        <f>'4월'!I190</f>
        <v>안산시청 4월 유지정비료 - 4/24회</v>
      </c>
      <c r="J815" s="122">
        <f>'4월'!J190</f>
        <v>1</v>
      </c>
      <c r="K815" s="15">
        <f>'4월'!K190</f>
        <v>1196100</v>
      </c>
      <c r="L815" s="16">
        <f>'4월'!L190</f>
        <v>1196100</v>
      </c>
      <c r="M815" s="16">
        <f>'4월'!M190</f>
        <v>119610</v>
      </c>
      <c r="N815" s="15">
        <f>'4월'!N190</f>
        <v>1315710</v>
      </c>
      <c r="O815" s="5" t="str">
        <f>'4월'!O190</f>
        <v>완료(6/30)</v>
      </c>
      <c r="P815" s="9" t="str">
        <f>'4월'!P190</f>
        <v>천범석</v>
      </c>
      <c r="Q815" s="5">
        <f>'4월'!Q190</f>
        <v>45777</v>
      </c>
      <c r="R815" s="213"/>
    </row>
    <row r="816" spans="1:18" ht="16.5" customHeight="1">
      <c r="A816" t="s">
        <v>64</v>
      </c>
      <c r="B816" s="10" t="str">
        <f>'4월'!B191</f>
        <v>SL-24050</v>
      </c>
      <c r="C816" s="12" t="str">
        <f>'4월'!C191</f>
        <v>ZXFJNS</v>
      </c>
      <c r="D816" s="13">
        <f>'4월'!D191</f>
        <v>45777</v>
      </c>
      <c r="E816" s="155" t="str">
        <f>'4월'!E191</f>
        <v>성공글로벌테크놀로지코리아</v>
      </c>
      <c r="F816" s="155" t="str">
        <f>'4월'!F191</f>
        <v>스마트에프앤디</v>
      </c>
      <c r="G816" s="168" t="str">
        <f>'4월'!G191</f>
        <v>MA</v>
      </c>
      <c r="H816" s="156" t="str">
        <f>'4월'!H191</f>
        <v>월간-성공</v>
      </c>
      <c r="I816" s="69" t="str">
        <f>'4월'!I191</f>
        <v>4월 유지정비료 - 4/13회</v>
      </c>
      <c r="J816" s="122">
        <f>'4월'!J191</f>
        <v>1</v>
      </c>
      <c r="K816" s="15">
        <f>'4월'!K191</f>
        <v>99900</v>
      </c>
      <c r="L816" s="16">
        <f>'4월'!L191</f>
        <v>99900</v>
      </c>
      <c r="M816" s="16">
        <f>'4월'!M191</f>
        <v>9990</v>
      </c>
      <c r="N816" s="15">
        <f>'4월'!N191</f>
        <v>109890</v>
      </c>
      <c r="O816" s="5" t="str">
        <f>'4월'!O191</f>
        <v>완료(6/30)</v>
      </c>
      <c r="P816" s="9" t="str">
        <f>'4월'!P191</f>
        <v>천범석</v>
      </c>
      <c r="Q816" s="5">
        <f>'4월'!Q191</f>
        <v>45661</v>
      </c>
      <c r="R816" s="209" t="str">
        <f>'4월'!R191</f>
        <v>매출연간</v>
      </c>
    </row>
    <row r="817" spans="1:18" ht="16.5" customHeight="1">
      <c r="A817" t="s">
        <v>64</v>
      </c>
      <c r="B817" s="10" t="str">
        <f>'4월'!B192</f>
        <v>SB-25001</v>
      </c>
      <c r="C817" s="12" t="str">
        <f>'4월'!C192</f>
        <v>ZXRZHC</v>
      </c>
      <c r="D817" s="13">
        <f>'4월'!D192</f>
        <v>45777</v>
      </c>
      <c r="E817" s="155" t="str">
        <f>'4월'!E192</f>
        <v>성공글로벌테크놀로지코리아</v>
      </c>
      <c r="F817" s="155" t="str">
        <f>'4월'!F192</f>
        <v>퓨처젠</v>
      </c>
      <c r="G817" s="168" t="str">
        <f>'4월'!G192</f>
        <v>MA</v>
      </c>
      <c r="H817" s="156" t="str">
        <f>'4월'!H192</f>
        <v>월간-성공</v>
      </c>
      <c r="I817" s="69" t="str">
        <f>'4월'!I192</f>
        <v>HB(에이치비)저축은행 4월 유지정비료 - 4/12회</v>
      </c>
      <c r="J817" s="122">
        <f>'4월'!J192</f>
        <v>1</v>
      </c>
      <c r="K817" s="15">
        <f>'4월'!K192</f>
        <v>820200</v>
      </c>
      <c r="L817" s="16">
        <f>'4월'!L192</f>
        <v>820200</v>
      </c>
      <c r="M817" s="16">
        <f>'4월'!M192</f>
        <v>82020</v>
      </c>
      <c r="N817" s="15">
        <f>'4월'!N192</f>
        <v>902220</v>
      </c>
      <c r="O817" s="5" t="str">
        <f>'4월'!O192</f>
        <v>완료(6/30)</v>
      </c>
      <c r="P817" s="9" t="str">
        <f>'4월'!P192</f>
        <v>천범석</v>
      </c>
      <c r="Q817" s="5">
        <f>'4월'!Q192</f>
        <v>45777</v>
      </c>
      <c r="R817" s="213"/>
    </row>
    <row r="818" spans="1:18" ht="16.5" customHeight="1">
      <c r="A818" t="s">
        <v>64</v>
      </c>
      <c r="B818" s="10" t="str">
        <f>'4월'!B193</f>
        <v>SB-25005</v>
      </c>
      <c r="C818" s="12" t="str">
        <f>'4월'!C193</f>
        <v>ZSUEIX</v>
      </c>
      <c r="D818" s="13">
        <f>'4월'!D193</f>
        <v>45777</v>
      </c>
      <c r="E818" s="155" t="str">
        <f>'4월'!E193</f>
        <v>성공글로벌테크놀로지코리아</v>
      </c>
      <c r="F818" s="155" t="str">
        <f>'4월'!F193</f>
        <v>제이엔테크놀러지</v>
      </c>
      <c r="G818" s="168" t="str">
        <f>'4월'!G193</f>
        <v>MA</v>
      </c>
      <c r="H818" s="156" t="str">
        <f>'4월'!H193</f>
        <v>월간-성공</v>
      </c>
      <c r="I818" s="69" t="str">
        <f>'4월'!I193</f>
        <v>SK실트론 4월 유지정비료 - 4/12회</v>
      </c>
      <c r="J818" s="122">
        <f>'4월'!J193</f>
        <v>1</v>
      </c>
      <c r="K818" s="15">
        <f>'4월'!K193</f>
        <v>502800</v>
      </c>
      <c r="L818" s="16">
        <f>'4월'!L193</f>
        <v>502800</v>
      </c>
      <c r="M818" s="16">
        <f>'4월'!M193</f>
        <v>50280</v>
      </c>
      <c r="N818" s="15">
        <f>'4월'!N193</f>
        <v>553080</v>
      </c>
      <c r="O818" s="5" t="str">
        <f>'4월'!O193</f>
        <v>완료(6/30)</v>
      </c>
      <c r="P818" s="9" t="str">
        <f>'4월'!P193</f>
        <v>천범석</v>
      </c>
      <c r="Q818" s="5">
        <f>'4월'!Q193</f>
        <v>45777</v>
      </c>
      <c r="R818" s="213"/>
    </row>
    <row r="819" spans="1:18" ht="16.5" customHeight="1">
      <c r="A819" t="s">
        <v>64</v>
      </c>
      <c r="B819" s="10" t="str">
        <f>'4월'!B194</f>
        <v>SM-25003</v>
      </c>
      <c r="C819" s="12" t="str">
        <f>'4월'!C194</f>
        <v>ZZ6BIS</v>
      </c>
      <c r="D819" s="13">
        <f>'4월'!D194</f>
        <v>45777</v>
      </c>
      <c r="E819" s="155" t="str">
        <f>'4월'!E194</f>
        <v>성공글로벌테크놀로지코리아</v>
      </c>
      <c r="F819" s="155" t="str">
        <f>'4월'!F194</f>
        <v>씨제이 씨지브이 통합</v>
      </c>
      <c r="G819" s="168" t="str">
        <f>'4월'!G194</f>
        <v>MA</v>
      </c>
      <c r="H819" s="156" t="str">
        <f>'4월'!H194</f>
        <v>월간-성공</v>
      </c>
      <c r="I819" s="69" t="str">
        <f>'4월'!I194</f>
        <v>4월 유지정비료 - 4/12회</v>
      </c>
      <c r="J819" s="122">
        <f>'4월'!J194</f>
        <v>1</v>
      </c>
      <c r="K819" s="15">
        <f>'4월'!K194</f>
        <v>1417500</v>
      </c>
      <c r="L819" s="16">
        <f>'4월'!L194</f>
        <v>1417500</v>
      </c>
      <c r="M819" s="16">
        <f>'4월'!M194</f>
        <v>141750</v>
      </c>
      <c r="N819" s="15">
        <f>'4월'!N194</f>
        <v>1559250</v>
      </c>
      <c r="O819" s="5" t="str">
        <f>'4월'!O194</f>
        <v>완료(6/30)</v>
      </c>
      <c r="P819" s="9" t="str">
        <f>'4월'!P194</f>
        <v>천범석</v>
      </c>
      <c r="Q819" s="5">
        <f>'4월'!Q194</f>
        <v>45666</v>
      </c>
      <c r="R819" s="213" t="str">
        <f>'4월'!R194</f>
        <v>매출연간</v>
      </c>
    </row>
    <row r="820" spans="1:18" ht="16.5" customHeight="1">
      <c r="A820" t="s">
        <v>64</v>
      </c>
      <c r="B820" s="10" t="str">
        <f>'4월'!B195</f>
        <v>SB-25007</v>
      </c>
      <c r="C820" s="12" t="str">
        <f>'4월'!C195</f>
        <v xml:space="preserve"> ZROHA2</v>
      </c>
      <c r="D820" s="13">
        <f>'4월'!D195</f>
        <v>45777</v>
      </c>
      <c r="E820" s="155" t="str">
        <f>'4월'!E195</f>
        <v>성공글로벌테크놀로지코리아</v>
      </c>
      <c r="F820" s="155" t="str">
        <f>'4월'!F195</f>
        <v>페타데이타</v>
      </c>
      <c r="G820" s="168" t="str">
        <f>'4월'!G195</f>
        <v>MA</v>
      </c>
      <c r="H820" s="156" t="str">
        <f>'4월'!H195</f>
        <v>월간-성공</v>
      </c>
      <c r="I820" s="69" t="str">
        <f>'4월'!I195</f>
        <v>SBS 4월 유지정비료 - 4/12회</v>
      </c>
      <c r="J820" s="122">
        <f>'4월'!J195</f>
        <v>1</v>
      </c>
      <c r="K820" s="15">
        <f>'4월'!K195</f>
        <v>243000</v>
      </c>
      <c r="L820" s="16">
        <f>'4월'!L195</f>
        <v>243000</v>
      </c>
      <c r="M820" s="15">
        <f>'4월'!M195</f>
        <v>24300</v>
      </c>
      <c r="N820" s="15">
        <f>'4월'!N195</f>
        <v>267300</v>
      </c>
      <c r="O820" s="5" t="str">
        <f>'4월'!O195</f>
        <v>완료(6/30)</v>
      </c>
      <c r="P820" s="9" t="str">
        <f>'4월'!P195</f>
        <v>천범석</v>
      </c>
      <c r="Q820" s="5">
        <f>'4월'!Q195</f>
        <v>45777</v>
      </c>
      <c r="R820" s="209"/>
    </row>
    <row r="821" spans="1:18" ht="16.5" customHeight="1">
      <c r="A821" t="s">
        <v>64</v>
      </c>
      <c r="B821" s="10" t="str">
        <f>'4월'!B196</f>
        <v>SB-25006</v>
      </c>
      <c r="C821" s="12" t="str">
        <f>'4월'!C196</f>
        <v>ZTAHJK</v>
      </c>
      <c r="D821" s="13">
        <f>'4월'!D196</f>
        <v>45777</v>
      </c>
      <c r="E821" s="155" t="str">
        <f>'4월'!E196</f>
        <v>성공글로벌테크놀로지코리아</v>
      </c>
      <c r="F821" s="155" t="str">
        <f>'4월'!F196</f>
        <v>더힘</v>
      </c>
      <c r="G821" s="168" t="str">
        <f>'4월'!G196</f>
        <v>MA</v>
      </c>
      <c r="H821" s="156" t="str">
        <f>'4월'!H196</f>
        <v>월간-성공</v>
      </c>
      <c r="I821" s="69" t="str">
        <f>'4월'!I196</f>
        <v>피에스케이(PSK) 4월 유지정비료 - 4/17회</v>
      </c>
      <c r="J821" s="122">
        <f>'4월'!J196</f>
        <v>1</v>
      </c>
      <c r="K821" s="15">
        <f>'4월'!K196</f>
        <v>1892400</v>
      </c>
      <c r="L821" s="16">
        <f>'4월'!L196</f>
        <v>1892400</v>
      </c>
      <c r="M821" s="16">
        <f>'4월'!M196</f>
        <v>189240</v>
      </c>
      <c r="N821" s="15">
        <f>'4월'!N196</f>
        <v>2081640</v>
      </c>
      <c r="O821" s="5" t="str">
        <f>'4월'!O196</f>
        <v>완료(6/30)</v>
      </c>
      <c r="P821" s="9" t="str">
        <f>'4월'!P196</f>
        <v>천범석</v>
      </c>
      <c r="Q821" s="5">
        <f>'4월'!Q196</f>
        <v>45687</v>
      </c>
      <c r="R821" s="213"/>
    </row>
    <row r="822" spans="1:18" ht="16.5" customHeight="1">
      <c r="A822" t="s">
        <v>64</v>
      </c>
      <c r="B822" s="10" t="str">
        <f>'4월'!B197</f>
        <v>SB-25008</v>
      </c>
      <c r="C822" s="12" t="str">
        <f>'4월'!C197</f>
        <v>ZTGLCD</v>
      </c>
      <c r="D822" s="13">
        <f>'4월'!D197</f>
        <v>45777</v>
      </c>
      <c r="E822" s="155" t="str">
        <f>'4월'!E197</f>
        <v>성공글로벌테크놀로지코리아</v>
      </c>
      <c r="F822" s="155" t="str">
        <f>'4월'!F197</f>
        <v>아이리스인포테크</v>
      </c>
      <c r="G822" s="168" t="str">
        <f>'4월'!G197</f>
        <v>MA</v>
      </c>
      <c r="H822" s="156" t="str">
        <f>'4월'!H197</f>
        <v>월간-성공</v>
      </c>
      <c r="I822" s="69" t="str">
        <f>'4월'!I197</f>
        <v>삼성전자 4월분 - 6/13회</v>
      </c>
      <c r="J822" s="122">
        <f>'4월'!J197</f>
        <v>1</v>
      </c>
      <c r="K822" s="15">
        <f>'4월'!K197</f>
        <v>212700</v>
      </c>
      <c r="L822" s="16">
        <f>'4월'!L197</f>
        <v>212700</v>
      </c>
      <c r="M822" s="16">
        <f>'4월'!M197</f>
        <v>21270</v>
      </c>
      <c r="N822" s="15">
        <f>'4월'!N197</f>
        <v>233970</v>
      </c>
      <c r="O822" s="5" t="str">
        <f>'4월'!O197</f>
        <v>완료(6/30)</v>
      </c>
      <c r="P822" s="177" t="str">
        <f>'4월'!P197</f>
        <v>천범석</v>
      </c>
      <c r="Q822" s="5">
        <f>'4월'!Q197</f>
        <v>45681</v>
      </c>
      <c r="R822" s="213" t="str">
        <f>'4월'!R197</f>
        <v>매출연간</v>
      </c>
    </row>
    <row r="823" spans="1:18" ht="16.5" customHeight="1">
      <c r="A823" t="s">
        <v>64</v>
      </c>
      <c r="B823" s="10" t="str">
        <f>'4월'!B198</f>
        <v>SB-25009</v>
      </c>
      <c r="C823" s="12" t="str">
        <f>'4월'!C198</f>
        <v>ZPXA6W</v>
      </c>
      <c r="D823" s="13">
        <f>'4월'!D198</f>
        <v>45777</v>
      </c>
      <c r="E823" s="155" t="str">
        <f>'4월'!E198</f>
        <v>성공글로벌테크놀로지코리아</v>
      </c>
      <c r="F823" s="155" t="str">
        <f>'4월'!F198</f>
        <v>다올시스</v>
      </c>
      <c r="G823" s="168" t="str">
        <f>'4월'!G198</f>
        <v>MA</v>
      </c>
      <c r="H823" s="156" t="str">
        <f>'4월'!H198</f>
        <v>월간-성공</v>
      </c>
      <c r="I823" s="69" t="str">
        <f>'4월'!I198</f>
        <v>대동도어 4월 유지정비료 - 3/13회</v>
      </c>
      <c r="J823" s="122">
        <f>'4월'!J198</f>
        <v>1</v>
      </c>
      <c r="K823" s="15">
        <f>'4월'!K198</f>
        <v>149400</v>
      </c>
      <c r="L823" s="16">
        <f>'4월'!L198</f>
        <v>149400</v>
      </c>
      <c r="M823" s="15">
        <f>'4월'!M198</f>
        <v>14940</v>
      </c>
      <c r="N823" s="15">
        <f>'4월'!N198</f>
        <v>164340</v>
      </c>
      <c r="O823" s="5" t="str">
        <f>'4월'!O198</f>
        <v>완료(6/30)</v>
      </c>
      <c r="P823" s="9" t="str">
        <f>'4월'!P198</f>
        <v>천범석</v>
      </c>
      <c r="Q823" s="5">
        <f>'4월'!Q198</f>
        <v>45716</v>
      </c>
      <c r="R823" s="209" t="str">
        <f>'4월'!R198</f>
        <v>매출연간</v>
      </c>
    </row>
    <row r="824" spans="1:18" ht="16.5" customHeight="1">
      <c r="A824" t="s">
        <v>64</v>
      </c>
      <c r="B824" s="10" t="str">
        <f>'4월'!B199</f>
        <v>SB-25010</v>
      </c>
      <c r="C824" s="12" t="str">
        <f>'4월'!C199</f>
        <v>ZCXAPZ</v>
      </c>
      <c r="D824" s="13">
        <f>'4월'!D199</f>
        <v>45777</v>
      </c>
      <c r="E824" s="155" t="str">
        <f>'4월'!E199</f>
        <v>성공글로벌테크놀로지코리아</v>
      </c>
      <c r="F824" s="155" t="str">
        <f>'4월'!F199</f>
        <v>유티모스트아이엔에스</v>
      </c>
      <c r="G824" s="168" t="str">
        <f>'4월'!G199</f>
        <v>MA</v>
      </c>
      <c r="H824" s="156" t="str">
        <f>'4월'!H199</f>
        <v>월간-성공</v>
      </c>
      <c r="I824" s="69" t="str">
        <f>'4월'!I199</f>
        <v>메타넷디지털 25년 4월 - 13/21회</v>
      </c>
      <c r="J824" s="122">
        <f>'4월'!J199</f>
        <v>1</v>
      </c>
      <c r="K824" s="15">
        <f>'4월'!K199</f>
        <v>180600</v>
      </c>
      <c r="L824" s="16">
        <f>'4월'!L199</f>
        <v>180600</v>
      </c>
      <c r="M824" s="16">
        <f>'4월'!M199</f>
        <v>18060</v>
      </c>
      <c r="N824" s="15">
        <f>'4월'!N199</f>
        <v>198660</v>
      </c>
      <c r="O824" s="5" t="str">
        <f>'4월'!O199</f>
        <v>완료(6/30)</v>
      </c>
      <c r="P824" s="9" t="str">
        <f>'4월'!P199</f>
        <v>천범석</v>
      </c>
      <c r="Q824" s="5">
        <f>'4월'!Q199</f>
        <v>45777</v>
      </c>
      <c r="R824" s="213"/>
    </row>
    <row r="825" spans="1:18" ht="16.5" customHeight="1">
      <c r="A825" t="s">
        <v>64</v>
      </c>
      <c r="B825" s="10" t="str">
        <f>'4월'!B200</f>
        <v>SB-25011</v>
      </c>
      <c r="C825" s="12" t="str">
        <f>'4월'!C200</f>
        <v>ZJREZL</v>
      </c>
      <c r="D825" s="13">
        <f>'4월'!D200</f>
        <v>45777</v>
      </c>
      <c r="E825" s="155" t="str">
        <f>'4월'!E200</f>
        <v>성공글로벌테크놀로지코리아</v>
      </c>
      <c r="F825" s="155" t="str">
        <f>'4월'!F200</f>
        <v>이룸에스앤앤</v>
      </c>
      <c r="G825" s="168" t="str">
        <f>'4월'!G200</f>
        <v>MA</v>
      </c>
      <c r="H825" s="156" t="str">
        <f>'4월'!H200</f>
        <v>월간-성공</v>
      </c>
      <c r="I825" s="69" t="str">
        <f>'4월'!I200</f>
        <v>코리아미카사 25년 4월 유지정비료 - 16/25회</v>
      </c>
      <c r="J825" s="122">
        <f>'4월'!J200</f>
        <v>1</v>
      </c>
      <c r="K825" s="15">
        <f>'4월'!K200</f>
        <v>65700</v>
      </c>
      <c r="L825" s="16">
        <f>'4월'!L200</f>
        <v>65700</v>
      </c>
      <c r="M825" s="16">
        <f>'4월'!M200</f>
        <v>6570</v>
      </c>
      <c r="N825" s="15">
        <f>'4월'!N200</f>
        <v>72270</v>
      </c>
      <c r="O825" s="5" t="str">
        <f>'4월'!O200</f>
        <v>완료(6/30)</v>
      </c>
      <c r="P825" s="9" t="str">
        <f>'4월'!P200</f>
        <v>천범석</v>
      </c>
      <c r="Q825" s="5">
        <f>'4월'!Q200</f>
        <v>45700</v>
      </c>
      <c r="R825" s="213" t="str">
        <f>'4월'!R200</f>
        <v>매출연간</v>
      </c>
    </row>
    <row r="826" spans="1:18" ht="16.5" customHeight="1">
      <c r="A826" t="s">
        <v>64</v>
      </c>
      <c r="B826" s="10" t="str">
        <f>'4월'!B201</f>
        <v>SB-25013</v>
      </c>
      <c r="C826" s="12" t="str">
        <f>'4월'!C201</f>
        <v>ZL9ADS</v>
      </c>
      <c r="D826" s="13">
        <f>'4월'!D201</f>
        <v>45777</v>
      </c>
      <c r="E826" s="155" t="str">
        <f>'4월'!E201</f>
        <v>성공글로벌테크놀로지코리아</v>
      </c>
      <c r="F826" s="155" t="str">
        <f>'4월'!F201</f>
        <v>다솜테크</v>
      </c>
      <c r="G826" s="168" t="str">
        <f>'4월'!G201</f>
        <v>MA</v>
      </c>
      <c r="H826" s="156" t="str">
        <f>'4월'!H201</f>
        <v>월간-성공</v>
      </c>
      <c r="I826" s="69" t="str">
        <f>'4월'!I201</f>
        <v>LG AI 4월 유지정비료 - 4/12회</v>
      </c>
      <c r="J826" s="122">
        <f>'4월'!J201</f>
        <v>1</v>
      </c>
      <c r="K826" s="15">
        <f>'4월'!K201</f>
        <v>496800</v>
      </c>
      <c r="L826" s="16">
        <f>'4월'!L201</f>
        <v>496800</v>
      </c>
      <c r="M826" s="16">
        <f>'4월'!M201</f>
        <v>49680</v>
      </c>
      <c r="N826" s="15">
        <f>'4월'!N201</f>
        <v>546480</v>
      </c>
      <c r="O826" s="5" t="str">
        <f>'4월'!O201</f>
        <v>완료(6/30)</v>
      </c>
      <c r="P826" s="9" t="str">
        <f>'4월'!P201</f>
        <v>천범석</v>
      </c>
      <c r="Q826" s="5">
        <f>'4월'!Q201</f>
        <v>45777</v>
      </c>
      <c r="R826" s="213"/>
    </row>
    <row r="827" spans="1:18" ht="16.5" customHeight="1">
      <c r="A827" t="s">
        <v>64</v>
      </c>
      <c r="B827" s="10" t="str">
        <f>'4월'!B202</f>
        <v>SB-25014</v>
      </c>
      <c r="C827" s="12" t="str">
        <f>'4월'!C202</f>
        <v>ZAVPY3</v>
      </c>
      <c r="D827" s="13">
        <f>'4월'!D202</f>
        <v>45777</v>
      </c>
      <c r="E827" s="155" t="str">
        <f>'4월'!E202</f>
        <v>성공글로벌테크놀로지코리아</v>
      </c>
      <c r="F827" s="155" t="str">
        <f>'4월'!F202</f>
        <v>와이젠정보기술</v>
      </c>
      <c r="G827" s="168" t="str">
        <f>'4월'!G202</f>
        <v>MA</v>
      </c>
      <c r="H827" s="156" t="str">
        <f>'4월'!H202</f>
        <v>월간-성공</v>
      </c>
      <c r="I827" s="69" t="str">
        <f>'4월'!I202</f>
        <v>안국약품 4월 유지정비료 - 4/12회</v>
      </c>
      <c r="J827" s="122">
        <f>'4월'!J202</f>
        <v>1</v>
      </c>
      <c r="K827" s="15">
        <f>'4월'!K202</f>
        <v>1515900</v>
      </c>
      <c r="L827" s="16">
        <f>'4월'!L202</f>
        <v>1515900</v>
      </c>
      <c r="M827" s="16">
        <f>'4월'!M202</f>
        <v>151590</v>
      </c>
      <c r="N827" s="15">
        <f>'4월'!N202</f>
        <v>1667490</v>
      </c>
      <c r="O827" s="5" t="str">
        <f>'4월'!O202</f>
        <v>완료(6/30)</v>
      </c>
      <c r="P827" s="9" t="str">
        <f>'4월'!P202</f>
        <v>천범석</v>
      </c>
      <c r="Q827" s="5">
        <f>'4월'!Q202</f>
        <v>45777</v>
      </c>
      <c r="R827" s="213"/>
    </row>
    <row r="828" spans="1:18" ht="16.5" customHeight="1">
      <c r="A828" t="s">
        <v>64</v>
      </c>
      <c r="B828" s="10" t="str">
        <f>'4월'!B203</f>
        <v>SB-25016</v>
      </c>
      <c r="C828" s="12" t="str">
        <f>'4월'!C203</f>
        <v>ZLXVVE</v>
      </c>
      <c r="D828" s="13">
        <f>'4월'!D203</f>
        <v>45777</v>
      </c>
      <c r="E828" s="155" t="str">
        <f>'4월'!E203</f>
        <v>성공글로벌테크놀로지코리아</v>
      </c>
      <c r="F828" s="155" t="str">
        <f>'4월'!F203</f>
        <v>에이트랙</v>
      </c>
      <c r="G828" s="156" t="str">
        <f>'4월'!G203</f>
        <v>MA</v>
      </c>
      <c r="H828" s="156" t="str">
        <f>'4월'!H203</f>
        <v>월간-성공</v>
      </c>
      <c r="I828" s="69" t="str">
        <f>'4월'!I203</f>
        <v>한림대학교HW 4월 유지정비료 - 2/12회</v>
      </c>
      <c r="J828" s="124">
        <f>'4월'!J203</f>
        <v>1</v>
      </c>
      <c r="K828" s="15">
        <f>'4월'!K203</f>
        <v>405600</v>
      </c>
      <c r="L828" s="16">
        <f>'4월'!L203</f>
        <v>405600</v>
      </c>
      <c r="M828" s="16">
        <f>'4월'!M203</f>
        <v>40560</v>
      </c>
      <c r="N828" s="15">
        <f>'4월'!N203</f>
        <v>446160</v>
      </c>
      <c r="O828" s="5" t="str">
        <f>'4월'!O203</f>
        <v>완료(6/30)</v>
      </c>
      <c r="P828" s="9" t="str">
        <f>'4월'!P203</f>
        <v>천범석</v>
      </c>
      <c r="Q828" s="5">
        <f>'4월'!Q203</f>
        <v>45777</v>
      </c>
      <c r="R828" s="209"/>
    </row>
    <row r="829" spans="1:18" ht="16.5" customHeight="1">
      <c r="A829" t="s">
        <v>64</v>
      </c>
      <c r="B829" s="10" t="str">
        <f>'4월'!B204</f>
        <v>SB-25017</v>
      </c>
      <c r="C829" s="12" t="str">
        <f>'4월'!C204</f>
        <v>ZQIURA</v>
      </c>
      <c r="D829" s="13">
        <f>'4월'!D204</f>
        <v>45777</v>
      </c>
      <c r="E829" s="155" t="str">
        <f>'4월'!E204</f>
        <v>성공글로벌테크놀로지코리아</v>
      </c>
      <c r="F829" s="155" t="str">
        <f>'4월'!F204</f>
        <v>케이아이티앤씨</v>
      </c>
      <c r="G829" s="156" t="str">
        <f>'4월'!G204</f>
        <v>MA</v>
      </c>
      <c r="H829" s="156" t="str">
        <f>'4월'!H204</f>
        <v>월간-성공</v>
      </c>
      <c r="I829" s="69" t="str">
        <f>'4월'!I204</f>
        <v>인천국제공항공사 4월 유지정비료 - 4/12회</v>
      </c>
      <c r="J829" s="122">
        <f>'4월'!J204</f>
        <v>1</v>
      </c>
      <c r="K829" s="15">
        <f>'4월'!K204</f>
        <v>10869600</v>
      </c>
      <c r="L829" s="16">
        <f>'4월'!L204</f>
        <v>10869600</v>
      </c>
      <c r="M829" s="15">
        <f>'4월'!M204</f>
        <v>1086960</v>
      </c>
      <c r="N829" s="15">
        <f>'4월'!N204</f>
        <v>11956560</v>
      </c>
      <c r="O829" s="5" t="str">
        <f>'4월'!O204</f>
        <v>완료(6/30)</v>
      </c>
      <c r="P829" s="9" t="str">
        <f>'4월'!P204</f>
        <v>천범석</v>
      </c>
      <c r="Q829" s="5">
        <f>'4월'!Q204</f>
        <v>45838</v>
      </c>
      <c r="R829" s="209"/>
    </row>
    <row r="830" spans="1:18" ht="16.5" customHeight="1">
      <c r="A830" t="s">
        <v>64</v>
      </c>
      <c r="B830" s="10" t="str">
        <f>'4월'!B205</f>
        <v>SB-25015</v>
      </c>
      <c r="C830" s="12" t="str">
        <f>'4월'!C205</f>
        <v>ZBLJQA</v>
      </c>
      <c r="D830" s="13">
        <f>'4월'!D205</f>
        <v>45777</v>
      </c>
      <c r="E830" s="155" t="str">
        <f>'4월'!E205</f>
        <v>성공글로벌테크놀로지코리아</v>
      </c>
      <c r="F830" s="155" t="str">
        <f>'4월'!F205</f>
        <v>아이엘에스</v>
      </c>
      <c r="G830" s="156" t="str">
        <f>'4월'!G205</f>
        <v>MA</v>
      </c>
      <c r="H830" s="156" t="str">
        <f>'4월'!H205</f>
        <v>월간-성공</v>
      </c>
      <c r="I830" s="69" t="str">
        <f>'4월'!I205</f>
        <v>국회방송 4월 유지정비료 - 7/15회</v>
      </c>
      <c r="J830" s="122">
        <f>'4월'!J205</f>
        <v>1</v>
      </c>
      <c r="K830" s="15">
        <f>'4월'!K205</f>
        <v>1167600</v>
      </c>
      <c r="L830" s="16">
        <f>'4월'!L205</f>
        <v>1167600</v>
      </c>
      <c r="M830" s="16">
        <f>'4월'!M205</f>
        <v>116760</v>
      </c>
      <c r="N830" s="15">
        <f>'4월'!N205</f>
        <v>1284360</v>
      </c>
      <c r="O830" s="5" t="str">
        <f>'4월'!O205</f>
        <v>완료(6/30)</v>
      </c>
      <c r="P830" s="9" t="str">
        <f>'4월'!P205</f>
        <v>천범석</v>
      </c>
      <c r="Q830" s="5">
        <f>'4월'!Q205</f>
        <v>45747</v>
      </c>
      <c r="R830" s="213" t="str">
        <f>'4월'!R205</f>
        <v>매출연간</v>
      </c>
    </row>
    <row r="831" spans="1:18" ht="16.5" customHeight="1">
      <c r="A831" t="s">
        <v>64</v>
      </c>
      <c r="B831" s="10" t="str">
        <f>'4월'!B206</f>
        <v>SB-25018</v>
      </c>
      <c r="C831" s="12" t="str">
        <f>'4월'!C206</f>
        <v>ZTMJAV</v>
      </c>
      <c r="D831" s="13">
        <f>'4월'!D206</f>
        <v>45777</v>
      </c>
      <c r="E831" s="155" t="str">
        <f>'4월'!E206</f>
        <v>성공글로벌테크놀로지코리아</v>
      </c>
      <c r="F831" s="155" t="str">
        <f>'4월'!F206</f>
        <v>동행시네마</v>
      </c>
      <c r="G831" s="156" t="str">
        <f>'4월'!G206</f>
        <v>MA</v>
      </c>
      <c r="H831" s="156" t="str">
        <f>'4월'!H206</f>
        <v>월간-성공</v>
      </c>
      <c r="I831" s="69" t="str">
        <f>'4월'!I206</f>
        <v>CGV안동 4월 유지정비료 - 2/13회</v>
      </c>
      <c r="J831" s="124">
        <f>'4월'!J206</f>
        <v>1</v>
      </c>
      <c r="K831" s="15">
        <f>'4월'!K206</f>
        <v>51300</v>
      </c>
      <c r="L831" s="16">
        <f>'4월'!L206</f>
        <v>51300</v>
      </c>
      <c r="M831" s="16">
        <f>'4월'!M206</f>
        <v>5130</v>
      </c>
      <c r="N831" s="15">
        <f>'4월'!N206</f>
        <v>56430</v>
      </c>
      <c r="O831" s="5" t="str">
        <f>'4월'!O206</f>
        <v>완료(6/30)</v>
      </c>
      <c r="P831" s="9" t="str">
        <f>'4월'!P206</f>
        <v>천범석</v>
      </c>
      <c r="Q831" s="5">
        <f>'4월'!Q206</f>
        <v>45748</v>
      </c>
      <c r="R831" s="209" t="str">
        <f>'4월'!R206</f>
        <v>매출연간</v>
      </c>
    </row>
    <row r="832" spans="1:18" ht="16.5" customHeight="1">
      <c r="A832" t="s">
        <v>64</v>
      </c>
      <c r="B832" s="10" t="str">
        <f>'4월'!B207</f>
        <v>SB-25019</v>
      </c>
      <c r="C832" s="12" t="str">
        <f>'4월'!C207</f>
        <v>ZQ07QG</v>
      </c>
      <c r="D832" s="13">
        <f>'4월'!D207</f>
        <v>45777</v>
      </c>
      <c r="E832" s="155" t="str">
        <f>'4월'!E207</f>
        <v>성공글로벌테크놀로지코리아</v>
      </c>
      <c r="F832" s="155" t="str">
        <f>'4월'!F207</f>
        <v>씨티아이앤씨</v>
      </c>
      <c r="G832" s="156" t="str">
        <f>'4월'!G207</f>
        <v>MA</v>
      </c>
      <c r="H832" s="156" t="str">
        <f>'4월'!H207</f>
        <v>월간-성공</v>
      </c>
      <c r="I832" s="69" t="str">
        <f>'4월'!I207</f>
        <v>KBS HW 4월 유지정비료 - 4/12회</v>
      </c>
      <c r="J832" s="124">
        <f>'4월'!J207</f>
        <v>1</v>
      </c>
      <c r="K832" s="15">
        <f>'4월'!K207</f>
        <v>420000</v>
      </c>
      <c r="L832" s="16">
        <f>'4월'!L207</f>
        <v>420000</v>
      </c>
      <c r="M832" s="16">
        <f>'4월'!M207</f>
        <v>42000</v>
      </c>
      <c r="N832" s="15">
        <f>'4월'!N207</f>
        <v>462000</v>
      </c>
      <c r="O832" s="5" t="str">
        <f>'4월'!O207</f>
        <v>완료(6/30)</v>
      </c>
      <c r="P832" s="9" t="str">
        <f>'4월'!P207</f>
        <v>천범석</v>
      </c>
      <c r="Q832" s="5">
        <f>'4월'!Q207</f>
        <v>45747</v>
      </c>
      <c r="R832" s="209" t="str">
        <f>'4월'!R207</f>
        <v>매출연간</v>
      </c>
    </row>
    <row r="833" spans="1:18" ht="16.5" customHeight="1">
      <c r="A833" t="s">
        <v>64</v>
      </c>
      <c r="B833" s="10" t="str">
        <f>'4월'!B208</f>
        <v>SB-25020</v>
      </c>
      <c r="C833" s="12" t="str">
        <f>'4월'!C208</f>
        <v>ZZLYH2</v>
      </c>
      <c r="D833" s="13">
        <f>'4월'!D208</f>
        <v>45777</v>
      </c>
      <c r="E833" s="155" t="str">
        <f>'4월'!E208</f>
        <v>성공글로벌테크놀로지코리아</v>
      </c>
      <c r="F833" s="155" t="str">
        <f>'4월'!F208</f>
        <v>Expeditors(익스피다이터스코리아)</v>
      </c>
      <c r="G833" s="156" t="str">
        <f>'4월'!G208</f>
        <v>MA</v>
      </c>
      <c r="H833" s="156" t="str">
        <f>'4월'!H208</f>
        <v>월간-성공</v>
      </c>
      <c r="I833" s="69" t="str">
        <f>'4월'!I208</f>
        <v>4월 유지정비료 - 1/37회</v>
      </c>
      <c r="J833" s="124">
        <f>'4월'!J208</f>
        <v>1</v>
      </c>
      <c r="K833" s="15">
        <f>'4월'!K208</f>
        <v>35600</v>
      </c>
      <c r="L833" s="16">
        <f>'4월'!L208</f>
        <v>35600</v>
      </c>
      <c r="M833" s="16">
        <f>'4월'!M208</f>
        <v>3560</v>
      </c>
      <c r="N833" s="15">
        <f>'4월'!N208</f>
        <v>39160</v>
      </c>
      <c r="O833" s="5" t="str">
        <f>'4월'!O208</f>
        <v>완료(6/30)</v>
      </c>
      <c r="P833" s="9" t="str">
        <f>'4월'!P208</f>
        <v>천범석</v>
      </c>
      <c r="Q833" s="5">
        <f>'4월'!Q208</f>
        <v>45772</v>
      </c>
      <c r="R833" s="209"/>
    </row>
    <row r="834" spans="1:18" ht="16.5" customHeight="1">
      <c r="A834" t="s">
        <v>64</v>
      </c>
      <c r="B834" s="10" t="str">
        <f>'4월'!B209</f>
        <v>SB-25023</v>
      </c>
      <c r="C834" s="12" t="str">
        <f>'4월'!C209</f>
        <v>ZKGVNQ</v>
      </c>
      <c r="D834" s="13">
        <f>'4월'!D209</f>
        <v>45777</v>
      </c>
      <c r="E834" s="155" t="str">
        <f>'4월'!E209</f>
        <v>성공글로벌테크놀로지코리아</v>
      </c>
      <c r="F834" s="155" t="str">
        <f>'4월'!F209</f>
        <v>다솜테크</v>
      </c>
      <c r="G834" s="156" t="str">
        <f>'4월'!G209</f>
        <v>MA</v>
      </c>
      <c r="H834" s="156" t="str">
        <f>'4월'!H209</f>
        <v>월간-성공</v>
      </c>
      <c r="I834" s="69" t="str">
        <f>'4월'!I209</f>
        <v>LX(엘엑스)세미콘 4월 유지정비료 - 3/47회</v>
      </c>
      <c r="J834" s="124">
        <f>'4월'!J209</f>
        <v>1</v>
      </c>
      <c r="K834" s="15">
        <f>'4월'!K209</f>
        <v>1111200</v>
      </c>
      <c r="L834" s="16">
        <f>'4월'!L209</f>
        <v>1111200</v>
      </c>
      <c r="M834" s="16">
        <f>'4월'!M209</f>
        <v>111120</v>
      </c>
      <c r="N834" s="15">
        <f>'4월'!N209</f>
        <v>1222320</v>
      </c>
      <c r="O834" s="5" t="str">
        <f>'4월'!O209</f>
        <v>완료(6/30)</v>
      </c>
      <c r="P834" s="9" t="str">
        <f>'4월'!P209</f>
        <v>천범석</v>
      </c>
      <c r="Q834" s="5">
        <f>'4월'!Q209</f>
        <v>45777</v>
      </c>
      <c r="R834" s="209"/>
    </row>
    <row r="835" spans="1:18">
      <c r="A835" t="s">
        <v>64</v>
      </c>
      <c r="B835" s="10" t="str">
        <f>'4월'!B210</f>
        <v>SB-25004</v>
      </c>
      <c r="C835" s="12" t="str">
        <f>'4월'!C210</f>
        <v>ZDCPQK</v>
      </c>
      <c r="D835" s="13">
        <f>'4월'!D210</f>
        <v>45777</v>
      </c>
      <c r="E835" s="155" t="str">
        <f>'4월'!E210</f>
        <v>성공글로벌테크놀로지코리아</v>
      </c>
      <c r="F835" s="155" t="str">
        <f>'4월'!F210</f>
        <v>솔리드이엔지</v>
      </c>
      <c r="G835" s="168" t="str">
        <f>'4월'!G210</f>
        <v>MA</v>
      </c>
      <c r="H835" s="156" t="str">
        <f>'4월'!H210</f>
        <v>월간-성공</v>
      </c>
      <c r="I835" s="69" t="str">
        <f>'4월'!I210</f>
        <v>삼성중공업 4월 유지정비료 - 4/12회</v>
      </c>
      <c r="J835" s="122">
        <f>'4월'!J210</f>
        <v>1</v>
      </c>
      <c r="K835" s="15">
        <f>'4월'!K210</f>
        <v>531600</v>
      </c>
      <c r="L835" s="16">
        <f>'4월'!L210</f>
        <v>531600</v>
      </c>
      <c r="M835" s="16">
        <f>'4월'!M210</f>
        <v>53160</v>
      </c>
      <c r="N835" s="15">
        <f>'4월'!N210</f>
        <v>584760</v>
      </c>
      <c r="O835" s="5" t="str">
        <f>'4월'!O210</f>
        <v>완료(6/30)</v>
      </c>
      <c r="P835" s="9" t="str">
        <f>'4월'!P210</f>
        <v>천범석</v>
      </c>
      <c r="Q835" s="5">
        <f>'4월'!Q210</f>
        <v>45777</v>
      </c>
      <c r="R835" s="213"/>
    </row>
    <row r="836" spans="1:18" ht="16.5" customHeight="1">
      <c r="A836" t="s">
        <v>64</v>
      </c>
      <c r="B836" s="10" t="str">
        <f>'5월'!B5</f>
        <v>X</v>
      </c>
      <c r="C836" s="12"/>
      <c r="D836" s="13">
        <f>'5월'!D5</f>
        <v>45778</v>
      </c>
      <c r="E836" s="155" t="str">
        <f>'5월'!E5</f>
        <v>에스케이쉴더스 금천지점</v>
      </c>
      <c r="F836" s="155"/>
      <c r="G836" s="156" t="str">
        <f>'5월'!G5</f>
        <v>일반경비</v>
      </c>
      <c r="H836" s="156" t="str">
        <f>'5월'!H5</f>
        <v>지급수수료</v>
      </c>
      <c r="I836" s="69" t="str">
        <f>'5월'!I5</f>
        <v>보안용역 월정료 5월분</v>
      </c>
      <c r="J836" s="122">
        <f>'5월'!J5</f>
        <v>1</v>
      </c>
      <c r="K836" s="15">
        <f>'5월'!K5</f>
        <v>71000</v>
      </c>
      <c r="L836" s="15">
        <f>'5월'!L5</f>
        <v>71000</v>
      </c>
      <c r="M836" s="15">
        <f>'5월'!M5</f>
        <v>7100</v>
      </c>
      <c r="N836" s="15">
        <f>'5월'!N5</f>
        <v>78100</v>
      </c>
      <c r="O836" s="5" t="str">
        <f>'5월'!O5</f>
        <v>자동이체(5/12)</v>
      </c>
      <c r="P836" s="9" t="str">
        <f>'5월'!P5</f>
        <v>정지우</v>
      </c>
      <c r="Q836" s="5" t="str">
        <f>'5월'!Q5</f>
        <v>X</v>
      </c>
      <c r="R836" s="209"/>
    </row>
    <row r="837" spans="1:18" ht="16.5" customHeight="1">
      <c r="A837" t="s">
        <v>64</v>
      </c>
      <c r="B837" s="10" t="str">
        <f>'5월'!B6</f>
        <v>LI-24005</v>
      </c>
      <c r="C837" s="139"/>
      <c r="D837" s="13">
        <f>'5월'!D6</f>
        <v>45778</v>
      </c>
      <c r="E837" s="155" t="str">
        <f>'5월'!E6</f>
        <v>한국아이씨에스</v>
      </c>
      <c r="F837" s="155" t="str">
        <f>'5월'!F6</f>
        <v>해안종합건축사사무소</v>
      </c>
      <c r="G837" s="156" t="str">
        <f>'5월'!G6</f>
        <v>MA</v>
      </c>
      <c r="H837" s="156" t="str">
        <f>'5월'!H6</f>
        <v>월간-IBM</v>
      </c>
      <c r="I837" s="69" t="str">
        <f>'5월'!I6</f>
        <v>5월 유지정비료 - 12/12회</v>
      </c>
      <c r="J837" s="122">
        <f>'5월'!J6</f>
        <v>1</v>
      </c>
      <c r="K837" s="15">
        <f>'5월'!K6</f>
        <v>436400</v>
      </c>
      <c r="L837" s="16">
        <f>'5월'!L6</f>
        <v>436400</v>
      </c>
      <c r="M837" s="15">
        <f>'5월'!M6</f>
        <v>43640</v>
      </c>
      <c r="N837" s="15">
        <f>'5월'!N6</f>
        <v>480040</v>
      </c>
      <c r="O837" s="5" t="str">
        <f>'5월'!O6</f>
        <v>완료(5/30)</v>
      </c>
      <c r="P837" s="174" t="str">
        <f>'5월'!P6</f>
        <v>천범석</v>
      </c>
      <c r="Q837" s="5">
        <f>'5월'!Q6</f>
        <v>45778</v>
      </c>
      <c r="R837" s="209"/>
    </row>
    <row r="838" spans="1:18" ht="16.5" customHeight="1">
      <c r="A838" t="s">
        <v>64</v>
      </c>
      <c r="B838" s="10" t="str">
        <f>'5월'!B7</f>
        <v>LI-24006</v>
      </c>
      <c r="C838" s="12"/>
      <c r="D838" s="13">
        <f>'5월'!D7</f>
        <v>45778</v>
      </c>
      <c r="E838" s="155" t="str">
        <f>'5월'!E7</f>
        <v>한국아이씨에스</v>
      </c>
      <c r="F838" s="155" t="str">
        <f>'5월'!F7</f>
        <v>보해양조</v>
      </c>
      <c r="G838" s="156" t="str">
        <f>'5월'!G7</f>
        <v>MA</v>
      </c>
      <c r="H838" s="156" t="str">
        <f>'5월'!H7</f>
        <v>월간-IBM</v>
      </c>
      <c r="I838" s="69" t="str">
        <f>'5월'!I7</f>
        <v>5월 유지정비료 - 10/11회</v>
      </c>
      <c r="J838" s="122">
        <f>'5월'!J7</f>
        <v>1</v>
      </c>
      <c r="K838" s="15">
        <f>'5월'!K7</f>
        <v>277600</v>
      </c>
      <c r="L838" s="16">
        <f>'5월'!L7</f>
        <v>277600</v>
      </c>
      <c r="M838" s="16">
        <f>'5월'!M7</f>
        <v>27760</v>
      </c>
      <c r="N838" s="15">
        <f>'5월'!N7</f>
        <v>305360</v>
      </c>
      <c r="O838" s="5" t="str">
        <f>'5월'!O7</f>
        <v>완료(5/30)</v>
      </c>
      <c r="P838" s="174" t="str">
        <f>'5월'!P7</f>
        <v>천범석</v>
      </c>
      <c r="Q838" s="5">
        <f>'5월'!Q7</f>
        <v>45802</v>
      </c>
      <c r="R838" s="209"/>
    </row>
    <row r="839" spans="1:18" ht="16.5" customHeight="1">
      <c r="A839" t="s">
        <v>64</v>
      </c>
      <c r="B839" s="10" t="str">
        <f>'5월'!B8</f>
        <v>Y250319-02</v>
      </c>
      <c r="C839" s="12"/>
      <c r="D839" s="13">
        <f>'5월'!D8</f>
        <v>45778</v>
      </c>
      <c r="E839" s="155" t="str">
        <f>'5월'!E8</f>
        <v>씨플랫폼</v>
      </c>
      <c r="F839" s="155" t="str">
        <f>'5월'!F8</f>
        <v>에스엠티정보기술</v>
      </c>
      <c r="G839" s="156" t="str">
        <f>'5월'!G8</f>
        <v>상품</v>
      </c>
      <c r="H839" s="156" t="str">
        <f>'5월'!H8</f>
        <v>RH00004</v>
      </c>
      <c r="I839" s="69" t="str">
        <f>'5월'!I8</f>
        <v>Red Hat Enterprise Linux Server, Standard(Physical or Virtual Nodes)</v>
      </c>
      <c r="J839" s="122">
        <f>'5월'!J8</f>
        <v>1</v>
      </c>
      <c r="K839" s="15">
        <f>'5월'!K8</f>
        <v>1000000</v>
      </c>
      <c r="L839" s="16">
        <f>'5월'!L8</f>
        <v>1000000</v>
      </c>
      <c r="M839" s="16">
        <f>'5월'!M8</f>
        <v>100000</v>
      </c>
      <c r="N839" s="15">
        <f>'5월'!N8</f>
        <v>1100000</v>
      </c>
      <c r="O839" s="5" t="str">
        <f>'5월'!O8</f>
        <v>완료(8/13)</v>
      </c>
      <c r="P839" s="9" t="str">
        <f>'5월'!P8</f>
        <v>홍승민</v>
      </c>
      <c r="Q839" s="5">
        <f>'5월'!Q8</f>
        <v>45776</v>
      </c>
      <c r="R839" s="209"/>
    </row>
    <row r="840" spans="1:18" ht="16.5" customHeight="1">
      <c r="A840" t="s">
        <v>64</v>
      </c>
      <c r="B840" s="10" t="str">
        <f>'5월'!B9</f>
        <v>IK-23013</v>
      </c>
      <c r="C840" s="12"/>
      <c r="D840" s="13">
        <f>'5월'!D9</f>
        <v>45779</v>
      </c>
      <c r="E840" s="155" t="str">
        <f>'5월'!E9</f>
        <v>한국아이씨에스</v>
      </c>
      <c r="F840" s="155" t="str">
        <f>'5월'!F9</f>
        <v>로보츠</v>
      </c>
      <c r="G840" s="156" t="str">
        <f>'5월'!G9</f>
        <v>MA</v>
      </c>
      <c r="H840" s="156" t="str">
        <f>'5월'!H9</f>
        <v>월간-IBM</v>
      </c>
      <c r="I840" s="69" t="str">
        <f>'5월'!I9</f>
        <v>도시바일렉 5월 유지정비료 - 11/12회</v>
      </c>
      <c r="J840" s="122">
        <f>'5월'!J9</f>
        <v>1</v>
      </c>
      <c r="K840" s="15">
        <f>'5월'!K9</f>
        <v>66498</v>
      </c>
      <c r="L840" s="16">
        <f>'5월'!L9</f>
        <v>66498</v>
      </c>
      <c r="M840" s="15">
        <f>'5월'!M9</f>
        <v>6649</v>
      </c>
      <c r="N840" s="15">
        <f>'5월'!N9</f>
        <v>73147</v>
      </c>
      <c r="O840" s="5" t="str">
        <f>'5월'!O9</f>
        <v>완료(6/30)</v>
      </c>
      <c r="P840" s="174" t="str">
        <f>'5월'!P9</f>
        <v>천범석</v>
      </c>
      <c r="Q840" s="5">
        <f>'5월'!Q9</f>
        <v>45807</v>
      </c>
      <c r="R840" s="209"/>
    </row>
    <row r="841" spans="1:18" ht="16.5" customHeight="1">
      <c r="A841" t="s">
        <v>64</v>
      </c>
      <c r="B841" s="10" t="str">
        <f>'5월'!B10</f>
        <v>LI-24007</v>
      </c>
      <c r="C841" s="12"/>
      <c r="D841" s="13">
        <f>'5월'!D10</f>
        <v>45779</v>
      </c>
      <c r="E841" s="155" t="str">
        <f>'5월'!E10</f>
        <v>한국아이씨에스</v>
      </c>
      <c r="F841" s="155" t="str">
        <f>'5월'!F10</f>
        <v>유더블유에스</v>
      </c>
      <c r="G841" s="157" t="str">
        <f>'5월'!G10</f>
        <v>MA</v>
      </c>
      <c r="H841" s="156" t="str">
        <f>'5월'!H10</f>
        <v>월간-IBM</v>
      </c>
      <c r="I841" s="69" t="str">
        <f>'5월'!I10</f>
        <v>두원정공 5월 유지정비료 - 10/11회</v>
      </c>
      <c r="J841" s="122">
        <f>'5월'!J10</f>
        <v>1</v>
      </c>
      <c r="K841" s="15">
        <f>'5월'!K10</f>
        <v>80160</v>
      </c>
      <c r="L841" s="16">
        <f>'5월'!L10</f>
        <v>80160</v>
      </c>
      <c r="M841" s="16">
        <f>'5월'!M10</f>
        <v>8016</v>
      </c>
      <c r="N841" s="15">
        <f>'5월'!N10</f>
        <v>88176</v>
      </c>
      <c r="O841" s="5" t="str">
        <f>'5월'!O10</f>
        <v>완료(6/30)</v>
      </c>
      <c r="P841" s="174" t="str">
        <f>'5월'!P10</f>
        <v>천범석</v>
      </c>
      <c r="Q841" s="5">
        <f>'5월'!Q10</f>
        <v>45807</v>
      </c>
      <c r="R841" s="209"/>
    </row>
    <row r="842" spans="1:18" ht="16.5" customHeight="1">
      <c r="A842" t="s">
        <v>64</v>
      </c>
      <c r="B842" s="143" t="str">
        <f>'5월'!B11</f>
        <v>IK-23014</v>
      </c>
      <c r="C842" s="144"/>
      <c r="D842" s="13">
        <f>'5월'!D11</f>
        <v>45779</v>
      </c>
      <c r="E842" s="155" t="str">
        <f>'5월'!E11</f>
        <v>한국아이씨에스</v>
      </c>
      <c r="F842" s="155" t="str">
        <f>'5월'!F11</f>
        <v>서비스링크</v>
      </c>
      <c r="G842" s="157" t="str">
        <f>'5월'!G11</f>
        <v>MA</v>
      </c>
      <c r="H842" s="156" t="str">
        <f>'5월'!H11</f>
        <v>월간-IBM</v>
      </c>
      <c r="I842" s="69" t="str">
        <f>'5월'!I11</f>
        <v>세원정공 5월 유지정비료 - 11/12회</v>
      </c>
      <c r="J842" s="122">
        <f>'5월'!J11</f>
        <v>1</v>
      </c>
      <c r="K842" s="15">
        <f>'5월'!K11</f>
        <v>198018</v>
      </c>
      <c r="L842" s="16">
        <f>'5월'!L11</f>
        <v>198018</v>
      </c>
      <c r="M842" s="15">
        <f>'5월'!M11</f>
        <v>19801</v>
      </c>
      <c r="N842" s="15">
        <f>'5월'!N11</f>
        <v>217819</v>
      </c>
      <c r="O842" s="5" t="str">
        <f>'5월'!O11</f>
        <v>완료(6/30)</v>
      </c>
      <c r="P842" s="174" t="str">
        <f>'5월'!P11</f>
        <v>천범석</v>
      </c>
      <c r="Q842" s="5">
        <f>'5월'!Q11</f>
        <v>45778</v>
      </c>
      <c r="R842" s="209"/>
    </row>
    <row r="843" spans="1:18" ht="16.5" customHeight="1">
      <c r="A843" t="s">
        <v>64</v>
      </c>
      <c r="B843" s="10" t="str">
        <f>'5월'!B12</f>
        <v>SM-21021</v>
      </c>
      <c r="C843" s="12"/>
      <c r="D843" s="13">
        <f>'5월'!D12</f>
        <v>45779</v>
      </c>
      <c r="E843" s="155" t="str">
        <f>'5월'!E12</f>
        <v>한국아이씨에스</v>
      </c>
      <c r="F843" s="155" t="str">
        <f>'5월'!F12</f>
        <v>법무법인바른</v>
      </c>
      <c r="G843" s="156" t="str">
        <f>'5월'!G12</f>
        <v>MA</v>
      </c>
      <c r="H843" s="156" t="str">
        <f>'5월'!H12</f>
        <v>월간-IBM</v>
      </c>
      <c r="I843" s="69" t="str">
        <f>'5월'!I12</f>
        <v>5월 유지정비료 - 9/13회</v>
      </c>
      <c r="J843" s="122">
        <f>'5월'!J12</f>
        <v>1</v>
      </c>
      <c r="K843" s="16">
        <f>'5월'!K12</f>
        <v>84811</v>
      </c>
      <c r="L843" s="16">
        <f>'5월'!L12</f>
        <v>84811</v>
      </c>
      <c r="M843" s="15">
        <f>'5월'!M12</f>
        <v>8481</v>
      </c>
      <c r="N843" s="15">
        <f>'5월'!N12</f>
        <v>93292</v>
      </c>
      <c r="O843" s="5" t="str">
        <f>'5월'!O12</f>
        <v>완료(6/30)</v>
      </c>
      <c r="P843" s="174" t="str">
        <f>'5월'!P12</f>
        <v>천범석</v>
      </c>
      <c r="Q843" s="5">
        <f>'5월'!Q12</f>
        <v>45802</v>
      </c>
      <c r="R843" s="209"/>
    </row>
    <row r="844" spans="1:18" ht="16.5" customHeight="1">
      <c r="A844" t="s">
        <v>64</v>
      </c>
      <c r="B844" s="10" t="str">
        <f>'5월'!B13</f>
        <v>IK-24011</v>
      </c>
      <c r="C844" s="12"/>
      <c r="D844" s="13">
        <f>'5월'!D13</f>
        <v>45779</v>
      </c>
      <c r="E844" s="155" t="str">
        <f>'5월'!E13</f>
        <v>한국아이씨에스</v>
      </c>
      <c r="F844" s="155" t="str">
        <f>'5월'!F13</f>
        <v>로보츠</v>
      </c>
      <c r="G844" s="156" t="str">
        <f>'5월'!G13</f>
        <v>MA</v>
      </c>
      <c r="H844" s="156" t="str">
        <f>'5월'!H13</f>
        <v>월간-IBM</v>
      </c>
      <c r="I844" s="69" t="str">
        <f>'5월'!I13</f>
        <v>키오시아(도시바) 5월 유지정비료 - 6/12회</v>
      </c>
      <c r="J844" s="122">
        <f>'5월'!J13</f>
        <v>1</v>
      </c>
      <c r="K844" s="16">
        <f>'5월'!K13</f>
        <v>133875</v>
      </c>
      <c r="L844" s="16">
        <f>'5월'!L13</f>
        <v>133875</v>
      </c>
      <c r="M844" s="16">
        <f>'5월'!M13</f>
        <v>13387</v>
      </c>
      <c r="N844" s="15">
        <f>'5월'!N13</f>
        <v>147262</v>
      </c>
      <c r="O844" s="5" t="str">
        <f>'5월'!O13</f>
        <v>완료(6/30)</v>
      </c>
      <c r="P844" s="9" t="str">
        <f>'5월'!P13</f>
        <v>천범석</v>
      </c>
      <c r="Q844" s="5">
        <f>'5월'!Q13</f>
        <v>45807</v>
      </c>
      <c r="R844" s="209"/>
    </row>
    <row r="845" spans="1:18" ht="16.5" customHeight="1">
      <c r="A845" t="s">
        <v>64</v>
      </c>
      <c r="B845" s="255" t="str">
        <f>'5월'!B14</f>
        <v>SM-25011</v>
      </c>
      <c r="C845" s="12"/>
      <c r="D845" s="13">
        <f>'5월'!D14</f>
        <v>45779</v>
      </c>
      <c r="E845" s="155" t="str">
        <f>'5월'!E14</f>
        <v>한국아이씨에스</v>
      </c>
      <c r="F845" s="155" t="str">
        <f>'5월'!F14</f>
        <v>유니포인트</v>
      </c>
      <c r="G845" s="156" t="str">
        <f>'5월'!G14</f>
        <v>MA</v>
      </c>
      <c r="H845" s="156" t="str">
        <f>'5월'!H14</f>
        <v>월간-IBM</v>
      </c>
      <c r="I845" s="69" t="str">
        <f>'5월'!I14</f>
        <v>한미약품/한미사이언스 5월 유지정비료 - 5/12회</v>
      </c>
      <c r="J845" s="122">
        <f>'5월'!J14</f>
        <v>1</v>
      </c>
      <c r="K845" s="16">
        <f>'5월'!K14</f>
        <v>11623397</v>
      </c>
      <c r="L845" s="16">
        <f>'5월'!L14</f>
        <v>11623397</v>
      </c>
      <c r="M845" s="16">
        <f>'5월'!M14</f>
        <v>1162339</v>
      </c>
      <c r="N845" s="15">
        <f>'5월'!N14</f>
        <v>12785736</v>
      </c>
      <c r="O845" s="5" t="str">
        <f>'5월'!O14</f>
        <v>완료(6/30)</v>
      </c>
      <c r="P845" s="174" t="str">
        <f>'5월'!P14</f>
        <v>천범석</v>
      </c>
      <c r="Q845" s="5">
        <f>'5월'!Q14</f>
        <v>45802</v>
      </c>
      <c r="R845" s="209"/>
    </row>
    <row r="846" spans="1:18" ht="16.5" customHeight="1">
      <c r="A846" t="s">
        <v>64</v>
      </c>
      <c r="B846" s="10" t="str">
        <f>'5월'!B15</f>
        <v>IK-25003</v>
      </c>
      <c r="C846" s="12"/>
      <c r="D846" s="13">
        <f>'5월'!D15</f>
        <v>45779</v>
      </c>
      <c r="E846" s="155" t="str">
        <f>'5월'!E15</f>
        <v>한국아이씨에스</v>
      </c>
      <c r="F846" s="155" t="str">
        <f>'5월'!F15</f>
        <v>엔콤</v>
      </c>
      <c r="G846" s="156" t="str">
        <f>'5월'!G15</f>
        <v>MA</v>
      </c>
      <c r="H846" s="156" t="str">
        <f>'5월'!H15</f>
        <v>월간-IBM</v>
      </c>
      <c r="I846" s="69" t="str">
        <f>'5월'!I15</f>
        <v>전북도시가스 5월 유지정비료 - 2/12회</v>
      </c>
      <c r="J846" s="122">
        <f>'5월'!J15</f>
        <v>1</v>
      </c>
      <c r="K846" s="15">
        <f>'5월'!K15</f>
        <v>1352754</v>
      </c>
      <c r="L846" s="16">
        <f>'5월'!L15</f>
        <v>1352754</v>
      </c>
      <c r="M846" s="15">
        <f>'5월'!M15</f>
        <v>135275</v>
      </c>
      <c r="N846" s="15">
        <f>'5월'!N15</f>
        <v>1488029</v>
      </c>
      <c r="O846" s="5" t="str">
        <f>'5월'!O15</f>
        <v>완료(6/30)</v>
      </c>
      <c r="P846" s="174" t="str">
        <f>'5월'!P15</f>
        <v>천범석</v>
      </c>
      <c r="Q846" s="5">
        <f>'5월'!Q15</f>
        <v>45807</v>
      </c>
      <c r="R846" s="209"/>
    </row>
    <row r="847" spans="1:18" ht="16.5" customHeight="1">
      <c r="A847" t="s">
        <v>64</v>
      </c>
      <c r="B847" s="10" t="str">
        <f>'5월'!B16</f>
        <v>IK-22025</v>
      </c>
      <c r="C847" s="12"/>
      <c r="D847" s="13">
        <f>'5월'!D16</f>
        <v>45779</v>
      </c>
      <c r="E847" s="155" t="str">
        <f>'5월'!E16</f>
        <v>한국아이씨에스</v>
      </c>
      <c r="F847" s="155" t="str">
        <f>'5월'!F16</f>
        <v>디에스피</v>
      </c>
      <c r="G847" s="156" t="str">
        <f>'5월'!G16</f>
        <v>MA</v>
      </c>
      <c r="H847" s="9" t="str">
        <f>'5월'!H16</f>
        <v>월간-IBM</v>
      </c>
      <c r="I847" s="69" t="str">
        <f>'5월'!I16</f>
        <v>엘지생활건강 청주공장 5월 유지정비료 - 4/12회</v>
      </c>
      <c r="J847" s="122">
        <f>'5월'!J16</f>
        <v>1</v>
      </c>
      <c r="K847" s="15">
        <f>'5월'!K16</f>
        <v>564192</v>
      </c>
      <c r="L847" s="16">
        <f>'5월'!L16</f>
        <v>564192</v>
      </c>
      <c r="M847" s="15">
        <f>'5월'!M16</f>
        <v>56419</v>
      </c>
      <c r="N847" s="15">
        <f>'5월'!N16</f>
        <v>620611</v>
      </c>
      <c r="O847" s="5" t="str">
        <f>'5월'!O16</f>
        <v>완료(6/30)</v>
      </c>
      <c r="P847" s="9" t="str">
        <f>'5월'!P16</f>
        <v>천범석</v>
      </c>
      <c r="Q847" s="5">
        <f>'5월'!Q16</f>
        <v>45778</v>
      </c>
      <c r="R847" s="209"/>
    </row>
    <row r="848" spans="1:18" ht="16.5" customHeight="1">
      <c r="A848" t="s">
        <v>64</v>
      </c>
      <c r="B848" s="10" t="str">
        <f>'5월'!B17</f>
        <v>IK-24006</v>
      </c>
      <c r="C848" s="12"/>
      <c r="D848" s="13">
        <f>'5월'!D17</f>
        <v>45779</v>
      </c>
      <c r="E848" s="155" t="str">
        <f>'5월'!E17</f>
        <v>한국아이씨에스</v>
      </c>
      <c r="F848" s="155" t="str">
        <f>'5월'!F17</f>
        <v>광양항서부터미널</v>
      </c>
      <c r="G848" s="156" t="str">
        <f>'5월'!G17</f>
        <v>MA</v>
      </c>
      <c r="H848" s="156" t="str">
        <f>'5월'!H17</f>
        <v>월간-IBM</v>
      </c>
      <c r="I848" s="69" t="str">
        <f>'5월'!I17</f>
        <v>5월 유지정비료 - 13/24회</v>
      </c>
      <c r="J848" s="122">
        <f>'5월'!J17</f>
        <v>1</v>
      </c>
      <c r="K848" s="15">
        <f>'5월'!K17</f>
        <v>2884612</v>
      </c>
      <c r="L848" s="16">
        <f>'5월'!L17</f>
        <v>2884612</v>
      </c>
      <c r="M848" s="15">
        <f>'5월'!M17</f>
        <v>288461</v>
      </c>
      <c r="N848" s="15">
        <f>'5월'!N17</f>
        <v>3173073</v>
      </c>
      <c r="O848" s="5" t="str">
        <f>'5월'!O17</f>
        <v>완료(6/30)</v>
      </c>
      <c r="P848" s="9" t="str">
        <f>'5월'!P17</f>
        <v>홍승민</v>
      </c>
      <c r="Q848" s="5">
        <f>'5월'!Q17</f>
        <v>45807</v>
      </c>
      <c r="R848" s="209"/>
    </row>
    <row r="849" spans="1:20" ht="16.5" customHeight="1">
      <c r="A849" t="s">
        <v>64</v>
      </c>
      <c r="B849" s="10" t="str">
        <f>'5월'!B18</f>
        <v>LI-24008</v>
      </c>
      <c r="C849" s="12"/>
      <c r="D849" s="13">
        <f>'5월'!D18</f>
        <v>45779</v>
      </c>
      <c r="E849" s="155" t="str">
        <f>'5월'!E18</f>
        <v>한국아이씨에스</v>
      </c>
      <c r="F849" s="155" t="str">
        <f>'5월'!F18</f>
        <v>쿠팡</v>
      </c>
      <c r="G849" s="156" t="str">
        <f>'5월'!G18</f>
        <v>MA</v>
      </c>
      <c r="H849" s="156" t="str">
        <f>'5월'!H18</f>
        <v>월간-IBM</v>
      </c>
      <c r="I849" s="69" t="str">
        <f>'5월'!I18</f>
        <v>5월 유지정비료 - 10/13회</v>
      </c>
      <c r="J849" s="122">
        <f>'5월'!J18</f>
        <v>1</v>
      </c>
      <c r="K849" s="15">
        <f>'5월'!K18</f>
        <v>205780</v>
      </c>
      <c r="L849" s="16">
        <f>'5월'!L18</f>
        <v>205780</v>
      </c>
      <c r="M849" s="16">
        <f>'5월'!M18</f>
        <v>20578</v>
      </c>
      <c r="N849" s="15">
        <f>'5월'!N18</f>
        <v>226358</v>
      </c>
      <c r="O849" s="5" t="str">
        <f>'5월'!O18</f>
        <v>완료(6/30)</v>
      </c>
      <c r="P849" s="174" t="str">
        <f>'5월'!P18</f>
        <v>천범석</v>
      </c>
      <c r="Q849" s="5">
        <f>'5월'!Q18</f>
        <v>45491</v>
      </c>
      <c r="R849" s="209" t="str">
        <f>'5월'!R18</f>
        <v>매출연간</v>
      </c>
    </row>
    <row r="850" spans="1:20" ht="16.5" customHeight="1">
      <c r="A850" t="s">
        <v>64</v>
      </c>
      <c r="B850" s="10" t="str">
        <f>'5월'!B19</f>
        <v>SM-25008</v>
      </c>
      <c r="C850" s="12"/>
      <c r="D850" s="13">
        <f>'5월'!D19</f>
        <v>45779</v>
      </c>
      <c r="E850" s="155" t="str">
        <f>'5월'!E19</f>
        <v>한국아이씨에스</v>
      </c>
      <c r="F850" s="155" t="str">
        <f>'5월'!F19</f>
        <v>유니포인트</v>
      </c>
      <c r="G850" s="156" t="str">
        <f>'5월'!G19</f>
        <v>MA</v>
      </c>
      <c r="H850" s="156" t="str">
        <f>'5월'!H19</f>
        <v>월간-IBM</v>
      </c>
      <c r="I850" s="69" t="str">
        <f>'5월'!I19</f>
        <v>스마트로 5월 유지정비료 - 5/12회</v>
      </c>
      <c r="J850" s="122">
        <f>'5월'!J19</f>
        <v>1</v>
      </c>
      <c r="K850" s="15">
        <f>'5월'!K19</f>
        <v>1210534</v>
      </c>
      <c r="L850" s="16">
        <f>'5월'!L19</f>
        <v>1210534</v>
      </c>
      <c r="M850" s="16">
        <f>'5월'!M19</f>
        <v>121053</v>
      </c>
      <c r="N850" s="15">
        <f>'5월'!N19</f>
        <v>1331587</v>
      </c>
      <c r="O850" s="5" t="str">
        <f>'5월'!O19</f>
        <v>완료(6/30)</v>
      </c>
      <c r="P850" s="174" t="str">
        <f>'5월'!P19</f>
        <v>천범석</v>
      </c>
      <c r="Q850" s="5">
        <f>'5월'!Q19</f>
        <v>45807</v>
      </c>
      <c r="R850" s="209"/>
    </row>
    <row r="851" spans="1:20" ht="16.5" customHeight="1">
      <c r="A851" t="s">
        <v>64</v>
      </c>
      <c r="B851" s="140" t="str">
        <f>'5월'!B20</f>
        <v>IK-23016</v>
      </c>
      <c r="C851" s="12"/>
      <c r="D851" s="13">
        <f>'5월'!D20</f>
        <v>45779</v>
      </c>
      <c r="E851" s="155" t="str">
        <f>'5월'!E20</f>
        <v>한국아이씨에스</v>
      </c>
      <c r="F851" s="155" t="str">
        <f>'5월'!F20</f>
        <v>케이정보기술</v>
      </c>
      <c r="G851" s="156" t="str">
        <f>'5월'!G20</f>
        <v>MA</v>
      </c>
      <c r="H851" s="156" t="str">
        <f>'5월'!H20</f>
        <v>월간-IBM</v>
      </c>
      <c r="I851" s="69" t="str">
        <f>'5월'!I20</f>
        <v>청주시청 5월 유지정비료 - 21/36회</v>
      </c>
      <c r="J851" s="122">
        <f>'5월'!J20</f>
        <v>1</v>
      </c>
      <c r="K851" s="15">
        <f>'5월'!K20</f>
        <v>259896</v>
      </c>
      <c r="L851" s="16">
        <f>'5월'!L20</f>
        <v>259896</v>
      </c>
      <c r="M851" s="16">
        <f>'5월'!M20</f>
        <v>25989</v>
      </c>
      <c r="N851" s="15">
        <f>'5월'!N20</f>
        <v>285885</v>
      </c>
      <c r="O851" s="5" t="str">
        <f>'5월'!O20</f>
        <v>완료(6/30)</v>
      </c>
      <c r="P851" s="9" t="str">
        <f>'5월'!P20</f>
        <v>천범석</v>
      </c>
      <c r="Q851" s="5">
        <f>'5월'!Q20</f>
        <v>45778</v>
      </c>
      <c r="R851" s="213"/>
    </row>
    <row r="852" spans="1:20" ht="16.5" customHeight="1">
      <c r="A852" t="s">
        <v>64</v>
      </c>
      <c r="B852" s="10" t="str">
        <f>'5월'!B21</f>
        <v>SM-25003</v>
      </c>
      <c r="C852" s="12"/>
      <c r="D852" s="13">
        <f>'5월'!D21</f>
        <v>45779</v>
      </c>
      <c r="E852" s="155" t="str">
        <f>'5월'!E21</f>
        <v>한국아이씨에스</v>
      </c>
      <c r="F852" s="155" t="str">
        <f>'5월'!F21</f>
        <v>CGV 통합</v>
      </c>
      <c r="G852" s="156" t="str">
        <f>'5월'!G21</f>
        <v>MA</v>
      </c>
      <c r="H852" s="156" t="str">
        <f>'5월'!H21</f>
        <v>월간-IBM</v>
      </c>
      <c r="I852" s="69" t="str">
        <f>'5월'!I21</f>
        <v>5월 유지정비료 - 5/12회</v>
      </c>
      <c r="J852" s="122">
        <f>'5월'!J21</f>
        <v>1</v>
      </c>
      <c r="K852" s="15">
        <f>'5월'!K21</f>
        <v>2812500</v>
      </c>
      <c r="L852" s="16">
        <f>'5월'!L21</f>
        <v>2812500</v>
      </c>
      <c r="M852" s="16">
        <f>'5월'!M21</f>
        <v>281250</v>
      </c>
      <c r="N852" s="15">
        <f>'5월'!N21</f>
        <v>3093750</v>
      </c>
      <c r="O852" s="5" t="str">
        <f>'5월'!O21</f>
        <v>완료(6/30)</v>
      </c>
      <c r="P852" s="9" t="str">
        <f>'5월'!P21</f>
        <v>이예지</v>
      </c>
      <c r="Q852" s="5">
        <f>'5월'!Q21</f>
        <v>45666</v>
      </c>
      <c r="R852" s="209" t="str">
        <f>'5월'!R21</f>
        <v>매출연간</v>
      </c>
    </row>
    <row r="853" spans="1:20" ht="16.5" customHeight="1">
      <c r="A853" t="s">
        <v>64</v>
      </c>
      <c r="B853" s="140" t="str">
        <f>'5월'!B22</f>
        <v>IK-23016</v>
      </c>
      <c r="C853" s="12"/>
      <c r="D853" s="13">
        <f>'5월'!D22</f>
        <v>45779</v>
      </c>
      <c r="E853" s="155" t="str">
        <f>'5월'!E22</f>
        <v>한국아이씨에스</v>
      </c>
      <c r="F853" s="155" t="str">
        <f>'5월'!F22</f>
        <v>케이정보기술</v>
      </c>
      <c r="G853" s="157" t="str">
        <f>'5월'!G22</f>
        <v>MA</v>
      </c>
      <c r="H853" s="156" t="str">
        <f>'5월'!H22</f>
        <v>월간-IBM</v>
      </c>
      <c r="I853" s="69" t="str">
        <f>'5월'!I22</f>
        <v>청주시청 5월 유지정비료 - 5/20회 추가</v>
      </c>
      <c r="J853" s="122">
        <f>'5월'!J22</f>
        <v>1</v>
      </c>
      <c r="K853" s="15">
        <f>'5월'!K22</f>
        <v>1123962</v>
      </c>
      <c r="L853" s="16">
        <f>'5월'!L22</f>
        <v>1123962</v>
      </c>
      <c r="M853" s="15">
        <f>'5월'!M22</f>
        <v>112396</v>
      </c>
      <c r="N853" s="15">
        <f>'5월'!N22</f>
        <v>1236358</v>
      </c>
      <c r="O853" s="5" t="str">
        <f>'5월'!O22</f>
        <v>완료(6/30)</v>
      </c>
      <c r="P853" s="9" t="str">
        <f>'5월'!P22</f>
        <v>천범석</v>
      </c>
      <c r="Q853" s="5">
        <f>'5월'!Q22</f>
        <v>45778</v>
      </c>
      <c r="R853" s="209"/>
    </row>
    <row r="854" spans="1:20" ht="16.5" customHeight="1">
      <c r="A854" t="s">
        <v>64</v>
      </c>
      <c r="B854" s="10" t="str">
        <f>'5월'!B23</f>
        <v>IK-24012</v>
      </c>
      <c r="C854" s="12"/>
      <c r="D854" s="13">
        <f>'5월'!D23</f>
        <v>45779</v>
      </c>
      <c r="E854" s="155" t="str">
        <f>'5월'!E23</f>
        <v>한국아이씨에스</v>
      </c>
      <c r="F854" s="155" t="str">
        <f>'5월'!F23</f>
        <v>인정보</v>
      </c>
      <c r="G854" s="156" t="str">
        <f>'5월'!G23</f>
        <v>MA</v>
      </c>
      <c r="H854" s="156" t="str">
        <f>'5월'!H23</f>
        <v>월간-IBM</v>
      </c>
      <c r="I854" s="69" t="str">
        <f>'5월'!I23</f>
        <v>대구텍 5월 유지정비료 - 5/6회 중도해지</v>
      </c>
      <c r="J854" s="122">
        <f>'5월'!J23</f>
        <v>1</v>
      </c>
      <c r="K854" s="15">
        <f>'5월'!K23</f>
        <v>990000</v>
      </c>
      <c r="L854" s="16">
        <f>'5월'!L23</f>
        <v>990000</v>
      </c>
      <c r="M854" s="16">
        <f>'5월'!M23</f>
        <v>99000</v>
      </c>
      <c r="N854" s="15">
        <f>'5월'!N23</f>
        <v>1089000</v>
      </c>
      <c r="O854" s="5" t="str">
        <f>'5월'!O23</f>
        <v>완료(6/30)</v>
      </c>
      <c r="P854" s="174" t="str">
        <f>'5월'!P23</f>
        <v>천범석</v>
      </c>
      <c r="Q854" s="5">
        <f>'5월'!Q23</f>
        <v>45778</v>
      </c>
      <c r="R854" s="213"/>
    </row>
    <row r="855" spans="1:20" ht="16.5" customHeight="1">
      <c r="A855" t="s">
        <v>64</v>
      </c>
      <c r="B855" s="10" t="str">
        <f>'5월'!B24</f>
        <v>IK-25001</v>
      </c>
      <c r="C855" s="12"/>
      <c r="D855" s="13">
        <f>'5월'!D24</f>
        <v>45779</v>
      </c>
      <c r="E855" s="155" t="str">
        <f>'5월'!E24</f>
        <v>한국아이씨에스</v>
      </c>
      <c r="F855" s="155" t="str">
        <f>'5월'!F24</f>
        <v>투아이시스</v>
      </c>
      <c r="G855" s="156" t="str">
        <f>'5월'!G24</f>
        <v>MA</v>
      </c>
      <c r="H855" s="156" t="str">
        <f>'5월'!H24</f>
        <v>월간-IBM</v>
      </c>
      <c r="I855" s="69" t="str">
        <f>'5월'!I24</f>
        <v>5월 유지정비료 - 3/12회</v>
      </c>
      <c r="J855" s="122">
        <f>'5월'!J24</f>
        <v>1</v>
      </c>
      <c r="K855" s="15">
        <f>'5월'!K24</f>
        <v>93445</v>
      </c>
      <c r="L855" s="16">
        <f>'5월'!L24</f>
        <v>93445</v>
      </c>
      <c r="M855" s="15">
        <f>'5월'!M24</f>
        <v>9344</v>
      </c>
      <c r="N855" s="15">
        <f>'5월'!N24</f>
        <v>102789</v>
      </c>
      <c r="O855" s="5" t="str">
        <f>'5월'!O24</f>
        <v>완료(6/30)</v>
      </c>
      <c r="P855" s="174" t="str">
        <f>'5월'!P24</f>
        <v>천범석</v>
      </c>
      <c r="Q855" s="5">
        <f>'5월'!Q24</f>
        <v>45747</v>
      </c>
      <c r="R855" s="209" t="str">
        <f>'5월'!R24</f>
        <v>매출연간</v>
      </c>
    </row>
    <row r="856" spans="1:20" ht="16.5" customHeight="1">
      <c r="A856" t="s">
        <v>64</v>
      </c>
      <c r="B856" s="10" t="str">
        <f>'5월'!B25</f>
        <v>IK-24014</v>
      </c>
      <c r="C856" s="12"/>
      <c r="D856" s="13">
        <f>'5월'!D25</f>
        <v>45779</v>
      </c>
      <c r="E856" s="155" t="str">
        <f>'5월'!E25</f>
        <v>한국아이씨에스</v>
      </c>
      <c r="F856" s="155" t="str">
        <f>'5월'!F25</f>
        <v>로보츠</v>
      </c>
      <c r="G856" s="156" t="str">
        <f>'5월'!G25</f>
        <v>MA</v>
      </c>
      <c r="H856" s="156" t="str">
        <f>'5월'!H25</f>
        <v>월간-IBM</v>
      </c>
      <c r="I856" s="69" t="str">
        <f>'5월'!I25</f>
        <v>와이케이케이 5월 유지정비료 - 5/12회</v>
      </c>
      <c r="J856" s="122">
        <f>'5월'!J25</f>
        <v>1</v>
      </c>
      <c r="K856" s="15">
        <f>'5월'!K25</f>
        <v>79496</v>
      </c>
      <c r="L856" s="16">
        <f>'5월'!L25</f>
        <v>79496</v>
      </c>
      <c r="M856" s="15">
        <f>'5월'!M25</f>
        <v>7949</v>
      </c>
      <c r="N856" s="15">
        <f>'5월'!N25</f>
        <v>87445</v>
      </c>
      <c r="O856" s="5" t="str">
        <f>'5월'!O25</f>
        <v>완료(6/30)</v>
      </c>
      <c r="P856" s="9" t="str">
        <f>'5월'!P25</f>
        <v>천범석</v>
      </c>
      <c r="Q856" s="5">
        <f>'5월'!Q25</f>
        <v>45802</v>
      </c>
      <c r="R856" s="209"/>
    </row>
    <row r="857" spans="1:20" ht="16.5" customHeight="1">
      <c r="A857" t="s">
        <v>64</v>
      </c>
      <c r="B857" s="141" t="str">
        <f>'5월'!B26</f>
        <v>IK-22023</v>
      </c>
      <c r="C857" s="142"/>
      <c r="D857" s="13">
        <f>'5월'!D26</f>
        <v>45779</v>
      </c>
      <c r="E857" s="155" t="str">
        <f>'5월'!E26</f>
        <v>한국아이씨에스</v>
      </c>
      <c r="F857" s="155" t="str">
        <f>'5월'!F26</f>
        <v>리온아이티</v>
      </c>
      <c r="G857" s="156" t="str">
        <f>'5월'!G26</f>
        <v>MA</v>
      </c>
      <c r="H857" s="156" t="str">
        <f>'5월'!H26</f>
        <v>월간-IBM</v>
      </c>
      <c r="I857" s="69" t="str">
        <f>'5월'!I26</f>
        <v>성원제강 5월 유지정비료 - 26/36회</v>
      </c>
      <c r="J857" s="122">
        <f>'5월'!J26</f>
        <v>1</v>
      </c>
      <c r="K857" s="15">
        <f>'5월'!K26</f>
        <v>159761</v>
      </c>
      <c r="L857" s="15">
        <f>'5월'!L26</f>
        <v>159761</v>
      </c>
      <c r="M857" s="15">
        <f>'5월'!M26</f>
        <v>15976</v>
      </c>
      <c r="N857" s="15">
        <f>'5월'!N26</f>
        <v>175737</v>
      </c>
      <c r="O857" s="5" t="str">
        <f>'5월'!O26</f>
        <v>완료(6/30)</v>
      </c>
      <c r="P857" s="9" t="str">
        <f>'5월'!P26</f>
        <v>천범석</v>
      </c>
      <c r="Q857" s="5">
        <f>'5월'!Q26</f>
        <v>45807</v>
      </c>
      <c r="R857" s="209"/>
      <c r="S857" s="7"/>
      <c r="T857" s="7"/>
    </row>
    <row r="858" spans="1:20" ht="16.5" customHeight="1">
      <c r="A858" t="s">
        <v>64</v>
      </c>
      <c r="B858" s="10" t="str">
        <f>'5월'!B27</f>
        <v>IK-24002</v>
      </c>
      <c r="C858" s="12"/>
      <c r="D858" s="13">
        <f>'5월'!D27</f>
        <v>45779</v>
      </c>
      <c r="E858" s="155" t="str">
        <f>'5월'!E27</f>
        <v>한국아이씨에스</v>
      </c>
      <c r="F858" s="155" t="str">
        <f>'5월'!F27</f>
        <v>리온아이티</v>
      </c>
      <c r="G858" s="156" t="str">
        <f>'5월'!G27</f>
        <v>MA</v>
      </c>
      <c r="H858" s="156" t="str">
        <f>'5월'!H27</f>
        <v>월간-IBM</v>
      </c>
      <c r="I858" s="69" t="str">
        <f>'5월'!I27</f>
        <v>교세라 5월 유지정비료 - 16/36회</v>
      </c>
      <c r="J858" s="122">
        <f>'5월'!J27</f>
        <v>1</v>
      </c>
      <c r="K858" s="15">
        <f>'5월'!K27</f>
        <v>70422</v>
      </c>
      <c r="L858" s="16">
        <f>'5월'!L27</f>
        <v>70422</v>
      </c>
      <c r="M858" s="15">
        <f>'5월'!M27</f>
        <v>7042</v>
      </c>
      <c r="N858" s="15">
        <f>'5월'!N27</f>
        <v>77464</v>
      </c>
      <c r="O858" s="5" t="str">
        <f>'5월'!O27</f>
        <v>완료(6/30)</v>
      </c>
      <c r="P858" s="174" t="str">
        <f>'5월'!P27</f>
        <v>천범석</v>
      </c>
      <c r="Q858" s="5">
        <f>'5월'!Q27</f>
        <v>45716</v>
      </c>
      <c r="R858" s="209" t="str">
        <f>'5월'!R27</f>
        <v>매출연간</v>
      </c>
    </row>
    <row r="859" spans="1:20" ht="16.5" customHeight="1">
      <c r="A859" t="s">
        <v>64</v>
      </c>
      <c r="B859" s="10" t="str">
        <f>'5월'!B28</f>
        <v>LI-24009</v>
      </c>
      <c r="C859" s="12"/>
      <c r="D859" s="13">
        <f>'5월'!D28</f>
        <v>45779</v>
      </c>
      <c r="E859" s="155" t="str">
        <f>'5월'!E28</f>
        <v>한국아이씨에스</v>
      </c>
      <c r="F859" s="155" t="str">
        <f>'5월'!F28</f>
        <v>아이리스인포테크</v>
      </c>
      <c r="G859" s="156" t="str">
        <f>'5월'!G28</f>
        <v>MA</v>
      </c>
      <c r="H859" s="156" t="str">
        <f>'5월'!H28</f>
        <v>월간-IBM</v>
      </c>
      <c r="I859" s="69" t="str">
        <f>'5월'!I28</f>
        <v>프레이저플레이스 5월 유지정비료 - 10/12회</v>
      </c>
      <c r="J859" s="122">
        <f>'5월'!J28</f>
        <v>1</v>
      </c>
      <c r="K859" s="15">
        <f>'5월'!K28</f>
        <v>95200</v>
      </c>
      <c r="L859" s="16">
        <f>'5월'!L28</f>
        <v>95200</v>
      </c>
      <c r="M859" s="16">
        <f>'5월'!M28</f>
        <v>9520</v>
      </c>
      <c r="N859" s="15">
        <f>'5월'!N28</f>
        <v>104720</v>
      </c>
      <c r="O859" s="5" t="str">
        <f>'5월'!O28</f>
        <v>완료(6/30)</v>
      </c>
      <c r="P859" s="9" t="str">
        <f>'5월'!P28</f>
        <v>천범석</v>
      </c>
      <c r="Q859" s="5">
        <f>'5월'!Q28</f>
        <v>45807</v>
      </c>
      <c r="R859" s="209" t="str">
        <f>'5월'!R28</f>
        <v>매출분기</v>
      </c>
    </row>
    <row r="860" spans="1:20" ht="16.5" customHeight="1">
      <c r="A860" t="s">
        <v>64</v>
      </c>
      <c r="B860" s="10" t="str">
        <f>'5월'!B29</f>
        <v>LI-24004</v>
      </c>
      <c r="C860" s="12"/>
      <c r="D860" s="13">
        <f>'5월'!D29</f>
        <v>45779</v>
      </c>
      <c r="E860" s="155" t="str">
        <f>'5월'!E29</f>
        <v>한국아이씨에스</v>
      </c>
      <c r="F860" s="155" t="str">
        <f>'5월'!F29</f>
        <v>한국메탈</v>
      </c>
      <c r="G860" s="156" t="str">
        <f>'5월'!G29</f>
        <v>MA</v>
      </c>
      <c r="H860" s="156" t="str">
        <f>'5월'!H29</f>
        <v>월간-IBM</v>
      </c>
      <c r="I860" s="69" t="str">
        <f>'5월'!I29</f>
        <v>5월유지정비료 - 13/32회</v>
      </c>
      <c r="J860" s="122">
        <f>'5월'!J29</f>
        <v>1</v>
      </c>
      <c r="K860" s="15">
        <f>'5월'!K29</f>
        <v>316682</v>
      </c>
      <c r="L860" s="16">
        <f>'5월'!L29</f>
        <v>316682</v>
      </c>
      <c r="M860" s="15">
        <f>'5월'!M29</f>
        <v>31668</v>
      </c>
      <c r="N860" s="15">
        <f>'5월'!N29</f>
        <v>348350</v>
      </c>
      <c r="O860" s="5" t="str">
        <f>'5월'!O29</f>
        <v>완료(6/30)</v>
      </c>
      <c r="P860" s="9" t="str">
        <f>'5월'!P29</f>
        <v>천범석</v>
      </c>
      <c r="Q860" s="5">
        <f>'5월'!Q29</f>
        <v>45778</v>
      </c>
      <c r="R860" s="209"/>
    </row>
    <row r="861" spans="1:20" ht="16.5" customHeight="1">
      <c r="A861" t="s">
        <v>64</v>
      </c>
      <c r="B861" s="140" t="str">
        <f>'5월'!B30</f>
        <v>SB-24036</v>
      </c>
      <c r="C861" s="12"/>
      <c r="D861" s="13">
        <f>'5월'!D30</f>
        <v>45779</v>
      </c>
      <c r="E861" s="155" t="str">
        <f>'5월'!E30</f>
        <v>한국아이씨에스</v>
      </c>
      <c r="F861" s="155" t="str">
        <f>'5월'!F30</f>
        <v>나라정보</v>
      </c>
      <c r="G861" s="156" t="str">
        <f>'5월'!G30</f>
        <v>MA</v>
      </c>
      <c r="H861" s="156" t="str">
        <f>'5월'!H30</f>
        <v>월간-IBM</v>
      </c>
      <c r="I861" s="69" t="str">
        <f>'5월'!I30</f>
        <v>부국철강 5월 유지정비료 - 13/32 회</v>
      </c>
      <c r="J861" s="122">
        <f>'5월'!J30</f>
        <v>1</v>
      </c>
      <c r="K861" s="15">
        <f>'5월'!K30</f>
        <v>190849</v>
      </c>
      <c r="L861" s="16">
        <f>'5월'!L30</f>
        <v>190849</v>
      </c>
      <c r="M861" s="15">
        <f>'5월'!M30</f>
        <v>19084</v>
      </c>
      <c r="N861" s="15">
        <f>'5월'!N30</f>
        <v>209933</v>
      </c>
      <c r="O861" s="5" t="str">
        <f>'5월'!O30</f>
        <v>완료(6/30)</v>
      </c>
      <c r="P861" s="177" t="str">
        <f>'5월'!P30</f>
        <v>천범석</v>
      </c>
      <c r="Q861" s="5">
        <f>'5월'!Q30</f>
        <v>45807</v>
      </c>
      <c r="R861" s="209"/>
    </row>
    <row r="862" spans="1:20" ht="16.5" customHeight="1">
      <c r="A862" t="s">
        <v>64</v>
      </c>
      <c r="B862" s="10" t="str">
        <f>'5월'!B31</f>
        <v>LI-24006</v>
      </c>
      <c r="C862" s="139"/>
      <c r="D862" s="13">
        <f>'5월'!D31</f>
        <v>45779</v>
      </c>
      <c r="E862" s="155" t="str">
        <f>'5월'!E31</f>
        <v>한국아이씨에스</v>
      </c>
      <c r="F862" s="155" t="str">
        <f>'5월'!F31</f>
        <v>보해양조</v>
      </c>
      <c r="G862" s="156" t="str">
        <f>'5월'!G31</f>
        <v>MA</v>
      </c>
      <c r="H862" s="156" t="str">
        <f>'5월'!H31</f>
        <v>월간-IBM</v>
      </c>
      <c r="I862" s="69" t="str">
        <f>'5월'!I31</f>
        <v>5월 유지정비료 - 11/12회</v>
      </c>
      <c r="J862" s="122">
        <f>'5월'!J31</f>
        <v>1</v>
      </c>
      <c r="K862" s="15">
        <f>'5월'!K31</f>
        <v>142800</v>
      </c>
      <c r="L862" s="16">
        <f>'5월'!L31</f>
        <v>142800</v>
      </c>
      <c r="M862" s="15">
        <f>'5월'!M31</f>
        <v>14280</v>
      </c>
      <c r="N862" s="15">
        <f>'5월'!N31</f>
        <v>157080</v>
      </c>
      <c r="O862" s="5" t="str">
        <f>'5월'!O31</f>
        <v>완료(6/30)</v>
      </c>
      <c r="P862" s="174" t="str">
        <f>'5월'!P31</f>
        <v>천범석</v>
      </c>
      <c r="Q862" s="5">
        <f>'5월'!Q31</f>
        <v>45802</v>
      </c>
      <c r="R862" s="209"/>
    </row>
    <row r="863" spans="1:20" ht="16.5" customHeight="1">
      <c r="A863" t="s">
        <v>64</v>
      </c>
      <c r="B863" s="10" t="str">
        <f>'5월'!B32</f>
        <v>IK-22022</v>
      </c>
      <c r="C863" s="12"/>
      <c r="D863" s="13">
        <f>'5월'!D32</f>
        <v>45779</v>
      </c>
      <c r="E863" s="155" t="str">
        <f>'5월'!E32</f>
        <v>한국아이씨에스</v>
      </c>
      <c r="F863" s="155" t="str">
        <f>'5월'!F32</f>
        <v>리온아이티</v>
      </c>
      <c r="G863" s="156" t="str">
        <f>'5월'!G32</f>
        <v>MA</v>
      </c>
      <c r="H863" s="156" t="str">
        <f>'5월'!H32</f>
        <v>월간-IBM</v>
      </c>
      <c r="I863" s="69" t="str">
        <f>'5월'!I32</f>
        <v>한일전기 5월 유지정비료 - 29/36회</v>
      </c>
      <c r="J863" s="122">
        <f>'5월'!J32</f>
        <v>1</v>
      </c>
      <c r="K863" s="15">
        <f>'5월'!K32</f>
        <v>309047</v>
      </c>
      <c r="L863" s="16">
        <f>'5월'!L32</f>
        <v>309047</v>
      </c>
      <c r="M863" s="15">
        <f>'5월'!M32</f>
        <v>30904</v>
      </c>
      <c r="N863" s="15">
        <f>'5월'!N32</f>
        <v>339951</v>
      </c>
      <c r="O863" s="5" t="str">
        <f>'5월'!O32</f>
        <v>완료(6/30)</v>
      </c>
      <c r="P863" s="9" t="str">
        <f>'5월'!P32</f>
        <v>천범석</v>
      </c>
      <c r="Q863" s="5">
        <f>'5월'!Q32</f>
        <v>45748</v>
      </c>
      <c r="R863" s="209" t="str">
        <f>'5월'!R32</f>
        <v>매출분기</v>
      </c>
    </row>
    <row r="864" spans="1:20" ht="16.5" customHeight="1">
      <c r="A864" t="s">
        <v>64</v>
      </c>
      <c r="B864" s="10" t="str">
        <f>'5월'!B33</f>
        <v>IK-24013</v>
      </c>
      <c r="C864" s="12"/>
      <c r="D864" s="13">
        <f>'5월'!D33</f>
        <v>45779</v>
      </c>
      <c r="E864" s="155" t="str">
        <f>'5월'!E33</f>
        <v>한국아이씨에스</v>
      </c>
      <c r="F864" s="155" t="str">
        <f>'5월'!F33</f>
        <v>레드텍</v>
      </c>
      <c r="G864" s="156" t="str">
        <f>'5월'!G33</f>
        <v>MA</v>
      </c>
      <c r="H864" s="156" t="str">
        <f>'5월'!H33</f>
        <v>월간-IBM</v>
      </c>
      <c r="I864" s="69" t="str">
        <f>'5월'!I33</f>
        <v>대한상공회의소 5월 유지정비료 - 7/12회</v>
      </c>
      <c r="J864" s="122">
        <f>'5월'!J33</f>
        <v>1</v>
      </c>
      <c r="K864" s="15">
        <f>'5월'!K33</f>
        <v>145780</v>
      </c>
      <c r="L864" s="16">
        <f>'5월'!L33</f>
        <v>145780</v>
      </c>
      <c r="M864" s="16">
        <f>'5월'!M33</f>
        <v>14578</v>
      </c>
      <c r="N864" s="15">
        <f>'5월'!N33</f>
        <v>160358</v>
      </c>
      <c r="O864" s="5" t="str">
        <f>'5월'!O33</f>
        <v>완료(6/30)</v>
      </c>
      <c r="P864" s="9" t="str">
        <f>'5월'!P33</f>
        <v>천범석</v>
      </c>
      <c r="Q864" s="5">
        <f>'5월'!Q33</f>
        <v>45778</v>
      </c>
      <c r="R864" s="209"/>
    </row>
    <row r="865" spans="1:19" ht="16.5" customHeight="1">
      <c r="A865" t="s">
        <v>64</v>
      </c>
      <c r="B865" s="141" t="str">
        <f>'5월'!B34</f>
        <v>IK-22021</v>
      </c>
      <c r="C865" s="12"/>
      <c r="D865" s="13">
        <f>'5월'!D34</f>
        <v>45779</v>
      </c>
      <c r="E865" s="155" t="str">
        <f>'5월'!E34</f>
        <v>한국아이씨에스</v>
      </c>
      <c r="F865" s="155" t="str">
        <f>'5월'!F34</f>
        <v>리온아이티</v>
      </c>
      <c r="G865" s="156" t="str">
        <f>'5월'!G34</f>
        <v>MA</v>
      </c>
      <c r="H865" s="156" t="str">
        <f>'5월'!H34</f>
        <v>월간-IBM</v>
      </c>
      <c r="I865" s="69" t="str">
        <f>'5월'!I34</f>
        <v>문배철강 5월 유지정비료 - 26/36회</v>
      </c>
      <c r="J865" s="122">
        <f>'5월'!J34</f>
        <v>1</v>
      </c>
      <c r="K865" s="15">
        <f>'5월'!K34</f>
        <v>212293</v>
      </c>
      <c r="L865" s="15">
        <f>'5월'!L34</f>
        <v>212293</v>
      </c>
      <c r="M865" s="15">
        <f>'5월'!M34</f>
        <v>21229</v>
      </c>
      <c r="N865" s="15">
        <f>'5월'!N34</f>
        <v>233522</v>
      </c>
      <c r="O865" s="5" t="str">
        <f>'5월'!O34</f>
        <v>완료(6/30)</v>
      </c>
      <c r="P865" s="9" t="str">
        <f>'5월'!P34</f>
        <v>천범석</v>
      </c>
      <c r="Q865" s="5">
        <f>'5월'!Q34</f>
        <v>45807</v>
      </c>
      <c r="R865" s="209"/>
    </row>
    <row r="866" spans="1:19" ht="16.5" customHeight="1">
      <c r="A866" t="s">
        <v>64</v>
      </c>
      <c r="B866" s="10" t="str">
        <f>'5월'!B35</f>
        <v>SM-24021</v>
      </c>
      <c r="C866" s="12"/>
      <c r="D866" s="13">
        <f>'5월'!D35</f>
        <v>45779</v>
      </c>
      <c r="E866" s="155" t="str">
        <f>'5월'!E35</f>
        <v>한국아이씨에스</v>
      </c>
      <c r="F866" s="155" t="str">
        <f>'5월'!F35</f>
        <v>에이캐피탈</v>
      </c>
      <c r="G866" s="156" t="str">
        <f>'5월'!G35</f>
        <v>MA</v>
      </c>
      <c r="H866" s="156" t="str">
        <f>'5월'!H35</f>
        <v>월간-IBM</v>
      </c>
      <c r="I866" s="69" t="str">
        <f>'5월'!I35</f>
        <v>5월 유지정비료 - 9/12회</v>
      </c>
      <c r="J866" s="122">
        <f>'5월'!J35</f>
        <v>1</v>
      </c>
      <c r="K866" s="15">
        <f>'5월'!K35</f>
        <v>691782</v>
      </c>
      <c r="L866" s="16">
        <f>'5월'!L35</f>
        <v>691782</v>
      </c>
      <c r="M866" s="16">
        <f>'5월'!M35</f>
        <v>69178</v>
      </c>
      <c r="N866" s="15">
        <f>'5월'!N35</f>
        <v>760960</v>
      </c>
      <c r="O866" s="5" t="str">
        <f>'5월'!O35</f>
        <v>완료(6/30)</v>
      </c>
      <c r="P866" s="9" t="str">
        <f>'5월'!P35</f>
        <v>천범석</v>
      </c>
      <c r="Q866" s="5">
        <f>'5월'!Q35</f>
        <v>45813</v>
      </c>
      <c r="R866" s="209"/>
    </row>
    <row r="867" spans="1:19" ht="16.5" customHeight="1">
      <c r="A867" t="s">
        <v>64</v>
      </c>
      <c r="B867" s="141" t="str">
        <f>'5월'!B36</f>
        <v>X</v>
      </c>
      <c r="C867" s="142"/>
      <c r="D867" s="13">
        <f>'5월'!D36</f>
        <v>45780</v>
      </c>
      <c r="E867" s="155" t="str">
        <f>'5월'!E36</f>
        <v>에스케이브로드밴드</v>
      </c>
      <c r="F867" s="155"/>
      <c r="G867" s="156" t="str">
        <f>'5월'!G36</f>
        <v>일반경비</v>
      </c>
      <c r="H867" s="156" t="str">
        <f>'5월'!H36</f>
        <v>통신비</v>
      </c>
      <c r="I867" s="159" t="str">
        <f>'5월'!I36</f>
        <v>통신료</v>
      </c>
      <c r="J867" s="124">
        <f>'5월'!J36</f>
        <v>1</v>
      </c>
      <c r="K867" s="16">
        <f>'5월'!K36</f>
        <v>14166</v>
      </c>
      <c r="L867" s="15">
        <f>'5월'!L36</f>
        <v>14166</v>
      </c>
      <c r="M867" s="15">
        <f>'5월'!M36</f>
        <v>1416</v>
      </c>
      <c r="N867" s="15">
        <f>'5월'!N36</f>
        <v>15582</v>
      </c>
      <c r="O867" s="5" t="str">
        <f>'5월'!O36</f>
        <v>자동이체(5/25)</v>
      </c>
      <c r="P867" s="175" t="str">
        <f>'5월'!P36</f>
        <v>정지우</v>
      </c>
      <c r="Q867" s="68" t="str">
        <f>'5월'!Q36</f>
        <v>X</v>
      </c>
      <c r="R867" s="209"/>
      <c r="S867" s="7"/>
    </row>
    <row r="868" spans="1:19" ht="16.5" customHeight="1">
      <c r="A868" t="s">
        <v>64</v>
      </c>
      <c r="B868" s="10" t="str">
        <f>'5월'!B37</f>
        <v>SM-24020</v>
      </c>
      <c r="C868" s="12"/>
      <c r="D868" s="13">
        <f>'5월'!D37</f>
        <v>45784</v>
      </c>
      <c r="E868" s="155" t="str">
        <f>'5월'!E37</f>
        <v>로보츠</v>
      </c>
      <c r="F868" s="155" t="str">
        <f>'5월'!F37</f>
        <v>와이케이케이한국</v>
      </c>
      <c r="G868" s="156" t="str">
        <f>'5월'!G37</f>
        <v>MA</v>
      </c>
      <c r="H868" s="156" t="str">
        <f>'5월'!H37</f>
        <v>월간</v>
      </c>
      <c r="I868" s="69" t="str">
        <f>'5월'!I37</f>
        <v>BoardSystem 유지보수 - 5월 (8/12회)</v>
      </c>
      <c r="J868" s="122">
        <f>'5월'!J37</f>
        <v>1</v>
      </c>
      <c r="K868" s="15">
        <f>'5월'!K37</f>
        <v>1060000</v>
      </c>
      <c r="L868" s="16">
        <f>'5월'!L37</f>
        <v>1060000</v>
      </c>
      <c r="M868" s="16">
        <f>'5월'!M37</f>
        <v>106000</v>
      </c>
      <c r="N868" s="15">
        <f>'5월'!N37</f>
        <v>1166000</v>
      </c>
      <c r="O868" s="5" t="str">
        <f>'5월'!O37</f>
        <v>완료(6/30)</v>
      </c>
      <c r="P868" s="9" t="str">
        <f>'5월'!P37</f>
        <v>이예지</v>
      </c>
      <c r="Q868" s="5">
        <f>'5월'!Q37</f>
        <v>45784</v>
      </c>
      <c r="R868" s="209"/>
    </row>
    <row r="869" spans="1:19" ht="16.5" customHeight="1">
      <c r="A869" t="s">
        <v>64</v>
      </c>
      <c r="B869" s="10" t="str">
        <f>'5월'!B38</f>
        <v>S</v>
      </c>
      <c r="C869" s="12"/>
      <c r="D869" s="13">
        <f>'5월'!D38</f>
        <v>45784</v>
      </c>
      <c r="E869" s="155" t="str">
        <f>'5월'!E38</f>
        <v>로보츠</v>
      </c>
      <c r="F869" s="155" t="str">
        <f>'5월'!F38</f>
        <v>와이케이케이한국</v>
      </c>
      <c r="G869" s="156" t="str">
        <f>'5월'!G38</f>
        <v>MA</v>
      </c>
      <c r="H869" s="156" t="str">
        <f>'5월'!H38</f>
        <v>연간</v>
      </c>
      <c r="I869" s="69" t="str">
        <f>'5월'!I38</f>
        <v>항온항습기 유지보수 (25.05.01~26.04.30)</v>
      </c>
      <c r="J869" s="122">
        <f>'5월'!J38</f>
        <v>1</v>
      </c>
      <c r="K869" s="15">
        <f>'5월'!K38</f>
        <v>1760000</v>
      </c>
      <c r="L869" s="16">
        <f>'5월'!L38</f>
        <v>1760000</v>
      </c>
      <c r="M869" s="16">
        <f>'5월'!M38</f>
        <v>176000</v>
      </c>
      <c r="N869" s="15">
        <f>'5월'!N38</f>
        <v>1936000</v>
      </c>
      <c r="O869" s="5" t="str">
        <f>'5월'!O38</f>
        <v>완료(6/30)</v>
      </c>
      <c r="P869" s="9" t="str">
        <f>'5월'!P38</f>
        <v>이예지</v>
      </c>
      <c r="Q869" s="5">
        <f>'5월'!Q38</f>
        <v>45784</v>
      </c>
      <c r="R869" s="213"/>
    </row>
    <row r="870" spans="1:19" ht="16.5" customHeight="1">
      <c r="A870" t="s">
        <v>64</v>
      </c>
      <c r="B870" s="10" t="str">
        <f>'5월'!B39</f>
        <v>S</v>
      </c>
      <c r="C870" s="12"/>
      <c r="D870" s="13">
        <f>'5월'!D39</f>
        <v>45784</v>
      </c>
      <c r="E870" s="155" t="str">
        <f>'5월'!E39</f>
        <v>로보츠</v>
      </c>
      <c r="F870" s="155" t="str">
        <f>'5월'!F39</f>
        <v>와이케이케이한국</v>
      </c>
      <c r="G870" s="156" t="str">
        <f>'5월'!G39</f>
        <v>MA</v>
      </c>
      <c r="H870" s="156" t="str">
        <f>'5월'!H39</f>
        <v>연간</v>
      </c>
      <c r="I870" s="69" t="str">
        <f>'5월'!I39</f>
        <v>FMS 유지보수 (25.05.01~26.04.30)</v>
      </c>
      <c r="J870" s="122">
        <f>'5월'!J39</f>
        <v>1</v>
      </c>
      <c r="K870" s="15">
        <f>'5월'!K39</f>
        <v>3490000</v>
      </c>
      <c r="L870" s="16">
        <f>'5월'!L39</f>
        <v>3490000</v>
      </c>
      <c r="M870" s="16">
        <f>'5월'!M39</f>
        <v>349000</v>
      </c>
      <c r="N870" s="15">
        <f>'5월'!N39</f>
        <v>3839000</v>
      </c>
      <c r="O870" s="5" t="str">
        <f>'5월'!O39</f>
        <v>완료(6/30)</v>
      </c>
      <c r="P870" s="9" t="str">
        <f>'5월'!P39</f>
        <v>이예지</v>
      </c>
      <c r="Q870" s="5">
        <f>'5월'!Q39</f>
        <v>45784</v>
      </c>
      <c r="R870" s="213"/>
    </row>
    <row r="871" spans="1:19" ht="16.5" customHeight="1">
      <c r="A871" t="s">
        <v>64</v>
      </c>
      <c r="B871" s="10" t="str">
        <f>'5월'!B40</f>
        <v>H250507-02</v>
      </c>
      <c r="C871" s="12"/>
      <c r="D871" s="13">
        <f>'5월'!D40</f>
        <v>45784</v>
      </c>
      <c r="E871" s="155" t="str">
        <f>'5월'!E40</f>
        <v>이비웨이브</v>
      </c>
      <c r="F871" s="155" t="str">
        <f>'5월'!F40</f>
        <v>티에스씨인포</v>
      </c>
      <c r="G871" s="156" t="str">
        <f>'5월'!G40</f>
        <v>상품</v>
      </c>
      <c r="H871" s="156" t="str">
        <f>'5월'!H40</f>
        <v>00YK039</v>
      </c>
      <c r="I871" s="69" t="str">
        <f>'5월'!I40</f>
        <v>Lenovo 00yk039 2tb 7.2k Rpm Sata 6gbps 512n 3.5-inch Internal Hot-swap Hard Disk Drive</v>
      </c>
      <c r="J871" s="122">
        <f>'5월'!J40</f>
        <v>1</v>
      </c>
      <c r="K871" s="15">
        <f>'5월'!K40</f>
        <v>220000</v>
      </c>
      <c r="L871" s="16">
        <f>'5월'!L40</f>
        <v>220000</v>
      </c>
      <c r="M871" s="16">
        <f>'5월'!M40</f>
        <v>22000</v>
      </c>
      <c r="N871" s="15">
        <f>'5월'!N40</f>
        <v>242000</v>
      </c>
      <c r="O871" s="5" t="str">
        <f>'5월'!O40</f>
        <v>완료(7/31)</v>
      </c>
      <c r="P871" s="9" t="str">
        <f>'5월'!P40</f>
        <v>천범석</v>
      </c>
      <c r="Q871" s="5">
        <f>'5월'!Q40</f>
        <v>45807</v>
      </c>
      <c r="R871" s="213"/>
    </row>
    <row r="872" spans="1:19" ht="16.5" customHeight="1">
      <c r="A872" t="s">
        <v>64</v>
      </c>
      <c r="B872" s="10" t="str">
        <f>'5월'!B41</f>
        <v>H250508-02</v>
      </c>
      <c r="C872" s="12"/>
      <c r="D872" s="13">
        <f>'5월'!D41</f>
        <v>45785</v>
      </c>
      <c r="E872" s="155" t="str">
        <f>'5월'!E41</f>
        <v>이비웨이브</v>
      </c>
      <c r="F872" s="155" t="str">
        <f>'5월'!F41</f>
        <v>티에스씨인포</v>
      </c>
      <c r="G872" s="156" t="str">
        <f>'5월'!G41</f>
        <v>상품</v>
      </c>
      <c r="H872" s="156" t="str">
        <f>'5월'!H41</f>
        <v>운송비</v>
      </c>
      <c r="I872" s="69" t="str">
        <f>'5월'!I41</f>
        <v>울산 직배송 다마스비용</v>
      </c>
      <c r="J872" s="122">
        <f>'5월'!J41</f>
        <v>1</v>
      </c>
      <c r="K872" s="15">
        <f>'5월'!K41</f>
        <v>260000</v>
      </c>
      <c r="L872" s="16">
        <f>'5월'!L41</f>
        <v>260000</v>
      </c>
      <c r="M872" s="16">
        <f>'5월'!M41</f>
        <v>26000</v>
      </c>
      <c r="N872" s="15">
        <f>'5월'!N41</f>
        <v>286000</v>
      </c>
      <c r="O872" s="5" t="str">
        <f>'5월'!O41</f>
        <v>완료(7/31)</v>
      </c>
      <c r="P872" s="9" t="str">
        <f>'5월'!P41</f>
        <v>천범석</v>
      </c>
      <c r="Q872" s="5">
        <f>'5월'!Q41</f>
        <v>45807</v>
      </c>
      <c r="R872" s="213"/>
    </row>
    <row r="873" spans="1:19" ht="16.5" customHeight="1">
      <c r="A873" t="s">
        <v>64</v>
      </c>
      <c r="B873" s="10" t="str">
        <f>'5월'!B42</f>
        <v>Y250508-01</v>
      </c>
      <c r="C873" s="12"/>
      <c r="D873" s="13">
        <f>'5월'!D42</f>
        <v>45785</v>
      </c>
      <c r="E873" s="155" t="str">
        <f>'5월'!E42</f>
        <v>컴퓨존</v>
      </c>
      <c r="F873" s="155" t="str">
        <f>'5월'!F42</f>
        <v>한국교과서협회</v>
      </c>
      <c r="G873" s="156" t="str">
        <f>'5월'!G42</f>
        <v>상품</v>
      </c>
      <c r="H873" s="156" t="str">
        <f>'5월'!H42</f>
        <v>스토리지</v>
      </c>
      <c r="I873" s="69" t="str">
        <f>'5월'!I42</f>
        <v xml:space="preserve">Synology RS1221RP+ 8TB x8 </v>
      </c>
      <c r="J873" s="122">
        <f>'5월'!J42</f>
        <v>1</v>
      </c>
      <c r="K873" s="15">
        <f>'5월'!K42</f>
        <v>5105809</v>
      </c>
      <c r="L873" s="16">
        <f>'5월'!L42</f>
        <v>5105809</v>
      </c>
      <c r="M873" s="16">
        <f>'5월'!M42</f>
        <v>510581</v>
      </c>
      <c r="N873" s="15">
        <f>'5월'!N42</f>
        <v>5616390</v>
      </c>
      <c r="O873" s="5" t="str">
        <f>'5월'!O42</f>
        <v>완료(5/8)</v>
      </c>
      <c r="P873" s="9" t="str">
        <f>'5월'!P42</f>
        <v>홍승민</v>
      </c>
      <c r="Q873" s="5">
        <f>'5월'!Q42</f>
        <v>45798</v>
      </c>
      <c r="R873" s="213"/>
    </row>
    <row r="874" spans="1:19" ht="16.5" customHeight="1">
      <c r="A874" t="s">
        <v>64</v>
      </c>
      <c r="B874" s="10" t="str">
        <f>'5월'!B43</f>
        <v>SM-23012</v>
      </c>
      <c r="C874" s="12"/>
      <c r="D874" s="13">
        <f>'5월'!D43</f>
        <v>45787</v>
      </c>
      <c r="E874" s="155" t="str">
        <f>'5월'!E43</f>
        <v>엘림넷</v>
      </c>
      <c r="F874" s="155" t="str">
        <f>'5월'!F43</f>
        <v>택스홈앤아웃 본사</v>
      </c>
      <c r="G874" s="156" t="str">
        <f>'5월'!G43</f>
        <v>MA</v>
      </c>
      <c r="H874" s="156" t="str">
        <f>'5월'!H43</f>
        <v>월간</v>
      </c>
      <c r="I874" s="69" t="str">
        <f>'5월'!I43</f>
        <v>전용회선료 외 1건</v>
      </c>
      <c r="J874" s="122">
        <f>'5월'!J43</f>
        <v>1</v>
      </c>
      <c r="K874" s="15">
        <f>'5월'!K43</f>
        <v>213400</v>
      </c>
      <c r="L874" s="16">
        <f>'5월'!L43</f>
        <v>213400</v>
      </c>
      <c r="M874" s="16">
        <f>'5월'!M43</f>
        <v>21340</v>
      </c>
      <c r="N874" s="15">
        <f>'5월'!N43</f>
        <v>234740</v>
      </c>
      <c r="O874" s="5" t="str">
        <f>'5월'!O43</f>
        <v>완료(5/26법카)</v>
      </c>
      <c r="P874" s="9" t="str">
        <f>'5월'!P43</f>
        <v>이예지</v>
      </c>
      <c r="Q874" s="5">
        <f>'5월'!Q43</f>
        <v>45778</v>
      </c>
      <c r="R874" s="209"/>
    </row>
    <row r="875" spans="1:19" ht="16.5" customHeight="1">
      <c r="A875" t="s">
        <v>64</v>
      </c>
      <c r="B875" s="10" t="str">
        <f>'5월'!B44</f>
        <v>SM-23013</v>
      </c>
      <c r="C875" s="12"/>
      <c r="D875" s="13">
        <f>'5월'!D44</f>
        <v>45787</v>
      </c>
      <c r="E875" s="155" t="str">
        <f>'5월'!E44</f>
        <v>엘림넷</v>
      </c>
      <c r="F875" s="155" t="str">
        <f>'5월'!F44</f>
        <v>하이엔드택스 강남지점(압구정)</v>
      </c>
      <c r="G875" s="156" t="str">
        <f>'5월'!G44</f>
        <v>MA</v>
      </c>
      <c r="H875" s="156" t="str">
        <f>'5월'!H44</f>
        <v>월간</v>
      </c>
      <c r="I875" s="69" t="str">
        <f>'5월'!I44</f>
        <v>e-NETner 외 1건</v>
      </c>
      <c r="J875" s="122">
        <f>'5월'!J44</f>
        <v>1</v>
      </c>
      <c r="K875" s="15">
        <f>'5월'!K44</f>
        <v>77600</v>
      </c>
      <c r="L875" s="16">
        <f>'5월'!L44</f>
        <v>77600</v>
      </c>
      <c r="M875" s="16">
        <f>'5월'!M44</f>
        <v>7760</v>
      </c>
      <c r="N875" s="15">
        <f>'5월'!N44</f>
        <v>85360</v>
      </c>
      <c r="O875" s="5" t="str">
        <f>'5월'!O44</f>
        <v>완료(5/26법카)</v>
      </c>
      <c r="P875" s="9" t="str">
        <f>'5월'!P44</f>
        <v>이예지</v>
      </c>
      <c r="Q875" s="5">
        <f>'5월'!Q44</f>
        <v>45778</v>
      </c>
      <c r="R875" s="209"/>
    </row>
    <row r="876" spans="1:19" ht="16.5" customHeight="1">
      <c r="A876" t="s">
        <v>64</v>
      </c>
      <c r="B876" s="10" t="str">
        <f>'5월'!B45</f>
        <v>SM-23012</v>
      </c>
      <c r="C876" s="12"/>
      <c r="D876" s="13">
        <f>'5월'!D45</f>
        <v>45787</v>
      </c>
      <c r="E876" s="155" t="str">
        <f>'5월'!E45</f>
        <v>엘림넷</v>
      </c>
      <c r="F876" s="155" t="str">
        <f>'5월'!F45</f>
        <v>택스홈앤아웃 본사</v>
      </c>
      <c r="G876" s="156" t="str">
        <f>'5월'!G45</f>
        <v>MA</v>
      </c>
      <c r="H876" s="156" t="str">
        <f>'5월'!H45</f>
        <v>월간</v>
      </c>
      <c r="I876" s="69" t="str">
        <f>'5월'!I45</f>
        <v>e-NETner 외 1건</v>
      </c>
      <c r="J876" s="122">
        <f>'5월'!J45</f>
        <v>1</v>
      </c>
      <c r="K876" s="15">
        <f>'5월'!K45</f>
        <v>155200</v>
      </c>
      <c r="L876" s="16">
        <f>'5월'!L45</f>
        <v>155200</v>
      </c>
      <c r="M876" s="16">
        <f>'5월'!M45</f>
        <v>15520</v>
      </c>
      <c r="N876" s="15">
        <f>'5월'!N45</f>
        <v>170720</v>
      </c>
      <c r="O876" s="5" t="str">
        <f>'5월'!O45</f>
        <v>완료(5/26법카)</v>
      </c>
      <c r="P876" s="9" t="str">
        <f>'5월'!P45</f>
        <v>이예지</v>
      </c>
      <c r="Q876" s="5">
        <f>'5월'!Q45</f>
        <v>45778</v>
      </c>
      <c r="R876" s="209"/>
    </row>
    <row r="877" spans="1:19" ht="16.5" customHeight="1">
      <c r="A877" t="s">
        <v>64</v>
      </c>
      <c r="B877" s="10" t="str">
        <f>'5월'!B46</f>
        <v>SM-23013</v>
      </c>
      <c r="C877" s="12"/>
      <c r="D877" s="13">
        <f>'5월'!D46</f>
        <v>45787</v>
      </c>
      <c r="E877" s="155" t="str">
        <f>'5월'!E46</f>
        <v>엘림넷</v>
      </c>
      <c r="F877" s="155" t="str">
        <f>'5월'!F46</f>
        <v>하이엔드택스 강남지점(압구정)</v>
      </c>
      <c r="G877" s="156" t="str">
        <f>'5월'!G46</f>
        <v>MA</v>
      </c>
      <c r="H877" s="156" t="str">
        <f>'5월'!H46</f>
        <v>월간</v>
      </c>
      <c r="I877" s="69" t="str">
        <f>'5월'!I46</f>
        <v>전용회선료 외 1건</v>
      </c>
      <c r="J877" s="122">
        <f>'5월'!J46</f>
        <v>1</v>
      </c>
      <c r="K877" s="15">
        <f>'5월'!K46</f>
        <v>145500</v>
      </c>
      <c r="L877" s="16">
        <f>'5월'!L46</f>
        <v>145500</v>
      </c>
      <c r="M877" s="16">
        <f>'5월'!M46</f>
        <v>14550</v>
      </c>
      <c r="N877" s="15">
        <f>'5월'!N46</f>
        <v>160050</v>
      </c>
      <c r="O877" s="5" t="str">
        <f>'5월'!O46</f>
        <v>완료(5/26법카)</v>
      </c>
      <c r="P877" s="9" t="str">
        <f>'5월'!P46</f>
        <v>이예지</v>
      </c>
      <c r="Q877" s="5">
        <f>'5월'!Q46</f>
        <v>45778</v>
      </c>
      <c r="R877" s="209"/>
    </row>
    <row r="878" spans="1:19" ht="16.5" customHeight="1">
      <c r="A878" t="s">
        <v>64</v>
      </c>
      <c r="B878" s="10" t="str">
        <f>'5월'!B47</f>
        <v>IK-25002</v>
      </c>
      <c r="C878" s="12"/>
      <c r="D878" s="13">
        <f>'5월'!D47</f>
        <v>45789</v>
      </c>
      <c r="E878" s="155" t="str">
        <f>'5월'!E47</f>
        <v>한국아이씨에스</v>
      </c>
      <c r="F878" s="155" t="str">
        <f>'5월'!F47</f>
        <v>시너지온</v>
      </c>
      <c r="G878" s="157" t="str">
        <f>'5월'!G47</f>
        <v>MA</v>
      </c>
      <c r="H878" s="156" t="str">
        <f>'5월'!H47</f>
        <v>월간-IBM</v>
      </c>
      <c r="I878" s="69" t="str">
        <f>'5월'!I47</f>
        <v>명지성모병원 5월 정기점검 - 1/10회</v>
      </c>
      <c r="J878" s="122">
        <f>'5월'!J47</f>
        <v>1</v>
      </c>
      <c r="K878" s="15">
        <f>'5월'!K47</f>
        <v>291532</v>
      </c>
      <c r="L878" s="16">
        <f>'5월'!L47</f>
        <v>291532</v>
      </c>
      <c r="M878" s="16">
        <f>'5월'!M47</f>
        <v>29153.200000000001</v>
      </c>
      <c r="N878" s="15">
        <f>'5월'!N47</f>
        <v>320685.2</v>
      </c>
      <c r="O878" s="5" t="str">
        <f>'5월'!O47</f>
        <v>완료(6/30)</v>
      </c>
      <c r="P878" s="175" t="str">
        <f>'5월'!P47</f>
        <v>천범석</v>
      </c>
      <c r="Q878" s="5">
        <f>'5월'!Q47</f>
        <v>45797</v>
      </c>
      <c r="R878" s="213"/>
    </row>
    <row r="879" spans="1:19" ht="16.5" customHeight="1">
      <c r="A879" t="s">
        <v>64</v>
      </c>
      <c r="B879" s="10" t="str">
        <f>'5월'!B48</f>
        <v>H250513-01</v>
      </c>
      <c r="C879" s="12"/>
      <c r="D879" s="13">
        <f>'5월'!D48</f>
        <v>45790</v>
      </c>
      <c r="E879" s="155" t="str">
        <f>'5월'!E48</f>
        <v>이비웨이브</v>
      </c>
      <c r="F879" s="155" t="str">
        <f>'5월'!F48</f>
        <v>인코어</v>
      </c>
      <c r="G879" s="156" t="str">
        <f>'5월'!G48</f>
        <v>상품</v>
      </c>
      <c r="H879" s="156" t="str">
        <f>'5월'!H48</f>
        <v>872772-001</v>
      </c>
      <c r="I879" s="69" t="str">
        <f>'5월'!I48</f>
        <v xml:space="preserve"> 4TB 7.2K 6G SATA 3.5inch SC DS Hard Drive</v>
      </c>
      <c r="J879" s="122">
        <f>'5월'!J48</f>
        <v>1</v>
      </c>
      <c r="K879" s="15">
        <f>'5월'!K48</f>
        <v>180000</v>
      </c>
      <c r="L879" s="16">
        <f>'5월'!L48</f>
        <v>180000</v>
      </c>
      <c r="M879" s="16">
        <f>'5월'!M48</f>
        <v>18000</v>
      </c>
      <c r="N879" s="15">
        <f>'5월'!N48</f>
        <v>198000</v>
      </c>
      <c r="O879" s="5" t="str">
        <f>'5월'!O48</f>
        <v>완료(7/31)</v>
      </c>
      <c r="P879" s="9" t="str">
        <f>'5월'!P48</f>
        <v>천범석</v>
      </c>
      <c r="Q879" s="5">
        <f>'5월'!Q48</f>
        <v>45803</v>
      </c>
      <c r="R879" s="213"/>
    </row>
    <row r="880" spans="1:19" ht="16.5" customHeight="1">
      <c r="A880" t="s">
        <v>64</v>
      </c>
      <c r="B880" s="10" t="str">
        <f>'5월'!B49</f>
        <v>H250514-01</v>
      </c>
      <c r="C880" s="12"/>
      <c r="D880" s="13">
        <f>'5월'!D49</f>
        <v>45791</v>
      </c>
      <c r="E880" s="155" t="str">
        <f>'5월'!E49</f>
        <v>이비웨이브</v>
      </c>
      <c r="F880" s="155" t="str">
        <f>'5월'!F49</f>
        <v>인코어</v>
      </c>
      <c r="G880" s="156" t="str">
        <f>'5월'!G49</f>
        <v>상품</v>
      </c>
      <c r="H880" s="156" t="str">
        <f>'5월'!H49</f>
        <v>529FG</v>
      </c>
      <c r="I880" s="69" t="str">
        <f>'5월'!I49</f>
        <v>Dell 4-TB 6G 7.2K 3.5 SAS (ST4000NM0023) for R520</v>
      </c>
      <c r="J880" s="122">
        <f>'5월'!J49</f>
        <v>1</v>
      </c>
      <c r="K880" s="15">
        <f>'5월'!K49</f>
        <v>150000</v>
      </c>
      <c r="L880" s="16">
        <f>'5월'!L49</f>
        <v>150000</v>
      </c>
      <c r="M880" s="16">
        <f>'5월'!M49</f>
        <v>15000</v>
      </c>
      <c r="N880" s="15">
        <f>'5월'!N49</f>
        <v>165000</v>
      </c>
      <c r="O880" s="5" t="str">
        <f>'5월'!O49</f>
        <v>완료(7/31)</v>
      </c>
      <c r="P880" s="9" t="str">
        <f>'5월'!P49</f>
        <v>천범석</v>
      </c>
      <c r="Q880" s="5">
        <f>'5월'!Q49</f>
        <v>45803</v>
      </c>
      <c r="R880" s="213"/>
    </row>
    <row r="881" spans="1:21" ht="16.5" customHeight="1">
      <c r="A881" t="s">
        <v>64</v>
      </c>
      <c r="B881" s="10" t="str">
        <f>'5월'!B50</f>
        <v>H250514-02</v>
      </c>
      <c r="C881" s="12"/>
      <c r="D881" s="13">
        <f>'5월'!D50</f>
        <v>45791</v>
      </c>
      <c r="E881" s="155" t="str">
        <f>'5월'!E50</f>
        <v>이비웨이브</v>
      </c>
      <c r="F881" s="155" t="str">
        <f>'5월'!F50</f>
        <v>투데이게이트</v>
      </c>
      <c r="G881" s="156" t="str">
        <f>'5월'!G50</f>
        <v>MA</v>
      </c>
      <c r="H881" s="156" t="str">
        <f>'5월'!H50</f>
        <v xml:space="preserve">05H5080 </v>
      </c>
      <c r="I881" s="69" t="str">
        <f>'5월'!I50</f>
        <v>External USB 3.0 Cable</v>
      </c>
      <c r="J881" s="122">
        <f>'5월'!J50</f>
        <v>1</v>
      </c>
      <c r="K881" s="15">
        <f>'5월'!K50</f>
        <v>70000</v>
      </c>
      <c r="L881" s="16">
        <f>'5월'!L50</f>
        <v>70000</v>
      </c>
      <c r="M881" s="16">
        <f>'5월'!M50</f>
        <v>7000</v>
      </c>
      <c r="N881" s="15">
        <f>'5월'!N50</f>
        <v>77000</v>
      </c>
      <c r="O881" s="5" t="str">
        <f>'5월'!O50</f>
        <v>완료(7/31)</v>
      </c>
      <c r="P881" s="9" t="str">
        <f>'5월'!P50</f>
        <v>천범석</v>
      </c>
      <c r="Q881" s="5" t="str">
        <f>'5월'!Q50</f>
        <v>MA</v>
      </c>
      <c r="R881" s="213"/>
    </row>
    <row r="882" spans="1:21" ht="16.5" customHeight="1">
      <c r="A882" t="s">
        <v>64</v>
      </c>
      <c r="B882" s="10" t="str">
        <f>'5월'!B51</f>
        <v>Y250428-01</v>
      </c>
      <c r="C882" s="12"/>
      <c r="D882" s="13">
        <f>'5월'!D51</f>
        <v>45791</v>
      </c>
      <c r="E882" s="155" t="str">
        <f>'5월'!E51</f>
        <v>이룸에스앤앤</v>
      </c>
      <c r="F882" s="155" t="str">
        <f>'5월'!F51</f>
        <v>에스엠티정보기술</v>
      </c>
      <c r="G882" s="156" t="str">
        <f>'5월'!G51</f>
        <v>상품</v>
      </c>
      <c r="H882" s="156" t="str">
        <f>'5월'!H51</f>
        <v>서버</v>
      </c>
      <c r="I882" s="69" t="str">
        <f>'5월'!I51</f>
        <v>Lenovo SR630v2</v>
      </c>
      <c r="J882" s="122">
        <f>'5월'!J51</f>
        <v>1</v>
      </c>
      <c r="K882" s="15">
        <f>'5월'!K51</f>
        <v>3860000</v>
      </c>
      <c r="L882" s="16">
        <f>'5월'!L51</f>
        <v>3860000</v>
      </c>
      <c r="M882" s="16">
        <f>'5월'!M51</f>
        <v>386000</v>
      </c>
      <c r="N882" s="15">
        <f>'5월'!N51</f>
        <v>4246000</v>
      </c>
      <c r="O882" s="5" t="str">
        <f>'5월'!O51</f>
        <v>완료(7/31)</v>
      </c>
      <c r="P882" s="9" t="str">
        <f>'5월'!P51</f>
        <v>홍승민</v>
      </c>
      <c r="Q882" s="5">
        <f>'5월'!Q51</f>
        <v>45805</v>
      </c>
      <c r="R882" s="209"/>
    </row>
    <row r="883" spans="1:21" ht="16.5" customHeight="1">
      <c r="A883" t="s">
        <v>64</v>
      </c>
      <c r="B883" s="10" t="str">
        <f>'5월'!B52</f>
        <v>Y250424-02</v>
      </c>
      <c r="C883" s="12"/>
      <c r="D883" s="13">
        <f>'5월'!D52</f>
        <v>45791</v>
      </c>
      <c r="E883" s="155" t="str">
        <f>'5월'!E52</f>
        <v>이룸에스앤앤</v>
      </c>
      <c r="F883" s="155" t="str">
        <f>'5월'!F52</f>
        <v>다올이앤씨</v>
      </c>
      <c r="G883" s="156" t="str">
        <f>'5월'!G52</f>
        <v>상품</v>
      </c>
      <c r="H883" s="156" t="str">
        <f>'5월'!H52</f>
        <v xml:space="preserve">OS </v>
      </c>
      <c r="I883" s="69" t="str">
        <f>'5월'!I52</f>
        <v>Windows Server 2022 Standard ROK (16 core) - MultiLang</v>
      </c>
      <c r="J883" s="122">
        <f>'5월'!J52</f>
        <v>1</v>
      </c>
      <c r="K883" s="15">
        <f>'5월'!K52</f>
        <v>1100000</v>
      </c>
      <c r="L883" s="16">
        <f>'5월'!L52</f>
        <v>8600000</v>
      </c>
      <c r="M883" s="16">
        <f>'5월'!M52</f>
        <v>860000</v>
      </c>
      <c r="N883" s="15">
        <f>'5월'!N52</f>
        <v>9460000</v>
      </c>
      <c r="O883" s="5" t="str">
        <f>'5월'!O52</f>
        <v>완료(7/31)</v>
      </c>
      <c r="P883" s="9" t="str">
        <f>'5월'!P52</f>
        <v>홍승민</v>
      </c>
      <c r="Q883" s="5">
        <f>'5월'!Q52</f>
        <v>45832</v>
      </c>
      <c r="R883" s="213"/>
    </row>
    <row r="884" spans="1:21" ht="16.5" customHeight="1">
      <c r="A884" t="s">
        <v>64</v>
      </c>
      <c r="B884" s="147"/>
      <c r="C884" s="145"/>
      <c r="D884" s="65"/>
      <c r="E884" s="160" t="str">
        <f>'5월'!E53</f>
        <v>이룸에스앤앤</v>
      </c>
      <c r="F884" s="160" t="str">
        <f>'5월'!F53</f>
        <v>다올이앤씨</v>
      </c>
      <c r="G884" s="156" t="str">
        <f>'5월'!G53</f>
        <v>상품</v>
      </c>
      <c r="H884" s="156" t="str">
        <f>'5월'!H53</f>
        <v>CAL</v>
      </c>
      <c r="I884" s="69" t="str">
        <f>'5월'!I53</f>
        <v>Windows Server 2022 CAL (5 User)</v>
      </c>
      <c r="J884" s="122">
        <f>'5월'!J53</f>
        <v>30</v>
      </c>
      <c r="K884" s="15">
        <f>'5월'!K53</f>
        <v>250000</v>
      </c>
      <c r="L884" s="125"/>
      <c r="M884" s="125"/>
      <c r="N884" s="126"/>
      <c r="O884" s="99"/>
      <c r="P884" s="176"/>
      <c r="Q884" s="99"/>
      <c r="R884" s="213"/>
    </row>
    <row r="885" spans="1:21" ht="16.5" customHeight="1">
      <c r="A885" t="s">
        <v>64</v>
      </c>
      <c r="B885" s="143" t="str">
        <f>'5월'!B54</f>
        <v>SM-20017</v>
      </c>
      <c r="C885" s="144"/>
      <c r="D885" s="13">
        <f>'5월'!D54</f>
        <v>45792</v>
      </c>
      <c r="E885" s="161" t="str">
        <f>'5월'!E54</f>
        <v>에스엔에이</v>
      </c>
      <c r="F885" s="155" t="str">
        <f>'5월'!F54</f>
        <v>해안종합건축사사무소</v>
      </c>
      <c r="G885" s="156" t="str">
        <f>'5월'!G54</f>
        <v>MA</v>
      </c>
      <c r="H885" s="156" t="str">
        <f>'5월'!H54</f>
        <v>기술지원</v>
      </c>
      <c r="I885" s="69" t="str">
        <f>'5월'!I54</f>
        <v>HP 1630 유지보수 5월 - 12/12회</v>
      </c>
      <c r="J885" s="122">
        <f>'5월'!J54</f>
        <v>1</v>
      </c>
      <c r="K885" s="15">
        <f>'5월'!K54</f>
        <v>200000</v>
      </c>
      <c r="L885" s="15">
        <f>'5월'!L54</f>
        <v>200000</v>
      </c>
      <c r="M885" s="16">
        <f>'5월'!M54</f>
        <v>20000</v>
      </c>
      <c r="N885" s="15">
        <f>'5월'!N54</f>
        <v>220000</v>
      </c>
      <c r="O885" s="5" t="str">
        <f>'5월'!O54</f>
        <v>완료(7/31)</v>
      </c>
      <c r="P885" s="9" t="str">
        <f>'5월'!P54</f>
        <v>천범석</v>
      </c>
      <c r="Q885" s="5">
        <f>'5월'!Q54</f>
        <v>45778</v>
      </c>
      <c r="R885" s="210"/>
      <c r="S885" s="7"/>
      <c r="T885" s="7"/>
      <c r="U885" s="11"/>
    </row>
    <row r="886" spans="1:21" ht="16.5" customHeight="1">
      <c r="A886" t="s">
        <v>64</v>
      </c>
      <c r="B886" s="10" t="str">
        <f>'5월'!B55</f>
        <v>X</v>
      </c>
      <c r="C886" s="12"/>
      <c r="D886" s="13">
        <f>'5월'!D55</f>
        <v>45792</v>
      </c>
      <c r="E886" s="155" t="str">
        <f>'5월'!E55</f>
        <v>광명역자이타워관리단</v>
      </c>
      <c r="F886" s="155" t="str">
        <f>'5월'!F55</f>
        <v>광명자이 A1811호</v>
      </c>
      <c r="G886" s="156" t="str">
        <f>'5월'!G55</f>
        <v>일반경비</v>
      </c>
      <c r="H886" s="156" t="str">
        <f>'5월'!H55</f>
        <v>건물관리</v>
      </c>
      <c r="I886" s="69" t="str">
        <f>'5월'!I55</f>
        <v>4월(1~7일) 관리비 과세분</v>
      </c>
      <c r="J886" s="122">
        <f>'5월'!J55</f>
        <v>1</v>
      </c>
      <c r="K886" s="15">
        <f>'5월'!K55</f>
        <v>32190</v>
      </c>
      <c r="L886" s="16">
        <f>'5월'!L55</f>
        <v>32190</v>
      </c>
      <c r="M886" s="16">
        <f>'5월'!M55</f>
        <v>3220</v>
      </c>
      <c r="N886" s="15">
        <f>'5월'!N55</f>
        <v>35410</v>
      </c>
      <c r="O886" s="5" t="str">
        <f>'5월'!O55</f>
        <v>완료(5/30)</v>
      </c>
      <c r="P886" s="9" t="str">
        <f>'5월'!P55</f>
        <v>정지우</v>
      </c>
      <c r="Q886" s="5" t="str">
        <f>'5월'!Q55</f>
        <v>X</v>
      </c>
      <c r="R886" s="213"/>
    </row>
    <row r="887" spans="1:21" ht="16.5" customHeight="1">
      <c r="A887" t="s">
        <v>64</v>
      </c>
      <c r="B887" s="10" t="str">
        <f>'5월'!B56</f>
        <v>X</v>
      </c>
      <c r="C887" s="12"/>
      <c r="D887" s="13">
        <f>'5월'!D56</f>
        <v>45792</v>
      </c>
      <c r="E887" s="155" t="str">
        <f>'5월'!E56</f>
        <v>광명역자이타워관리단</v>
      </c>
      <c r="F887" s="155" t="str">
        <f>'5월'!F56</f>
        <v>광명자이 A1811호</v>
      </c>
      <c r="G887" s="156" t="str">
        <f>'5월'!G56</f>
        <v>일반경비</v>
      </c>
      <c r="H887" s="156" t="str">
        <f>'5월'!H56</f>
        <v>건물관리</v>
      </c>
      <c r="I887" s="69" t="str">
        <f>'5월'!I56</f>
        <v>4월(1~7일) 관리비 면세분</v>
      </c>
      <c r="J887" s="122">
        <f>'5월'!J56</f>
        <v>1</v>
      </c>
      <c r="K887" s="15">
        <f>'5월'!K56</f>
        <v>3330</v>
      </c>
      <c r="L887" s="16">
        <f>'5월'!L56</f>
        <v>3330</v>
      </c>
      <c r="M887" s="16" t="str">
        <f>'5월'!M56</f>
        <v>X</v>
      </c>
      <c r="N887" s="15">
        <f>'5월'!N56</f>
        <v>3330</v>
      </c>
      <c r="O887" s="5" t="str">
        <f>'5월'!O56</f>
        <v>완료(5/30)</v>
      </c>
      <c r="P887" s="9" t="str">
        <f>'5월'!P56</f>
        <v>정지우</v>
      </c>
      <c r="Q887" s="5" t="str">
        <f>'5월'!Q56</f>
        <v>X</v>
      </c>
      <c r="R887" s="209" t="str">
        <f>'5월'!R56</f>
        <v>비과세</v>
      </c>
    </row>
    <row r="888" spans="1:21" ht="16.5" customHeight="1">
      <c r="A888" t="s">
        <v>64</v>
      </c>
      <c r="B888" s="10" t="str">
        <f>'5월'!B57</f>
        <v>Y250516-01</v>
      </c>
      <c r="C888" s="12"/>
      <c r="D888" s="13">
        <f>'5월'!D57</f>
        <v>45792</v>
      </c>
      <c r="E888" s="155" t="str">
        <f>'5월'!E57</f>
        <v>위퍼스트</v>
      </c>
      <c r="F888" s="155" t="str">
        <f>'5월'!F57</f>
        <v>로보츠</v>
      </c>
      <c r="G888" s="156" t="str">
        <f>'5월'!G57</f>
        <v>상품</v>
      </c>
      <c r="H888" s="156" t="str">
        <f>'5월'!H57</f>
        <v>4ZC7A08699</v>
      </c>
      <c r="I888" s="69" t="str">
        <f>'5월'!I57</f>
        <v>ThinkSystem 16GB TruDDR4 2666MHz(2Rx8, 1.2V) UDIMM</v>
      </c>
      <c r="J888" s="122">
        <f>'5월'!J57</f>
        <v>8</v>
      </c>
      <c r="K888" s="15">
        <f>'5월'!K57</f>
        <v>120000</v>
      </c>
      <c r="L888" s="16">
        <f>'5월'!L57</f>
        <v>960000</v>
      </c>
      <c r="M888" s="16">
        <f>'5월'!M57</f>
        <v>96000</v>
      </c>
      <c r="N888" s="15">
        <f>'5월'!N57</f>
        <v>1056000</v>
      </c>
      <c r="O888" s="5" t="str">
        <f>'5월'!O57</f>
        <v>완료(6/30)</v>
      </c>
      <c r="P888" s="9" t="str">
        <f>'5월'!P57</f>
        <v>홍승민</v>
      </c>
      <c r="Q888" s="5">
        <f>'5월'!Q57</f>
        <v>45805</v>
      </c>
      <c r="R888" s="213"/>
    </row>
    <row r="889" spans="1:21" ht="16.5" customHeight="1">
      <c r="A889" t="s">
        <v>64</v>
      </c>
      <c r="B889" s="10" t="str">
        <f>'5월'!B58</f>
        <v>S</v>
      </c>
      <c r="C889" s="12"/>
      <c r="D889" s="13">
        <f>'5월'!D58</f>
        <v>45793</v>
      </c>
      <c r="E889" s="155" t="str">
        <f>'5월'!E58</f>
        <v>로보츠</v>
      </c>
      <c r="F889" s="155" t="str">
        <f>'5월'!F58</f>
        <v>와이케이케이한국</v>
      </c>
      <c r="G889" s="156" t="str">
        <f>'5월'!G58</f>
        <v>상품</v>
      </c>
      <c r="H889" s="156" t="str">
        <f>'5월'!H58</f>
        <v>LG피씨</v>
      </c>
      <c r="I889" s="69" t="str">
        <f>'5월'!I58</f>
        <v xml:space="preserve">[LG전자] 슬림타워 데스크탑 Z80LV.AP47B3E 외 </v>
      </c>
      <c r="J889" s="122">
        <f>'5월'!J58</f>
        <v>1</v>
      </c>
      <c r="K889" s="15">
        <f>'5월'!K58</f>
        <v>3055000</v>
      </c>
      <c r="L889" s="16">
        <f>'5월'!L58</f>
        <v>3055000</v>
      </c>
      <c r="M889" s="16">
        <f>'5월'!M58</f>
        <v>305500</v>
      </c>
      <c r="N889" s="15">
        <f>'5월'!N58</f>
        <v>3360500</v>
      </c>
      <c r="O889" s="5" t="str">
        <f>'5월'!O58</f>
        <v>완료(6/30)</v>
      </c>
      <c r="P889" s="9" t="str">
        <f>'5월'!P58</f>
        <v>이예지</v>
      </c>
      <c r="Q889" s="5">
        <f>'5월'!Q58</f>
        <v>45793</v>
      </c>
      <c r="R889" s="213"/>
    </row>
    <row r="890" spans="1:21" ht="16.5" customHeight="1">
      <c r="A890" t="s">
        <v>64</v>
      </c>
      <c r="B890" s="10" t="str">
        <f>'5월'!B59</f>
        <v>Y250516-04</v>
      </c>
      <c r="C890" s="12"/>
      <c r="D890" s="13">
        <f>'5월'!D59</f>
        <v>45793</v>
      </c>
      <c r="E890" s="155" t="str">
        <f>'5월'!E59</f>
        <v>컴퓨존</v>
      </c>
      <c r="F890" s="155" t="str">
        <f>'5월'!F59</f>
        <v>라온피플</v>
      </c>
      <c r="G890" s="156" t="str">
        <f>'5월'!G59</f>
        <v>상품</v>
      </c>
      <c r="H890" s="156" t="str">
        <f>'5월'!H59</f>
        <v>조립PC</v>
      </c>
      <c r="I890" s="69" t="str">
        <f>'5월'!I59</f>
        <v>조립PC</v>
      </c>
      <c r="J890" s="122">
        <f>'5월'!J59</f>
        <v>3</v>
      </c>
      <c r="K890" s="15">
        <f>'5월'!K59</f>
        <v>1431045.3333333333</v>
      </c>
      <c r="L890" s="16">
        <f>'5월'!L59</f>
        <v>4293136</v>
      </c>
      <c r="M890" s="16">
        <f>'5월'!M59</f>
        <v>429314</v>
      </c>
      <c r="N890" s="15">
        <f>'5월'!N59</f>
        <v>4722450</v>
      </c>
      <c r="O890" s="5" t="str">
        <f>'5월'!O59</f>
        <v>완료(5/16)</v>
      </c>
      <c r="P890" s="9" t="str">
        <f>'5월'!P59</f>
        <v>홍승민</v>
      </c>
      <c r="Q890" s="5">
        <f>'5월'!Q59</f>
        <v>45805</v>
      </c>
      <c r="R890" s="213"/>
    </row>
    <row r="891" spans="1:21" ht="16.5" customHeight="1">
      <c r="A891" t="s">
        <v>64</v>
      </c>
      <c r="B891" s="143" t="str">
        <f>'5월'!B60</f>
        <v>SM-23023</v>
      </c>
      <c r="C891" s="144"/>
      <c r="D891" s="13">
        <f>'5월'!D60</f>
        <v>45797</v>
      </c>
      <c r="E891" s="155" t="str">
        <f>'5월'!E60</f>
        <v>이올테크</v>
      </c>
      <c r="F891" s="155" t="str">
        <f>'5월'!F60</f>
        <v>중앙유통단지관리운영회</v>
      </c>
      <c r="G891" s="157" t="str">
        <f>'5월'!G60</f>
        <v>MA</v>
      </c>
      <c r="H891" s="157" t="str">
        <f>'5월'!H60</f>
        <v>월간</v>
      </c>
      <c r="I891" s="159" t="str">
        <f>'5월'!I60</f>
        <v>5월 유지정비료 - 20/36회</v>
      </c>
      <c r="J891" s="127">
        <f>'5월'!J60</f>
        <v>1</v>
      </c>
      <c r="K891" s="15">
        <f>'5월'!K60</f>
        <v>370000</v>
      </c>
      <c r="L891" s="15">
        <f>'5월'!L60</f>
        <v>370000</v>
      </c>
      <c r="M891" s="123">
        <f>'5월'!M60</f>
        <v>37000</v>
      </c>
      <c r="N891" s="15">
        <f>'5월'!N60</f>
        <v>407000</v>
      </c>
      <c r="O891" s="5" t="str">
        <f>'5월'!O60</f>
        <v>완료(5/30)</v>
      </c>
      <c r="P891" s="177" t="str">
        <f>'5월'!P60</f>
        <v>천범석</v>
      </c>
      <c r="Q891" s="5">
        <f>'5월'!Q60</f>
        <v>45797</v>
      </c>
      <c r="R891" s="211"/>
      <c r="S891" s="7"/>
      <c r="T891" s="11"/>
    </row>
    <row r="892" spans="1:21" ht="16.5" customHeight="1">
      <c r="A892" t="s">
        <v>64</v>
      </c>
      <c r="B892" s="10" t="str">
        <f>'5월'!B61</f>
        <v>D250521-01</v>
      </c>
      <c r="C892" s="12"/>
      <c r="D892" s="13">
        <f>'5월'!D61</f>
        <v>45798</v>
      </c>
      <c r="E892" s="155" t="str">
        <f>'5월'!E61</f>
        <v>조이젠</v>
      </c>
      <c r="F892" s="155" t="str">
        <f>'5월'!F61</f>
        <v>고영테크놀러지</v>
      </c>
      <c r="G892" s="156" t="str">
        <f>'5월'!G61</f>
        <v>상품</v>
      </c>
      <c r="H892" s="156" t="str">
        <f>'5월'!H61</f>
        <v>SSD</v>
      </c>
      <c r="I892" s="69" t="str">
        <f>'5월'!I61</f>
        <v>[마이크론] Crucial T500 M.2 NVMe 2280</v>
      </c>
      <c r="J892" s="122">
        <f>'5월'!J61</f>
        <v>1</v>
      </c>
      <c r="K892" s="15">
        <f>'5월'!K61</f>
        <v>405636</v>
      </c>
      <c r="L892" s="16">
        <f>'5월'!L61</f>
        <v>405636</v>
      </c>
      <c r="M892" s="16">
        <f>'5월'!M61</f>
        <v>40564</v>
      </c>
      <c r="N892" s="15">
        <f>'5월'!N61</f>
        <v>446200</v>
      </c>
      <c r="O892" s="5" t="str">
        <f>'5월'!O61</f>
        <v>완료(5/22)</v>
      </c>
      <c r="P892" s="9" t="str">
        <f>'5월'!P61</f>
        <v>이지훈</v>
      </c>
      <c r="Q892" s="5">
        <f>'5월'!Q61</f>
        <v>45813</v>
      </c>
      <c r="R892" s="213"/>
    </row>
    <row r="893" spans="1:21" ht="16.5" customHeight="1">
      <c r="A893" t="s">
        <v>64</v>
      </c>
      <c r="B893" s="10" t="str">
        <f>'5월'!B62</f>
        <v>H250521-01</v>
      </c>
      <c r="C893" s="12"/>
      <c r="D893" s="13">
        <f>'5월'!D62</f>
        <v>45798</v>
      </c>
      <c r="E893" s="155" t="str">
        <f>'5월'!E62</f>
        <v>이비웨이브</v>
      </c>
      <c r="F893" s="155" t="str">
        <f>'5월'!F62</f>
        <v>티에스씨인포</v>
      </c>
      <c r="G893" s="156" t="str">
        <f>'5월'!G62</f>
        <v>상품</v>
      </c>
      <c r="H893" s="156" t="str">
        <f>'5월'!H62</f>
        <v>00Y5765</v>
      </c>
      <c r="I893" s="69" t="str">
        <f>'5월'!I62</f>
        <v>1.2TB 10K 6G SAS 2.5inch Disk Dr</v>
      </c>
      <c r="J893" s="122">
        <f>'5월'!J62</f>
        <v>1</v>
      </c>
      <c r="K893" s="15">
        <f>'5월'!K62</f>
        <v>170000</v>
      </c>
      <c r="L893" s="16">
        <f>'5월'!L62</f>
        <v>170000</v>
      </c>
      <c r="M893" s="16">
        <f>'5월'!M62</f>
        <v>17000</v>
      </c>
      <c r="N893" s="15">
        <f>'5월'!N62</f>
        <v>187000</v>
      </c>
      <c r="O893" s="5" t="str">
        <f>'5월'!O62</f>
        <v>완료(7/31)</v>
      </c>
      <c r="P893" s="9" t="str">
        <f>'5월'!P62</f>
        <v>천범석</v>
      </c>
      <c r="Q893" s="5">
        <f>'5월'!Q62</f>
        <v>45807</v>
      </c>
      <c r="R893" s="213"/>
    </row>
    <row r="894" spans="1:21" ht="16.5" customHeight="1">
      <c r="A894" t="s">
        <v>64</v>
      </c>
      <c r="B894" s="10" t="str">
        <f>'5월'!B63</f>
        <v>Y250522-01</v>
      </c>
      <c r="C894" s="12"/>
      <c r="D894" s="13">
        <f>'5월'!D63</f>
        <v>45799</v>
      </c>
      <c r="E894" s="155" t="str">
        <f>'5월'!E63</f>
        <v>이비웨이브</v>
      </c>
      <c r="F894" s="155" t="str">
        <f>'5월'!F63</f>
        <v>제트컨버터클라우드</v>
      </c>
      <c r="G894" s="156" t="str">
        <f>'5월'!G63</f>
        <v>상품</v>
      </c>
      <c r="H894" s="156" t="str">
        <f>'5월'!H63</f>
        <v>QW972A(USED)</v>
      </c>
      <c r="I894" s="69" t="str">
        <f>'5월'!I63</f>
        <v>HPE SN1000Q 16Gb 2-port PCIe Fibre Channel Host Bus Adapter</v>
      </c>
      <c r="J894" s="122">
        <f>'5월'!J63</f>
        <v>3</v>
      </c>
      <c r="K894" s="15">
        <f>'5월'!K63</f>
        <v>180000</v>
      </c>
      <c r="L894" s="16">
        <f>'5월'!L63</f>
        <v>540000</v>
      </c>
      <c r="M894" s="16">
        <f>'5월'!M63</f>
        <v>54000</v>
      </c>
      <c r="N894" s="15">
        <f>'5월'!N63</f>
        <v>594000</v>
      </c>
      <c r="O894" s="5" t="str">
        <f>'5월'!O63</f>
        <v>완료(7/31)</v>
      </c>
      <c r="P894" s="9" t="str">
        <f>'5월'!P63</f>
        <v>홍승민</v>
      </c>
      <c r="Q894" s="5">
        <f>'5월'!Q63</f>
        <v>45805</v>
      </c>
      <c r="R894" s="213"/>
    </row>
    <row r="895" spans="1:21" ht="16.5" customHeight="1">
      <c r="A895" t="s">
        <v>64</v>
      </c>
      <c r="B895" s="10" t="str">
        <f>'5월'!B64</f>
        <v>D250521-01</v>
      </c>
      <c r="C895" s="12"/>
      <c r="D895" s="13">
        <f>'5월'!D64</f>
        <v>45799</v>
      </c>
      <c r="E895" s="155" t="str">
        <f>'5월'!E64</f>
        <v>컴퓨존</v>
      </c>
      <c r="F895" s="155" t="str">
        <f>'5월'!F64</f>
        <v>고영테크놀러지</v>
      </c>
      <c r="G895" s="156" t="str">
        <f>'5월'!G64</f>
        <v>상품</v>
      </c>
      <c r="H895" s="156" t="str">
        <f>'5월'!H64</f>
        <v>조립PC</v>
      </c>
      <c r="I895" s="69" t="str">
        <f>'5월'!I64</f>
        <v>조립PC</v>
      </c>
      <c r="J895" s="122">
        <f>'5월'!J64</f>
        <v>1</v>
      </c>
      <c r="K895" s="15">
        <f>'5월'!K64</f>
        <v>2543655</v>
      </c>
      <c r="L895" s="16">
        <f>'5월'!L64</f>
        <v>2543655</v>
      </c>
      <c r="M895" s="16">
        <f>'5월'!M64</f>
        <v>254365</v>
      </c>
      <c r="N895" s="15">
        <f>'5월'!N64</f>
        <v>2798020</v>
      </c>
      <c r="O895" s="5" t="str">
        <f>'5월'!O64</f>
        <v>완료(5/22)</v>
      </c>
      <c r="P895" s="9" t="str">
        <f>'5월'!P64</f>
        <v>이지훈</v>
      </c>
      <c r="Q895" s="5">
        <f>'5월'!Q64</f>
        <v>45813</v>
      </c>
      <c r="R895" s="213"/>
    </row>
    <row r="896" spans="1:21" ht="16.5" customHeight="1">
      <c r="A896" t="s">
        <v>64</v>
      </c>
      <c r="B896" s="10" t="str">
        <f>'5월'!B65</f>
        <v>Y250522-01</v>
      </c>
      <c r="C896" s="12"/>
      <c r="D896" s="13">
        <f>'5월'!D65</f>
        <v>45799</v>
      </c>
      <c r="E896" s="155" t="str">
        <f>'5월'!E65</f>
        <v>컴퓨존</v>
      </c>
      <c r="F896" s="155" t="str">
        <f>'5월'!F65</f>
        <v>제트컨버터</v>
      </c>
      <c r="G896" s="156" t="str">
        <f>'5월'!G65</f>
        <v>상품</v>
      </c>
      <c r="H896" s="156" t="str">
        <f>'5월'!H65</f>
        <v>케이블</v>
      </c>
      <c r="I896" s="69" t="str">
        <f>'5월'!I65</f>
        <v>랜스타 LC-LC OM3 멀티 광점퍼코드 5M</v>
      </c>
      <c r="J896" s="122">
        <f>'5월'!J65</f>
        <v>6</v>
      </c>
      <c r="K896" s="15">
        <f>'5월'!K65</f>
        <v>7045.454545454545</v>
      </c>
      <c r="L896" s="16">
        <f>'5월'!L65</f>
        <v>42273</v>
      </c>
      <c r="M896" s="16">
        <f>'5월'!M65</f>
        <v>4227</v>
      </c>
      <c r="N896" s="15">
        <f>'5월'!N65</f>
        <v>46500</v>
      </c>
      <c r="O896" s="5" t="str">
        <f>'5월'!O65</f>
        <v>완료(5/22)</v>
      </c>
      <c r="P896" s="9" t="str">
        <f>'5월'!P65</f>
        <v>홍승민</v>
      </c>
      <c r="Q896" s="5">
        <f>'5월'!Q65</f>
        <v>45805</v>
      </c>
      <c r="R896" s="213"/>
    </row>
    <row r="897" spans="1:20" ht="16.5" customHeight="1">
      <c r="A897" t="s">
        <v>64</v>
      </c>
      <c r="B897" s="10" t="str">
        <f>'5월'!B66</f>
        <v>S250526</v>
      </c>
      <c r="C897" s="12"/>
      <c r="D897" s="13">
        <f>'5월'!D66</f>
        <v>45800</v>
      </c>
      <c r="E897" s="155" t="str">
        <f>'5월'!E66</f>
        <v>테이아인포</v>
      </c>
      <c r="F897" s="155" t="str">
        <f>'5월'!F66</f>
        <v>다솜테크</v>
      </c>
      <c r="G897" s="156" t="str">
        <f>'5월'!G66</f>
        <v>상품</v>
      </c>
      <c r="H897" s="156" t="str">
        <f>'5월'!H66</f>
        <v>기술지원</v>
      </c>
      <c r="I897" s="69" t="str">
        <f>'5월'!I66</f>
        <v>스토리지 기술지원료</v>
      </c>
      <c r="J897" s="122">
        <f>'5월'!J66</f>
        <v>1</v>
      </c>
      <c r="K897" s="15">
        <f>'5월'!K66</f>
        <v>400000</v>
      </c>
      <c r="L897" s="16">
        <f>'5월'!L66</f>
        <v>400000</v>
      </c>
      <c r="M897" s="16">
        <f>'5월'!M66</f>
        <v>40000</v>
      </c>
      <c r="N897" s="15">
        <f>'5월'!N66</f>
        <v>440000</v>
      </c>
      <c r="O897" s="5" t="str">
        <f>'5월'!O66</f>
        <v>완료(8/5)</v>
      </c>
      <c r="P897" s="9" t="str">
        <f>'5월'!P66</f>
        <v>천범석</v>
      </c>
      <c r="Q897" s="5">
        <f>'5월'!Q66</f>
        <v>45807</v>
      </c>
      <c r="R897" s="213"/>
    </row>
    <row r="898" spans="1:20" ht="16.5" customHeight="1">
      <c r="A898" t="s">
        <v>64</v>
      </c>
      <c r="B898" s="10" t="str">
        <f>'5월'!B67</f>
        <v>SM-24007</v>
      </c>
      <c r="C898" s="12"/>
      <c r="D898" s="13">
        <f>'5월'!D67</f>
        <v>45802</v>
      </c>
      <c r="E898" s="155" t="str">
        <f>'5월'!E67</f>
        <v>다원씨앤에스</v>
      </c>
      <c r="F898" s="155" t="str">
        <f>'5월'!F67</f>
        <v>연세의료원</v>
      </c>
      <c r="G898" s="157" t="str">
        <f>'5월'!G67</f>
        <v>MA</v>
      </c>
      <c r="H898" s="156" t="str">
        <f>'5월'!H67</f>
        <v>월간</v>
      </c>
      <c r="I898" s="69" t="str">
        <f>'5월'!I67</f>
        <v>5월분 SIOS Lifekeeper 유지보수료 - 4/12회</v>
      </c>
      <c r="J898" s="122">
        <f>'5월'!J67</f>
        <v>1</v>
      </c>
      <c r="K898" s="15">
        <f>'5월'!K67</f>
        <v>200000</v>
      </c>
      <c r="L898" s="16">
        <f>'5월'!L67</f>
        <v>200000</v>
      </c>
      <c r="M898" s="16">
        <f>'5월'!M67</f>
        <v>20000</v>
      </c>
      <c r="N898" s="15">
        <f>'5월'!N67</f>
        <v>220000</v>
      </c>
      <c r="O898" s="5" t="str">
        <f>'5월'!O67</f>
        <v>완료(6/30)</v>
      </c>
      <c r="P898" s="9" t="str">
        <f>'5월'!P67</f>
        <v>이예지</v>
      </c>
      <c r="Q898" s="5">
        <f>'5월'!Q67</f>
        <v>45797</v>
      </c>
      <c r="R898" s="209"/>
      <c r="T898" s="11"/>
    </row>
    <row r="899" spans="1:20" ht="16.5" customHeight="1">
      <c r="A899" t="s">
        <v>64</v>
      </c>
      <c r="B899" s="10" t="str">
        <f>'5월'!B68</f>
        <v>X</v>
      </c>
      <c r="C899" s="12"/>
      <c r="D899" s="13">
        <f>'5월'!D68</f>
        <v>45802</v>
      </c>
      <c r="E899" s="155" t="str">
        <f>'5월'!E68</f>
        <v>롯데렌탈</v>
      </c>
      <c r="F899" s="155"/>
      <c r="G899" s="156" t="str">
        <f>'5월'!G68</f>
        <v>일반경비</v>
      </c>
      <c r="H899" s="157" t="str">
        <f>'5월'!H68</f>
        <v>차량유지비</v>
      </c>
      <c r="I899" s="69" t="str">
        <f>'5월'!I68</f>
        <v>5월 차량렌트(그랜저 8552)-38/49회</v>
      </c>
      <c r="J899" s="122">
        <f>'5월'!J68</f>
        <v>1</v>
      </c>
      <c r="K899" s="15">
        <f>'5월'!K68</f>
        <v>342614</v>
      </c>
      <c r="L899" s="16">
        <f>'5월'!L68</f>
        <v>342614</v>
      </c>
      <c r="M899" s="187">
        <f>'5월'!M68</f>
        <v>34261</v>
      </c>
      <c r="N899" s="15">
        <f>'5월'!N68</f>
        <v>376875</v>
      </c>
      <c r="O899" s="5" t="str">
        <f>'5월'!O68</f>
        <v>자동이체(5/25)</v>
      </c>
      <c r="P899" s="177" t="str">
        <f>'5월'!P68</f>
        <v>정지우</v>
      </c>
      <c r="Q899" s="5" t="str">
        <f>'5월'!Q68</f>
        <v>X</v>
      </c>
      <c r="R899" s="209" t="str">
        <f>'5월'!R68</f>
        <v>부가세불공</v>
      </c>
      <c r="S899" s="101"/>
      <c r="T899" s="11"/>
    </row>
    <row r="900" spans="1:20" ht="16.5" customHeight="1">
      <c r="A900" t="s">
        <v>64</v>
      </c>
      <c r="B900" s="10" t="str">
        <f>'5월'!B69</f>
        <v>X</v>
      </c>
      <c r="C900" s="12"/>
      <c r="D900" s="13">
        <f>'5월'!D69</f>
        <v>45802</v>
      </c>
      <c r="E900" s="155" t="str">
        <f>'5월'!E69</f>
        <v>롯데렌탈</v>
      </c>
      <c r="F900" s="155"/>
      <c r="G900" s="156" t="str">
        <f>'5월'!G69</f>
        <v>일반경비</v>
      </c>
      <c r="H900" s="157" t="str">
        <f>'5월'!H69</f>
        <v>차량유지비</v>
      </c>
      <c r="I900" s="69" t="str">
        <f>'5월'!I69</f>
        <v>5월 선급금(그랜저 8552)-38/49회</v>
      </c>
      <c r="J900" s="122">
        <f>'5월'!J69</f>
        <v>1</v>
      </c>
      <c r="K900" s="15">
        <f>'5월'!K69</f>
        <v>234659</v>
      </c>
      <c r="L900" s="16">
        <f>'5월'!L69</f>
        <v>234659</v>
      </c>
      <c r="M900" s="187">
        <f>'5월'!M69</f>
        <v>23466</v>
      </c>
      <c r="N900" s="15">
        <f>'5월'!N69</f>
        <v>258125</v>
      </c>
      <c r="O900" s="5" t="str">
        <f>'5월'!O69</f>
        <v>선납(22/4/5)</v>
      </c>
      <c r="P900" s="177" t="str">
        <f>'5월'!P69</f>
        <v>정지우</v>
      </c>
      <c r="Q900" s="5" t="str">
        <f>'5월'!Q69</f>
        <v>X</v>
      </c>
      <c r="R900" s="209" t="str">
        <f>'5월'!R69</f>
        <v>부가세불공</v>
      </c>
      <c r="S900" s="101"/>
      <c r="T900" s="11"/>
    </row>
    <row r="901" spans="1:20" ht="16.5" customHeight="1">
      <c r="A901" t="s">
        <v>64</v>
      </c>
      <c r="B901" s="10" t="str">
        <f>'5월'!B70</f>
        <v>X</v>
      </c>
      <c r="C901" s="12"/>
      <c r="D901" s="13">
        <f>'5월'!D70</f>
        <v>45802</v>
      </c>
      <c r="E901" s="155" t="str">
        <f>'5월'!E70</f>
        <v>롯데렌탈</v>
      </c>
      <c r="F901" s="155"/>
      <c r="G901" s="156" t="str">
        <f>'5월'!G70</f>
        <v>일반경비</v>
      </c>
      <c r="H901" s="157" t="str">
        <f>'5월'!H70</f>
        <v>차량유지비</v>
      </c>
      <c r="I901" s="69" t="str">
        <f>'5월'!I70</f>
        <v>5월 차량렌트(G80 3061)-38/49회</v>
      </c>
      <c r="J901" s="122">
        <f>'5월'!J70</f>
        <v>1</v>
      </c>
      <c r="K901" s="15">
        <f>'5월'!K70</f>
        <v>488069</v>
      </c>
      <c r="L901" s="16">
        <f>'5월'!L70</f>
        <v>488069</v>
      </c>
      <c r="M901" s="187">
        <f>'5월'!M70</f>
        <v>48806</v>
      </c>
      <c r="N901" s="15">
        <f>'5월'!N70</f>
        <v>536875</v>
      </c>
      <c r="O901" s="5" t="str">
        <f>'5월'!O70</f>
        <v>자동이체(5/25)</v>
      </c>
      <c r="P901" s="177" t="str">
        <f>'5월'!P70</f>
        <v>정지우</v>
      </c>
      <c r="Q901" s="5" t="str">
        <f>'5월'!Q70</f>
        <v>X</v>
      </c>
      <c r="R901" s="209" t="str">
        <f>'5월'!R70</f>
        <v>부가세불공</v>
      </c>
      <c r="S901" s="101"/>
      <c r="T901" s="11"/>
    </row>
    <row r="902" spans="1:20" ht="16.5" customHeight="1">
      <c r="A902" t="s">
        <v>64</v>
      </c>
      <c r="B902" s="10" t="str">
        <f>'5월'!B71</f>
        <v>X</v>
      </c>
      <c r="C902" s="12"/>
      <c r="D902" s="13">
        <f>'5월'!D71</f>
        <v>45802</v>
      </c>
      <c r="E902" s="155" t="str">
        <f>'5월'!E71</f>
        <v>롯데렌탈</v>
      </c>
      <c r="F902" s="155"/>
      <c r="G902" s="156" t="str">
        <f>'5월'!G71</f>
        <v>일반경비</v>
      </c>
      <c r="H902" s="157" t="str">
        <f>'5월'!H71</f>
        <v>차량유지비</v>
      </c>
      <c r="I902" s="69" t="str">
        <f>'5월'!I71</f>
        <v>5월 선급금(G80 3061)-38/49회</v>
      </c>
      <c r="J902" s="122">
        <f>'5월'!J71</f>
        <v>1</v>
      </c>
      <c r="K902" s="15">
        <f>'5월'!K71</f>
        <v>307386</v>
      </c>
      <c r="L902" s="16">
        <f>'5월'!L71</f>
        <v>307386</v>
      </c>
      <c r="M902" s="187">
        <f>'5월'!M71</f>
        <v>30739</v>
      </c>
      <c r="N902" s="15">
        <f>'5월'!N71</f>
        <v>338125</v>
      </c>
      <c r="O902" s="5" t="str">
        <f>'5월'!O71</f>
        <v>선납(22/4/5)</v>
      </c>
      <c r="P902" s="177" t="str">
        <f>'5월'!P71</f>
        <v>정지우</v>
      </c>
      <c r="Q902" s="5" t="str">
        <f>'5월'!Q71</f>
        <v>X</v>
      </c>
      <c r="R902" s="209" t="str">
        <f>'5월'!R71</f>
        <v>부가세불공</v>
      </c>
      <c r="S902" s="101"/>
      <c r="T902" s="11"/>
    </row>
    <row r="903" spans="1:20" ht="16.5" customHeight="1">
      <c r="A903" t="s">
        <v>64</v>
      </c>
      <c r="B903" s="10" t="str">
        <f>'5월'!B72</f>
        <v>X</v>
      </c>
      <c r="C903" s="12"/>
      <c r="D903" s="13">
        <f>'5월'!D72</f>
        <v>45802</v>
      </c>
      <c r="E903" s="155" t="str">
        <f>'5월'!E72</f>
        <v>케이카</v>
      </c>
      <c r="F903" s="155"/>
      <c r="G903" s="156" t="str">
        <f>'5월'!G72</f>
        <v>일반경비</v>
      </c>
      <c r="H903" s="157" t="str">
        <f>'5월'!H72</f>
        <v>차량유지비</v>
      </c>
      <c r="I903" s="69" t="str">
        <f>'5월'!I72</f>
        <v>5월 차량렌트(xm3 4429)-29/37회</v>
      </c>
      <c r="J903" s="122">
        <f>'5월'!J72</f>
        <v>1</v>
      </c>
      <c r="K903" s="15">
        <f>'5월'!K72</f>
        <v>337272.72727272724</v>
      </c>
      <c r="L903" s="16">
        <f>'5월'!L72</f>
        <v>437273</v>
      </c>
      <c r="M903" s="187">
        <f>'5월'!M72</f>
        <v>43727</v>
      </c>
      <c r="N903" s="15">
        <f>'5월'!N72</f>
        <v>481000</v>
      </c>
      <c r="O903" s="5" t="str">
        <f>'5월'!O72</f>
        <v>자동이체(5/25)</v>
      </c>
      <c r="P903" s="177" t="str">
        <f>'5월'!P72</f>
        <v>정지우</v>
      </c>
      <c r="Q903" s="5" t="str">
        <f>'5월'!Q72</f>
        <v>X</v>
      </c>
      <c r="R903" s="209" t="str">
        <f>'5월'!R72</f>
        <v>부가세불공</v>
      </c>
    </row>
    <row r="904" spans="1:20" ht="16.5" customHeight="1">
      <c r="A904" t="s">
        <v>64</v>
      </c>
      <c r="B904" s="10" t="str">
        <f>'5월'!B73</f>
        <v>X</v>
      </c>
      <c r="C904" s="145"/>
      <c r="D904" s="65"/>
      <c r="E904" s="160" t="str">
        <f>'5월'!E73</f>
        <v>케이카</v>
      </c>
      <c r="F904" s="160"/>
      <c r="G904" s="156" t="str">
        <f>'5월'!G73</f>
        <v>일반경비</v>
      </c>
      <c r="H904" s="157" t="str">
        <f>'5월'!H73</f>
        <v>차량유지비</v>
      </c>
      <c r="I904" s="69" t="str">
        <f>'5월'!I73</f>
        <v>5월 선급금(xm3 4429)-29/37회</v>
      </c>
      <c r="J904" s="122">
        <f>'5월'!J73</f>
        <v>1</v>
      </c>
      <c r="K904" s="15">
        <f>'5월'!K73</f>
        <v>100000</v>
      </c>
      <c r="L904" s="125"/>
      <c r="M904" s="125"/>
      <c r="N904" s="126"/>
      <c r="O904" s="99" t="str">
        <f>'5월'!O73</f>
        <v>선납(22/12/29)</v>
      </c>
      <c r="P904" s="9" t="str">
        <f>'5월'!P73</f>
        <v>정지우</v>
      </c>
      <c r="Q904" s="5" t="str">
        <f>'5월'!Q73</f>
        <v>X</v>
      </c>
      <c r="R904" s="209"/>
    </row>
    <row r="905" spans="1:20">
      <c r="A905" t="s">
        <v>64</v>
      </c>
      <c r="B905" s="10" t="str">
        <f>'5월'!B74</f>
        <v>X</v>
      </c>
      <c r="C905" s="12"/>
      <c r="D905" s="13">
        <f>'5월'!D74</f>
        <v>45802</v>
      </c>
      <c r="E905" s="155" t="str">
        <f>'5월'!E74</f>
        <v>더좋은샘물</v>
      </c>
      <c r="F905" s="155"/>
      <c r="G905" s="156" t="str">
        <f>'5월'!G74</f>
        <v>일반경비</v>
      </c>
      <c r="H905" s="156" t="str">
        <f>'5월'!H74</f>
        <v>복리후생비</v>
      </c>
      <c r="I905" s="69" t="str">
        <f>'5월'!I74</f>
        <v>생수  4통</v>
      </c>
      <c r="J905" s="122">
        <f>'5월'!J74</f>
        <v>4</v>
      </c>
      <c r="K905" s="15">
        <f>'5월'!K74</f>
        <v>6000</v>
      </c>
      <c r="L905" s="16">
        <f>'5월'!L74</f>
        <v>24000</v>
      </c>
      <c r="M905" s="15">
        <f>'5월'!M74</f>
        <v>2400</v>
      </c>
      <c r="N905" s="15">
        <f>'5월'!N74</f>
        <v>26400</v>
      </c>
      <c r="O905" s="5" t="str">
        <f>'5월'!O74</f>
        <v>완료(6/10)</v>
      </c>
      <c r="P905" s="9" t="str">
        <f>'5월'!P74</f>
        <v>정지우</v>
      </c>
      <c r="Q905" s="5" t="str">
        <f>'5월'!Q74</f>
        <v>X</v>
      </c>
      <c r="R905" s="209"/>
      <c r="T905" s="11"/>
    </row>
    <row r="906" spans="1:20" ht="16.5" customHeight="1">
      <c r="A906" t="s">
        <v>64</v>
      </c>
      <c r="B906" s="10" t="str">
        <f>'5월'!B75</f>
        <v>SM-25014</v>
      </c>
      <c r="C906" s="12"/>
      <c r="D906" s="13">
        <f>'5월'!D75</f>
        <v>45803</v>
      </c>
      <c r="E906" s="155" t="str">
        <f>'5월'!E75</f>
        <v>제이에스정보시스템</v>
      </c>
      <c r="F906" s="155" t="str">
        <f>'5월'!F75</f>
        <v>시너지온</v>
      </c>
      <c r="G906" s="157" t="str">
        <f>'5월'!G75</f>
        <v>MA</v>
      </c>
      <c r="H906" s="157" t="str">
        <f>'5월'!H75</f>
        <v>월간</v>
      </c>
      <c r="I906" s="69" t="str">
        <f>'5월'!I75</f>
        <v>건국대병원 5월 유지정비료 - 2/29회</v>
      </c>
      <c r="J906" s="122">
        <f>'5월'!J75</f>
        <v>1</v>
      </c>
      <c r="K906" s="15">
        <f>'5월'!K75</f>
        <v>500000</v>
      </c>
      <c r="L906" s="16">
        <f>'5월'!L75</f>
        <v>500000</v>
      </c>
      <c r="M906" s="16">
        <f>'5월'!M75</f>
        <v>50000</v>
      </c>
      <c r="N906" s="15">
        <f>'5월'!N75</f>
        <v>550000</v>
      </c>
      <c r="O906" s="5" t="str">
        <f>'5월'!O75</f>
        <v>완료(7/31)</v>
      </c>
      <c r="P906" s="9" t="str">
        <f>'5월'!P75</f>
        <v>천범석</v>
      </c>
      <c r="Q906" s="5">
        <f>'5월'!Q75</f>
        <v>45807</v>
      </c>
      <c r="R906" s="209"/>
    </row>
    <row r="907" spans="1:20" ht="16.5" customHeight="1">
      <c r="A907" t="s">
        <v>64</v>
      </c>
      <c r="B907" s="141" t="str">
        <f>'5월'!B76</f>
        <v>SM-25020</v>
      </c>
      <c r="C907" s="142"/>
      <c r="D907" s="13">
        <f>'5월'!D76</f>
        <v>45803</v>
      </c>
      <c r="E907" s="155" t="str">
        <f>'5월'!E76</f>
        <v>제이에스정보시스템</v>
      </c>
      <c r="F907" s="155" t="str">
        <f>'5월'!F76</f>
        <v>신동아건설</v>
      </c>
      <c r="G907" s="156" t="str">
        <f>'5월'!G76</f>
        <v>MA</v>
      </c>
      <c r="H907" s="156" t="str">
        <f>'5월'!H76</f>
        <v>월간</v>
      </c>
      <c r="I907" s="69" t="str">
        <f>'5월'!I76</f>
        <v>5월 기술지원료 - 1/12회</v>
      </c>
      <c r="J907" s="132">
        <f>'5월'!J76</f>
        <v>1</v>
      </c>
      <c r="K907" s="16">
        <f>'5월'!K76</f>
        <v>150000</v>
      </c>
      <c r="L907" s="16">
        <f>'5월'!L76</f>
        <v>150000</v>
      </c>
      <c r="M907" s="16">
        <f>'5월'!M76</f>
        <v>15000</v>
      </c>
      <c r="N907" s="15">
        <f>'5월'!N76</f>
        <v>165000</v>
      </c>
      <c r="O907" s="5" t="str">
        <f>'5월'!O76</f>
        <v>완료(7/31)</v>
      </c>
      <c r="P907" s="9" t="str">
        <f>'5월'!P76</f>
        <v>이예지</v>
      </c>
      <c r="Q907" s="5">
        <f>'5월'!Q76</f>
        <v>45797</v>
      </c>
      <c r="R907" s="212"/>
      <c r="S907" s="7"/>
      <c r="T907" s="11"/>
    </row>
    <row r="908" spans="1:20" ht="16.5" customHeight="1">
      <c r="A908" t="s">
        <v>64</v>
      </c>
      <c r="B908" s="141" t="str">
        <f>'5월'!B77</f>
        <v>X</v>
      </c>
      <c r="C908" s="142"/>
      <c r="D908" s="13">
        <f>'5월'!D77</f>
        <v>45803</v>
      </c>
      <c r="E908" s="155" t="str">
        <f>'5월'!E77</f>
        <v>비와이씨하이시티입주사대표회</v>
      </c>
      <c r="F908" s="155"/>
      <c r="G908" s="156" t="str">
        <f>'5월'!G77</f>
        <v>일반경비</v>
      </c>
      <c r="H908" s="156" t="str">
        <f>'5월'!H77</f>
        <v>여비교통비</v>
      </c>
      <c r="I908" s="69" t="str">
        <f>'5월'!I77</f>
        <v>대표님,천범석,엔지니어팀 6월 주차비</v>
      </c>
      <c r="J908" s="124">
        <f>'5월'!J77</f>
        <v>1</v>
      </c>
      <c r="K908" s="16">
        <f>'5월'!K77</f>
        <v>272727</v>
      </c>
      <c r="L908" s="16">
        <f>'5월'!L77</f>
        <v>272727</v>
      </c>
      <c r="M908" s="189">
        <f>'5월'!M77</f>
        <v>27273</v>
      </c>
      <c r="N908" s="15">
        <f>'5월'!N77</f>
        <v>300000</v>
      </c>
      <c r="O908" s="5" t="str">
        <f>'5월'!O77</f>
        <v>완료(5/26)</v>
      </c>
      <c r="P908" s="177" t="str">
        <f>'5월'!P77</f>
        <v>정지우</v>
      </c>
      <c r="Q908" s="68" t="str">
        <f>'5월'!Q77</f>
        <v>X</v>
      </c>
      <c r="R908" s="209" t="str">
        <f>'5월'!R77</f>
        <v>부가세불공</v>
      </c>
      <c r="S908" s="7"/>
      <c r="T908" s="11"/>
    </row>
    <row r="909" spans="1:20" ht="16.5" customHeight="1">
      <c r="A909" t="s">
        <v>64</v>
      </c>
      <c r="B909" s="141" t="str">
        <f>'5월'!B78</f>
        <v>SM-23031</v>
      </c>
      <c r="C909" s="144"/>
      <c r="D909" s="13">
        <f>'5월'!D78</f>
        <v>45803</v>
      </c>
      <c r="E909" s="155" t="str">
        <f>'5월'!E78</f>
        <v>신세계아이앤씨</v>
      </c>
      <c r="F909" s="164" t="str">
        <f>'5월'!F78</f>
        <v>온피아</v>
      </c>
      <c r="G909" s="158" t="str">
        <f>'5월'!G78</f>
        <v>MA</v>
      </c>
      <c r="H909" s="165" t="str">
        <f>'5월'!H78</f>
        <v>월간</v>
      </c>
      <c r="I909" s="166" t="str">
        <f>'5월'!I78</f>
        <v>삼표 DB접근제어 유지보수 5월 - 10/12회</v>
      </c>
      <c r="J909" s="127">
        <f>'5월'!J78</f>
        <v>1</v>
      </c>
      <c r="K909" s="15">
        <f>'5월'!K78</f>
        <v>600000</v>
      </c>
      <c r="L909" s="16">
        <f>'5월'!L78</f>
        <v>600000</v>
      </c>
      <c r="M909" s="16">
        <f>'5월'!M78</f>
        <v>60000</v>
      </c>
      <c r="N909" s="15">
        <f>'5월'!N78</f>
        <v>660000</v>
      </c>
      <c r="O909" s="5" t="str">
        <f>'5월'!O78</f>
        <v>완료(6/30)</v>
      </c>
      <c r="P909" s="9" t="str">
        <f>'5월'!P78</f>
        <v>이예지</v>
      </c>
      <c r="Q909" s="5">
        <f>'5월'!Q78</f>
        <v>45807</v>
      </c>
      <c r="R909" s="209"/>
      <c r="T909" s="11"/>
    </row>
    <row r="910" spans="1:20" ht="16.5" customHeight="1">
      <c r="A910" t="s">
        <v>64</v>
      </c>
      <c r="B910" s="10" t="str">
        <f>'5월'!B79</f>
        <v>X</v>
      </c>
      <c r="C910" s="12"/>
      <c r="D910" s="13">
        <f>'5월'!D79</f>
        <v>45803</v>
      </c>
      <c r="E910" s="155" t="str">
        <f>'5월'!E79</f>
        <v>청소의신</v>
      </c>
      <c r="F910" s="155"/>
      <c r="G910" s="156" t="str">
        <f>'5월'!G79</f>
        <v>일반경비</v>
      </c>
      <c r="H910" s="156" t="str">
        <f>'5월'!H79</f>
        <v>지급수수료</v>
      </c>
      <c r="I910" s="69" t="str">
        <f>'5월'!I79</f>
        <v>5월 청소비</v>
      </c>
      <c r="J910" s="122">
        <f>'5월'!J79</f>
        <v>1</v>
      </c>
      <c r="K910" s="16">
        <f>'5월'!K79</f>
        <v>160000</v>
      </c>
      <c r="L910" s="16">
        <f>'5월'!L79</f>
        <v>160000</v>
      </c>
      <c r="M910" s="123">
        <f>'5월'!M79</f>
        <v>16000</v>
      </c>
      <c r="N910" s="15">
        <f>'5월'!N79</f>
        <v>176000</v>
      </c>
      <c r="O910" s="5" t="str">
        <f>'5월'!O79</f>
        <v>완료(5/30)</v>
      </c>
      <c r="P910" s="177" t="str">
        <f>'5월'!P79</f>
        <v>정지우</v>
      </c>
      <c r="Q910" s="5" t="str">
        <f>'5월'!Q79</f>
        <v>X</v>
      </c>
      <c r="R910" s="209"/>
    </row>
    <row r="911" spans="1:20" ht="16.5" customHeight="1">
      <c r="A911" t="s">
        <v>64</v>
      </c>
      <c r="B911" s="10" t="str">
        <f>'5월'!B80</f>
        <v>IK-24001</v>
      </c>
      <c r="C911" s="12"/>
      <c r="D911" s="13">
        <f>'5월'!D80</f>
        <v>45804</v>
      </c>
      <c r="E911" s="155" t="str">
        <f>'5월'!E80</f>
        <v>알앤큐시스템</v>
      </c>
      <c r="F911" s="155" t="str">
        <f>'5월'!F80</f>
        <v>로스만스/브리티쉬</v>
      </c>
      <c r="G911" s="156" t="str">
        <f>'5월'!G80</f>
        <v>MA</v>
      </c>
      <c r="H911" s="156" t="str">
        <f>'5월'!H80</f>
        <v>월간</v>
      </c>
      <c r="I911" s="69" t="str">
        <f>'5월'!I80</f>
        <v>BAT 통합 유지보수 5월분 - 5/12회</v>
      </c>
      <c r="J911" s="122">
        <f>'5월'!J80</f>
        <v>1</v>
      </c>
      <c r="K911" s="15">
        <f>'5월'!K80</f>
        <v>4950000</v>
      </c>
      <c r="L911" s="16">
        <f>'5월'!L80</f>
        <v>4950000</v>
      </c>
      <c r="M911" s="15">
        <f>'5월'!M80</f>
        <v>495000</v>
      </c>
      <c r="N911" s="15">
        <f>'5월'!N80</f>
        <v>5445000</v>
      </c>
      <c r="O911" s="5" t="str">
        <f>'5월'!O80</f>
        <v>완료(8/18)</v>
      </c>
      <c r="P911" s="174" t="str">
        <f>'5월'!P80</f>
        <v>천범석</v>
      </c>
      <c r="Q911" s="5">
        <f>'5월'!Q80</f>
        <v>45807</v>
      </c>
      <c r="R911" s="209"/>
    </row>
    <row r="912" spans="1:20" ht="16.5" customHeight="1">
      <c r="A912" t="s">
        <v>64</v>
      </c>
      <c r="B912" s="10" t="str">
        <f>'5월'!B81</f>
        <v>H250527-01</v>
      </c>
      <c r="C912" s="12"/>
      <c r="D912" s="13">
        <f>'5월'!D81</f>
        <v>45804</v>
      </c>
      <c r="E912" s="155" t="str">
        <f>'5월'!E81</f>
        <v>이비웨이브</v>
      </c>
      <c r="F912" s="155" t="str">
        <f>'5월'!F81</f>
        <v>티에스씨인포</v>
      </c>
      <c r="G912" s="156" t="str">
        <f>'5월'!G81</f>
        <v>상품</v>
      </c>
      <c r="H912" s="156" t="str">
        <f>'5월'!H81</f>
        <v>43W9720</v>
      </c>
      <c r="I912" s="69" t="str">
        <f>'5월'!I81</f>
        <v>IBM 750GB 7.2K SATA II E-DDM HDD</v>
      </c>
      <c r="J912" s="122">
        <f>'5월'!J81</f>
        <v>1</v>
      </c>
      <c r="K912" s="15">
        <f>'5월'!K81</f>
        <v>250000</v>
      </c>
      <c r="L912" s="16">
        <f>'5월'!L81</f>
        <v>250000</v>
      </c>
      <c r="M912" s="16">
        <f>'5월'!M81</f>
        <v>25000</v>
      </c>
      <c r="N912" s="15">
        <f>'5월'!N81</f>
        <v>275000</v>
      </c>
      <c r="O912" s="5" t="str">
        <f>'5월'!O81</f>
        <v>완료(7/31)</v>
      </c>
      <c r="P912" s="9" t="str">
        <f>'5월'!P81</f>
        <v>천범석</v>
      </c>
      <c r="Q912" s="5">
        <f>'5월'!Q81</f>
        <v>45838</v>
      </c>
      <c r="R912" s="213"/>
    </row>
    <row r="913" spans="1:20" ht="16.5" customHeight="1">
      <c r="A913" t="s">
        <v>64</v>
      </c>
      <c r="B913" s="10" t="str">
        <f>'5월'!B82</f>
        <v>H250528-01</v>
      </c>
      <c r="C913" s="12"/>
      <c r="D913" s="13">
        <f>'5월'!D82</f>
        <v>45805</v>
      </c>
      <c r="E913" s="155" t="str">
        <f>'5월'!E82</f>
        <v>이비웨이브</v>
      </c>
      <c r="F913" s="155" t="str">
        <f>'5월'!F82</f>
        <v>이룸에스앤앤</v>
      </c>
      <c r="G913" s="156" t="str">
        <f>'5월'!G82</f>
        <v>상품</v>
      </c>
      <c r="H913" s="156" t="str">
        <f>'5월'!H82</f>
        <v>00YK024</v>
      </c>
      <c r="I913" s="69" t="str">
        <f>'5월'!I82</f>
        <v xml:space="preserve">ThinkSystem 2.5in 2TB 7.2K SAS 12Gb Hot Swap </v>
      </c>
      <c r="J913" s="122">
        <f>'5월'!J82</f>
        <v>1</v>
      </c>
      <c r="K913" s="15">
        <f>'5월'!K82</f>
        <v>300000</v>
      </c>
      <c r="L913" s="16">
        <f>'5월'!L82</f>
        <v>300000</v>
      </c>
      <c r="M913" s="16">
        <f>'5월'!M82</f>
        <v>30000</v>
      </c>
      <c r="N913" s="15">
        <f>'5월'!N82</f>
        <v>330000</v>
      </c>
      <c r="O913" s="5" t="str">
        <f>'5월'!O82</f>
        <v>완료(7/31)</v>
      </c>
      <c r="P913" s="9" t="str">
        <f>'5월'!P82</f>
        <v>천범석</v>
      </c>
      <c r="Q913" s="5">
        <f>'5월'!Q82</f>
        <v>45817</v>
      </c>
      <c r="R913" s="213"/>
    </row>
    <row r="914" spans="1:20" ht="16.5" customHeight="1">
      <c r="A914" t="s">
        <v>64</v>
      </c>
      <c r="B914" s="10" t="str">
        <f>'5월'!B83</f>
        <v>H250528-03</v>
      </c>
      <c r="C914" s="12"/>
      <c r="D914" s="13">
        <f>'5월'!D83</f>
        <v>45805</v>
      </c>
      <c r="E914" s="155" t="str">
        <f>'5월'!E83</f>
        <v>이비웨이브</v>
      </c>
      <c r="F914" s="155" t="str">
        <f>'5월'!F83</f>
        <v>티에스씨인포</v>
      </c>
      <c r="G914" s="156" t="str">
        <f>'5월'!G83</f>
        <v>상품</v>
      </c>
      <c r="H914" s="156" t="str">
        <f>'5월'!H83</f>
        <v>622217-001</v>
      </c>
      <c r="I914" s="69" t="str">
        <f>'5월'!I83</f>
        <v>Systems Board for DL380PG8</v>
      </c>
      <c r="J914" s="122">
        <f>'5월'!J83</f>
        <v>1</v>
      </c>
      <c r="K914" s="15">
        <f>'5월'!K83</f>
        <v>220000</v>
      </c>
      <c r="L914" s="16">
        <f>'5월'!L83</f>
        <v>220000</v>
      </c>
      <c r="M914" s="16">
        <f>'5월'!M83</f>
        <v>22000</v>
      </c>
      <c r="N914" s="15">
        <f>'5월'!N83</f>
        <v>242000</v>
      </c>
      <c r="O914" s="5" t="str">
        <f>'5월'!O83</f>
        <v>완료(7/31)</v>
      </c>
      <c r="P914" s="9" t="str">
        <f>'5월'!P83</f>
        <v>천범석</v>
      </c>
      <c r="Q914" s="5">
        <f>'5월'!Q83</f>
        <v>45838</v>
      </c>
      <c r="R914" s="213"/>
    </row>
    <row r="915" spans="1:20" ht="16.5" customHeight="1">
      <c r="A915" t="s">
        <v>64</v>
      </c>
      <c r="B915" s="10" t="str">
        <f>'5월'!B84</f>
        <v>H250528-02</v>
      </c>
      <c r="C915" s="12"/>
      <c r="D915" s="13">
        <f>'5월'!D84</f>
        <v>45806</v>
      </c>
      <c r="E915" s="155" t="str">
        <f>'5월'!E84</f>
        <v>다솜테크</v>
      </c>
      <c r="F915" s="155" t="str">
        <f>'5월'!F84</f>
        <v>케이엠디엠(대한지방행정공제회)</v>
      </c>
      <c r="G915" s="156" t="str">
        <f>'5월'!G84</f>
        <v>MA</v>
      </c>
      <c r="H915" s="156" t="str">
        <f>'5월'!H84</f>
        <v>4XB7A14101</v>
      </c>
      <c r="I915" s="69" t="str">
        <f>'5월'!I84</f>
        <v xml:space="preserve">Lenovo ThinkSystem DE Series 8TB 7.2K 3.5" HDD </v>
      </c>
      <c r="J915" s="122">
        <f>'5월'!J84</f>
        <v>1</v>
      </c>
      <c r="K915" s="15">
        <f>'5월'!K84</f>
        <v>465000</v>
      </c>
      <c r="L915" s="16">
        <f>'5월'!L84</f>
        <v>465000</v>
      </c>
      <c r="M915" s="16">
        <f>'5월'!M84</f>
        <v>46500</v>
      </c>
      <c r="N915" s="15">
        <f>'5월'!N84</f>
        <v>511500</v>
      </c>
      <c r="O915" s="5" t="str">
        <f>'5월'!O84</f>
        <v>완료(7/31)</v>
      </c>
      <c r="P915" s="9" t="str">
        <f>'5월'!P84</f>
        <v>천범석</v>
      </c>
      <c r="Q915" s="5">
        <f>'5월'!Q84</f>
        <v>45930</v>
      </c>
      <c r="R915" s="213"/>
    </row>
    <row r="916" spans="1:20" ht="16.5" customHeight="1">
      <c r="A916" t="s">
        <v>64</v>
      </c>
      <c r="B916" s="10" t="str">
        <f>'5월'!B85</f>
        <v>Y250424-02</v>
      </c>
      <c r="C916" s="12"/>
      <c r="D916" s="13">
        <f>'5월'!D85</f>
        <v>45806</v>
      </c>
      <c r="E916" s="155" t="str">
        <f>'5월'!E85</f>
        <v>다솜테크</v>
      </c>
      <c r="F916" s="155" t="str">
        <f>'5월'!F85</f>
        <v>다올이앤씨</v>
      </c>
      <c r="G916" s="156" t="str">
        <f>'5월'!G85</f>
        <v>상품</v>
      </c>
      <c r="H916" s="156" t="str">
        <f>'5월'!H85</f>
        <v>서버</v>
      </c>
      <c r="I916" s="69" t="str">
        <f>'5월'!I85</f>
        <v>Lenovo SR650v3 Server (2U)</v>
      </c>
      <c r="J916" s="122">
        <f>'5월'!J85</f>
        <v>1</v>
      </c>
      <c r="K916" s="15">
        <f>'5월'!K85</f>
        <v>5780000</v>
      </c>
      <c r="L916" s="16">
        <f>'5월'!L85</f>
        <v>7175000</v>
      </c>
      <c r="M916" s="16">
        <f>'5월'!M85</f>
        <v>717500</v>
      </c>
      <c r="N916" s="15">
        <f>'5월'!N85</f>
        <v>7892500</v>
      </c>
      <c r="O916" s="5" t="str">
        <f>'5월'!O85</f>
        <v>완료(7/31)</v>
      </c>
      <c r="P916" s="9" t="str">
        <f>'5월'!P85</f>
        <v>홍승민</v>
      </c>
      <c r="Q916" s="5">
        <f>'5월'!Q85</f>
        <v>45832</v>
      </c>
      <c r="R916" s="213"/>
    </row>
    <row r="917" spans="1:20" ht="16.5" customHeight="1">
      <c r="A917" t="s">
        <v>64</v>
      </c>
      <c r="B917" s="10" t="str">
        <f>'5월'!B86</f>
        <v>Y250428-01</v>
      </c>
      <c r="C917" s="145"/>
      <c r="D917" s="65"/>
      <c r="E917" s="160" t="str">
        <f>'5월'!E86</f>
        <v>다솜테크</v>
      </c>
      <c r="F917" s="160" t="str">
        <f>'5월'!F86</f>
        <v>에스엠티정보기술</v>
      </c>
      <c r="G917" s="156" t="str">
        <f>'5월'!G86</f>
        <v>상품</v>
      </c>
      <c r="H917" s="156" t="str">
        <f>'5월'!H86</f>
        <v xml:space="preserve">OS </v>
      </c>
      <c r="I917" s="69" t="str">
        <f>'5월'!I86</f>
        <v>Windows Server 2022 Standard ROK (16 core) 외 Cal 5User</v>
      </c>
      <c r="J917" s="122">
        <f>'5월'!J86</f>
        <v>1</v>
      </c>
      <c r="K917" s="15">
        <f>'5월'!K86</f>
        <v>1395000</v>
      </c>
      <c r="L917" s="125"/>
      <c r="M917" s="125"/>
      <c r="N917" s="126"/>
      <c r="O917" s="99"/>
      <c r="P917" s="176"/>
      <c r="Q917" s="5">
        <f>'5월'!Q86</f>
        <v>45805</v>
      </c>
      <c r="R917" s="213"/>
    </row>
    <row r="918" spans="1:20" ht="16.5" customHeight="1">
      <c r="A918" t="s">
        <v>64</v>
      </c>
      <c r="B918" s="10" t="str">
        <f>'5월'!B87</f>
        <v>SM-24003</v>
      </c>
      <c r="C918" s="142"/>
      <c r="D918" s="13">
        <f>'5월'!D87</f>
        <v>45807</v>
      </c>
      <c r="E918" s="155" t="str">
        <f>'5월'!E87</f>
        <v>프라테르</v>
      </c>
      <c r="F918" s="155" t="str">
        <f>'5월'!F87</f>
        <v>삼표산업</v>
      </c>
      <c r="G918" s="157" t="str">
        <f>'5월'!G87</f>
        <v>MA</v>
      </c>
      <c r="H918" s="157" t="str">
        <f>'5월'!H87</f>
        <v>월간</v>
      </c>
      <c r="I918" s="69" t="str">
        <f>'5월'!I87</f>
        <v>5월 오라클 유지정비료 - 5/12회</v>
      </c>
      <c r="J918" s="124">
        <f>'5월'!J87</f>
        <v>1</v>
      </c>
      <c r="K918" s="16">
        <f>'5월'!K87</f>
        <v>672000</v>
      </c>
      <c r="L918" s="15">
        <f>'5월'!L87</f>
        <v>672000</v>
      </c>
      <c r="M918" s="16">
        <f>'5월'!M87</f>
        <v>67200</v>
      </c>
      <c r="N918" s="15">
        <f>'5월'!N87</f>
        <v>739200</v>
      </c>
      <c r="O918" s="5" t="str">
        <f>'5월'!O87</f>
        <v>완료(6/30)</v>
      </c>
      <c r="P918" s="175" t="str">
        <f>'5월'!P87</f>
        <v>홍승민</v>
      </c>
      <c r="Q918" s="5">
        <f>'5월'!Q87</f>
        <v>45807</v>
      </c>
      <c r="R918" s="212"/>
      <c r="S918" s="7"/>
      <c r="T918" s="11"/>
    </row>
    <row r="919" spans="1:20" ht="16.5" customHeight="1">
      <c r="A919" t="s">
        <v>64</v>
      </c>
      <c r="B919" s="10" t="str">
        <f>'5월'!B88</f>
        <v>S250526</v>
      </c>
      <c r="C919" s="12"/>
      <c r="D919" s="13">
        <f>'5월'!D88</f>
        <v>45807</v>
      </c>
      <c r="E919" s="155" t="str">
        <f>'5월'!E88</f>
        <v>에오스</v>
      </c>
      <c r="F919" s="155" t="str">
        <f>'5월'!F88</f>
        <v>다솜테크</v>
      </c>
      <c r="G919" s="156" t="str">
        <f>'5월'!G88</f>
        <v>상품</v>
      </c>
      <c r="H919" s="156" t="str">
        <f>'5월'!H88</f>
        <v>기술지원</v>
      </c>
      <c r="I919" s="69" t="str">
        <f>'5월'!I88</f>
        <v>SAP AP HA 및 OS 구성 기술지원 LSITC</v>
      </c>
      <c r="J919" s="122">
        <f>'5월'!J88</f>
        <v>1</v>
      </c>
      <c r="K919" s="15">
        <f>'5월'!K88</f>
        <v>13270000</v>
      </c>
      <c r="L919" s="16">
        <f>'5월'!L88</f>
        <v>13270000</v>
      </c>
      <c r="M919" s="16">
        <f>'5월'!M88</f>
        <v>1327000</v>
      </c>
      <c r="N919" s="15">
        <f>'5월'!N88</f>
        <v>14597000</v>
      </c>
      <c r="O919" s="5" t="str">
        <f>'5월'!O88</f>
        <v>완료(7/31)</v>
      </c>
      <c r="P919" s="9" t="str">
        <f>'5월'!P88</f>
        <v>이예지</v>
      </c>
      <c r="Q919" s="5">
        <f>'5월'!Q88</f>
        <v>45807</v>
      </c>
      <c r="R919" s="213"/>
    </row>
    <row r="920" spans="1:20" ht="16.5" customHeight="1">
      <c r="A920" t="s">
        <v>64</v>
      </c>
      <c r="B920" s="10" t="str">
        <f>'5월'!B89</f>
        <v>SM-24024</v>
      </c>
      <c r="C920" s="12"/>
      <c r="D920" s="13">
        <f>'5월'!D89</f>
        <v>45807</v>
      </c>
      <c r="E920" s="155" t="str">
        <f>'5월'!E89</f>
        <v>디씨에스에스테크놀러지코리아</v>
      </c>
      <c r="F920" s="155" t="str">
        <f>'5월'!F89</f>
        <v>강북21세기병원</v>
      </c>
      <c r="G920" s="157" t="str">
        <f>'5월'!G89</f>
        <v>MA</v>
      </c>
      <c r="H920" s="157" t="str">
        <f>'5월'!H89</f>
        <v>월간-DCSS</v>
      </c>
      <c r="I920" s="69" t="str">
        <f>'5월'!I89</f>
        <v>5월 유지정비료 - 6/12회</v>
      </c>
      <c r="J920" s="122">
        <f>'5월'!J89</f>
        <v>1</v>
      </c>
      <c r="K920" s="15">
        <f>'5월'!K89</f>
        <v>20600</v>
      </c>
      <c r="L920" s="16">
        <f>'5월'!L89</f>
        <v>1823080</v>
      </c>
      <c r="M920" s="16">
        <f>'5월'!M89</f>
        <v>182308</v>
      </c>
      <c r="N920" s="15">
        <f>'5월'!N89</f>
        <v>2005388</v>
      </c>
      <c r="O920" s="5" t="str">
        <f>'5월'!O89</f>
        <v>완료(6/30)</v>
      </c>
      <c r="P920" s="9" t="str">
        <f>'5월'!P89</f>
        <v>천범석</v>
      </c>
      <c r="Q920" s="5">
        <f>'5월'!Q89</f>
        <v>45802</v>
      </c>
      <c r="R920" s="209"/>
    </row>
    <row r="921" spans="1:20" ht="16.5" customHeight="1">
      <c r="A921" t="s">
        <v>64</v>
      </c>
      <c r="B921" s="10" t="str">
        <f>'5월'!B90</f>
        <v>IK-24011</v>
      </c>
      <c r="C921" s="145"/>
      <c r="D921" s="65"/>
      <c r="E921" s="160" t="str">
        <f>'5월'!E90</f>
        <v>디씨에스에스테크놀러지코리아</v>
      </c>
      <c r="F921" s="160" t="str">
        <f>'5월'!F90</f>
        <v>로보츠</v>
      </c>
      <c r="G921" s="157" t="str">
        <f>'5월'!G90</f>
        <v>MA</v>
      </c>
      <c r="H921" s="157" t="str">
        <f>'5월'!H90</f>
        <v>월간-DCSS</v>
      </c>
      <c r="I921" s="69" t="str">
        <f>'5월'!I90</f>
        <v>키오시아 5월 유지정비료 - 6/12회</v>
      </c>
      <c r="J921" s="122">
        <f>'5월'!J90</f>
        <v>1</v>
      </c>
      <c r="K921" s="15">
        <f>'5월'!K90</f>
        <v>70180</v>
      </c>
      <c r="L921" s="125"/>
      <c r="M921" s="125"/>
      <c r="N921" s="126"/>
      <c r="O921" s="99"/>
      <c r="P921" s="9" t="str">
        <f>'5월'!P90</f>
        <v>천범석</v>
      </c>
      <c r="Q921" s="5">
        <f>'5월'!Q90</f>
        <v>45802</v>
      </c>
      <c r="R921" s="209"/>
    </row>
    <row r="922" spans="1:20" ht="16.5" customHeight="1">
      <c r="A922" t="s">
        <v>64</v>
      </c>
      <c r="B922" s="10" t="str">
        <f>'5월'!B91</f>
        <v>SM-24021</v>
      </c>
      <c r="C922" s="145"/>
      <c r="D922" s="65"/>
      <c r="E922" s="160" t="str">
        <f>'5월'!E91</f>
        <v>디씨에스에스테크놀러지코리아</v>
      </c>
      <c r="F922" s="160" t="str">
        <f>'5월'!F91</f>
        <v>에이캐피탈</v>
      </c>
      <c r="G922" s="157" t="str">
        <f>'5월'!G91</f>
        <v>MA</v>
      </c>
      <c r="H922" s="157" t="str">
        <f>'5월'!H91</f>
        <v>월간-DCSS</v>
      </c>
      <c r="I922" s="69" t="str">
        <f>'5월'!I91</f>
        <v>5월 유지정비료 - 6/9회</v>
      </c>
      <c r="J922" s="122">
        <f>'5월'!J91</f>
        <v>1</v>
      </c>
      <c r="K922" s="15">
        <f>'5월'!K91</f>
        <v>352900</v>
      </c>
      <c r="L922" s="125"/>
      <c r="M922" s="125"/>
      <c r="N922" s="126"/>
      <c r="O922" s="99"/>
      <c r="P922" s="9" t="str">
        <f>'5월'!P91</f>
        <v>이예지</v>
      </c>
      <c r="Q922" s="5">
        <f>'5월'!Q91</f>
        <v>45813</v>
      </c>
      <c r="R922" s="209"/>
    </row>
    <row r="923" spans="1:20" ht="16.5" customHeight="1">
      <c r="A923" t="s">
        <v>64</v>
      </c>
      <c r="B923" s="10" t="str">
        <f>'5월'!B92</f>
        <v>SM-24007</v>
      </c>
      <c r="C923" s="145"/>
      <c r="D923" s="65"/>
      <c r="E923" s="160" t="str">
        <f>'5월'!E92</f>
        <v>디씨에스에스테크놀러지코리아</v>
      </c>
      <c r="F923" s="160" t="str">
        <f>'5월'!F92</f>
        <v>연세의료원</v>
      </c>
      <c r="G923" s="157" t="str">
        <f>'5월'!G92</f>
        <v>MA</v>
      </c>
      <c r="H923" s="157" t="str">
        <f>'5월'!H92</f>
        <v>월간-DCSS</v>
      </c>
      <c r="I923" s="69" t="str">
        <f>'5월'!I92</f>
        <v>5월 유지정비료 - 4/12회</v>
      </c>
      <c r="J923" s="122">
        <f>'5월'!J92</f>
        <v>1</v>
      </c>
      <c r="K923" s="15">
        <f>'5월'!K92</f>
        <v>80000</v>
      </c>
      <c r="L923" s="125"/>
      <c r="M923" s="125"/>
      <c r="N923" s="126"/>
      <c r="O923" s="99"/>
      <c r="P923" s="9" t="str">
        <f>'5월'!P92</f>
        <v>이예지</v>
      </c>
      <c r="Q923" s="5">
        <f>'5월'!Q92</f>
        <v>45797</v>
      </c>
      <c r="R923" s="213"/>
    </row>
    <row r="924" spans="1:20" ht="16.5" customHeight="1">
      <c r="A924" t="s">
        <v>64</v>
      </c>
      <c r="B924" s="10" t="str">
        <f>'5월'!B93</f>
        <v>SM-25002</v>
      </c>
      <c r="C924" s="145"/>
      <c r="D924" s="65"/>
      <c r="E924" s="160" t="str">
        <f>'5월'!E93</f>
        <v>디씨에스에스테크놀러지코리아</v>
      </c>
      <c r="F924" s="160" t="str">
        <f>'5월'!F93</f>
        <v>지비에쓰시스템</v>
      </c>
      <c r="G924" s="157" t="str">
        <f>'5월'!G93</f>
        <v>MA</v>
      </c>
      <c r="H924" s="157" t="str">
        <f>'5월'!H93</f>
        <v>월간-DCSS</v>
      </c>
      <c r="I924" s="69" t="str">
        <f>'5월'!I93</f>
        <v>현대하이카 5월 유지정비료 - 4/11회</v>
      </c>
      <c r="J924" s="122">
        <f>'5월'!J93</f>
        <v>1</v>
      </c>
      <c r="K924" s="15">
        <f>'5월'!K93</f>
        <v>66000</v>
      </c>
      <c r="L924" s="125"/>
      <c r="M924" s="125"/>
      <c r="N924" s="126"/>
      <c r="O924" s="99"/>
      <c r="P924" s="9" t="str">
        <f>'5월'!P93</f>
        <v>천범석</v>
      </c>
      <c r="Q924" s="5">
        <f>'5월'!Q93</f>
        <v>45838</v>
      </c>
      <c r="R924" s="213"/>
    </row>
    <row r="925" spans="1:20" ht="16.5" customHeight="1">
      <c r="A925" t="s">
        <v>64</v>
      </c>
      <c r="B925" s="10" t="str">
        <f>'5월'!B94</f>
        <v>SM-25006</v>
      </c>
      <c r="C925" s="145"/>
      <c r="D925" s="65"/>
      <c r="E925" s="160" t="str">
        <f>'5월'!E94</f>
        <v>디씨에스에스테크놀러지코리아</v>
      </c>
      <c r="F925" s="160" t="str">
        <f>'5월'!F94</f>
        <v>장금상선</v>
      </c>
      <c r="G925" s="157" t="str">
        <f>'5월'!G94</f>
        <v>MA</v>
      </c>
      <c r="H925" s="157" t="str">
        <f>'5월'!H94</f>
        <v>월간-DCSS</v>
      </c>
      <c r="I925" s="69" t="str">
        <f>'5월'!I94</f>
        <v>5월 유지정비료 - 4/11회</v>
      </c>
      <c r="J925" s="124">
        <f>'5월'!J94</f>
        <v>1</v>
      </c>
      <c r="K925" s="15">
        <f>'5월'!K94</f>
        <v>44000</v>
      </c>
      <c r="L925" s="125"/>
      <c r="M925" s="125"/>
      <c r="N925" s="126"/>
      <c r="O925" s="99"/>
      <c r="P925" s="9" t="str">
        <f>'5월'!P94</f>
        <v>홍승민</v>
      </c>
      <c r="Q925" s="5">
        <f>'5월'!Q94</f>
        <v>45807</v>
      </c>
      <c r="R925" s="209"/>
    </row>
    <row r="926" spans="1:20" ht="16.5" customHeight="1">
      <c r="A926" t="s">
        <v>64</v>
      </c>
      <c r="B926" s="10" t="str">
        <f>'5월'!B95</f>
        <v>SM-25010</v>
      </c>
      <c r="C926" s="145"/>
      <c r="D926" s="65"/>
      <c r="E926" s="160" t="str">
        <f>'5월'!E95</f>
        <v>디씨에스에스테크놀러지코리아</v>
      </c>
      <c r="F926" s="160" t="str">
        <f>'5월'!F95</f>
        <v>유니포인트</v>
      </c>
      <c r="G926" s="157" t="str">
        <f>'5월'!G95</f>
        <v>MA</v>
      </c>
      <c r="H926" s="157" t="str">
        <f>'5월'!H95</f>
        <v>월간-DCSS</v>
      </c>
      <c r="I926" s="69" t="str">
        <f>'5월'!I95</f>
        <v>한미약품 5월 유지정비료 - 4/11회</v>
      </c>
      <c r="J926" s="122">
        <f>'5월'!J95</f>
        <v>1</v>
      </c>
      <c r="K926" s="15">
        <f>'5월'!K95</f>
        <v>292200</v>
      </c>
      <c r="L926" s="125"/>
      <c r="M926" s="125"/>
      <c r="N926" s="126"/>
      <c r="O926" s="99"/>
      <c r="P926" s="9" t="str">
        <f>'5월'!P95</f>
        <v>이예지</v>
      </c>
      <c r="Q926" s="5">
        <f>'5월'!Q95</f>
        <v>45807</v>
      </c>
      <c r="R926" s="213"/>
    </row>
    <row r="927" spans="1:20" ht="16.5" customHeight="1">
      <c r="A927" t="s">
        <v>64</v>
      </c>
      <c r="B927" s="10" t="str">
        <f>'5월'!B96</f>
        <v>SM-25009</v>
      </c>
      <c r="C927" s="145"/>
      <c r="D927" s="65"/>
      <c r="E927" s="160" t="str">
        <f>'5월'!E96</f>
        <v>디씨에스에스테크놀러지코리아</v>
      </c>
      <c r="F927" s="160" t="str">
        <f>'5월'!F96</f>
        <v>유니포인트</v>
      </c>
      <c r="G927" s="157" t="str">
        <f>'5월'!G96</f>
        <v>MA</v>
      </c>
      <c r="H927" s="157" t="str">
        <f>'5월'!H96</f>
        <v>월간-DCSS</v>
      </c>
      <c r="I927" s="69" t="str">
        <f>'5월'!I96</f>
        <v>교보문고 5월 유지정비료 - 4/11회</v>
      </c>
      <c r="J927" s="122">
        <f>'5월'!J96</f>
        <v>1</v>
      </c>
      <c r="K927" s="15">
        <f>'5월'!K96</f>
        <v>376200</v>
      </c>
      <c r="L927" s="125"/>
      <c r="M927" s="125"/>
      <c r="N927" s="126"/>
      <c r="O927" s="99"/>
      <c r="P927" s="9" t="str">
        <f>'5월'!P96</f>
        <v>이예지</v>
      </c>
      <c r="Q927" s="5">
        <f>'5월'!Q96</f>
        <v>45807</v>
      </c>
      <c r="R927" s="213"/>
    </row>
    <row r="928" spans="1:20" ht="16.5" customHeight="1">
      <c r="A928" t="s">
        <v>64</v>
      </c>
      <c r="B928" s="10" t="str">
        <f>'5월'!B97</f>
        <v>SB-25014</v>
      </c>
      <c r="C928" s="145"/>
      <c r="D928" s="65"/>
      <c r="E928" s="160" t="str">
        <f>'5월'!E97</f>
        <v>디씨에스에스테크놀러지코리아</v>
      </c>
      <c r="F928" s="160" t="str">
        <f>'5월'!F97</f>
        <v>와이젠정보기술</v>
      </c>
      <c r="G928" s="157" t="str">
        <f>'5월'!G97</f>
        <v>MA</v>
      </c>
      <c r="H928" s="157" t="str">
        <f>'5월'!H97</f>
        <v>월간-DCSS</v>
      </c>
      <c r="I928" s="69" t="str">
        <f>'5월'!I97</f>
        <v>안국약품 5월 유지정비료 - 3/10회</v>
      </c>
      <c r="J928" s="122">
        <f>'5월'!J97</f>
        <v>1</v>
      </c>
      <c r="K928" s="15">
        <f>'5월'!K97</f>
        <v>391000</v>
      </c>
      <c r="L928" s="125"/>
      <c r="M928" s="125"/>
      <c r="N928" s="126"/>
      <c r="O928" s="99"/>
      <c r="P928" s="9" t="str">
        <f>'5월'!P97</f>
        <v>천범석</v>
      </c>
      <c r="Q928" s="5">
        <f>'5월'!Q97</f>
        <v>45807</v>
      </c>
      <c r="R928" s="213"/>
    </row>
    <row r="929" spans="1:21" ht="16.5" customHeight="1">
      <c r="A929" t="s">
        <v>64</v>
      </c>
      <c r="B929" s="10" t="str">
        <f>'5월'!B98</f>
        <v>SM-25015</v>
      </c>
      <c r="C929" s="145"/>
      <c r="D929" s="65"/>
      <c r="E929" s="160" t="str">
        <f>'5월'!E98</f>
        <v>디씨에스에스테크놀러지코리아</v>
      </c>
      <c r="F929" s="160" t="str">
        <f>'5월'!F98</f>
        <v>케이엠디엠</v>
      </c>
      <c r="G929" s="157" t="str">
        <f>'5월'!G98</f>
        <v>MA</v>
      </c>
      <c r="H929" s="157" t="str">
        <f>'5월'!H98</f>
        <v>월간-DCSS</v>
      </c>
      <c r="I929" s="69" t="str">
        <f>'5월'!I98</f>
        <v>탑텍 5월 유지정비료 - 2/12회</v>
      </c>
      <c r="J929" s="122">
        <f>'5월'!J98</f>
        <v>1</v>
      </c>
      <c r="K929" s="15">
        <f>'5월'!K98</f>
        <v>14000</v>
      </c>
      <c r="L929" s="125"/>
      <c r="M929" s="125"/>
      <c r="N929" s="126"/>
      <c r="O929" s="99"/>
      <c r="P929" s="9" t="str">
        <f>'5월'!P98</f>
        <v>천범석</v>
      </c>
      <c r="Q929" s="5">
        <f>'5월'!Q98</f>
        <v>45777</v>
      </c>
      <c r="R929" s="213" t="str">
        <f>'5월'!R98</f>
        <v>매출연간</v>
      </c>
    </row>
    <row r="930" spans="1:21" ht="16.5" customHeight="1">
      <c r="A930" t="s">
        <v>64</v>
      </c>
      <c r="B930" s="10" t="str">
        <f>'5월'!B99</f>
        <v>SM-25016</v>
      </c>
      <c r="C930" s="145"/>
      <c r="D930" s="65"/>
      <c r="E930" s="160" t="str">
        <f>'5월'!E99</f>
        <v>디씨에스에스테크놀러지코리아</v>
      </c>
      <c r="F930" s="160" t="str">
        <f>'5월'!F99</f>
        <v>케이엠디엠</v>
      </c>
      <c r="G930" s="157" t="str">
        <f>'5월'!G99</f>
        <v>MA</v>
      </c>
      <c r="H930" s="157" t="str">
        <f>'5월'!H99</f>
        <v>월간-DCSS</v>
      </c>
      <c r="I930" s="69" t="str">
        <f>'5월'!I99</f>
        <v>SKB 5월 유지정비료 - 2/12회</v>
      </c>
      <c r="J930" s="122">
        <f>'5월'!J99</f>
        <v>1</v>
      </c>
      <c r="K930" s="15">
        <f>'5월'!K99</f>
        <v>14000</v>
      </c>
      <c r="L930" s="125"/>
      <c r="M930" s="125"/>
      <c r="N930" s="126"/>
      <c r="O930" s="99"/>
      <c r="P930" s="9" t="str">
        <f>'5월'!P99</f>
        <v>천범석</v>
      </c>
      <c r="Q930" s="5">
        <f>'5월'!Q99</f>
        <v>45777</v>
      </c>
      <c r="R930" s="213" t="str">
        <f>'5월'!R99</f>
        <v>매출연간</v>
      </c>
    </row>
    <row r="931" spans="1:21" ht="16.5" customHeight="1">
      <c r="A931" t="s">
        <v>64</v>
      </c>
      <c r="B931" s="10" t="str">
        <f>'5월'!B100</f>
        <v>SM-25021</v>
      </c>
      <c r="C931" s="145"/>
      <c r="D931" s="65"/>
      <c r="E931" s="160" t="str">
        <f>'5월'!E100</f>
        <v>디씨에스에스테크놀러지코리아</v>
      </c>
      <c r="F931" s="160" t="str">
        <f>'5월'!F100</f>
        <v>로보츠</v>
      </c>
      <c r="G931" s="157" t="str">
        <f>'5월'!G100</f>
        <v>MA</v>
      </c>
      <c r="H931" s="157" t="str">
        <f>'5월'!H100</f>
        <v>월간-DCSS</v>
      </c>
      <c r="I931" s="69" t="str">
        <f>'5월'!I100</f>
        <v>조광피혁 5월 유지정비료 - 1/12회</v>
      </c>
      <c r="J931" s="122">
        <f>'5월'!J100</f>
        <v>1</v>
      </c>
      <c r="K931" s="15">
        <f>'5월'!K100</f>
        <v>33000</v>
      </c>
      <c r="L931" s="125"/>
      <c r="M931" s="125"/>
      <c r="N931" s="126"/>
      <c r="O931" s="99"/>
      <c r="P931" s="9" t="str">
        <f>'5월'!P100</f>
        <v>천범석</v>
      </c>
      <c r="Q931" s="5">
        <f>'5월'!Q100</f>
        <v>45802</v>
      </c>
      <c r="R931" s="213"/>
    </row>
    <row r="932" spans="1:21" ht="16.5" customHeight="1">
      <c r="A932" t="s">
        <v>64</v>
      </c>
      <c r="B932" s="10" t="str">
        <f>'5월'!B101</f>
        <v>SM-25023</v>
      </c>
      <c r="C932" s="145"/>
      <c r="D932" s="65"/>
      <c r="E932" s="160" t="str">
        <f>'5월'!E101</f>
        <v>디씨에스에스테크놀러지코리아</v>
      </c>
      <c r="F932" s="160" t="str">
        <f>'5월'!F101</f>
        <v>로보츠</v>
      </c>
      <c r="G932" s="157" t="str">
        <f>'5월'!G101</f>
        <v>MA</v>
      </c>
      <c r="H932" s="157" t="str">
        <f>'5월'!H101</f>
        <v>월간-DCSS</v>
      </c>
      <c r="I932" s="69" t="str">
        <f>'5월'!I101</f>
        <v>와이케이케이 5월 유지정비료 - 1/12회</v>
      </c>
      <c r="J932" s="122">
        <f>'5월'!J101</f>
        <v>1</v>
      </c>
      <c r="K932" s="15">
        <f>'5월'!K101</f>
        <v>69000</v>
      </c>
      <c r="L932" s="125"/>
      <c r="M932" s="125"/>
      <c r="N932" s="126"/>
      <c r="O932" s="99"/>
      <c r="P932" s="9" t="str">
        <f>'5월'!P101</f>
        <v>천범석</v>
      </c>
      <c r="Q932" s="5">
        <f>'5월'!Q101</f>
        <v>45802</v>
      </c>
      <c r="R932" s="213"/>
    </row>
    <row r="933" spans="1:21" ht="16.5" customHeight="1">
      <c r="A933" t="s">
        <v>64</v>
      </c>
      <c r="B933" s="10" t="str">
        <f>'5월'!B102</f>
        <v>Y250424-02</v>
      </c>
      <c r="C933" s="12"/>
      <c r="D933" s="13">
        <f>'5월'!D102</f>
        <v>45807</v>
      </c>
      <c r="E933" s="155" t="str">
        <f>'5월'!E102</f>
        <v>아이티스톤</v>
      </c>
      <c r="F933" s="155" t="str">
        <f>'5월'!F102</f>
        <v>다올이앤씨</v>
      </c>
      <c r="G933" s="156" t="str">
        <f>'5월'!G102</f>
        <v>상품</v>
      </c>
      <c r="H933" s="156" t="str">
        <f>'5월'!H102</f>
        <v>기술지원</v>
      </c>
      <c r="I933" s="69" t="str">
        <f>'5월'!I102</f>
        <v xml:space="preserve">AD Migration Technical Support </v>
      </c>
      <c r="J933" s="122">
        <f>'5월'!J102</f>
        <v>1</v>
      </c>
      <c r="K933" s="15">
        <f>'5월'!K102</f>
        <v>2400000</v>
      </c>
      <c r="L933" s="16">
        <f>'5월'!L102</f>
        <v>2400000</v>
      </c>
      <c r="M933" s="16">
        <f>'5월'!M102</f>
        <v>240000</v>
      </c>
      <c r="N933" s="15">
        <f>'5월'!N102</f>
        <v>2640000</v>
      </c>
      <c r="O933" s="5" t="str">
        <f>'5월'!O102</f>
        <v>완료(7/1)</v>
      </c>
      <c r="P933" s="9" t="str">
        <f>'5월'!P102</f>
        <v>홍승민</v>
      </c>
      <c r="Q933" s="5">
        <f>'5월'!Q102</f>
        <v>45832</v>
      </c>
      <c r="R933" s="213"/>
    </row>
    <row r="934" spans="1:21" ht="16.5" customHeight="1">
      <c r="A934" t="s">
        <v>64</v>
      </c>
      <c r="B934" s="141" t="str">
        <f>'5월'!B103</f>
        <v>X</v>
      </c>
      <c r="C934" s="142"/>
      <c r="D934" s="13">
        <f>'5월'!D103</f>
        <v>45807</v>
      </c>
      <c r="E934" s="155" t="str">
        <f>'5월'!E103</f>
        <v>금오이노베이션</v>
      </c>
      <c r="F934" s="155"/>
      <c r="G934" s="156" t="str">
        <f>'5월'!G103</f>
        <v>일반경비</v>
      </c>
      <c r="H934" s="156" t="str">
        <f>'5월'!H103</f>
        <v>통신비</v>
      </c>
      <c r="I934" s="69" t="str">
        <f>'5월'!I103</f>
        <v>기업(구내) 5월 인터넷 사용료</v>
      </c>
      <c r="J934" s="124">
        <f>'5월'!J103</f>
        <v>1</v>
      </c>
      <c r="K934" s="16">
        <f>'5월'!K103</f>
        <v>40000</v>
      </c>
      <c r="L934" s="15">
        <f>'5월'!L103</f>
        <v>40000</v>
      </c>
      <c r="M934" s="15">
        <f>'5월'!M103</f>
        <v>4000</v>
      </c>
      <c r="N934" s="15">
        <f>'5월'!N103</f>
        <v>44000</v>
      </c>
      <c r="O934" s="5" t="str">
        <f>'5월'!O103</f>
        <v>자동이체(6/10)</v>
      </c>
      <c r="P934" s="175" t="str">
        <f>'5월'!P103</f>
        <v>정지우</v>
      </c>
      <c r="Q934" s="68" t="str">
        <f>'5월'!Q103</f>
        <v>X</v>
      </c>
      <c r="R934" s="212"/>
      <c r="S934" s="7"/>
      <c r="T934" s="11"/>
    </row>
    <row r="935" spans="1:21" ht="16.5" customHeight="1">
      <c r="A935" t="s">
        <v>64</v>
      </c>
      <c r="B935" s="140" t="str">
        <f>'5월'!B104</f>
        <v>SM-24021</v>
      </c>
      <c r="C935" s="142"/>
      <c r="D935" s="13">
        <f>'5월'!D104</f>
        <v>45807</v>
      </c>
      <c r="E935" s="155" t="str">
        <f>'5월'!E104</f>
        <v>키미데이타</v>
      </c>
      <c r="F935" s="155" t="str">
        <f>'5월'!F104</f>
        <v>에이캐피탈</v>
      </c>
      <c r="G935" s="157" t="str">
        <f>'5월'!G104</f>
        <v>MA</v>
      </c>
      <c r="H935" s="157" t="str">
        <f>'5월'!H104</f>
        <v>월간</v>
      </c>
      <c r="I935" s="69" t="str">
        <f>'5월'!I104</f>
        <v>5월 유지정비료 - 9/12회</v>
      </c>
      <c r="J935" s="124">
        <f>'5월'!J104</f>
        <v>1</v>
      </c>
      <c r="K935" s="16">
        <f>'5월'!K104</f>
        <v>70000</v>
      </c>
      <c r="L935" s="15">
        <f>'5월'!L104</f>
        <v>70000</v>
      </c>
      <c r="M935" s="15">
        <f>'5월'!M104</f>
        <v>7000</v>
      </c>
      <c r="N935" s="15">
        <f>'5월'!N104</f>
        <v>77000</v>
      </c>
      <c r="O935" s="5" t="str">
        <f>'5월'!O104</f>
        <v>완료(7/31)</v>
      </c>
      <c r="P935" s="175" t="str">
        <f>'5월'!P104</f>
        <v>이예지</v>
      </c>
      <c r="Q935" s="5">
        <f>'5월'!Q104</f>
        <v>45813</v>
      </c>
      <c r="R935" s="212"/>
      <c r="S935" s="7"/>
      <c r="T935" s="11"/>
    </row>
    <row r="936" spans="1:21" ht="16.5" customHeight="1">
      <c r="A936" t="s">
        <v>64</v>
      </c>
      <c r="B936" s="140" t="str">
        <f>'5월'!B105</f>
        <v>IK-24006</v>
      </c>
      <c r="C936" s="142"/>
      <c r="D936" s="13">
        <f>'5월'!D105</f>
        <v>45807</v>
      </c>
      <c r="E936" s="155" t="str">
        <f>'5월'!E105</f>
        <v>키미데이타</v>
      </c>
      <c r="F936" s="155" t="str">
        <f>'5월'!F105</f>
        <v>광양항서부컨테이너터미널</v>
      </c>
      <c r="G936" s="157" t="str">
        <f>'5월'!G105</f>
        <v>MA</v>
      </c>
      <c r="H936" s="157" t="str">
        <f>'5월'!H105</f>
        <v>연간</v>
      </c>
      <c r="I936" s="69" t="str">
        <f>'5월'!I105</f>
        <v>연간 유지정비료(25.5~26.4)</v>
      </c>
      <c r="J936" s="124">
        <f>'5월'!J105</f>
        <v>1</v>
      </c>
      <c r="K936" s="16">
        <f>'5월'!K105</f>
        <v>1680000</v>
      </c>
      <c r="L936" s="15">
        <f>'5월'!L105</f>
        <v>1680000</v>
      </c>
      <c r="M936" s="15">
        <f>'5월'!M105</f>
        <v>168000</v>
      </c>
      <c r="N936" s="15">
        <f>'5월'!N105</f>
        <v>1848000</v>
      </c>
      <c r="O936" s="5" t="str">
        <f>'5월'!O105</f>
        <v>완료(7/31)</v>
      </c>
      <c r="P936" s="175" t="str">
        <f>'5월'!P105</f>
        <v>홍승민</v>
      </c>
      <c r="Q936" s="5" t="str">
        <f>'5월'!Q105</f>
        <v>5/31~</v>
      </c>
      <c r="R936" s="209" t="str">
        <f>'5월'!R105</f>
        <v>매출월간</v>
      </c>
      <c r="S936" s="7"/>
      <c r="T936" s="11"/>
    </row>
    <row r="937" spans="1:21" ht="16.5" customHeight="1">
      <c r="A937" t="s">
        <v>64</v>
      </c>
      <c r="B937" s="10" t="str">
        <f>'5월'!B106</f>
        <v>SM-24003</v>
      </c>
      <c r="C937" s="142"/>
      <c r="D937" s="13">
        <f>'5월'!D106</f>
        <v>45807</v>
      </c>
      <c r="E937" s="155" t="str">
        <f>'5월'!E106</f>
        <v>현성솔루션</v>
      </c>
      <c r="F937" s="155" t="str">
        <f>'5월'!F106</f>
        <v>삼표산업</v>
      </c>
      <c r="G937" s="157" t="str">
        <f>'5월'!G106</f>
        <v>MA</v>
      </c>
      <c r="H937" s="157" t="str">
        <f>'5월'!H106</f>
        <v>월간</v>
      </c>
      <c r="I937" s="69" t="str">
        <f>'5월'!I106</f>
        <v>파이오링크 L4 5월 유지정비료 - 5/12회</v>
      </c>
      <c r="J937" s="124">
        <f>'5월'!J106</f>
        <v>1</v>
      </c>
      <c r="K937" s="16">
        <f>'5월'!K106</f>
        <v>100000</v>
      </c>
      <c r="L937" s="15">
        <f>'5월'!L106</f>
        <v>100000</v>
      </c>
      <c r="M937" s="15">
        <f>'5월'!M106</f>
        <v>10000</v>
      </c>
      <c r="N937" s="15">
        <f>'5월'!N106</f>
        <v>110000</v>
      </c>
      <c r="O937" s="5" t="str">
        <f>'5월'!O106</f>
        <v>완료(6/30)</v>
      </c>
      <c r="P937" s="175" t="str">
        <f>'5월'!P106</f>
        <v>홍승민</v>
      </c>
      <c r="Q937" s="5">
        <f>'5월'!Q106</f>
        <v>45807</v>
      </c>
      <c r="R937" s="212"/>
      <c r="S937" s="7"/>
      <c r="T937" s="11"/>
    </row>
    <row r="938" spans="1:21" ht="16.5" customHeight="1">
      <c r="A938" t="s">
        <v>64</v>
      </c>
      <c r="B938" s="140" t="str">
        <f>'5월'!B107</f>
        <v>SM-23025</v>
      </c>
      <c r="C938" s="12"/>
      <c r="D938" s="13">
        <f>'5월'!D107</f>
        <v>45807</v>
      </c>
      <c r="E938" s="155" t="str">
        <f>'5월'!E107</f>
        <v>현성솔루션</v>
      </c>
      <c r="F938" s="155" t="str">
        <f>'5월'!F107</f>
        <v>한국교과서협회</v>
      </c>
      <c r="G938" s="157" t="str">
        <f>'5월'!G107</f>
        <v>MA</v>
      </c>
      <c r="H938" s="167" t="str">
        <f>'5월'!H107</f>
        <v>월간</v>
      </c>
      <c r="I938" s="69" t="str">
        <f>'5월'!I107</f>
        <v>메일호스팅 5월 - 10/12회</v>
      </c>
      <c r="J938" s="124">
        <f>'5월'!J107</f>
        <v>1</v>
      </c>
      <c r="K938" s="16">
        <f>'5월'!K107</f>
        <v>595000</v>
      </c>
      <c r="L938" s="15">
        <f>'5월'!L107</f>
        <v>595000</v>
      </c>
      <c r="M938" s="15">
        <f>'5월'!M107</f>
        <v>59500</v>
      </c>
      <c r="N938" s="15">
        <f>'5월'!N107</f>
        <v>654500</v>
      </c>
      <c r="O938" s="5" t="str">
        <f>'5월'!O107</f>
        <v>완료(6/30)</v>
      </c>
      <c r="P938" s="174" t="str">
        <f>'5월'!P107</f>
        <v>천범석</v>
      </c>
      <c r="Q938" s="5">
        <f>'5월'!Q107</f>
        <v>45807</v>
      </c>
      <c r="R938" s="211"/>
      <c r="S938" s="7"/>
      <c r="T938" s="11"/>
    </row>
    <row r="939" spans="1:21" ht="16.5" customHeight="1">
      <c r="A939" t="s">
        <v>64</v>
      </c>
      <c r="B939" s="140" t="str">
        <f>'5월'!B108</f>
        <v>SM-23026</v>
      </c>
      <c r="C939" s="12"/>
      <c r="D939" s="13">
        <f>'5월'!D108</f>
        <v>45807</v>
      </c>
      <c r="E939" s="155" t="str">
        <f>'5월'!E108</f>
        <v>현성솔루션</v>
      </c>
      <c r="F939" s="155" t="str">
        <f>'5월'!F108</f>
        <v>한국교과서협회</v>
      </c>
      <c r="G939" s="157" t="str">
        <f>'5월'!G108</f>
        <v>MA</v>
      </c>
      <c r="H939" s="167" t="str">
        <f>'5월'!H108</f>
        <v>월간</v>
      </c>
      <c r="I939" s="69" t="str">
        <f>'5월'!I108</f>
        <v>5월 유지정비료 - 10/12회</v>
      </c>
      <c r="J939" s="124">
        <f>'5월'!J108</f>
        <v>1</v>
      </c>
      <c r="K939" s="188">
        <f>'5월'!K108</f>
        <v>840000</v>
      </c>
      <c r="L939" s="15">
        <f>'5월'!L108</f>
        <v>840000</v>
      </c>
      <c r="M939" s="15">
        <f>'5월'!M108</f>
        <v>84000</v>
      </c>
      <c r="N939" s="15">
        <f>'5월'!N108</f>
        <v>924000</v>
      </c>
      <c r="O939" s="5" t="str">
        <f>'5월'!O108</f>
        <v>완료(6/30)</v>
      </c>
      <c r="P939" s="174" t="str">
        <f>'5월'!P108</f>
        <v>천범석</v>
      </c>
      <c r="Q939" s="5">
        <f>'5월'!Q108</f>
        <v>45807</v>
      </c>
      <c r="R939" s="211"/>
      <c r="S939" s="7"/>
      <c r="T939" s="11"/>
    </row>
    <row r="940" spans="1:21" ht="16.5" customHeight="1">
      <c r="A940" t="s">
        <v>64</v>
      </c>
      <c r="B940" s="10" t="str">
        <f>'5월'!B109</f>
        <v>SB-24007</v>
      </c>
      <c r="C940" s="12"/>
      <c r="D940" s="13">
        <f>'5월'!D109</f>
        <v>45807</v>
      </c>
      <c r="E940" s="155" t="str">
        <f>'5월'!E109</f>
        <v>다솜테크</v>
      </c>
      <c r="F940" s="155" t="str">
        <f>'5월'!F109</f>
        <v>와이젠정보기술</v>
      </c>
      <c r="G940" s="157" t="str">
        <f>'5월'!G109</f>
        <v>MA</v>
      </c>
      <c r="H940" s="156" t="str">
        <f>'5월'!H109</f>
        <v>월간</v>
      </c>
      <c r="I940" s="69" t="str">
        <f>'5월'!I109</f>
        <v>안국약품 5월 기술지원료 - 5/12회</v>
      </c>
      <c r="J940" s="122">
        <f>'5월'!J109</f>
        <v>1</v>
      </c>
      <c r="K940" s="15">
        <f>'5월'!K109</f>
        <v>250000</v>
      </c>
      <c r="L940" s="16">
        <f>'5월'!L109</f>
        <v>250000</v>
      </c>
      <c r="M940" s="16">
        <f>'5월'!M109</f>
        <v>25000</v>
      </c>
      <c r="N940" s="15">
        <f>'5월'!N109</f>
        <v>275000</v>
      </c>
      <c r="O940" s="5" t="str">
        <f>'5월'!O109</f>
        <v>완료(7/31)</v>
      </c>
      <c r="P940" s="9" t="str">
        <f>'5월'!P109</f>
        <v>천범석</v>
      </c>
      <c r="Q940" s="5">
        <f>'5월'!Q109</f>
        <v>45807</v>
      </c>
      <c r="R940" s="209"/>
      <c r="U940" s="11"/>
    </row>
    <row r="941" spans="1:21" ht="16.5" customHeight="1">
      <c r="A941" t="s">
        <v>64</v>
      </c>
      <c r="B941" s="10" t="str">
        <f>'5월'!B110</f>
        <v>IK-25002</v>
      </c>
      <c r="C941" s="12"/>
      <c r="D941" s="13">
        <f>'5월'!D110</f>
        <v>45807</v>
      </c>
      <c r="E941" s="155" t="str">
        <f>'5월'!E110</f>
        <v>티에스씨인포</v>
      </c>
      <c r="F941" s="155" t="str">
        <f>'5월'!F110</f>
        <v>시너지온</v>
      </c>
      <c r="G941" s="157" t="str">
        <f>'5월'!G110</f>
        <v>MA</v>
      </c>
      <c r="H941" s="157" t="str">
        <f>'5월'!H110</f>
        <v>월간</v>
      </c>
      <c r="I941" s="69" t="str">
        <f>'5월'!I110</f>
        <v>명지병원 5월 정기점검 - 3/12회</v>
      </c>
      <c r="J941" s="122">
        <f>'5월'!J110</f>
        <v>1</v>
      </c>
      <c r="K941" s="15">
        <f>'5월'!K110</f>
        <v>300000</v>
      </c>
      <c r="L941" s="16">
        <f>'5월'!L110</f>
        <v>300000</v>
      </c>
      <c r="M941" s="16">
        <f>'5월'!M110</f>
        <v>30000</v>
      </c>
      <c r="N941" s="15">
        <f>'5월'!N110</f>
        <v>330000</v>
      </c>
      <c r="O941" s="5" t="str">
        <f>'5월'!O110</f>
        <v>완료(6/30)</v>
      </c>
      <c r="P941" s="175" t="str">
        <f>'5월'!P110</f>
        <v>정지우</v>
      </c>
      <c r="Q941" s="5">
        <f>'5월'!Q110</f>
        <v>45797</v>
      </c>
      <c r="R941" s="213"/>
    </row>
    <row r="942" spans="1:21" ht="16.5" customHeight="1">
      <c r="A942" t="s">
        <v>64</v>
      </c>
      <c r="B942" s="10" t="str">
        <f>'5월'!B111</f>
        <v>SM-24021</v>
      </c>
      <c r="C942" s="12"/>
      <c r="D942" s="13">
        <f>'5월'!D111</f>
        <v>45807</v>
      </c>
      <c r="E942" s="155" t="str">
        <f>'5월'!E111</f>
        <v>더파트</v>
      </c>
      <c r="F942" s="155" t="str">
        <f>'5월'!F111</f>
        <v>에이캐피탈</v>
      </c>
      <c r="G942" s="156" t="str">
        <f>'5월'!G111</f>
        <v>MA</v>
      </c>
      <c r="H942" s="156" t="str">
        <f>'5월'!H111</f>
        <v>월간</v>
      </c>
      <c r="I942" s="69" t="str">
        <f>'5월'!I111</f>
        <v>소산 서비스대행 5월분 - 9/12회</v>
      </c>
      <c r="J942" s="122">
        <f>'5월'!J111</f>
        <v>1</v>
      </c>
      <c r="K942" s="15">
        <f>'5월'!K111</f>
        <v>810000</v>
      </c>
      <c r="L942" s="16">
        <f>'5월'!L111</f>
        <v>810000</v>
      </c>
      <c r="M942" s="16">
        <f>'5월'!M111</f>
        <v>81000</v>
      </c>
      <c r="N942" s="15">
        <f>'5월'!N111</f>
        <v>891000</v>
      </c>
      <c r="O942" s="5" t="str">
        <f>'5월'!O111</f>
        <v>완료(6/30)</v>
      </c>
      <c r="P942" s="174" t="str">
        <f>'5월'!P111</f>
        <v>이예지</v>
      </c>
      <c r="Q942" s="5">
        <f>'5월'!Q111</f>
        <v>45813</v>
      </c>
      <c r="R942" s="209"/>
      <c r="T942" s="11"/>
    </row>
    <row r="943" spans="1:21" ht="16.5" customHeight="1">
      <c r="A943" t="s">
        <v>64</v>
      </c>
      <c r="B943" s="10" t="str">
        <f>'5월'!B112</f>
        <v>SM-24003</v>
      </c>
      <c r="C943" s="198"/>
      <c r="D943" s="13">
        <f>'5월'!D112</f>
        <v>45807</v>
      </c>
      <c r="E943" s="199" t="str">
        <f>'5월'!E112</f>
        <v>유니와이드</v>
      </c>
      <c r="F943" s="199" t="str">
        <f>'5월'!F112</f>
        <v>삼표산업</v>
      </c>
      <c r="G943" s="157" t="str">
        <f>'5월'!G112</f>
        <v>MA</v>
      </c>
      <c r="H943" s="157" t="str">
        <f>'5월'!H112</f>
        <v>월간</v>
      </c>
      <c r="I943" s="69" t="str">
        <f>'5월'!I112</f>
        <v>5월 유지정비료 - 4/12회</v>
      </c>
      <c r="J943" s="201">
        <f>'5월'!J112</f>
        <v>1</v>
      </c>
      <c r="K943" s="15">
        <f>'5월'!K112</f>
        <v>290000</v>
      </c>
      <c r="L943" s="16">
        <f>'5월'!L112</f>
        <v>290000</v>
      </c>
      <c r="M943" s="16">
        <f>'5월'!M112</f>
        <v>29000</v>
      </c>
      <c r="N943" s="15">
        <f>'5월'!N112</f>
        <v>319000</v>
      </c>
      <c r="O943" s="5" t="str">
        <f>'5월'!O112</f>
        <v>완료(6/30)</v>
      </c>
      <c r="P943" s="175" t="str">
        <f>'5월'!P112</f>
        <v>홍승민</v>
      </c>
      <c r="Q943" s="5">
        <f>'5월'!Q112</f>
        <v>45807</v>
      </c>
      <c r="R943" s="213"/>
      <c r="U943" s="11"/>
    </row>
    <row r="944" spans="1:21" ht="16.5" customHeight="1">
      <c r="A944" t="s">
        <v>64</v>
      </c>
      <c r="B944" s="10" t="str">
        <f>'5월'!B113</f>
        <v>SM-25024</v>
      </c>
      <c r="C944" s="12"/>
      <c r="D944" s="13">
        <f>'5월'!D113</f>
        <v>45807</v>
      </c>
      <c r="E944" s="155" t="str">
        <f>'5월'!E113</f>
        <v>코오롱베니트</v>
      </c>
      <c r="F944" s="155" t="str">
        <f>'5월'!F113</f>
        <v>TESEDI</v>
      </c>
      <c r="G944" s="156" t="str">
        <f>'5월'!G113</f>
        <v>MA</v>
      </c>
      <c r="H944" s="156" t="str">
        <f>'5월'!H113</f>
        <v>연간</v>
      </c>
      <c r="I944" s="69" t="str">
        <f>'5월'!I113</f>
        <v>ERNST &amp; YOUNG(한영회계법인) NW스위치 워런티 연장</v>
      </c>
      <c r="J944" s="122">
        <f>'5월'!J113</f>
        <v>1</v>
      </c>
      <c r="K944" s="15">
        <f>'5월'!K113</f>
        <v>1850000</v>
      </c>
      <c r="L944" s="16">
        <f>'5월'!L113</f>
        <v>1850000</v>
      </c>
      <c r="M944" s="16">
        <f>'5월'!M113</f>
        <v>185000</v>
      </c>
      <c r="N944" s="15">
        <f>'5월'!N113</f>
        <v>2035000</v>
      </c>
      <c r="O944" s="5" t="str">
        <f>'5월'!O113</f>
        <v>완료(6/30)</v>
      </c>
      <c r="P944" s="9" t="str">
        <f>'5월'!P113</f>
        <v>천범석</v>
      </c>
      <c r="Q944" s="5">
        <f>'5월'!Q113</f>
        <v>45792</v>
      </c>
      <c r="R944" s="213"/>
    </row>
    <row r="945" spans="1:20" ht="16.5" customHeight="1">
      <c r="A945" t="s">
        <v>64</v>
      </c>
      <c r="B945" s="10" t="str">
        <f>'5월'!B114</f>
        <v>Y250424-01</v>
      </c>
      <c r="C945" s="12"/>
      <c r="D945" s="13">
        <f>'5월'!D114</f>
        <v>45807</v>
      </c>
      <c r="E945" s="155" t="str">
        <f>'5월'!E114</f>
        <v>씨플랫폼</v>
      </c>
      <c r="F945" s="155" t="str">
        <f>'5월'!F114</f>
        <v>삼표산업</v>
      </c>
      <c r="G945" s="156" t="str">
        <f>'5월'!G114</f>
        <v>상품</v>
      </c>
      <c r="H945" s="156" t="str">
        <f>'5월'!H114</f>
        <v>RH00004</v>
      </c>
      <c r="I945" s="69" t="str">
        <f>'5월'!I114</f>
        <v>Red Hat Enterprise Linux Server, Standard (Physical or Virtual Nodes)</v>
      </c>
      <c r="J945" s="122">
        <f>'5월'!J114</f>
        <v>1</v>
      </c>
      <c r="K945" s="15">
        <f>'5월'!K114</f>
        <v>1250000</v>
      </c>
      <c r="L945" s="16">
        <f>'5월'!L114</f>
        <v>1250000</v>
      </c>
      <c r="M945" s="16">
        <f>'5월'!M114</f>
        <v>125000</v>
      </c>
      <c r="N945" s="15">
        <f>'5월'!N114</f>
        <v>1375000</v>
      </c>
      <c r="O945" s="5" t="str">
        <f>'5월'!O114</f>
        <v>완료(8/11)</v>
      </c>
      <c r="P945" s="9" t="str">
        <f>'5월'!P114</f>
        <v>홍승민</v>
      </c>
      <c r="Q945" s="5">
        <f>'5월'!Q114</f>
        <v>45777</v>
      </c>
      <c r="R945" s="209"/>
    </row>
    <row r="946" spans="1:20" ht="16.5" customHeight="1">
      <c r="A946" t="s">
        <v>64</v>
      </c>
      <c r="B946" s="141" t="str">
        <f>'5월'!B115</f>
        <v>X</v>
      </c>
      <c r="C946" s="12"/>
      <c r="D946" s="13">
        <f>'5월'!D115</f>
        <v>45808</v>
      </c>
      <c r="E946" s="155" t="str">
        <f>'5월'!E115</f>
        <v>신한회계법인</v>
      </c>
      <c r="F946" s="163"/>
      <c r="G946" s="156" t="str">
        <f>'5월'!G115</f>
        <v>일반경비</v>
      </c>
      <c r="H946" s="157" t="str">
        <f>'5월'!H115</f>
        <v>지급수수료</v>
      </c>
      <c r="I946" s="159" t="str">
        <f>'5월'!I115</f>
        <v>5월 기장료</v>
      </c>
      <c r="J946" s="124">
        <f>'5월'!J115</f>
        <v>1</v>
      </c>
      <c r="K946" s="188">
        <f>'5월'!K115</f>
        <v>200000</v>
      </c>
      <c r="L946" s="15">
        <f>'5월'!L115</f>
        <v>200000</v>
      </c>
      <c r="M946" s="15">
        <f>'5월'!M115</f>
        <v>20000</v>
      </c>
      <c r="N946" s="15">
        <f>'5월'!N115</f>
        <v>220000</v>
      </c>
      <c r="O946" s="5" t="str">
        <f>'5월'!O115</f>
        <v>완료(6/16)</v>
      </c>
      <c r="P946" s="175" t="str">
        <f>'5월'!P115</f>
        <v>정지우</v>
      </c>
      <c r="Q946" s="68" t="str">
        <f>'5월'!Q115</f>
        <v>X</v>
      </c>
      <c r="R946" s="211"/>
      <c r="S946" s="7"/>
      <c r="T946" s="11"/>
    </row>
    <row r="947" spans="1:20" ht="16.5" customHeight="1">
      <c r="A947" t="s">
        <v>64</v>
      </c>
      <c r="B947" s="141" t="str">
        <f>'5월'!B116</f>
        <v>X</v>
      </c>
      <c r="C947" s="142"/>
      <c r="D947" s="13">
        <f>'5월'!D116</f>
        <v>45808</v>
      </c>
      <c r="E947" s="155" t="str">
        <f>'5월'!E116</f>
        <v>비와이씨하이시티입주사대표회</v>
      </c>
      <c r="F947" s="163"/>
      <c r="G947" s="156" t="str">
        <f>'5월'!G116</f>
        <v>일반경비</v>
      </c>
      <c r="H947" s="156" t="str">
        <f>'5월'!H116</f>
        <v>건물관리</v>
      </c>
      <c r="I947" s="69" t="str">
        <f>'5월'!I116</f>
        <v>B동 1201호 5월 관리비 -과세분</v>
      </c>
      <c r="J947" s="124">
        <f>'5월'!J116</f>
        <v>1</v>
      </c>
      <c r="K947" s="16">
        <f>'5월'!K116</f>
        <v>417565</v>
      </c>
      <c r="L947" s="16">
        <f>'5월'!L116</f>
        <v>417565</v>
      </c>
      <c r="M947" s="15">
        <f>'5월'!M116</f>
        <v>41756</v>
      </c>
      <c r="N947" s="15">
        <f>'5월'!N116</f>
        <v>459321</v>
      </c>
      <c r="O947" s="5" t="str">
        <f>'5월'!O116</f>
        <v>완료(6/10)</v>
      </c>
      <c r="P947" s="175" t="str">
        <f>'5월'!P116</f>
        <v>정지우</v>
      </c>
      <c r="Q947" s="68" t="str">
        <f>'5월'!Q116</f>
        <v>X</v>
      </c>
      <c r="R947" s="212"/>
      <c r="S947" s="7"/>
    </row>
    <row r="948" spans="1:20" ht="16.5" customHeight="1">
      <c r="A948" t="s">
        <v>64</v>
      </c>
      <c r="B948" s="141" t="str">
        <f>'5월'!B117</f>
        <v>X</v>
      </c>
      <c r="C948" s="142"/>
      <c r="D948" s="13">
        <f>'5월'!D117</f>
        <v>45808</v>
      </c>
      <c r="E948" s="155" t="str">
        <f>'5월'!E117</f>
        <v>비와이씨하이시티입주사대표회</v>
      </c>
      <c r="F948" s="155"/>
      <c r="G948" s="156" t="str">
        <f>'5월'!G117</f>
        <v>일반경비</v>
      </c>
      <c r="H948" s="156" t="str">
        <f>'5월'!H117</f>
        <v>건물관리</v>
      </c>
      <c r="I948" s="69" t="str">
        <f>'5월'!I117</f>
        <v>B동 1201호 5월 관리비 -면세분</v>
      </c>
      <c r="J948" s="124">
        <f>'5월'!J117</f>
        <v>1</v>
      </c>
      <c r="K948" s="16">
        <f>'5월'!K117</f>
        <v>92575</v>
      </c>
      <c r="L948" s="16">
        <f>'5월'!L117</f>
        <v>92575</v>
      </c>
      <c r="M948" s="15" t="str">
        <f>'5월'!M117</f>
        <v>X</v>
      </c>
      <c r="N948" s="15">
        <f>'5월'!N117</f>
        <v>92575</v>
      </c>
      <c r="O948" s="5" t="str">
        <f>'5월'!O117</f>
        <v>완료(6/10)</v>
      </c>
      <c r="P948" s="175" t="str">
        <f>'5월'!P117</f>
        <v>정지우</v>
      </c>
      <c r="Q948" s="68" t="str">
        <f>'5월'!Q117</f>
        <v>X</v>
      </c>
      <c r="R948" s="212" t="str">
        <f>'5월'!R117</f>
        <v>비과세</v>
      </c>
      <c r="S948" s="7"/>
    </row>
    <row r="949" spans="1:20" ht="16.5" customHeight="1">
      <c r="A949" t="s">
        <v>64</v>
      </c>
      <c r="B949" s="140" t="str">
        <f>'5월'!B118</f>
        <v>SM-24021</v>
      </c>
      <c r="C949" s="12"/>
      <c r="D949" s="13">
        <f>'5월'!D118</f>
        <v>45808</v>
      </c>
      <c r="E949" s="155" t="str">
        <f>'5월'!E118</f>
        <v>에스엔에이</v>
      </c>
      <c r="F949" s="163" t="str">
        <f>'5월'!F118</f>
        <v>에이캐피탈</v>
      </c>
      <c r="G949" s="157" t="str">
        <f>'5월'!G118</f>
        <v>MA</v>
      </c>
      <c r="H949" s="157" t="str">
        <f>'5월'!H118</f>
        <v>월간</v>
      </c>
      <c r="I949" s="159" t="str">
        <f>'5월'!I118</f>
        <v>5월 파트 계약 - 9/12회</v>
      </c>
      <c r="J949" s="124">
        <f>'5월'!J118</f>
        <v>1</v>
      </c>
      <c r="K949" s="188">
        <f>'5월'!K118</f>
        <v>300000</v>
      </c>
      <c r="L949" s="15">
        <f>'5월'!L118</f>
        <v>300000</v>
      </c>
      <c r="M949" s="15">
        <f>'5월'!M118</f>
        <v>30000</v>
      </c>
      <c r="N949" s="15">
        <f>'5월'!N118</f>
        <v>330000</v>
      </c>
      <c r="O949" s="5" t="str">
        <f>'5월'!O118</f>
        <v>완료(7/31)</v>
      </c>
      <c r="P949" s="174" t="str">
        <f>'5월'!P118</f>
        <v>이예지</v>
      </c>
      <c r="Q949" s="5">
        <f>'5월'!Q118</f>
        <v>45813</v>
      </c>
      <c r="R949" s="211"/>
      <c r="S949" s="7"/>
      <c r="T949" s="11"/>
    </row>
    <row r="950" spans="1:20" ht="16.5" customHeight="1">
      <c r="A950" t="s">
        <v>64</v>
      </c>
      <c r="B950" s="141" t="str">
        <f>'5월'!B119</f>
        <v>X</v>
      </c>
      <c r="C950" s="12"/>
      <c r="D950" s="13">
        <f>'5월'!D119</f>
        <v>45808</v>
      </c>
      <c r="E950" s="155" t="str">
        <f>'5월'!E119</f>
        <v>아이디플라워</v>
      </c>
      <c r="F950" s="155"/>
      <c r="G950" s="156" t="str">
        <f>'5월'!G119</f>
        <v>일반경비</v>
      </c>
      <c r="H950" s="156" t="str">
        <f>'5월'!H119</f>
        <v>접대비</v>
      </c>
      <c r="I950" s="69" t="str">
        <f>'5월'!I119</f>
        <v>거래처 경조 화환 - 2건</v>
      </c>
      <c r="J950" s="122">
        <f>'5월'!J119</f>
        <v>1</v>
      </c>
      <c r="K950" s="15">
        <f>'5월'!K119</f>
        <v>160000</v>
      </c>
      <c r="L950" s="16">
        <f>'5월'!L119</f>
        <v>160000</v>
      </c>
      <c r="M950" s="16" t="str">
        <f>'5월'!M119</f>
        <v>X</v>
      </c>
      <c r="N950" s="15">
        <f>'5월'!N119</f>
        <v>160000</v>
      </c>
      <c r="O950" s="5" t="str">
        <f>'5월'!O119</f>
        <v>완료(6/16)</v>
      </c>
      <c r="P950" s="175" t="str">
        <f>'5월'!P119</f>
        <v>정지우</v>
      </c>
      <c r="Q950" s="100" t="str">
        <f>'5월'!Q119</f>
        <v>X</v>
      </c>
      <c r="R950" s="212" t="str">
        <f>'5월'!R119</f>
        <v>비과세</v>
      </c>
    </row>
    <row r="951" spans="1:20" ht="16.5" customHeight="1">
      <c r="A951" t="s">
        <v>64</v>
      </c>
      <c r="B951" s="141" t="str">
        <f>'5월'!B120</f>
        <v>SM-24003</v>
      </c>
      <c r="C951" s="142"/>
      <c r="D951" s="13">
        <f>'5월'!D120</f>
        <v>45808</v>
      </c>
      <c r="E951" s="155" t="str">
        <f>'5월'!E120</f>
        <v>트리거정보기술</v>
      </c>
      <c r="F951" s="155" t="str">
        <f>'5월'!F120</f>
        <v>삼표산업</v>
      </c>
      <c r="G951" s="157" t="str">
        <f>'5월'!G120</f>
        <v>MA</v>
      </c>
      <c r="H951" s="157" t="str">
        <f>'5월'!H120</f>
        <v>월간</v>
      </c>
      <c r="I951" s="69" t="str">
        <f>'5월'!I120</f>
        <v>삼표시멘트 5월 유지정비료 5/12회</v>
      </c>
      <c r="J951" s="124">
        <f>'5월'!J120</f>
        <v>1</v>
      </c>
      <c r="K951" s="16">
        <f>'5월'!K120</f>
        <v>700000</v>
      </c>
      <c r="L951" s="16">
        <f>'5월'!L120</f>
        <v>700000</v>
      </c>
      <c r="M951" s="16">
        <f>'5월'!M120</f>
        <v>70000</v>
      </c>
      <c r="N951" s="15">
        <f>'5월'!N120</f>
        <v>770000</v>
      </c>
      <c r="O951" s="5" t="str">
        <f>'5월'!O120</f>
        <v>완료(6/30)</v>
      </c>
      <c r="P951" s="177" t="str">
        <f>'5월'!P120</f>
        <v>홍승민</v>
      </c>
      <c r="Q951" s="5">
        <f>'5월'!Q120</f>
        <v>45807</v>
      </c>
      <c r="R951" s="212"/>
      <c r="S951" s="7"/>
      <c r="T951" s="11"/>
    </row>
    <row r="952" spans="1:20" ht="16.5" customHeight="1">
      <c r="A952" t="s">
        <v>64</v>
      </c>
      <c r="B952" s="141" t="str">
        <f>'5월'!B121</f>
        <v>X</v>
      </c>
      <c r="C952" s="142"/>
      <c r="D952" s="13">
        <f>'5월'!D121</f>
        <v>45808</v>
      </c>
      <c r="E952" s="155" t="str">
        <f>'5월'!E121</f>
        <v>시우운수</v>
      </c>
      <c r="F952" s="155"/>
      <c r="G952" s="156" t="str">
        <f>'5월'!G121</f>
        <v>상품</v>
      </c>
      <c r="H952" s="156" t="str">
        <f>'5월'!H121</f>
        <v>운반비</v>
      </c>
      <c r="I952" s="159" t="str">
        <f>'5월'!I121</f>
        <v>로젠택배 5월 택배비(4건)</v>
      </c>
      <c r="J952" s="124">
        <f>'5월'!J121</f>
        <v>1</v>
      </c>
      <c r="K952" s="16">
        <f>'5월'!K121</f>
        <v>13818</v>
      </c>
      <c r="L952" s="15">
        <f>'5월'!L121</f>
        <v>13818</v>
      </c>
      <c r="M952" s="15">
        <f>'5월'!M121</f>
        <v>1382</v>
      </c>
      <c r="N952" s="15">
        <f>'5월'!N121</f>
        <v>15200</v>
      </c>
      <c r="O952" s="5" t="str">
        <f>'5월'!O121</f>
        <v>완료(6/10)</v>
      </c>
      <c r="P952" s="175" t="str">
        <f>'5월'!P121</f>
        <v>정지우</v>
      </c>
      <c r="Q952" s="68" t="str">
        <f>'5월'!Q121</f>
        <v>X</v>
      </c>
      <c r="R952" s="212"/>
      <c r="S952" s="7"/>
    </row>
    <row r="953" spans="1:20" ht="16.5" customHeight="1">
      <c r="A953" t="s">
        <v>64</v>
      </c>
      <c r="B953" s="141" t="str">
        <f>'5월'!B122</f>
        <v>X</v>
      </c>
      <c r="C953" s="12"/>
      <c r="D953" s="13">
        <f>'5월'!D122</f>
        <v>45808</v>
      </c>
      <c r="E953" s="155" t="str">
        <f>'5월'!E122</f>
        <v>웹케시</v>
      </c>
      <c r="F953" s="155"/>
      <c r="G953" s="156" t="str">
        <f>'5월'!G122</f>
        <v>일반경비</v>
      </c>
      <c r="H953" s="157" t="str">
        <f>'5월'!H122</f>
        <v>지급수수료</v>
      </c>
      <c r="I953" s="69" t="str">
        <f>'5월'!I122</f>
        <v>s-erp 5월사용분</v>
      </c>
      <c r="J953" s="122">
        <f>'5월'!J122</f>
        <v>1</v>
      </c>
      <c r="K953" s="15">
        <f>'5월'!K122</f>
        <v>69000</v>
      </c>
      <c r="L953" s="16">
        <f>'5월'!L122</f>
        <v>69000</v>
      </c>
      <c r="M953" s="15">
        <f>'5월'!M122</f>
        <v>6900</v>
      </c>
      <c r="N953" s="15">
        <f>'5월'!N122</f>
        <v>75900</v>
      </c>
      <c r="O953" s="5" t="str">
        <f>'5월'!O122</f>
        <v>자동이체(6/10)</v>
      </c>
      <c r="P953" s="175" t="str">
        <f>'5월'!P122</f>
        <v>정지우</v>
      </c>
      <c r="Q953" s="68" t="str">
        <f>'5월'!Q122</f>
        <v>X</v>
      </c>
      <c r="R953" s="209"/>
      <c r="T953" s="11"/>
    </row>
    <row r="954" spans="1:20" ht="16.5" customHeight="1">
      <c r="A954" t="s">
        <v>64</v>
      </c>
      <c r="B954" s="141" t="str">
        <f>'5월'!B123</f>
        <v>X</v>
      </c>
      <c r="C954" s="142"/>
      <c r="D954" s="13">
        <f>'5월'!D123</f>
        <v>45808</v>
      </c>
      <c r="E954" s="155" t="str">
        <f>'5월'!E123</f>
        <v>퀵서비스_전국화물</v>
      </c>
      <c r="F954" s="155"/>
      <c r="G954" s="156" t="str">
        <f>'5월'!G123</f>
        <v>상품</v>
      </c>
      <c r="H954" s="157" t="str">
        <f>'5월'!H123</f>
        <v>운반비</v>
      </c>
      <c r="I954" s="159" t="str">
        <f>'5월'!I123</f>
        <v>5월 퀵운송료</v>
      </c>
      <c r="J954" s="124">
        <f>'5월'!J123</f>
        <v>1</v>
      </c>
      <c r="K954" s="16">
        <f>'5월'!K123</f>
        <v>233000</v>
      </c>
      <c r="L954" s="188">
        <f>'5월'!L123</f>
        <v>233000</v>
      </c>
      <c r="M954" s="15">
        <f>'5월'!M123</f>
        <v>23300</v>
      </c>
      <c r="N954" s="15">
        <f>'5월'!N123</f>
        <v>256300</v>
      </c>
      <c r="O954" s="5" t="str">
        <f>'5월'!O123</f>
        <v>완료(6/16)</v>
      </c>
      <c r="P954" s="175" t="str">
        <f>'5월'!P123</f>
        <v>정지우</v>
      </c>
      <c r="Q954" s="68" t="str">
        <f>'5월'!Q123</f>
        <v>X</v>
      </c>
      <c r="R954" s="212"/>
      <c r="S954" s="7"/>
    </row>
    <row r="955" spans="1:20" ht="16.5" customHeight="1">
      <c r="A955" t="s">
        <v>64</v>
      </c>
      <c r="B955" s="10" t="str">
        <f>'5월'!B124</f>
        <v>SB-25022</v>
      </c>
      <c r="C955" s="12" t="str">
        <f>'5월'!C124</f>
        <v>ZGHZZL</v>
      </c>
      <c r="D955" s="13">
        <f>'5월'!D124</f>
        <v>45786</v>
      </c>
      <c r="E955" s="155" t="str">
        <f>'5월'!E124</f>
        <v>성공글로벌테크놀로지코리아</v>
      </c>
      <c r="F955" s="155" t="str">
        <f>'5월'!F124</f>
        <v>시스게이트</v>
      </c>
      <c r="G955" s="156" t="str">
        <f>'5월'!G124</f>
        <v>MA</v>
      </c>
      <c r="H955" s="156" t="str">
        <f>'5월'!H124</f>
        <v>월간-성공</v>
      </c>
      <c r="I955" s="69" t="str">
        <f>'5월'!I124</f>
        <v>한국도로공사 23.10월 유지정비료 - 1/39회</v>
      </c>
      <c r="J955" s="122">
        <f>'5월'!J124</f>
        <v>1</v>
      </c>
      <c r="K955" s="15">
        <f>'5월'!K124</f>
        <v>26850</v>
      </c>
      <c r="L955" s="16">
        <f>'5월'!L124</f>
        <v>26850</v>
      </c>
      <c r="M955" s="16">
        <f>'5월'!M124</f>
        <v>2685</v>
      </c>
      <c r="N955" s="15">
        <f>'5월'!N124</f>
        <v>29535</v>
      </c>
      <c r="O955" s="5" t="str">
        <f>'5월'!O124</f>
        <v>완료(7/8)</v>
      </c>
      <c r="P955" s="9" t="str">
        <f>'5월'!P124</f>
        <v>천범석</v>
      </c>
      <c r="Q955" s="5">
        <f>'5월'!Q124</f>
        <v>45772</v>
      </c>
      <c r="R955" s="213" t="str">
        <f>'5월'!R124</f>
        <v>매출분기</v>
      </c>
    </row>
    <row r="956" spans="1:20" ht="16.5" customHeight="1">
      <c r="A956" t="s">
        <v>64</v>
      </c>
      <c r="B956" s="10" t="str">
        <f>'5월'!B125</f>
        <v>SB-25022</v>
      </c>
      <c r="C956" s="12" t="str">
        <f>'5월'!C125</f>
        <v>ZGHZZL</v>
      </c>
      <c r="D956" s="13">
        <f>'5월'!D125</f>
        <v>45786</v>
      </c>
      <c r="E956" s="155" t="str">
        <f>'5월'!E125</f>
        <v>성공글로벌테크놀로지코리아</v>
      </c>
      <c r="F956" s="155" t="str">
        <f>'5월'!F125</f>
        <v>시스게이트</v>
      </c>
      <c r="G956" s="156" t="str">
        <f>'5월'!G125</f>
        <v>MA</v>
      </c>
      <c r="H956" s="156" t="str">
        <f>'5월'!H125</f>
        <v>월간-성공</v>
      </c>
      <c r="I956" s="69" t="str">
        <f>'5월'!I125</f>
        <v>한국도로공사 23.11월 유지정비료 - 2/39회</v>
      </c>
      <c r="J956" s="122">
        <f>'5월'!J125</f>
        <v>1</v>
      </c>
      <c r="K956" s="15">
        <f>'5월'!K125</f>
        <v>184640</v>
      </c>
      <c r="L956" s="16">
        <f>'5월'!L125</f>
        <v>184640</v>
      </c>
      <c r="M956" s="16">
        <f>'5월'!M125</f>
        <v>18464</v>
      </c>
      <c r="N956" s="15">
        <f>'5월'!N125</f>
        <v>203104</v>
      </c>
      <c r="O956" s="5" t="str">
        <f>'5월'!O125</f>
        <v>완료(7/8)</v>
      </c>
      <c r="P956" s="9" t="str">
        <f>'5월'!P125</f>
        <v>천범석</v>
      </c>
      <c r="Q956" s="5">
        <f>'5월'!Q125</f>
        <v>45772</v>
      </c>
      <c r="R956" s="213" t="str">
        <f>'5월'!R125</f>
        <v>매출분기</v>
      </c>
    </row>
    <row r="957" spans="1:20" ht="16.5" customHeight="1">
      <c r="A957" t="s">
        <v>64</v>
      </c>
      <c r="B957" s="10" t="str">
        <f>'5월'!B126</f>
        <v>SB-25022</v>
      </c>
      <c r="C957" s="12" t="str">
        <f>'5월'!C126</f>
        <v>ZGHZZL</v>
      </c>
      <c r="D957" s="13">
        <f>'5월'!D126</f>
        <v>45786</v>
      </c>
      <c r="E957" s="155" t="str">
        <f>'5월'!E126</f>
        <v>성공글로벌테크놀로지코리아</v>
      </c>
      <c r="F957" s="155" t="str">
        <f>'5월'!F126</f>
        <v>시스게이트</v>
      </c>
      <c r="G957" s="156" t="str">
        <f>'5월'!G126</f>
        <v>MA</v>
      </c>
      <c r="H957" s="156" t="str">
        <f>'5월'!H126</f>
        <v>월간-성공</v>
      </c>
      <c r="I957" s="69" t="str">
        <f>'5월'!I126</f>
        <v>한국도로공사 23.12월 유지정비료 - 3/39회</v>
      </c>
      <c r="J957" s="122">
        <f>'5월'!J126</f>
        <v>1</v>
      </c>
      <c r="K957" s="15">
        <f>'5월'!K126</f>
        <v>867300</v>
      </c>
      <c r="L957" s="16">
        <f>'5월'!L126</f>
        <v>867300</v>
      </c>
      <c r="M957" s="16">
        <f>'5월'!M126</f>
        <v>86730</v>
      </c>
      <c r="N957" s="15">
        <f>'5월'!N126</f>
        <v>954030</v>
      </c>
      <c r="O957" s="5" t="str">
        <f>'5월'!O126</f>
        <v>완료(7/8)</v>
      </c>
      <c r="P957" s="9" t="str">
        <f>'5월'!P126</f>
        <v>천범석</v>
      </c>
      <c r="Q957" s="5">
        <f>'5월'!Q126</f>
        <v>45772</v>
      </c>
      <c r="R957" s="213" t="str">
        <f>'5월'!R126</f>
        <v>매출분기</v>
      </c>
    </row>
    <row r="958" spans="1:20" ht="16.5" customHeight="1">
      <c r="A958" t="s">
        <v>64</v>
      </c>
      <c r="B958" s="10" t="str">
        <f>'5월'!B127</f>
        <v>SB-25022</v>
      </c>
      <c r="C958" s="12" t="str">
        <f>'5월'!C127</f>
        <v>ZGHZZL</v>
      </c>
      <c r="D958" s="13">
        <f>'5월'!D127</f>
        <v>45786</v>
      </c>
      <c r="E958" s="155" t="str">
        <f>'5월'!E127</f>
        <v>성공글로벌테크놀로지코리아</v>
      </c>
      <c r="F958" s="155" t="str">
        <f>'5월'!F127</f>
        <v>시스게이트</v>
      </c>
      <c r="G958" s="156" t="str">
        <f>'5월'!G127</f>
        <v>MA</v>
      </c>
      <c r="H958" s="156" t="str">
        <f>'5월'!H127</f>
        <v>월간-성공</v>
      </c>
      <c r="I958" s="69" t="str">
        <f>'5월'!I127</f>
        <v>한국도로공사 24.1월 유지정비료 - 4/37회</v>
      </c>
      <c r="J958" s="124">
        <f>'5월'!J127</f>
        <v>1</v>
      </c>
      <c r="K958" s="15">
        <f>'5월'!K127</f>
        <v>867300</v>
      </c>
      <c r="L958" s="16">
        <f>'5월'!L127</f>
        <v>867300</v>
      </c>
      <c r="M958" s="16">
        <f>'5월'!M127</f>
        <v>86730</v>
      </c>
      <c r="N958" s="15">
        <f>'5월'!N127</f>
        <v>954030</v>
      </c>
      <c r="O958" s="5" t="str">
        <f>'5월'!O127</f>
        <v>완료(7/8)</v>
      </c>
      <c r="P958" s="9" t="str">
        <f>'5월'!P127</f>
        <v>천범석</v>
      </c>
      <c r="Q958" s="5">
        <f>'5월'!Q127</f>
        <v>45772</v>
      </c>
      <c r="R958" s="213" t="str">
        <f>'5월'!R127</f>
        <v>매출분기</v>
      </c>
    </row>
    <row r="959" spans="1:20" ht="16.5" customHeight="1">
      <c r="A959" t="s">
        <v>64</v>
      </c>
      <c r="B959" s="10" t="str">
        <f>'5월'!B128</f>
        <v>SB-25022</v>
      </c>
      <c r="C959" s="12" t="str">
        <f>'5월'!C128</f>
        <v>ZGHZZL</v>
      </c>
      <c r="D959" s="13">
        <f>'5월'!D128</f>
        <v>45786</v>
      </c>
      <c r="E959" s="155" t="str">
        <f>'5월'!E128</f>
        <v>성공글로벌테크놀로지코리아</v>
      </c>
      <c r="F959" s="155" t="str">
        <f>'5월'!F128</f>
        <v>시스게이트</v>
      </c>
      <c r="G959" s="156" t="str">
        <f>'5월'!G128</f>
        <v>MA</v>
      </c>
      <c r="H959" s="156" t="str">
        <f>'5월'!H128</f>
        <v>월간-성공</v>
      </c>
      <c r="I959" s="69" t="str">
        <f>'5월'!I128</f>
        <v>한국도로공사 24.2월 유지정비료 - 5/37회</v>
      </c>
      <c r="J959" s="124">
        <f>'5월'!J128</f>
        <v>1</v>
      </c>
      <c r="K959" s="15">
        <f>'5월'!K128</f>
        <v>867300</v>
      </c>
      <c r="L959" s="16">
        <f>'5월'!L128</f>
        <v>867300</v>
      </c>
      <c r="M959" s="16">
        <f>'5월'!M128</f>
        <v>86730</v>
      </c>
      <c r="N959" s="15">
        <f>'5월'!N128</f>
        <v>954030</v>
      </c>
      <c r="O959" s="5" t="str">
        <f>'5월'!O128</f>
        <v>완료(7/8)</v>
      </c>
      <c r="P959" s="9" t="str">
        <f>'5월'!P128</f>
        <v>천범석</v>
      </c>
      <c r="Q959" s="5">
        <f>'5월'!Q128</f>
        <v>45772</v>
      </c>
      <c r="R959" s="213" t="str">
        <f>'5월'!R128</f>
        <v>매출분기</v>
      </c>
    </row>
    <row r="960" spans="1:20" ht="16.5" customHeight="1">
      <c r="A960" t="s">
        <v>64</v>
      </c>
      <c r="B960" s="10" t="str">
        <f>'5월'!B129</f>
        <v>SB-25022</v>
      </c>
      <c r="C960" s="12" t="str">
        <f>'5월'!C129</f>
        <v>ZGHZZL</v>
      </c>
      <c r="D960" s="13">
        <f>'5월'!D129</f>
        <v>45786</v>
      </c>
      <c r="E960" s="155" t="str">
        <f>'5월'!E129</f>
        <v>성공글로벌테크놀로지코리아</v>
      </c>
      <c r="F960" s="155" t="str">
        <f>'5월'!F129</f>
        <v>시스게이트</v>
      </c>
      <c r="G960" s="156" t="str">
        <f>'5월'!G129</f>
        <v>MA</v>
      </c>
      <c r="H960" s="156" t="str">
        <f>'5월'!H129</f>
        <v>월간-성공</v>
      </c>
      <c r="I960" s="69" t="str">
        <f>'5월'!I129</f>
        <v>한국도로공사 24.3월 유지정비료 - 6/37회</v>
      </c>
      <c r="J960" s="124">
        <f>'5월'!J129</f>
        <v>1</v>
      </c>
      <c r="K960" s="15">
        <f>'5월'!K129</f>
        <v>867300</v>
      </c>
      <c r="L960" s="16">
        <f>'5월'!L129</f>
        <v>867300</v>
      </c>
      <c r="M960" s="16">
        <f>'5월'!M129</f>
        <v>86730</v>
      </c>
      <c r="N960" s="15">
        <f>'5월'!N129</f>
        <v>954030</v>
      </c>
      <c r="O960" s="5" t="str">
        <f>'5월'!O129</f>
        <v>완료(7/8)</v>
      </c>
      <c r="P960" s="9" t="str">
        <f>'5월'!P129</f>
        <v>천범석</v>
      </c>
      <c r="Q960" s="5">
        <f>'5월'!Q129</f>
        <v>45772</v>
      </c>
      <c r="R960" s="213" t="str">
        <f>'5월'!R129</f>
        <v>매출분기</v>
      </c>
    </row>
    <row r="961" spans="1:18" ht="16.5" customHeight="1">
      <c r="A961" t="s">
        <v>64</v>
      </c>
      <c r="B961" s="10" t="str">
        <f>'5월'!B130</f>
        <v>SB-25022</v>
      </c>
      <c r="C961" s="12" t="str">
        <f>'5월'!C130</f>
        <v>ZGHZZL</v>
      </c>
      <c r="D961" s="13">
        <f>'5월'!D130</f>
        <v>45786</v>
      </c>
      <c r="E961" s="155" t="str">
        <f>'5월'!E130</f>
        <v>성공글로벌테크놀로지코리아</v>
      </c>
      <c r="F961" s="155" t="str">
        <f>'5월'!F130</f>
        <v>시스게이트</v>
      </c>
      <c r="G961" s="156" t="str">
        <f>'5월'!G130</f>
        <v>MA</v>
      </c>
      <c r="H961" s="156" t="str">
        <f>'5월'!H130</f>
        <v>월간-성공</v>
      </c>
      <c r="I961" s="69" t="str">
        <f>'5월'!I130</f>
        <v>한국도로공사 24.4월 유지정비료 - 7/37회</v>
      </c>
      <c r="J961" s="124">
        <f>'5월'!J130</f>
        <v>1</v>
      </c>
      <c r="K961" s="15">
        <f>'5월'!K130</f>
        <v>867300</v>
      </c>
      <c r="L961" s="16">
        <f>'5월'!L130</f>
        <v>867300</v>
      </c>
      <c r="M961" s="16">
        <f>'5월'!M130</f>
        <v>86730</v>
      </c>
      <c r="N961" s="15">
        <f>'5월'!N130</f>
        <v>954030</v>
      </c>
      <c r="O961" s="5" t="str">
        <f>'5월'!O130</f>
        <v>완료(7/8)</v>
      </c>
      <c r="P961" s="9" t="str">
        <f>'5월'!P130</f>
        <v>천범석</v>
      </c>
      <c r="Q961" s="5">
        <f>'5월'!Q130</f>
        <v>45772</v>
      </c>
      <c r="R961" s="213" t="str">
        <f>'5월'!R130</f>
        <v>매출분기</v>
      </c>
    </row>
    <row r="962" spans="1:18" ht="16.5" customHeight="1">
      <c r="A962" t="s">
        <v>64</v>
      </c>
      <c r="B962" s="10" t="str">
        <f>'5월'!B131</f>
        <v>SB-25022</v>
      </c>
      <c r="C962" s="12" t="str">
        <f>'5월'!C131</f>
        <v>ZGHZZL</v>
      </c>
      <c r="D962" s="13">
        <f>'5월'!D131</f>
        <v>45786</v>
      </c>
      <c r="E962" s="155" t="str">
        <f>'5월'!E131</f>
        <v>성공글로벌테크놀로지코리아</v>
      </c>
      <c r="F962" s="155" t="str">
        <f>'5월'!F131</f>
        <v>시스게이트</v>
      </c>
      <c r="G962" s="156" t="str">
        <f>'5월'!G131</f>
        <v>MA</v>
      </c>
      <c r="H962" s="156" t="str">
        <f>'5월'!H131</f>
        <v>월간-성공</v>
      </c>
      <c r="I962" s="69" t="str">
        <f>'5월'!I131</f>
        <v>한국도로공사 24.5월 유지정비료 - 8/37회</v>
      </c>
      <c r="J962" s="124">
        <f>'5월'!J131</f>
        <v>1</v>
      </c>
      <c r="K962" s="15">
        <f>'5월'!K131</f>
        <v>867300</v>
      </c>
      <c r="L962" s="16">
        <f>'5월'!L131</f>
        <v>867300</v>
      </c>
      <c r="M962" s="16">
        <f>'5월'!M131</f>
        <v>86730</v>
      </c>
      <c r="N962" s="15">
        <f>'5월'!N131</f>
        <v>954030</v>
      </c>
      <c r="O962" s="5" t="str">
        <f>'5월'!O131</f>
        <v>완료(7/8)</v>
      </c>
      <c r="P962" s="9" t="str">
        <f>'5월'!P131</f>
        <v>천범석</v>
      </c>
      <c r="Q962" s="5">
        <f>'5월'!Q131</f>
        <v>45772</v>
      </c>
      <c r="R962" s="213" t="str">
        <f>'5월'!R131</f>
        <v>매출분기</v>
      </c>
    </row>
    <row r="963" spans="1:18" ht="16.5" customHeight="1">
      <c r="A963" t="s">
        <v>64</v>
      </c>
      <c r="B963" s="10" t="str">
        <f>'5월'!B132</f>
        <v>SB-25022</v>
      </c>
      <c r="C963" s="12" t="str">
        <f>'5월'!C132</f>
        <v>ZGHZZL</v>
      </c>
      <c r="D963" s="13">
        <f>'5월'!D132</f>
        <v>45786</v>
      </c>
      <c r="E963" s="155" t="str">
        <f>'5월'!E132</f>
        <v>성공글로벌테크놀로지코리아</v>
      </c>
      <c r="F963" s="155" t="str">
        <f>'5월'!F132</f>
        <v>시스게이트</v>
      </c>
      <c r="G963" s="156" t="str">
        <f>'5월'!G132</f>
        <v>MA</v>
      </c>
      <c r="H963" s="156" t="str">
        <f>'5월'!H132</f>
        <v>월간-성공</v>
      </c>
      <c r="I963" s="69" t="str">
        <f>'5월'!I132</f>
        <v>한국도로공사 24.6월 유지정비료 - 9/37회</v>
      </c>
      <c r="J963" s="122">
        <f>'5월'!J132</f>
        <v>1</v>
      </c>
      <c r="K963" s="15">
        <f>'5월'!K132</f>
        <v>867300</v>
      </c>
      <c r="L963" s="16">
        <f>'5월'!L132</f>
        <v>867300</v>
      </c>
      <c r="M963" s="16">
        <f>'5월'!M132</f>
        <v>86730</v>
      </c>
      <c r="N963" s="15">
        <f>'5월'!N132</f>
        <v>954030</v>
      </c>
      <c r="O963" s="5" t="str">
        <f>'5월'!O132</f>
        <v>완료(7/8)</v>
      </c>
      <c r="P963" s="9" t="str">
        <f>'5월'!P132</f>
        <v>천범석</v>
      </c>
      <c r="Q963" s="5">
        <f>'5월'!Q132</f>
        <v>45772</v>
      </c>
      <c r="R963" s="213" t="str">
        <f>'5월'!R132</f>
        <v>매출분기</v>
      </c>
    </row>
    <row r="964" spans="1:18" ht="16.5" customHeight="1">
      <c r="A964" t="s">
        <v>64</v>
      </c>
      <c r="B964" s="10" t="str">
        <f>'5월'!B133</f>
        <v>SB-25022</v>
      </c>
      <c r="C964" s="12" t="str">
        <f>'5월'!C133</f>
        <v>ZGHZZL</v>
      </c>
      <c r="D964" s="13">
        <f>'5월'!D133</f>
        <v>45786</v>
      </c>
      <c r="E964" s="155" t="str">
        <f>'5월'!E133</f>
        <v>성공글로벌테크놀로지코리아</v>
      </c>
      <c r="F964" s="155" t="str">
        <f>'5월'!F133</f>
        <v>시스게이트</v>
      </c>
      <c r="G964" s="156" t="str">
        <f>'5월'!G133</f>
        <v>MA</v>
      </c>
      <c r="H964" s="156" t="str">
        <f>'5월'!H133</f>
        <v>월간-성공</v>
      </c>
      <c r="I964" s="69" t="str">
        <f>'5월'!I133</f>
        <v>한국도로공사 24.7월 유지정비료 - 10/37회</v>
      </c>
      <c r="J964" s="122">
        <f>'5월'!J133</f>
        <v>1</v>
      </c>
      <c r="K964" s="15">
        <f>'5월'!K133</f>
        <v>867300</v>
      </c>
      <c r="L964" s="16">
        <f>'5월'!L133</f>
        <v>867300</v>
      </c>
      <c r="M964" s="16">
        <f>'5월'!M133</f>
        <v>86730</v>
      </c>
      <c r="N964" s="15">
        <f>'5월'!N133</f>
        <v>954030</v>
      </c>
      <c r="O964" s="5" t="str">
        <f>'5월'!O133</f>
        <v>완료(7/8)</v>
      </c>
      <c r="P964" s="9" t="str">
        <f>'5월'!P133</f>
        <v>천범석</v>
      </c>
      <c r="Q964" s="5">
        <f>'5월'!Q133</f>
        <v>45772</v>
      </c>
      <c r="R964" s="213" t="str">
        <f>'5월'!R133</f>
        <v>매출분기</v>
      </c>
    </row>
    <row r="965" spans="1:18" ht="16.5" customHeight="1">
      <c r="A965" t="s">
        <v>64</v>
      </c>
      <c r="B965" s="10" t="str">
        <f>'5월'!B134</f>
        <v>SB-25022</v>
      </c>
      <c r="C965" s="12" t="str">
        <f>'5월'!C134</f>
        <v>ZGHZZL</v>
      </c>
      <c r="D965" s="13">
        <f>'5월'!D134</f>
        <v>45786</v>
      </c>
      <c r="E965" s="155" t="str">
        <f>'5월'!E134</f>
        <v>성공글로벌테크놀로지코리아</v>
      </c>
      <c r="F965" s="155" t="str">
        <f>'5월'!F134</f>
        <v>시스게이트</v>
      </c>
      <c r="G965" s="156" t="str">
        <f>'5월'!G134</f>
        <v>MA</v>
      </c>
      <c r="H965" s="156" t="str">
        <f>'5월'!H134</f>
        <v>월간-성공</v>
      </c>
      <c r="I965" s="69" t="str">
        <f>'5월'!I134</f>
        <v>한국도로공사 24.8월 유지정비료 - 11/37회</v>
      </c>
      <c r="J965" s="124">
        <f>'5월'!J134</f>
        <v>1</v>
      </c>
      <c r="K965" s="15">
        <f>'5월'!K134</f>
        <v>867300</v>
      </c>
      <c r="L965" s="16">
        <f>'5월'!L134</f>
        <v>867300</v>
      </c>
      <c r="M965" s="16">
        <f>'5월'!M134</f>
        <v>86730</v>
      </c>
      <c r="N965" s="15">
        <f>'5월'!N134</f>
        <v>954030</v>
      </c>
      <c r="O965" s="5" t="str">
        <f>'5월'!O134</f>
        <v>완료(7/8)</v>
      </c>
      <c r="P965" s="9" t="str">
        <f>'5월'!P134</f>
        <v>천범석</v>
      </c>
      <c r="Q965" s="5">
        <f>'5월'!Q134</f>
        <v>45772</v>
      </c>
      <c r="R965" s="213" t="str">
        <f>'5월'!R134</f>
        <v>매출분기</v>
      </c>
    </row>
    <row r="966" spans="1:18" ht="16.5" customHeight="1">
      <c r="A966" t="s">
        <v>64</v>
      </c>
      <c r="B966" s="10" t="str">
        <f>'5월'!B135</f>
        <v>SB-25022</v>
      </c>
      <c r="C966" s="12" t="str">
        <f>'5월'!C135</f>
        <v>ZGHZZL</v>
      </c>
      <c r="D966" s="13">
        <f>'5월'!D135</f>
        <v>45786</v>
      </c>
      <c r="E966" s="155" t="str">
        <f>'5월'!E135</f>
        <v>성공글로벌테크놀로지코리아</v>
      </c>
      <c r="F966" s="155" t="str">
        <f>'5월'!F135</f>
        <v>시스게이트</v>
      </c>
      <c r="G966" s="156" t="str">
        <f>'5월'!G135</f>
        <v>MA</v>
      </c>
      <c r="H966" s="156" t="str">
        <f>'5월'!H135</f>
        <v>월간-성공</v>
      </c>
      <c r="I966" s="69" t="str">
        <f>'5월'!I135</f>
        <v>한국도로공사 24.9월 유지정비료 - 12/37회</v>
      </c>
      <c r="J966" s="122">
        <f>'5월'!J135</f>
        <v>1</v>
      </c>
      <c r="K966" s="15">
        <f>'5월'!K135</f>
        <v>867300</v>
      </c>
      <c r="L966" s="16">
        <f>'5월'!L135</f>
        <v>867300</v>
      </c>
      <c r="M966" s="16">
        <f>'5월'!M135</f>
        <v>86730</v>
      </c>
      <c r="N966" s="15">
        <f>'5월'!N135</f>
        <v>954030</v>
      </c>
      <c r="O966" s="5" t="str">
        <f>'5월'!O135</f>
        <v>완료(7/8)</v>
      </c>
      <c r="P966" s="9" t="str">
        <f>'5월'!P135</f>
        <v>천범석</v>
      </c>
      <c r="Q966" s="5">
        <f>'5월'!Q135</f>
        <v>45772</v>
      </c>
      <c r="R966" s="213" t="str">
        <f>'5월'!R135</f>
        <v>매출분기</v>
      </c>
    </row>
    <row r="967" spans="1:18" ht="16.5" customHeight="1">
      <c r="A967" t="s">
        <v>64</v>
      </c>
      <c r="B967" s="10" t="str">
        <f>'5월'!B136</f>
        <v>SB-25022</v>
      </c>
      <c r="C967" s="12" t="str">
        <f>'5월'!C136</f>
        <v>ZGHZZL</v>
      </c>
      <c r="D967" s="13">
        <f>'5월'!D136</f>
        <v>45786</v>
      </c>
      <c r="E967" s="155" t="str">
        <f>'5월'!E136</f>
        <v>성공글로벌테크놀로지코리아</v>
      </c>
      <c r="F967" s="155" t="str">
        <f>'5월'!F136</f>
        <v>시스게이트</v>
      </c>
      <c r="G967" s="156" t="str">
        <f>'5월'!G136</f>
        <v>MA</v>
      </c>
      <c r="H967" s="156" t="str">
        <f>'5월'!H136</f>
        <v>월간-성공</v>
      </c>
      <c r="I967" s="69" t="str">
        <f>'5월'!I136</f>
        <v>한국도로공사 24.10월 유지정비료 - 13/37회</v>
      </c>
      <c r="J967" s="122">
        <f>'5월'!J136</f>
        <v>1</v>
      </c>
      <c r="K967" s="15">
        <f>'5월'!K136</f>
        <v>867300</v>
      </c>
      <c r="L967" s="16">
        <f>'5월'!L136</f>
        <v>867300</v>
      </c>
      <c r="M967" s="16">
        <f>'5월'!M136</f>
        <v>86730</v>
      </c>
      <c r="N967" s="15">
        <f>'5월'!N136</f>
        <v>954030</v>
      </c>
      <c r="O967" s="5" t="str">
        <f>'5월'!O136</f>
        <v>완료(7/8)</v>
      </c>
      <c r="P967" s="9" t="str">
        <f>'5월'!P136</f>
        <v>천범석</v>
      </c>
      <c r="Q967" s="5">
        <f>'5월'!Q136</f>
        <v>45772</v>
      </c>
      <c r="R967" s="213" t="str">
        <f>'5월'!R136</f>
        <v>매출분기</v>
      </c>
    </row>
    <row r="968" spans="1:18" ht="16.5" customHeight="1">
      <c r="A968" t="s">
        <v>64</v>
      </c>
      <c r="B968" s="10" t="str">
        <f>'5월'!B137</f>
        <v>SB-25022</v>
      </c>
      <c r="C968" s="12" t="str">
        <f>'5월'!C137</f>
        <v>ZGHZZL</v>
      </c>
      <c r="D968" s="13">
        <f>'5월'!D137</f>
        <v>45786</v>
      </c>
      <c r="E968" s="155" t="str">
        <f>'5월'!E137</f>
        <v>성공글로벌테크놀로지코리아</v>
      </c>
      <c r="F968" s="155" t="str">
        <f>'5월'!F137</f>
        <v>시스게이트</v>
      </c>
      <c r="G968" s="156" t="str">
        <f>'5월'!G137</f>
        <v>MA</v>
      </c>
      <c r="H968" s="156" t="str">
        <f>'5월'!H137</f>
        <v>월간-성공</v>
      </c>
      <c r="I968" s="69" t="str">
        <f>'5월'!I137</f>
        <v>한국도로공사 24.11월 유지정비료 - 14/37회</v>
      </c>
      <c r="J968" s="122">
        <f>'5월'!J137</f>
        <v>1</v>
      </c>
      <c r="K968" s="15">
        <f>'5월'!K137</f>
        <v>867300</v>
      </c>
      <c r="L968" s="16">
        <f>'5월'!L137</f>
        <v>867300</v>
      </c>
      <c r="M968" s="16">
        <f>'5월'!M137</f>
        <v>86730</v>
      </c>
      <c r="N968" s="15">
        <f>'5월'!N137</f>
        <v>954030</v>
      </c>
      <c r="O968" s="5" t="str">
        <f>'5월'!O137</f>
        <v>완료(7/8)</v>
      </c>
      <c r="P968" s="9" t="str">
        <f>'5월'!P137</f>
        <v>천범석</v>
      </c>
      <c r="Q968" s="5">
        <f>'5월'!Q137</f>
        <v>45772</v>
      </c>
      <c r="R968" s="213" t="str">
        <f>'5월'!R137</f>
        <v>매출분기</v>
      </c>
    </row>
    <row r="969" spans="1:18" ht="16.5" customHeight="1">
      <c r="A969" t="s">
        <v>64</v>
      </c>
      <c r="B969" s="10" t="str">
        <f>'5월'!B138</f>
        <v>SB-25022</v>
      </c>
      <c r="C969" s="12" t="str">
        <f>'5월'!C138</f>
        <v>ZGHZZL</v>
      </c>
      <c r="D969" s="13">
        <f>'5월'!D138</f>
        <v>45786</v>
      </c>
      <c r="E969" s="155" t="str">
        <f>'5월'!E138</f>
        <v>성공글로벌테크놀로지코리아</v>
      </c>
      <c r="F969" s="155" t="str">
        <f>'5월'!F138</f>
        <v>시스게이트</v>
      </c>
      <c r="G969" s="156" t="str">
        <f>'5월'!G138</f>
        <v>MA</v>
      </c>
      <c r="H969" s="156" t="str">
        <f>'5월'!H138</f>
        <v>월간-성공</v>
      </c>
      <c r="I969" s="69" t="str">
        <f>'5월'!I138</f>
        <v>한국도로공사 24.12월 유지정비료 - 15/37회</v>
      </c>
      <c r="J969" s="122">
        <f>'5월'!J138</f>
        <v>1</v>
      </c>
      <c r="K969" s="15">
        <f>'5월'!K138</f>
        <v>867300</v>
      </c>
      <c r="L969" s="16">
        <f>'5월'!L138</f>
        <v>867300</v>
      </c>
      <c r="M969" s="16">
        <f>'5월'!M138</f>
        <v>86730</v>
      </c>
      <c r="N969" s="15">
        <f>'5월'!N138</f>
        <v>954030</v>
      </c>
      <c r="O969" s="5" t="str">
        <f>'5월'!O138</f>
        <v>완료(7/8)</v>
      </c>
      <c r="P969" s="9" t="str">
        <f>'5월'!P138</f>
        <v>천범석</v>
      </c>
      <c r="Q969" s="5">
        <f>'5월'!Q138</f>
        <v>45772</v>
      </c>
      <c r="R969" s="213" t="str">
        <f>'5월'!R138</f>
        <v>매출분기</v>
      </c>
    </row>
    <row r="970" spans="1:18" ht="16.5" customHeight="1">
      <c r="A970" t="s">
        <v>64</v>
      </c>
      <c r="B970" s="10" t="str">
        <f>'5월'!B139</f>
        <v>SB-25022</v>
      </c>
      <c r="C970" s="12" t="str">
        <f>'5월'!C139</f>
        <v>ZGHZZL</v>
      </c>
      <c r="D970" s="13">
        <f>'5월'!D139</f>
        <v>45786</v>
      </c>
      <c r="E970" s="155" t="str">
        <f>'5월'!E139</f>
        <v>성공글로벌테크놀로지코리아</v>
      </c>
      <c r="F970" s="155" t="str">
        <f>'5월'!F139</f>
        <v>시스게이트</v>
      </c>
      <c r="G970" s="156" t="str">
        <f>'5월'!G139</f>
        <v>MA</v>
      </c>
      <c r="H970" s="156" t="str">
        <f>'5월'!H139</f>
        <v>월간-성공</v>
      </c>
      <c r="I970" s="69" t="str">
        <f>'5월'!I139</f>
        <v>한국도로공사 25.1월 유지정비료 - 16/37회</v>
      </c>
      <c r="J970" s="122">
        <f>'5월'!J139</f>
        <v>1</v>
      </c>
      <c r="K970" s="15">
        <f>'5월'!K139</f>
        <v>867300</v>
      </c>
      <c r="L970" s="16">
        <f>'5월'!L139</f>
        <v>867300</v>
      </c>
      <c r="M970" s="16">
        <f>'5월'!M139</f>
        <v>86730</v>
      </c>
      <c r="N970" s="15">
        <f>'5월'!N139</f>
        <v>954030</v>
      </c>
      <c r="O970" s="5" t="str">
        <f>'5월'!O139</f>
        <v>완료(7/8)</v>
      </c>
      <c r="P970" s="9" t="str">
        <f>'5월'!P139</f>
        <v>천범석</v>
      </c>
      <c r="Q970" s="5">
        <f>'5월'!Q139</f>
        <v>45772</v>
      </c>
      <c r="R970" s="213" t="str">
        <f>'5월'!R139</f>
        <v>매출분기</v>
      </c>
    </row>
    <row r="971" spans="1:18" ht="16.5" customHeight="1">
      <c r="A971" t="s">
        <v>64</v>
      </c>
      <c r="B971" s="10" t="str">
        <f>'5월'!B140</f>
        <v>SB-25022</v>
      </c>
      <c r="C971" s="12" t="str">
        <f>'5월'!C140</f>
        <v>ZGHZZL</v>
      </c>
      <c r="D971" s="13">
        <f>'5월'!D140</f>
        <v>45786</v>
      </c>
      <c r="E971" s="155" t="str">
        <f>'5월'!E140</f>
        <v>성공글로벌테크놀로지코리아</v>
      </c>
      <c r="F971" s="155" t="str">
        <f>'5월'!F140</f>
        <v>시스게이트</v>
      </c>
      <c r="G971" s="156" t="str">
        <f>'5월'!G140</f>
        <v>MA</v>
      </c>
      <c r="H971" s="156" t="str">
        <f>'5월'!H140</f>
        <v>월간-성공</v>
      </c>
      <c r="I971" s="69" t="str">
        <f>'5월'!I140</f>
        <v>한국도로공사 25.2월 유지정비료 - 17/37회</v>
      </c>
      <c r="J971" s="122">
        <f>'5월'!J140</f>
        <v>1</v>
      </c>
      <c r="K971" s="15">
        <f>'5월'!K140</f>
        <v>1114320</v>
      </c>
      <c r="L971" s="16">
        <f>'5월'!L140</f>
        <v>1114320</v>
      </c>
      <c r="M971" s="16">
        <f>'5월'!M140</f>
        <v>111432</v>
      </c>
      <c r="N971" s="15">
        <f>'5월'!N140</f>
        <v>1225752</v>
      </c>
      <c r="O971" s="5" t="str">
        <f>'5월'!O140</f>
        <v>완료(7/8)</v>
      </c>
      <c r="P971" s="9" t="str">
        <f>'5월'!P140</f>
        <v>천범석</v>
      </c>
      <c r="Q971" s="5">
        <f>'5월'!Q140</f>
        <v>45772</v>
      </c>
      <c r="R971" s="213" t="str">
        <f>'5월'!R140</f>
        <v>매출분기</v>
      </c>
    </row>
    <row r="972" spans="1:18" ht="16.5" customHeight="1">
      <c r="A972" t="s">
        <v>64</v>
      </c>
      <c r="B972" s="10" t="str">
        <f>'5월'!B141</f>
        <v>SB-25022</v>
      </c>
      <c r="C972" s="12" t="str">
        <f>'5월'!C141</f>
        <v>ZGHZZL</v>
      </c>
      <c r="D972" s="13">
        <f>'5월'!D141</f>
        <v>45786</v>
      </c>
      <c r="E972" s="155" t="str">
        <f>'5월'!E141</f>
        <v>성공글로벌테크놀로지코리아</v>
      </c>
      <c r="F972" s="155" t="str">
        <f>'5월'!F141</f>
        <v>시스게이트</v>
      </c>
      <c r="G972" s="156" t="str">
        <f>'5월'!G141</f>
        <v>MA</v>
      </c>
      <c r="H972" s="156" t="str">
        <f>'5월'!H141</f>
        <v>월간-성공</v>
      </c>
      <c r="I972" s="69" t="str">
        <f>'5월'!I141</f>
        <v>한국도로공사 25.3월 유지정비료 - 18/37회</v>
      </c>
      <c r="J972" s="124">
        <f>'5월'!J141</f>
        <v>1</v>
      </c>
      <c r="K972" s="15">
        <f>'5월'!K141</f>
        <v>1189500</v>
      </c>
      <c r="L972" s="16">
        <f>'5월'!L141</f>
        <v>1189500</v>
      </c>
      <c r="M972" s="16">
        <f>'5월'!M141</f>
        <v>118950</v>
      </c>
      <c r="N972" s="15">
        <f>'5월'!N141</f>
        <v>1308450</v>
      </c>
      <c r="O972" s="5" t="str">
        <f>'5월'!O141</f>
        <v>완료(7/8)</v>
      </c>
      <c r="P972" s="9" t="str">
        <f>'5월'!P141</f>
        <v>천범석</v>
      </c>
      <c r="Q972" s="5">
        <f>'5월'!Q141</f>
        <v>45772</v>
      </c>
      <c r="R972" s="213" t="str">
        <f>'5월'!R141</f>
        <v>매출분기</v>
      </c>
    </row>
    <row r="973" spans="1:18" ht="16.5" customHeight="1">
      <c r="A973" t="s">
        <v>64</v>
      </c>
      <c r="B973" s="10" t="str">
        <f>'5월'!B142</f>
        <v>SB-25022</v>
      </c>
      <c r="C973" s="12" t="str">
        <f>'5월'!C142</f>
        <v>ZGHZZL</v>
      </c>
      <c r="D973" s="13">
        <f>'5월'!D142</f>
        <v>45786</v>
      </c>
      <c r="E973" s="155" t="str">
        <f>'5월'!E142</f>
        <v>성공글로벌테크놀로지코리아</v>
      </c>
      <c r="F973" s="155" t="str">
        <f>'5월'!F142</f>
        <v>시스게이트</v>
      </c>
      <c r="G973" s="156" t="str">
        <f>'5월'!G142</f>
        <v>MA</v>
      </c>
      <c r="H973" s="156" t="str">
        <f>'5월'!H142</f>
        <v>월간-성공</v>
      </c>
      <c r="I973" s="69" t="str">
        <f>'5월'!I142</f>
        <v>한국도로공사 25.4월 유지정비료 - 19/37회</v>
      </c>
      <c r="J973" s="122">
        <f>'5월'!J142</f>
        <v>1</v>
      </c>
      <c r="K973" s="15">
        <f>'5월'!K142</f>
        <v>1189500</v>
      </c>
      <c r="L973" s="16">
        <f>'5월'!L142</f>
        <v>1189500</v>
      </c>
      <c r="M973" s="16">
        <f>'5월'!M142</f>
        <v>118950</v>
      </c>
      <c r="N973" s="15">
        <f>'5월'!N142</f>
        <v>1308450</v>
      </c>
      <c r="O973" s="5" t="str">
        <f>'5월'!O142</f>
        <v>완료(7/8)</v>
      </c>
      <c r="P973" s="9" t="str">
        <f>'5월'!P142</f>
        <v>천범석</v>
      </c>
      <c r="Q973" s="5">
        <f>'5월'!Q142</f>
        <v>45863</v>
      </c>
      <c r="R973" s="213" t="str">
        <f>'5월'!R142</f>
        <v>매출분기</v>
      </c>
    </row>
    <row r="974" spans="1:18" ht="16.5" customHeight="1">
      <c r="A974" t="s">
        <v>64</v>
      </c>
      <c r="B974" s="10" t="str">
        <f>'5월'!B143</f>
        <v>SL-23046</v>
      </c>
      <c r="C974" s="12" t="str">
        <f>'5월'!C143</f>
        <v>ZY3SE4</v>
      </c>
      <c r="D974" s="13">
        <f>'5월'!D143</f>
        <v>45788</v>
      </c>
      <c r="E974" s="155" t="str">
        <f>'5월'!E143</f>
        <v>성공글로벌테크놀로지코리아</v>
      </c>
      <c r="F974" s="155" t="str">
        <f>'5월'!F143</f>
        <v>대유에이텍</v>
      </c>
      <c r="G974" s="156" t="str">
        <f>'5월'!G143</f>
        <v>MA</v>
      </c>
      <c r="H974" s="156" t="str">
        <f>'5월'!H143</f>
        <v>월간-성공</v>
      </c>
      <c r="I974" s="69" t="str">
        <f>'5월'!I143</f>
        <v>5월 유지정비료 - 18/18회</v>
      </c>
      <c r="J974" s="122">
        <f>'5월'!J143</f>
        <v>1</v>
      </c>
      <c r="K974" s="15">
        <f>'5월'!K143</f>
        <v>6314</v>
      </c>
      <c r="L974" s="16">
        <f>'5월'!L143</f>
        <v>6314</v>
      </c>
      <c r="M974" s="15">
        <f>'5월'!M143</f>
        <v>631</v>
      </c>
      <c r="N974" s="15">
        <f>'5월'!N143</f>
        <v>6945</v>
      </c>
      <c r="O974" s="5" t="str">
        <f>'5월'!O143</f>
        <v>완료(7/10)</v>
      </c>
      <c r="P974" s="9" t="str">
        <f>'5월'!P143</f>
        <v>천범석</v>
      </c>
      <c r="Q974" s="5">
        <f>'5월'!Q143</f>
        <v>45261</v>
      </c>
      <c r="R974" s="209" t="str">
        <f>'5월'!R143</f>
        <v>매출연간</v>
      </c>
    </row>
    <row r="975" spans="1:18" ht="16.5" customHeight="1">
      <c r="A975" t="s">
        <v>64</v>
      </c>
      <c r="B975" s="10" t="str">
        <f>'5월'!B144</f>
        <v>S</v>
      </c>
      <c r="C975" s="12" t="str">
        <f>'5월'!C144</f>
        <v>TruScale2024</v>
      </c>
      <c r="D975" s="13">
        <f>'5월'!D144</f>
        <v>45793</v>
      </c>
      <c r="E975" s="155" t="str">
        <f>'5월'!E144</f>
        <v>성공글로벌테크놀로지코리아</v>
      </c>
      <c r="F975" s="155" t="str">
        <f>'5월'!F144</f>
        <v>다솜테크</v>
      </c>
      <c r="G975" s="156" t="str">
        <f>'5월'!G144</f>
        <v>상품</v>
      </c>
      <c r="H975" s="156" t="str">
        <f>'5월'!H144</f>
        <v>서버</v>
      </c>
      <c r="I975" s="69" t="str">
        <f>'5월'!I144</f>
        <v>TruScale SM202400911-001-7</v>
      </c>
      <c r="J975" s="122">
        <f>'5월'!J144</f>
        <v>1</v>
      </c>
      <c r="K975" s="16">
        <f>'5월'!K144</f>
        <v>910700</v>
      </c>
      <c r="L975" s="16">
        <f>'5월'!L144</f>
        <v>910700</v>
      </c>
      <c r="M975" s="16">
        <f>'5월'!M144</f>
        <v>91070</v>
      </c>
      <c r="N975" s="15">
        <f>'5월'!N144</f>
        <v>1001770</v>
      </c>
      <c r="O975" s="5" t="str">
        <f>'5월'!O144</f>
        <v>완료(7/15)</v>
      </c>
      <c r="P975" s="9" t="str">
        <f>'5월'!P144</f>
        <v>천범석</v>
      </c>
      <c r="Q975" s="5">
        <f>'5월'!Q144</f>
        <v>45595</v>
      </c>
      <c r="R975" s="209" t="str">
        <f>'5월'!R144</f>
        <v>매출연간</v>
      </c>
    </row>
    <row r="976" spans="1:18" ht="16.5" customHeight="1">
      <c r="A976" t="s">
        <v>64</v>
      </c>
      <c r="B976" s="10" t="str">
        <f>'5월'!B145</f>
        <v>SB-24019</v>
      </c>
      <c r="C976" s="12" t="str">
        <f>'5월'!C145</f>
        <v>ZNJIYM</v>
      </c>
      <c r="D976" s="13">
        <f>'5월'!D145</f>
        <v>45794</v>
      </c>
      <c r="E976" s="155" t="str">
        <f>'5월'!E145</f>
        <v>성공글로벌테크놀로지코리아</v>
      </c>
      <c r="F976" s="155" t="str">
        <f>'5월'!F145</f>
        <v>나우테크</v>
      </c>
      <c r="G976" s="168" t="str">
        <f>'5월'!G145</f>
        <v>MA</v>
      </c>
      <c r="H976" s="156" t="str">
        <f>'5월'!H145</f>
        <v>월간-성공</v>
      </c>
      <c r="I976" s="69" t="str">
        <f>'5월'!I145</f>
        <v>5월 유지정비료 - 16/16회</v>
      </c>
      <c r="J976" s="122">
        <f>'5월'!J145</f>
        <v>1</v>
      </c>
      <c r="K976" s="15">
        <f>'5월'!K145</f>
        <v>84320</v>
      </c>
      <c r="L976" s="16">
        <f>'5월'!L145</f>
        <v>84320</v>
      </c>
      <c r="M976" s="16">
        <f>'5월'!M145</f>
        <v>8432</v>
      </c>
      <c r="N976" s="15">
        <f>'5월'!N145</f>
        <v>92752</v>
      </c>
      <c r="O976" s="5" t="str">
        <f>'5월'!O145</f>
        <v>완료(7/16)</v>
      </c>
      <c r="P976" s="177" t="str">
        <f>'5월'!P145</f>
        <v>천범석</v>
      </c>
      <c r="Q976" s="5">
        <f>'5월'!Q145</f>
        <v>45357</v>
      </c>
      <c r="R976" s="213" t="str">
        <f>'5월'!R145</f>
        <v>매출연간</v>
      </c>
    </row>
    <row r="977" spans="1:22" ht="16.5" customHeight="1">
      <c r="A977" t="s">
        <v>64</v>
      </c>
      <c r="B977" s="10" t="str">
        <f>'5월'!B146</f>
        <v>H250520-01</v>
      </c>
      <c r="C977" s="12" t="str">
        <f>'5월'!C146</f>
        <v>X</v>
      </c>
      <c r="D977" s="13">
        <f>'5월'!D146</f>
        <v>45798</v>
      </c>
      <c r="E977" s="155" t="str">
        <f>'5월'!E146</f>
        <v>성공글로벌테크놀로지코리아</v>
      </c>
      <c r="F977" s="155" t="str">
        <f>'5월'!F146</f>
        <v>영동문구센타</v>
      </c>
      <c r="G977" s="156" t="str">
        <f>'5월'!G146</f>
        <v>상품</v>
      </c>
      <c r="H977" s="156" t="str">
        <f>'5월'!H146</f>
        <v>00YK014</v>
      </c>
      <c r="I977" s="69" t="str">
        <f>'5월'!I146</f>
        <v xml:space="preserve">ThinkSystem SFF 600GB 10K SAS 12G Hot Swap 512n </v>
      </c>
      <c r="J977" s="122">
        <f>'5월'!J146</f>
        <v>1</v>
      </c>
      <c r="K977" s="15">
        <f>'5월'!K146</f>
        <v>243000</v>
      </c>
      <c r="L977" s="16">
        <f>'5월'!L146</f>
        <v>243000</v>
      </c>
      <c r="M977" s="16">
        <f>'5월'!M146</f>
        <v>24300</v>
      </c>
      <c r="N977" s="15">
        <f>'5월'!N146</f>
        <v>267300</v>
      </c>
      <c r="O977" s="5" t="str">
        <f>'5월'!O146</f>
        <v>완료(6/20)</v>
      </c>
      <c r="P977" s="9" t="str">
        <f>'5월'!P146</f>
        <v>천범석</v>
      </c>
      <c r="Q977" s="5">
        <f>'5월'!Q146</f>
        <v>45792</v>
      </c>
      <c r="R977" s="209"/>
    </row>
    <row r="978" spans="1:22" ht="16.5" customHeight="1">
      <c r="A978" t="s">
        <v>64</v>
      </c>
      <c r="B978" s="10" t="str">
        <f>'5월'!B147</f>
        <v>X</v>
      </c>
      <c r="C978" s="12" t="str">
        <f>'5월'!C147</f>
        <v>TruScale2022</v>
      </c>
      <c r="D978" s="13">
        <f>'5월'!D147</f>
        <v>45800</v>
      </c>
      <c r="E978" s="155" t="str">
        <f>'5월'!E147</f>
        <v>성공글로벌테크놀로지코리아</v>
      </c>
      <c r="F978" s="155" t="str">
        <f>'5월'!F147</f>
        <v>별도정리</v>
      </c>
      <c r="G978" s="156" t="str">
        <f>'5월'!G147</f>
        <v>상품</v>
      </c>
      <c r="H978" s="156" t="str">
        <f>'5월'!H147</f>
        <v>서버</v>
      </c>
      <c r="I978" s="69" t="str">
        <f>'5월'!I147</f>
        <v>TruScale SM20220628-002-31</v>
      </c>
      <c r="J978" s="122">
        <f>'5월'!J147</f>
        <v>1</v>
      </c>
      <c r="K978" s="15">
        <f>'5월'!K147</f>
        <v>1666322</v>
      </c>
      <c r="L978" s="16">
        <f>'5월'!L147</f>
        <v>1666322</v>
      </c>
      <c r="M978" s="16">
        <f>'5월'!M147</f>
        <v>166632</v>
      </c>
      <c r="N978" s="15">
        <f>'5월'!N147</f>
        <v>1832954</v>
      </c>
      <c r="O978" s="5" t="str">
        <f>'5월'!O147</f>
        <v>완료(7/22)</v>
      </c>
      <c r="P978" s="9" t="str">
        <f>'5월'!P147</f>
        <v>천범석</v>
      </c>
      <c r="Q978" s="182" t="str">
        <f>'5월'!Q147</f>
        <v>별도정리</v>
      </c>
      <c r="R978" s="209"/>
      <c r="U978" s="11"/>
    </row>
    <row r="979" spans="1:22" ht="16.5" customHeight="1">
      <c r="A979" t="s">
        <v>64</v>
      </c>
      <c r="B979" s="10" t="str">
        <f>'5월'!B148</f>
        <v>SB-24035</v>
      </c>
      <c r="C979" s="12" t="str">
        <f>'5월'!C148</f>
        <v>ZU35CP</v>
      </c>
      <c r="D979" s="13">
        <f>'5월'!D148</f>
        <v>45807</v>
      </c>
      <c r="E979" s="155" t="str">
        <f>'5월'!E148</f>
        <v>성공글로벌테크놀로지코리아</v>
      </c>
      <c r="F979" s="155" t="str">
        <f>'5월'!F148</f>
        <v>위니텍</v>
      </c>
      <c r="G979" s="156" t="str">
        <f>'5월'!G148</f>
        <v>MA</v>
      </c>
      <c r="H979" s="156" t="str">
        <f>'5월'!H148</f>
        <v>월간-성공</v>
      </c>
      <c r="I979" s="69" t="str">
        <f>'5월'!I148</f>
        <v>경북소방본부 5월 유지정비료 - 12/12회</v>
      </c>
      <c r="J979" s="122">
        <f>'5월'!J148</f>
        <v>1</v>
      </c>
      <c r="K979" s="15">
        <f>'5월'!K148</f>
        <v>111900</v>
      </c>
      <c r="L979" s="16">
        <f>'5월'!L148</f>
        <v>111900</v>
      </c>
      <c r="M979" s="15">
        <f>'5월'!M148</f>
        <v>11190</v>
      </c>
      <c r="N979" s="15">
        <f>'5월'!N148</f>
        <v>123090</v>
      </c>
      <c r="O979" s="5" t="str">
        <f>'5월'!O148</f>
        <v>완료(7/29)</v>
      </c>
      <c r="P979" s="9" t="str">
        <f>'5월'!P148</f>
        <v>천범석</v>
      </c>
      <c r="Q979" s="5">
        <f>'5월'!Q148</f>
        <v>45807</v>
      </c>
      <c r="R979" s="209" t="str">
        <f>'5월'!R148</f>
        <v>매출연간</v>
      </c>
    </row>
    <row r="980" spans="1:22" ht="16.5" customHeight="1">
      <c r="A980" t="s">
        <v>64</v>
      </c>
      <c r="B980" s="10" t="str">
        <f>'5월'!B149</f>
        <v>SB-24046</v>
      </c>
      <c r="C980" s="12" t="str">
        <f>'5월'!C149</f>
        <v>Z8LTG0</v>
      </c>
      <c r="D980" s="13">
        <f>'5월'!D149</f>
        <v>45808</v>
      </c>
      <c r="E980" s="155" t="str">
        <f>'5월'!E149</f>
        <v>성공글로벌테크놀로지코리아</v>
      </c>
      <c r="F980" s="155" t="str">
        <f>'5월'!F149</f>
        <v>다솜테크</v>
      </c>
      <c r="G980" s="156" t="str">
        <f>'5월'!G149</f>
        <v>MA</v>
      </c>
      <c r="H980" s="156" t="str">
        <f>'5월'!H149</f>
        <v>월간-성공</v>
      </c>
      <c r="I980" s="69" t="str">
        <f>'5월'!I149</f>
        <v>웰컴저축은행 5월 유지정비료 - 10/12회</v>
      </c>
      <c r="J980" s="122">
        <f>'5월'!J149</f>
        <v>1</v>
      </c>
      <c r="K980" s="15">
        <f>'5월'!K149</f>
        <v>204600</v>
      </c>
      <c r="L980" s="16">
        <f>'5월'!L149</f>
        <v>204600</v>
      </c>
      <c r="M980" s="15">
        <f>'5월'!M149</f>
        <v>20460</v>
      </c>
      <c r="N980" s="15">
        <f>'5월'!N149</f>
        <v>225060</v>
      </c>
      <c r="O980" s="5" t="str">
        <f>'5월'!O149</f>
        <v>완료(7/30)</v>
      </c>
      <c r="P980" s="9" t="str">
        <f>'5월'!P149</f>
        <v>천범석</v>
      </c>
      <c r="Q980" s="5">
        <f>'5월'!Q149</f>
        <v>45807</v>
      </c>
      <c r="R980" s="209"/>
    </row>
    <row r="981" spans="1:22" ht="16.5" customHeight="1">
      <c r="A981" t="s">
        <v>64</v>
      </c>
      <c r="B981" s="10" t="str">
        <f>'5월'!B150</f>
        <v>SB-24047</v>
      </c>
      <c r="C981" s="12" t="str">
        <f>'5월'!C150</f>
        <v>ZPANSR</v>
      </c>
      <c r="D981" s="13">
        <f>'5월'!D150</f>
        <v>45808</v>
      </c>
      <c r="E981" s="155" t="str">
        <f>'5월'!E150</f>
        <v>성공글로벌테크놀로지코리아</v>
      </c>
      <c r="F981" s="155" t="str">
        <f>'5월'!F150</f>
        <v>현대종합금속</v>
      </c>
      <c r="G981" s="156" t="str">
        <f>'5월'!G150</f>
        <v>MA</v>
      </c>
      <c r="H981" s="156" t="str">
        <f>'5월'!H150</f>
        <v>월간-성공</v>
      </c>
      <c r="I981" s="69" t="str">
        <f>'5월'!I150</f>
        <v>5월 유지정비료 - 11/12회</v>
      </c>
      <c r="J981" s="122">
        <f>'5월'!J150</f>
        <v>1</v>
      </c>
      <c r="K981" s="15">
        <f>'5월'!K150</f>
        <v>499500</v>
      </c>
      <c r="L981" s="16">
        <f>'5월'!L150</f>
        <v>499500</v>
      </c>
      <c r="M981" s="15">
        <f>'5월'!M150</f>
        <v>49950</v>
      </c>
      <c r="N981" s="15">
        <f>'5월'!N150</f>
        <v>549450</v>
      </c>
      <c r="O981" s="5" t="str">
        <f>'5월'!O150</f>
        <v>완료(7/30)</v>
      </c>
      <c r="P981" s="9" t="str">
        <f>'5월'!P150</f>
        <v>천범석</v>
      </c>
      <c r="Q981" s="5">
        <f>'5월'!Q150</f>
        <v>45807</v>
      </c>
      <c r="R981" s="209"/>
    </row>
    <row r="982" spans="1:22" ht="16.5" customHeight="1">
      <c r="A982" t="s">
        <v>64</v>
      </c>
      <c r="B982" s="10" t="str">
        <f>'5월'!B151</f>
        <v>SB-24045</v>
      </c>
      <c r="C982" s="12" t="str">
        <f>'5월'!C151</f>
        <v>ZQJ1BB</v>
      </c>
      <c r="D982" s="13">
        <f>'5월'!D151</f>
        <v>45808</v>
      </c>
      <c r="E982" s="155" t="str">
        <f>'5월'!E151</f>
        <v>성공글로벌테크놀로지코리아</v>
      </c>
      <c r="F982" s="155" t="str">
        <f>'5월'!F151</f>
        <v>아이엘에스</v>
      </c>
      <c r="G982" s="156" t="str">
        <f>'5월'!G151</f>
        <v>MA</v>
      </c>
      <c r="H982" s="156" t="str">
        <f>'5월'!H151</f>
        <v>월간-성공</v>
      </c>
      <c r="I982" s="69" t="str">
        <f>'5월'!I151</f>
        <v>롯데홈쇼핑 5월 유지정비료 - 12/13회</v>
      </c>
      <c r="J982" s="122">
        <f>'5월'!J151</f>
        <v>1</v>
      </c>
      <c r="K982" s="15">
        <f>'5월'!K151</f>
        <v>251700</v>
      </c>
      <c r="L982" s="16">
        <f>'5월'!L151</f>
        <v>251700</v>
      </c>
      <c r="M982" s="15">
        <f>'5월'!M151</f>
        <v>25170</v>
      </c>
      <c r="N982" s="15">
        <f>'5월'!N151</f>
        <v>276870</v>
      </c>
      <c r="O982" s="5" t="str">
        <f>'5월'!O151</f>
        <v>완료(7/30)</v>
      </c>
      <c r="P982" s="9" t="str">
        <f>'5월'!P151</f>
        <v>천범석</v>
      </c>
      <c r="Q982" s="5">
        <f>'5월'!Q151</f>
        <v>45504</v>
      </c>
      <c r="R982" s="209" t="str">
        <f>'5월'!R151</f>
        <v>매출연간</v>
      </c>
    </row>
    <row r="983" spans="1:22" ht="16.5" customHeight="1">
      <c r="A983" t="s">
        <v>64</v>
      </c>
      <c r="B983" s="10" t="str">
        <f>'5월'!B152</f>
        <v>LI-24009</v>
      </c>
      <c r="C983" s="12" t="str">
        <f>'5월'!C152</f>
        <v>ZMDFL5</v>
      </c>
      <c r="D983" s="13">
        <f>'5월'!D152</f>
        <v>45808</v>
      </c>
      <c r="E983" s="155" t="str">
        <f>'5월'!E152</f>
        <v>성공글로벌테크놀로지코리아</v>
      </c>
      <c r="F983" s="155" t="str">
        <f>'5월'!F152</f>
        <v>아이리스인포테크</v>
      </c>
      <c r="G983" s="156" t="str">
        <f>'5월'!G152</f>
        <v>MA</v>
      </c>
      <c r="H983" s="156" t="str">
        <f>'5월'!H152</f>
        <v>월간-성공</v>
      </c>
      <c r="I983" s="69" t="str">
        <f>'5월'!I152</f>
        <v>프레이저플레이스 5월 유지정비료 - 10/12회</v>
      </c>
      <c r="J983" s="122">
        <f>'5월'!J152</f>
        <v>1</v>
      </c>
      <c r="K983" s="15">
        <f>'5월'!K152</f>
        <v>276600</v>
      </c>
      <c r="L983" s="16">
        <f>'5월'!L152</f>
        <v>276600</v>
      </c>
      <c r="M983" s="15">
        <f>'5월'!M152</f>
        <v>27660</v>
      </c>
      <c r="N983" s="15">
        <f>'5월'!N152</f>
        <v>304260</v>
      </c>
      <c r="O983" s="5" t="str">
        <f>'5월'!O152</f>
        <v>완료(7/30)</v>
      </c>
      <c r="P983" s="9" t="str">
        <f>'5월'!P152</f>
        <v>천범석</v>
      </c>
      <c r="Q983" s="5">
        <f>'5월'!Q152</f>
        <v>45534</v>
      </c>
      <c r="R983" s="209" t="str">
        <f>'5월'!R152</f>
        <v>매출연간</v>
      </c>
    </row>
    <row r="984" spans="1:22" ht="16.5" customHeight="1">
      <c r="A984" t="s">
        <v>64</v>
      </c>
      <c r="B984" s="10" t="str">
        <f>'5월'!B153</f>
        <v>SB-24049</v>
      </c>
      <c r="C984" s="12" t="str">
        <f>'5월'!C153</f>
        <v>ZNUJRM</v>
      </c>
      <c r="D984" s="13">
        <f>'5월'!D153</f>
        <v>45808</v>
      </c>
      <c r="E984" s="155" t="str">
        <f>'5월'!E153</f>
        <v>성공글로벌테크놀로지코리아</v>
      </c>
      <c r="F984" s="155" t="str">
        <f>'5월'!F153</f>
        <v>아이엘에스</v>
      </c>
      <c r="G984" s="156" t="str">
        <f>'5월'!G153</f>
        <v>MA</v>
      </c>
      <c r="H984" s="156" t="str">
        <f>'5월'!H153</f>
        <v>월간-성공</v>
      </c>
      <c r="I984" s="69" t="str">
        <f>'5월'!I153</f>
        <v>5월 유지정비료 - 9/12회</v>
      </c>
      <c r="J984" s="122">
        <f>'5월'!J153</f>
        <v>1</v>
      </c>
      <c r="K984" s="15">
        <f>'5월'!K153</f>
        <v>226200</v>
      </c>
      <c r="L984" s="16">
        <f>'5월'!L153</f>
        <v>226200</v>
      </c>
      <c r="M984" s="15">
        <f>'5월'!M153</f>
        <v>22620</v>
      </c>
      <c r="N984" s="15">
        <f>'5월'!N153</f>
        <v>248820</v>
      </c>
      <c r="O984" s="5" t="str">
        <f>'5월'!O153</f>
        <v>완료(7/30)</v>
      </c>
      <c r="P984" s="9" t="str">
        <f>'5월'!P153</f>
        <v>천범석</v>
      </c>
      <c r="Q984" s="5">
        <f>'5월'!Q153</f>
        <v>45565</v>
      </c>
      <c r="R984" s="209" t="str">
        <f>'5월'!R153</f>
        <v>매출연간</v>
      </c>
    </row>
    <row r="985" spans="1:22" ht="16.5" customHeight="1">
      <c r="A985" t="s">
        <v>64</v>
      </c>
      <c r="B985" s="10" t="str">
        <f>'5월'!B154</f>
        <v>SB-22053</v>
      </c>
      <c r="C985" s="12" t="str">
        <f>'5월'!C154</f>
        <v>ZEKV4M</v>
      </c>
      <c r="D985" s="13">
        <f>'5월'!D154</f>
        <v>45808</v>
      </c>
      <c r="E985" s="155" t="str">
        <f>'5월'!E154</f>
        <v>성공글로벌테크놀로지코리아</v>
      </c>
      <c r="F985" s="163" t="str">
        <f>'5월'!F154</f>
        <v>심플키</v>
      </c>
      <c r="G985" s="168" t="str">
        <f>'5월'!G154</f>
        <v>MA</v>
      </c>
      <c r="H985" s="156" t="str">
        <f>'5월'!H154</f>
        <v>월간-성공</v>
      </c>
      <c r="I985" s="69" t="str">
        <f>'5월'!I154</f>
        <v>산업은행 5월 유지정비료 - 29/36회</v>
      </c>
      <c r="J985" s="122">
        <f>'5월'!J154</f>
        <v>1</v>
      </c>
      <c r="K985" s="15">
        <f>'5월'!K154</f>
        <v>58800</v>
      </c>
      <c r="L985" s="16">
        <f>'5월'!L154</f>
        <v>58800</v>
      </c>
      <c r="M985" s="15">
        <f>'5월'!M154</f>
        <v>5880</v>
      </c>
      <c r="N985" s="15">
        <f>'5월'!N154</f>
        <v>64680</v>
      </c>
      <c r="O985" s="5" t="str">
        <f>'5월'!O154</f>
        <v>완료(7/30)</v>
      </c>
      <c r="P985" s="9" t="str">
        <f>'5월'!P154</f>
        <v>천범석</v>
      </c>
      <c r="Q985" s="5">
        <f>'5월'!Q154</f>
        <v>45748</v>
      </c>
      <c r="R985" s="209" t="str">
        <f>'5월'!R154</f>
        <v>매출분기</v>
      </c>
      <c r="U985" s="11"/>
      <c r="V985" s="8"/>
    </row>
    <row r="986" spans="1:22" ht="16.5" customHeight="1">
      <c r="A986" t="s">
        <v>64</v>
      </c>
      <c r="B986" s="10" t="str">
        <f>'5월'!B155</f>
        <v>SL-23009</v>
      </c>
      <c r="C986" s="12" t="str">
        <f>'5월'!C155</f>
        <v>ZI1HRR</v>
      </c>
      <c r="D986" s="13">
        <f>'5월'!D155</f>
        <v>45808</v>
      </c>
      <c r="E986" s="155" t="str">
        <f>'5월'!E155</f>
        <v>성공글로벌테크놀로지코리아</v>
      </c>
      <c r="F986" s="155" t="str">
        <f>'5월'!F155</f>
        <v>대신네트웍스</v>
      </c>
      <c r="G986" s="168" t="str">
        <f>'5월'!G155</f>
        <v>MA</v>
      </c>
      <c r="H986" s="156" t="str">
        <f>'5월'!H155</f>
        <v>월간-성공</v>
      </c>
      <c r="I986" s="69" t="str">
        <f>'5월'!I155</f>
        <v>동두천드림파워 5월 유지정비료 - 29/36회</v>
      </c>
      <c r="J986" s="122">
        <f>'5월'!J155</f>
        <v>1</v>
      </c>
      <c r="K986" s="15">
        <f>'5월'!K155</f>
        <v>115800</v>
      </c>
      <c r="L986" s="16">
        <f>'5월'!L155</f>
        <v>115800</v>
      </c>
      <c r="M986" s="15">
        <f>'5월'!M155</f>
        <v>11580</v>
      </c>
      <c r="N986" s="15">
        <f>'5월'!N155</f>
        <v>127380</v>
      </c>
      <c r="O986" s="5" t="str">
        <f>'5월'!O155</f>
        <v>완료(7/30)</v>
      </c>
      <c r="P986" s="9" t="str">
        <f>'5월'!P155</f>
        <v>천범석</v>
      </c>
      <c r="Q986" s="5">
        <f>'5월'!Q155</f>
        <v>45838</v>
      </c>
      <c r="R986" s="209" t="str">
        <f>'5월'!R155</f>
        <v>매출분기</v>
      </c>
      <c r="U986" s="11"/>
      <c r="V986" s="8"/>
    </row>
    <row r="987" spans="1:22" ht="16.5" customHeight="1">
      <c r="A987" t="s">
        <v>64</v>
      </c>
      <c r="B987" s="10" t="str">
        <f>'5월'!B156</f>
        <v>SL-23020</v>
      </c>
      <c r="C987" s="12" t="str">
        <f>'5월'!C156</f>
        <v>ZM10U8</v>
      </c>
      <c r="D987" s="13">
        <f>'5월'!D156</f>
        <v>45808</v>
      </c>
      <c r="E987" s="155" t="str">
        <f>'5월'!E156</f>
        <v>성공글로벌테크놀로지코리아</v>
      </c>
      <c r="F987" s="155" t="str">
        <f>'5월'!F156</f>
        <v>사이컴테크놀로지스코리아</v>
      </c>
      <c r="G987" s="156" t="str">
        <f>'5월'!G156</f>
        <v>MA</v>
      </c>
      <c r="H987" s="156" t="str">
        <f>'5월'!H156</f>
        <v>월간-성공</v>
      </c>
      <c r="I987" s="69" t="str">
        <f>'5월'!I156</f>
        <v>애플코리아 #2 25년 5월 유지정비료 - 35/69회</v>
      </c>
      <c r="J987" s="122">
        <f>'5월'!J156</f>
        <v>1</v>
      </c>
      <c r="K987" s="15">
        <f>'5월'!K156</f>
        <v>132600</v>
      </c>
      <c r="L987" s="16">
        <f>'5월'!L156</f>
        <v>132600</v>
      </c>
      <c r="M987" s="15">
        <f>'5월'!M156</f>
        <v>13260</v>
      </c>
      <c r="N987" s="15">
        <f>'5월'!N156</f>
        <v>145860</v>
      </c>
      <c r="O987" s="5" t="str">
        <f>'5월'!O156</f>
        <v>완료(7/30)</v>
      </c>
      <c r="P987" s="9" t="str">
        <f>'5월'!P156</f>
        <v>천범석</v>
      </c>
      <c r="Q987" s="5">
        <f>'5월'!Q156</f>
        <v>45057</v>
      </c>
      <c r="R987" s="209" t="str">
        <f>'5월'!R156</f>
        <v>매출연간</v>
      </c>
      <c r="U987" s="11"/>
      <c r="V987" s="8"/>
    </row>
    <row r="988" spans="1:22" ht="16.5" customHeight="1">
      <c r="A988" t="s">
        <v>64</v>
      </c>
      <c r="B988" s="10" t="str">
        <f>'5월'!B157</f>
        <v>SL-23035</v>
      </c>
      <c r="C988" s="12" t="str">
        <f>'5월'!C157</f>
        <v>ZBQCP7</v>
      </c>
      <c r="D988" s="13">
        <f>'5월'!D157</f>
        <v>45808</v>
      </c>
      <c r="E988" s="155" t="str">
        <f>'5월'!E157</f>
        <v>성공글로벌테크놀로지코리아</v>
      </c>
      <c r="F988" s="155" t="str">
        <f>'5월'!F157</f>
        <v>씨티아이앤씨</v>
      </c>
      <c r="G988" s="168" t="str">
        <f>'5월'!G157</f>
        <v>MA</v>
      </c>
      <c r="H988" s="156" t="str">
        <f>'5월'!H157</f>
        <v>월간-성공</v>
      </c>
      <c r="I988" s="69" t="str">
        <f>'5월'!I157</f>
        <v>OK데이터시스템HW 5월 유지정비료 - 2/14회</v>
      </c>
      <c r="J988" s="122">
        <f>'5월'!J157</f>
        <v>1</v>
      </c>
      <c r="K988" s="15">
        <f>'5월'!K157</f>
        <v>475200</v>
      </c>
      <c r="L988" s="16">
        <f>'5월'!L157</f>
        <v>475200</v>
      </c>
      <c r="M988" s="15">
        <f>'5월'!M157</f>
        <v>47520</v>
      </c>
      <c r="N988" s="15">
        <f>'5월'!N157</f>
        <v>522720</v>
      </c>
      <c r="O988" s="5" t="str">
        <f>'5월'!O157</f>
        <v>완료(7/30)</v>
      </c>
      <c r="P988" s="9" t="str">
        <f>'5월'!P157</f>
        <v>천범석</v>
      </c>
      <c r="Q988" s="5">
        <f>'5월'!Q157</f>
        <v>45681</v>
      </c>
      <c r="R988" s="209" t="str">
        <f>'5월'!R157</f>
        <v>매출연간</v>
      </c>
    </row>
    <row r="989" spans="1:22" ht="16.5" customHeight="1">
      <c r="A989" t="s">
        <v>64</v>
      </c>
      <c r="B989" s="10" t="str">
        <f>'5월'!B158</f>
        <v>SB-23012</v>
      </c>
      <c r="C989" s="12" t="str">
        <f>'5월'!C158</f>
        <v>ZKFUER</v>
      </c>
      <c r="D989" s="13">
        <f>'5월'!D158</f>
        <v>45808</v>
      </c>
      <c r="E989" s="155" t="str">
        <f>'5월'!E158</f>
        <v>성공글로벌테크놀로지코리아</v>
      </c>
      <c r="F989" s="155" t="str">
        <f>'5월'!F158</f>
        <v>솔리드이엔지</v>
      </c>
      <c r="G989" s="168" t="str">
        <f>'5월'!G158</f>
        <v>MA</v>
      </c>
      <c r="H989" s="156" t="str">
        <f>'5월'!H158</f>
        <v>월간-성공</v>
      </c>
      <c r="I989" s="69" t="str">
        <f>'5월'!I158</f>
        <v>국립기상과학원 5월 유지정비료-추가 12/12회</v>
      </c>
      <c r="J989" s="122">
        <f>'5월'!J158</f>
        <v>1</v>
      </c>
      <c r="K989" s="15">
        <f>'5월'!K158</f>
        <v>9980400</v>
      </c>
      <c r="L989" s="16">
        <f>'5월'!L158</f>
        <v>9980400</v>
      </c>
      <c r="M989" s="15">
        <f>'5월'!M158</f>
        <v>998040</v>
      </c>
      <c r="N989" s="15">
        <f>'5월'!N158</f>
        <v>10978440</v>
      </c>
      <c r="O989" s="5" t="str">
        <f>'5월'!O158</f>
        <v>완료(7/30)</v>
      </c>
      <c r="P989" s="9" t="str">
        <f>'5월'!P158</f>
        <v>천범석</v>
      </c>
      <c r="Q989" s="5">
        <f>'5월'!Q158</f>
        <v>45807</v>
      </c>
      <c r="R989" s="209"/>
      <c r="U989" s="11"/>
      <c r="V989" s="8"/>
    </row>
    <row r="990" spans="1:22" ht="16.5" customHeight="1">
      <c r="A990" t="s">
        <v>64</v>
      </c>
      <c r="B990" s="10" t="str">
        <f>'5월'!B159</f>
        <v>SB-23064</v>
      </c>
      <c r="C990" s="12" t="str">
        <f>'5월'!C159</f>
        <v>ZCQQRT</v>
      </c>
      <c r="D990" s="13">
        <f>'5월'!D159</f>
        <v>45808</v>
      </c>
      <c r="E990" s="155" t="str">
        <f>'5월'!E159</f>
        <v>성공글로벌테크놀로지코리아</v>
      </c>
      <c r="F990" s="155" t="str">
        <f>'5월'!F159</f>
        <v xml:space="preserve">EDP </v>
      </c>
      <c r="G990" s="168" t="str">
        <f>'5월'!G159</f>
        <v>MA</v>
      </c>
      <c r="H990" s="156" t="str">
        <f>'5월'!H159</f>
        <v>월간-성공</v>
      </c>
      <c r="I990" s="69" t="str">
        <f>'5월'!I159</f>
        <v>코클리어 5월 유지정비료 - 14/30회</v>
      </c>
      <c r="J990" s="122">
        <f>'5월'!J159</f>
        <v>1</v>
      </c>
      <c r="K990" s="15">
        <f>'5월'!K159</f>
        <v>90000</v>
      </c>
      <c r="L990" s="16">
        <f>'5월'!L159</f>
        <v>90000</v>
      </c>
      <c r="M990" s="15">
        <f>'5월'!M159</f>
        <v>9000</v>
      </c>
      <c r="N990" s="15">
        <f>'5월'!N159</f>
        <v>99000</v>
      </c>
      <c r="O990" s="5" t="str">
        <f>'5월'!O159</f>
        <v>완료(7/30)</v>
      </c>
      <c r="P990" s="9" t="str">
        <f>'5월'!P159</f>
        <v>천범석</v>
      </c>
      <c r="Q990" s="5">
        <f>'5월'!Q159</f>
        <v>45278</v>
      </c>
      <c r="R990" s="209" t="str">
        <f>'5월'!R159</f>
        <v>매출연간</v>
      </c>
    </row>
    <row r="991" spans="1:22" ht="16.5" customHeight="1">
      <c r="A991" t="s">
        <v>64</v>
      </c>
      <c r="B991" s="10" t="str">
        <f>'5월'!B160</f>
        <v>SB-23053</v>
      </c>
      <c r="C991" s="12" t="str">
        <f>'5월'!C160</f>
        <v>Z41QIW</v>
      </c>
      <c r="D991" s="13">
        <f>'5월'!D160</f>
        <v>45808</v>
      </c>
      <c r="E991" s="155" t="str">
        <f>'5월'!E160</f>
        <v>성공글로벌테크놀로지코리아</v>
      </c>
      <c r="F991" s="155" t="str">
        <f>'5월'!F160</f>
        <v>서원정보</v>
      </c>
      <c r="G991" s="168" t="str">
        <f>'5월'!G160</f>
        <v>MA</v>
      </c>
      <c r="H991" s="156" t="str">
        <f>'5월'!H160</f>
        <v>월간-성공</v>
      </c>
      <c r="I991" s="69" t="str">
        <f>'5월'!I160</f>
        <v>신세계 아이앤씨 5월 유지정비료 - 28/46회</v>
      </c>
      <c r="J991" s="122">
        <f>'5월'!J160</f>
        <v>1</v>
      </c>
      <c r="K991" s="15">
        <f>'5월'!K160</f>
        <v>4875031</v>
      </c>
      <c r="L991" s="16">
        <f>'5월'!L160</f>
        <v>4875031</v>
      </c>
      <c r="M991" s="15">
        <f>'5월'!M160</f>
        <v>487503</v>
      </c>
      <c r="N991" s="15">
        <f>'5월'!N160</f>
        <v>5362534</v>
      </c>
      <c r="O991" s="5" t="str">
        <f>'5월'!O160</f>
        <v>완료(7/30)</v>
      </c>
      <c r="P991" s="9" t="str">
        <f>'5월'!P160</f>
        <v>천범석</v>
      </c>
      <c r="Q991" s="5">
        <f>'5월'!Q160</f>
        <v>45807</v>
      </c>
      <c r="R991" s="209"/>
      <c r="U991" s="11"/>
      <c r="V991" s="8"/>
    </row>
    <row r="992" spans="1:22" ht="16.5" customHeight="1">
      <c r="A992" t="s">
        <v>64</v>
      </c>
      <c r="B992" s="10" t="str">
        <f>'5월'!B161</f>
        <v>SB-24009</v>
      </c>
      <c r="C992" s="12" t="str">
        <f>'5월'!C161</f>
        <v>Z0PYQC</v>
      </c>
      <c r="D992" s="13">
        <f>'5월'!D161</f>
        <v>45808</v>
      </c>
      <c r="E992" s="155" t="str">
        <f>'5월'!E161</f>
        <v>성공글로벌테크놀로지코리아</v>
      </c>
      <c r="F992" s="155" t="str">
        <f>'5월'!F161</f>
        <v>유알피</v>
      </c>
      <c r="G992" s="168" t="str">
        <f>'5월'!G161</f>
        <v>MA</v>
      </c>
      <c r="H992" s="156" t="str">
        <f>'5월'!H161</f>
        <v>월간-성공</v>
      </c>
      <c r="I992" s="69" t="str">
        <f>'5월'!I161</f>
        <v>서울디자인재단 5월유지정비료 - 5/12회</v>
      </c>
      <c r="J992" s="122">
        <f>'5월'!J161</f>
        <v>1</v>
      </c>
      <c r="K992" s="15">
        <f>'5월'!K161</f>
        <v>976200</v>
      </c>
      <c r="L992" s="16">
        <f>'5월'!L161</f>
        <v>976200</v>
      </c>
      <c r="M992" s="15">
        <f>'5월'!M161</f>
        <v>97620</v>
      </c>
      <c r="N992" s="15">
        <f>'5월'!N161</f>
        <v>1073820</v>
      </c>
      <c r="O992" s="5" t="str">
        <f>'5월'!O161</f>
        <v>완료(7/30)</v>
      </c>
      <c r="P992" s="9" t="str">
        <f>'5월'!P161</f>
        <v>천범석</v>
      </c>
      <c r="Q992" s="5">
        <f>'5월'!Q161</f>
        <v>45823</v>
      </c>
      <c r="R992" s="209"/>
    </row>
    <row r="993" spans="1:22" ht="16.5" customHeight="1">
      <c r="A993" t="s">
        <v>64</v>
      </c>
      <c r="B993" s="10" t="str">
        <f>'5월'!B162</f>
        <v>SB-24011</v>
      </c>
      <c r="C993" s="12" t="str">
        <f>'5월'!C162</f>
        <v>Z5PURB</v>
      </c>
      <c r="D993" s="13">
        <f>'5월'!D162</f>
        <v>45808</v>
      </c>
      <c r="E993" s="155" t="str">
        <f>'5월'!E162</f>
        <v>성공글로벌테크놀로지코리아</v>
      </c>
      <c r="F993" s="155" t="str">
        <f>'5월'!F162</f>
        <v>비온시이노베이터</v>
      </c>
      <c r="G993" s="168" t="str">
        <f>'5월'!G162</f>
        <v>MA</v>
      </c>
      <c r="H993" s="156" t="str">
        <f>'5월'!H162</f>
        <v>월간-성공</v>
      </c>
      <c r="I993" s="69" t="str">
        <f>'5월'!I162</f>
        <v>국립농업과학원 - 5월유지정비료 - 17/24회</v>
      </c>
      <c r="J993" s="122">
        <f>'5월'!J162</f>
        <v>1</v>
      </c>
      <c r="K993" s="15">
        <f>'5월'!K162</f>
        <v>511500</v>
      </c>
      <c r="L993" s="16">
        <f>'5월'!L162</f>
        <v>511500</v>
      </c>
      <c r="M993" s="15">
        <f>'5월'!M162</f>
        <v>51150</v>
      </c>
      <c r="N993" s="15">
        <f>'5월'!N162</f>
        <v>562650</v>
      </c>
      <c r="O993" s="5" t="str">
        <f>'5월'!O162</f>
        <v>완료(7/30)</v>
      </c>
      <c r="P993" s="9" t="str">
        <f>'5월'!P162</f>
        <v>천범석</v>
      </c>
      <c r="Q993" s="5">
        <f>'5월'!Q162</f>
        <v>45807</v>
      </c>
      <c r="R993" s="209"/>
    </row>
    <row r="994" spans="1:22" ht="16.5" customHeight="1">
      <c r="A994" t="s">
        <v>64</v>
      </c>
      <c r="B994" s="10" t="str">
        <f>'5월'!B163</f>
        <v>SB-23051</v>
      </c>
      <c r="C994" s="12" t="str">
        <f>'5월'!C163</f>
        <v>ZCKGPP</v>
      </c>
      <c r="D994" s="13">
        <f>'5월'!D163</f>
        <v>45808</v>
      </c>
      <c r="E994" s="155" t="str">
        <f>'5월'!E163</f>
        <v>성공글로벌테크놀로지코리아</v>
      </c>
      <c r="F994" s="155" t="str">
        <f>'5월'!F163</f>
        <v>이너인포</v>
      </c>
      <c r="G994" s="156" t="str">
        <f>'5월'!G163</f>
        <v>MA</v>
      </c>
      <c r="H994" s="156" t="str">
        <f>'5월'!H163</f>
        <v>월간-성공</v>
      </c>
      <c r="I994" s="69" t="str">
        <f>'5월'!I163</f>
        <v>외교부 5월 유지정비료 - 12/12회</v>
      </c>
      <c r="J994" s="122">
        <f>'5월'!J163</f>
        <v>1</v>
      </c>
      <c r="K994" s="15">
        <f>'5월'!K163</f>
        <v>18000</v>
      </c>
      <c r="L994" s="16">
        <f>'5월'!L163</f>
        <v>18000</v>
      </c>
      <c r="M994" s="15">
        <f>'5월'!M163</f>
        <v>1800</v>
      </c>
      <c r="N994" s="15">
        <f>'5월'!N163</f>
        <v>19800</v>
      </c>
      <c r="O994" s="5" t="str">
        <f>'5월'!O163</f>
        <v>완료(7/30)</v>
      </c>
      <c r="P994" s="9" t="str">
        <f>'5월'!P163</f>
        <v>천범석</v>
      </c>
      <c r="Q994" s="5">
        <f>'5월'!Q163</f>
        <v>45195</v>
      </c>
      <c r="R994" s="209" t="str">
        <f>'5월'!R163</f>
        <v>매출연간</v>
      </c>
      <c r="U994" s="11"/>
      <c r="V994" s="8"/>
    </row>
    <row r="995" spans="1:22">
      <c r="A995" t="s">
        <v>64</v>
      </c>
      <c r="B995" s="10" t="str">
        <f>'5월'!B164</f>
        <v>SB-24027</v>
      </c>
      <c r="C995" s="139" t="str">
        <f>'5월'!C164</f>
        <v>ZGTHWJ</v>
      </c>
      <c r="D995" s="13">
        <f>'5월'!D164</f>
        <v>45808</v>
      </c>
      <c r="E995" s="155" t="str">
        <f>'5월'!E164</f>
        <v>성공글로벌테크놀로지코리아</v>
      </c>
      <c r="F995" s="155" t="str">
        <f>'5월'!F164</f>
        <v>시스템본</v>
      </c>
      <c r="G995" s="156" t="str">
        <f>'5월'!G164</f>
        <v>MA</v>
      </c>
      <c r="H995" s="156" t="str">
        <f>'5월'!H164</f>
        <v>월간-성공</v>
      </c>
      <c r="I995" s="69" t="str">
        <f>'5월'!I164</f>
        <v>엘지유플러스(LG U+) 5월 유지정비료 - 18/37회</v>
      </c>
      <c r="J995" s="122">
        <f>'5월'!J164</f>
        <v>1</v>
      </c>
      <c r="K995" s="15">
        <f>'5월'!K164</f>
        <v>518541</v>
      </c>
      <c r="L995" s="16">
        <f>'5월'!L164</f>
        <v>518541</v>
      </c>
      <c r="M995" s="15">
        <f>'5월'!M164</f>
        <v>51854</v>
      </c>
      <c r="N995" s="15">
        <f>'5월'!N164</f>
        <v>570395</v>
      </c>
      <c r="O995" s="5" t="str">
        <f>'5월'!O164</f>
        <v>완료(7/30)</v>
      </c>
      <c r="P995" s="9" t="str">
        <f>'5월'!P164</f>
        <v>천범석</v>
      </c>
      <c r="Q995" s="5">
        <f>'5월'!Q164</f>
        <v>45807</v>
      </c>
      <c r="R995" s="209"/>
    </row>
    <row r="996" spans="1:22" ht="16.5" customHeight="1">
      <c r="A996" t="s">
        <v>64</v>
      </c>
      <c r="B996" s="10" t="str">
        <f>'5월'!B165</f>
        <v>SB-24034</v>
      </c>
      <c r="C996" s="224" t="str">
        <f>'5월'!C165</f>
        <v>Z11I89</v>
      </c>
      <c r="D996" s="13">
        <f>'5월'!D165</f>
        <v>45808</v>
      </c>
      <c r="E996" s="155" t="str">
        <f>'5월'!E165</f>
        <v>성공글로벌테크놀로지코리아</v>
      </c>
      <c r="F996" s="155" t="str">
        <f>'5월'!F165</f>
        <v>씨원시스템</v>
      </c>
      <c r="G996" s="168" t="str">
        <f>'5월'!G165</f>
        <v>MA</v>
      </c>
      <c r="H996" s="156" t="str">
        <f>'5월'!H165</f>
        <v>월간-성공</v>
      </c>
      <c r="I996" s="69" t="str">
        <f>'5월'!I165</f>
        <v>이녹스 5월 유지정비료 - 12/12회</v>
      </c>
      <c r="J996" s="122">
        <f>'5월'!J165</f>
        <v>1</v>
      </c>
      <c r="K996" s="15">
        <f>'5월'!K165</f>
        <v>249900</v>
      </c>
      <c r="L996" s="16">
        <f>'5월'!L165</f>
        <v>249900</v>
      </c>
      <c r="M996" s="15">
        <f>'5월'!M165</f>
        <v>24990</v>
      </c>
      <c r="N996" s="15">
        <f>'5월'!N165</f>
        <v>274890</v>
      </c>
      <c r="O996" s="5" t="str">
        <f>'5월'!O165</f>
        <v>완료(7/30)</v>
      </c>
      <c r="P996" s="9" t="str">
        <f>'5월'!P165</f>
        <v>천범석</v>
      </c>
      <c r="Q996" s="5">
        <f>'5월'!Q165</f>
        <v>45807</v>
      </c>
      <c r="R996" s="209"/>
      <c r="U996" s="11"/>
      <c r="V996" s="8"/>
    </row>
    <row r="997" spans="1:22" ht="16.5" customHeight="1">
      <c r="A997" t="s">
        <v>64</v>
      </c>
      <c r="B997" s="10" t="str">
        <f>'5월'!B166</f>
        <v>SB-24031</v>
      </c>
      <c r="C997" s="12" t="str">
        <f>'5월'!C166</f>
        <v>ZKZDVZ</v>
      </c>
      <c r="D997" s="13">
        <f>'5월'!D166</f>
        <v>45808</v>
      </c>
      <c r="E997" s="155" t="str">
        <f>'5월'!E166</f>
        <v>성공글로벌테크놀로지코리아</v>
      </c>
      <c r="F997" s="155" t="str">
        <f>'5월'!F166</f>
        <v>데이타메트렉스</v>
      </c>
      <c r="G997" s="168" t="str">
        <f>'5월'!G166</f>
        <v>MA</v>
      </c>
      <c r="H997" s="156" t="str">
        <f>'5월'!H166</f>
        <v>월간-성공</v>
      </c>
      <c r="I997" s="69" t="str">
        <f>'5월'!I166</f>
        <v>롯데하이마트 5월 유지정비료 - 12/13회</v>
      </c>
      <c r="J997" s="122">
        <f>'5월'!J166</f>
        <v>1</v>
      </c>
      <c r="K997" s="15">
        <f>'5월'!K166</f>
        <v>604800</v>
      </c>
      <c r="L997" s="16">
        <f>'5월'!L166</f>
        <v>604800</v>
      </c>
      <c r="M997" s="15">
        <f>'5월'!M166</f>
        <v>60480</v>
      </c>
      <c r="N997" s="15">
        <f>'5월'!N166</f>
        <v>665280</v>
      </c>
      <c r="O997" s="5" t="str">
        <f>'5월'!O166</f>
        <v>완료(7/30)</v>
      </c>
      <c r="P997" s="9" t="str">
        <f>'5월'!P166</f>
        <v>천범석</v>
      </c>
      <c r="Q997" s="5">
        <f>'5월'!Q166</f>
        <v>45807</v>
      </c>
      <c r="R997" s="209"/>
    </row>
    <row r="998" spans="1:22" ht="16.5" customHeight="1">
      <c r="A998" t="s">
        <v>64</v>
      </c>
      <c r="B998" s="10" t="str">
        <f>'5월'!B167</f>
        <v>SB-24037</v>
      </c>
      <c r="C998" s="12" t="str">
        <f>'5월'!C167</f>
        <v>ZAI7T4</v>
      </c>
      <c r="D998" s="13">
        <f>'5월'!D167</f>
        <v>45808</v>
      </c>
      <c r="E998" s="155" t="str">
        <f>'5월'!E167</f>
        <v>성공글로벌테크놀로지코리아</v>
      </c>
      <c r="F998" s="155" t="str">
        <f>'5월'!F167</f>
        <v>어보브반도체</v>
      </c>
      <c r="G998" s="156" t="str">
        <f>'5월'!G167</f>
        <v>MA</v>
      </c>
      <c r="H998" s="156" t="str">
        <f>'5월'!H167</f>
        <v>월간-성공</v>
      </c>
      <c r="I998" s="69" t="str">
        <f>'5월'!I167</f>
        <v>5월 유지정비료 - 12/13회</v>
      </c>
      <c r="J998" s="122">
        <f>'5월'!J167</f>
        <v>1</v>
      </c>
      <c r="K998" s="15">
        <f>'5월'!K167</f>
        <v>52200</v>
      </c>
      <c r="L998" s="16">
        <f>'5월'!L167</f>
        <v>52200</v>
      </c>
      <c r="M998" s="15">
        <f>'5월'!M167</f>
        <v>5220</v>
      </c>
      <c r="N998" s="15">
        <f>'5월'!N167</f>
        <v>57420</v>
      </c>
      <c r="O998" s="5" t="str">
        <f>'5월'!O167</f>
        <v>완료(7/30)</v>
      </c>
      <c r="P998" s="9" t="str">
        <f>'5월'!P167</f>
        <v>천범석</v>
      </c>
      <c r="Q998" s="5">
        <f>'5월'!Q167</f>
        <v>45471</v>
      </c>
      <c r="R998" s="209" t="str">
        <f>'5월'!R167</f>
        <v>매출연간</v>
      </c>
      <c r="U998" s="11"/>
      <c r="V998" s="8"/>
    </row>
    <row r="999" spans="1:22" ht="16.5" customHeight="1">
      <c r="A999" t="s">
        <v>64</v>
      </c>
      <c r="B999" s="10" t="str">
        <f>'5월'!B168</f>
        <v>SB-24038</v>
      </c>
      <c r="C999" s="224" t="str">
        <f>'5월'!C168</f>
        <v>Z0OK1R</v>
      </c>
      <c r="D999" s="13">
        <f>'5월'!D168</f>
        <v>45808</v>
      </c>
      <c r="E999" s="155" t="str">
        <f>'5월'!E168</f>
        <v>성공글로벌테크놀로지코리아</v>
      </c>
      <c r="F999" s="155" t="str">
        <f>'5월'!F168</f>
        <v>삼정펄프</v>
      </c>
      <c r="G999" s="156" t="str">
        <f>'5월'!G168</f>
        <v>MA</v>
      </c>
      <c r="H999" s="156" t="str">
        <f>'5월'!H168</f>
        <v>월간-성공</v>
      </c>
      <c r="I999" s="69" t="str">
        <f>'5월'!I168</f>
        <v>5월 유지정비료 - 12/13회</v>
      </c>
      <c r="J999" s="122">
        <f>'5월'!J168</f>
        <v>1</v>
      </c>
      <c r="K999" s="15">
        <f>'5월'!K168</f>
        <v>170400</v>
      </c>
      <c r="L999" s="16">
        <f>'5월'!L168</f>
        <v>170400</v>
      </c>
      <c r="M999" s="15">
        <f>'5월'!M168</f>
        <v>17040</v>
      </c>
      <c r="N999" s="15">
        <f>'5월'!N168</f>
        <v>187440</v>
      </c>
      <c r="O999" s="5" t="str">
        <f>'5월'!O168</f>
        <v>완료(7/30)</v>
      </c>
      <c r="P999" s="9" t="str">
        <f>'5월'!P168</f>
        <v>천범석</v>
      </c>
      <c r="Q999" s="5">
        <f>'5월'!Q168</f>
        <v>45471</v>
      </c>
      <c r="R999" s="209" t="str">
        <f>'5월'!R168</f>
        <v>매출연간</v>
      </c>
      <c r="U999" s="11"/>
      <c r="V999" s="8"/>
    </row>
    <row r="1000" spans="1:22" ht="16.5" customHeight="1">
      <c r="A1000" t="s">
        <v>64</v>
      </c>
      <c r="B1000" s="10" t="str">
        <f>'5월'!B169</f>
        <v>SB-24040</v>
      </c>
      <c r="C1000" s="12" t="str">
        <f>'5월'!C169</f>
        <v>ZBJK3I</v>
      </c>
      <c r="D1000" s="13">
        <f>'5월'!D169</f>
        <v>45808</v>
      </c>
      <c r="E1000" s="155" t="str">
        <f>'5월'!E169</f>
        <v>성공글로벌테크놀로지코리아</v>
      </c>
      <c r="F1000" s="155" t="str">
        <f>'5월'!F169</f>
        <v>도담솔루션</v>
      </c>
      <c r="G1000" s="168" t="str">
        <f>'5월'!G169</f>
        <v>MA</v>
      </c>
      <c r="H1000" s="156" t="str">
        <f>'5월'!H169</f>
        <v>월간-성공</v>
      </c>
      <c r="I1000" s="69" t="str">
        <f>'5월'!I169</f>
        <v>호원대학교 5월 유지정비료 - 12/13회</v>
      </c>
      <c r="J1000" s="122">
        <f>'5월'!J169</f>
        <v>1</v>
      </c>
      <c r="K1000" s="15">
        <f>'5월'!K169</f>
        <v>101400</v>
      </c>
      <c r="L1000" s="16">
        <f>'5월'!L169</f>
        <v>101400</v>
      </c>
      <c r="M1000" s="15">
        <f>'5월'!M169</f>
        <v>10140</v>
      </c>
      <c r="N1000" s="15">
        <f>'5월'!N169</f>
        <v>111540</v>
      </c>
      <c r="O1000" s="5" t="str">
        <f>'5월'!O169</f>
        <v>완료(7/30)</v>
      </c>
      <c r="P1000" s="9" t="str">
        <f>'5월'!P169</f>
        <v>천범석</v>
      </c>
      <c r="Q1000" s="5">
        <f>'5월'!Q169</f>
        <v>45807</v>
      </c>
      <c r="R1000" s="209"/>
    </row>
    <row r="1001" spans="1:22" ht="16.5" customHeight="1">
      <c r="A1001" t="s">
        <v>64</v>
      </c>
      <c r="B1001" s="10" t="str">
        <f>'5월'!B170</f>
        <v>LI-24005</v>
      </c>
      <c r="C1001" s="12" t="str">
        <f>'5월'!C170</f>
        <v>Z4ACEZ</v>
      </c>
      <c r="D1001" s="13">
        <f>'5월'!D170</f>
        <v>45808</v>
      </c>
      <c r="E1001" s="155" t="str">
        <f>'5월'!E170</f>
        <v>성공글로벌테크놀로지코리아</v>
      </c>
      <c r="F1001" s="155" t="str">
        <f>'5월'!F170</f>
        <v>해안종합건축사사무소</v>
      </c>
      <c r="G1001" s="156" t="str">
        <f>'5월'!G170</f>
        <v>MA</v>
      </c>
      <c r="H1001" s="156" t="str">
        <f>'5월'!H170</f>
        <v>월간-성공</v>
      </c>
      <c r="I1001" s="69" t="str">
        <f>'5월'!I170</f>
        <v>5월 유지정비료 - 12/12회</v>
      </c>
      <c r="J1001" s="122">
        <f>'5월'!J170</f>
        <v>1</v>
      </c>
      <c r="K1001" s="15">
        <f>'5월'!K170</f>
        <v>171600</v>
      </c>
      <c r="L1001" s="16">
        <f>'5월'!L170</f>
        <v>171600</v>
      </c>
      <c r="M1001" s="15">
        <f>'5월'!M170</f>
        <v>17160</v>
      </c>
      <c r="N1001" s="15">
        <f>'5월'!N170</f>
        <v>188760</v>
      </c>
      <c r="O1001" s="5" t="str">
        <f>'5월'!O170</f>
        <v>완료(7/30)</v>
      </c>
      <c r="P1001" s="9" t="str">
        <f>'5월'!P170</f>
        <v>천범석</v>
      </c>
      <c r="Q1001" s="5">
        <f>'5월'!Q170</f>
        <v>45778</v>
      </c>
      <c r="R1001" s="209"/>
    </row>
    <row r="1002" spans="1:22" ht="16.5" customHeight="1">
      <c r="A1002" t="s">
        <v>64</v>
      </c>
      <c r="B1002" s="10" t="str">
        <f>'5월'!B171</f>
        <v>SB-24039</v>
      </c>
      <c r="C1002" s="12" t="str">
        <f>'5월'!C171</f>
        <v>ZZGBBZ</v>
      </c>
      <c r="D1002" s="13">
        <f>'5월'!D171</f>
        <v>45808</v>
      </c>
      <c r="E1002" s="155" t="str">
        <f>'5월'!E171</f>
        <v>성공글로벌테크놀로지코리아</v>
      </c>
      <c r="F1002" s="155" t="str">
        <f>'5월'!F171</f>
        <v>한국디지털오디오방송</v>
      </c>
      <c r="G1002" s="156" t="str">
        <f>'5월'!G171</f>
        <v>MA</v>
      </c>
      <c r="H1002" s="156" t="str">
        <f>'5월'!H171</f>
        <v>월간-성공</v>
      </c>
      <c r="I1002" s="69" t="str">
        <f>'5월'!I171</f>
        <v>5월유지정비료 - 11/12회</v>
      </c>
      <c r="J1002" s="122">
        <f>'5월'!J171</f>
        <v>1</v>
      </c>
      <c r="K1002" s="15">
        <f>'5월'!K171</f>
        <v>1120200</v>
      </c>
      <c r="L1002" s="16">
        <f>'5월'!L171</f>
        <v>1120200</v>
      </c>
      <c r="M1002" s="15">
        <f>'5월'!M171</f>
        <v>112020</v>
      </c>
      <c r="N1002" s="15">
        <f>'5월'!N171</f>
        <v>1232220</v>
      </c>
      <c r="O1002" s="5" t="str">
        <f>'5월'!O171</f>
        <v>완료(7/30)</v>
      </c>
      <c r="P1002" s="9" t="str">
        <f>'5월'!P171</f>
        <v>천범석</v>
      </c>
      <c r="Q1002" s="5">
        <f>'5월'!Q171</f>
        <v>45778</v>
      </c>
      <c r="R1002" s="209"/>
    </row>
    <row r="1003" spans="1:22" ht="16.5" customHeight="1">
      <c r="A1003" t="s">
        <v>64</v>
      </c>
      <c r="B1003" s="10" t="str">
        <f>'5월'!B172</f>
        <v>SB-24042</v>
      </c>
      <c r="C1003" s="12" t="str">
        <f>'5월'!C172</f>
        <v>ZTME0P</v>
      </c>
      <c r="D1003" s="13">
        <f>'5월'!D172</f>
        <v>45808</v>
      </c>
      <c r="E1003" s="155" t="str">
        <f>'5월'!E172</f>
        <v>성공글로벌테크놀로지코리아</v>
      </c>
      <c r="F1003" s="155" t="str">
        <f>'5월'!F172</f>
        <v>심플키</v>
      </c>
      <c r="G1003" s="168" t="str">
        <f>'5월'!G172</f>
        <v>MA</v>
      </c>
      <c r="H1003" s="156" t="str">
        <f>'5월'!H172</f>
        <v>월간-성공</v>
      </c>
      <c r="I1003" s="69" t="str">
        <f>'5월'!I172</f>
        <v>티시스 5월 유지정비료 - 12/17회</v>
      </c>
      <c r="J1003" s="122">
        <f>'5월'!J172</f>
        <v>1</v>
      </c>
      <c r="K1003" s="15">
        <f>'5월'!K172</f>
        <v>1706400</v>
      </c>
      <c r="L1003" s="16">
        <f>'5월'!L172</f>
        <v>1706400</v>
      </c>
      <c r="M1003" s="15">
        <f>'5월'!M172</f>
        <v>170640</v>
      </c>
      <c r="N1003" s="15">
        <f>'5월'!N172</f>
        <v>1877040</v>
      </c>
      <c r="O1003" s="5" t="str">
        <f>'5월'!O172</f>
        <v>완료(7/30)</v>
      </c>
      <c r="P1003" s="9" t="str">
        <f>'5월'!P172</f>
        <v>천범석</v>
      </c>
      <c r="Q1003" s="5">
        <f>'5월'!Q172</f>
        <v>45748</v>
      </c>
      <c r="R1003" s="209" t="str">
        <f>'5월'!R172</f>
        <v>매출분기</v>
      </c>
    </row>
    <row r="1004" spans="1:22" ht="16.5" customHeight="1">
      <c r="A1004" t="s">
        <v>64</v>
      </c>
      <c r="B1004" s="10" t="str">
        <f>'5월'!B173</f>
        <v>SB-24044</v>
      </c>
      <c r="C1004" s="12" t="str">
        <f>'5월'!C173</f>
        <v>ZSWUX2</v>
      </c>
      <c r="D1004" s="13">
        <f>'5월'!D173</f>
        <v>45808</v>
      </c>
      <c r="E1004" s="155" t="str">
        <f>'5월'!E173</f>
        <v>성공글로벌테크놀로지코리아</v>
      </c>
      <c r="F1004" s="155" t="str">
        <f>'5월'!F173</f>
        <v>다솜테크</v>
      </c>
      <c r="G1004" s="168" t="str">
        <f>'5월'!G173</f>
        <v>MA</v>
      </c>
      <c r="H1004" s="156" t="str">
        <f>'5월'!H173</f>
        <v>월간-성공</v>
      </c>
      <c r="I1004" s="69" t="str">
        <f>'5월'!I173</f>
        <v>LX홀딩스 5월 유지정비료 - 11/12회</v>
      </c>
      <c r="J1004" s="122">
        <f>'5월'!J173</f>
        <v>1</v>
      </c>
      <c r="K1004" s="15">
        <f>'5월'!K173</f>
        <v>505200</v>
      </c>
      <c r="L1004" s="16">
        <f>'5월'!L173</f>
        <v>505200</v>
      </c>
      <c r="M1004" s="15">
        <f>'5월'!M173</f>
        <v>50520</v>
      </c>
      <c r="N1004" s="15">
        <f>'5월'!N173</f>
        <v>555720</v>
      </c>
      <c r="O1004" s="5" t="str">
        <f>'5월'!O173</f>
        <v>완료(7/30)</v>
      </c>
      <c r="P1004" s="177" t="str">
        <f>'5월'!P173</f>
        <v>천범석</v>
      </c>
      <c r="Q1004" s="5">
        <f>'5월'!Q173</f>
        <v>45807</v>
      </c>
      <c r="R1004" s="209"/>
    </row>
    <row r="1005" spans="1:22" ht="16.5" customHeight="1">
      <c r="A1005" t="s">
        <v>64</v>
      </c>
      <c r="B1005" s="10" t="str">
        <f>'5월'!B174</f>
        <v>SL-24021</v>
      </c>
      <c r="C1005" s="12" t="str">
        <f>'5월'!C174</f>
        <v>ZTNAYA</v>
      </c>
      <c r="D1005" s="13">
        <f>'5월'!D174</f>
        <v>45808</v>
      </c>
      <c r="E1005" s="155" t="str">
        <f>'5월'!E174</f>
        <v>성공글로벌테크놀로지코리아</v>
      </c>
      <c r="F1005" s="155" t="str">
        <f>'5월'!F174</f>
        <v>씨티아이앤씨</v>
      </c>
      <c r="G1005" s="156" t="str">
        <f>'5월'!G174</f>
        <v>MA</v>
      </c>
      <c r="H1005" s="156" t="str">
        <f>'5월'!H174</f>
        <v>월간-성공</v>
      </c>
      <c r="I1005" s="69" t="str">
        <f>'5월'!I174</f>
        <v>한우리아이티 HW 5월 유지정비료 - 10/13회</v>
      </c>
      <c r="J1005" s="122">
        <f>'5월'!J174</f>
        <v>1</v>
      </c>
      <c r="K1005" s="15">
        <f>'5월'!K174</f>
        <v>334800</v>
      </c>
      <c r="L1005" s="16">
        <f>'5월'!L174</f>
        <v>334800</v>
      </c>
      <c r="M1005" s="15">
        <f>'5월'!M174</f>
        <v>33480</v>
      </c>
      <c r="N1005" s="15">
        <f>'5월'!N174</f>
        <v>368280</v>
      </c>
      <c r="O1005" s="5" t="str">
        <f>'5월'!O174</f>
        <v>완료(7/30)</v>
      </c>
      <c r="P1005" s="9" t="str">
        <f>'5월'!P174</f>
        <v>천범석</v>
      </c>
      <c r="Q1005" s="5">
        <f>'5월'!Q174</f>
        <v>45504</v>
      </c>
      <c r="R1005" s="209" t="str">
        <f>'5월'!R174</f>
        <v>매출연간</v>
      </c>
    </row>
    <row r="1006" spans="1:22" ht="16.5" customHeight="1">
      <c r="A1006" t="s">
        <v>64</v>
      </c>
      <c r="B1006" s="10" t="str">
        <f>'5월'!B175</f>
        <v>SB-24050</v>
      </c>
      <c r="C1006" s="12" t="str">
        <f>'5월'!C175</f>
        <v>ZTHGTA</v>
      </c>
      <c r="D1006" s="13">
        <f>'5월'!D175</f>
        <v>45808</v>
      </c>
      <c r="E1006" s="155" t="str">
        <f>'5월'!E175</f>
        <v>성공글로벌테크놀로지코리아</v>
      </c>
      <c r="F1006" s="155" t="str">
        <f>'5월'!F175</f>
        <v>조선해운</v>
      </c>
      <c r="G1006" s="168" t="str">
        <f>'5월'!G175</f>
        <v>MA</v>
      </c>
      <c r="H1006" s="156" t="str">
        <f>'5월'!H175</f>
        <v>월간-성공</v>
      </c>
      <c r="I1006" s="69" t="str">
        <f>'5월'!I175</f>
        <v>5월 유지정비료 - 9/13회</v>
      </c>
      <c r="J1006" s="122">
        <f>'5월'!J175</f>
        <v>1</v>
      </c>
      <c r="K1006" s="15">
        <f>'5월'!K175</f>
        <v>78000</v>
      </c>
      <c r="L1006" s="16">
        <f>'5월'!L175</f>
        <v>78000</v>
      </c>
      <c r="M1006" s="15">
        <f>'5월'!M175</f>
        <v>7800</v>
      </c>
      <c r="N1006" s="15">
        <f>'5월'!N175</f>
        <v>85800</v>
      </c>
      <c r="O1006" s="5" t="str">
        <f>'5월'!O175</f>
        <v>완료(7/30)</v>
      </c>
      <c r="P1006" s="9" t="str">
        <f>'5월'!P175</f>
        <v>천범석</v>
      </c>
      <c r="Q1006" s="5">
        <f>'5월'!Q175</f>
        <v>45565</v>
      </c>
      <c r="R1006" s="209" t="str">
        <f>'5월'!R175</f>
        <v>매출연간</v>
      </c>
    </row>
    <row r="1007" spans="1:22" ht="16.5" customHeight="1">
      <c r="A1007" t="s">
        <v>64</v>
      </c>
      <c r="B1007" s="10" t="str">
        <f>'5월'!B176</f>
        <v>SB-24051</v>
      </c>
      <c r="C1007" s="12" t="str">
        <f>'5월'!C176</f>
        <v>ZWMXXL</v>
      </c>
      <c r="D1007" s="13">
        <f>'5월'!D176</f>
        <v>45808</v>
      </c>
      <c r="E1007" s="155" t="str">
        <f>'5월'!E176</f>
        <v>성공글로벌테크놀로지코리아</v>
      </c>
      <c r="F1007" s="155" t="str">
        <f>'5월'!F176</f>
        <v>지노스</v>
      </c>
      <c r="G1007" s="168" t="str">
        <f>'5월'!G176</f>
        <v>MA</v>
      </c>
      <c r="H1007" s="156" t="str">
        <f>'5월'!H176</f>
        <v>월간-성공</v>
      </c>
      <c r="I1007" s="69" t="str">
        <f>'5월'!I176</f>
        <v>5월 유지정비료 - 8/15회</v>
      </c>
      <c r="J1007" s="122">
        <f>'5월'!J176</f>
        <v>1</v>
      </c>
      <c r="K1007" s="15">
        <f>'5월'!K176</f>
        <v>534900</v>
      </c>
      <c r="L1007" s="16">
        <f>'5월'!L176</f>
        <v>534900</v>
      </c>
      <c r="M1007" s="15">
        <f>'5월'!M176</f>
        <v>53490</v>
      </c>
      <c r="N1007" s="15">
        <f>'5월'!N176</f>
        <v>588390</v>
      </c>
      <c r="O1007" s="5" t="str">
        <f>'5월'!O176</f>
        <v>완료(7/30)</v>
      </c>
      <c r="P1007" s="9" t="str">
        <f>'5월'!P176</f>
        <v>천범석</v>
      </c>
      <c r="Q1007" s="5">
        <f>'5월'!Q176</f>
        <v>45560</v>
      </c>
      <c r="R1007" s="209" t="str">
        <f>'5월'!R176</f>
        <v>매출연간</v>
      </c>
    </row>
    <row r="1008" spans="1:22" ht="16.5" customHeight="1">
      <c r="A1008" t="s">
        <v>64</v>
      </c>
      <c r="B1008" s="10" t="str">
        <f>'5월'!B177</f>
        <v>SB-24052</v>
      </c>
      <c r="C1008" s="12" t="str">
        <f>'5월'!C177</f>
        <v>ZUIU6G</v>
      </c>
      <c r="D1008" s="13">
        <f>'5월'!D177</f>
        <v>45808</v>
      </c>
      <c r="E1008" s="155" t="str">
        <f>'5월'!E177</f>
        <v>성공글로벌테크놀로지코리아</v>
      </c>
      <c r="F1008" s="155" t="str">
        <f>'5월'!F177</f>
        <v>유티모스트아이엔에스</v>
      </c>
      <c r="G1008" s="168" t="str">
        <f>'5월'!G177</f>
        <v>MA</v>
      </c>
      <c r="H1008" s="156" t="str">
        <f>'5월'!H177</f>
        <v>월간-성공</v>
      </c>
      <c r="I1008" s="69" t="str">
        <f>'5월'!I177</f>
        <v>삼성중공업 5월 유지정비료 - 9/16회</v>
      </c>
      <c r="J1008" s="122">
        <f>'5월'!J177</f>
        <v>1</v>
      </c>
      <c r="K1008" s="15">
        <f>'5월'!K177</f>
        <v>11892900</v>
      </c>
      <c r="L1008" s="16">
        <f>'5월'!L177</f>
        <v>11892900</v>
      </c>
      <c r="M1008" s="15">
        <f>'5월'!M177</f>
        <v>1189290</v>
      </c>
      <c r="N1008" s="15">
        <f>'5월'!N177</f>
        <v>13082190</v>
      </c>
      <c r="O1008" s="5" t="str">
        <f>'5월'!O177</f>
        <v>완료(7/30)</v>
      </c>
      <c r="P1008" s="9" t="str">
        <f>'5월'!P177</f>
        <v>천범석</v>
      </c>
      <c r="Q1008" s="5">
        <f>'5월'!Q177</f>
        <v>45807</v>
      </c>
      <c r="R1008" s="209"/>
    </row>
    <row r="1009" spans="1:18" ht="16.5" customHeight="1">
      <c r="A1009" t="s">
        <v>64</v>
      </c>
      <c r="B1009" s="10" t="str">
        <f>'5월'!B178</f>
        <v>SB-24058</v>
      </c>
      <c r="C1009" s="12" t="str">
        <f>'5월'!C178</f>
        <v>ZM9LCT</v>
      </c>
      <c r="D1009" s="13">
        <f>'5월'!D178</f>
        <v>45808</v>
      </c>
      <c r="E1009" s="155" t="str">
        <f>'5월'!E178</f>
        <v>성공글로벌테크놀로지코리아</v>
      </c>
      <c r="F1009" s="155" t="str">
        <f>'5월'!F178</f>
        <v>에이스기계</v>
      </c>
      <c r="G1009" s="168" t="str">
        <f>'5월'!G178</f>
        <v>MA</v>
      </c>
      <c r="H1009" s="156" t="str">
        <f>'5월'!H178</f>
        <v>월간-성공</v>
      </c>
      <c r="I1009" s="69" t="str">
        <f>'5월'!I178</f>
        <v>5월 유지정비료 - 8/13회</v>
      </c>
      <c r="J1009" s="122">
        <f>'5월'!J178</f>
        <v>1</v>
      </c>
      <c r="K1009" s="15">
        <f>'5월'!K178</f>
        <v>48900</v>
      </c>
      <c r="L1009" s="16">
        <f>'5월'!L178</f>
        <v>48900</v>
      </c>
      <c r="M1009" s="15">
        <f>'5월'!M178</f>
        <v>4890</v>
      </c>
      <c r="N1009" s="15">
        <f>'5월'!N178</f>
        <v>53790</v>
      </c>
      <c r="O1009" s="5" t="str">
        <f>'5월'!O178</f>
        <v>완료(7/30)</v>
      </c>
      <c r="P1009" s="9" t="str">
        <f>'5월'!P178</f>
        <v>천범석</v>
      </c>
      <c r="Q1009" s="5">
        <f>'5월'!Q178</f>
        <v>45590</v>
      </c>
      <c r="R1009" s="209" t="str">
        <f>'5월'!R178</f>
        <v>매출연간</v>
      </c>
    </row>
    <row r="1010" spans="1:18" ht="16.5" customHeight="1">
      <c r="A1010" t="s">
        <v>64</v>
      </c>
      <c r="B1010" s="10" t="str">
        <f>'5월'!B179</f>
        <v>SB-24054</v>
      </c>
      <c r="C1010" s="12" t="str">
        <f>'5월'!C179</f>
        <v>ZGYCOY</v>
      </c>
      <c r="D1010" s="13">
        <f>'5월'!D179</f>
        <v>45808</v>
      </c>
      <c r="E1010" s="155" t="str">
        <f>'5월'!E179</f>
        <v>성공글로벌테크놀로지코리아</v>
      </c>
      <c r="F1010" s="155" t="str">
        <f>'5월'!F179</f>
        <v>지인아이티</v>
      </c>
      <c r="G1010" s="168" t="str">
        <f>'5월'!G179</f>
        <v>MA</v>
      </c>
      <c r="H1010" s="156" t="str">
        <f>'5월'!H179</f>
        <v>월간-성공</v>
      </c>
      <c r="I1010" s="69" t="str">
        <f>'5월'!I179</f>
        <v>유아이티 5월 유지정비료 - 8/13회</v>
      </c>
      <c r="J1010" s="122">
        <f>'5월'!J179</f>
        <v>1</v>
      </c>
      <c r="K1010" s="15">
        <f>'5월'!K179</f>
        <v>306300</v>
      </c>
      <c r="L1010" s="16">
        <f>'5월'!L179</f>
        <v>306300</v>
      </c>
      <c r="M1010" s="15">
        <f>'5월'!M179</f>
        <v>30630</v>
      </c>
      <c r="N1010" s="15">
        <f>'5월'!N179</f>
        <v>336930</v>
      </c>
      <c r="O1010" s="5" t="str">
        <f>'5월'!O179</f>
        <v>완료(7/30)</v>
      </c>
      <c r="P1010" s="9" t="str">
        <f>'5월'!P179</f>
        <v>천범석</v>
      </c>
      <c r="Q1010" s="5">
        <f>'5월'!Q179</f>
        <v>45596</v>
      </c>
      <c r="R1010" s="209" t="str">
        <f>'5월'!R179</f>
        <v>매출연간</v>
      </c>
    </row>
    <row r="1011" spans="1:18" ht="16.5" customHeight="1">
      <c r="A1011" t="s">
        <v>64</v>
      </c>
      <c r="B1011" s="10" t="str">
        <f>'5월'!B180</f>
        <v>SB-24055</v>
      </c>
      <c r="C1011" s="12" t="str">
        <f>'5월'!C180</f>
        <v>ZAXJCH</v>
      </c>
      <c r="D1011" s="13">
        <f>'5월'!D180</f>
        <v>45808</v>
      </c>
      <c r="E1011" s="155" t="str">
        <f>'5월'!E180</f>
        <v>성공글로벌테크놀로지코리아</v>
      </c>
      <c r="F1011" s="155" t="str">
        <f>'5월'!F180</f>
        <v>이룸인프라</v>
      </c>
      <c r="G1011" s="168" t="str">
        <f>'5월'!G180</f>
        <v>MA</v>
      </c>
      <c r="H1011" s="156" t="str">
        <f>'5월'!H180</f>
        <v>월간-성공</v>
      </c>
      <c r="I1011" s="69" t="str">
        <f>'5월'!I180</f>
        <v>포스코 5월 유지정비료 - 8/15회</v>
      </c>
      <c r="J1011" s="122">
        <f>'5월'!J180</f>
        <v>1</v>
      </c>
      <c r="K1011" s="15">
        <f>'5월'!K180</f>
        <v>655500</v>
      </c>
      <c r="L1011" s="16">
        <f>'5월'!L180</f>
        <v>655500</v>
      </c>
      <c r="M1011" s="15">
        <f>'5월'!M180</f>
        <v>65550</v>
      </c>
      <c r="N1011" s="15">
        <f>'5월'!N180</f>
        <v>721050</v>
      </c>
      <c r="O1011" s="5" t="str">
        <f>'5월'!O180</f>
        <v>완료(7/30)</v>
      </c>
      <c r="P1011" s="9" t="str">
        <f>'5월'!P180</f>
        <v>천범석</v>
      </c>
      <c r="Q1011" s="5">
        <f>'5월'!Q180</f>
        <v>45807</v>
      </c>
      <c r="R1011" s="209"/>
    </row>
    <row r="1012" spans="1:18" ht="16.5" customHeight="1">
      <c r="A1012" t="s">
        <v>64</v>
      </c>
      <c r="B1012" s="10" t="str">
        <f>'5월'!B181</f>
        <v>SB-24055</v>
      </c>
      <c r="C1012" s="12" t="str">
        <f>'5월'!C181</f>
        <v>ZP1BPN</v>
      </c>
      <c r="D1012" s="13">
        <f>'5월'!D181</f>
        <v>45808</v>
      </c>
      <c r="E1012" s="155" t="str">
        <f>'5월'!E181</f>
        <v>성공글로벌테크놀로지코리아</v>
      </c>
      <c r="F1012" s="155" t="str">
        <f>'5월'!F181</f>
        <v>이룸인프라</v>
      </c>
      <c r="G1012" s="168" t="str">
        <f>'5월'!G181</f>
        <v>MA</v>
      </c>
      <c r="H1012" s="156" t="str">
        <f>'5월'!H181</f>
        <v>월간-성공</v>
      </c>
      <c r="I1012" s="69" t="str">
        <f>'5월'!I181</f>
        <v>포스코 5월 유지정비료 - 7/14회</v>
      </c>
      <c r="J1012" s="122">
        <f>'5월'!J181</f>
        <v>1</v>
      </c>
      <c r="K1012" s="15">
        <f>'5월'!K181</f>
        <v>1981200</v>
      </c>
      <c r="L1012" s="16">
        <f>'5월'!L181</f>
        <v>1981200</v>
      </c>
      <c r="M1012" s="15">
        <f>'5월'!M181</f>
        <v>198120</v>
      </c>
      <c r="N1012" s="15">
        <f>'5월'!N181</f>
        <v>2179320</v>
      </c>
      <c r="O1012" s="5" t="str">
        <f>'5월'!O181</f>
        <v>완료(7/30)</v>
      </c>
      <c r="P1012" s="9" t="str">
        <f>'5월'!P181</f>
        <v>천범석</v>
      </c>
      <c r="Q1012" s="5">
        <f>'5월'!Q181</f>
        <v>45807</v>
      </c>
      <c r="R1012" s="209"/>
    </row>
    <row r="1013" spans="1:18" ht="16.5" customHeight="1">
      <c r="A1013" t="s">
        <v>64</v>
      </c>
      <c r="B1013" s="10" t="str">
        <f>'5월'!B182</f>
        <v>SB-24053</v>
      </c>
      <c r="C1013" s="12" t="str">
        <f>'5월'!C182</f>
        <v>Z5LOLW</v>
      </c>
      <c r="D1013" s="13">
        <f>'5월'!D182</f>
        <v>45808</v>
      </c>
      <c r="E1013" s="155" t="str">
        <f>'5월'!E182</f>
        <v>성공글로벌테크놀로지코리아</v>
      </c>
      <c r="F1013" s="155" t="str">
        <f>'5월'!F182</f>
        <v>대한변협법학전문대학원평가위원회</v>
      </c>
      <c r="G1013" s="168" t="str">
        <f>'5월'!G182</f>
        <v>MA</v>
      </c>
      <c r="H1013" s="156" t="str">
        <f>'5월'!H182</f>
        <v>월간-성공</v>
      </c>
      <c r="I1013" s="69" t="str">
        <f>'5월'!I182</f>
        <v>5월 유지정비료 - 4/12회</v>
      </c>
      <c r="J1013" s="122">
        <f>'5월'!J182</f>
        <v>1</v>
      </c>
      <c r="K1013" s="15">
        <f>'5월'!K182</f>
        <v>153900</v>
      </c>
      <c r="L1013" s="16">
        <f>'5월'!L182</f>
        <v>153900</v>
      </c>
      <c r="M1013" s="15">
        <f>'5월'!M182</f>
        <v>15390</v>
      </c>
      <c r="N1013" s="15">
        <f>'5월'!N182</f>
        <v>169290</v>
      </c>
      <c r="O1013" s="5" t="str">
        <f>'5월'!O182</f>
        <v>완료(7/30)</v>
      </c>
      <c r="P1013" s="9" t="str">
        <f>'5월'!P182</f>
        <v>천범석</v>
      </c>
      <c r="Q1013" s="5">
        <f>'5월'!Q182</f>
        <v>45588</v>
      </c>
      <c r="R1013" s="209" t="str">
        <f>'5월'!R182</f>
        <v>매출연간</v>
      </c>
    </row>
    <row r="1014" spans="1:18" ht="16.5" customHeight="1">
      <c r="A1014" t="s">
        <v>64</v>
      </c>
      <c r="B1014" s="10" t="str">
        <f>'5월'!B183</f>
        <v>SB-24059</v>
      </c>
      <c r="C1014" s="12" t="str">
        <f>'5월'!C183</f>
        <v>ZISA1K</v>
      </c>
      <c r="D1014" s="13">
        <f>'5월'!D183</f>
        <v>45808</v>
      </c>
      <c r="E1014" s="155" t="str">
        <f>'5월'!E183</f>
        <v>성공글로벌테크놀로지코리아</v>
      </c>
      <c r="F1014" s="155" t="str">
        <f>'5월'!F183</f>
        <v>유노스</v>
      </c>
      <c r="G1014" s="168" t="str">
        <f>'5월'!G183</f>
        <v>MA</v>
      </c>
      <c r="H1014" s="156" t="str">
        <f>'5월'!H183</f>
        <v>월간-성공</v>
      </c>
      <c r="I1014" s="69" t="str">
        <f>'5월'!I183</f>
        <v>신성통상 5월 유지정비료 - 6/12회</v>
      </c>
      <c r="J1014" s="122">
        <f>'5월'!J183</f>
        <v>1</v>
      </c>
      <c r="K1014" s="15">
        <f>'5월'!K183</f>
        <v>555600</v>
      </c>
      <c r="L1014" s="16">
        <f>'5월'!L183</f>
        <v>555600</v>
      </c>
      <c r="M1014" s="15">
        <f>'5월'!M183</f>
        <v>55560</v>
      </c>
      <c r="N1014" s="15">
        <f>'5월'!N183</f>
        <v>611160</v>
      </c>
      <c r="O1014" s="5" t="str">
        <f>'5월'!O183</f>
        <v>완료(7/30)</v>
      </c>
      <c r="P1014" s="9" t="str">
        <f>'5월'!P183</f>
        <v>천범석</v>
      </c>
      <c r="Q1014" s="5">
        <f>'5월'!Q183</f>
        <v>45627</v>
      </c>
      <c r="R1014" s="209" t="str">
        <f>'5월'!R183</f>
        <v>매출연간</v>
      </c>
    </row>
    <row r="1015" spans="1:18" ht="16.5" customHeight="1">
      <c r="A1015" t="s">
        <v>64</v>
      </c>
      <c r="B1015" s="10" t="str">
        <f>'5월'!B184</f>
        <v>SB-24061</v>
      </c>
      <c r="C1015" s="12" t="str">
        <f>'5월'!C184</f>
        <v>ZVVVON</v>
      </c>
      <c r="D1015" s="13">
        <f>'5월'!D184</f>
        <v>45808</v>
      </c>
      <c r="E1015" s="155" t="str">
        <f>'5월'!E184</f>
        <v>성공글로벌테크놀로지코리아</v>
      </c>
      <c r="F1015" s="155" t="str">
        <f>'5월'!F184</f>
        <v>다솜테크</v>
      </c>
      <c r="G1015" s="156" t="str">
        <f>'5월'!G184</f>
        <v>MA</v>
      </c>
      <c r="H1015" s="156" t="str">
        <f>'5월'!H184</f>
        <v>월간-성공</v>
      </c>
      <c r="I1015" s="69" t="str">
        <f>'5월'!I184</f>
        <v>롯데정보통신 5월 유지정비료 - 5/12회</v>
      </c>
      <c r="J1015" s="122">
        <f>'5월'!J184</f>
        <v>1</v>
      </c>
      <c r="K1015" s="15">
        <f>'5월'!K184</f>
        <v>661800</v>
      </c>
      <c r="L1015" s="16">
        <f>'5월'!L184</f>
        <v>661800</v>
      </c>
      <c r="M1015" s="16">
        <f>'5월'!M184</f>
        <v>66180</v>
      </c>
      <c r="N1015" s="15">
        <f>'5월'!N184</f>
        <v>727980</v>
      </c>
      <c r="O1015" s="5" t="str">
        <f>'5월'!O184</f>
        <v>완료(7/30)</v>
      </c>
      <c r="P1015" s="9" t="str">
        <f>'5월'!P184</f>
        <v>천범석</v>
      </c>
      <c r="Q1015" s="5">
        <f>'5월'!Q184</f>
        <v>45807</v>
      </c>
      <c r="R1015" s="213"/>
    </row>
    <row r="1016" spans="1:18" ht="16.5" customHeight="1">
      <c r="A1016" t="s">
        <v>64</v>
      </c>
      <c r="B1016" s="10" t="str">
        <f>'5월'!B185</f>
        <v>SB-24062</v>
      </c>
      <c r="C1016" s="12" t="str">
        <f>'5월'!C185</f>
        <v>ZZM77T</v>
      </c>
      <c r="D1016" s="13">
        <f>'5월'!D185</f>
        <v>45808</v>
      </c>
      <c r="E1016" s="155" t="str">
        <f>'5월'!E185</f>
        <v>성공글로벌테크놀로지코리아</v>
      </c>
      <c r="F1016" s="155" t="str">
        <f>'5월'!F185</f>
        <v>대유에이텍</v>
      </c>
      <c r="G1016" s="156" t="str">
        <f>'5월'!G185</f>
        <v>MA</v>
      </c>
      <c r="H1016" s="156" t="str">
        <f>'5월'!H185</f>
        <v>월간-성공</v>
      </c>
      <c r="I1016" s="69" t="str">
        <f>'5월'!I185</f>
        <v>5월 유지정비료 - 6/18회</v>
      </c>
      <c r="J1016" s="122">
        <f>'5월'!J185</f>
        <v>1</v>
      </c>
      <c r="K1016" s="15">
        <f>'5월'!K185</f>
        <v>331170</v>
      </c>
      <c r="L1016" s="16">
        <f>'5월'!L185</f>
        <v>331170</v>
      </c>
      <c r="M1016" s="15">
        <f>'5월'!M185</f>
        <v>33117</v>
      </c>
      <c r="N1016" s="15">
        <f>'5월'!N185</f>
        <v>364287</v>
      </c>
      <c r="O1016" s="5" t="str">
        <f>'5월'!O185</f>
        <v>완료(7/30)</v>
      </c>
      <c r="P1016" s="9" t="str">
        <f>'5월'!P185</f>
        <v>천범석</v>
      </c>
      <c r="Q1016" s="5">
        <f>'5월'!Q185</f>
        <v>45645</v>
      </c>
      <c r="R1016" s="209" t="str">
        <f>'5월'!R185</f>
        <v>매출연간</v>
      </c>
    </row>
    <row r="1017" spans="1:18" ht="16.5" customHeight="1">
      <c r="A1017" t="s">
        <v>64</v>
      </c>
      <c r="B1017" s="10" t="str">
        <f>'5월'!B186</f>
        <v>SL-24028</v>
      </c>
      <c r="C1017" s="12" t="str">
        <f>'5월'!C186</f>
        <v>ZJYUVJ</v>
      </c>
      <c r="D1017" s="13">
        <f>'5월'!D186</f>
        <v>45808</v>
      </c>
      <c r="E1017" s="155" t="str">
        <f>'5월'!E186</f>
        <v>성공글로벌테크놀로지코리아</v>
      </c>
      <c r="F1017" s="155" t="str">
        <f>'5월'!F186</f>
        <v>온더레벨</v>
      </c>
      <c r="G1017" s="156" t="str">
        <f>'5월'!G186</f>
        <v>MA</v>
      </c>
      <c r="H1017" s="156" t="str">
        <f>'5월'!H186</f>
        <v>월간-성공</v>
      </c>
      <c r="I1017" s="69" t="str">
        <f>'5월'!I186</f>
        <v>한우리아이티 5월 유지정비료 - 5/7회</v>
      </c>
      <c r="J1017" s="122">
        <f>'5월'!J186</f>
        <v>1</v>
      </c>
      <c r="K1017" s="15">
        <f>'5월'!K186</f>
        <v>97800</v>
      </c>
      <c r="L1017" s="16">
        <f>'5월'!L186</f>
        <v>97800</v>
      </c>
      <c r="M1017" s="16">
        <f>'5월'!M186</f>
        <v>9780</v>
      </c>
      <c r="N1017" s="15">
        <f>'5월'!N186</f>
        <v>107580</v>
      </c>
      <c r="O1017" s="5" t="str">
        <f>'5월'!O186</f>
        <v>완료(7/30)</v>
      </c>
      <c r="P1017" s="9" t="str">
        <f>'5월'!P186</f>
        <v>천범석</v>
      </c>
      <c r="Q1017" s="5">
        <f>'5월'!Q186</f>
        <v>45681</v>
      </c>
      <c r="R1017" s="209" t="str">
        <f>'5월'!R186</f>
        <v>매출연간</v>
      </c>
    </row>
    <row r="1018" spans="1:18" ht="16.5" customHeight="1">
      <c r="A1018" t="s">
        <v>64</v>
      </c>
      <c r="B1018" s="10" t="str">
        <f>'5월'!B187</f>
        <v>SB-24066</v>
      </c>
      <c r="C1018" s="12" t="str">
        <f>'5월'!C187</f>
        <v>ZDSNDX</v>
      </c>
      <c r="D1018" s="13">
        <f>'5월'!D187</f>
        <v>45808</v>
      </c>
      <c r="E1018" s="155" t="str">
        <f>'5월'!E187</f>
        <v>성공글로벌테크놀로지코리아</v>
      </c>
      <c r="F1018" s="155" t="str">
        <f>'5월'!F187</f>
        <v>이룸인프라</v>
      </c>
      <c r="G1018" s="168" t="str">
        <f>'5월'!G187</f>
        <v>MA</v>
      </c>
      <c r="H1018" s="156" t="str">
        <f>'5월'!H187</f>
        <v>월간-성공</v>
      </c>
      <c r="I1018" s="69" t="str">
        <f>'5월'!I187</f>
        <v>중국광대은행 5월 유지정비료 - 6/12회</v>
      </c>
      <c r="J1018" s="122">
        <f>'5월'!J187</f>
        <v>1</v>
      </c>
      <c r="K1018" s="15">
        <f>'5월'!K187</f>
        <v>98100</v>
      </c>
      <c r="L1018" s="16">
        <f>'5월'!L187</f>
        <v>98100</v>
      </c>
      <c r="M1018" s="15">
        <f>'5월'!M187</f>
        <v>9810</v>
      </c>
      <c r="N1018" s="15">
        <f>'5월'!N187</f>
        <v>107910</v>
      </c>
      <c r="O1018" s="5" t="str">
        <f>'5월'!O187</f>
        <v>완료(7/30)</v>
      </c>
      <c r="P1018" s="9" t="str">
        <f>'5월'!P187</f>
        <v>천범석</v>
      </c>
      <c r="Q1018" s="5">
        <f>'5월'!Q187</f>
        <v>45659</v>
      </c>
      <c r="R1018" s="209" t="str">
        <f>'5월'!R187</f>
        <v>매출연간</v>
      </c>
    </row>
    <row r="1019" spans="1:18" ht="16.5" customHeight="1">
      <c r="A1019" t="s">
        <v>64</v>
      </c>
      <c r="B1019" s="10" t="str">
        <f>'5월'!B188</f>
        <v>SB-24065</v>
      </c>
      <c r="C1019" s="12" t="str">
        <f>'5월'!C188</f>
        <v>ZDFIN7</v>
      </c>
      <c r="D1019" s="13">
        <f>'5월'!D188</f>
        <v>45808</v>
      </c>
      <c r="E1019" s="155" t="str">
        <f>'5월'!E188</f>
        <v>성공글로벌테크놀로지코리아</v>
      </c>
      <c r="F1019" s="155" t="str">
        <f>'5월'!F188</f>
        <v>다솜테크</v>
      </c>
      <c r="G1019" s="168" t="str">
        <f>'5월'!G188</f>
        <v>MA</v>
      </c>
      <c r="H1019" s="156" t="str">
        <f>'5월'!H188</f>
        <v>월간-성공</v>
      </c>
      <c r="I1019" s="69" t="str">
        <f>'5월'!I188</f>
        <v>안산시청 5월 유지정비료 - 5/24회</v>
      </c>
      <c r="J1019" s="122">
        <f>'5월'!J188</f>
        <v>1</v>
      </c>
      <c r="K1019" s="15">
        <f>'5월'!K188</f>
        <v>1196100</v>
      </c>
      <c r="L1019" s="16">
        <f>'5월'!L188</f>
        <v>1196100</v>
      </c>
      <c r="M1019" s="16">
        <f>'5월'!M188</f>
        <v>119610</v>
      </c>
      <c r="N1019" s="15">
        <f>'5월'!N188</f>
        <v>1315710</v>
      </c>
      <c r="O1019" s="5" t="str">
        <f>'5월'!O188</f>
        <v>완료(7/30)</v>
      </c>
      <c r="P1019" s="9" t="str">
        <f>'5월'!P188</f>
        <v>천범석</v>
      </c>
      <c r="Q1019" s="5">
        <f>'5월'!Q188</f>
        <v>45807</v>
      </c>
      <c r="R1019" s="213"/>
    </row>
    <row r="1020" spans="1:18" ht="16.5" customHeight="1">
      <c r="A1020" t="s">
        <v>64</v>
      </c>
      <c r="B1020" s="10" t="str">
        <f>'5월'!B189</f>
        <v>SL-24050</v>
      </c>
      <c r="C1020" s="12" t="str">
        <f>'5월'!C189</f>
        <v>ZXFJNS</v>
      </c>
      <c r="D1020" s="13">
        <f>'5월'!D189</f>
        <v>45808</v>
      </c>
      <c r="E1020" s="155" t="str">
        <f>'5월'!E189</f>
        <v>성공글로벌테크놀로지코리아</v>
      </c>
      <c r="F1020" s="155" t="str">
        <f>'5월'!F189</f>
        <v>스마트에프앤디</v>
      </c>
      <c r="G1020" s="168" t="str">
        <f>'5월'!G189</f>
        <v>MA</v>
      </c>
      <c r="H1020" s="156" t="str">
        <f>'5월'!H189</f>
        <v>월간-성공</v>
      </c>
      <c r="I1020" s="69" t="str">
        <f>'5월'!I189</f>
        <v>5월 유지정비료 - 5/13회</v>
      </c>
      <c r="J1020" s="122">
        <f>'5월'!J189</f>
        <v>1</v>
      </c>
      <c r="K1020" s="15">
        <f>'5월'!K189</f>
        <v>99900</v>
      </c>
      <c r="L1020" s="16">
        <f>'5월'!L189</f>
        <v>99900</v>
      </c>
      <c r="M1020" s="16">
        <f>'5월'!M189</f>
        <v>9990</v>
      </c>
      <c r="N1020" s="15">
        <f>'5월'!N189</f>
        <v>109890</v>
      </c>
      <c r="O1020" s="5" t="str">
        <f>'5월'!O189</f>
        <v>완료(7/30)</v>
      </c>
      <c r="P1020" s="9" t="str">
        <f>'5월'!P189</f>
        <v>천범석</v>
      </c>
      <c r="Q1020" s="5">
        <f>'5월'!Q189</f>
        <v>45661</v>
      </c>
      <c r="R1020" s="209" t="str">
        <f>'5월'!R189</f>
        <v>매출연간</v>
      </c>
    </row>
    <row r="1021" spans="1:18" ht="16.5" customHeight="1">
      <c r="A1021" t="s">
        <v>64</v>
      </c>
      <c r="B1021" s="10" t="str">
        <f>'5월'!B190</f>
        <v>SB-24064</v>
      </c>
      <c r="C1021" s="12" t="str">
        <f>'5월'!C190</f>
        <v>ZOTN1N</v>
      </c>
      <c r="D1021" s="13">
        <f>'5월'!D190</f>
        <v>45808</v>
      </c>
      <c r="E1021" s="155" t="str">
        <f>'5월'!E190</f>
        <v>성공글로벌테크놀로지코리아</v>
      </c>
      <c r="F1021" s="155" t="str">
        <f>'5월'!F190</f>
        <v>다솜테크</v>
      </c>
      <c r="G1021" s="168" t="str">
        <f>'5월'!G190</f>
        <v>MA</v>
      </c>
      <c r="H1021" s="156" t="str">
        <f>'5월'!H190</f>
        <v>월간-성공</v>
      </c>
      <c r="I1021" s="69" t="str">
        <f>'5월'!I190</f>
        <v>이원(E1)컨테이너터미널 5월 유지정비료 - 5/12회</v>
      </c>
      <c r="J1021" s="122">
        <f>'5월'!J190</f>
        <v>1</v>
      </c>
      <c r="K1021" s="15">
        <f>'5월'!K190</f>
        <v>590400</v>
      </c>
      <c r="L1021" s="16">
        <f>'5월'!L190</f>
        <v>590400</v>
      </c>
      <c r="M1021" s="16">
        <f>'5월'!M190</f>
        <v>59040</v>
      </c>
      <c r="N1021" s="15">
        <f>'5월'!N190</f>
        <v>649440</v>
      </c>
      <c r="O1021" s="5" t="str">
        <f>'5월'!O190</f>
        <v>완료(7/30)</v>
      </c>
      <c r="P1021" s="9" t="str">
        <f>'5월'!P190</f>
        <v>천범석</v>
      </c>
      <c r="Q1021" s="5">
        <f>'5월'!Q190</f>
        <v>45807</v>
      </c>
      <c r="R1021" s="213"/>
    </row>
    <row r="1022" spans="1:18" ht="16.5" customHeight="1">
      <c r="A1022" t="s">
        <v>64</v>
      </c>
      <c r="B1022" s="10" t="str">
        <f>'5월'!B191</f>
        <v>SB-24063</v>
      </c>
      <c r="C1022" s="12" t="str">
        <f>'5월'!C191</f>
        <v>ZIR05U</v>
      </c>
      <c r="D1022" s="13">
        <f>'5월'!D191</f>
        <v>45808</v>
      </c>
      <c r="E1022" s="155" t="str">
        <f>'5월'!E191</f>
        <v>성공글로벌테크놀로지코리아</v>
      </c>
      <c r="F1022" s="155" t="str">
        <f>'5월'!F191</f>
        <v>다솜테크</v>
      </c>
      <c r="G1022" s="168" t="str">
        <f>'5월'!G191</f>
        <v>MA</v>
      </c>
      <c r="H1022" s="156" t="str">
        <f>'5월'!H191</f>
        <v>월간-성공</v>
      </c>
      <c r="I1022" s="69" t="str">
        <f>'5월'!I191</f>
        <v>이원(E1)컨테이너터미널 5월 유지정비료 - 5/12회</v>
      </c>
      <c r="J1022" s="122">
        <f>'5월'!J191</f>
        <v>1</v>
      </c>
      <c r="K1022" s="15">
        <f>'5월'!K191</f>
        <v>289800</v>
      </c>
      <c r="L1022" s="16">
        <f>'5월'!L191</f>
        <v>289800</v>
      </c>
      <c r="M1022" s="16">
        <f>'5월'!M191</f>
        <v>28980</v>
      </c>
      <c r="N1022" s="15">
        <f>'5월'!N191</f>
        <v>318780</v>
      </c>
      <c r="O1022" s="5" t="str">
        <f>'5월'!O191</f>
        <v>완료(7/30)</v>
      </c>
      <c r="P1022" s="9" t="str">
        <f>'5월'!P191</f>
        <v>천범석</v>
      </c>
      <c r="Q1022" s="5">
        <f>'5월'!Q191</f>
        <v>45807</v>
      </c>
      <c r="R1022" s="213"/>
    </row>
    <row r="1023" spans="1:18" ht="16.5" customHeight="1">
      <c r="A1023" t="s">
        <v>64</v>
      </c>
      <c r="B1023" s="10" t="str">
        <f>'5월'!B192</f>
        <v>SB-25001</v>
      </c>
      <c r="C1023" s="12" t="str">
        <f>'5월'!C192</f>
        <v>ZXRZHC</v>
      </c>
      <c r="D1023" s="13">
        <f>'5월'!D192</f>
        <v>45808</v>
      </c>
      <c r="E1023" s="155" t="str">
        <f>'5월'!E192</f>
        <v>성공글로벌테크놀로지코리아</v>
      </c>
      <c r="F1023" s="155" t="str">
        <f>'5월'!F192</f>
        <v>퓨처젠</v>
      </c>
      <c r="G1023" s="168" t="str">
        <f>'5월'!G192</f>
        <v>MA</v>
      </c>
      <c r="H1023" s="156" t="str">
        <f>'5월'!H192</f>
        <v>월간-성공</v>
      </c>
      <c r="I1023" s="69" t="str">
        <f>'5월'!I192</f>
        <v>HB(에이치비)저축은행 5월 유지정비료 - 5/12회</v>
      </c>
      <c r="J1023" s="122">
        <f>'5월'!J192</f>
        <v>1</v>
      </c>
      <c r="K1023" s="15">
        <f>'5월'!K192</f>
        <v>820200</v>
      </c>
      <c r="L1023" s="16">
        <f>'5월'!L192</f>
        <v>820200</v>
      </c>
      <c r="M1023" s="16">
        <f>'5월'!M192</f>
        <v>82020</v>
      </c>
      <c r="N1023" s="15">
        <f>'5월'!N192</f>
        <v>902220</v>
      </c>
      <c r="O1023" s="5" t="str">
        <f>'5월'!O192</f>
        <v>완료(7/30)</v>
      </c>
      <c r="P1023" s="9" t="str">
        <f>'5월'!P192</f>
        <v>천범석</v>
      </c>
      <c r="Q1023" s="5">
        <f>'5월'!Q192</f>
        <v>45807</v>
      </c>
      <c r="R1023" s="213"/>
    </row>
    <row r="1024" spans="1:18">
      <c r="A1024" t="s">
        <v>64</v>
      </c>
      <c r="B1024" s="10" t="str">
        <f>'5월'!B193</f>
        <v>SB-25004</v>
      </c>
      <c r="C1024" s="12" t="str">
        <f>'5월'!C193</f>
        <v>ZDCPQK</v>
      </c>
      <c r="D1024" s="13">
        <f>'5월'!D193</f>
        <v>45808</v>
      </c>
      <c r="E1024" s="155" t="str">
        <f>'5월'!E193</f>
        <v>성공글로벌테크놀로지코리아</v>
      </c>
      <c r="F1024" s="155" t="str">
        <f>'5월'!F193</f>
        <v>솔리드이엔지</v>
      </c>
      <c r="G1024" s="168" t="str">
        <f>'5월'!G193</f>
        <v>MA</v>
      </c>
      <c r="H1024" s="156" t="str">
        <f>'5월'!H193</f>
        <v>월간-성공</v>
      </c>
      <c r="I1024" s="69" t="str">
        <f>'5월'!I193</f>
        <v>삼성중공업 5월 유지정비료 - 5/12회</v>
      </c>
      <c r="J1024" s="122">
        <f>'5월'!J193</f>
        <v>1</v>
      </c>
      <c r="K1024" s="15">
        <f>'5월'!K193</f>
        <v>531600</v>
      </c>
      <c r="L1024" s="16">
        <f>'5월'!L193</f>
        <v>531600</v>
      </c>
      <c r="M1024" s="16">
        <f>'5월'!M193</f>
        <v>53160</v>
      </c>
      <c r="N1024" s="15">
        <f>'5월'!N193</f>
        <v>584760</v>
      </c>
      <c r="O1024" s="5" t="str">
        <f>'5월'!O193</f>
        <v>완료(7/30)</v>
      </c>
      <c r="P1024" s="9" t="str">
        <f>'5월'!P193</f>
        <v>천범석</v>
      </c>
      <c r="Q1024" s="5">
        <f>'5월'!Q193</f>
        <v>45807</v>
      </c>
      <c r="R1024" s="213"/>
    </row>
    <row r="1025" spans="1:18" ht="16.5" customHeight="1">
      <c r="A1025" t="s">
        <v>64</v>
      </c>
      <c r="B1025" s="10" t="str">
        <f>'5월'!B194</f>
        <v>SB-25005</v>
      </c>
      <c r="C1025" s="12" t="str">
        <f>'5월'!C194</f>
        <v>ZSUEIX</v>
      </c>
      <c r="D1025" s="13">
        <f>'5월'!D194</f>
        <v>45808</v>
      </c>
      <c r="E1025" s="155" t="str">
        <f>'5월'!E194</f>
        <v>성공글로벌테크놀로지코리아</v>
      </c>
      <c r="F1025" s="155" t="str">
        <f>'5월'!F194</f>
        <v>제이엔테크놀러지</v>
      </c>
      <c r="G1025" s="168" t="str">
        <f>'5월'!G194</f>
        <v>MA</v>
      </c>
      <c r="H1025" s="156" t="str">
        <f>'5월'!H194</f>
        <v>월간-성공</v>
      </c>
      <c r="I1025" s="69" t="str">
        <f>'5월'!I194</f>
        <v>SK실트론 5월 유지정비료 - 5/12회</v>
      </c>
      <c r="J1025" s="122">
        <f>'5월'!J194</f>
        <v>1</v>
      </c>
      <c r="K1025" s="15">
        <f>'5월'!K194</f>
        <v>502800</v>
      </c>
      <c r="L1025" s="16">
        <f>'5월'!L194</f>
        <v>502800</v>
      </c>
      <c r="M1025" s="16">
        <f>'5월'!M194</f>
        <v>50280</v>
      </c>
      <c r="N1025" s="15">
        <f>'5월'!N194</f>
        <v>553080</v>
      </c>
      <c r="O1025" s="5" t="str">
        <f>'5월'!O194</f>
        <v>완료(7/30)</v>
      </c>
      <c r="P1025" s="9" t="str">
        <f>'5월'!P194</f>
        <v>천범석</v>
      </c>
      <c r="Q1025" s="5">
        <f>'5월'!Q194</f>
        <v>45807</v>
      </c>
      <c r="R1025" s="213"/>
    </row>
    <row r="1026" spans="1:18" ht="16.5" customHeight="1">
      <c r="A1026" t="s">
        <v>64</v>
      </c>
      <c r="B1026" s="10" t="str">
        <f>'5월'!B195</f>
        <v>SM-25003</v>
      </c>
      <c r="C1026" s="12" t="str">
        <f>'5월'!C195</f>
        <v>ZZ6BIS</v>
      </c>
      <c r="D1026" s="13">
        <f>'5월'!D195</f>
        <v>45808</v>
      </c>
      <c r="E1026" s="155" t="str">
        <f>'5월'!E195</f>
        <v>성공글로벌테크놀로지코리아</v>
      </c>
      <c r="F1026" s="155" t="str">
        <f>'5월'!F195</f>
        <v>씨제이 씨지브이 통합</v>
      </c>
      <c r="G1026" s="168" t="str">
        <f>'5월'!G195</f>
        <v>MA</v>
      </c>
      <c r="H1026" s="156" t="str">
        <f>'5월'!H195</f>
        <v>월간-성공</v>
      </c>
      <c r="I1026" s="69" t="str">
        <f>'5월'!I195</f>
        <v>5월 유지정비료 - 5/12회</v>
      </c>
      <c r="J1026" s="122">
        <f>'5월'!J195</f>
        <v>1</v>
      </c>
      <c r="K1026" s="15">
        <f>'5월'!K195</f>
        <v>1417500</v>
      </c>
      <c r="L1026" s="16">
        <f>'5월'!L195</f>
        <v>1417500</v>
      </c>
      <c r="M1026" s="16">
        <f>'5월'!M195</f>
        <v>141750</v>
      </c>
      <c r="N1026" s="15">
        <f>'5월'!N195</f>
        <v>1559250</v>
      </c>
      <c r="O1026" s="5" t="str">
        <f>'5월'!O195</f>
        <v>완료(7/30)</v>
      </c>
      <c r="P1026" s="9" t="str">
        <f>'5월'!P195</f>
        <v>천범석</v>
      </c>
      <c r="Q1026" s="5">
        <f>'5월'!Q195</f>
        <v>45666</v>
      </c>
      <c r="R1026" s="213" t="str">
        <f>'5월'!R195</f>
        <v>매출연간</v>
      </c>
    </row>
    <row r="1027" spans="1:18" ht="16.5" customHeight="1">
      <c r="A1027" t="s">
        <v>64</v>
      </c>
      <c r="B1027" s="10" t="str">
        <f>'5월'!B196</f>
        <v>SB-25006</v>
      </c>
      <c r="C1027" s="12" t="str">
        <f>'5월'!C196</f>
        <v>ZTAHJK</v>
      </c>
      <c r="D1027" s="13">
        <f>'5월'!D196</f>
        <v>45808</v>
      </c>
      <c r="E1027" s="155" t="str">
        <f>'5월'!E196</f>
        <v>성공글로벌테크놀로지코리아</v>
      </c>
      <c r="F1027" s="155" t="str">
        <f>'5월'!F196</f>
        <v>더힘</v>
      </c>
      <c r="G1027" s="168" t="str">
        <f>'5월'!G196</f>
        <v>MA</v>
      </c>
      <c r="H1027" s="156" t="str">
        <f>'5월'!H196</f>
        <v>월간-성공</v>
      </c>
      <c r="I1027" s="69" t="str">
        <f>'5월'!I196</f>
        <v>피에스케이(PSK) 5월 유지정비료 - 5/17회</v>
      </c>
      <c r="J1027" s="122">
        <f>'5월'!J196</f>
        <v>1</v>
      </c>
      <c r="K1027" s="15">
        <f>'5월'!K196</f>
        <v>1897430</v>
      </c>
      <c r="L1027" s="16">
        <f>'5월'!L196</f>
        <v>1897430</v>
      </c>
      <c r="M1027" s="16">
        <f>'5월'!M196</f>
        <v>189743</v>
      </c>
      <c r="N1027" s="15">
        <f>'5월'!N196</f>
        <v>2087173</v>
      </c>
      <c r="O1027" s="5" t="str">
        <f>'5월'!O196</f>
        <v>완료(7/30)</v>
      </c>
      <c r="P1027" s="9" t="str">
        <f>'5월'!P196</f>
        <v>천범석</v>
      </c>
      <c r="Q1027" s="5">
        <f>'5월'!Q196</f>
        <v>45687</v>
      </c>
      <c r="R1027" s="213" t="str">
        <f>'5월'!R196</f>
        <v>매출연간</v>
      </c>
    </row>
    <row r="1028" spans="1:18" ht="16.5" customHeight="1">
      <c r="A1028" t="s">
        <v>64</v>
      </c>
      <c r="B1028" s="10" t="str">
        <f>'5월'!B197</f>
        <v>SB-25008</v>
      </c>
      <c r="C1028" s="12" t="str">
        <f>'5월'!C197</f>
        <v>ZTGLCD</v>
      </c>
      <c r="D1028" s="13">
        <f>'5월'!D197</f>
        <v>45808</v>
      </c>
      <c r="E1028" s="155" t="str">
        <f>'5월'!E197</f>
        <v>성공글로벌테크놀로지코리아</v>
      </c>
      <c r="F1028" s="155" t="str">
        <f>'5월'!F197</f>
        <v>아이리스인포테크</v>
      </c>
      <c r="G1028" s="168" t="str">
        <f>'5월'!G197</f>
        <v>MA</v>
      </c>
      <c r="H1028" s="156" t="str">
        <f>'5월'!H197</f>
        <v>월간-성공</v>
      </c>
      <c r="I1028" s="69" t="str">
        <f>'5월'!I197</f>
        <v>삼성전자 5월분 - 7/13회</v>
      </c>
      <c r="J1028" s="122">
        <f>'5월'!J197</f>
        <v>1</v>
      </c>
      <c r="K1028" s="15">
        <f>'5월'!K197</f>
        <v>212700</v>
      </c>
      <c r="L1028" s="16">
        <f>'5월'!L197</f>
        <v>212700</v>
      </c>
      <c r="M1028" s="16">
        <f>'5월'!M197</f>
        <v>21270</v>
      </c>
      <c r="N1028" s="15">
        <f>'5월'!N197</f>
        <v>233970</v>
      </c>
      <c r="O1028" s="5" t="str">
        <f>'5월'!O197</f>
        <v>완료(7/30)</v>
      </c>
      <c r="P1028" s="177" t="str">
        <f>'5월'!P197</f>
        <v>천범석</v>
      </c>
      <c r="Q1028" s="5">
        <f>'5월'!Q197</f>
        <v>45681</v>
      </c>
      <c r="R1028" s="213" t="str">
        <f>'5월'!R197</f>
        <v>매출연간</v>
      </c>
    </row>
    <row r="1029" spans="1:18" ht="16.5" customHeight="1">
      <c r="A1029" t="s">
        <v>64</v>
      </c>
      <c r="B1029" s="10" t="str">
        <f>'5월'!B198</f>
        <v>SB-25009</v>
      </c>
      <c r="C1029" s="12" t="str">
        <f>'5월'!C198</f>
        <v>ZPXA6W</v>
      </c>
      <c r="D1029" s="13">
        <f>'5월'!D198</f>
        <v>45808</v>
      </c>
      <c r="E1029" s="155" t="str">
        <f>'5월'!E198</f>
        <v>성공글로벌테크놀로지코리아</v>
      </c>
      <c r="F1029" s="155" t="str">
        <f>'5월'!F198</f>
        <v>다올시스</v>
      </c>
      <c r="G1029" s="168" t="str">
        <f>'5월'!G198</f>
        <v>MA</v>
      </c>
      <c r="H1029" s="156" t="str">
        <f>'5월'!H198</f>
        <v>월간-성공</v>
      </c>
      <c r="I1029" s="69" t="str">
        <f>'5월'!I198</f>
        <v>대동도어 5월 유지정비료 - 4/13회</v>
      </c>
      <c r="J1029" s="122">
        <f>'5월'!J198</f>
        <v>1</v>
      </c>
      <c r="K1029" s="15">
        <f>'5월'!K198</f>
        <v>149400</v>
      </c>
      <c r="L1029" s="16">
        <f>'5월'!L198</f>
        <v>149400</v>
      </c>
      <c r="M1029" s="15">
        <f>'5월'!M198</f>
        <v>14940</v>
      </c>
      <c r="N1029" s="15">
        <f>'5월'!N198</f>
        <v>164340</v>
      </c>
      <c r="O1029" s="5" t="str">
        <f>'5월'!O198</f>
        <v>완료(7/30)</v>
      </c>
      <c r="P1029" s="9" t="str">
        <f>'5월'!P198</f>
        <v>천범석</v>
      </c>
      <c r="Q1029" s="5">
        <f>'5월'!Q198</f>
        <v>45716</v>
      </c>
      <c r="R1029" s="209" t="str">
        <f>'5월'!R198</f>
        <v>매출연간</v>
      </c>
    </row>
    <row r="1030" spans="1:18" ht="16.5" customHeight="1">
      <c r="A1030" t="s">
        <v>64</v>
      </c>
      <c r="B1030" s="10" t="str">
        <f>'5월'!B199</f>
        <v>SB-25010</v>
      </c>
      <c r="C1030" s="12" t="str">
        <f>'5월'!C199</f>
        <v>ZCXAPZ</v>
      </c>
      <c r="D1030" s="13">
        <f>'5월'!D199</f>
        <v>45808</v>
      </c>
      <c r="E1030" s="155" t="str">
        <f>'5월'!E199</f>
        <v>성공글로벌테크놀로지코리아</v>
      </c>
      <c r="F1030" s="155" t="str">
        <f>'5월'!F199</f>
        <v>유티모스트아이엔에스</v>
      </c>
      <c r="G1030" s="168" t="str">
        <f>'5월'!G199</f>
        <v>MA</v>
      </c>
      <c r="H1030" s="156" t="str">
        <f>'5월'!H199</f>
        <v>월간-성공</v>
      </c>
      <c r="I1030" s="69" t="str">
        <f>'5월'!I199</f>
        <v>메타넷디지털 25년 5월 - 14/21회</v>
      </c>
      <c r="J1030" s="122">
        <f>'5월'!J199</f>
        <v>1</v>
      </c>
      <c r="K1030" s="15">
        <f>'5월'!K199</f>
        <v>180600</v>
      </c>
      <c r="L1030" s="16">
        <f>'5월'!L199</f>
        <v>180600</v>
      </c>
      <c r="M1030" s="16">
        <f>'5월'!M199</f>
        <v>18060</v>
      </c>
      <c r="N1030" s="15">
        <f>'5월'!N199</f>
        <v>198660</v>
      </c>
      <c r="O1030" s="5" t="str">
        <f>'5월'!O199</f>
        <v>완료(7/30)</v>
      </c>
      <c r="P1030" s="9" t="str">
        <f>'5월'!P199</f>
        <v>천범석</v>
      </c>
      <c r="Q1030" s="5">
        <f>'5월'!Q199</f>
        <v>45807</v>
      </c>
      <c r="R1030" s="213"/>
    </row>
    <row r="1031" spans="1:18" ht="16.5" customHeight="1">
      <c r="A1031" t="s">
        <v>64</v>
      </c>
      <c r="B1031" s="10" t="str">
        <f>'5월'!B200</f>
        <v>SB-25011</v>
      </c>
      <c r="C1031" s="12" t="str">
        <f>'5월'!C200</f>
        <v>ZJREZL</v>
      </c>
      <c r="D1031" s="13">
        <f>'5월'!D200</f>
        <v>45808</v>
      </c>
      <c r="E1031" s="155" t="str">
        <f>'5월'!E200</f>
        <v>성공글로벌테크놀로지코리아</v>
      </c>
      <c r="F1031" s="155" t="str">
        <f>'5월'!F200</f>
        <v>이룸에스앤앤</v>
      </c>
      <c r="G1031" s="168" t="str">
        <f>'5월'!G200</f>
        <v>MA</v>
      </c>
      <c r="H1031" s="156" t="str">
        <f>'5월'!H200</f>
        <v>월간-성공</v>
      </c>
      <c r="I1031" s="69" t="str">
        <f>'5월'!I200</f>
        <v>코리아미카사 25년 5월 유지정비료 - 17/25회</v>
      </c>
      <c r="J1031" s="122">
        <f>'5월'!J200</f>
        <v>1</v>
      </c>
      <c r="K1031" s="15">
        <f>'5월'!K200</f>
        <v>65700</v>
      </c>
      <c r="L1031" s="16">
        <f>'5월'!L200</f>
        <v>65700</v>
      </c>
      <c r="M1031" s="16">
        <f>'5월'!M200</f>
        <v>6570</v>
      </c>
      <c r="N1031" s="15">
        <f>'5월'!N200</f>
        <v>72270</v>
      </c>
      <c r="O1031" s="5" t="str">
        <f>'5월'!O200</f>
        <v>완료(7/30)</v>
      </c>
      <c r="P1031" s="9" t="str">
        <f>'5월'!P200</f>
        <v>천범석</v>
      </c>
      <c r="Q1031" s="5">
        <f>'5월'!Q200</f>
        <v>45700</v>
      </c>
      <c r="R1031" s="213" t="str">
        <f>'5월'!R200</f>
        <v>매출연간</v>
      </c>
    </row>
    <row r="1032" spans="1:18" ht="16.5" customHeight="1">
      <c r="A1032" t="s">
        <v>64</v>
      </c>
      <c r="B1032" s="10" t="str">
        <f>'5월'!B201</f>
        <v>SB-25007</v>
      </c>
      <c r="C1032" s="12" t="str">
        <f>'5월'!C201</f>
        <v xml:space="preserve"> ZROHA2</v>
      </c>
      <c r="D1032" s="13">
        <f>'5월'!D201</f>
        <v>45808</v>
      </c>
      <c r="E1032" s="155" t="str">
        <f>'5월'!E201</f>
        <v>성공글로벌테크놀로지코리아</v>
      </c>
      <c r="F1032" s="155" t="str">
        <f>'5월'!F201</f>
        <v>페타데이타</v>
      </c>
      <c r="G1032" s="168" t="str">
        <f>'5월'!G201</f>
        <v>MA</v>
      </c>
      <c r="H1032" s="156" t="str">
        <f>'5월'!H201</f>
        <v>월간-성공</v>
      </c>
      <c r="I1032" s="69" t="str">
        <f>'5월'!I201</f>
        <v>SBS 5월 유지정비료 - 5/12회</v>
      </c>
      <c r="J1032" s="122">
        <f>'5월'!J201</f>
        <v>1</v>
      </c>
      <c r="K1032" s="15">
        <f>'5월'!K201</f>
        <v>243000</v>
      </c>
      <c r="L1032" s="16">
        <f>'5월'!L201</f>
        <v>243000</v>
      </c>
      <c r="M1032" s="15">
        <f>'5월'!M201</f>
        <v>24300</v>
      </c>
      <c r="N1032" s="15">
        <f>'5월'!N201</f>
        <v>267300</v>
      </c>
      <c r="O1032" s="5" t="str">
        <f>'5월'!O201</f>
        <v>완료(7/30)</v>
      </c>
      <c r="P1032" s="9" t="str">
        <f>'5월'!P201</f>
        <v>천범석</v>
      </c>
      <c r="Q1032" s="5">
        <f>'5월'!Q201</f>
        <v>45807</v>
      </c>
      <c r="R1032" s="209"/>
    </row>
    <row r="1033" spans="1:18" ht="16.5" customHeight="1">
      <c r="A1033" t="s">
        <v>64</v>
      </c>
      <c r="B1033" s="10" t="str">
        <f>'5월'!B202</f>
        <v>SB-25013</v>
      </c>
      <c r="C1033" s="12" t="str">
        <f>'5월'!C202</f>
        <v>ZL9ADS</v>
      </c>
      <c r="D1033" s="13">
        <f>'5월'!D202</f>
        <v>45808</v>
      </c>
      <c r="E1033" s="155" t="str">
        <f>'5월'!E202</f>
        <v>성공글로벌테크놀로지코리아</v>
      </c>
      <c r="F1033" s="155" t="str">
        <f>'5월'!F202</f>
        <v>다솜테크</v>
      </c>
      <c r="G1033" s="168" t="str">
        <f>'5월'!G202</f>
        <v>MA</v>
      </c>
      <c r="H1033" s="156" t="str">
        <f>'5월'!H202</f>
        <v>월간-성공</v>
      </c>
      <c r="I1033" s="69" t="str">
        <f>'5월'!I202</f>
        <v>LG AI 5월 유지정비료 - 5/12회</v>
      </c>
      <c r="J1033" s="122">
        <f>'5월'!J202</f>
        <v>1</v>
      </c>
      <c r="K1033" s="15">
        <f>'5월'!K202</f>
        <v>496800</v>
      </c>
      <c r="L1033" s="16">
        <f>'5월'!L202</f>
        <v>496800</v>
      </c>
      <c r="M1033" s="16">
        <f>'5월'!M202</f>
        <v>49680</v>
      </c>
      <c r="N1033" s="15">
        <f>'5월'!N202</f>
        <v>546480</v>
      </c>
      <c r="O1033" s="5" t="str">
        <f>'5월'!O202</f>
        <v>완료(7/30)</v>
      </c>
      <c r="P1033" s="9" t="str">
        <f>'5월'!P202</f>
        <v>천범석</v>
      </c>
      <c r="Q1033" s="5">
        <f>'5월'!Q202</f>
        <v>45807</v>
      </c>
      <c r="R1033" s="213"/>
    </row>
    <row r="1034" spans="1:18" ht="16.5" customHeight="1">
      <c r="A1034" t="s">
        <v>64</v>
      </c>
      <c r="B1034" s="10" t="str">
        <f>'5월'!B203</f>
        <v>SB-25014</v>
      </c>
      <c r="C1034" s="12" t="str">
        <f>'5월'!C203</f>
        <v>ZAVPY3</v>
      </c>
      <c r="D1034" s="13">
        <f>'5월'!D203</f>
        <v>45808</v>
      </c>
      <c r="E1034" s="155" t="str">
        <f>'5월'!E203</f>
        <v>성공글로벌테크놀로지코리아</v>
      </c>
      <c r="F1034" s="155" t="str">
        <f>'5월'!F203</f>
        <v>와이젠정보기술</v>
      </c>
      <c r="G1034" s="168" t="str">
        <f>'5월'!G203</f>
        <v>MA</v>
      </c>
      <c r="H1034" s="156" t="str">
        <f>'5월'!H203</f>
        <v>월간-성공</v>
      </c>
      <c r="I1034" s="69" t="str">
        <f>'5월'!I203</f>
        <v>안국약품 5월 유지정비료 - 5/12회</v>
      </c>
      <c r="J1034" s="122">
        <f>'5월'!J203</f>
        <v>1</v>
      </c>
      <c r="K1034" s="15">
        <f>'5월'!K203</f>
        <v>1515900</v>
      </c>
      <c r="L1034" s="16">
        <f>'5월'!L203</f>
        <v>1515900</v>
      </c>
      <c r="M1034" s="16">
        <f>'5월'!M203</f>
        <v>151590</v>
      </c>
      <c r="N1034" s="15">
        <f>'5월'!N203</f>
        <v>1667490</v>
      </c>
      <c r="O1034" s="5" t="str">
        <f>'5월'!O203</f>
        <v>완료(7/30)</v>
      </c>
      <c r="P1034" s="9" t="str">
        <f>'5월'!P203</f>
        <v>천범석</v>
      </c>
      <c r="Q1034" s="5">
        <f>'5월'!Q203</f>
        <v>45807</v>
      </c>
      <c r="R1034" s="213"/>
    </row>
    <row r="1035" spans="1:18" ht="16.5" customHeight="1">
      <c r="A1035" t="s">
        <v>64</v>
      </c>
      <c r="B1035" s="10" t="str">
        <f>'5월'!B204</f>
        <v>SB-25016</v>
      </c>
      <c r="C1035" s="12" t="str">
        <f>'5월'!C204</f>
        <v>ZLXVVE</v>
      </c>
      <c r="D1035" s="13">
        <f>'5월'!D204</f>
        <v>45808</v>
      </c>
      <c r="E1035" s="155" t="str">
        <f>'5월'!E204</f>
        <v>성공글로벌테크놀로지코리아</v>
      </c>
      <c r="F1035" s="155" t="str">
        <f>'5월'!F204</f>
        <v>에이트랙</v>
      </c>
      <c r="G1035" s="156" t="str">
        <f>'5월'!G204</f>
        <v>MA</v>
      </c>
      <c r="H1035" s="156" t="str">
        <f>'5월'!H204</f>
        <v>월간-성공</v>
      </c>
      <c r="I1035" s="69" t="str">
        <f>'5월'!I204</f>
        <v>한림대학교HW 5월 유지정비료 - 3/12회</v>
      </c>
      <c r="J1035" s="124">
        <f>'5월'!J204</f>
        <v>1</v>
      </c>
      <c r="K1035" s="15">
        <f>'5월'!K204</f>
        <v>405600</v>
      </c>
      <c r="L1035" s="16">
        <f>'5월'!L204</f>
        <v>405600</v>
      </c>
      <c r="M1035" s="16">
        <f>'5월'!M204</f>
        <v>40560</v>
      </c>
      <c r="N1035" s="15">
        <f>'5월'!N204</f>
        <v>446160</v>
      </c>
      <c r="O1035" s="5" t="str">
        <f>'5월'!O204</f>
        <v>완료(7/30)</v>
      </c>
      <c r="P1035" s="9" t="str">
        <f>'5월'!P204</f>
        <v>천범석</v>
      </c>
      <c r="Q1035" s="5">
        <f>'5월'!Q204</f>
        <v>45807</v>
      </c>
      <c r="R1035" s="209"/>
    </row>
    <row r="1036" spans="1:18" ht="16.5" customHeight="1">
      <c r="A1036" t="s">
        <v>64</v>
      </c>
      <c r="B1036" s="10" t="str">
        <f>'5월'!B205</f>
        <v>SB-25017</v>
      </c>
      <c r="C1036" s="12" t="str">
        <f>'5월'!C205</f>
        <v>ZQIURA</v>
      </c>
      <c r="D1036" s="13">
        <f>'5월'!D205</f>
        <v>45808</v>
      </c>
      <c r="E1036" s="155" t="str">
        <f>'5월'!E205</f>
        <v>성공글로벌테크놀로지코리아</v>
      </c>
      <c r="F1036" s="155" t="str">
        <f>'5월'!F205</f>
        <v>케이아이티앤씨</v>
      </c>
      <c r="G1036" s="156" t="str">
        <f>'5월'!G205</f>
        <v>MA</v>
      </c>
      <c r="H1036" s="156" t="str">
        <f>'5월'!H205</f>
        <v>월간-성공</v>
      </c>
      <c r="I1036" s="69" t="str">
        <f>'5월'!I205</f>
        <v>인천국제공항공사 5월 유지정비료 - 5/12회</v>
      </c>
      <c r="J1036" s="122">
        <f>'5월'!J205</f>
        <v>1</v>
      </c>
      <c r="K1036" s="15">
        <f>'5월'!K205</f>
        <v>10869600</v>
      </c>
      <c r="L1036" s="16">
        <f>'5월'!L205</f>
        <v>10869600</v>
      </c>
      <c r="M1036" s="15">
        <f>'5월'!M205</f>
        <v>1086960</v>
      </c>
      <c r="N1036" s="15">
        <f>'5월'!N205</f>
        <v>11956560</v>
      </c>
      <c r="O1036" s="5" t="str">
        <f>'5월'!O205</f>
        <v>완료(7/30)</v>
      </c>
      <c r="P1036" s="9" t="str">
        <f>'5월'!P205</f>
        <v>천범석</v>
      </c>
      <c r="Q1036" s="5">
        <f>'5월'!Q205</f>
        <v>45838</v>
      </c>
      <c r="R1036" s="209"/>
    </row>
    <row r="1037" spans="1:18" ht="16.5" customHeight="1">
      <c r="A1037" t="s">
        <v>64</v>
      </c>
      <c r="B1037" s="10" t="str">
        <f>'5월'!B206</f>
        <v>SB-25015</v>
      </c>
      <c r="C1037" s="12" t="str">
        <f>'5월'!C206</f>
        <v>ZBLJQA</v>
      </c>
      <c r="D1037" s="13">
        <f>'5월'!D206</f>
        <v>45808</v>
      </c>
      <c r="E1037" s="155" t="str">
        <f>'5월'!E206</f>
        <v>성공글로벌테크놀로지코리아</v>
      </c>
      <c r="F1037" s="155" t="str">
        <f>'5월'!F206</f>
        <v>아이엘에스</v>
      </c>
      <c r="G1037" s="156" t="str">
        <f>'5월'!G206</f>
        <v>MA</v>
      </c>
      <c r="H1037" s="156" t="str">
        <f>'5월'!H206</f>
        <v>월간-성공</v>
      </c>
      <c r="I1037" s="69" t="str">
        <f>'5월'!I206</f>
        <v>국회방송 5월 유지정비료 - 8/15회</v>
      </c>
      <c r="J1037" s="122">
        <f>'5월'!J206</f>
        <v>1</v>
      </c>
      <c r="K1037" s="15">
        <f>'5월'!K206</f>
        <v>1167600</v>
      </c>
      <c r="L1037" s="16">
        <f>'5월'!L206</f>
        <v>1167600</v>
      </c>
      <c r="M1037" s="16">
        <f>'5월'!M206</f>
        <v>116760</v>
      </c>
      <c r="N1037" s="15">
        <f>'5월'!N206</f>
        <v>1284360</v>
      </c>
      <c r="O1037" s="5" t="str">
        <f>'5월'!O206</f>
        <v>완료(7/30)</v>
      </c>
      <c r="P1037" s="9" t="str">
        <f>'5월'!P206</f>
        <v>천범석</v>
      </c>
      <c r="Q1037" s="5">
        <f>'5월'!Q206</f>
        <v>45747</v>
      </c>
      <c r="R1037" s="213" t="str">
        <f>'5월'!R206</f>
        <v>매출연간</v>
      </c>
    </row>
    <row r="1038" spans="1:18" ht="16.5" customHeight="1">
      <c r="A1038" t="s">
        <v>64</v>
      </c>
      <c r="B1038" s="10" t="str">
        <f>'5월'!B207</f>
        <v>SB-25018</v>
      </c>
      <c r="C1038" s="12" t="str">
        <f>'5월'!C207</f>
        <v>ZTMJAV</v>
      </c>
      <c r="D1038" s="13">
        <f>'5월'!D207</f>
        <v>45808</v>
      </c>
      <c r="E1038" s="155" t="str">
        <f>'5월'!E207</f>
        <v>성공글로벌테크놀로지코리아</v>
      </c>
      <c r="F1038" s="155" t="str">
        <f>'5월'!F207</f>
        <v>동행시네마</v>
      </c>
      <c r="G1038" s="156" t="str">
        <f>'5월'!G207</f>
        <v>MA</v>
      </c>
      <c r="H1038" s="156" t="str">
        <f>'5월'!H207</f>
        <v>월간-성공</v>
      </c>
      <c r="I1038" s="69" t="str">
        <f>'5월'!I207</f>
        <v>CGV안동 5월 유지정비료 - 3/13회</v>
      </c>
      <c r="J1038" s="124">
        <f>'5월'!J207</f>
        <v>1</v>
      </c>
      <c r="K1038" s="15">
        <f>'5월'!K207</f>
        <v>51300</v>
      </c>
      <c r="L1038" s="16">
        <f>'5월'!L207</f>
        <v>51300</v>
      </c>
      <c r="M1038" s="16">
        <f>'5월'!M207</f>
        <v>5130</v>
      </c>
      <c r="N1038" s="15">
        <f>'5월'!N207</f>
        <v>56430</v>
      </c>
      <c r="O1038" s="5" t="str">
        <f>'5월'!O207</f>
        <v>완료(7/30)</v>
      </c>
      <c r="P1038" s="9" t="str">
        <f>'5월'!P207</f>
        <v>천범석</v>
      </c>
      <c r="Q1038" s="5">
        <f>'5월'!Q207</f>
        <v>45748</v>
      </c>
      <c r="R1038" s="209" t="str">
        <f>'5월'!R207</f>
        <v>매출연간</v>
      </c>
    </row>
    <row r="1039" spans="1:18" ht="16.5" customHeight="1">
      <c r="A1039" t="s">
        <v>64</v>
      </c>
      <c r="B1039" s="10" t="str">
        <f>'5월'!B208</f>
        <v>SB-25019</v>
      </c>
      <c r="C1039" s="12" t="str">
        <f>'5월'!C208</f>
        <v>ZQ07QG</v>
      </c>
      <c r="D1039" s="13">
        <f>'5월'!D208</f>
        <v>45808</v>
      </c>
      <c r="E1039" s="155" t="str">
        <f>'5월'!E208</f>
        <v>성공글로벌테크놀로지코리아</v>
      </c>
      <c r="F1039" s="155" t="str">
        <f>'5월'!F208</f>
        <v>씨티아이앤씨</v>
      </c>
      <c r="G1039" s="156" t="str">
        <f>'5월'!G208</f>
        <v>MA</v>
      </c>
      <c r="H1039" s="156" t="str">
        <f>'5월'!H208</f>
        <v>월간-성공</v>
      </c>
      <c r="I1039" s="69" t="str">
        <f>'5월'!I208</f>
        <v>KBS HW 5월 유지정비료 - 5/12회</v>
      </c>
      <c r="J1039" s="124">
        <f>'5월'!J208</f>
        <v>1</v>
      </c>
      <c r="K1039" s="15">
        <f>'5월'!K208</f>
        <v>420000</v>
      </c>
      <c r="L1039" s="16">
        <f>'5월'!L208</f>
        <v>420000</v>
      </c>
      <c r="M1039" s="16">
        <f>'5월'!M208</f>
        <v>42000</v>
      </c>
      <c r="N1039" s="15">
        <f>'5월'!N208</f>
        <v>462000</v>
      </c>
      <c r="O1039" s="5" t="str">
        <f>'5월'!O208</f>
        <v>완료(7/30)</v>
      </c>
      <c r="P1039" s="9" t="str">
        <f>'5월'!P208</f>
        <v>천범석</v>
      </c>
      <c r="Q1039" s="5">
        <f>'5월'!Q208</f>
        <v>45747</v>
      </c>
      <c r="R1039" s="209" t="str">
        <f>'5월'!R208</f>
        <v>매출연간</v>
      </c>
    </row>
    <row r="1040" spans="1:18" ht="16.5" customHeight="1">
      <c r="A1040" t="s">
        <v>64</v>
      </c>
      <c r="B1040" s="10" t="str">
        <f>'5월'!B209</f>
        <v>SB-25020</v>
      </c>
      <c r="C1040" s="12" t="str">
        <f>'5월'!C209</f>
        <v>ZZLYH2</v>
      </c>
      <c r="D1040" s="13">
        <f>'5월'!D209</f>
        <v>45808</v>
      </c>
      <c r="E1040" s="155" t="str">
        <f>'5월'!E209</f>
        <v>성공글로벌테크놀로지코리아</v>
      </c>
      <c r="F1040" s="155" t="str">
        <f>'5월'!F209</f>
        <v>Expeditors(익스피다이터스코리아)</v>
      </c>
      <c r="G1040" s="156" t="str">
        <f>'5월'!G209</f>
        <v>MA</v>
      </c>
      <c r="H1040" s="156" t="str">
        <f>'5월'!H209</f>
        <v>월간-성공</v>
      </c>
      <c r="I1040" s="69" t="str">
        <f>'5월'!I209</f>
        <v>5월 유지정비료 - 2/37회</v>
      </c>
      <c r="J1040" s="124">
        <f>'5월'!J209</f>
        <v>1</v>
      </c>
      <c r="K1040" s="15">
        <f>'5월'!K209</f>
        <v>53400</v>
      </c>
      <c r="L1040" s="16">
        <f>'5월'!L209</f>
        <v>53400</v>
      </c>
      <c r="M1040" s="16">
        <f>'5월'!M209</f>
        <v>5340</v>
      </c>
      <c r="N1040" s="15">
        <f>'5월'!N209</f>
        <v>58740</v>
      </c>
      <c r="O1040" s="5" t="str">
        <f>'5월'!O209</f>
        <v>완료(7/30)</v>
      </c>
      <c r="P1040" s="9" t="str">
        <f>'5월'!P209</f>
        <v>천범석</v>
      </c>
      <c r="Q1040" s="5">
        <f>'5월'!Q209</f>
        <v>45802</v>
      </c>
      <c r="R1040" s="209"/>
    </row>
    <row r="1041" spans="1:18" ht="16.5" customHeight="1">
      <c r="A1041" t="s">
        <v>64</v>
      </c>
      <c r="B1041" s="10" t="str">
        <f>'5월'!B210</f>
        <v>SB-25023</v>
      </c>
      <c r="C1041" s="12" t="str">
        <f>'5월'!C210</f>
        <v>ZKGVNQ</v>
      </c>
      <c r="D1041" s="13">
        <f>'5월'!D210</f>
        <v>45808</v>
      </c>
      <c r="E1041" s="155" t="str">
        <f>'5월'!E210</f>
        <v>성공글로벌테크놀로지코리아</v>
      </c>
      <c r="F1041" s="155" t="str">
        <f>'5월'!F210</f>
        <v>다솜테크</v>
      </c>
      <c r="G1041" s="156" t="str">
        <f>'5월'!G210</f>
        <v>MA</v>
      </c>
      <c r="H1041" s="156" t="str">
        <f>'5월'!H210</f>
        <v>월간-성공</v>
      </c>
      <c r="I1041" s="69" t="str">
        <f>'5월'!I210</f>
        <v>LX(엘엑스)세미콘 5월 유지정비료 - 4/47회</v>
      </c>
      <c r="J1041" s="124">
        <f>'5월'!J210</f>
        <v>1</v>
      </c>
      <c r="K1041" s="15">
        <f>'5월'!K210</f>
        <v>1111200</v>
      </c>
      <c r="L1041" s="16">
        <f>'5월'!L210</f>
        <v>1111200</v>
      </c>
      <c r="M1041" s="16">
        <f>'5월'!M210</f>
        <v>111120</v>
      </c>
      <c r="N1041" s="15">
        <f>'5월'!N210</f>
        <v>1222320</v>
      </c>
      <c r="O1041" s="5" t="str">
        <f>'5월'!O210</f>
        <v>완료(7/30)</v>
      </c>
      <c r="P1041" s="9" t="str">
        <f>'5월'!P210</f>
        <v>천범석</v>
      </c>
      <c r="Q1041" s="5">
        <f>'5월'!Q210</f>
        <v>45807</v>
      </c>
      <c r="R1041" s="209"/>
    </row>
    <row r="1042" spans="1:18" ht="16.5" customHeight="1">
      <c r="A1042" t="s">
        <v>64</v>
      </c>
      <c r="B1042" s="10" t="str">
        <f>'5월'!B211</f>
        <v>SB-25022</v>
      </c>
      <c r="C1042" s="12" t="str">
        <f>'5월'!C211</f>
        <v>ZGHZZL</v>
      </c>
      <c r="D1042" s="13">
        <f>'5월'!D211</f>
        <v>45808</v>
      </c>
      <c r="E1042" s="155" t="str">
        <f>'5월'!E211</f>
        <v>성공글로벌테크놀로지코리아</v>
      </c>
      <c r="F1042" s="155" t="str">
        <f>'5월'!F211</f>
        <v>시스게이트</v>
      </c>
      <c r="G1042" s="156" t="str">
        <f>'5월'!G211</f>
        <v>MA</v>
      </c>
      <c r="H1042" s="156" t="str">
        <f>'5월'!H211</f>
        <v>월간-성공</v>
      </c>
      <c r="I1042" s="69" t="str">
        <f>'5월'!I211</f>
        <v>한국도로공사 25.5월 유지정비료 - 20/39회</v>
      </c>
      <c r="J1042" s="122">
        <f>'5월'!J211</f>
        <v>1</v>
      </c>
      <c r="K1042" s="15">
        <f>'5월'!K211</f>
        <v>1189500</v>
      </c>
      <c r="L1042" s="16">
        <f>'5월'!L211</f>
        <v>1189500</v>
      </c>
      <c r="M1042" s="16">
        <f>'5월'!M211</f>
        <v>118950</v>
      </c>
      <c r="N1042" s="15">
        <f>'5월'!N211</f>
        <v>1308450</v>
      </c>
      <c r="O1042" s="5" t="str">
        <f>'5월'!O211</f>
        <v>완료(7/30)</v>
      </c>
      <c r="P1042" s="9" t="str">
        <f>'5월'!P211</f>
        <v>천범석</v>
      </c>
      <c r="Q1042" s="5">
        <f>'5월'!Q211</f>
        <v>45863</v>
      </c>
      <c r="R1042" s="213" t="str">
        <f>'5월'!R211</f>
        <v>매출분기</v>
      </c>
    </row>
    <row r="1043" spans="1:18" ht="16.5" customHeight="1">
      <c r="A1043" t="s">
        <v>64</v>
      </c>
      <c r="B1043" s="10" t="str">
        <f>'6월'!B5</f>
        <v>X</v>
      </c>
      <c r="C1043" s="12"/>
      <c r="D1043" s="13">
        <f>'6월'!D5</f>
        <v>45809</v>
      </c>
      <c r="E1043" s="155" t="str">
        <f>'6월'!E5</f>
        <v>에스케이쉴더스 금천지점</v>
      </c>
      <c r="F1043" s="155"/>
      <c r="G1043" s="156" t="str">
        <f>'6월'!G5</f>
        <v>일반경비</v>
      </c>
      <c r="H1043" s="156" t="str">
        <f>'6월'!H5</f>
        <v>지급수수료</v>
      </c>
      <c r="I1043" s="69" t="str">
        <f>'6월'!I5</f>
        <v>보안용역 월정료 6월분</v>
      </c>
      <c r="J1043" s="122">
        <f>'6월'!J5</f>
        <v>1</v>
      </c>
      <c r="K1043" s="15">
        <f>'6월'!K5</f>
        <v>71000</v>
      </c>
      <c r="L1043" s="15">
        <f>'6월'!L5</f>
        <v>71000</v>
      </c>
      <c r="M1043" s="15">
        <f>'6월'!M5</f>
        <v>7100</v>
      </c>
      <c r="N1043" s="15">
        <f>'6월'!N5</f>
        <v>78100</v>
      </c>
      <c r="O1043" s="5" t="str">
        <f>'6월'!O5</f>
        <v>자동이체(6/12)</v>
      </c>
      <c r="P1043" s="9" t="str">
        <f>'6월'!P5</f>
        <v>정지우</v>
      </c>
      <c r="Q1043" s="5" t="str">
        <f>'6월'!Q5</f>
        <v>X</v>
      </c>
      <c r="R1043" s="209"/>
    </row>
    <row r="1044" spans="1:18" ht="16.5" customHeight="1">
      <c r="A1044" t="s">
        <v>64</v>
      </c>
      <c r="B1044" s="10" t="str">
        <f>'6월'!B6</f>
        <v>LI-24006</v>
      </c>
      <c r="C1044" s="12"/>
      <c r="D1044" s="13">
        <f>'6월'!D6</f>
        <v>45809</v>
      </c>
      <c r="E1044" s="155" t="str">
        <f>'6월'!E6</f>
        <v>한국아이씨에스</v>
      </c>
      <c r="F1044" s="155" t="str">
        <f>'6월'!F6</f>
        <v>보해양조</v>
      </c>
      <c r="G1044" s="156" t="str">
        <f>'6월'!G6</f>
        <v>MA</v>
      </c>
      <c r="H1044" s="156" t="str">
        <f>'6월'!H6</f>
        <v>월간-IBM</v>
      </c>
      <c r="I1044" s="69" t="str">
        <f>'6월'!I6</f>
        <v>6월 유지정비료 - 11/11회</v>
      </c>
      <c r="J1044" s="122">
        <f>'6월'!J6</f>
        <v>1</v>
      </c>
      <c r="K1044" s="15">
        <f>'6월'!K6</f>
        <v>277500</v>
      </c>
      <c r="L1044" s="16">
        <f>'6월'!L6</f>
        <v>277500</v>
      </c>
      <c r="M1044" s="16">
        <f>'6월'!M6</f>
        <v>27750</v>
      </c>
      <c r="N1044" s="15">
        <f>'6월'!N6</f>
        <v>305250</v>
      </c>
      <c r="O1044" s="5" t="str">
        <f>'6월'!O6</f>
        <v>완료(7/31)</v>
      </c>
      <c r="P1044" s="174" t="str">
        <f>'6월'!P6</f>
        <v>천범석</v>
      </c>
      <c r="Q1044" s="5">
        <f>'6월'!Q6</f>
        <v>45833</v>
      </c>
      <c r="R1044" s="209"/>
    </row>
    <row r="1045" spans="1:18" ht="16.5" customHeight="1">
      <c r="A1045" t="s">
        <v>64</v>
      </c>
      <c r="B1045" s="10" t="str">
        <f>'6월'!B7</f>
        <v>IK-24006</v>
      </c>
      <c r="C1045" s="12"/>
      <c r="D1045" s="13">
        <f>'6월'!D7</f>
        <v>45810</v>
      </c>
      <c r="E1045" s="155" t="str">
        <f>'6월'!E7</f>
        <v>한국아이씨에스</v>
      </c>
      <c r="F1045" s="155" t="str">
        <f>'6월'!F7</f>
        <v>광양항서부터미널</v>
      </c>
      <c r="G1045" s="156" t="str">
        <f>'6월'!G7</f>
        <v>MA</v>
      </c>
      <c r="H1045" s="156" t="str">
        <f>'6월'!H7</f>
        <v>월간-IBM</v>
      </c>
      <c r="I1045" s="69" t="str">
        <f>'6월'!I7</f>
        <v>6월 유지정비료 - 14/24회</v>
      </c>
      <c r="J1045" s="122">
        <f>'6월'!J7</f>
        <v>1</v>
      </c>
      <c r="K1045" s="15">
        <f>'6월'!K7</f>
        <v>2884612</v>
      </c>
      <c r="L1045" s="16">
        <f>'6월'!L7</f>
        <v>2884612</v>
      </c>
      <c r="M1045" s="15">
        <f>'6월'!M7</f>
        <v>288461</v>
      </c>
      <c r="N1045" s="15">
        <f>'6월'!N7</f>
        <v>3173073</v>
      </c>
      <c r="O1045" s="5" t="str">
        <f>'6월'!O7</f>
        <v>완료(7/31)</v>
      </c>
      <c r="P1045" s="9" t="str">
        <f>'6월'!P7</f>
        <v>홍승민</v>
      </c>
      <c r="Q1045" s="5">
        <f>'6월'!Q7</f>
        <v>45838</v>
      </c>
      <c r="R1045" s="209"/>
    </row>
    <row r="1046" spans="1:18" ht="16.5" customHeight="1">
      <c r="A1046" t="s">
        <v>64</v>
      </c>
      <c r="B1046" s="10" t="str">
        <f>'6월'!B8</f>
        <v>LI-24008</v>
      </c>
      <c r="C1046" s="12"/>
      <c r="D1046" s="13">
        <f>'6월'!D8</f>
        <v>45810</v>
      </c>
      <c r="E1046" s="155" t="str">
        <f>'6월'!E8</f>
        <v>한국아이씨에스</v>
      </c>
      <c r="F1046" s="155" t="str">
        <f>'6월'!F8</f>
        <v>쿠팡</v>
      </c>
      <c r="G1046" s="156" t="str">
        <f>'6월'!G8</f>
        <v>MA</v>
      </c>
      <c r="H1046" s="156" t="str">
        <f>'6월'!H8</f>
        <v>월간-IBM</v>
      </c>
      <c r="I1046" s="69" t="str">
        <f>'6월'!I8</f>
        <v>6월 유지정비료 - 11/13회</v>
      </c>
      <c r="J1046" s="122">
        <f>'6월'!J8</f>
        <v>1</v>
      </c>
      <c r="K1046" s="15">
        <f>'6월'!K8</f>
        <v>205780</v>
      </c>
      <c r="L1046" s="16">
        <f>'6월'!L8</f>
        <v>205780</v>
      </c>
      <c r="M1046" s="16">
        <f>'6월'!M8</f>
        <v>20578</v>
      </c>
      <c r="N1046" s="15">
        <f>'6월'!N8</f>
        <v>226358</v>
      </c>
      <c r="O1046" s="5" t="str">
        <f>'6월'!O8</f>
        <v>완료(7/31)</v>
      </c>
      <c r="P1046" s="174" t="str">
        <f>'6월'!P8</f>
        <v>천범석</v>
      </c>
      <c r="Q1046" s="5">
        <f>'6월'!Q8</f>
        <v>45491</v>
      </c>
      <c r="R1046" s="209" t="str">
        <f>'6월'!R8</f>
        <v>매출연간</v>
      </c>
    </row>
    <row r="1047" spans="1:18" ht="16.5" customHeight="1">
      <c r="A1047" t="s">
        <v>64</v>
      </c>
      <c r="B1047" s="10" t="str">
        <f>'6월'!B9</f>
        <v>SM-25008</v>
      </c>
      <c r="C1047" s="12"/>
      <c r="D1047" s="13">
        <f>'6월'!D9</f>
        <v>45810</v>
      </c>
      <c r="E1047" s="155" t="str">
        <f>'6월'!E9</f>
        <v>한국아이씨에스</v>
      </c>
      <c r="F1047" s="155" t="str">
        <f>'6월'!F9</f>
        <v>유니포인트</v>
      </c>
      <c r="G1047" s="156" t="str">
        <f>'6월'!G9</f>
        <v>MA</v>
      </c>
      <c r="H1047" s="156" t="str">
        <f>'6월'!H9</f>
        <v>월간-IBM</v>
      </c>
      <c r="I1047" s="69" t="str">
        <f>'6월'!I9</f>
        <v>스마트로 6월 유지정비료 - 6/12회</v>
      </c>
      <c r="J1047" s="122">
        <f>'6월'!J9</f>
        <v>1</v>
      </c>
      <c r="K1047" s="15">
        <f>'6월'!K9</f>
        <v>1210534</v>
      </c>
      <c r="L1047" s="16">
        <f>'6월'!L9</f>
        <v>1210534</v>
      </c>
      <c r="M1047" s="16">
        <f>'6월'!M9</f>
        <v>121053</v>
      </c>
      <c r="N1047" s="15">
        <f>'6월'!N9</f>
        <v>1331587</v>
      </c>
      <c r="O1047" s="5" t="str">
        <f>'6월'!O9</f>
        <v>완료(7/31)</v>
      </c>
      <c r="P1047" s="174" t="str">
        <f>'6월'!P9</f>
        <v>천범석</v>
      </c>
      <c r="Q1047" s="5">
        <f>'6월'!Q9</f>
        <v>45838</v>
      </c>
      <c r="R1047" s="209"/>
    </row>
    <row r="1048" spans="1:18" ht="16.5" customHeight="1">
      <c r="A1048" t="s">
        <v>64</v>
      </c>
      <c r="B1048" s="10" t="str">
        <f>'6월'!B10</f>
        <v>SM-25003</v>
      </c>
      <c r="C1048" s="12"/>
      <c r="D1048" s="13">
        <f>'6월'!D10</f>
        <v>45810</v>
      </c>
      <c r="E1048" s="155" t="str">
        <f>'6월'!E10</f>
        <v>한국아이씨에스</v>
      </c>
      <c r="F1048" s="155" t="str">
        <f>'6월'!F10</f>
        <v>CGV 통합</v>
      </c>
      <c r="G1048" s="156" t="str">
        <f>'6월'!G10</f>
        <v>MA</v>
      </c>
      <c r="H1048" s="156" t="str">
        <f>'6월'!H10</f>
        <v>월간-IBM</v>
      </c>
      <c r="I1048" s="69" t="str">
        <f>'6월'!I10</f>
        <v>6월 유지정비료 - 6/12회</v>
      </c>
      <c r="J1048" s="122">
        <f>'6월'!J10</f>
        <v>1</v>
      </c>
      <c r="K1048" s="15">
        <f>'6월'!K10</f>
        <v>2812500</v>
      </c>
      <c r="L1048" s="16">
        <f>'6월'!L10</f>
        <v>2812500</v>
      </c>
      <c r="M1048" s="16">
        <f>'6월'!M10</f>
        <v>281250</v>
      </c>
      <c r="N1048" s="15">
        <f>'6월'!N10</f>
        <v>3093750</v>
      </c>
      <c r="O1048" s="5" t="str">
        <f>'6월'!O10</f>
        <v>완료(7/31)</v>
      </c>
      <c r="P1048" s="9" t="str">
        <f>'6월'!P10</f>
        <v>이예지</v>
      </c>
      <c r="Q1048" s="5">
        <f>'6월'!Q10</f>
        <v>45666</v>
      </c>
      <c r="R1048" s="209" t="str">
        <f>'6월'!R10</f>
        <v>매출연간</v>
      </c>
    </row>
    <row r="1049" spans="1:18" ht="16.5" customHeight="1">
      <c r="A1049" t="s">
        <v>64</v>
      </c>
      <c r="B1049" s="140" t="str">
        <f>'6월'!B11</f>
        <v>IK-23016</v>
      </c>
      <c r="C1049" s="12"/>
      <c r="D1049" s="13">
        <f>'6월'!D11</f>
        <v>45810</v>
      </c>
      <c r="E1049" s="155" t="str">
        <f>'6월'!E11</f>
        <v>한국아이씨에스</v>
      </c>
      <c r="F1049" s="155" t="str">
        <f>'6월'!F11</f>
        <v>케이정보기술</v>
      </c>
      <c r="G1049" s="157" t="str">
        <f>'6월'!G11</f>
        <v>MA</v>
      </c>
      <c r="H1049" s="156" t="str">
        <f>'6월'!H11</f>
        <v>월간-IBM</v>
      </c>
      <c r="I1049" s="69" t="str">
        <f>'6월'!I11</f>
        <v>청주시청 6월 유지정비료 - 6/20회 추가</v>
      </c>
      <c r="J1049" s="122">
        <f>'6월'!J11</f>
        <v>1</v>
      </c>
      <c r="K1049" s="15">
        <f>'6월'!K11</f>
        <v>1123962</v>
      </c>
      <c r="L1049" s="16">
        <f>'6월'!L11</f>
        <v>1123962</v>
      </c>
      <c r="M1049" s="15">
        <f>'6월'!M11</f>
        <v>112396</v>
      </c>
      <c r="N1049" s="15">
        <f>'6월'!N11</f>
        <v>1236358</v>
      </c>
      <c r="O1049" s="5" t="str">
        <f>'6월'!O11</f>
        <v>완료(7/31)</v>
      </c>
      <c r="P1049" s="9" t="str">
        <f>'6월'!P11</f>
        <v>천범석</v>
      </c>
      <c r="Q1049" s="5">
        <f>'6월'!Q11</f>
        <v>45809</v>
      </c>
      <c r="R1049" s="209"/>
    </row>
    <row r="1050" spans="1:18" ht="16.5" customHeight="1">
      <c r="A1050" t="s">
        <v>64</v>
      </c>
      <c r="B1050" s="140" t="str">
        <f>'6월'!B12</f>
        <v>IK-23016</v>
      </c>
      <c r="C1050" s="12"/>
      <c r="D1050" s="13">
        <f>'6월'!D12</f>
        <v>45810</v>
      </c>
      <c r="E1050" s="155" t="str">
        <f>'6월'!E12</f>
        <v>한국아이씨에스</v>
      </c>
      <c r="F1050" s="155" t="str">
        <f>'6월'!F12</f>
        <v>케이정보기술</v>
      </c>
      <c r="G1050" s="156" t="str">
        <f>'6월'!G12</f>
        <v>MA</v>
      </c>
      <c r="H1050" s="156" t="str">
        <f>'6월'!H12</f>
        <v>월간-IBM</v>
      </c>
      <c r="I1050" s="69" t="str">
        <f>'6월'!I12</f>
        <v>청주시청 6월 유지정비료 - 22/36회</v>
      </c>
      <c r="J1050" s="122">
        <f>'6월'!J12</f>
        <v>1</v>
      </c>
      <c r="K1050" s="15">
        <f>'6월'!K12</f>
        <v>259896</v>
      </c>
      <c r="L1050" s="16">
        <f>'6월'!L12</f>
        <v>259896</v>
      </c>
      <c r="M1050" s="16">
        <f>'6월'!M12</f>
        <v>25989</v>
      </c>
      <c r="N1050" s="15">
        <f>'6월'!N12</f>
        <v>285885</v>
      </c>
      <c r="O1050" s="5" t="str">
        <f>'6월'!O12</f>
        <v>완료(7/31)</v>
      </c>
      <c r="P1050" s="9" t="str">
        <f>'6월'!P12</f>
        <v>천범석</v>
      </c>
      <c r="Q1050" s="5">
        <f>'6월'!Q12</f>
        <v>45809</v>
      </c>
      <c r="R1050" s="213"/>
    </row>
    <row r="1051" spans="1:18" ht="16.5" customHeight="1">
      <c r="A1051" t="s">
        <v>64</v>
      </c>
      <c r="B1051" s="10" t="str">
        <f>'6월'!B13</f>
        <v>IK-25001</v>
      </c>
      <c r="C1051" s="12"/>
      <c r="D1051" s="13">
        <f>'6월'!D13</f>
        <v>45810</v>
      </c>
      <c r="E1051" s="155" t="str">
        <f>'6월'!E13</f>
        <v>한국아이씨에스</v>
      </c>
      <c r="F1051" s="155" t="str">
        <f>'6월'!F13</f>
        <v>투아이시스</v>
      </c>
      <c r="G1051" s="156" t="str">
        <f>'6월'!G13</f>
        <v>MA</v>
      </c>
      <c r="H1051" s="156" t="str">
        <f>'6월'!H13</f>
        <v>월간-IBM</v>
      </c>
      <c r="I1051" s="69" t="str">
        <f>'6월'!I13</f>
        <v>6월 유지정비료 - 4/12회</v>
      </c>
      <c r="J1051" s="122">
        <f>'6월'!J13</f>
        <v>1</v>
      </c>
      <c r="K1051" s="15">
        <f>'6월'!K13</f>
        <v>93445</v>
      </c>
      <c r="L1051" s="16">
        <f>'6월'!L13</f>
        <v>93445</v>
      </c>
      <c r="M1051" s="15">
        <f>'6월'!M13</f>
        <v>9344</v>
      </c>
      <c r="N1051" s="15">
        <f>'6월'!N13</f>
        <v>102789</v>
      </c>
      <c r="O1051" s="5" t="str">
        <f>'6월'!O13</f>
        <v>완료(7/31)</v>
      </c>
      <c r="P1051" s="174" t="str">
        <f>'6월'!P13</f>
        <v>천범석</v>
      </c>
      <c r="Q1051" s="5">
        <f>'6월'!Q13</f>
        <v>45747</v>
      </c>
      <c r="R1051" s="209" t="str">
        <f>'6월'!R13</f>
        <v>매출연간</v>
      </c>
    </row>
    <row r="1052" spans="1:18" ht="16.5" customHeight="1">
      <c r="A1052" t="s">
        <v>64</v>
      </c>
      <c r="B1052" s="10" t="str">
        <f>'6월'!B14</f>
        <v>IK-23013</v>
      </c>
      <c r="C1052" s="12"/>
      <c r="D1052" s="13">
        <f>'6월'!D14</f>
        <v>45810</v>
      </c>
      <c r="E1052" s="155" t="str">
        <f>'6월'!E14</f>
        <v>한국아이씨에스</v>
      </c>
      <c r="F1052" s="155" t="str">
        <f>'6월'!F14</f>
        <v>로보츠</v>
      </c>
      <c r="G1052" s="156" t="str">
        <f>'6월'!G14</f>
        <v>MA</v>
      </c>
      <c r="H1052" s="156" t="str">
        <f>'6월'!H14</f>
        <v>월간-IBM</v>
      </c>
      <c r="I1052" s="69" t="str">
        <f>'6월'!I14</f>
        <v>도시바일렉 6월 유지정비료 - 12/12회</v>
      </c>
      <c r="J1052" s="122">
        <f>'6월'!J14</f>
        <v>1</v>
      </c>
      <c r="K1052" s="15">
        <f>'6월'!K14</f>
        <v>66501</v>
      </c>
      <c r="L1052" s="16">
        <f>'6월'!L14</f>
        <v>66501</v>
      </c>
      <c r="M1052" s="15">
        <f>'6월'!M14</f>
        <v>6650</v>
      </c>
      <c r="N1052" s="15">
        <f>'6월'!N14</f>
        <v>73151</v>
      </c>
      <c r="O1052" s="5" t="str">
        <f>'6월'!O14</f>
        <v>완료(7/31)</v>
      </c>
      <c r="P1052" s="174" t="str">
        <f>'6월'!P14</f>
        <v>천범석</v>
      </c>
      <c r="Q1052" s="5">
        <f>'6월'!Q14</f>
        <v>45838</v>
      </c>
      <c r="R1052" s="209"/>
    </row>
    <row r="1053" spans="1:18" ht="16.5" customHeight="1">
      <c r="A1053" t="s">
        <v>64</v>
      </c>
      <c r="B1053" s="143" t="str">
        <f>'6월'!B15</f>
        <v>IK-23014</v>
      </c>
      <c r="C1053" s="144"/>
      <c r="D1053" s="13">
        <f>'6월'!D15</f>
        <v>45810</v>
      </c>
      <c r="E1053" s="155" t="str">
        <f>'6월'!E15</f>
        <v>한국아이씨에스</v>
      </c>
      <c r="F1053" s="155" t="str">
        <f>'6월'!F15</f>
        <v>서비스링크</v>
      </c>
      <c r="G1053" s="157" t="str">
        <f>'6월'!G15</f>
        <v>MA</v>
      </c>
      <c r="H1053" s="156" t="str">
        <f>'6월'!H15</f>
        <v>월간-IBM</v>
      </c>
      <c r="I1053" s="69" t="str">
        <f>'6월'!I15</f>
        <v>세원정공 6월 유지정비료 - 12/12회</v>
      </c>
      <c r="J1053" s="122">
        <f>'6월'!J15</f>
        <v>1</v>
      </c>
      <c r="K1053" s="15">
        <f>'6월'!K15</f>
        <v>198012</v>
      </c>
      <c r="L1053" s="16">
        <f>'6월'!L15</f>
        <v>198012</v>
      </c>
      <c r="M1053" s="15">
        <f>'6월'!M15</f>
        <v>19801</v>
      </c>
      <c r="N1053" s="15">
        <f>'6월'!N15</f>
        <v>217813</v>
      </c>
      <c r="O1053" s="5" t="str">
        <f>'6월'!O15</f>
        <v>완료(7/31)</v>
      </c>
      <c r="P1053" s="174" t="str">
        <f>'6월'!P15</f>
        <v>천범석</v>
      </c>
      <c r="Q1053" s="5">
        <f>'6월'!Q15</f>
        <v>45809</v>
      </c>
      <c r="R1053" s="209"/>
    </row>
    <row r="1054" spans="1:18" ht="16.5" customHeight="1">
      <c r="A1054" t="s">
        <v>64</v>
      </c>
      <c r="B1054" s="10" t="str">
        <f>'6월'!B16</f>
        <v>SM-21021</v>
      </c>
      <c r="C1054" s="12"/>
      <c r="D1054" s="13">
        <f>'6월'!D16</f>
        <v>45810</v>
      </c>
      <c r="E1054" s="155" t="str">
        <f>'6월'!E16</f>
        <v>한국아이씨에스</v>
      </c>
      <c r="F1054" s="155" t="str">
        <f>'6월'!F16</f>
        <v>법무법인바른</v>
      </c>
      <c r="G1054" s="156" t="str">
        <f>'6월'!G16</f>
        <v>MA</v>
      </c>
      <c r="H1054" s="156" t="str">
        <f>'6월'!H16</f>
        <v>월간-IBM</v>
      </c>
      <c r="I1054" s="69" t="str">
        <f>'6월'!I16</f>
        <v>6월 유지정비료 - 10/13회</v>
      </c>
      <c r="J1054" s="122">
        <f>'6월'!J16</f>
        <v>1</v>
      </c>
      <c r="K1054" s="16">
        <f>'6월'!K16</f>
        <v>84811</v>
      </c>
      <c r="L1054" s="16">
        <f>'6월'!L16</f>
        <v>84811</v>
      </c>
      <c r="M1054" s="15">
        <f>'6월'!M16</f>
        <v>8481</v>
      </c>
      <c r="N1054" s="15">
        <f>'6월'!N16</f>
        <v>93292</v>
      </c>
      <c r="O1054" s="5" t="str">
        <f>'6월'!O16</f>
        <v>완료(7/31)</v>
      </c>
      <c r="P1054" s="174" t="str">
        <f>'6월'!P16</f>
        <v>천범석</v>
      </c>
      <c r="Q1054" s="5">
        <f>'6월'!Q16</f>
        <v>45833</v>
      </c>
      <c r="R1054" s="209"/>
    </row>
    <row r="1055" spans="1:18" ht="16.5" customHeight="1">
      <c r="A1055" t="s">
        <v>64</v>
      </c>
      <c r="B1055" s="10" t="str">
        <f>'6월'!B17</f>
        <v>LI-24007</v>
      </c>
      <c r="C1055" s="12"/>
      <c r="D1055" s="13">
        <f>'6월'!D17</f>
        <v>45810</v>
      </c>
      <c r="E1055" s="155" t="str">
        <f>'6월'!E17</f>
        <v>한국아이씨에스</v>
      </c>
      <c r="F1055" s="155" t="str">
        <f>'6월'!F17</f>
        <v>유더블유에스</v>
      </c>
      <c r="G1055" s="157" t="str">
        <f>'6월'!G17</f>
        <v>MA</v>
      </c>
      <c r="H1055" s="156" t="str">
        <f>'6월'!H17</f>
        <v>월간-IBM</v>
      </c>
      <c r="I1055" s="69" t="str">
        <f>'6월'!I17</f>
        <v>두원정공 6월 유지정비료 - 11/11회</v>
      </c>
      <c r="J1055" s="122">
        <f>'6월'!J17</f>
        <v>1</v>
      </c>
      <c r="K1055" s="15">
        <f>'6월'!K17</f>
        <v>80163</v>
      </c>
      <c r="L1055" s="16">
        <f>'6월'!L17</f>
        <v>80163</v>
      </c>
      <c r="M1055" s="16">
        <f>'6월'!M17</f>
        <v>8016</v>
      </c>
      <c r="N1055" s="15">
        <f>'6월'!N17</f>
        <v>88179</v>
      </c>
      <c r="O1055" s="5" t="str">
        <f>'6월'!O17</f>
        <v>완료(7/31)</v>
      </c>
      <c r="P1055" s="174" t="str">
        <f>'6월'!P17</f>
        <v>천범석</v>
      </c>
      <c r="Q1055" s="5">
        <f>'6월'!Q17</f>
        <v>45838</v>
      </c>
      <c r="R1055" s="209"/>
    </row>
    <row r="1056" spans="1:18" ht="16.5" customHeight="1">
      <c r="A1056" t="s">
        <v>64</v>
      </c>
      <c r="B1056" s="10" t="str">
        <f>'6월'!B18</f>
        <v>IK-24011</v>
      </c>
      <c r="C1056" s="12"/>
      <c r="D1056" s="13">
        <f>'6월'!D18</f>
        <v>45810</v>
      </c>
      <c r="E1056" s="155" t="str">
        <f>'6월'!E18</f>
        <v>한국아이씨에스</v>
      </c>
      <c r="F1056" s="155" t="str">
        <f>'6월'!F18</f>
        <v>로보츠</v>
      </c>
      <c r="G1056" s="156" t="str">
        <f>'6월'!G18</f>
        <v>MA</v>
      </c>
      <c r="H1056" s="156" t="str">
        <f>'6월'!H18</f>
        <v>월간-IBM</v>
      </c>
      <c r="I1056" s="69" t="str">
        <f>'6월'!I18</f>
        <v>키오시아(도시바) 6월 유지정비료 - 7/12회</v>
      </c>
      <c r="J1056" s="122">
        <f>'6월'!J18</f>
        <v>1</v>
      </c>
      <c r="K1056" s="16">
        <f>'6월'!K18</f>
        <v>133875</v>
      </c>
      <c r="L1056" s="16">
        <f>'6월'!L18</f>
        <v>133875</v>
      </c>
      <c r="M1056" s="16">
        <f>'6월'!M18</f>
        <v>13387</v>
      </c>
      <c r="N1056" s="15">
        <f>'6월'!N18</f>
        <v>147262</v>
      </c>
      <c r="O1056" s="5" t="str">
        <f>'6월'!O18</f>
        <v>완료(7/31)</v>
      </c>
      <c r="P1056" s="9" t="str">
        <f>'6월'!P18</f>
        <v>천범석</v>
      </c>
      <c r="Q1056" s="5">
        <f>'6월'!Q18</f>
        <v>45838</v>
      </c>
      <c r="R1056" s="209"/>
    </row>
    <row r="1057" spans="1:20">
      <c r="A1057" t="s">
        <v>64</v>
      </c>
      <c r="B1057" s="226" t="str">
        <f>'6월'!B19</f>
        <v>SM-25011</v>
      </c>
      <c r="C1057" s="12"/>
      <c r="D1057" s="13">
        <f>'6월'!D19</f>
        <v>45810</v>
      </c>
      <c r="E1057" s="155" t="str">
        <f>'6월'!E19</f>
        <v>한국아이씨에스</v>
      </c>
      <c r="F1057" s="155" t="str">
        <f>'6월'!F19</f>
        <v>유니포인트</v>
      </c>
      <c r="G1057" s="156" t="str">
        <f>'6월'!G19</f>
        <v>MA</v>
      </c>
      <c r="H1057" s="156" t="str">
        <f>'6월'!H19</f>
        <v>월간-IBM</v>
      </c>
      <c r="I1057" s="69" t="str">
        <f>'6월'!I19</f>
        <v>한미약품/한미사이언스 6월 유지정비료 - 6/12회</v>
      </c>
      <c r="J1057" s="122">
        <f>'6월'!J19</f>
        <v>1</v>
      </c>
      <c r="K1057" s="16">
        <f>'6월'!K19</f>
        <v>11623397</v>
      </c>
      <c r="L1057" s="16">
        <f>'6월'!L19</f>
        <v>11623397</v>
      </c>
      <c r="M1057" s="16">
        <f>'6월'!M19</f>
        <v>1162339</v>
      </c>
      <c r="N1057" s="15">
        <f>'6월'!N19</f>
        <v>12785736</v>
      </c>
      <c r="O1057" s="5" t="str">
        <f>'6월'!O19</f>
        <v>완료(7/31)</v>
      </c>
      <c r="P1057" s="174" t="str">
        <f>'6월'!P19</f>
        <v>천범석</v>
      </c>
      <c r="Q1057" s="5">
        <f>'6월'!Q19</f>
        <v>45838</v>
      </c>
      <c r="R1057" s="209"/>
    </row>
    <row r="1058" spans="1:20" ht="16.5" customHeight="1">
      <c r="A1058" t="s">
        <v>64</v>
      </c>
      <c r="B1058" s="10" t="str">
        <f>'6월'!B20</f>
        <v>IK-25003</v>
      </c>
      <c r="C1058" s="12"/>
      <c r="D1058" s="13">
        <f>'6월'!D20</f>
        <v>45810</v>
      </c>
      <c r="E1058" s="155" t="str">
        <f>'6월'!E20</f>
        <v>한국아이씨에스</v>
      </c>
      <c r="F1058" s="155" t="str">
        <f>'6월'!F20</f>
        <v>엔콤</v>
      </c>
      <c r="G1058" s="156" t="str">
        <f>'6월'!G20</f>
        <v>MA</v>
      </c>
      <c r="H1058" s="156" t="str">
        <f>'6월'!H20</f>
        <v>월간-IBM</v>
      </c>
      <c r="I1058" s="69" t="str">
        <f>'6월'!I20</f>
        <v>전북도시가스 6월 유지정비료 - 3/12회</v>
      </c>
      <c r="J1058" s="122">
        <f>'6월'!J20</f>
        <v>1</v>
      </c>
      <c r="K1058" s="15">
        <f>'6월'!K20</f>
        <v>1352754</v>
      </c>
      <c r="L1058" s="16">
        <f>'6월'!L20</f>
        <v>1352754</v>
      </c>
      <c r="M1058" s="15">
        <f>'6월'!M20</f>
        <v>135275</v>
      </c>
      <c r="N1058" s="15">
        <f>'6월'!N20</f>
        <v>1488029</v>
      </c>
      <c r="O1058" s="5" t="str">
        <f>'6월'!O20</f>
        <v>완료(7/31)</v>
      </c>
      <c r="P1058" s="174" t="str">
        <f>'6월'!P20</f>
        <v>천범석</v>
      </c>
      <c r="Q1058" s="5">
        <f>'6월'!Q20</f>
        <v>45838</v>
      </c>
      <c r="R1058" s="209"/>
    </row>
    <row r="1059" spans="1:20" ht="16.5" customHeight="1">
      <c r="A1059" t="s">
        <v>64</v>
      </c>
      <c r="B1059" s="10" t="str">
        <f>'6월'!B21</f>
        <v>IK-22025</v>
      </c>
      <c r="C1059" s="12"/>
      <c r="D1059" s="13">
        <f>'6월'!D21</f>
        <v>45810</v>
      </c>
      <c r="E1059" s="155" t="str">
        <f>'6월'!E21</f>
        <v>한국아이씨에스</v>
      </c>
      <c r="F1059" s="155" t="str">
        <f>'6월'!F21</f>
        <v>디에스피</v>
      </c>
      <c r="G1059" s="156" t="str">
        <f>'6월'!G21</f>
        <v>MA</v>
      </c>
      <c r="H1059" s="9" t="str">
        <f>'6월'!H21</f>
        <v>월간-IBM</v>
      </c>
      <c r="I1059" s="69" t="str">
        <f>'6월'!I21</f>
        <v>엘지생활건강 청주공장 6월 유지정비료 - 5/12회</v>
      </c>
      <c r="J1059" s="122">
        <f>'6월'!J21</f>
        <v>1</v>
      </c>
      <c r="K1059" s="15">
        <f>'6월'!K21</f>
        <v>564192</v>
      </c>
      <c r="L1059" s="16">
        <f>'6월'!L21</f>
        <v>564192</v>
      </c>
      <c r="M1059" s="15">
        <f>'6월'!M21</f>
        <v>56419</v>
      </c>
      <c r="N1059" s="15">
        <f>'6월'!N21</f>
        <v>620611</v>
      </c>
      <c r="O1059" s="5" t="str">
        <f>'6월'!O21</f>
        <v>완료(7/31)</v>
      </c>
      <c r="P1059" s="9" t="str">
        <f>'6월'!P21</f>
        <v>천범석</v>
      </c>
      <c r="Q1059" s="5">
        <f>'6월'!Q21</f>
        <v>45809</v>
      </c>
      <c r="R1059" s="209"/>
    </row>
    <row r="1060" spans="1:20" ht="16.5" customHeight="1">
      <c r="A1060" t="s">
        <v>64</v>
      </c>
      <c r="B1060" s="10" t="str">
        <f>'6월'!B22</f>
        <v>IK-25002</v>
      </c>
      <c r="C1060" s="12"/>
      <c r="D1060" s="13">
        <f>'6월'!D22</f>
        <v>45810</v>
      </c>
      <c r="E1060" s="155" t="str">
        <f>'6월'!E22</f>
        <v>한국아이씨에스</v>
      </c>
      <c r="F1060" s="155" t="str">
        <f>'6월'!F22</f>
        <v>시너지온</v>
      </c>
      <c r="G1060" s="157" t="str">
        <f>'6월'!G22</f>
        <v>MA</v>
      </c>
      <c r="H1060" s="156" t="str">
        <f>'6월'!H22</f>
        <v>월간-IBM</v>
      </c>
      <c r="I1060" s="69" t="str">
        <f>'6월'!I22</f>
        <v>명지성모병원 6월 정기점검 - 2/10회</v>
      </c>
      <c r="J1060" s="122">
        <f>'6월'!J22</f>
        <v>1</v>
      </c>
      <c r="K1060" s="15">
        <f>'6월'!K22</f>
        <v>451875</v>
      </c>
      <c r="L1060" s="16">
        <f>'6월'!L22</f>
        <v>451875</v>
      </c>
      <c r="M1060" s="16">
        <f>'6월'!M22</f>
        <v>45187</v>
      </c>
      <c r="N1060" s="15">
        <f>'6월'!N22</f>
        <v>497062</v>
      </c>
      <c r="O1060" s="5" t="str">
        <f>'6월'!O22</f>
        <v>완료(7/31)</v>
      </c>
      <c r="P1060" s="175" t="str">
        <f>'6월'!P22</f>
        <v>천범석</v>
      </c>
      <c r="Q1060" s="5">
        <f>'6월'!Q22</f>
        <v>45828</v>
      </c>
      <c r="R1060" s="213"/>
    </row>
    <row r="1061" spans="1:20" ht="16.5" customHeight="1">
      <c r="A1061" t="s">
        <v>64</v>
      </c>
      <c r="B1061" s="10" t="str">
        <f>'6월'!B23</f>
        <v>IK-24014</v>
      </c>
      <c r="C1061" s="12"/>
      <c r="D1061" s="13">
        <f>'6월'!D23</f>
        <v>45810</v>
      </c>
      <c r="E1061" s="155" t="str">
        <f>'6월'!E23</f>
        <v>한국아이씨에스</v>
      </c>
      <c r="F1061" s="155" t="str">
        <f>'6월'!F23</f>
        <v>로보츠</v>
      </c>
      <c r="G1061" s="156" t="str">
        <f>'6월'!G23</f>
        <v>MA</v>
      </c>
      <c r="H1061" s="156" t="str">
        <f>'6월'!H23</f>
        <v>월간-IBM</v>
      </c>
      <c r="I1061" s="69" t="str">
        <f>'6월'!I23</f>
        <v>와이케이케이 6월 유지정비료 - 6/12회</v>
      </c>
      <c r="J1061" s="122">
        <f>'6월'!J23</f>
        <v>1</v>
      </c>
      <c r="K1061" s="15">
        <f>'6월'!K23</f>
        <v>79496</v>
      </c>
      <c r="L1061" s="16">
        <f>'6월'!L23</f>
        <v>79496</v>
      </c>
      <c r="M1061" s="15">
        <f>'6월'!M23</f>
        <v>7949</v>
      </c>
      <c r="N1061" s="15">
        <f>'6월'!N23</f>
        <v>87445</v>
      </c>
      <c r="O1061" s="5" t="str">
        <f>'6월'!O23</f>
        <v>완료(7/31)</v>
      </c>
      <c r="P1061" s="9" t="str">
        <f>'6월'!P23</f>
        <v>천범석</v>
      </c>
      <c r="Q1061" s="5">
        <f>'6월'!Q23</f>
        <v>45833</v>
      </c>
      <c r="R1061" s="209"/>
    </row>
    <row r="1062" spans="1:20" ht="16.5" customHeight="1">
      <c r="A1062" t="s">
        <v>64</v>
      </c>
      <c r="B1062" s="10" t="str">
        <f>'6월'!B24</f>
        <v>IK-24014</v>
      </c>
      <c r="C1062" s="12"/>
      <c r="D1062" s="13">
        <f>'6월'!D24</f>
        <v>45810</v>
      </c>
      <c r="E1062" s="155" t="str">
        <f>'6월'!E24</f>
        <v>한국아이씨에스</v>
      </c>
      <c r="F1062" s="155" t="str">
        <f>'6월'!F24</f>
        <v>로보츠</v>
      </c>
      <c r="G1062" s="157" t="str">
        <f>'6월'!G24</f>
        <v>MA</v>
      </c>
      <c r="H1062" s="156" t="str">
        <f>'6월'!H24</f>
        <v>월간-IBM</v>
      </c>
      <c r="I1062" s="69" t="str">
        <f>'6월'!I24</f>
        <v>와이케이케이(추가) 6월 유지정비료 - 1/15회</v>
      </c>
      <c r="J1062" s="122">
        <f>'6월'!J24</f>
        <v>1</v>
      </c>
      <c r="K1062" s="15">
        <f>'6월'!K24</f>
        <v>74124</v>
      </c>
      <c r="L1062" s="16">
        <f>'6월'!L24</f>
        <v>74124</v>
      </c>
      <c r="M1062" s="16">
        <f>'6월'!M24</f>
        <v>7412</v>
      </c>
      <c r="N1062" s="15">
        <f>'6월'!N24</f>
        <v>81536</v>
      </c>
      <c r="O1062" s="5" t="str">
        <f>'6월'!O24</f>
        <v>완료(7/31)</v>
      </c>
      <c r="P1062" s="9" t="str">
        <f>'6월'!P24</f>
        <v>천범석</v>
      </c>
      <c r="Q1062" s="5">
        <f>'6월'!Q24</f>
        <v>45833</v>
      </c>
      <c r="R1062" s="209"/>
    </row>
    <row r="1063" spans="1:20" ht="16.5" customHeight="1">
      <c r="A1063" t="s">
        <v>64</v>
      </c>
      <c r="B1063" s="141" t="str">
        <f>'6월'!B25</f>
        <v>IK-22023</v>
      </c>
      <c r="C1063" s="142"/>
      <c r="D1063" s="13">
        <f>'6월'!D25</f>
        <v>45810</v>
      </c>
      <c r="E1063" s="155" t="str">
        <f>'6월'!E25</f>
        <v>한국아이씨에스</v>
      </c>
      <c r="F1063" s="155" t="str">
        <f>'6월'!F25</f>
        <v>리온아이티</v>
      </c>
      <c r="G1063" s="156" t="str">
        <f>'6월'!G25</f>
        <v>MA</v>
      </c>
      <c r="H1063" s="156" t="str">
        <f>'6월'!H25</f>
        <v>월간-IBM</v>
      </c>
      <c r="I1063" s="69" t="str">
        <f>'6월'!I25</f>
        <v>성원제강 6월 유지정비료 - 27/36회</v>
      </c>
      <c r="J1063" s="122">
        <f>'6월'!J25</f>
        <v>1</v>
      </c>
      <c r="K1063" s="15">
        <f>'6월'!K25</f>
        <v>159761</v>
      </c>
      <c r="L1063" s="15">
        <f>'6월'!L25</f>
        <v>159761</v>
      </c>
      <c r="M1063" s="15">
        <f>'6월'!M25</f>
        <v>15976</v>
      </c>
      <c r="N1063" s="15">
        <f>'6월'!N25</f>
        <v>175737</v>
      </c>
      <c r="O1063" s="5" t="str">
        <f>'6월'!O25</f>
        <v>완료(7/31)</v>
      </c>
      <c r="P1063" s="9" t="str">
        <f>'6월'!P25</f>
        <v>천범석</v>
      </c>
      <c r="Q1063" s="5">
        <f>'6월'!Q25</f>
        <v>45838</v>
      </c>
      <c r="R1063" s="209"/>
      <c r="S1063" s="7"/>
      <c r="T1063" s="7"/>
    </row>
    <row r="1064" spans="1:20" ht="16.5" customHeight="1">
      <c r="A1064" t="s">
        <v>64</v>
      </c>
      <c r="B1064" s="10" t="str">
        <f>'6월'!B26</f>
        <v>IK-24002</v>
      </c>
      <c r="C1064" s="12"/>
      <c r="D1064" s="13">
        <f>'6월'!D26</f>
        <v>45810</v>
      </c>
      <c r="E1064" s="155" t="str">
        <f>'6월'!E26</f>
        <v>한국아이씨에스</v>
      </c>
      <c r="F1064" s="155" t="str">
        <f>'6월'!F26</f>
        <v>리온아이티</v>
      </c>
      <c r="G1064" s="157" t="str">
        <f>'6월'!G26</f>
        <v>MA</v>
      </c>
      <c r="H1064" s="156" t="str">
        <f>'6월'!H26</f>
        <v>월간-IBM</v>
      </c>
      <c r="I1064" s="69" t="str">
        <f>'6월'!I26</f>
        <v>교세라 6월 유지정비료 - 17/36회</v>
      </c>
      <c r="J1064" s="122">
        <f>'6월'!J26</f>
        <v>1</v>
      </c>
      <c r="K1064" s="15">
        <f>'6월'!K26</f>
        <v>70422</v>
      </c>
      <c r="L1064" s="16">
        <f>'6월'!L26</f>
        <v>70422</v>
      </c>
      <c r="M1064" s="15">
        <f>'6월'!M26</f>
        <v>7042</v>
      </c>
      <c r="N1064" s="15">
        <f>'6월'!N26</f>
        <v>77464</v>
      </c>
      <c r="O1064" s="5" t="str">
        <f>'6월'!O26</f>
        <v>완료(7/31)</v>
      </c>
      <c r="P1064" s="174" t="str">
        <f>'6월'!P26</f>
        <v>천범석</v>
      </c>
      <c r="Q1064" s="5">
        <f>'6월'!Q26</f>
        <v>45716</v>
      </c>
      <c r="R1064" s="209" t="str">
        <f>'6월'!R26</f>
        <v>매출연간</v>
      </c>
    </row>
    <row r="1065" spans="1:20" ht="16.5" customHeight="1">
      <c r="A1065" t="s">
        <v>64</v>
      </c>
      <c r="B1065" s="10" t="str">
        <f>'6월'!B27</f>
        <v>LI-24004</v>
      </c>
      <c r="C1065" s="12"/>
      <c r="D1065" s="13">
        <f>'6월'!D27</f>
        <v>45810</v>
      </c>
      <c r="E1065" s="155" t="str">
        <f>'6월'!E27</f>
        <v>한국아이씨에스</v>
      </c>
      <c r="F1065" s="155" t="str">
        <f>'6월'!F27</f>
        <v>한국메탈</v>
      </c>
      <c r="G1065" s="157" t="str">
        <f>'6월'!G27</f>
        <v>MA</v>
      </c>
      <c r="H1065" s="156" t="str">
        <f>'6월'!H27</f>
        <v>월간-IBM</v>
      </c>
      <c r="I1065" s="69" t="str">
        <f>'6월'!I27</f>
        <v>6월유지정비료 - 14/32회</v>
      </c>
      <c r="J1065" s="122">
        <f>'6월'!J27</f>
        <v>1</v>
      </c>
      <c r="K1065" s="15">
        <f>'6월'!K27</f>
        <v>316682</v>
      </c>
      <c r="L1065" s="16">
        <f>'6월'!L27</f>
        <v>316682</v>
      </c>
      <c r="M1065" s="15">
        <f>'6월'!M27</f>
        <v>31668</v>
      </c>
      <c r="N1065" s="15">
        <f>'6월'!N27</f>
        <v>348350</v>
      </c>
      <c r="O1065" s="5" t="str">
        <f>'6월'!O27</f>
        <v>완료(7/31)</v>
      </c>
      <c r="P1065" s="9" t="str">
        <f>'6월'!P27</f>
        <v>천범석</v>
      </c>
      <c r="Q1065" s="5">
        <f>'6월'!Q27</f>
        <v>45809</v>
      </c>
      <c r="R1065" s="209"/>
    </row>
    <row r="1066" spans="1:20" ht="16.5" customHeight="1">
      <c r="A1066" t="s">
        <v>64</v>
      </c>
      <c r="B1066" s="140" t="str">
        <f>'6월'!B28</f>
        <v>SB-24036</v>
      </c>
      <c r="C1066" s="12"/>
      <c r="D1066" s="13">
        <f>'6월'!D28</f>
        <v>45810</v>
      </c>
      <c r="E1066" s="155" t="str">
        <f>'6월'!E28</f>
        <v>한국아이씨에스</v>
      </c>
      <c r="F1066" s="155" t="str">
        <f>'6월'!F28</f>
        <v>나라정보</v>
      </c>
      <c r="G1066" s="157" t="str">
        <f>'6월'!G28</f>
        <v>MA</v>
      </c>
      <c r="H1066" s="156" t="str">
        <f>'6월'!H28</f>
        <v>월간-IBM</v>
      </c>
      <c r="I1066" s="69" t="str">
        <f>'6월'!I28</f>
        <v>부국철강 6월 유지정비료 - 14/32 회</v>
      </c>
      <c r="J1066" s="122">
        <f>'6월'!J28</f>
        <v>1</v>
      </c>
      <c r="K1066" s="15">
        <f>'6월'!K28</f>
        <v>190849</v>
      </c>
      <c r="L1066" s="16">
        <f>'6월'!L28</f>
        <v>190849</v>
      </c>
      <c r="M1066" s="15">
        <f>'6월'!M28</f>
        <v>19084</v>
      </c>
      <c r="N1066" s="15">
        <f>'6월'!N28</f>
        <v>209933</v>
      </c>
      <c r="O1066" s="5" t="str">
        <f>'6월'!O28</f>
        <v>완료(7/31)</v>
      </c>
      <c r="P1066" s="177" t="str">
        <f>'6월'!P28</f>
        <v>천범석</v>
      </c>
      <c r="Q1066" s="5">
        <f>'6월'!Q28</f>
        <v>45838</v>
      </c>
      <c r="R1066" s="209"/>
    </row>
    <row r="1067" spans="1:20" ht="16.5" customHeight="1">
      <c r="A1067" t="s">
        <v>64</v>
      </c>
      <c r="B1067" s="10" t="str">
        <f>'6월'!B29</f>
        <v>SM-24021</v>
      </c>
      <c r="C1067" s="12"/>
      <c r="D1067" s="13">
        <f>'6월'!D29</f>
        <v>45810</v>
      </c>
      <c r="E1067" s="155" t="str">
        <f>'6월'!E29</f>
        <v>한국아이씨에스</v>
      </c>
      <c r="F1067" s="155" t="str">
        <f>'6월'!F29</f>
        <v>에이캐피탈</v>
      </c>
      <c r="G1067" s="157" t="str">
        <f>'6월'!G29</f>
        <v>MA</v>
      </c>
      <c r="H1067" s="156" t="str">
        <f>'6월'!H29</f>
        <v>월간-IBM</v>
      </c>
      <c r="I1067" s="69" t="str">
        <f>'6월'!I29</f>
        <v>6월 유지정비료 - 10/12회</v>
      </c>
      <c r="J1067" s="122">
        <f>'6월'!J29</f>
        <v>1</v>
      </c>
      <c r="K1067" s="15">
        <f>'6월'!K29</f>
        <v>691782</v>
      </c>
      <c r="L1067" s="16">
        <f>'6월'!L29</f>
        <v>691782</v>
      </c>
      <c r="M1067" s="16">
        <f>'6월'!M29</f>
        <v>69178</v>
      </c>
      <c r="N1067" s="15">
        <f>'6월'!N29</f>
        <v>760960</v>
      </c>
      <c r="O1067" s="5" t="str">
        <f>'6월'!O29</f>
        <v>완료(7/31)</v>
      </c>
      <c r="P1067" s="9" t="str">
        <f>'6월'!P29</f>
        <v>천범석</v>
      </c>
      <c r="Q1067" s="5">
        <f>'6월'!Q29</f>
        <v>45843</v>
      </c>
      <c r="R1067" s="209"/>
    </row>
    <row r="1068" spans="1:20" ht="16.5" customHeight="1">
      <c r="A1068" t="s">
        <v>64</v>
      </c>
      <c r="B1068" s="10" t="str">
        <f>'6월'!B30</f>
        <v>LI-24009</v>
      </c>
      <c r="C1068" s="12"/>
      <c r="D1068" s="13">
        <f>'6월'!D30</f>
        <v>45810</v>
      </c>
      <c r="E1068" s="155" t="str">
        <f>'6월'!E30</f>
        <v>한국아이씨에스</v>
      </c>
      <c r="F1068" s="155" t="str">
        <f>'6월'!F30</f>
        <v>아이리스인포테크</v>
      </c>
      <c r="G1068" s="157" t="str">
        <f>'6월'!G30</f>
        <v>MA</v>
      </c>
      <c r="H1068" s="156" t="str">
        <f>'6월'!H30</f>
        <v>월간-IBM</v>
      </c>
      <c r="I1068" s="69" t="str">
        <f>'6월'!I30</f>
        <v>프레이저플레이스 6월 유지정비료 - 11/12회</v>
      </c>
      <c r="J1068" s="122">
        <f>'6월'!J30</f>
        <v>1</v>
      </c>
      <c r="K1068" s="15">
        <f>'6월'!K30</f>
        <v>95200</v>
      </c>
      <c r="L1068" s="16">
        <f>'6월'!L30</f>
        <v>95200</v>
      </c>
      <c r="M1068" s="16">
        <f>'6월'!M30</f>
        <v>9520</v>
      </c>
      <c r="N1068" s="15">
        <f>'6월'!N30</f>
        <v>104720</v>
      </c>
      <c r="O1068" s="5" t="str">
        <f>'6월'!O30</f>
        <v>완료(7/31)</v>
      </c>
      <c r="P1068" s="9" t="str">
        <f>'6월'!P30</f>
        <v>천범석</v>
      </c>
      <c r="Q1068" s="5">
        <f>'6월'!Q30</f>
        <v>45807</v>
      </c>
      <c r="R1068" s="209" t="str">
        <f>'6월'!R30</f>
        <v>매출분기</v>
      </c>
    </row>
    <row r="1069" spans="1:20" ht="16.5" customHeight="1">
      <c r="A1069" t="s">
        <v>64</v>
      </c>
      <c r="B1069" s="10" t="str">
        <f>'6월'!B31</f>
        <v>LI-24006</v>
      </c>
      <c r="C1069" s="139"/>
      <c r="D1069" s="13">
        <f>'6월'!D31</f>
        <v>45810</v>
      </c>
      <c r="E1069" s="155" t="str">
        <f>'6월'!E31</f>
        <v>한국아이씨에스</v>
      </c>
      <c r="F1069" s="155" t="str">
        <f>'6월'!F31</f>
        <v>보해양조</v>
      </c>
      <c r="G1069" s="157" t="str">
        <f>'6월'!G31</f>
        <v>MA</v>
      </c>
      <c r="H1069" s="156" t="str">
        <f>'6월'!H31</f>
        <v>월간-IBM</v>
      </c>
      <c r="I1069" s="69" t="str">
        <f>'6월'!I31</f>
        <v>6월 유지정비료 - 12/12회</v>
      </c>
      <c r="J1069" s="122">
        <f>'6월'!J31</f>
        <v>1</v>
      </c>
      <c r="K1069" s="15">
        <f>'6월'!K31</f>
        <v>142800</v>
      </c>
      <c r="L1069" s="16">
        <f>'6월'!L31</f>
        <v>142800</v>
      </c>
      <c r="M1069" s="15">
        <f>'6월'!M31</f>
        <v>14280</v>
      </c>
      <c r="N1069" s="15">
        <f>'6월'!N31</f>
        <v>157080</v>
      </c>
      <c r="O1069" s="5" t="str">
        <f>'6월'!O31</f>
        <v>완료(7/31)</v>
      </c>
      <c r="P1069" s="174" t="str">
        <f>'6월'!P31</f>
        <v>천범석</v>
      </c>
      <c r="Q1069" s="5">
        <f>'6월'!Q31</f>
        <v>45833</v>
      </c>
      <c r="R1069" s="209"/>
    </row>
    <row r="1070" spans="1:20" ht="16.5" customHeight="1">
      <c r="A1070" t="s">
        <v>64</v>
      </c>
      <c r="B1070" s="10" t="str">
        <f>'6월'!B32</f>
        <v>IK-22022</v>
      </c>
      <c r="C1070" s="12"/>
      <c r="D1070" s="13">
        <f>'6월'!D32</f>
        <v>45810</v>
      </c>
      <c r="E1070" s="155" t="str">
        <f>'6월'!E32</f>
        <v>한국아이씨에스</v>
      </c>
      <c r="F1070" s="155" t="str">
        <f>'6월'!F32</f>
        <v>리온아이티</v>
      </c>
      <c r="G1070" s="157" t="str">
        <f>'6월'!G32</f>
        <v>MA</v>
      </c>
      <c r="H1070" s="156" t="str">
        <f>'6월'!H32</f>
        <v>월간-IBM</v>
      </c>
      <c r="I1070" s="69" t="str">
        <f>'6월'!I32</f>
        <v>한일전기 6월 유지정비료 - 30/36회</v>
      </c>
      <c r="J1070" s="122">
        <f>'6월'!J32</f>
        <v>1</v>
      </c>
      <c r="K1070" s="15">
        <f>'6월'!K32</f>
        <v>309047</v>
      </c>
      <c r="L1070" s="16">
        <f>'6월'!L32</f>
        <v>309047</v>
      </c>
      <c r="M1070" s="15">
        <f>'6월'!M32</f>
        <v>30904</v>
      </c>
      <c r="N1070" s="15">
        <f>'6월'!N32</f>
        <v>339951</v>
      </c>
      <c r="O1070" s="5" t="str">
        <f>'6월'!O32</f>
        <v>완료(7/31)</v>
      </c>
      <c r="P1070" s="9" t="str">
        <f>'6월'!P32</f>
        <v>천범석</v>
      </c>
      <c r="Q1070" s="5">
        <f>'6월'!Q32</f>
        <v>45748</v>
      </c>
      <c r="R1070" s="209" t="str">
        <f>'6월'!R32</f>
        <v>매출분기</v>
      </c>
    </row>
    <row r="1071" spans="1:20" ht="16.5" customHeight="1">
      <c r="A1071" t="s">
        <v>64</v>
      </c>
      <c r="B1071" s="10" t="str">
        <f>'6월'!B33</f>
        <v>IK-24013</v>
      </c>
      <c r="C1071" s="12"/>
      <c r="D1071" s="13">
        <f>'6월'!D33</f>
        <v>45810</v>
      </c>
      <c r="E1071" s="155" t="str">
        <f>'6월'!E33</f>
        <v>한국아이씨에스</v>
      </c>
      <c r="F1071" s="155" t="str">
        <f>'6월'!F33</f>
        <v>레드텍</v>
      </c>
      <c r="G1071" s="156" t="str">
        <f>'6월'!G33</f>
        <v>MA</v>
      </c>
      <c r="H1071" s="156" t="str">
        <f>'6월'!H33</f>
        <v>월간-IBM</v>
      </c>
      <c r="I1071" s="69" t="str">
        <f>'6월'!I33</f>
        <v>대한상공회의소 6월 유지정비료 - 8/12회</v>
      </c>
      <c r="J1071" s="122">
        <f>'6월'!J33</f>
        <v>1</v>
      </c>
      <c r="K1071" s="15">
        <f>'6월'!K33</f>
        <v>145780</v>
      </c>
      <c r="L1071" s="16">
        <f>'6월'!L33</f>
        <v>145780</v>
      </c>
      <c r="M1071" s="16">
        <f>'6월'!M33</f>
        <v>14578</v>
      </c>
      <c r="N1071" s="15">
        <f>'6월'!N33</f>
        <v>160358</v>
      </c>
      <c r="O1071" s="5" t="str">
        <f>'6월'!O33</f>
        <v>완료(7/31)</v>
      </c>
      <c r="P1071" s="9" t="str">
        <f>'6월'!P33</f>
        <v>천범석</v>
      </c>
      <c r="Q1071" s="5">
        <f>'6월'!Q33</f>
        <v>45809</v>
      </c>
      <c r="R1071" s="209"/>
    </row>
    <row r="1072" spans="1:20" ht="16.5" customHeight="1">
      <c r="A1072" t="s">
        <v>64</v>
      </c>
      <c r="B1072" s="141" t="str">
        <f>'6월'!B34</f>
        <v>IK-22021</v>
      </c>
      <c r="C1072" s="12"/>
      <c r="D1072" s="13">
        <f>'6월'!D34</f>
        <v>45810</v>
      </c>
      <c r="E1072" s="155" t="str">
        <f>'6월'!E34</f>
        <v>한국아이씨에스</v>
      </c>
      <c r="F1072" s="155" t="str">
        <f>'6월'!F34</f>
        <v>리온아이티</v>
      </c>
      <c r="G1072" s="156" t="str">
        <f>'6월'!G34</f>
        <v>MA</v>
      </c>
      <c r="H1072" s="156" t="str">
        <f>'6월'!H34</f>
        <v>월간-IBM</v>
      </c>
      <c r="I1072" s="69" t="str">
        <f>'6월'!I34</f>
        <v>문배철강 6월 유지정비료 - 27/36회</v>
      </c>
      <c r="J1072" s="122">
        <f>'6월'!J34</f>
        <v>1</v>
      </c>
      <c r="K1072" s="15">
        <f>'6월'!K34</f>
        <v>212293</v>
      </c>
      <c r="L1072" s="15">
        <f>'6월'!L34</f>
        <v>212293</v>
      </c>
      <c r="M1072" s="15">
        <f>'6월'!M34</f>
        <v>21229</v>
      </c>
      <c r="N1072" s="15">
        <f>'6월'!N34</f>
        <v>233522</v>
      </c>
      <c r="O1072" s="5" t="str">
        <f>'6월'!O34</f>
        <v>완료(7/31)</v>
      </c>
      <c r="P1072" s="9" t="str">
        <f>'6월'!P34</f>
        <v>천범석</v>
      </c>
      <c r="Q1072" s="5">
        <f>'6월'!Q34</f>
        <v>45838</v>
      </c>
      <c r="R1072" s="209"/>
    </row>
    <row r="1073" spans="1:19" ht="16.5" customHeight="1">
      <c r="A1073" t="s">
        <v>64</v>
      </c>
      <c r="B1073" s="141" t="str">
        <f>'6월'!B35</f>
        <v>X</v>
      </c>
      <c r="C1073" s="142"/>
      <c r="D1073" s="13">
        <f>'6월'!D35</f>
        <v>45811</v>
      </c>
      <c r="E1073" s="155" t="str">
        <f>'6월'!E35</f>
        <v>에스케이브로드밴드</v>
      </c>
      <c r="F1073" s="155"/>
      <c r="G1073" s="156" t="str">
        <f>'6월'!G35</f>
        <v>일반경비</v>
      </c>
      <c r="H1073" s="156" t="str">
        <f>'6월'!H35</f>
        <v>통신비</v>
      </c>
      <c r="I1073" s="159" t="str">
        <f>'6월'!I35</f>
        <v>통신료</v>
      </c>
      <c r="J1073" s="124">
        <f>'6월'!J35</f>
        <v>1</v>
      </c>
      <c r="K1073" s="16">
        <f>'6월'!K35</f>
        <v>14346</v>
      </c>
      <c r="L1073" s="15">
        <f>'6월'!L35</f>
        <v>14346</v>
      </c>
      <c r="M1073" s="15">
        <f>'6월'!M35</f>
        <v>1434</v>
      </c>
      <c r="N1073" s="15">
        <f>'6월'!N35</f>
        <v>15780</v>
      </c>
      <c r="O1073" s="5" t="str">
        <f>'6월'!O35</f>
        <v>자동이체(6/25)</v>
      </c>
      <c r="P1073" s="175" t="str">
        <f>'6월'!P35</f>
        <v>정지우</v>
      </c>
      <c r="Q1073" s="68" t="str">
        <f>'6월'!Q35</f>
        <v>X</v>
      </c>
      <c r="R1073" s="209"/>
      <c r="S1073" s="7"/>
    </row>
    <row r="1074" spans="1:19" ht="16.5" customHeight="1">
      <c r="A1074" t="s">
        <v>64</v>
      </c>
      <c r="B1074" s="10" t="str">
        <f>'6월'!B36</f>
        <v>SB-25025</v>
      </c>
      <c r="C1074" s="139"/>
      <c r="D1074" s="13">
        <f>'6월'!D36</f>
        <v>45812</v>
      </c>
      <c r="E1074" s="155" t="str">
        <f>'6월'!E36</f>
        <v>한국아이씨에스</v>
      </c>
      <c r="F1074" s="155" t="str">
        <f>'6월'!F36</f>
        <v>해안종합건축사사무소</v>
      </c>
      <c r="G1074" s="156" t="str">
        <f>'6월'!G36</f>
        <v>MA</v>
      </c>
      <c r="H1074" s="156" t="str">
        <f>'6월'!H36</f>
        <v>월간-IBM</v>
      </c>
      <c r="I1074" s="69" t="str">
        <f>'6월'!I36</f>
        <v>6월 유지정비료 - 1/12회</v>
      </c>
      <c r="J1074" s="122">
        <f>'6월'!J36</f>
        <v>1</v>
      </c>
      <c r="K1074" s="15">
        <f>'6월'!K36</f>
        <v>449492</v>
      </c>
      <c r="L1074" s="16">
        <f>'6월'!L36</f>
        <v>449492</v>
      </c>
      <c r="M1074" s="15">
        <f>'6월'!M36</f>
        <v>44949</v>
      </c>
      <c r="N1074" s="15">
        <f>'6월'!N36</f>
        <v>494441</v>
      </c>
      <c r="O1074" s="5" t="str">
        <f>'6월'!O36</f>
        <v>완료(7/31)</v>
      </c>
      <c r="P1074" s="174" t="str">
        <f>'6월'!P36</f>
        <v>천범석</v>
      </c>
      <c r="Q1074" s="5">
        <f>'6월'!Q36</f>
        <v>45809</v>
      </c>
      <c r="R1074" s="209"/>
    </row>
    <row r="1075" spans="1:19" ht="16.5" customHeight="1">
      <c r="A1075" t="s">
        <v>64</v>
      </c>
      <c r="B1075" s="10" t="str">
        <f>'6월'!B37</f>
        <v>S</v>
      </c>
      <c r="C1075" s="12"/>
      <c r="D1075" s="13">
        <f>'6월'!D37</f>
        <v>45813</v>
      </c>
      <c r="E1075" s="155" t="str">
        <f>'6월'!E37</f>
        <v>로보츠</v>
      </c>
      <c r="F1075" s="155" t="str">
        <f>'6월'!F37</f>
        <v>와이케이케이 서울</v>
      </c>
      <c r="G1075" s="156" t="str">
        <f>'6월'!G37</f>
        <v>상품</v>
      </c>
      <c r="H1075" s="156" t="str">
        <f>'6월'!H37</f>
        <v>기술지원</v>
      </c>
      <c r="I1075" s="69" t="str">
        <f>'6월'!I37</f>
        <v xml:space="preserve">AhnLab V3 EPP OS 업그레이드 작업 </v>
      </c>
      <c r="J1075" s="122">
        <f>'6월'!J37</f>
        <v>1</v>
      </c>
      <c r="K1075" s="15">
        <f>'6월'!K37</f>
        <v>2940000</v>
      </c>
      <c r="L1075" s="16">
        <f>'6월'!L37</f>
        <v>2940000</v>
      </c>
      <c r="M1075" s="16">
        <f>'6월'!M37</f>
        <v>294000</v>
      </c>
      <c r="N1075" s="15">
        <f>'6월'!N37</f>
        <v>3234000</v>
      </c>
      <c r="O1075" s="5" t="str">
        <f>'6월'!O37</f>
        <v>완료(7/31)</v>
      </c>
      <c r="P1075" s="9" t="str">
        <f>'6월'!P37</f>
        <v>이예지</v>
      </c>
      <c r="Q1075" s="5">
        <f>'6월'!Q37</f>
        <v>45813</v>
      </c>
      <c r="R1075" s="213"/>
    </row>
    <row r="1076" spans="1:19" ht="16.5" customHeight="1">
      <c r="A1076" t="s">
        <v>64</v>
      </c>
      <c r="B1076" s="10" t="str">
        <f>'6월'!B38</f>
        <v>S</v>
      </c>
      <c r="C1076" s="12"/>
      <c r="D1076" s="13">
        <f>'6월'!D38</f>
        <v>45813</v>
      </c>
      <c r="E1076" s="155" t="str">
        <f>'6월'!E38</f>
        <v>로보츠</v>
      </c>
      <c r="F1076" s="155" t="str">
        <f>'6월'!F38</f>
        <v>와이케이케이 평택</v>
      </c>
      <c r="G1076" s="156" t="str">
        <f>'6월'!G38</f>
        <v>상품</v>
      </c>
      <c r="H1076" s="156" t="str">
        <f>'6월'!H38</f>
        <v>기술지원</v>
      </c>
      <c r="I1076" s="69" t="str">
        <f>'6월'!I38</f>
        <v xml:space="preserve">AhnLab V3 EPP OS 업그레이드 작업 </v>
      </c>
      <c r="J1076" s="122">
        <f>'6월'!J38</f>
        <v>1</v>
      </c>
      <c r="K1076" s="15">
        <f>'6월'!K38</f>
        <v>2940000</v>
      </c>
      <c r="L1076" s="16">
        <f>'6월'!L38</f>
        <v>2940000</v>
      </c>
      <c r="M1076" s="16">
        <f>'6월'!M38</f>
        <v>294000</v>
      </c>
      <c r="N1076" s="15">
        <f>'6월'!N38</f>
        <v>3234000</v>
      </c>
      <c r="O1076" s="5" t="str">
        <f>'6월'!O38</f>
        <v>완료(7/31)</v>
      </c>
      <c r="P1076" s="9" t="str">
        <f>'6월'!P38</f>
        <v>이예지</v>
      </c>
      <c r="Q1076" s="5">
        <f>'6월'!Q38</f>
        <v>45813</v>
      </c>
      <c r="R1076" s="213"/>
    </row>
    <row r="1077" spans="1:19" ht="16.5" customHeight="1">
      <c r="A1077" t="s">
        <v>64</v>
      </c>
      <c r="B1077" s="10" t="str">
        <f>'6월'!B39</f>
        <v>SM-24020</v>
      </c>
      <c r="C1077" s="12"/>
      <c r="D1077" s="13">
        <f>'6월'!D39</f>
        <v>45813</v>
      </c>
      <c r="E1077" s="155" t="str">
        <f>'6월'!E39</f>
        <v>로보츠</v>
      </c>
      <c r="F1077" s="155" t="str">
        <f>'6월'!F39</f>
        <v>와이케이케이 서울</v>
      </c>
      <c r="G1077" s="156" t="str">
        <f>'6월'!G39</f>
        <v>MA</v>
      </c>
      <c r="H1077" s="156" t="str">
        <f>'6월'!H39</f>
        <v>월간</v>
      </c>
      <c r="I1077" s="69" t="str">
        <f>'6월'!I39</f>
        <v>BoardSystem 유지보수 - 6월 (9/12회)</v>
      </c>
      <c r="J1077" s="122">
        <f>'6월'!J39</f>
        <v>1</v>
      </c>
      <c r="K1077" s="15">
        <f>'6월'!K39</f>
        <v>1060000</v>
      </c>
      <c r="L1077" s="16">
        <f>'6월'!L39</f>
        <v>1060000</v>
      </c>
      <c r="M1077" s="16">
        <f>'6월'!M39</f>
        <v>106000</v>
      </c>
      <c r="N1077" s="15">
        <f>'6월'!N39</f>
        <v>1166000</v>
      </c>
      <c r="O1077" s="5" t="str">
        <f>'6월'!O39</f>
        <v>완료(7/31)</v>
      </c>
      <c r="P1077" s="9" t="str">
        <f>'6월'!P39</f>
        <v>이예지</v>
      </c>
      <c r="Q1077" s="5">
        <f>'6월'!Q39</f>
        <v>45813</v>
      </c>
      <c r="R1077" s="209"/>
    </row>
    <row r="1078" spans="1:19" ht="16.5" customHeight="1">
      <c r="A1078" t="s">
        <v>64</v>
      </c>
      <c r="B1078" s="10" t="str">
        <f>'6월'!B40</f>
        <v>H250609-01</v>
      </c>
      <c r="C1078" s="12"/>
      <c r="D1078" s="13">
        <f>'6월'!D40</f>
        <v>45817</v>
      </c>
      <c r="E1078" s="155" t="str">
        <f>'6월'!E40</f>
        <v>이비웨이브</v>
      </c>
      <c r="F1078" s="155" t="str">
        <f>'6월'!F40</f>
        <v>우리에스아이티</v>
      </c>
      <c r="G1078" s="156" t="str">
        <f>'6월'!G40</f>
        <v>상품</v>
      </c>
      <c r="H1078" s="156" t="str">
        <f>'6월'!H40</f>
        <v>43W9715</v>
      </c>
      <c r="I1078" s="69" t="str">
        <f>'6월'!I40</f>
        <v>750GB 7.2K SATA 3.5inch Hard Drive</v>
      </c>
      <c r="J1078" s="122">
        <f>'6월'!J40</f>
        <v>1</v>
      </c>
      <c r="K1078" s="15">
        <f>'6월'!K40</f>
        <v>200000</v>
      </c>
      <c r="L1078" s="16">
        <f>'6월'!L40</f>
        <v>200000</v>
      </c>
      <c r="M1078" s="16">
        <f>'6월'!M40</f>
        <v>20000</v>
      </c>
      <c r="N1078" s="15">
        <f>'6월'!N40</f>
        <v>220000</v>
      </c>
      <c r="O1078" s="5" t="str">
        <f>'6월'!O40</f>
        <v>완료(8/29)</v>
      </c>
      <c r="P1078" s="9" t="str">
        <f>'6월'!P40</f>
        <v>천범석</v>
      </c>
      <c r="Q1078" s="5">
        <f>'6월'!Q40</f>
        <v>45821</v>
      </c>
      <c r="R1078" s="213"/>
    </row>
    <row r="1079" spans="1:19" ht="16.5" customHeight="1">
      <c r="A1079" t="s">
        <v>64</v>
      </c>
      <c r="B1079" s="10" t="str">
        <f>'6월'!B41</f>
        <v>H250609-02</v>
      </c>
      <c r="C1079" s="12"/>
      <c r="D1079" s="13">
        <f>'6월'!D41</f>
        <v>45817</v>
      </c>
      <c r="E1079" s="155" t="str">
        <f>'6월'!E41</f>
        <v>이비웨이브</v>
      </c>
      <c r="F1079" s="155" t="str">
        <f>'6월'!F41</f>
        <v>티에스씨인포</v>
      </c>
      <c r="G1079" s="156" t="str">
        <f>'6월'!G41</f>
        <v>상품</v>
      </c>
      <c r="H1079" s="156" t="str">
        <f>'6월'!H41</f>
        <v>870792-001</v>
      </c>
      <c r="I1079" s="69" t="str">
        <f>'6월'!I41</f>
        <v>HP 300GB SAS 12G 15K SFF HDD for G8-G10</v>
      </c>
      <c r="J1079" s="122">
        <f>'6월'!J41</f>
        <v>1</v>
      </c>
      <c r="K1079" s="15">
        <f>'6월'!K41</f>
        <v>130000</v>
      </c>
      <c r="L1079" s="16">
        <f>'6월'!L41</f>
        <v>130000</v>
      </c>
      <c r="M1079" s="16">
        <f>'6월'!M41</f>
        <v>13000</v>
      </c>
      <c r="N1079" s="15">
        <f>'6월'!N41</f>
        <v>143000</v>
      </c>
      <c r="O1079" s="5" t="str">
        <f>'6월'!O41</f>
        <v>완료(8/29)</v>
      </c>
      <c r="P1079" s="9" t="str">
        <f>'6월'!P41</f>
        <v>천범석</v>
      </c>
      <c r="Q1079" s="5">
        <f>'6월'!Q41</f>
        <v>45838</v>
      </c>
      <c r="R1079" s="213"/>
    </row>
    <row r="1080" spans="1:19" ht="16.5" customHeight="1">
      <c r="A1080" t="s">
        <v>64</v>
      </c>
      <c r="B1080" s="10" t="str">
        <f>'6월'!B42</f>
        <v>SM-23012</v>
      </c>
      <c r="C1080" s="12"/>
      <c r="D1080" s="13">
        <f>'6월'!D42</f>
        <v>45818</v>
      </c>
      <c r="E1080" s="155" t="str">
        <f>'6월'!E42</f>
        <v>엘림넷</v>
      </c>
      <c r="F1080" s="155" t="str">
        <f>'6월'!F42</f>
        <v>택스홈앤아웃 본사</v>
      </c>
      <c r="G1080" s="156" t="str">
        <f>'6월'!G42</f>
        <v>MA</v>
      </c>
      <c r="H1080" s="156" t="str">
        <f>'6월'!H42</f>
        <v>월간</v>
      </c>
      <c r="I1080" s="69" t="str">
        <f>'6월'!I42</f>
        <v>전용회선료 외 1건</v>
      </c>
      <c r="J1080" s="122">
        <f>'6월'!J42</f>
        <v>1</v>
      </c>
      <c r="K1080" s="15">
        <f>'6월'!K42</f>
        <v>213400</v>
      </c>
      <c r="L1080" s="16">
        <f>'6월'!L42</f>
        <v>213400</v>
      </c>
      <c r="M1080" s="16">
        <f>'6월'!M42</f>
        <v>21340</v>
      </c>
      <c r="N1080" s="15">
        <f>'6월'!N42</f>
        <v>234740</v>
      </c>
      <c r="O1080" s="5" t="str">
        <f>'6월'!O42</f>
        <v>완료(6/26법카)</v>
      </c>
      <c r="P1080" s="9" t="str">
        <f>'6월'!P42</f>
        <v>이예지</v>
      </c>
      <c r="Q1080" s="5">
        <f>'6월'!Q42</f>
        <v>45809</v>
      </c>
      <c r="R1080" s="209"/>
    </row>
    <row r="1081" spans="1:19" ht="16.5" customHeight="1">
      <c r="A1081" t="s">
        <v>64</v>
      </c>
      <c r="B1081" s="10" t="str">
        <f>'6월'!B43</f>
        <v>SM-23013</v>
      </c>
      <c r="C1081" s="12"/>
      <c r="D1081" s="13">
        <f>'6월'!D43</f>
        <v>45818</v>
      </c>
      <c r="E1081" s="155" t="str">
        <f>'6월'!E43</f>
        <v>엘림넷</v>
      </c>
      <c r="F1081" s="155" t="str">
        <f>'6월'!F43</f>
        <v>하이엔드택스 강남지점(압구정)</v>
      </c>
      <c r="G1081" s="156" t="str">
        <f>'6월'!G43</f>
        <v>MA</v>
      </c>
      <c r="H1081" s="156" t="str">
        <f>'6월'!H43</f>
        <v>월간</v>
      </c>
      <c r="I1081" s="69" t="str">
        <f>'6월'!I43</f>
        <v>e-NETner 외 1건</v>
      </c>
      <c r="J1081" s="122">
        <f>'6월'!J43</f>
        <v>1</v>
      </c>
      <c r="K1081" s="15">
        <f>'6월'!K43</f>
        <v>77600</v>
      </c>
      <c r="L1081" s="16">
        <f>'6월'!L43</f>
        <v>77600</v>
      </c>
      <c r="M1081" s="16">
        <f>'6월'!M43</f>
        <v>7760</v>
      </c>
      <c r="N1081" s="15">
        <f>'6월'!N43</f>
        <v>85360</v>
      </c>
      <c r="O1081" s="5" t="str">
        <f>'6월'!O43</f>
        <v>완료(6/26법카)</v>
      </c>
      <c r="P1081" s="9" t="str">
        <f>'6월'!P43</f>
        <v>이예지</v>
      </c>
      <c r="Q1081" s="5">
        <f>'6월'!Q43</f>
        <v>45809</v>
      </c>
      <c r="R1081" s="209"/>
    </row>
    <row r="1082" spans="1:19" ht="16.5" customHeight="1">
      <c r="A1082" t="s">
        <v>64</v>
      </c>
      <c r="B1082" s="10" t="str">
        <f>'6월'!B44</f>
        <v>SM-23012</v>
      </c>
      <c r="C1082" s="12"/>
      <c r="D1082" s="13">
        <f>'6월'!D44</f>
        <v>45818</v>
      </c>
      <c r="E1082" s="155" t="str">
        <f>'6월'!E44</f>
        <v>엘림넷</v>
      </c>
      <c r="F1082" s="155" t="str">
        <f>'6월'!F44</f>
        <v>택스홈앤아웃 본사</v>
      </c>
      <c r="G1082" s="156" t="str">
        <f>'6월'!G44</f>
        <v>MA</v>
      </c>
      <c r="H1082" s="156" t="str">
        <f>'6월'!H44</f>
        <v>월간</v>
      </c>
      <c r="I1082" s="69" t="str">
        <f>'6월'!I44</f>
        <v>e-NETner 외 1건</v>
      </c>
      <c r="J1082" s="122">
        <f>'6월'!J44</f>
        <v>1</v>
      </c>
      <c r="K1082" s="15">
        <f>'6월'!K44</f>
        <v>155200</v>
      </c>
      <c r="L1082" s="16">
        <f>'6월'!L44</f>
        <v>155200</v>
      </c>
      <c r="M1082" s="16">
        <f>'6월'!M44</f>
        <v>15520</v>
      </c>
      <c r="N1082" s="15">
        <f>'6월'!N44</f>
        <v>170720</v>
      </c>
      <c r="O1082" s="5" t="str">
        <f>'6월'!O44</f>
        <v>완료(6/26법카)</v>
      </c>
      <c r="P1082" s="9" t="str">
        <f>'6월'!P44</f>
        <v>이예지</v>
      </c>
      <c r="Q1082" s="5">
        <f>'6월'!Q44</f>
        <v>45809</v>
      </c>
      <c r="R1082" s="209"/>
    </row>
    <row r="1083" spans="1:19" ht="16.5" customHeight="1">
      <c r="A1083" t="s">
        <v>64</v>
      </c>
      <c r="B1083" s="10" t="str">
        <f>'6월'!B45</f>
        <v>SM-23013</v>
      </c>
      <c r="C1083" s="12"/>
      <c r="D1083" s="13">
        <f>'6월'!D45</f>
        <v>45818</v>
      </c>
      <c r="E1083" s="155" t="str">
        <f>'6월'!E45</f>
        <v>엘림넷</v>
      </c>
      <c r="F1083" s="155" t="str">
        <f>'6월'!F45</f>
        <v>하이엔드택스 강남지점(압구정)</v>
      </c>
      <c r="G1083" s="156" t="str">
        <f>'6월'!G45</f>
        <v>MA</v>
      </c>
      <c r="H1083" s="156" t="str">
        <f>'6월'!H45</f>
        <v>월간</v>
      </c>
      <c r="I1083" s="69" t="str">
        <f>'6월'!I45</f>
        <v>전용회선료 외 1건</v>
      </c>
      <c r="J1083" s="122">
        <f>'6월'!J45</f>
        <v>1</v>
      </c>
      <c r="K1083" s="15">
        <f>'6월'!K45</f>
        <v>145500</v>
      </c>
      <c r="L1083" s="16">
        <f>'6월'!L45</f>
        <v>145500</v>
      </c>
      <c r="M1083" s="16">
        <f>'6월'!M45</f>
        <v>14550</v>
      </c>
      <c r="N1083" s="15">
        <f>'6월'!N45</f>
        <v>160050</v>
      </c>
      <c r="O1083" s="5" t="str">
        <f>'6월'!O45</f>
        <v>완료(6/26법카)</v>
      </c>
      <c r="P1083" s="9" t="str">
        <f>'6월'!P45</f>
        <v>이예지</v>
      </c>
      <c r="Q1083" s="5">
        <f>'6월'!Q45</f>
        <v>45809</v>
      </c>
      <c r="R1083" s="209"/>
    </row>
    <row r="1084" spans="1:19" ht="16.5" customHeight="1">
      <c r="A1084" t="s">
        <v>64</v>
      </c>
      <c r="B1084" s="10" t="str">
        <f>'6월'!B46</f>
        <v>H250610-01</v>
      </c>
      <c r="C1084" s="12"/>
      <c r="D1084" s="13">
        <f>'6월'!D46</f>
        <v>45818</v>
      </c>
      <c r="E1084" s="155" t="str">
        <f>'6월'!E46</f>
        <v>에스엔에이</v>
      </c>
      <c r="F1084" s="155" t="str">
        <f>'6월'!F46</f>
        <v>엠씨앤파트너</v>
      </c>
      <c r="G1084" s="156" t="str">
        <f>'6월'!G46</f>
        <v>상품</v>
      </c>
      <c r="H1084" s="156" t="str">
        <f>'6월'!H46</f>
        <v>00E9927 00E9912</v>
      </c>
      <c r="I1084" s="69" t="str">
        <f>'6월'!I46</f>
        <v>IBM 300GB 15K RPM 2.5" SAS 6Gbps SFF HDD</v>
      </c>
      <c r="J1084" s="122">
        <f>'6월'!J46</f>
        <v>3</v>
      </c>
      <c r="K1084" s="15">
        <f>'6월'!K46</f>
        <v>150000</v>
      </c>
      <c r="L1084" s="16">
        <f>'6월'!L46</f>
        <v>450000</v>
      </c>
      <c r="M1084" s="16">
        <f>'6월'!M46</f>
        <v>45000</v>
      </c>
      <c r="N1084" s="15">
        <f>'6월'!N46</f>
        <v>495000</v>
      </c>
      <c r="O1084" s="5" t="str">
        <f>'6월'!O46</f>
        <v>완료(8/29)</v>
      </c>
      <c r="P1084" s="9" t="str">
        <f>'6월'!P46</f>
        <v>천범석</v>
      </c>
      <c r="Q1084" s="5">
        <f>'6월'!Q46</f>
        <v>45838</v>
      </c>
      <c r="R1084" s="209"/>
    </row>
    <row r="1085" spans="1:19" ht="16.5" customHeight="1">
      <c r="A1085" t="s">
        <v>64</v>
      </c>
      <c r="B1085" s="10" t="str">
        <f>'6월'!B47</f>
        <v>H250609-03</v>
      </c>
      <c r="C1085" s="12"/>
      <c r="D1085" s="13">
        <f>'6월'!D47</f>
        <v>45818</v>
      </c>
      <c r="E1085" s="155" t="str">
        <f>'6월'!E47</f>
        <v>이비웨이브</v>
      </c>
      <c r="F1085" s="155" t="str">
        <f>'6월'!F47</f>
        <v>비씨엠정보통신(꼬망스)</v>
      </c>
      <c r="G1085" s="156" t="str">
        <f>'6월'!G47</f>
        <v>MA</v>
      </c>
      <c r="H1085" s="156" t="str">
        <f>'6월'!H47</f>
        <v>81Y4451</v>
      </c>
      <c r="I1085" s="69" t="str">
        <f>'6월'!I47</f>
        <v>ServeRaid M5000 Series Battery Kit</v>
      </c>
      <c r="J1085" s="122">
        <f>'6월'!J47</f>
        <v>1</v>
      </c>
      <c r="K1085" s="15">
        <f>'6월'!K47</f>
        <v>120000</v>
      </c>
      <c r="L1085" s="16">
        <f>'6월'!L47</f>
        <v>120000</v>
      </c>
      <c r="M1085" s="16">
        <f>'6월'!M47</f>
        <v>12000</v>
      </c>
      <c r="N1085" s="15">
        <f>'6월'!N47</f>
        <v>132000</v>
      </c>
      <c r="O1085" s="5" t="str">
        <f>'6월'!O47</f>
        <v>완료(8/29)</v>
      </c>
      <c r="P1085" s="9" t="str">
        <f>'6월'!P47</f>
        <v>천범석</v>
      </c>
      <c r="Q1085" s="5" t="str">
        <f>'6월'!Q47</f>
        <v>MA</v>
      </c>
      <c r="R1085" s="213"/>
    </row>
    <row r="1086" spans="1:19" ht="16.5" customHeight="1">
      <c r="A1086" t="s">
        <v>64</v>
      </c>
      <c r="B1086" s="10" t="str">
        <f>'6월'!B48</f>
        <v>H250612-04</v>
      </c>
      <c r="C1086" s="12"/>
      <c r="D1086" s="13">
        <f>'6월'!D48</f>
        <v>45820</v>
      </c>
      <c r="E1086" s="155" t="str">
        <f>'6월'!E48</f>
        <v>컴퓨존</v>
      </c>
      <c r="F1086" s="155" t="str">
        <f>'6월'!F48</f>
        <v>케이엠디엠</v>
      </c>
      <c r="G1086" s="156" t="str">
        <f>'6월'!G48</f>
        <v>상품</v>
      </c>
      <c r="H1086" s="156" t="str">
        <f>'6월'!H48</f>
        <v>MRYN3KH/A</v>
      </c>
      <c r="I1086" s="69" t="str">
        <f>'6월'!I48</f>
        <v>2024 맥북에어 15 M3 (8C CPU 10C GPU)/8GB/512GB 스페이스 그레이</v>
      </c>
      <c r="J1086" s="122">
        <f>'6월'!J48</f>
        <v>1</v>
      </c>
      <c r="K1086" s="15">
        <f>'6월'!K48</f>
        <v>1562727</v>
      </c>
      <c r="L1086" s="16">
        <f>'6월'!L48</f>
        <v>1562727</v>
      </c>
      <c r="M1086" s="16">
        <f>'6월'!M48</f>
        <v>156272.70000000001</v>
      </c>
      <c r="N1086" s="15">
        <f>'6월'!N48</f>
        <v>1718999.7</v>
      </c>
      <c r="O1086" s="5" t="str">
        <f>'6월'!O48</f>
        <v>완료(6/12)</v>
      </c>
      <c r="P1086" s="9" t="str">
        <f>'6월'!P48</f>
        <v>홍승민</v>
      </c>
      <c r="Q1086" s="5">
        <f>'6월'!Q48</f>
        <v>45838</v>
      </c>
      <c r="R1086" s="213"/>
    </row>
    <row r="1087" spans="1:19" ht="16.5" customHeight="1">
      <c r="A1087" t="s">
        <v>64</v>
      </c>
      <c r="B1087" s="10" t="str">
        <f>'6월'!B49</f>
        <v>H250612-01</v>
      </c>
      <c r="C1087" s="12"/>
      <c r="D1087" s="13">
        <f>'6월'!D49</f>
        <v>45821</v>
      </c>
      <c r="E1087" s="155" t="str">
        <f>'6월'!E49</f>
        <v>위퍼스트</v>
      </c>
      <c r="F1087" s="155" t="str">
        <f>'6월'!F49</f>
        <v>케이엠디엠</v>
      </c>
      <c r="G1087" s="156" t="str">
        <f>'6월'!G49</f>
        <v>상품</v>
      </c>
      <c r="H1087" s="156" t="str">
        <f>'6월'!H49</f>
        <v>RWR8F</v>
      </c>
      <c r="I1087" s="69" t="str">
        <f>'6월'!I49</f>
        <v>DELL 2.4TB SFF SAS 10K 12G HDD For G14,15 (USED)</v>
      </c>
      <c r="J1087" s="122">
        <f>'6월'!J49</f>
        <v>6</v>
      </c>
      <c r="K1087" s="15">
        <f>'6월'!K49</f>
        <v>240000</v>
      </c>
      <c r="L1087" s="16">
        <f>'6월'!L49</f>
        <v>1440000</v>
      </c>
      <c r="M1087" s="16">
        <f>'6월'!M49</f>
        <v>144000</v>
      </c>
      <c r="N1087" s="15">
        <f>'6월'!N49</f>
        <v>1584000</v>
      </c>
      <c r="O1087" s="5" t="str">
        <f>'6월'!O49</f>
        <v>완료(7/31)</v>
      </c>
      <c r="P1087" s="9" t="str">
        <f>'6월'!P49</f>
        <v>홍승민</v>
      </c>
      <c r="Q1087" s="5">
        <f>'6월'!Q49</f>
        <v>45838</v>
      </c>
      <c r="R1087" s="209"/>
    </row>
    <row r="1088" spans="1:19" ht="16.5" customHeight="1">
      <c r="A1088" t="s">
        <v>64</v>
      </c>
      <c r="B1088" s="10" t="str">
        <f>'6월'!B50</f>
        <v>H250613-01</v>
      </c>
      <c r="C1088" s="12"/>
      <c r="D1088" s="13">
        <f>'6월'!D50</f>
        <v>45821</v>
      </c>
      <c r="E1088" s="155" t="str">
        <f>'6월'!E50</f>
        <v>이비웨이브</v>
      </c>
      <c r="F1088" s="155" t="str">
        <f>'6월'!F50</f>
        <v>로보츠</v>
      </c>
      <c r="G1088" s="156" t="str">
        <f>'6월'!G50</f>
        <v>상품</v>
      </c>
      <c r="H1088" s="156" t="str">
        <f>'6월'!H50</f>
        <v>403781-001</v>
      </c>
      <c r="I1088" s="69" t="str">
        <f>'6월'!I50</f>
        <v xml:space="preserve">DL380G5 1000W POWER SUPPLY </v>
      </c>
      <c r="J1088" s="122">
        <f>'6월'!J50</f>
        <v>1</v>
      </c>
      <c r="K1088" s="15">
        <f>'6월'!K50</f>
        <v>70000</v>
      </c>
      <c r="L1088" s="16">
        <f>'6월'!L50</f>
        <v>70000</v>
      </c>
      <c r="M1088" s="16">
        <f>'6월'!M50</f>
        <v>7000</v>
      </c>
      <c r="N1088" s="15">
        <f>'6월'!N50</f>
        <v>77000</v>
      </c>
      <c r="O1088" s="5" t="str">
        <f>'6월'!O50</f>
        <v>완료(8/29)</v>
      </c>
      <c r="P1088" s="9" t="str">
        <f>'6월'!P50</f>
        <v>천범석</v>
      </c>
      <c r="Q1088" s="5">
        <f>'6월'!Q50</f>
        <v>45827</v>
      </c>
      <c r="R1088" s="213"/>
    </row>
    <row r="1089" spans="1:21" ht="16.5" customHeight="1">
      <c r="A1089" t="s">
        <v>64</v>
      </c>
      <c r="B1089" s="143" t="str">
        <f>'6월'!B51</f>
        <v>SB-25025</v>
      </c>
      <c r="C1089" s="144"/>
      <c r="D1089" s="13">
        <f>'6월'!D51</f>
        <v>45823</v>
      </c>
      <c r="E1089" s="161" t="str">
        <f>'6월'!E51</f>
        <v>에스엔에이</v>
      </c>
      <c r="F1089" s="155" t="str">
        <f>'6월'!F51</f>
        <v>해안종합건축사사무소</v>
      </c>
      <c r="G1089" s="156" t="str">
        <f>'6월'!G51</f>
        <v>MA</v>
      </c>
      <c r="H1089" s="156" t="str">
        <f>'6월'!H51</f>
        <v>기술지원</v>
      </c>
      <c r="I1089" s="69" t="str">
        <f>'6월'!I51</f>
        <v>HP 1630 유지보수 6월 - 1/12회</v>
      </c>
      <c r="J1089" s="122">
        <f>'6월'!J51</f>
        <v>1</v>
      </c>
      <c r="K1089" s="15">
        <f>'6월'!K51</f>
        <v>200000</v>
      </c>
      <c r="L1089" s="15">
        <f>'6월'!L51</f>
        <v>200000</v>
      </c>
      <c r="M1089" s="16">
        <f>'6월'!M51</f>
        <v>20000</v>
      </c>
      <c r="N1089" s="15">
        <f>'6월'!N51</f>
        <v>220000</v>
      </c>
      <c r="O1089" s="5" t="str">
        <f>'6월'!O51</f>
        <v>완료(8/29)</v>
      </c>
      <c r="P1089" s="9" t="str">
        <f>'6월'!P51</f>
        <v>천범석</v>
      </c>
      <c r="Q1089" s="5">
        <f>'6월'!Q51</f>
        <v>45809</v>
      </c>
      <c r="R1089" s="210"/>
      <c r="S1089" s="7"/>
      <c r="T1089" s="7"/>
      <c r="U1089" s="11"/>
    </row>
    <row r="1090" spans="1:21" ht="16.5" customHeight="1">
      <c r="A1090" t="s">
        <v>64</v>
      </c>
      <c r="B1090" s="10" t="str">
        <f>'6월'!B52</f>
        <v>Y250616-01</v>
      </c>
      <c r="C1090" s="12"/>
      <c r="D1090" s="13">
        <f>'6월'!D52</f>
        <v>45824</v>
      </c>
      <c r="E1090" s="155" t="str">
        <f>'6월'!E52</f>
        <v>컴퓨존</v>
      </c>
      <c r="F1090" s="155" t="str">
        <f>'6월'!F52</f>
        <v>라온피플</v>
      </c>
      <c r="G1090" s="156" t="str">
        <f>'6월'!G52</f>
        <v>상품</v>
      </c>
      <c r="H1090" s="156" t="str">
        <f>'6월'!H52</f>
        <v>HDD</v>
      </c>
      <c r="I1090" s="69" t="str">
        <f>'6월'!I52</f>
        <v>Red Plus WD120EFBX - 68B0EN0</v>
      </c>
      <c r="J1090" s="122">
        <f>'6월'!J52</f>
        <v>1</v>
      </c>
      <c r="K1090" s="15">
        <f>'6월'!K52</f>
        <v>445309</v>
      </c>
      <c r="L1090" s="16">
        <f>'6월'!L52</f>
        <v>445309</v>
      </c>
      <c r="M1090" s="16">
        <f>'6월'!M52</f>
        <v>44530.9</v>
      </c>
      <c r="N1090" s="15">
        <f>'6월'!N52</f>
        <v>489839.9</v>
      </c>
      <c r="O1090" s="5" t="str">
        <f>'6월'!O52</f>
        <v>완료(6/16)</v>
      </c>
      <c r="P1090" s="9" t="str">
        <f>'6월'!P52</f>
        <v>홍승민</v>
      </c>
      <c r="Q1090" s="5">
        <f>'6월'!Q52</f>
        <v>45828</v>
      </c>
      <c r="R1090" s="209"/>
    </row>
    <row r="1091" spans="1:21" ht="16.5" customHeight="1">
      <c r="A1091" t="s">
        <v>64</v>
      </c>
      <c r="B1091" s="10" t="str">
        <f>'6월'!B53</f>
        <v>D250612-01</v>
      </c>
      <c r="C1091" s="12"/>
      <c r="D1091" s="13">
        <f>'6월'!D53</f>
        <v>45824</v>
      </c>
      <c r="E1091" s="155" t="str">
        <f>'6월'!E53</f>
        <v>컴퓨존</v>
      </c>
      <c r="F1091" s="155" t="str">
        <f>'6월'!F53</f>
        <v>고영테크놀러지</v>
      </c>
      <c r="G1091" s="156" t="str">
        <f>'6월'!G53</f>
        <v>상품</v>
      </c>
      <c r="H1091" s="156" t="str">
        <f>'6월'!H53</f>
        <v>조립PC</v>
      </c>
      <c r="I1091" s="69" t="str">
        <f>'6월'!I53</f>
        <v>조립PC 부품</v>
      </c>
      <c r="J1091" s="122">
        <f>'6월'!J53</f>
        <v>1</v>
      </c>
      <c r="K1091" s="15">
        <f>'6월'!K53</f>
        <v>4194264</v>
      </c>
      <c r="L1091" s="16">
        <f>'6월'!L53</f>
        <v>4194264</v>
      </c>
      <c r="M1091" s="16">
        <f>'6월'!M53</f>
        <v>419426</v>
      </c>
      <c r="N1091" s="15">
        <f>'6월'!N53</f>
        <v>4613690</v>
      </c>
      <c r="O1091" s="5" t="str">
        <f>'6월'!O53</f>
        <v>완료(6/16)</v>
      </c>
      <c r="P1091" s="9" t="str">
        <f>'6월'!P53</f>
        <v>이지훈</v>
      </c>
      <c r="Q1091" s="5">
        <f>'6월'!Q53</f>
        <v>45853</v>
      </c>
      <c r="R1091" s="209"/>
    </row>
    <row r="1092" spans="1:21" ht="16.5" customHeight="1">
      <c r="A1092" t="s">
        <v>64</v>
      </c>
      <c r="B1092" s="10" t="str">
        <f>'6월'!B54</f>
        <v>H250618-02</v>
      </c>
      <c r="C1092" s="12"/>
      <c r="D1092" s="13">
        <f>'6월'!D54</f>
        <v>45826</v>
      </c>
      <c r="E1092" s="155" t="str">
        <f>'6월'!E54</f>
        <v>이비웨이브</v>
      </c>
      <c r="F1092" s="155" t="str">
        <f>'6월'!F54</f>
        <v>인피니테크</v>
      </c>
      <c r="G1092" s="156" t="str">
        <f>'6월'!G54</f>
        <v>상품</v>
      </c>
      <c r="H1092" s="156" t="str">
        <f>'6월'!H54</f>
        <v>00W2671</v>
      </c>
      <c r="I1092" s="69" t="str">
        <f>'6월'!I54</f>
        <v xml:space="preserve">System Board for X3650M4 </v>
      </c>
      <c r="J1092" s="122">
        <f>'6월'!J54</f>
        <v>1</v>
      </c>
      <c r="K1092" s="15">
        <f>'6월'!K54</f>
        <v>250000</v>
      </c>
      <c r="L1092" s="16">
        <f>'6월'!L54</f>
        <v>250000</v>
      </c>
      <c r="M1092" s="16">
        <f>'6월'!M54</f>
        <v>25000</v>
      </c>
      <c r="N1092" s="15">
        <f>'6월'!N54</f>
        <v>275000</v>
      </c>
      <c r="O1092" s="5" t="str">
        <f>'6월'!O54</f>
        <v>완료(8/29)</v>
      </c>
      <c r="P1092" s="9" t="str">
        <f>'6월'!P54</f>
        <v>천범석</v>
      </c>
      <c r="Q1092" s="5">
        <f>'6월'!Q54</f>
        <v>45838</v>
      </c>
      <c r="R1092" s="213"/>
    </row>
    <row r="1093" spans="1:21" ht="16.5" customHeight="1">
      <c r="A1093" t="s">
        <v>64</v>
      </c>
      <c r="B1093" s="248" t="str">
        <f>'6월'!B55</f>
        <v>H250612-02
H250612-03</v>
      </c>
      <c r="C1093" s="12"/>
      <c r="D1093" s="13">
        <f>'6월'!D55</f>
        <v>45826</v>
      </c>
      <c r="E1093" s="155" t="str">
        <f>'6월'!E55</f>
        <v>이십일세기소프트</v>
      </c>
      <c r="F1093" s="155" t="str">
        <f>'6월'!F55</f>
        <v>케이엠디엠</v>
      </c>
      <c r="G1093" s="156" t="str">
        <f>'6월'!G55</f>
        <v>상품</v>
      </c>
      <c r="H1093" s="156" t="str">
        <f>'6월'!H55</f>
        <v>OS</v>
      </c>
      <c r="I1093" s="69" t="str">
        <f>'6월'!I55</f>
        <v>Windows Server 2025 Standard COEM 외</v>
      </c>
      <c r="J1093" s="122">
        <f>'6월'!J55</f>
        <v>1</v>
      </c>
      <c r="K1093" s="15">
        <f>'6월'!K55</f>
        <v>2950000</v>
      </c>
      <c r="L1093" s="16">
        <f>'6월'!L55</f>
        <v>2950000</v>
      </c>
      <c r="M1093" s="16">
        <f>'6월'!M55</f>
        <v>295000</v>
      </c>
      <c r="N1093" s="15">
        <f>'6월'!N55</f>
        <v>3245000</v>
      </c>
      <c r="O1093" s="5" t="str">
        <f>'6월'!O55</f>
        <v>완료(8/5)</v>
      </c>
      <c r="P1093" s="9" t="str">
        <f>'6월'!P55</f>
        <v>천범석</v>
      </c>
      <c r="Q1093" s="5">
        <f>'6월'!Q55</f>
        <v>45838</v>
      </c>
      <c r="R1093" s="213"/>
    </row>
    <row r="1094" spans="1:21" ht="16.5" customHeight="1">
      <c r="A1094" t="s">
        <v>64</v>
      </c>
      <c r="B1094" s="10" t="str">
        <f>'6월'!B56</f>
        <v>D250612-01</v>
      </c>
      <c r="C1094" s="12"/>
      <c r="D1094" s="13">
        <f>'6월'!D56</f>
        <v>45827</v>
      </c>
      <c r="E1094" s="155" t="str">
        <f>'6월'!E56</f>
        <v>컴퓨존</v>
      </c>
      <c r="F1094" s="155" t="str">
        <f>'6월'!F56</f>
        <v>고영테크놀러지</v>
      </c>
      <c r="G1094" s="156" t="str">
        <f>'6월'!G56</f>
        <v>상품</v>
      </c>
      <c r="H1094" s="156" t="str">
        <f>'6월'!H56</f>
        <v>조립PC</v>
      </c>
      <c r="I1094" s="69" t="str">
        <f>'6월'!I56</f>
        <v>조립PC 케이스</v>
      </c>
      <c r="J1094" s="122">
        <f>'6월'!J56</f>
        <v>1</v>
      </c>
      <c r="K1094" s="15">
        <f>'6월'!K56</f>
        <v>113181.81818181818</v>
      </c>
      <c r="L1094" s="16">
        <f>'6월'!L56</f>
        <v>113181.81818181818</v>
      </c>
      <c r="M1094" s="16">
        <f>'6월'!M56</f>
        <v>11318.181818181818</v>
      </c>
      <c r="N1094" s="15">
        <f>'6월'!N56</f>
        <v>124500</v>
      </c>
      <c r="O1094" s="5" t="str">
        <f>'6월'!O56</f>
        <v>완료(6/19)</v>
      </c>
      <c r="P1094" s="9" t="str">
        <f>'6월'!P56</f>
        <v>이지훈</v>
      </c>
      <c r="Q1094" s="5">
        <f>'6월'!Q56</f>
        <v>45853</v>
      </c>
      <c r="R1094" s="209"/>
    </row>
    <row r="1095" spans="1:21" ht="16.5" customHeight="1">
      <c r="A1095" t="s">
        <v>64</v>
      </c>
      <c r="B1095" s="10" t="str">
        <f>'6월'!B57</f>
        <v>Y250618-01</v>
      </c>
      <c r="C1095" s="12"/>
      <c r="D1095" s="13">
        <f>'6월'!D57</f>
        <v>45827</v>
      </c>
      <c r="E1095" s="155" t="str">
        <f>'6월'!E57</f>
        <v>이비웨이브</v>
      </c>
      <c r="F1095" s="155" t="str">
        <f>'6월'!F57</f>
        <v>에어코드</v>
      </c>
      <c r="G1095" s="156" t="str">
        <f>'6월'!G57</f>
        <v>상품</v>
      </c>
      <c r="H1095" s="156" t="str">
        <f>'6월'!H57</f>
        <v>Board</v>
      </c>
      <c r="I1095" s="69" t="str">
        <f>'6월'!I57</f>
        <v>X3550M4 System Board</v>
      </c>
      <c r="J1095" s="122">
        <f>'6월'!J57</f>
        <v>1</v>
      </c>
      <c r="K1095" s="15">
        <f>'6월'!K57</f>
        <v>220000</v>
      </c>
      <c r="L1095" s="16">
        <f>'6월'!L57</f>
        <v>220000</v>
      </c>
      <c r="M1095" s="16">
        <f>'6월'!M57</f>
        <v>22000</v>
      </c>
      <c r="N1095" s="15">
        <f>'6월'!N57</f>
        <v>242000</v>
      </c>
      <c r="O1095" s="5" t="str">
        <f>'6월'!O57</f>
        <v>완료(8/29)</v>
      </c>
      <c r="P1095" s="9" t="str">
        <f>'6월'!P57</f>
        <v>홍승민</v>
      </c>
      <c r="Q1095" s="5">
        <f>'6월'!Q57</f>
        <v>45835</v>
      </c>
      <c r="R1095" s="213"/>
    </row>
    <row r="1096" spans="1:21" ht="16.5" customHeight="1">
      <c r="A1096" t="s">
        <v>64</v>
      </c>
      <c r="B1096" s="10" t="str">
        <f>'6월'!B58</f>
        <v>H250619-01</v>
      </c>
      <c r="C1096" s="12"/>
      <c r="D1096" s="13">
        <f>'6월'!D58</f>
        <v>45828</v>
      </c>
      <c r="E1096" s="155" t="str">
        <f>'6월'!E58</f>
        <v>이비웨이브</v>
      </c>
      <c r="F1096" s="155" t="str">
        <f>'6월'!F58</f>
        <v>엠씨앤파트너</v>
      </c>
      <c r="G1096" s="156" t="str">
        <f>'6월'!G58</f>
        <v>상품</v>
      </c>
      <c r="H1096" s="156" t="str">
        <f>'6월'!H58</f>
        <v>00E0806</v>
      </c>
      <c r="I1096" s="69" t="str">
        <f>'6월'!I58</f>
        <v>8Gb 2Port PCI-E 4X Fiber Channel Adapter(Emulex)</v>
      </c>
      <c r="J1096" s="122">
        <f>'6월'!J58</f>
        <v>1</v>
      </c>
      <c r="K1096" s="15">
        <f>'6월'!K58</f>
        <v>60000</v>
      </c>
      <c r="L1096" s="16">
        <f>'6월'!L58</f>
        <v>60000</v>
      </c>
      <c r="M1096" s="16">
        <f>'6월'!M58</f>
        <v>6000</v>
      </c>
      <c r="N1096" s="15">
        <f>'6월'!N58</f>
        <v>66000</v>
      </c>
      <c r="O1096" s="5" t="str">
        <f>'6월'!O58</f>
        <v>완료(8/29)</v>
      </c>
      <c r="P1096" s="9" t="str">
        <f>'6월'!P58</f>
        <v>천범석</v>
      </c>
      <c r="Q1096" s="5">
        <f>'6월'!Q58</f>
        <v>45838</v>
      </c>
      <c r="R1096" s="213"/>
    </row>
    <row r="1097" spans="1:21" ht="16.5" customHeight="1">
      <c r="A1097" t="s">
        <v>64</v>
      </c>
      <c r="B1097" s="10" t="str">
        <f>'6월'!B59</f>
        <v>Y250620-01</v>
      </c>
      <c r="C1097" s="12"/>
      <c r="D1097" s="13">
        <f>'6월'!D59</f>
        <v>45828</v>
      </c>
      <c r="E1097" s="155" t="str">
        <f>'6월'!E59</f>
        <v>컴퓨존</v>
      </c>
      <c r="F1097" s="155" t="str">
        <f>'6월'!F59</f>
        <v>불교텔레비전</v>
      </c>
      <c r="G1097" s="156" t="str">
        <f>'6월'!G59</f>
        <v>상품</v>
      </c>
      <c r="H1097" s="156" t="str">
        <f>'6월'!H59</f>
        <v>조립PC</v>
      </c>
      <c r="I1097" s="69" t="str">
        <f>'6월'!I59</f>
        <v>조립PC</v>
      </c>
      <c r="J1097" s="122">
        <f>'6월'!J59</f>
        <v>1</v>
      </c>
      <c r="K1097" s="15">
        <f>'6월'!K59</f>
        <v>426282</v>
      </c>
      <c r="L1097" s="16">
        <f>'6월'!L59</f>
        <v>426282</v>
      </c>
      <c r="M1097" s="16">
        <f>'6월'!M59</f>
        <v>42628</v>
      </c>
      <c r="N1097" s="15">
        <f>'6월'!N59</f>
        <v>468910</v>
      </c>
      <c r="O1097" s="5" t="str">
        <f>'6월'!O59</f>
        <v>완료(6/20)</v>
      </c>
      <c r="P1097" s="9" t="str">
        <f>'6월'!P59</f>
        <v>홍승민</v>
      </c>
      <c r="Q1097" s="5">
        <f>'6월'!Q59</f>
        <v>45828</v>
      </c>
      <c r="R1097" s="209"/>
    </row>
    <row r="1098" spans="1:21" ht="16.5" customHeight="1">
      <c r="A1098" t="s">
        <v>64</v>
      </c>
      <c r="B1098" s="143" t="str">
        <f>'6월'!B60</f>
        <v>SM-23023</v>
      </c>
      <c r="C1098" s="144"/>
      <c r="D1098" s="13">
        <f>'6월'!D60</f>
        <v>45828</v>
      </c>
      <c r="E1098" s="155" t="str">
        <f>'6월'!E60</f>
        <v>이올테크</v>
      </c>
      <c r="F1098" s="155" t="str">
        <f>'6월'!F60</f>
        <v>중앙유통단지관리운영회</v>
      </c>
      <c r="G1098" s="157" t="str">
        <f>'6월'!G60</f>
        <v>MA</v>
      </c>
      <c r="H1098" s="157" t="str">
        <f>'6월'!H60</f>
        <v>월간</v>
      </c>
      <c r="I1098" s="159" t="str">
        <f>'6월'!I60</f>
        <v>6월 유지정비료 - 21/36회</v>
      </c>
      <c r="J1098" s="127">
        <f>'6월'!J60</f>
        <v>1</v>
      </c>
      <c r="K1098" s="15">
        <f>'6월'!K60</f>
        <v>370000</v>
      </c>
      <c r="L1098" s="16">
        <f>'6월'!L60</f>
        <v>370000</v>
      </c>
      <c r="M1098" s="16">
        <f>'6월'!M60</f>
        <v>37000</v>
      </c>
      <c r="N1098" s="15">
        <f>'6월'!N60</f>
        <v>407000</v>
      </c>
      <c r="O1098" s="5" t="str">
        <f>'6월'!O60</f>
        <v>완료(6/30)</v>
      </c>
      <c r="P1098" s="177" t="str">
        <f>'6월'!P60</f>
        <v>천범석</v>
      </c>
      <c r="Q1098" s="5">
        <f>'6월'!Q60</f>
        <v>45828</v>
      </c>
      <c r="R1098" s="211"/>
      <c r="S1098" s="7"/>
      <c r="T1098" s="11"/>
    </row>
    <row r="1099" spans="1:21" ht="16.5" customHeight="1">
      <c r="A1099" t="s">
        <v>64</v>
      </c>
      <c r="B1099" s="10" t="str">
        <f>'6월'!B61</f>
        <v>H250612</v>
      </c>
      <c r="C1099" s="12"/>
      <c r="D1099" s="13">
        <f>'6월'!D61</f>
        <v>45828</v>
      </c>
      <c r="E1099" s="155" t="str">
        <f>'6월'!E61</f>
        <v>이올테크</v>
      </c>
      <c r="F1099" s="155" t="str">
        <f>'6월'!F61</f>
        <v>중앙유통단지관리운영회</v>
      </c>
      <c r="G1099" s="157" t="str">
        <f>'6월'!G61</f>
        <v>상품</v>
      </c>
      <c r="H1099" s="157" t="str">
        <f>'6월'!H61</f>
        <v>기술지원</v>
      </c>
      <c r="I1099" s="159" t="str">
        <f>'6월'!I61</f>
        <v>기술지원료</v>
      </c>
      <c r="J1099" s="127">
        <f>'6월'!J61</f>
        <v>1</v>
      </c>
      <c r="K1099" s="15">
        <f>'6월'!K61</f>
        <v>600000</v>
      </c>
      <c r="L1099" s="16">
        <f>'6월'!L61</f>
        <v>600000</v>
      </c>
      <c r="M1099" s="16">
        <f>'6월'!M61</f>
        <v>60000</v>
      </c>
      <c r="N1099" s="15">
        <f>'6월'!N61</f>
        <v>660000</v>
      </c>
      <c r="O1099" s="5" t="str">
        <f>'6월'!O61</f>
        <v>완료(6/30)</v>
      </c>
      <c r="P1099" s="177" t="str">
        <f>'6월'!P61</f>
        <v>천범석</v>
      </c>
      <c r="Q1099" s="5">
        <f>'6월'!Q61</f>
        <v>45828</v>
      </c>
      <c r="R1099" s="211"/>
      <c r="S1099" s="7"/>
      <c r="T1099" s="11"/>
    </row>
    <row r="1100" spans="1:21" ht="16.5" customHeight="1">
      <c r="A1100" t="s">
        <v>64</v>
      </c>
      <c r="B1100" s="10" t="str">
        <f>'6월'!B62</f>
        <v>H250620-01</v>
      </c>
      <c r="C1100" s="12"/>
      <c r="D1100" s="13">
        <f>'6월'!D62</f>
        <v>45828</v>
      </c>
      <c r="E1100" s="155" t="str">
        <f>'6월'!E62</f>
        <v>서버메이트디지털</v>
      </c>
      <c r="F1100" s="155" t="str">
        <f>'6월'!F62</f>
        <v>CGV 센텀시티</v>
      </c>
      <c r="G1100" s="157" t="str">
        <f>'6월'!G62</f>
        <v>상품</v>
      </c>
      <c r="H1100" s="156" t="str">
        <f>'6월'!H62</f>
        <v>기술지원</v>
      </c>
      <c r="I1100" s="69" t="str">
        <f>'6월'!I62</f>
        <v>기술지원료</v>
      </c>
      <c r="J1100" s="122">
        <f>'6월'!J62</f>
        <v>1</v>
      </c>
      <c r="K1100" s="15">
        <f>'6월'!K62</f>
        <v>300000</v>
      </c>
      <c r="L1100" s="16">
        <f>'6월'!L62</f>
        <v>300000</v>
      </c>
      <c r="M1100" s="16">
        <f>'6월'!M62</f>
        <v>30000</v>
      </c>
      <c r="N1100" s="15">
        <f>'6월'!N62</f>
        <v>330000</v>
      </c>
      <c r="O1100" s="5" t="str">
        <f>'6월'!O62</f>
        <v>완료(7/31)</v>
      </c>
      <c r="P1100" s="9" t="str">
        <f>'6월'!P62</f>
        <v>천범석</v>
      </c>
      <c r="Q1100" s="5">
        <f>'6월'!Q62</f>
        <v>45833</v>
      </c>
      <c r="R1100" s="209"/>
    </row>
    <row r="1101" spans="1:21" ht="24.75" customHeight="1">
      <c r="A1101" t="s">
        <v>64</v>
      </c>
      <c r="B1101" s="248" t="str">
        <f>'6월'!B63</f>
        <v>H250625-01
H250625-02</v>
      </c>
      <c r="C1101" s="12"/>
      <c r="D1101" s="13">
        <f>'6월'!D63</f>
        <v>45831</v>
      </c>
      <c r="E1101" s="155" t="str">
        <f>'6월'!E63</f>
        <v>컴퓨존</v>
      </c>
      <c r="F1101" s="155" t="str">
        <f>'6월'!F63</f>
        <v>유니포인트</v>
      </c>
      <c r="G1101" s="156" t="str">
        <f>'6월'!G63</f>
        <v>상품</v>
      </c>
      <c r="H1101" s="156" t="str">
        <f>'6월'!H63</f>
        <v>케이블</v>
      </c>
      <c r="I1101" s="69" t="str">
        <f>'6월'!I63</f>
        <v>CAT.6 UTP LAN CABLE 5M 그레이 외</v>
      </c>
      <c r="J1101" s="122">
        <f>'6월'!J63</f>
        <v>1</v>
      </c>
      <c r="K1101" s="15">
        <f>'6월'!K63</f>
        <v>17982</v>
      </c>
      <c r="L1101" s="16">
        <f>'6월'!L63</f>
        <v>17982</v>
      </c>
      <c r="M1101" s="16">
        <f>'6월'!M63</f>
        <v>1798</v>
      </c>
      <c r="N1101" s="15">
        <f>'6월'!N63</f>
        <v>19780</v>
      </c>
      <c r="O1101" s="5" t="str">
        <f>'6월'!O63</f>
        <v>완료(6/23)</v>
      </c>
      <c r="P1101" s="9" t="str">
        <f>'6월'!P63</f>
        <v>천범석</v>
      </c>
      <c r="Q1101" s="5">
        <f>'6월'!Q63</f>
        <v>45838</v>
      </c>
      <c r="R1101" s="209"/>
    </row>
    <row r="1102" spans="1:21" ht="16.5" customHeight="1">
      <c r="A1102" t="s">
        <v>64</v>
      </c>
      <c r="B1102" s="10" t="str">
        <f>'6월'!B64</f>
        <v>H250623-01</v>
      </c>
      <c r="C1102" s="12"/>
      <c r="D1102" s="13">
        <f>'6월'!D64</f>
        <v>45831</v>
      </c>
      <c r="E1102" s="155" t="str">
        <f>'6월'!E64</f>
        <v>이비웨이브</v>
      </c>
      <c r="F1102" s="155" t="str">
        <f>'6월'!F64</f>
        <v>디에이치라이팅 2공장</v>
      </c>
      <c r="G1102" s="156" t="str">
        <f>'6월'!G64</f>
        <v>상품</v>
      </c>
      <c r="H1102" s="156" t="str">
        <f>'6월'!H64</f>
        <v>HDD</v>
      </c>
      <c r="I1102" s="69" t="str">
        <f>'6월'!I64</f>
        <v>SATA 1TB 6GB 7.2K 3.5인치 for R530</v>
      </c>
      <c r="J1102" s="122">
        <f>'6월'!J64</f>
        <v>1</v>
      </c>
      <c r="K1102" s="15">
        <f>'6월'!K64</f>
        <v>150000</v>
      </c>
      <c r="L1102" s="16">
        <f>'6월'!L64</f>
        <v>690000</v>
      </c>
      <c r="M1102" s="16">
        <f>'6월'!M64</f>
        <v>69000</v>
      </c>
      <c r="N1102" s="15">
        <f>'6월'!N64</f>
        <v>759000</v>
      </c>
      <c r="O1102" s="5" t="str">
        <f>'6월'!O64</f>
        <v>완료(8/29)</v>
      </c>
      <c r="P1102" s="9" t="str">
        <f>'6월'!P64</f>
        <v>천범석</v>
      </c>
      <c r="Q1102" s="5">
        <f>'6월'!Q64</f>
        <v>45838</v>
      </c>
      <c r="R1102" s="213"/>
    </row>
    <row r="1103" spans="1:21" ht="16.5" customHeight="1">
      <c r="A1103" t="s">
        <v>64</v>
      </c>
      <c r="B1103" s="147" t="str">
        <f>'6월'!B65</f>
        <v>H250623-02</v>
      </c>
      <c r="C1103" s="145"/>
      <c r="D1103" s="65"/>
      <c r="E1103" s="160" t="str">
        <f>'6월'!E65</f>
        <v>이비웨이브</v>
      </c>
      <c r="F1103" s="160" t="str">
        <f>'6월'!F65</f>
        <v>디에이치라이팅 2공장</v>
      </c>
      <c r="G1103" s="156" t="str">
        <f>'6월'!G65</f>
        <v>상품</v>
      </c>
      <c r="H1103" s="156" t="str">
        <f>'6월'!H65</f>
        <v>42D0678</v>
      </c>
      <c r="I1103" s="69" t="str">
        <f>'6월'!I65</f>
        <v>IBM 146GB 6Gb/s SAS</v>
      </c>
      <c r="J1103" s="122">
        <f>'6월'!J65</f>
        <v>1</v>
      </c>
      <c r="K1103" s="15">
        <f>'6월'!K65</f>
        <v>100000</v>
      </c>
      <c r="L1103" s="125"/>
      <c r="M1103" s="125"/>
      <c r="N1103" s="126"/>
      <c r="O1103" s="99"/>
      <c r="P1103" s="176"/>
      <c r="Q1103" s="99"/>
      <c r="R1103" s="213"/>
    </row>
    <row r="1104" spans="1:21" ht="16.5" customHeight="1">
      <c r="A1104" t="s">
        <v>64</v>
      </c>
      <c r="B1104" s="147" t="str">
        <f>'6월'!B66</f>
        <v>H250623-03</v>
      </c>
      <c r="C1104" s="145"/>
      <c r="D1104" s="65"/>
      <c r="E1104" s="160" t="str">
        <f>'6월'!E66</f>
        <v>이비웨이브</v>
      </c>
      <c r="F1104" s="160" t="str">
        <f>'6월'!F66</f>
        <v>디에이치라이팅 2공장</v>
      </c>
      <c r="G1104" s="156" t="str">
        <f>'6월'!G66</f>
        <v>상품</v>
      </c>
      <c r="H1104" s="156" t="str">
        <f>'6월'!H66</f>
        <v>90Y8573</v>
      </c>
      <c r="I1104" s="69" t="str">
        <f>'6월'!I66</f>
        <v>IBM 2TB 6Gb/s SAS</v>
      </c>
      <c r="J1104" s="122">
        <f>'6월'!J66</f>
        <v>1</v>
      </c>
      <c r="K1104" s="15">
        <f>'6월'!K66</f>
        <v>200000</v>
      </c>
      <c r="L1104" s="125"/>
      <c r="M1104" s="125"/>
      <c r="N1104" s="126"/>
      <c r="O1104" s="99"/>
      <c r="P1104" s="176"/>
      <c r="Q1104" s="99"/>
      <c r="R1104" s="213"/>
    </row>
    <row r="1105" spans="1:20" ht="16.5" customHeight="1">
      <c r="A1105" t="s">
        <v>64</v>
      </c>
      <c r="B1105" s="147" t="str">
        <f>'6월'!B67</f>
        <v>H250623-04</v>
      </c>
      <c r="C1105" s="145"/>
      <c r="D1105" s="65"/>
      <c r="E1105" s="160" t="str">
        <f>'6월'!E67</f>
        <v>이비웨이브</v>
      </c>
      <c r="F1105" s="160" t="str">
        <f>'6월'!F67</f>
        <v>디에이치라이팅 2공장</v>
      </c>
      <c r="G1105" s="156" t="str">
        <f>'6월'!G67</f>
        <v>상품</v>
      </c>
      <c r="H1105" s="156" t="str">
        <f>'6월'!H67</f>
        <v>81Y9691</v>
      </c>
      <c r="I1105" s="69" t="str">
        <f>'6월'!I67</f>
        <v>IBM 1TB 6Gb/s SAS</v>
      </c>
      <c r="J1105" s="122">
        <f>'6월'!J67</f>
        <v>1</v>
      </c>
      <c r="K1105" s="15">
        <f>'6월'!K67</f>
        <v>120000</v>
      </c>
      <c r="L1105" s="125"/>
      <c r="M1105" s="125"/>
      <c r="N1105" s="126"/>
      <c r="O1105" s="99"/>
      <c r="P1105" s="176"/>
      <c r="Q1105" s="99"/>
      <c r="R1105" s="213"/>
    </row>
    <row r="1106" spans="1:20" ht="16.5" customHeight="1">
      <c r="A1106" t="s">
        <v>64</v>
      </c>
      <c r="B1106" s="147" t="str">
        <f>'6월'!B68</f>
        <v>H250623-05</v>
      </c>
      <c r="C1106" s="145"/>
      <c r="D1106" s="65"/>
      <c r="E1106" s="160" t="str">
        <f>'6월'!E68</f>
        <v>이비웨이브</v>
      </c>
      <c r="F1106" s="160" t="str">
        <f>'6월'!F68</f>
        <v>디에이치라이팅 2공장</v>
      </c>
      <c r="G1106" s="156" t="str">
        <f>'6월'!G68</f>
        <v>상품</v>
      </c>
      <c r="H1106" s="156" t="str">
        <f>'6월'!H68</f>
        <v>42D0708</v>
      </c>
      <c r="I1106" s="69" t="str">
        <f>'6월'!I68</f>
        <v>IBM 500GB 6Gb/s SAS</v>
      </c>
      <c r="J1106" s="122">
        <f>'6월'!J68</f>
        <v>1</v>
      </c>
      <c r="K1106" s="15">
        <f>'6월'!K68</f>
        <v>120000</v>
      </c>
      <c r="L1106" s="125"/>
      <c r="M1106" s="125"/>
      <c r="N1106" s="126"/>
      <c r="O1106" s="99"/>
      <c r="P1106" s="176"/>
      <c r="Q1106" s="99"/>
      <c r="R1106" s="213"/>
    </row>
    <row r="1107" spans="1:20" ht="16.5" customHeight="1">
      <c r="A1107" t="s">
        <v>64</v>
      </c>
      <c r="B1107" s="10" t="str">
        <f>'6월'!B69</f>
        <v>H250625-03</v>
      </c>
      <c r="C1107" s="12"/>
      <c r="D1107" s="13">
        <f>'6월'!D69</f>
        <v>45832</v>
      </c>
      <c r="E1107" s="155" t="str">
        <f>'6월'!E69</f>
        <v>컴퓨존</v>
      </c>
      <c r="F1107" s="155" t="str">
        <f>'6월'!F69</f>
        <v>유니포인트</v>
      </c>
      <c r="G1107" s="156" t="str">
        <f>'6월'!G69</f>
        <v>상품</v>
      </c>
      <c r="H1107" s="156" t="str">
        <f>'6월'!H69</f>
        <v>케이블</v>
      </c>
      <c r="I1107" s="69" t="str">
        <f>'6월'!I69</f>
        <v>LC-LC / OM1 / 1G / 15M</v>
      </c>
      <c r="J1107" s="122">
        <f>'6월'!J69</f>
        <v>8</v>
      </c>
      <c r="K1107" s="15">
        <f>'6월'!K69</f>
        <v>10372.75</v>
      </c>
      <c r="L1107" s="16">
        <f>'6월'!L69</f>
        <v>82982</v>
      </c>
      <c r="M1107" s="16">
        <f>'6월'!M69</f>
        <v>8298</v>
      </c>
      <c r="N1107" s="15">
        <f>'6월'!N69</f>
        <v>91280</v>
      </c>
      <c r="O1107" s="5" t="str">
        <f>'6월'!O69</f>
        <v>완료(6/24)</v>
      </c>
      <c r="P1107" s="9" t="str">
        <f>'6월'!P69</f>
        <v>천범석</v>
      </c>
      <c r="Q1107" s="5">
        <f>'6월'!Q69</f>
        <v>45838</v>
      </c>
      <c r="R1107" s="209"/>
    </row>
    <row r="1108" spans="1:20" ht="16.5" customHeight="1">
      <c r="A1108" t="s">
        <v>64</v>
      </c>
      <c r="B1108" s="10" t="str">
        <f>'6월'!B70</f>
        <v>H250625-04</v>
      </c>
      <c r="C1108" s="12"/>
      <c r="D1108" s="13">
        <f>'6월'!D70</f>
        <v>45833</v>
      </c>
      <c r="E1108" s="155" t="str">
        <f>'6월'!E70</f>
        <v>이비웨이브</v>
      </c>
      <c r="F1108" s="155" t="str">
        <f>'6월'!F70</f>
        <v>우리에스아이티</v>
      </c>
      <c r="G1108" s="156" t="str">
        <f>'6월'!G70</f>
        <v>상품</v>
      </c>
      <c r="H1108" s="156" t="str">
        <f>'6월'!H70</f>
        <v>00YK012</v>
      </c>
      <c r="I1108" s="69" t="str">
        <f>'6월'!I70</f>
        <v>900GB 15K 12G SAS 2.5inch Hard Drive</v>
      </c>
      <c r="J1108" s="122">
        <f>'6월'!J70</f>
        <v>1</v>
      </c>
      <c r="K1108" s="15">
        <f>'6월'!K70</f>
        <v>400000</v>
      </c>
      <c r="L1108" s="16">
        <f>'6월'!L70</f>
        <v>400000</v>
      </c>
      <c r="M1108" s="16">
        <f>'6월'!M70</f>
        <v>40000</v>
      </c>
      <c r="N1108" s="15">
        <f>'6월'!N70</f>
        <v>440000</v>
      </c>
      <c r="O1108" s="5" t="str">
        <f>'6월'!O70</f>
        <v>완료(8/29)</v>
      </c>
      <c r="P1108" s="9" t="str">
        <f>'6월'!P70</f>
        <v>천범석</v>
      </c>
      <c r="Q1108" s="5">
        <f>'6월'!Q70</f>
        <v>45838</v>
      </c>
      <c r="R1108" s="213"/>
    </row>
    <row r="1109" spans="1:20" ht="16.5" customHeight="1">
      <c r="A1109" t="s">
        <v>64</v>
      </c>
      <c r="B1109" s="10" t="str">
        <f>'6월'!B71</f>
        <v>X</v>
      </c>
      <c r="C1109" s="12"/>
      <c r="D1109" s="13">
        <f>'6월'!D71</f>
        <v>45833</v>
      </c>
      <c r="E1109" s="155" t="str">
        <f>'6월'!E71</f>
        <v>롯데렌탈</v>
      </c>
      <c r="F1109" s="155"/>
      <c r="G1109" s="156" t="str">
        <f>'6월'!G71</f>
        <v>일반경비</v>
      </c>
      <c r="H1109" s="157" t="str">
        <f>'6월'!H71</f>
        <v>차량유지비</v>
      </c>
      <c r="I1109" s="69" t="str">
        <f>'6월'!I71</f>
        <v>6월 차량렌트(그랜저 8552)-39/49회</v>
      </c>
      <c r="J1109" s="122">
        <f>'6월'!J71</f>
        <v>1</v>
      </c>
      <c r="K1109" s="15">
        <f>'6월'!K71</f>
        <v>342614</v>
      </c>
      <c r="L1109" s="16">
        <f>'6월'!L71</f>
        <v>342614</v>
      </c>
      <c r="M1109" s="187">
        <f>'6월'!M71</f>
        <v>34261</v>
      </c>
      <c r="N1109" s="15">
        <f>'6월'!N71</f>
        <v>376875</v>
      </c>
      <c r="O1109" s="5" t="str">
        <f>'6월'!O71</f>
        <v>자동이체(6/25)</v>
      </c>
      <c r="P1109" s="177" t="str">
        <f>'6월'!P71</f>
        <v>정지우</v>
      </c>
      <c r="Q1109" s="5" t="str">
        <f>'6월'!Q71</f>
        <v>X</v>
      </c>
      <c r="R1109" s="209" t="str">
        <f>'6월'!R71</f>
        <v>부가세불공</v>
      </c>
      <c r="S1109" s="101"/>
      <c r="T1109" s="11"/>
    </row>
    <row r="1110" spans="1:20" ht="16.5" customHeight="1">
      <c r="A1110" t="s">
        <v>64</v>
      </c>
      <c r="B1110" s="10" t="str">
        <f>'6월'!B72</f>
        <v>X</v>
      </c>
      <c r="C1110" s="12"/>
      <c r="D1110" s="13">
        <f>'6월'!D72</f>
        <v>45833</v>
      </c>
      <c r="E1110" s="155" t="str">
        <f>'6월'!E72</f>
        <v>롯데렌탈</v>
      </c>
      <c r="F1110" s="155"/>
      <c r="G1110" s="156" t="str">
        <f>'6월'!G72</f>
        <v>일반경비</v>
      </c>
      <c r="H1110" s="157" t="str">
        <f>'6월'!H72</f>
        <v>차량유지비</v>
      </c>
      <c r="I1110" s="69" t="str">
        <f>'6월'!I72</f>
        <v>6월 선급금(그랜저 8552)-39/49회</v>
      </c>
      <c r="J1110" s="122">
        <f>'6월'!J72</f>
        <v>1</v>
      </c>
      <c r="K1110" s="15">
        <f>'6월'!K72</f>
        <v>234659</v>
      </c>
      <c r="L1110" s="16">
        <f>'6월'!L72</f>
        <v>234659</v>
      </c>
      <c r="M1110" s="187">
        <f>'6월'!M72</f>
        <v>23466</v>
      </c>
      <c r="N1110" s="15">
        <f>'6월'!N72</f>
        <v>258125</v>
      </c>
      <c r="O1110" s="5" t="str">
        <f>'6월'!O72</f>
        <v>선납(22/4/5)</v>
      </c>
      <c r="P1110" s="177" t="str">
        <f>'6월'!P72</f>
        <v>정지우</v>
      </c>
      <c r="Q1110" s="5" t="str">
        <f>'6월'!Q72</f>
        <v>X</v>
      </c>
      <c r="R1110" s="209" t="str">
        <f>'6월'!R72</f>
        <v>부가세불공</v>
      </c>
      <c r="S1110" s="101"/>
      <c r="T1110" s="11"/>
    </row>
    <row r="1111" spans="1:20" ht="16.5" customHeight="1">
      <c r="A1111" t="s">
        <v>64</v>
      </c>
      <c r="B1111" s="10" t="str">
        <f>'6월'!B73</f>
        <v>X</v>
      </c>
      <c r="C1111" s="12"/>
      <c r="D1111" s="13">
        <f>'6월'!D73</f>
        <v>45833</v>
      </c>
      <c r="E1111" s="155" t="str">
        <f>'6월'!E73</f>
        <v>롯데렌탈</v>
      </c>
      <c r="F1111" s="155"/>
      <c r="G1111" s="156" t="str">
        <f>'6월'!G73</f>
        <v>일반경비</v>
      </c>
      <c r="H1111" s="157" t="str">
        <f>'6월'!H73</f>
        <v>차량유지비</v>
      </c>
      <c r="I1111" s="69" t="str">
        <f>'6월'!I73</f>
        <v>6월 차량렌트(G80 3061)-39/49회</v>
      </c>
      <c r="J1111" s="122">
        <f>'6월'!J73</f>
        <v>1</v>
      </c>
      <c r="K1111" s="15">
        <f>'6월'!K73</f>
        <v>488069</v>
      </c>
      <c r="L1111" s="16">
        <f>'6월'!L73</f>
        <v>488069</v>
      </c>
      <c r="M1111" s="187">
        <f>'6월'!M73</f>
        <v>48806</v>
      </c>
      <c r="N1111" s="15">
        <f>'6월'!N73</f>
        <v>536875</v>
      </c>
      <c r="O1111" s="5" t="str">
        <f>'6월'!O73</f>
        <v>자동이체(6/25)</v>
      </c>
      <c r="P1111" s="177" t="str">
        <f>'6월'!P73</f>
        <v>정지우</v>
      </c>
      <c r="Q1111" s="5" t="str">
        <f>'6월'!Q73</f>
        <v>X</v>
      </c>
      <c r="R1111" s="209" t="str">
        <f>'6월'!R73</f>
        <v>부가세불공</v>
      </c>
      <c r="S1111" s="101"/>
      <c r="T1111" s="11"/>
    </row>
    <row r="1112" spans="1:20" ht="16.5" customHeight="1">
      <c r="A1112" t="s">
        <v>64</v>
      </c>
      <c r="B1112" s="10" t="str">
        <f>'6월'!B74</f>
        <v>X</v>
      </c>
      <c r="C1112" s="12"/>
      <c r="D1112" s="13">
        <f>'6월'!D74</f>
        <v>45833</v>
      </c>
      <c r="E1112" s="155" t="str">
        <f>'6월'!E74</f>
        <v>롯데렌탈</v>
      </c>
      <c r="F1112" s="155"/>
      <c r="G1112" s="156" t="str">
        <f>'6월'!G74</f>
        <v>일반경비</v>
      </c>
      <c r="H1112" s="157" t="str">
        <f>'6월'!H74</f>
        <v>차량유지비</v>
      </c>
      <c r="I1112" s="69" t="str">
        <f>'6월'!I74</f>
        <v>6월 선급금(G80 3061)-39/49회</v>
      </c>
      <c r="J1112" s="122">
        <f>'6월'!J74</f>
        <v>1</v>
      </c>
      <c r="K1112" s="15">
        <f>'6월'!K74</f>
        <v>307386</v>
      </c>
      <c r="L1112" s="16">
        <f>'6월'!L74</f>
        <v>307386</v>
      </c>
      <c r="M1112" s="187">
        <f>'6월'!M74</f>
        <v>30739</v>
      </c>
      <c r="N1112" s="15">
        <f>'6월'!N74</f>
        <v>338125</v>
      </c>
      <c r="O1112" s="5" t="str">
        <f>'6월'!O74</f>
        <v>선납(22/4/5)</v>
      </c>
      <c r="P1112" s="177" t="str">
        <f>'6월'!P74</f>
        <v>정지우</v>
      </c>
      <c r="Q1112" s="5" t="str">
        <f>'6월'!Q74</f>
        <v>X</v>
      </c>
      <c r="R1112" s="209" t="str">
        <f>'6월'!R74</f>
        <v>부가세불공</v>
      </c>
      <c r="S1112" s="101"/>
      <c r="T1112" s="11"/>
    </row>
    <row r="1113" spans="1:20" ht="16.5" customHeight="1">
      <c r="A1113" t="s">
        <v>64</v>
      </c>
      <c r="B1113" s="10" t="str">
        <f>'6월'!B75</f>
        <v>X</v>
      </c>
      <c r="C1113" s="12"/>
      <c r="D1113" s="13">
        <f>'6월'!D75</f>
        <v>45833</v>
      </c>
      <c r="E1113" s="155" t="str">
        <f>'6월'!E75</f>
        <v>케이카</v>
      </c>
      <c r="F1113" s="155"/>
      <c r="G1113" s="156" t="str">
        <f>'6월'!G75</f>
        <v>일반경비</v>
      </c>
      <c r="H1113" s="157" t="str">
        <f>'6월'!H75</f>
        <v>차량유지비</v>
      </c>
      <c r="I1113" s="69" t="str">
        <f>'6월'!I75</f>
        <v>6월 차량렌트(xm3 4429)-30/37회</v>
      </c>
      <c r="J1113" s="122">
        <f>'6월'!J75</f>
        <v>1</v>
      </c>
      <c r="K1113" s="15">
        <f>'6월'!K75</f>
        <v>337272.72727272724</v>
      </c>
      <c r="L1113" s="16">
        <f>'6월'!L75</f>
        <v>437273</v>
      </c>
      <c r="M1113" s="187">
        <f>'6월'!M75</f>
        <v>43727</v>
      </c>
      <c r="N1113" s="15">
        <f>'6월'!N75</f>
        <v>481000</v>
      </c>
      <c r="O1113" s="5" t="str">
        <f>'6월'!O75</f>
        <v>자동이체(6/25)</v>
      </c>
      <c r="P1113" s="177" t="str">
        <f>'6월'!P75</f>
        <v>정지우</v>
      </c>
      <c r="Q1113" s="5" t="str">
        <f>'6월'!Q75</f>
        <v>X</v>
      </c>
      <c r="R1113" s="209" t="str">
        <f>'6월'!R75</f>
        <v>부가세불공</v>
      </c>
    </row>
    <row r="1114" spans="1:20" ht="16.5" customHeight="1">
      <c r="A1114" t="s">
        <v>64</v>
      </c>
      <c r="B1114" s="10" t="str">
        <f>'6월'!B76</f>
        <v>X</v>
      </c>
      <c r="C1114" s="145"/>
      <c r="D1114" s="65"/>
      <c r="E1114" s="160" t="str">
        <f>'6월'!E76</f>
        <v>케이카</v>
      </c>
      <c r="F1114" s="160"/>
      <c r="G1114" s="156" t="str">
        <f>'6월'!G76</f>
        <v>일반경비</v>
      </c>
      <c r="H1114" s="157" t="str">
        <f>'6월'!H76</f>
        <v>차량유지비</v>
      </c>
      <c r="I1114" s="69" t="str">
        <f>'6월'!I76</f>
        <v>6월 선급금(xm3 4429)-30/37회</v>
      </c>
      <c r="J1114" s="122">
        <f>'6월'!J76</f>
        <v>1</v>
      </c>
      <c r="K1114" s="15">
        <f>'6월'!K76</f>
        <v>100000</v>
      </c>
      <c r="L1114" s="125"/>
      <c r="M1114" s="125"/>
      <c r="N1114" s="126"/>
      <c r="O1114" s="99" t="str">
        <f>'6월'!O76</f>
        <v>선납(22/12/29)</v>
      </c>
      <c r="P1114" s="9" t="str">
        <f>'6월'!P76</f>
        <v>정지우</v>
      </c>
      <c r="Q1114" s="5" t="str">
        <f>'6월'!Q76</f>
        <v>X</v>
      </c>
      <c r="R1114" s="209"/>
    </row>
    <row r="1115" spans="1:20" ht="16.5" customHeight="1">
      <c r="A1115" t="s">
        <v>64</v>
      </c>
      <c r="B1115" s="10" t="str">
        <f>'6월'!B77</f>
        <v>SM-25014</v>
      </c>
      <c r="C1115" s="12"/>
      <c r="D1115" s="13">
        <f>'6월'!D77</f>
        <v>45833</v>
      </c>
      <c r="E1115" s="155" t="str">
        <f>'6월'!E77</f>
        <v>제이에스정보시스템</v>
      </c>
      <c r="F1115" s="155" t="str">
        <f>'6월'!F77</f>
        <v>시너지온</v>
      </c>
      <c r="G1115" s="157" t="str">
        <f>'6월'!G77</f>
        <v>MA</v>
      </c>
      <c r="H1115" s="157" t="str">
        <f>'6월'!H77</f>
        <v>월간</v>
      </c>
      <c r="I1115" s="69" t="str">
        <f>'6월'!I77</f>
        <v>건국대병원 6월 유지정비료 - 3/29회</v>
      </c>
      <c r="J1115" s="122">
        <f>'6월'!J77</f>
        <v>1</v>
      </c>
      <c r="K1115" s="15">
        <f>'6월'!K77</f>
        <v>500000</v>
      </c>
      <c r="L1115" s="16">
        <f>'6월'!L77</f>
        <v>500000</v>
      </c>
      <c r="M1115" s="16">
        <f>'6월'!M77</f>
        <v>50000</v>
      </c>
      <c r="N1115" s="15">
        <f>'6월'!N77</f>
        <v>550000</v>
      </c>
      <c r="O1115" s="5" t="str">
        <f>'6월'!O77</f>
        <v>완료(8/29)</v>
      </c>
      <c r="P1115" s="9" t="str">
        <f>'6월'!P77</f>
        <v>천범석</v>
      </c>
      <c r="Q1115" s="5">
        <f>'6월'!Q77</f>
        <v>45838</v>
      </c>
      <c r="R1115" s="209"/>
    </row>
    <row r="1116" spans="1:20" ht="16.5" customHeight="1">
      <c r="A1116" t="s">
        <v>64</v>
      </c>
      <c r="B1116" s="141" t="str">
        <f>'6월'!B78</f>
        <v>SM-25020</v>
      </c>
      <c r="C1116" s="142"/>
      <c r="D1116" s="13">
        <f>'6월'!D78</f>
        <v>45833</v>
      </c>
      <c r="E1116" s="155" t="str">
        <f>'6월'!E78</f>
        <v>제이에스정보시스템</v>
      </c>
      <c r="F1116" s="155" t="str">
        <f>'6월'!F78</f>
        <v>신동아건설</v>
      </c>
      <c r="G1116" s="156" t="str">
        <f>'6월'!G78</f>
        <v>MA</v>
      </c>
      <c r="H1116" s="156" t="str">
        <f>'6월'!H78</f>
        <v>월간</v>
      </c>
      <c r="I1116" s="69" t="str">
        <f>'6월'!I78</f>
        <v>6월 기술지원료 - 2/12회</v>
      </c>
      <c r="J1116" s="132">
        <f>'6월'!J78</f>
        <v>1</v>
      </c>
      <c r="K1116" s="16">
        <f>'6월'!K78</f>
        <v>150000</v>
      </c>
      <c r="L1116" s="16">
        <f>'6월'!L78</f>
        <v>150000</v>
      </c>
      <c r="M1116" s="16">
        <f>'6월'!M78</f>
        <v>15000</v>
      </c>
      <c r="N1116" s="15">
        <f>'6월'!N78</f>
        <v>165000</v>
      </c>
      <c r="O1116" s="5" t="str">
        <f>'6월'!O78</f>
        <v>완료(8/29)</v>
      </c>
      <c r="P1116" s="9" t="str">
        <f>'6월'!P78</f>
        <v>이예지</v>
      </c>
      <c r="Q1116" s="5">
        <f>'6월'!Q78</f>
        <v>45828</v>
      </c>
      <c r="R1116" s="212"/>
      <c r="S1116" s="7"/>
      <c r="T1116" s="11"/>
    </row>
    <row r="1117" spans="1:20" ht="16.5" customHeight="1">
      <c r="A1117" t="s">
        <v>64</v>
      </c>
      <c r="B1117" s="10" t="str">
        <f>'6월'!B79</f>
        <v>X</v>
      </c>
      <c r="C1117" s="12"/>
      <c r="D1117" s="13">
        <f>'6월'!D79</f>
        <v>45833</v>
      </c>
      <c r="E1117" s="155" t="str">
        <f>'6월'!E79</f>
        <v>청소의신</v>
      </c>
      <c r="F1117" s="155"/>
      <c r="G1117" s="156" t="str">
        <f>'6월'!G79</f>
        <v>일반경비</v>
      </c>
      <c r="H1117" s="156" t="str">
        <f>'6월'!H79</f>
        <v>지급수수료</v>
      </c>
      <c r="I1117" s="69" t="str">
        <f>'6월'!I79</f>
        <v>6월 청소비</v>
      </c>
      <c r="J1117" s="122">
        <f>'6월'!J79</f>
        <v>1</v>
      </c>
      <c r="K1117" s="16">
        <f>'6월'!K79</f>
        <v>160000</v>
      </c>
      <c r="L1117" s="16">
        <f>'6월'!L79</f>
        <v>160000</v>
      </c>
      <c r="M1117" s="123">
        <f>'6월'!M79</f>
        <v>16000</v>
      </c>
      <c r="N1117" s="15">
        <f>'6월'!N79</f>
        <v>176000</v>
      </c>
      <c r="O1117" s="5" t="str">
        <f>'6월'!O79</f>
        <v>완료(6/30)</v>
      </c>
      <c r="P1117" s="177" t="str">
        <f>'6월'!P79</f>
        <v>정지우</v>
      </c>
      <c r="Q1117" s="5" t="str">
        <f>'6월'!Q79</f>
        <v>X</v>
      </c>
      <c r="R1117" s="209"/>
    </row>
    <row r="1118" spans="1:20" ht="16.5" customHeight="1">
      <c r="A1118" t="s">
        <v>64</v>
      </c>
      <c r="B1118" s="141" t="str">
        <f>'6월'!B80</f>
        <v>X</v>
      </c>
      <c r="C1118" s="148"/>
      <c r="D1118" s="13">
        <f>'6월'!D80</f>
        <v>45833</v>
      </c>
      <c r="E1118" s="155" t="str">
        <f>'6월'!E80</f>
        <v>비와이씨하이시티입주사대표회</v>
      </c>
      <c r="F1118" s="155"/>
      <c r="G1118" s="156" t="str">
        <f>'6월'!G80</f>
        <v>일반경비</v>
      </c>
      <c r="H1118" s="156" t="str">
        <f>'6월'!H80</f>
        <v>여비교통비</v>
      </c>
      <c r="I1118" s="69" t="str">
        <f>'6월'!I80</f>
        <v>대표님,천범석,엔지니어팀 7월 주차비</v>
      </c>
      <c r="J1118" s="124">
        <f>'6월'!J80</f>
        <v>1</v>
      </c>
      <c r="K1118" s="16">
        <f>'6월'!K80</f>
        <v>272727</v>
      </c>
      <c r="L1118" s="16">
        <f>'6월'!L80</f>
        <v>272727</v>
      </c>
      <c r="M1118" s="189">
        <f>'6월'!M80</f>
        <v>27273</v>
      </c>
      <c r="N1118" s="15">
        <f>'6월'!N80</f>
        <v>300000</v>
      </c>
      <c r="O1118" s="5" t="str">
        <f>'6월'!O80</f>
        <v>완료(6/25)</v>
      </c>
      <c r="P1118" s="177" t="str">
        <f>'6월'!P80</f>
        <v>정지우</v>
      </c>
      <c r="Q1118" s="68" t="str">
        <f>'6월'!Q80</f>
        <v>X</v>
      </c>
      <c r="R1118" s="209" t="str">
        <f>'6월'!R80</f>
        <v>부가세불공</v>
      </c>
      <c r="S1118" s="7"/>
      <c r="T1118" s="11"/>
    </row>
    <row r="1119" spans="1:20" ht="16.5" customHeight="1">
      <c r="A1119" t="s">
        <v>64</v>
      </c>
      <c r="B1119" s="10" t="str">
        <f>'6월'!B81</f>
        <v>D250624-01</v>
      </c>
      <c r="C1119" s="12"/>
      <c r="D1119" s="13">
        <f>'6월'!D81</f>
        <v>45833</v>
      </c>
      <c r="E1119" s="155" t="str">
        <f>'6월'!E81</f>
        <v>리더스시스템즈</v>
      </c>
      <c r="F1119" s="155" t="str">
        <f>'6월'!F81</f>
        <v>고영테크놀러지</v>
      </c>
      <c r="G1119" s="156" t="str">
        <f>'6월'!G81</f>
        <v>상품</v>
      </c>
      <c r="H1119" s="156" t="str">
        <f>'6월'!H81</f>
        <v>NVIDIA</v>
      </c>
      <c r="I1119" s="69" t="str">
        <f>'6월'!I81</f>
        <v>RTX 4000 Ada Generation 20GB</v>
      </c>
      <c r="J1119" s="122">
        <f>'6월'!J81</f>
        <v>1</v>
      </c>
      <c r="K1119" s="15">
        <f>'6월'!K81</f>
        <v>1970000</v>
      </c>
      <c r="L1119" s="16">
        <f>'6월'!L81</f>
        <v>1970000</v>
      </c>
      <c r="M1119" s="16">
        <f>'6월'!M81</f>
        <v>197000</v>
      </c>
      <c r="N1119" s="15">
        <f>'6월'!N81</f>
        <v>2167000</v>
      </c>
      <c r="O1119" s="5" t="str">
        <f>'6월'!O81</f>
        <v>완료(6/25)</v>
      </c>
      <c r="P1119" s="9" t="str">
        <f>'6월'!P81</f>
        <v>이지훈</v>
      </c>
      <c r="Q1119" s="5">
        <f>'6월'!Q81</f>
        <v>45838</v>
      </c>
      <c r="R1119" s="209"/>
    </row>
    <row r="1120" spans="1:20" ht="16.5" customHeight="1">
      <c r="A1120" t="s">
        <v>64</v>
      </c>
      <c r="B1120" s="10" t="str">
        <f>'6월'!B82</f>
        <v>SM-24007</v>
      </c>
      <c r="C1120" s="12"/>
      <c r="D1120" s="13">
        <f>'6월'!D82</f>
        <v>45833</v>
      </c>
      <c r="E1120" s="155" t="str">
        <f>'6월'!E82</f>
        <v>다원씨앤에스</v>
      </c>
      <c r="F1120" s="155" t="str">
        <f>'6월'!F82</f>
        <v>연세의료원</v>
      </c>
      <c r="G1120" s="157" t="str">
        <f>'6월'!G82</f>
        <v>MA</v>
      </c>
      <c r="H1120" s="156" t="str">
        <f>'6월'!H82</f>
        <v>월간</v>
      </c>
      <c r="I1120" s="69" t="str">
        <f>'6월'!I82</f>
        <v>6월분 SIOS Lifekeeper 유지보수료 - 5/12회</v>
      </c>
      <c r="J1120" s="122">
        <f>'6월'!J82</f>
        <v>1</v>
      </c>
      <c r="K1120" s="15">
        <f>'6월'!K82</f>
        <v>200000</v>
      </c>
      <c r="L1120" s="16">
        <f>'6월'!L82</f>
        <v>200000</v>
      </c>
      <c r="M1120" s="16">
        <f>'6월'!M82</f>
        <v>20000</v>
      </c>
      <c r="N1120" s="15">
        <f>'6월'!N82</f>
        <v>220000</v>
      </c>
      <c r="O1120" s="5" t="str">
        <f>'6월'!O82</f>
        <v>완료(7/31)</v>
      </c>
      <c r="P1120" s="9" t="str">
        <f>'6월'!P82</f>
        <v>이예지</v>
      </c>
      <c r="Q1120" s="5">
        <f>'6월'!Q82</f>
        <v>45828</v>
      </c>
      <c r="R1120" s="209"/>
      <c r="T1120" s="11"/>
    </row>
    <row r="1121" spans="1:20" ht="16.5" customHeight="1">
      <c r="A1121" t="s">
        <v>64</v>
      </c>
      <c r="B1121" s="10" t="str">
        <f>'6월'!B83</f>
        <v>IK-24001</v>
      </c>
      <c r="C1121" s="12"/>
      <c r="D1121" s="13">
        <f>'6월'!D83</f>
        <v>45833</v>
      </c>
      <c r="E1121" s="155" t="str">
        <f>'6월'!E83</f>
        <v>알앤큐시스템</v>
      </c>
      <c r="F1121" s="155" t="str">
        <f>'6월'!F83</f>
        <v>로스만스/브리티쉬</v>
      </c>
      <c r="G1121" s="156" t="str">
        <f>'6월'!G83</f>
        <v>MA</v>
      </c>
      <c r="H1121" s="156" t="str">
        <f>'6월'!H83</f>
        <v>월간</v>
      </c>
      <c r="I1121" s="69" t="str">
        <f>'6월'!I83</f>
        <v>BAT 통합 유지보수 6월분 - 6/12회</v>
      </c>
      <c r="J1121" s="122">
        <f>'6월'!J83</f>
        <v>1</v>
      </c>
      <c r="K1121" s="15">
        <f>'6월'!K83</f>
        <v>4950000</v>
      </c>
      <c r="L1121" s="16">
        <f>'6월'!L83</f>
        <v>4950000</v>
      </c>
      <c r="M1121" s="15">
        <f>'6월'!M83</f>
        <v>495000</v>
      </c>
      <c r="N1121" s="15">
        <f>'6월'!N83</f>
        <v>5445000</v>
      </c>
      <c r="O1121" s="5" t="str">
        <f>'6월'!O83</f>
        <v>완료(9/15)</v>
      </c>
      <c r="P1121" s="174" t="str">
        <f>'6월'!P83</f>
        <v>천범석</v>
      </c>
      <c r="Q1121" s="5">
        <f>'6월'!Q83</f>
        <v>45838</v>
      </c>
      <c r="R1121" s="209"/>
    </row>
    <row r="1122" spans="1:20" ht="16.5" customHeight="1">
      <c r="A1122" t="s">
        <v>64</v>
      </c>
      <c r="B1122" s="10" t="str">
        <f>'6월'!B84</f>
        <v>H250626-01</v>
      </c>
      <c r="C1122" s="12"/>
      <c r="D1122" s="13">
        <f>'6월'!D84</f>
        <v>45834</v>
      </c>
      <c r="E1122" s="155" t="str">
        <f>'6월'!E84</f>
        <v>이비웨이브</v>
      </c>
      <c r="F1122" s="155" t="str">
        <f>'6월'!F84</f>
        <v>티에스씨인포</v>
      </c>
      <c r="G1122" s="156" t="str">
        <f>'6월'!G84</f>
        <v>상품</v>
      </c>
      <c r="H1122" s="156" t="str">
        <f>'6월'!H84</f>
        <v>01DE973</v>
      </c>
      <c r="I1122" s="69" t="str">
        <f>'6월'!I84</f>
        <v>ThinkSystem 16GB TruDDR4 DDR4-2666MHzz (2Rx8 1.2V) RDIMM</v>
      </c>
      <c r="J1122" s="122">
        <f>'6월'!J84</f>
        <v>2</v>
      </c>
      <c r="K1122" s="15">
        <f>'6월'!K84</f>
        <v>100000</v>
      </c>
      <c r="L1122" s="16">
        <f>'6월'!L84</f>
        <v>200000</v>
      </c>
      <c r="M1122" s="16">
        <f>'6월'!M84</f>
        <v>20000</v>
      </c>
      <c r="N1122" s="15">
        <f>'6월'!N84</f>
        <v>220000</v>
      </c>
      <c r="O1122" s="5" t="str">
        <f>'6월'!O84</f>
        <v>완료(8/29)</v>
      </c>
      <c r="P1122" s="9" t="str">
        <f>'6월'!P84</f>
        <v>천범석</v>
      </c>
      <c r="Q1122" s="5">
        <f>'6월'!Q84</f>
        <v>45838</v>
      </c>
      <c r="R1122" s="213"/>
    </row>
    <row r="1123" spans="1:20" ht="16.5" customHeight="1">
      <c r="A1123" t="s">
        <v>64</v>
      </c>
      <c r="B1123" s="10" t="str">
        <f>'6월'!B85</f>
        <v>D250626-01</v>
      </c>
      <c r="C1123" s="12"/>
      <c r="D1123" s="13">
        <f>'6월'!D85</f>
        <v>45834</v>
      </c>
      <c r="E1123" s="155" t="str">
        <f>'6월'!E85</f>
        <v>컴퓨존</v>
      </c>
      <c r="F1123" s="155" t="str">
        <f>'6월'!F85</f>
        <v>불교텔레비전</v>
      </c>
      <c r="G1123" s="156" t="str">
        <f>'6월'!G85</f>
        <v>상품</v>
      </c>
      <c r="H1123" s="156" t="str">
        <f>'6월'!H85</f>
        <v>조립PC</v>
      </c>
      <c r="I1123" s="69" t="str">
        <f>'6월'!I85</f>
        <v>조립PC</v>
      </c>
      <c r="J1123" s="122">
        <f>'6월'!J85</f>
        <v>1</v>
      </c>
      <c r="K1123" s="15">
        <f>'6월'!K85</f>
        <v>2399818</v>
      </c>
      <c r="L1123" s="16">
        <f>'6월'!L85</f>
        <v>2399818</v>
      </c>
      <c r="M1123" s="16">
        <f>'6월'!M85</f>
        <v>239981.80000000002</v>
      </c>
      <c r="N1123" s="15">
        <f>'6월'!N85</f>
        <v>2639799.7999999998</v>
      </c>
      <c r="O1123" s="5" t="str">
        <f>'6월'!O85</f>
        <v>완료(6/26)</v>
      </c>
      <c r="P1123" s="9" t="str">
        <f>'6월'!P85</f>
        <v>이지훈</v>
      </c>
      <c r="Q1123" s="5">
        <f>'6월'!Q85</f>
        <v>45835</v>
      </c>
      <c r="R1123" s="209"/>
    </row>
    <row r="1124" spans="1:20">
      <c r="A1124" t="s">
        <v>64</v>
      </c>
      <c r="B1124" s="10" t="str">
        <f>'6월'!B86</f>
        <v>X</v>
      </c>
      <c r="C1124" s="12"/>
      <c r="D1124" s="13">
        <f>'6월'!D86</f>
        <v>45834</v>
      </c>
      <c r="E1124" s="155" t="str">
        <f>'6월'!E86</f>
        <v>더좋은샘물</v>
      </c>
      <c r="F1124" s="155"/>
      <c r="G1124" s="156" t="str">
        <f>'6월'!G86</f>
        <v>일반경비</v>
      </c>
      <c r="H1124" s="156" t="str">
        <f>'6월'!H86</f>
        <v>복리후생비</v>
      </c>
      <c r="I1124" s="69" t="str">
        <f>'6월'!I86</f>
        <v>생수  5통</v>
      </c>
      <c r="J1124" s="122">
        <f>'6월'!J86</f>
        <v>5</v>
      </c>
      <c r="K1124" s="15">
        <f>'6월'!K86</f>
        <v>6000</v>
      </c>
      <c r="L1124" s="16">
        <f>'6월'!L86</f>
        <v>30000</v>
      </c>
      <c r="M1124" s="15">
        <f>'6월'!M86</f>
        <v>3000</v>
      </c>
      <c r="N1124" s="15">
        <f>'6월'!N86</f>
        <v>33000</v>
      </c>
      <c r="O1124" s="5" t="str">
        <f>'6월'!O86</f>
        <v>완료(7/10)</v>
      </c>
      <c r="P1124" s="9" t="str">
        <f>'6월'!P86</f>
        <v>정지우</v>
      </c>
      <c r="Q1124" s="5" t="str">
        <f>'6월'!Q86</f>
        <v>X</v>
      </c>
      <c r="R1124" s="209"/>
      <c r="T1124" s="11"/>
    </row>
    <row r="1125" spans="1:20" ht="16.5" customHeight="1">
      <c r="A1125" t="s">
        <v>64</v>
      </c>
      <c r="B1125" s="10" t="str">
        <f>'6월'!B87</f>
        <v>SM-23031</v>
      </c>
      <c r="C1125" s="12"/>
      <c r="D1125" s="13">
        <f>'6월'!D87</f>
        <v>45835</v>
      </c>
      <c r="E1125" s="155" t="str">
        <f>'6월'!E87</f>
        <v>지엘정보통신</v>
      </c>
      <c r="F1125" s="155" t="str">
        <f>'6월'!F87</f>
        <v>온피아</v>
      </c>
      <c r="G1125" s="157" t="str">
        <f>'6월'!G87</f>
        <v>MA</v>
      </c>
      <c r="H1125" s="156" t="str">
        <f>'6월'!H87</f>
        <v>반기</v>
      </c>
      <c r="I1125" s="69" t="str">
        <f>'6월'!I87</f>
        <v>삼표 25.2~25.7</v>
      </c>
      <c r="J1125" s="122">
        <f>'6월'!J87</f>
        <v>1</v>
      </c>
      <c r="K1125" s="15">
        <f>'6월'!K87</f>
        <v>1250000</v>
      </c>
      <c r="L1125" s="16">
        <f>'6월'!L87</f>
        <v>1250000</v>
      </c>
      <c r="M1125" s="16">
        <f>'6월'!M87</f>
        <v>125000</v>
      </c>
      <c r="N1125" s="15">
        <f>'6월'!N87</f>
        <v>1375000</v>
      </c>
      <c r="O1125" s="5" t="str">
        <f>'6월'!O87</f>
        <v>완료(7/31)</v>
      </c>
      <c r="P1125" s="9" t="str">
        <f>'6월'!P87</f>
        <v>이예지</v>
      </c>
      <c r="Q1125" s="5" t="str">
        <f>'6월'!Q87</f>
        <v>2/24,3/31,4/30,5/31,6/30,7/31</v>
      </c>
      <c r="R1125" s="213"/>
    </row>
    <row r="1126" spans="1:20" ht="16.5" customHeight="1">
      <c r="A1126" t="s">
        <v>64</v>
      </c>
      <c r="B1126" s="141" t="str">
        <f>'6월'!B88</f>
        <v>X</v>
      </c>
      <c r="C1126" s="142"/>
      <c r="D1126" s="13">
        <f>'6월'!D88</f>
        <v>45838</v>
      </c>
      <c r="E1126" s="155" t="str">
        <f>'6월'!E88</f>
        <v>비와이씨하이시티입주사대표회</v>
      </c>
      <c r="F1126" s="163"/>
      <c r="G1126" s="156" t="str">
        <f>'6월'!G88</f>
        <v>일반경비</v>
      </c>
      <c r="H1126" s="156" t="str">
        <f>'6월'!H88</f>
        <v>건물관리</v>
      </c>
      <c r="I1126" s="69" t="str">
        <f>'6월'!I88</f>
        <v>B동 1201호 5월 관리비 -과세분</v>
      </c>
      <c r="J1126" s="124">
        <f>'6월'!J88</f>
        <v>1</v>
      </c>
      <c r="K1126" s="16">
        <f>'6월'!K88</f>
        <v>397293</v>
      </c>
      <c r="L1126" s="16">
        <f>'6월'!L88</f>
        <v>394293</v>
      </c>
      <c r="M1126" s="15">
        <f>'6월'!M88</f>
        <v>39429</v>
      </c>
      <c r="N1126" s="15">
        <f>'6월'!N88</f>
        <v>433722</v>
      </c>
      <c r="O1126" s="5" t="str">
        <f>'6월'!O88</f>
        <v>완료(7/10)</v>
      </c>
      <c r="P1126" s="175" t="str">
        <f>'6월'!P88</f>
        <v>정지우</v>
      </c>
      <c r="Q1126" s="68" t="str">
        <f>'6월'!Q88</f>
        <v>X</v>
      </c>
      <c r="R1126" s="212"/>
      <c r="S1126" s="7"/>
    </row>
    <row r="1127" spans="1:20" ht="16.5" customHeight="1">
      <c r="A1127" t="s">
        <v>64</v>
      </c>
      <c r="B1127" s="141" t="str">
        <f>'6월'!B89</f>
        <v>X</v>
      </c>
      <c r="C1127" s="142"/>
      <c r="D1127" s="13">
        <f>'6월'!D89</f>
        <v>45838</v>
      </c>
      <c r="E1127" s="155" t="str">
        <f>'6월'!E89</f>
        <v>비와이씨하이시티입주사대표회</v>
      </c>
      <c r="F1127" s="155"/>
      <c r="G1127" s="156" t="str">
        <f>'6월'!G89</f>
        <v>일반경비</v>
      </c>
      <c r="H1127" s="156" t="str">
        <f>'6월'!H89</f>
        <v>건물관리</v>
      </c>
      <c r="I1127" s="69" t="str">
        <f>'6월'!I89</f>
        <v>B동 1201호 5월 관리비 -면세분</v>
      </c>
      <c r="J1127" s="124">
        <f>'6월'!J89</f>
        <v>1</v>
      </c>
      <c r="K1127" s="16">
        <f>'6월'!K89</f>
        <v>85316</v>
      </c>
      <c r="L1127" s="16">
        <f>'6월'!L89</f>
        <v>85316</v>
      </c>
      <c r="M1127" s="15" t="str">
        <f>'6월'!M89</f>
        <v>X</v>
      </c>
      <c r="N1127" s="15">
        <f>'6월'!N89</f>
        <v>85316</v>
      </c>
      <c r="O1127" s="5" t="str">
        <f>'6월'!O89</f>
        <v>완료(7/10)</v>
      </c>
      <c r="P1127" s="175" t="str">
        <f>'6월'!P89</f>
        <v>정지우</v>
      </c>
      <c r="Q1127" s="68" t="str">
        <f>'6월'!Q89</f>
        <v>X</v>
      </c>
      <c r="R1127" s="212" t="str">
        <f>'6월'!R89</f>
        <v>비과세</v>
      </c>
      <c r="S1127" s="7"/>
    </row>
    <row r="1128" spans="1:20" ht="16.5" customHeight="1">
      <c r="A1128" t="s">
        <v>64</v>
      </c>
      <c r="B1128" s="10" t="str">
        <f>'6월'!B90</f>
        <v>SM-24024</v>
      </c>
      <c r="C1128" s="12"/>
      <c r="D1128" s="13">
        <f>'6월'!D90</f>
        <v>45838</v>
      </c>
      <c r="E1128" s="155" t="str">
        <f>'6월'!E90</f>
        <v>디씨에스에스테크놀러지코리아</v>
      </c>
      <c r="F1128" s="155" t="str">
        <f>'6월'!F90</f>
        <v>강북21세기병원</v>
      </c>
      <c r="G1128" s="157" t="str">
        <f>'6월'!G90</f>
        <v>MA</v>
      </c>
      <c r="H1128" s="157" t="str">
        <f>'6월'!H90</f>
        <v>월간-DCSS</v>
      </c>
      <c r="I1128" s="69" t="str">
        <f>'6월'!I90</f>
        <v>6월 유지정비료 - 7/12회</v>
      </c>
      <c r="J1128" s="122">
        <f>'6월'!J90</f>
        <v>1</v>
      </c>
      <c r="K1128" s="15">
        <f>'6월'!K90</f>
        <v>20600</v>
      </c>
      <c r="L1128" s="16">
        <f>'6월'!L90</f>
        <v>1837080</v>
      </c>
      <c r="M1128" s="16">
        <f>'6월'!M90</f>
        <v>183708</v>
      </c>
      <c r="N1128" s="15">
        <f>'6월'!N90</f>
        <v>2020788</v>
      </c>
      <c r="O1128" s="5" t="str">
        <f>'6월'!O90</f>
        <v>완료(7/31)</v>
      </c>
      <c r="P1128" s="9" t="str">
        <f>'6월'!P90</f>
        <v>천범석</v>
      </c>
      <c r="Q1128" s="5">
        <f>'6월'!Q90</f>
        <v>45833</v>
      </c>
      <c r="R1128" s="209"/>
    </row>
    <row r="1129" spans="1:20" ht="16.5" customHeight="1">
      <c r="A1129" t="s">
        <v>64</v>
      </c>
      <c r="B1129" s="10" t="str">
        <f>'6월'!B91</f>
        <v>IK-24011</v>
      </c>
      <c r="C1129" s="145"/>
      <c r="D1129" s="65"/>
      <c r="E1129" s="160" t="str">
        <f>'6월'!E91</f>
        <v>디씨에스에스테크놀러지코리아</v>
      </c>
      <c r="F1129" s="160" t="str">
        <f>'6월'!F91</f>
        <v>로보츠</v>
      </c>
      <c r="G1129" s="157" t="str">
        <f>'6월'!G91</f>
        <v>MA</v>
      </c>
      <c r="H1129" s="157" t="str">
        <f>'6월'!H91</f>
        <v>월간-DCSS</v>
      </c>
      <c r="I1129" s="69" t="str">
        <f>'6월'!I91</f>
        <v>키오시아 6월 유지정비료 - 7/12회</v>
      </c>
      <c r="J1129" s="122">
        <f>'6월'!J91</f>
        <v>1</v>
      </c>
      <c r="K1129" s="15">
        <f>'6월'!K91</f>
        <v>70180</v>
      </c>
      <c r="L1129" s="125"/>
      <c r="M1129" s="125"/>
      <c r="N1129" s="126"/>
      <c r="O1129" s="99"/>
      <c r="P1129" s="9" t="str">
        <f>'6월'!P91</f>
        <v>천범석</v>
      </c>
      <c r="Q1129" s="5">
        <f>'6월'!Q91</f>
        <v>45833</v>
      </c>
      <c r="R1129" s="209"/>
    </row>
    <row r="1130" spans="1:20" ht="16.5" customHeight="1">
      <c r="A1130" t="s">
        <v>64</v>
      </c>
      <c r="B1130" s="10" t="str">
        <f>'6월'!B92</f>
        <v>SM-24021</v>
      </c>
      <c r="C1130" s="145"/>
      <c r="D1130" s="65"/>
      <c r="E1130" s="160" t="str">
        <f>'6월'!E92</f>
        <v>디씨에스에스테크놀러지코리아</v>
      </c>
      <c r="F1130" s="160" t="str">
        <f>'6월'!F92</f>
        <v>에이캐피탈</v>
      </c>
      <c r="G1130" s="157" t="str">
        <f>'6월'!G92</f>
        <v>MA</v>
      </c>
      <c r="H1130" s="157" t="str">
        <f>'6월'!H92</f>
        <v>월간-DCSS</v>
      </c>
      <c r="I1130" s="69" t="str">
        <f>'6월'!I92</f>
        <v>6월 유지정비료 - 7/9회</v>
      </c>
      <c r="J1130" s="122">
        <f>'6월'!J92</f>
        <v>1</v>
      </c>
      <c r="K1130" s="15">
        <f>'6월'!K92</f>
        <v>352900</v>
      </c>
      <c r="L1130" s="125"/>
      <c r="M1130" s="125"/>
      <c r="N1130" s="126"/>
      <c r="O1130" s="99"/>
      <c r="P1130" s="9" t="str">
        <f>'6월'!P92</f>
        <v>이예지</v>
      </c>
      <c r="Q1130" s="5">
        <f>'6월'!Q92</f>
        <v>45843</v>
      </c>
      <c r="R1130" s="209"/>
    </row>
    <row r="1131" spans="1:20" ht="16.5" customHeight="1">
      <c r="A1131" t="s">
        <v>64</v>
      </c>
      <c r="B1131" s="10" t="str">
        <f>'6월'!B93</f>
        <v>SM-24007</v>
      </c>
      <c r="C1131" s="145"/>
      <c r="D1131" s="65"/>
      <c r="E1131" s="160" t="str">
        <f>'6월'!E93</f>
        <v>디씨에스에스테크놀러지코리아</v>
      </c>
      <c r="F1131" s="160" t="str">
        <f>'6월'!F93</f>
        <v>연세의료원</v>
      </c>
      <c r="G1131" s="157" t="str">
        <f>'6월'!G93</f>
        <v>MA</v>
      </c>
      <c r="H1131" s="157" t="str">
        <f>'6월'!H93</f>
        <v>월간-DCSS</v>
      </c>
      <c r="I1131" s="69" t="str">
        <f>'6월'!I93</f>
        <v>6월 유지정비료 - 5/12회</v>
      </c>
      <c r="J1131" s="122">
        <f>'6월'!J93</f>
        <v>1</v>
      </c>
      <c r="K1131" s="15">
        <f>'6월'!K93</f>
        <v>80000</v>
      </c>
      <c r="L1131" s="125"/>
      <c r="M1131" s="125"/>
      <c r="N1131" s="126"/>
      <c r="O1131" s="99"/>
      <c r="P1131" s="9" t="str">
        <f>'6월'!P93</f>
        <v>이예지</v>
      </c>
      <c r="Q1131" s="5">
        <f>'6월'!Q93</f>
        <v>45828</v>
      </c>
      <c r="R1131" s="213"/>
    </row>
    <row r="1132" spans="1:20" ht="16.5" customHeight="1">
      <c r="A1132" t="s">
        <v>64</v>
      </c>
      <c r="B1132" s="10" t="str">
        <f>'6월'!B94</f>
        <v>SM-25002</v>
      </c>
      <c r="C1132" s="145"/>
      <c r="D1132" s="65"/>
      <c r="E1132" s="160" t="str">
        <f>'6월'!E94</f>
        <v>디씨에스에스테크놀러지코리아</v>
      </c>
      <c r="F1132" s="160" t="str">
        <f>'6월'!F94</f>
        <v>지비에쓰시스템</v>
      </c>
      <c r="G1132" s="157" t="str">
        <f>'6월'!G94</f>
        <v>MA</v>
      </c>
      <c r="H1132" s="157" t="str">
        <f>'6월'!H94</f>
        <v>월간-DCSS</v>
      </c>
      <c r="I1132" s="69" t="str">
        <f>'6월'!I94</f>
        <v>현대하이카 6월 유지정비료 - 5/11회</v>
      </c>
      <c r="J1132" s="122">
        <f>'6월'!J94</f>
        <v>1</v>
      </c>
      <c r="K1132" s="15">
        <f>'6월'!K94</f>
        <v>66000</v>
      </c>
      <c r="L1132" s="125"/>
      <c r="M1132" s="125"/>
      <c r="N1132" s="126"/>
      <c r="O1132" s="99"/>
      <c r="P1132" s="9" t="str">
        <f>'6월'!P94</f>
        <v>천범석</v>
      </c>
      <c r="Q1132" s="5">
        <f>'6월'!Q94</f>
        <v>45838</v>
      </c>
      <c r="R1132" s="213"/>
    </row>
    <row r="1133" spans="1:20" ht="16.5" customHeight="1">
      <c r="A1133" t="s">
        <v>64</v>
      </c>
      <c r="B1133" s="10" t="str">
        <f>'6월'!B95</f>
        <v>SM-25006</v>
      </c>
      <c r="C1133" s="145"/>
      <c r="D1133" s="65"/>
      <c r="E1133" s="160" t="str">
        <f>'6월'!E95</f>
        <v>디씨에스에스테크놀러지코리아</v>
      </c>
      <c r="F1133" s="160" t="str">
        <f>'6월'!F95</f>
        <v>장금상선</v>
      </c>
      <c r="G1133" s="157" t="str">
        <f>'6월'!G95</f>
        <v>MA</v>
      </c>
      <c r="H1133" s="157" t="str">
        <f>'6월'!H95</f>
        <v>월간-DCSS</v>
      </c>
      <c r="I1133" s="69" t="str">
        <f>'6월'!I95</f>
        <v>6월 유지정비료 - 5/11회</v>
      </c>
      <c r="J1133" s="124">
        <f>'6월'!J95</f>
        <v>1</v>
      </c>
      <c r="K1133" s="15">
        <f>'6월'!K95</f>
        <v>44000</v>
      </c>
      <c r="L1133" s="125"/>
      <c r="M1133" s="125"/>
      <c r="N1133" s="126"/>
      <c r="O1133" s="99"/>
      <c r="P1133" s="9" t="str">
        <f>'6월'!P95</f>
        <v>홍승민</v>
      </c>
      <c r="Q1133" s="5">
        <f>'6월'!Q95</f>
        <v>45838</v>
      </c>
      <c r="R1133" s="209"/>
    </row>
    <row r="1134" spans="1:20" ht="16.5" customHeight="1">
      <c r="A1134" t="s">
        <v>64</v>
      </c>
      <c r="B1134" s="10" t="str">
        <f>'6월'!B96</f>
        <v>SM-25010</v>
      </c>
      <c r="C1134" s="145"/>
      <c r="D1134" s="65"/>
      <c r="E1134" s="160" t="str">
        <f>'6월'!E96</f>
        <v>디씨에스에스테크놀러지코리아</v>
      </c>
      <c r="F1134" s="160" t="str">
        <f>'6월'!F96</f>
        <v>유니포인트</v>
      </c>
      <c r="G1134" s="157" t="str">
        <f>'6월'!G96</f>
        <v>MA</v>
      </c>
      <c r="H1134" s="157" t="str">
        <f>'6월'!H96</f>
        <v>월간-DCSS</v>
      </c>
      <c r="I1134" s="69" t="str">
        <f>'6월'!I96</f>
        <v>한미약품 6월 유지정비료 - 5/11회</v>
      </c>
      <c r="J1134" s="122">
        <f>'6월'!J96</f>
        <v>1</v>
      </c>
      <c r="K1134" s="15">
        <f>'6월'!K96</f>
        <v>292200</v>
      </c>
      <c r="L1134" s="125"/>
      <c r="M1134" s="125"/>
      <c r="N1134" s="126"/>
      <c r="O1134" s="99"/>
      <c r="P1134" s="9" t="str">
        <f>'6월'!P96</f>
        <v>이예지</v>
      </c>
      <c r="Q1134" s="5">
        <f>'6월'!Q96</f>
        <v>45838</v>
      </c>
      <c r="R1134" s="213"/>
    </row>
    <row r="1135" spans="1:20" ht="16.5" customHeight="1">
      <c r="A1135" t="s">
        <v>64</v>
      </c>
      <c r="B1135" s="10" t="str">
        <f>'6월'!B97</f>
        <v>SM-25009</v>
      </c>
      <c r="C1135" s="145"/>
      <c r="D1135" s="65"/>
      <c r="E1135" s="160" t="str">
        <f>'6월'!E97</f>
        <v>디씨에스에스테크놀러지코리아</v>
      </c>
      <c r="F1135" s="160" t="str">
        <f>'6월'!F97</f>
        <v>유니포인트</v>
      </c>
      <c r="G1135" s="157" t="str">
        <f>'6월'!G97</f>
        <v>MA</v>
      </c>
      <c r="H1135" s="157" t="str">
        <f>'6월'!H97</f>
        <v>월간-DCSS</v>
      </c>
      <c r="I1135" s="69" t="str">
        <f>'6월'!I97</f>
        <v>교보문고 6월 유지정비료 - 5/11회</v>
      </c>
      <c r="J1135" s="122">
        <f>'6월'!J97</f>
        <v>1</v>
      </c>
      <c r="K1135" s="15">
        <f>'6월'!K97</f>
        <v>376200</v>
      </c>
      <c r="L1135" s="125"/>
      <c r="M1135" s="125"/>
      <c r="N1135" s="126"/>
      <c r="O1135" s="99"/>
      <c r="P1135" s="9" t="str">
        <f>'6월'!P97</f>
        <v>이예지</v>
      </c>
      <c r="Q1135" s="5">
        <f>'6월'!Q97</f>
        <v>45838</v>
      </c>
      <c r="R1135" s="213"/>
    </row>
    <row r="1136" spans="1:20" ht="16.5" customHeight="1">
      <c r="A1136" t="s">
        <v>64</v>
      </c>
      <c r="B1136" s="10" t="str">
        <f>'6월'!B98</f>
        <v>SB-25014</v>
      </c>
      <c r="C1136" s="145"/>
      <c r="D1136" s="65"/>
      <c r="E1136" s="160" t="str">
        <f>'6월'!E98</f>
        <v>디씨에스에스테크놀러지코리아</v>
      </c>
      <c r="F1136" s="160" t="str">
        <f>'6월'!F98</f>
        <v>와이젠정보기술</v>
      </c>
      <c r="G1136" s="157" t="str">
        <f>'6월'!G98</f>
        <v>MA</v>
      </c>
      <c r="H1136" s="157" t="str">
        <f>'6월'!H98</f>
        <v>월간-DCSS</v>
      </c>
      <c r="I1136" s="69" t="str">
        <f>'6월'!I98</f>
        <v>안국약품 6월 유지정비료 - 4/10회</v>
      </c>
      <c r="J1136" s="122">
        <f>'6월'!J98</f>
        <v>1</v>
      </c>
      <c r="K1136" s="15">
        <f>'6월'!K98</f>
        <v>391000</v>
      </c>
      <c r="L1136" s="125"/>
      <c r="M1136" s="125"/>
      <c r="N1136" s="126"/>
      <c r="O1136" s="99"/>
      <c r="P1136" s="9" t="str">
        <f>'6월'!P98</f>
        <v>천범석</v>
      </c>
      <c r="Q1136" s="5">
        <f>'6월'!Q98</f>
        <v>45838</v>
      </c>
      <c r="R1136" s="213"/>
    </row>
    <row r="1137" spans="1:20" ht="16.5" customHeight="1">
      <c r="A1137" t="s">
        <v>64</v>
      </c>
      <c r="B1137" s="10" t="str">
        <f>'6월'!B99</f>
        <v>SM-25015</v>
      </c>
      <c r="C1137" s="145"/>
      <c r="D1137" s="65"/>
      <c r="E1137" s="160" t="str">
        <f>'6월'!E99</f>
        <v>디씨에스에스테크놀러지코리아</v>
      </c>
      <c r="F1137" s="160" t="str">
        <f>'6월'!F99</f>
        <v>케이엠디엠</v>
      </c>
      <c r="G1137" s="157" t="str">
        <f>'6월'!G99</f>
        <v>MA</v>
      </c>
      <c r="H1137" s="157" t="str">
        <f>'6월'!H99</f>
        <v>월간-DCSS</v>
      </c>
      <c r="I1137" s="69" t="str">
        <f>'6월'!I99</f>
        <v>탑텍 6월 유지정비료 - 3/12회</v>
      </c>
      <c r="J1137" s="122">
        <f>'6월'!J99</f>
        <v>1</v>
      </c>
      <c r="K1137" s="15">
        <f>'6월'!K99</f>
        <v>14000</v>
      </c>
      <c r="L1137" s="125"/>
      <c r="M1137" s="125"/>
      <c r="N1137" s="126"/>
      <c r="O1137" s="99"/>
      <c r="P1137" s="9" t="str">
        <f>'6월'!P99</f>
        <v>천범석</v>
      </c>
      <c r="Q1137" s="5">
        <f>'6월'!Q99</f>
        <v>45777</v>
      </c>
      <c r="R1137" s="213" t="str">
        <f>'6월'!R99</f>
        <v>매출연간</v>
      </c>
    </row>
    <row r="1138" spans="1:20" ht="16.5" customHeight="1">
      <c r="A1138" t="s">
        <v>64</v>
      </c>
      <c r="B1138" s="10" t="str">
        <f>'6월'!B100</f>
        <v>SM-25016</v>
      </c>
      <c r="C1138" s="145"/>
      <c r="D1138" s="65"/>
      <c r="E1138" s="160" t="str">
        <f>'6월'!E100</f>
        <v>디씨에스에스테크놀러지코리아</v>
      </c>
      <c r="F1138" s="160" t="str">
        <f>'6월'!F100</f>
        <v>케이엠디엠</v>
      </c>
      <c r="G1138" s="157" t="str">
        <f>'6월'!G100</f>
        <v>MA</v>
      </c>
      <c r="H1138" s="157" t="str">
        <f>'6월'!H100</f>
        <v>월간-DCSS</v>
      </c>
      <c r="I1138" s="69" t="str">
        <f>'6월'!I100</f>
        <v>SKB 6월 유지정비료 - 3/12회</v>
      </c>
      <c r="J1138" s="122">
        <f>'6월'!J100</f>
        <v>1</v>
      </c>
      <c r="K1138" s="15">
        <f>'6월'!K100</f>
        <v>14000</v>
      </c>
      <c r="L1138" s="125"/>
      <c r="M1138" s="125"/>
      <c r="N1138" s="126"/>
      <c r="O1138" s="99"/>
      <c r="P1138" s="9" t="str">
        <f>'6월'!P100</f>
        <v>천범석</v>
      </c>
      <c r="Q1138" s="5">
        <f>'6월'!Q100</f>
        <v>45777</v>
      </c>
      <c r="R1138" s="213" t="str">
        <f>'6월'!R100</f>
        <v>매출연간</v>
      </c>
    </row>
    <row r="1139" spans="1:20" ht="16.5" customHeight="1">
      <c r="A1139" t="s">
        <v>64</v>
      </c>
      <c r="B1139" s="10" t="str">
        <f>'6월'!B101</f>
        <v>SM-25021</v>
      </c>
      <c r="C1139" s="145"/>
      <c r="D1139" s="65"/>
      <c r="E1139" s="160" t="str">
        <f>'6월'!E101</f>
        <v>디씨에스에스테크놀러지코리아</v>
      </c>
      <c r="F1139" s="160" t="str">
        <f>'6월'!F101</f>
        <v>로보츠</v>
      </c>
      <c r="G1139" s="157" t="str">
        <f>'6월'!G101</f>
        <v>MA</v>
      </c>
      <c r="H1139" s="157" t="str">
        <f>'6월'!H101</f>
        <v>월간-DCSS</v>
      </c>
      <c r="I1139" s="69" t="str">
        <f>'6월'!I101</f>
        <v>조광피혁 6월 유지정비료 - 2/12회</v>
      </c>
      <c r="J1139" s="122">
        <f>'6월'!J101</f>
        <v>1</v>
      </c>
      <c r="K1139" s="15">
        <f>'6월'!K101</f>
        <v>33000</v>
      </c>
      <c r="L1139" s="125"/>
      <c r="M1139" s="125"/>
      <c r="N1139" s="126"/>
      <c r="O1139" s="99"/>
      <c r="P1139" s="9" t="str">
        <f>'6월'!P101</f>
        <v>천범석</v>
      </c>
      <c r="Q1139" s="5">
        <f>'6월'!Q101</f>
        <v>45833</v>
      </c>
      <c r="R1139" s="213"/>
    </row>
    <row r="1140" spans="1:20" ht="16.5" customHeight="1">
      <c r="A1140" t="s">
        <v>64</v>
      </c>
      <c r="B1140" s="10" t="str">
        <f>'6월'!B102</f>
        <v>SM-25023</v>
      </c>
      <c r="C1140" s="145"/>
      <c r="D1140" s="65"/>
      <c r="E1140" s="160" t="str">
        <f>'6월'!E102</f>
        <v>디씨에스에스테크놀러지코리아</v>
      </c>
      <c r="F1140" s="160" t="str">
        <f>'6월'!F102</f>
        <v>로보츠</v>
      </c>
      <c r="G1140" s="157" t="str">
        <f>'6월'!G102</f>
        <v>MA</v>
      </c>
      <c r="H1140" s="157" t="str">
        <f>'6월'!H102</f>
        <v>월간-DCSS</v>
      </c>
      <c r="I1140" s="69" t="str">
        <f>'6월'!I102</f>
        <v>와이케이케이 6월 유지정비료 - 2/12회</v>
      </c>
      <c r="J1140" s="122">
        <f>'6월'!J102</f>
        <v>1</v>
      </c>
      <c r="K1140" s="15">
        <f>'6월'!K102</f>
        <v>69000</v>
      </c>
      <c r="L1140" s="125"/>
      <c r="M1140" s="125"/>
      <c r="N1140" s="126"/>
      <c r="O1140" s="99"/>
      <c r="P1140" s="9" t="str">
        <f>'6월'!P102</f>
        <v>천범석</v>
      </c>
      <c r="Q1140" s="5">
        <f>'6월'!Q102</f>
        <v>45833</v>
      </c>
      <c r="R1140" s="213"/>
    </row>
    <row r="1141" spans="1:20" ht="16.5" customHeight="1">
      <c r="A1141" t="s">
        <v>64</v>
      </c>
      <c r="B1141" s="10" t="str">
        <f>'6월'!B103</f>
        <v>SM-25025</v>
      </c>
      <c r="C1141" s="145"/>
      <c r="D1141" s="65"/>
      <c r="E1141" s="160" t="str">
        <f>'6월'!E103</f>
        <v>디씨에스에스테크놀러지코리아</v>
      </c>
      <c r="F1141" s="160" t="str">
        <f>'6월'!F103</f>
        <v>케이엠디엠</v>
      </c>
      <c r="G1141" s="157" t="str">
        <f>'6월'!G103</f>
        <v>MA</v>
      </c>
      <c r="H1141" s="157" t="str">
        <f>'6월'!H103</f>
        <v>월간-DCSS</v>
      </c>
      <c r="I1141" s="69" t="str">
        <f>'6월'!I103</f>
        <v>경북소방본부 6월 유지정비료 - 1/12회</v>
      </c>
      <c r="J1141" s="122">
        <f>'6월'!J103</f>
        <v>1</v>
      </c>
      <c r="K1141" s="15">
        <f>'6월'!K103</f>
        <v>14000</v>
      </c>
      <c r="L1141" s="125"/>
      <c r="M1141" s="125"/>
      <c r="N1141" s="126"/>
      <c r="O1141" s="99"/>
      <c r="P1141" s="9" t="str">
        <f>'6월'!P103</f>
        <v>천범석</v>
      </c>
      <c r="Q1141" s="5">
        <f>'6월'!Q103</f>
        <v>45838</v>
      </c>
      <c r="R1141" s="213" t="str">
        <f>'6월'!R103</f>
        <v>매출연간</v>
      </c>
    </row>
    <row r="1142" spans="1:20" ht="16.5" customHeight="1">
      <c r="A1142" t="s">
        <v>64</v>
      </c>
      <c r="B1142" s="10" t="str">
        <f>'6월'!B104</f>
        <v>SM-24003</v>
      </c>
      <c r="C1142" s="142"/>
      <c r="D1142" s="13">
        <f>'6월'!D104</f>
        <v>45838</v>
      </c>
      <c r="E1142" s="155" t="str">
        <f>'6월'!E104</f>
        <v>프라테르</v>
      </c>
      <c r="F1142" s="155" t="str">
        <f>'6월'!F104</f>
        <v>삼표산업</v>
      </c>
      <c r="G1142" s="157" t="str">
        <f>'6월'!G104</f>
        <v>MA</v>
      </c>
      <c r="H1142" s="157" t="str">
        <f>'6월'!H104</f>
        <v>월간</v>
      </c>
      <c r="I1142" s="69" t="str">
        <f>'6월'!I104</f>
        <v>6월 오라클 유지정비료 - 6/12회</v>
      </c>
      <c r="J1142" s="124">
        <f>'6월'!J104</f>
        <v>1</v>
      </c>
      <c r="K1142" s="16">
        <f>'6월'!K104</f>
        <v>672000</v>
      </c>
      <c r="L1142" s="15">
        <f>'6월'!L104</f>
        <v>672000</v>
      </c>
      <c r="M1142" s="16">
        <f>'6월'!M104</f>
        <v>67200</v>
      </c>
      <c r="N1142" s="15">
        <f>'6월'!N104</f>
        <v>739200</v>
      </c>
      <c r="O1142" s="5" t="str">
        <f>'6월'!O104</f>
        <v>완료(7/31)</v>
      </c>
      <c r="P1142" s="175" t="str">
        <f>'6월'!P104</f>
        <v>홍승민</v>
      </c>
      <c r="Q1142" s="5">
        <f>'6월'!Q104</f>
        <v>45838</v>
      </c>
      <c r="R1142" s="212"/>
      <c r="S1142" s="7"/>
      <c r="T1142" s="11"/>
    </row>
    <row r="1143" spans="1:20" ht="16.5" customHeight="1">
      <c r="A1143" t="s">
        <v>64</v>
      </c>
      <c r="B1143" s="141" t="str">
        <f>'6월'!B105</f>
        <v>X</v>
      </c>
      <c r="C1143" s="12"/>
      <c r="D1143" s="13">
        <f>'6월'!D105</f>
        <v>45838</v>
      </c>
      <c r="E1143" s="155" t="str">
        <f>'6월'!E105</f>
        <v>신한회계법인</v>
      </c>
      <c r="F1143" s="163"/>
      <c r="G1143" s="156" t="str">
        <f>'6월'!G105</f>
        <v>일반경비</v>
      </c>
      <c r="H1143" s="157" t="str">
        <f>'6월'!H105</f>
        <v>지급수수료</v>
      </c>
      <c r="I1143" s="159" t="str">
        <f>'6월'!I105</f>
        <v>6월 기장료</v>
      </c>
      <c r="J1143" s="124">
        <f>'6월'!J105</f>
        <v>1</v>
      </c>
      <c r="K1143" s="188">
        <f>'6월'!K105</f>
        <v>200000</v>
      </c>
      <c r="L1143" s="15">
        <f>'6월'!L105</f>
        <v>200000</v>
      </c>
      <c r="M1143" s="15">
        <f>'6월'!M105</f>
        <v>20000</v>
      </c>
      <c r="N1143" s="15">
        <f>'6월'!N105</f>
        <v>220000</v>
      </c>
      <c r="O1143" s="5" t="str">
        <f>'6월'!O105</f>
        <v>완료(7/15)</v>
      </c>
      <c r="P1143" s="175" t="str">
        <f>'6월'!P105</f>
        <v>정지우</v>
      </c>
      <c r="Q1143" s="68" t="str">
        <f>'6월'!Q105</f>
        <v>X</v>
      </c>
      <c r="R1143" s="211"/>
      <c r="S1143" s="7"/>
      <c r="T1143" s="11"/>
    </row>
    <row r="1144" spans="1:20" ht="16.5" customHeight="1">
      <c r="A1144" t="s">
        <v>64</v>
      </c>
      <c r="B1144" s="140" t="str">
        <f>'6월'!B106</f>
        <v>SM-24021</v>
      </c>
      <c r="C1144" s="142"/>
      <c r="D1144" s="13">
        <f>'6월'!D106</f>
        <v>45838</v>
      </c>
      <c r="E1144" s="155" t="str">
        <f>'6월'!E106</f>
        <v>키미데이타</v>
      </c>
      <c r="F1144" s="155" t="str">
        <f>'6월'!F106</f>
        <v>에이캐피탈</v>
      </c>
      <c r="G1144" s="157" t="str">
        <f>'6월'!G106</f>
        <v>MA</v>
      </c>
      <c r="H1144" s="157" t="str">
        <f>'6월'!H106</f>
        <v>월간</v>
      </c>
      <c r="I1144" s="69" t="str">
        <f>'6월'!I106</f>
        <v>6월 유지정비료 - 10/12회</v>
      </c>
      <c r="J1144" s="124">
        <f>'6월'!J106</f>
        <v>1</v>
      </c>
      <c r="K1144" s="16">
        <f>'6월'!K106</f>
        <v>70000</v>
      </c>
      <c r="L1144" s="15">
        <f>'6월'!L106</f>
        <v>70000</v>
      </c>
      <c r="M1144" s="15">
        <f>'6월'!M106</f>
        <v>7000</v>
      </c>
      <c r="N1144" s="15">
        <f>'6월'!N106</f>
        <v>77000</v>
      </c>
      <c r="O1144" s="5" t="str">
        <f>'6월'!O106</f>
        <v>완료(8/29)</v>
      </c>
      <c r="P1144" s="175" t="str">
        <f>'6월'!P106</f>
        <v>이예지</v>
      </c>
      <c r="Q1144" s="5">
        <f>'6월'!Q106</f>
        <v>45843</v>
      </c>
      <c r="R1144" s="212"/>
      <c r="S1144" s="7"/>
      <c r="T1144" s="11"/>
    </row>
    <row r="1145" spans="1:20" ht="16.5" customHeight="1">
      <c r="A1145" t="s">
        <v>64</v>
      </c>
      <c r="B1145" s="10" t="str">
        <f>'6월'!B107</f>
        <v>SM-24003</v>
      </c>
      <c r="C1145" s="142"/>
      <c r="D1145" s="13">
        <f>'6월'!D107</f>
        <v>45838</v>
      </c>
      <c r="E1145" s="155" t="str">
        <f>'6월'!E107</f>
        <v>현성솔루션</v>
      </c>
      <c r="F1145" s="155" t="str">
        <f>'6월'!F107</f>
        <v>삼표산업</v>
      </c>
      <c r="G1145" s="157" t="str">
        <f>'6월'!G107</f>
        <v>MA</v>
      </c>
      <c r="H1145" s="157" t="str">
        <f>'6월'!H107</f>
        <v>월간</v>
      </c>
      <c r="I1145" s="69" t="str">
        <f>'6월'!I107</f>
        <v>파이오링크 L4 6월 유지정비료 - 6/12회</v>
      </c>
      <c r="J1145" s="124">
        <f>'6월'!J107</f>
        <v>1</v>
      </c>
      <c r="K1145" s="16">
        <f>'6월'!K107</f>
        <v>100000</v>
      </c>
      <c r="L1145" s="15">
        <f>'6월'!L107</f>
        <v>100000</v>
      </c>
      <c r="M1145" s="15">
        <f>'6월'!M107</f>
        <v>10000</v>
      </c>
      <c r="N1145" s="15">
        <f>'6월'!N107</f>
        <v>110000</v>
      </c>
      <c r="O1145" s="5" t="str">
        <f>'6월'!O107</f>
        <v>완료(7/31)</v>
      </c>
      <c r="P1145" s="175" t="str">
        <f>'6월'!P107</f>
        <v>홍승민</v>
      </c>
      <c r="Q1145" s="5">
        <f>'6월'!Q107</f>
        <v>45838</v>
      </c>
      <c r="R1145" s="212"/>
      <c r="S1145" s="7"/>
      <c r="T1145" s="11"/>
    </row>
    <row r="1146" spans="1:20" ht="16.5" customHeight="1">
      <c r="A1146" t="s">
        <v>64</v>
      </c>
      <c r="B1146" s="140" t="str">
        <f>'6월'!B108</f>
        <v>SM-23025</v>
      </c>
      <c r="C1146" s="12"/>
      <c r="D1146" s="13">
        <f>'6월'!D108</f>
        <v>45838</v>
      </c>
      <c r="E1146" s="155" t="str">
        <f>'6월'!E108</f>
        <v>현성솔루션</v>
      </c>
      <c r="F1146" s="155" t="str">
        <f>'6월'!F108</f>
        <v>한국교과서협회</v>
      </c>
      <c r="G1146" s="157" t="str">
        <f>'6월'!G108</f>
        <v>MA</v>
      </c>
      <c r="H1146" s="167" t="str">
        <f>'6월'!H108</f>
        <v>월간</v>
      </c>
      <c r="I1146" s="69" t="str">
        <f>'6월'!I108</f>
        <v>메일호스팅 6월 - 11/12회</v>
      </c>
      <c r="J1146" s="124">
        <f>'6월'!J108</f>
        <v>1</v>
      </c>
      <c r="K1146" s="16">
        <f>'6월'!K108</f>
        <v>595000</v>
      </c>
      <c r="L1146" s="15">
        <f>'6월'!L108</f>
        <v>595000</v>
      </c>
      <c r="M1146" s="15">
        <f>'6월'!M108</f>
        <v>59500</v>
      </c>
      <c r="N1146" s="15">
        <f>'6월'!N108</f>
        <v>654500</v>
      </c>
      <c r="O1146" s="5" t="str">
        <f>'6월'!O108</f>
        <v>완료(7/31)</v>
      </c>
      <c r="P1146" s="174" t="str">
        <f>'6월'!P108</f>
        <v>천범석</v>
      </c>
      <c r="Q1146" s="5">
        <f>'6월'!Q108</f>
        <v>45838</v>
      </c>
      <c r="R1146" s="211"/>
      <c r="S1146" s="7"/>
      <c r="T1146" s="11"/>
    </row>
    <row r="1147" spans="1:20" ht="16.5" customHeight="1">
      <c r="A1147" t="s">
        <v>64</v>
      </c>
      <c r="B1147" s="140" t="str">
        <f>'6월'!B109</f>
        <v>SM-23026</v>
      </c>
      <c r="C1147" s="12"/>
      <c r="D1147" s="13">
        <f>'6월'!D109</f>
        <v>45838</v>
      </c>
      <c r="E1147" s="155" t="str">
        <f>'6월'!E109</f>
        <v>현성솔루션</v>
      </c>
      <c r="F1147" s="155" t="str">
        <f>'6월'!F109</f>
        <v>한국교과서협회</v>
      </c>
      <c r="G1147" s="157" t="str">
        <f>'6월'!G109</f>
        <v>MA</v>
      </c>
      <c r="H1147" s="167" t="str">
        <f>'6월'!H109</f>
        <v>월간</v>
      </c>
      <c r="I1147" s="69" t="str">
        <f>'6월'!I109</f>
        <v>6월 유지정비료 - 11/12회</v>
      </c>
      <c r="J1147" s="124">
        <f>'6월'!J109</f>
        <v>1</v>
      </c>
      <c r="K1147" s="188">
        <f>'6월'!K109</f>
        <v>840000</v>
      </c>
      <c r="L1147" s="15">
        <f>'6월'!L109</f>
        <v>840000</v>
      </c>
      <c r="M1147" s="15">
        <f>'6월'!M109</f>
        <v>84000</v>
      </c>
      <c r="N1147" s="15">
        <f>'6월'!N109</f>
        <v>924000</v>
      </c>
      <c r="O1147" s="5" t="str">
        <f>'6월'!O109</f>
        <v>완료(7/31)</v>
      </c>
      <c r="P1147" s="174" t="str">
        <f>'6월'!P109</f>
        <v>천범석</v>
      </c>
      <c r="Q1147" s="5">
        <f>'6월'!Q109</f>
        <v>45838</v>
      </c>
      <c r="R1147" s="211"/>
      <c r="S1147" s="7"/>
      <c r="T1147" s="11"/>
    </row>
    <row r="1148" spans="1:20" ht="16.5" customHeight="1">
      <c r="A1148" t="s">
        <v>64</v>
      </c>
      <c r="B1148" s="10" t="str">
        <f>'6월'!B110</f>
        <v>SM-25020</v>
      </c>
      <c r="C1148" s="12"/>
      <c r="D1148" s="13">
        <f>'6월'!D110</f>
        <v>45838</v>
      </c>
      <c r="E1148" s="155" t="str">
        <f>'6월'!E110</f>
        <v>디에스티인터내셔널</v>
      </c>
      <c r="F1148" s="155" t="str">
        <f>'6월'!F110</f>
        <v>신동아건설</v>
      </c>
      <c r="G1148" s="157" t="str">
        <f>'6월'!G110</f>
        <v>MA</v>
      </c>
      <c r="H1148" s="167" t="str">
        <f>'6월'!H110</f>
        <v>월간</v>
      </c>
      <c r="I1148" s="69" t="str">
        <f>'6월'!I110</f>
        <v>5월 유지정비료 - 1/12회</v>
      </c>
      <c r="J1148" s="122">
        <f>'6월'!J110</f>
        <v>1</v>
      </c>
      <c r="K1148" s="15">
        <f>'6월'!K110</f>
        <v>100000</v>
      </c>
      <c r="L1148" s="16">
        <f>'6월'!L110</f>
        <v>100000</v>
      </c>
      <c r="M1148" s="16">
        <f>'6월'!M110</f>
        <v>10000</v>
      </c>
      <c r="N1148" s="15">
        <f>'6월'!N110</f>
        <v>110000</v>
      </c>
      <c r="O1148" s="5" t="str">
        <f>'6월'!O110</f>
        <v>완료(7/31)</v>
      </c>
      <c r="P1148" s="174" t="str">
        <f>'6월'!P110</f>
        <v>천범석</v>
      </c>
      <c r="Q1148" s="5">
        <f>'6월'!Q110</f>
        <v>45797</v>
      </c>
      <c r="R1148" s="209"/>
    </row>
    <row r="1149" spans="1:20" ht="16.5" customHeight="1">
      <c r="A1149" t="s">
        <v>64</v>
      </c>
      <c r="B1149" s="10" t="str">
        <f>'6월'!B111</f>
        <v>SM-25020</v>
      </c>
      <c r="C1149" s="12"/>
      <c r="D1149" s="13">
        <f>'6월'!D111</f>
        <v>45838</v>
      </c>
      <c r="E1149" s="155" t="str">
        <f>'6월'!E111</f>
        <v>디에스티인터내셔널</v>
      </c>
      <c r="F1149" s="155" t="str">
        <f>'6월'!F111</f>
        <v>신동아건설</v>
      </c>
      <c r="G1149" s="157" t="str">
        <f>'6월'!G111</f>
        <v>MA</v>
      </c>
      <c r="H1149" s="167" t="str">
        <f>'6월'!H111</f>
        <v>월간</v>
      </c>
      <c r="I1149" s="69" t="str">
        <f>'6월'!I111</f>
        <v>6월 유지정비료 - 2/12회</v>
      </c>
      <c r="J1149" s="122">
        <f>'6월'!J111</f>
        <v>1</v>
      </c>
      <c r="K1149" s="15">
        <f>'6월'!K111</f>
        <v>100000</v>
      </c>
      <c r="L1149" s="16">
        <f>'6월'!L111</f>
        <v>100000</v>
      </c>
      <c r="M1149" s="16">
        <f>'6월'!M111</f>
        <v>10000</v>
      </c>
      <c r="N1149" s="15">
        <f>'6월'!N111</f>
        <v>110000</v>
      </c>
      <c r="O1149" s="5" t="str">
        <f>'6월'!O111</f>
        <v>완료(7/31)</v>
      </c>
      <c r="P1149" s="174" t="str">
        <f>'6월'!P111</f>
        <v>천범석</v>
      </c>
      <c r="Q1149" s="5">
        <f>'6월'!Q111</f>
        <v>45828</v>
      </c>
      <c r="R1149" s="209"/>
    </row>
    <row r="1150" spans="1:20" ht="16.5" customHeight="1">
      <c r="A1150" t="s">
        <v>64</v>
      </c>
      <c r="B1150" s="141" t="str">
        <f>'6월'!B112</f>
        <v>X</v>
      </c>
      <c r="C1150" s="142"/>
      <c r="D1150" s="13">
        <f>'6월'!D112</f>
        <v>45838</v>
      </c>
      <c r="E1150" s="155" t="str">
        <f>'6월'!E112</f>
        <v>금오이노베이션</v>
      </c>
      <c r="F1150" s="155"/>
      <c r="G1150" s="156" t="str">
        <f>'6월'!G112</f>
        <v>일반경비</v>
      </c>
      <c r="H1150" s="156" t="str">
        <f>'6월'!H112</f>
        <v>통신비</v>
      </c>
      <c r="I1150" s="69" t="str">
        <f>'6월'!I112</f>
        <v>기업(구내) 6월 인터넷 사용료</v>
      </c>
      <c r="J1150" s="124">
        <f>'6월'!J112</f>
        <v>1</v>
      </c>
      <c r="K1150" s="16">
        <f>'6월'!K112</f>
        <v>40000</v>
      </c>
      <c r="L1150" s="15">
        <f>'6월'!L112</f>
        <v>40000</v>
      </c>
      <c r="M1150" s="15">
        <f>'6월'!M112</f>
        <v>4000</v>
      </c>
      <c r="N1150" s="15">
        <f>'6월'!N112</f>
        <v>44000</v>
      </c>
      <c r="O1150" s="5" t="str">
        <f>'6월'!O112</f>
        <v>자동이체(7/10)</v>
      </c>
      <c r="P1150" s="175" t="str">
        <f>'6월'!P112</f>
        <v>정지우</v>
      </c>
      <c r="Q1150" s="68" t="str">
        <f>'6월'!Q112</f>
        <v>X</v>
      </c>
      <c r="R1150" s="212"/>
      <c r="S1150" s="7"/>
      <c r="T1150" s="11"/>
    </row>
    <row r="1151" spans="1:20" ht="16.5" customHeight="1">
      <c r="A1151" t="s">
        <v>64</v>
      </c>
      <c r="B1151" s="141" t="str">
        <f>'6월'!B113</f>
        <v>SM-24003</v>
      </c>
      <c r="C1151" s="142"/>
      <c r="D1151" s="13">
        <f>'6월'!D113</f>
        <v>45838</v>
      </c>
      <c r="E1151" s="155" t="str">
        <f>'6월'!E113</f>
        <v>트리거정보기술</v>
      </c>
      <c r="F1151" s="155" t="str">
        <f>'6월'!F113</f>
        <v>삼표산업</v>
      </c>
      <c r="G1151" s="157" t="str">
        <f>'6월'!G113</f>
        <v>MA</v>
      </c>
      <c r="H1151" s="157" t="str">
        <f>'6월'!H113</f>
        <v>월간</v>
      </c>
      <c r="I1151" s="69" t="str">
        <f>'6월'!I113</f>
        <v>삼표시멘트 6월 유지정비료 6/12회</v>
      </c>
      <c r="J1151" s="124">
        <f>'6월'!J113</f>
        <v>1</v>
      </c>
      <c r="K1151" s="16">
        <f>'6월'!K113</f>
        <v>700000</v>
      </c>
      <c r="L1151" s="16">
        <f>'6월'!L113</f>
        <v>700000</v>
      </c>
      <c r="M1151" s="16">
        <f>'6월'!M113</f>
        <v>70000</v>
      </c>
      <c r="N1151" s="15">
        <f>'6월'!N113</f>
        <v>770000</v>
      </c>
      <c r="O1151" s="5" t="str">
        <f>'6월'!O113</f>
        <v>완료(7/31)</v>
      </c>
      <c r="P1151" s="177" t="str">
        <f>'6월'!P113</f>
        <v>홍승민</v>
      </c>
      <c r="Q1151" s="5">
        <f>'6월'!Q113</f>
        <v>45838</v>
      </c>
      <c r="R1151" s="212"/>
      <c r="S1151" s="7"/>
      <c r="T1151" s="11"/>
    </row>
    <row r="1152" spans="1:20" ht="16.5" customHeight="1">
      <c r="A1152" t="s">
        <v>64</v>
      </c>
      <c r="B1152" s="10" t="str">
        <f>'6월'!B114</f>
        <v>Y250612-01</v>
      </c>
      <c r="C1152" s="12"/>
      <c r="D1152" s="13">
        <f>'6월'!D114</f>
        <v>45838</v>
      </c>
      <c r="E1152" s="155" t="str">
        <f>'6월'!E114</f>
        <v>다솜테크</v>
      </c>
      <c r="F1152" s="155" t="str">
        <f>'6월'!F114</f>
        <v>온피아</v>
      </c>
      <c r="G1152" s="156" t="str">
        <f>'6월'!G114</f>
        <v>상품</v>
      </c>
      <c r="H1152" s="156" t="str">
        <f>'6월'!H114</f>
        <v>서버</v>
      </c>
      <c r="I1152" s="69" t="str">
        <f>'6월'!I114</f>
        <v>Lenovo ThinkSystem SR250v3</v>
      </c>
      <c r="J1152" s="122">
        <f>'6월'!J114</f>
        <v>1</v>
      </c>
      <c r="K1152" s="15">
        <f>'6월'!K114</f>
        <v>2900000</v>
      </c>
      <c r="L1152" s="16">
        <f>'6월'!L114</f>
        <v>2900000</v>
      </c>
      <c r="M1152" s="16">
        <f>'6월'!M114</f>
        <v>290000</v>
      </c>
      <c r="N1152" s="15">
        <f>'6월'!N114</f>
        <v>3190000</v>
      </c>
      <c r="O1152" s="5" t="str">
        <f>'6월'!O114</f>
        <v>완료(8/29)</v>
      </c>
      <c r="P1152" s="9" t="str">
        <f>'6월'!P114</f>
        <v>홍승민</v>
      </c>
      <c r="Q1152" s="5">
        <f>'6월'!Q114</f>
        <v>45835</v>
      </c>
      <c r="R1152" s="213"/>
    </row>
    <row r="1153" spans="1:21" ht="16.5" customHeight="1">
      <c r="A1153" t="s">
        <v>64</v>
      </c>
      <c r="B1153" s="10" t="str">
        <f>'6월'!B115</f>
        <v>Y250613-01</v>
      </c>
      <c r="C1153" s="12"/>
      <c r="D1153" s="13">
        <f>'6월'!D115</f>
        <v>45838</v>
      </c>
      <c r="E1153" s="155" t="str">
        <f>'6월'!E115</f>
        <v>다솜테크</v>
      </c>
      <c r="F1153" s="155" t="str">
        <f>'6월'!F115</f>
        <v>온피아</v>
      </c>
      <c r="G1153" s="156" t="str">
        <f>'6월'!G115</f>
        <v>상품</v>
      </c>
      <c r="H1153" s="156" t="str">
        <f>'6월'!H115</f>
        <v>서버</v>
      </c>
      <c r="I1153" s="69" t="str">
        <f>'6월'!I115</f>
        <v>ThinkSystem SR630 V2</v>
      </c>
      <c r="J1153" s="122">
        <f>'6월'!J115</f>
        <v>3</v>
      </c>
      <c r="K1153" s="15">
        <f>'6월'!K115</f>
        <v>5050000</v>
      </c>
      <c r="L1153" s="16">
        <f>'6월'!L115</f>
        <v>17850000</v>
      </c>
      <c r="M1153" s="16">
        <f>'6월'!M115</f>
        <v>1785000</v>
      </c>
      <c r="N1153" s="15">
        <f>'6월'!N115</f>
        <v>19635000</v>
      </c>
      <c r="O1153" s="5" t="str">
        <f>'6월'!O115</f>
        <v>완료(8/29)</v>
      </c>
      <c r="P1153" s="9" t="str">
        <f>'6월'!P115</f>
        <v>홍승민</v>
      </c>
      <c r="Q1153" s="5">
        <f>'6월'!Q115</f>
        <v>45835</v>
      </c>
      <c r="R1153" s="213"/>
    </row>
    <row r="1154" spans="1:21" ht="16.5" customHeight="1">
      <c r="A1154" t="s">
        <v>64</v>
      </c>
      <c r="B1154" s="147"/>
      <c r="C1154" s="145"/>
      <c r="D1154" s="65"/>
      <c r="E1154" s="160" t="str">
        <f>'6월'!E116</f>
        <v>다솜테크</v>
      </c>
      <c r="F1154" s="160" t="str">
        <f>'6월'!F116</f>
        <v>온피아</v>
      </c>
      <c r="G1154" s="156" t="str">
        <f>'6월'!G116</f>
        <v>상품</v>
      </c>
      <c r="H1154" s="156" t="str">
        <f>'6월'!H116</f>
        <v>서버</v>
      </c>
      <c r="I1154" s="69" t="str">
        <f>'6월'!I116</f>
        <v>ThinkSystem SR250 V3</v>
      </c>
      <c r="J1154" s="122">
        <f>'6월'!J116</f>
        <v>1</v>
      </c>
      <c r="K1154" s="15">
        <f>'6월'!K116</f>
        <v>2700000</v>
      </c>
      <c r="L1154" s="125"/>
      <c r="M1154" s="125"/>
      <c r="N1154" s="126"/>
      <c r="O1154" s="99"/>
      <c r="P1154" s="176"/>
      <c r="Q1154" s="99"/>
      <c r="R1154" s="209"/>
    </row>
    <row r="1155" spans="1:21" ht="16.5" customHeight="1">
      <c r="A1155" t="s">
        <v>64</v>
      </c>
      <c r="B1155" s="10" t="str">
        <f>'6월'!B117</f>
        <v>Y250616-02</v>
      </c>
      <c r="C1155" s="12"/>
      <c r="D1155" s="13">
        <f>'6월'!D117</f>
        <v>45838</v>
      </c>
      <c r="E1155" s="155" t="str">
        <f>'6월'!E117</f>
        <v>다솜테크</v>
      </c>
      <c r="F1155" s="155" t="str">
        <f>'6월'!F117</f>
        <v>온피아</v>
      </c>
      <c r="G1155" s="156" t="str">
        <f>'6월'!G117</f>
        <v>상품</v>
      </c>
      <c r="H1155" s="156" t="str">
        <f>'6월'!H117</f>
        <v>서버</v>
      </c>
      <c r="I1155" s="69" t="str">
        <f>'6월'!I117</f>
        <v>ThinkSystem SR250 V3</v>
      </c>
      <c r="J1155" s="122">
        <f>'6월'!J117</f>
        <v>1</v>
      </c>
      <c r="K1155" s="15">
        <f>'6월'!K117</f>
        <v>2450000</v>
      </c>
      <c r="L1155" s="16">
        <f>'6월'!L117</f>
        <v>2450000</v>
      </c>
      <c r="M1155" s="16">
        <f>'6월'!M117</f>
        <v>245000</v>
      </c>
      <c r="N1155" s="15">
        <f>'6월'!N117</f>
        <v>2695000</v>
      </c>
      <c r="O1155" s="5" t="str">
        <f>'6월'!O117</f>
        <v>완료(8/29)</v>
      </c>
      <c r="P1155" s="9" t="str">
        <f>'6월'!P117</f>
        <v>홍승민</v>
      </c>
      <c r="Q1155" s="5">
        <f>'6월'!Q117</f>
        <v>45835</v>
      </c>
      <c r="R1155" s="213"/>
    </row>
    <row r="1156" spans="1:21" ht="16.5" customHeight="1">
      <c r="A1156" t="s">
        <v>64</v>
      </c>
      <c r="B1156" s="10" t="str">
        <f>'6월'!B118</f>
        <v>SB-24007</v>
      </c>
      <c r="C1156" s="12"/>
      <c r="D1156" s="13">
        <f>'6월'!D118</f>
        <v>45838</v>
      </c>
      <c r="E1156" s="155" t="str">
        <f>'6월'!E118</f>
        <v>다솜테크</v>
      </c>
      <c r="F1156" s="155" t="str">
        <f>'6월'!F118</f>
        <v>와이젠정보기술</v>
      </c>
      <c r="G1156" s="157" t="str">
        <f>'6월'!G118</f>
        <v>MA</v>
      </c>
      <c r="H1156" s="156" t="str">
        <f>'6월'!H118</f>
        <v>월간</v>
      </c>
      <c r="I1156" s="69" t="str">
        <f>'6월'!I118</f>
        <v>안국약품 6월 기술지원료 - 6/12회</v>
      </c>
      <c r="J1156" s="122">
        <f>'6월'!J118</f>
        <v>1</v>
      </c>
      <c r="K1156" s="15">
        <f>'6월'!K118</f>
        <v>250000</v>
      </c>
      <c r="L1156" s="16">
        <f>'6월'!L118</f>
        <v>250000</v>
      </c>
      <c r="M1156" s="16">
        <f>'6월'!M118</f>
        <v>25000</v>
      </c>
      <c r="N1156" s="15">
        <f>'6월'!N118</f>
        <v>275000</v>
      </c>
      <c r="O1156" s="5" t="str">
        <f>'6월'!O118</f>
        <v>완료(8/29)</v>
      </c>
      <c r="P1156" s="9" t="str">
        <f>'6월'!P118</f>
        <v>천범석</v>
      </c>
      <c r="Q1156" s="5">
        <f>'6월'!Q118</f>
        <v>45838</v>
      </c>
      <c r="R1156" s="209"/>
      <c r="U1156" s="11"/>
    </row>
    <row r="1157" spans="1:21" ht="16.5" customHeight="1">
      <c r="A1157" t="s">
        <v>64</v>
      </c>
      <c r="B1157" s="10" t="str">
        <f>'6월'!B119</f>
        <v>IK-25002</v>
      </c>
      <c r="C1157" s="12"/>
      <c r="D1157" s="13">
        <f>'6월'!D119</f>
        <v>45838</v>
      </c>
      <c r="E1157" s="155" t="str">
        <f>'6월'!E119</f>
        <v>티에스씨인포</v>
      </c>
      <c r="F1157" s="155" t="str">
        <f>'6월'!F119</f>
        <v>시너지온</v>
      </c>
      <c r="G1157" s="157" t="str">
        <f>'6월'!G119</f>
        <v>MA</v>
      </c>
      <c r="H1157" s="157" t="str">
        <f>'6월'!H119</f>
        <v>월간</v>
      </c>
      <c r="I1157" s="69" t="str">
        <f>'6월'!I119</f>
        <v>명지병원 6월 정기점검 - 4/12회</v>
      </c>
      <c r="J1157" s="122">
        <f>'6월'!J119</f>
        <v>1</v>
      </c>
      <c r="K1157" s="15">
        <f>'6월'!K119</f>
        <v>300000</v>
      </c>
      <c r="L1157" s="16">
        <f>'6월'!L119</f>
        <v>300000</v>
      </c>
      <c r="M1157" s="16">
        <f>'6월'!M119</f>
        <v>30000</v>
      </c>
      <c r="N1157" s="15">
        <f>'6월'!N119</f>
        <v>330000</v>
      </c>
      <c r="O1157" s="5" t="str">
        <f>'6월'!O119</f>
        <v>완료(7/31)</v>
      </c>
      <c r="P1157" s="175" t="str">
        <f>'6월'!P119</f>
        <v>정지우</v>
      </c>
      <c r="Q1157" s="5">
        <f>'6월'!Q119</f>
        <v>45828</v>
      </c>
      <c r="R1157" s="213"/>
    </row>
    <row r="1158" spans="1:21" ht="16.5" customHeight="1">
      <c r="A1158" t="s">
        <v>64</v>
      </c>
      <c r="B1158" s="141" t="str">
        <f>'6월'!B120</f>
        <v>SM-23031</v>
      </c>
      <c r="C1158" s="144"/>
      <c r="D1158" s="13">
        <f>'6월'!D120</f>
        <v>45838</v>
      </c>
      <c r="E1158" s="155" t="str">
        <f>'6월'!E120</f>
        <v>신세계아이앤씨</v>
      </c>
      <c r="F1158" s="164" t="str">
        <f>'6월'!F120</f>
        <v>온피아</v>
      </c>
      <c r="G1158" s="158" t="str">
        <f>'6월'!G120</f>
        <v>MA</v>
      </c>
      <c r="H1158" s="165" t="str">
        <f>'6월'!H120</f>
        <v>월간</v>
      </c>
      <c r="I1158" s="166" t="str">
        <f>'6월'!I120</f>
        <v>삼표 DB접근제어 유지보수 6월 - 11/12회</v>
      </c>
      <c r="J1158" s="127">
        <f>'6월'!J120</f>
        <v>1</v>
      </c>
      <c r="K1158" s="15">
        <f>'6월'!K120</f>
        <v>600000</v>
      </c>
      <c r="L1158" s="16">
        <f>'6월'!L120</f>
        <v>600000</v>
      </c>
      <c r="M1158" s="16">
        <f>'6월'!M120</f>
        <v>60000</v>
      </c>
      <c r="N1158" s="15">
        <f>'6월'!N120</f>
        <v>660000</v>
      </c>
      <c r="O1158" s="5" t="str">
        <f>'6월'!O120</f>
        <v>완료(7/31)</v>
      </c>
      <c r="P1158" s="9" t="str">
        <f>'6월'!P120</f>
        <v>이예지</v>
      </c>
      <c r="Q1158" s="5">
        <f>'6월'!Q120</f>
        <v>45838</v>
      </c>
      <c r="R1158" s="209"/>
      <c r="T1158" s="11"/>
    </row>
    <row r="1159" spans="1:21" ht="16.5" customHeight="1">
      <c r="A1159" t="s">
        <v>64</v>
      </c>
      <c r="B1159" s="10" t="str">
        <f>'6월'!B121</f>
        <v>S</v>
      </c>
      <c r="C1159" s="12"/>
      <c r="D1159" s="13">
        <f>'6월'!D121</f>
        <v>45838</v>
      </c>
      <c r="E1159" s="155" t="str">
        <f>'6월'!E121</f>
        <v>컴퓨존</v>
      </c>
      <c r="F1159" s="155"/>
      <c r="G1159" s="156" t="str">
        <f>'6월'!G121</f>
        <v>상품</v>
      </c>
      <c r="H1159" s="156" t="str">
        <f>'6월'!H121</f>
        <v>조립PC</v>
      </c>
      <c r="I1159" s="69" t="str">
        <f>'6월'!I121</f>
        <v>조립PC</v>
      </c>
      <c r="J1159" s="122">
        <f>'6월'!J121</f>
        <v>1</v>
      </c>
      <c r="K1159" s="15">
        <f>'6월'!K121</f>
        <v>340809</v>
      </c>
      <c r="L1159" s="16">
        <f>'6월'!L121</f>
        <v>340809</v>
      </c>
      <c r="M1159" s="16">
        <f>'6월'!M121</f>
        <v>34081</v>
      </c>
      <c r="N1159" s="15">
        <f>'6월'!N121</f>
        <v>374890</v>
      </c>
      <c r="O1159" s="5" t="str">
        <f>'6월'!O121</f>
        <v>완료(6/30)</v>
      </c>
      <c r="P1159" s="9" t="str">
        <f>'6월'!P121</f>
        <v>이예지</v>
      </c>
      <c r="Q1159" s="5" t="str">
        <f>'6월'!Q121</f>
        <v>X</v>
      </c>
      <c r="R1159" s="209"/>
    </row>
    <row r="1160" spans="1:21" ht="16.5" customHeight="1">
      <c r="A1160" t="s">
        <v>64</v>
      </c>
      <c r="B1160" s="10" t="str">
        <f>'6월'!B122</f>
        <v>S</v>
      </c>
      <c r="C1160" s="12"/>
      <c r="D1160" s="13">
        <f>'6월'!D122</f>
        <v>45838</v>
      </c>
      <c r="E1160" s="155" t="str">
        <f>'6월'!E122</f>
        <v>컴퓨존</v>
      </c>
      <c r="F1160" s="155"/>
      <c r="G1160" s="156" t="str">
        <f>'6월'!G122</f>
        <v>상품</v>
      </c>
      <c r="H1160" s="156" t="str">
        <f>'6월'!H122</f>
        <v>조립PC</v>
      </c>
      <c r="I1160" s="69" t="str">
        <f>'6월'!I122</f>
        <v>조립PC 부품</v>
      </c>
      <c r="J1160" s="122">
        <f>'6월'!J122</f>
        <v>1</v>
      </c>
      <c r="K1160" s="15">
        <f>'6월'!K122</f>
        <v>67182</v>
      </c>
      <c r="L1160" s="16">
        <f>'6월'!L122</f>
        <v>67182</v>
      </c>
      <c r="M1160" s="16">
        <f>'6월'!M122</f>
        <v>6718</v>
      </c>
      <c r="N1160" s="15">
        <f>'6월'!N122</f>
        <v>73900</v>
      </c>
      <c r="O1160" s="5" t="str">
        <f>'6월'!O122</f>
        <v>완료(6/30)</v>
      </c>
      <c r="P1160" s="9" t="str">
        <f>'6월'!P122</f>
        <v>이예지</v>
      </c>
      <c r="Q1160" s="5" t="str">
        <f>'6월'!Q122</f>
        <v>X</v>
      </c>
      <c r="R1160" s="209"/>
    </row>
    <row r="1161" spans="1:21" ht="16.5" customHeight="1">
      <c r="A1161" t="s">
        <v>64</v>
      </c>
      <c r="B1161" s="10" t="str">
        <f>'6월'!B123</f>
        <v>SM-25003</v>
      </c>
      <c r="C1161" s="12"/>
      <c r="D1161" s="13">
        <f>'6월'!D123</f>
        <v>45838</v>
      </c>
      <c r="E1161" s="155" t="str">
        <f>'6월'!E123</f>
        <v>에티버스</v>
      </c>
      <c r="F1161" s="155" t="str">
        <f>'6월'!F123</f>
        <v>씨제이 씨지브이(통합)</v>
      </c>
      <c r="G1161" s="157" t="str">
        <f>'6월'!G123</f>
        <v>MA</v>
      </c>
      <c r="H1161" s="156" t="str">
        <f>'6월'!H123</f>
        <v>연간</v>
      </c>
      <c r="I1161" s="69" t="str">
        <f>'6월'!I123</f>
        <v>HP DL380 Svr 연간 유지보수</v>
      </c>
      <c r="J1161" s="122">
        <f>'6월'!J123</f>
        <v>1</v>
      </c>
      <c r="K1161" s="15">
        <f>'6월'!K123</f>
        <v>3700000</v>
      </c>
      <c r="L1161" s="16">
        <f>'6월'!L123</f>
        <v>6730000</v>
      </c>
      <c r="M1161" s="16">
        <f>'6월'!M123</f>
        <v>673000</v>
      </c>
      <c r="N1161" s="15">
        <f>'6월'!N123</f>
        <v>7403000</v>
      </c>
      <c r="O1161" s="5" t="str">
        <f>'6월'!O123</f>
        <v>완료(8/29)</v>
      </c>
      <c r="P1161" s="9" t="str">
        <f>'6월'!P123</f>
        <v>천범석</v>
      </c>
      <c r="Q1161" s="5">
        <f>'6월'!Q123</f>
        <v>45666</v>
      </c>
      <c r="R1161" s="213"/>
    </row>
    <row r="1162" spans="1:21" ht="16.5" customHeight="1">
      <c r="A1162" t="s">
        <v>64</v>
      </c>
      <c r="B1162" s="10" t="str">
        <f>'6월'!B124</f>
        <v>SM-25003</v>
      </c>
      <c r="C1162" s="145"/>
      <c r="D1162" s="65"/>
      <c r="E1162" s="160" t="str">
        <f>'6월'!E124</f>
        <v>에티버스</v>
      </c>
      <c r="F1162" s="160" t="str">
        <f>'6월'!F124</f>
        <v>씨제이 씨지브이(통합)</v>
      </c>
      <c r="G1162" s="157" t="str">
        <f>'6월'!G124</f>
        <v>MA</v>
      </c>
      <c r="H1162" s="156" t="str">
        <f>'6월'!H124</f>
        <v>연간</v>
      </c>
      <c r="I1162" s="69" t="str">
        <f>'6월'!I124</f>
        <v>HP DL380 Svr 연간 유지보수</v>
      </c>
      <c r="J1162" s="122">
        <f>'6월'!J124</f>
        <v>1</v>
      </c>
      <c r="K1162" s="15">
        <f>'6월'!K124</f>
        <v>3030000</v>
      </c>
      <c r="L1162" s="125"/>
      <c r="M1162" s="125"/>
      <c r="N1162" s="126"/>
      <c r="O1162" s="99"/>
      <c r="P1162" s="176"/>
      <c r="Q1162" s="99"/>
      <c r="R1162" s="213"/>
    </row>
    <row r="1163" spans="1:21" ht="16.5" customHeight="1">
      <c r="A1163" t="s">
        <v>64</v>
      </c>
      <c r="B1163" s="140" t="str">
        <f>'6월'!B125</f>
        <v>SM-24021</v>
      </c>
      <c r="C1163" s="12"/>
      <c r="D1163" s="13">
        <f>'6월'!D125</f>
        <v>45838</v>
      </c>
      <c r="E1163" s="155" t="str">
        <f>'6월'!E125</f>
        <v>에스엔에이</v>
      </c>
      <c r="F1163" s="163" t="str">
        <f>'6월'!F125</f>
        <v>에이캐피탈</v>
      </c>
      <c r="G1163" s="157" t="str">
        <f>'6월'!G125</f>
        <v>MA</v>
      </c>
      <c r="H1163" s="157" t="str">
        <f>'6월'!H125</f>
        <v>월간</v>
      </c>
      <c r="I1163" s="159" t="str">
        <f>'6월'!I125</f>
        <v>6월 파트 계약 - 10/12회</v>
      </c>
      <c r="J1163" s="124">
        <f>'6월'!J125</f>
        <v>1</v>
      </c>
      <c r="K1163" s="188">
        <f>'6월'!K125</f>
        <v>300000</v>
      </c>
      <c r="L1163" s="15">
        <f>'6월'!L125</f>
        <v>300000</v>
      </c>
      <c r="M1163" s="15">
        <f>'6월'!M125</f>
        <v>30000</v>
      </c>
      <c r="N1163" s="15">
        <f>'6월'!N125</f>
        <v>330000</v>
      </c>
      <c r="O1163" s="5" t="str">
        <f>'6월'!O125</f>
        <v>완료(8/29)</v>
      </c>
      <c r="P1163" s="174" t="str">
        <f>'6월'!P125</f>
        <v>이예지</v>
      </c>
      <c r="Q1163" s="5">
        <f>'6월'!Q125</f>
        <v>45843</v>
      </c>
      <c r="R1163" s="211"/>
      <c r="S1163" s="7"/>
      <c r="T1163" s="11"/>
    </row>
    <row r="1164" spans="1:21" ht="16.5" customHeight="1">
      <c r="A1164" t="s">
        <v>64</v>
      </c>
      <c r="B1164" s="10" t="str">
        <f>'6월'!B126</f>
        <v>SM-24021</v>
      </c>
      <c r="C1164" s="12"/>
      <c r="D1164" s="13">
        <f>'6월'!D126</f>
        <v>45838</v>
      </c>
      <c r="E1164" s="155" t="str">
        <f>'6월'!E126</f>
        <v>더파트</v>
      </c>
      <c r="F1164" s="155" t="str">
        <f>'6월'!F126</f>
        <v>에이캐피탈</v>
      </c>
      <c r="G1164" s="156" t="str">
        <f>'6월'!G126</f>
        <v>MA</v>
      </c>
      <c r="H1164" s="156" t="str">
        <f>'6월'!H126</f>
        <v>월간</v>
      </c>
      <c r="I1164" s="69" t="str">
        <f>'6월'!I126</f>
        <v>소산 서비스대행 6월분 - 10/12회</v>
      </c>
      <c r="J1164" s="122">
        <f>'6월'!J126</f>
        <v>1</v>
      </c>
      <c r="K1164" s="15">
        <f>'6월'!K126</f>
        <v>810000</v>
      </c>
      <c r="L1164" s="16">
        <f>'6월'!L126</f>
        <v>810000</v>
      </c>
      <c r="M1164" s="16">
        <f>'6월'!M126</f>
        <v>81000</v>
      </c>
      <c r="N1164" s="15">
        <f>'6월'!N126</f>
        <v>891000</v>
      </c>
      <c r="O1164" s="5" t="str">
        <f>'6월'!O126</f>
        <v>완료(7/31)</v>
      </c>
      <c r="P1164" s="174" t="str">
        <f>'6월'!P126</f>
        <v>이예지</v>
      </c>
      <c r="Q1164" s="5">
        <f>'6월'!Q126</f>
        <v>45843</v>
      </c>
      <c r="R1164" s="209"/>
      <c r="T1164" s="11"/>
    </row>
    <row r="1165" spans="1:21" ht="16.5" customHeight="1">
      <c r="A1165" t="s">
        <v>64</v>
      </c>
      <c r="B1165" s="10" t="str">
        <f>'6월'!B127</f>
        <v>SM-24003</v>
      </c>
      <c r="C1165" s="198"/>
      <c r="D1165" s="13">
        <f>'6월'!D127</f>
        <v>45838</v>
      </c>
      <c r="E1165" s="199" t="str">
        <f>'6월'!E127</f>
        <v>유니와이드</v>
      </c>
      <c r="F1165" s="199" t="str">
        <f>'6월'!F127</f>
        <v>삼표산업</v>
      </c>
      <c r="G1165" s="157" t="str">
        <f>'6월'!G127</f>
        <v>MA</v>
      </c>
      <c r="H1165" s="157" t="str">
        <f>'6월'!H127</f>
        <v>월간</v>
      </c>
      <c r="I1165" s="69" t="str">
        <f>'6월'!I127</f>
        <v>6월 유지정비료 - 5/12회</v>
      </c>
      <c r="J1165" s="201">
        <f>'6월'!J127</f>
        <v>1</v>
      </c>
      <c r="K1165" s="15">
        <f>'6월'!K127</f>
        <v>290000</v>
      </c>
      <c r="L1165" s="16">
        <f>'6월'!L127</f>
        <v>290000</v>
      </c>
      <c r="M1165" s="16">
        <f>'6월'!M127</f>
        <v>29000</v>
      </c>
      <c r="N1165" s="15">
        <f>'6월'!N127</f>
        <v>319000</v>
      </c>
      <c r="O1165" s="5" t="str">
        <f>'6월'!O127</f>
        <v>완료(7/31)</v>
      </c>
      <c r="P1165" s="175" t="str">
        <f>'6월'!P127</f>
        <v>홍승민</v>
      </c>
      <c r="Q1165" s="5">
        <f>'6월'!Q127</f>
        <v>45838</v>
      </c>
      <c r="R1165" s="213"/>
      <c r="U1165" s="11"/>
    </row>
    <row r="1166" spans="1:21" ht="16.5" customHeight="1">
      <c r="A1166" t="s">
        <v>64</v>
      </c>
      <c r="B1166" s="141" t="str">
        <f>'6월'!B128</f>
        <v>X</v>
      </c>
      <c r="C1166" s="148"/>
      <c r="D1166" s="13">
        <f>'6월'!D128</f>
        <v>45838</v>
      </c>
      <c r="E1166" s="155" t="str">
        <f>'6월'!E128</f>
        <v>퀵서비스_전국화물</v>
      </c>
      <c r="F1166" s="155"/>
      <c r="G1166" s="156" t="str">
        <f>'6월'!G128</f>
        <v>상품</v>
      </c>
      <c r="H1166" s="157" t="str">
        <f>'6월'!H128</f>
        <v>운반비</v>
      </c>
      <c r="I1166" s="159" t="str">
        <f>'6월'!I128</f>
        <v>6월 퀵운송료</v>
      </c>
      <c r="J1166" s="124">
        <f>'6월'!J128</f>
        <v>1</v>
      </c>
      <c r="K1166" s="16">
        <f>'6월'!K128</f>
        <v>170000</v>
      </c>
      <c r="L1166" s="188">
        <f>'6월'!L128</f>
        <v>170000</v>
      </c>
      <c r="M1166" s="15">
        <f>'6월'!M128</f>
        <v>17000</v>
      </c>
      <c r="N1166" s="15">
        <f>'6월'!N128</f>
        <v>187000</v>
      </c>
      <c r="O1166" s="5" t="str">
        <f>'6월'!O128</f>
        <v>완료(7/15)</v>
      </c>
      <c r="P1166" s="175" t="str">
        <f>'6월'!P128</f>
        <v>정지우</v>
      </c>
      <c r="Q1166" s="68" t="str">
        <f>'6월'!Q128</f>
        <v>X</v>
      </c>
      <c r="R1166" s="212"/>
      <c r="S1166" s="7"/>
    </row>
    <row r="1167" spans="1:21" ht="16.5" customHeight="1">
      <c r="A1167" t="s">
        <v>64</v>
      </c>
      <c r="B1167" s="141" t="str">
        <f>'6월'!B129</f>
        <v>X</v>
      </c>
      <c r="C1167" s="12"/>
      <c r="D1167" s="13">
        <f>'6월'!D129</f>
        <v>45838</v>
      </c>
      <c r="E1167" s="155" t="str">
        <f>'6월'!E129</f>
        <v>아이디플라워</v>
      </c>
      <c r="F1167" s="155"/>
      <c r="G1167" s="156" t="str">
        <f>'6월'!G129</f>
        <v>일반경비</v>
      </c>
      <c r="H1167" s="156" t="str">
        <f>'6월'!H129</f>
        <v>접대비</v>
      </c>
      <c r="I1167" s="69" t="str">
        <f>'6월'!I129</f>
        <v>거래처 경조 화환 - 1건</v>
      </c>
      <c r="J1167" s="122">
        <f>'6월'!J129</f>
        <v>1</v>
      </c>
      <c r="K1167" s="15">
        <f>'6월'!K129</f>
        <v>80000</v>
      </c>
      <c r="L1167" s="16">
        <f>'6월'!L129</f>
        <v>80000</v>
      </c>
      <c r="M1167" s="16" t="str">
        <f>'6월'!M129</f>
        <v>X</v>
      </c>
      <c r="N1167" s="15">
        <f>'6월'!N129</f>
        <v>80000</v>
      </c>
      <c r="O1167" s="5" t="str">
        <f>'6월'!O129</f>
        <v>완료(7/15)</v>
      </c>
      <c r="P1167" s="175" t="str">
        <f>'6월'!P129</f>
        <v>정지우</v>
      </c>
      <c r="Q1167" s="100" t="str">
        <f>'6월'!Q129</f>
        <v>X</v>
      </c>
      <c r="R1167" s="212" t="str">
        <f>'6월'!R129</f>
        <v>비과세</v>
      </c>
    </row>
    <row r="1168" spans="1:21" ht="16.5" customHeight="1">
      <c r="A1168" t="s">
        <v>64</v>
      </c>
      <c r="B1168" s="141" t="str">
        <f>'6월'!B130</f>
        <v>X</v>
      </c>
      <c r="C1168" s="142"/>
      <c r="D1168" s="13">
        <f>'6월'!D130</f>
        <v>45838</v>
      </c>
      <c r="E1168" s="155" t="str">
        <f>'6월'!E130</f>
        <v>시우운수</v>
      </c>
      <c r="F1168" s="155"/>
      <c r="G1168" s="156" t="str">
        <f>'6월'!G130</f>
        <v>상품</v>
      </c>
      <c r="H1168" s="156" t="str">
        <f>'6월'!H130</f>
        <v>운반비</v>
      </c>
      <c r="I1168" s="159" t="str">
        <f>'6월'!I130</f>
        <v>로젠택배 6월 택배비- 3건</v>
      </c>
      <c r="J1168" s="124">
        <f>'6월'!J130</f>
        <v>1</v>
      </c>
      <c r="K1168" s="16">
        <f>'6월'!K130</f>
        <v>10364</v>
      </c>
      <c r="L1168" s="15">
        <f>'6월'!L130</f>
        <v>10364</v>
      </c>
      <c r="M1168" s="15">
        <f>'6월'!M130</f>
        <v>1036</v>
      </c>
      <c r="N1168" s="15">
        <f>'6월'!N130</f>
        <v>11400</v>
      </c>
      <c r="O1168" s="5" t="str">
        <f>'6월'!O130</f>
        <v>완료(7/10)</v>
      </c>
      <c r="P1168" s="175" t="str">
        <f>'6월'!P130</f>
        <v>정지우</v>
      </c>
      <c r="Q1168" s="68" t="str">
        <f>'6월'!Q130</f>
        <v>X</v>
      </c>
      <c r="R1168" s="212"/>
      <c r="S1168" s="7"/>
    </row>
    <row r="1169" spans="1:22" ht="16.5" customHeight="1">
      <c r="A1169" t="s">
        <v>64</v>
      </c>
      <c r="B1169" s="141" t="str">
        <f>'6월'!B131</f>
        <v>X</v>
      </c>
      <c r="C1169" s="12"/>
      <c r="D1169" s="13">
        <f>'6월'!D131</f>
        <v>45838</v>
      </c>
      <c r="E1169" s="155" t="str">
        <f>'6월'!E131</f>
        <v>웹케시</v>
      </c>
      <c r="F1169" s="155"/>
      <c r="G1169" s="156" t="str">
        <f>'6월'!G131</f>
        <v>일반경비</v>
      </c>
      <c r="H1169" s="157" t="str">
        <f>'6월'!H131</f>
        <v>지급수수료</v>
      </c>
      <c r="I1169" s="69" t="str">
        <f>'6월'!I131</f>
        <v>s-erp 6월사용분</v>
      </c>
      <c r="J1169" s="122">
        <f>'6월'!J131</f>
        <v>1</v>
      </c>
      <c r="K1169" s="15">
        <f>'6월'!K131</f>
        <v>69000</v>
      </c>
      <c r="L1169" s="16">
        <f>'6월'!L131</f>
        <v>69000</v>
      </c>
      <c r="M1169" s="15">
        <f>'6월'!M131</f>
        <v>6900</v>
      </c>
      <c r="N1169" s="15">
        <f>'6월'!N131</f>
        <v>75900</v>
      </c>
      <c r="O1169" s="5" t="str">
        <f>'6월'!O131</f>
        <v>자동이체(7/10)</v>
      </c>
      <c r="P1169" s="175" t="str">
        <f>'6월'!P131</f>
        <v>정지우</v>
      </c>
      <c r="Q1169" s="68" t="str">
        <f>'6월'!Q131</f>
        <v>X</v>
      </c>
      <c r="R1169" s="209"/>
      <c r="T1169" s="11"/>
    </row>
    <row r="1170" spans="1:22" ht="16.5" customHeight="1">
      <c r="A1170" t="s">
        <v>64</v>
      </c>
      <c r="B1170" s="10" t="str">
        <f>'6월'!B132</f>
        <v>H250612-05</v>
      </c>
      <c r="C1170" s="12"/>
      <c r="D1170" s="13">
        <f>'6월'!D132</f>
        <v>45838</v>
      </c>
      <c r="E1170" s="155" t="str">
        <f>'6월'!E132</f>
        <v>요다정보기술</v>
      </c>
      <c r="F1170" s="155" t="str">
        <f>'6월'!F132</f>
        <v>케이엠디엠</v>
      </c>
      <c r="G1170" s="156" t="str">
        <f>'6월'!G132</f>
        <v>상품</v>
      </c>
      <c r="H1170" s="156" t="str">
        <f>'6월'!H132</f>
        <v>RAID</v>
      </c>
      <c r="I1170" s="69" t="str">
        <f>'6월'!I132</f>
        <v>Dell R750 PERC H755 12Gb/s PCI-E 4.0 X8 SAS Front Mounting Raid Controller</v>
      </c>
      <c r="J1170" s="122">
        <f>'6월'!J132</f>
        <v>1</v>
      </c>
      <c r="K1170" s="15">
        <f>'6월'!K132</f>
        <v>1000000</v>
      </c>
      <c r="L1170" s="16">
        <f>'6월'!L132</f>
        <v>1000000</v>
      </c>
      <c r="M1170" s="16">
        <f>'6월'!M132</f>
        <v>100000</v>
      </c>
      <c r="N1170" s="15">
        <f>'6월'!N132</f>
        <v>1100000</v>
      </c>
      <c r="O1170" s="5" t="str">
        <f>'6월'!O132</f>
        <v>완료(7/31)</v>
      </c>
      <c r="P1170" s="9" t="str">
        <f>'6월'!P132</f>
        <v>천범석</v>
      </c>
      <c r="Q1170" s="5">
        <f>'6월'!Q132</f>
        <v>45838</v>
      </c>
      <c r="R1170" s="213"/>
    </row>
    <row r="1171" spans="1:22" ht="16.5" customHeight="1">
      <c r="A1171" t="s">
        <v>64</v>
      </c>
      <c r="B1171" s="10" t="str">
        <f>'6월'!B133</f>
        <v>H250630-01</v>
      </c>
      <c r="C1171" s="12"/>
      <c r="D1171" s="13">
        <f>'6월'!D133</f>
        <v>45838</v>
      </c>
      <c r="E1171" s="155" t="str">
        <f>'6월'!E133</f>
        <v>이비웨이브</v>
      </c>
      <c r="F1171" s="155" t="str">
        <f>'6월'!F133</f>
        <v>티에스씨인포</v>
      </c>
      <c r="G1171" s="156" t="str">
        <f>'6월'!G133</f>
        <v>상품</v>
      </c>
      <c r="H1171" s="156" t="str">
        <f>'6월'!H133</f>
        <v>633538-001</v>
      </c>
      <c r="I1171" s="69" t="str">
        <f>'6월'!I133</f>
        <v>Smart Array P420 2Port SAS Controller DL380G8 NO CACHE / NO BATTERY</v>
      </c>
      <c r="J1171" s="122">
        <f>'6월'!J133</f>
        <v>1</v>
      </c>
      <c r="K1171" s="15">
        <f>'6월'!K133</f>
        <v>150000</v>
      </c>
      <c r="L1171" s="16">
        <f>'6월'!L133</f>
        <v>150000</v>
      </c>
      <c r="M1171" s="16">
        <f>'6월'!M133</f>
        <v>15000</v>
      </c>
      <c r="N1171" s="15">
        <f>'6월'!N133</f>
        <v>165000</v>
      </c>
      <c r="O1171" s="5" t="str">
        <f>'6월'!O133</f>
        <v>완료(8/29)</v>
      </c>
      <c r="P1171" s="9" t="str">
        <f>'6월'!P133</f>
        <v>천범석</v>
      </c>
      <c r="Q1171" s="5">
        <f>'6월'!Q133</f>
        <v>45869</v>
      </c>
      <c r="R1171" s="213"/>
    </row>
    <row r="1172" spans="1:22" ht="16.5" customHeight="1">
      <c r="A1172" t="s">
        <v>64</v>
      </c>
      <c r="B1172" s="10" t="str">
        <f>'6월'!B134</f>
        <v>H250630-02</v>
      </c>
      <c r="C1172" s="12"/>
      <c r="D1172" s="13">
        <f>'6월'!D134</f>
        <v>45838</v>
      </c>
      <c r="E1172" s="155" t="str">
        <f>'6월'!E134</f>
        <v>이비웨이브</v>
      </c>
      <c r="F1172" s="155" t="str">
        <f>'6월'!F134</f>
        <v>인피니테크</v>
      </c>
      <c r="G1172" s="156" t="str">
        <f>'6월'!G134</f>
        <v>상품</v>
      </c>
      <c r="H1172" s="156" t="str">
        <f>'6월'!H134</f>
        <v>G6W6K</v>
      </c>
      <c r="I1172" s="69" t="str">
        <f>'6월'!I134</f>
        <v>750W POWER SUPPLY for R740</v>
      </c>
      <c r="J1172" s="122">
        <f>'6월'!J134</f>
        <v>1</v>
      </c>
      <c r="K1172" s="15">
        <f>'6월'!K134</f>
        <v>50000</v>
      </c>
      <c r="L1172" s="16">
        <f>'6월'!L134</f>
        <v>50000</v>
      </c>
      <c r="M1172" s="16">
        <f>'6월'!M134</f>
        <v>5000</v>
      </c>
      <c r="N1172" s="15">
        <f>'6월'!N134</f>
        <v>55000</v>
      </c>
      <c r="O1172" s="5" t="str">
        <f>'6월'!O134</f>
        <v>완료(8/29)</v>
      </c>
      <c r="P1172" s="9" t="str">
        <f>'6월'!P134</f>
        <v>천범석</v>
      </c>
      <c r="Q1172" s="5">
        <f>'6월'!Q134</f>
        <v>45849</v>
      </c>
      <c r="R1172" s="213"/>
    </row>
    <row r="1173" spans="1:22" ht="16.5" customHeight="1">
      <c r="A1173" t="s">
        <v>64</v>
      </c>
      <c r="B1173" s="10" t="str">
        <f>'6월'!B135</f>
        <v>Y250605-01</v>
      </c>
      <c r="C1173" s="12"/>
      <c r="D1173" s="13">
        <f>'6월'!D135</f>
        <v>45838</v>
      </c>
      <c r="E1173" s="155" t="str">
        <f>'6월'!E135</f>
        <v>한국정보공학</v>
      </c>
      <c r="F1173" s="155" t="str">
        <f>'6월'!F135</f>
        <v>에어코드</v>
      </c>
      <c r="G1173" s="156" t="str">
        <f>'6월'!G135</f>
        <v>상품</v>
      </c>
      <c r="H1173" s="156" t="str">
        <f>'6월'!H135</f>
        <v>서버</v>
      </c>
      <c r="I1173" s="69" t="str">
        <f>'6월'!I135</f>
        <v>HPE DL360Gen10 Plus Server</v>
      </c>
      <c r="J1173" s="122">
        <f>'6월'!J135</f>
        <v>3</v>
      </c>
      <c r="K1173" s="15">
        <f>'6월'!K135</f>
        <v>4561000</v>
      </c>
      <c r="L1173" s="16">
        <f>'6월'!L135</f>
        <v>13683000</v>
      </c>
      <c r="M1173" s="16">
        <f>'6월'!M135</f>
        <v>1368300</v>
      </c>
      <c r="N1173" s="15">
        <f>'6월'!N135</f>
        <v>15051300</v>
      </c>
      <c r="O1173" s="5" t="str">
        <f>'6월'!O135</f>
        <v>완료(8/29)</v>
      </c>
      <c r="P1173" s="9" t="str">
        <f>'6월'!P135</f>
        <v>홍승민</v>
      </c>
      <c r="Q1173" s="5">
        <f>'6월'!Q135</f>
        <v>45867</v>
      </c>
      <c r="R1173" s="213"/>
    </row>
    <row r="1174" spans="1:22" ht="16.5" customHeight="1">
      <c r="A1174" t="s">
        <v>64</v>
      </c>
      <c r="B1174" s="10" t="str">
        <f>'6월'!B136</f>
        <v>SB-24038</v>
      </c>
      <c r="C1174" s="224" t="str">
        <f>'6월'!C136</f>
        <v>Z0OK1R</v>
      </c>
      <c r="D1174" s="13">
        <f>'6월'!D136</f>
        <v>45818</v>
      </c>
      <c r="E1174" s="155" t="str">
        <f>'6월'!E136</f>
        <v>성공글로벌테크놀로지코리아</v>
      </c>
      <c r="F1174" s="155" t="str">
        <f>'6월'!F136</f>
        <v>삼정펄프</v>
      </c>
      <c r="G1174" s="156" t="str">
        <f>'6월'!G136</f>
        <v>MA</v>
      </c>
      <c r="H1174" s="156" t="str">
        <f>'6월'!H136</f>
        <v>월간-성공</v>
      </c>
      <c r="I1174" s="69" t="str">
        <f>'6월'!I136</f>
        <v>6월 유지정비료 - 13/13회</v>
      </c>
      <c r="J1174" s="122">
        <f>'6월'!J136</f>
        <v>1</v>
      </c>
      <c r="K1174" s="15">
        <f>'6월'!K136</f>
        <v>56800</v>
      </c>
      <c r="L1174" s="16">
        <f>'6월'!L136</f>
        <v>56800</v>
      </c>
      <c r="M1174" s="15">
        <f>'6월'!M136</f>
        <v>5680</v>
      </c>
      <c r="N1174" s="15">
        <f>'6월'!N136</f>
        <v>62480</v>
      </c>
      <c r="O1174" s="5" t="str">
        <f>'6월'!O136</f>
        <v>완료(8/11)</v>
      </c>
      <c r="P1174" s="9" t="str">
        <f>'6월'!P136</f>
        <v>천범석</v>
      </c>
      <c r="Q1174" s="5">
        <f>'6월'!Q136</f>
        <v>45471</v>
      </c>
      <c r="R1174" s="209" t="str">
        <f>'6월'!R136</f>
        <v>매출연간</v>
      </c>
      <c r="U1174" s="11"/>
      <c r="V1174" s="8"/>
    </row>
    <row r="1175" spans="1:22" ht="16.5" customHeight="1">
      <c r="A1175" t="s">
        <v>64</v>
      </c>
      <c r="B1175" s="10" t="str">
        <f>'6월'!B137</f>
        <v>SB-25026</v>
      </c>
      <c r="C1175" s="12" t="str">
        <f>'6월'!C137</f>
        <v>ZUZMVP</v>
      </c>
      <c r="D1175" s="13">
        <f>'6월'!D137</f>
        <v>45818</v>
      </c>
      <c r="E1175" s="155" t="str">
        <f>'6월'!E137</f>
        <v>성공글로벌테크놀로지코리아</v>
      </c>
      <c r="F1175" s="155" t="str">
        <f>'6월'!F137</f>
        <v>씨티아이앤씨</v>
      </c>
      <c r="G1175" s="156" t="str">
        <f>'6월'!G137</f>
        <v>MA</v>
      </c>
      <c r="H1175" s="156" t="str">
        <f>'6월'!H137</f>
        <v>월간-성공</v>
      </c>
      <c r="I1175" s="69" t="str">
        <f>'6월'!I137</f>
        <v>한림성심대학교 HW 3월 유지정비료 1/12회</v>
      </c>
      <c r="J1175" s="122">
        <f>'6월'!J137</f>
        <v>1</v>
      </c>
      <c r="K1175" s="15">
        <f>'6월'!K137</f>
        <v>390300</v>
      </c>
      <c r="L1175" s="16">
        <f>'6월'!L137</f>
        <v>390300</v>
      </c>
      <c r="M1175" s="16">
        <f>'6월'!M137</f>
        <v>39030</v>
      </c>
      <c r="N1175" s="15">
        <f>'6월'!N137</f>
        <v>429330</v>
      </c>
      <c r="O1175" s="5" t="str">
        <f>'6월'!O137</f>
        <v>완료(8/11)</v>
      </c>
      <c r="P1175" s="9" t="str">
        <f>'6월'!P137</f>
        <v>천범석</v>
      </c>
      <c r="Q1175" s="5">
        <f>'6월'!Q137</f>
        <v>45808</v>
      </c>
      <c r="R1175" s="209"/>
      <c r="U1175" s="11"/>
    </row>
    <row r="1176" spans="1:22" ht="16.5" customHeight="1">
      <c r="A1176" t="s">
        <v>64</v>
      </c>
      <c r="B1176" s="10" t="str">
        <f>'6월'!B138</f>
        <v>SB-25026</v>
      </c>
      <c r="C1176" s="12" t="str">
        <f>'6월'!C138</f>
        <v>ZUZMVP</v>
      </c>
      <c r="D1176" s="13">
        <f>'6월'!D138</f>
        <v>45818</v>
      </c>
      <c r="E1176" s="155" t="str">
        <f>'6월'!E138</f>
        <v>성공글로벌테크놀로지코리아</v>
      </c>
      <c r="F1176" s="155" t="str">
        <f>'6월'!F138</f>
        <v>씨티아이앤씨</v>
      </c>
      <c r="G1176" s="156" t="str">
        <f>'6월'!G138</f>
        <v>MA</v>
      </c>
      <c r="H1176" s="156" t="str">
        <f>'6월'!H138</f>
        <v>월간-성공</v>
      </c>
      <c r="I1176" s="69" t="str">
        <f>'6월'!I138</f>
        <v>한림성심대학교 HW 4월 유지정비료 2/12회</v>
      </c>
      <c r="J1176" s="122">
        <f>'6월'!J138</f>
        <v>1</v>
      </c>
      <c r="K1176" s="15">
        <f>'6월'!K138</f>
        <v>390300</v>
      </c>
      <c r="L1176" s="16">
        <f>'6월'!L138</f>
        <v>390300</v>
      </c>
      <c r="M1176" s="16">
        <f>'6월'!M138</f>
        <v>39030</v>
      </c>
      <c r="N1176" s="15">
        <f>'6월'!N138</f>
        <v>429330</v>
      </c>
      <c r="O1176" s="5" t="str">
        <f>'6월'!O138</f>
        <v>완료(8/11)</v>
      </c>
      <c r="P1176" s="9" t="str">
        <f>'6월'!P138</f>
        <v>천범석</v>
      </c>
      <c r="Q1176" s="5">
        <f>'6월'!Q138</f>
        <v>45808</v>
      </c>
      <c r="R1176" s="209"/>
      <c r="U1176" s="11"/>
    </row>
    <row r="1177" spans="1:22" ht="16.5" customHeight="1">
      <c r="A1177" t="s">
        <v>64</v>
      </c>
      <c r="B1177" s="10" t="str">
        <f>'6월'!B139</f>
        <v>SB-25026</v>
      </c>
      <c r="C1177" s="12" t="str">
        <f>'6월'!C139</f>
        <v>ZUZMVP</v>
      </c>
      <c r="D1177" s="13">
        <f>'6월'!D139</f>
        <v>45818</v>
      </c>
      <c r="E1177" s="155" t="str">
        <f>'6월'!E139</f>
        <v>성공글로벌테크놀로지코리아</v>
      </c>
      <c r="F1177" s="155" t="str">
        <f>'6월'!F139</f>
        <v>씨티아이앤씨</v>
      </c>
      <c r="G1177" s="156" t="str">
        <f>'6월'!G139</f>
        <v>MA</v>
      </c>
      <c r="H1177" s="156" t="str">
        <f>'6월'!H139</f>
        <v>월간-성공</v>
      </c>
      <c r="I1177" s="69" t="str">
        <f>'6월'!I139</f>
        <v>한림성심대학교 HW 5월 유지정비료 3/12회</v>
      </c>
      <c r="J1177" s="122">
        <f>'6월'!J139</f>
        <v>1</v>
      </c>
      <c r="K1177" s="15">
        <f>'6월'!K139</f>
        <v>390300</v>
      </c>
      <c r="L1177" s="16">
        <f>'6월'!L139</f>
        <v>390300</v>
      </c>
      <c r="M1177" s="16">
        <f>'6월'!M139</f>
        <v>39030</v>
      </c>
      <c r="N1177" s="15">
        <f>'6월'!N139</f>
        <v>429330</v>
      </c>
      <c r="O1177" s="5" t="str">
        <f>'6월'!O139</f>
        <v>완료(8/11)</v>
      </c>
      <c r="P1177" s="9" t="str">
        <f>'6월'!P139</f>
        <v>천범석</v>
      </c>
      <c r="Q1177" s="5">
        <f>'6월'!Q139</f>
        <v>45808</v>
      </c>
      <c r="R1177" s="209"/>
      <c r="U1177" s="11"/>
    </row>
    <row r="1178" spans="1:22" ht="16.5" customHeight="1">
      <c r="A1178" t="s">
        <v>64</v>
      </c>
      <c r="B1178" s="10" t="str">
        <f>'6월'!B140</f>
        <v>SB-25026</v>
      </c>
      <c r="C1178" s="12" t="str">
        <f>'6월'!C140</f>
        <v>TAHXA0197</v>
      </c>
      <c r="D1178" s="13">
        <f>'6월'!D140</f>
        <v>45818</v>
      </c>
      <c r="E1178" s="155" t="str">
        <f>'6월'!E140</f>
        <v>성공글로벌테크놀로지코리아</v>
      </c>
      <c r="F1178" s="155" t="str">
        <f>'6월'!F140</f>
        <v>씨티아이앤씨</v>
      </c>
      <c r="G1178" s="158" t="str">
        <f>'6월'!G140</f>
        <v>MAPAC</v>
      </c>
      <c r="H1178" s="247" t="str">
        <f>'6월'!H140</f>
        <v>연간-성공</v>
      </c>
      <c r="I1178" s="69" t="str">
        <f>'6월'!I140</f>
        <v>한림성심대학교 SW연간유지정비료 (25.03.01~26.02.28)</v>
      </c>
      <c r="J1178" s="122">
        <f>'6월'!J140</f>
        <v>1</v>
      </c>
      <c r="K1178" s="15">
        <f>'6월'!K140</f>
        <v>6796233</v>
      </c>
      <c r="L1178" s="16">
        <f>'6월'!L140</f>
        <v>6796233</v>
      </c>
      <c r="M1178" s="16">
        <f>'6월'!M140</f>
        <v>679623.3</v>
      </c>
      <c r="N1178" s="15">
        <f>'6월'!N140</f>
        <v>7475856.2999999998</v>
      </c>
      <c r="O1178" s="5" t="str">
        <f>'6월'!O140</f>
        <v>완료(8/11)</v>
      </c>
      <c r="P1178" s="9" t="str">
        <f>'6월'!P140</f>
        <v>천범석</v>
      </c>
      <c r="Q1178" s="5">
        <f>'6월'!Q140</f>
        <v>45808</v>
      </c>
      <c r="R1178" s="209"/>
      <c r="U1178" s="11"/>
    </row>
    <row r="1179" spans="1:22" ht="16.5" customHeight="1">
      <c r="A1179" t="s">
        <v>64</v>
      </c>
      <c r="B1179" s="10" t="str">
        <f>'6월'!B141</f>
        <v>SL-24007</v>
      </c>
      <c r="C1179" s="12" t="str">
        <f>'6월'!C141</f>
        <v>ZSYEAM</v>
      </c>
      <c r="D1179" s="13">
        <f>'6월'!D141</f>
        <v>45819</v>
      </c>
      <c r="E1179" s="155" t="str">
        <f>'6월'!E141</f>
        <v>성공글로벌테크놀로지코리아</v>
      </c>
      <c r="F1179" s="155" t="str">
        <f>'6월'!F141</f>
        <v>다올시스</v>
      </c>
      <c r="G1179" s="168" t="str">
        <f>'6월'!G141</f>
        <v>MA</v>
      </c>
      <c r="H1179" s="156" t="str">
        <f>'6월'!H141</f>
        <v>월간-성공</v>
      </c>
      <c r="I1179" s="69" t="str">
        <f>'6월'!I141</f>
        <v>대동도어 2월 유지정비료 - 13/13회(2월발행 누락분)</v>
      </c>
      <c r="J1179" s="122">
        <f>'6월'!J141</f>
        <v>1</v>
      </c>
      <c r="K1179" s="15">
        <f>'6월'!K141</f>
        <v>44400</v>
      </c>
      <c r="L1179" s="16">
        <f>'6월'!L141</f>
        <v>44400</v>
      </c>
      <c r="M1179" s="15">
        <f>'6월'!M141</f>
        <v>4440</v>
      </c>
      <c r="N1179" s="15">
        <f>'6월'!N141</f>
        <v>48840</v>
      </c>
      <c r="O1179" s="5" t="str">
        <f>'6월'!O141</f>
        <v>완료(8/11)</v>
      </c>
      <c r="P1179" s="9" t="str">
        <f>'6월'!P141</f>
        <v>천범석</v>
      </c>
      <c r="Q1179" s="5">
        <f>'6월'!Q141</f>
        <v>45351</v>
      </c>
      <c r="R1179" s="209" t="str">
        <f>'6월'!R141</f>
        <v>매출연간</v>
      </c>
    </row>
    <row r="1180" spans="1:22" ht="16.5" customHeight="1">
      <c r="A1180" t="s">
        <v>64</v>
      </c>
      <c r="B1180" s="10" t="str">
        <f>'6월'!B142</f>
        <v>SB-24040</v>
      </c>
      <c r="C1180" s="12" t="str">
        <f>'6월'!C142</f>
        <v>ZBJK3I</v>
      </c>
      <c r="D1180" s="13">
        <f>'6월'!D142</f>
        <v>45819</v>
      </c>
      <c r="E1180" s="155" t="str">
        <f>'6월'!E142</f>
        <v>성공글로벌테크놀로지코리아</v>
      </c>
      <c r="F1180" s="155" t="str">
        <f>'6월'!F142</f>
        <v>도담솔루션</v>
      </c>
      <c r="G1180" s="168" t="str">
        <f>'6월'!G142</f>
        <v>MA</v>
      </c>
      <c r="H1180" s="156" t="str">
        <f>'6월'!H142</f>
        <v>월간-성공</v>
      </c>
      <c r="I1180" s="69" t="str">
        <f>'6월'!I142</f>
        <v>호원대학교 6월 유지정비료 - 13/13회</v>
      </c>
      <c r="J1180" s="122">
        <f>'6월'!J142</f>
        <v>1</v>
      </c>
      <c r="K1180" s="15">
        <f>'6월'!K142</f>
        <v>37180</v>
      </c>
      <c r="L1180" s="16">
        <f>'6월'!L142</f>
        <v>37180</v>
      </c>
      <c r="M1180" s="15">
        <f>'6월'!M142</f>
        <v>3718</v>
      </c>
      <c r="N1180" s="15">
        <f>'6월'!N142</f>
        <v>40898</v>
      </c>
      <c r="O1180" s="5" t="str">
        <f>'6월'!O142</f>
        <v>완료(8/11)</v>
      </c>
      <c r="P1180" s="9" t="str">
        <f>'6월'!P142</f>
        <v>천범석</v>
      </c>
      <c r="Q1180" s="5">
        <f>'6월'!Q142</f>
        <v>45808</v>
      </c>
      <c r="R1180" s="209"/>
    </row>
    <row r="1181" spans="1:22" ht="16.5" customHeight="1">
      <c r="A1181" t="s">
        <v>64</v>
      </c>
      <c r="B1181" s="10" t="str">
        <f>'6월'!B143</f>
        <v>SB-24031</v>
      </c>
      <c r="C1181" s="12" t="str">
        <f>'6월'!C143</f>
        <v>ZKZDVZ</v>
      </c>
      <c r="D1181" s="13">
        <f>'6월'!D143</f>
        <v>45821</v>
      </c>
      <c r="E1181" s="155" t="str">
        <f>'6월'!E143</f>
        <v>성공글로벌테크놀로지코리아</v>
      </c>
      <c r="F1181" s="155" t="str">
        <f>'6월'!F143</f>
        <v>데이타메트렉스</v>
      </c>
      <c r="G1181" s="168" t="str">
        <f>'6월'!G143</f>
        <v>MA</v>
      </c>
      <c r="H1181" s="156" t="str">
        <f>'6월'!H143</f>
        <v>월간-성공</v>
      </c>
      <c r="I1181" s="69" t="str">
        <f>'6월'!I143</f>
        <v>롯데하이마트 6월 유지정비료 - 13/13회</v>
      </c>
      <c r="J1181" s="122">
        <f>'6월'!J143</f>
        <v>1</v>
      </c>
      <c r="K1181" s="15">
        <f>'6월'!K143</f>
        <v>262080</v>
      </c>
      <c r="L1181" s="16">
        <f>'6월'!L143</f>
        <v>262080</v>
      </c>
      <c r="M1181" s="15">
        <f>'6월'!M143</f>
        <v>26208</v>
      </c>
      <c r="N1181" s="15">
        <f>'6월'!N143</f>
        <v>288288</v>
      </c>
      <c r="O1181" s="5" t="str">
        <f>'6월'!O143</f>
        <v>완료(8/11)</v>
      </c>
      <c r="P1181" s="9" t="str">
        <f>'6월'!P143</f>
        <v>천범석</v>
      </c>
      <c r="Q1181" s="5">
        <f>'6월'!Q143</f>
        <v>45807</v>
      </c>
      <c r="R1181" s="209"/>
    </row>
    <row r="1182" spans="1:22" ht="16.5" customHeight="1">
      <c r="A1182" t="s">
        <v>64</v>
      </c>
      <c r="B1182" s="10" t="str">
        <f>'6월'!B144</f>
        <v>SL-25011</v>
      </c>
      <c r="C1182" s="12" t="str">
        <f>'6월'!C144</f>
        <v>ZIU2XY</v>
      </c>
      <c r="D1182" s="13">
        <f>'6월'!D144</f>
        <v>45824</v>
      </c>
      <c r="E1182" s="155" t="str">
        <f>'6월'!E144</f>
        <v>성공글로벌테크놀로지코리아</v>
      </c>
      <c r="F1182" s="155" t="str">
        <f>'6월'!F144</f>
        <v>TESEDI</v>
      </c>
      <c r="G1182" s="168" t="str">
        <f>'6월'!G144</f>
        <v>MA</v>
      </c>
      <c r="H1182" s="156" t="str">
        <f>'6월'!H144</f>
        <v>월간-성공</v>
      </c>
      <c r="I1182" s="69" t="str">
        <f>'6월'!I144</f>
        <v>WPP 유지정비료(25.04.01~05.31)</v>
      </c>
      <c r="J1182" s="122">
        <f>'6월'!J144</f>
        <v>1</v>
      </c>
      <c r="K1182" s="15">
        <f>'6월'!K144</f>
        <v>796800</v>
      </c>
      <c r="L1182" s="16">
        <f>'6월'!L144</f>
        <v>796800</v>
      </c>
      <c r="M1182" s="16">
        <f>'6월'!M144</f>
        <v>79680</v>
      </c>
      <c r="N1182" s="15">
        <f>'6월'!N144</f>
        <v>876480</v>
      </c>
      <c r="O1182" s="5" t="str">
        <f>'6월'!O144</f>
        <v>완료(8/18)</v>
      </c>
      <c r="P1182" s="9" t="str">
        <f>'6월'!P144</f>
        <v>천범석</v>
      </c>
      <c r="Q1182" s="5">
        <f>'6월'!Q144</f>
        <v>45818</v>
      </c>
      <c r="R1182" s="209"/>
    </row>
    <row r="1183" spans="1:22" ht="16.5" customHeight="1">
      <c r="A1183" t="s">
        <v>64</v>
      </c>
      <c r="B1183" s="10" t="str">
        <f>'6월'!B145</f>
        <v>S</v>
      </c>
      <c r="C1183" s="12" t="str">
        <f>'6월'!C145</f>
        <v>TruScale2024</v>
      </c>
      <c r="D1183" s="13">
        <f>'6월'!D145</f>
        <v>45825</v>
      </c>
      <c r="E1183" s="155" t="str">
        <f>'6월'!E145</f>
        <v>성공글로벌테크놀로지코리아</v>
      </c>
      <c r="F1183" s="155" t="str">
        <f>'6월'!F145</f>
        <v>다솜테크</v>
      </c>
      <c r="G1183" s="156" t="str">
        <f>'6월'!G145</f>
        <v>상품</v>
      </c>
      <c r="H1183" s="156" t="str">
        <f>'6월'!H145</f>
        <v>서버</v>
      </c>
      <c r="I1183" s="69" t="str">
        <f>'6월'!I145</f>
        <v>TruScale SM202400911-001-8</v>
      </c>
      <c r="J1183" s="122">
        <f>'6월'!J145</f>
        <v>1</v>
      </c>
      <c r="K1183" s="16">
        <f>'6월'!K145</f>
        <v>910700</v>
      </c>
      <c r="L1183" s="16">
        <f>'6월'!L145</f>
        <v>910700</v>
      </c>
      <c r="M1183" s="16">
        <f>'6월'!M145</f>
        <v>91070</v>
      </c>
      <c r="N1183" s="15">
        <f>'6월'!N145</f>
        <v>1001770</v>
      </c>
      <c r="O1183" s="5" t="str">
        <f>'6월'!O145</f>
        <v>완료(8/18)</v>
      </c>
      <c r="P1183" s="9" t="str">
        <f>'6월'!P145</f>
        <v>천범석</v>
      </c>
      <c r="Q1183" s="5">
        <f>'6월'!Q145</f>
        <v>45595</v>
      </c>
      <c r="R1183" s="209" t="str">
        <f>'6월'!R145</f>
        <v>매출연간</v>
      </c>
    </row>
    <row r="1184" spans="1:22" ht="16.5" customHeight="1">
      <c r="A1184" t="s">
        <v>64</v>
      </c>
      <c r="B1184" s="10" t="str">
        <f>'6월'!B146</f>
        <v>SB-24037</v>
      </c>
      <c r="C1184" s="12" t="str">
        <f>'6월'!C146</f>
        <v>ZAI7T4</v>
      </c>
      <c r="D1184" s="13">
        <f>'6월'!D146</f>
        <v>45826</v>
      </c>
      <c r="E1184" s="155" t="str">
        <f>'6월'!E146</f>
        <v>성공글로벌테크놀로지코리아</v>
      </c>
      <c r="F1184" s="155" t="str">
        <f>'6월'!F146</f>
        <v>어보브반도체</v>
      </c>
      <c r="G1184" s="156" t="str">
        <f>'6월'!G146</f>
        <v>MA</v>
      </c>
      <c r="H1184" s="156" t="str">
        <f>'6월'!H146</f>
        <v>월간-성공</v>
      </c>
      <c r="I1184" s="69" t="str">
        <f>'6월'!I146</f>
        <v>6월 유지정비료 - 13/13회</v>
      </c>
      <c r="J1184" s="122">
        <f>'6월'!J146</f>
        <v>1</v>
      </c>
      <c r="K1184" s="15">
        <f>'6월'!K146</f>
        <v>31320</v>
      </c>
      <c r="L1184" s="16">
        <f>'6월'!L146</f>
        <v>31320</v>
      </c>
      <c r="M1184" s="15">
        <f>'6월'!M146</f>
        <v>3132</v>
      </c>
      <c r="N1184" s="15">
        <f>'6월'!N146</f>
        <v>34452</v>
      </c>
      <c r="O1184" s="5" t="str">
        <f>'6월'!O146</f>
        <v>완료(8/18)</v>
      </c>
      <c r="P1184" s="9" t="str">
        <f>'6월'!P146</f>
        <v>천범석</v>
      </c>
      <c r="Q1184" s="5">
        <f>'6월'!Q146</f>
        <v>45471</v>
      </c>
      <c r="R1184" s="209" t="str">
        <f>'6월'!R146</f>
        <v>매출연간</v>
      </c>
      <c r="U1184" s="11"/>
      <c r="V1184" s="8"/>
    </row>
    <row r="1185" spans="1:22" ht="16.5" customHeight="1">
      <c r="A1185" t="s">
        <v>64</v>
      </c>
      <c r="B1185" s="10" t="str">
        <f>'6월'!B147</f>
        <v>SL-25010</v>
      </c>
      <c r="C1185" s="12" t="str">
        <f>'6월'!C147</f>
        <v xml:space="preserve"> ZOGVD9</v>
      </c>
      <c r="D1185" s="13">
        <f>'6월'!D147</f>
        <v>45827</v>
      </c>
      <c r="E1185" s="155" t="str">
        <f>'6월'!E147</f>
        <v>성공글로벌테크놀로지코리아</v>
      </c>
      <c r="F1185" s="155" t="str">
        <f>'6월'!F147</f>
        <v>어보브반도체</v>
      </c>
      <c r="G1185" s="156" t="str">
        <f>'6월'!G147</f>
        <v>MAPAC</v>
      </c>
      <c r="H1185" s="156" t="str">
        <f>'6월'!H147</f>
        <v>연간-성공</v>
      </c>
      <c r="I1185" s="69" t="str">
        <f>'6월'!I147</f>
        <v>연간유지정비료(25.06.19~26.06.18)</v>
      </c>
      <c r="J1185" s="122">
        <f>'6월'!J147</f>
        <v>1</v>
      </c>
      <c r="K1185" s="15">
        <f>'6월'!K147</f>
        <v>662400</v>
      </c>
      <c r="L1185" s="16">
        <f>'6월'!L147</f>
        <v>662400</v>
      </c>
      <c r="M1185" s="16">
        <f>'6월'!M147</f>
        <v>66240</v>
      </c>
      <c r="N1185" s="15">
        <f>'6월'!N147</f>
        <v>728640</v>
      </c>
      <c r="O1185" s="5" t="str">
        <f>'6월'!O147</f>
        <v>완료(8/18)</v>
      </c>
      <c r="P1185" s="9" t="str">
        <f>'6월'!P147</f>
        <v>천범석</v>
      </c>
      <c r="Q1185" s="5">
        <f>'6월'!Q147</f>
        <v>45813</v>
      </c>
      <c r="R1185" s="213"/>
    </row>
    <row r="1186" spans="1:22" ht="16.5" customHeight="1">
      <c r="A1186" t="s">
        <v>64</v>
      </c>
      <c r="B1186" s="10" t="str">
        <f>'6월'!B148</f>
        <v>SL-25012</v>
      </c>
      <c r="C1186" s="12" t="str">
        <f>'6월'!C148</f>
        <v>SM_C25009</v>
      </c>
      <c r="D1186" s="13">
        <f>'6월'!D148</f>
        <v>45828</v>
      </c>
      <c r="E1186" s="155" t="str">
        <f>'6월'!E148</f>
        <v>성공글로벌테크놀로지코리아</v>
      </c>
      <c r="F1186" s="155" t="str">
        <f>'6월'!F148</f>
        <v>TESEDI</v>
      </c>
      <c r="G1186" s="156" t="str">
        <f>'6월'!G148</f>
        <v>MAPAC</v>
      </c>
      <c r="H1186" s="156" t="str">
        <f>'6월'!H148</f>
        <v>연간-성공</v>
      </c>
      <c r="I1186" s="69" t="str">
        <f>'6월'!I148</f>
        <v>라드웨어 연간유지정비료</v>
      </c>
      <c r="J1186" s="122">
        <f>'6월'!J148</f>
        <v>1</v>
      </c>
      <c r="K1186" s="15">
        <f>'6월'!K148</f>
        <v>2353680</v>
      </c>
      <c r="L1186" s="16">
        <f>'6월'!L148</f>
        <v>2353680</v>
      </c>
      <c r="M1186" s="16">
        <f>'6월'!M148</f>
        <v>235368</v>
      </c>
      <c r="N1186" s="15">
        <f>'6월'!N148</f>
        <v>2589048</v>
      </c>
      <c r="O1186" s="5" t="str">
        <f>'6월'!O148</f>
        <v>완료(8/19)</v>
      </c>
      <c r="P1186" s="9" t="str">
        <f>'6월'!P148</f>
        <v>천범석</v>
      </c>
      <c r="Q1186" s="5">
        <f>'6월'!Q148</f>
        <v>45834</v>
      </c>
      <c r="R1186" s="209"/>
    </row>
    <row r="1187" spans="1:22" ht="16.5" customHeight="1">
      <c r="A1187" t="s">
        <v>64</v>
      </c>
      <c r="B1187" s="10" t="str">
        <f>'6월'!B149</f>
        <v>SB-24026</v>
      </c>
      <c r="C1187" s="12" t="str">
        <f>'6월'!C149</f>
        <v xml:space="preserve"> TAHXA0141</v>
      </c>
      <c r="D1187" s="13">
        <f>'6월'!D149</f>
        <v>45830</v>
      </c>
      <c r="E1187" s="155" t="str">
        <f>'6월'!E149</f>
        <v>성공글로벌테크놀로지코리아</v>
      </c>
      <c r="F1187" s="155" t="str">
        <f>'6월'!F149</f>
        <v>에스케이네트웍스서비스</v>
      </c>
      <c r="G1187" s="156" t="str">
        <f>'6월'!G149</f>
        <v>MAPAC</v>
      </c>
      <c r="H1187" s="156" t="str">
        <f>'6월'!H149</f>
        <v>연간-성공</v>
      </c>
      <c r="I1187" s="69" t="str">
        <f>'6월'!I149</f>
        <v>코이카 SW 연간유지정비료(25.06.22~26.08.31)</v>
      </c>
      <c r="J1187" s="122">
        <f>'6월'!J149</f>
        <v>1</v>
      </c>
      <c r="K1187" s="15">
        <f>'6월'!K149</f>
        <v>36064360</v>
      </c>
      <c r="L1187" s="16">
        <f>'6월'!L149</f>
        <v>36064360</v>
      </c>
      <c r="M1187" s="16">
        <f>'6월'!M149</f>
        <v>3606436</v>
      </c>
      <c r="N1187" s="15">
        <f>'6월'!N149</f>
        <v>39670796</v>
      </c>
      <c r="O1187" s="5" t="str">
        <f>'6월'!O149</f>
        <v>완료(8/21)</v>
      </c>
      <c r="P1187" s="9" t="str">
        <f>'6월'!P149</f>
        <v>천범석</v>
      </c>
      <c r="Q1187" s="5">
        <f>'6월'!Q149</f>
        <v>45384</v>
      </c>
      <c r="R1187" s="213"/>
    </row>
    <row r="1188" spans="1:22" ht="16.5" customHeight="1">
      <c r="A1188" t="s">
        <v>64</v>
      </c>
      <c r="B1188" s="10" t="str">
        <f>'6월'!B150</f>
        <v>X</v>
      </c>
      <c r="C1188" s="12" t="str">
        <f>'6월'!C150</f>
        <v>TruScale2022</v>
      </c>
      <c r="D1188" s="13">
        <f>'6월'!D150</f>
        <v>45832</v>
      </c>
      <c r="E1188" s="155" t="str">
        <f>'6월'!E150</f>
        <v>성공글로벌테크놀로지코리아</v>
      </c>
      <c r="F1188" s="155" t="str">
        <f>'6월'!F150</f>
        <v>별도정리</v>
      </c>
      <c r="G1188" s="156" t="str">
        <f>'6월'!G150</f>
        <v>상품</v>
      </c>
      <c r="H1188" s="156" t="str">
        <f>'6월'!H150</f>
        <v>서버</v>
      </c>
      <c r="I1188" s="69" t="str">
        <f>'6월'!I150</f>
        <v>TruScale SM20220628-002-32</v>
      </c>
      <c r="J1188" s="122">
        <f>'6월'!J150</f>
        <v>1</v>
      </c>
      <c r="K1188" s="15">
        <f>'6월'!K150</f>
        <v>1666322</v>
      </c>
      <c r="L1188" s="16">
        <f>'6월'!L150</f>
        <v>1666322</v>
      </c>
      <c r="M1188" s="16">
        <f>'6월'!M150</f>
        <v>166632</v>
      </c>
      <c r="N1188" s="15">
        <f>'6월'!N150</f>
        <v>1832954</v>
      </c>
      <c r="O1188" s="5" t="str">
        <f>'6월'!O150</f>
        <v>완료(8/25)</v>
      </c>
      <c r="P1188" s="9" t="str">
        <f>'6월'!P150</f>
        <v>천범석</v>
      </c>
      <c r="Q1188" s="182" t="str">
        <f>'6월'!Q150</f>
        <v>별도정리</v>
      </c>
      <c r="R1188" s="209"/>
      <c r="U1188" s="11"/>
    </row>
    <row r="1189" spans="1:22" ht="16.5" customHeight="1">
      <c r="A1189" t="s">
        <v>64</v>
      </c>
      <c r="B1189" s="10" t="str">
        <f>'6월'!B151</f>
        <v>SB-24045</v>
      </c>
      <c r="C1189" s="12" t="str">
        <f>'6월'!C151</f>
        <v>ZQJ1BB</v>
      </c>
      <c r="D1189" s="13">
        <f>'6월'!D151</f>
        <v>45837</v>
      </c>
      <c r="E1189" s="155" t="str">
        <f>'6월'!E151</f>
        <v>성공글로벌테크놀로지코리아</v>
      </c>
      <c r="F1189" s="155" t="str">
        <f>'6월'!F151</f>
        <v>아이엘에스</v>
      </c>
      <c r="G1189" s="156" t="str">
        <f>'6월'!G151</f>
        <v>MA</v>
      </c>
      <c r="H1189" s="156" t="str">
        <f>'6월'!H151</f>
        <v>월간-성공</v>
      </c>
      <c r="I1189" s="69" t="str">
        <f>'6월'!I151</f>
        <v>롯데홈쇼핑 6월 유지정비료 - 13/13회</v>
      </c>
      <c r="J1189" s="122">
        <f>'6월'!J151</f>
        <v>1</v>
      </c>
      <c r="K1189" s="15">
        <f>'6월'!K151</f>
        <v>243310</v>
      </c>
      <c r="L1189" s="16">
        <f>'6월'!L151</f>
        <v>243310</v>
      </c>
      <c r="M1189" s="15">
        <f>'6월'!M151</f>
        <v>24331</v>
      </c>
      <c r="N1189" s="15">
        <f>'6월'!N151</f>
        <v>267641</v>
      </c>
      <c r="O1189" s="5" t="str">
        <f>'6월'!O151</f>
        <v>완료(8/28)</v>
      </c>
      <c r="P1189" s="9" t="str">
        <f>'6월'!P151</f>
        <v>천범석</v>
      </c>
      <c r="Q1189" s="5">
        <f>'6월'!Q151</f>
        <v>45504</v>
      </c>
      <c r="R1189" s="209" t="str">
        <f>'6월'!R151</f>
        <v>매출연간</v>
      </c>
    </row>
    <row r="1190" spans="1:22" ht="16.5" customHeight="1">
      <c r="A1190" t="s">
        <v>64</v>
      </c>
      <c r="B1190" s="10" t="str">
        <f>'6월'!B152</f>
        <v>SB-24049</v>
      </c>
      <c r="C1190" s="12" t="str">
        <f>'6월'!C152</f>
        <v>ZNUJRM</v>
      </c>
      <c r="D1190" s="13">
        <f>'6월'!D152</f>
        <v>45838</v>
      </c>
      <c r="E1190" s="155" t="str">
        <f>'6월'!E152</f>
        <v>성공글로벌테크놀로지코리아</v>
      </c>
      <c r="F1190" s="155" t="str">
        <f>'6월'!F152</f>
        <v>아이엘에스</v>
      </c>
      <c r="G1190" s="156" t="str">
        <f>'6월'!G152</f>
        <v>MA</v>
      </c>
      <c r="H1190" s="156" t="str">
        <f>'6월'!H152</f>
        <v>월간-성공</v>
      </c>
      <c r="I1190" s="69" t="str">
        <f>'6월'!I152</f>
        <v>6월 유지정비료 - 10/12회</v>
      </c>
      <c r="J1190" s="122">
        <f>'6월'!J152</f>
        <v>1</v>
      </c>
      <c r="K1190" s="15">
        <f>'6월'!K152</f>
        <v>226200</v>
      </c>
      <c r="L1190" s="16">
        <f>'6월'!L152</f>
        <v>226200</v>
      </c>
      <c r="M1190" s="15">
        <f>'6월'!M152</f>
        <v>22620</v>
      </c>
      <c r="N1190" s="15">
        <f>'6월'!N152</f>
        <v>248820</v>
      </c>
      <c r="O1190" s="5" t="str">
        <f>'6월'!O152</f>
        <v>완료(8/29)</v>
      </c>
      <c r="P1190" s="9" t="str">
        <f>'6월'!P152</f>
        <v>천범석</v>
      </c>
      <c r="Q1190" s="5">
        <f>'6월'!Q152</f>
        <v>45565</v>
      </c>
      <c r="R1190" s="209" t="str">
        <f>'6월'!R152</f>
        <v>매출연간</v>
      </c>
    </row>
    <row r="1191" spans="1:22" ht="16.5" customHeight="1">
      <c r="A1191" t="s">
        <v>64</v>
      </c>
      <c r="B1191" s="10" t="str">
        <f>'6월'!B153</f>
        <v>SB-24050</v>
      </c>
      <c r="C1191" s="12" t="str">
        <f>'6월'!C153</f>
        <v>ZTHGTA</v>
      </c>
      <c r="D1191" s="13">
        <f>'6월'!D153</f>
        <v>45838</v>
      </c>
      <c r="E1191" s="155" t="str">
        <f>'6월'!E153</f>
        <v>성공글로벌테크놀로지코리아</v>
      </c>
      <c r="F1191" s="155" t="str">
        <f>'6월'!F153</f>
        <v>조선해운</v>
      </c>
      <c r="G1191" s="168" t="str">
        <f>'6월'!G153</f>
        <v>MA</v>
      </c>
      <c r="H1191" s="156" t="str">
        <f>'6월'!H153</f>
        <v>월간-성공</v>
      </c>
      <c r="I1191" s="69" t="str">
        <f>'6월'!I153</f>
        <v>6월 유지정비료 - 10/13회</v>
      </c>
      <c r="J1191" s="122">
        <f>'6월'!J153</f>
        <v>1</v>
      </c>
      <c r="K1191" s="15">
        <f>'6월'!K153</f>
        <v>78000</v>
      </c>
      <c r="L1191" s="16">
        <f>'6월'!L153</f>
        <v>78000</v>
      </c>
      <c r="M1191" s="15">
        <f>'6월'!M153</f>
        <v>7800</v>
      </c>
      <c r="N1191" s="15">
        <f>'6월'!N153</f>
        <v>85800</v>
      </c>
      <c r="O1191" s="5" t="str">
        <f>'6월'!O153</f>
        <v>완료(8/29)</v>
      </c>
      <c r="P1191" s="9" t="str">
        <f>'6월'!P153</f>
        <v>천범석</v>
      </c>
      <c r="Q1191" s="5">
        <f>'6월'!Q153</f>
        <v>45565</v>
      </c>
      <c r="R1191" s="209" t="str">
        <f>'6월'!R153</f>
        <v>매출연간</v>
      </c>
    </row>
    <row r="1192" spans="1:22" ht="16.5" customHeight="1">
      <c r="A1192" t="s">
        <v>64</v>
      </c>
      <c r="B1192" s="10" t="str">
        <f>'6월'!B154</f>
        <v>SB-24051</v>
      </c>
      <c r="C1192" s="12" t="str">
        <f>'6월'!C154</f>
        <v>ZWMXXL</v>
      </c>
      <c r="D1192" s="13">
        <f>'6월'!D154</f>
        <v>45838</v>
      </c>
      <c r="E1192" s="155" t="str">
        <f>'6월'!E154</f>
        <v>성공글로벌테크놀로지코리아</v>
      </c>
      <c r="F1192" s="155" t="str">
        <f>'6월'!F154</f>
        <v>지노스</v>
      </c>
      <c r="G1192" s="168" t="str">
        <f>'6월'!G154</f>
        <v>MA</v>
      </c>
      <c r="H1192" s="156" t="str">
        <f>'6월'!H154</f>
        <v>월간-성공</v>
      </c>
      <c r="I1192" s="69" t="str">
        <f>'6월'!I154</f>
        <v>6월 유지정비료 - 9/15회</v>
      </c>
      <c r="J1192" s="122">
        <f>'6월'!J154</f>
        <v>1</v>
      </c>
      <c r="K1192" s="15">
        <f>'6월'!K154</f>
        <v>534900</v>
      </c>
      <c r="L1192" s="16">
        <f>'6월'!L154</f>
        <v>534900</v>
      </c>
      <c r="M1192" s="15">
        <f>'6월'!M154</f>
        <v>53490</v>
      </c>
      <c r="N1192" s="15">
        <f>'6월'!N154</f>
        <v>588390</v>
      </c>
      <c r="O1192" s="5" t="str">
        <f>'6월'!O154</f>
        <v>완료(8/29)</v>
      </c>
      <c r="P1192" s="9" t="str">
        <f>'6월'!P154</f>
        <v>천범석</v>
      </c>
      <c r="Q1192" s="5">
        <f>'6월'!Q154</f>
        <v>45560</v>
      </c>
      <c r="R1192" s="209" t="str">
        <f>'6월'!R154</f>
        <v>매출연간</v>
      </c>
    </row>
    <row r="1193" spans="1:22" ht="16.5" customHeight="1">
      <c r="A1193" t="s">
        <v>64</v>
      </c>
      <c r="B1193" s="10" t="str">
        <f>'6월'!B155</f>
        <v>SB-22053</v>
      </c>
      <c r="C1193" s="12" t="str">
        <f>'6월'!C155</f>
        <v>ZEKV4M</v>
      </c>
      <c r="D1193" s="13">
        <f>'6월'!D155</f>
        <v>45838</v>
      </c>
      <c r="E1193" s="155" t="str">
        <f>'6월'!E155</f>
        <v>성공글로벌테크놀로지코리아</v>
      </c>
      <c r="F1193" s="163" t="str">
        <f>'6월'!F155</f>
        <v>심플키</v>
      </c>
      <c r="G1193" s="168" t="str">
        <f>'6월'!G155</f>
        <v>MA</v>
      </c>
      <c r="H1193" s="156" t="str">
        <f>'6월'!H155</f>
        <v>월간-성공</v>
      </c>
      <c r="I1193" s="69" t="str">
        <f>'6월'!I155</f>
        <v>산업은행 6월 유지정비료 - 30/36회</v>
      </c>
      <c r="J1193" s="122">
        <f>'6월'!J155</f>
        <v>1</v>
      </c>
      <c r="K1193" s="15">
        <f>'6월'!K155</f>
        <v>58800</v>
      </c>
      <c r="L1193" s="16">
        <f>'6월'!L155</f>
        <v>58800</v>
      </c>
      <c r="M1193" s="15">
        <f>'6월'!M155</f>
        <v>5880</v>
      </c>
      <c r="N1193" s="15">
        <f>'6월'!N155</f>
        <v>64680</v>
      </c>
      <c r="O1193" s="5" t="str">
        <f>'6월'!O155</f>
        <v>완료(8/29)</v>
      </c>
      <c r="P1193" s="9" t="str">
        <f>'6월'!P155</f>
        <v>천범석</v>
      </c>
      <c r="Q1193" s="5">
        <f>'6월'!Q155</f>
        <v>45748</v>
      </c>
      <c r="R1193" s="209" t="str">
        <f>'6월'!R155</f>
        <v>매출분기</v>
      </c>
      <c r="U1193" s="11"/>
      <c r="V1193" s="8"/>
    </row>
    <row r="1194" spans="1:22" ht="16.5" customHeight="1">
      <c r="A1194" t="s">
        <v>64</v>
      </c>
      <c r="B1194" s="10" t="str">
        <f>'6월'!B156</f>
        <v>SL-23009</v>
      </c>
      <c r="C1194" s="12" t="str">
        <f>'6월'!C156</f>
        <v>ZI1HRR</v>
      </c>
      <c r="D1194" s="13">
        <f>'6월'!D156</f>
        <v>45838</v>
      </c>
      <c r="E1194" s="155" t="str">
        <f>'6월'!E156</f>
        <v>성공글로벌테크놀로지코리아</v>
      </c>
      <c r="F1194" s="155" t="str">
        <f>'6월'!F156</f>
        <v>대신네트웍스</v>
      </c>
      <c r="G1194" s="168" t="str">
        <f>'6월'!G156</f>
        <v>MA</v>
      </c>
      <c r="H1194" s="156" t="str">
        <f>'6월'!H156</f>
        <v>월간-성공</v>
      </c>
      <c r="I1194" s="69" t="str">
        <f>'6월'!I156</f>
        <v>동두천드림파워 6월 유지정비료 - 30/36회</v>
      </c>
      <c r="J1194" s="122">
        <f>'6월'!J156</f>
        <v>1</v>
      </c>
      <c r="K1194" s="15">
        <f>'6월'!K156</f>
        <v>115800</v>
      </c>
      <c r="L1194" s="16">
        <f>'6월'!L156</f>
        <v>115800</v>
      </c>
      <c r="M1194" s="15">
        <f>'6월'!M156</f>
        <v>11580</v>
      </c>
      <c r="N1194" s="15">
        <f>'6월'!N156</f>
        <v>127380</v>
      </c>
      <c r="O1194" s="5" t="str">
        <f>'6월'!O156</f>
        <v>완료(8/29)</v>
      </c>
      <c r="P1194" s="9" t="str">
        <f>'6월'!P156</f>
        <v>천범석</v>
      </c>
      <c r="Q1194" s="5">
        <f>'6월'!Q156</f>
        <v>45838</v>
      </c>
      <c r="R1194" s="209" t="str">
        <f>'6월'!R156</f>
        <v>매출분기</v>
      </c>
      <c r="U1194" s="11"/>
      <c r="V1194" s="8"/>
    </row>
    <row r="1195" spans="1:22" ht="16.5" customHeight="1">
      <c r="A1195" t="s">
        <v>64</v>
      </c>
      <c r="B1195" s="10" t="str">
        <f>'6월'!B157</f>
        <v>SL-23014</v>
      </c>
      <c r="C1195" s="12" t="str">
        <f>'6월'!C157</f>
        <v>ZHUDGM</v>
      </c>
      <c r="D1195" s="13">
        <f>'6월'!D157</f>
        <v>45838</v>
      </c>
      <c r="E1195" s="155" t="str">
        <f>'6월'!E157</f>
        <v>성공글로벌테크놀로지코리아</v>
      </c>
      <c r="F1195" s="155" t="str">
        <f>'6월'!F157</f>
        <v>케이씨에스</v>
      </c>
      <c r="G1195" s="156" t="str">
        <f>'6월'!G157</f>
        <v>MA</v>
      </c>
      <c r="H1195" s="156" t="str">
        <f>'6월'!H157</f>
        <v>분기-성공</v>
      </c>
      <c r="I1195" s="69" t="str">
        <f>'6월'!I157</f>
        <v>한국항공우주산업 #1 HW 2분기</v>
      </c>
      <c r="J1195" s="124">
        <f>'6월'!J157</f>
        <v>1</v>
      </c>
      <c r="K1195" s="15">
        <f>'6월'!K157</f>
        <v>666000</v>
      </c>
      <c r="L1195" s="16">
        <f>'6월'!L157</f>
        <v>666000</v>
      </c>
      <c r="M1195" s="16">
        <f>'6월'!M157</f>
        <v>66600</v>
      </c>
      <c r="N1195" s="15">
        <f>'6월'!N157</f>
        <v>732600</v>
      </c>
      <c r="O1195" s="5" t="str">
        <f>'6월'!O157</f>
        <v>완료(8/29)</v>
      </c>
      <c r="P1195" s="9" t="str">
        <f>'6월'!P157</f>
        <v>천범석</v>
      </c>
      <c r="Q1195" s="5">
        <f>'6월'!Q157</f>
        <v>45838</v>
      </c>
      <c r="R1195" s="209"/>
    </row>
    <row r="1196" spans="1:22" ht="16.5" customHeight="1">
      <c r="A1196" t="s">
        <v>64</v>
      </c>
      <c r="B1196" s="10" t="str">
        <f>'6월'!B158</f>
        <v>SB-23016</v>
      </c>
      <c r="C1196" s="12" t="str">
        <f>'6월'!C158</f>
        <v>ZGUKWA</v>
      </c>
      <c r="D1196" s="13">
        <f>'6월'!D158</f>
        <v>45838</v>
      </c>
      <c r="E1196" s="155" t="str">
        <f>'6월'!E158</f>
        <v>성공글로벌테크놀로지코리아</v>
      </c>
      <c r="F1196" s="155" t="str">
        <f>'6월'!F158</f>
        <v>케이씨에스</v>
      </c>
      <c r="G1196" s="156" t="str">
        <f>'6월'!G158</f>
        <v>MA</v>
      </c>
      <c r="H1196" s="156" t="str">
        <f>'6월'!H158</f>
        <v>분기-성공</v>
      </c>
      <c r="I1196" s="69" t="str">
        <f>'6월'!I158</f>
        <v>한국항공우주산업 #2 2분기 - 7/9회</v>
      </c>
      <c r="J1196" s="124">
        <f>'6월'!J158</f>
        <v>1</v>
      </c>
      <c r="K1196" s="15">
        <f>'6월'!K158</f>
        <v>8742600</v>
      </c>
      <c r="L1196" s="16">
        <f>'6월'!L158</f>
        <v>8742600</v>
      </c>
      <c r="M1196" s="16">
        <f>'6월'!M158</f>
        <v>874260</v>
      </c>
      <c r="N1196" s="15">
        <f>'6월'!N158</f>
        <v>9616860</v>
      </c>
      <c r="O1196" s="5" t="str">
        <f>'6월'!O158</f>
        <v>완료(8/29)</v>
      </c>
      <c r="P1196" s="9" t="str">
        <f>'6월'!P158</f>
        <v>천범석</v>
      </c>
      <c r="Q1196" s="5">
        <f>'6월'!Q158</f>
        <v>45838</v>
      </c>
      <c r="R1196" s="209"/>
    </row>
    <row r="1197" spans="1:22" ht="16.5" customHeight="1">
      <c r="A1197" t="s">
        <v>64</v>
      </c>
      <c r="B1197" s="10" t="str">
        <f>'6월'!B159</f>
        <v>SB-23012</v>
      </c>
      <c r="C1197" s="12" t="str">
        <f>'6월'!C159</f>
        <v>ZKFUER</v>
      </c>
      <c r="D1197" s="13">
        <f>'6월'!D159</f>
        <v>45838</v>
      </c>
      <c r="E1197" s="155" t="str">
        <f>'6월'!E159</f>
        <v>성공글로벌테크놀로지코리아</v>
      </c>
      <c r="F1197" s="155" t="str">
        <f>'6월'!F159</f>
        <v>솔리드이엔지</v>
      </c>
      <c r="G1197" s="168" t="str">
        <f>'6월'!G159</f>
        <v>MA</v>
      </c>
      <c r="H1197" s="156" t="str">
        <f>'6월'!H159</f>
        <v>월간-성공</v>
      </c>
      <c r="I1197" s="69" t="str">
        <f>'6월'!I159</f>
        <v>국립기상과학원 6월 유지정비료-추가 1/12회</v>
      </c>
      <c r="J1197" s="122">
        <f>'6월'!J159</f>
        <v>1</v>
      </c>
      <c r="K1197" s="15">
        <f>'6월'!K159</f>
        <v>9980400</v>
      </c>
      <c r="L1197" s="16">
        <f>'6월'!L159</f>
        <v>9980400</v>
      </c>
      <c r="M1197" s="15">
        <f>'6월'!M159</f>
        <v>998040</v>
      </c>
      <c r="N1197" s="15">
        <f>'6월'!N159</f>
        <v>10978440</v>
      </c>
      <c r="O1197" s="5" t="str">
        <f>'6월'!O159</f>
        <v>완료(8/29)</v>
      </c>
      <c r="P1197" s="9" t="str">
        <f>'6월'!P159</f>
        <v>천범석</v>
      </c>
      <c r="Q1197" s="5">
        <f>'6월'!Q159</f>
        <v>45838</v>
      </c>
      <c r="R1197" s="209"/>
      <c r="U1197" s="11"/>
      <c r="V1197" s="8"/>
    </row>
    <row r="1198" spans="1:22" ht="16.5" customHeight="1">
      <c r="A1198" t="s">
        <v>64</v>
      </c>
      <c r="B1198" s="10" t="str">
        <f>'6월'!B160</f>
        <v>SL-23020</v>
      </c>
      <c r="C1198" s="12" t="str">
        <f>'6월'!C160</f>
        <v>ZM10U8</v>
      </c>
      <c r="D1198" s="13">
        <f>'6월'!D160</f>
        <v>45838</v>
      </c>
      <c r="E1198" s="155" t="str">
        <f>'6월'!E160</f>
        <v>성공글로벌테크놀로지코리아</v>
      </c>
      <c r="F1198" s="155" t="str">
        <f>'6월'!F160</f>
        <v>사이컴테크놀로지스코리아</v>
      </c>
      <c r="G1198" s="156" t="str">
        <f>'6월'!G160</f>
        <v>MA</v>
      </c>
      <c r="H1198" s="156" t="str">
        <f>'6월'!H160</f>
        <v>월간-성공</v>
      </c>
      <c r="I1198" s="69" t="str">
        <f>'6월'!I160</f>
        <v>애플코리아 #2 25년 6월 유지정비료 - 36/69회</v>
      </c>
      <c r="J1198" s="122">
        <f>'6월'!J160</f>
        <v>1</v>
      </c>
      <c r="K1198" s="15">
        <f>'6월'!K160</f>
        <v>132600</v>
      </c>
      <c r="L1198" s="16">
        <f>'6월'!L160</f>
        <v>132600</v>
      </c>
      <c r="M1198" s="15">
        <f>'6월'!M160</f>
        <v>13260</v>
      </c>
      <c r="N1198" s="15">
        <f>'6월'!N160</f>
        <v>145860</v>
      </c>
      <c r="O1198" s="5" t="str">
        <f>'6월'!O160</f>
        <v>완료(8/29)</v>
      </c>
      <c r="P1198" s="9" t="str">
        <f>'6월'!P160</f>
        <v>천범석</v>
      </c>
      <c r="Q1198" s="5">
        <f>'6월'!Q160</f>
        <v>45057</v>
      </c>
      <c r="R1198" s="209" t="str">
        <f>'6월'!R160</f>
        <v>매출연간</v>
      </c>
      <c r="U1198" s="11"/>
      <c r="V1198" s="8"/>
    </row>
    <row r="1199" spans="1:22" ht="16.5" customHeight="1">
      <c r="A1199" t="s">
        <v>64</v>
      </c>
      <c r="B1199" s="10" t="str">
        <f>'6월'!B161</f>
        <v>SL-23035</v>
      </c>
      <c r="C1199" s="12" t="str">
        <f>'6월'!C161</f>
        <v>ZBQCP7</v>
      </c>
      <c r="D1199" s="13">
        <f>'6월'!D161</f>
        <v>45838</v>
      </c>
      <c r="E1199" s="155" t="str">
        <f>'6월'!E161</f>
        <v>성공글로벌테크놀로지코리아</v>
      </c>
      <c r="F1199" s="155" t="str">
        <f>'6월'!F161</f>
        <v>씨티아이앤씨</v>
      </c>
      <c r="G1199" s="168" t="str">
        <f>'6월'!G161</f>
        <v>MA</v>
      </c>
      <c r="H1199" s="156" t="str">
        <f>'6월'!H161</f>
        <v>월간-성공</v>
      </c>
      <c r="I1199" s="69" t="str">
        <f>'6월'!I161</f>
        <v>OK데이터시스템HW 6월 유지정비료 - 3/14회</v>
      </c>
      <c r="J1199" s="122">
        <f>'6월'!J161</f>
        <v>1</v>
      </c>
      <c r="K1199" s="15">
        <f>'6월'!K161</f>
        <v>475200</v>
      </c>
      <c r="L1199" s="16">
        <f>'6월'!L161</f>
        <v>475200</v>
      </c>
      <c r="M1199" s="15">
        <f>'6월'!M161</f>
        <v>47520</v>
      </c>
      <c r="N1199" s="15">
        <f>'6월'!N161</f>
        <v>522720</v>
      </c>
      <c r="O1199" s="5" t="str">
        <f>'6월'!O161</f>
        <v>완료(8/29)</v>
      </c>
      <c r="P1199" s="9" t="str">
        <f>'6월'!P161</f>
        <v>천범석</v>
      </c>
      <c r="Q1199" s="5">
        <f>'6월'!Q161</f>
        <v>45681</v>
      </c>
      <c r="R1199" s="209" t="str">
        <f>'6월'!R161</f>
        <v>매출연간</v>
      </c>
    </row>
    <row r="1200" spans="1:22" ht="16.5" customHeight="1">
      <c r="A1200" t="s">
        <v>64</v>
      </c>
      <c r="B1200" s="10" t="str">
        <f>'6월'!B162</f>
        <v>SB-23053</v>
      </c>
      <c r="C1200" s="12" t="str">
        <f>'6월'!C162</f>
        <v>Z41QIW</v>
      </c>
      <c r="D1200" s="13">
        <f>'6월'!D162</f>
        <v>45838</v>
      </c>
      <c r="E1200" s="155" t="str">
        <f>'6월'!E162</f>
        <v>성공글로벌테크놀로지코리아</v>
      </c>
      <c r="F1200" s="155" t="str">
        <f>'6월'!F162</f>
        <v>서원정보</v>
      </c>
      <c r="G1200" s="168" t="str">
        <f>'6월'!G162</f>
        <v>MA</v>
      </c>
      <c r="H1200" s="156" t="str">
        <f>'6월'!H162</f>
        <v>월간-성공</v>
      </c>
      <c r="I1200" s="69" t="str">
        <f>'6월'!I162</f>
        <v>신세계 아이앤씨 6월 유지정비료 - 29/46회</v>
      </c>
      <c r="J1200" s="122">
        <f>'6월'!J162</f>
        <v>1</v>
      </c>
      <c r="K1200" s="15">
        <f>'6월'!K162</f>
        <v>5338296</v>
      </c>
      <c r="L1200" s="16">
        <f>'6월'!L162</f>
        <v>5338296</v>
      </c>
      <c r="M1200" s="15">
        <f>'6월'!M162</f>
        <v>533829</v>
      </c>
      <c r="N1200" s="15">
        <f>'6월'!N162</f>
        <v>5872125</v>
      </c>
      <c r="O1200" s="5" t="str">
        <f>'6월'!O162</f>
        <v>완료(8/29)</v>
      </c>
      <c r="P1200" s="9" t="str">
        <f>'6월'!P162</f>
        <v>천범석</v>
      </c>
      <c r="Q1200" s="5">
        <f>'6월'!Q162</f>
        <v>45838</v>
      </c>
      <c r="R1200" s="209"/>
      <c r="U1200" s="11"/>
      <c r="V1200" s="8"/>
    </row>
    <row r="1201" spans="1:22" ht="16.5" customHeight="1">
      <c r="A1201" t="s">
        <v>64</v>
      </c>
      <c r="B1201" s="10" t="str">
        <f>'6월'!B163</f>
        <v>SB-23051</v>
      </c>
      <c r="C1201" s="12" t="str">
        <f>'6월'!C163</f>
        <v>ZCKGPP</v>
      </c>
      <c r="D1201" s="13">
        <f>'6월'!D163</f>
        <v>45838</v>
      </c>
      <c r="E1201" s="155" t="str">
        <f>'6월'!E163</f>
        <v>성공글로벌테크놀로지코리아</v>
      </c>
      <c r="F1201" s="155" t="str">
        <f>'6월'!F163</f>
        <v>이너인포</v>
      </c>
      <c r="G1201" s="156" t="str">
        <f>'6월'!G163</f>
        <v>MA</v>
      </c>
      <c r="H1201" s="156" t="str">
        <f>'6월'!H163</f>
        <v>월간-성공</v>
      </c>
      <c r="I1201" s="69" t="str">
        <f>'6월'!I163</f>
        <v>외교부 6월 유지정비료 - 1/12회</v>
      </c>
      <c r="J1201" s="122">
        <f>'6월'!J163</f>
        <v>1</v>
      </c>
      <c r="K1201" s="15">
        <f>'6월'!K163</f>
        <v>18000</v>
      </c>
      <c r="L1201" s="16">
        <f>'6월'!L163</f>
        <v>18000</v>
      </c>
      <c r="M1201" s="15">
        <f>'6월'!M163</f>
        <v>1800</v>
      </c>
      <c r="N1201" s="15">
        <f>'6월'!N163</f>
        <v>19800</v>
      </c>
      <c r="O1201" s="5" t="str">
        <f>'6월'!O163</f>
        <v>완료(8/29)</v>
      </c>
      <c r="P1201" s="9" t="str">
        <f>'6월'!P163</f>
        <v>천범석</v>
      </c>
      <c r="Q1201" s="5">
        <f>'6월'!Q163</f>
        <v>45195</v>
      </c>
      <c r="R1201" s="209" t="str">
        <f>'6월'!R163</f>
        <v>매출연간</v>
      </c>
      <c r="U1201" s="11"/>
      <c r="V1201" s="8"/>
    </row>
    <row r="1202" spans="1:22" ht="16.5" customHeight="1">
      <c r="A1202" t="s">
        <v>64</v>
      </c>
      <c r="B1202" s="10" t="str">
        <f>'6월'!B164</f>
        <v>SB-23064</v>
      </c>
      <c r="C1202" s="12" t="str">
        <f>'6월'!C164</f>
        <v>ZCQQRT</v>
      </c>
      <c r="D1202" s="13">
        <f>'6월'!D164</f>
        <v>45838</v>
      </c>
      <c r="E1202" s="155" t="str">
        <f>'6월'!E164</f>
        <v>성공글로벌테크놀로지코리아</v>
      </c>
      <c r="F1202" s="155" t="str">
        <f>'6월'!F164</f>
        <v xml:space="preserve">EDP </v>
      </c>
      <c r="G1202" s="168" t="str">
        <f>'6월'!G164</f>
        <v>MA</v>
      </c>
      <c r="H1202" s="156" t="str">
        <f>'6월'!H164</f>
        <v>월간-성공</v>
      </c>
      <c r="I1202" s="69" t="str">
        <f>'6월'!I164</f>
        <v>코클리어 6월 유지정비료 - 15/30회</v>
      </c>
      <c r="J1202" s="122">
        <f>'6월'!J164</f>
        <v>1</v>
      </c>
      <c r="K1202" s="15">
        <f>'6월'!K164</f>
        <v>90000</v>
      </c>
      <c r="L1202" s="16">
        <f>'6월'!L164</f>
        <v>90000</v>
      </c>
      <c r="M1202" s="15">
        <f>'6월'!M164</f>
        <v>9000</v>
      </c>
      <c r="N1202" s="15">
        <f>'6월'!N164</f>
        <v>99000</v>
      </c>
      <c r="O1202" s="5" t="str">
        <f>'6월'!O164</f>
        <v>완료(8/29)</v>
      </c>
      <c r="P1202" s="9" t="str">
        <f>'6월'!P164</f>
        <v>천범석</v>
      </c>
      <c r="Q1202" s="5">
        <f>'6월'!Q164</f>
        <v>45278</v>
      </c>
      <c r="R1202" s="209" t="str">
        <f>'6월'!R164</f>
        <v>매출연간</v>
      </c>
    </row>
    <row r="1203" spans="1:22" ht="16.5" customHeight="1">
      <c r="A1203" t="s">
        <v>64</v>
      </c>
      <c r="B1203" s="10" t="str">
        <f>'6월'!B165</f>
        <v>SB-24009</v>
      </c>
      <c r="C1203" s="12" t="str">
        <f>'6월'!C165</f>
        <v>Z0PYQC</v>
      </c>
      <c r="D1203" s="13">
        <f>'6월'!D165</f>
        <v>45838</v>
      </c>
      <c r="E1203" s="155" t="str">
        <f>'6월'!E165</f>
        <v>성공글로벌테크놀로지코리아</v>
      </c>
      <c r="F1203" s="155" t="str">
        <f>'6월'!F165</f>
        <v>유알피</v>
      </c>
      <c r="G1203" s="168" t="str">
        <f>'6월'!G165</f>
        <v>MA</v>
      </c>
      <c r="H1203" s="156" t="str">
        <f>'6월'!H165</f>
        <v>월간-성공</v>
      </c>
      <c r="I1203" s="69" t="str">
        <f>'6월'!I165</f>
        <v>서울디자인재단 6월유지정비료 - 6/12회</v>
      </c>
      <c r="J1203" s="122">
        <f>'6월'!J165</f>
        <v>1</v>
      </c>
      <c r="K1203" s="15">
        <f>'6월'!K165</f>
        <v>976200</v>
      </c>
      <c r="L1203" s="16">
        <f>'6월'!L165</f>
        <v>976200</v>
      </c>
      <c r="M1203" s="15">
        <f>'6월'!M165</f>
        <v>97620</v>
      </c>
      <c r="N1203" s="15">
        <f>'6월'!N165</f>
        <v>1073820</v>
      </c>
      <c r="O1203" s="5" t="str">
        <f>'6월'!O165</f>
        <v>완료(8/29)</v>
      </c>
      <c r="P1203" s="9" t="str">
        <f>'6월'!P165</f>
        <v>천범석</v>
      </c>
      <c r="Q1203" s="5">
        <f>'6월'!Q165</f>
        <v>45853</v>
      </c>
      <c r="R1203" s="209"/>
    </row>
    <row r="1204" spans="1:22" ht="16.5" customHeight="1">
      <c r="A1204" t="s">
        <v>64</v>
      </c>
      <c r="B1204" s="10" t="str">
        <f>'6월'!B166</f>
        <v>SB-24011</v>
      </c>
      <c r="C1204" s="12" t="str">
        <f>'6월'!C166</f>
        <v>Z5PURB</v>
      </c>
      <c r="D1204" s="13">
        <f>'6월'!D166</f>
        <v>45838</v>
      </c>
      <c r="E1204" s="155" t="str">
        <f>'6월'!E166</f>
        <v>성공글로벌테크놀로지코리아</v>
      </c>
      <c r="F1204" s="155" t="str">
        <f>'6월'!F166</f>
        <v>비온시이노베이터</v>
      </c>
      <c r="G1204" s="168" t="str">
        <f>'6월'!G166</f>
        <v>MA</v>
      </c>
      <c r="H1204" s="156" t="str">
        <f>'6월'!H166</f>
        <v>월간-성공</v>
      </c>
      <c r="I1204" s="69" t="str">
        <f>'6월'!I166</f>
        <v>국립농업과학원 - 6월유지정비료 - 18/24회</v>
      </c>
      <c r="J1204" s="122">
        <f>'6월'!J166</f>
        <v>1</v>
      </c>
      <c r="K1204" s="15">
        <f>'6월'!K166</f>
        <v>511500</v>
      </c>
      <c r="L1204" s="16">
        <f>'6월'!L166</f>
        <v>511500</v>
      </c>
      <c r="M1204" s="15">
        <f>'6월'!M166</f>
        <v>51150</v>
      </c>
      <c r="N1204" s="15">
        <f>'6월'!N166</f>
        <v>562650</v>
      </c>
      <c r="O1204" s="5" t="str">
        <f>'6월'!O166</f>
        <v>완료(8/29)</v>
      </c>
      <c r="P1204" s="9" t="str">
        <f>'6월'!P166</f>
        <v>천범석</v>
      </c>
      <c r="Q1204" s="5">
        <f>'6월'!Q166</f>
        <v>45838</v>
      </c>
      <c r="R1204" s="209"/>
    </row>
    <row r="1205" spans="1:22">
      <c r="A1205" t="s">
        <v>64</v>
      </c>
      <c r="B1205" s="10" t="str">
        <f>'6월'!B167</f>
        <v>SB-24027</v>
      </c>
      <c r="C1205" s="139" t="str">
        <f>'6월'!C167</f>
        <v>ZGTHWJ</v>
      </c>
      <c r="D1205" s="13">
        <f>'6월'!D167</f>
        <v>45838</v>
      </c>
      <c r="E1205" s="155" t="str">
        <f>'6월'!E167</f>
        <v>성공글로벌테크놀로지코리아</v>
      </c>
      <c r="F1205" s="155" t="str">
        <f>'6월'!F167</f>
        <v>시스템본</v>
      </c>
      <c r="G1205" s="156" t="str">
        <f>'6월'!G167</f>
        <v>MA</v>
      </c>
      <c r="H1205" s="156" t="str">
        <f>'6월'!H167</f>
        <v>월간-성공</v>
      </c>
      <c r="I1205" s="69" t="str">
        <f>'6월'!I167</f>
        <v>엘지유플러스(LG U+) 6월 유지정비료 - 19/37회</v>
      </c>
      <c r="J1205" s="122">
        <f>'6월'!J167</f>
        <v>1</v>
      </c>
      <c r="K1205" s="15">
        <f>'6월'!K167</f>
        <v>518541</v>
      </c>
      <c r="L1205" s="16">
        <f>'6월'!L167</f>
        <v>518541</v>
      </c>
      <c r="M1205" s="15">
        <f>'6월'!M167</f>
        <v>51854</v>
      </c>
      <c r="N1205" s="15">
        <f>'6월'!N167</f>
        <v>570395</v>
      </c>
      <c r="O1205" s="5" t="str">
        <f>'6월'!O167</f>
        <v>완료(8/29)</v>
      </c>
      <c r="P1205" s="9" t="str">
        <f>'6월'!P167</f>
        <v>천범석</v>
      </c>
      <c r="Q1205" s="5">
        <f>'6월'!Q167</f>
        <v>45838</v>
      </c>
      <c r="R1205" s="209"/>
    </row>
    <row r="1206" spans="1:22" ht="16.5" customHeight="1">
      <c r="A1206" t="s">
        <v>64</v>
      </c>
      <c r="B1206" s="10" t="str">
        <f>'6월'!B168</f>
        <v>SB-24039</v>
      </c>
      <c r="C1206" s="12" t="str">
        <f>'6월'!C168</f>
        <v>ZZGBBZ</v>
      </c>
      <c r="D1206" s="13">
        <f>'6월'!D168</f>
        <v>45838</v>
      </c>
      <c r="E1206" s="155" t="str">
        <f>'6월'!E168</f>
        <v>성공글로벌테크놀로지코리아</v>
      </c>
      <c r="F1206" s="155" t="str">
        <f>'6월'!F168</f>
        <v>한국디지털오디오방송</v>
      </c>
      <c r="G1206" s="156" t="str">
        <f>'6월'!G168</f>
        <v>MA</v>
      </c>
      <c r="H1206" s="156" t="str">
        <f>'6월'!H168</f>
        <v>월간-성공</v>
      </c>
      <c r="I1206" s="69" t="str">
        <f>'6월'!I168</f>
        <v>6월유지정비료 - 12/12회</v>
      </c>
      <c r="J1206" s="122">
        <f>'6월'!J168</f>
        <v>1</v>
      </c>
      <c r="K1206" s="15">
        <f>'6월'!K168</f>
        <v>1120200</v>
      </c>
      <c r="L1206" s="16">
        <f>'6월'!L168</f>
        <v>1120200</v>
      </c>
      <c r="M1206" s="15">
        <f>'6월'!M168</f>
        <v>112020</v>
      </c>
      <c r="N1206" s="15">
        <f>'6월'!N168</f>
        <v>1232220</v>
      </c>
      <c r="O1206" s="5" t="str">
        <f>'6월'!O168</f>
        <v>완료(8/29)</v>
      </c>
      <c r="P1206" s="9" t="str">
        <f>'6월'!P168</f>
        <v>천범석</v>
      </c>
      <c r="Q1206" s="5">
        <f>'6월'!Q168</f>
        <v>45809</v>
      </c>
      <c r="R1206" s="209"/>
    </row>
    <row r="1207" spans="1:22" ht="16.5" customHeight="1">
      <c r="A1207" t="s">
        <v>64</v>
      </c>
      <c r="B1207" s="10" t="str">
        <f>'6월'!B169</f>
        <v>SB-24042</v>
      </c>
      <c r="C1207" s="12" t="str">
        <f>'6월'!C169</f>
        <v>ZTME0P</v>
      </c>
      <c r="D1207" s="13">
        <f>'6월'!D169</f>
        <v>45838</v>
      </c>
      <c r="E1207" s="155" t="str">
        <f>'6월'!E169</f>
        <v>성공글로벌테크놀로지코리아</v>
      </c>
      <c r="F1207" s="155" t="str">
        <f>'6월'!F169</f>
        <v>심플키</v>
      </c>
      <c r="G1207" s="168" t="str">
        <f>'6월'!G169</f>
        <v>MA</v>
      </c>
      <c r="H1207" s="156" t="str">
        <f>'6월'!H169</f>
        <v>월간-성공</v>
      </c>
      <c r="I1207" s="69" t="str">
        <f>'6월'!I169</f>
        <v>티시스 6월 유지정비료 - 13/17회</v>
      </c>
      <c r="J1207" s="122">
        <f>'6월'!J169</f>
        <v>1</v>
      </c>
      <c r="K1207" s="15">
        <f>'6월'!K169</f>
        <v>445200</v>
      </c>
      <c r="L1207" s="16">
        <f>'6월'!L169</f>
        <v>445200</v>
      </c>
      <c r="M1207" s="15">
        <f>'6월'!M169</f>
        <v>44520</v>
      </c>
      <c r="N1207" s="15">
        <f>'6월'!N169</f>
        <v>489720</v>
      </c>
      <c r="O1207" s="5" t="str">
        <f>'6월'!O169</f>
        <v>완료(8/29)</v>
      </c>
      <c r="P1207" s="9" t="str">
        <f>'6월'!P169</f>
        <v>천범석</v>
      </c>
      <c r="Q1207" s="5">
        <f>'6월'!Q169</f>
        <v>45474</v>
      </c>
      <c r="R1207" s="209" t="str">
        <f>'6월'!R169</f>
        <v>매출분기</v>
      </c>
    </row>
    <row r="1208" spans="1:22" ht="16.5" customHeight="1">
      <c r="A1208" t="s">
        <v>64</v>
      </c>
      <c r="B1208" s="10" t="str">
        <f>'6월'!B170</f>
        <v>SB-24044</v>
      </c>
      <c r="C1208" s="12" t="str">
        <f>'6월'!C170</f>
        <v>ZSWUX2</v>
      </c>
      <c r="D1208" s="13">
        <f>'6월'!D170</f>
        <v>45838</v>
      </c>
      <c r="E1208" s="155" t="str">
        <f>'6월'!E170</f>
        <v>성공글로벌테크놀로지코리아</v>
      </c>
      <c r="F1208" s="155" t="str">
        <f>'6월'!F170</f>
        <v>다솜테크</v>
      </c>
      <c r="G1208" s="168" t="str">
        <f>'6월'!G170</f>
        <v>MA</v>
      </c>
      <c r="H1208" s="156" t="str">
        <f>'6월'!H170</f>
        <v>월간-성공</v>
      </c>
      <c r="I1208" s="69" t="str">
        <f>'6월'!I170</f>
        <v>LX홀딩스 6월 유지정비료 - 12/12회</v>
      </c>
      <c r="J1208" s="122">
        <f>'6월'!J170</f>
        <v>1</v>
      </c>
      <c r="K1208" s="15">
        <f>'6월'!K170</f>
        <v>505200</v>
      </c>
      <c r="L1208" s="16">
        <f>'6월'!L170</f>
        <v>505200</v>
      </c>
      <c r="M1208" s="15">
        <f>'6월'!M170</f>
        <v>50520</v>
      </c>
      <c r="N1208" s="15">
        <f>'6월'!N170</f>
        <v>555720</v>
      </c>
      <c r="O1208" s="5" t="str">
        <f>'6월'!O170</f>
        <v>완료(8/29)</v>
      </c>
      <c r="P1208" s="177" t="str">
        <f>'6월'!P170</f>
        <v>천범석</v>
      </c>
      <c r="Q1208" s="5">
        <f>'6월'!Q170</f>
        <v>45838</v>
      </c>
      <c r="R1208" s="209"/>
    </row>
    <row r="1209" spans="1:22" ht="16.5" customHeight="1">
      <c r="A1209" t="s">
        <v>64</v>
      </c>
      <c r="B1209" s="10" t="str">
        <f>'6월'!B171</f>
        <v>SL-24021</v>
      </c>
      <c r="C1209" s="12" t="str">
        <f>'6월'!C171</f>
        <v>ZTNAYA</v>
      </c>
      <c r="D1209" s="13">
        <f>'6월'!D171</f>
        <v>45838</v>
      </c>
      <c r="E1209" s="155" t="str">
        <f>'6월'!E171</f>
        <v>성공글로벌테크놀로지코리아</v>
      </c>
      <c r="F1209" s="155" t="str">
        <f>'6월'!F171</f>
        <v>씨티아이앤씨</v>
      </c>
      <c r="G1209" s="156" t="str">
        <f>'6월'!G171</f>
        <v>MA</v>
      </c>
      <c r="H1209" s="156" t="str">
        <f>'6월'!H171</f>
        <v>월간-성공</v>
      </c>
      <c r="I1209" s="69" t="str">
        <f>'6월'!I171</f>
        <v>한우리아이티 HW 6월 유지정비료 - 11/13회</v>
      </c>
      <c r="J1209" s="122">
        <f>'6월'!J171</f>
        <v>1</v>
      </c>
      <c r="K1209" s="15">
        <f>'6월'!K171</f>
        <v>334800</v>
      </c>
      <c r="L1209" s="16">
        <f>'6월'!L171</f>
        <v>334800</v>
      </c>
      <c r="M1209" s="15">
        <f>'6월'!M171</f>
        <v>33480</v>
      </c>
      <c r="N1209" s="15">
        <f>'6월'!N171</f>
        <v>368280</v>
      </c>
      <c r="O1209" s="5" t="str">
        <f>'6월'!O171</f>
        <v>완료(8/29)</v>
      </c>
      <c r="P1209" s="9" t="str">
        <f>'6월'!P171</f>
        <v>천범석</v>
      </c>
      <c r="Q1209" s="5">
        <f>'6월'!Q171</f>
        <v>45504</v>
      </c>
      <c r="R1209" s="209" t="str">
        <f>'6월'!R171</f>
        <v>매출연간</v>
      </c>
    </row>
    <row r="1210" spans="1:22" ht="16.5" customHeight="1">
      <c r="A1210" t="s">
        <v>64</v>
      </c>
      <c r="B1210" s="10" t="str">
        <f>'6월'!B172</f>
        <v>SB-24046</v>
      </c>
      <c r="C1210" s="12" t="str">
        <f>'6월'!C172</f>
        <v>Z8LTG0</v>
      </c>
      <c r="D1210" s="13">
        <f>'6월'!D172</f>
        <v>45838</v>
      </c>
      <c r="E1210" s="155" t="str">
        <f>'6월'!E172</f>
        <v>성공글로벌테크놀로지코리아</v>
      </c>
      <c r="F1210" s="155" t="str">
        <f>'6월'!F172</f>
        <v>다솜테크</v>
      </c>
      <c r="G1210" s="156" t="str">
        <f>'6월'!G172</f>
        <v>MA</v>
      </c>
      <c r="H1210" s="156" t="str">
        <f>'6월'!H172</f>
        <v>월간-성공</v>
      </c>
      <c r="I1210" s="69" t="str">
        <f>'6월'!I172</f>
        <v>웰컴저축은행 6월 유지정비료 - 11/12회</v>
      </c>
      <c r="J1210" s="122">
        <f>'6월'!J172</f>
        <v>1</v>
      </c>
      <c r="K1210" s="15">
        <f>'6월'!K172</f>
        <v>204600</v>
      </c>
      <c r="L1210" s="16">
        <f>'6월'!L172</f>
        <v>204600</v>
      </c>
      <c r="M1210" s="15">
        <f>'6월'!M172</f>
        <v>20460</v>
      </c>
      <c r="N1210" s="15">
        <f>'6월'!N172</f>
        <v>225060</v>
      </c>
      <c r="O1210" s="5" t="str">
        <f>'6월'!O172</f>
        <v>완료(8/29)</v>
      </c>
      <c r="P1210" s="9" t="str">
        <f>'6월'!P172</f>
        <v>천범석</v>
      </c>
      <c r="Q1210" s="5">
        <f>'6월'!Q172</f>
        <v>45838</v>
      </c>
      <c r="R1210" s="209"/>
    </row>
    <row r="1211" spans="1:22" ht="16.5" customHeight="1">
      <c r="A1211" t="s">
        <v>64</v>
      </c>
      <c r="B1211" s="10" t="str">
        <f>'6월'!B173</f>
        <v>SB-24047</v>
      </c>
      <c r="C1211" s="12" t="str">
        <f>'6월'!C173</f>
        <v>ZPANSR</v>
      </c>
      <c r="D1211" s="13">
        <f>'6월'!D173</f>
        <v>45838</v>
      </c>
      <c r="E1211" s="155" t="str">
        <f>'6월'!E173</f>
        <v>성공글로벌테크놀로지코리아</v>
      </c>
      <c r="F1211" s="155" t="str">
        <f>'6월'!F173</f>
        <v>현대종합금속</v>
      </c>
      <c r="G1211" s="156" t="str">
        <f>'6월'!G173</f>
        <v>MA</v>
      </c>
      <c r="H1211" s="156" t="str">
        <f>'6월'!H173</f>
        <v>월간-성공</v>
      </c>
      <c r="I1211" s="69" t="str">
        <f>'6월'!I173</f>
        <v>6월 유지정비료 - 12/12회</v>
      </c>
      <c r="J1211" s="122">
        <f>'6월'!J173</f>
        <v>1</v>
      </c>
      <c r="K1211" s="15">
        <f>'6월'!K173</f>
        <v>499500</v>
      </c>
      <c r="L1211" s="16">
        <f>'6월'!L173</f>
        <v>499500</v>
      </c>
      <c r="M1211" s="15">
        <f>'6월'!M173</f>
        <v>49950</v>
      </c>
      <c r="N1211" s="15">
        <f>'6월'!N173</f>
        <v>549450</v>
      </c>
      <c r="O1211" s="5" t="str">
        <f>'6월'!O173</f>
        <v>완료(8/29)</v>
      </c>
      <c r="P1211" s="9" t="str">
        <f>'6월'!P173</f>
        <v>천범석</v>
      </c>
      <c r="Q1211" s="5">
        <f>'6월'!Q173</f>
        <v>45838</v>
      </c>
      <c r="R1211" s="209"/>
    </row>
    <row r="1212" spans="1:22" ht="16.5" customHeight="1">
      <c r="A1212" t="s">
        <v>64</v>
      </c>
      <c r="B1212" s="10" t="str">
        <f>'6월'!B174</f>
        <v>LI-24009</v>
      </c>
      <c r="C1212" s="12" t="str">
        <f>'6월'!C174</f>
        <v>ZMDFL5</v>
      </c>
      <c r="D1212" s="13">
        <f>'6월'!D174</f>
        <v>45838</v>
      </c>
      <c r="E1212" s="155" t="str">
        <f>'6월'!E174</f>
        <v>성공글로벌테크놀로지코리아</v>
      </c>
      <c r="F1212" s="155" t="str">
        <f>'6월'!F174</f>
        <v>아이리스인포테크</v>
      </c>
      <c r="G1212" s="156" t="str">
        <f>'6월'!G174</f>
        <v>MA</v>
      </c>
      <c r="H1212" s="156" t="str">
        <f>'6월'!H174</f>
        <v>월간-성공</v>
      </c>
      <c r="I1212" s="69" t="str">
        <f>'6월'!I174</f>
        <v>프레이저플레이스 6월 유지정비료 - 11/12회</v>
      </c>
      <c r="J1212" s="122">
        <f>'6월'!J174</f>
        <v>1</v>
      </c>
      <c r="K1212" s="15">
        <f>'6월'!K174</f>
        <v>276600</v>
      </c>
      <c r="L1212" s="16">
        <f>'6월'!L174</f>
        <v>276600</v>
      </c>
      <c r="M1212" s="15">
        <f>'6월'!M174</f>
        <v>27660</v>
      </c>
      <c r="N1212" s="15">
        <f>'6월'!N174</f>
        <v>304260</v>
      </c>
      <c r="O1212" s="5" t="str">
        <f>'6월'!O174</f>
        <v>완료(8/29)</v>
      </c>
      <c r="P1212" s="9" t="str">
        <f>'6월'!P174</f>
        <v>천범석</v>
      </c>
      <c r="Q1212" s="5">
        <f>'6월'!Q174</f>
        <v>45534</v>
      </c>
      <c r="R1212" s="209" t="str">
        <f>'6월'!R174</f>
        <v>매출연간</v>
      </c>
    </row>
    <row r="1213" spans="1:22" ht="16.5" customHeight="1">
      <c r="A1213" t="s">
        <v>64</v>
      </c>
      <c r="B1213" s="10" t="str">
        <f>'6월'!B175</f>
        <v>SB-25007</v>
      </c>
      <c r="C1213" s="12" t="str">
        <f>'6월'!C175</f>
        <v xml:space="preserve"> ZROHA2</v>
      </c>
      <c r="D1213" s="13">
        <f>'6월'!D175</f>
        <v>45838</v>
      </c>
      <c r="E1213" s="155" t="str">
        <f>'6월'!E175</f>
        <v>성공글로벌테크놀로지코리아</v>
      </c>
      <c r="F1213" s="155" t="str">
        <f>'6월'!F175</f>
        <v>페타데이타</v>
      </c>
      <c r="G1213" s="168" t="str">
        <f>'6월'!G175</f>
        <v>MA</v>
      </c>
      <c r="H1213" s="156" t="str">
        <f>'6월'!H175</f>
        <v>월간-성공</v>
      </c>
      <c r="I1213" s="69" t="str">
        <f>'6월'!I175</f>
        <v>SBS 6월 유지정비료 - 6/12회</v>
      </c>
      <c r="J1213" s="122">
        <f>'6월'!J175</f>
        <v>1</v>
      </c>
      <c r="K1213" s="15">
        <f>'6월'!K175</f>
        <v>243000</v>
      </c>
      <c r="L1213" s="16">
        <f>'6월'!L175</f>
        <v>243000</v>
      </c>
      <c r="M1213" s="15">
        <f>'6월'!M175</f>
        <v>24300</v>
      </c>
      <c r="N1213" s="15">
        <f>'6월'!N175</f>
        <v>267300</v>
      </c>
      <c r="O1213" s="5" t="str">
        <f>'6월'!O175</f>
        <v>완료(8/29)</v>
      </c>
      <c r="P1213" s="9" t="str">
        <f>'6월'!P175</f>
        <v>천범석</v>
      </c>
      <c r="Q1213" s="5">
        <f>'6월'!Q175</f>
        <v>45838</v>
      </c>
      <c r="R1213" s="209"/>
    </row>
    <row r="1214" spans="1:22" ht="16.5" customHeight="1">
      <c r="A1214" t="s">
        <v>64</v>
      </c>
      <c r="B1214" s="10" t="str">
        <f>'6월'!B176</f>
        <v>SB-25006</v>
      </c>
      <c r="C1214" s="12" t="str">
        <f>'6월'!C176</f>
        <v>ZTAHJK</v>
      </c>
      <c r="D1214" s="13">
        <f>'6월'!D176</f>
        <v>45838</v>
      </c>
      <c r="E1214" s="155" t="str">
        <f>'6월'!E176</f>
        <v>성공글로벌테크놀로지코리아</v>
      </c>
      <c r="F1214" s="155" t="str">
        <f>'6월'!F176</f>
        <v>더힘</v>
      </c>
      <c r="G1214" s="168" t="str">
        <f>'6월'!G176</f>
        <v>MA</v>
      </c>
      <c r="H1214" s="156" t="str">
        <f>'6월'!H176</f>
        <v>월간-성공</v>
      </c>
      <c r="I1214" s="69" t="str">
        <f>'6월'!I176</f>
        <v>피에스케이(PSK) 6월 유지정비료 - 6/17회</v>
      </c>
      <c r="J1214" s="122">
        <f>'6월'!J176</f>
        <v>1</v>
      </c>
      <c r="K1214" s="15">
        <f>'6월'!K176</f>
        <v>2043300</v>
      </c>
      <c r="L1214" s="16">
        <f>'6월'!L176</f>
        <v>2043300</v>
      </c>
      <c r="M1214" s="16">
        <f>'6월'!M176</f>
        <v>204330</v>
      </c>
      <c r="N1214" s="15">
        <f>'6월'!N176</f>
        <v>2247630</v>
      </c>
      <c r="O1214" s="5" t="str">
        <f>'6월'!O176</f>
        <v>완료(8/29)</v>
      </c>
      <c r="P1214" s="9" t="str">
        <f>'6월'!P176</f>
        <v>천범석</v>
      </c>
      <c r="Q1214" s="5">
        <f>'6월'!Q176</f>
        <v>45687</v>
      </c>
      <c r="R1214" s="213" t="str">
        <f>'6월'!R176</f>
        <v>매출연간</v>
      </c>
    </row>
    <row r="1215" spans="1:22" ht="16.5" customHeight="1">
      <c r="A1215" t="s">
        <v>64</v>
      </c>
      <c r="B1215" s="10" t="str">
        <f>'6월'!B177</f>
        <v>SB-25008</v>
      </c>
      <c r="C1215" s="12" t="str">
        <f>'6월'!C177</f>
        <v>ZTGLCD</v>
      </c>
      <c r="D1215" s="13">
        <f>'6월'!D177</f>
        <v>45838</v>
      </c>
      <c r="E1215" s="155" t="str">
        <f>'6월'!E177</f>
        <v>성공글로벌테크놀로지코리아</v>
      </c>
      <c r="F1215" s="155" t="str">
        <f>'6월'!F177</f>
        <v>아이리스인포테크</v>
      </c>
      <c r="G1215" s="168" t="str">
        <f>'6월'!G177</f>
        <v>MA</v>
      </c>
      <c r="H1215" s="156" t="str">
        <f>'6월'!H177</f>
        <v>월간-성공</v>
      </c>
      <c r="I1215" s="69" t="str">
        <f>'6월'!I177</f>
        <v>삼성전자 6월분 - 8/13회</v>
      </c>
      <c r="J1215" s="122">
        <f>'6월'!J177</f>
        <v>1</v>
      </c>
      <c r="K1215" s="15">
        <f>'6월'!K177</f>
        <v>212700</v>
      </c>
      <c r="L1215" s="16">
        <f>'6월'!L177</f>
        <v>212700</v>
      </c>
      <c r="M1215" s="16">
        <f>'6월'!M177</f>
        <v>21270</v>
      </c>
      <c r="N1215" s="15">
        <f>'6월'!N177</f>
        <v>233970</v>
      </c>
      <c r="O1215" s="5" t="str">
        <f>'6월'!O177</f>
        <v>완료(8/29)</v>
      </c>
      <c r="P1215" s="177" t="str">
        <f>'6월'!P177</f>
        <v>천범석</v>
      </c>
      <c r="Q1215" s="5">
        <f>'6월'!Q177</f>
        <v>45681</v>
      </c>
      <c r="R1215" s="213" t="str">
        <f>'6월'!R177</f>
        <v>매출연간</v>
      </c>
    </row>
    <row r="1216" spans="1:22" ht="16.5" customHeight="1">
      <c r="A1216" t="s">
        <v>64</v>
      </c>
      <c r="B1216" s="10" t="str">
        <f>'6월'!B178</f>
        <v>SB-25009</v>
      </c>
      <c r="C1216" s="12" t="str">
        <f>'6월'!C178</f>
        <v>ZPXA6W</v>
      </c>
      <c r="D1216" s="13">
        <f>'6월'!D178</f>
        <v>45838</v>
      </c>
      <c r="E1216" s="155" t="str">
        <f>'6월'!E178</f>
        <v>성공글로벌테크놀로지코리아</v>
      </c>
      <c r="F1216" s="155" t="str">
        <f>'6월'!F178</f>
        <v>다올시스</v>
      </c>
      <c r="G1216" s="168" t="str">
        <f>'6월'!G178</f>
        <v>MA</v>
      </c>
      <c r="H1216" s="156" t="str">
        <f>'6월'!H178</f>
        <v>월간-성공</v>
      </c>
      <c r="I1216" s="69" t="str">
        <f>'6월'!I178</f>
        <v>대동도어 6월 유지정비료 - 5/13회</v>
      </c>
      <c r="J1216" s="122">
        <f>'6월'!J178</f>
        <v>1</v>
      </c>
      <c r="K1216" s="15">
        <f>'6월'!K178</f>
        <v>149400</v>
      </c>
      <c r="L1216" s="16">
        <f>'6월'!L178</f>
        <v>149400</v>
      </c>
      <c r="M1216" s="15">
        <f>'6월'!M178</f>
        <v>14940</v>
      </c>
      <c r="N1216" s="15">
        <f>'6월'!N178</f>
        <v>164340</v>
      </c>
      <c r="O1216" s="5" t="str">
        <f>'6월'!O178</f>
        <v>완료(8/29)</v>
      </c>
      <c r="P1216" s="9" t="str">
        <f>'6월'!P178</f>
        <v>천범석</v>
      </c>
      <c r="Q1216" s="5">
        <f>'6월'!Q178</f>
        <v>45716</v>
      </c>
      <c r="R1216" s="209" t="str">
        <f>'6월'!R178</f>
        <v>매출연간</v>
      </c>
    </row>
    <row r="1217" spans="1:18" ht="16.5" customHeight="1">
      <c r="A1217" t="s">
        <v>64</v>
      </c>
      <c r="B1217" s="10" t="str">
        <f>'6월'!B179</f>
        <v>SB-25010</v>
      </c>
      <c r="C1217" s="12" t="str">
        <f>'6월'!C179</f>
        <v>ZCXAPZ</v>
      </c>
      <c r="D1217" s="13">
        <f>'6월'!D179</f>
        <v>45838</v>
      </c>
      <c r="E1217" s="155" t="str">
        <f>'6월'!E179</f>
        <v>성공글로벌테크놀로지코리아</v>
      </c>
      <c r="F1217" s="155" t="str">
        <f>'6월'!F179</f>
        <v>유티모스트아이엔에스</v>
      </c>
      <c r="G1217" s="168" t="str">
        <f>'6월'!G179</f>
        <v>MA</v>
      </c>
      <c r="H1217" s="156" t="str">
        <f>'6월'!H179</f>
        <v>월간-성공</v>
      </c>
      <c r="I1217" s="69" t="str">
        <f>'6월'!I179</f>
        <v>메타넷디지털 25년 6월 - 15/21회</v>
      </c>
      <c r="J1217" s="122">
        <f>'6월'!J179</f>
        <v>1</v>
      </c>
      <c r="K1217" s="15">
        <f>'6월'!K179</f>
        <v>180600</v>
      </c>
      <c r="L1217" s="16">
        <f>'6월'!L179</f>
        <v>180600</v>
      </c>
      <c r="M1217" s="16">
        <f>'6월'!M179</f>
        <v>18060</v>
      </c>
      <c r="N1217" s="15">
        <f>'6월'!N179</f>
        <v>198660</v>
      </c>
      <c r="O1217" s="5" t="str">
        <f>'6월'!O179</f>
        <v>완료(8/29)</v>
      </c>
      <c r="P1217" s="9" t="str">
        <f>'6월'!P179</f>
        <v>천범석</v>
      </c>
      <c r="Q1217" s="5">
        <f>'6월'!Q179</f>
        <v>45838</v>
      </c>
      <c r="R1217" s="213"/>
    </row>
    <row r="1218" spans="1:18" ht="16.5" customHeight="1">
      <c r="A1218" t="s">
        <v>64</v>
      </c>
      <c r="B1218" s="10" t="str">
        <f>'6월'!B180</f>
        <v>SB-25011</v>
      </c>
      <c r="C1218" s="12" t="str">
        <f>'6월'!C180</f>
        <v>ZJREZL</v>
      </c>
      <c r="D1218" s="13">
        <f>'6월'!D180</f>
        <v>45838</v>
      </c>
      <c r="E1218" s="155" t="str">
        <f>'6월'!E180</f>
        <v>성공글로벌테크놀로지코리아</v>
      </c>
      <c r="F1218" s="155" t="str">
        <f>'6월'!F180</f>
        <v>이룸에스앤앤</v>
      </c>
      <c r="G1218" s="168" t="str">
        <f>'6월'!G180</f>
        <v>MA</v>
      </c>
      <c r="H1218" s="156" t="str">
        <f>'6월'!H180</f>
        <v>월간-성공</v>
      </c>
      <c r="I1218" s="69" t="str">
        <f>'6월'!I180</f>
        <v>코리아미카사 25년 6월 유지정비료 - 18/25회</v>
      </c>
      <c r="J1218" s="122">
        <f>'6월'!J180</f>
        <v>1</v>
      </c>
      <c r="K1218" s="15">
        <f>'6월'!K180</f>
        <v>65700</v>
      </c>
      <c r="L1218" s="16">
        <f>'6월'!L180</f>
        <v>65700</v>
      </c>
      <c r="M1218" s="16">
        <f>'6월'!M180</f>
        <v>6570</v>
      </c>
      <c r="N1218" s="15">
        <f>'6월'!N180</f>
        <v>72270</v>
      </c>
      <c r="O1218" s="5" t="str">
        <f>'6월'!O180</f>
        <v>완료(8/29)</v>
      </c>
      <c r="P1218" s="9" t="str">
        <f>'6월'!P180</f>
        <v>천범석</v>
      </c>
      <c r="Q1218" s="5">
        <f>'6월'!Q180</f>
        <v>45700</v>
      </c>
      <c r="R1218" s="213" t="str">
        <f>'6월'!R180</f>
        <v>매출연간</v>
      </c>
    </row>
    <row r="1219" spans="1:18" ht="16.5" customHeight="1">
      <c r="A1219" t="s">
        <v>64</v>
      </c>
      <c r="B1219" s="10" t="str">
        <f>'6월'!B181</f>
        <v>SB-24052</v>
      </c>
      <c r="C1219" s="12" t="str">
        <f>'6월'!C181</f>
        <v>ZUIU6G</v>
      </c>
      <c r="D1219" s="13">
        <f>'6월'!D181</f>
        <v>45838</v>
      </c>
      <c r="E1219" s="155" t="str">
        <f>'6월'!E181</f>
        <v>성공글로벌테크놀로지코리아</v>
      </c>
      <c r="F1219" s="155" t="str">
        <f>'6월'!F181</f>
        <v>유티모스트아이엔에스</v>
      </c>
      <c r="G1219" s="168" t="str">
        <f>'6월'!G181</f>
        <v>MA</v>
      </c>
      <c r="H1219" s="156" t="str">
        <f>'6월'!H181</f>
        <v>월간-성공</v>
      </c>
      <c r="I1219" s="69" t="str">
        <f>'6월'!I181</f>
        <v>삼성중공업 6월 유지정비료 - 10/16회</v>
      </c>
      <c r="J1219" s="122">
        <f>'6월'!J181</f>
        <v>1</v>
      </c>
      <c r="K1219" s="15">
        <f>'6월'!K181</f>
        <v>11892900</v>
      </c>
      <c r="L1219" s="16">
        <f>'6월'!L181</f>
        <v>11892900</v>
      </c>
      <c r="M1219" s="15">
        <f>'6월'!M181</f>
        <v>1189290</v>
      </c>
      <c r="N1219" s="15">
        <f>'6월'!N181</f>
        <v>13082190</v>
      </c>
      <c r="O1219" s="5" t="str">
        <f>'6월'!O181</f>
        <v>완료(8/29)</v>
      </c>
      <c r="P1219" s="9" t="str">
        <f>'6월'!P181</f>
        <v>천범석</v>
      </c>
      <c r="Q1219" s="5">
        <f>'6월'!Q181</f>
        <v>45838</v>
      </c>
      <c r="R1219" s="209"/>
    </row>
    <row r="1220" spans="1:18" ht="16.5" customHeight="1">
      <c r="A1220" t="s">
        <v>64</v>
      </c>
      <c r="B1220" s="10" t="str">
        <f>'6월'!B182</f>
        <v>SB-24058</v>
      </c>
      <c r="C1220" s="12" t="str">
        <f>'6월'!C182</f>
        <v>ZM9LCT</v>
      </c>
      <c r="D1220" s="13">
        <f>'6월'!D182</f>
        <v>45838</v>
      </c>
      <c r="E1220" s="155" t="str">
        <f>'6월'!E182</f>
        <v>성공글로벌테크놀로지코리아</v>
      </c>
      <c r="F1220" s="155" t="str">
        <f>'6월'!F182</f>
        <v>에이스기계</v>
      </c>
      <c r="G1220" s="168" t="str">
        <f>'6월'!G182</f>
        <v>MA</v>
      </c>
      <c r="H1220" s="156" t="str">
        <f>'6월'!H182</f>
        <v>월간-성공</v>
      </c>
      <c r="I1220" s="69" t="str">
        <f>'6월'!I182</f>
        <v>6월 유지정비료 - 9/13회</v>
      </c>
      <c r="J1220" s="122">
        <f>'6월'!J182</f>
        <v>1</v>
      </c>
      <c r="K1220" s="15">
        <f>'6월'!K182</f>
        <v>48900</v>
      </c>
      <c r="L1220" s="16">
        <f>'6월'!L182</f>
        <v>48900</v>
      </c>
      <c r="M1220" s="15">
        <f>'6월'!M182</f>
        <v>4890</v>
      </c>
      <c r="N1220" s="15">
        <f>'6월'!N182</f>
        <v>53790</v>
      </c>
      <c r="O1220" s="5" t="str">
        <f>'6월'!O182</f>
        <v>완료(8/29)</v>
      </c>
      <c r="P1220" s="9" t="str">
        <f>'6월'!P182</f>
        <v>천범석</v>
      </c>
      <c r="Q1220" s="5">
        <f>'6월'!Q182</f>
        <v>45590</v>
      </c>
      <c r="R1220" s="209" t="str">
        <f>'6월'!R182</f>
        <v>매출연간</v>
      </c>
    </row>
    <row r="1221" spans="1:18" ht="16.5" customHeight="1">
      <c r="A1221" t="s">
        <v>64</v>
      </c>
      <c r="B1221" s="10" t="str">
        <f>'6월'!B183</f>
        <v>SB-24054</v>
      </c>
      <c r="C1221" s="12" t="str">
        <f>'6월'!C183</f>
        <v>ZGYCOY</v>
      </c>
      <c r="D1221" s="13">
        <f>'6월'!D183</f>
        <v>45838</v>
      </c>
      <c r="E1221" s="155" t="str">
        <f>'6월'!E183</f>
        <v>성공글로벌테크놀로지코리아</v>
      </c>
      <c r="F1221" s="155" t="str">
        <f>'6월'!F183</f>
        <v>지인아이티</v>
      </c>
      <c r="G1221" s="168" t="str">
        <f>'6월'!G183</f>
        <v>MA</v>
      </c>
      <c r="H1221" s="156" t="str">
        <f>'6월'!H183</f>
        <v>월간-성공</v>
      </c>
      <c r="I1221" s="69" t="str">
        <f>'6월'!I183</f>
        <v>유아이티 6월 유지정비료 - 9/13회</v>
      </c>
      <c r="J1221" s="122">
        <f>'6월'!J183</f>
        <v>1</v>
      </c>
      <c r="K1221" s="15">
        <f>'6월'!K183</f>
        <v>306300</v>
      </c>
      <c r="L1221" s="16">
        <f>'6월'!L183</f>
        <v>306300</v>
      </c>
      <c r="M1221" s="15">
        <f>'6월'!M183</f>
        <v>30630</v>
      </c>
      <c r="N1221" s="15">
        <f>'6월'!N183</f>
        <v>336930</v>
      </c>
      <c r="O1221" s="5" t="str">
        <f>'6월'!O183</f>
        <v>완료(8/29)</v>
      </c>
      <c r="P1221" s="9" t="str">
        <f>'6월'!P183</f>
        <v>천범석</v>
      </c>
      <c r="Q1221" s="5">
        <f>'6월'!Q183</f>
        <v>45596</v>
      </c>
      <c r="R1221" s="209" t="str">
        <f>'6월'!R183</f>
        <v>매출연간</v>
      </c>
    </row>
    <row r="1222" spans="1:18" ht="16.5" customHeight="1">
      <c r="A1222" t="s">
        <v>64</v>
      </c>
      <c r="B1222" s="10" t="str">
        <f>'6월'!B184</f>
        <v>SB-24055</v>
      </c>
      <c r="C1222" s="12" t="str">
        <f>'6월'!C184</f>
        <v>ZAXJCH</v>
      </c>
      <c r="D1222" s="13">
        <f>'6월'!D184</f>
        <v>45838</v>
      </c>
      <c r="E1222" s="155" t="str">
        <f>'6월'!E184</f>
        <v>성공글로벌테크놀로지코리아</v>
      </c>
      <c r="F1222" s="155" t="str">
        <f>'6월'!F184</f>
        <v>이룸인프라</v>
      </c>
      <c r="G1222" s="168" t="str">
        <f>'6월'!G184</f>
        <v>MA</v>
      </c>
      <c r="H1222" s="156" t="str">
        <f>'6월'!H184</f>
        <v>월간-성공</v>
      </c>
      <c r="I1222" s="69" t="str">
        <f>'6월'!I184</f>
        <v>포스코 6월 유지정비료 - 9/15회</v>
      </c>
      <c r="J1222" s="122">
        <f>'6월'!J184</f>
        <v>1</v>
      </c>
      <c r="K1222" s="15">
        <f>'6월'!K184</f>
        <v>655500</v>
      </c>
      <c r="L1222" s="16">
        <f>'6월'!L184</f>
        <v>655500</v>
      </c>
      <c r="M1222" s="15">
        <f>'6월'!M184</f>
        <v>65550</v>
      </c>
      <c r="N1222" s="15">
        <f>'6월'!N184</f>
        <v>721050</v>
      </c>
      <c r="O1222" s="5" t="str">
        <f>'6월'!O184</f>
        <v>완료(8/29)</v>
      </c>
      <c r="P1222" s="9" t="str">
        <f>'6월'!P184</f>
        <v>천범석</v>
      </c>
      <c r="Q1222" s="5">
        <f>'6월'!Q184</f>
        <v>45838</v>
      </c>
      <c r="R1222" s="209"/>
    </row>
    <row r="1223" spans="1:18" ht="16.5" customHeight="1">
      <c r="A1223" t="s">
        <v>64</v>
      </c>
      <c r="B1223" s="10" t="str">
        <f>'6월'!B185</f>
        <v>SB-24055</v>
      </c>
      <c r="C1223" s="12" t="str">
        <f>'6월'!C185</f>
        <v>ZP1BPN</v>
      </c>
      <c r="D1223" s="13">
        <f>'6월'!D185</f>
        <v>45838</v>
      </c>
      <c r="E1223" s="155" t="str">
        <f>'6월'!E185</f>
        <v>성공글로벌테크놀로지코리아</v>
      </c>
      <c r="F1223" s="155" t="str">
        <f>'6월'!F185</f>
        <v>이룸인프라</v>
      </c>
      <c r="G1223" s="168" t="str">
        <f>'6월'!G185</f>
        <v>MA</v>
      </c>
      <c r="H1223" s="156" t="str">
        <f>'6월'!H185</f>
        <v>월간-성공</v>
      </c>
      <c r="I1223" s="69" t="str">
        <f>'6월'!I185</f>
        <v>포스코 6월 유지정비료 - 8/14회</v>
      </c>
      <c r="J1223" s="122">
        <f>'6월'!J185</f>
        <v>1</v>
      </c>
      <c r="K1223" s="15">
        <f>'6월'!K185</f>
        <v>1981200</v>
      </c>
      <c r="L1223" s="16">
        <f>'6월'!L185</f>
        <v>1981200</v>
      </c>
      <c r="M1223" s="15">
        <f>'6월'!M185</f>
        <v>198120</v>
      </c>
      <c r="N1223" s="15">
        <f>'6월'!N185</f>
        <v>2179320</v>
      </c>
      <c r="O1223" s="5" t="str">
        <f>'6월'!O185</f>
        <v>완료(8/29)</v>
      </c>
      <c r="P1223" s="9" t="str">
        <f>'6월'!P185</f>
        <v>천범석</v>
      </c>
      <c r="Q1223" s="5">
        <f>'6월'!Q185</f>
        <v>45838</v>
      </c>
      <c r="R1223" s="209"/>
    </row>
    <row r="1224" spans="1:18" ht="16.5" customHeight="1">
      <c r="A1224" t="s">
        <v>64</v>
      </c>
      <c r="B1224" s="10" t="str">
        <f>'6월'!B186</f>
        <v>SB-24053</v>
      </c>
      <c r="C1224" s="12" t="str">
        <f>'6월'!C186</f>
        <v>Z5LOLW</v>
      </c>
      <c r="D1224" s="13">
        <f>'6월'!D186</f>
        <v>45838</v>
      </c>
      <c r="E1224" s="155" t="str">
        <f>'6월'!E186</f>
        <v>성공글로벌테크놀로지코리아</v>
      </c>
      <c r="F1224" s="155" t="str">
        <f>'6월'!F186</f>
        <v>대한변협법학전문대학원평가위원회</v>
      </c>
      <c r="G1224" s="168" t="str">
        <f>'6월'!G186</f>
        <v>MA</v>
      </c>
      <c r="H1224" s="156" t="str">
        <f>'6월'!H186</f>
        <v>월간-성공</v>
      </c>
      <c r="I1224" s="69" t="str">
        <f>'6월'!I186</f>
        <v>6월 유지정비료 - 5/12회</v>
      </c>
      <c r="J1224" s="122">
        <f>'6월'!J186</f>
        <v>1</v>
      </c>
      <c r="K1224" s="15">
        <f>'6월'!K186</f>
        <v>153900</v>
      </c>
      <c r="L1224" s="16">
        <f>'6월'!L186</f>
        <v>153900</v>
      </c>
      <c r="M1224" s="15">
        <f>'6월'!M186</f>
        <v>15390</v>
      </c>
      <c r="N1224" s="15">
        <f>'6월'!N186</f>
        <v>169290</v>
      </c>
      <c r="O1224" s="5" t="str">
        <f>'6월'!O186</f>
        <v>완료(8/29)</v>
      </c>
      <c r="P1224" s="9" t="str">
        <f>'6월'!P186</f>
        <v>천범석</v>
      </c>
      <c r="Q1224" s="5">
        <f>'6월'!Q186</f>
        <v>45588</v>
      </c>
      <c r="R1224" s="209" t="str">
        <f>'6월'!R186</f>
        <v>매출연간</v>
      </c>
    </row>
    <row r="1225" spans="1:18" ht="16.5" customHeight="1">
      <c r="A1225" t="s">
        <v>64</v>
      </c>
      <c r="B1225" s="10" t="str">
        <f>'6월'!B187</f>
        <v>SB-24059</v>
      </c>
      <c r="C1225" s="12" t="str">
        <f>'6월'!C187</f>
        <v>ZISA1K</v>
      </c>
      <c r="D1225" s="13">
        <f>'6월'!D187</f>
        <v>45838</v>
      </c>
      <c r="E1225" s="155" t="str">
        <f>'6월'!E187</f>
        <v>성공글로벌테크놀로지코리아</v>
      </c>
      <c r="F1225" s="155" t="str">
        <f>'6월'!F187</f>
        <v>유노스</v>
      </c>
      <c r="G1225" s="168" t="str">
        <f>'6월'!G187</f>
        <v>MA</v>
      </c>
      <c r="H1225" s="156" t="str">
        <f>'6월'!H187</f>
        <v>월간-성공</v>
      </c>
      <c r="I1225" s="69" t="str">
        <f>'6월'!I187</f>
        <v>신성통상 6월 유지정비료 - 7/12회</v>
      </c>
      <c r="J1225" s="122">
        <f>'6월'!J187</f>
        <v>1</v>
      </c>
      <c r="K1225" s="15">
        <f>'6월'!K187</f>
        <v>555600</v>
      </c>
      <c r="L1225" s="16">
        <f>'6월'!L187</f>
        <v>555600</v>
      </c>
      <c r="M1225" s="15">
        <f>'6월'!M187</f>
        <v>55560</v>
      </c>
      <c r="N1225" s="15">
        <f>'6월'!N187</f>
        <v>611160</v>
      </c>
      <c r="O1225" s="5" t="str">
        <f>'6월'!O187</f>
        <v>완료(8/29)</v>
      </c>
      <c r="P1225" s="9" t="str">
        <f>'6월'!P187</f>
        <v>천범석</v>
      </c>
      <c r="Q1225" s="5">
        <f>'6월'!Q187</f>
        <v>45627</v>
      </c>
      <c r="R1225" s="209" t="str">
        <f>'6월'!R187</f>
        <v>매출연간</v>
      </c>
    </row>
    <row r="1226" spans="1:18" ht="16.5" customHeight="1">
      <c r="A1226" t="s">
        <v>64</v>
      </c>
      <c r="B1226" s="10" t="str">
        <f>'6월'!B188</f>
        <v>SB-24061</v>
      </c>
      <c r="C1226" s="12" t="str">
        <f>'6월'!C188</f>
        <v>ZVVVON</v>
      </c>
      <c r="D1226" s="13">
        <f>'6월'!D188</f>
        <v>45838</v>
      </c>
      <c r="E1226" s="155" t="str">
        <f>'6월'!E188</f>
        <v>성공글로벌테크놀로지코리아</v>
      </c>
      <c r="F1226" s="155" t="str">
        <f>'6월'!F188</f>
        <v>다솜테크</v>
      </c>
      <c r="G1226" s="156" t="str">
        <f>'6월'!G188</f>
        <v>MA</v>
      </c>
      <c r="H1226" s="156" t="str">
        <f>'6월'!H188</f>
        <v>월간-성공</v>
      </c>
      <c r="I1226" s="69" t="str">
        <f>'6월'!I188</f>
        <v>롯데정보통신 6월 유지정비료 - 6/12회</v>
      </c>
      <c r="J1226" s="122">
        <f>'6월'!J188</f>
        <v>1</v>
      </c>
      <c r="K1226" s="15">
        <f>'6월'!K188</f>
        <v>661800</v>
      </c>
      <c r="L1226" s="16">
        <f>'6월'!L188</f>
        <v>661800</v>
      </c>
      <c r="M1226" s="16">
        <f>'6월'!M188</f>
        <v>66180</v>
      </c>
      <c r="N1226" s="15">
        <f>'6월'!N188</f>
        <v>727980</v>
      </c>
      <c r="O1226" s="5" t="str">
        <f>'6월'!O188</f>
        <v>완료(8/29)</v>
      </c>
      <c r="P1226" s="9" t="str">
        <f>'6월'!P188</f>
        <v>천범석</v>
      </c>
      <c r="Q1226" s="5">
        <f>'6월'!Q188</f>
        <v>45838</v>
      </c>
      <c r="R1226" s="213"/>
    </row>
    <row r="1227" spans="1:18" ht="16.5" customHeight="1">
      <c r="A1227" t="s">
        <v>64</v>
      </c>
      <c r="B1227" s="10" t="str">
        <f>'6월'!B189</f>
        <v>SB-24062</v>
      </c>
      <c r="C1227" s="12" t="str">
        <f>'6월'!C189</f>
        <v>ZZM77T</v>
      </c>
      <c r="D1227" s="13">
        <f>'6월'!D189</f>
        <v>45838</v>
      </c>
      <c r="E1227" s="155" t="str">
        <f>'6월'!E189</f>
        <v>성공글로벌테크놀로지코리아</v>
      </c>
      <c r="F1227" s="155" t="str">
        <f>'6월'!F189</f>
        <v>대유에이텍</v>
      </c>
      <c r="G1227" s="156" t="str">
        <f>'6월'!G189</f>
        <v>MA</v>
      </c>
      <c r="H1227" s="156" t="str">
        <f>'6월'!H189</f>
        <v>월간-성공</v>
      </c>
      <c r="I1227" s="69" t="str">
        <f>'6월'!I189</f>
        <v>6월 유지정비료 - 7/18회</v>
      </c>
      <c r="J1227" s="122">
        <f>'6월'!J189</f>
        <v>1</v>
      </c>
      <c r="K1227" s="15">
        <f>'6월'!K189</f>
        <v>338100</v>
      </c>
      <c r="L1227" s="16">
        <f>'6월'!L189</f>
        <v>338100</v>
      </c>
      <c r="M1227" s="16">
        <f>'6월'!M189</f>
        <v>33810</v>
      </c>
      <c r="N1227" s="15">
        <f>'6월'!N189</f>
        <v>371910</v>
      </c>
      <c r="O1227" s="5" t="str">
        <f>'6월'!O189</f>
        <v>완료(8/29)</v>
      </c>
      <c r="P1227" s="9" t="str">
        <f>'6월'!P189</f>
        <v>천범석</v>
      </c>
      <c r="Q1227" s="5">
        <f>'6월'!Q189</f>
        <v>45645</v>
      </c>
      <c r="R1227" s="209" t="str">
        <f>'6월'!R189</f>
        <v>매출연간</v>
      </c>
    </row>
    <row r="1228" spans="1:18" ht="16.5" customHeight="1">
      <c r="A1228" t="s">
        <v>64</v>
      </c>
      <c r="B1228" s="10" t="str">
        <f>'6월'!B190</f>
        <v>SL-24028</v>
      </c>
      <c r="C1228" s="12" t="str">
        <f>'6월'!C190</f>
        <v>ZJYUVJ</v>
      </c>
      <c r="D1228" s="13">
        <f>'6월'!D190</f>
        <v>45838</v>
      </c>
      <c r="E1228" s="155" t="str">
        <f>'6월'!E190</f>
        <v>성공글로벌테크놀로지코리아</v>
      </c>
      <c r="F1228" s="155" t="str">
        <f>'6월'!F190</f>
        <v>온더레벨</v>
      </c>
      <c r="G1228" s="156" t="str">
        <f>'6월'!G190</f>
        <v>MA</v>
      </c>
      <c r="H1228" s="156" t="str">
        <f>'6월'!H190</f>
        <v>월간-성공</v>
      </c>
      <c r="I1228" s="69" t="str">
        <f>'6월'!I190</f>
        <v>한우리아이티 6월 유지정비료 - 6/7회</v>
      </c>
      <c r="J1228" s="122">
        <f>'6월'!J190</f>
        <v>1</v>
      </c>
      <c r="K1228" s="15">
        <f>'6월'!K190</f>
        <v>97800</v>
      </c>
      <c r="L1228" s="16">
        <f>'6월'!L190</f>
        <v>97800</v>
      </c>
      <c r="M1228" s="16">
        <f>'6월'!M190</f>
        <v>9780</v>
      </c>
      <c r="N1228" s="15">
        <f>'6월'!N190</f>
        <v>107580</v>
      </c>
      <c r="O1228" s="5" t="str">
        <f>'6월'!O190</f>
        <v>완료(8/29)</v>
      </c>
      <c r="P1228" s="9" t="str">
        <f>'6월'!P190</f>
        <v>천범석</v>
      </c>
      <c r="Q1228" s="5">
        <f>'6월'!Q190</f>
        <v>45681</v>
      </c>
      <c r="R1228" s="209" t="str">
        <f>'6월'!R190</f>
        <v>매출연간</v>
      </c>
    </row>
    <row r="1229" spans="1:18" ht="16.5" customHeight="1">
      <c r="A1229" t="s">
        <v>64</v>
      </c>
      <c r="B1229" s="10" t="str">
        <f>'6월'!B191</f>
        <v>SB-24066</v>
      </c>
      <c r="C1229" s="12" t="str">
        <f>'6월'!C191</f>
        <v>ZDSNDX</v>
      </c>
      <c r="D1229" s="13">
        <f>'6월'!D191</f>
        <v>45838</v>
      </c>
      <c r="E1229" s="155" t="str">
        <f>'6월'!E191</f>
        <v>성공글로벌테크놀로지코리아</v>
      </c>
      <c r="F1229" s="155" t="str">
        <f>'6월'!F191</f>
        <v>이룸인프라</v>
      </c>
      <c r="G1229" s="168" t="str">
        <f>'6월'!G191</f>
        <v>MA</v>
      </c>
      <c r="H1229" s="156" t="str">
        <f>'6월'!H191</f>
        <v>월간-성공</v>
      </c>
      <c r="I1229" s="69" t="str">
        <f>'6월'!I191</f>
        <v>중국광대은행 6월 유지정비료 - 7/12회</v>
      </c>
      <c r="J1229" s="122">
        <f>'6월'!J191</f>
        <v>1</v>
      </c>
      <c r="K1229" s="15">
        <f>'6월'!K191</f>
        <v>98100</v>
      </c>
      <c r="L1229" s="16">
        <f>'6월'!L191</f>
        <v>98100</v>
      </c>
      <c r="M1229" s="15">
        <f>'6월'!M191</f>
        <v>9810</v>
      </c>
      <c r="N1229" s="15">
        <f>'6월'!N191</f>
        <v>107910</v>
      </c>
      <c r="O1229" s="5" t="str">
        <f>'6월'!O191</f>
        <v>완료(8/29)</v>
      </c>
      <c r="P1229" s="9" t="str">
        <f>'6월'!P191</f>
        <v>천범석</v>
      </c>
      <c r="Q1229" s="5">
        <f>'6월'!Q191</f>
        <v>45659</v>
      </c>
      <c r="R1229" s="209" t="str">
        <f>'6월'!R191</f>
        <v>매출연간</v>
      </c>
    </row>
    <row r="1230" spans="1:18" ht="16.5" customHeight="1">
      <c r="A1230" t="s">
        <v>64</v>
      </c>
      <c r="B1230" s="10" t="str">
        <f>'6월'!B192</f>
        <v>SB-24065</v>
      </c>
      <c r="C1230" s="12" t="str">
        <f>'6월'!C192</f>
        <v>ZDFIN7</v>
      </c>
      <c r="D1230" s="13">
        <f>'6월'!D192</f>
        <v>45838</v>
      </c>
      <c r="E1230" s="155" t="str">
        <f>'6월'!E192</f>
        <v>성공글로벌테크놀로지코리아</v>
      </c>
      <c r="F1230" s="155" t="str">
        <f>'6월'!F192</f>
        <v>다솜테크</v>
      </c>
      <c r="G1230" s="168" t="str">
        <f>'6월'!G192</f>
        <v>MA</v>
      </c>
      <c r="H1230" s="156" t="str">
        <f>'6월'!H192</f>
        <v>월간-성공</v>
      </c>
      <c r="I1230" s="69" t="str">
        <f>'6월'!I192</f>
        <v>안산시청 6월 유지정비료 - 6/24회</v>
      </c>
      <c r="J1230" s="122">
        <f>'6월'!J192</f>
        <v>1</v>
      </c>
      <c r="K1230" s="15">
        <f>'6월'!K192</f>
        <v>1196100</v>
      </c>
      <c r="L1230" s="16">
        <f>'6월'!L192</f>
        <v>1196100</v>
      </c>
      <c r="M1230" s="16">
        <f>'6월'!M192</f>
        <v>119610</v>
      </c>
      <c r="N1230" s="15">
        <f>'6월'!N192</f>
        <v>1315710</v>
      </c>
      <c r="O1230" s="5" t="str">
        <f>'6월'!O192</f>
        <v>완료(8/29)</v>
      </c>
      <c r="P1230" s="9" t="str">
        <f>'6월'!P192</f>
        <v>천범석</v>
      </c>
      <c r="Q1230" s="5">
        <f>'6월'!Q192</f>
        <v>45838</v>
      </c>
      <c r="R1230" s="213"/>
    </row>
    <row r="1231" spans="1:18" ht="16.5" customHeight="1">
      <c r="A1231" t="s">
        <v>64</v>
      </c>
      <c r="B1231" s="10" t="str">
        <f>'6월'!B193</f>
        <v>SL-24050</v>
      </c>
      <c r="C1231" s="12" t="str">
        <f>'6월'!C193</f>
        <v>ZXFJNS</v>
      </c>
      <c r="D1231" s="13">
        <f>'6월'!D193</f>
        <v>45838</v>
      </c>
      <c r="E1231" s="155" t="str">
        <f>'6월'!E193</f>
        <v>성공글로벌테크놀로지코리아</v>
      </c>
      <c r="F1231" s="155" t="str">
        <f>'6월'!F193</f>
        <v>스마트에프앤디</v>
      </c>
      <c r="G1231" s="168" t="str">
        <f>'6월'!G193</f>
        <v>MA</v>
      </c>
      <c r="H1231" s="156" t="str">
        <f>'6월'!H193</f>
        <v>월간-성공</v>
      </c>
      <c r="I1231" s="69" t="str">
        <f>'6월'!I193</f>
        <v>6월 유지정비료 - 6/13회</v>
      </c>
      <c r="J1231" s="122">
        <f>'6월'!J193</f>
        <v>1</v>
      </c>
      <c r="K1231" s="15">
        <f>'6월'!K193</f>
        <v>99900</v>
      </c>
      <c r="L1231" s="16">
        <f>'6월'!L193</f>
        <v>99900</v>
      </c>
      <c r="M1231" s="16">
        <f>'6월'!M193</f>
        <v>9990</v>
      </c>
      <c r="N1231" s="15">
        <f>'6월'!N193</f>
        <v>109890</v>
      </c>
      <c r="O1231" s="5" t="str">
        <f>'6월'!O193</f>
        <v>완료(8/29)</v>
      </c>
      <c r="P1231" s="9" t="str">
        <f>'6월'!P193</f>
        <v>천범석</v>
      </c>
      <c r="Q1231" s="5">
        <f>'6월'!Q193</f>
        <v>45661</v>
      </c>
      <c r="R1231" s="209" t="str">
        <f>'6월'!R193</f>
        <v>매출연간</v>
      </c>
    </row>
    <row r="1232" spans="1:18" ht="16.5" customHeight="1">
      <c r="A1232" t="s">
        <v>64</v>
      </c>
      <c r="B1232" s="10" t="str">
        <f>'6월'!B194</f>
        <v>SB-24064</v>
      </c>
      <c r="C1232" s="12" t="str">
        <f>'6월'!C194</f>
        <v>ZOTN1N</v>
      </c>
      <c r="D1232" s="13">
        <f>'6월'!D194</f>
        <v>45838</v>
      </c>
      <c r="E1232" s="155" t="str">
        <f>'6월'!E194</f>
        <v>성공글로벌테크놀로지코리아</v>
      </c>
      <c r="F1232" s="155" t="str">
        <f>'6월'!F194</f>
        <v>다솜테크</v>
      </c>
      <c r="G1232" s="168" t="str">
        <f>'6월'!G194</f>
        <v>MA</v>
      </c>
      <c r="H1232" s="156" t="str">
        <f>'6월'!H194</f>
        <v>월간-성공</v>
      </c>
      <c r="I1232" s="69" t="str">
        <f>'6월'!I194</f>
        <v>이원(E1)컨테이너터미널 6월 유지정비료 - 6/12회</v>
      </c>
      <c r="J1232" s="122">
        <f>'6월'!J194</f>
        <v>1</v>
      </c>
      <c r="K1232" s="15">
        <f>'6월'!K194</f>
        <v>590400</v>
      </c>
      <c r="L1232" s="16">
        <f>'6월'!L194</f>
        <v>590400</v>
      </c>
      <c r="M1232" s="16">
        <f>'6월'!M194</f>
        <v>59040</v>
      </c>
      <c r="N1232" s="15">
        <f>'6월'!N194</f>
        <v>649440</v>
      </c>
      <c r="O1232" s="5" t="str">
        <f>'6월'!O194</f>
        <v>완료(8/29)</v>
      </c>
      <c r="P1232" s="9" t="str">
        <f>'6월'!P194</f>
        <v>천범석</v>
      </c>
      <c r="Q1232" s="5">
        <f>'6월'!Q194</f>
        <v>45838</v>
      </c>
      <c r="R1232" s="213"/>
    </row>
    <row r="1233" spans="1:18" ht="16.5" customHeight="1">
      <c r="A1233" t="s">
        <v>64</v>
      </c>
      <c r="B1233" s="10" t="str">
        <f>'6월'!B195</f>
        <v>SB-24063</v>
      </c>
      <c r="C1233" s="12" t="str">
        <f>'6월'!C195</f>
        <v>ZIR05U</v>
      </c>
      <c r="D1233" s="13">
        <f>'6월'!D195</f>
        <v>45838</v>
      </c>
      <c r="E1233" s="155" t="str">
        <f>'6월'!E195</f>
        <v>성공글로벌테크놀로지코리아</v>
      </c>
      <c r="F1233" s="155" t="str">
        <f>'6월'!F195</f>
        <v>다솜테크</v>
      </c>
      <c r="G1233" s="168" t="str">
        <f>'6월'!G195</f>
        <v>MA</v>
      </c>
      <c r="H1233" s="156" t="str">
        <f>'6월'!H195</f>
        <v>월간-성공</v>
      </c>
      <c r="I1233" s="69" t="str">
        <f>'6월'!I195</f>
        <v>이원(E1)컨테이너터미널 6월 유지정비료 - 6/12회</v>
      </c>
      <c r="J1233" s="122">
        <f>'6월'!J195</f>
        <v>1</v>
      </c>
      <c r="K1233" s="15">
        <f>'6월'!K195</f>
        <v>289800</v>
      </c>
      <c r="L1233" s="16">
        <f>'6월'!L195</f>
        <v>289800</v>
      </c>
      <c r="M1233" s="16">
        <f>'6월'!M195</f>
        <v>28980</v>
      </c>
      <c r="N1233" s="15">
        <f>'6월'!N195</f>
        <v>318780</v>
      </c>
      <c r="O1233" s="5" t="str">
        <f>'6월'!O195</f>
        <v>완료(8/29)</v>
      </c>
      <c r="P1233" s="9" t="str">
        <f>'6월'!P195</f>
        <v>천범석</v>
      </c>
      <c r="Q1233" s="5">
        <f>'6월'!Q195</f>
        <v>45838</v>
      </c>
      <c r="R1233" s="213"/>
    </row>
    <row r="1234" spans="1:18">
      <c r="A1234" t="s">
        <v>64</v>
      </c>
      <c r="B1234" s="10" t="str">
        <f>'6월'!B196</f>
        <v>SB-25004</v>
      </c>
      <c r="C1234" s="12" t="str">
        <f>'6월'!C196</f>
        <v>ZDCPQK</v>
      </c>
      <c r="D1234" s="13">
        <f>'6월'!D196</f>
        <v>45838</v>
      </c>
      <c r="E1234" s="155" t="str">
        <f>'6월'!E196</f>
        <v>성공글로벌테크놀로지코리아</v>
      </c>
      <c r="F1234" s="155" t="str">
        <f>'6월'!F196</f>
        <v>솔리드이엔지</v>
      </c>
      <c r="G1234" s="168" t="str">
        <f>'6월'!G196</f>
        <v>MA</v>
      </c>
      <c r="H1234" s="156" t="str">
        <f>'6월'!H196</f>
        <v>월간-성공</v>
      </c>
      <c r="I1234" s="69" t="str">
        <f>'6월'!I196</f>
        <v>삼성중공업 6월 유지정비료 - 6/12회</v>
      </c>
      <c r="J1234" s="122">
        <f>'6월'!J196</f>
        <v>1</v>
      </c>
      <c r="K1234" s="15">
        <f>'6월'!K196</f>
        <v>531600</v>
      </c>
      <c r="L1234" s="16">
        <f>'6월'!L196</f>
        <v>531600</v>
      </c>
      <c r="M1234" s="16">
        <f>'6월'!M196</f>
        <v>53160</v>
      </c>
      <c r="N1234" s="15">
        <f>'6월'!N196</f>
        <v>584760</v>
      </c>
      <c r="O1234" s="5" t="str">
        <f>'6월'!O196</f>
        <v>완료(8/29)</v>
      </c>
      <c r="P1234" s="9" t="str">
        <f>'6월'!P196</f>
        <v>천범석</v>
      </c>
      <c r="Q1234" s="5">
        <f>'6월'!Q196</f>
        <v>45838</v>
      </c>
      <c r="R1234" s="213"/>
    </row>
    <row r="1235" spans="1:18" ht="16.5" customHeight="1">
      <c r="A1235" t="s">
        <v>64</v>
      </c>
      <c r="B1235" s="10" t="str">
        <f>'6월'!B197</f>
        <v>SB-25005</v>
      </c>
      <c r="C1235" s="12" t="str">
        <f>'6월'!C197</f>
        <v>ZSUEIX</v>
      </c>
      <c r="D1235" s="13">
        <f>'6월'!D197</f>
        <v>45838</v>
      </c>
      <c r="E1235" s="155" t="str">
        <f>'6월'!E197</f>
        <v>성공글로벌테크놀로지코리아</v>
      </c>
      <c r="F1235" s="155" t="str">
        <f>'6월'!F197</f>
        <v>제이엔테크놀러지</v>
      </c>
      <c r="G1235" s="168" t="str">
        <f>'6월'!G197</f>
        <v>MA</v>
      </c>
      <c r="H1235" s="156" t="str">
        <f>'6월'!H197</f>
        <v>월간-성공</v>
      </c>
      <c r="I1235" s="69" t="str">
        <f>'6월'!I197</f>
        <v>SK실트론 6월 유지정비료 - 6/12회</v>
      </c>
      <c r="J1235" s="122">
        <f>'6월'!J197</f>
        <v>1</v>
      </c>
      <c r="K1235" s="15">
        <f>'6월'!K197</f>
        <v>502800</v>
      </c>
      <c r="L1235" s="16">
        <f>'6월'!L197</f>
        <v>502800</v>
      </c>
      <c r="M1235" s="16">
        <f>'6월'!M197</f>
        <v>50280</v>
      </c>
      <c r="N1235" s="15">
        <f>'6월'!N197</f>
        <v>553080</v>
      </c>
      <c r="O1235" s="5" t="str">
        <f>'6월'!O197</f>
        <v>완료(8/29)</v>
      </c>
      <c r="P1235" s="9" t="str">
        <f>'6월'!P197</f>
        <v>천범석</v>
      </c>
      <c r="Q1235" s="5">
        <f>'6월'!Q197</f>
        <v>45838</v>
      </c>
      <c r="R1235" s="213"/>
    </row>
    <row r="1236" spans="1:18" ht="16.5" customHeight="1">
      <c r="A1236" t="s">
        <v>64</v>
      </c>
      <c r="B1236" s="10" t="str">
        <f>'6월'!B198</f>
        <v>SM-25003</v>
      </c>
      <c r="C1236" s="12" t="str">
        <f>'6월'!C198</f>
        <v>ZZ6BIS</v>
      </c>
      <c r="D1236" s="13">
        <f>'6월'!D198</f>
        <v>45838</v>
      </c>
      <c r="E1236" s="155" t="str">
        <f>'6월'!E198</f>
        <v>성공글로벌테크놀로지코리아</v>
      </c>
      <c r="F1236" s="155" t="str">
        <f>'6월'!F198</f>
        <v>씨제이 씨지브이 통합</v>
      </c>
      <c r="G1236" s="168" t="str">
        <f>'6월'!G198</f>
        <v>MA</v>
      </c>
      <c r="H1236" s="156" t="str">
        <f>'6월'!H198</f>
        <v>월간-성공</v>
      </c>
      <c r="I1236" s="69" t="str">
        <f>'6월'!I198</f>
        <v>6월 유지정비료 - 6/12회</v>
      </c>
      <c r="J1236" s="122">
        <f>'6월'!J198</f>
        <v>1</v>
      </c>
      <c r="K1236" s="15">
        <f>'6월'!K198</f>
        <v>1417500</v>
      </c>
      <c r="L1236" s="16">
        <f>'6월'!L198</f>
        <v>1417500</v>
      </c>
      <c r="M1236" s="16">
        <f>'6월'!M198</f>
        <v>141750</v>
      </c>
      <c r="N1236" s="15">
        <f>'6월'!N198</f>
        <v>1559250</v>
      </c>
      <c r="O1236" s="5" t="str">
        <f>'6월'!O198</f>
        <v>완료(8/29)</v>
      </c>
      <c r="P1236" s="9" t="str">
        <f>'6월'!P198</f>
        <v>천범석</v>
      </c>
      <c r="Q1236" s="5">
        <f>'6월'!Q198</f>
        <v>45666</v>
      </c>
      <c r="R1236" s="213" t="str">
        <f>'6월'!R198</f>
        <v>매출연간</v>
      </c>
    </row>
    <row r="1237" spans="1:18" ht="16.5" customHeight="1">
      <c r="A1237" t="s">
        <v>64</v>
      </c>
      <c r="B1237" s="10" t="str">
        <f>'6월'!B199</f>
        <v>SB-25013</v>
      </c>
      <c r="C1237" s="12" t="str">
        <f>'6월'!C199</f>
        <v>ZL9ADS</v>
      </c>
      <c r="D1237" s="13">
        <f>'6월'!D199</f>
        <v>45838</v>
      </c>
      <c r="E1237" s="155" t="str">
        <f>'6월'!E199</f>
        <v>성공글로벌테크놀로지코리아</v>
      </c>
      <c r="F1237" s="155" t="str">
        <f>'6월'!F199</f>
        <v>다솜테크</v>
      </c>
      <c r="G1237" s="168" t="str">
        <f>'6월'!G199</f>
        <v>MA</v>
      </c>
      <c r="H1237" s="156" t="str">
        <f>'6월'!H199</f>
        <v>월간-성공</v>
      </c>
      <c r="I1237" s="69" t="str">
        <f>'6월'!I199</f>
        <v>LG AI 6월 유지정비료 - 6/12회</v>
      </c>
      <c r="J1237" s="122">
        <f>'6월'!J199</f>
        <v>1</v>
      </c>
      <c r="K1237" s="15">
        <f>'6월'!K199</f>
        <v>496800</v>
      </c>
      <c r="L1237" s="16">
        <f>'6월'!L199</f>
        <v>496800</v>
      </c>
      <c r="M1237" s="16">
        <f>'6월'!M199</f>
        <v>49680</v>
      </c>
      <c r="N1237" s="15">
        <f>'6월'!N199</f>
        <v>546480</v>
      </c>
      <c r="O1237" s="5" t="str">
        <f>'6월'!O199</f>
        <v>완료(8/29)</v>
      </c>
      <c r="P1237" s="9" t="str">
        <f>'6월'!P199</f>
        <v>천범석</v>
      </c>
      <c r="Q1237" s="5">
        <f>'6월'!Q199</f>
        <v>45838</v>
      </c>
      <c r="R1237" s="213"/>
    </row>
    <row r="1238" spans="1:18" ht="16.5" customHeight="1">
      <c r="A1238" t="s">
        <v>64</v>
      </c>
      <c r="B1238" s="10" t="str">
        <f>'6월'!B200</f>
        <v>SB-25014</v>
      </c>
      <c r="C1238" s="12" t="str">
        <f>'6월'!C200</f>
        <v>ZAVPY3</v>
      </c>
      <c r="D1238" s="13">
        <f>'6월'!D200</f>
        <v>45838</v>
      </c>
      <c r="E1238" s="155" t="str">
        <f>'6월'!E200</f>
        <v>성공글로벌테크놀로지코리아</v>
      </c>
      <c r="F1238" s="155" t="str">
        <f>'6월'!F200</f>
        <v>와이젠정보기술</v>
      </c>
      <c r="G1238" s="168" t="str">
        <f>'6월'!G200</f>
        <v>MA</v>
      </c>
      <c r="H1238" s="156" t="str">
        <f>'6월'!H200</f>
        <v>월간-성공</v>
      </c>
      <c r="I1238" s="69" t="str">
        <f>'6월'!I200</f>
        <v>안국약품 6월 유지정비료 - 6/12회</v>
      </c>
      <c r="J1238" s="122">
        <f>'6월'!J200</f>
        <v>1</v>
      </c>
      <c r="K1238" s="15">
        <f>'6월'!K200</f>
        <v>1515900</v>
      </c>
      <c r="L1238" s="16">
        <f>'6월'!L200</f>
        <v>1515900</v>
      </c>
      <c r="M1238" s="16">
        <f>'6월'!M200</f>
        <v>151590</v>
      </c>
      <c r="N1238" s="15">
        <f>'6월'!N200</f>
        <v>1667490</v>
      </c>
      <c r="O1238" s="5" t="str">
        <f>'6월'!O200</f>
        <v>완료(8/29)</v>
      </c>
      <c r="P1238" s="9" t="str">
        <f>'6월'!P200</f>
        <v>천범석</v>
      </c>
      <c r="Q1238" s="5">
        <f>'6월'!Q200</f>
        <v>45838</v>
      </c>
      <c r="R1238" s="213"/>
    </row>
    <row r="1239" spans="1:18" ht="16.5" customHeight="1">
      <c r="A1239" t="s">
        <v>64</v>
      </c>
      <c r="B1239" s="10" t="str">
        <f>'6월'!B201</f>
        <v>SB-25016</v>
      </c>
      <c r="C1239" s="12" t="str">
        <f>'6월'!C201</f>
        <v>ZLXVVE</v>
      </c>
      <c r="D1239" s="13">
        <f>'6월'!D201</f>
        <v>45838</v>
      </c>
      <c r="E1239" s="155" t="str">
        <f>'6월'!E201</f>
        <v>성공글로벌테크놀로지코리아</v>
      </c>
      <c r="F1239" s="155" t="str">
        <f>'6월'!F201</f>
        <v>에이트랙</v>
      </c>
      <c r="G1239" s="156" t="str">
        <f>'6월'!G201</f>
        <v>MA</v>
      </c>
      <c r="H1239" s="156" t="str">
        <f>'6월'!H201</f>
        <v>월간-성공</v>
      </c>
      <c r="I1239" s="69" t="str">
        <f>'6월'!I201</f>
        <v>한림대학교HW 6월 유지정비료 - 4/12회</v>
      </c>
      <c r="J1239" s="124">
        <f>'6월'!J201</f>
        <v>1</v>
      </c>
      <c r="K1239" s="15">
        <f>'6월'!K201</f>
        <v>405600</v>
      </c>
      <c r="L1239" s="16">
        <f>'6월'!L201</f>
        <v>405600</v>
      </c>
      <c r="M1239" s="16">
        <f>'6월'!M201</f>
        <v>40560</v>
      </c>
      <c r="N1239" s="15">
        <f>'6월'!N201</f>
        <v>446160</v>
      </c>
      <c r="O1239" s="5" t="str">
        <f>'6월'!O201</f>
        <v>완료(8/29)</v>
      </c>
      <c r="P1239" s="9" t="str">
        <f>'6월'!P201</f>
        <v>천범석</v>
      </c>
      <c r="Q1239" s="5">
        <f>'6월'!Q201</f>
        <v>45838</v>
      </c>
      <c r="R1239" s="209"/>
    </row>
    <row r="1240" spans="1:18" ht="16.5" customHeight="1">
      <c r="A1240" t="s">
        <v>64</v>
      </c>
      <c r="B1240" s="10" t="str">
        <f>'6월'!B202</f>
        <v>SB-25017</v>
      </c>
      <c r="C1240" s="12" t="str">
        <f>'6월'!C202</f>
        <v>ZQIURA</v>
      </c>
      <c r="D1240" s="13">
        <f>'6월'!D202</f>
        <v>45838</v>
      </c>
      <c r="E1240" s="155" t="str">
        <f>'6월'!E202</f>
        <v>성공글로벌테크놀로지코리아</v>
      </c>
      <c r="F1240" s="155" t="str">
        <f>'6월'!F202</f>
        <v>케이아이티앤씨</v>
      </c>
      <c r="G1240" s="156" t="str">
        <f>'6월'!G202</f>
        <v>MA</v>
      </c>
      <c r="H1240" s="156" t="str">
        <f>'6월'!H202</f>
        <v>월간-성공</v>
      </c>
      <c r="I1240" s="69" t="str">
        <f>'6월'!I202</f>
        <v>인천국제공항공사 6월 유지정비료 - 6/12회</v>
      </c>
      <c r="J1240" s="122">
        <f>'6월'!J202</f>
        <v>1</v>
      </c>
      <c r="K1240" s="15">
        <f>'6월'!K202</f>
        <v>10869600</v>
      </c>
      <c r="L1240" s="16">
        <f>'6월'!L202</f>
        <v>10869600</v>
      </c>
      <c r="M1240" s="15">
        <f>'6월'!M202</f>
        <v>1086960</v>
      </c>
      <c r="N1240" s="15">
        <f>'6월'!N202</f>
        <v>11956560</v>
      </c>
      <c r="O1240" s="5" t="str">
        <f>'6월'!O202</f>
        <v>완료(8/29)</v>
      </c>
      <c r="P1240" s="9" t="str">
        <f>'6월'!P202</f>
        <v>천범석</v>
      </c>
      <c r="Q1240" s="5">
        <f>'6월'!Q202</f>
        <v>45838</v>
      </c>
      <c r="R1240" s="209"/>
    </row>
    <row r="1241" spans="1:18" ht="16.5" customHeight="1">
      <c r="A1241" t="s">
        <v>64</v>
      </c>
      <c r="B1241" s="10" t="str">
        <f>'6월'!B203</f>
        <v>SB-25015</v>
      </c>
      <c r="C1241" s="12" t="str">
        <f>'6월'!C203</f>
        <v>ZBLJQA</v>
      </c>
      <c r="D1241" s="13">
        <f>'6월'!D203</f>
        <v>45838</v>
      </c>
      <c r="E1241" s="155" t="str">
        <f>'6월'!E203</f>
        <v>성공글로벌테크놀로지코리아</v>
      </c>
      <c r="F1241" s="155" t="str">
        <f>'6월'!F203</f>
        <v>아이엘에스</v>
      </c>
      <c r="G1241" s="156" t="str">
        <f>'6월'!G203</f>
        <v>MA</v>
      </c>
      <c r="H1241" s="156" t="str">
        <f>'6월'!H203</f>
        <v>월간-성공</v>
      </c>
      <c r="I1241" s="69" t="str">
        <f>'6월'!I203</f>
        <v>국회방송 6월 유지정비료 - 9/15회</v>
      </c>
      <c r="J1241" s="122">
        <f>'6월'!J203</f>
        <v>1</v>
      </c>
      <c r="K1241" s="15">
        <f>'6월'!K203</f>
        <v>1167600</v>
      </c>
      <c r="L1241" s="16">
        <f>'6월'!L203</f>
        <v>1167600</v>
      </c>
      <c r="M1241" s="16">
        <f>'6월'!M203</f>
        <v>116760</v>
      </c>
      <c r="N1241" s="15">
        <f>'6월'!N203</f>
        <v>1284360</v>
      </c>
      <c r="O1241" s="5" t="str">
        <f>'6월'!O203</f>
        <v>완료(8/29)</v>
      </c>
      <c r="P1241" s="9" t="str">
        <f>'6월'!P203</f>
        <v>천범석</v>
      </c>
      <c r="Q1241" s="5">
        <f>'6월'!Q203</f>
        <v>45747</v>
      </c>
      <c r="R1241" s="213" t="str">
        <f>'6월'!R203</f>
        <v>매출연간</v>
      </c>
    </row>
    <row r="1242" spans="1:18" ht="16.5" customHeight="1">
      <c r="A1242" t="s">
        <v>64</v>
      </c>
      <c r="B1242" s="10" t="str">
        <f>'6월'!B204</f>
        <v>SB-25001</v>
      </c>
      <c r="C1242" s="12" t="str">
        <f>'6월'!C204</f>
        <v>ZXRZHC</v>
      </c>
      <c r="D1242" s="13">
        <f>'6월'!D204</f>
        <v>45838</v>
      </c>
      <c r="E1242" s="155" t="str">
        <f>'6월'!E204</f>
        <v>성공글로벌테크놀로지코리아</v>
      </c>
      <c r="F1242" s="155" t="str">
        <f>'6월'!F204</f>
        <v>퓨처젠</v>
      </c>
      <c r="G1242" s="168" t="str">
        <f>'6월'!G204</f>
        <v>MA</v>
      </c>
      <c r="H1242" s="156" t="str">
        <f>'6월'!H204</f>
        <v>월간-성공</v>
      </c>
      <c r="I1242" s="69" t="str">
        <f>'6월'!I204</f>
        <v>HB(에이치비)저축은행 6월 유지정비료 - 6/12회</v>
      </c>
      <c r="J1242" s="122">
        <f>'6월'!J204</f>
        <v>1</v>
      </c>
      <c r="K1242" s="15">
        <f>'6월'!K204</f>
        <v>820200</v>
      </c>
      <c r="L1242" s="16">
        <f>'6월'!L204</f>
        <v>820200</v>
      </c>
      <c r="M1242" s="16">
        <f>'6월'!M204</f>
        <v>82020</v>
      </c>
      <c r="N1242" s="15">
        <f>'6월'!N204</f>
        <v>902220</v>
      </c>
      <c r="O1242" s="5" t="str">
        <f>'6월'!O204</f>
        <v>완료(8/29)</v>
      </c>
      <c r="P1242" s="9" t="str">
        <f>'6월'!P204</f>
        <v>천범석</v>
      </c>
      <c r="Q1242" s="5">
        <f>'6월'!Q204</f>
        <v>45838</v>
      </c>
      <c r="R1242" s="213"/>
    </row>
    <row r="1243" spans="1:18" ht="16.5" customHeight="1">
      <c r="A1243" t="s">
        <v>64</v>
      </c>
      <c r="B1243" s="10" t="str">
        <f>'6월'!B205</f>
        <v>SB-25018</v>
      </c>
      <c r="C1243" s="12" t="str">
        <f>'6월'!C205</f>
        <v>ZTMJAV</v>
      </c>
      <c r="D1243" s="13">
        <f>'6월'!D205</f>
        <v>45838</v>
      </c>
      <c r="E1243" s="155" t="str">
        <f>'6월'!E205</f>
        <v>성공글로벌테크놀로지코리아</v>
      </c>
      <c r="F1243" s="155" t="str">
        <f>'6월'!F205</f>
        <v>동행시네마</v>
      </c>
      <c r="G1243" s="156" t="str">
        <f>'6월'!G205</f>
        <v>MA</v>
      </c>
      <c r="H1243" s="156" t="str">
        <f>'6월'!H205</f>
        <v>월간-성공</v>
      </c>
      <c r="I1243" s="69" t="str">
        <f>'6월'!I205</f>
        <v>CGV안동 6월 유지정비료 - 4/13회</v>
      </c>
      <c r="J1243" s="124">
        <f>'6월'!J205</f>
        <v>1</v>
      </c>
      <c r="K1243" s="15">
        <f>'6월'!K205</f>
        <v>51300</v>
      </c>
      <c r="L1243" s="16">
        <f>'6월'!L205</f>
        <v>51300</v>
      </c>
      <c r="M1243" s="16">
        <f>'6월'!M205</f>
        <v>5130</v>
      </c>
      <c r="N1243" s="15">
        <f>'6월'!N205</f>
        <v>56430</v>
      </c>
      <c r="O1243" s="5" t="str">
        <f>'6월'!O205</f>
        <v>완료(8/29)</v>
      </c>
      <c r="P1243" s="9" t="str">
        <f>'6월'!P205</f>
        <v>천범석</v>
      </c>
      <c r="Q1243" s="5">
        <f>'6월'!Q205</f>
        <v>45748</v>
      </c>
      <c r="R1243" s="209" t="str">
        <f>'6월'!R205</f>
        <v>매출연간</v>
      </c>
    </row>
    <row r="1244" spans="1:18" ht="16.5" customHeight="1">
      <c r="A1244" t="s">
        <v>64</v>
      </c>
      <c r="B1244" s="10" t="str">
        <f>'6월'!B206</f>
        <v>SB-25019</v>
      </c>
      <c r="C1244" s="12" t="str">
        <f>'6월'!C206</f>
        <v>ZQ07QG</v>
      </c>
      <c r="D1244" s="13">
        <f>'6월'!D206</f>
        <v>45838</v>
      </c>
      <c r="E1244" s="155" t="str">
        <f>'6월'!E206</f>
        <v>성공글로벌테크놀로지코리아</v>
      </c>
      <c r="F1244" s="155" t="str">
        <f>'6월'!F206</f>
        <v>씨티아이앤씨</v>
      </c>
      <c r="G1244" s="156" t="str">
        <f>'6월'!G206</f>
        <v>MA</v>
      </c>
      <c r="H1244" s="156" t="str">
        <f>'6월'!H206</f>
        <v>월간-성공</v>
      </c>
      <c r="I1244" s="69" t="str">
        <f>'6월'!I206</f>
        <v>KBS HW 6월 유지정비료 - 6/12회</v>
      </c>
      <c r="J1244" s="124">
        <f>'6월'!J206</f>
        <v>1</v>
      </c>
      <c r="K1244" s="15">
        <f>'6월'!K206</f>
        <v>420000</v>
      </c>
      <c r="L1244" s="16">
        <f>'6월'!L206</f>
        <v>420000</v>
      </c>
      <c r="M1244" s="16">
        <f>'6월'!M206</f>
        <v>42000</v>
      </c>
      <c r="N1244" s="15">
        <f>'6월'!N206</f>
        <v>462000</v>
      </c>
      <c r="O1244" s="5" t="str">
        <f>'6월'!O206</f>
        <v>완료(8/29)</v>
      </c>
      <c r="P1244" s="9" t="str">
        <f>'6월'!P206</f>
        <v>천범석</v>
      </c>
      <c r="Q1244" s="5">
        <f>'6월'!Q206</f>
        <v>45747</v>
      </c>
      <c r="R1244" s="209" t="str">
        <f>'6월'!R206</f>
        <v>매출연간</v>
      </c>
    </row>
    <row r="1245" spans="1:18" ht="16.5" customHeight="1">
      <c r="A1245" t="s">
        <v>64</v>
      </c>
      <c r="B1245" s="10" t="str">
        <f>'6월'!B207</f>
        <v>SB-25020</v>
      </c>
      <c r="C1245" s="12" t="str">
        <f>'6월'!C207</f>
        <v>ZZLYH2</v>
      </c>
      <c r="D1245" s="13">
        <f>'6월'!D207</f>
        <v>45838</v>
      </c>
      <c r="E1245" s="155" t="str">
        <f>'6월'!E207</f>
        <v>성공글로벌테크놀로지코리아</v>
      </c>
      <c r="F1245" s="155" t="str">
        <f>'6월'!F207</f>
        <v>Expeditors(익스피다이터스코리아)</v>
      </c>
      <c r="G1245" s="156" t="str">
        <f>'6월'!G207</f>
        <v>MA</v>
      </c>
      <c r="H1245" s="156" t="str">
        <f>'6월'!H207</f>
        <v>월간-성공</v>
      </c>
      <c r="I1245" s="69" t="str">
        <f>'6월'!I207</f>
        <v>6월 유지정비료 - 3/37회</v>
      </c>
      <c r="J1245" s="124">
        <f>'6월'!J207</f>
        <v>1</v>
      </c>
      <c r="K1245" s="15">
        <f>'6월'!K207</f>
        <v>53400</v>
      </c>
      <c r="L1245" s="16">
        <f>'6월'!L207</f>
        <v>53400</v>
      </c>
      <c r="M1245" s="16">
        <f>'6월'!M207</f>
        <v>5340</v>
      </c>
      <c r="N1245" s="15">
        <f>'6월'!N207</f>
        <v>58740</v>
      </c>
      <c r="O1245" s="5" t="str">
        <f>'6월'!O207</f>
        <v>완료(8/29)</v>
      </c>
      <c r="P1245" s="9" t="str">
        <f>'6월'!P207</f>
        <v>천범석</v>
      </c>
      <c r="Q1245" s="5">
        <f>'6월'!Q207</f>
        <v>45833</v>
      </c>
      <c r="R1245" s="209"/>
    </row>
    <row r="1246" spans="1:18" ht="16.5" customHeight="1">
      <c r="A1246" t="s">
        <v>64</v>
      </c>
      <c r="B1246" s="10" t="str">
        <f>'6월'!B208</f>
        <v>SB-25021</v>
      </c>
      <c r="C1246" s="12" t="str">
        <f>'6월'!C208</f>
        <v>ZNUFRU</v>
      </c>
      <c r="D1246" s="13">
        <f>'6월'!D208</f>
        <v>45838</v>
      </c>
      <c r="E1246" s="155" t="str">
        <f>'6월'!E208</f>
        <v>성공글로벌테크놀로지코리아</v>
      </c>
      <c r="F1246" s="155" t="str">
        <f>'6월'!F208</f>
        <v>심플키</v>
      </c>
      <c r="G1246" s="168" t="str">
        <f>'6월'!G208</f>
        <v>MA</v>
      </c>
      <c r="H1246" s="156" t="str">
        <f>'6월'!H208</f>
        <v>월간-성공</v>
      </c>
      <c r="I1246" s="69" t="str">
        <f>'6월'!I208</f>
        <v>티시스 6월 유지정비료 - 1/12회</v>
      </c>
      <c r="J1246" s="122">
        <f>'6월'!J208</f>
        <v>1</v>
      </c>
      <c r="K1246" s="15">
        <f>'6월'!K208</f>
        <v>1086600</v>
      </c>
      <c r="L1246" s="16">
        <f>'6월'!L208</f>
        <v>1086600</v>
      </c>
      <c r="M1246" s="15">
        <f>'6월'!M208</f>
        <v>108660</v>
      </c>
      <c r="N1246" s="15">
        <f>'6월'!N208</f>
        <v>1195260</v>
      </c>
      <c r="O1246" s="5" t="str">
        <f>'6월'!O208</f>
        <v>완료(8/29)</v>
      </c>
      <c r="P1246" s="9" t="str">
        <f>'6월'!P208</f>
        <v>천범석</v>
      </c>
      <c r="Q1246" s="5">
        <f>'6월'!Q208</f>
        <v>45809</v>
      </c>
      <c r="R1246" s="209"/>
    </row>
    <row r="1247" spans="1:18" ht="16.5" customHeight="1">
      <c r="A1247" t="s">
        <v>64</v>
      </c>
      <c r="B1247" s="10" t="str">
        <f>'6월'!B209</f>
        <v>SB-25023</v>
      </c>
      <c r="C1247" s="12" t="str">
        <f>'6월'!C209</f>
        <v>ZKGVNQ</v>
      </c>
      <c r="D1247" s="13">
        <f>'6월'!D209</f>
        <v>45838</v>
      </c>
      <c r="E1247" s="155" t="str">
        <f>'6월'!E209</f>
        <v>성공글로벌테크놀로지코리아</v>
      </c>
      <c r="F1247" s="155" t="str">
        <f>'6월'!F209</f>
        <v>다솜테크</v>
      </c>
      <c r="G1247" s="156" t="str">
        <f>'6월'!G209</f>
        <v>MA</v>
      </c>
      <c r="H1247" s="156" t="str">
        <f>'6월'!H209</f>
        <v>월간-성공</v>
      </c>
      <c r="I1247" s="69" t="str">
        <f>'6월'!I209</f>
        <v>LX(엘엑스)세미콘 6월 유지정비료 - 5/47회</v>
      </c>
      <c r="J1247" s="124">
        <f>'6월'!J209</f>
        <v>1</v>
      </c>
      <c r="K1247" s="15">
        <f>'6월'!K209</f>
        <v>1111200</v>
      </c>
      <c r="L1247" s="16">
        <f>'6월'!L209</f>
        <v>1111200</v>
      </c>
      <c r="M1247" s="16">
        <f>'6월'!M209</f>
        <v>111120</v>
      </c>
      <c r="N1247" s="15">
        <f>'6월'!N209</f>
        <v>1222320</v>
      </c>
      <c r="O1247" s="5" t="str">
        <f>'6월'!O209</f>
        <v>완료(8/29)</v>
      </c>
      <c r="P1247" s="9" t="str">
        <f>'6월'!P209</f>
        <v>천범석</v>
      </c>
      <c r="Q1247" s="5">
        <f>'6월'!Q209</f>
        <v>45838</v>
      </c>
      <c r="R1247" s="209"/>
    </row>
    <row r="1248" spans="1:18" ht="16.5" customHeight="1">
      <c r="A1248" t="s">
        <v>64</v>
      </c>
      <c r="B1248" s="10" t="str">
        <f>'6월'!B210</f>
        <v>SB-25022</v>
      </c>
      <c r="C1248" s="12" t="str">
        <f>'6월'!C210</f>
        <v>ZGHZZL</v>
      </c>
      <c r="D1248" s="13">
        <f>'6월'!D210</f>
        <v>45838</v>
      </c>
      <c r="E1248" s="155" t="str">
        <f>'6월'!E210</f>
        <v>성공글로벌테크놀로지코리아</v>
      </c>
      <c r="F1248" s="155" t="str">
        <f>'6월'!F210</f>
        <v>시스게이트</v>
      </c>
      <c r="G1248" s="156" t="str">
        <f>'6월'!G210</f>
        <v>MA</v>
      </c>
      <c r="H1248" s="156" t="str">
        <f>'6월'!H210</f>
        <v>월간-성공</v>
      </c>
      <c r="I1248" s="69" t="str">
        <f>'6월'!I210</f>
        <v>한국도로공사 25.6월 유지정비료 - 21/39회</v>
      </c>
      <c r="J1248" s="122">
        <f>'6월'!J210</f>
        <v>1</v>
      </c>
      <c r="K1248" s="15">
        <f>'6월'!K210</f>
        <v>1189500</v>
      </c>
      <c r="L1248" s="16">
        <f>'6월'!L210</f>
        <v>1189500</v>
      </c>
      <c r="M1248" s="16">
        <f>'6월'!M210</f>
        <v>118950</v>
      </c>
      <c r="N1248" s="15">
        <f>'6월'!N210</f>
        <v>1308450</v>
      </c>
      <c r="O1248" s="5" t="str">
        <f>'6월'!O210</f>
        <v>완료(8/29)</v>
      </c>
      <c r="P1248" s="9" t="str">
        <f>'6월'!P210</f>
        <v>천범석</v>
      </c>
      <c r="Q1248" s="5">
        <f>'6월'!Q210</f>
        <v>45863</v>
      </c>
      <c r="R1248" s="213" t="str">
        <f>'6월'!R210</f>
        <v>매출분기</v>
      </c>
    </row>
    <row r="1249" spans="1:21" ht="16.5" customHeight="1">
      <c r="A1249" t="s">
        <v>64</v>
      </c>
      <c r="B1249" s="10" t="str">
        <f>'6월'!B211</f>
        <v>IK-24014</v>
      </c>
      <c r="C1249" s="12" t="str">
        <f>'6월'!C211</f>
        <v>ZL0WLO</v>
      </c>
      <c r="D1249" s="13">
        <f>'6월'!D211</f>
        <v>45838</v>
      </c>
      <c r="E1249" s="155" t="str">
        <f>'6월'!E211</f>
        <v>성공글로벌테크놀로지코리아</v>
      </c>
      <c r="F1249" s="155" t="str">
        <f>'6월'!F211</f>
        <v>로보츠</v>
      </c>
      <c r="G1249" s="156" t="str">
        <f>'6월'!G211</f>
        <v>MA</v>
      </c>
      <c r="H1249" s="156" t="str">
        <f>'6월'!H211</f>
        <v>월간-성공</v>
      </c>
      <c r="I1249" s="69" t="str">
        <f>'6월'!I211</f>
        <v>와이케이케이 6월 유지정비료 - 1/15회</v>
      </c>
      <c r="J1249" s="122">
        <f>'6월'!J211</f>
        <v>1</v>
      </c>
      <c r="K1249" s="15">
        <f>'6월'!K211</f>
        <v>55980</v>
      </c>
      <c r="L1249" s="16">
        <f>'6월'!L211</f>
        <v>55980</v>
      </c>
      <c r="M1249" s="16">
        <f>'6월'!M211</f>
        <v>5598</v>
      </c>
      <c r="N1249" s="15">
        <f>'6월'!N211</f>
        <v>61578</v>
      </c>
      <c r="O1249" s="5" t="str">
        <f>'6월'!O211</f>
        <v>완료(8/29)</v>
      </c>
      <c r="P1249" s="9" t="str">
        <f>'6월'!P211</f>
        <v>천범석</v>
      </c>
      <c r="Q1249" s="5">
        <f>'6월'!Q211</f>
        <v>45833</v>
      </c>
      <c r="R1249" s="213"/>
    </row>
    <row r="1250" spans="1:21" ht="16.5" customHeight="1">
      <c r="A1250" t="s">
        <v>64</v>
      </c>
      <c r="B1250" s="10" t="str">
        <f>'6월'!B212</f>
        <v>SB-25026</v>
      </c>
      <c r="C1250" s="12" t="str">
        <f>'6월'!C212</f>
        <v>ZUZMVP</v>
      </c>
      <c r="D1250" s="13">
        <f>'6월'!D212</f>
        <v>45838</v>
      </c>
      <c r="E1250" s="155" t="str">
        <f>'6월'!E212</f>
        <v>성공글로벌테크놀로지코리아</v>
      </c>
      <c r="F1250" s="155" t="str">
        <f>'6월'!F212</f>
        <v>씨티아이앤씨</v>
      </c>
      <c r="G1250" s="156" t="str">
        <f>'6월'!G212</f>
        <v>MA</v>
      </c>
      <c r="H1250" s="156" t="str">
        <f>'6월'!H212</f>
        <v>월간-성공</v>
      </c>
      <c r="I1250" s="69" t="str">
        <f>'6월'!I212</f>
        <v>한림성심대학교 HW 6월 유지정비료 4/12회</v>
      </c>
      <c r="J1250" s="122">
        <f>'6월'!J212</f>
        <v>1</v>
      </c>
      <c r="K1250" s="15">
        <f>'6월'!K212</f>
        <v>390300</v>
      </c>
      <c r="L1250" s="16">
        <f>'6월'!L212</f>
        <v>390300</v>
      </c>
      <c r="M1250" s="16">
        <f>'6월'!M212</f>
        <v>39030</v>
      </c>
      <c r="N1250" s="15">
        <f>'6월'!N212</f>
        <v>429330</v>
      </c>
      <c r="O1250" s="5" t="str">
        <f>'6월'!O212</f>
        <v>완료(8/29)</v>
      </c>
      <c r="P1250" s="9" t="str">
        <f>'6월'!P212</f>
        <v>천범석</v>
      </c>
      <c r="Q1250" s="5">
        <f>'6월'!Q212</f>
        <v>45838</v>
      </c>
      <c r="R1250" s="209"/>
      <c r="U1250" s="11"/>
    </row>
    <row r="1251" spans="1:21" ht="16.5" customHeight="1">
      <c r="A1251" t="s">
        <v>64</v>
      </c>
      <c r="B1251" s="10"/>
      <c r="C1251" s="198"/>
      <c r="D1251" s="13"/>
      <c r="E1251" s="199"/>
      <c r="F1251" s="199"/>
      <c r="G1251" s="157"/>
      <c r="H1251" s="157"/>
      <c r="I1251" s="69"/>
      <c r="J1251" s="201"/>
      <c r="K1251" s="15"/>
      <c r="L1251" s="16"/>
      <c r="M1251" s="16"/>
      <c r="N1251" s="15"/>
      <c r="O1251" s="94"/>
      <c r="P1251" s="175"/>
      <c r="Q1251" s="5"/>
      <c r="R1251" s="213"/>
      <c r="S1251" s="257"/>
      <c r="U1251" s="11"/>
    </row>
    <row r="1252" spans="1:21" ht="16.5" customHeight="1">
      <c r="A1252" t="s">
        <v>64</v>
      </c>
      <c r="B1252" s="10"/>
      <c r="C1252" s="12"/>
      <c r="D1252" s="13"/>
      <c r="E1252" s="155"/>
      <c r="F1252" s="155"/>
      <c r="G1252" s="156"/>
      <c r="H1252" s="156"/>
      <c r="I1252" s="69"/>
      <c r="J1252" s="122"/>
      <c r="K1252" s="15"/>
      <c r="L1252" s="16"/>
      <c r="M1252" s="16"/>
      <c r="N1252" s="15"/>
      <c r="O1252" s="5"/>
      <c r="P1252" s="9"/>
      <c r="Q1252" s="5"/>
      <c r="R1252" s="209"/>
    </row>
    <row r="1253" spans="1:21" ht="16.5" customHeight="1">
      <c r="A1253" t="s">
        <v>64</v>
      </c>
      <c r="B1253" s="10"/>
      <c r="C1253" s="12"/>
      <c r="D1253" s="13"/>
      <c r="E1253" s="155"/>
      <c r="F1253" s="155"/>
      <c r="G1253" s="156"/>
      <c r="H1253" s="156"/>
      <c r="I1253" s="69"/>
      <c r="J1253" s="122"/>
      <c r="K1253" s="15"/>
      <c r="L1253" s="16"/>
      <c r="M1253" s="15"/>
      <c r="N1253" s="15"/>
      <c r="O1253" s="5"/>
      <c r="P1253" s="9"/>
      <c r="Q1253" s="5"/>
      <c r="R1253" s="209"/>
    </row>
    <row r="1254" spans="1:21" ht="16.5" customHeight="1">
      <c r="A1254" t="s">
        <v>64</v>
      </c>
      <c r="B1254" s="253"/>
      <c r="C1254" s="12"/>
      <c r="D1254" s="13"/>
      <c r="E1254" s="155"/>
      <c r="F1254" s="155"/>
      <c r="G1254" s="156"/>
      <c r="H1254" s="156"/>
      <c r="I1254" s="69"/>
      <c r="J1254" s="14"/>
      <c r="K1254" s="15"/>
      <c r="L1254" s="16"/>
      <c r="M1254" s="16"/>
      <c r="N1254" s="15"/>
      <c r="O1254" s="5"/>
      <c r="P1254" s="9"/>
      <c r="Q1254" s="5"/>
      <c r="R1254" s="213"/>
    </row>
    <row r="1255" spans="1:21" ht="30.75" customHeight="1" thickBot="1">
      <c r="A1255" t="s">
        <v>64</v>
      </c>
      <c r="B1255" s="254"/>
      <c r="C1255" s="214"/>
      <c r="D1255" s="214"/>
      <c r="E1255" s="214"/>
      <c r="F1255" s="214" t="s">
        <v>201</v>
      </c>
      <c r="G1255" s="214"/>
      <c r="H1255" s="214"/>
      <c r="I1255" s="215"/>
      <c r="J1255" s="128"/>
      <c r="K1255" s="129"/>
      <c r="L1255" s="205">
        <f>SUM(L2:L1254)</f>
        <v>1579742644.3636363</v>
      </c>
      <c r="M1255" s="205">
        <f>SUM(M2:M1254)</f>
        <v>157188287.34545454</v>
      </c>
      <c r="N1255" s="205">
        <f>SUM(N2:N1254)</f>
        <v>1736930931.7090909</v>
      </c>
      <c r="O1255" s="97"/>
      <c r="P1255" s="178"/>
      <c r="Q1255" s="97"/>
      <c r="R1255" s="180"/>
    </row>
    <row r="1256" spans="1:21" ht="16.5" customHeight="1"/>
    <row r="1257" spans="1:21" ht="16.5" customHeight="1">
      <c r="D1257" s="235">
        <f>COUNTA(D2:D1254)</f>
        <v>1175</v>
      </c>
      <c r="K1257" s="17" t="s">
        <v>82</v>
      </c>
      <c r="L1257" s="17">
        <f>SUBTOTAL(9,L2:L1254)</f>
        <v>1579742644.3636363</v>
      </c>
      <c r="M1257" s="17">
        <f>SUBTOTAL(9,M2:M1254)</f>
        <v>157188287.34545454</v>
      </c>
      <c r="N1257" s="17">
        <f>SUBTOTAL(9,N2:N1254)</f>
        <v>1736930931.7090909</v>
      </c>
    </row>
    <row r="1258" spans="1:21" ht="16.5" customHeight="1">
      <c r="L1258" s="17">
        <v>16599382</v>
      </c>
    </row>
    <row r="1259" spans="1:21">
      <c r="K1259" s="131"/>
    </row>
    <row r="1260" spans="1:21">
      <c r="K1260" s="17">
        <f>149400-99600</f>
        <v>49800</v>
      </c>
    </row>
    <row r="1261" spans="1:21">
      <c r="K1261" s="131"/>
    </row>
    <row r="1264" spans="1:21">
      <c r="K1264" s="131"/>
    </row>
    <row r="1265" spans="9:11">
      <c r="K1265" s="131"/>
    </row>
    <row r="1266" spans="9:11">
      <c r="K1266" s="131"/>
    </row>
    <row r="1268" spans="9:11">
      <c r="I1268" s="249"/>
    </row>
    <row r="1269" spans="9:11">
      <c r="I1269" s="250"/>
    </row>
  </sheetData>
  <autoFilter ref="A1:V1255" xr:uid="{00000000-0001-0000-0000-000000000000}"/>
  <phoneticPr fontId="2" type="noConversion"/>
  <pageMargins left="0.70866141732283472" right="0.70866141732283472" top="0.74803149606299213" bottom="0.74803149606299213" header="0.31496062992125984" footer="0.31496062992125984"/>
  <pageSetup paperSize="9" scale="1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3958-C33A-4310-AB09-40EC0D7A94DF}">
  <sheetPr codeName="Sheet9"/>
  <dimension ref="A1:S178"/>
  <sheetViews>
    <sheetView tabSelected="1" workbookViewId="0">
      <pane ySplit="22" topLeftCell="A59" activePane="bottomLeft" state="frozen"/>
      <selection pane="bottomLeft" activeCell="F73" sqref="F73"/>
    </sheetView>
  </sheetViews>
  <sheetFormatPr defaultRowHeight="12"/>
  <cols>
    <col min="1" max="1" width="9" style="86"/>
    <col min="2" max="12" width="11.75" style="86" customWidth="1"/>
    <col min="13" max="13" width="6.125" style="86" customWidth="1"/>
    <col min="14" max="14" width="7.5" style="86" bestFit="1" customWidth="1"/>
    <col min="15" max="15" width="10.25" style="86" bestFit="1" customWidth="1"/>
    <col min="16" max="16" width="11.75" style="86" customWidth="1"/>
    <col min="17" max="18" width="9" style="86"/>
    <col min="19" max="19" width="9.375" style="20" bestFit="1" customWidth="1"/>
    <col min="20" max="16384" width="9" style="86"/>
  </cols>
  <sheetData>
    <row r="1" spans="1:18">
      <c r="Q1" s="78"/>
    </row>
    <row r="2" spans="1:18" ht="16.5">
      <c r="A2" s="89" t="s">
        <v>70</v>
      </c>
      <c r="B2" s="70" t="s">
        <v>58</v>
      </c>
      <c r="C2" s="70" t="s">
        <v>59</v>
      </c>
      <c r="D2" s="70" t="s">
        <v>55</v>
      </c>
      <c r="E2" s="70" t="s">
        <v>60</v>
      </c>
      <c r="J2" s="78"/>
      <c r="K2" s="79"/>
      <c r="L2" s="79"/>
      <c r="M2" s="79"/>
      <c r="N2" s="79"/>
      <c r="O2" s="79"/>
      <c r="Q2" s="220"/>
      <c r="R2" s="219"/>
    </row>
    <row r="3" spans="1:18" ht="13.5">
      <c r="A3" s="86" t="s">
        <v>44</v>
      </c>
      <c r="B3" s="20">
        <f>'1월'!L207</f>
        <v>247996965.36363637</v>
      </c>
      <c r="C3" s="20">
        <f>'1월'!M207</f>
        <v>24614207.390909094</v>
      </c>
      <c r="D3" s="20">
        <f>'1월'!N207</f>
        <v>272611172.75454545</v>
      </c>
      <c r="E3" s="20">
        <f>'1월'!D208</f>
        <v>197</v>
      </c>
      <c r="G3" s="20"/>
      <c r="K3" s="87"/>
      <c r="L3" s="87"/>
      <c r="M3" s="87"/>
      <c r="N3" s="87"/>
      <c r="O3" s="80"/>
      <c r="Q3" s="220"/>
    </row>
    <row r="4" spans="1:18" ht="13.5">
      <c r="A4" s="86" t="s">
        <v>123</v>
      </c>
      <c r="B4" s="20">
        <f>'2월'!L230</f>
        <v>258840954</v>
      </c>
      <c r="C4" s="20">
        <f>'2월'!M230</f>
        <v>25695538.300000001</v>
      </c>
      <c r="D4" s="20">
        <f>'2월'!N230</f>
        <v>284536492.30000001</v>
      </c>
      <c r="E4" s="20">
        <f>'2월'!D231</f>
        <v>212</v>
      </c>
      <c r="G4" s="20"/>
      <c r="K4" s="87"/>
      <c r="L4" s="87"/>
      <c r="M4" s="87"/>
      <c r="N4" s="87"/>
      <c r="O4" s="80"/>
      <c r="Q4" s="220"/>
    </row>
    <row r="5" spans="1:18" ht="13.5">
      <c r="A5" s="86" t="s">
        <v>124</v>
      </c>
      <c r="B5" s="20">
        <f>'3월'!L210</f>
        <v>366789249.36363637</v>
      </c>
      <c r="C5" s="20">
        <f>'3월'!M210</f>
        <v>36493121.936363637</v>
      </c>
      <c r="D5" s="20">
        <f>'3월'!N210</f>
        <v>403282371.30000001</v>
      </c>
      <c r="E5" s="20">
        <f>'3월'!D211</f>
        <v>194</v>
      </c>
      <c r="G5" s="20"/>
      <c r="K5" s="87"/>
      <c r="L5" s="87"/>
      <c r="M5" s="87"/>
      <c r="N5" s="87"/>
      <c r="O5" s="80"/>
      <c r="Q5" s="220"/>
    </row>
    <row r="6" spans="1:18" ht="13.5">
      <c r="A6" s="86" t="s">
        <v>125</v>
      </c>
      <c r="B6" s="20">
        <f>'4월'!L212</f>
        <v>264199095.81818184</v>
      </c>
      <c r="C6" s="20">
        <f>'4월'!M212</f>
        <v>26235926.636363637</v>
      </c>
      <c r="D6" s="20">
        <f>'4월'!N212</f>
        <v>290435022.4545455</v>
      </c>
      <c r="E6" s="20">
        <f>'4월'!D213</f>
        <v>192</v>
      </c>
      <c r="G6" s="20"/>
      <c r="K6" s="87"/>
      <c r="L6" s="87"/>
      <c r="M6" s="87"/>
      <c r="N6" s="87"/>
      <c r="O6" s="80"/>
      <c r="Q6" s="220"/>
    </row>
    <row r="7" spans="1:18" ht="13.5">
      <c r="A7" s="86" t="s">
        <v>126</v>
      </c>
      <c r="B7" s="20">
        <f>'5월'!L213</f>
        <v>198025977</v>
      </c>
      <c r="C7" s="20">
        <f>'5월'!M213</f>
        <v>19776997.199999999</v>
      </c>
      <c r="D7" s="20">
        <f>'5월'!N213</f>
        <v>217802974.19999999</v>
      </c>
      <c r="E7" s="20">
        <f>'5월'!D214</f>
        <v>192</v>
      </c>
      <c r="G7" s="20"/>
      <c r="K7" s="87"/>
      <c r="L7" s="87"/>
      <c r="M7" s="87"/>
      <c r="N7" s="87"/>
      <c r="O7" s="80"/>
      <c r="Q7" s="220"/>
    </row>
    <row r="8" spans="1:18" ht="13.5">
      <c r="A8" s="86" t="s">
        <v>127</v>
      </c>
      <c r="B8" s="20">
        <f>'6월'!L215</f>
        <v>243890402.81818181</v>
      </c>
      <c r="C8" s="20">
        <f>'6월'!M215</f>
        <v>24372495.881818183</v>
      </c>
      <c r="D8" s="20">
        <f>'6월'!N215</f>
        <v>268262898.70000002</v>
      </c>
      <c r="E8" s="20">
        <f>'6월'!D216</f>
        <v>188</v>
      </c>
      <c r="G8" s="20"/>
      <c r="K8" s="87"/>
      <c r="L8" s="87"/>
      <c r="M8" s="87"/>
      <c r="N8" s="87"/>
      <c r="O8" s="80"/>
      <c r="Q8" s="220"/>
    </row>
    <row r="9" spans="1:18" ht="13.5">
      <c r="A9" s="86" t="s">
        <v>128</v>
      </c>
      <c r="B9" s="20"/>
      <c r="C9" s="20"/>
      <c r="D9" s="20"/>
      <c r="E9" s="20"/>
      <c r="G9" s="20"/>
      <c r="K9" s="87"/>
      <c r="L9" s="87"/>
      <c r="M9" s="87"/>
      <c r="N9" s="87"/>
      <c r="O9" s="80"/>
      <c r="Q9" s="220"/>
    </row>
    <row r="10" spans="1:18" ht="13.5">
      <c r="A10" s="86" t="s">
        <v>52</v>
      </c>
      <c r="B10" s="20"/>
      <c r="C10" s="20"/>
      <c r="D10" s="20"/>
      <c r="E10" s="20"/>
      <c r="G10" s="20"/>
      <c r="K10" s="87"/>
      <c r="L10" s="81"/>
      <c r="M10" s="81"/>
      <c r="N10" s="78"/>
      <c r="O10" s="80"/>
      <c r="Q10" s="220"/>
    </row>
    <row r="11" spans="1:18" ht="13.5">
      <c r="A11" s="86" t="s">
        <v>53</v>
      </c>
      <c r="B11" s="20"/>
      <c r="C11" s="20"/>
      <c r="D11" s="20"/>
      <c r="E11" s="20"/>
      <c r="G11" s="20"/>
      <c r="J11" s="78"/>
      <c r="K11" s="80"/>
      <c r="L11" s="80"/>
      <c r="M11" s="80"/>
      <c r="N11" s="80"/>
      <c r="O11" s="80"/>
      <c r="Q11" s="220"/>
    </row>
    <row r="12" spans="1:18" ht="13.5">
      <c r="A12" s="86" t="s">
        <v>129</v>
      </c>
      <c r="B12" s="20"/>
      <c r="C12" s="20"/>
      <c r="D12" s="20"/>
      <c r="E12" s="20"/>
      <c r="G12" s="20"/>
      <c r="Q12" s="220"/>
    </row>
    <row r="13" spans="1:18" ht="13.5">
      <c r="A13" s="86" t="s">
        <v>56</v>
      </c>
      <c r="B13" s="20"/>
      <c r="C13" s="20"/>
      <c r="D13" s="20"/>
      <c r="E13" s="20"/>
      <c r="G13" s="20"/>
      <c r="J13" s="78"/>
      <c r="K13" s="79"/>
      <c r="L13" s="79"/>
      <c r="M13" s="79"/>
      <c r="N13" s="79"/>
      <c r="O13" s="79"/>
      <c r="Q13" s="220"/>
    </row>
    <row r="14" spans="1:18" ht="13.5">
      <c r="A14" s="86" t="s">
        <v>57</v>
      </c>
      <c r="B14" s="20"/>
      <c r="C14" s="20"/>
      <c r="D14" s="20"/>
      <c r="E14" s="20"/>
      <c r="G14" s="20"/>
      <c r="K14" s="87"/>
      <c r="L14" s="87"/>
      <c r="M14" s="87"/>
      <c r="N14" s="87"/>
      <c r="O14" s="80"/>
      <c r="Q14" s="220"/>
    </row>
    <row r="15" spans="1:18" ht="13.5">
      <c r="A15" s="70" t="s">
        <v>61</v>
      </c>
      <c r="B15" s="71">
        <f>SUM(B3:B14)</f>
        <v>1579742644.3636363</v>
      </c>
      <c r="C15" s="71">
        <f>SUM(C3:C14)</f>
        <v>157188287.34545454</v>
      </c>
      <c r="D15" s="71">
        <f>SUM(D3:D14)</f>
        <v>1736930931.7090909</v>
      </c>
      <c r="E15" s="71">
        <f>SUM(E3:E14)</f>
        <v>1175</v>
      </c>
      <c r="F15" s="256"/>
      <c r="G15" s="20"/>
      <c r="K15" s="87"/>
      <c r="L15" s="87"/>
      <c r="M15" s="87"/>
      <c r="N15" s="87"/>
      <c r="O15" s="80"/>
      <c r="Q15" s="220"/>
    </row>
    <row r="16" spans="1:18" ht="13.5">
      <c r="A16" s="86" t="s">
        <v>130</v>
      </c>
      <c r="B16" s="20">
        <f>'현금,법인카드'!L50</f>
        <v>5387063.8181818184</v>
      </c>
      <c r="C16" s="20">
        <f>'현금,법인카드'!M50</f>
        <v>538706.68181818188</v>
      </c>
      <c r="D16" s="20">
        <f>'현금,법인카드'!N50</f>
        <v>5925770.5</v>
      </c>
      <c r="E16" s="20">
        <f>'현금,법인카드'!D50</f>
        <v>15</v>
      </c>
      <c r="G16" s="20"/>
      <c r="K16" s="87"/>
      <c r="L16" s="87"/>
      <c r="M16" s="87"/>
      <c r="N16" s="87"/>
      <c r="O16" s="80"/>
      <c r="Q16" s="220"/>
    </row>
    <row r="17" spans="1:19" ht="13.5">
      <c r="A17" s="86" t="s">
        <v>113</v>
      </c>
      <c r="B17" s="20">
        <f>수입!I11</f>
        <v>0</v>
      </c>
      <c r="C17" s="20">
        <v>0</v>
      </c>
      <c r="D17" s="20">
        <f>수입!I11</f>
        <v>0</v>
      </c>
      <c r="E17" s="20">
        <f>수입!B11</f>
        <v>0</v>
      </c>
      <c r="G17" s="20"/>
      <c r="K17" s="87"/>
      <c r="L17" s="87"/>
      <c r="M17" s="87"/>
      <c r="N17" s="87"/>
      <c r="O17" s="80"/>
      <c r="Q17" s="220"/>
    </row>
    <row r="18" spans="1:19" ht="13.5">
      <c r="A18" s="70" t="s">
        <v>140</v>
      </c>
      <c r="B18" s="71">
        <f>SUM(B15,B16,B17)</f>
        <v>1585129708.181818</v>
      </c>
      <c r="C18" s="71">
        <f>SUM(C15,C16,C17)</f>
        <v>157726994.02727273</v>
      </c>
      <c r="D18" s="71">
        <f>SUM(D15,D16,D17)</f>
        <v>1742856702.2090909</v>
      </c>
      <c r="E18" s="71">
        <f>SUM(E15,E16,E17)</f>
        <v>1190</v>
      </c>
      <c r="G18" s="20"/>
      <c r="K18" s="87"/>
      <c r="L18" s="87"/>
      <c r="M18" s="87"/>
      <c r="N18" s="87"/>
      <c r="O18" s="80"/>
      <c r="Q18" s="220"/>
    </row>
    <row r="19" spans="1:19">
      <c r="J19" s="78"/>
      <c r="K19" s="78"/>
      <c r="L19" s="78"/>
      <c r="M19" s="78"/>
      <c r="N19" s="78"/>
      <c r="O19" s="80"/>
    </row>
    <row r="21" spans="1:19" ht="16.5">
      <c r="A21" s="72" t="s">
        <v>71</v>
      </c>
      <c r="B21" s="90" t="s">
        <v>131</v>
      </c>
      <c r="C21" s="74" t="s">
        <v>55</v>
      </c>
      <c r="D21" s="75" t="s">
        <v>118</v>
      </c>
      <c r="E21" s="75" t="s">
        <v>98</v>
      </c>
      <c r="F21" s="75" t="s">
        <v>132</v>
      </c>
      <c r="G21" s="75" t="s">
        <v>133</v>
      </c>
      <c r="H21" s="75" t="s">
        <v>134</v>
      </c>
      <c r="I21" s="75" t="s">
        <v>135</v>
      </c>
      <c r="J21" s="72" t="s">
        <v>136</v>
      </c>
      <c r="K21" s="75" t="s">
        <v>37</v>
      </c>
      <c r="L21" s="72" t="s">
        <v>137</v>
      </c>
      <c r="N21" s="75" t="s">
        <v>139</v>
      </c>
      <c r="O21" s="88" t="s">
        <v>181</v>
      </c>
    </row>
    <row r="22" spans="1:19">
      <c r="A22" s="73"/>
      <c r="B22" s="73"/>
      <c r="C22" s="76">
        <f t="shared" ref="C22:L22" si="0">SUM(C23:C117)</f>
        <v>1585129708.1818182</v>
      </c>
      <c r="D22" s="77">
        <f t="shared" si="0"/>
        <v>354587206.72727275</v>
      </c>
      <c r="E22" s="77">
        <f t="shared" si="0"/>
        <v>929261059.4545455</v>
      </c>
      <c r="F22" s="77">
        <f t="shared" si="0"/>
        <v>119391693</v>
      </c>
      <c r="G22" s="77">
        <f t="shared" si="0"/>
        <v>36546921</v>
      </c>
      <c r="H22" s="77">
        <f t="shared" si="0"/>
        <v>930000</v>
      </c>
      <c r="I22" s="77">
        <f t="shared" si="0"/>
        <v>144412828</v>
      </c>
      <c r="J22" s="77">
        <f t="shared" si="0"/>
        <v>0</v>
      </c>
      <c r="K22" s="77">
        <f t="shared" si="0"/>
        <v>0</v>
      </c>
      <c r="L22" s="77">
        <f t="shared" si="0"/>
        <v>0</v>
      </c>
      <c r="N22" s="88" t="str">
        <f>IF(B18=C22,"OK","F")</f>
        <v>OK</v>
      </c>
      <c r="O22" s="91">
        <f>B18-C22</f>
        <v>0</v>
      </c>
    </row>
    <row r="23" spans="1:19">
      <c r="A23" s="86">
        <f t="shared" ref="A23:A54" si="1">RANK(C23,$C$23:$C$115,0)</f>
        <v>65</v>
      </c>
      <c r="B23" s="84" t="s">
        <v>2598</v>
      </c>
      <c r="C23" s="85">
        <f t="shared" ref="C23:C89" si="2">SUM(D23:L23)</f>
        <v>0</v>
      </c>
      <c r="D23" s="20">
        <f>SUMIFS(Master!$L$2:$L$1254,Master!$G$2:$G$1254,분류!D$21,Master!$E$2:$E$1254,분류!$B23)</f>
        <v>0</v>
      </c>
      <c r="E23" s="20">
        <f>SUMIFS(Master!$L$2:$L$1254,Master!$G$2:$G$1254,분류!E$21,Master!$E$2:$E$1254,분류!$B23)</f>
        <v>0</v>
      </c>
      <c r="F23" s="20">
        <f>SUMIFS(Master!$L$2:$L$1254,Master!$G$2:$G$1254,분류!F$21,Master!$E$2:$E$1254,분류!$B23)</f>
        <v>0</v>
      </c>
      <c r="G23" s="20">
        <f>SUMIFS(Master!$L$2:$L$1254,Master!$G$2:$G$1254,분류!G$21,Master!$E$2:$E$1254,분류!$B23)</f>
        <v>0</v>
      </c>
      <c r="H23" s="20">
        <f>SUMIFS(Master!$L$2:$L$1254,Master!$G$2:$G$1254,분류!H$21,Master!$E$2:$E$1254,분류!$B23)</f>
        <v>0</v>
      </c>
      <c r="I23" s="20">
        <f>SUMIFS(Master!$L$2:$L$1254,Master!$G$2:$G$1254,분류!I$21,Master!$E$2:$E$1254,분류!$B23)</f>
        <v>0</v>
      </c>
      <c r="J23" s="20">
        <f>SUMIFS(Master!$L$2:$L$1254,Master!$G$2:$G$1254,분류!J$21,Master!$E$2:$E$1254,분류!$B23)</f>
        <v>0</v>
      </c>
      <c r="K23" s="20">
        <f>SUMIFS(Master!$L$2:$L$1254,Master!$G$2:$G$1254,분류!K$21,Master!$E$2:$E$1254,분류!$B23)</f>
        <v>0</v>
      </c>
      <c r="L23" s="20">
        <f>SUMIFS(Master!$L$2:$L$1254,Master!$G$2:$G$1254,분류!L$21,Master!$E$2:$E$1254,분류!$B23)</f>
        <v>0</v>
      </c>
      <c r="M23" s="91"/>
    </row>
    <row r="24" spans="1:19">
      <c r="A24" s="86">
        <f t="shared" si="1"/>
        <v>57</v>
      </c>
      <c r="B24" s="84" t="s">
        <v>1408</v>
      </c>
      <c r="C24" s="85">
        <f t="shared" si="2"/>
        <v>260610</v>
      </c>
      <c r="D24" s="20">
        <f>SUMIFS(Master!$L$2:$L$1254,Master!$G$2:$G$1254,분류!D$21,Master!$E$2:$E$1254,분류!$B24)</f>
        <v>0</v>
      </c>
      <c r="E24" s="20">
        <f>SUMIFS(Master!$L$2:$L$1254,Master!$G$2:$G$1254,분류!E$21,Master!$E$2:$E$1254,분류!$B24)</f>
        <v>0</v>
      </c>
      <c r="F24" s="20">
        <f>SUMIFS(Master!$L$2:$L$1254,Master!$G$2:$G$1254,분류!F$21,Master!$E$2:$E$1254,분류!$B24)</f>
        <v>0</v>
      </c>
      <c r="G24" s="20">
        <f>SUMIFS(Master!$L$2:$L$1254,Master!$G$2:$G$1254,분류!G$21,Master!$E$2:$E$1254,분류!$B24)</f>
        <v>0</v>
      </c>
      <c r="H24" s="20">
        <f>SUMIFS(Master!$L$2:$L$1254,Master!$G$2:$G$1254,분류!H$21,Master!$E$2:$E$1254,분류!$B24)</f>
        <v>0</v>
      </c>
      <c r="I24" s="20">
        <f>SUMIFS(Master!$L$2:$L$1254,Master!$G$2:$G$1254,분류!I$21,Master!$E$2:$E$1254,분류!$B24)</f>
        <v>260610</v>
      </c>
      <c r="J24" s="20">
        <f>SUMIFS(Master!$L$2:$L$1254,Master!$G$2:$G$1254,분류!J$21,Master!$E$2:$E$1254,분류!$B24)</f>
        <v>0</v>
      </c>
      <c r="K24" s="20">
        <f>SUMIFS(Master!$L$2:$L$1254,Master!$G$2:$G$1254,분류!K$21,Master!$E$2:$E$1254,분류!$B24)</f>
        <v>0</v>
      </c>
      <c r="L24" s="20">
        <f>SUMIFS(Master!$L$2:$L$1254,Master!$G$2:$G$1254,분류!L$21,Master!$E$2:$E$1254,분류!$B24)</f>
        <v>0</v>
      </c>
      <c r="M24" s="91"/>
    </row>
    <row r="25" spans="1:19">
      <c r="A25" s="86">
        <f t="shared" si="1"/>
        <v>58</v>
      </c>
      <c r="B25" s="84" t="s">
        <v>138</v>
      </c>
      <c r="C25" s="85">
        <f t="shared" si="2"/>
        <v>240000</v>
      </c>
      <c r="D25" s="20">
        <f>SUMIFS(Master!$L$2:$L$1254,Master!$G$2:$G$1254,분류!D$21,Master!$E$2:$E$1254,분류!$B25)</f>
        <v>0</v>
      </c>
      <c r="E25" s="20">
        <f>SUMIFS(Master!$L$2:$L$1254,Master!$G$2:$G$1254,분류!E$21,Master!$E$2:$E$1254,분류!$B25)</f>
        <v>0</v>
      </c>
      <c r="F25" s="20">
        <f>SUMIFS(Master!$L$2:$L$1254,Master!$G$2:$G$1254,분류!F$21,Master!$E$2:$E$1254,분류!$B25)</f>
        <v>0</v>
      </c>
      <c r="G25" s="20">
        <f>SUMIFS(Master!$L$2:$L$1254,Master!$G$2:$G$1254,분류!G$21,Master!$E$2:$E$1254,분류!$B25)</f>
        <v>0</v>
      </c>
      <c r="H25" s="20">
        <f>SUMIFS(Master!$L$2:$L$1254,Master!$G$2:$G$1254,분류!H$21,Master!$E$2:$E$1254,분류!$B25)</f>
        <v>0</v>
      </c>
      <c r="I25" s="20">
        <f>SUMIFS(Master!$L$2:$L$1254,Master!$G$2:$G$1254,분류!I$21,Master!$E$2:$E$1254,분류!$B25)</f>
        <v>240000</v>
      </c>
      <c r="J25" s="20">
        <f>SUMIFS(Master!$L$2:$L$1254,Master!$G$2:$G$1254,분류!J$21,Master!$E$2:$E$1254,분류!$B25)</f>
        <v>0</v>
      </c>
      <c r="K25" s="20">
        <f>SUMIFS(Master!$L$2:$L$1254,Master!$G$2:$G$1254,분류!K$21,Master!$E$2:$E$1254,분류!$B25)</f>
        <v>0</v>
      </c>
      <c r="L25" s="20">
        <f>SUMIFS(Master!$L$2:$L$1254,Master!$G$2:$G$1254,분류!L$21,Master!$E$2:$E$1254,분류!$B25)</f>
        <v>0</v>
      </c>
      <c r="M25" s="91"/>
    </row>
    <row r="26" spans="1:19">
      <c r="A26" s="86">
        <f t="shared" si="1"/>
        <v>65</v>
      </c>
      <c r="B26" s="19" t="s">
        <v>103</v>
      </c>
      <c r="C26" s="85">
        <f t="shared" si="2"/>
        <v>0</v>
      </c>
      <c r="D26" s="20">
        <f>SUMIFS(Master!$L$2:$L$1254,Master!$G$2:$G$1254,분류!D$21,Master!$E$2:$E$1254,분류!$B26)</f>
        <v>0</v>
      </c>
      <c r="E26" s="20">
        <f>SUMIFS(Master!$L$2:$L$1254,Master!$G$2:$G$1254,분류!E$21,Master!$E$2:$E$1254,분류!$B26)</f>
        <v>0</v>
      </c>
      <c r="F26" s="20">
        <f>SUMIFS(Master!$L$2:$L$1254,Master!$G$2:$G$1254,분류!F$21,Master!$E$2:$E$1254,분류!$B26)</f>
        <v>0</v>
      </c>
      <c r="G26" s="20">
        <f>SUMIFS(Master!$L$2:$L$1254,Master!$G$2:$G$1254,분류!G$21,Master!$E$2:$E$1254,분류!$B26)</f>
        <v>0</v>
      </c>
      <c r="H26" s="20">
        <f>SUMIFS(Master!$L$2:$L$1254,Master!$G$2:$G$1254,분류!H$21,Master!$E$2:$E$1254,분류!$B26)</f>
        <v>0</v>
      </c>
      <c r="I26" s="20">
        <f>SUMIFS(Master!$L$2:$L$1254,Master!$G$2:$G$1254,분류!I$21,Master!$E$2:$E$1254,분류!$B26)</f>
        <v>0</v>
      </c>
      <c r="J26" s="20">
        <f>SUMIFS(Master!$L$2:$L$1254,Master!$G$2:$G$1254,분류!J$21,Master!$E$2:$E$1254,분류!$B26)</f>
        <v>0</v>
      </c>
      <c r="K26" s="20">
        <f>SUMIFS(Master!$L$2:$L$1254,Master!$G$2:$G$1254,분류!K$21,Master!$E$2:$E$1254,분류!$B26)</f>
        <v>0</v>
      </c>
      <c r="L26" s="20">
        <f>SUMIFS(Master!$L$2:$L$1254,Master!$G$2:$G$1254,분류!L$21,Master!$E$2:$E$1254,분류!$B26)</f>
        <v>0</v>
      </c>
      <c r="M26" s="91"/>
    </row>
    <row r="27" spans="1:19">
      <c r="A27" s="86">
        <f t="shared" si="1"/>
        <v>8</v>
      </c>
      <c r="B27" s="19" t="s">
        <v>2629</v>
      </c>
      <c r="C27" s="85">
        <f t="shared" si="2"/>
        <v>40065000</v>
      </c>
      <c r="D27" s="20">
        <f>SUMIFS(Master!$L$2:$L$1254,Master!$G$2:$G$1254,분류!D$21,Master!$E$2:$E$1254,분류!$B27)</f>
        <v>36675000</v>
      </c>
      <c r="E27" s="20">
        <f>SUMIFS(Master!$L$2:$L$1254,Master!$G$2:$G$1254,분류!E$21,Master!$E$2:$E$1254,분류!$B27)</f>
        <v>3390000</v>
      </c>
      <c r="F27" s="20">
        <f>SUMIFS(Master!$L$2:$L$1254,Master!$G$2:$G$1254,분류!F$21,Master!$E$2:$E$1254,분류!$B27)</f>
        <v>0</v>
      </c>
      <c r="G27" s="20">
        <f>SUMIFS(Master!$L$2:$L$1254,Master!$G$2:$G$1254,분류!G$21,Master!$E$2:$E$1254,분류!$B27)</f>
        <v>0</v>
      </c>
      <c r="H27" s="20">
        <f>SUMIFS(Master!$L$2:$L$1254,Master!$G$2:$G$1254,분류!H$21,Master!$E$2:$E$1254,분류!$B27)</f>
        <v>0</v>
      </c>
      <c r="I27" s="20">
        <f>SUMIFS(Master!$L$2:$L$1254,Master!$G$2:$G$1254,분류!I$21,Master!$E$2:$E$1254,분류!$B27)</f>
        <v>0</v>
      </c>
      <c r="J27" s="20">
        <f>SUMIFS(Master!$L$2:$L$1254,Master!$G$2:$G$1254,분류!J$21,Master!$E$2:$E$1254,분류!$B27)</f>
        <v>0</v>
      </c>
      <c r="K27" s="20">
        <f>SUMIFS(Master!$L$2:$L$1254,Master!$G$2:$G$1254,분류!K$21,Master!$E$2:$E$1254,분류!$B27)</f>
        <v>0</v>
      </c>
      <c r="L27" s="20">
        <f>SUMIFS(Master!$L$2:$L$1254,Master!$G$2:$G$1254,분류!L$21,Master!$E$2:$E$1254,분류!$B27)</f>
        <v>0</v>
      </c>
      <c r="M27" s="91"/>
    </row>
    <row r="28" spans="1:19">
      <c r="A28" s="86">
        <f t="shared" si="1"/>
        <v>43</v>
      </c>
      <c r="B28" s="19" t="s">
        <v>155</v>
      </c>
      <c r="C28" s="85">
        <f t="shared" si="2"/>
        <v>1200000</v>
      </c>
      <c r="D28" s="20">
        <f>SUMIFS(Master!$L$2:$L$1254,Master!$G$2:$G$1254,분류!D$21,Master!$E$2:$E$1254,분류!$B28)</f>
        <v>0</v>
      </c>
      <c r="E28" s="20">
        <f>SUMIFS(Master!$L$2:$L$1254,Master!$G$2:$G$1254,분류!E$21,Master!$E$2:$E$1254,분류!$B28)</f>
        <v>1200000</v>
      </c>
      <c r="F28" s="20">
        <f>SUMIFS(Master!$L$2:$L$1254,Master!$G$2:$G$1254,분류!F$21,Master!$E$2:$E$1254,분류!$B28)</f>
        <v>0</v>
      </c>
      <c r="G28" s="20">
        <f>SUMIFS(Master!$L$2:$L$1254,Master!$G$2:$G$1254,분류!G$21,Master!$E$2:$E$1254,분류!$B28)</f>
        <v>0</v>
      </c>
      <c r="H28" s="20">
        <f>SUMIFS(Master!$L$2:$L$1254,Master!$G$2:$G$1254,분류!H$21,Master!$E$2:$E$1254,분류!$B28)</f>
        <v>0</v>
      </c>
      <c r="I28" s="20">
        <f>SUMIFS(Master!$L$2:$L$1254,Master!$G$2:$G$1254,분류!I$21,Master!$E$2:$E$1254,분류!$B28)</f>
        <v>0</v>
      </c>
      <c r="J28" s="20">
        <f>SUMIFS(Master!$L$2:$L$1254,Master!$G$2:$G$1254,분류!J$21,Master!$E$2:$E$1254,분류!$B28)</f>
        <v>0</v>
      </c>
      <c r="K28" s="20">
        <f>SUMIFS(Master!$L$2:$L$1254,Master!$G$2:$G$1254,분류!K$21,Master!$E$2:$E$1254,분류!$B28)</f>
        <v>0</v>
      </c>
      <c r="L28" s="20">
        <f>SUMIFS(Master!$L$2:$L$1254,Master!$G$2:$G$1254,분류!L$21,Master!$E$2:$E$1254,분류!$B28)</f>
        <v>0</v>
      </c>
      <c r="M28" s="91"/>
    </row>
    <row r="29" spans="1:19">
      <c r="A29" s="86">
        <f t="shared" si="1"/>
        <v>65</v>
      </c>
      <c r="B29" s="19" t="s">
        <v>116</v>
      </c>
      <c r="C29" s="85">
        <f t="shared" si="2"/>
        <v>0</v>
      </c>
      <c r="D29" s="20">
        <f>SUMIFS(Master!$L$2:$L$1254,Master!$G$2:$G$1254,분류!D$21,Master!$E$2:$E$1254,분류!$B29)</f>
        <v>0</v>
      </c>
      <c r="E29" s="20">
        <f>SUMIFS(Master!$L$2:$L$1254,Master!$G$2:$G$1254,분류!E$21,Master!$E$2:$E$1254,분류!$B29)</f>
        <v>0</v>
      </c>
      <c r="F29" s="20">
        <f>SUMIFS(Master!$L$2:$L$1254,Master!$G$2:$G$1254,분류!F$21,Master!$E$2:$E$1254,분류!$B29)</f>
        <v>0</v>
      </c>
      <c r="G29" s="20">
        <f>SUMIFS(Master!$L$2:$L$1254,Master!$G$2:$G$1254,분류!G$21,Master!$E$2:$E$1254,분류!$B29)</f>
        <v>0</v>
      </c>
      <c r="H29" s="20">
        <f>SUMIFS(Master!$L$2:$L$1254,Master!$G$2:$G$1254,분류!H$21,Master!$E$2:$E$1254,분류!$B29)</f>
        <v>0</v>
      </c>
      <c r="I29" s="20">
        <f>SUMIFS(Master!$L$2:$L$1254,Master!$G$2:$G$1254,분류!I$21,Master!$E$2:$E$1254,분류!$B29)</f>
        <v>0</v>
      </c>
      <c r="J29" s="20">
        <f>SUMIFS(Master!$L$2:$L$1254,Master!$G$2:$G$1254,분류!J$21,Master!$E$2:$E$1254,분류!$B29)</f>
        <v>0</v>
      </c>
      <c r="K29" s="20">
        <f>SUMIFS(Master!$L$2:$L$1254,Master!$G$2:$G$1254,분류!K$21,Master!$E$2:$E$1254,분류!$B29)</f>
        <v>0</v>
      </c>
      <c r="L29" s="20">
        <f>SUMIFS(Master!$L$2:$L$1254,Master!$G$2:$G$1254,분류!L$21,Master!$E$2:$E$1254,분류!$B29)</f>
        <v>0</v>
      </c>
      <c r="M29" s="91"/>
    </row>
    <row r="30" spans="1:19">
      <c r="A30" s="86">
        <f t="shared" si="1"/>
        <v>60</v>
      </c>
      <c r="B30" s="84" t="s">
        <v>106</v>
      </c>
      <c r="C30" s="85">
        <f t="shared" si="2"/>
        <v>120000</v>
      </c>
      <c r="D30" s="20">
        <f>SUMIFS(Master!$L$2:$L$1254,Master!$G$2:$G$1254,분류!D$21,Master!$E$2:$E$1254,분류!$B30)</f>
        <v>0</v>
      </c>
      <c r="E30" s="20">
        <f>SUMIFS(Master!$L$2:$L$1254,Master!$G$2:$G$1254,분류!E$21,Master!$E$2:$E$1254,분류!$B30)</f>
        <v>0</v>
      </c>
      <c r="F30" s="20">
        <f>SUMIFS(Master!$L$2:$L$1254,Master!$G$2:$G$1254,분류!F$21,Master!$E$2:$E$1254,분류!$B30)</f>
        <v>0</v>
      </c>
      <c r="G30" s="20">
        <f>SUMIFS(Master!$L$2:$L$1254,Master!$G$2:$G$1254,분류!G$21,Master!$E$2:$E$1254,분류!$B30)</f>
        <v>0</v>
      </c>
      <c r="H30" s="20">
        <f>SUMIFS(Master!$L$2:$L$1254,Master!$G$2:$G$1254,분류!H$21,Master!$E$2:$E$1254,분류!$B30)</f>
        <v>0</v>
      </c>
      <c r="I30" s="20">
        <f>SUMIFS(Master!$L$2:$L$1254,Master!$G$2:$G$1254,분류!I$21,Master!$E$2:$E$1254,분류!$B30)</f>
        <v>120000</v>
      </c>
      <c r="J30" s="20">
        <f>SUMIFS(Master!$L$2:$L$1254,Master!$G$2:$G$1254,분류!J$21,Master!$E$2:$E$1254,분류!$B30)</f>
        <v>0</v>
      </c>
      <c r="K30" s="20">
        <f>SUMIFS(Master!$L$2:$L$1254,Master!$G$2:$G$1254,분류!K$21,Master!$E$2:$E$1254,분류!$B30)</f>
        <v>0</v>
      </c>
      <c r="L30" s="20">
        <f>SUMIFS(Master!$L$2:$L$1254,Master!$G$2:$G$1254,분류!L$21,Master!$E$2:$E$1254,분류!$B30)</f>
        <v>0</v>
      </c>
      <c r="M30" s="91"/>
    </row>
    <row r="31" spans="1:19" s="92" customFormat="1">
      <c r="A31" s="86">
        <f t="shared" si="1"/>
        <v>22</v>
      </c>
      <c r="B31" s="83" t="s">
        <v>173</v>
      </c>
      <c r="C31" s="85">
        <f t="shared" si="2"/>
        <v>4860000</v>
      </c>
      <c r="D31" s="20">
        <f>SUMIFS(Master!$L$2:$L$1254,Master!$G$2:$G$1254,분류!D$21,Master!$E$2:$E$1254,분류!$B31)</f>
        <v>0</v>
      </c>
      <c r="E31" s="20">
        <f>SUMIFS(Master!$L$2:$L$1254,Master!$G$2:$G$1254,분류!E$21,Master!$E$2:$E$1254,분류!$B31)</f>
        <v>4860000</v>
      </c>
      <c r="F31" s="20">
        <f>SUMIFS(Master!$L$2:$L$1254,Master!$G$2:$G$1254,분류!F$21,Master!$E$2:$E$1254,분류!$B31)</f>
        <v>0</v>
      </c>
      <c r="G31" s="20">
        <f>SUMIFS(Master!$L$2:$L$1254,Master!$G$2:$G$1254,분류!G$21,Master!$E$2:$E$1254,분류!$B31)</f>
        <v>0</v>
      </c>
      <c r="H31" s="20">
        <f>SUMIFS(Master!$L$2:$L$1254,Master!$G$2:$G$1254,분류!H$21,Master!$E$2:$E$1254,분류!$B31)</f>
        <v>0</v>
      </c>
      <c r="I31" s="20">
        <f>SUMIFS(Master!$L$2:$L$1254,Master!$G$2:$G$1254,분류!I$21,Master!$E$2:$E$1254,분류!$B31)</f>
        <v>0</v>
      </c>
      <c r="J31" s="20">
        <f>SUMIFS(Master!$L$2:$L$1254,Master!$G$2:$G$1254,분류!J$21,Master!$E$2:$E$1254,분류!$B31)</f>
        <v>0</v>
      </c>
      <c r="K31" s="20">
        <f>SUMIFS(Master!$L$2:$L$1254,Master!$G$2:$G$1254,분류!K$21,Master!$E$2:$E$1254,분류!$B31)</f>
        <v>0</v>
      </c>
      <c r="L31" s="20">
        <f>SUMIFS(Master!$L$2:$L$1254,Master!$G$2:$G$1254,분류!L$21,Master!$E$2:$E$1254,분류!$B31)</f>
        <v>0</v>
      </c>
      <c r="M31" s="93"/>
      <c r="S31" s="221"/>
    </row>
    <row r="32" spans="1:19">
      <c r="A32" s="86">
        <f t="shared" si="1"/>
        <v>17</v>
      </c>
      <c r="B32" s="86" t="s">
        <v>615</v>
      </c>
      <c r="C32" s="85">
        <f t="shared" si="2"/>
        <v>9020080</v>
      </c>
      <c r="D32" s="20">
        <f>SUMIFS(Master!$L$2:$L$1254,Master!$G$2:$G$1254,분류!D$21,Master!$E$2:$E$1254,분류!$B32)</f>
        <v>200000</v>
      </c>
      <c r="E32" s="20">
        <f>SUMIFS(Master!$L$2:$L$1254,Master!$G$2:$G$1254,분류!E$21,Master!$E$2:$E$1254,분류!$B32)</f>
        <v>8820080</v>
      </c>
      <c r="F32" s="20">
        <f>SUMIFS(Master!$L$2:$L$1254,Master!$G$2:$G$1254,분류!F$21,Master!$E$2:$E$1254,분류!$B32)</f>
        <v>0</v>
      </c>
      <c r="G32" s="20">
        <f>SUMIFS(Master!$L$2:$L$1254,Master!$G$2:$G$1254,분류!G$21,Master!$E$2:$E$1254,분류!$B32)</f>
        <v>0</v>
      </c>
      <c r="H32" s="20">
        <f>SUMIFS(Master!$L$2:$L$1254,Master!$G$2:$G$1254,분류!H$21,Master!$E$2:$E$1254,분류!$B32)</f>
        <v>0</v>
      </c>
      <c r="I32" s="20">
        <f>SUMIFS(Master!$L$2:$L$1254,Master!$G$2:$G$1254,분류!I$21,Master!$E$2:$E$1254,분류!$B32)</f>
        <v>0</v>
      </c>
      <c r="J32" s="20">
        <f>SUMIFS(Master!$L$2:$L$1254,Master!$G$2:$G$1254,분류!J$21,Master!$E$2:$E$1254,분류!$B32)</f>
        <v>0</v>
      </c>
      <c r="K32" s="20">
        <f>SUMIFS(Master!$L$2:$L$1254,Master!$G$2:$G$1254,분류!K$21,Master!$E$2:$E$1254,분류!$B32)</f>
        <v>0</v>
      </c>
      <c r="L32" s="20">
        <f>SUMIFS(Master!$L$2:$L$1254,Master!$G$2:$G$1254,분류!L$21,Master!$E$2:$E$1254,분류!$B32)</f>
        <v>0</v>
      </c>
    </row>
    <row r="33" spans="1:19">
      <c r="A33" s="86">
        <f t="shared" si="1"/>
        <v>59</v>
      </c>
      <c r="B33" s="19" t="s">
        <v>79</v>
      </c>
      <c r="C33" s="85">
        <f t="shared" si="2"/>
        <v>200000</v>
      </c>
      <c r="D33" s="20">
        <f>SUMIFS(Master!$L$2:$L$1254,Master!$G$2:$G$1254,분류!D$21,Master!$E$2:$E$1254,분류!$B33)</f>
        <v>0</v>
      </c>
      <c r="E33" s="20">
        <f>SUMIFS(Master!$L$2:$L$1254,Master!$G$2:$G$1254,분류!E$21,Master!$E$2:$E$1254,분류!$B33)</f>
        <v>200000</v>
      </c>
      <c r="F33" s="20">
        <f>SUMIFS(Master!$L$2:$L$1254,Master!$G$2:$G$1254,분류!F$21,Master!$E$2:$E$1254,분류!$B33)</f>
        <v>0</v>
      </c>
      <c r="G33" s="20">
        <f>SUMIFS(Master!$L$2:$L$1254,Master!$G$2:$G$1254,분류!G$21,Master!$E$2:$E$1254,분류!$B33)</f>
        <v>0</v>
      </c>
      <c r="H33" s="20">
        <f>SUMIFS(Master!$L$2:$L$1254,Master!$G$2:$G$1254,분류!H$21,Master!$E$2:$E$1254,분류!$B33)</f>
        <v>0</v>
      </c>
      <c r="I33" s="20">
        <f>SUMIFS(Master!$L$2:$L$1254,Master!$G$2:$G$1254,분류!I$21,Master!$E$2:$E$1254,분류!$B33)</f>
        <v>0</v>
      </c>
      <c r="J33" s="20">
        <f>SUMIFS(Master!$L$2:$L$1254,Master!$G$2:$G$1254,분류!J$21,Master!$E$2:$E$1254,분류!$B33)</f>
        <v>0</v>
      </c>
      <c r="K33" s="20">
        <f>SUMIFS(Master!$L$2:$L$1254,Master!$G$2:$G$1254,분류!K$21,Master!$E$2:$E$1254,분류!$B33)</f>
        <v>0</v>
      </c>
      <c r="L33" s="20">
        <f>SUMIFS(Master!$L$2:$L$1254,Master!$G$2:$G$1254,분류!L$21,Master!$E$2:$E$1254,분류!$B33)</f>
        <v>0</v>
      </c>
      <c r="M33" s="91"/>
    </row>
    <row r="34" spans="1:19">
      <c r="A34" s="86">
        <f t="shared" si="1"/>
        <v>53</v>
      </c>
      <c r="B34" s="86" t="s">
        <v>165</v>
      </c>
      <c r="C34" s="85">
        <f t="shared" si="2"/>
        <v>310000</v>
      </c>
      <c r="D34" s="20">
        <f>SUMIFS(Master!$L$2:$L$1254,Master!$G$2:$G$1254,분류!D$21,Master!$E$2:$E$1254,분류!$B34)</f>
        <v>310000</v>
      </c>
      <c r="E34" s="20">
        <f>SUMIFS(Master!$L$2:$L$1254,Master!$G$2:$G$1254,분류!E$21,Master!$E$2:$E$1254,분류!$B34)</f>
        <v>0</v>
      </c>
      <c r="F34" s="20">
        <f>SUMIFS(Master!$L$2:$L$1254,Master!$G$2:$G$1254,분류!F$21,Master!$E$2:$E$1254,분류!$B34)</f>
        <v>0</v>
      </c>
      <c r="G34" s="20">
        <f>SUMIFS(Master!$L$2:$L$1254,Master!$G$2:$G$1254,분류!G$21,Master!$E$2:$E$1254,분류!$B34)</f>
        <v>0</v>
      </c>
      <c r="H34" s="20">
        <f>SUMIFS(Master!$L$2:$L$1254,Master!$G$2:$G$1254,분류!H$21,Master!$E$2:$E$1254,분류!$B34)</f>
        <v>0</v>
      </c>
      <c r="I34" s="20">
        <f>SUMIFS(Master!$L$2:$L$1254,Master!$G$2:$G$1254,분류!I$21,Master!$E$2:$E$1254,분류!$B34)</f>
        <v>0</v>
      </c>
      <c r="J34" s="20">
        <f>SUMIFS(Master!$L$2:$L$1254,Master!$G$2:$G$1254,분류!J$21,Master!$E$2:$E$1254,분류!$B34)</f>
        <v>0</v>
      </c>
      <c r="K34" s="20">
        <f>SUMIFS(Master!$L$2:$L$1254,Master!$G$2:$G$1254,분류!K$21,Master!$E$2:$E$1254,분류!$B34)</f>
        <v>0</v>
      </c>
      <c r="L34" s="20">
        <f>SUMIFS(Master!$L$2:$L$1254,Master!$G$2:$G$1254,분류!L$21,Master!$E$2:$E$1254,분류!$B34)</f>
        <v>0</v>
      </c>
    </row>
    <row r="35" spans="1:19">
      <c r="A35" s="86">
        <f t="shared" si="1"/>
        <v>1</v>
      </c>
      <c r="B35" s="19" t="s">
        <v>2625</v>
      </c>
      <c r="C35" s="85">
        <f t="shared" si="2"/>
        <v>611090918.4545455</v>
      </c>
      <c r="D35" s="20">
        <f>SUMIFS(Master!$L$2:$L$1254,Master!$G$2:$G$1254,분류!D$21,Master!$E$2:$E$1254,분류!$B35)</f>
        <v>16160132</v>
      </c>
      <c r="E35" s="20">
        <f>SUMIFS(Master!$L$2:$L$1254,Master!$G$2:$G$1254,분류!E$21,Master!$E$2:$E$1254,분류!$B35)</f>
        <v>438992172.4545455</v>
      </c>
      <c r="F35" s="20">
        <f>SUMIFS(Master!$L$2:$L$1254,Master!$G$2:$G$1254,분류!F$21,Master!$E$2:$E$1254,분류!$B35)</f>
        <v>119391693</v>
      </c>
      <c r="G35" s="20">
        <f>SUMIFS(Master!$L$2:$L$1254,Master!$G$2:$G$1254,분류!G$21,Master!$E$2:$E$1254,분류!$B35)</f>
        <v>36546921</v>
      </c>
      <c r="H35" s="20">
        <f>SUMIFS(Master!$L$2:$L$1254,Master!$G$2:$G$1254,분류!H$21,Master!$E$2:$E$1254,분류!$B35)</f>
        <v>0</v>
      </c>
      <c r="I35" s="20">
        <f>SUMIFS(Master!$L$2:$L$1254,Master!$G$2:$G$1254,분류!I$21,Master!$E$2:$E$1254,분류!$B35)</f>
        <v>0</v>
      </c>
      <c r="J35" s="20">
        <f>SUMIFS(Master!$L$2:$L$1254,Master!$G$2:$G$1254,분류!J$21,Master!$E$2:$E$1254,분류!$B35)</f>
        <v>0</v>
      </c>
      <c r="K35" s="20">
        <f>SUMIFS(Master!$L$2:$L$1254,Master!$G$2:$G$1254,분류!K$21,Master!$E$2:$E$1254,분류!$B35)</f>
        <v>0</v>
      </c>
      <c r="L35" s="20">
        <f>SUMIFS(Master!$L$2:$L$1254,Master!$G$2:$G$1254,분류!L$21,Master!$E$2:$E$1254,분류!$B35)</f>
        <v>0</v>
      </c>
      <c r="M35" s="91"/>
    </row>
    <row r="36" spans="1:19">
      <c r="A36" s="86">
        <f t="shared" si="1"/>
        <v>18</v>
      </c>
      <c r="B36" s="84" t="s">
        <v>115</v>
      </c>
      <c r="C36" s="85">
        <f t="shared" si="2"/>
        <v>8236368</v>
      </c>
      <c r="D36" s="20">
        <f>SUMIFS(Master!$L$2:$L$1254,Master!$G$2:$G$1254,분류!D$21,Master!$E$2:$E$1254,분류!$B36)</f>
        <v>0</v>
      </c>
      <c r="E36" s="20">
        <f>SUMIFS(Master!$L$2:$L$1254,Master!$G$2:$G$1254,분류!E$21,Master!$E$2:$E$1254,분류!$B36)</f>
        <v>0</v>
      </c>
      <c r="F36" s="20">
        <f>SUMIFS(Master!$L$2:$L$1254,Master!$G$2:$G$1254,분류!F$21,Master!$E$2:$E$1254,분류!$B36)</f>
        <v>0</v>
      </c>
      <c r="G36" s="20">
        <f>SUMIFS(Master!$L$2:$L$1254,Master!$G$2:$G$1254,분류!G$21,Master!$E$2:$E$1254,분류!$B36)</f>
        <v>0</v>
      </c>
      <c r="H36" s="20">
        <f>SUMIFS(Master!$L$2:$L$1254,Master!$G$2:$G$1254,분류!H$21,Master!$E$2:$E$1254,분류!$B36)</f>
        <v>0</v>
      </c>
      <c r="I36" s="20">
        <f>SUMIFS(Master!$L$2:$L$1254,Master!$G$2:$G$1254,분류!I$21,Master!$E$2:$E$1254,분류!$B36)</f>
        <v>8236368</v>
      </c>
      <c r="J36" s="20">
        <f>SUMIFS(Master!$L$2:$L$1254,Master!$G$2:$G$1254,분류!J$21,Master!$E$2:$E$1254,분류!$B36)</f>
        <v>0</v>
      </c>
      <c r="K36" s="20">
        <f>SUMIFS(Master!$L$2:$L$1254,Master!$G$2:$G$1254,분류!K$21,Master!$E$2:$E$1254,분류!$B36)</f>
        <v>0</v>
      </c>
      <c r="L36" s="20">
        <f>SUMIFS(Master!$L$2:$L$1254,Master!$G$2:$G$1254,분류!L$21,Master!$E$2:$E$1254,분류!$B36)</f>
        <v>0</v>
      </c>
      <c r="M36" s="91"/>
    </row>
    <row r="37" spans="1:19" s="92" customFormat="1">
      <c r="A37" s="86">
        <f t="shared" si="1"/>
        <v>14</v>
      </c>
      <c r="B37" s="83" t="s">
        <v>186</v>
      </c>
      <c r="C37" s="85">
        <f t="shared" si="2"/>
        <v>11783000</v>
      </c>
      <c r="D37" s="20">
        <f>SUMIFS(Master!$L$2:$L$1254,Master!$G$2:$G$1254,분류!D$21,Master!$E$2:$E$1254,분류!$B37)</f>
        <v>11783000</v>
      </c>
      <c r="E37" s="20">
        <f>SUMIFS(Master!$L$2:$L$1254,Master!$G$2:$G$1254,분류!E$21,Master!$E$2:$E$1254,분류!$B37)</f>
        <v>0</v>
      </c>
      <c r="F37" s="20">
        <f>SUMIFS(Master!$L$2:$L$1254,Master!$G$2:$G$1254,분류!F$21,Master!$E$2:$E$1254,분류!$B37)</f>
        <v>0</v>
      </c>
      <c r="G37" s="20">
        <f>SUMIFS(Master!$L$2:$L$1254,Master!$G$2:$G$1254,분류!G$21,Master!$E$2:$E$1254,분류!$B37)</f>
        <v>0</v>
      </c>
      <c r="H37" s="20">
        <f>SUMIFS(Master!$L$2:$L$1254,Master!$G$2:$G$1254,분류!H$21,Master!$E$2:$E$1254,분류!$B37)</f>
        <v>0</v>
      </c>
      <c r="I37" s="20">
        <f>SUMIFS(Master!$L$2:$L$1254,Master!$G$2:$G$1254,분류!I$21,Master!$E$2:$E$1254,분류!$B37)</f>
        <v>0</v>
      </c>
      <c r="J37" s="20">
        <f>SUMIFS(Master!$L$2:$L$1254,Master!$G$2:$G$1254,분류!J$21,Master!$E$2:$E$1254,분류!$B37)</f>
        <v>0</v>
      </c>
      <c r="K37" s="20">
        <f>SUMIFS(Master!$L$2:$L$1254,Master!$G$2:$G$1254,분류!K$21,Master!$E$2:$E$1254,분류!$B37)</f>
        <v>0</v>
      </c>
      <c r="L37" s="20">
        <f>SUMIFS(Master!$L$2:$L$1254,Master!$G$2:$G$1254,분류!L$21,Master!$E$2:$E$1254,분류!$B37)</f>
        <v>0</v>
      </c>
      <c r="M37" s="91"/>
      <c r="S37" s="221"/>
    </row>
    <row r="38" spans="1:19" s="92" customFormat="1">
      <c r="A38" s="86">
        <f t="shared" si="1"/>
        <v>65</v>
      </c>
      <c r="B38" s="83" t="s">
        <v>2610</v>
      </c>
      <c r="C38" s="85">
        <f t="shared" ref="C38" si="3">SUM(D38:L38)</f>
        <v>0</v>
      </c>
      <c r="D38" s="20">
        <f>SUMIFS(Master!$L$2:$L$1254,Master!$G$2:$G$1254,분류!D$21,Master!$E$2:$E$1254,분류!$B38)</f>
        <v>0</v>
      </c>
      <c r="E38" s="20">
        <f>SUMIFS(Master!$L$2:$L$1254,Master!$G$2:$G$1254,분류!E$21,Master!$E$2:$E$1254,분류!$B38)</f>
        <v>0</v>
      </c>
      <c r="F38" s="20">
        <f>SUMIFS(Master!$L$2:$L$1254,Master!$G$2:$G$1254,분류!F$21,Master!$E$2:$E$1254,분류!$B38)</f>
        <v>0</v>
      </c>
      <c r="G38" s="20">
        <f>SUMIFS(Master!$L$2:$L$1254,Master!$G$2:$G$1254,분류!G$21,Master!$E$2:$E$1254,분류!$B38)</f>
        <v>0</v>
      </c>
      <c r="H38" s="20">
        <f>SUMIFS(Master!$L$2:$L$1254,Master!$G$2:$G$1254,분류!H$21,Master!$E$2:$E$1254,분류!$B38)</f>
        <v>0</v>
      </c>
      <c r="I38" s="20">
        <f>SUMIFS(Master!$L$2:$L$1254,Master!$G$2:$G$1254,분류!I$21,Master!$E$2:$E$1254,분류!$B38)</f>
        <v>0</v>
      </c>
      <c r="J38" s="20">
        <f>SUMIFS(Master!$L$2:$L$1254,Master!$G$2:$G$1254,분류!J$21,Master!$E$2:$E$1254,분류!$B38)</f>
        <v>0</v>
      </c>
      <c r="K38" s="20">
        <f>SUMIFS(Master!$L$2:$L$1254,Master!$G$2:$G$1254,분류!K$21,Master!$E$2:$E$1254,분류!$B38)</f>
        <v>0</v>
      </c>
      <c r="L38" s="20">
        <f>SUMIFS(Master!$L$2:$L$1254,Master!$G$2:$G$1254,분류!L$21,Master!$E$2:$E$1254,분류!$B38)</f>
        <v>0</v>
      </c>
      <c r="M38" s="91"/>
      <c r="S38" s="221"/>
    </row>
    <row r="39" spans="1:19">
      <c r="A39" s="86">
        <f t="shared" si="1"/>
        <v>61</v>
      </c>
      <c r="B39" s="83" t="s">
        <v>1139</v>
      </c>
      <c r="C39" s="85">
        <f t="shared" si="2"/>
        <v>100000</v>
      </c>
      <c r="D39" s="20">
        <f>SUMIFS(Master!$L$2:$L$1254,Master!$G$2:$G$1254,분류!D$21,Master!$E$2:$E$1254,분류!$B39)</f>
        <v>0</v>
      </c>
      <c r="E39" s="20">
        <f>SUMIFS(Master!$L$2:$L$1254,Master!$G$2:$G$1254,분류!E$21,Master!$E$2:$E$1254,분류!$B39)</f>
        <v>0</v>
      </c>
      <c r="F39" s="20">
        <f>SUMIFS(Master!$L$2:$L$1254,Master!$G$2:$G$1254,분류!F$21,Master!$E$2:$E$1254,분류!$B39)</f>
        <v>0</v>
      </c>
      <c r="G39" s="20">
        <f>SUMIFS(Master!$L$2:$L$1254,Master!$G$2:$G$1254,분류!G$21,Master!$E$2:$E$1254,분류!$B39)</f>
        <v>0</v>
      </c>
      <c r="H39" s="20">
        <f>SUMIFS(Master!$L$2:$L$1254,Master!$G$2:$G$1254,분류!H$21,Master!$E$2:$E$1254,분류!$B39)</f>
        <v>0</v>
      </c>
      <c r="I39" s="20">
        <f>SUMIFS(Master!$L$2:$L$1254,Master!$G$2:$G$1254,분류!I$21,Master!$E$2:$E$1254,분류!$B39)</f>
        <v>100000</v>
      </c>
      <c r="J39" s="20">
        <f>SUMIFS(Master!$L$2:$L$1254,Master!$G$2:$G$1254,분류!J$21,Master!$E$2:$E$1254,분류!$B39)</f>
        <v>0</v>
      </c>
      <c r="K39" s="20">
        <f>SUMIFS(Master!$L$2:$L$1254,Master!$G$2:$G$1254,분류!K$21,Master!$E$2:$E$1254,분류!$B39)</f>
        <v>0</v>
      </c>
      <c r="L39" s="20">
        <f>SUMIFS(Master!$L$2:$L$1254,Master!$G$2:$G$1254,분류!L$21,Master!$E$2:$E$1254,분류!$B39)</f>
        <v>0</v>
      </c>
      <c r="M39" s="91"/>
    </row>
    <row r="40" spans="1:19">
      <c r="A40" s="86">
        <f t="shared" si="1"/>
        <v>21</v>
      </c>
      <c r="B40" s="84" t="s">
        <v>21</v>
      </c>
      <c r="C40" s="85">
        <f t="shared" si="2"/>
        <v>5061283</v>
      </c>
      <c r="D40" s="20">
        <f>SUMIFS(Master!$L$2:$L$1254,Master!$G$2:$G$1254,분류!D$21,Master!$E$2:$E$1254,분류!$B40)</f>
        <v>0</v>
      </c>
      <c r="E40" s="20">
        <f>SUMIFS(Master!$L$2:$L$1254,Master!$G$2:$G$1254,분류!E$21,Master!$E$2:$E$1254,분류!$B40)</f>
        <v>0</v>
      </c>
      <c r="F40" s="20">
        <f>SUMIFS(Master!$L$2:$L$1254,Master!$G$2:$G$1254,분류!F$21,Master!$E$2:$E$1254,분류!$B40)</f>
        <v>0</v>
      </c>
      <c r="G40" s="20">
        <f>SUMIFS(Master!$L$2:$L$1254,Master!$G$2:$G$1254,분류!G$21,Master!$E$2:$E$1254,분류!$B40)</f>
        <v>0</v>
      </c>
      <c r="H40" s="20">
        <f>SUMIFS(Master!$L$2:$L$1254,Master!$G$2:$G$1254,분류!H$21,Master!$E$2:$E$1254,분류!$B40)</f>
        <v>0</v>
      </c>
      <c r="I40" s="20">
        <f>SUMIFS(Master!$L$2:$L$1254,Master!$G$2:$G$1254,분류!I$21,Master!$E$2:$E$1254,분류!$B40)</f>
        <v>5061283</v>
      </c>
      <c r="J40" s="20">
        <f>SUMIFS(Master!$L$2:$L$1254,Master!$G$2:$G$1254,분류!J$21,Master!$E$2:$E$1254,분류!$B40)</f>
        <v>0</v>
      </c>
      <c r="K40" s="20">
        <f>SUMIFS(Master!$L$2:$L$1254,Master!$G$2:$G$1254,분류!K$21,Master!$E$2:$E$1254,분류!$B40)</f>
        <v>0</v>
      </c>
      <c r="L40" s="20">
        <f>SUMIFS(Master!$L$2:$L$1254,Master!$G$2:$G$1254,분류!L$21,Master!$E$2:$E$1254,분류!$B40)</f>
        <v>0</v>
      </c>
      <c r="M40" s="91"/>
    </row>
    <row r="41" spans="1:19">
      <c r="A41" s="86">
        <f t="shared" si="1"/>
        <v>29</v>
      </c>
      <c r="B41" s="19" t="s">
        <v>266</v>
      </c>
      <c r="C41" s="85">
        <f t="shared" si="2"/>
        <v>3790000</v>
      </c>
      <c r="D41" s="20">
        <f>SUMIFS(Master!$L$2:$L$1254,Master!$G$2:$G$1254,분류!D$21,Master!$E$2:$E$1254,분류!$B41)</f>
        <v>3790000</v>
      </c>
      <c r="E41" s="20">
        <f>SUMIFS(Master!$L$2:$L$1254,Master!$G$2:$G$1254,분류!E$21,Master!$E$2:$E$1254,분류!$B41)</f>
        <v>0</v>
      </c>
      <c r="F41" s="20">
        <f>SUMIFS(Master!$L$2:$L$1254,Master!$G$2:$G$1254,분류!F$21,Master!$E$2:$E$1254,분류!$B41)</f>
        <v>0</v>
      </c>
      <c r="G41" s="20">
        <f>SUMIFS(Master!$L$2:$L$1254,Master!$G$2:$G$1254,분류!G$21,Master!$E$2:$E$1254,분류!$B41)</f>
        <v>0</v>
      </c>
      <c r="H41" s="20">
        <f>SUMIFS(Master!$L$2:$L$1254,Master!$G$2:$G$1254,분류!H$21,Master!$E$2:$E$1254,분류!$B41)</f>
        <v>0</v>
      </c>
      <c r="I41" s="20">
        <f>SUMIFS(Master!$L$2:$L$1254,Master!$G$2:$G$1254,분류!I$21,Master!$E$2:$E$1254,분류!$B41)</f>
        <v>0</v>
      </c>
      <c r="J41" s="20">
        <f>SUMIFS(Master!$L$2:$L$1254,Master!$G$2:$G$1254,분류!J$21,Master!$E$2:$E$1254,분류!$B41)</f>
        <v>0</v>
      </c>
      <c r="K41" s="20">
        <f>SUMIFS(Master!$L$2:$L$1254,Master!$G$2:$G$1254,분류!K$21,Master!$E$2:$E$1254,분류!$B41)</f>
        <v>0</v>
      </c>
      <c r="L41" s="20">
        <f>SUMIFS(Master!$L$2:$L$1254,Master!$G$2:$G$1254,분류!L$21,Master!$E$2:$E$1254,분류!$B41)</f>
        <v>0</v>
      </c>
      <c r="M41" s="91"/>
    </row>
    <row r="42" spans="1:19">
      <c r="A42" s="86">
        <f t="shared" si="1"/>
        <v>54</v>
      </c>
      <c r="B42" s="19" t="s">
        <v>166</v>
      </c>
      <c r="C42" s="85">
        <f t="shared" si="2"/>
        <v>300000</v>
      </c>
      <c r="D42" s="20">
        <f>SUMIFS(Master!$L$2:$L$1254,Master!$G$2:$G$1254,분류!D$21,Master!$E$2:$E$1254,분류!$B42)</f>
        <v>300000</v>
      </c>
      <c r="E42" s="20">
        <f>SUMIFS(Master!$L$2:$L$1254,Master!$G$2:$G$1254,분류!E$21,Master!$E$2:$E$1254,분류!$B42)</f>
        <v>0</v>
      </c>
      <c r="F42" s="20">
        <f>SUMIFS(Master!$L$2:$L$1254,Master!$G$2:$G$1254,분류!F$21,Master!$E$2:$E$1254,분류!$B42)</f>
        <v>0</v>
      </c>
      <c r="G42" s="20">
        <f>SUMIFS(Master!$L$2:$L$1254,Master!$G$2:$G$1254,분류!G$21,Master!$E$2:$E$1254,분류!$B42)</f>
        <v>0</v>
      </c>
      <c r="H42" s="20">
        <f>SUMIFS(Master!$L$2:$L$1254,Master!$G$2:$G$1254,분류!H$21,Master!$E$2:$E$1254,분류!$B42)</f>
        <v>0</v>
      </c>
      <c r="I42" s="20">
        <f>SUMIFS(Master!$L$2:$L$1254,Master!$G$2:$G$1254,분류!I$21,Master!$E$2:$E$1254,분류!$B42)</f>
        <v>0</v>
      </c>
      <c r="J42" s="20">
        <f>SUMIFS(Master!$L$2:$L$1254,Master!$G$2:$G$1254,분류!J$21,Master!$E$2:$E$1254,분류!$B42)</f>
        <v>0</v>
      </c>
      <c r="K42" s="20">
        <f>SUMIFS(Master!$L$2:$L$1254,Master!$G$2:$G$1254,분류!K$21,Master!$E$2:$E$1254,분류!$B42)</f>
        <v>0</v>
      </c>
      <c r="L42" s="20">
        <f>SUMIFS(Master!$L$2:$L$1254,Master!$G$2:$G$1254,분류!L$21,Master!$E$2:$E$1254,분류!$B42)</f>
        <v>0</v>
      </c>
      <c r="M42" s="91"/>
    </row>
    <row r="43" spans="1:19">
      <c r="A43" s="86">
        <f t="shared" si="1"/>
        <v>65</v>
      </c>
      <c r="B43" s="19" t="s">
        <v>117</v>
      </c>
      <c r="C43" s="85">
        <f t="shared" si="2"/>
        <v>0</v>
      </c>
      <c r="D43" s="20">
        <f>SUMIFS(Master!$L$2:$L$1254,Master!$G$2:$G$1254,분류!D$21,Master!$E$2:$E$1254,분류!$B43)</f>
        <v>0</v>
      </c>
      <c r="E43" s="20">
        <f>SUMIFS(Master!$L$2:$L$1254,Master!$G$2:$G$1254,분류!E$21,Master!$E$2:$E$1254,분류!$B43)</f>
        <v>0</v>
      </c>
      <c r="F43" s="20">
        <f>SUMIFS(Master!$L$2:$L$1254,Master!$G$2:$G$1254,분류!F$21,Master!$E$2:$E$1254,분류!$B43)</f>
        <v>0</v>
      </c>
      <c r="G43" s="20">
        <f>SUMIFS(Master!$L$2:$L$1254,Master!$G$2:$G$1254,분류!G$21,Master!$E$2:$E$1254,분류!$B43)</f>
        <v>0</v>
      </c>
      <c r="H43" s="20">
        <f>SUMIFS(Master!$L$2:$L$1254,Master!$G$2:$G$1254,분류!H$21,Master!$E$2:$E$1254,분류!$B43)</f>
        <v>0</v>
      </c>
      <c r="I43" s="20">
        <f>SUMIFS(Master!$L$2:$L$1254,Master!$G$2:$G$1254,분류!I$21,Master!$E$2:$E$1254,분류!$B43)</f>
        <v>0</v>
      </c>
      <c r="J43" s="20">
        <f>SUMIFS(Master!$L$2:$L$1254,Master!$G$2:$G$1254,분류!J$21,Master!$E$2:$E$1254,분류!$B43)</f>
        <v>0</v>
      </c>
      <c r="K43" s="20">
        <f>SUMIFS(Master!$L$2:$L$1254,Master!$G$2:$G$1254,분류!K$21,Master!$E$2:$E$1254,분류!$B43)</f>
        <v>0</v>
      </c>
      <c r="L43" s="20">
        <f>SUMIFS(Master!$L$2:$L$1254,Master!$G$2:$G$1254,분류!L$21,Master!$E$2:$E$1254,분류!$B43)</f>
        <v>0</v>
      </c>
      <c r="M43" s="91"/>
    </row>
    <row r="44" spans="1:19">
      <c r="A44" s="86">
        <f t="shared" si="1"/>
        <v>20</v>
      </c>
      <c r="B44" s="19" t="s">
        <v>34</v>
      </c>
      <c r="C44" s="85">
        <f t="shared" si="2"/>
        <v>5618182</v>
      </c>
      <c r="D44" s="20">
        <f>SUMIFS(Master!$L$2:$L$1254,Master!$G$2:$G$1254,분류!D$21,Master!$E$2:$E$1254,분류!$B44)</f>
        <v>5618182</v>
      </c>
      <c r="E44" s="20">
        <f>SUMIFS(Master!$L$2:$L$1254,Master!$G$2:$G$1254,분류!E$21,Master!$E$2:$E$1254,분류!$B44)</f>
        <v>0</v>
      </c>
      <c r="F44" s="20">
        <f>SUMIFS(Master!$L$2:$L$1254,Master!$G$2:$G$1254,분류!F$21,Master!$E$2:$E$1254,분류!$B44)</f>
        <v>0</v>
      </c>
      <c r="G44" s="20">
        <f>SUMIFS(Master!$L$2:$L$1254,Master!$G$2:$G$1254,분류!G$21,Master!$E$2:$E$1254,분류!$B44)</f>
        <v>0</v>
      </c>
      <c r="H44" s="20">
        <f>SUMIFS(Master!$L$2:$L$1254,Master!$G$2:$G$1254,분류!H$21,Master!$E$2:$E$1254,분류!$B44)</f>
        <v>0</v>
      </c>
      <c r="I44" s="20">
        <f>SUMIFS(Master!$L$2:$L$1254,Master!$G$2:$G$1254,분류!I$21,Master!$E$2:$E$1254,분류!$B44)</f>
        <v>0</v>
      </c>
      <c r="J44" s="20">
        <f>SUMIFS(Master!$L$2:$L$1254,Master!$G$2:$G$1254,분류!J$21,Master!$E$2:$E$1254,분류!$B44)</f>
        <v>0</v>
      </c>
      <c r="K44" s="20">
        <f>SUMIFS(Master!$L$2:$L$1254,Master!$G$2:$G$1254,분류!K$21,Master!$E$2:$E$1254,분류!$B44)</f>
        <v>0</v>
      </c>
      <c r="L44" s="20">
        <f>SUMIFS(Master!$L$2:$L$1254,Master!$G$2:$G$1254,분류!L$21,Master!$E$2:$E$1254,분류!$B44)</f>
        <v>0</v>
      </c>
      <c r="M44" s="91"/>
    </row>
    <row r="45" spans="1:19">
      <c r="A45" s="86">
        <f t="shared" si="1"/>
        <v>2</v>
      </c>
      <c r="B45" s="19" t="s">
        <v>2630</v>
      </c>
      <c r="C45" s="85">
        <f t="shared" si="2"/>
        <v>191820000</v>
      </c>
      <c r="D45" s="20">
        <f>SUMIFS(Master!$L$2:$L$1254,Master!$G$2:$G$1254,분류!D$21,Master!$E$2:$E$1254,분류!$B45)</f>
        <v>52250000</v>
      </c>
      <c r="E45" s="20">
        <f>SUMIFS(Master!$L$2:$L$1254,Master!$G$2:$G$1254,분류!E$21,Master!$E$2:$E$1254,분류!$B45)</f>
        <v>139570000</v>
      </c>
      <c r="F45" s="20">
        <f>SUMIFS(Master!$L$2:$L$1254,Master!$G$2:$G$1254,분류!F$21,Master!$E$2:$E$1254,분류!$B45)</f>
        <v>0</v>
      </c>
      <c r="G45" s="20">
        <f>SUMIFS(Master!$L$2:$L$1254,Master!$G$2:$G$1254,분류!G$21,Master!$E$2:$E$1254,분류!$B45)</f>
        <v>0</v>
      </c>
      <c r="H45" s="20">
        <f>SUMIFS(Master!$L$2:$L$1254,Master!$G$2:$G$1254,분류!H$21,Master!$E$2:$E$1254,분류!$B45)</f>
        <v>0</v>
      </c>
      <c r="I45" s="20">
        <f>SUMIFS(Master!$L$2:$L$1254,Master!$G$2:$G$1254,분류!I$21,Master!$E$2:$E$1254,분류!$B45)</f>
        <v>0</v>
      </c>
      <c r="J45" s="20">
        <f>SUMIFS(Master!$L$2:$L$1254,Master!$G$2:$G$1254,분류!J$21,Master!$E$2:$E$1254,분류!$B45)</f>
        <v>0</v>
      </c>
      <c r="K45" s="20">
        <f>SUMIFS(Master!$L$2:$L$1254,Master!$G$2:$G$1254,분류!K$21,Master!$E$2:$E$1254,분류!$B45)</f>
        <v>0</v>
      </c>
      <c r="L45" s="20">
        <f>SUMIFS(Master!$L$2:$L$1254,Master!$G$2:$G$1254,분류!L$21,Master!$E$2:$E$1254,분류!$B45)</f>
        <v>0</v>
      </c>
      <c r="M45" s="91"/>
    </row>
    <row r="46" spans="1:19">
      <c r="A46" s="86">
        <f t="shared" si="1"/>
        <v>62</v>
      </c>
      <c r="B46" s="19" t="s">
        <v>177</v>
      </c>
      <c r="C46" s="85">
        <f t="shared" si="2"/>
        <v>99273</v>
      </c>
      <c r="D46" s="20">
        <f>SUMIFS(Master!$L$2:$L$1254,Master!$G$2:$G$1254,분류!D$21,Master!$E$2:$E$1254,분류!$B46)</f>
        <v>99273</v>
      </c>
      <c r="E46" s="20">
        <f>SUMIFS(Master!$L$2:$L$1254,Master!$G$2:$G$1254,분류!E$21,Master!$E$2:$E$1254,분류!$B46)</f>
        <v>0</v>
      </c>
      <c r="F46" s="20">
        <f>SUMIFS(Master!$L$2:$L$1254,Master!$G$2:$G$1254,분류!F$21,Master!$E$2:$E$1254,분류!$B46)</f>
        <v>0</v>
      </c>
      <c r="G46" s="20">
        <f>SUMIFS(Master!$L$2:$L$1254,Master!$G$2:$G$1254,분류!G$21,Master!$E$2:$E$1254,분류!$B46)</f>
        <v>0</v>
      </c>
      <c r="H46" s="20">
        <f>SUMIFS(Master!$L$2:$L$1254,Master!$G$2:$G$1254,분류!H$21,Master!$E$2:$E$1254,분류!$B46)</f>
        <v>0</v>
      </c>
      <c r="I46" s="20">
        <f>SUMIFS(Master!$L$2:$L$1254,Master!$G$2:$G$1254,분류!I$21,Master!$E$2:$E$1254,분류!$B46)</f>
        <v>0</v>
      </c>
      <c r="J46" s="20">
        <f>SUMIFS(Master!$L$2:$L$1254,Master!$G$2:$G$1254,분류!J$21,Master!$E$2:$E$1254,분류!$B46)</f>
        <v>0</v>
      </c>
      <c r="K46" s="20">
        <f>SUMIFS(Master!$L$2:$L$1254,Master!$G$2:$G$1254,분류!K$21,Master!$E$2:$E$1254,분류!$B46)</f>
        <v>0</v>
      </c>
      <c r="L46" s="20">
        <f>SUMIFS(Master!$L$2:$L$1254,Master!$G$2:$G$1254,분류!L$21,Master!$E$2:$E$1254,분류!$B46)</f>
        <v>0</v>
      </c>
      <c r="M46" s="91"/>
    </row>
    <row r="47" spans="1:19">
      <c r="A47" s="86">
        <f t="shared" si="1"/>
        <v>30</v>
      </c>
      <c r="B47" s="19" t="s">
        <v>22</v>
      </c>
      <c r="C47" s="85">
        <f t="shared" si="2"/>
        <v>3600000</v>
      </c>
      <c r="D47" s="20">
        <f>SUMIFS(Master!$L$2:$L$1254,Master!$G$2:$G$1254,분류!D$21,Master!$E$2:$E$1254,분류!$B47)</f>
        <v>0</v>
      </c>
      <c r="E47" s="20">
        <f>SUMIFS(Master!$L$2:$L$1254,Master!$G$2:$G$1254,분류!E$21,Master!$E$2:$E$1254,분류!$B47)</f>
        <v>3600000</v>
      </c>
      <c r="F47" s="20">
        <f>SUMIFS(Master!$L$2:$L$1254,Master!$G$2:$G$1254,분류!F$21,Master!$E$2:$E$1254,분류!$B47)</f>
        <v>0</v>
      </c>
      <c r="G47" s="20">
        <f>SUMIFS(Master!$L$2:$L$1254,Master!$G$2:$G$1254,분류!G$21,Master!$E$2:$E$1254,분류!$B47)</f>
        <v>0</v>
      </c>
      <c r="H47" s="20">
        <f>SUMIFS(Master!$L$2:$L$1254,Master!$G$2:$G$1254,분류!H$21,Master!$E$2:$E$1254,분류!$B47)</f>
        <v>0</v>
      </c>
      <c r="I47" s="20">
        <f>SUMIFS(Master!$L$2:$L$1254,Master!$G$2:$G$1254,분류!I$21,Master!$E$2:$E$1254,분류!$B47)</f>
        <v>0</v>
      </c>
      <c r="J47" s="20">
        <f>SUMIFS(Master!$L$2:$L$1254,Master!$G$2:$G$1254,분류!J$21,Master!$E$2:$E$1254,분류!$B47)</f>
        <v>0</v>
      </c>
      <c r="K47" s="20">
        <f>SUMIFS(Master!$L$2:$L$1254,Master!$G$2:$G$1254,분류!K$21,Master!$E$2:$E$1254,분류!$B47)</f>
        <v>0</v>
      </c>
      <c r="L47" s="20">
        <f>SUMIFS(Master!$L$2:$L$1254,Master!$G$2:$G$1254,분류!L$21,Master!$E$2:$E$1254,분류!$B47)</f>
        <v>0</v>
      </c>
      <c r="M47" s="91"/>
    </row>
    <row r="48" spans="1:19">
      <c r="A48" s="86">
        <f t="shared" si="1"/>
        <v>25</v>
      </c>
      <c r="B48" s="84" t="s">
        <v>49</v>
      </c>
      <c r="C48" s="85">
        <f t="shared" si="2"/>
        <v>4200000</v>
      </c>
      <c r="D48" s="20">
        <f>SUMIFS(Master!$L$2:$L$1254,Master!$G$2:$G$1254,분류!D$21,Master!$E$2:$E$1254,분류!$B48)</f>
        <v>0</v>
      </c>
      <c r="E48" s="20">
        <f>SUMIFS(Master!$L$2:$L$1254,Master!$G$2:$G$1254,분류!E$21,Master!$E$2:$E$1254,분류!$B48)</f>
        <v>0</v>
      </c>
      <c r="F48" s="20">
        <f>SUMIFS(Master!$L$2:$L$1254,Master!$G$2:$G$1254,분류!F$21,Master!$E$2:$E$1254,분류!$B48)</f>
        <v>0</v>
      </c>
      <c r="G48" s="20">
        <f>SUMIFS(Master!$L$2:$L$1254,Master!$G$2:$G$1254,분류!G$21,Master!$E$2:$E$1254,분류!$B48)</f>
        <v>0</v>
      </c>
      <c r="H48" s="20">
        <f>SUMIFS(Master!$L$2:$L$1254,Master!$G$2:$G$1254,분류!H$21,Master!$E$2:$E$1254,분류!$B48)</f>
        <v>0</v>
      </c>
      <c r="I48" s="20">
        <f>SUMIFS(Master!$L$2:$L$1254,Master!$G$2:$G$1254,분류!I$21,Master!$E$2:$E$1254,분류!$B48)</f>
        <v>4200000</v>
      </c>
      <c r="J48" s="20">
        <f>SUMIFS(Master!$L$2:$L$1254,Master!$G$2:$G$1254,분류!J$21,Master!$E$2:$E$1254,분류!$B48)</f>
        <v>0</v>
      </c>
      <c r="K48" s="20">
        <f>SUMIFS(Master!$L$2:$L$1254,Master!$G$2:$G$1254,분류!K$21,Master!$E$2:$E$1254,분류!$B48)</f>
        <v>0</v>
      </c>
      <c r="L48" s="20">
        <f>SUMIFS(Master!$L$2:$L$1254,Master!$G$2:$G$1254,분류!L$21,Master!$E$2:$E$1254,분류!$B48)</f>
        <v>0</v>
      </c>
      <c r="M48" s="91"/>
    </row>
    <row r="49" spans="1:19">
      <c r="A49" s="86">
        <f t="shared" si="1"/>
        <v>24</v>
      </c>
      <c r="B49" s="83" t="s">
        <v>151</v>
      </c>
      <c r="C49" s="85">
        <f t="shared" si="2"/>
        <v>4290000</v>
      </c>
      <c r="D49" s="20">
        <f>SUMIFS(Master!$L$2:$L$1254,Master!$G$2:$G$1254,분류!D$21,Master!$E$2:$E$1254,분류!$B49)</f>
        <v>2250000</v>
      </c>
      <c r="E49" s="20">
        <f>SUMIFS(Master!$L$2:$L$1254,Master!$G$2:$G$1254,분류!E$21,Master!$E$2:$E$1254,분류!$B49)</f>
        <v>2040000</v>
      </c>
      <c r="F49" s="20">
        <f>SUMIFS(Master!$L$2:$L$1254,Master!$G$2:$G$1254,분류!F$21,Master!$E$2:$E$1254,분류!$B49)</f>
        <v>0</v>
      </c>
      <c r="G49" s="20">
        <f>SUMIFS(Master!$L$2:$L$1254,Master!$G$2:$G$1254,분류!G$21,Master!$E$2:$E$1254,분류!$B49)</f>
        <v>0</v>
      </c>
      <c r="H49" s="20">
        <f>SUMIFS(Master!$L$2:$L$1254,Master!$G$2:$G$1254,분류!H$21,Master!$E$2:$E$1254,분류!$B49)</f>
        <v>0</v>
      </c>
      <c r="I49" s="20">
        <f>SUMIFS(Master!$L$2:$L$1254,Master!$G$2:$G$1254,분류!I$21,Master!$E$2:$E$1254,분류!$B49)</f>
        <v>0</v>
      </c>
      <c r="J49" s="20">
        <f>SUMIFS(Master!$L$2:$L$1254,Master!$G$2:$G$1254,분류!J$21,Master!$E$2:$E$1254,분류!$B49)</f>
        <v>0</v>
      </c>
      <c r="K49" s="20">
        <f>SUMIFS(Master!$L$2:$L$1254,Master!$G$2:$G$1254,분류!K$21,Master!$E$2:$E$1254,분류!$B49)</f>
        <v>0</v>
      </c>
      <c r="L49" s="20">
        <f>SUMIFS(Master!$L$2:$L$1254,Master!$G$2:$G$1254,분류!L$21,Master!$E$2:$E$1254,분류!$B49)</f>
        <v>0</v>
      </c>
      <c r="M49" s="91"/>
    </row>
    <row r="50" spans="1:19">
      <c r="A50" s="86">
        <f t="shared" si="1"/>
        <v>46</v>
      </c>
      <c r="B50" s="84" t="s">
        <v>23</v>
      </c>
      <c r="C50" s="85">
        <f t="shared" si="2"/>
        <v>960000</v>
      </c>
      <c r="D50" s="20">
        <f>SUMIFS(Master!$L$2:$L$1254,Master!$G$2:$G$1254,분류!D$21,Master!$E$2:$E$1254,분류!$B50)</f>
        <v>0</v>
      </c>
      <c r="E50" s="20">
        <f>SUMIFS(Master!$L$2:$L$1254,Master!$G$2:$G$1254,분류!E$21,Master!$E$2:$E$1254,분류!$B50)</f>
        <v>0</v>
      </c>
      <c r="F50" s="20">
        <f>SUMIFS(Master!$L$2:$L$1254,Master!$G$2:$G$1254,분류!F$21,Master!$E$2:$E$1254,분류!$B50)</f>
        <v>0</v>
      </c>
      <c r="G50" s="20">
        <f>SUMIFS(Master!$L$2:$L$1254,Master!$G$2:$G$1254,분류!G$21,Master!$E$2:$E$1254,분류!$B50)</f>
        <v>0</v>
      </c>
      <c r="H50" s="20">
        <f>SUMIFS(Master!$L$2:$L$1254,Master!$G$2:$G$1254,분류!H$21,Master!$E$2:$E$1254,분류!$B50)</f>
        <v>0</v>
      </c>
      <c r="I50" s="20">
        <f>SUMIFS(Master!$L$2:$L$1254,Master!$G$2:$G$1254,분류!I$21,Master!$E$2:$E$1254,분류!$B50)</f>
        <v>960000</v>
      </c>
      <c r="J50" s="20">
        <f>SUMIFS(Master!$L$2:$L$1254,Master!$G$2:$G$1254,분류!J$21,Master!$E$2:$E$1254,분류!$B50)</f>
        <v>0</v>
      </c>
      <c r="K50" s="20">
        <f>SUMIFS(Master!$L$2:$L$1254,Master!$G$2:$G$1254,분류!K$21,Master!$E$2:$E$1254,분류!$B50)</f>
        <v>0</v>
      </c>
      <c r="L50" s="20">
        <f>SUMIFS(Master!$L$2:$L$1254,Master!$G$2:$G$1254,분류!L$21,Master!$E$2:$E$1254,분류!$B50)</f>
        <v>0</v>
      </c>
      <c r="M50" s="91"/>
    </row>
    <row r="51" spans="1:19" s="92" customFormat="1">
      <c r="A51" s="86">
        <f t="shared" si="1"/>
        <v>19</v>
      </c>
      <c r="B51" s="84" t="s">
        <v>371</v>
      </c>
      <c r="C51" s="85">
        <f t="shared" si="2"/>
        <v>6044660</v>
      </c>
      <c r="D51" s="20">
        <f>SUMIFS(Master!$L$2:$L$1254,Master!$G$2:$G$1254,분류!D$21,Master!$E$2:$E$1254,분류!$B51)</f>
        <v>0</v>
      </c>
      <c r="E51" s="20">
        <f>SUMIFS(Master!$L$2:$L$1254,Master!$G$2:$G$1254,분류!E$21,Master!$E$2:$E$1254,분류!$B51)</f>
        <v>0</v>
      </c>
      <c r="F51" s="20">
        <f>SUMIFS(Master!$L$2:$L$1254,Master!$G$2:$G$1254,분류!F$21,Master!$E$2:$E$1254,분류!$B51)</f>
        <v>0</v>
      </c>
      <c r="G51" s="20">
        <f>SUMIFS(Master!$L$2:$L$1254,Master!$G$2:$G$1254,분류!G$21,Master!$E$2:$E$1254,분류!$B51)</f>
        <v>0</v>
      </c>
      <c r="H51" s="20">
        <f>SUMIFS(Master!$L$2:$L$1254,Master!$G$2:$G$1254,분류!H$21,Master!$E$2:$E$1254,분류!$B51)</f>
        <v>0</v>
      </c>
      <c r="I51" s="20">
        <f>SUMIFS(Master!$L$2:$L$1254,Master!$G$2:$G$1254,분류!I$21,Master!$E$2:$E$1254,분류!$B51)</f>
        <v>6044660</v>
      </c>
      <c r="J51" s="20">
        <f>SUMIFS(Master!$L$2:$L$1254,Master!$G$2:$G$1254,분류!J$21,Master!$E$2:$E$1254,분류!$B51)</f>
        <v>0</v>
      </c>
      <c r="K51" s="20">
        <f>SUMIFS(Master!$L$2:$L$1254,Master!$G$2:$G$1254,분류!K$21,Master!$E$2:$E$1254,분류!$B51)</f>
        <v>0</v>
      </c>
      <c r="L51" s="20">
        <f>SUMIFS(Master!$L$2:$L$1254,Master!$G$2:$G$1254,분류!L$21,Master!$E$2:$E$1254,분류!$B51)</f>
        <v>0</v>
      </c>
      <c r="M51" s="93"/>
      <c r="S51" s="221"/>
    </row>
    <row r="52" spans="1:19" s="92" customFormat="1">
      <c r="A52" s="86">
        <f t="shared" si="1"/>
        <v>27</v>
      </c>
      <c r="B52" s="83" t="s">
        <v>422</v>
      </c>
      <c r="C52" s="85">
        <f t="shared" si="2"/>
        <v>4050000</v>
      </c>
      <c r="D52" s="20">
        <f>SUMIFS(Master!$L$2:$L$1254,Master!$G$2:$G$1254,분류!D$21,Master!$E$2:$E$1254,분류!$B52)</f>
        <v>0</v>
      </c>
      <c r="E52" s="20">
        <f>SUMIFS(Master!$L$2:$L$1254,Master!$G$2:$G$1254,분류!E$21,Master!$E$2:$E$1254,분류!$B52)</f>
        <v>4050000</v>
      </c>
      <c r="F52" s="20">
        <f>SUMIFS(Master!$L$2:$L$1254,Master!$G$2:$G$1254,분류!F$21,Master!$E$2:$E$1254,분류!$B52)</f>
        <v>0</v>
      </c>
      <c r="G52" s="20">
        <f>SUMIFS(Master!$L$2:$L$1254,Master!$G$2:$G$1254,분류!G$21,Master!$E$2:$E$1254,분류!$B52)</f>
        <v>0</v>
      </c>
      <c r="H52" s="20">
        <f>SUMIFS(Master!$L$2:$L$1254,Master!$G$2:$G$1254,분류!H$21,Master!$E$2:$E$1254,분류!$B52)</f>
        <v>0</v>
      </c>
      <c r="I52" s="20">
        <f>SUMIFS(Master!$L$2:$L$1254,Master!$G$2:$G$1254,분류!I$21,Master!$E$2:$E$1254,분류!$B52)</f>
        <v>0</v>
      </c>
      <c r="J52" s="20">
        <f>SUMIFS(Master!$L$2:$L$1254,Master!$G$2:$G$1254,분류!J$21,Master!$E$2:$E$1254,분류!$B52)</f>
        <v>0</v>
      </c>
      <c r="K52" s="20">
        <f>SUMIFS(Master!$L$2:$L$1254,Master!$G$2:$G$1254,분류!K$21,Master!$E$2:$E$1254,분류!$B52)</f>
        <v>0</v>
      </c>
      <c r="L52" s="20">
        <f>SUMIFS(Master!$L$2:$L$1254,Master!$G$2:$G$1254,분류!L$21,Master!$E$2:$E$1254,분류!$B52)</f>
        <v>0</v>
      </c>
      <c r="M52" s="93"/>
      <c r="S52" s="221"/>
    </row>
    <row r="53" spans="1:19">
      <c r="A53" s="86">
        <f t="shared" si="1"/>
        <v>65</v>
      </c>
      <c r="B53" s="83" t="s">
        <v>154</v>
      </c>
      <c r="C53" s="85">
        <f t="shared" si="2"/>
        <v>0</v>
      </c>
      <c r="D53" s="20">
        <f>SUMIFS(Master!$L$2:$L$1254,Master!$G$2:$G$1254,분류!D$21,Master!$E$2:$E$1254,분류!$B53)</f>
        <v>0</v>
      </c>
      <c r="E53" s="20">
        <f>SUMIFS(Master!$L$2:$L$1254,Master!$G$2:$G$1254,분류!E$21,Master!$E$2:$E$1254,분류!$B53)</f>
        <v>0</v>
      </c>
      <c r="F53" s="20">
        <f>SUMIFS(Master!$L$2:$L$1254,Master!$G$2:$G$1254,분류!F$21,Master!$E$2:$E$1254,분류!$B53)</f>
        <v>0</v>
      </c>
      <c r="G53" s="20">
        <f>SUMIFS(Master!$L$2:$L$1254,Master!$G$2:$G$1254,분류!G$21,Master!$E$2:$E$1254,분류!$B53)</f>
        <v>0</v>
      </c>
      <c r="H53" s="20">
        <f>SUMIFS(Master!$L$2:$L$1254,Master!$G$2:$G$1254,분류!H$21,Master!$E$2:$E$1254,분류!$B53)</f>
        <v>0</v>
      </c>
      <c r="I53" s="20">
        <f>SUMIFS(Master!$L$2:$L$1254,Master!$G$2:$G$1254,분류!I$21,Master!$E$2:$E$1254,분류!$B53)</f>
        <v>0</v>
      </c>
      <c r="J53" s="20">
        <f>SUMIFS(Master!$L$2:$L$1254,Master!$G$2:$G$1254,분류!J$21,Master!$E$2:$E$1254,분류!$B53)</f>
        <v>0</v>
      </c>
      <c r="K53" s="20">
        <f>SUMIFS(Master!$L$2:$L$1254,Master!$G$2:$G$1254,분류!K$21,Master!$E$2:$E$1254,분류!$B53)</f>
        <v>0</v>
      </c>
      <c r="L53" s="20">
        <f>SUMIFS(Master!$L$2:$L$1254,Master!$G$2:$G$1254,분류!L$21,Master!$E$2:$E$1254,분류!$B53)</f>
        <v>0</v>
      </c>
      <c r="M53" s="91"/>
    </row>
    <row r="54" spans="1:19">
      <c r="A54" s="86">
        <f t="shared" si="1"/>
        <v>37</v>
      </c>
      <c r="B54" s="83" t="s">
        <v>156</v>
      </c>
      <c r="C54" s="85">
        <f t="shared" si="2"/>
        <v>2400000</v>
      </c>
      <c r="D54" s="20">
        <f>SUMIFS(Master!$L$2:$L$1254,Master!$G$2:$G$1254,분류!D$21,Master!$E$2:$E$1254,분류!$B54)</f>
        <v>2400000</v>
      </c>
      <c r="E54" s="20">
        <f>SUMIFS(Master!$L$2:$L$1254,Master!$G$2:$G$1254,분류!E$21,Master!$E$2:$E$1254,분류!$B54)</f>
        <v>0</v>
      </c>
      <c r="F54" s="20">
        <f>SUMIFS(Master!$L$2:$L$1254,Master!$G$2:$G$1254,분류!F$21,Master!$E$2:$E$1254,분류!$B54)</f>
        <v>0</v>
      </c>
      <c r="G54" s="20">
        <f>SUMIFS(Master!$L$2:$L$1254,Master!$G$2:$G$1254,분류!G$21,Master!$E$2:$E$1254,분류!$B54)</f>
        <v>0</v>
      </c>
      <c r="H54" s="20">
        <f>SUMIFS(Master!$L$2:$L$1254,Master!$G$2:$G$1254,분류!H$21,Master!$E$2:$E$1254,분류!$B54)</f>
        <v>0</v>
      </c>
      <c r="I54" s="20">
        <f>SUMIFS(Master!$L$2:$L$1254,Master!$G$2:$G$1254,분류!I$21,Master!$E$2:$E$1254,분류!$B54)</f>
        <v>0</v>
      </c>
      <c r="J54" s="20">
        <f>SUMIFS(Master!$L$2:$L$1254,Master!$G$2:$G$1254,분류!J$21,Master!$E$2:$E$1254,분류!$B54)</f>
        <v>0</v>
      </c>
      <c r="K54" s="20">
        <f>SUMIFS(Master!$L$2:$L$1254,Master!$G$2:$G$1254,분류!K$21,Master!$E$2:$E$1254,분류!$B54)</f>
        <v>0</v>
      </c>
      <c r="L54" s="20">
        <f>SUMIFS(Master!$L$2:$L$1254,Master!$G$2:$G$1254,분류!L$21,Master!$E$2:$E$1254,분류!$B54)</f>
        <v>0</v>
      </c>
      <c r="M54" s="91"/>
    </row>
    <row r="55" spans="1:19">
      <c r="A55" s="86">
        <f t="shared" ref="A55:A87" si="4">RANK(C55,$C$23:$C$115,0)</f>
        <v>65</v>
      </c>
      <c r="B55" s="83" t="s">
        <v>176</v>
      </c>
      <c r="C55" s="85">
        <f t="shared" si="2"/>
        <v>0</v>
      </c>
      <c r="D55" s="20">
        <f>SUMIFS(Master!$L$2:$L$1254,Master!$G$2:$G$1254,분류!D$21,Master!$E$2:$E$1254,분류!$B55)</f>
        <v>0</v>
      </c>
      <c r="E55" s="20">
        <f>SUMIFS(Master!$L$2:$L$1254,Master!$G$2:$G$1254,분류!E$21,Master!$E$2:$E$1254,분류!$B55)</f>
        <v>0</v>
      </c>
      <c r="F55" s="20">
        <f>SUMIFS(Master!$L$2:$L$1254,Master!$G$2:$G$1254,분류!F$21,Master!$E$2:$E$1254,분류!$B55)</f>
        <v>0</v>
      </c>
      <c r="G55" s="20">
        <f>SUMIFS(Master!$L$2:$L$1254,Master!$G$2:$G$1254,분류!G$21,Master!$E$2:$E$1254,분류!$B55)</f>
        <v>0</v>
      </c>
      <c r="H55" s="20">
        <f>SUMIFS(Master!$L$2:$L$1254,Master!$G$2:$G$1254,분류!H$21,Master!$E$2:$E$1254,분류!$B55)</f>
        <v>0</v>
      </c>
      <c r="I55" s="20">
        <f>SUMIFS(Master!$L$2:$L$1254,Master!$G$2:$G$1254,분류!I$21,Master!$E$2:$E$1254,분류!$B55)</f>
        <v>0</v>
      </c>
      <c r="J55" s="20">
        <f>SUMIFS(Master!$L$2:$L$1254,Master!$G$2:$G$1254,분류!J$21,Master!$E$2:$E$1254,분류!$B55)</f>
        <v>0</v>
      </c>
      <c r="K55" s="20">
        <f>SUMIFS(Master!$L$2:$L$1254,Master!$G$2:$G$1254,분류!K$21,Master!$E$2:$E$1254,분류!$B55)</f>
        <v>0</v>
      </c>
      <c r="L55" s="20">
        <f>SUMIFS(Master!$L$2:$L$1254,Master!$G$2:$G$1254,분류!L$21,Master!$E$2:$E$1254,분류!$B55)</f>
        <v>0</v>
      </c>
      <c r="M55" s="91"/>
    </row>
    <row r="56" spans="1:19">
      <c r="A56" s="86">
        <f t="shared" si="4"/>
        <v>65</v>
      </c>
      <c r="B56" s="83" t="s">
        <v>617</v>
      </c>
      <c r="C56" s="85">
        <f t="shared" si="2"/>
        <v>0</v>
      </c>
      <c r="D56" s="20">
        <f>SUMIFS(Master!$L$2:$L$1254,Master!$G$2:$G$1254,분류!D$21,Master!$E$2:$E$1254,분류!$B56)</f>
        <v>0</v>
      </c>
      <c r="E56" s="20">
        <f>SUMIFS(Master!$L$2:$L$1254,Master!$G$2:$G$1254,분류!E$21,Master!$E$2:$E$1254,분류!$B56)</f>
        <v>0</v>
      </c>
      <c r="F56" s="20">
        <f>SUMIFS(Master!$L$2:$L$1254,Master!$G$2:$G$1254,분류!F$21,Master!$E$2:$E$1254,분류!$B56)</f>
        <v>0</v>
      </c>
      <c r="G56" s="20">
        <f>SUMIFS(Master!$L$2:$L$1254,Master!$G$2:$G$1254,분류!G$21,Master!$E$2:$E$1254,분류!$B56)</f>
        <v>0</v>
      </c>
      <c r="H56" s="20">
        <f>SUMIFS(Master!$L$2:$L$1254,Master!$G$2:$G$1254,분류!H$21,Master!$E$2:$E$1254,분류!$B56)</f>
        <v>0</v>
      </c>
      <c r="I56" s="20">
        <f>SUMIFS(Master!$L$2:$L$1254,Master!$G$2:$G$1254,분류!I$21,Master!$E$2:$E$1254,분류!$B56)</f>
        <v>0</v>
      </c>
      <c r="J56" s="20">
        <f>SUMIFS(Master!$L$2:$L$1254,Master!$G$2:$G$1254,분류!J$21,Master!$E$2:$E$1254,분류!$B56)</f>
        <v>0</v>
      </c>
      <c r="K56" s="20">
        <f>SUMIFS(Master!$L$2:$L$1254,Master!$G$2:$G$1254,분류!K$21,Master!$E$2:$E$1254,분류!$B56)</f>
        <v>0</v>
      </c>
      <c r="L56" s="20">
        <f>SUMIFS(Master!$L$2:$L$1254,Master!$G$2:$G$1254,분류!L$21,Master!$E$2:$E$1254,분류!$B56)</f>
        <v>0</v>
      </c>
      <c r="M56" s="91"/>
    </row>
    <row r="57" spans="1:19">
      <c r="A57" s="86">
        <f t="shared" si="4"/>
        <v>50</v>
      </c>
      <c r="B57" s="83" t="s">
        <v>451</v>
      </c>
      <c r="C57" s="85">
        <f t="shared" si="2"/>
        <v>500000</v>
      </c>
      <c r="D57" s="20">
        <f>SUMIFS(Master!$L$2:$L$1254,Master!$G$2:$G$1254,분류!D$21,Master!$E$2:$E$1254,분류!$B57)</f>
        <v>0</v>
      </c>
      <c r="E57" s="20">
        <f>SUMIFS(Master!$L$2:$L$1254,Master!$G$2:$G$1254,분류!E$21,Master!$E$2:$E$1254,분류!$B57)</f>
        <v>0</v>
      </c>
      <c r="F57" s="20">
        <f>SUMIFS(Master!$L$2:$L$1254,Master!$G$2:$G$1254,분류!F$21,Master!$E$2:$E$1254,분류!$B57)</f>
        <v>0</v>
      </c>
      <c r="G57" s="20">
        <f>SUMIFS(Master!$L$2:$L$1254,Master!$G$2:$G$1254,분류!G$21,Master!$E$2:$E$1254,분류!$B57)</f>
        <v>0</v>
      </c>
      <c r="H57" s="20">
        <f>SUMIFS(Master!$L$2:$L$1254,Master!$G$2:$G$1254,분류!H$21,Master!$E$2:$E$1254,분류!$B57)</f>
        <v>0</v>
      </c>
      <c r="I57" s="20">
        <f>SUMIFS(Master!$L$2:$L$1254,Master!$G$2:$G$1254,분류!I$21,Master!$E$2:$E$1254,분류!$B57)</f>
        <v>500000</v>
      </c>
      <c r="J57" s="20">
        <f>SUMIFS(Master!$L$2:$L$1254,Master!$G$2:$G$1254,분류!J$21,Master!$E$2:$E$1254,분류!$B57)</f>
        <v>0</v>
      </c>
      <c r="K57" s="20">
        <f>SUMIFS(Master!$L$2:$L$1254,Master!$G$2:$G$1254,분류!K$21,Master!$E$2:$E$1254,분류!$B57)</f>
        <v>0</v>
      </c>
      <c r="L57" s="20">
        <f>SUMIFS(Master!$L$2:$L$1254,Master!$G$2:$G$1254,분류!L$21,Master!$E$2:$E$1254,분류!$B57)</f>
        <v>0</v>
      </c>
      <c r="M57" s="91"/>
    </row>
    <row r="58" spans="1:19">
      <c r="A58" s="86">
        <f t="shared" si="4"/>
        <v>65</v>
      </c>
      <c r="B58" s="19" t="s">
        <v>39</v>
      </c>
      <c r="C58" s="85">
        <f t="shared" si="2"/>
        <v>0</v>
      </c>
      <c r="D58" s="20">
        <f>SUMIFS(Master!$L$2:$L$1254,Master!$G$2:$G$1254,분류!D$21,Master!$E$2:$E$1254,분류!$B58)</f>
        <v>0</v>
      </c>
      <c r="E58" s="20">
        <f>SUMIFS(Master!$L$2:$L$1254,Master!$G$2:$G$1254,분류!E$21,Master!$E$2:$E$1254,분류!$B58)</f>
        <v>0</v>
      </c>
      <c r="F58" s="20">
        <f>SUMIFS(Master!$L$2:$L$1254,Master!$G$2:$G$1254,분류!F$21,Master!$E$2:$E$1254,분류!$B58)</f>
        <v>0</v>
      </c>
      <c r="G58" s="20">
        <f>SUMIFS(Master!$L$2:$L$1254,Master!$G$2:$G$1254,분류!G$21,Master!$E$2:$E$1254,분류!$B58)</f>
        <v>0</v>
      </c>
      <c r="H58" s="20">
        <f>SUMIFS(Master!$L$2:$L$1254,Master!$G$2:$G$1254,분류!H$21,Master!$E$2:$E$1254,분류!$B58)</f>
        <v>0</v>
      </c>
      <c r="I58" s="20">
        <f>SUMIFS(Master!$L$2:$L$1254,Master!$G$2:$G$1254,분류!I$21,Master!$E$2:$E$1254,분류!$B58)</f>
        <v>0</v>
      </c>
      <c r="J58" s="20">
        <f>SUMIFS(Master!$L$2:$L$1254,Master!$G$2:$G$1254,분류!J$21,Master!$E$2:$E$1254,분류!$B58)</f>
        <v>0</v>
      </c>
      <c r="K58" s="20">
        <f>SUMIFS(Master!$L$2:$L$1254,Master!$G$2:$G$1254,분류!K$21,Master!$E$2:$E$1254,분류!$B58)</f>
        <v>0</v>
      </c>
      <c r="L58" s="20">
        <f>SUMIFS(Master!$L$2:$L$1254,Master!$G$2:$G$1254,분류!L$21,Master!$E$2:$E$1254,분류!$B58)</f>
        <v>0</v>
      </c>
      <c r="M58" s="91"/>
    </row>
    <row r="59" spans="1:19">
      <c r="A59" s="86">
        <f t="shared" si="4"/>
        <v>5</v>
      </c>
      <c r="B59" s="19" t="s">
        <v>2631</v>
      </c>
      <c r="C59" s="85">
        <f t="shared" si="2"/>
        <v>100100000</v>
      </c>
      <c r="D59" s="20">
        <f>SUMIFS(Master!$L$2:$L$1254,Master!$G$2:$G$1254,분류!D$21,Master!$E$2:$E$1254,분류!$B59)</f>
        <v>44400000</v>
      </c>
      <c r="E59" s="20">
        <f>SUMIFS(Master!$L$2:$L$1254,Master!$G$2:$G$1254,분류!E$21,Master!$E$2:$E$1254,분류!$B59)</f>
        <v>55700000</v>
      </c>
      <c r="F59" s="20">
        <f>SUMIFS(Master!$L$2:$L$1254,Master!$G$2:$G$1254,분류!F$21,Master!$E$2:$E$1254,분류!$B59)</f>
        <v>0</v>
      </c>
      <c r="G59" s="20">
        <f>SUMIFS(Master!$L$2:$L$1254,Master!$G$2:$G$1254,분류!G$21,Master!$E$2:$E$1254,분류!$B59)</f>
        <v>0</v>
      </c>
      <c r="H59" s="20">
        <f>SUMIFS(Master!$L$2:$L$1254,Master!$G$2:$G$1254,분류!H$21,Master!$E$2:$E$1254,분류!$B59)</f>
        <v>0</v>
      </c>
      <c r="I59" s="20">
        <f>SUMIFS(Master!$L$2:$L$1254,Master!$G$2:$G$1254,분류!I$21,Master!$E$2:$E$1254,분류!$B59)</f>
        <v>0</v>
      </c>
      <c r="J59" s="20">
        <f>SUMIFS(Master!$L$2:$L$1254,Master!$G$2:$G$1254,분류!J$21,Master!$E$2:$E$1254,분류!$B59)</f>
        <v>0</v>
      </c>
      <c r="K59" s="20">
        <f>SUMIFS(Master!$L$2:$L$1254,Master!$G$2:$G$1254,분류!K$21,Master!$E$2:$E$1254,분류!$B59)</f>
        <v>0</v>
      </c>
      <c r="L59" s="20">
        <f>SUMIFS(Master!$L$2:$L$1254,Master!$G$2:$G$1254,분류!L$21,Master!$E$2:$E$1254,분류!$B59)</f>
        <v>0</v>
      </c>
      <c r="M59" s="91"/>
    </row>
    <row r="60" spans="1:19">
      <c r="A60" s="86">
        <f t="shared" si="4"/>
        <v>65</v>
      </c>
      <c r="B60" s="19" t="s">
        <v>333</v>
      </c>
      <c r="C60" s="85">
        <f t="shared" si="2"/>
        <v>0</v>
      </c>
      <c r="D60" s="20">
        <f>SUMIFS(Master!$L$2:$L$1254,Master!$G$2:$G$1254,분류!D$21,Master!$E$2:$E$1254,분류!$B60)</f>
        <v>0</v>
      </c>
      <c r="E60" s="20">
        <f>SUMIFS(Master!$L$2:$L$1254,Master!$G$2:$G$1254,분류!E$21,Master!$E$2:$E$1254,분류!$B60)</f>
        <v>0</v>
      </c>
      <c r="F60" s="20">
        <f>SUMIFS(Master!$L$2:$L$1254,Master!$G$2:$G$1254,분류!F$21,Master!$E$2:$E$1254,분류!$B60)</f>
        <v>0</v>
      </c>
      <c r="G60" s="20">
        <f>SUMIFS(Master!$L$2:$L$1254,Master!$G$2:$G$1254,분류!G$21,Master!$E$2:$E$1254,분류!$B60)</f>
        <v>0</v>
      </c>
      <c r="H60" s="20">
        <f>SUMIFS(Master!$L$2:$L$1254,Master!$G$2:$G$1254,분류!H$21,Master!$E$2:$E$1254,분류!$B60)</f>
        <v>0</v>
      </c>
      <c r="I60" s="20">
        <f>SUMIFS(Master!$L$2:$L$1254,Master!$G$2:$G$1254,분류!I$21,Master!$E$2:$E$1254,분류!$B60)</f>
        <v>0</v>
      </c>
      <c r="J60" s="20">
        <f>SUMIFS(Master!$L$2:$L$1254,Master!$G$2:$G$1254,분류!J$21,Master!$E$2:$E$1254,분류!$B60)</f>
        <v>0</v>
      </c>
      <c r="K60" s="20">
        <f>SUMIFS(Master!$L$2:$L$1254,Master!$G$2:$G$1254,분류!K$21,Master!$E$2:$E$1254,분류!$B60)</f>
        <v>0</v>
      </c>
      <c r="L60" s="20">
        <f>SUMIFS(Master!$L$2:$L$1254,Master!$G$2:$G$1254,분류!L$21,Master!$E$2:$E$1254,분류!$B60)</f>
        <v>0</v>
      </c>
      <c r="M60" s="91"/>
    </row>
    <row r="61" spans="1:19">
      <c r="A61" s="86">
        <f t="shared" si="4"/>
        <v>65</v>
      </c>
      <c r="B61" s="19" t="s">
        <v>29</v>
      </c>
      <c r="C61" s="85">
        <f t="shared" si="2"/>
        <v>0</v>
      </c>
      <c r="D61" s="20">
        <f>SUMIFS(Master!$L$2:$L$1254,Master!$G$2:$G$1254,분류!D$21,Master!$E$2:$E$1254,분류!$B61)</f>
        <v>0</v>
      </c>
      <c r="E61" s="20">
        <f>SUMIFS(Master!$L$2:$L$1254,Master!$G$2:$G$1254,분류!E$21,Master!$E$2:$E$1254,분류!$B61)</f>
        <v>0</v>
      </c>
      <c r="F61" s="20">
        <f>SUMIFS(Master!$L$2:$L$1254,Master!$G$2:$G$1254,분류!F$21,Master!$E$2:$E$1254,분류!$B61)</f>
        <v>0</v>
      </c>
      <c r="G61" s="20">
        <f>SUMIFS(Master!$L$2:$L$1254,Master!$G$2:$G$1254,분류!G$21,Master!$E$2:$E$1254,분류!$B61)</f>
        <v>0</v>
      </c>
      <c r="H61" s="20">
        <f>SUMIFS(Master!$L$2:$L$1254,Master!$G$2:$G$1254,분류!H$21,Master!$E$2:$E$1254,분류!$B61)</f>
        <v>0</v>
      </c>
      <c r="I61" s="20">
        <f>SUMIFS(Master!$L$2:$L$1254,Master!$G$2:$G$1254,분류!I$21,Master!$E$2:$E$1254,분류!$B61)</f>
        <v>0</v>
      </c>
      <c r="J61" s="20">
        <f>SUMIFS(Master!$L$2:$L$1254,Master!$G$2:$G$1254,분류!J$21,Master!$E$2:$E$1254,분류!$B61)</f>
        <v>0</v>
      </c>
      <c r="K61" s="20">
        <f>SUMIFS(Master!$L$2:$L$1254,Master!$G$2:$G$1254,분류!K$21,Master!$E$2:$E$1254,분류!$B61)</f>
        <v>0</v>
      </c>
      <c r="L61" s="20">
        <f>SUMIFS(Master!$L$2:$L$1254,Master!$G$2:$G$1254,분류!L$21,Master!$E$2:$E$1254,분류!$B61)</f>
        <v>0</v>
      </c>
      <c r="M61" s="91"/>
    </row>
    <row r="62" spans="1:19">
      <c r="A62" s="86">
        <f t="shared" si="4"/>
        <v>65</v>
      </c>
      <c r="B62" s="19" t="s">
        <v>314</v>
      </c>
      <c r="C62" s="85">
        <f t="shared" si="2"/>
        <v>0</v>
      </c>
      <c r="D62" s="20">
        <f>SUMIFS(Master!$L$2:$L$1254,Master!$G$2:$G$1254,분류!D$21,Master!$E$2:$E$1254,분류!$B62)</f>
        <v>0</v>
      </c>
      <c r="E62" s="20">
        <f>SUMIFS(Master!$L$2:$L$1254,Master!$G$2:$G$1254,분류!E$21,Master!$E$2:$E$1254,분류!$B62)</f>
        <v>0</v>
      </c>
      <c r="F62" s="20">
        <f>SUMIFS(Master!$L$2:$L$1254,Master!$G$2:$G$1254,분류!F$21,Master!$E$2:$E$1254,분류!$B62)</f>
        <v>0</v>
      </c>
      <c r="G62" s="20">
        <f>SUMIFS(Master!$L$2:$L$1254,Master!$G$2:$G$1254,분류!G$21,Master!$E$2:$E$1254,분류!$B62)</f>
        <v>0</v>
      </c>
      <c r="H62" s="20">
        <f>SUMIFS(Master!$L$2:$L$1254,Master!$G$2:$G$1254,분류!H$21,Master!$E$2:$E$1254,분류!$B62)</f>
        <v>0</v>
      </c>
      <c r="I62" s="20">
        <f>SUMIFS(Master!$L$2:$L$1254,Master!$G$2:$G$1254,분류!I$21,Master!$E$2:$E$1254,분류!$B62)</f>
        <v>0</v>
      </c>
      <c r="J62" s="20">
        <f>SUMIFS(Master!$L$2:$L$1254,Master!$G$2:$G$1254,분류!J$21,Master!$E$2:$E$1254,분류!$B62)</f>
        <v>0</v>
      </c>
      <c r="K62" s="20">
        <f>SUMIFS(Master!$L$2:$L$1254,Master!$G$2:$G$1254,분류!K$21,Master!$E$2:$E$1254,분류!$B62)</f>
        <v>0</v>
      </c>
      <c r="L62" s="20">
        <f>SUMIFS(Master!$L$2:$L$1254,Master!$G$2:$G$1254,분류!L$21,Master!$E$2:$E$1254,분류!$B62)</f>
        <v>0</v>
      </c>
      <c r="M62" s="91"/>
    </row>
    <row r="63" spans="1:19">
      <c r="A63" s="86">
        <f t="shared" si="4"/>
        <v>6</v>
      </c>
      <c r="B63" s="19" t="s">
        <v>2632</v>
      </c>
      <c r="C63" s="85">
        <f t="shared" si="2"/>
        <v>67185000</v>
      </c>
      <c r="D63" s="20">
        <f>SUMIFS(Master!$L$2:$L$1254,Master!$G$2:$G$1254,분류!D$21,Master!$E$2:$E$1254,분류!$B63)</f>
        <v>25575000</v>
      </c>
      <c r="E63" s="20">
        <f>SUMIFS(Master!$L$2:$L$1254,Master!$G$2:$G$1254,분류!E$21,Master!$E$2:$E$1254,분류!$B63)</f>
        <v>41610000</v>
      </c>
      <c r="F63" s="20">
        <f>SUMIFS(Master!$L$2:$L$1254,Master!$G$2:$G$1254,분류!F$21,Master!$E$2:$E$1254,분류!$B63)</f>
        <v>0</v>
      </c>
      <c r="G63" s="20">
        <f>SUMIFS(Master!$L$2:$L$1254,Master!$G$2:$G$1254,분류!G$21,Master!$E$2:$E$1254,분류!$B63)</f>
        <v>0</v>
      </c>
      <c r="H63" s="20">
        <f>SUMIFS(Master!$L$2:$L$1254,Master!$G$2:$G$1254,분류!H$21,Master!$E$2:$E$1254,분류!$B63)</f>
        <v>0</v>
      </c>
      <c r="I63" s="20">
        <f>SUMIFS(Master!$L$2:$L$1254,Master!$G$2:$G$1254,분류!I$21,Master!$E$2:$E$1254,분류!$B63)</f>
        <v>0</v>
      </c>
      <c r="J63" s="20">
        <f>SUMIFS(Master!$L$2:$L$1254,Master!$G$2:$G$1254,분류!J$21,Master!$E$2:$E$1254,분류!$B63)</f>
        <v>0</v>
      </c>
      <c r="K63" s="20">
        <f>SUMIFS(Master!$L$2:$L$1254,Master!$G$2:$G$1254,분류!K$21,Master!$E$2:$E$1254,분류!$B63)</f>
        <v>0</v>
      </c>
      <c r="L63" s="20">
        <f>SUMIFS(Master!$L$2:$L$1254,Master!$G$2:$G$1254,분류!L$21,Master!$E$2:$E$1254,분류!$B63)</f>
        <v>0</v>
      </c>
      <c r="M63" s="91"/>
    </row>
    <row r="64" spans="1:19">
      <c r="A64" s="86">
        <f t="shared" si="4"/>
        <v>23</v>
      </c>
      <c r="B64" s="19" t="s">
        <v>19</v>
      </c>
      <c r="C64" s="85">
        <f t="shared" si="2"/>
        <v>4670000</v>
      </c>
      <c r="D64" s="20">
        <f>SUMIFS(Master!$L$2:$L$1254,Master!$G$2:$G$1254,분류!D$21,Master!$E$2:$E$1254,분류!$B64)</f>
        <v>1670000</v>
      </c>
      <c r="E64" s="20">
        <f>SUMIFS(Master!$L$2:$L$1254,Master!$G$2:$G$1254,분류!E$21,Master!$E$2:$E$1254,분류!$B64)</f>
        <v>3000000</v>
      </c>
      <c r="F64" s="20">
        <f>SUMIFS(Master!$L$2:$L$1254,Master!$G$2:$G$1254,분류!F$21,Master!$E$2:$E$1254,분류!$B64)</f>
        <v>0</v>
      </c>
      <c r="G64" s="20">
        <f>SUMIFS(Master!$L$2:$L$1254,Master!$G$2:$G$1254,분류!G$21,Master!$E$2:$E$1254,분류!$B64)</f>
        <v>0</v>
      </c>
      <c r="H64" s="20">
        <f>SUMIFS(Master!$L$2:$L$1254,Master!$G$2:$G$1254,분류!H$21,Master!$E$2:$E$1254,분류!$B64)</f>
        <v>0</v>
      </c>
      <c r="I64" s="20">
        <f>SUMIFS(Master!$L$2:$L$1254,Master!$G$2:$G$1254,분류!I$21,Master!$E$2:$E$1254,분류!$B64)</f>
        <v>0</v>
      </c>
      <c r="J64" s="20">
        <f>SUMIFS(Master!$L$2:$L$1254,Master!$G$2:$G$1254,분류!J$21,Master!$E$2:$E$1254,분류!$B64)</f>
        <v>0</v>
      </c>
      <c r="K64" s="20">
        <f>SUMIFS(Master!$L$2:$L$1254,Master!$G$2:$G$1254,분류!K$21,Master!$E$2:$E$1254,분류!$B64)</f>
        <v>0</v>
      </c>
      <c r="L64" s="20">
        <f>SUMIFS(Master!$L$2:$L$1254,Master!$G$2:$G$1254,분류!L$21,Master!$E$2:$E$1254,분류!$B64)</f>
        <v>0</v>
      </c>
      <c r="M64" s="91"/>
    </row>
    <row r="65" spans="1:19">
      <c r="A65" s="86">
        <f t="shared" si="4"/>
        <v>65</v>
      </c>
      <c r="B65" s="19" t="s">
        <v>2597</v>
      </c>
      <c r="C65" s="85">
        <f t="shared" si="2"/>
        <v>0</v>
      </c>
      <c r="D65" s="20">
        <f>SUMIFS(Master!$L$2:$L$1254,Master!$G$2:$G$1254,분류!D$21,Master!$E$2:$E$1254,분류!$B65)</f>
        <v>0</v>
      </c>
      <c r="E65" s="20">
        <f>SUMIFS(Master!$L$2:$L$1254,Master!$G$2:$G$1254,분류!E$21,Master!$E$2:$E$1254,분류!$B65)</f>
        <v>0</v>
      </c>
      <c r="F65" s="20">
        <f>SUMIFS(Master!$L$2:$L$1254,Master!$G$2:$G$1254,분류!F$21,Master!$E$2:$E$1254,분류!$B65)</f>
        <v>0</v>
      </c>
      <c r="G65" s="20">
        <f>SUMIFS(Master!$L$2:$L$1254,Master!$G$2:$G$1254,분류!G$21,Master!$E$2:$E$1254,분류!$B65)</f>
        <v>0</v>
      </c>
      <c r="H65" s="20">
        <f>SUMIFS(Master!$L$2:$L$1254,Master!$G$2:$G$1254,분류!H$21,Master!$E$2:$E$1254,분류!$B65)</f>
        <v>0</v>
      </c>
      <c r="I65" s="20">
        <f>SUMIFS(Master!$L$2:$L$1254,Master!$G$2:$G$1254,분류!I$21,Master!$E$2:$E$1254,분류!$B65)</f>
        <v>0</v>
      </c>
      <c r="J65" s="20">
        <f>SUMIFS(Master!$L$2:$L$1254,Master!$G$2:$G$1254,분류!J$21,Master!$E$2:$E$1254,분류!$B65)</f>
        <v>0</v>
      </c>
      <c r="K65" s="20">
        <f>SUMIFS(Master!$L$2:$L$1254,Master!$G$2:$G$1254,분류!K$21,Master!$E$2:$E$1254,분류!$B65)</f>
        <v>0</v>
      </c>
      <c r="L65" s="20">
        <f>SUMIFS(Master!$L$2:$L$1254,Master!$G$2:$G$1254,분류!L$21,Master!$E$2:$E$1254,분류!$B65)</f>
        <v>0</v>
      </c>
      <c r="M65" s="91"/>
    </row>
    <row r="66" spans="1:19">
      <c r="A66" s="86">
        <f t="shared" si="4"/>
        <v>63</v>
      </c>
      <c r="B66" s="84" t="s">
        <v>51</v>
      </c>
      <c r="C66" s="85">
        <f t="shared" si="2"/>
        <v>83150</v>
      </c>
      <c r="D66" s="20">
        <f>SUMIFS(Master!$L$2:$L$1254,Master!$G$2:$G$1254,분류!D$21,Master!$E$2:$E$1254,분류!$B66)</f>
        <v>0</v>
      </c>
      <c r="E66" s="20">
        <f>SUMIFS(Master!$L$2:$L$1254,Master!$G$2:$G$1254,분류!E$21,Master!$E$2:$E$1254,분류!$B66)</f>
        <v>0</v>
      </c>
      <c r="F66" s="20">
        <f>SUMIFS(Master!$L$2:$L$1254,Master!$G$2:$G$1254,분류!F$21,Master!$E$2:$E$1254,분류!$B66)</f>
        <v>0</v>
      </c>
      <c r="G66" s="20">
        <f>SUMIFS(Master!$L$2:$L$1254,Master!$G$2:$G$1254,분류!G$21,Master!$E$2:$E$1254,분류!$B66)</f>
        <v>0</v>
      </c>
      <c r="H66" s="20">
        <f>SUMIFS(Master!$L$2:$L$1254,Master!$G$2:$G$1254,분류!H$21,Master!$E$2:$E$1254,분류!$B66)</f>
        <v>0</v>
      </c>
      <c r="I66" s="20">
        <f>SUMIFS(Master!$L$2:$L$1254,Master!$G$2:$G$1254,분류!I$21,Master!$E$2:$E$1254,분류!$B66)</f>
        <v>83150</v>
      </c>
      <c r="J66" s="20">
        <f>SUMIFS(Master!$L$2:$L$1254,Master!$G$2:$G$1254,분류!J$21,Master!$E$2:$E$1254,분류!$B66)</f>
        <v>0</v>
      </c>
      <c r="K66" s="20">
        <f>SUMIFS(Master!$L$2:$L$1254,Master!$G$2:$G$1254,분류!K$21,Master!$E$2:$E$1254,분류!$B66)</f>
        <v>0</v>
      </c>
      <c r="L66" s="20">
        <f>SUMIFS(Master!$L$2:$L$1254,Master!$G$2:$G$1254,분류!L$21,Master!$E$2:$E$1254,분류!$B66)</f>
        <v>0</v>
      </c>
      <c r="M66" s="91"/>
    </row>
    <row r="67" spans="1:19" s="92" customFormat="1">
      <c r="A67" s="86">
        <f t="shared" si="4"/>
        <v>51</v>
      </c>
      <c r="B67" s="84" t="s">
        <v>170</v>
      </c>
      <c r="C67" s="85">
        <f t="shared" si="2"/>
        <v>426000</v>
      </c>
      <c r="D67" s="20">
        <f>SUMIFS(Master!$L$2:$L$1254,Master!$G$2:$G$1254,분류!D$21,Master!$E$2:$E$1254,분류!$B67)</f>
        <v>0</v>
      </c>
      <c r="E67" s="20">
        <f>SUMIFS(Master!$L$2:$L$1254,Master!$G$2:$G$1254,분류!E$21,Master!$E$2:$E$1254,분류!$B67)</f>
        <v>0</v>
      </c>
      <c r="F67" s="20">
        <f>SUMIFS(Master!$L$2:$L$1254,Master!$G$2:$G$1254,분류!F$21,Master!$E$2:$E$1254,분류!$B67)</f>
        <v>0</v>
      </c>
      <c r="G67" s="20">
        <f>SUMIFS(Master!$L$2:$L$1254,Master!$G$2:$G$1254,분류!G$21,Master!$E$2:$E$1254,분류!$B67)</f>
        <v>0</v>
      </c>
      <c r="H67" s="20">
        <f>SUMIFS(Master!$L$2:$L$1254,Master!$G$2:$G$1254,분류!H$21,Master!$E$2:$E$1254,분류!$B67)</f>
        <v>0</v>
      </c>
      <c r="I67" s="20">
        <f>SUMIFS(Master!$L$2:$L$1254,Master!$G$2:$G$1254,분류!I$21,Master!$E$2:$E$1254,분류!$B67)</f>
        <v>426000</v>
      </c>
      <c r="J67" s="20">
        <f>SUMIFS(Master!$L$2:$L$1254,Master!$G$2:$G$1254,분류!J$21,Master!$E$2:$E$1254,분류!$B67)</f>
        <v>0</v>
      </c>
      <c r="K67" s="20">
        <f>SUMIFS(Master!$L$2:$L$1254,Master!$G$2:$G$1254,분류!K$21,Master!$E$2:$E$1254,분류!$B67)</f>
        <v>0</v>
      </c>
      <c r="L67" s="20">
        <f>SUMIFS(Master!$L$2:$L$1254,Master!$G$2:$G$1254,분류!L$21,Master!$E$2:$E$1254,분류!$B67)</f>
        <v>0</v>
      </c>
      <c r="M67" s="91"/>
      <c r="S67" s="221"/>
    </row>
    <row r="68" spans="1:19">
      <c r="A68" s="86">
        <f t="shared" si="4"/>
        <v>65</v>
      </c>
      <c r="B68" s="19" t="s">
        <v>2611</v>
      </c>
      <c r="C68" s="85">
        <f t="shared" ref="C68" si="5">SUM(D68:L68)</f>
        <v>0</v>
      </c>
      <c r="D68" s="20">
        <f>SUMIFS(Master!$L$2:$L$1254,Master!$G$2:$G$1254,분류!D$21,Master!$E$2:$E$1254,분류!$B68)</f>
        <v>0</v>
      </c>
      <c r="E68" s="20">
        <f>SUMIFS(Master!$L$2:$L$1254,Master!$G$2:$G$1254,분류!E$21,Master!$E$2:$E$1254,분류!$B68)</f>
        <v>0</v>
      </c>
      <c r="F68" s="20">
        <f>SUMIFS(Master!$L$2:$L$1254,Master!$G$2:$G$1254,분류!F$21,Master!$E$2:$E$1254,분류!$B68)</f>
        <v>0</v>
      </c>
      <c r="G68" s="20">
        <f>SUMIFS(Master!$L$2:$L$1254,Master!$G$2:$G$1254,분류!G$21,Master!$E$2:$E$1254,분류!$B68)</f>
        <v>0</v>
      </c>
      <c r="H68" s="20">
        <f>SUMIFS(Master!$L$2:$L$1254,Master!$G$2:$G$1254,분류!H$21,Master!$E$2:$E$1254,분류!$B68)</f>
        <v>0</v>
      </c>
      <c r="I68" s="20">
        <f>SUMIFS(Master!$L$2:$L$1254,Master!$G$2:$G$1254,분류!I$21,Master!$E$2:$E$1254,분류!$B68)</f>
        <v>0</v>
      </c>
      <c r="J68" s="20">
        <f>SUMIFS(Master!$L$2:$L$1254,Master!$G$2:$G$1254,분류!J$21,Master!$E$2:$E$1254,분류!$B68)</f>
        <v>0</v>
      </c>
      <c r="K68" s="20">
        <f>SUMIFS(Master!$L$2:$L$1254,Master!$G$2:$G$1254,분류!K$21,Master!$E$2:$E$1254,분류!$B68)</f>
        <v>0</v>
      </c>
      <c r="L68" s="20">
        <f>SUMIFS(Master!$L$2:$L$1254,Master!$G$2:$G$1254,분류!L$21,Master!$E$2:$E$1254,분류!$B68)</f>
        <v>0</v>
      </c>
      <c r="M68" s="91"/>
    </row>
    <row r="69" spans="1:19">
      <c r="A69" s="86">
        <f t="shared" si="4"/>
        <v>13</v>
      </c>
      <c r="B69" s="19" t="s">
        <v>2202</v>
      </c>
      <c r="C69" s="85">
        <f t="shared" si="2"/>
        <v>13270000</v>
      </c>
      <c r="D69" s="20">
        <f>SUMIFS(Master!$L$2:$L$1254,Master!$G$2:$G$1254,분류!D$21,Master!$E$2:$E$1254,분류!$B69)</f>
        <v>13270000</v>
      </c>
      <c r="E69" s="20">
        <f>SUMIFS(Master!$L$2:$L$1254,Master!$G$2:$G$1254,분류!E$21,Master!$E$2:$E$1254,분류!$B69)</f>
        <v>0</v>
      </c>
      <c r="F69" s="20">
        <f>SUMIFS(Master!$L$2:$L$1254,Master!$G$2:$G$1254,분류!F$21,Master!$E$2:$E$1254,분류!$B69)</f>
        <v>0</v>
      </c>
      <c r="G69" s="20">
        <f>SUMIFS(Master!$L$2:$L$1254,Master!$G$2:$G$1254,분류!G$21,Master!$E$2:$E$1254,분류!$B69)</f>
        <v>0</v>
      </c>
      <c r="H69" s="20">
        <f>SUMIFS(Master!$L$2:$L$1254,Master!$G$2:$G$1254,분류!H$21,Master!$E$2:$E$1254,분류!$B69)</f>
        <v>0</v>
      </c>
      <c r="I69" s="20">
        <f>SUMIFS(Master!$L$2:$L$1254,Master!$G$2:$G$1254,분류!I$21,Master!$E$2:$E$1254,분류!$B69)</f>
        <v>0</v>
      </c>
      <c r="J69" s="20">
        <f>SUMIFS(Master!$L$2:$L$1254,Master!$G$2:$G$1254,분류!J$21,Master!$E$2:$E$1254,분류!$B69)</f>
        <v>0</v>
      </c>
      <c r="K69" s="20">
        <f>SUMIFS(Master!$L$2:$L$1254,Master!$G$2:$G$1254,분류!K$21,Master!$E$2:$E$1254,분류!$B69)</f>
        <v>0</v>
      </c>
      <c r="L69" s="20">
        <f>SUMIFS(Master!$L$2:$L$1254,Master!$G$2:$G$1254,분류!L$21,Master!$E$2:$E$1254,분류!$B69)</f>
        <v>0</v>
      </c>
      <c r="M69" s="91"/>
    </row>
    <row r="70" spans="1:19">
      <c r="A70" s="86">
        <f t="shared" si="4"/>
        <v>65</v>
      </c>
      <c r="B70" s="83" t="s">
        <v>81</v>
      </c>
      <c r="C70" s="85">
        <f t="shared" si="2"/>
        <v>0</v>
      </c>
      <c r="D70" s="20">
        <f>SUMIFS(Master!$L$2:$L$1254,Master!$G$2:$G$1254,분류!D$21,Master!$E$2:$E$1254,분류!$B70)</f>
        <v>0</v>
      </c>
      <c r="E70" s="20">
        <f>SUMIFS(Master!$L$2:$L$1254,Master!$G$2:$G$1254,분류!E$21,Master!$E$2:$E$1254,분류!$B70)</f>
        <v>0</v>
      </c>
      <c r="F70" s="20">
        <f>SUMIFS(Master!$L$2:$L$1254,Master!$G$2:$G$1254,분류!F$21,Master!$E$2:$E$1254,분류!$B70)</f>
        <v>0</v>
      </c>
      <c r="G70" s="20">
        <f>SUMIFS(Master!$L$2:$L$1254,Master!$G$2:$G$1254,분류!G$21,Master!$E$2:$E$1254,분류!$B70)</f>
        <v>0</v>
      </c>
      <c r="H70" s="20">
        <f>SUMIFS(Master!$L$2:$L$1254,Master!$G$2:$G$1254,분류!H$21,Master!$E$2:$E$1254,분류!$B70)</f>
        <v>0</v>
      </c>
      <c r="I70" s="20">
        <f>SUMIFS(Master!$L$2:$L$1254,Master!$G$2:$G$1254,분류!I$21,Master!$E$2:$E$1254,분류!$B70)</f>
        <v>0</v>
      </c>
      <c r="J70" s="20">
        <f>SUMIFS(Master!$L$2:$L$1254,Master!$G$2:$G$1254,분류!J$21,Master!$E$2:$E$1254,분류!$B70)</f>
        <v>0</v>
      </c>
      <c r="K70" s="20">
        <f>SUMIFS(Master!$L$2:$L$1254,Master!$G$2:$G$1254,분류!K$21,Master!$E$2:$E$1254,분류!$B70)</f>
        <v>0</v>
      </c>
      <c r="L70" s="20">
        <f>SUMIFS(Master!$L$2:$L$1254,Master!$G$2:$G$1254,분류!L$21,Master!$E$2:$E$1254,분류!$B70)</f>
        <v>0</v>
      </c>
      <c r="M70" s="91"/>
    </row>
    <row r="71" spans="1:19">
      <c r="A71" s="86">
        <f t="shared" si="4"/>
        <v>49</v>
      </c>
      <c r="B71" s="83" t="s">
        <v>1820</v>
      </c>
      <c r="C71" s="85">
        <f t="shared" si="2"/>
        <v>780000</v>
      </c>
      <c r="D71" s="20">
        <f>SUMIFS(Master!$L$2:$L$1254,Master!$G$2:$G$1254,분류!D$21,Master!$E$2:$E$1254,분류!$B71)</f>
        <v>0</v>
      </c>
      <c r="E71" s="20">
        <f>SUMIFS(Master!$L$2:$L$1254,Master!$G$2:$G$1254,분류!E$21,Master!$E$2:$E$1254,분류!$B71)</f>
        <v>0</v>
      </c>
      <c r="F71" s="20">
        <f>SUMIFS(Master!$L$2:$L$1254,Master!$G$2:$G$1254,분류!F$21,Master!$E$2:$E$1254,분류!$B71)</f>
        <v>0</v>
      </c>
      <c r="G71" s="20">
        <f>SUMIFS(Master!$L$2:$L$1254,Master!$G$2:$G$1254,분류!G$21,Master!$E$2:$E$1254,분류!$B71)</f>
        <v>0</v>
      </c>
      <c r="H71" s="20">
        <f>SUMIFS(Master!$L$2:$L$1254,Master!$G$2:$G$1254,분류!H$21,Master!$E$2:$E$1254,분류!$B71)</f>
        <v>0</v>
      </c>
      <c r="I71" s="20">
        <f>SUMIFS(Master!$L$2:$L$1254,Master!$G$2:$G$1254,분류!I$21,Master!$E$2:$E$1254,분류!$B71)</f>
        <v>780000</v>
      </c>
      <c r="J71" s="20">
        <f>SUMIFS(Master!$L$2:$L$1254,Master!$G$2:$G$1254,분류!J$21,Master!$E$2:$E$1254,분류!$B71)</f>
        <v>0</v>
      </c>
      <c r="K71" s="20">
        <f>SUMIFS(Master!$L$2:$L$1254,Master!$G$2:$G$1254,분류!K$21,Master!$E$2:$E$1254,분류!$B71)</f>
        <v>0</v>
      </c>
      <c r="L71" s="20">
        <f>SUMIFS(Master!$L$2:$L$1254,Master!$G$2:$G$1254,분류!L$21,Master!$E$2:$E$1254,분류!$B71)</f>
        <v>0</v>
      </c>
      <c r="M71" s="91"/>
    </row>
    <row r="72" spans="1:19">
      <c r="A72" s="86">
        <f t="shared" si="4"/>
        <v>11</v>
      </c>
      <c r="B72" s="83" t="s">
        <v>150</v>
      </c>
      <c r="C72" s="85">
        <f t="shared" si="2"/>
        <v>15184000</v>
      </c>
      <c r="D72" s="20">
        <f>SUMIFS(Master!$L$2:$L$1254,Master!$G$2:$G$1254,분류!D$21,Master!$E$2:$E$1254,분류!$B72)</f>
        <v>0</v>
      </c>
      <c r="E72" s="20">
        <f>SUMIFS(Master!$L$2:$L$1254,Master!$G$2:$G$1254,분류!E$21,Master!$E$2:$E$1254,분류!$B72)</f>
        <v>15184000</v>
      </c>
      <c r="F72" s="20">
        <f>SUMIFS(Master!$L$2:$L$1254,Master!$G$2:$G$1254,분류!F$21,Master!$E$2:$E$1254,분류!$B72)</f>
        <v>0</v>
      </c>
      <c r="G72" s="20">
        <f>SUMIFS(Master!$L$2:$L$1254,Master!$G$2:$G$1254,분류!G$21,Master!$E$2:$E$1254,분류!$B72)</f>
        <v>0</v>
      </c>
      <c r="H72" s="20">
        <f>SUMIFS(Master!$L$2:$L$1254,Master!$G$2:$G$1254,분류!H$21,Master!$E$2:$E$1254,분류!$B72)</f>
        <v>0</v>
      </c>
      <c r="I72" s="20">
        <f>SUMIFS(Master!$L$2:$L$1254,Master!$G$2:$G$1254,분류!I$21,Master!$E$2:$E$1254,분류!$B72)</f>
        <v>0</v>
      </c>
      <c r="J72" s="20">
        <f>SUMIFS(Master!$L$2:$L$1254,Master!$G$2:$G$1254,분류!J$21,Master!$E$2:$E$1254,분류!$B72)</f>
        <v>0</v>
      </c>
      <c r="K72" s="20">
        <f>SUMIFS(Master!$L$2:$L$1254,Master!$G$2:$G$1254,분류!K$21,Master!$E$2:$E$1254,분류!$B72)</f>
        <v>0</v>
      </c>
      <c r="L72" s="20">
        <f>SUMIFS(Master!$L$2:$L$1254,Master!$G$2:$G$1254,분류!L$21,Master!$E$2:$E$1254,분류!$B72)</f>
        <v>0</v>
      </c>
      <c r="M72" s="91"/>
    </row>
    <row r="73" spans="1:19">
      <c r="A73" s="86">
        <f t="shared" si="4"/>
        <v>65</v>
      </c>
      <c r="B73" s="83" t="s">
        <v>121</v>
      </c>
      <c r="C73" s="85">
        <f t="shared" si="2"/>
        <v>0</v>
      </c>
      <c r="D73" s="20">
        <f>SUMIFS(Master!$L$2:$L$1254,Master!$G$2:$G$1254,분류!D$21,Master!$E$2:$E$1254,분류!$B73)</f>
        <v>0</v>
      </c>
      <c r="E73" s="20">
        <f>SUMIFS(Master!$L$2:$L$1254,Master!$G$2:$G$1254,분류!E$21,Master!$E$2:$E$1254,분류!$B73)</f>
        <v>0</v>
      </c>
      <c r="F73" s="20">
        <f>SUMIFS(Master!$L$2:$L$1254,Master!$G$2:$G$1254,분류!F$21,Master!$E$2:$E$1254,분류!$B73)</f>
        <v>0</v>
      </c>
      <c r="G73" s="20">
        <f>SUMIFS(Master!$L$2:$L$1254,Master!$G$2:$G$1254,분류!G$21,Master!$E$2:$E$1254,분류!$B73)</f>
        <v>0</v>
      </c>
      <c r="H73" s="20">
        <f>SUMIFS(Master!$L$2:$L$1254,Master!$G$2:$G$1254,분류!H$21,Master!$E$2:$E$1254,분류!$B73)</f>
        <v>0</v>
      </c>
      <c r="I73" s="20">
        <f>SUMIFS(Master!$L$2:$L$1254,Master!$G$2:$G$1254,분류!I$21,Master!$E$2:$E$1254,분류!$B73)</f>
        <v>0</v>
      </c>
      <c r="J73" s="20">
        <f>SUMIFS(Master!$L$2:$L$1254,Master!$G$2:$G$1254,분류!J$21,Master!$E$2:$E$1254,분류!$B73)</f>
        <v>0</v>
      </c>
      <c r="K73" s="20">
        <f>SUMIFS(Master!$L$2:$L$1254,Master!$G$2:$G$1254,분류!K$21,Master!$E$2:$E$1254,분류!$B73)</f>
        <v>0</v>
      </c>
      <c r="L73" s="20">
        <f>SUMIFS(Master!$L$2:$L$1254,Master!$G$2:$G$1254,분류!L$21,Master!$E$2:$E$1254,분류!$B73)</f>
        <v>0</v>
      </c>
      <c r="M73" s="91"/>
    </row>
    <row r="74" spans="1:19">
      <c r="A74" s="86">
        <f t="shared" si="4"/>
        <v>32</v>
      </c>
      <c r="B74" s="83" t="s">
        <v>164</v>
      </c>
      <c r="C74" s="85">
        <f t="shared" si="2"/>
        <v>3550200</v>
      </c>
      <c r="D74" s="20">
        <f>SUMIFS(Master!$L$2:$L$1254,Master!$G$2:$G$1254,분류!D$21,Master!$E$2:$E$1254,분류!$B74)</f>
        <v>0</v>
      </c>
      <c r="E74" s="20">
        <f>SUMIFS(Master!$L$2:$L$1254,Master!$G$2:$G$1254,분류!E$21,Master!$E$2:$E$1254,분류!$B74)</f>
        <v>3550200</v>
      </c>
      <c r="F74" s="20">
        <f>SUMIFS(Master!$L$2:$L$1254,Master!$G$2:$G$1254,분류!F$21,Master!$E$2:$E$1254,분류!$B74)</f>
        <v>0</v>
      </c>
      <c r="G74" s="20">
        <f>SUMIFS(Master!$L$2:$L$1254,Master!$G$2:$G$1254,분류!G$21,Master!$E$2:$E$1254,분류!$B74)</f>
        <v>0</v>
      </c>
      <c r="H74" s="20">
        <f>SUMIFS(Master!$L$2:$L$1254,Master!$G$2:$G$1254,분류!H$21,Master!$E$2:$E$1254,분류!$B74)</f>
        <v>0</v>
      </c>
      <c r="I74" s="20">
        <f>SUMIFS(Master!$L$2:$L$1254,Master!$G$2:$G$1254,분류!I$21,Master!$E$2:$E$1254,분류!$B74)</f>
        <v>0</v>
      </c>
      <c r="J74" s="20">
        <f>SUMIFS(Master!$L$2:$L$1254,Master!$G$2:$G$1254,분류!J$21,Master!$E$2:$E$1254,분류!$B74)</f>
        <v>0</v>
      </c>
      <c r="K74" s="20">
        <f>SUMIFS(Master!$L$2:$L$1254,Master!$G$2:$G$1254,분류!K$21,Master!$E$2:$E$1254,분류!$B74)</f>
        <v>0</v>
      </c>
      <c r="L74" s="20">
        <f>SUMIFS(Master!$L$2:$L$1254,Master!$G$2:$G$1254,분류!L$21,Master!$E$2:$E$1254,분류!$B74)</f>
        <v>0</v>
      </c>
      <c r="M74" s="91"/>
    </row>
    <row r="75" spans="1:19">
      <c r="A75" s="86">
        <f t="shared" si="4"/>
        <v>65</v>
      </c>
      <c r="B75" s="83" t="s">
        <v>2579</v>
      </c>
      <c r="C75" s="85">
        <f t="shared" si="2"/>
        <v>0</v>
      </c>
      <c r="D75" s="20">
        <f>SUMIFS(Master!$L$2:$L$1254,Master!$G$2:$G$1254,분류!D$21,Master!$E$2:$E$1254,분류!$B75)</f>
        <v>0</v>
      </c>
      <c r="E75" s="20">
        <f>SUMIFS(Master!$L$2:$L$1254,Master!$G$2:$G$1254,분류!E$21,Master!$E$2:$E$1254,분류!$B75)</f>
        <v>0</v>
      </c>
      <c r="F75" s="20">
        <f>SUMIFS(Master!$L$2:$L$1254,Master!$G$2:$G$1254,분류!F$21,Master!$E$2:$E$1254,분류!$B75)</f>
        <v>0</v>
      </c>
      <c r="G75" s="20">
        <f>SUMIFS(Master!$L$2:$L$1254,Master!$G$2:$G$1254,분류!G$21,Master!$E$2:$E$1254,분류!$B75)</f>
        <v>0</v>
      </c>
      <c r="H75" s="20">
        <f>SUMIFS(Master!$L$2:$L$1254,Master!$G$2:$G$1254,분류!H$21,Master!$E$2:$E$1254,분류!$B75)</f>
        <v>0</v>
      </c>
      <c r="I75" s="20">
        <f>SUMIFS(Master!$L$2:$L$1254,Master!$G$2:$G$1254,분류!I$21,Master!$E$2:$E$1254,분류!$B75)</f>
        <v>0</v>
      </c>
      <c r="J75" s="20">
        <f>SUMIFS(Master!$L$2:$L$1254,Master!$G$2:$G$1254,분류!J$21,Master!$E$2:$E$1254,분류!$B75)</f>
        <v>0</v>
      </c>
      <c r="K75" s="20">
        <f>SUMIFS(Master!$L$2:$L$1254,Master!$G$2:$G$1254,분류!K$21,Master!$E$2:$E$1254,분류!$B75)</f>
        <v>0</v>
      </c>
      <c r="L75" s="20">
        <f>SUMIFS(Master!$L$2:$L$1254,Master!$G$2:$G$1254,분류!L$21,Master!$E$2:$E$1254,분류!$B75)</f>
        <v>0</v>
      </c>
      <c r="M75" s="91"/>
    </row>
    <row r="76" spans="1:19">
      <c r="A76" s="86">
        <f t="shared" si="4"/>
        <v>65</v>
      </c>
      <c r="B76" s="19" t="s">
        <v>172</v>
      </c>
      <c r="C76" s="85">
        <f t="shared" si="2"/>
        <v>0</v>
      </c>
      <c r="D76" s="20">
        <f>SUMIFS(Master!$L$2:$L$1254,Master!$G$2:$G$1254,분류!D$21,Master!$E$2:$E$1254,분류!$B76)</f>
        <v>0</v>
      </c>
      <c r="E76" s="20">
        <f>SUMIFS(Master!$L$2:$L$1254,Master!$G$2:$G$1254,분류!E$21,Master!$E$2:$E$1254,분류!$B76)</f>
        <v>0</v>
      </c>
      <c r="F76" s="20">
        <f>SUMIFS(Master!$L$2:$L$1254,Master!$G$2:$G$1254,분류!F$21,Master!$E$2:$E$1254,분류!$B76)</f>
        <v>0</v>
      </c>
      <c r="G76" s="20">
        <f>SUMIFS(Master!$L$2:$L$1254,Master!$G$2:$G$1254,분류!G$21,Master!$E$2:$E$1254,분류!$B76)</f>
        <v>0</v>
      </c>
      <c r="H76" s="20">
        <f>SUMIFS(Master!$L$2:$L$1254,Master!$G$2:$G$1254,분류!H$21,Master!$E$2:$E$1254,분류!$B76)</f>
        <v>0</v>
      </c>
      <c r="I76" s="20">
        <f>SUMIFS(Master!$L$2:$L$1254,Master!$G$2:$G$1254,분류!I$21,Master!$E$2:$E$1254,분류!$B76)</f>
        <v>0</v>
      </c>
      <c r="J76" s="20">
        <f>SUMIFS(Master!$L$2:$L$1254,Master!$G$2:$G$1254,분류!J$21,Master!$E$2:$E$1254,분류!$B76)</f>
        <v>0</v>
      </c>
      <c r="K76" s="20">
        <f>SUMIFS(Master!$L$2:$L$1254,Master!$G$2:$G$1254,분류!K$21,Master!$E$2:$E$1254,분류!$B76)</f>
        <v>0</v>
      </c>
      <c r="L76" s="20">
        <f>SUMIFS(Master!$L$2:$L$1254,Master!$G$2:$G$1254,분류!L$21,Master!$E$2:$E$1254,분류!$B76)</f>
        <v>0</v>
      </c>
      <c r="M76" s="91"/>
    </row>
    <row r="77" spans="1:19">
      <c r="A77" s="86">
        <f t="shared" si="4"/>
        <v>65</v>
      </c>
      <c r="B77" s="19" t="s">
        <v>788</v>
      </c>
      <c r="C77" s="85">
        <f t="shared" si="2"/>
        <v>0</v>
      </c>
      <c r="D77" s="20">
        <f>SUMIFS(Master!$L$2:$L$1254,Master!$G$2:$G$1254,분류!D$21,Master!$E$2:$E$1254,분류!$B77)</f>
        <v>0</v>
      </c>
      <c r="E77" s="20">
        <f>SUMIFS(Master!$L$2:$L$1254,Master!$G$2:$G$1254,분류!E$21,Master!$E$2:$E$1254,분류!$B77)</f>
        <v>0</v>
      </c>
      <c r="F77" s="20">
        <f>SUMIFS(Master!$L$2:$L$1254,Master!$G$2:$G$1254,분류!F$21,Master!$E$2:$E$1254,분류!$B77)</f>
        <v>0</v>
      </c>
      <c r="G77" s="20">
        <f>SUMIFS(Master!$L$2:$L$1254,Master!$G$2:$G$1254,분류!G$21,Master!$E$2:$E$1254,분류!$B77)</f>
        <v>0</v>
      </c>
      <c r="H77" s="20">
        <f>SUMIFS(Master!$L$2:$L$1254,Master!$G$2:$G$1254,분류!H$21,Master!$E$2:$E$1254,분류!$B77)</f>
        <v>0</v>
      </c>
      <c r="I77" s="20">
        <f>SUMIFS(Master!$L$2:$L$1254,Master!$G$2:$G$1254,분류!I$21,Master!$E$2:$E$1254,분류!$B77)</f>
        <v>0</v>
      </c>
      <c r="J77" s="20">
        <f>SUMIFS(Master!$L$2:$L$1254,Master!$G$2:$G$1254,분류!J$21,Master!$E$2:$E$1254,분류!$B77)</f>
        <v>0</v>
      </c>
      <c r="K77" s="20">
        <f>SUMIFS(Master!$L$2:$L$1254,Master!$G$2:$G$1254,분류!K$21,Master!$E$2:$E$1254,분류!$B77)</f>
        <v>0</v>
      </c>
      <c r="L77" s="20">
        <f>SUMIFS(Master!$L$2:$L$1254,Master!$G$2:$G$1254,분류!L$21,Master!$E$2:$E$1254,분류!$B77)</f>
        <v>0</v>
      </c>
      <c r="M77" s="91"/>
    </row>
    <row r="78" spans="1:19">
      <c r="A78" s="86">
        <f t="shared" si="4"/>
        <v>45</v>
      </c>
      <c r="B78" s="19" t="s">
        <v>2423</v>
      </c>
      <c r="C78" s="85">
        <f t="shared" si="2"/>
        <v>1000000</v>
      </c>
      <c r="D78" s="20">
        <f>SUMIFS(Master!$L$2:$L$1254,Master!$G$2:$G$1254,분류!D$21,Master!$E$2:$E$1254,분류!$B78)</f>
        <v>1000000</v>
      </c>
      <c r="E78" s="20">
        <f>SUMIFS(Master!$L$2:$L$1254,Master!$G$2:$G$1254,분류!E$21,Master!$E$2:$E$1254,분류!$B78)</f>
        <v>0</v>
      </c>
      <c r="F78" s="20">
        <f>SUMIFS(Master!$L$2:$L$1254,Master!$G$2:$G$1254,분류!F$21,Master!$E$2:$E$1254,분류!$B78)</f>
        <v>0</v>
      </c>
      <c r="G78" s="20">
        <f>SUMIFS(Master!$L$2:$L$1254,Master!$G$2:$G$1254,분류!G$21,Master!$E$2:$E$1254,분류!$B78)</f>
        <v>0</v>
      </c>
      <c r="H78" s="20">
        <f>SUMIFS(Master!$L$2:$L$1254,Master!$G$2:$G$1254,분류!H$21,Master!$E$2:$E$1254,분류!$B78)</f>
        <v>0</v>
      </c>
      <c r="I78" s="20">
        <f>SUMIFS(Master!$L$2:$L$1254,Master!$G$2:$G$1254,분류!I$21,Master!$E$2:$E$1254,분류!$B78)</f>
        <v>0</v>
      </c>
      <c r="J78" s="20">
        <f>SUMIFS(Master!$L$2:$L$1254,Master!$G$2:$G$1254,분류!J$21,Master!$E$2:$E$1254,분류!$B78)</f>
        <v>0</v>
      </c>
      <c r="K78" s="20">
        <f>SUMIFS(Master!$L$2:$L$1254,Master!$G$2:$G$1254,분류!K$21,Master!$E$2:$E$1254,분류!$B78)</f>
        <v>0</v>
      </c>
      <c r="L78" s="20">
        <f>SUMIFS(Master!$L$2:$L$1254,Master!$G$2:$G$1254,분류!L$21,Master!$E$2:$E$1254,분류!$B78)</f>
        <v>0</v>
      </c>
      <c r="M78" s="91"/>
    </row>
    <row r="79" spans="1:19">
      <c r="A79" s="86">
        <f t="shared" si="4"/>
        <v>65</v>
      </c>
      <c r="B79" s="19" t="s">
        <v>2623</v>
      </c>
      <c r="C79" s="85">
        <f t="shared" ref="C79" si="6">SUM(D79:L79)</f>
        <v>0</v>
      </c>
      <c r="D79" s="20">
        <f>SUMIFS(Master!$L$2:$L$1254,Master!$G$2:$G$1254,분류!D$21,Master!$E$2:$E$1254,분류!$B79)</f>
        <v>0</v>
      </c>
      <c r="E79" s="20">
        <f>SUMIFS(Master!$L$2:$L$1254,Master!$G$2:$G$1254,분류!E$21,Master!$E$2:$E$1254,분류!$B79)</f>
        <v>0</v>
      </c>
      <c r="F79" s="20">
        <f>SUMIFS(Master!$L$2:$L$1254,Master!$G$2:$G$1254,분류!F$21,Master!$E$2:$E$1254,분류!$B79)</f>
        <v>0</v>
      </c>
      <c r="G79" s="20">
        <f>SUMIFS(Master!$L$2:$L$1254,Master!$G$2:$G$1254,분류!G$21,Master!$E$2:$E$1254,분류!$B79)</f>
        <v>0</v>
      </c>
      <c r="H79" s="20">
        <f>SUMIFS(Master!$L$2:$L$1254,Master!$G$2:$G$1254,분류!H$21,Master!$E$2:$E$1254,분류!$B79)</f>
        <v>0</v>
      </c>
      <c r="I79" s="20">
        <f>SUMIFS(Master!$L$2:$L$1254,Master!$G$2:$G$1254,분류!I$21,Master!$E$2:$E$1254,분류!$B79)</f>
        <v>0</v>
      </c>
      <c r="J79" s="20">
        <f>SUMIFS(Master!$L$2:$L$1254,Master!$G$2:$G$1254,분류!J$21,Master!$E$2:$E$1254,분류!$B79)</f>
        <v>0</v>
      </c>
      <c r="K79" s="20">
        <f>SUMIFS(Master!$L$2:$L$1254,Master!$G$2:$G$1254,분류!K$21,Master!$E$2:$E$1254,분류!$B79)</f>
        <v>0</v>
      </c>
      <c r="L79" s="20">
        <f>SUMIFS(Master!$L$2:$L$1254,Master!$G$2:$G$1254,분류!L$21,Master!$E$2:$E$1254,분류!$B79)</f>
        <v>0</v>
      </c>
      <c r="M79" s="91"/>
    </row>
    <row r="80" spans="1:19">
      <c r="A80" s="86">
        <f t="shared" si="4"/>
        <v>52</v>
      </c>
      <c r="B80" s="19" t="s">
        <v>158</v>
      </c>
      <c r="C80" s="85">
        <f t="shared" si="2"/>
        <v>414000</v>
      </c>
      <c r="D80" s="20">
        <f>SUMIFS(Master!$L$2:$L$1254,Master!$G$2:$G$1254,분류!D$21,Master!$E$2:$E$1254,분류!$B80)</f>
        <v>0</v>
      </c>
      <c r="E80" s="20">
        <f>SUMIFS(Master!$L$2:$L$1254,Master!$G$2:$G$1254,분류!E$21,Master!$E$2:$E$1254,분류!$B80)</f>
        <v>0</v>
      </c>
      <c r="F80" s="20">
        <f>SUMIFS(Master!$L$2:$L$1254,Master!$G$2:$G$1254,분류!F$21,Master!$E$2:$E$1254,분류!$B80)</f>
        <v>0</v>
      </c>
      <c r="G80" s="20">
        <f>SUMIFS(Master!$L$2:$L$1254,Master!$G$2:$G$1254,분류!G$21,Master!$E$2:$E$1254,분류!$B80)</f>
        <v>0</v>
      </c>
      <c r="H80" s="20">
        <f>SUMIFS(Master!$L$2:$L$1254,Master!$G$2:$G$1254,분류!H$21,Master!$E$2:$E$1254,분류!$B80)</f>
        <v>0</v>
      </c>
      <c r="I80" s="20">
        <f>SUMIFS(Master!$L$2:$L$1254,Master!$G$2:$G$1254,분류!I$21,Master!$E$2:$E$1254,분류!$B80)</f>
        <v>414000</v>
      </c>
      <c r="J80" s="20">
        <f>SUMIFS(Master!$L$2:$L$1254,Master!$G$2:$G$1254,분류!J$21,Master!$E$2:$E$1254,분류!$B80)</f>
        <v>0</v>
      </c>
      <c r="K80" s="20">
        <f>SUMIFS(Master!$L$2:$L$1254,Master!$G$2:$G$1254,분류!K$21,Master!$E$2:$E$1254,분류!$B80)</f>
        <v>0</v>
      </c>
      <c r="L80" s="20">
        <f>SUMIFS(Master!$L$2:$L$1254,Master!$G$2:$G$1254,분류!L$21,Master!$E$2:$E$1254,분류!$B80)</f>
        <v>0</v>
      </c>
      <c r="M80" s="91"/>
    </row>
    <row r="81" spans="1:13">
      <c r="A81" s="86">
        <f t="shared" si="4"/>
        <v>15</v>
      </c>
      <c r="B81" s="19" t="s">
        <v>168</v>
      </c>
      <c r="C81" s="85">
        <f t="shared" si="2"/>
        <v>11020000</v>
      </c>
      <c r="D81" s="20">
        <f>SUMIFS(Master!$L$2:$L$1254,Master!$G$2:$G$1254,분류!D$21,Master!$E$2:$E$1254,분류!$B81)</f>
        <v>11020000</v>
      </c>
      <c r="E81" s="20">
        <f>SUMIFS(Master!$L$2:$L$1254,Master!$G$2:$G$1254,분류!E$21,Master!$E$2:$E$1254,분류!$B81)</f>
        <v>0</v>
      </c>
      <c r="F81" s="20">
        <f>SUMIFS(Master!$L$2:$L$1254,Master!$G$2:$G$1254,분류!F$21,Master!$E$2:$E$1254,분류!$B81)</f>
        <v>0</v>
      </c>
      <c r="G81" s="20">
        <f>SUMIFS(Master!$L$2:$L$1254,Master!$G$2:$G$1254,분류!G$21,Master!$E$2:$E$1254,분류!$B81)</f>
        <v>0</v>
      </c>
      <c r="H81" s="20">
        <f>SUMIFS(Master!$L$2:$L$1254,Master!$G$2:$G$1254,분류!H$21,Master!$E$2:$E$1254,분류!$B81)</f>
        <v>0</v>
      </c>
      <c r="I81" s="20">
        <f>SUMIFS(Master!$L$2:$L$1254,Master!$G$2:$G$1254,분류!I$21,Master!$E$2:$E$1254,분류!$B81)</f>
        <v>0</v>
      </c>
      <c r="J81" s="20">
        <f>SUMIFS(Master!$L$2:$L$1254,Master!$G$2:$G$1254,분류!J$21,Master!$E$2:$E$1254,분류!$B81)</f>
        <v>0</v>
      </c>
      <c r="K81" s="20">
        <f>SUMIFS(Master!$L$2:$L$1254,Master!$G$2:$G$1254,분류!K$21,Master!$E$2:$E$1254,분류!$B81)</f>
        <v>0</v>
      </c>
      <c r="L81" s="20">
        <f>SUMIFS(Master!$L$2:$L$1254,Master!$G$2:$G$1254,분류!L$21,Master!$E$2:$E$1254,분류!$B81)</f>
        <v>0</v>
      </c>
      <c r="M81" s="91"/>
    </row>
    <row r="82" spans="1:13">
      <c r="A82" s="86">
        <f t="shared" si="4"/>
        <v>40</v>
      </c>
      <c r="B82" s="19" t="s">
        <v>178</v>
      </c>
      <c r="C82" s="85">
        <f t="shared" si="2"/>
        <v>1740000</v>
      </c>
      <c r="D82" s="20">
        <f>SUMIFS(Master!$L$2:$L$1254,Master!$G$2:$G$1254,분류!D$21,Master!$E$2:$E$1254,분류!$B82)</f>
        <v>0</v>
      </c>
      <c r="E82" s="20">
        <f>SUMIFS(Master!$L$2:$L$1254,Master!$G$2:$G$1254,분류!E$21,Master!$E$2:$E$1254,분류!$B82)</f>
        <v>1740000</v>
      </c>
      <c r="F82" s="20">
        <f>SUMIFS(Master!$L$2:$L$1254,Master!$G$2:$G$1254,분류!F$21,Master!$E$2:$E$1254,분류!$B82)</f>
        <v>0</v>
      </c>
      <c r="G82" s="20">
        <f>SUMIFS(Master!$L$2:$L$1254,Master!$G$2:$G$1254,분류!G$21,Master!$E$2:$E$1254,분류!$B82)</f>
        <v>0</v>
      </c>
      <c r="H82" s="20">
        <f>SUMIFS(Master!$L$2:$L$1254,Master!$G$2:$G$1254,분류!H$21,Master!$E$2:$E$1254,분류!$B82)</f>
        <v>0</v>
      </c>
      <c r="I82" s="20">
        <f>SUMIFS(Master!$L$2:$L$1254,Master!$G$2:$G$1254,분류!I$21,Master!$E$2:$E$1254,분류!$B82)</f>
        <v>0</v>
      </c>
      <c r="J82" s="20">
        <f>SUMIFS(Master!$L$2:$L$1254,Master!$G$2:$G$1254,분류!J$21,Master!$E$2:$E$1254,분류!$B82)</f>
        <v>0</v>
      </c>
      <c r="K82" s="20">
        <f>SUMIFS(Master!$L$2:$L$1254,Master!$G$2:$G$1254,분류!K$21,Master!$E$2:$E$1254,분류!$B82)</f>
        <v>0</v>
      </c>
      <c r="L82" s="20">
        <f>SUMIFS(Master!$L$2:$L$1254,Master!$G$2:$G$1254,분류!L$21,Master!$E$2:$E$1254,분류!$B82)</f>
        <v>0</v>
      </c>
      <c r="M82" s="91"/>
    </row>
    <row r="83" spans="1:13">
      <c r="A83" s="86">
        <f t="shared" si="4"/>
        <v>65</v>
      </c>
      <c r="B83" s="19" t="s">
        <v>32</v>
      </c>
      <c r="C83" s="85">
        <f t="shared" si="2"/>
        <v>0</v>
      </c>
      <c r="D83" s="20">
        <f>SUMIFS(Master!$L$2:$L$1254,Master!$G$2:$G$1254,분류!D$21,Master!$E$2:$E$1254,분류!$B83)</f>
        <v>0</v>
      </c>
      <c r="E83" s="20">
        <f>SUMIFS(Master!$L$2:$L$1254,Master!$G$2:$G$1254,분류!E$21,Master!$E$2:$E$1254,분류!$B83)</f>
        <v>0</v>
      </c>
      <c r="F83" s="20">
        <f>SUMIFS(Master!$L$2:$L$1254,Master!$G$2:$G$1254,분류!F$21,Master!$E$2:$E$1254,분류!$B83)</f>
        <v>0</v>
      </c>
      <c r="G83" s="20">
        <f>SUMIFS(Master!$L$2:$L$1254,Master!$G$2:$G$1254,분류!G$21,Master!$E$2:$E$1254,분류!$B83)</f>
        <v>0</v>
      </c>
      <c r="H83" s="20">
        <f>SUMIFS(Master!$L$2:$L$1254,Master!$G$2:$G$1254,분류!H$21,Master!$E$2:$E$1254,분류!$B83)</f>
        <v>0</v>
      </c>
      <c r="I83" s="20">
        <f>SUMIFS(Master!$L$2:$L$1254,Master!$G$2:$G$1254,분류!I$21,Master!$E$2:$E$1254,분류!$B83)</f>
        <v>0</v>
      </c>
      <c r="J83" s="20">
        <f>SUMIFS(Master!$L$2:$L$1254,Master!$G$2:$G$1254,분류!J$21,Master!$E$2:$E$1254,분류!$B83)</f>
        <v>0</v>
      </c>
      <c r="K83" s="20">
        <f>SUMIFS(Master!$L$2:$L$1254,Master!$G$2:$G$1254,분류!K$21,Master!$E$2:$E$1254,분류!$B83)</f>
        <v>0</v>
      </c>
      <c r="L83" s="20">
        <f>SUMIFS(Master!$L$2:$L$1254,Master!$G$2:$G$1254,분류!L$21,Master!$E$2:$E$1254,분류!$B83)</f>
        <v>0</v>
      </c>
      <c r="M83" s="91"/>
    </row>
    <row r="84" spans="1:13">
      <c r="A84" s="86">
        <f t="shared" si="4"/>
        <v>9</v>
      </c>
      <c r="B84" s="19" t="s">
        <v>13</v>
      </c>
      <c r="C84" s="85">
        <f t="shared" si="2"/>
        <v>27322000</v>
      </c>
      <c r="D84" s="20">
        <f>SUMIFS(Master!$L$2:$L$1254,Master!$G$2:$G$1254,분류!D$21,Master!$E$2:$E$1254,분류!$B84)</f>
        <v>27322000</v>
      </c>
      <c r="E84" s="20">
        <f>SUMIFS(Master!$L$2:$L$1254,Master!$G$2:$G$1254,분류!E$21,Master!$E$2:$E$1254,분류!$B84)</f>
        <v>0</v>
      </c>
      <c r="F84" s="20">
        <f>SUMIFS(Master!$L$2:$L$1254,Master!$G$2:$G$1254,분류!F$21,Master!$E$2:$E$1254,분류!$B84)</f>
        <v>0</v>
      </c>
      <c r="G84" s="20">
        <f>SUMIFS(Master!$L$2:$L$1254,Master!$G$2:$G$1254,분류!G$21,Master!$E$2:$E$1254,분류!$B84)</f>
        <v>0</v>
      </c>
      <c r="H84" s="20">
        <f>SUMIFS(Master!$L$2:$L$1254,Master!$G$2:$G$1254,분류!H$21,Master!$E$2:$E$1254,분류!$B84)</f>
        <v>0</v>
      </c>
      <c r="I84" s="20">
        <f>SUMIFS(Master!$L$2:$L$1254,Master!$G$2:$G$1254,분류!I$21,Master!$E$2:$E$1254,분류!$B84)</f>
        <v>0</v>
      </c>
      <c r="J84" s="20">
        <f>SUMIFS(Master!$L$2:$L$1254,Master!$G$2:$G$1254,분류!J$21,Master!$E$2:$E$1254,분류!$B84)</f>
        <v>0</v>
      </c>
      <c r="K84" s="20">
        <f>SUMIFS(Master!$L$2:$L$1254,Master!$G$2:$G$1254,분류!K$21,Master!$E$2:$E$1254,분류!$B84)</f>
        <v>0</v>
      </c>
      <c r="L84" s="20">
        <f>SUMIFS(Master!$L$2:$L$1254,Master!$G$2:$G$1254,분류!L$21,Master!$E$2:$E$1254,분류!$B84)</f>
        <v>0</v>
      </c>
      <c r="M84" s="91"/>
    </row>
    <row r="85" spans="1:13">
      <c r="A85" s="86">
        <f t="shared" si="4"/>
        <v>65</v>
      </c>
      <c r="B85" s="19" t="s">
        <v>67</v>
      </c>
      <c r="C85" s="85">
        <f t="shared" si="2"/>
        <v>0</v>
      </c>
      <c r="D85" s="20">
        <f>SUMIFS(Master!$L$2:$L$1254,Master!$G$2:$G$1254,분류!D$21,Master!$E$2:$E$1254,분류!$B85)</f>
        <v>0</v>
      </c>
      <c r="E85" s="20">
        <f>SUMIFS(Master!$L$2:$L$1254,Master!$G$2:$G$1254,분류!E$21,Master!$E$2:$E$1254,분류!$B85)</f>
        <v>0</v>
      </c>
      <c r="F85" s="20">
        <f>SUMIFS(Master!$L$2:$L$1254,Master!$G$2:$G$1254,분류!F$21,Master!$E$2:$E$1254,분류!$B85)</f>
        <v>0</v>
      </c>
      <c r="G85" s="20">
        <f>SUMIFS(Master!$L$2:$L$1254,Master!$G$2:$G$1254,분류!G$21,Master!$E$2:$E$1254,분류!$B85)</f>
        <v>0</v>
      </c>
      <c r="H85" s="20">
        <f>SUMIFS(Master!$L$2:$L$1254,Master!$G$2:$G$1254,분류!H$21,Master!$E$2:$E$1254,분류!$B85)</f>
        <v>0</v>
      </c>
      <c r="I85" s="20">
        <f>SUMIFS(Master!$L$2:$L$1254,Master!$G$2:$G$1254,분류!I$21,Master!$E$2:$E$1254,분류!$B85)</f>
        <v>0</v>
      </c>
      <c r="J85" s="20">
        <f>SUMIFS(Master!$L$2:$L$1254,Master!$G$2:$G$1254,분류!J$21,Master!$E$2:$E$1254,분류!$B85)</f>
        <v>0</v>
      </c>
      <c r="K85" s="20">
        <f>SUMIFS(Master!$L$2:$L$1254,Master!$G$2:$G$1254,분류!K$21,Master!$E$2:$E$1254,분류!$B85)</f>
        <v>0</v>
      </c>
      <c r="L85" s="20">
        <f>SUMIFS(Master!$L$2:$L$1254,Master!$G$2:$G$1254,분류!L$21,Master!$E$2:$E$1254,분류!$B85)</f>
        <v>0</v>
      </c>
      <c r="M85" s="91"/>
    </row>
    <row r="86" spans="1:13">
      <c r="A86" s="86">
        <f t="shared" si="4"/>
        <v>10</v>
      </c>
      <c r="B86" s="19" t="s">
        <v>33</v>
      </c>
      <c r="C86" s="85">
        <f t="shared" si="2"/>
        <v>17430000</v>
      </c>
      <c r="D86" s="20">
        <f>SUMIFS(Master!$L$2:$L$1254,Master!$G$2:$G$1254,분류!D$21,Master!$E$2:$E$1254,분류!$B86)</f>
        <v>15860000</v>
      </c>
      <c r="E86" s="20">
        <f>SUMIFS(Master!$L$2:$L$1254,Master!$G$2:$G$1254,분류!E$21,Master!$E$2:$E$1254,분류!$B86)</f>
        <v>640000</v>
      </c>
      <c r="F86" s="20">
        <f>SUMIFS(Master!$L$2:$L$1254,Master!$G$2:$G$1254,분류!F$21,Master!$E$2:$E$1254,분류!$B86)</f>
        <v>0</v>
      </c>
      <c r="G86" s="20">
        <f>SUMIFS(Master!$L$2:$L$1254,Master!$G$2:$G$1254,분류!G$21,Master!$E$2:$E$1254,분류!$B86)</f>
        <v>0</v>
      </c>
      <c r="H86" s="20">
        <f>SUMIFS(Master!$L$2:$L$1254,Master!$G$2:$G$1254,분류!H$21,Master!$E$2:$E$1254,분류!$B86)</f>
        <v>930000</v>
      </c>
      <c r="I86" s="20">
        <f>SUMIFS(Master!$L$2:$L$1254,Master!$G$2:$G$1254,분류!I$21,Master!$E$2:$E$1254,분류!$B86)</f>
        <v>0</v>
      </c>
      <c r="J86" s="20">
        <f>SUMIFS(Master!$L$2:$L$1254,Master!$G$2:$G$1254,분류!J$21,Master!$E$2:$E$1254,분류!$B86)</f>
        <v>0</v>
      </c>
      <c r="K86" s="20">
        <f>SUMIFS(Master!$L$2:$L$1254,Master!$G$2:$G$1254,분류!K$21,Master!$E$2:$E$1254,분류!$B86)</f>
        <v>0</v>
      </c>
      <c r="L86" s="20">
        <f>SUMIFS(Master!$L$2:$L$1254,Master!$G$2:$G$1254,분류!L$21,Master!$E$2:$E$1254,분류!$B86)</f>
        <v>0</v>
      </c>
      <c r="M86" s="91"/>
    </row>
    <row r="87" spans="1:13">
      <c r="A87" s="86">
        <f t="shared" si="4"/>
        <v>33</v>
      </c>
      <c r="B87" s="19" t="s">
        <v>91</v>
      </c>
      <c r="C87" s="85">
        <f t="shared" si="2"/>
        <v>2950000</v>
      </c>
      <c r="D87" s="20">
        <f>SUMIFS(Master!$L$2:$L$1254,Master!$G$2:$G$1254,분류!D$21,Master!$E$2:$E$1254,분류!$B87)</f>
        <v>2950000</v>
      </c>
      <c r="E87" s="20">
        <f>SUMIFS(Master!$L$2:$L$1254,Master!$G$2:$G$1254,분류!E$21,Master!$E$2:$E$1254,분류!$B87)</f>
        <v>0</v>
      </c>
      <c r="F87" s="20">
        <f>SUMIFS(Master!$L$2:$L$1254,Master!$G$2:$G$1254,분류!F$21,Master!$E$2:$E$1254,분류!$B87)</f>
        <v>0</v>
      </c>
      <c r="G87" s="20">
        <f>SUMIFS(Master!$L$2:$L$1254,Master!$G$2:$G$1254,분류!G$21,Master!$E$2:$E$1254,분류!$B87)</f>
        <v>0</v>
      </c>
      <c r="H87" s="20">
        <f>SUMIFS(Master!$L$2:$L$1254,Master!$G$2:$G$1254,분류!H$21,Master!$E$2:$E$1254,분류!$B87)</f>
        <v>0</v>
      </c>
      <c r="I87" s="20">
        <f>SUMIFS(Master!$L$2:$L$1254,Master!$G$2:$G$1254,분류!I$21,Master!$E$2:$E$1254,분류!$B87)</f>
        <v>0</v>
      </c>
      <c r="J87" s="20">
        <f>SUMIFS(Master!$L$2:$L$1254,Master!$G$2:$G$1254,분류!J$21,Master!$E$2:$E$1254,분류!$B87)</f>
        <v>0</v>
      </c>
      <c r="K87" s="20">
        <f>SUMIFS(Master!$L$2:$L$1254,Master!$G$2:$G$1254,분류!K$21,Master!$E$2:$E$1254,분류!$B87)</f>
        <v>0</v>
      </c>
      <c r="L87" s="20">
        <f>SUMIFS(Master!$L$2:$L$1254,Master!$G$2:$G$1254,분류!L$21,Master!$E$2:$E$1254,분류!$B87)</f>
        <v>0</v>
      </c>
      <c r="M87" s="91"/>
    </row>
    <row r="88" spans="1:13">
      <c r="A88" s="86">
        <f t="shared" ref="A88:A115" si="7">RANK(C88,$C$23:$C$115,0)</f>
        <v>34</v>
      </c>
      <c r="B88" s="19" t="s">
        <v>20</v>
      </c>
      <c r="C88" s="85">
        <f t="shared" si="2"/>
        <v>2820000</v>
      </c>
      <c r="D88" s="20">
        <f>SUMIFS(Master!$L$2:$L$1254,Master!$G$2:$G$1254,분류!D$21,Master!$E$2:$E$1254,분류!$B88)</f>
        <v>600000</v>
      </c>
      <c r="E88" s="20">
        <f>SUMIFS(Master!$L$2:$L$1254,Master!$G$2:$G$1254,분류!E$21,Master!$E$2:$E$1254,분류!$B88)</f>
        <v>2220000</v>
      </c>
      <c r="F88" s="20">
        <f>SUMIFS(Master!$L$2:$L$1254,Master!$G$2:$G$1254,분류!F$21,Master!$E$2:$E$1254,분류!$B88)</f>
        <v>0</v>
      </c>
      <c r="G88" s="20">
        <f>SUMIFS(Master!$L$2:$L$1254,Master!$G$2:$G$1254,분류!G$21,Master!$E$2:$E$1254,분류!$B88)</f>
        <v>0</v>
      </c>
      <c r="H88" s="20">
        <f>SUMIFS(Master!$L$2:$L$1254,Master!$G$2:$G$1254,분류!H$21,Master!$E$2:$E$1254,분류!$B88)</f>
        <v>0</v>
      </c>
      <c r="I88" s="20">
        <f>SUMIFS(Master!$L$2:$L$1254,Master!$G$2:$G$1254,분류!I$21,Master!$E$2:$E$1254,분류!$B88)</f>
        <v>0</v>
      </c>
      <c r="J88" s="20">
        <f>SUMIFS(Master!$L$2:$L$1254,Master!$G$2:$G$1254,분류!J$21,Master!$E$2:$E$1254,분류!$B88)</f>
        <v>0</v>
      </c>
      <c r="K88" s="20">
        <f>SUMIFS(Master!$L$2:$L$1254,Master!$G$2:$G$1254,분류!K$21,Master!$E$2:$E$1254,분류!$B88)</f>
        <v>0</v>
      </c>
      <c r="L88" s="20">
        <f>SUMIFS(Master!$L$2:$L$1254,Master!$G$2:$G$1254,분류!L$21,Master!$E$2:$E$1254,분류!$B88)</f>
        <v>0</v>
      </c>
      <c r="M88" s="91"/>
    </row>
    <row r="89" spans="1:13">
      <c r="A89" s="86">
        <f t="shared" si="7"/>
        <v>30</v>
      </c>
      <c r="B89" s="19" t="s">
        <v>31</v>
      </c>
      <c r="C89" s="85">
        <f t="shared" si="2"/>
        <v>3600000</v>
      </c>
      <c r="D89" s="20">
        <f>SUMIFS(Master!$L$2:$L$1254,Master!$G$2:$G$1254,분류!D$21,Master!$E$2:$E$1254,분류!$B89)</f>
        <v>0</v>
      </c>
      <c r="E89" s="20">
        <f>SUMIFS(Master!$L$2:$L$1254,Master!$G$2:$G$1254,분류!E$21,Master!$E$2:$E$1254,분류!$B89)</f>
        <v>3600000</v>
      </c>
      <c r="F89" s="20">
        <f>SUMIFS(Master!$L$2:$L$1254,Master!$G$2:$G$1254,분류!F$21,Master!$E$2:$E$1254,분류!$B89)</f>
        <v>0</v>
      </c>
      <c r="G89" s="20">
        <f>SUMIFS(Master!$L$2:$L$1254,Master!$G$2:$G$1254,분류!G$21,Master!$E$2:$E$1254,분류!$B89)</f>
        <v>0</v>
      </c>
      <c r="H89" s="20">
        <f>SUMIFS(Master!$L$2:$L$1254,Master!$G$2:$G$1254,분류!H$21,Master!$E$2:$E$1254,분류!$B89)</f>
        <v>0</v>
      </c>
      <c r="I89" s="20">
        <f>SUMIFS(Master!$L$2:$L$1254,Master!$G$2:$G$1254,분류!I$21,Master!$E$2:$E$1254,분류!$B89)</f>
        <v>0</v>
      </c>
      <c r="J89" s="20">
        <f>SUMIFS(Master!$L$2:$L$1254,Master!$G$2:$G$1254,분류!J$21,Master!$E$2:$E$1254,분류!$B89)</f>
        <v>0</v>
      </c>
      <c r="K89" s="20">
        <f>SUMIFS(Master!$L$2:$L$1254,Master!$G$2:$G$1254,분류!K$21,Master!$E$2:$E$1254,분류!$B89)</f>
        <v>0</v>
      </c>
      <c r="L89" s="20">
        <f>SUMIFS(Master!$L$2:$L$1254,Master!$G$2:$G$1254,분류!L$21,Master!$E$2:$E$1254,분류!$B89)</f>
        <v>0</v>
      </c>
      <c r="M89" s="91"/>
    </row>
    <row r="90" spans="1:13">
      <c r="A90" s="86">
        <f t="shared" si="7"/>
        <v>65</v>
      </c>
      <c r="B90" s="19" t="s">
        <v>141</v>
      </c>
      <c r="C90" s="85">
        <f t="shared" ref="C90:C114" si="8">SUM(D90:L90)</f>
        <v>0</v>
      </c>
      <c r="D90" s="20">
        <f>SUMIFS(Master!$L$2:$L$1254,Master!$G$2:$G$1254,분류!D$21,Master!$E$2:$E$1254,분류!$B90)</f>
        <v>0</v>
      </c>
      <c r="E90" s="20">
        <f>SUMIFS(Master!$L$2:$L$1254,Master!$G$2:$G$1254,분류!E$21,Master!$E$2:$E$1254,분류!$B90)</f>
        <v>0</v>
      </c>
      <c r="F90" s="20">
        <f>SUMIFS(Master!$L$2:$L$1254,Master!$G$2:$G$1254,분류!F$21,Master!$E$2:$E$1254,분류!$B90)</f>
        <v>0</v>
      </c>
      <c r="G90" s="20">
        <f>SUMIFS(Master!$L$2:$L$1254,Master!$G$2:$G$1254,분류!G$21,Master!$E$2:$E$1254,분류!$B90)</f>
        <v>0</v>
      </c>
      <c r="H90" s="20">
        <f>SUMIFS(Master!$L$2:$L$1254,Master!$G$2:$G$1254,분류!H$21,Master!$E$2:$E$1254,분류!$B90)</f>
        <v>0</v>
      </c>
      <c r="I90" s="20">
        <f>SUMIFS(Master!$L$2:$L$1254,Master!$G$2:$G$1254,분류!I$21,Master!$E$2:$E$1254,분류!$B90)</f>
        <v>0</v>
      </c>
      <c r="J90" s="20">
        <f>SUMIFS(Master!$L$2:$L$1254,Master!$G$2:$G$1254,분류!J$21,Master!$E$2:$E$1254,분류!$B90)</f>
        <v>0</v>
      </c>
      <c r="K90" s="20">
        <f>SUMIFS(Master!$L$2:$L$1254,Master!$G$2:$G$1254,분류!K$21,Master!$E$2:$E$1254,분류!$B90)</f>
        <v>0</v>
      </c>
      <c r="L90" s="20">
        <f>SUMIFS(Master!$L$2:$L$1254,Master!$G$2:$G$1254,분류!L$21,Master!$E$2:$E$1254,분류!$B90)</f>
        <v>0</v>
      </c>
      <c r="M90" s="91"/>
    </row>
    <row r="91" spans="1:13">
      <c r="A91" s="86">
        <f t="shared" si="7"/>
        <v>39</v>
      </c>
      <c r="B91" s="19" t="s">
        <v>90</v>
      </c>
      <c r="C91" s="85">
        <f t="shared" si="8"/>
        <v>1770609</v>
      </c>
      <c r="D91" s="20">
        <f>SUMIFS(Master!$L$2:$L$1254,Master!$G$2:$G$1254,분류!D$21,Master!$E$2:$E$1254,분류!$B91)</f>
        <v>1770609</v>
      </c>
      <c r="E91" s="20">
        <f>SUMIFS(Master!$L$2:$L$1254,Master!$G$2:$G$1254,분류!E$21,Master!$E$2:$E$1254,분류!$B91)</f>
        <v>0</v>
      </c>
      <c r="F91" s="20">
        <f>SUMIFS(Master!$L$2:$L$1254,Master!$G$2:$G$1254,분류!F$21,Master!$E$2:$E$1254,분류!$B91)</f>
        <v>0</v>
      </c>
      <c r="G91" s="20">
        <f>SUMIFS(Master!$L$2:$L$1254,Master!$G$2:$G$1254,분류!G$21,Master!$E$2:$E$1254,분류!$B91)</f>
        <v>0</v>
      </c>
      <c r="H91" s="20">
        <f>SUMIFS(Master!$L$2:$L$1254,Master!$G$2:$G$1254,분류!H$21,Master!$E$2:$E$1254,분류!$B91)</f>
        <v>0</v>
      </c>
      <c r="I91" s="20">
        <f>SUMIFS(Master!$L$2:$L$1254,Master!$G$2:$G$1254,분류!I$21,Master!$E$2:$E$1254,분류!$B91)</f>
        <v>0</v>
      </c>
      <c r="J91" s="20">
        <f>SUMIFS(Master!$L$2:$L$1254,Master!$G$2:$G$1254,분류!J$21,Master!$E$2:$E$1254,분류!$B91)</f>
        <v>0</v>
      </c>
      <c r="K91" s="20">
        <f>SUMIFS(Master!$L$2:$L$1254,Master!$G$2:$G$1254,분류!K$21,Master!$E$2:$E$1254,분류!$B91)</f>
        <v>0</v>
      </c>
      <c r="L91" s="20">
        <f>SUMIFS(Master!$L$2:$L$1254,Master!$G$2:$G$1254,분류!L$21,Master!$E$2:$E$1254,분류!$B91)</f>
        <v>0</v>
      </c>
      <c r="M91" s="91"/>
    </row>
    <row r="92" spans="1:13">
      <c r="A92" s="86">
        <f t="shared" si="7"/>
        <v>64</v>
      </c>
      <c r="B92" s="84" t="s">
        <v>83</v>
      </c>
      <c r="C92" s="85">
        <f t="shared" si="8"/>
        <v>4000</v>
      </c>
      <c r="D92" s="20">
        <f>SUMIFS(Master!$L$2:$L$1254,Master!$G$2:$G$1254,분류!D$21,Master!$E$2:$E$1254,분류!$B92)</f>
        <v>0</v>
      </c>
      <c r="E92" s="20">
        <f>SUMIFS(Master!$L$2:$L$1254,Master!$G$2:$G$1254,분류!E$21,Master!$E$2:$E$1254,분류!$B92)</f>
        <v>0</v>
      </c>
      <c r="F92" s="20">
        <f>SUMIFS(Master!$L$2:$L$1254,Master!$G$2:$G$1254,분류!F$21,Master!$E$2:$E$1254,분류!$B92)</f>
        <v>0</v>
      </c>
      <c r="G92" s="20">
        <f>SUMIFS(Master!$L$2:$L$1254,Master!$G$2:$G$1254,분류!G$21,Master!$E$2:$E$1254,분류!$B92)</f>
        <v>0</v>
      </c>
      <c r="H92" s="20">
        <f>SUMIFS(Master!$L$2:$L$1254,Master!$G$2:$G$1254,분류!H$21,Master!$E$2:$E$1254,분류!$B92)</f>
        <v>0</v>
      </c>
      <c r="I92" s="20">
        <f>SUMIFS(Master!$L$2:$L$1254,Master!$G$2:$G$1254,분류!I$21,Master!$E$2:$E$1254,분류!$B92)</f>
        <v>4000</v>
      </c>
      <c r="J92" s="20">
        <f>SUMIFS(Master!$L$2:$L$1254,Master!$G$2:$G$1254,분류!J$21,Master!$E$2:$E$1254,분류!$B92)</f>
        <v>0</v>
      </c>
      <c r="K92" s="20">
        <f>SUMIFS(Master!$L$2:$L$1254,Master!$G$2:$G$1254,분류!K$21,Master!$E$2:$E$1254,분류!$B92)</f>
        <v>0</v>
      </c>
      <c r="L92" s="20">
        <f>SUMIFS(Master!$L$2:$L$1254,Master!$G$2:$G$1254,분류!L$21,Master!$E$2:$E$1254,분류!$B92)</f>
        <v>0</v>
      </c>
      <c r="M92" s="91"/>
    </row>
    <row r="93" spans="1:13">
      <c r="A93" s="86">
        <f t="shared" si="7"/>
        <v>42</v>
      </c>
      <c r="B93" s="19" t="s">
        <v>119</v>
      </c>
      <c r="C93" s="85">
        <f t="shared" si="8"/>
        <v>1250000</v>
      </c>
      <c r="D93" s="20">
        <f>SUMIFS(Master!$L$2:$L$1254,Master!$G$2:$G$1254,분류!D$21,Master!$E$2:$E$1254,분류!$B93)</f>
        <v>0</v>
      </c>
      <c r="E93" s="20">
        <f>SUMIFS(Master!$L$2:$L$1254,Master!$G$2:$G$1254,분류!E$21,Master!$E$2:$E$1254,분류!$B93)</f>
        <v>1250000</v>
      </c>
      <c r="F93" s="20">
        <f>SUMIFS(Master!$L$2:$L$1254,Master!$G$2:$G$1254,분류!F$21,Master!$E$2:$E$1254,분류!$B93)</f>
        <v>0</v>
      </c>
      <c r="G93" s="20">
        <f>SUMIFS(Master!$L$2:$L$1254,Master!$G$2:$G$1254,분류!G$21,Master!$E$2:$E$1254,분류!$B93)</f>
        <v>0</v>
      </c>
      <c r="H93" s="20">
        <f>SUMIFS(Master!$L$2:$L$1254,Master!$G$2:$G$1254,분류!H$21,Master!$E$2:$E$1254,분류!$B93)</f>
        <v>0</v>
      </c>
      <c r="I93" s="20">
        <f>SUMIFS(Master!$L$2:$L$1254,Master!$G$2:$G$1254,분류!I$21,Master!$E$2:$E$1254,분류!$B93)</f>
        <v>0</v>
      </c>
      <c r="J93" s="20">
        <f>SUMIFS(Master!$L$2:$L$1254,Master!$G$2:$G$1254,분류!J$21,Master!$E$2:$E$1254,분류!$B93)</f>
        <v>0</v>
      </c>
      <c r="K93" s="20">
        <f>SUMIFS(Master!$L$2:$L$1254,Master!$G$2:$G$1254,분류!K$21,Master!$E$2:$E$1254,분류!$B93)</f>
        <v>0</v>
      </c>
      <c r="L93" s="20">
        <f>SUMIFS(Master!$L$2:$L$1254,Master!$G$2:$G$1254,분류!L$21,Master!$E$2:$E$1254,분류!$B93)</f>
        <v>0</v>
      </c>
      <c r="M93" s="91"/>
    </row>
    <row r="94" spans="1:13">
      <c r="A94" s="86">
        <f t="shared" si="7"/>
        <v>46</v>
      </c>
      <c r="B94" s="19" t="s">
        <v>457</v>
      </c>
      <c r="C94" s="85">
        <f t="shared" si="8"/>
        <v>960000</v>
      </c>
      <c r="D94" s="20">
        <f>SUMIFS(Master!$L$2:$L$1254,Master!$G$2:$G$1254,분류!D$21,Master!$E$2:$E$1254,분류!$B94)</f>
        <v>0</v>
      </c>
      <c r="E94" s="20">
        <f>SUMIFS(Master!$L$2:$L$1254,Master!$G$2:$G$1254,분류!E$21,Master!$E$2:$E$1254,분류!$B94)</f>
        <v>0</v>
      </c>
      <c r="F94" s="20">
        <f>SUMIFS(Master!$L$2:$L$1254,Master!$G$2:$G$1254,분류!F$21,Master!$E$2:$E$1254,분류!$B94)</f>
        <v>0</v>
      </c>
      <c r="G94" s="20">
        <f>SUMIFS(Master!$L$2:$L$1254,Master!$G$2:$G$1254,분류!G$21,Master!$E$2:$E$1254,분류!$B94)</f>
        <v>0</v>
      </c>
      <c r="H94" s="20">
        <f>SUMIFS(Master!$L$2:$L$1254,Master!$G$2:$G$1254,분류!H$21,Master!$E$2:$E$1254,분류!$B94)</f>
        <v>0</v>
      </c>
      <c r="I94" s="20">
        <f>SUMIFS(Master!$L$2:$L$1254,Master!$G$2:$G$1254,분류!I$21,Master!$E$2:$E$1254,분류!$B94)</f>
        <v>960000</v>
      </c>
      <c r="J94" s="20">
        <f>SUMIFS(Master!$L$2:$L$1254,Master!$G$2:$G$1254,분류!J$21,Master!$E$2:$E$1254,분류!$B94)</f>
        <v>0</v>
      </c>
      <c r="K94" s="20">
        <f>SUMIFS(Master!$L$2:$L$1254,Master!$G$2:$G$1254,분류!K$21,Master!$E$2:$E$1254,분류!$B94)</f>
        <v>0</v>
      </c>
      <c r="L94" s="20">
        <f>SUMIFS(Master!$L$2:$L$1254,Master!$G$2:$G$1254,분류!L$21,Master!$E$2:$E$1254,분류!$B94)</f>
        <v>0</v>
      </c>
      <c r="M94" s="91"/>
    </row>
    <row r="95" spans="1:13">
      <c r="A95" s="86">
        <f t="shared" si="7"/>
        <v>7</v>
      </c>
      <c r="B95" s="19" t="s">
        <v>26</v>
      </c>
      <c r="C95" s="85">
        <f t="shared" si="8"/>
        <v>55778883.909090914</v>
      </c>
      <c r="D95" s="20">
        <f>SUMIFS(Master!$L$2:$L$1254,Master!$G$2:$G$1254,분류!D$21,Master!$E$2:$E$1254,분류!$B95)</f>
        <v>55762946.909090914</v>
      </c>
      <c r="E95" s="20">
        <f>SUMIFS(Master!$L$2:$L$1254,Master!$G$2:$G$1254,분류!E$21,Master!$E$2:$E$1254,분류!$B95)</f>
        <v>0</v>
      </c>
      <c r="F95" s="20">
        <f>SUMIFS(Master!$L$2:$L$1254,Master!$G$2:$G$1254,분류!F$21,Master!$E$2:$E$1254,분류!$B95)</f>
        <v>0</v>
      </c>
      <c r="G95" s="20">
        <f>SUMIFS(Master!$L$2:$L$1254,Master!$G$2:$G$1254,분류!G$21,Master!$E$2:$E$1254,분류!$B95)</f>
        <v>0</v>
      </c>
      <c r="H95" s="20">
        <f>SUMIFS(Master!$L$2:$L$1254,Master!$G$2:$G$1254,분류!H$21,Master!$E$2:$E$1254,분류!$B95)</f>
        <v>0</v>
      </c>
      <c r="I95" s="20">
        <f>SUMIFS(Master!$L$2:$L$1254,Master!$G$2:$G$1254,분류!I$21,Master!$E$2:$E$1254,분류!$B95)</f>
        <v>15937</v>
      </c>
      <c r="J95" s="20">
        <f>SUMIFS(Master!$L$2:$L$1254,Master!$G$2:$G$1254,분류!J$21,Master!$E$2:$E$1254,분류!$B95)</f>
        <v>0</v>
      </c>
      <c r="K95" s="20">
        <f>SUMIFS(Master!$L$2:$L$1254,Master!$G$2:$G$1254,분류!K$21,Master!$E$2:$E$1254,분류!$B95)</f>
        <v>0</v>
      </c>
      <c r="L95" s="20">
        <f>SUMIFS(Master!$L$2:$L$1254,Master!$G$2:$G$1254,분류!L$21,Master!$E$2:$E$1254,분류!$B95)</f>
        <v>0</v>
      </c>
      <c r="M95" s="91"/>
    </row>
    <row r="96" spans="1:13">
      <c r="A96" s="86">
        <f t="shared" si="7"/>
        <v>4</v>
      </c>
      <c r="B96" s="19" t="s">
        <v>1570</v>
      </c>
      <c r="C96" s="85">
        <f t="shared" si="8"/>
        <v>112818182</v>
      </c>
      <c r="D96" s="20">
        <f>SUMIFS(Master!$L$2:$L$1254,Master!$G$2:$G$1254,분류!D$21,Master!$E$2:$E$1254,분류!$B96)</f>
        <v>0</v>
      </c>
      <c r="E96" s="20">
        <f>SUMIFS(Master!$L$2:$L$1254,Master!$G$2:$G$1254,분류!E$21,Master!$E$2:$E$1254,분류!$B96)</f>
        <v>0</v>
      </c>
      <c r="F96" s="20">
        <f>SUMIFS(Master!$L$2:$L$1254,Master!$G$2:$G$1254,분류!F$21,Master!$E$2:$E$1254,분류!$B96)</f>
        <v>0</v>
      </c>
      <c r="G96" s="20">
        <f>SUMIFS(Master!$L$2:$L$1254,Master!$G$2:$G$1254,분류!G$21,Master!$E$2:$E$1254,분류!$B96)</f>
        <v>0</v>
      </c>
      <c r="H96" s="20">
        <f>SUMIFS(Master!$L$2:$L$1254,Master!$G$2:$G$1254,분류!H$21,Master!$E$2:$E$1254,분류!$B96)</f>
        <v>0</v>
      </c>
      <c r="I96" s="20">
        <f>SUMIFS(Master!$L$2:$L$1254,Master!$G$2:$G$1254,분류!I$21,Master!$E$2:$E$1254,분류!$B96)</f>
        <v>112818182</v>
      </c>
      <c r="J96" s="20">
        <f>SUMIFS(Master!$L$2:$L$1254,Master!$G$2:$G$1254,분류!J$21,Master!$E$2:$E$1254,분류!$B96)</f>
        <v>0</v>
      </c>
      <c r="K96" s="20">
        <f>SUMIFS(Master!$L$2:$L$1254,Master!$G$2:$G$1254,분류!K$21,Master!$E$2:$E$1254,분류!$B96)</f>
        <v>0</v>
      </c>
      <c r="L96" s="20">
        <f>SUMIFS(Master!$L$2:$L$1254,Master!$G$2:$G$1254,분류!L$21,Master!$E$2:$E$1254,분류!$B96)</f>
        <v>0</v>
      </c>
      <c r="M96" s="91"/>
    </row>
    <row r="97" spans="1:13">
      <c r="A97" s="86">
        <f t="shared" si="7"/>
        <v>35</v>
      </c>
      <c r="B97" s="19" t="s">
        <v>149</v>
      </c>
      <c r="C97" s="85">
        <f t="shared" si="8"/>
        <v>2623638</v>
      </c>
      <c r="D97" s="20">
        <f>SUMIFS(Master!$L$2:$L$1254,Master!$G$2:$G$1254,분류!D$21,Master!$E$2:$E$1254,분류!$B97)</f>
        <v>0</v>
      </c>
      <c r="E97" s="20">
        <f>SUMIFS(Master!$L$2:$L$1254,Master!$G$2:$G$1254,분류!E$21,Master!$E$2:$E$1254,분류!$B97)</f>
        <v>0</v>
      </c>
      <c r="F97" s="20">
        <f>SUMIFS(Master!$L$2:$L$1254,Master!$G$2:$G$1254,분류!F$21,Master!$E$2:$E$1254,분류!$B97)</f>
        <v>0</v>
      </c>
      <c r="G97" s="20">
        <f>SUMIFS(Master!$L$2:$L$1254,Master!$G$2:$G$1254,분류!G$21,Master!$E$2:$E$1254,분류!$B97)</f>
        <v>0</v>
      </c>
      <c r="H97" s="20">
        <f>SUMIFS(Master!$L$2:$L$1254,Master!$G$2:$G$1254,분류!H$21,Master!$E$2:$E$1254,분류!$B97)</f>
        <v>0</v>
      </c>
      <c r="I97" s="20">
        <f>SUMIFS(Master!$L$2:$L$1254,Master!$G$2:$G$1254,분류!I$21,Master!$E$2:$E$1254,분류!$B97)</f>
        <v>2623638</v>
      </c>
      <c r="J97" s="20">
        <f>SUMIFS(Master!$L$2:$L$1254,Master!$G$2:$G$1254,분류!J$21,Master!$E$2:$E$1254,분류!$B97)</f>
        <v>0</v>
      </c>
      <c r="K97" s="20">
        <f>SUMIFS(Master!$L$2:$L$1254,Master!$G$2:$G$1254,분류!K$21,Master!$E$2:$E$1254,분류!$B97)</f>
        <v>0</v>
      </c>
      <c r="L97" s="20">
        <f>SUMIFS(Master!$L$2:$L$1254,Master!$G$2:$G$1254,분류!L$21,Master!$E$2:$E$1254,분류!$B97)</f>
        <v>0</v>
      </c>
      <c r="M97" s="91"/>
    </row>
    <row r="98" spans="1:13">
      <c r="A98" s="86">
        <f t="shared" si="7"/>
        <v>36</v>
      </c>
      <c r="B98" s="19" t="s">
        <v>38</v>
      </c>
      <c r="C98" s="85">
        <f t="shared" si="8"/>
        <v>2530000</v>
      </c>
      <c r="D98" s="20">
        <f>SUMIFS(Master!$L$2:$L$1254,Master!$G$2:$G$1254,분류!D$21,Master!$E$2:$E$1254,분류!$B98)</f>
        <v>0</v>
      </c>
      <c r="E98" s="20">
        <f>SUMIFS(Master!$L$2:$L$1254,Master!$G$2:$G$1254,분류!E$21,Master!$E$2:$E$1254,분류!$B98)</f>
        <v>2530000</v>
      </c>
      <c r="F98" s="20">
        <f>SUMIFS(Master!$L$2:$L$1254,Master!$G$2:$G$1254,분류!F$21,Master!$E$2:$E$1254,분류!$B98)</f>
        <v>0</v>
      </c>
      <c r="G98" s="20">
        <f>SUMIFS(Master!$L$2:$L$1254,Master!$G$2:$G$1254,분류!G$21,Master!$E$2:$E$1254,분류!$B98)</f>
        <v>0</v>
      </c>
      <c r="H98" s="20">
        <f>SUMIFS(Master!$L$2:$L$1254,Master!$G$2:$G$1254,분류!H$21,Master!$E$2:$E$1254,분류!$B98)</f>
        <v>0</v>
      </c>
      <c r="I98" s="20">
        <f>SUMIFS(Master!$L$2:$L$1254,Master!$G$2:$G$1254,분류!I$21,Master!$E$2:$E$1254,분류!$B98)</f>
        <v>0</v>
      </c>
      <c r="J98" s="20">
        <f>SUMIFS(Master!$L$2:$L$1254,Master!$G$2:$G$1254,분류!J$21,Master!$E$2:$E$1254,분류!$B98)</f>
        <v>0</v>
      </c>
      <c r="K98" s="20">
        <f>SUMIFS(Master!$L$2:$L$1254,Master!$G$2:$G$1254,분류!K$21,Master!$E$2:$E$1254,분류!$B98)</f>
        <v>0</v>
      </c>
      <c r="L98" s="20">
        <f>SUMIFS(Master!$L$2:$L$1254,Master!$G$2:$G$1254,분류!L$21,Master!$E$2:$E$1254,분류!$B98)</f>
        <v>0</v>
      </c>
      <c r="M98" s="91"/>
    </row>
    <row r="99" spans="1:13">
      <c r="A99" s="86">
        <f t="shared" si="7"/>
        <v>41</v>
      </c>
      <c r="B99" s="19" t="s">
        <v>85</v>
      </c>
      <c r="C99" s="85">
        <f t="shared" si="8"/>
        <v>1581000</v>
      </c>
      <c r="D99" s="20">
        <f>SUMIFS(Master!$L$2:$L$1254,Master!$G$2:$G$1254,분류!D$21,Master!$E$2:$E$1254,분류!$B99)</f>
        <v>1581000</v>
      </c>
      <c r="E99" s="20">
        <f>SUMIFS(Master!$L$2:$L$1254,Master!$G$2:$G$1254,분류!E$21,Master!$E$2:$E$1254,분류!$B99)</f>
        <v>0</v>
      </c>
      <c r="F99" s="20">
        <f>SUMIFS(Master!$L$2:$L$1254,Master!$G$2:$G$1254,분류!F$21,Master!$E$2:$E$1254,분류!$B99)</f>
        <v>0</v>
      </c>
      <c r="G99" s="20">
        <f>SUMIFS(Master!$L$2:$L$1254,Master!$G$2:$G$1254,분류!G$21,Master!$E$2:$E$1254,분류!$B99)</f>
        <v>0</v>
      </c>
      <c r="H99" s="20">
        <f>SUMIFS(Master!$L$2:$L$1254,Master!$G$2:$G$1254,분류!H$21,Master!$E$2:$E$1254,분류!$B99)</f>
        <v>0</v>
      </c>
      <c r="I99" s="20">
        <f>SUMIFS(Master!$L$2:$L$1254,Master!$G$2:$G$1254,분류!I$21,Master!$E$2:$E$1254,분류!$B99)</f>
        <v>0</v>
      </c>
      <c r="J99" s="20">
        <f>SUMIFS(Master!$L$2:$L$1254,Master!$G$2:$G$1254,분류!J$21,Master!$E$2:$E$1254,분류!$B99)</f>
        <v>0</v>
      </c>
      <c r="K99" s="20">
        <f>SUMIFS(Master!$L$2:$L$1254,Master!$G$2:$G$1254,분류!K$21,Master!$E$2:$E$1254,분류!$B99)</f>
        <v>0</v>
      </c>
      <c r="L99" s="20">
        <f>SUMIFS(Master!$L$2:$L$1254,Master!$G$2:$G$1254,분류!L$21,Master!$E$2:$E$1254,분류!$B99)</f>
        <v>0</v>
      </c>
      <c r="M99" s="91"/>
    </row>
    <row r="100" spans="1:13">
      <c r="A100" s="86">
        <f t="shared" si="7"/>
        <v>38</v>
      </c>
      <c r="B100" s="19" t="s">
        <v>50</v>
      </c>
      <c r="C100" s="85">
        <f t="shared" si="8"/>
        <v>2100000</v>
      </c>
      <c r="D100" s="20">
        <f>SUMIFS(Master!$L$2:$L$1254,Master!$G$2:$G$1254,분류!D$21,Master!$E$2:$E$1254,분류!$B100)</f>
        <v>0</v>
      </c>
      <c r="E100" s="20">
        <f>SUMIFS(Master!$L$2:$L$1254,Master!$G$2:$G$1254,분류!E$21,Master!$E$2:$E$1254,분류!$B100)</f>
        <v>2100000</v>
      </c>
      <c r="F100" s="20">
        <f>SUMIFS(Master!$L$2:$L$1254,Master!$G$2:$G$1254,분류!F$21,Master!$E$2:$E$1254,분류!$B100)</f>
        <v>0</v>
      </c>
      <c r="G100" s="20">
        <f>SUMIFS(Master!$L$2:$L$1254,Master!$G$2:$G$1254,분류!G$21,Master!$E$2:$E$1254,분류!$B100)</f>
        <v>0</v>
      </c>
      <c r="H100" s="20">
        <f>SUMIFS(Master!$L$2:$L$1254,Master!$G$2:$G$1254,분류!H$21,Master!$E$2:$E$1254,분류!$B100)</f>
        <v>0</v>
      </c>
      <c r="I100" s="20">
        <f>SUMIFS(Master!$L$2:$L$1254,Master!$G$2:$G$1254,분류!I$21,Master!$E$2:$E$1254,분류!$B100)</f>
        <v>0</v>
      </c>
      <c r="J100" s="20">
        <f>SUMIFS(Master!$L$2:$L$1254,Master!$G$2:$G$1254,분류!J$21,Master!$E$2:$E$1254,분류!$B100)</f>
        <v>0</v>
      </c>
      <c r="K100" s="20">
        <f>SUMIFS(Master!$L$2:$L$1254,Master!$G$2:$G$1254,분류!K$21,Master!$E$2:$E$1254,분류!$B100)</f>
        <v>0</v>
      </c>
      <c r="L100" s="20">
        <f>SUMIFS(Master!$L$2:$L$1254,Master!$G$2:$G$1254,분류!L$21,Master!$E$2:$E$1254,분류!$B100)</f>
        <v>0</v>
      </c>
      <c r="M100" s="91"/>
    </row>
    <row r="101" spans="1:13">
      <c r="A101" s="86">
        <f t="shared" si="7"/>
        <v>48</v>
      </c>
      <c r="B101" s="19" t="s">
        <v>1281</v>
      </c>
      <c r="C101" s="85">
        <f t="shared" si="8"/>
        <v>900000</v>
      </c>
      <c r="D101" s="20">
        <f>SUMIFS(Master!$L$2:$L$1254,Master!$G$2:$G$1254,분류!D$21,Master!$E$2:$E$1254,분류!$B101)</f>
        <v>900000</v>
      </c>
      <c r="E101" s="20">
        <f>SUMIFS(Master!$L$2:$L$1254,Master!$G$2:$G$1254,분류!E$21,Master!$E$2:$E$1254,분류!$B101)</f>
        <v>0</v>
      </c>
      <c r="F101" s="20">
        <f>SUMIFS(Master!$L$2:$L$1254,Master!$G$2:$G$1254,분류!F$21,Master!$E$2:$E$1254,분류!$B101)</f>
        <v>0</v>
      </c>
      <c r="G101" s="20">
        <f>SUMIFS(Master!$L$2:$L$1254,Master!$G$2:$G$1254,분류!G$21,Master!$E$2:$E$1254,분류!$B101)</f>
        <v>0</v>
      </c>
      <c r="H101" s="20">
        <f>SUMIFS(Master!$L$2:$L$1254,Master!$G$2:$G$1254,분류!H$21,Master!$E$2:$E$1254,분류!$B101)</f>
        <v>0</v>
      </c>
      <c r="I101" s="20">
        <f>SUMIFS(Master!$L$2:$L$1254,Master!$G$2:$G$1254,분류!I$21,Master!$E$2:$E$1254,분류!$B101)</f>
        <v>0</v>
      </c>
      <c r="J101" s="20">
        <f>SUMIFS(Master!$L$2:$L$1254,Master!$G$2:$G$1254,분류!J$21,Master!$E$2:$E$1254,분류!$B101)</f>
        <v>0</v>
      </c>
      <c r="K101" s="20">
        <f>SUMIFS(Master!$L$2:$L$1254,Master!$G$2:$G$1254,분류!K$21,Master!$E$2:$E$1254,분류!$B101)</f>
        <v>0</v>
      </c>
      <c r="L101" s="20">
        <f>SUMIFS(Master!$L$2:$L$1254,Master!$G$2:$G$1254,분류!L$21,Master!$E$2:$E$1254,분류!$B101)</f>
        <v>0</v>
      </c>
      <c r="M101" s="91"/>
    </row>
    <row r="102" spans="1:13">
      <c r="A102" s="86">
        <f t="shared" si="7"/>
        <v>65</v>
      </c>
      <c r="B102" s="19" t="s">
        <v>2540</v>
      </c>
      <c r="C102" s="85">
        <f t="shared" si="8"/>
        <v>0</v>
      </c>
      <c r="D102" s="20">
        <f>SUMIFS(Master!$L$2:$L$1254,Master!$G$2:$G$1254,분류!D$21,Master!$E$2:$E$1254,분류!$B102)</f>
        <v>0</v>
      </c>
      <c r="E102" s="20">
        <f>SUMIFS(Master!$L$2:$L$1254,Master!$G$2:$G$1254,분류!E$21,Master!$E$2:$E$1254,분류!$B102)</f>
        <v>0</v>
      </c>
      <c r="F102" s="20">
        <f>SUMIFS(Master!$L$2:$L$1254,Master!$G$2:$G$1254,분류!F$21,Master!$E$2:$E$1254,분류!$B102)</f>
        <v>0</v>
      </c>
      <c r="G102" s="20">
        <f>SUMIFS(Master!$L$2:$L$1254,Master!$G$2:$G$1254,분류!G$21,Master!$E$2:$E$1254,분류!$B102)</f>
        <v>0</v>
      </c>
      <c r="H102" s="20">
        <f>SUMIFS(Master!$L$2:$L$1254,Master!$G$2:$G$1254,분류!H$21,Master!$E$2:$E$1254,분류!$B102)</f>
        <v>0</v>
      </c>
      <c r="I102" s="20">
        <f>SUMIFS(Master!$L$2:$L$1254,Master!$G$2:$G$1254,분류!I$21,Master!$E$2:$E$1254,분류!$B102)</f>
        <v>0</v>
      </c>
      <c r="J102" s="20">
        <f>SUMIFS(Master!$L$2:$L$1254,Master!$G$2:$G$1254,분류!J$21,Master!$E$2:$E$1254,분류!$B102)</f>
        <v>0</v>
      </c>
      <c r="K102" s="20">
        <f>SUMIFS(Master!$L$2:$L$1254,Master!$G$2:$G$1254,분류!K$21,Master!$E$2:$E$1254,분류!$B102)</f>
        <v>0</v>
      </c>
      <c r="L102" s="20">
        <f>SUMIFS(Master!$L$2:$L$1254,Master!$G$2:$G$1254,분류!L$21,Master!$E$2:$E$1254,분류!$B102)</f>
        <v>0</v>
      </c>
      <c r="M102" s="91"/>
    </row>
    <row r="103" spans="1:13">
      <c r="A103" s="86">
        <f t="shared" si="7"/>
        <v>25</v>
      </c>
      <c r="B103" s="19" t="s">
        <v>313</v>
      </c>
      <c r="C103" s="85">
        <f t="shared" si="8"/>
        <v>4200000</v>
      </c>
      <c r="D103" s="20">
        <f>SUMIFS(Master!$L$2:$L$1254,Master!$G$2:$G$1254,분류!D$21,Master!$E$2:$E$1254,분류!$B103)</f>
        <v>0</v>
      </c>
      <c r="E103" s="20">
        <f>SUMIFS(Master!$L$2:$L$1254,Master!$G$2:$G$1254,분류!E$21,Master!$E$2:$E$1254,분류!$B103)</f>
        <v>4200000</v>
      </c>
      <c r="F103" s="20">
        <f>SUMIFS(Master!$L$2:$L$1254,Master!$G$2:$G$1254,분류!F$21,Master!$E$2:$E$1254,분류!$B103)</f>
        <v>0</v>
      </c>
      <c r="G103" s="20">
        <f>SUMIFS(Master!$L$2:$L$1254,Master!$G$2:$G$1254,분류!G$21,Master!$E$2:$E$1254,분류!$B103)</f>
        <v>0</v>
      </c>
      <c r="H103" s="20">
        <f>SUMIFS(Master!$L$2:$L$1254,Master!$G$2:$G$1254,분류!H$21,Master!$E$2:$E$1254,분류!$B103)</f>
        <v>0</v>
      </c>
      <c r="I103" s="20">
        <f>SUMIFS(Master!$L$2:$L$1254,Master!$G$2:$G$1254,분류!I$21,Master!$E$2:$E$1254,분류!$B103)</f>
        <v>0</v>
      </c>
      <c r="J103" s="20">
        <f>SUMIFS(Master!$L$2:$L$1254,Master!$G$2:$G$1254,분류!J$21,Master!$E$2:$E$1254,분류!$B103)</f>
        <v>0</v>
      </c>
      <c r="K103" s="20">
        <f>SUMIFS(Master!$L$2:$L$1254,Master!$G$2:$G$1254,분류!K$21,Master!$E$2:$E$1254,분류!$B103)</f>
        <v>0</v>
      </c>
      <c r="L103" s="20">
        <f>SUMIFS(Master!$L$2:$L$1254,Master!$G$2:$G$1254,분류!L$21,Master!$E$2:$E$1254,분류!$B103)</f>
        <v>0</v>
      </c>
      <c r="M103" s="91"/>
    </row>
    <row r="104" spans="1:13">
      <c r="A104" s="86">
        <f t="shared" si="7"/>
        <v>43</v>
      </c>
      <c r="B104" s="19" t="s">
        <v>65</v>
      </c>
      <c r="C104" s="85">
        <f t="shared" si="8"/>
        <v>1200000</v>
      </c>
      <c r="D104" s="20">
        <f>SUMIFS(Master!$L$2:$L$1254,Master!$G$2:$G$1254,분류!D$21,Master!$E$2:$E$1254,분류!$B104)</f>
        <v>0</v>
      </c>
      <c r="E104" s="20">
        <f>SUMIFS(Master!$L$2:$L$1254,Master!$G$2:$G$1254,분류!E$21,Master!$E$2:$E$1254,분류!$B104)</f>
        <v>1200000</v>
      </c>
      <c r="F104" s="20">
        <f>SUMIFS(Master!$L$2:$L$1254,Master!$G$2:$G$1254,분류!F$21,Master!$E$2:$E$1254,분류!$B104)</f>
        <v>0</v>
      </c>
      <c r="G104" s="20">
        <f>SUMIFS(Master!$L$2:$L$1254,Master!$G$2:$G$1254,분류!G$21,Master!$E$2:$E$1254,분류!$B104)</f>
        <v>0</v>
      </c>
      <c r="H104" s="20">
        <f>SUMIFS(Master!$L$2:$L$1254,Master!$G$2:$G$1254,분류!H$21,Master!$E$2:$E$1254,분류!$B104)</f>
        <v>0</v>
      </c>
      <c r="I104" s="20">
        <f>SUMIFS(Master!$L$2:$L$1254,Master!$G$2:$G$1254,분류!I$21,Master!$E$2:$E$1254,분류!$B104)</f>
        <v>0</v>
      </c>
      <c r="J104" s="20">
        <f>SUMIFS(Master!$L$2:$L$1254,Master!$G$2:$G$1254,분류!J$21,Master!$E$2:$E$1254,분류!$B104)</f>
        <v>0</v>
      </c>
      <c r="K104" s="20">
        <f>SUMIFS(Master!$L$2:$L$1254,Master!$G$2:$G$1254,분류!K$21,Master!$E$2:$E$1254,분류!$B104)</f>
        <v>0</v>
      </c>
      <c r="L104" s="20">
        <f>SUMIFS(Master!$L$2:$L$1254,Master!$G$2:$G$1254,분류!L$21,Master!$E$2:$E$1254,분류!$B104)</f>
        <v>0</v>
      </c>
      <c r="M104" s="91"/>
    </row>
    <row r="105" spans="1:13">
      <c r="A105" s="86">
        <f t="shared" si="7"/>
        <v>65</v>
      </c>
      <c r="B105" s="19" t="s">
        <v>47</v>
      </c>
      <c r="C105" s="85">
        <f t="shared" si="8"/>
        <v>0</v>
      </c>
      <c r="D105" s="20">
        <f>SUMIFS(Master!$L$2:$L$1254,Master!$G$2:$G$1254,분류!D$21,Master!$E$2:$E$1254,분류!$B105)</f>
        <v>0</v>
      </c>
      <c r="E105" s="20">
        <f>SUMIFS(Master!$L$2:$L$1254,Master!$G$2:$G$1254,분류!E$21,Master!$E$2:$E$1254,분류!$B105)</f>
        <v>0</v>
      </c>
      <c r="F105" s="20">
        <f>SUMIFS(Master!$L$2:$L$1254,Master!$G$2:$G$1254,분류!F$21,Master!$E$2:$E$1254,분류!$B105)</f>
        <v>0</v>
      </c>
      <c r="G105" s="20">
        <f>SUMIFS(Master!$L$2:$L$1254,Master!$G$2:$G$1254,분류!G$21,Master!$E$2:$E$1254,분류!$B105)</f>
        <v>0</v>
      </c>
      <c r="H105" s="20">
        <f>SUMIFS(Master!$L$2:$L$1254,Master!$G$2:$G$1254,분류!H$21,Master!$E$2:$E$1254,분류!$B105)</f>
        <v>0</v>
      </c>
      <c r="I105" s="20">
        <f>SUMIFS(Master!$L$2:$L$1254,Master!$G$2:$G$1254,분류!I$21,Master!$E$2:$E$1254,분류!$B105)</f>
        <v>0</v>
      </c>
      <c r="J105" s="20">
        <f>SUMIFS(Master!$L$2:$L$1254,Master!$G$2:$G$1254,분류!J$21,Master!$E$2:$E$1254,분류!$B105)</f>
        <v>0</v>
      </c>
      <c r="K105" s="20">
        <f>SUMIFS(Master!$L$2:$L$1254,Master!$G$2:$G$1254,분류!K$21,Master!$E$2:$E$1254,분류!$B105)</f>
        <v>0</v>
      </c>
      <c r="L105" s="20">
        <f>SUMIFS(Master!$L$2:$L$1254,Master!$G$2:$G$1254,분류!L$21,Master!$E$2:$E$1254,분류!$B105)</f>
        <v>0</v>
      </c>
      <c r="M105" s="91"/>
    </row>
    <row r="106" spans="1:13">
      <c r="A106" s="86">
        <f t="shared" si="7"/>
        <v>65</v>
      </c>
      <c r="B106" s="19" t="s">
        <v>2624</v>
      </c>
      <c r="C106" s="85">
        <f t="shared" ref="C106" si="9">SUM(D106:L106)</f>
        <v>0</v>
      </c>
      <c r="D106" s="20">
        <f>SUMIFS(Master!$L$2:$L$1254,Master!$G$2:$G$1254,분류!D$21,Master!$E$2:$E$1254,분류!$B106)</f>
        <v>0</v>
      </c>
      <c r="E106" s="20">
        <f>SUMIFS(Master!$L$2:$L$1254,Master!$G$2:$G$1254,분류!E$21,Master!$E$2:$E$1254,분류!$B106)</f>
        <v>0</v>
      </c>
      <c r="F106" s="20">
        <f>SUMIFS(Master!$L$2:$L$1254,Master!$G$2:$G$1254,분류!F$21,Master!$E$2:$E$1254,분류!$B106)</f>
        <v>0</v>
      </c>
      <c r="G106" s="20">
        <f>SUMIFS(Master!$L$2:$L$1254,Master!$G$2:$G$1254,분류!G$21,Master!$E$2:$E$1254,분류!$B106)</f>
        <v>0</v>
      </c>
      <c r="H106" s="20">
        <f>SUMIFS(Master!$L$2:$L$1254,Master!$G$2:$G$1254,분류!H$21,Master!$E$2:$E$1254,분류!$B106)</f>
        <v>0</v>
      </c>
      <c r="I106" s="20">
        <f>SUMIFS(Master!$L$2:$L$1254,Master!$G$2:$G$1254,분류!I$21,Master!$E$2:$E$1254,분류!$B106)</f>
        <v>0</v>
      </c>
      <c r="J106" s="20">
        <f>SUMIFS(Master!$L$2:$L$1254,Master!$G$2:$G$1254,분류!J$21,Master!$E$2:$E$1254,분류!$B106)</f>
        <v>0</v>
      </c>
      <c r="K106" s="20">
        <f>SUMIFS(Master!$L$2:$L$1254,Master!$G$2:$G$1254,분류!K$21,Master!$E$2:$E$1254,분류!$B106)</f>
        <v>0</v>
      </c>
      <c r="L106" s="20">
        <f>SUMIFS(Master!$L$2:$L$1254,Master!$G$2:$G$1254,분류!L$21,Master!$E$2:$E$1254,분류!$B106)</f>
        <v>0</v>
      </c>
      <c r="M106" s="91"/>
    </row>
    <row r="107" spans="1:13">
      <c r="A107" s="86">
        <f t="shared" si="7"/>
        <v>28</v>
      </c>
      <c r="B107" s="19" t="s">
        <v>48</v>
      </c>
      <c r="C107" s="85">
        <f t="shared" si="8"/>
        <v>4032000</v>
      </c>
      <c r="D107" s="20">
        <f>SUMIFS(Master!$L$2:$L$1254,Master!$G$2:$G$1254,분류!D$21,Master!$E$2:$E$1254,분류!$B107)</f>
        <v>0</v>
      </c>
      <c r="E107" s="20">
        <f>SUMIFS(Master!$L$2:$L$1254,Master!$G$2:$G$1254,분류!E$21,Master!$E$2:$E$1254,분류!$B107)</f>
        <v>4032000</v>
      </c>
      <c r="F107" s="20">
        <f>SUMIFS(Master!$L$2:$L$1254,Master!$G$2:$G$1254,분류!F$21,Master!$E$2:$E$1254,분류!$B107)</f>
        <v>0</v>
      </c>
      <c r="G107" s="20">
        <f>SUMIFS(Master!$L$2:$L$1254,Master!$G$2:$G$1254,분류!G$21,Master!$E$2:$E$1254,분류!$B107)</f>
        <v>0</v>
      </c>
      <c r="H107" s="20">
        <f>SUMIFS(Master!$L$2:$L$1254,Master!$G$2:$G$1254,분류!H$21,Master!$E$2:$E$1254,분류!$B107)</f>
        <v>0</v>
      </c>
      <c r="I107" s="20">
        <f>SUMIFS(Master!$L$2:$L$1254,Master!$G$2:$G$1254,분류!I$21,Master!$E$2:$E$1254,분류!$B107)</f>
        <v>0</v>
      </c>
      <c r="J107" s="20">
        <f>SUMIFS(Master!$L$2:$L$1254,Master!$G$2:$G$1254,분류!J$21,Master!$E$2:$E$1254,분류!$B107)</f>
        <v>0</v>
      </c>
      <c r="K107" s="20">
        <f>SUMIFS(Master!$L$2:$L$1254,Master!$G$2:$G$1254,분류!K$21,Master!$E$2:$E$1254,분류!$B107)</f>
        <v>0</v>
      </c>
      <c r="L107" s="20">
        <f>SUMIFS(Master!$L$2:$L$1254,Master!$G$2:$G$1254,분류!L$21,Master!$E$2:$E$1254,분류!$B107)</f>
        <v>0</v>
      </c>
      <c r="M107" s="91"/>
    </row>
    <row r="108" spans="1:13">
      <c r="A108" s="86">
        <f t="shared" si="7"/>
        <v>65</v>
      </c>
      <c r="B108" s="19" t="s">
        <v>2539</v>
      </c>
      <c r="C108" s="85">
        <f t="shared" si="8"/>
        <v>0</v>
      </c>
      <c r="D108" s="20">
        <f>SUMIFS(Master!$L$2:$L$1254,Master!$G$2:$G$1254,분류!D$21,Master!$E$2:$E$1254,분류!$B108)</f>
        <v>0</v>
      </c>
      <c r="E108" s="20">
        <f>SUMIFS(Master!$L$2:$L$1254,Master!$G$2:$G$1254,분류!E$21,Master!$E$2:$E$1254,분류!$B108)</f>
        <v>0</v>
      </c>
      <c r="F108" s="20">
        <f>SUMIFS(Master!$L$2:$L$1254,Master!$G$2:$G$1254,분류!F$21,Master!$E$2:$E$1254,분류!$B108)</f>
        <v>0</v>
      </c>
      <c r="G108" s="20">
        <f>SUMIFS(Master!$L$2:$L$1254,Master!$G$2:$G$1254,분류!G$21,Master!$E$2:$E$1254,분류!$B108)</f>
        <v>0</v>
      </c>
      <c r="H108" s="20">
        <f>SUMIFS(Master!$L$2:$L$1254,Master!$G$2:$G$1254,분류!H$21,Master!$E$2:$E$1254,분류!$B108)</f>
        <v>0</v>
      </c>
      <c r="I108" s="20">
        <f>SUMIFS(Master!$L$2:$L$1254,Master!$G$2:$G$1254,분류!I$21,Master!$E$2:$E$1254,분류!$B108)</f>
        <v>0</v>
      </c>
      <c r="J108" s="20">
        <f>SUMIFS(Master!$L$2:$L$1254,Master!$G$2:$G$1254,분류!J$21,Master!$E$2:$E$1254,분류!$B108)</f>
        <v>0</v>
      </c>
      <c r="K108" s="20">
        <f>SUMIFS(Master!$L$2:$L$1254,Master!$G$2:$G$1254,분류!K$21,Master!$E$2:$E$1254,분류!$B108)</f>
        <v>0</v>
      </c>
      <c r="L108" s="20">
        <f>SUMIFS(Master!$L$2:$L$1254,Master!$G$2:$G$1254,분류!L$21,Master!$E$2:$E$1254,분류!$B108)</f>
        <v>0</v>
      </c>
      <c r="M108" s="91"/>
    </row>
    <row r="109" spans="1:13">
      <c r="A109" s="86">
        <f t="shared" si="7"/>
        <v>65</v>
      </c>
      <c r="B109" s="19" t="s">
        <v>66</v>
      </c>
      <c r="C109" s="85">
        <f t="shared" si="8"/>
        <v>0</v>
      </c>
      <c r="D109" s="20">
        <f>SUMIFS(Master!$L$2:$L$1254,Master!$G$2:$G$1254,분류!D$21,Master!$E$2:$E$1254,분류!$B109)</f>
        <v>0</v>
      </c>
      <c r="E109" s="20">
        <f>SUMIFS(Master!$L$2:$L$1254,Master!$G$2:$G$1254,분류!E$21,Master!$E$2:$E$1254,분류!$B109)</f>
        <v>0</v>
      </c>
      <c r="F109" s="20">
        <f>SUMIFS(Master!$L$2:$L$1254,Master!$G$2:$G$1254,분류!F$21,Master!$E$2:$E$1254,분류!$B109)</f>
        <v>0</v>
      </c>
      <c r="G109" s="20">
        <f>SUMIFS(Master!$L$2:$L$1254,Master!$G$2:$G$1254,분류!G$21,Master!$E$2:$E$1254,분류!$B109)</f>
        <v>0</v>
      </c>
      <c r="H109" s="20">
        <f>SUMIFS(Master!$L$2:$L$1254,Master!$G$2:$G$1254,분류!H$21,Master!$E$2:$E$1254,분류!$B109)</f>
        <v>0</v>
      </c>
      <c r="I109" s="20">
        <f>SUMIFS(Master!$L$2:$L$1254,Master!$G$2:$G$1254,분류!I$21,Master!$E$2:$E$1254,분류!$B109)</f>
        <v>0</v>
      </c>
      <c r="J109" s="20">
        <f>SUMIFS(Master!$L$2:$L$1254,Master!$G$2:$G$1254,분류!J$21,Master!$E$2:$E$1254,분류!$B109)</f>
        <v>0</v>
      </c>
      <c r="K109" s="20">
        <f>SUMIFS(Master!$L$2:$L$1254,Master!$G$2:$G$1254,분류!K$21,Master!$E$2:$E$1254,분류!$B109)</f>
        <v>0</v>
      </c>
      <c r="L109" s="20">
        <f>SUMIFS(Master!$L$2:$L$1254,Master!$G$2:$G$1254,분류!L$21,Master!$E$2:$E$1254,분류!$B109)</f>
        <v>0</v>
      </c>
      <c r="M109" s="91"/>
    </row>
    <row r="110" spans="1:13">
      <c r="A110" s="86">
        <f t="shared" si="7"/>
        <v>3</v>
      </c>
      <c r="B110" s="19" t="s">
        <v>2633</v>
      </c>
      <c r="C110" s="85">
        <f t="shared" si="8"/>
        <v>170772607</v>
      </c>
      <c r="D110" s="20">
        <f>SUMIFS(Master!$L$2:$L$1254,Master!$G$2:$G$1254,분류!D$21,Master!$E$2:$E$1254,분류!$B110)</f>
        <v>0</v>
      </c>
      <c r="E110" s="20">
        <f>SUMIFS(Master!$L$2:$L$1254,Master!$G$2:$G$1254,분류!E$21,Master!$E$2:$E$1254,분류!$B110)</f>
        <v>170772607</v>
      </c>
      <c r="F110" s="20">
        <f>SUMIFS(Master!$L$2:$L$1254,Master!$G$2:$G$1254,분류!F$21,Master!$E$2:$E$1254,분류!$B110)</f>
        <v>0</v>
      </c>
      <c r="G110" s="20">
        <f>SUMIFS(Master!$L$2:$L$1254,Master!$G$2:$G$1254,분류!G$21,Master!$E$2:$E$1254,분류!$B110)</f>
        <v>0</v>
      </c>
      <c r="H110" s="20">
        <f>SUMIFS(Master!$L$2:$L$1254,Master!$G$2:$G$1254,분류!H$21,Master!$E$2:$E$1254,분류!$B110)</f>
        <v>0</v>
      </c>
      <c r="I110" s="20">
        <f>SUMIFS(Master!$L$2:$L$1254,Master!$G$2:$G$1254,분류!I$21,Master!$E$2:$E$1254,분류!$B110)</f>
        <v>0</v>
      </c>
      <c r="J110" s="20">
        <f>SUMIFS(Master!$L$2:$L$1254,Master!$G$2:$G$1254,분류!J$21,Master!$E$2:$E$1254,분류!$B110)</f>
        <v>0</v>
      </c>
      <c r="K110" s="20">
        <f>SUMIFS(Master!$L$2:$L$1254,Master!$G$2:$G$1254,분류!K$21,Master!$E$2:$E$1254,분류!$B110)</f>
        <v>0</v>
      </c>
      <c r="L110" s="20">
        <f>SUMIFS(Master!$L$2:$L$1254,Master!$G$2:$G$1254,분류!L$21,Master!$E$2:$E$1254,분류!$B110)</f>
        <v>0</v>
      </c>
      <c r="M110" s="91"/>
    </row>
    <row r="111" spans="1:13">
      <c r="A111" s="86">
        <f t="shared" si="7"/>
        <v>12</v>
      </c>
      <c r="B111" s="19" t="s">
        <v>2596</v>
      </c>
      <c r="C111" s="85">
        <f t="shared" si="8"/>
        <v>13683000</v>
      </c>
      <c r="D111" s="20">
        <f>SUMIFS(Master!$L$2:$L$1254,Master!$G$2:$G$1254,분류!D$21,Master!$E$2:$E$1254,분류!$B111)</f>
        <v>13683000</v>
      </c>
      <c r="E111" s="20">
        <f>SUMIFS(Master!$L$2:$L$1254,Master!$G$2:$G$1254,분류!E$21,Master!$E$2:$E$1254,분류!$B111)</f>
        <v>0</v>
      </c>
      <c r="F111" s="20">
        <f>SUMIFS(Master!$L$2:$L$1254,Master!$G$2:$G$1254,분류!F$21,Master!$E$2:$E$1254,분류!$B111)</f>
        <v>0</v>
      </c>
      <c r="G111" s="20">
        <f>SUMIFS(Master!$L$2:$L$1254,Master!$G$2:$G$1254,분류!G$21,Master!$E$2:$E$1254,분류!$B111)</f>
        <v>0</v>
      </c>
      <c r="H111" s="20">
        <f>SUMIFS(Master!$L$2:$L$1254,Master!$G$2:$G$1254,분류!H$21,Master!$E$2:$E$1254,분류!$B111)</f>
        <v>0</v>
      </c>
      <c r="I111" s="20">
        <f>SUMIFS(Master!$L$2:$L$1254,Master!$G$2:$G$1254,분류!I$21,Master!$E$2:$E$1254,분류!$B111)</f>
        <v>0</v>
      </c>
      <c r="J111" s="20">
        <f>SUMIFS(Master!$L$2:$L$1254,Master!$G$2:$G$1254,분류!J$21,Master!$E$2:$E$1254,분류!$B111)</f>
        <v>0</v>
      </c>
      <c r="K111" s="20">
        <f>SUMIFS(Master!$L$2:$L$1254,Master!$G$2:$G$1254,분류!K$21,Master!$E$2:$E$1254,분류!$B111)</f>
        <v>0</v>
      </c>
      <c r="L111" s="20">
        <f>SUMIFS(Master!$L$2:$L$1254,Master!$G$2:$G$1254,분류!L$21,Master!$E$2:$E$1254,분류!$B111)</f>
        <v>0</v>
      </c>
      <c r="M111" s="91"/>
    </row>
    <row r="112" spans="1:13">
      <c r="A112" s="86">
        <f t="shared" si="7"/>
        <v>55</v>
      </c>
      <c r="B112" s="84" t="s">
        <v>122</v>
      </c>
      <c r="C112" s="85">
        <f t="shared" si="8"/>
        <v>295000</v>
      </c>
      <c r="D112" s="20">
        <f>SUMIFS(Master!$L$2:$L$1254,Master!$G$2:$G$1254,분류!D$21,Master!$E$2:$E$1254,분류!$B112)</f>
        <v>0</v>
      </c>
      <c r="E112" s="20">
        <f>SUMIFS(Master!$L$2:$L$1254,Master!$G$2:$G$1254,분류!E$21,Master!$E$2:$E$1254,분류!$B112)</f>
        <v>0</v>
      </c>
      <c r="F112" s="20">
        <f>SUMIFS(Master!$L$2:$L$1254,Master!$G$2:$G$1254,분류!F$21,Master!$E$2:$E$1254,분류!$B112)</f>
        <v>0</v>
      </c>
      <c r="G112" s="20">
        <f>SUMIFS(Master!$L$2:$L$1254,Master!$G$2:$G$1254,분류!G$21,Master!$E$2:$E$1254,분류!$B112)</f>
        <v>0</v>
      </c>
      <c r="H112" s="20">
        <f>SUMIFS(Master!$L$2:$L$1254,Master!$G$2:$G$1254,분류!H$21,Master!$E$2:$E$1254,분류!$B112)</f>
        <v>0</v>
      </c>
      <c r="I112" s="20">
        <f>SUMIFS(Master!$L$2:$L$1254,Master!$G$2:$G$1254,분류!I$21,Master!$E$2:$E$1254,분류!$B112)</f>
        <v>295000</v>
      </c>
      <c r="J112" s="20">
        <f>SUMIFS(Master!$L$2:$L$1254,Master!$G$2:$G$1254,분류!J$21,Master!$E$2:$E$1254,분류!$B112)</f>
        <v>0</v>
      </c>
      <c r="K112" s="20">
        <f>SUMIFS(Master!$L$2:$L$1254,Master!$G$2:$G$1254,분류!K$21,Master!$E$2:$E$1254,분류!$B112)</f>
        <v>0</v>
      </c>
      <c r="L112" s="20">
        <f>SUMIFS(Master!$L$2:$L$1254,Master!$G$2:$G$1254,분류!L$21,Master!$E$2:$E$1254,분류!$B112)</f>
        <v>0</v>
      </c>
      <c r="M112" s="91"/>
    </row>
    <row r="113" spans="1:19" s="92" customFormat="1">
      <c r="A113" s="86">
        <f t="shared" si="7"/>
        <v>56</v>
      </c>
      <c r="B113" s="83" t="s">
        <v>971</v>
      </c>
      <c r="C113" s="85">
        <f t="shared" si="8"/>
        <v>270000</v>
      </c>
      <c r="D113" s="20">
        <f>SUMIFS(Master!$L$2:$L$1254,Master!$G$2:$G$1254,분류!D$21,Master!$E$2:$E$1254,분류!$B113)</f>
        <v>0</v>
      </c>
      <c r="E113" s="20">
        <f>SUMIFS(Master!$L$2:$L$1254,Master!$G$2:$G$1254,분류!E$21,Master!$E$2:$E$1254,분류!$B113)</f>
        <v>0</v>
      </c>
      <c r="F113" s="20">
        <f>SUMIFS(Master!$L$2:$L$1254,Master!$G$2:$G$1254,분류!F$21,Master!$E$2:$E$1254,분류!$B113)</f>
        <v>0</v>
      </c>
      <c r="G113" s="20">
        <f>SUMIFS(Master!$L$2:$L$1254,Master!$G$2:$G$1254,분류!G$21,Master!$E$2:$E$1254,분류!$B113)</f>
        <v>0</v>
      </c>
      <c r="H113" s="20">
        <f>SUMIFS(Master!$L$2:$L$1254,Master!$G$2:$G$1254,분류!H$21,Master!$E$2:$E$1254,분류!$B113)</f>
        <v>0</v>
      </c>
      <c r="I113" s="20">
        <f>SUMIFS(Master!$L$2:$L$1254,Master!$G$2:$G$1254,분류!I$21,Master!$E$2:$E$1254,분류!$B113)</f>
        <v>270000</v>
      </c>
      <c r="J113" s="20">
        <f>SUMIFS(Master!$L$2:$L$1254,Master!$G$2:$G$1254,분류!J$21,Master!$E$2:$E$1254,분류!$B113)</f>
        <v>0</v>
      </c>
      <c r="K113" s="20">
        <f>SUMIFS(Master!$L$2:$L$1254,Master!$G$2:$G$1254,분류!K$21,Master!$E$2:$E$1254,분류!$B113)</f>
        <v>0</v>
      </c>
      <c r="L113" s="20">
        <f>SUMIFS(Master!$L$2:$L$1254,Master!$G$2:$G$1254,분류!L$21,Master!$E$2:$E$1254,분류!$B113)</f>
        <v>0</v>
      </c>
      <c r="M113" s="93"/>
      <c r="S113" s="221"/>
    </row>
    <row r="114" spans="1:19">
      <c r="A114" s="86">
        <f t="shared" si="7"/>
        <v>16</v>
      </c>
      <c r="B114" s="19" t="s">
        <v>45</v>
      </c>
      <c r="C114" s="85">
        <f t="shared" si="8"/>
        <v>9210000</v>
      </c>
      <c r="D114" s="20">
        <f>SUMIFS(Master!$L$2:$L$1254,Master!$G$2:$G$1254,분류!D$21,Master!$E$2:$E$1254,분류!$B114)</f>
        <v>0</v>
      </c>
      <c r="E114" s="20">
        <f>SUMIFS(Master!$L$2:$L$1254,Master!$G$2:$G$1254,분류!E$21,Master!$E$2:$E$1254,분류!$B114)</f>
        <v>9210000</v>
      </c>
      <c r="F114" s="20">
        <f>SUMIFS(Master!$L$2:$L$1254,Master!$G$2:$G$1254,분류!F$21,Master!$E$2:$E$1254,분류!$B114)</f>
        <v>0</v>
      </c>
      <c r="G114" s="20">
        <f>SUMIFS(Master!$L$2:$L$1254,Master!$G$2:$G$1254,분류!G$21,Master!$E$2:$E$1254,분류!$B114)</f>
        <v>0</v>
      </c>
      <c r="H114" s="20">
        <f>SUMIFS(Master!$L$2:$L$1254,Master!$G$2:$G$1254,분류!H$21,Master!$E$2:$E$1254,분류!$B114)</f>
        <v>0</v>
      </c>
      <c r="I114" s="20">
        <f>SUMIFS(Master!$L$2:$L$1254,Master!$G$2:$G$1254,분류!I$21,Master!$E$2:$E$1254,분류!$B114)</f>
        <v>0</v>
      </c>
      <c r="J114" s="20">
        <f>SUMIFS(Master!$L$2:$L$1254,Master!$G$2:$G$1254,분류!J$21,Master!$E$2:$E$1254,분류!$B114)</f>
        <v>0</v>
      </c>
      <c r="K114" s="20">
        <f>SUMIFS(Master!$L$2:$L$1254,Master!$G$2:$G$1254,분류!K$21,Master!$E$2:$E$1254,분류!$B114)</f>
        <v>0</v>
      </c>
      <c r="L114" s="20">
        <f>SUMIFS(Master!$L$2:$L$1254,Master!$G$2:$G$1254,분류!L$21,Master!$E$2:$E$1254,분류!$B114)</f>
        <v>0</v>
      </c>
      <c r="M114" s="91"/>
    </row>
    <row r="115" spans="1:19">
      <c r="A115" s="86">
        <f t="shared" si="7"/>
        <v>65</v>
      </c>
      <c r="B115" s="84" t="s">
        <v>191</v>
      </c>
      <c r="C115" s="85">
        <f>SUM(D115:L115)</f>
        <v>0</v>
      </c>
      <c r="D115" s="20">
        <f>SUMIFS(Master!$L$2:$L$1254,Master!$G$2:$G$1254,분류!D$21,Master!$E$2:$E$1254,분류!$B115)</f>
        <v>0</v>
      </c>
      <c r="E115" s="20">
        <f>SUMIFS(Master!$L$2:$L$1254,Master!$G$2:$G$1254,분류!E$21,Master!$E$2:$E$1254,분류!$B115)</f>
        <v>0</v>
      </c>
      <c r="F115" s="20">
        <f>SUMIFS(Master!$L$2:$L$1254,Master!$G$2:$G$1254,분류!F$21,Master!$E$2:$E$1254,분류!$B115)</f>
        <v>0</v>
      </c>
      <c r="G115" s="20">
        <f>SUMIFS(Master!$L$2:$L$1254,Master!$G$2:$G$1254,분류!G$21,Master!$E$2:$E$1254,분류!$B115)</f>
        <v>0</v>
      </c>
      <c r="H115" s="20">
        <f>SUMIFS(Master!$L$2:$L$1254,Master!$G$2:$G$1254,분류!H$21,Master!$E$2:$E$1254,분류!$B115)</f>
        <v>0</v>
      </c>
      <c r="I115" s="20">
        <f>SUMIFS(Master!$L$2:$L$1254,Master!$G$2:$G$1254,분류!I$21,Master!$E$2:$E$1254,분류!$B115)</f>
        <v>0</v>
      </c>
      <c r="J115" s="20">
        <f>SUMIFS(Master!$L$2:$L$1254,Master!$G$2:$G$1254,분류!J$21,Master!$E$2:$E$1254,분류!$B115)</f>
        <v>0</v>
      </c>
      <c r="K115" s="20">
        <f>SUMIFS(Master!$L$2:$L$1254,Master!$G$2:$G$1254,분류!K$21,Master!$E$2:$E$1254,분류!$B115)</f>
        <v>0</v>
      </c>
      <c r="L115" s="20">
        <f>SUMIFS(Master!$L$2:$L$1254,Master!$G$2:$G$1254,분류!L$21,Master!$E$2:$E$1254,분류!$B115)</f>
        <v>0</v>
      </c>
      <c r="M115" s="91"/>
      <c r="N115" s="20"/>
      <c r="O115" s="20"/>
      <c r="P115" s="20"/>
      <c r="Q115" s="20"/>
    </row>
    <row r="116" spans="1:19">
      <c r="B116" s="86" t="s">
        <v>1450</v>
      </c>
      <c r="C116" s="85">
        <f>SUM(D116:L116)</f>
        <v>5387063.8181818184</v>
      </c>
      <c r="D116" s="20">
        <f>'현금,법인카드'!L45</f>
        <v>5387063.8181818184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9">
      <c r="B117" s="86" t="s">
        <v>570</v>
      </c>
      <c r="C117" s="85">
        <f t="shared" ref="C117" si="10">SUM(D117:L117)</f>
        <v>0</v>
      </c>
      <c r="D117" s="20">
        <f>'현금,법인카드'!L10</f>
        <v>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1:19"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spans="1:19"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spans="1:19"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9"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1:19"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spans="1:19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1:19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1:19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1:19"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spans="1:19"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9"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3:17"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3:17"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3:17"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3:17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3:17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3:17"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spans="3:17"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spans="3:17"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3:17"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3:17"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3:17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3:17"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5" spans="1:19" s="92" customFormat="1">
      <c r="A145" s="86">
        <f t="shared" ref="A145:A178" si="11">RANK(C145,$C$23:$C$115,0)</f>
        <v>65</v>
      </c>
      <c r="B145" s="83" t="s">
        <v>614</v>
      </c>
      <c r="C145" s="85">
        <f t="shared" ref="C145:C178" si="12">SUM(D145:L145)</f>
        <v>0</v>
      </c>
      <c r="D145" s="20">
        <f>SUMIFS(Master!$L$2:$L$1254,Master!$G$2:$G$1254,분류!D$21,Master!$E$2:$E$1254,분류!$B145)</f>
        <v>0</v>
      </c>
      <c r="E145" s="20">
        <f>SUMIFS(Master!$L$2:$L$1254,Master!$G$2:$G$1254,분류!E$21,Master!$E$2:$E$1254,분류!$B145)</f>
        <v>0</v>
      </c>
      <c r="F145" s="20">
        <f>SUMIFS(Master!$L$2:$L$1254,Master!$G$2:$G$1254,분류!F$21,Master!$E$2:$E$1254,분류!$B145)</f>
        <v>0</v>
      </c>
      <c r="G145" s="20">
        <f>SUMIFS(Master!$L$2:$L$1254,Master!$G$2:$G$1254,분류!G$21,Master!$E$2:$E$1254,분류!$B145)</f>
        <v>0</v>
      </c>
      <c r="H145" s="20">
        <f>SUMIFS(Master!$L$2:$L$1254,Master!$G$2:$G$1254,분류!H$21,Master!$E$2:$E$1254,분류!$B145)</f>
        <v>0</v>
      </c>
      <c r="I145" s="20">
        <f>SUMIFS(Master!$L$2:$L$1254,Master!$G$2:$G$1254,분류!I$21,Master!$E$2:$E$1254,분류!$B145)</f>
        <v>0</v>
      </c>
      <c r="J145" s="20">
        <f>SUMIFS(Master!$L$2:$L$1254,Master!$G$2:$G$1254,분류!J$21,Master!$E$2:$E$1254,분류!$B145)</f>
        <v>0</v>
      </c>
      <c r="K145" s="20">
        <f>SUMIFS(Master!$L$2:$L$1254,Master!$G$2:$G$1254,분류!K$21,Master!$E$2:$E$1254,분류!$B145)</f>
        <v>0</v>
      </c>
      <c r="L145" s="20">
        <f>SUMIFS(Master!$L$2:$L$1254,Master!$G$2:$G$1254,분류!L$21,Master!$E$2:$E$1254,분류!$B145)</f>
        <v>0</v>
      </c>
      <c r="M145" s="93"/>
      <c r="S145" s="221"/>
    </row>
    <row r="146" spans="1:19">
      <c r="A146" s="86">
        <f t="shared" si="11"/>
        <v>65</v>
      </c>
      <c r="B146" s="19" t="s">
        <v>179</v>
      </c>
      <c r="C146" s="85">
        <f t="shared" si="12"/>
        <v>0</v>
      </c>
      <c r="D146" s="20">
        <f>SUMIFS(Master!$L$2:$L$1254,Master!$G$2:$G$1254,분류!D$21,Master!$E$2:$E$1254,분류!$B146)</f>
        <v>0</v>
      </c>
      <c r="E146" s="20">
        <f>SUMIFS(Master!$L$2:$L$1254,Master!$G$2:$G$1254,분류!E$21,Master!$E$2:$E$1254,분류!$B146)</f>
        <v>0</v>
      </c>
      <c r="F146" s="20">
        <f>SUMIFS(Master!$L$2:$L$1254,Master!$G$2:$G$1254,분류!F$21,Master!$E$2:$E$1254,분류!$B146)</f>
        <v>0</v>
      </c>
      <c r="G146" s="20">
        <f>SUMIFS(Master!$L$2:$L$1254,Master!$G$2:$G$1254,분류!G$21,Master!$E$2:$E$1254,분류!$B146)</f>
        <v>0</v>
      </c>
      <c r="H146" s="20">
        <f>SUMIFS(Master!$L$2:$L$1254,Master!$G$2:$G$1254,분류!H$21,Master!$E$2:$E$1254,분류!$B146)</f>
        <v>0</v>
      </c>
      <c r="I146" s="20">
        <f>SUMIFS(Master!$L$2:$L$1254,Master!$G$2:$G$1254,분류!I$21,Master!$E$2:$E$1254,분류!$B146)</f>
        <v>0</v>
      </c>
      <c r="J146" s="20">
        <f>SUMIFS(Master!$L$2:$L$1254,Master!$G$2:$G$1254,분류!J$21,Master!$E$2:$E$1254,분류!$B146)</f>
        <v>0</v>
      </c>
      <c r="K146" s="20">
        <f>SUMIFS(Master!$L$2:$L$1254,Master!$G$2:$G$1254,분류!K$21,Master!$E$2:$E$1254,분류!$B146)</f>
        <v>0</v>
      </c>
      <c r="L146" s="20">
        <f>SUMIFS(Master!$L$2:$L$1254,Master!$G$2:$G$1254,분류!L$21,Master!$E$2:$E$1254,분류!$B146)</f>
        <v>0</v>
      </c>
      <c r="M146" s="91"/>
    </row>
    <row r="147" spans="1:19">
      <c r="A147" s="86">
        <f t="shared" si="11"/>
        <v>65</v>
      </c>
      <c r="B147" s="19" t="s">
        <v>110</v>
      </c>
      <c r="C147" s="85">
        <f t="shared" si="12"/>
        <v>0</v>
      </c>
      <c r="D147" s="20">
        <f>SUMIFS(Master!$L$2:$L$1254,Master!$G$2:$G$1254,분류!D$21,Master!$E$2:$E$1254,분류!$B147)</f>
        <v>0</v>
      </c>
      <c r="E147" s="20">
        <f>SUMIFS(Master!$L$2:$L$1254,Master!$G$2:$G$1254,분류!E$21,Master!$E$2:$E$1254,분류!$B147)</f>
        <v>0</v>
      </c>
      <c r="F147" s="20">
        <f>SUMIFS(Master!$L$2:$L$1254,Master!$G$2:$G$1254,분류!F$21,Master!$E$2:$E$1254,분류!$B147)</f>
        <v>0</v>
      </c>
      <c r="G147" s="20">
        <f>SUMIFS(Master!$L$2:$L$1254,Master!$G$2:$G$1254,분류!G$21,Master!$E$2:$E$1254,분류!$B147)</f>
        <v>0</v>
      </c>
      <c r="H147" s="20">
        <f>SUMIFS(Master!$L$2:$L$1254,Master!$G$2:$G$1254,분류!H$21,Master!$E$2:$E$1254,분류!$B147)</f>
        <v>0</v>
      </c>
      <c r="I147" s="20">
        <f>SUMIFS(Master!$L$2:$L$1254,Master!$G$2:$G$1254,분류!I$21,Master!$E$2:$E$1254,분류!$B147)</f>
        <v>0</v>
      </c>
      <c r="J147" s="20">
        <f>SUMIFS(Master!$L$2:$L$1254,Master!$G$2:$G$1254,분류!J$21,Master!$E$2:$E$1254,분류!$B147)</f>
        <v>0</v>
      </c>
      <c r="K147" s="20">
        <f>SUMIFS(Master!$L$2:$L$1254,Master!$G$2:$G$1254,분류!K$21,Master!$E$2:$E$1254,분류!$B147)</f>
        <v>0</v>
      </c>
      <c r="L147" s="20">
        <f>SUMIFS(Master!$L$2:$L$1254,Master!$G$2:$G$1254,분류!L$21,Master!$E$2:$E$1254,분류!$B147)</f>
        <v>0</v>
      </c>
      <c r="M147" s="91"/>
    </row>
    <row r="148" spans="1:19">
      <c r="A148" s="86">
        <f t="shared" si="11"/>
        <v>65</v>
      </c>
      <c r="B148" s="19" t="s">
        <v>184</v>
      </c>
      <c r="C148" s="85">
        <f t="shared" si="12"/>
        <v>0</v>
      </c>
      <c r="D148" s="20">
        <f>SUMIFS(Master!$L$2:$L$1254,Master!$G$2:$G$1254,분류!D$21,Master!$E$2:$E$1254,분류!$B148)</f>
        <v>0</v>
      </c>
      <c r="E148" s="20">
        <f>SUMIFS(Master!$L$2:$L$1254,Master!$G$2:$G$1254,분류!E$21,Master!$E$2:$E$1254,분류!$B148)</f>
        <v>0</v>
      </c>
      <c r="F148" s="20">
        <f>SUMIFS(Master!$L$2:$L$1254,Master!$G$2:$G$1254,분류!F$21,Master!$E$2:$E$1254,분류!$B148)</f>
        <v>0</v>
      </c>
      <c r="G148" s="20">
        <f>SUMIFS(Master!$L$2:$L$1254,Master!$G$2:$G$1254,분류!G$21,Master!$E$2:$E$1254,분류!$B148)</f>
        <v>0</v>
      </c>
      <c r="H148" s="20">
        <f>SUMIFS(Master!$L$2:$L$1254,Master!$G$2:$G$1254,분류!H$21,Master!$E$2:$E$1254,분류!$B148)</f>
        <v>0</v>
      </c>
      <c r="I148" s="20">
        <f>SUMIFS(Master!$L$2:$L$1254,Master!$G$2:$G$1254,분류!I$21,Master!$E$2:$E$1254,분류!$B148)</f>
        <v>0</v>
      </c>
      <c r="J148" s="20">
        <f>SUMIFS(Master!$L$2:$L$1254,Master!$G$2:$G$1254,분류!J$21,Master!$E$2:$E$1254,분류!$B148)</f>
        <v>0</v>
      </c>
      <c r="K148" s="20">
        <f>SUMIFS(Master!$L$2:$L$1254,Master!$G$2:$G$1254,분류!K$21,Master!$E$2:$E$1254,분류!$B148)</f>
        <v>0</v>
      </c>
      <c r="L148" s="20">
        <f>SUMIFS(Master!$L$2:$L$1254,Master!$G$2:$G$1254,분류!L$21,Master!$E$2:$E$1254,분류!$B148)</f>
        <v>0</v>
      </c>
      <c r="M148" s="91"/>
    </row>
    <row r="149" spans="1:19" s="92" customFormat="1">
      <c r="A149" s="86">
        <f t="shared" si="11"/>
        <v>65</v>
      </c>
      <c r="B149" s="83" t="s">
        <v>187</v>
      </c>
      <c r="C149" s="85">
        <f t="shared" si="12"/>
        <v>0</v>
      </c>
      <c r="D149" s="20">
        <f>SUMIFS(Master!$L$2:$L$1254,Master!$G$2:$G$1254,분류!D$21,Master!$E$2:$E$1254,분류!$B149)</f>
        <v>0</v>
      </c>
      <c r="E149" s="20">
        <f>SUMIFS(Master!$L$2:$L$1254,Master!$G$2:$G$1254,분류!E$21,Master!$E$2:$E$1254,분류!$B149)</f>
        <v>0</v>
      </c>
      <c r="F149" s="20">
        <f>SUMIFS(Master!$L$2:$L$1254,Master!$G$2:$G$1254,분류!F$21,Master!$E$2:$E$1254,분류!$B149)</f>
        <v>0</v>
      </c>
      <c r="G149" s="20">
        <f>SUMIFS(Master!$L$2:$L$1254,Master!$G$2:$G$1254,분류!G$21,Master!$E$2:$E$1254,분류!$B149)</f>
        <v>0</v>
      </c>
      <c r="H149" s="20">
        <f>SUMIFS(Master!$L$2:$L$1254,Master!$G$2:$G$1254,분류!H$21,Master!$E$2:$E$1254,분류!$B149)</f>
        <v>0</v>
      </c>
      <c r="I149" s="20">
        <f>SUMIFS(Master!$L$2:$L$1254,Master!$G$2:$G$1254,분류!I$21,Master!$E$2:$E$1254,분류!$B149)</f>
        <v>0</v>
      </c>
      <c r="J149" s="20">
        <f>SUMIFS(Master!$L$2:$L$1254,Master!$G$2:$G$1254,분류!J$21,Master!$E$2:$E$1254,분류!$B149)</f>
        <v>0</v>
      </c>
      <c r="K149" s="20">
        <f>SUMIFS(Master!$L$2:$L$1254,Master!$G$2:$G$1254,분류!K$21,Master!$E$2:$E$1254,분류!$B149)</f>
        <v>0</v>
      </c>
      <c r="L149" s="20">
        <f>SUMIFS(Master!$L$2:$L$1254,Master!$G$2:$G$1254,분류!L$21,Master!$E$2:$E$1254,분류!$B149)</f>
        <v>0</v>
      </c>
      <c r="M149" s="93"/>
      <c r="S149" s="221"/>
    </row>
    <row r="150" spans="1:19">
      <c r="A150" s="86">
        <f t="shared" si="11"/>
        <v>65</v>
      </c>
      <c r="B150" s="19" t="s">
        <v>95</v>
      </c>
      <c r="C150" s="85">
        <f t="shared" si="12"/>
        <v>0</v>
      </c>
      <c r="D150" s="20">
        <f>SUMIFS(Master!$L$2:$L$1254,Master!$G$2:$G$1254,분류!D$21,Master!$E$2:$E$1254,분류!$B150)</f>
        <v>0</v>
      </c>
      <c r="E150" s="20">
        <f>SUMIFS(Master!$L$2:$L$1254,Master!$G$2:$G$1254,분류!E$21,Master!$E$2:$E$1254,분류!$B150)</f>
        <v>0</v>
      </c>
      <c r="F150" s="20">
        <f>SUMIFS(Master!$L$2:$L$1254,Master!$G$2:$G$1254,분류!F$21,Master!$E$2:$E$1254,분류!$B150)</f>
        <v>0</v>
      </c>
      <c r="G150" s="20">
        <f>SUMIFS(Master!$L$2:$L$1254,Master!$G$2:$G$1254,분류!G$21,Master!$E$2:$E$1254,분류!$B150)</f>
        <v>0</v>
      </c>
      <c r="H150" s="20">
        <f>SUMIFS(Master!$L$2:$L$1254,Master!$G$2:$G$1254,분류!H$21,Master!$E$2:$E$1254,분류!$B150)</f>
        <v>0</v>
      </c>
      <c r="I150" s="20">
        <f>SUMIFS(Master!$L$2:$L$1254,Master!$G$2:$G$1254,분류!I$21,Master!$E$2:$E$1254,분류!$B150)</f>
        <v>0</v>
      </c>
      <c r="J150" s="20">
        <f>SUMIFS(Master!$L$2:$L$1254,Master!$G$2:$G$1254,분류!J$21,Master!$E$2:$E$1254,분류!$B150)</f>
        <v>0</v>
      </c>
      <c r="K150" s="20">
        <f>SUMIFS(Master!$L$2:$L$1254,Master!$G$2:$G$1254,분류!K$21,Master!$E$2:$E$1254,분류!$B150)</f>
        <v>0</v>
      </c>
      <c r="L150" s="20">
        <f>SUMIFS(Master!$L$2:$L$1254,Master!$G$2:$G$1254,분류!L$21,Master!$E$2:$E$1254,분류!$B150)</f>
        <v>0</v>
      </c>
      <c r="M150" s="91"/>
    </row>
    <row r="151" spans="1:19">
      <c r="A151" s="86">
        <f t="shared" si="11"/>
        <v>65</v>
      </c>
      <c r="B151" s="19" t="s">
        <v>185</v>
      </c>
      <c r="C151" s="85">
        <f t="shared" si="12"/>
        <v>0</v>
      </c>
      <c r="D151" s="20">
        <f>SUMIFS(Master!$L$2:$L$1254,Master!$G$2:$G$1254,분류!D$21,Master!$E$2:$E$1254,분류!$B151)</f>
        <v>0</v>
      </c>
      <c r="E151" s="20">
        <f>SUMIFS(Master!$L$2:$L$1254,Master!$G$2:$G$1254,분류!E$21,Master!$E$2:$E$1254,분류!$B151)</f>
        <v>0</v>
      </c>
      <c r="F151" s="20">
        <f>SUMIFS(Master!$L$2:$L$1254,Master!$G$2:$G$1254,분류!F$21,Master!$E$2:$E$1254,분류!$B151)</f>
        <v>0</v>
      </c>
      <c r="G151" s="20">
        <f>SUMIFS(Master!$L$2:$L$1254,Master!$G$2:$G$1254,분류!G$21,Master!$E$2:$E$1254,분류!$B151)</f>
        <v>0</v>
      </c>
      <c r="H151" s="20">
        <f>SUMIFS(Master!$L$2:$L$1254,Master!$G$2:$G$1254,분류!H$21,Master!$E$2:$E$1254,분류!$B151)</f>
        <v>0</v>
      </c>
      <c r="I151" s="20">
        <f>SUMIFS(Master!$L$2:$L$1254,Master!$G$2:$G$1254,분류!I$21,Master!$E$2:$E$1254,분류!$B151)</f>
        <v>0</v>
      </c>
      <c r="J151" s="20">
        <f>SUMIFS(Master!$L$2:$L$1254,Master!$G$2:$G$1254,분류!J$21,Master!$E$2:$E$1254,분류!$B151)</f>
        <v>0</v>
      </c>
      <c r="K151" s="20">
        <f>SUMIFS(Master!$L$2:$L$1254,Master!$G$2:$G$1254,분류!K$21,Master!$E$2:$E$1254,분류!$B151)</f>
        <v>0</v>
      </c>
      <c r="L151" s="20">
        <f>SUMIFS(Master!$L$2:$L$1254,Master!$G$2:$G$1254,분류!L$21,Master!$E$2:$E$1254,분류!$B151)</f>
        <v>0</v>
      </c>
      <c r="M151" s="91"/>
    </row>
    <row r="152" spans="1:19">
      <c r="A152" s="86">
        <f t="shared" si="11"/>
        <v>65</v>
      </c>
      <c r="B152" s="84" t="s">
        <v>108</v>
      </c>
      <c r="C152" s="85">
        <f t="shared" si="12"/>
        <v>0</v>
      </c>
      <c r="D152" s="20">
        <f>SUMIFS(Master!$L$2:$L$1254,Master!$G$2:$G$1254,분류!D$21,Master!$E$2:$E$1254,분류!$B152)</f>
        <v>0</v>
      </c>
      <c r="E152" s="20">
        <f>SUMIFS(Master!$L$2:$L$1254,Master!$G$2:$G$1254,분류!E$21,Master!$E$2:$E$1254,분류!$B152)</f>
        <v>0</v>
      </c>
      <c r="F152" s="20">
        <f>SUMIFS(Master!$L$2:$L$1254,Master!$G$2:$G$1254,분류!F$21,Master!$E$2:$E$1254,분류!$B152)</f>
        <v>0</v>
      </c>
      <c r="G152" s="20">
        <f>SUMIFS(Master!$L$2:$L$1254,Master!$G$2:$G$1254,분류!G$21,Master!$E$2:$E$1254,분류!$B152)</f>
        <v>0</v>
      </c>
      <c r="H152" s="20">
        <f>SUMIFS(Master!$L$2:$L$1254,Master!$G$2:$G$1254,분류!H$21,Master!$E$2:$E$1254,분류!$B152)</f>
        <v>0</v>
      </c>
      <c r="I152" s="20">
        <f>SUMIFS(Master!$L$2:$L$1254,Master!$G$2:$G$1254,분류!I$21,Master!$E$2:$E$1254,분류!$B152)</f>
        <v>0</v>
      </c>
      <c r="J152" s="20">
        <f>SUMIFS(Master!$L$2:$L$1254,Master!$G$2:$G$1254,분류!J$21,Master!$E$2:$E$1254,분류!$B152)</f>
        <v>0</v>
      </c>
      <c r="K152" s="20">
        <f>SUMIFS(Master!$L$2:$L$1254,Master!$G$2:$G$1254,분류!K$21,Master!$E$2:$E$1254,분류!$B152)</f>
        <v>0</v>
      </c>
      <c r="L152" s="20">
        <f>SUMIFS(Master!$L$2:$L$1254,Master!$G$2:$G$1254,분류!L$21,Master!$E$2:$E$1254,분류!$B152)</f>
        <v>0</v>
      </c>
      <c r="M152" s="91"/>
    </row>
    <row r="153" spans="1:19" s="92" customFormat="1">
      <c r="A153" s="86">
        <f t="shared" si="11"/>
        <v>65</v>
      </c>
      <c r="B153" s="83" t="s">
        <v>616</v>
      </c>
      <c r="C153" s="85">
        <f t="shared" si="12"/>
        <v>0</v>
      </c>
      <c r="D153" s="20">
        <f>SUMIFS(Master!$L$2:$L$1254,Master!$G$2:$G$1254,분류!D$21,Master!$E$2:$E$1254,분류!$B153)</f>
        <v>0</v>
      </c>
      <c r="E153" s="20">
        <f>SUMIFS(Master!$L$2:$L$1254,Master!$G$2:$G$1254,분류!E$21,Master!$E$2:$E$1254,분류!$B153)</f>
        <v>0</v>
      </c>
      <c r="F153" s="20">
        <f>SUMIFS(Master!$L$2:$L$1254,Master!$G$2:$G$1254,분류!F$21,Master!$E$2:$E$1254,분류!$B153)</f>
        <v>0</v>
      </c>
      <c r="G153" s="20">
        <f>SUMIFS(Master!$L$2:$L$1254,Master!$G$2:$G$1254,분류!G$21,Master!$E$2:$E$1254,분류!$B153)</f>
        <v>0</v>
      </c>
      <c r="H153" s="20">
        <f>SUMIFS(Master!$L$2:$L$1254,Master!$G$2:$G$1254,분류!H$21,Master!$E$2:$E$1254,분류!$B153)</f>
        <v>0</v>
      </c>
      <c r="I153" s="20">
        <f>SUMIFS(Master!$L$2:$L$1254,Master!$G$2:$G$1254,분류!I$21,Master!$E$2:$E$1254,분류!$B153)</f>
        <v>0</v>
      </c>
      <c r="J153" s="20">
        <f>SUMIFS(Master!$L$2:$L$1254,Master!$G$2:$G$1254,분류!J$21,Master!$E$2:$E$1254,분류!$B153)</f>
        <v>0</v>
      </c>
      <c r="K153" s="20">
        <f>SUMIFS(Master!$L$2:$L$1254,Master!$G$2:$G$1254,분류!K$21,Master!$E$2:$E$1254,분류!$B153)</f>
        <v>0</v>
      </c>
      <c r="L153" s="20">
        <f>SUMIFS(Master!$L$2:$L$1254,Master!$G$2:$G$1254,분류!L$21,Master!$E$2:$E$1254,분류!$B153)</f>
        <v>0</v>
      </c>
      <c r="M153" s="93"/>
      <c r="S153" s="221"/>
    </row>
    <row r="154" spans="1:19">
      <c r="A154" s="86">
        <f t="shared" si="11"/>
        <v>65</v>
      </c>
      <c r="B154" s="83" t="s">
        <v>299</v>
      </c>
      <c r="C154" s="85">
        <f t="shared" si="12"/>
        <v>0</v>
      </c>
      <c r="D154" s="20">
        <f>SUMIFS(Master!$L$2:$L$1254,Master!$G$2:$G$1254,분류!D$21,Master!$E$2:$E$1254,분류!$B154)</f>
        <v>0</v>
      </c>
      <c r="E154" s="20">
        <f>SUMIFS(Master!$L$2:$L$1254,Master!$G$2:$G$1254,분류!E$21,Master!$E$2:$E$1254,분류!$B154)</f>
        <v>0</v>
      </c>
      <c r="F154" s="20">
        <f>SUMIFS(Master!$L$2:$L$1254,Master!$G$2:$G$1254,분류!F$21,Master!$E$2:$E$1254,분류!$B154)</f>
        <v>0</v>
      </c>
      <c r="G154" s="20">
        <f>SUMIFS(Master!$L$2:$L$1254,Master!$G$2:$G$1254,분류!G$21,Master!$E$2:$E$1254,분류!$B154)</f>
        <v>0</v>
      </c>
      <c r="H154" s="20">
        <f>SUMIFS(Master!$L$2:$L$1254,Master!$G$2:$G$1254,분류!H$21,Master!$E$2:$E$1254,분류!$B154)</f>
        <v>0</v>
      </c>
      <c r="I154" s="20">
        <f>SUMIFS(Master!$L$2:$L$1254,Master!$G$2:$G$1254,분류!I$21,Master!$E$2:$E$1254,분류!$B154)</f>
        <v>0</v>
      </c>
      <c r="J154" s="20">
        <f>SUMIFS(Master!$L$2:$L$1254,Master!$G$2:$G$1254,분류!J$21,Master!$E$2:$E$1254,분류!$B154)</f>
        <v>0</v>
      </c>
      <c r="K154" s="20">
        <f>SUMIFS(Master!$L$2:$L$1254,Master!$G$2:$G$1254,분류!K$21,Master!$E$2:$E$1254,분류!$B154)</f>
        <v>0</v>
      </c>
      <c r="L154" s="20">
        <f>SUMIFS(Master!$L$2:$L$1254,Master!$G$2:$G$1254,분류!L$21,Master!$E$2:$E$1254,분류!$B154)</f>
        <v>0</v>
      </c>
      <c r="M154" s="91"/>
    </row>
    <row r="155" spans="1:19">
      <c r="A155" s="86">
        <f t="shared" si="11"/>
        <v>65</v>
      </c>
      <c r="B155" s="19" t="s">
        <v>107</v>
      </c>
      <c r="C155" s="85">
        <f t="shared" si="12"/>
        <v>0</v>
      </c>
      <c r="D155" s="20">
        <f>SUMIFS(Master!$L$2:$L$1254,Master!$G$2:$G$1254,분류!D$21,Master!$E$2:$E$1254,분류!$B155)</f>
        <v>0</v>
      </c>
      <c r="E155" s="20">
        <f>SUMIFS(Master!$L$2:$L$1254,Master!$G$2:$G$1254,분류!E$21,Master!$E$2:$E$1254,분류!$B155)</f>
        <v>0</v>
      </c>
      <c r="F155" s="20">
        <f>SUMIFS(Master!$L$2:$L$1254,Master!$G$2:$G$1254,분류!F$21,Master!$E$2:$E$1254,분류!$B155)</f>
        <v>0</v>
      </c>
      <c r="G155" s="20">
        <f>SUMIFS(Master!$L$2:$L$1254,Master!$G$2:$G$1254,분류!G$21,Master!$E$2:$E$1254,분류!$B155)</f>
        <v>0</v>
      </c>
      <c r="H155" s="20">
        <f>SUMIFS(Master!$L$2:$L$1254,Master!$G$2:$G$1254,분류!H$21,Master!$E$2:$E$1254,분류!$B155)</f>
        <v>0</v>
      </c>
      <c r="I155" s="20">
        <f>SUMIFS(Master!$L$2:$L$1254,Master!$G$2:$G$1254,분류!I$21,Master!$E$2:$E$1254,분류!$B155)</f>
        <v>0</v>
      </c>
      <c r="J155" s="20">
        <f>SUMIFS(Master!$L$2:$L$1254,Master!$G$2:$G$1254,분류!J$21,Master!$E$2:$E$1254,분류!$B155)</f>
        <v>0</v>
      </c>
      <c r="K155" s="20">
        <f>SUMIFS(Master!$L$2:$L$1254,Master!$G$2:$G$1254,분류!K$21,Master!$E$2:$E$1254,분류!$B155)</f>
        <v>0</v>
      </c>
      <c r="L155" s="20">
        <f>SUMIFS(Master!$L$2:$L$1254,Master!$G$2:$G$1254,분류!L$21,Master!$E$2:$E$1254,분류!$B155)</f>
        <v>0</v>
      </c>
      <c r="M155" s="91"/>
    </row>
    <row r="156" spans="1:19">
      <c r="A156" s="86">
        <f t="shared" si="11"/>
        <v>65</v>
      </c>
      <c r="B156" s="19" t="s">
        <v>329</v>
      </c>
      <c r="C156" s="85">
        <f t="shared" si="12"/>
        <v>0</v>
      </c>
      <c r="D156" s="20">
        <f>SUMIFS(Master!$L$2:$L$1254,Master!$G$2:$G$1254,분류!D$21,Master!$E$2:$E$1254,분류!$B156)</f>
        <v>0</v>
      </c>
      <c r="E156" s="20">
        <f>SUMIFS(Master!$L$2:$L$1254,Master!$G$2:$G$1254,분류!E$21,Master!$E$2:$E$1254,분류!$B156)</f>
        <v>0</v>
      </c>
      <c r="F156" s="20">
        <f>SUMIFS(Master!$L$2:$L$1254,Master!$G$2:$G$1254,분류!F$21,Master!$E$2:$E$1254,분류!$B156)</f>
        <v>0</v>
      </c>
      <c r="G156" s="20">
        <f>SUMIFS(Master!$L$2:$L$1254,Master!$G$2:$G$1254,분류!G$21,Master!$E$2:$E$1254,분류!$B156)</f>
        <v>0</v>
      </c>
      <c r="H156" s="20">
        <f>SUMIFS(Master!$L$2:$L$1254,Master!$G$2:$G$1254,분류!H$21,Master!$E$2:$E$1254,분류!$B156)</f>
        <v>0</v>
      </c>
      <c r="I156" s="20">
        <f>SUMIFS(Master!$L$2:$L$1254,Master!$G$2:$G$1254,분류!I$21,Master!$E$2:$E$1254,분류!$B156)</f>
        <v>0</v>
      </c>
      <c r="J156" s="20">
        <f>SUMIFS(Master!$L$2:$L$1254,Master!$G$2:$G$1254,분류!J$21,Master!$E$2:$E$1254,분류!$B156)</f>
        <v>0</v>
      </c>
      <c r="K156" s="20">
        <f>SUMIFS(Master!$L$2:$L$1254,Master!$G$2:$G$1254,분류!K$21,Master!$E$2:$E$1254,분류!$B156)</f>
        <v>0</v>
      </c>
      <c r="L156" s="20">
        <f>SUMIFS(Master!$L$2:$L$1254,Master!$G$2:$G$1254,분류!L$21,Master!$E$2:$E$1254,분류!$B156)</f>
        <v>0</v>
      </c>
      <c r="M156" s="91"/>
    </row>
    <row r="157" spans="1:19">
      <c r="A157" s="86">
        <f t="shared" si="11"/>
        <v>65</v>
      </c>
      <c r="B157" s="19" t="s">
        <v>456</v>
      </c>
      <c r="C157" s="85">
        <f t="shared" si="12"/>
        <v>0</v>
      </c>
      <c r="D157" s="20">
        <f>SUMIFS(Master!$L$2:$L$1254,Master!$G$2:$G$1254,분류!D$21,Master!$E$2:$E$1254,분류!$B157)</f>
        <v>0</v>
      </c>
      <c r="E157" s="20">
        <f>SUMIFS(Master!$L$2:$L$1254,Master!$G$2:$G$1254,분류!E$21,Master!$E$2:$E$1254,분류!$B157)</f>
        <v>0</v>
      </c>
      <c r="F157" s="20">
        <f>SUMIFS(Master!$L$2:$L$1254,Master!$G$2:$G$1254,분류!F$21,Master!$E$2:$E$1254,분류!$B157)</f>
        <v>0</v>
      </c>
      <c r="G157" s="20">
        <f>SUMIFS(Master!$L$2:$L$1254,Master!$G$2:$G$1254,분류!G$21,Master!$E$2:$E$1254,분류!$B157)</f>
        <v>0</v>
      </c>
      <c r="H157" s="20">
        <f>SUMIFS(Master!$L$2:$L$1254,Master!$G$2:$G$1254,분류!H$21,Master!$E$2:$E$1254,분류!$B157)</f>
        <v>0</v>
      </c>
      <c r="I157" s="20">
        <f>SUMIFS(Master!$L$2:$L$1254,Master!$G$2:$G$1254,분류!I$21,Master!$E$2:$E$1254,분류!$B157)</f>
        <v>0</v>
      </c>
      <c r="J157" s="20">
        <f>SUMIFS(Master!$L$2:$L$1254,Master!$G$2:$G$1254,분류!J$21,Master!$E$2:$E$1254,분류!$B157)</f>
        <v>0</v>
      </c>
      <c r="K157" s="20">
        <f>SUMIFS(Master!$L$2:$L$1254,Master!$G$2:$G$1254,분류!K$21,Master!$E$2:$E$1254,분류!$B157)</f>
        <v>0</v>
      </c>
      <c r="L157" s="20">
        <f>SUMIFS(Master!$L$2:$L$1254,Master!$G$2:$G$1254,분류!L$21,Master!$E$2:$E$1254,분류!$B157)</f>
        <v>0</v>
      </c>
      <c r="M157" s="91"/>
    </row>
    <row r="158" spans="1:19">
      <c r="A158" s="86">
        <f t="shared" si="11"/>
        <v>65</v>
      </c>
      <c r="B158" s="19" t="s">
        <v>111</v>
      </c>
      <c r="C158" s="85">
        <f t="shared" si="12"/>
        <v>0</v>
      </c>
      <c r="D158" s="20">
        <f>SUMIFS(Master!$L$2:$L$1254,Master!$G$2:$G$1254,분류!D$21,Master!$E$2:$E$1254,분류!$B158)</f>
        <v>0</v>
      </c>
      <c r="E158" s="20">
        <f>SUMIFS(Master!$L$2:$L$1254,Master!$G$2:$G$1254,분류!E$21,Master!$E$2:$E$1254,분류!$B158)</f>
        <v>0</v>
      </c>
      <c r="F158" s="20">
        <f>SUMIFS(Master!$L$2:$L$1254,Master!$G$2:$G$1254,분류!F$21,Master!$E$2:$E$1254,분류!$B158)</f>
        <v>0</v>
      </c>
      <c r="G158" s="20">
        <f>SUMIFS(Master!$L$2:$L$1254,Master!$G$2:$G$1254,분류!G$21,Master!$E$2:$E$1254,분류!$B158)</f>
        <v>0</v>
      </c>
      <c r="H158" s="20">
        <f>SUMIFS(Master!$L$2:$L$1254,Master!$G$2:$G$1254,분류!H$21,Master!$E$2:$E$1254,분류!$B158)</f>
        <v>0</v>
      </c>
      <c r="I158" s="20">
        <f>SUMIFS(Master!$L$2:$L$1254,Master!$G$2:$G$1254,분류!I$21,Master!$E$2:$E$1254,분류!$B158)</f>
        <v>0</v>
      </c>
      <c r="J158" s="20">
        <f>SUMIFS(Master!$L$2:$L$1254,Master!$G$2:$G$1254,분류!J$21,Master!$E$2:$E$1254,분류!$B158)</f>
        <v>0</v>
      </c>
      <c r="K158" s="20">
        <f>SUMIFS(Master!$L$2:$L$1254,Master!$G$2:$G$1254,분류!K$21,Master!$E$2:$E$1254,분류!$B158)</f>
        <v>0</v>
      </c>
      <c r="L158" s="20">
        <f>SUMIFS(Master!$L$2:$L$1254,Master!$G$2:$G$1254,분류!L$21,Master!$E$2:$E$1254,분류!$B158)</f>
        <v>0</v>
      </c>
      <c r="M158" s="91"/>
    </row>
    <row r="159" spans="1:19">
      <c r="A159" s="86">
        <f t="shared" si="11"/>
        <v>65</v>
      </c>
      <c r="B159" s="84" t="s">
        <v>159</v>
      </c>
      <c r="C159" s="85">
        <f t="shared" si="12"/>
        <v>0</v>
      </c>
      <c r="D159" s="20">
        <f>SUMIFS(Master!$L$2:$L$1254,Master!$G$2:$G$1254,분류!D$21,Master!$E$2:$E$1254,분류!$B159)</f>
        <v>0</v>
      </c>
      <c r="E159" s="20">
        <f>SUMIFS(Master!$L$2:$L$1254,Master!$G$2:$G$1254,분류!E$21,Master!$E$2:$E$1254,분류!$B159)</f>
        <v>0</v>
      </c>
      <c r="F159" s="20">
        <f>SUMIFS(Master!$L$2:$L$1254,Master!$G$2:$G$1254,분류!F$21,Master!$E$2:$E$1254,분류!$B159)</f>
        <v>0</v>
      </c>
      <c r="G159" s="20">
        <f>SUMIFS(Master!$L$2:$L$1254,Master!$G$2:$G$1254,분류!G$21,Master!$E$2:$E$1254,분류!$B159)</f>
        <v>0</v>
      </c>
      <c r="H159" s="20">
        <f>SUMIFS(Master!$L$2:$L$1254,Master!$G$2:$G$1254,분류!H$21,Master!$E$2:$E$1254,분류!$B159)</f>
        <v>0</v>
      </c>
      <c r="I159" s="20">
        <f>SUMIFS(Master!$L$2:$L$1254,Master!$G$2:$G$1254,분류!I$21,Master!$E$2:$E$1254,분류!$B159)</f>
        <v>0</v>
      </c>
      <c r="J159" s="20">
        <f>SUMIFS(Master!$L$2:$L$1254,Master!$G$2:$G$1254,분류!J$21,Master!$E$2:$E$1254,분류!$B159)</f>
        <v>0</v>
      </c>
      <c r="K159" s="20">
        <f>SUMIFS(Master!$L$2:$L$1254,Master!$G$2:$G$1254,분류!K$21,Master!$E$2:$E$1254,분류!$B159)</f>
        <v>0</v>
      </c>
      <c r="L159" s="20">
        <f>SUMIFS(Master!$L$2:$L$1254,Master!$G$2:$G$1254,분류!L$21,Master!$E$2:$E$1254,분류!$B159)</f>
        <v>0</v>
      </c>
      <c r="M159" s="91"/>
    </row>
    <row r="160" spans="1:19">
      <c r="A160" s="86">
        <f t="shared" si="11"/>
        <v>65</v>
      </c>
      <c r="B160" s="19" t="s">
        <v>183</v>
      </c>
      <c r="C160" s="85">
        <f t="shared" si="12"/>
        <v>0</v>
      </c>
      <c r="D160" s="20">
        <f>SUMIFS(Master!$L$2:$L$1254,Master!$G$2:$G$1254,분류!D$21,Master!$E$2:$E$1254,분류!$B160)</f>
        <v>0</v>
      </c>
      <c r="E160" s="20">
        <f>SUMIFS(Master!$L$2:$L$1254,Master!$G$2:$G$1254,분류!E$21,Master!$E$2:$E$1254,분류!$B160)</f>
        <v>0</v>
      </c>
      <c r="F160" s="20">
        <f>SUMIFS(Master!$L$2:$L$1254,Master!$G$2:$G$1254,분류!F$21,Master!$E$2:$E$1254,분류!$B160)</f>
        <v>0</v>
      </c>
      <c r="G160" s="20">
        <f>SUMIFS(Master!$L$2:$L$1254,Master!$G$2:$G$1254,분류!G$21,Master!$E$2:$E$1254,분류!$B160)</f>
        <v>0</v>
      </c>
      <c r="H160" s="20">
        <f>SUMIFS(Master!$L$2:$L$1254,Master!$G$2:$G$1254,분류!H$21,Master!$E$2:$E$1254,분류!$B160)</f>
        <v>0</v>
      </c>
      <c r="I160" s="20">
        <f>SUMIFS(Master!$L$2:$L$1254,Master!$G$2:$G$1254,분류!I$21,Master!$E$2:$E$1254,분류!$B160)</f>
        <v>0</v>
      </c>
      <c r="J160" s="20">
        <f>SUMIFS(Master!$L$2:$L$1254,Master!$G$2:$G$1254,분류!J$21,Master!$E$2:$E$1254,분류!$B160)</f>
        <v>0</v>
      </c>
      <c r="K160" s="20">
        <f>SUMIFS(Master!$L$2:$L$1254,Master!$G$2:$G$1254,분류!K$21,Master!$E$2:$E$1254,분류!$B160)</f>
        <v>0</v>
      </c>
      <c r="L160" s="20">
        <f>SUMIFS(Master!$L$2:$L$1254,Master!$G$2:$G$1254,분류!L$21,Master!$E$2:$E$1254,분류!$B160)</f>
        <v>0</v>
      </c>
      <c r="M160" s="91"/>
    </row>
    <row r="161" spans="1:13">
      <c r="A161" s="86">
        <f t="shared" si="11"/>
        <v>65</v>
      </c>
      <c r="B161" s="19" t="s">
        <v>188</v>
      </c>
      <c r="C161" s="85">
        <f t="shared" si="12"/>
        <v>0</v>
      </c>
      <c r="D161" s="20">
        <f>SUMIFS(Master!$L$2:$L$1254,Master!$G$2:$G$1254,분류!D$21,Master!$E$2:$E$1254,분류!$B161)</f>
        <v>0</v>
      </c>
      <c r="E161" s="20">
        <f>SUMIFS(Master!$L$2:$L$1254,Master!$G$2:$G$1254,분류!E$21,Master!$E$2:$E$1254,분류!$B161)</f>
        <v>0</v>
      </c>
      <c r="F161" s="20">
        <f>SUMIFS(Master!$L$2:$L$1254,Master!$G$2:$G$1254,분류!F$21,Master!$E$2:$E$1254,분류!$B161)</f>
        <v>0</v>
      </c>
      <c r="G161" s="20">
        <f>SUMIFS(Master!$L$2:$L$1254,Master!$G$2:$G$1254,분류!G$21,Master!$E$2:$E$1254,분류!$B161)</f>
        <v>0</v>
      </c>
      <c r="H161" s="20">
        <f>SUMIFS(Master!$L$2:$L$1254,Master!$G$2:$G$1254,분류!H$21,Master!$E$2:$E$1254,분류!$B161)</f>
        <v>0</v>
      </c>
      <c r="I161" s="20">
        <f>SUMIFS(Master!$L$2:$L$1254,Master!$G$2:$G$1254,분류!I$21,Master!$E$2:$E$1254,분류!$B161)</f>
        <v>0</v>
      </c>
      <c r="J161" s="20">
        <f>SUMIFS(Master!$L$2:$L$1254,Master!$G$2:$G$1254,분류!J$21,Master!$E$2:$E$1254,분류!$B161)</f>
        <v>0</v>
      </c>
      <c r="K161" s="20">
        <f>SUMIFS(Master!$L$2:$L$1254,Master!$G$2:$G$1254,분류!K$21,Master!$E$2:$E$1254,분류!$B161)</f>
        <v>0</v>
      </c>
      <c r="L161" s="20">
        <f>SUMIFS(Master!$L$2:$L$1254,Master!$G$2:$G$1254,분류!L$21,Master!$E$2:$E$1254,분류!$B161)</f>
        <v>0</v>
      </c>
      <c r="M161" s="91"/>
    </row>
    <row r="162" spans="1:13">
      <c r="A162" s="86">
        <f t="shared" si="11"/>
        <v>65</v>
      </c>
      <c r="B162" s="83" t="s">
        <v>192</v>
      </c>
      <c r="C162" s="85">
        <f t="shared" si="12"/>
        <v>0</v>
      </c>
      <c r="D162" s="20">
        <f>SUMIFS(Master!$L$2:$L$1254,Master!$G$2:$G$1254,분류!D$21,Master!$E$2:$E$1254,분류!$B162)</f>
        <v>0</v>
      </c>
      <c r="E162" s="20">
        <f>SUMIFS(Master!$L$2:$L$1254,Master!$G$2:$G$1254,분류!E$21,Master!$E$2:$E$1254,분류!$B162)</f>
        <v>0</v>
      </c>
      <c r="F162" s="20">
        <f>SUMIFS(Master!$L$2:$L$1254,Master!$G$2:$G$1254,분류!F$21,Master!$E$2:$E$1254,분류!$B162)</f>
        <v>0</v>
      </c>
      <c r="G162" s="20">
        <f>SUMIFS(Master!$L$2:$L$1254,Master!$G$2:$G$1254,분류!G$21,Master!$E$2:$E$1254,분류!$B162)</f>
        <v>0</v>
      </c>
      <c r="H162" s="20">
        <f>SUMIFS(Master!$L$2:$L$1254,Master!$G$2:$G$1254,분류!H$21,Master!$E$2:$E$1254,분류!$B162)</f>
        <v>0</v>
      </c>
      <c r="I162" s="20">
        <f>SUMIFS(Master!$L$2:$L$1254,Master!$G$2:$G$1254,분류!I$21,Master!$E$2:$E$1254,분류!$B162)</f>
        <v>0</v>
      </c>
      <c r="J162" s="20">
        <f>SUMIFS(Master!$L$2:$L$1254,Master!$G$2:$G$1254,분류!J$21,Master!$E$2:$E$1254,분류!$B162)</f>
        <v>0</v>
      </c>
      <c r="K162" s="20">
        <f>SUMIFS(Master!$L$2:$L$1254,Master!$G$2:$G$1254,분류!K$21,Master!$E$2:$E$1254,분류!$B162)</f>
        <v>0</v>
      </c>
      <c r="L162" s="20">
        <f>SUMIFS(Master!$L$2:$L$1254,Master!$G$2:$G$1254,분류!L$21,Master!$E$2:$E$1254,분류!$B162)</f>
        <v>0</v>
      </c>
      <c r="M162" s="91"/>
    </row>
    <row r="163" spans="1:13">
      <c r="A163" s="86">
        <f t="shared" si="11"/>
        <v>65</v>
      </c>
      <c r="B163" s="83" t="s">
        <v>618</v>
      </c>
      <c r="C163" s="85">
        <f t="shared" si="12"/>
        <v>0</v>
      </c>
      <c r="D163" s="20">
        <f>SUMIFS(Master!$L$2:$L$1254,Master!$G$2:$G$1254,분류!D$21,Master!$E$2:$E$1254,분류!$B163)</f>
        <v>0</v>
      </c>
      <c r="E163" s="20">
        <f>SUMIFS(Master!$L$2:$L$1254,Master!$G$2:$G$1254,분류!E$21,Master!$E$2:$E$1254,분류!$B163)</f>
        <v>0</v>
      </c>
      <c r="F163" s="20">
        <f>SUMIFS(Master!$L$2:$L$1254,Master!$G$2:$G$1254,분류!F$21,Master!$E$2:$E$1254,분류!$B163)</f>
        <v>0</v>
      </c>
      <c r="G163" s="20">
        <f>SUMIFS(Master!$L$2:$L$1254,Master!$G$2:$G$1254,분류!G$21,Master!$E$2:$E$1254,분류!$B163)</f>
        <v>0</v>
      </c>
      <c r="H163" s="20">
        <f>SUMIFS(Master!$L$2:$L$1254,Master!$G$2:$G$1254,분류!H$21,Master!$E$2:$E$1254,분류!$B163)</f>
        <v>0</v>
      </c>
      <c r="I163" s="20">
        <f>SUMIFS(Master!$L$2:$L$1254,Master!$G$2:$G$1254,분류!I$21,Master!$E$2:$E$1254,분류!$B163)</f>
        <v>0</v>
      </c>
      <c r="J163" s="20">
        <f>SUMIFS(Master!$L$2:$L$1254,Master!$G$2:$G$1254,분류!J$21,Master!$E$2:$E$1254,분류!$B163)</f>
        <v>0</v>
      </c>
      <c r="K163" s="20">
        <f>SUMIFS(Master!$L$2:$L$1254,Master!$G$2:$G$1254,분류!K$21,Master!$E$2:$E$1254,분류!$B163)</f>
        <v>0</v>
      </c>
      <c r="L163" s="20">
        <f>SUMIFS(Master!$L$2:$L$1254,Master!$G$2:$G$1254,분류!L$21,Master!$E$2:$E$1254,분류!$B163)</f>
        <v>0</v>
      </c>
      <c r="M163" s="91"/>
    </row>
    <row r="164" spans="1:13">
      <c r="A164" s="86">
        <f t="shared" si="11"/>
        <v>65</v>
      </c>
      <c r="B164" s="84" t="s">
        <v>112</v>
      </c>
      <c r="C164" s="85">
        <f t="shared" si="12"/>
        <v>0</v>
      </c>
      <c r="D164" s="20">
        <f>SUMIFS(Master!$L$2:$L$1254,Master!$G$2:$G$1254,분류!D$21,Master!$E$2:$E$1254,분류!$B164)</f>
        <v>0</v>
      </c>
      <c r="E164" s="20">
        <f>SUMIFS(Master!$L$2:$L$1254,Master!$G$2:$G$1254,분류!E$21,Master!$E$2:$E$1254,분류!$B164)</f>
        <v>0</v>
      </c>
      <c r="F164" s="20">
        <f>SUMIFS(Master!$L$2:$L$1254,Master!$G$2:$G$1254,분류!F$21,Master!$E$2:$E$1254,분류!$B164)</f>
        <v>0</v>
      </c>
      <c r="G164" s="20">
        <f>SUMIFS(Master!$L$2:$L$1254,Master!$G$2:$G$1254,분류!G$21,Master!$E$2:$E$1254,분류!$B164)</f>
        <v>0</v>
      </c>
      <c r="H164" s="20">
        <f>SUMIFS(Master!$L$2:$L$1254,Master!$G$2:$G$1254,분류!H$21,Master!$E$2:$E$1254,분류!$B164)</f>
        <v>0</v>
      </c>
      <c r="I164" s="20">
        <f>SUMIFS(Master!$L$2:$L$1254,Master!$G$2:$G$1254,분류!I$21,Master!$E$2:$E$1254,분류!$B164)</f>
        <v>0</v>
      </c>
      <c r="J164" s="20">
        <f>SUMIFS(Master!$L$2:$L$1254,Master!$G$2:$G$1254,분류!J$21,Master!$E$2:$E$1254,분류!$B164)</f>
        <v>0</v>
      </c>
      <c r="K164" s="20">
        <f>SUMIFS(Master!$L$2:$L$1254,Master!$G$2:$G$1254,분류!K$21,Master!$E$2:$E$1254,분류!$B164)</f>
        <v>0</v>
      </c>
      <c r="L164" s="20">
        <f>SUMIFS(Master!$L$2:$L$1254,Master!$G$2:$G$1254,분류!L$21,Master!$E$2:$E$1254,분류!$B164)</f>
        <v>0</v>
      </c>
      <c r="M164" s="91"/>
    </row>
    <row r="165" spans="1:13">
      <c r="A165" s="86">
        <f t="shared" si="11"/>
        <v>65</v>
      </c>
      <c r="B165" s="19" t="s">
        <v>405</v>
      </c>
      <c r="C165" s="85">
        <f t="shared" si="12"/>
        <v>0</v>
      </c>
      <c r="D165" s="20">
        <f>SUMIFS(Master!$L$2:$L$1254,Master!$G$2:$G$1254,분류!D$21,Master!$E$2:$E$1254,분류!$B165)</f>
        <v>0</v>
      </c>
      <c r="E165" s="20">
        <f>SUMIFS(Master!$L$2:$L$1254,Master!$G$2:$G$1254,분류!E$21,Master!$E$2:$E$1254,분류!$B165)</f>
        <v>0</v>
      </c>
      <c r="F165" s="20">
        <f>SUMIFS(Master!$L$2:$L$1254,Master!$G$2:$G$1254,분류!F$21,Master!$E$2:$E$1254,분류!$B165)</f>
        <v>0</v>
      </c>
      <c r="G165" s="20">
        <f>SUMIFS(Master!$L$2:$L$1254,Master!$G$2:$G$1254,분류!G$21,Master!$E$2:$E$1254,분류!$B165)</f>
        <v>0</v>
      </c>
      <c r="H165" s="20">
        <f>SUMIFS(Master!$L$2:$L$1254,Master!$G$2:$G$1254,분류!H$21,Master!$E$2:$E$1254,분류!$B165)</f>
        <v>0</v>
      </c>
      <c r="I165" s="20">
        <f>SUMIFS(Master!$L$2:$L$1254,Master!$G$2:$G$1254,분류!I$21,Master!$E$2:$E$1254,분류!$B165)</f>
        <v>0</v>
      </c>
      <c r="J165" s="20">
        <f>SUMIFS(Master!$L$2:$L$1254,Master!$G$2:$G$1254,분류!J$21,Master!$E$2:$E$1254,분류!$B165)</f>
        <v>0</v>
      </c>
      <c r="K165" s="20">
        <f>SUMIFS(Master!$L$2:$L$1254,Master!$G$2:$G$1254,분류!K$21,Master!$E$2:$E$1254,분류!$B165)</f>
        <v>0</v>
      </c>
      <c r="L165" s="20">
        <f>SUMIFS(Master!$L$2:$L$1254,Master!$G$2:$G$1254,분류!L$21,Master!$E$2:$E$1254,분류!$B165)</f>
        <v>0</v>
      </c>
      <c r="M165" s="91"/>
    </row>
    <row r="166" spans="1:13">
      <c r="A166" s="86">
        <f t="shared" si="11"/>
        <v>65</v>
      </c>
      <c r="B166" s="19" t="s">
        <v>105</v>
      </c>
      <c r="C166" s="85">
        <f t="shared" si="12"/>
        <v>0</v>
      </c>
      <c r="D166" s="20">
        <f>SUMIFS(Master!$L$2:$L$1254,Master!$G$2:$G$1254,분류!D$21,Master!$E$2:$E$1254,분류!$B166)</f>
        <v>0</v>
      </c>
      <c r="E166" s="20">
        <f>SUMIFS(Master!$L$2:$L$1254,Master!$G$2:$G$1254,분류!E$21,Master!$E$2:$E$1254,분류!$B166)</f>
        <v>0</v>
      </c>
      <c r="F166" s="20">
        <f>SUMIFS(Master!$L$2:$L$1254,Master!$G$2:$G$1254,분류!F$21,Master!$E$2:$E$1254,분류!$B166)</f>
        <v>0</v>
      </c>
      <c r="G166" s="20">
        <f>SUMIFS(Master!$L$2:$L$1254,Master!$G$2:$G$1254,분류!G$21,Master!$E$2:$E$1254,분류!$B166)</f>
        <v>0</v>
      </c>
      <c r="H166" s="20">
        <f>SUMIFS(Master!$L$2:$L$1254,Master!$G$2:$G$1254,분류!H$21,Master!$E$2:$E$1254,분류!$B166)</f>
        <v>0</v>
      </c>
      <c r="I166" s="20">
        <f>SUMIFS(Master!$L$2:$L$1254,Master!$G$2:$G$1254,분류!I$21,Master!$E$2:$E$1254,분류!$B166)</f>
        <v>0</v>
      </c>
      <c r="J166" s="20">
        <f>SUMIFS(Master!$L$2:$L$1254,Master!$G$2:$G$1254,분류!J$21,Master!$E$2:$E$1254,분류!$B166)</f>
        <v>0</v>
      </c>
      <c r="K166" s="20">
        <f>SUMIFS(Master!$L$2:$L$1254,Master!$G$2:$G$1254,분류!K$21,Master!$E$2:$E$1254,분류!$B166)</f>
        <v>0</v>
      </c>
      <c r="L166" s="20">
        <f>SUMIFS(Master!$L$2:$L$1254,Master!$G$2:$G$1254,분류!L$21,Master!$E$2:$E$1254,분류!$B166)</f>
        <v>0</v>
      </c>
      <c r="M166" s="91"/>
    </row>
    <row r="167" spans="1:13">
      <c r="A167" s="86">
        <f t="shared" si="11"/>
        <v>65</v>
      </c>
      <c r="B167" s="19" t="s">
        <v>619</v>
      </c>
      <c r="C167" s="85">
        <f t="shared" si="12"/>
        <v>0</v>
      </c>
      <c r="D167" s="20">
        <f>SUMIFS(Master!$L$2:$L$1254,Master!$G$2:$G$1254,분류!D$21,Master!$E$2:$E$1254,분류!$B167)</f>
        <v>0</v>
      </c>
      <c r="E167" s="20">
        <f>SUMIFS(Master!$L$2:$L$1254,Master!$G$2:$G$1254,분류!E$21,Master!$E$2:$E$1254,분류!$B167)</f>
        <v>0</v>
      </c>
      <c r="F167" s="20">
        <f>SUMIFS(Master!$L$2:$L$1254,Master!$G$2:$G$1254,분류!F$21,Master!$E$2:$E$1254,분류!$B167)</f>
        <v>0</v>
      </c>
      <c r="G167" s="20">
        <f>SUMIFS(Master!$L$2:$L$1254,Master!$G$2:$G$1254,분류!G$21,Master!$E$2:$E$1254,분류!$B167)</f>
        <v>0</v>
      </c>
      <c r="H167" s="20">
        <f>SUMIFS(Master!$L$2:$L$1254,Master!$G$2:$G$1254,분류!H$21,Master!$E$2:$E$1254,분류!$B167)</f>
        <v>0</v>
      </c>
      <c r="I167" s="20">
        <f>SUMIFS(Master!$L$2:$L$1254,Master!$G$2:$G$1254,분류!I$21,Master!$E$2:$E$1254,분류!$B167)</f>
        <v>0</v>
      </c>
      <c r="J167" s="20">
        <f>SUMIFS(Master!$L$2:$L$1254,Master!$G$2:$G$1254,분류!J$21,Master!$E$2:$E$1254,분류!$B167)</f>
        <v>0</v>
      </c>
      <c r="K167" s="20">
        <f>SUMIFS(Master!$L$2:$L$1254,Master!$G$2:$G$1254,분류!K$21,Master!$E$2:$E$1254,분류!$B167)</f>
        <v>0</v>
      </c>
      <c r="L167" s="20">
        <f>SUMIFS(Master!$L$2:$L$1254,Master!$G$2:$G$1254,분류!L$21,Master!$E$2:$E$1254,분류!$B167)</f>
        <v>0</v>
      </c>
      <c r="M167" s="91"/>
    </row>
    <row r="168" spans="1:13">
      <c r="A168" s="86">
        <f t="shared" si="11"/>
        <v>65</v>
      </c>
      <c r="B168" s="82" t="s">
        <v>120</v>
      </c>
      <c r="C168" s="85">
        <f t="shared" si="12"/>
        <v>0</v>
      </c>
      <c r="D168" s="20">
        <f>SUMIFS(Master!$L$2:$L$1254,Master!$G$2:$G$1254,분류!D$21,Master!$E$2:$E$1254,분류!$B168)</f>
        <v>0</v>
      </c>
      <c r="E168" s="20">
        <f>SUMIFS(Master!$L$2:$L$1254,Master!$G$2:$G$1254,분류!E$21,Master!$E$2:$E$1254,분류!$B168)</f>
        <v>0</v>
      </c>
      <c r="F168" s="20">
        <f>SUMIFS(Master!$L$2:$L$1254,Master!$G$2:$G$1254,분류!F$21,Master!$E$2:$E$1254,분류!$B168)</f>
        <v>0</v>
      </c>
      <c r="G168" s="20">
        <f>SUMIFS(Master!$L$2:$L$1254,Master!$G$2:$G$1254,분류!G$21,Master!$E$2:$E$1254,분류!$B168)</f>
        <v>0</v>
      </c>
      <c r="H168" s="20">
        <f>SUMIFS(Master!$L$2:$L$1254,Master!$G$2:$G$1254,분류!H$21,Master!$E$2:$E$1254,분류!$B168)</f>
        <v>0</v>
      </c>
      <c r="I168" s="20">
        <f>SUMIFS(Master!$L$2:$L$1254,Master!$G$2:$G$1254,분류!I$21,Master!$E$2:$E$1254,분류!$B168)</f>
        <v>0</v>
      </c>
      <c r="J168" s="20">
        <f>SUMIFS(Master!$L$2:$L$1254,Master!$G$2:$G$1254,분류!J$21,Master!$E$2:$E$1254,분류!$B168)</f>
        <v>0</v>
      </c>
      <c r="K168" s="20">
        <f>SUMIFS(Master!$L$2:$L$1254,Master!$G$2:$G$1254,분류!K$21,Master!$E$2:$E$1254,분류!$B168)</f>
        <v>0</v>
      </c>
      <c r="L168" s="20">
        <f>SUMIFS(Master!$L$2:$L$1254,Master!$G$2:$G$1254,분류!L$21,Master!$E$2:$E$1254,분류!$B168)</f>
        <v>0</v>
      </c>
      <c r="M168" s="91"/>
    </row>
    <row r="169" spans="1:13">
      <c r="A169" s="86">
        <f t="shared" si="11"/>
        <v>65</v>
      </c>
      <c r="B169" s="19" t="s">
        <v>40</v>
      </c>
      <c r="C169" s="85">
        <f t="shared" si="12"/>
        <v>0</v>
      </c>
      <c r="D169" s="20">
        <f>SUMIFS(Master!$L$2:$L$1254,Master!$G$2:$G$1254,분류!D$21,Master!$E$2:$E$1254,분류!$B169)</f>
        <v>0</v>
      </c>
      <c r="E169" s="20">
        <f>SUMIFS(Master!$L$2:$L$1254,Master!$G$2:$G$1254,분류!E$21,Master!$E$2:$E$1254,분류!$B169)</f>
        <v>0</v>
      </c>
      <c r="F169" s="20">
        <f>SUMIFS(Master!$L$2:$L$1254,Master!$G$2:$G$1254,분류!F$21,Master!$E$2:$E$1254,분류!$B169)</f>
        <v>0</v>
      </c>
      <c r="G169" s="20">
        <f>SUMIFS(Master!$L$2:$L$1254,Master!$G$2:$G$1254,분류!G$21,Master!$E$2:$E$1254,분류!$B169)</f>
        <v>0</v>
      </c>
      <c r="H169" s="20">
        <f>SUMIFS(Master!$L$2:$L$1254,Master!$G$2:$G$1254,분류!H$21,Master!$E$2:$E$1254,분류!$B169)</f>
        <v>0</v>
      </c>
      <c r="I169" s="20">
        <f>SUMIFS(Master!$L$2:$L$1254,Master!$G$2:$G$1254,분류!I$21,Master!$E$2:$E$1254,분류!$B169)</f>
        <v>0</v>
      </c>
      <c r="J169" s="20">
        <f>SUMIFS(Master!$L$2:$L$1254,Master!$G$2:$G$1254,분류!J$21,Master!$E$2:$E$1254,분류!$B169)</f>
        <v>0</v>
      </c>
      <c r="K169" s="20">
        <f>SUMIFS(Master!$L$2:$L$1254,Master!$G$2:$G$1254,분류!K$21,Master!$E$2:$E$1254,분류!$B169)</f>
        <v>0</v>
      </c>
      <c r="L169" s="20">
        <f>SUMIFS(Master!$L$2:$L$1254,Master!$G$2:$G$1254,분류!L$21,Master!$E$2:$E$1254,분류!$B169)</f>
        <v>0</v>
      </c>
      <c r="M169" s="91"/>
    </row>
    <row r="170" spans="1:13">
      <c r="A170" s="86">
        <f t="shared" si="11"/>
        <v>65</v>
      </c>
      <c r="B170" s="19" t="s">
        <v>620</v>
      </c>
      <c r="C170" s="85">
        <f t="shared" si="12"/>
        <v>0</v>
      </c>
      <c r="D170" s="20">
        <f>SUMIFS(Master!$L$2:$L$1254,Master!$G$2:$G$1254,분류!D$21,Master!$E$2:$E$1254,분류!$B170)</f>
        <v>0</v>
      </c>
      <c r="E170" s="20">
        <f>SUMIFS(Master!$L$2:$L$1254,Master!$G$2:$G$1254,분류!E$21,Master!$E$2:$E$1254,분류!$B170)</f>
        <v>0</v>
      </c>
      <c r="F170" s="20">
        <f>SUMIFS(Master!$L$2:$L$1254,Master!$G$2:$G$1254,분류!F$21,Master!$E$2:$E$1254,분류!$B170)</f>
        <v>0</v>
      </c>
      <c r="G170" s="20">
        <f>SUMIFS(Master!$L$2:$L$1254,Master!$G$2:$G$1254,분류!G$21,Master!$E$2:$E$1254,분류!$B170)</f>
        <v>0</v>
      </c>
      <c r="H170" s="20">
        <f>SUMIFS(Master!$L$2:$L$1254,Master!$G$2:$G$1254,분류!H$21,Master!$E$2:$E$1254,분류!$B170)</f>
        <v>0</v>
      </c>
      <c r="I170" s="20">
        <f>SUMIFS(Master!$L$2:$L$1254,Master!$G$2:$G$1254,분류!I$21,Master!$E$2:$E$1254,분류!$B170)</f>
        <v>0</v>
      </c>
      <c r="J170" s="20">
        <f>SUMIFS(Master!$L$2:$L$1254,Master!$G$2:$G$1254,분류!J$21,Master!$E$2:$E$1254,분류!$B170)</f>
        <v>0</v>
      </c>
      <c r="K170" s="20">
        <f>SUMIFS(Master!$L$2:$L$1254,Master!$G$2:$G$1254,분류!K$21,Master!$E$2:$E$1254,분류!$B170)</f>
        <v>0</v>
      </c>
      <c r="L170" s="20">
        <f>SUMIFS(Master!$L$2:$L$1254,Master!$G$2:$G$1254,분류!L$21,Master!$E$2:$E$1254,분류!$B170)</f>
        <v>0</v>
      </c>
      <c r="M170" s="91"/>
    </row>
    <row r="171" spans="1:13">
      <c r="A171" s="86">
        <f t="shared" si="11"/>
        <v>65</v>
      </c>
      <c r="B171" s="19" t="s">
        <v>189</v>
      </c>
      <c r="C171" s="85">
        <f t="shared" si="12"/>
        <v>0</v>
      </c>
      <c r="D171" s="20">
        <f>SUMIFS(Master!$L$2:$L$1254,Master!$G$2:$G$1254,분류!D$21,Master!$E$2:$E$1254,분류!$B171)</f>
        <v>0</v>
      </c>
      <c r="E171" s="20">
        <f>SUMIFS(Master!$L$2:$L$1254,Master!$G$2:$G$1254,분류!E$21,Master!$E$2:$E$1254,분류!$B171)</f>
        <v>0</v>
      </c>
      <c r="F171" s="20">
        <f>SUMIFS(Master!$L$2:$L$1254,Master!$G$2:$G$1254,분류!F$21,Master!$E$2:$E$1254,분류!$B171)</f>
        <v>0</v>
      </c>
      <c r="G171" s="20">
        <f>SUMIFS(Master!$L$2:$L$1254,Master!$G$2:$G$1254,분류!G$21,Master!$E$2:$E$1254,분류!$B171)</f>
        <v>0</v>
      </c>
      <c r="H171" s="20">
        <f>SUMIFS(Master!$L$2:$L$1254,Master!$G$2:$G$1254,분류!H$21,Master!$E$2:$E$1254,분류!$B171)</f>
        <v>0</v>
      </c>
      <c r="I171" s="20">
        <f>SUMIFS(Master!$L$2:$L$1254,Master!$G$2:$G$1254,분류!I$21,Master!$E$2:$E$1254,분류!$B171)</f>
        <v>0</v>
      </c>
      <c r="J171" s="20">
        <f>SUMIFS(Master!$L$2:$L$1254,Master!$G$2:$G$1254,분류!J$21,Master!$E$2:$E$1254,분류!$B171)</f>
        <v>0</v>
      </c>
      <c r="K171" s="20">
        <f>SUMIFS(Master!$L$2:$L$1254,Master!$G$2:$G$1254,분류!K$21,Master!$E$2:$E$1254,분류!$B171)</f>
        <v>0</v>
      </c>
      <c r="L171" s="20">
        <f>SUMIFS(Master!$L$2:$L$1254,Master!$G$2:$G$1254,분류!L$21,Master!$E$2:$E$1254,분류!$B171)</f>
        <v>0</v>
      </c>
      <c r="M171" s="91"/>
    </row>
    <row r="172" spans="1:13">
      <c r="A172" s="86">
        <f t="shared" si="11"/>
        <v>65</v>
      </c>
      <c r="B172" s="19" t="s">
        <v>84</v>
      </c>
      <c r="C172" s="85">
        <f t="shared" si="12"/>
        <v>0</v>
      </c>
      <c r="D172" s="20">
        <f>SUMIFS(Master!$L$2:$L$1254,Master!$G$2:$G$1254,분류!D$21,Master!$E$2:$E$1254,분류!$B172)</f>
        <v>0</v>
      </c>
      <c r="E172" s="20">
        <f>SUMIFS(Master!$L$2:$L$1254,Master!$G$2:$G$1254,분류!E$21,Master!$E$2:$E$1254,분류!$B172)</f>
        <v>0</v>
      </c>
      <c r="F172" s="20">
        <f>SUMIFS(Master!$L$2:$L$1254,Master!$G$2:$G$1254,분류!F$21,Master!$E$2:$E$1254,분류!$B172)</f>
        <v>0</v>
      </c>
      <c r="G172" s="20">
        <f>SUMIFS(Master!$L$2:$L$1254,Master!$G$2:$G$1254,분류!G$21,Master!$E$2:$E$1254,분류!$B172)</f>
        <v>0</v>
      </c>
      <c r="H172" s="20">
        <f>SUMIFS(Master!$L$2:$L$1254,Master!$G$2:$G$1254,분류!H$21,Master!$E$2:$E$1254,분류!$B172)</f>
        <v>0</v>
      </c>
      <c r="I172" s="20">
        <f>SUMIFS(Master!$L$2:$L$1254,Master!$G$2:$G$1254,분류!I$21,Master!$E$2:$E$1254,분류!$B172)</f>
        <v>0</v>
      </c>
      <c r="J172" s="20">
        <f>SUMIFS(Master!$L$2:$L$1254,Master!$G$2:$G$1254,분류!J$21,Master!$E$2:$E$1254,분류!$B172)</f>
        <v>0</v>
      </c>
      <c r="K172" s="20">
        <f>SUMIFS(Master!$L$2:$L$1254,Master!$G$2:$G$1254,분류!K$21,Master!$E$2:$E$1254,분류!$B172)</f>
        <v>0</v>
      </c>
      <c r="L172" s="20">
        <f>SUMIFS(Master!$L$2:$L$1254,Master!$G$2:$G$1254,분류!L$21,Master!$E$2:$E$1254,분류!$B172)</f>
        <v>0</v>
      </c>
      <c r="M172" s="91"/>
    </row>
    <row r="173" spans="1:13">
      <c r="A173" s="86">
        <f t="shared" si="11"/>
        <v>65</v>
      </c>
      <c r="B173" s="19" t="s">
        <v>180</v>
      </c>
      <c r="C173" s="85">
        <f t="shared" si="12"/>
        <v>0</v>
      </c>
      <c r="D173" s="20">
        <f>SUMIFS(Master!$L$2:$L$1254,Master!$G$2:$G$1254,분류!D$21,Master!$E$2:$E$1254,분류!$B173)</f>
        <v>0</v>
      </c>
      <c r="E173" s="20">
        <f>SUMIFS(Master!$L$2:$L$1254,Master!$G$2:$G$1254,분류!E$21,Master!$E$2:$E$1254,분류!$B173)</f>
        <v>0</v>
      </c>
      <c r="F173" s="20">
        <f>SUMIFS(Master!$L$2:$L$1254,Master!$G$2:$G$1254,분류!F$21,Master!$E$2:$E$1254,분류!$B173)</f>
        <v>0</v>
      </c>
      <c r="G173" s="20">
        <f>SUMIFS(Master!$L$2:$L$1254,Master!$G$2:$G$1254,분류!G$21,Master!$E$2:$E$1254,분류!$B173)</f>
        <v>0</v>
      </c>
      <c r="H173" s="20">
        <f>SUMIFS(Master!$L$2:$L$1254,Master!$G$2:$G$1254,분류!H$21,Master!$E$2:$E$1254,분류!$B173)</f>
        <v>0</v>
      </c>
      <c r="I173" s="20">
        <f>SUMIFS(Master!$L$2:$L$1254,Master!$G$2:$G$1254,분류!I$21,Master!$E$2:$E$1254,분류!$B173)</f>
        <v>0</v>
      </c>
      <c r="J173" s="20">
        <f>SUMIFS(Master!$L$2:$L$1254,Master!$G$2:$G$1254,분류!J$21,Master!$E$2:$E$1254,분류!$B173)</f>
        <v>0</v>
      </c>
      <c r="K173" s="20">
        <f>SUMIFS(Master!$L$2:$L$1254,Master!$G$2:$G$1254,분류!K$21,Master!$E$2:$E$1254,분류!$B173)</f>
        <v>0</v>
      </c>
      <c r="L173" s="20">
        <f>SUMIFS(Master!$L$2:$L$1254,Master!$G$2:$G$1254,분류!L$21,Master!$E$2:$E$1254,분류!$B173)</f>
        <v>0</v>
      </c>
      <c r="M173" s="91"/>
    </row>
    <row r="174" spans="1:13">
      <c r="A174" s="86">
        <f t="shared" si="11"/>
        <v>65</v>
      </c>
      <c r="B174" s="83" t="s">
        <v>161</v>
      </c>
      <c r="C174" s="85">
        <f t="shared" si="12"/>
        <v>0</v>
      </c>
      <c r="D174" s="20">
        <f>SUMIFS(Master!$L$2:$L$1254,Master!$G$2:$G$1254,분류!D$21,Master!$E$2:$E$1254,분류!$B174)</f>
        <v>0</v>
      </c>
      <c r="E174" s="20">
        <f>SUMIFS(Master!$L$2:$L$1254,Master!$G$2:$G$1254,분류!E$21,Master!$E$2:$E$1254,분류!$B174)</f>
        <v>0</v>
      </c>
      <c r="F174" s="20">
        <f>SUMIFS(Master!$L$2:$L$1254,Master!$G$2:$G$1254,분류!F$21,Master!$E$2:$E$1254,분류!$B174)</f>
        <v>0</v>
      </c>
      <c r="G174" s="20">
        <f>SUMIFS(Master!$L$2:$L$1254,Master!$G$2:$G$1254,분류!G$21,Master!$E$2:$E$1254,분류!$B174)</f>
        <v>0</v>
      </c>
      <c r="H174" s="20">
        <f>SUMIFS(Master!$L$2:$L$1254,Master!$G$2:$G$1254,분류!H$21,Master!$E$2:$E$1254,분류!$B174)</f>
        <v>0</v>
      </c>
      <c r="I174" s="20">
        <f>SUMIFS(Master!$L$2:$L$1254,Master!$G$2:$G$1254,분류!I$21,Master!$E$2:$E$1254,분류!$B174)</f>
        <v>0</v>
      </c>
      <c r="J174" s="20">
        <f>SUMIFS(Master!$L$2:$L$1254,Master!$G$2:$G$1254,분류!J$21,Master!$E$2:$E$1254,분류!$B174)</f>
        <v>0</v>
      </c>
      <c r="K174" s="20">
        <f>SUMIFS(Master!$L$2:$L$1254,Master!$G$2:$G$1254,분류!K$21,Master!$E$2:$E$1254,분류!$B174)</f>
        <v>0</v>
      </c>
      <c r="L174" s="20">
        <f>SUMIFS(Master!$L$2:$L$1254,Master!$G$2:$G$1254,분류!L$21,Master!$E$2:$E$1254,분류!$B174)</f>
        <v>0</v>
      </c>
      <c r="M174" s="91"/>
    </row>
    <row r="175" spans="1:13">
      <c r="A175" s="86">
        <f t="shared" si="11"/>
        <v>65</v>
      </c>
      <c r="B175" s="83" t="s">
        <v>300</v>
      </c>
      <c r="C175" s="85">
        <f t="shared" si="12"/>
        <v>0</v>
      </c>
      <c r="D175" s="20">
        <f>SUMIFS(Master!$L$2:$L$1254,Master!$G$2:$G$1254,분류!D$21,Master!$E$2:$E$1254,분류!$B175)</f>
        <v>0</v>
      </c>
      <c r="E175" s="20">
        <f>SUMIFS(Master!$L$2:$L$1254,Master!$G$2:$G$1254,분류!E$21,Master!$E$2:$E$1254,분류!$B175)</f>
        <v>0</v>
      </c>
      <c r="F175" s="20">
        <f>SUMIFS(Master!$L$2:$L$1254,Master!$G$2:$G$1254,분류!F$21,Master!$E$2:$E$1254,분류!$B175)</f>
        <v>0</v>
      </c>
      <c r="G175" s="20">
        <f>SUMIFS(Master!$L$2:$L$1254,Master!$G$2:$G$1254,분류!G$21,Master!$E$2:$E$1254,분류!$B175)</f>
        <v>0</v>
      </c>
      <c r="H175" s="20">
        <f>SUMIFS(Master!$L$2:$L$1254,Master!$G$2:$G$1254,분류!H$21,Master!$E$2:$E$1254,분류!$B175)</f>
        <v>0</v>
      </c>
      <c r="I175" s="20">
        <f>SUMIFS(Master!$L$2:$L$1254,Master!$G$2:$G$1254,분류!I$21,Master!$E$2:$E$1254,분류!$B175)</f>
        <v>0</v>
      </c>
      <c r="J175" s="20">
        <f>SUMIFS(Master!$L$2:$L$1254,Master!$G$2:$G$1254,분류!J$21,Master!$E$2:$E$1254,분류!$B175)</f>
        <v>0</v>
      </c>
      <c r="K175" s="20">
        <f>SUMIFS(Master!$L$2:$L$1254,Master!$G$2:$G$1254,분류!K$21,Master!$E$2:$E$1254,분류!$B175)</f>
        <v>0</v>
      </c>
      <c r="L175" s="20">
        <f>SUMIFS(Master!$L$2:$L$1254,Master!$G$2:$G$1254,분류!L$21,Master!$E$2:$E$1254,분류!$B175)</f>
        <v>0</v>
      </c>
      <c r="M175" s="91"/>
    </row>
    <row r="176" spans="1:13">
      <c r="A176" s="86">
        <f t="shared" si="11"/>
        <v>65</v>
      </c>
      <c r="B176" s="83" t="s">
        <v>450</v>
      </c>
      <c r="C176" s="85">
        <f t="shared" si="12"/>
        <v>0</v>
      </c>
      <c r="D176" s="20">
        <f>SUMIFS(Master!$L$2:$L$1254,Master!$G$2:$G$1254,분류!D$21,Master!$E$2:$E$1254,분류!$B176)</f>
        <v>0</v>
      </c>
      <c r="E176" s="20">
        <f>SUMIFS(Master!$L$2:$L$1254,Master!$G$2:$G$1254,분류!E$21,Master!$E$2:$E$1254,분류!$B176)</f>
        <v>0</v>
      </c>
      <c r="F176" s="20">
        <f>SUMIFS(Master!$L$2:$L$1254,Master!$G$2:$G$1254,분류!F$21,Master!$E$2:$E$1254,분류!$B176)</f>
        <v>0</v>
      </c>
      <c r="G176" s="20">
        <f>SUMIFS(Master!$L$2:$L$1254,Master!$G$2:$G$1254,분류!G$21,Master!$E$2:$E$1254,분류!$B176)</f>
        <v>0</v>
      </c>
      <c r="H176" s="20">
        <f>SUMIFS(Master!$L$2:$L$1254,Master!$G$2:$G$1254,분류!H$21,Master!$E$2:$E$1254,분류!$B176)</f>
        <v>0</v>
      </c>
      <c r="I176" s="20">
        <f>SUMIFS(Master!$L$2:$L$1254,Master!$G$2:$G$1254,분류!I$21,Master!$E$2:$E$1254,분류!$B176)</f>
        <v>0</v>
      </c>
      <c r="J176" s="20">
        <f>SUMIFS(Master!$L$2:$L$1254,Master!$G$2:$G$1254,분류!J$21,Master!$E$2:$E$1254,분류!$B176)</f>
        <v>0</v>
      </c>
      <c r="K176" s="20">
        <f>SUMIFS(Master!$L$2:$L$1254,Master!$G$2:$G$1254,분류!K$21,Master!$E$2:$E$1254,분류!$B176)</f>
        <v>0</v>
      </c>
      <c r="L176" s="20">
        <f>SUMIFS(Master!$L$2:$L$1254,Master!$G$2:$G$1254,분류!L$21,Master!$E$2:$E$1254,분류!$B176)</f>
        <v>0</v>
      </c>
      <c r="M176" s="91"/>
    </row>
    <row r="177" spans="1:13">
      <c r="A177" s="86">
        <f t="shared" si="11"/>
        <v>65</v>
      </c>
      <c r="B177" s="19" t="s">
        <v>142</v>
      </c>
      <c r="C177" s="85">
        <f t="shared" si="12"/>
        <v>0</v>
      </c>
      <c r="D177" s="20">
        <f>SUMIFS(Master!$L$2:$L$1254,Master!$G$2:$G$1254,분류!D$21,Master!$E$2:$E$1254,분류!$B177)</f>
        <v>0</v>
      </c>
      <c r="E177" s="20">
        <f>SUMIFS(Master!$L$2:$L$1254,Master!$G$2:$G$1254,분류!E$21,Master!$E$2:$E$1254,분류!$B177)</f>
        <v>0</v>
      </c>
      <c r="F177" s="20">
        <f>SUMIFS(Master!$L$2:$L$1254,Master!$G$2:$G$1254,분류!F$21,Master!$E$2:$E$1254,분류!$B177)</f>
        <v>0</v>
      </c>
      <c r="G177" s="20">
        <f>SUMIFS(Master!$L$2:$L$1254,Master!$G$2:$G$1254,분류!G$21,Master!$E$2:$E$1254,분류!$B177)</f>
        <v>0</v>
      </c>
      <c r="H177" s="20">
        <f>SUMIFS(Master!$L$2:$L$1254,Master!$G$2:$G$1254,분류!H$21,Master!$E$2:$E$1254,분류!$B177)</f>
        <v>0</v>
      </c>
      <c r="I177" s="20">
        <f>SUMIFS(Master!$L$2:$L$1254,Master!$G$2:$G$1254,분류!I$21,Master!$E$2:$E$1254,분류!$B177)</f>
        <v>0</v>
      </c>
      <c r="J177" s="20">
        <f>SUMIFS(Master!$L$2:$L$1254,Master!$G$2:$G$1254,분류!J$21,Master!$E$2:$E$1254,분류!$B177)</f>
        <v>0</v>
      </c>
      <c r="K177" s="20">
        <f>SUMIFS(Master!$L$2:$L$1254,Master!$G$2:$G$1254,분류!K$21,Master!$E$2:$E$1254,분류!$B177)</f>
        <v>0</v>
      </c>
      <c r="L177" s="20">
        <f>SUMIFS(Master!$L$2:$L$1254,Master!$G$2:$G$1254,분류!L$21,Master!$E$2:$E$1254,분류!$B177)</f>
        <v>0</v>
      </c>
      <c r="M177" s="91"/>
    </row>
    <row r="178" spans="1:13">
      <c r="A178" s="86">
        <f t="shared" si="11"/>
        <v>65</v>
      </c>
      <c r="B178" s="19" t="s">
        <v>63</v>
      </c>
      <c r="C178" s="85">
        <f t="shared" si="12"/>
        <v>0</v>
      </c>
      <c r="D178" s="20">
        <f>SUMIFS(Master!$L$2:$L$1254,Master!$G$2:$G$1254,분류!D$21,Master!$E$2:$E$1254,분류!$B178)</f>
        <v>0</v>
      </c>
      <c r="E178" s="20">
        <f>SUMIFS(Master!$L$2:$L$1254,Master!$G$2:$G$1254,분류!E$21,Master!$E$2:$E$1254,분류!$B178)</f>
        <v>0</v>
      </c>
      <c r="F178" s="20">
        <f>SUMIFS(Master!$L$2:$L$1254,Master!$G$2:$G$1254,분류!F$21,Master!$E$2:$E$1254,분류!$B178)</f>
        <v>0</v>
      </c>
      <c r="G178" s="20">
        <f>SUMIFS(Master!$L$2:$L$1254,Master!$G$2:$G$1254,분류!G$21,Master!$E$2:$E$1254,분류!$B178)</f>
        <v>0</v>
      </c>
      <c r="H178" s="20">
        <f>SUMIFS(Master!$L$2:$L$1254,Master!$G$2:$G$1254,분류!H$21,Master!$E$2:$E$1254,분류!$B178)</f>
        <v>0</v>
      </c>
      <c r="I178" s="20">
        <f>SUMIFS(Master!$L$2:$L$1254,Master!$G$2:$G$1254,분류!I$21,Master!$E$2:$E$1254,분류!$B178)</f>
        <v>0</v>
      </c>
      <c r="J178" s="20">
        <f>SUMIFS(Master!$L$2:$L$1254,Master!$G$2:$G$1254,분류!J$21,Master!$E$2:$E$1254,분류!$B178)</f>
        <v>0</v>
      </c>
      <c r="K178" s="20">
        <f>SUMIFS(Master!$L$2:$L$1254,Master!$G$2:$G$1254,분류!K$21,Master!$E$2:$E$1254,분류!$B178)</f>
        <v>0</v>
      </c>
      <c r="L178" s="20">
        <f>SUMIFS(Master!$L$2:$L$1254,Master!$G$2:$G$1254,분류!L$21,Master!$E$2:$E$1254,분류!$B178)</f>
        <v>0</v>
      </c>
      <c r="M178" s="91"/>
    </row>
  </sheetData>
  <sortState xmlns:xlrd2="http://schemas.microsoft.com/office/spreadsheetml/2017/richdata2" ref="A23:Q115">
    <sortCondition ref="B23:B115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810E-6269-4888-8B67-5B79D943DABF}">
  <sheetPr codeName="Sheet2">
    <pageSetUpPr fitToPage="1"/>
  </sheetPr>
  <dimension ref="A1:V251"/>
  <sheetViews>
    <sheetView zoomScaleNormal="100" workbookViewId="0">
      <pane ySplit="4" topLeftCell="A182" activePane="bottomLeft" state="frozen"/>
      <selection activeCell="F228" sqref="F228"/>
      <selection pane="bottomLeft" activeCell="E203" sqref="E203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8" ht="26.25">
      <c r="B1" s="136" t="str">
        <f>"["&amp;YEAR(D5)&amp;"년 "&amp;MONTH(D5)&amp;"월 매입]"</f>
        <v>[2025년 1월 매입]</v>
      </c>
      <c r="C1" s="136"/>
      <c r="E1" s="202"/>
      <c r="O1" s="17"/>
    </row>
    <row r="2" spans="1:18" ht="17.25" thickBot="1">
      <c r="B2" s="137"/>
      <c r="C2" s="138"/>
      <c r="M2" s="17" t="s">
        <v>109</v>
      </c>
      <c r="O2" s="243" t="s">
        <v>1843</v>
      </c>
      <c r="Q2" s="243" t="s">
        <v>2277</v>
      </c>
    </row>
    <row r="3" spans="1:18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8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186" t="s">
        <v>18</v>
      </c>
      <c r="O4" s="274"/>
      <c r="P4" s="276"/>
      <c r="Q4" s="259"/>
      <c r="R4" s="261"/>
    </row>
    <row r="5" spans="1:18" ht="16.5" customHeight="1">
      <c r="A5" t="s">
        <v>64</v>
      </c>
      <c r="B5" s="10" t="s">
        <v>144</v>
      </c>
      <c r="C5" s="12"/>
      <c r="D5" s="13">
        <v>45658</v>
      </c>
      <c r="E5" s="155" t="s">
        <v>167</v>
      </c>
      <c r="F5" s="155"/>
      <c r="G5" s="156" t="s">
        <v>30</v>
      </c>
      <c r="H5" s="156" t="s">
        <v>145</v>
      </c>
      <c r="I5" s="69" t="s">
        <v>195</v>
      </c>
      <c r="J5" s="122">
        <v>1</v>
      </c>
      <c r="K5" s="15">
        <v>71000</v>
      </c>
      <c r="L5" s="15">
        <f>J5*K5</f>
        <v>71000</v>
      </c>
      <c r="M5" s="15">
        <f>L5*10%</f>
        <v>7100</v>
      </c>
      <c r="N5" s="15">
        <f t="shared" ref="N5:N36" si="0">SUM(L5:M5)</f>
        <v>78100</v>
      </c>
      <c r="O5" s="5" t="s">
        <v>202</v>
      </c>
      <c r="P5" s="9" t="s">
        <v>2644</v>
      </c>
      <c r="Q5" s="5" t="s">
        <v>144</v>
      </c>
      <c r="R5" s="209"/>
    </row>
    <row r="6" spans="1:18" ht="16.5" customHeight="1">
      <c r="A6" t="s">
        <v>64</v>
      </c>
      <c r="B6" s="10" t="s">
        <v>372</v>
      </c>
      <c r="C6" s="139"/>
      <c r="D6" s="13">
        <v>45658</v>
      </c>
      <c r="E6" s="155" t="s">
        <v>2633</v>
      </c>
      <c r="F6" s="155" t="s">
        <v>97</v>
      </c>
      <c r="G6" s="156" t="s">
        <v>7</v>
      </c>
      <c r="H6" s="156" t="s">
        <v>143</v>
      </c>
      <c r="I6" s="69" t="s">
        <v>193</v>
      </c>
      <c r="J6" s="122">
        <v>1</v>
      </c>
      <c r="K6" s="15">
        <v>436400</v>
      </c>
      <c r="L6" s="16">
        <f>J6*K6</f>
        <v>436400</v>
      </c>
      <c r="M6" s="15">
        <v>43640</v>
      </c>
      <c r="N6" s="15">
        <f t="shared" si="0"/>
        <v>480040</v>
      </c>
      <c r="O6" s="5" t="s">
        <v>811</v>
      </c>
      <c r="P6" s="174" t="s">
        <v>2636</v>
      </c>
      <c r="Q6" s="5">
        <v>45658</v>
      </c>
      <c r="R6" s="209"/>
    </row>
    <row r="7" spans="1:18" ht="16.5" customHeight="1">
      <c r="A7" t="s">
        <v>64</v>
      </c>
      <c r="B7" s="10" t="s">
        <v>312</v>
      </c>
      <c r="C7" s="142"/>
      <c r="D7" s="13">
        <v>45658</v>
      </c>
      <c r="E7" s="155" t="s">
        <v>2633</v>
      </c>
      <c r="F7" s="155" t="s">
        <v>264</v>
      </c>
      <c r="G7" s="156" t="s">
        <v>7</v>
      </c>
      <c r="H7" s="156" t="s">
        <v>143</v>
      </c>
      <c r="I7" s="69" t="s">
        <v>278</v>
      </c>
      <c r="J7" s="122">
        <v>1</v>
      </c>
      <c r="K7" s="15">
        <v>288000</v>
      </c>
      <c r="L7" s="16">
        <f>J7*K7</f>
        <v>288000</v>
      </c>
      <c r="M7" s="15">
        <v>28800</v>
      </c>
      <c r="N7" s="15">
        <f t="shared" si="0"/>
        <v>316800</v>
      </c>
      <c r="O7" s="5" t="s">
        <v>811</v>
      </c>
      <c r="P7" s="9" t="s">
        <v>2634</v>
      </c>
      <c r="Q7" s="5">
        <v>45677</v>
      </c>
      <c r="R7" s="209"/>
    </row>
    <row r="8" spans="1:18" ht="16.5" customHeight="1">
      <c r="A8" t="s">
        <v>64</v>
      </c>
      <c r="B8" s="10" t="s">
        <v>373</v>
      </c>
      <c r="C8" s="12"/>
      <c r="D8" s="13">
        <v>45658</v>
      </c>
      <c r="E8" s="155" t="s">
        <v>2633</v>
      </c>
      <c r="F8" s="155" t="s">
        <v>374</v>
      </c>
      <c r="G8" s="156" t="s">
        <v>98</v>
      </c>
      <c r="H8" s="156" t="s">
        <v>143</v>
      </c>
      <c r="I8" s="69" t="s">
        <v>280</v>
      </c>
      <c r="J8" s="122">
        <v>1</v>
      </c>
      <c r="K8" s="15">
        <v>277600</v>
      </c>
      <c r="L8" s="16">
        <f>J8*K8</f>
        <v>277600</v>
      </c>
      <c r="M8" s="16">
        <v>27760</v>
      </c>
      <c r="N8" s="15">
        <f t="shared" si="0"/>
        <v>305360</v>
      </c>
      <c r="O8" s="5" t="s">
        <v>811</v>
      </c>
      <c r="P8" s="174" t="s">
        <v>2636</v>
      </c>
      <c r="Q8" s="5">
        <v>45682</v>
      </c>
      <c r="R8" s="209"/>
    </row>
    <row r="9" spans="1:18" ht="16.5" customHeight="1">
      <c r="A9" t="s">
        <v>64</v>
      </c>
      <c r="B9" s="10" t="s">
        <v>353</v>
      </c>
      <c r="C9" s="12"/>
      <c r="D9" s="13">
        <v>45659</v>
      </c>
      <c r="E9" s="155" t="s">
        <v>2633</v>
      </c>
      <c r="F9" s="155" t="s">
        <v>171</v>
      </c>
      <c r="G9" s="156" t="s">
        <v>7</v>
      </c>
      <c r="H9" s="156" t="s">
        <v>366</v>
      </c>
      <c r="I9" s="69" t="s">
        <v>529</v>
      </c>
      <c r="J9" s="122">
        <v>1</v>
      </c>
      <c r="K9" s="15">
        <v>3239404</v>
      </c>
      <c r="L9" s="16">
        <f>J9*K9</f>
        <v>3239404</v>
      </c>
      <c r="M9" s="15">
        <v>323940</v>
      </c>
      <c r="N9" s="15">
        <f t="shared" si="0"/>
        <v>3563344</v>
      </c>
      <c r="O9" s="5" t="s">
        <v>1141</v>
      </c>
      <c r="P9" s="9" t="s">
        <v>2635</v>
      </c>
      <c r="Q9" s="5">
        <v>45688</v>
      </c>
      <c r="R9" s="209"/>
    </row>
    <row r="10" spans="1:18" ht="16.5" customHeight="1">
      <c r="A10" t="s">
        <v>64</v>
      </c>
      <c r="B10" s="10" t="s">
        <v>394</v>
      </c>
      <c r="C10" s="12"/>
      <c r="D10" s="13">
        <v>45659</v>
      </c>
      <c r="E10" s="155" t="s">
        <v>2633</v>
      </c>
      <c r="F10" s="155" t="s">
        <v>391</v>
      </c>
      <c r="G10" s="156" t="s">
        <v>7</v>
      </c>
      <c r="H10" s="156" t="s">
        <v>143</v>
      </c>
      <c r="I10" s="69" t="s">
        <v>530</v>
      </c>
      <c r="J10" s="122">
        <v>1</v>
      </c>
      <c r="K10" s="15">
        <v>205780</v>
      </c>
      <c r="L10" s="16">
        <v>205780</v>
      </c>
      <c r="M10" s="16">
        <v>20578</v>
      </c>
      <c r="N10" s="15">
        <f t="shared" si="0"/>
        <v>226358</v>
      </c>
      <c r="O10" s="5" t="s">
        <v>1141</v>
      </c>
      <c r="P10" s="174" t="s">
        <v>2636</v>
      </c>
      <c r="Q10" s="5">
        <v>45491</v>
      </c>
      <c r="R10" s="209" t="s">
        <v>100</v>
      </c>
    </row>
    <row r="11" spans="1:18" ht="16.5" customHeight="1">
      <c r="A11" t="s">
        <v>64</v>
      </c>
      <c r="B11" s="10" t="s">
        <v>354</v>
      </c>
      <c r="C11" s="12"/>
      <c r="D11" s="13">
        <v>45659</v>
      </c>
      <c r="E11" s="155" t="s">
        <v>2633</v>
      </c>
      <c r="F11" s="155" t="s">
        <v>244</v>
      </c>
      <c r="G11" s="156" t="s">
        <v>7</v>
      </c>
      <c r="H11" s="156" t="s">
        <v>143</v>
      </c>
      <c r="I11" s="69" t="s">
        <v>531</v>
      </c>
      <c r="J11" s="122">
        <v>1</v>
      </c>
      <c r="K11" s="15">
        <v>305280</v>
      </c>
      <c r="L11" s="16">
        <f t="shared" ref="L11:L16" si="1">J11*K11</f>
        <v>305280</v>
      </c>
      <c r="M11" s="15">
        <v>30528</v>
      </c>
      <c r="N11" s="15">
        <f t="shared" si="0"/>
        <v>335808</v>
      </c>
      <c r="O11" s="5" t="s">
        <v>1141</v>
      </c>
      <c r="P11" s="9" t="s">
        <v>2636</v>
      </c>
      <c r="Q11" s="5">
        <v>45688</v>
      </c>
      <c r="R11" s="209"/>
    </row>
    <row r="12" spans="1:18" ht="16.5" customHeight="1">
      <c r="A12" t="s">
        <v>64</v>
      </c>
      <c r="B12" s="10" t="s">
        <v>324</v>
      </c>
      <c r="C12" s="12"/>
      <c r="D12" s="13">
        <v>45659</v>
      </c>
      <c r="E12" s="155" t="s">
        <v>2633</v>
      </c>
      <c r="F12" s="155" t="s">
        <v>63</v>
      </c>
      <c r="G12" s="156" t="s">
        <v>7</v>
      </c>
      <c r="H12" s="156" t="s">
        <v>143</v>
      </c>
      <c r="I12" s="69" t="s">
        <v>532</v>
      </c>
      <c r="J12" s="122">
        <v>1</v>
      </c>
      <c r="K12" s="15">
        <v>93445</v>
      </c>
      <c r="L12" s="15">
        <f t="shared" si="1"/>
        <v>93445</v>
      </c>
      <c r="M12" s="15">
        <v>9344</v>
      </c>
      <c r="N12" s="15">
        <f t="shared" si="0"/>
        <v>102789</v>
      </c>
      <c r="O12" s="5" t="s">
        <v>1141</v>
      </c>
      <c r="P12" s="174" t="s">
        <v>2636</v>
      </c>
      <c r="Q12" s="5">
        <v>45380</v>
      </c>
      <c r="R12" s="209" t="s">
        <v>100</v>
      </c>
    </row>
    <row r="13" spans="1:18" ht="16.5" customHeight="1">
      <c r="A13" t="s">
        <v>64</v>
      </c>
      <c r="B13" s="10" t="s">
        <v>881</v>
      </c>
      <c r="C13" s="12"/>
      <c r="D13" s="13">
        <v>45659</v>
      </c>
      <c r="E13" s="155" t="s">
        <v>2633</v>
      </c>
      <c r="F13" s="155" t="s">
        <v>148</v>
      </c>
      <c r="G13" s="156" t="s">
        <v>98</v>
      </c>
      <c r="H13" s="156" t="s">
        <v>143</v>
      </c>
      <c r="I13" s="69" t="s">
        <v>199</v>
      </c>
      <c r="J13" s="122">
        <v>1</v>
      </c>
      <c r="K13" s="15">
        <v>2812500</v>
      </c>
      <c r="L13" s="16">
        <f t="shared" si="1"/>
        <v>2812500</v>
      </c>
      <c r="M13" s="16">
        <v>281250</v>
      </c>
      <c r="N13" s="15">
        <f t="shared" si="0"/>
        <v>3093750</v>
      </c>
      <c r="O13" s="5" t="s">
        <v>1141</v>
      </c>
      <c r="P13" s="9" t="s">
        <v>2634</v>
      </c>
      <c r="Q13" s="5">
        <v>45666</v>
      </c>
      <c r="R13" s="209" t="s">
        <v>647</v>
      </c>
    </row>
    <row r="14" spans="1:18" ht="16.5" customHeight="1">
      <c r="A14" t="s">
        <v>64</v>
      </c>
      <c r="B14" s="140" t="s">
        <v>182</v>
      </c>
      <c r="C14" s="12"/>
      <c r="D14" s="13">
        <v>45659</v>
      </c>
      <c r="E14" s="155" t="s">
        <v>2633</v>
      </c>
      <c r="F14" s="155" t="s">
        <v>322</v>
      </c>
      <c r="G14" s="157" t="s">
        <v>98</v>
      </c>
      <c r="H14" s="156" t="s">
        <v>143</v>
      </c>
      <c r="I14" s="69" t="s">
        <v>1186</v>
      </c>
      <c r="J14" s="122">
        <v>1</v>
      </c>
      <c r="K14" s="15">
        <v>1123962</v>
      </c>
      <c r="L14" s="16">
        <f t="shared" si="1"/>
        <v>1123962</v>
      </c>
      <c r="M14" s="15">
        <v>112396</v>
      </c>
      <c r="N14" s="15">
        <f t="shared" si="0"/>
        <v>1236358</v>
      </c>
      <c r="O14" s="5" t="s">
        <v>1141</v>
      </c>
      <c r="P14" s="9" t="s">
        <v>2636</v>
      </c>
      <c r="Q14" s="5">
        <v>45658</v>
      </c>
      <c r="R14" s="209"/>
    </row>
    <row r="15" spans="1:18" ht="16.5" customHeight="1">
      <c r="A15" t="s">
        <v>64</v>
      </c>
      <c r="B15" s="10" t="s">
        <v>152</v>
      </c>
      <c r="C15" s="12"/>
      <c r="D15" s="13">
        <v>45659</v>
      </c>
      <c r="E15" s="155" t="s">
        <v>2633</v>
      </c>
      <c r="F15" s="155" t="s">
        <v>153</v>
      </c>
      <c r="G15" s="156" t="s">
        <v>7</v>
      </c>
      <c r="H15" s="9" t="s">
        <v>143</v>
      </c>
      <c r="I15" s="69" t="s">
        <v>197</v>
      </c>
      <c r="J15" s="122">
        <v>1</v>
      </c>
      <c r="K15" s="15">
        <v>532212</v>
      </c>
      <c r="L15" s="16">
        <f t="shared" si="1"/>
        <v>532212</v>
      </c>
      <c r="M15" s="15">
        <v>53221</v>
      </c>
      <c r="N15" s="15">
        <f t="shared" si="0"/>
        <v>585433</v>
      </c>
      <c r="O15" s="5" t="s">
        <v>1141</v>
      </c>
      <c r="P15" s="9" t="s">
        <v>2636</v>
      </c>
      <c r="Q15" s="5">
        <v>45658</v>
      </c>
      <c r="R15" s="209"/>
    </row>
    <row r="16" spans="1:18" ht="16.5" customHeight="1">
      <c r="A16" t="s">
        <v>64</v>
      </c>
      <c r="B16" s="10" t="s">
        <v>346</v>
      </c>
      <c r="C16" s="12"/>
      <c r="D16" s="13">
        <v>45659</v>
      </c>
      <c r="E16" s="155" t="s">
        <v>2633</v>
      </c>
      <c r="F16" s="155" t="s">
        <v>2632</v>
      </c>
      <c r="G16" s="156" t="s">
        <v>98</v>
      </c>
      <c r="H16" s="156" t="s">
        <v>143</v>
      </c>
      <c r="I16" s="69" t="s">
        <v>541</v>
      </c>
      <c r="J16" s="122">
        <v>1</v>
      </c>
      <c r="K16" s="15">
        <v>66498</v>
      </c>
      <c r="L16" s="16">
        <f t="shared" si="1"/>
        <v>66498</v>
      </c>
      <c r="M16" s="15">
        <v>6649</v>
      </c>
      <c r="N16" s="15">
        <f t="shared" si="0"/>
        <v>73147</v>
      </c>
      <c r="O16" s="5" t="s">
        <v>1141</v>
      </c>
      <c r="P16" s="174" t="s">
        <v>2636</v>
      </c>
      <c r="Q16" s="5">
        <v>45688</v>
      </c>
      <c r="R16" s="209"/>
    </row>
    <row r="17" spans="1:20" ht="16.5" customHeight="1">
      <c r="A17" t="s">
        <v>64</v>
      </c>
      <c r="B17" s="10" t="s">
        <v>396</v>
      </c>
      <c r="C17" s="12"/>
      <c r="D17" s="13">
        <v>45659</v>
      </c>
      <c r="E17" s="155" t="s">
        <v>2633</v>
      </c>
      <c r="F17" s="155" t="s">
        <v>352</v>
      </c>
      <c r="G17" s="157" t="s">
        <v>98</v>
      </c>
      <c r="H17" s="156" t="s">
        <v>143</v>
      </c>
      <c r="I17" s="69" t="s">
        <v>542</v>
      </c>
      <c r="J17" s="122">
        <v>1</v>
      </c>
      <c r="K17" s="15">
        <v>80160</v>
      </c>
      <c r="L17" s="16">
        <v>80160</v>
      </c>
      <c r="M17" s="16">
        <v>8016</v>
      </c>
      <c r="N17" s="15">
        <f t="shared" si="0"/>
        <v>88176</v>
      </c>
      <c r="O17" s="5" t="s">
        <v>1141</v>
      </c>
      <c r="P17" s="174" t="s">
        <v>2636</v>
      </c>
      <c r="Q17" s="5">
        <v>45688</v>
      </c>
      <c r="R17" s="209"/>
    </row>
    <row r="18" spans="1:20" ht="16.5" customHeight="1">
      <c r="A18" t="s">
        <v>64</v>
      </c>
      <c r="B18" s="143" t="s">
        <v>174</v>
      </c>
      <c r="C18" s="144"/>
      <c r="D18" s="13">
        <v>45659</v>
      </c>
      <c r="E18" s="155" t="s">
        <v>2633</v>
      </c>
      <c r="F18" s="155" t="s">
        <v>175</v>
      </c>
      <c r="G18" s="157" t="s">
        <v>98</v>
      </c>
      <c r="H18" s="156" t="s">
        <v>143</v>
      </c>
      <c r="I18" s="69" t="s">
        <v>196</v>
      </c>
      <c r="J18" s="122">
        <v>1</v>
      </c>
      <c r="K18" s="15">
        <v>198018</v>
      </c>
      <c r="L18" s="16">
        <f t="shared" ref="L18:L58" si="2">J18*K18</f>
        <v>198018</v>
      </c>
      <c r="M18" s="15">
        <v>19801</v>
      </c>
      <c r="N18" s="15">
        <f t="shared" si="0"/>
        <v>217819</v>
      </c>
      <c r="O18" s="5" t="s">
        <v>1141</v>
      </c>
      <c r="P18" s="174" t="s">
        <v>2636</v>
      </c>
      <c r="Q18" s="5">
        <v>45658</v>
      </c>
      <c r="R18" s="209"/>
    </row>
    <row r="19" spans="1:20" ht="16.5" customHeight="1">
      <c r="A19" t="s">
        <v>64</v>
      </c>
      <c r="B19" s="10" t="s">
        <v>414</v>
      </c>
      <c r="C19" s="12"/>
      <c r="D19" s="13">
        <v>45659</v>
      </c>
      <c r="E19" s="155" t="s">
        <v>2633</v>
      </c>
      <c r="F19" s="155" t="s">
        <v>308</v>
      </c>
      <c r="G19" s="156" t="s">
        <v>98</v>
      </c>
      <c r="H19" s="156" t="s">
        <v>143</v>
      </c>
      <c r="I19" s="69" t="s">
        <v>279</v>
      </c>
      <c r="J19" s="122">
        <v>1</v>
      </c>
      <c r="K19" s="16">
        <v>84811</v>
      </c>
      <c r="L19" s="16">
        <f t="shared" si="2"/>
        <v>84811</v>
      </c>
      <c r="M19" s="15">
        <v>8481</v>
      </c>
      <c r="N19" s="15">
        <f t="shared" si="0"/>
        <v>93292</v>
      </c>
      <c r="O19" s="5" t="s">
        <v>1141</v>
      </c>
      <c r="P19" s="174" t="s">
        <v>2636</v>
      </c>
      <c r="Q19" s="5">
        <v>45682</v>
      </c>
      <c r="R19" s="209"/>
    </row>
    <row r="20" spans="1:20" ht="16.5" customHeight="1">
      <c r="A20" t="s">
        <v>64</v>
      </c>
      <c r="B20" s="10" t="s">
        <v>490</v>
      </c>
      <c r="C20" s="12"/>
      <c r="D20" s="13">
        <v>45659</v>
      </c>
      <c r="E20" s="155" t="s">
        <v>2633</v>
      </c>
      <c r="F20" s="155" t="s">
        <v>2632</v>
      </c>
      <c r="G20" s="156" t="s">
        <v>7</v>
      </c>
      <c r="H20" s="156" t="s">
        <v>143</v>
      </c>
      <c r="I20" s="69" t="s">
        <v>194</v>
      </c>
      <c r="J20" s="122">
        <v>1</v>
      </c>
      <c r="K20" s="16">
        <v>133875</v>
      </c>
      <c r="L20" s="16">
        <f t="shared" si="2"/>
        <v>133875</v>
      </c>
      <c r="M20" s="16">
        <v>13387</v>
      </c>
      <c r="N20" s="15">
        <f t="shared" si="0"/>
        <v>147262</v>
      </c>
      <c r="O20" s="5" t="s">
        <v>1141</v>
      </c>
      <c r="P20" s="9" t="s">
        <v>2636</v>
      </c>
      <c r="Q20" s="5">
        <v>45688</v>
      </c>
      <c r="R20" s="209"/>
    </row>
    <row r="21" spans="1:20">
      <c r="A21" t="s">
        <v>64</v>
      </c>
      <c r="B21" s="226" t="s">
        <v>1255</v>
      </c>
      <c r="C21" s="12"/>
      <c r="D21" s="13">
        <v>45659</v>
      </c>
      <c r="E21" s="155" t="s">
        <v>2633</v>
      </c>
      <c r="F21" s="155" t="s">
        <v>32</v>
      </c>
      <c r="G21" s="156" t="s">
        <v>98</v>
      </c>
      <c r="H21" s="156" t="s">
        <v>143</v>
      </c>
      <c r="I21" s="69" t="s">
        <v>2559</v>
      </c>
      <c r="J21" s="122">
        <v>1</v>
      </c>
      <c r="K21" s="16">
        <v>11623397</v>
      </c>
      <c r="L21" s="16">
        <f t="shared" si="2"/>
        <v>11623397</v>
      </c>
      <c r="M21" s="16">
        <v>1162339</v>
      </c>
      <c r="N21" s="15">
        <f t="shared" si="0"/>
        <v>12785736</v>
      </c>
      <c r="O21" s="5" t="s">
        <v>1141</v>
      </c>
      <c r="P21" s="174" t="s">
        <v>2636</v>
      </c>
      <c r="Q21" s="5">
        <v>45681</v>
      </c>
      <c r="R21" s="209"/>
    </row>
    <row r="22" spans="1:20" ht="16.5" customHeight="1">
      <c r="A22" t="s">
        <v>64</v>
      </c>
      <c r="B22" s="10" t="s">
        <v>298</v>
      </c>
      <c r="C22" s="12"/>
      <c r="D22" s="13">
        <v>45659</v>
      </c>
      <c r="E22" s="155" t="s">
        <v>2633</v>
      </c>
      <c r="F22" s="155" t="s">
        <v>114</v>
      </c>
      <c r="G22" s="156" t="s">
        <v>98</v>
      </c>
      <c r="H22" s="156" t="s">
        <v>143</v>
      </c>
      <c r="I22" s="69" t="s">
        <v>543</v>
      </c>
      <c r="J22" s="122">
        <v>1</v>
      </c>
      <c r="K22" s="15">
        <v>70422</v>
      </c>
      <c r="L22" s="16">
        <f t="shared" si="2"/>
        <v>70422</v>
      </c>
      <c r="M22" s="15">
        <v>7042</v>
      </c>
      <c r="N22" s="15">
        <f t="shared" si="0"/>
        <v>77464</v>
      </c>
      <c r="O22" s="5" t="s">
        <v>1141</v>
      </c>
      <c r="P22" s="174" t="s">
        <v>2636</v>
      </c>
      <c r="Q22" s="5">
        <v>45688</v>
      </c>
      <c r="R22" s="209"/>
    </row>
    <row r="23" spans="1:20" ht="16.5" customHeight="1">
      <c r="A23" t="s">
        <v>64</v>
      </c>
      <c r="B23" s="10" t="s">
        <v>415</v>
      </c>
      <c r="C23" s="12"/>
      <c r="D23" s="13">
        <v>45659</v>
      </c>
      <c r="E23" s="155" t="s">
        <v>2633</v>
      </c>
      <c r="F23" s="155" t="s">
        <v>99</v>
      </c>
      <c r="G23" s="156" t="s">
        <v>7</v>
      </c>
      <c r="H23" s="156" t="s">
        <v>143</v>
      </c>
      <c r="I23" s="69" t="s">
        <v>198</v>
      </c>
      <c r="J23" s="122">
        <v>1</v>
      </c>
      <c r="K23" s="15">
        <v>691782</v>
      </c>
      <c r="L23" s="16">
        <f t="shared" si="2"/>
        <v>691782</v>
      </c>
      <c r="M23" s="16">
        <v>69178</v>
      </c>
      <c r="N23" s="15">
        <f t="shared" si="0"/>
        <v>760960</v>
      </c>
      <c r="O23" s="5" t="s">
        <v>1141</v>
      </c>
      <c r="P23" s="9" t="s">
        <v>2636</v>
      </c>
      <c r="Q23" s="5">
        <v>45693</v>
      </c>
      <c r="R23" s="209"/>
    </row>
    <row r="24" spans="1:20" ht="16.5" customHeight="1">
      <c r="A24" t="s">
        <v>64</v>
      </c>
      <c r="B24" s="10" t="s">
        <v>369</v>
      </c>
      <c r="C24" s="12"/>
      <c r="D24" s="13">
        <v>45659</v>
      </c>
      <c r="E24" s="155" t="s">
        <v>2633</v>
      </c>
      <c r="F24" s="155" t="s">
        <v>365</v>
      </c>
      <c r="G24" s="156" t="s">
        <v>7</v>
      </c>
      <c r="H24" s="156" t="s">
        <v>143</v>
      </c>
      <c r="I24" s="69" t="s">
        <v>544</v>
      </c>
      <c r="J24" s="122">
        <v>1</v>
      </c>
      <c r="K24" s="15">
        <v>316682</v>
      </c>
      <c r="L24" s="16">
        <f t="shared" si="2"/>
        <v>316682</v>
      </c>
      <c r="M24" s="15">
        <v>31668</v>
      </c>
      <c r="N24" s="15">
        <f t="shared" si="0"/>
        <v>348350</v>
      </c>
      <c r="O24" s="5" t="s">
        <v>1141</v>
      </c>
      <c r="P24" s="9" t="s">
        <v>2636</v>
      </c>
      <c r="Q24" s="5">
        <v>45658</v>
      </c>
      <c r="R24" s="209"/>
    </row>
    <row r="25" spans="1:20" ht="16.5" customHeight="1">
      <c r="A25" t="s">
        <v>64</v>
      </c>
      <c r="B25" s="140" t="s">
        <v>367</v>
      </c>
      <c r="C25" s="12"/>
      <c r="D25" s="13">
        <v>45659</v>
      </c>
      <c r="E25" s="155" t="s">
        <v>2633</v>
      </c>
      <c r="F25" s="155" t="s">
        <v>368</v>
      </c>
      <c r="G25" s="156" t="s">
        <v>7</v>
      </c>
      <c r="H25" s="156" t="s">
        <v>143</v>
      </c>
      <c r="I25" s="69" t="s">
        <v>854</v>
      </c>
      <c r="J25" s="122">
        <v>1</v>
      </c>
      <c r="K25" s="15">
        <v>190849</v>
      </c>
      <c r="L25" s="16">
        <f t="shared" si="2"/>
        <v>190849</v>
      </c>
      <c r="M25" s="15">
        <v>19084</v>
      </c>
      <c r="N25" s="15">
        <f t="shared" si="0"/>
        <v>209933</v>
      </c>
      <c r="O25" s="5" t="s">
        <v>1141</v>
      </c>
      <c r="P25" s="177" t="s">
        <v>2636</v>
      </c>
      <c r="Q25" s="5">
        <v>45688</v>
      </c>
      <c r="R25" s="209"/>
    </row>
    <row r="26" spans="1:20" ht="16.5" customHeight="1">
      <c r="A26" t="s">
        <v>64</v>
      </c>
      <c r="B26" s="10" t="s">
        <v>413</v>
      </c>
      <c r="C26" s="12"/>
      <c r="D26" s="13">
        <v>45659</v>
      </c>
      <c r="E26" s="155" t="s">
        <v>2633</v>
      </c>
      <c r="F26" s="155" t="s">
        <v>101</v>
      </c>
      <c r="G26" s="156" t="s">
        <v>98</v>
      </c>
      <c r="H26" s="156" t="s">
        <v>143</v>
      </c>
      <c r="I26" s="69" t="s">
        <v>281</v>
      </c>
      <c r="J26" s="122">
        <v>1</v>
      </c>
      <c r="K26" s="15">
        <v>95200</v>
      </c>
      <c r="L26" s="16">
        <f t="shared" si="2"/>
        <v>95200</v>
      </c>
      <c r="M26" s="16">
        <v>9520</v>
      </c>
      <c r="N26" s="15">
        <f t="shared" si="0"/>
        <v>104720</v>
      </c>
      <c r="O26" s="5" t="s">
        <v>1141</v>
      </c>
      <c r="P26" s="9" t="s">
        <v>2636</v>
      </c>
      <c r="Q26" s="5">
        <v>45625</v>
      </c>
      <c r="R26" s="209" t="s">
        <v>147</v>
      </c>
    </row>
    <row r="27" spans="1:20" ht="16.5" customHeight="1">
      <c r="A27" t="s">
        <v>64</v>
      </c>
      <c r="B27" s="10" t="s">
        <v>1610</v>
      </c>
      <c r="C27" s="12"/>
      <c r="D27" s="13">
        <v>45659</v>
      </c>
      <c r="E27" s="155" t="s">
        <v>2633</v>
      </c>
      <c r="F27" s="155" t="s">
        <v>2632</v>
      </c>
      <c r="G27" s="156" t="s">
        <v>7</v>
      </c>
      <c r="H27" s="156" t="s">
        <v>143</v>
      </c>
      <c r="I27" s="69" t="s">
        <v>204</v>
      </c>
      <c r="J27" s="122">
        <v>1</v>
      </c>
      <c r="K27" s="15">
        <v>79496</v>
      </c>
      <c r="L27" s="16">
        <f t="shared" si="2"/>
        <v>79496</v>
      </c>
      <c r="M27" s="15">
        <v>7949</v>
      </c>
      <c r="N27" s="15">
        <f t="shared" si="0"/>
        <v>87445</v>
      </c>
      <c r="O27" s="5" t="s">
        <v>1141</v>
      </c>
      <c r="P27" s="9" t="s">
        <v>2636</v>
      </c>
      <c r="Q27" s="5">
        <v>45682</v>
      </c>
      <c r="R27" s="209"/>
    </row>
    <row r="28" spans="1:20" ht="16.5" customHeight="1">
      <c r="A28" t="s">
        <v>64</v>
      </c>
      <c r="B28" s="141" t="s">
        <v>169</v>
      </c>
      <c r="C28" s="142"/>
      <c r="D28" s="13">
        <v>45659</v>
      </c>
      <c r="E28" s="155" t="s">
        <v>2633</v>
      </c>
      <c r="F28" s="155" t="s">
        <v>114</v>
      </c>
      <c r="G28" s="156" t="s">
        <v>7</v>
      </c>
      <c r="H28" s="156" t="s">
        <v>143</v>
      </c>
      <c r="I28" s="69" t="s">
        <v>547</v>
      </c>
      <c r="J28" s="122">
        <v>1</v>
      </c>
      <c r="K28" s="15">
        <v>159761</v>
      </c>
      <c r="L28" s="15">
        <f t="shared" si="2"/>
        <v>159761</v>
      </c>
      <c r="M28" s="15">
        <v>15976</v>
      </c>
      <c r="N28" s="15">
        <f t="shared" si="0"/>
        <v>175737</v>
      </c>
      <c r="O28" s="5" t="s">
        <v>1141</v>
      </c>
      <c r="P28" s="9" t="s">
        <v>2636</v>
      </c>
      <c r="Q28" s="5">
        <v>45688</v>
      </c>
      <c r="R28" s="209"/>
      <c r="S28" s="7"/>
      <c r="T28" s="7"/>
    </row>
    <row r="29" spans="1:20" ht="16.5" customHeight="1">
      <c r="A29" t="s">
        <v>64</v>
      </c>
      <c r="B29" s="10" t="s">
        <v>373</v>
      </c>
      <c r="C29" s="139"/>
      <c r="D29" s="13">
        <v>45659</v>
      </c>
      <c r="E29" s="155" t="s">
        <v>2633</v>
      </c>
      <c r="F29" s="155" t="s">
        <v>374</v>
      </c>
      <c r="G29" s="156" t="s">
        <v>98</v>
      </c>
      <c r="H29" s="156" t="s">
        <v>143</v>
      </c>
      <c r="I29" s="69" t="s">
        <v>546</v>
      </c>
      <c r="J29" s="122">
        <v>1</v>
      </c>
      <c r="K29" s="15">
        <v>142800</v>
      </c>
      <c r="L29" s="16">
        <f t="shared" si="2"/>
        <v>142800</v>
      </c>
      <c r="M29" s="15">
        <v>14280</v>
      </c>
      <c r="N29" s="15">
        <f t="shared" si="0"/>
        <v>157080</v>
      </c>
      <c r="O29" s="5" t="s">
        <v>1141</v>
      </c>
      <c r="P29" s="174" t="s">
        <v>2636</v>
      </c>
      <c r="Q29" s="5">
        <v>45682</v>
      </c>
      <c r="R29" s="209"/>
    </row>
    <row r="30" spans="1:20" ht="16.5" customHeight="1">
      <c r="A30" t="s">
        <v>64</v>
      </c>
      <c r="B30" s="10" t="s">
        <v>349</v>
      </c>
      <c r="C30" s="12"/>
      <c r="D30" s="13">
        <v>45659</v>
      </c>
      <c r="E30" s="155" t="s">
        <v>2633</v>
      </c>
      <c r="F30" s="155" t="s">
        <v>241</v>
      </c>
      <c r="G30" s="156" t="s">
        <v>98</v>
      </c>
      <c r="H30" s="156" t="s">
        <v>143</v>
      </c>
      <c r="I30" s="69" t="s">
        <v>1611</v>
      </c>
      <c r="J30" s="122">
        <v>1</v>
      </c>
      <c r="K30" s="15">
        <v>1263250</v>
      </c>
      <c r="L30" s="16">
        <f t="shared" si="2"/>
        <v>1263250</v>
      </c>
      <c r="M30" s="15">
        <v>126325</v>
      </c>
      <c r="N30" s="15">
        <f t="shared" si="0"/>
        <v>1389575</v>
      </c>
      <c r="O30" s="5" t="s">
        <v>1141</v>
      </c>
      <c r="P30" s="174" t="s">
        <v>2636</v>
      </c>
      <c r="Q30" s="5">
        <v>45688</v>
      </c>
      <c r="R30" s="209"/>
    </row>
    <row r="31" spans="1:20" ht="16.5" customHeight="1">
      <c r="A31" t="s">
        <v>64</v>
      </c>
      <c r="B31" s="10" t="s">
        <v>146</v>
      </c>
      <c r="C31" s="12"/>
      <c r="D31" s="13">
        <v>45659</v>
      </c>
      <c r="E31" s="155" t="s">
        <v>2633</v>
      </c>
      <c r="F31" s="155" t="s">
        <v>114</v>
      </c>
      <c r="G31" s="156" t="s">
        <v>7</v>
      </c>
      <c r="H31" s="156" t="s">
        <v>143</v>
      </c>
      <c r="I31" s="69" t="s">
        <v>548</v>
      </c>
      <c r="J31" s="122">
        <v>1</v>
      </c>
      <c r="K31" s="15">
        <v>309047</v>
      </c>
      <c r="L31" s="16">
        <f t="shared" si="2"/>
        <v>309047</v>
      </c>
      <c r="M31" s="15">
        <v>30904</v>
      </c>
      <c r="N31" s="15">
        <f t="shared" si="0"/>
        <v>339951</v>
      </c>
      <c r="O31" s="5" t="s">
        <v>1141</v>
      </c>
      <c r="P31" s="9" t="s">
        <v>2636</v>
      </c>
      <c r="Q31" s="5">
        <v>45658</v>
      </c>
      <c r="R31" s="209" t="s">
        <v>147</v>
      </c>
    </row>
    <row r="32" spans="1:20" ht="16.5" customHeight="1">
      <c r="A32" t="s">
        <v>64</v>
      </c>
      <c r="B32" s="10" t="s">
        <v>487</v>
      </c>
      <c r="C32" s="12"/>
      <c r="D32" s="13">
        <v>45659</v>
      </c>
      <c r="E32" s="155" t="s">
        <v>2633</v>
      </c>
      <c r="F32" s="155" t="s">
        <v>488</v>
      </c>
      <c r="G32" s="156" t="s">
        <v>98</v>
      </c>
      <c r="H32" s="156" t="s">
        <v>143</v>
      </c>
      <c r="I32" s="69" t="s">
        <v>545</v>
      </c>
      <c r="J32" s="122">
        <v>1</v>
      </c>
      <c r="K32" s="15">
        <v>94111</v>
      </c>
      <c r="L32" s="16">
        <f t="shared" si="2"/>
        <v>94111</v>
      </c>
      <c r="M32" s="16">
        <v>9411</v>
      </c>
      <c r="N32" s="15">
        <f t="shared" si="0"/>
        <v>103522</v>
      </c>
      <c r="O32" s="5" t="s">
        <v>1141</v>
      </c>
      <c r="P32" s="9" t="s">
        <v>2636</v>
      </c>
      <c r="Q32" s="5">
        <v>45658</v>
      </c>
      <c r="R32" s="209"/>
    </row>
    <row r="33" spans="1:18" ht="16.5" customHeight="1">
      <c r="A33" t="s">
        <v>64</v>
      </c>
      <c r="B33" s="141" t="s">
        <v>163</v>
      </c>
      <c r="C33" s="12"/>
      <c r="D33" s="13">
        <v>45659</v>
      </c>
      <c r="E33" s="155" t="s">
        <v>2633</v>
      </c>
      <c r="F33" s="155" t="s">
        <v>114</v>
      </c>
      <c r="G33" s="156" t="s">
        <v>7</v>
      </c>
      <c r="H33" s="156" t="s">
        <v>143</v>
      </c>
      <c r="I33" s="69" t="s">
        <v>549</v>
      </c>
      <c r="J33" s="122">
        <v>1</v>
      </c>
      <c r="K33" s="15">
        <v>212293</v>
      </c>
      <c r="L33" s="15">
        <f t="shared" si="2"/>
        <v>212293</v>
      </c>
      <c r="M33" s="15">
        <v>21229</v>
      </c>
      <c r="N33" s="15">
        <f t="shared" si="0"/>
        <v>233522</v>
      </c>
      <c r="O33" s="5" t="s">
        <v>1141</v>
      </c>
      <c r="P33" s="9" t="s">
        <v>2636</v>
      </c>
      <c r="Q33" s="5">
        <v>45688</v>
      </c>
      <c r="R33" s="209"/>
    </row>
    <row r="34" spans="1:18" ht="16.5" customHeight="1">
      <c r="A34" t="s">
        <v>64</v>
      </c>
      <c r="B34" s="10" t="s">
        <v>519</v>
      </c>
      <c r="C34" s="142"/>
      <c r="D34" s="13">
        <v>45659</v>
      </c>
      <c r="E34" s="155" t="s">
        <v>513</v>
      </c>
      <c r="F34" s="155" t="s">
        <v>515</v>
      </c>
      <c r="G34" s="156" t="s">
        <v>516</v>
      </c>
      <c r="H34" s="156" t="s">
        <v>517</v>
      </c>
      <c r="I34" s="69" t="s">
        <v>518</v>
      </c>
      <c r="J34" s="122">
        <v>1</v>
      </c>
      <c r="K34" s="15">
        <v>13545</v>
      </c>
      <c r="L34" s="16">
        <f t="shared" si="2"/>
        <v>13545</v>
      </c>
      <c r="M34" s="16">
        <v>1355</v>
      </c>
      <c r="N34" s="15">
        <f t="shared" si="0"/>
        <v>14900</v>
      </c>
      <c r="O34" s="5" t="s">
        <v>514</v>
      </c>
      <c r="P34" s="9" t="s">
        <v>2635</v>
      </c>
      <c r="Q34" s="5">
        <v>45649</v>
      </c>
      <c r="R34" s="213"/>
    </row>
    <row r="35" spans="1:18" ht="16.5" customHeight="1">
      <c r="A35" t="s">
        <v>64</v>
      </c>
      <c r="B35" s="10" t="s">
        <v>1254</v>
      </c>
      <c r="C35" s="12"/>
      <c r="D35" s="13">
        <v>45659</v>
      </c>
      <c r="E35" s="155" t="s">
        <v>2630</v>
      </c>
      <c r="F35" s="155" t="s">
        <v>32</v>
      </c>
      <c r="G35" s="156" t="s">
        <v>588</v>
      </c>
      <c r="H35" s="156" t="s">
        <v>589</v>
      </c>
      <c r="I35" s="69" t="s">
        <v>578</v>
      </c>
      <c r="J35" s="122">
        <v>1</v>
      </c>
      <c r="K35" s="15">
        <v>8000000</v>
      </c>
      <c r="L35" s="16">
        <f t="shared" si="2"/>
        <v>8000000</v>
      </c>
      <c r="M35" s="16">
        <f t="shared" ref="M35:M52" si="3">L35*10%</f>
        <v>800000</v>
      </c>
      <c r="N35" s="15">
        <f t="shared" si="0"/>
        <v>8800000</v>
      </c>
      <c r="O35" s="5" t="s">
        <v>621</v>
      </c>
      <c r="P35" s="9" t="s">
        <v>2634</v>
      </c>
      <c r="Q35" s="5">
        <v>45688</v>
      </c>
      <c r="R35" s="213"/>
    </row>
    <row r="36" spans="1:18" ht="16.5" customHeight="1">
      <c r="A36" t="s">
        <v>64</v>
      </c>
      <c r="B36" s="10" t="s">
        <v>492</v>
      </c>
      <c r="C36" s="12"/>
      <c r="D36" s="13">
        <v>45659</v>
      </c>
      <c r="E36" s="155" t="s">
        <v>2630</v>
      </c>
      <c r="F36" s="155" t="s">
        <v>221</v>
      </c>
      <c r="G36" s="156" t="s">
        <v>118</v>
      </c>
      <c r="H36" s="156" t="s">
        <v>580</v>
      </c>
      <c r="I36" s="69" t="s">
        <v>579</v>
      </c>
      <c r="J36" s="124">
        <v>1</v>
      </c>
      <c r="K36" s="15">
        <v>3000000</v>
      </c>
      <c r="L36" s="16">
        <f t="shared" si="2"/>
        <v>3000000</v>
      </c>
      <c r="M36" s="16">
        <f t="shared" si="3"/>
        <v>300000</v>
      </c>
      <c r="N36" s="15">
        <f t="shared" si="0"/>
        <v>3300000</v>
      </c>
      <c r="O36" s="5" t="s">
        <v>621</v>
      </c>
      <c r="P36" s="9" t="s">
        <v>2635</v>
      </c>
      <c r="Q36" s="5">
        <v>45645</v>
      </c>
      <c r="R36" s="209"/>
    </row>
    <row r="37" spans="1:18" ht="16.5" customHeight="1">
      <c r="A37" t="s">
        <v>64</v>
      </c>
      <c r="B37" s="10" t="s">
        <v>104</v>
      </c>
      <c r="C37" s="12"/>
      <c r="D37" s="13">
        <v>45659</v>
      </c>
      <c r="E37" s="155" t="s">
        <v>2630</v>
      </c>
      <c r="F37" s="155" t="s">
        <v>506</v>
      </c>
      <c r="G37" s="157" t="s">
        <v>41</v>
      </c>
      <c r="H37" s="156" t="s">
        <v>25</v>
      </c>
      <c r="I37" s="69" t="s">
        <v>507</v>
      </c>
      <c r="J37" s="132">
        <v>1</v>
      </c>
      <c r="K37" s="15">
        <v>800000</v>
      </c>
      <c r="L37" s="16">
        <f t="shared" si="2"/>
        <v>800000</v>
      </c>
      <c r="M37" s="16">
        <f t="shared" si="3"/>
        <v>80000</v>
      </c>
      <c r="N37" s="15">
        <f t="shared" ref="N37:N63" si="4">SUM(L37:M37)</f>
        <v>880000</v>
      </c>
      <c r="O37" s="5" t="s">
        <v>621</v>
      </c>
      <c r="P37" s="9" t="s">
        <v>2634</v>
      </c>
      <c r="Q37" s="5">
        <v>45650</v>
      </c>
      <c r="R37" s="213"/>
    </row>
    <row r="38" spans="1:18" ht="16.5" customHeight="1">
      <c r="A38" t="s">
        <v>64</v>
      </c>
      <c r="B38" s="10" t="s">
        <v>504</v>
      </c>
      <c r="C38" s="12"/>
      <c r="D38" s="13">
        <v>45659</v>
      </c>
      <c r="E38" s="155" t="s">
        <v>2630</v>
      </c>
      <c r="F38" s="155" t="s">
        <v>2629</v>
      </c>
      <c r="G38" s="157" t="s">
        <v>41</v>
      </c>
      <c r="H38" s="156" t="s">
        <v>505</v>
      </c>
      <c r="I38" s="69" t="s">
        <v>512</v>
      </c>
      <c r="J38" s="122">
        <v>1</v>
      </c>
      <c r="K38" s="15">
        <v>1700000</v>
      </c>
      <c r="L38" s="16">
        <f t="shared" si="2"/>
        <v>1700000</v>
      </c>
      <c r="M38" s="16">
        <f t="shared" si="3"/>
        <v>170000</v>
      </c>
      <c r="N38" s="15">
        <f t="shared" si="4"/>
        <v>1870000</v>
      </c>
      <c r="O38" s="5" t="s">
        <v>621</v>
      </c>
      <c r="P38" s="9" t="s">
        <v>2634</v>
      </c>
      <c r="Q38" s="5">
        <v>45657</v>
      </c>
      <c r="R38" s="209"/>
    </row>
    <row r="39" spans="1:18" ht="16.5" customHeight="1">
      <c r="A39" t="s">
        <v>64</v>
      </c>
      <c r="B39" s="10" t="s">
        <v>592</v>
      </c>
      <c r="C39" s="12"/>
      <c r="D39" s="13">
        <v>45659</v>
      </c>
      <c r="E39" s="155" t="s">
        <v>2630</v>
      </c>
      <c r="F39" s="155" t="s">
        <v>581</v>
      </c>
      <c r="G39" s="156" t="s">
        <v>588</v>
      </c>
      <c r="H39" s="156" t="s">
        <v>590</v>
      </c>
      <c r="I39" s="69" t="s">
        <v>582</v>
      </c>
      <c r="J39" s="122">
        <v>1</v>
      </c>
      <c r="K39" s="15">
        <v>3400000</v>
      </c>
      <c r="L39" s="16">
        <f t="shared" si="2"/>
        <v>3400000</v>
      </c>
      <c r="M39" s="16">
        <f t="shared" si="3"/>
        <v>340000</v>
      </c>
      <c r="N39" s="15">
        <f t="shared" si="4"/>
        <v>3740000</v>
      </c>
      <c r="O39" s="5" t="s">
        <v>621</v>
      </c>
      <c r="P39" s="9" t="s">
        <v>2636</v>
      </c>
      <c r="Q39" s="5" t="s">
        <v>591</v>
      </c>
      <c r="R39" s="213"/>
    </row>
    <row r="40" spans="1:18" ht="16.5" customHeight="1">
      <c r="A40" t="s">
        <v>64</v>
      </c>
      <c r="B40" s="10" t="s">
        <v>605</v>
      </c>
      <c r="C40" s="12"/>
      <c r="D40" s="13">
        <v>45659</v>
      </c>
      <c r="E40" s="155" t="s">
        <v>2630</v>
      </c>
      <c r="F40" s="155" t="s">
        <v>2629</v>
      </c>
      <c r="G40" s="156" t="s">
        <v>588</v>
      </c>
      <c r="H40" s="156" t="s">
        <v>590</v>
      </c>
      <c r="I40" s="69" t="s">
        <v>583</v>
      </c>
      <c r="J40" s="122">
        <v>1</v>
      </c>
      <c r="K40" s="15">
        <v>1000000</v>
      </c>
      <c r="L40" s="16">
        <f t="shared" si="2"/>
        <v>1000000</v>
      </c>
      <c r="M40" s="16">
        <f t="shared" si="3"/>
        <v>100000</v>
      </c>
      <c r="N40" s="15">
        <f t="shared" si="4"/>
        <v>1100000</v>
      </c>
      <c r="O40" s="5" t="s">
        <v>621</v>
      </c>
      <c r="P40" s="9" t="s">
        <v>2636</v>
      </c>
      <c r="Q40" s="5" t="s">
        <v>593</v>
      </c>
      <c r="R40" s="213"/>
    </row>
    <row r="41" spans="1:18" ht="16.5" customHeight="1">
      <c r="A41" t="s">
        <v>64</v>
      </c>
      <c r="B41" s="10" t="s">
        <v>606</v>
      </c>
      <c r="C41" s="12"/>
      <c r="D41" s="13">
        <v>45659</v>
      </c>
      <c r="E41" s="155" t="s">
        <v>2630</v>
      </c>
      <c r="F41" s="155" t="s">
        <v>594</v>
      </c>
      <c r="G41" s="156" t="s">
        <v>588</v>
      </c>
      <c r="H41" s="156" t="s">
        <v>590</v>
      </c>
      <c r="I41" s="69" t="s">
        <v>595</v>
      </c>
      <c r="J41" s="122">
        <v>1</v>
      </c>
      <c r="K41" s="15">
        <v>2500000</v>
      </c>
      <c r="L41" s="16">
        <f t="shared" si="2"/>
        <v>2500000</v>
      </c>
      <c r="M41" s="16">
        <f t="shared" si="3"/>
        <v>250000</v>
      </c>
      <c r="N41" s="15">
        <f t="shared" si="4"/>
        <v>2750000</v>
      </c>
      <c r="O41" s="5" t="s">
        <v>621</v>
      </c>
      <c r="P41" s="9" t="s">
        <v>2636</v>
      </c>
      <c r="Q41" s="5" t="s">
        <v>593</v>
      </c>
      <c r="R41" s="213"/>
    </row>
    <row r="42" spans="1:18" ht="16.5" customHeight="1">
      <c r="A42" t="s">
        <v>64</v>
      </c>
      <c r="B42" s="10" t="s">
        <v>465</v>
      </c>
      <c r="C42" s="12"/>
      <c r="D42" s="13">
        <v>45659</v>
      </c>
      <c r="E42" s="155" t="s">
        <v>2630</v>
      </c>
      <c r="F42" s="155" t="s">
        <v>463</v>
      </c>
      <c r="G42" s="156" t="s">
        <v>473</v>
      </c>
      <c r="H42" s="156" t="s">
        <v>464</v>
      </c>
      <c r="I42" s="69" t="s">
        <v>471</v>
      </c>
      <c r="J42" s="124">
        <v>1</v>
      </c>
      <c r="K42" s="15">
        <v>550000</v>
      </c>
      <c r="L42" s="16">
        <f t="shared" si="2"/>
        <v>550000</v>
      </c>
      <c r="M42" s="16">
        <f t="shared" si="3"/>
        <v>55000</v>
      </c>
      <c r="N42" s="15">
        <f t="shared" si="4"/>
        <v>605000</v>
      </c>
      <c r="O42" s="5" t="s">
        <v>621</v>
      </c>
      <c r="P42" s="9" t="s">
        <v>2634</v>
      </c>
      <c r="Q42" s="5">
        <v>45596</v>
      </c>
      <c r="R42" s="209"/>
    </row>
    <row r="43" spans="1:18" ht="16.5" customHeight="1">
      <c r="A43" t="s">
        <v>64</v>
      </c>
      <c r="B43" s="10" t="s">
        <v>467</v>
      </c>
      <c r="C43" s="12"/>
      <c r="D43" s="13">
        <v>45659</v>
      </c>
      <c r="E43" s="155" t="s">
        <v>2630</v>
      </c>
      <c r="F43" s="155" t="s">
        <v>474</v>
      </c>
      <c r="G43" s="156" t="s">
        <v>473</v>
      </c>
      <c r="H43" s="156" t="s">
        <v>470</v>
      </c>
      <c r="I43" s="69" t="s">
        <v>475</v>
      </c>
      <c r="J43" s="124">
        <v>1</v>
      </c>
      <c r="K43" s="15">
        <v>130000</v>
      </c>
      <c r="L43" s="16">
        <f t="shared" si="2"/>
        <v>130000</v>
      </c>
      <c r="M43" s="16">
        <f t="shared" si="3"/>
        <v>13000</v>
      </c>
      <c r="N43" s="15">
        <f t="shared" si="4"/>
        <v>143000</v>
      </c>
      <c r="O43" s="5" t="s">
        <v>621</v>
      </c>
      <c r="P43" s="9" t="s">
        <v>2636</v>
      </c>
      <c r="Q43" s="5">
        <v>45408</v>
      </c>
      <c r="R43" s="209"/>
    </row>
    <row r="44" spans="1:18" ht="16.5" customHeight="1">
      <c r="A44" t="s">
        <v>64</v>
      </c>
      <c r="B44" s="10" t="s">
        <v>469</v>
      </c>
      <c r="C44" s="12"/>
      <c r="D44" s="13">
        <v>45659</v>
      </c>
      <c r="E44" s="155" t="s">
        <v>2630</v>
      </c>
      <c r="F44" s="155" t="s">
        <v>468</v>
      </c>
      <c r="G44" s="156" t="s">
        <v>473</v>
      </c>
      <c r="H44" s="156" t="s">
        <v>309</v>
      </c>
      <c r="I44" s="69" t="s">
        <v>472</v>
      </c>
      <c r="J44" s="124">
        <v>1</v>
      </c>
      <c r="K44" s="15">
        <v>70000</v>
      </c>
      <c r="L44" s="16">
        <f t="shared" si="2"/>
        <v>70000</v>
      </c>
      <c r="M44" s="16">
        <f t="shared" si="3"/>
        <v>7000</v>
      </c>
      <c r="N44" s="15">
        <f t="shared" si="4"/>
        <v>77000</v>
      </c>
      <c r="O44" s="5" t="s">
        <v>621</v>
      </c>
      <c r="P44" s="9" t="s">
        <v>2636</v>
      </c>
      <c r="Q44" s="5">
        <v>45504</v>
      </c>
      <c r="R44" s="209"/>
    </row>
    <row r="45" spans="1:18" ht="16.5" customHeight="1">
      <c r="A45" t="s">
        <v>64</v>
      </c>
      <c r="B45" s="10" t="s">
        <v>2600</v>
      </c>
      <c r="C45" s="12"/>
      <c r="D45" s="13">
        <v>45659</v>
      </c>
      <c r="E45" s="155" t="s">
        <v>2630</v>
      </c>
      <c r="F45" s="155" t="s">
        <v>584</v>
      </c>
      <c r="G45" s="156" t="s">
        <v>7</v>
      </c>
      <c r="H45" s="156" t="s">
        <v>585</v>
      </c>
      <c r="I45" s="69" t="s">
        <v>965</v>
      </c>
      <c r="J45" s="122">
        <v>1</v>
      </c>
      <c r="K45" s="15">
        <v>2400000</v>
      </c>
      <c r="L45" s="16">
        <f t="shared" si="2"/>
        <v>2400000</v>
      </c>
      <c r="M45" s="16">
        <f t="shared" si="3"/>
        <v>240000</v>
      </c>
      <c r="N45" s="15">
        <f t="shared" si="4"/>
        <v>2640000</v>
      </c>
      <c r="O45" s="5" t="s">
        <v>621</v>
      </c>
      <c r="P45" s="9" t="s">
        <v>2636</v>
      </c>
      <c r="Q45" s="5" t="s">
        <v>596</v>
      </c>
      <c r="R45" s="213"/>
    </row>
    <row r="46" spans="1:18" ht="16.5" customHeight="1">
      <c r="A46" t="s">
        <v>64</v>
      </c>
      <c r="B46" s="10" t="s">
        <v>2600</v>
      </c>
      <c r="C46" s="12"/>
      <c r="D46" s="13">
        <v>45659</v>
      </c>
      <c r="E46" s="155" t="s">
        <v>2630</v>
      </c>
      <c r="F46" s="155" t="s">
        <v>584</v>
      </c>
      <c r="G46" s="156" t="s">
        <v>7</v>
      </c>
      <c r="H46" s="156" t="s">
        <v>585</v>
      </c>
      <c r="I46" s="69" t="s">
        <v>966</v>
      </c>
      <c r="J46" s="122">
        <v>1</v>
      </c>
      <c r="K46" s="15">
        <v>2400000</v>
      </c>
      <c r="L46" s="16">
        <f t="shared" si="2"/>
        <v>2400000</v>
      </c>
      <c r="M46" s="16">
        <f t="shared" si="3"/>
        <v>240000</v>
      </c>
      <c r="N46" s="15">
        <f t="shared" si="4"/>
        <v>2640000</v>
      </c>
      <c r="O46" s="5" t="s">
        <v>621</v>
      </c>
      <c r="P46" s="9" t="s">
        <v>2636</v>
      </c>
      <c r="Q46" s="5" t="s">
        <v>2276</v>
      </c>
      <c r="R46" s="213"/>
    </row>
    <row r="47" spans="1:18" ht="16.5" customHeight="1">
      <c r="A47" t="s">
        <v>64</v>
      </c>
      <c r="B47" s="10" t="s">
        <v>484</v>
      </c>
      <c r="C47" s="12"/>
      <c r="D47" s="13">
        <v>45659</v>
      </c>
      <c r="E47" s="155" t="s">
        <v>2630</v>
      </c>
      <c r="F47" s="155" t="s">
        <v>462</v>
      </c>
      <c r="G47" s="156" t="s">
        <v>481</v>
      </c>
      <c r="H47" s="156" t="s">
        <v>537</v>
      </c>
      <c r="I47" s="69" t="s">
        <v>2601</v>
      </c>
      <c r="J47" s="124">
        <v>1</v>
      </c>
      <c r="K47" s="15">
        <v>2100000</v>
      </c>
      <c r="L47" s="16">
        <f t="shared" si="2"/>
        <v>2100000</v>
      </c>
      <c r="M47" s="16">
        <f t="shared" si="3"/>
        <v>210000</v>
      </c>
      <c r="N47" s="15">
        <f t="shared" si="4"/>
        <v>2310000</v>
      </c>
      <c r="O47" s="5" t="s">
        <v>621</v>
      </c>
      <c r="P47" s="9" t="s">
        <v>2634</v>
      </c>
      <c r="Q47" s="5" t="s">
        <v>1557</v>
      </c>
      <c r="R47" s="209"/>
    </row>
    <row r="48" spans="1:18" ht="16.5" customHeight="1">
      <c r="A48" t="s">
        <v>64</v>
      </c>
      <c r="B48" s="10" t="s">
        <v>601</v>
      </c>
      <c r="C48" s="12"/>
      <c r="D48" s="13">
        <v>45659</v>
      </c>
      <c r="E48" s="155" t="s">
        <v>2630</v>
      </c>
      <c r="F48" s="155" t="s">
        <v>538</v>
      </c>
      <c r="G48" s="156" t="s">
        <v>7</v>
      </c>
      <c r="H48" s="156" t="s">
        <v>284</v>
      </c>
      <c r="I48" s="69" t="s">
        <v>586</v>
      </c>
      <c r="J48" s="124">
        <v>1</v>
      </c>
      <c r="K48" s="15">
        <v>1440000</v>
      </c>
      <c r="L48" s="16">
        <f t="shared" si="2"/>
        <v>1440000</v>
      </c>
      <c r="M48" s="16">
        <f t="shared" si="3"/>
        <v>144000</v>
      </c>
      <c r="N48" s="15">
        <f t="shared" si="4"/>
        <v>1584000</v>
      </c>
      <c r="O48" s="5" t="s">
        <v>621</v>
      </c>
      <c r="P48" s="9" t="s">
        <v>2636</v>
      </c>
      <c r="Q48" s="5" t="s">
        <v>593</v>
      </c>
      <c r="R48" s="209"/>
    </row>
    <row r="49" spans="1:19" ht="16.5" customHeight="1">
      <c r="A49" t="s">
        <v>64</v>
      </c>
      <c r="B49" s="10" t="s">
        <v>600</v>
      </c>
      <c r="C49" s="12"/>
      <c r="D49" s="13">
        <v>45659</v>
      </c>
      <c r="E49" s="155" t="s">
        <v>2630</v>
      </c>
      <c r="F49" s="155" t="s">
        <v>365</v>
      </c>
      <c r="G49" s="156" t="s">
        <v>7</v>
      </c>
      <c r="H49" s="156" t="s">
        <v>284</v>
      </c>
      <c r="I49" s="69" t="s">
        <v>599</v>
      </c>
      <c r="J49" s="124">
        <v>1</v>
      </c>
      <c r="K49" s="15">
        <v>1200000</v>
      </c>
      <c r="L49" s="16">
        <f t="shared" si="2"/>
        <v>1200000</v>
      </c>
      <c r="M49" s="16">
        <f t="shared" si="3"/>
        <v>120000</v>
      </c>
      <c r="N49" s="15">
        <f t="shared" si="4"/>
        <v>1320000</v>
      </c>
      <c r="O49" s="5" t="s">
        <v>621</v>
      </c>
      <c r="P49" s="9" t="s">
        <v>2636</v>
      </c>
      <c r="Q49" s="5" t="s">
        <v>598</v>
      </c>
      <c r="R49" s="209"/>
    </row>
    <row r="50" spans="1:19" ht="16.5" customHeight="1">
      <c r="A50" t="s">
        <v>64</v>
      </c>
      <c r="B50" s="10" t="s">
        <v>602</v>
      </c>
      <c r="C50" s="12"/>
      <c r="D50" s="13">
        <v>45659</v>
      </c>
      <c r="E50" s="155" t="s">
        <v>2630</v>
      </c>
      <c r="F50" s="155" t="s">
        <v>552</v>
      </c>
      <c r="G50" s="156" t="s">
        <v>7</v>
      </c>
      <c r="H50" s="156" t="s">
        <v>551</v>
      </c>
      <c r="I50" s="69" t="s">
        <v>604</v>
      </c>
      <c r="J50" s="124">
        <v>1</v>
      </c>
      <c r="K50" s="15">
        <v>1750000</v>
      </c>
      <c r="L50" s="16">
        <f t="shared" si="2"/>
        <v>1750000</v>
      </c>
      <c r="M50" s="16">
        <f t="shared" si="3"/>
        <v>175000</v>
      </c>
      <c r="N50" s="15">
        <f t="shared" si="4"/>
        <v>1925000</v>
      </c>
      <c r="O50" s="5" t="s">
        <v>621</v>
      </c>
      <c r="P50" s="9" t="s">
        <v>2634</v>
      </c>
      <c r="Q50" s="5" t="s">
        <v>603</v>
      </c>
      <c r="R50" s="209"/>
    </row>
    <row r="51" spans="1:19" ht="16.5" customHeight="1">
      <c r="A51" t="s">
        <v>64</v>
      </c>
      <c r="B51" s="10" t="s">
        <v>509</v>
      </c>
      <c r="C51" s="12"/>
      <c r="D51" s="13">
        <v>45659</v>
      </c>
      <c r="E51" s="155" t="s">
        <v>33</v>
      </c>
      <c r="F51" s="155" t="s">
        <v>511</v>
      </c>
      <c r="G51" s="156" t="s">
        <v>41</v>
      </c>
      <c r="H51" s="156" t="s">
        <v>357</v>
      </c>
      <c r="I51" s="69" t="s">
        <v>510</v>
      </c>
      <c r="J51" s="122">
        <v>8</v>
      </c>
      <c r="K51" s="15">
        <v>80000</v>
      </c>
      <c r="L51" s="16">
        <f t="shared" si="2"/>
        <v>640000</v>
      </c>
      <c r="M51" s="16">
        <f t="shared" si="3"/>
        <v>64000</v>
      </c>
      <c r="N51" s="15">
        <f t="shared" si="4"/>
        <v>704000</v>
      </c>
      <c r="O51" s="5" t="s">
        <v>1542</v>
      </c>
      <c r="P51" s="9" t="s">
        <v>2636</v>
      </c>
      <c r="Q51" s="5">
        <v>45649</v>
      </c>
      <c r="R51" s="209"/>
    </row>
    <row r="52" spans="1:19" ht="16.5" customHeight="1">
      <c r="A52" t="s">
        <v>64</v>
      </c>
      <c r="B52" s="10" t="s">
        <v>655</v>
      </c>
      <c r="C52" s="12"/>
      <c r="D52" s="13">
        <v>45659</v>
      </c>
      <c r="E52" s="155" t="s">
        <v>33</v>
      </c>
      <c r="F52" s="155" t="s">
        <v>660</v>
      </c>
      <c r="G52" s="156" t="s">
        <v>41</v>
      </c>
      <c r="H52" s="156" t="s">
        <v>662</v>
      </c>
      <c r="I52" s="69" t="s">
        <v>663</v>
      </c>
      <c r="J52" s="122">
        <v>1</v>
      </c>
      <c r="K52" s="15">
        <v>400000</v>
      </c>
      <c r="L52" s="16">
        <f t="shared" si="2"/>
        <v>400000</v>
      </c>
      <c r="M52" s="16">
        <f t="shared" si="3"/>
        <v>40000</v>
      </c>
      <c r="N52" s="15">
        <f t="shared" si="4"/>
        <v>440000</v>
      </c>
      <c r="O52" s="5" t="s">
        <v>1542</v>
      </c>
      <c r="P52" s="9" t="s">
        <v>2636</v>
      </c>
      <c r="Q52" s="5">
        <v>45672</v>
      </c>
      <c r="R52" s="209"/>
    </row>
    <row r="53" spans="1:19" ht="16.5" customHeight="1">
      <c r="A53" t="s">
        <v>64</v>
      </c>
      <c r="B53" s="141" t="s">
        <v>144</v>
      </c>
      <c r="C53" s="142"/>
      <c r="D53" s="13">
        <v>45660</v>
      </c>
      <c r="E53" s="155" t="s">
        <v>303</v>
      </c>
      <c r="F53" s="155"/>
      <c r="G53" s="156" t="s">
        <v>30</v>
      </c>
      <c r="H53" s="156" t="s">
        <v>271</v>
      </c>
      <c r="I53" s="159" t="s">
        <v>304</v>
      </c>
      <c r="J53" s="124">
        <v>1</v>
      </c>
      <c r="K53" s="16">
        <v>13839</v>
      </c>
      <c r="L53" s="15">
        <f t="shared" si="2"/>
        <v>13839</v>
      </c>
      <c r="M53" s="15">
        <v>1383</v>
      </c>
      <c r="N53" s="15">
        <f t="shared" si="4"/>
        <v>15222</v>
      </c>
      <c r="O53" s="5" t="s">
        <v>705</v>
      </c>
      <c r="P53" s="175" t="s">
        <v>2644</v>
      </c>
      <c r="Q53" s="68" t="s">
        <v>206</v>
      </c>
      <c r="R53" s="209"/>
      <c r="S53" s="7"/>
    </row>
    <row r="54" spans="1:19" ht="16.5" customHeight="1">
      <c r="A54" t="s">
        <v>64</v>
      </c>
      <c r="B54" s="10" t="s">
        <v>416</v>
      </c>
      <c r="C54" s="12"/>
      <c r="D54" s="13">
        <v>45663</v>
      </c>
      <c r="E54" s="155" t="s">
        <v>2632</v>
      </c>
      <c r="F54" s="155" t="s">
        <v>162</v>
      </c>
      <c r="G54" s="156" t="s">
        <v>98</v>
      </c>
      <c r="H54" s="156" t="s">
        <v>213</v>
      </c>
      <c r="I54" s="69" t="s">
        <v>550</v>
      </c>
      <c r="J54" s="122">
        <v>1</v>
      </c>
      <c r="K54" s="15">
        <v>1060000</v>
      </c>
      <c r="L54" s="16">
        <f t="shared" si="2"/>
        <v>1060000</v>
      </c>
      <c r="M54" s="16">
        <f>L54*10%</f>
        <v>106000</v>
      </c>
      <c r="N54" s="15">
        <f t="shared" si="4"/>
        <v>1166000</v>
      </c>
      <c r="O54" s="5" t="s">
        <v>1141</v>
      </c>
      <c r="P54" s="9" t="s">
        <v>2634</v>
      </c>
      <c r="Q54" s="5">
        <v>45662</v>
      </c>
      <c r="R54" s="209"/>
    </row>
    <row r="55" spans="1:19" ht="16.5" customHeight="1">
      <c r="A55" t="s">
        <v>64</v>
      </c>
      <c r="B55" s="10" t="s">
        <v>555</v>
      </c>
      <c r="C55" s="12"/>
      <c r="D55" s="13">
        <v>45663</v>
      </c>
      <c r="E55" s="155" t="s">
        <v>2633</v>
      </c>
      <c r="F55" s="155" t="s">
        <v>553</v>
      </c>
      <c r="G55" s="156" t="s">
        <v>98</v>
      </c>
      <c r="H55" s="156" t="s">
        <v>143</v>
      </c>
      <c r="I55" s="69" t="s">
        <v>554</v>
      </c>
      <c r="J55" s="122">
        <v>1</v>
      </c>
      <c r="K55" s="15">
        <v>862260</v>
      </c>
      <c r="L55" s="16">
        <f t="shared" si="2"/>
        <v>862260</v>
      </c>
      <c r="M55" s="16">
        <f>L55*10%</f>
        <v>86226</v>
      </c>
      <c r="N55" s="15">
        <f t="shared" si="4"/>
        <v>948486</v>
      </c>
      <c r="O55" s="5" t="s">
        <v>1141</v>
      </c>
      <c r="P55" s="9" t="s">
        <v>2636</v>
      </c>
      <c r="Q55" s="5">
        <v>45663</v>
      </c>
      <c r="R55" s="213"/>
    </row>
    <row r="56" spans="1:19" ht="16.5" customHeight="1">
      <c r="A56" t="s">
        <v>64</v>
      </c>
      <c r="B56" s="10" t="s">
        <v>656</v>
      </c>
      <c r="C56" s="12"/>
      <c r="D56" s="13">
        <v>45663</v>
      </c>
      <c r="E56" s="155" t="s">
        <v>33</v>
      </c>
      <c r="F56" s="155" t="s">
        <v>660</v>
      </c>
      <c r="G56" s="156" t="s">
        <v>41</v>
      </c>
      <c r="H56" s="156" t="s">
        <v>664</v>
      </c>
      <c r="I56" s="69" t="s">
        <v>665</v>
      </c>
      <c r="J56" s="122">
        <v>1</v>
      </c>
      <c r="K56" s="15">
        <v>250000</v>
      </c>
      <c r="L56" s="16">
        <f t="shared" si="2"/>
        <v>250000</v>
      </c>
      <c r="M56" s="16">
        <f>L56*10%</f>
        <v>25000</v>
      </c>
      <c r="N56" s="15">
        <f t="shared" si="4"/>
        <v>275000</v>
      </c>
      <c r="O56" s="5" t="s">
        <v>1542</v>
      </c>
      <c r="P56" s="9" t="s">
        <v>2636</v>
      </c>
      <c r="Q56" s="5">
        <v>45672</v>
      </c>
      <c r="R56" s="209"/>
    </row>
    <row r="57" spans="1:19" ht="16.5" customHeight="1">
      <c r="A57" t="s">
        <v>64</v>
      </c>
      <c r="B57" s="10" t="s">
        <v>657</v>
      </c>
      <c r="C57" s="12"/>
      <c r="D57" s="13">
        <v>45663</v>
      </c>
      <c r="E57" s="155" t="s">
        <v>33</v>
      </c>
      <c r="F57" s="155" t="s">
        <v>661</v>
      </c>
      <c r="G57" s="156" t="s">
        <v>41</v>
      </c>
      <c r="H57" s="156" t="s">
        <v>666</v>
      </c>
      <c r="I57" s="69" t="s">
        <v>667</v>
      </c>
      <c r="J57" s="122">
        <v>1</v>
      </c>
      <c r="K57" s="15">
        <v>750000</v>
      </c>
      <c r="L57" s="16">
        <f t="shared" si="2"/>
        <v>750000</v>
      </c>
      <c r="M57" s="16">
        <f>L57*10%</f>
        <v>75000</v>
      </c>
      <c r="N57" s="15">
        <f t="shared" si="4"/>
        <v>825000</v>
      </c>
      <c r="O57" s="5" t="s">
        <v>1542</v>
      </c>
      <c r="P57" s="9" t="s">
        <v>2636</v>
      </c>
      <c r="Q57" s="5">
        <v>45681</v>
      </c>
      <c r="R57" s="209"/>
    </row>
    <row r="58" spans="1:19" ht="16.5" customHeight="1">
      <c r="A58" t="s">
        <v>64</v>
      </c>
      <c r="B58" s="10" t="s">
        <v>558</v>
      </c>
      <c r="C58" s="139"/>
      <c r="D58" s="13">
        <v>45664</v>
      </c>
      <c r="E58" s="155" t="s">
        <v>26</v>
      </c>
      <c r="F58" s="155" t="s">
        <v>559</v>
      </c>
      <c r="G58" s="156" t="s">
        <v>560</v>
      </c>
      <c r="H58" s="156" t="s">
        <v>561</v>
      </c>
      <c r="I58" s="69" t="s">
        <v>562</v>
      </c>
      <c r="J58" s="122">
        <v>1</v>
      </c>
      <c r="K58" s="15">
        <v>150000</v>
      </c>
      <c r="L58" s="16">
        <f t="shared" si="2"/>
        <v>150000</v>
      </c>
      <c r="M58" s="16">
        <f>L58*10%</f>
        <v>15000</v>
      </c>
      <c r="N58" s="15">
        <f t="shared" si="4"/>
        <v>165000</v>
      </c>
      <c r="O58" s="5" t="s">
        <v>563</v>
      </c>
      <c r="P58" s="200" t="s">
        <v>2635</v>
      </c>
      <c r="Q58" s="5">
        <v>45673</v>
      </c>
      <c r="R58" s="213"/>
    </row>
    <row r="59" spans="1:19" ht="16.5" customHeight="1">
      <c r="A59" t="s">
        <v>64</v>
      </c>
      <c r="B59" s="10" t="s">
        <v>630</v>
      </c>
      <c r="C59" s="139"/>
      <c r="D59" s="13">
        <v>45664</v>
      </c>
      <c r="E59" s="155" t="s">
        <v>564</v>
      </c>
      <c r="F59" s="155" t="s">
        <v>99</v>
      </c>
      <c r="G59" s="156" t="s">
        <v>560</v>
      </c>
      <c r="H59" s="156" t="s">
        <v>631</v>
      </c>
      <c r="I59" s="69" t="s">
        <v>565</v>
      </c>
      <c r="J59" s="122">
        <v>100</v>
      </c>
      <c r="K59" s="15">
        <f>53000/1.1</f>
        <v>48181.818181818177</v>
      </c>
      <c r="L59" s="16">
        <v>4818182</v>
      </c>
      <c r="M59" s="16">
        <v>481818</v>
      </c>
      <c r="N59" s="15">
        <f t="shared" si="4"/>
        <v>5300000</v>
      </c>
      <c r="O59" s="5" t="s">
        <v>1141</v>
      </c>
      <c r="P59" s="200" t="s">
        <v>2636</v>
      </c>
      <c r="Q59" s="5">
        <v>45677</v>
      </c>
      <c r="R59" s="213"/>
    </row>
    <row r="60" spans="1:19" ht="16.5" customHeight="1">
      <c r="A60" t="s">
        <v>64</v>
      </c>
      <c r="B60" s="10" t="s">
        <v>569</v>
      </c>
      <c r="C60" s="12"/>
      <c r="D60" s="13">
        <v>45665</v>
      </c>
      <c r="E60" s="155" t="s">
        <v>2632</v>
      </c>
      <c r="F60" s="155"/>
      <c r="G60" s="158" t="s">
        <v>7</v>
      </c>
      <c r="H60" s="156" t="s">
        <v>25</v>
      </c>
      <c r="I60" s="69" t="s">
        <v>566</v>
      </c>
      <c r="J60" s="122">
        <v>1</v>
      </c>
      <c r="K60" s="15">
        <v>10000000</v>
      </c>
      <c r="L60" s="16">
        <f t="shared" ref="L60:L83" si="5">J60*K60</f>
        <v>10000000</v>
      </c>
      <c r="M60" s="16">
        <f>L60*10%</f>
        <v>1000000</v>
      </c>
      <c r="N60" s="15">
        <f t="shared" si="4"/>
        <v>11000000</v>
      </c>
      <c r="O60" s="5" t="s">
        <v>1511</v>
      </c>
      <c r="P60" s="9" t="s">
        <v>2634</v>
      </c>
      <c r="Q60" s="5">
        <v>45657</v>
      </c>
      <c r="R60" s="209"/>
      <c r="S60" t="s">
        <v>861</v>
      </c>
    </row>
    <row r="61" spans="1:19" ht="16.5" customHeight="1">
      <c r="A61" t="s">
        <v>64</v>
      </c>
      <c r="B61" s="10" t="s">
        <v>482</v>
      </c>
      <c r="C61" s="12"/>
      <c r="D61" s="13">
        <v>45665</v>
      </c>
      <c r="E61" s="155" t="s">
        <v>2631</v>
      </c>
      <c r="F61" s="155" t="s">
        <v>498</v>
      </c>
      <c r="G61" s="158" t="s">
        <v>7</v>
      </c>
      <c r="H61" s="156" t="s">
        <v>497</v>
      </c>
      <c r="I61" s="69" t="s">
        <v>698</v>
      </c>
      <c r="J61" s="122">
        <v>1</v>
      </c>
      <c r="K61" s="15">
        <v>26000000</v>
      </c>
      <c r="L61" s="16">
        <f t="shared" si="5"/>
        <v>26000000</v>
      </c>
      <c r="M61" s="16">
        <f>L61*10%</f>
        <v>2600000</v>
      </c>
      <c r="N61" s="15">
        <f t="shared" si="4"/>
        <v>28600000</v>
      </c>
      <c r="O61" s="5" t="s">
        <v>701</v>
      </c>
      <c r="P61" s="9" t="s">
        <v>2636</v>
      </c>
      <c r="Q61" s="5">
        <v>45590</v>
      </c>
      <c r="R61" s="209"/>
    </row>
    <row r="62" spans="1:19" ht="16.5" customHeight="1">
      <c r="A62" t="s">
        <v>64</v>
      </c>
      <c r="B62" s="10" t="s">
        <v>572</v>
      </c>
      <c r="C62" s="12"/>
      <c r="D62" s="13">
        <v>45665</v>
      </c>
      <c r="E62" s="155" t="s">
        <v>26</v>
      </c>
      <c r="F62" s="155"/>
      <c r="G62" s="156" t="s">
        <v>573</v>
      </c>
      <c r="H62" s="156" t="s">
        <v>574</v>
      </c>
      <c r="I62" s="69" t="s">
        <v>575</v>
      </c>
      <c r="J62" s="122">
        <v>1</v>
      </c>
      <c r="K62" s="15">
        <v>90455</v>
      </c>
      <c r="L62" s="16">
        <f t="shared" si="5"/>
        <v>90455</v>
      </c>
      <c r="M62" s="16">
        <v>9045</v>
      </c>
      <c r="N62" s="15">
        <f t="shared" si="4"/>
        <v>99500</v>
      </c>
      <c r="O62" s="5" t="s">
        <v>200</v>
      </c>
      <c r="P62" s="9" t="s">
        <v>2643</v>
      </c>
      <c r="Q62" s="5" t="s">
        <v>572</v>
      </c>
      <c r="R62" s="213"/>
    </row>
    <row r="63" spans="1:19" ht="16.5" customHeight="1">
      <c r="B63" s="10" t="s">
        <v>104</v>
      </c>
      <c r="C63" s="12"/>
      <c r="D63" s="13">
        <v>45666</v>
      </c>
      <c r="E63" s="155" t="s">
        <v>2632</v>
      </c>
      <c r="F63" s="155" t="s">
        <v>924</v>
      </c>
      <c r="G63" s="156" t="s">
        <v>41</v>
      </c>
      <c r="H63" s="156" t="s">
        <v>923</v>
      </c>
      <c r="I63" s="69" t="s">
        <v>922</v>
      </c>
      <c r="J63" s="122">
        <v>1</v>
      </c>
      <c r="K63" s="15">
        <v>1490000</v>
      </c>
      <c r="L63" s="16">
        <f t="shared" si="5"/>
        <v>1490000</v>
      </c>
      <c r="M63" s="16">
        <f>L63*10%</f>
        <v>149000</v>
      </c>
      <c r="N63" s="15">
        <f t="shared" si="4"/>
        <v>1639000</v>
      </c>
      <c r="O63" s="5" t="s">
        <v>1141</v>
      </c>
      <c r="P63" s="9" t="s">
        <v>2634</v>
      </c>
      <c r="Q63" s="5">
        <v>45666</v>
      </c>
      <c r="R63" s="213"/>
    </row>
    <row r="64" spans="1:19" ht="16.5" customHeight="1">
      <c r="A64" t="s">
        <v>64</v>
      </c>
      <c r="B64" s="10" t="s">
        <v>419</v>
      </c>
      <c r="C64" s="12"/>
      <c r="D64" s="13">
        <v>45667</v>
      </c>
      <c r="E64" s="155" t="s">
        <v>164</v>
      </c>
      <c r="F64" s="155" t="s">
        <v>420</v>
      </c>
      <c r="G64" s="156" t="s">
        <v>98</v>
      </c>
      <c r="H64" s="156" t="s">
        <v>213</v>
      </c>
      <c r="I64" s="69" t="s">
        <v>402</v>
      </c>
      <c r="J64" s="122">
        <v>1</v>
      </c>
      <c r="K64" s="15">
        <v>155200</v>
      </c>
      <c r="L64" s="16">
        <f t="shared" si="5"/>
        <v>155200</v>
      </c>
      <c r="M64" s="16">
        <v>15520</v>
      </c>
      <c r="N64" s="15">
        <f>SUBTOTAL(9,L64:M64)</f>
        <v>170720</v>
      </c>
      <c r="O64" s="5" t="s">
        <v>1009</v>
      </c>
      <c r="P64" s="9" t="s">
        <v>2634</v>
      </c>
      <c r="Q64" s="5">
        <v>45658</v>
      </c>
      <c r="R64" s="209"/>
    </row>
    <row r="65" spans="1:21" ht="16.5" customHeight="1">
      <c r="A65" t="s">
        <v>64</v>
      </c>
      <c r="B65" s="10" t="s">
        <v>419</v>
      </c>
      <c r="C65" s="12"/>
      <c r="D65" s="13">
        <v>45667</v>
      </c>
      <c r="E65" s="155" t="s">
        <v>164</v>
      </c>
      <c r="F65" s="155" t="s">
        <v>420</v>
      </c>
      <c r="G65" s="156" t="s">
        <v>98</v>
      </c>
      <c r="H65" s="156" t="s">
        <v>213</v>
      </c>
      <c r="I65" s="69" t="s">
        <v>401</v>
      </c>
      <c r="J65" s="122">
        <v>1</v>
      </c>
      <c r="K65" s="15">
        <v>213400</v>
      </c>
      <c r="L65" s="16">
        <f t="shared" si="5"/>
        <v>213400</v>
      </c>
      <c r="M65" s="16">
        <v>21340</v>
      </c>
      <c r="N65" s="15">
        <f>SUBTOTAL(9,L65:M65)</f>
        <v>234740</v>
      </c>
      <c r="O65" s="5" t="s">
        <v>1009</v>
      </c>
      <c r="P65" s="9" t="s">
        <v>2634</v>
      </c>
      <c r="Q65" s="5">
        <v>45658</v>
      </c>
      <c r="R65" s="209"/>
    </row>
    <row r="66" spans="1:21" ht="16.5" customHeight="1">
      <c r="A66" t="s">
        <v>64</v>
      </c>
      <c r="B66" s="10" t="s">
        <v>418</v>
      </c>
      <c r="C66" s="12"/>
      <c r="D66" s="13">
        <v>45667</v>
      </c>
      <c r="E66" s="155" t="s">
        <v>164</v>
      </c>
      <c r="F66" s="155" t="s">
        <v>421</v>
      </c>
      <c r="G66" s="156" t="s">
        <v>98</v>
      </c>
      <c r="H66" s="156" t="s">
        <v>213</v>
      </c>
      <c r="I66" s="69" t="s">
        <v>402</v>
      </c>
      <c r="J66" s="122">
        <v>1</v>
      </c>
      <c r="K66" s="15">
        <v>77600</v>
      </c>
      <c r="L66" s="16">
        <f t="shared" si="5"/>
        <v>77600</v>
      </c>
      <c r="M66" s="16">
        <v>7760</v>
      </c>
      <c r="N66" s="15">
        <f>SUBTOTAL(9,L66:M66)</f>
        <v>85360</v>
      </c>
      <c r="O66" s="5" t="s">
        <v>1009</v>
      </c>
      <c r="P66" s="9" t="s">
        <v>2634</v>
      </c>
      <c r="Q66" s="5">
        <v>45658</v>
      </c>
      <c r="R66" s="209"/>
    </row>
    <row r="67" spans="1:21" ht="16.5" customHeight="1">
      <c r="A67" t="s">
        <v>64</v>
      </c>
      <c r="B67" s="10" t="s">
        <v>418</v>
      </c>
      <c r="C67" s="12"/>
      <c r="D67" s="13">
        <v>45667</v>
      </c>
      <c r="E67" s="155" t="s">
        <v>164</v>
      </c>
      <c r="F67" s="155" t="s">
        <v>421</v>
      </c>
      <c r="G67" s="156" t="s">
        <v>98</v>
      </c>
      <c r="H67" s="156" t="s">
        <v>213</v>
      </c>
      <c r="I67" s="69" t="s">
        <v>401</v>
      </c>
      <c r="J67" s="122">
        <v>1</v>
      </c>
      <c r="K67" s="15">
        <v>145500</v>
      </c>
      <c r="L67" s="16">
        <f t="shared" si="5"/>
        <v>145500</v>
      </c>
      <c r="M67" s="16">
        <v>14550</v>
      </c>
      <c r="N67" s="15">
        <f>SUBTOTAL(9,L67:M67)</f>
        <v>160050</v>
      </c>
      <c r="O67" s="5" t="s">
        <v>1009</v>
      </c>
      <c r="P67" s="9" t="s">
        <v>2634</v>
      </c>
      <c r="Q67" s="5">
        <v>45658</v>
      </c>
      <c r="R67" s="209"/>
    </row>
    <row r="68" spans="1:21" ht="16.5" customHeight="1">
      <c r="A68" t="s">
        <v>64</v>
      </c>
      <c r="B68" s="10" t="s">
        <v>658</v>
      </c>
      <c r="C68" s="12"/>
      <c r="D68" s="13">
        <v>45667</v>
      </c>
      <c r="E68" s="155" t="s">
        <v>33</v>
      </c>
      <c r="F68" s="155" t="s">
        <v>661</v>
      </c>
      <c r="G68" s="156" t="s">
        <v>41</v>
      </c>
      <c r="H68" s="156" t="s">
        <v>668</v>
      </c>
      <c r="I68" s="69" t="s">
        <v>669</v>
      </c>
      <c r="J68" s="122">
        <v>2</v>
      </c>
      <c r="K68" s="15">
        <v>80000</v>
      </c>
      <c r="L68" s="16">
        <f t="shared" si="5"/>
        <v>160000</v>
      </c>
      <c r="M68" s="16">
        <f>L68*10%</f>
        <v>16000</v>
      </c>
      <c r="N68" s="15">
        <f t="shared" ref="N68:N84" si="6">SUM(L68:M68)</f>
        <v>176000</v>
      </c>
      <c r="O68" s="5" t="s">
        <v>1542</v>
      </c>
      <c r="P68" s="9" t="s">
        <v>2636</v>
      </c>
      <c r="Q68" s="5">
        <v>45681</v>
      </c>
      <c r="R68" s="209"/>
    </row>
    <row r="69" spans="1:21" ht="16.5" customHeight="1">
      <c r="A69" t="s">
        <v>64</v>
      </c>
      <c r="B69" s="10" t="s">
        <v>612</v>
      </c>
      <c r="C69" s="12"/>
      <c r="D69" s="13">
        <v>45670</v>
      </c>
      <c r="E69" s="155" t="s">
        <v>26</v>
      </c>
      <c r="F69" s="155" t="s">
        <v>94</v>
      </c>
      <c r="G69" s="156" t="s">
        <v>41</v>
      </c>
      <c r="H69" s="156" t="s">
        <v>455</v>
      </c>
      <c r="I69" s="69" t="s">
        <v>613</v>
      </c>
      <c r="J69" s="122">
        <v>1</v>
      </c>
      <c r="K69" s="15">
        <f>217300/1.1</f>
        <v>197545.45454545453</v>
      </c>
      <c r="L69" s="16">
        <f t="shared" si="5"/>
        <v>197545.45454545453</v>
      </c>
      <c r="M69" s="16">
        <v>19755</v>
      </c>
      <c r="N69" s="15">
        <f t="shared" si="6"/>
        <v>217300.45454545453</v>
      </c>
      <c r="O69" s="5" t="s">
        <v>203</v>
      </c>
      <c r="P69" s="9" t="s">
        <v>2635</v>
      </c>
      <c r="Q69" s="5">
        <v>45673</v>
      </c>
      <c r="R69" s="213"/>
    </row>
    <row r="70" spans="1:21" ht="16.5" customHeight="1">
      <c r="A70" t="s">
        <v>64</v>
      </c>
      <c r="B70" s="10" t="s">
        <v>659</v>
      </c>
      <c r="C70" s="12"/>
      <c r="D70" s="13">
        <v>45670</v>
      </c>
      <c r="E70" s="155" t="s">
        <v>33</v>
      </c>
      <c r="F70" s="155" t="s">
        <v>661</v>
      </c>
      <c r="G70" s="156" t="s">
        <v>41</v>
      </c>
      <c r="H70" s="156" t="s">
        <v>670</v>
      </c>
      <c r="I70" s="69" t="s">
        <v>671</v>
      </c>
      <c r="J70" s="122">
        <v>2</v>
      </c>
      <c r="K70" s="15">
        <v>120000</v>
      </c>
      <c r="L70" s="16">
        <f t="shared" si="5"/>
        <v>240000</v>
      </c>
      <c r="M70" s="16">
        <f t="shared" ref="M70:M79" si="7">L70*10%</f>
        <v>24000</v>
      </c>
      <c r="N70" s="15">
        <f t="shared" si="6"/>
        <v>264000</v>
      </c>
      <c r="O70" s="5" t="s">
        <v>1542</v>
      </c>
      <c r="P70" s="9" t="s">
        <v>2636</v>
      </c>
      <c r="Q70" s="5">
        <v>45681</v>
      </c>
      <c r="R70" s="209"/>
    </row>
    <row r="71" spans="1:21" ht="16.5" customHeight="1">
      <c r="A71" t="s">
        <v>64</v>
      </c>
      <c r="B71" s="10" t="s">
        <v>104</v>
      </c>
      <c r="C71" s="12"/>
      <c r="D71" s="13">
        <v>45671</v>
      </c>
      <c r="E71" s="155" t="s">
        <v>2632</v>
      </c>
      <c r="F71" s="155" t="s">
        <v>417</v>
      </c>
      <c r="G71" s="156" t="s">
        <v>41</v>
      </c>
      <c r="H71" s="156" t="s">
        <v>576</v>
      </c>
      <c r="I71" s="69" t="s">
        <v>577</v>
      </c>
      <c r="J71" s="122">
        <v>1</v>
      </c>
      <c r="K71" s="15">
        <v>2227000</v>
      </c>
      <c r="L71" s="16">
        <f t="shared" si="5"/>
        <v>2227000</v>
      </c>
      <c r="M71" s="16">
        <f t="shared" si="7"/>
        <v>222700</v>
      </c>
      <c r="N71" s="15">
        <f t="shared" si="6"/>
        <v>2449700</v>
      </c>
      <c r="O71" s="5" t="s">
        <v>1141</v>
      </c>
      <c r="P71" s="9" t="s">
        <v>2634</v>
      </c>
      <c r="Q71" s="5">
        <v>45702</v>
      </c>
      <c r="R71" s="213"/>
    </row>
    <row r="72" spans="1:21" ht="16.5" customHeight="1">
      <c r="A72" t="s">
        <v>64</v>
      </c>
      <c r="B72" s="10" t="s">
        <v>496</v>
      </c>
      <c r="C72" s="12"/>
      <c r="D72" s="13">
        <v>45671</v>
      </c>
      <c r="E72" s="155" t="s">
        <v>2630</v>
      </c>
      <c r="F72" s="218"/>
      <c r="G72" s="156" t="s">
        <v>118</v>
      </c>
      <c r="H72" s="156" t="s">
        <v>497</v>
      </c>
      <c r="I72" s="69" t="s">
        <v>493</v>
      </c>
      <c r="J72" s="124">
        <v>1</v>
      </c>
      <c r="K72" s="15">
        <v>15000000</v>
      </c>
      <c r="L72" s="16">
        <f t="shared" si="5"/>
        <v>15000000</v>
      </c>
      <c r="M72" s="16">
        <f t="shared" si="7"/>
        <v>1500000</v>
      </c>
      <c r="N72" s="15">
        <f t="shared" si="6"/>
        <v>16500000</v>
      </c>
      <c r="O72" s="5" t="s">
        <v>621</v>
      </c>
      <c r="P72" s="9" t="s">
        <v>2634</v>
      </c>
      <c r="Q72" s="5" t="s">
        <v>587</v>
      </c>
      <c r="R72" s="213"/>
      <c r="S72" t="s">
        <v>861</v>
      </c>
    </row>
    <row r="73" spans="1:21" ht="16.5" customHeight="1">
      <c r="A73" t="s">
        <v>64</v>
      </c>
      <c r="B73" s="10" t="s">
        <v>625</v>
      </c>
      <c r="C73" s="12"/>
      <c r="D73" s="13">
        <v>45671</v>
      </c>
      <c r="E73" s="155" t="s">
        <v>623</v>
      </c>
      <c r="F73" s="155" t="s">
        <v>2629</v>
      </c>
      <c r="G73" s="156" t="s">
        <v>41</v>
      </c>
      <c r="H73" s="156" t="s">
        <v>626</v>
      </c>
      <c r="I73" s="69" t="s">
        <v>624</v>
      </c>
      <c r="J73" s="122">
        <v>1</v>
      </c>
      <c r="K73" s="15">
        <v>1950000</v>
      </c>
      <c r="L73" s="16">
        <f t="shared" si="5"/>
        <v>1950000</v>
      </c>
      <c r="M73" s="16">
        <f t="shared" si="7"/>
        <v>195000</v>
      </c>
      <c r="N73" s="15">
        <f t="shared" si="6"/>
        <v>2145000</v>
      </c>
      <c r="O73" s="5" t="s">
        <v>1141</v>
      </c>
      <c r="P73" s="9" t="s">
        <v>2636</v>
      </c>
      <c r="Q73" s="5">
        <v>45681</v>
      </c>
      <c r="R73" s="213"/>
    </row>
    <row r="74" spans="1:21" ht="16.5" customHeight="1">
      <c r="A74" t="s">
        <v>64</v>
      </c>
      <c r="B74" s="10" t="s">
        <v>611</v>
      </c>
      <c r="C74" s="12"/>
      <c r="D74" s="13">
        <v>45671</v>
      </c>
      <c r="E74" s="155" t="s">
        <v>26</v>
      </c>
      <c r="F74" s="155" t="s">
        <v>423</v>
      </c>
      <c r="G74" s="156" t="s">
        <v>609</v>
      </c>
      <c r="H74" s="156" t="s">
        <v>610</v>
      </c>
      <c r="I74" s="69" t="s">
        <v>608</v>
      </c>
      <c r="J74" s="122">
        <v>1</v>
      </c>
      <c r="K74" s="15">
        <f>164000/1.1</f>
        <v>149090.90909090909</v>
      </c>
      <c r="L74" s="16">
        <f t="shared" si="5"/>
        <v>149090.90909090909</v>
      </c>
      <c r="M74" s="16">
        <f t="shared" si="7"/>
        <v>14909.09090909091</v>
      </c>
      <c r="N74" s="15">
        <f t="shared" si="6"/>
        <v>164000</v>
      </c>
      <c r="O74" s="5" t="s">
        <v>607</v>
      </c>
      <c r="P74" s="9" t="s">
        <v>2635</v>
      </c>
      <c r="Q74" s="5">
        <v>45679</v>
      </c>
      <c r="R74" s="213"/>
    </row>
    <row r="75" spans="1:21" ht="16.5" customHeight="1">
      <c r="A75" t="s">
        <v>64</v>
      </c>
      <c r="B75" s="143" t="s">
        <v>96</v>
      </c>
      <c r="C75" s="144"/>
      <c r="D75" s="13">
        <v>45672</v>
      </c>
      <c r="E75" s="161" t="s">
        <v>19</v>
      </c>
      <c r="F75" s="155" t="s">
        <v>97</v>
      </c>
      <c r="G75" s="156" t="s">
        <v>7</v>
      </c>
      <c r="H75" s="156" t="s">
        <v>25</v>
      </c>
      <c r="I75" s="69" t="s">
        <v>2114</v>
      </c>
      <c r="J75" s="122">
        <v>1</v>
      </c>
      <c r="K75" s="15">
        <v>200000</v>
      </c>
      <c r="L75" s="15">
        <f t="shared" si="5"/>
        <v>200000</v>
      </c>
      <c r="M75" s="16">
        <f t="shared" si="7"/>
        <v>20000</v>
      </c>
      <c r="N75" s="15">
        <f t="shared" si="6"/>
        <v>220000</v>
      </c>
      <c r="O75" s="5" t="s">
        <v>1542</v>
      </c>
      <c r="P75" s="9" t="s">
        <v>2636</v>
      </c>
      <c r="Q75" s="5">
        <v>45658</v>
      </c>
      <c r="R75" s="210"/>
      <c r="S75" s="7"/>
      <c r="T75" s="7"/>
      <c r="U75" s="11"/>
    </row>
    <row r="76" spans="1:21" ht="16.5" customHeight="1">
      <c r="A76" t="s">
        <v>64</v>
      </c>
      <c r="B76" s="10" t="s">
        <v>672</v>
      </c>
      <c r="C76" s="12"/>
      <c r="D76" s="13">
        <v>45672</v>
      </c>
      <c r="E76" s="155" t="s">
        <v>33</v>
      </c>
      <c r="F76" s="155" t="s">
        <v>678</v>
      </c>
      <c r="G76" s="156" t="s">
        <v>41</v>
      </c>
      <c r="H76" s="156" t="s">
        <v>674</v>
      </c>
      <c r="I76" s="69" t="s">
        <v>675</v>
      </c>
      <c r="J76" s="122">
        <v>2</v>
      </c>
      <c r="K76" s="15">
        <v>100000</v>
      </c>
      <c r="L76" s="16">
        <f t="shared" si="5"/>
        <v>200000</v>
      </c>
      <c r="M76" s="16">
        <f t="shared" si="7"/>
        <v>20000</v>
      </c>
      <c r="N76" s="15">
        <f t="shared" si="6"/>
        <v>220000</v>
      </c>
      <c r="O76" s="5" t="s">
        <v>1542</v>
      </c>
      <c r="P76" s="9" t="s">
        <v>2636</v>
      </c>
      <c r="Q76" s="5">
        <v>45681</v>
      </c>
      <c r="R76" s="209"/>
    </row>
    <row r="77" spans="1:21" ht="16.5" customHeight="1">
      <c r="A77" t="s">
        <v>64</v>
      </c>
      <c r="B77" s="10" t="s">
        <v>627</v>
      </c>
      <c r="C77" s="12"/>
      <c r="D77" s="13">
        <v>45673</v>
      </c>
      <c r="E77" s="155" t="s">
        <v>623</v>
      </c>
      <c r="F77" s="155" t="s">
        <v>463</v>
      </c>
      <c r="G77" s="156" t="s">
        <v>41</v>
      </c>
      <c r="H77" s="156" t="s">
        <v>628</v>
      </c>
      <c r="I77" s="69" t="s">
        <v>629</v>
      </c>
      <c r="J77" s="122">
        <v>1</v>
      </c>
      <c r="K77" s="15">
        <v>550000</v>
      </c>
      <c r="L77" s="16">
        <f t="shared" si="5"/>
        <v>550000</v>
      </c>
      <c r="M77" s="16">
        <f t="shared" si="7"/>
        <v>55000</v>
      </c>
      <c r="N77" s="15">
        <f t="shared" si="6"/>
        <v>605000</v>
      </c>
      <c r="O77" s="5" t="s">
        <v>1141</v>
      </c>
      <c r="P77" s="9" t="s">
        <v>2636</v>
      </c>
      <c r="Q77" s="5">
        <v>45678</v>
      </c>
      <c r="R77" s="213"/>
    </row>
    <row r="78" spans="1:21" ht="16.5" customHeight="1">
      <c r="A78" t="s">
        <v>64</v>
      </c>
      <c r="B78" s="10" t="s">
        <v>673</v>
      </c>
      <c r="C78" s="12"/>
      <c r="D78" s="13">
        <v>45673</v>
      </c>
      <c r="E78" s="155" t="s">
        <v>33</v>
      </c>
      <c r="F78" s="155" t="s">
        <v>679</v>
      </c>
      <c r="G78" s="156" t="s">
        <v>41</v>
      </c>
      <c r="H78" s="156" t="s">
        <v>676</v>
      </c>
      <c r="I78" s="69" t="s">
        <v>677</v>
      </c>
      <c r="J78" s="122">
        <v>3</v>
      </c>
      <c r="K78" s="15">
        <v>200000</v>
      </c>
      <c r="L78" s="16">
        <f t="shared" si="5"/>
        <v>600000</v>
      </c>
      <c r="M78" s="16">
        <f t="shared" si="7"/>
        <v>60000</v>
      </c>
      <c r="N78" s="15">
        <f t="shared" si="6"/>
        <v>660000</v>
      </c>
      <c r="O78" s="5" t="s">
        <v>1542</v>
      </c>
      <c r="P78" s="9" t="s">
        <v>2636</v>
      </c>
      <c r="Q78" s="5">
        <v>45677</v>
      </c>
      <c r="R78" s="209"/>
    </row>
    <row r="79" spans="1:21" ht="16.5" customHeight="1">
      <c r="A79" t="s">
        <v>64</v>
      </c>
      <c r="B79" s="10" t="s">
        <v>680</v>
      </c>
      <c r="C79" s="12"/>
      <c r="D79" s="13">
        <v>45674</v>
      </c>
      <c r="E79" s="155" t="s">
        <v>33</v>
      </c>
      <c r="F79" s="155" t="s">
        <v>681</v>
      </c>
      <c r="G79" s="157" t="s">
        <v>98</v>
      </c>
      <c r="H79" s="156" t="s">
        <v>682</v>
      </c>
      <c r="I79" s="69" t="s">
        <v>683</v>
      </c>
      <c r="J79" s="122">
        <v>1</v>
      </c>
      <c r="K79" s="15">
        <v>80000</v>
      </c>
      <c r="L79" s="16">
        <f t="shared" si="5"/>
        <v>80000</v>
      </c>
      <c r="M79" s="16">
        <f t="shared" si="7"/>
        <v>8000</v>
      </c>
      <c r="N79" s="15">
        <f t="shared" si="6"/>
        <v>88000</v>
      </c>
      <c r="O79" s="5" t="s">
        <v>1542</v>
      </c>
      <c r="P79" s="9" t="s">
        <v>2636</v>
      </c>
      <c r="Q79" s="5" t="s">
        <v>684</v>
      </c>
      <c r="R79" s="209"/>
    </row>
    <row r="80" spans="1:21" ht="16.5" customHeight="1">
      <c r="A80" t="s">
        <v>64</v>
      </c>
      <c r="B80" s="10" t="s">
        <v>633</v>
      </c>
      <c r="C80" s="12"/>
      <c r="D80" s="13">
        <v>45674</v>
      </c>
      <c r="E80" s="155" t="s">
        <v>26</v>
      </c>
      <c r="F80" s="155" t="s">
        <v>634</v>
      </c>
      <c r="G80" s="156" t="s">
        <v>118</v>
      </c>
      <c r="H80" s="156" t="s">
        <v>635</v>
      </c>
      <c r="I80" s="69" t="s">
        <v>636</v>
      </c>
      <c r="J80" s="122">
        <v>1</v>
      </c>
      <c r="K80" s="15">
        <v>1096609</v>
      </c>
      <c r="L80" s="16">
        <f t="shared" si="5"/>
        <v>1096609</v>
      </c>
      <c r="M80" s="16">
        <v>109661</v>
      </c>
      <c r="N80" s="15">
        <f t="shared" si="6"/>
        <v>1206270</v>
      </c>
      <c r="O80" s="5" t="s">
        <v>205</v>
      </c>
      <c r="P80" s="9" t="s">
        <v>2635</v>
      </c>
      <c r="Q80" s="5">
        <v>45715</v>
      </c>
      <c r="R80" s="213"/>
    </row>
    <row r="81" spans="1:21" ht="16.5" customHeight="1">
      <c r="A81" t="s">
        <v>64</v>
      </c>
      <c r="B81" s="143" t="s">
        <v>210</v>
      </c>
      <c r="C81" s="144"/>
      <c r="D81" s="13">
        <v>45677</v>
      </c>
      <c r="E81" s="155" t="s">
        <v>211</v>
      </c>
      <c r="F81" s="155" t="s">
        <v>212</v>
      </c>
      <c r="G81" s="157" t="s">
        <v>98</v>
      </c>
      <c r="H81" s="157" t="s">
        <v>213</v>
      </c>
      <c r="I81" s="159" t="s">
        <v>637</v>
      </c>
      <c r="J81" s="127">
        <v>1</v>
      </c>
      <c r="K81" s="15">
        <v>370000</v>
      </c>
      <c r="L81" s="15">
        <f t="shared" si="5"/>
        <v>370000</v>
      </c>
      <c r="M81" s="123">
        <f>L81*10%</f>
        <v>37000</v>
      </c>
      <c r="N81" s="15">
        <f t="shared" si="6"/>
        <v>407000</v>
      </c>
      <c r="O81" s="5" t="s">
        <v>701</v>
      </c>
      <c r="P81" s="177" t="s">
        <v>2636</v>
      </c>
      <c r="Q81" s="5">
        <v>45677</v>
      </c>
      <c r="R81" s="211"/>
      <c r="S81" s="7"/>
      <c r="T81" s="11"/>
    </row>
    <row r="82" spans="1:21" ht="16.5" customHeight="1">
      <c r="B82" s="10" t="s">
        <v>651</v>
      </c>
      <c r="C82" s="12"/>
      <c r="D82" s="13">
        <v>45677</v>
      </c>
      <c r="E82" s="155" t="s">
        <v>652</v>
      </c>
      <c r="F82" s="155" t="s">
        <v>653</v>
      </c>
      <c r="G82" s="156" t="s">
        <v>648</v>
      </c>
      <c r="H82" s="156" t="s">
        <v>650</v>
      </c>
      <c r="I82" s="69" t="s">
        <v>654</v>
      </c>
      <c r="J82" s="122">
        <v>1</v>
      </c>
      <c r="K82" s="15">
        <v>4400000</v>
      </c>
      <c r="L82" s="16">
        <f t="shared" si="5"/>
        <v>4400000</v>
      </c>
      <c r="M82" s="16">
        <f>L82*10%</f>
        <v>440000</v>
      </c>
      <c r="N82" s="15">
        <f t="shared" si="6"/>
        <v>4840000</v>
      </c>
      <c r="O82" s="5" t="s">
        <v>1141</v>
      </c>
      <c r="P82" s="9" t="s">
        <v>2635</v>
      </c>
      <c r="Q82" s="5">
        <v>45715</v>
      </c>
      <c r="R82" s="209"/>
    </row>
    <row r="83" spans="1:21" ht="16.5" customHeight="1">
      <c r="A83" t="s">
        <v>64</v>
      </c>
      <c r="B83" s="10" t="s">
        <v>841</v>
      </c>
      <c r="C83" s="12"/>
      <c r="D83" s="13">
        <v>45677</v>
      </c>
      <c r="E83" s="155" t="s">
        <v>33</v>
      </c>
      <c r="F83" s="155" t="s">
        <v>327</v>
      </c>
      <c r="G83" s="156" t="s">
        <v>41</v>
      </c>
      <c r="H83" s="156" t="s">
        <v>836</v>
      </c>
      <c r="I83" s="69" t="s">
        <v>837</v>
      </c>
      <c r="J83" s="122">
        <v>6</v>
      </c>
      <c r="K83" s="15">
        <v>40000</v>
      </c>
      <c r="L83" s="16">
        <f t="shared" si="5"/>
        <v>240000</v>
      </c>
      <c r="M83" s="16">
        <f>L83*10%</f>
        <v>24000</v>
      </c>
      <c r="N83" s="15">
        <f t="shared" si="6"/>
        <v>264000</v>
      </c>
      <c r="O83" s="5" t="s">
        <v>1542</v>
      </c>
      <c r="P83" s="9" t="s">
        <v>2643</v>
      </c>
      <c r="Q83" s="5">
        <v>45701</v>
      </c>
      <c r="R83" s="213"/>
    </row>
    <row r="84" spans="1:21" ht="67.5">
      <c r="A84" t="s">
        <v>64</v>
      </c>
      <c r="B84" s="146" t="s">
        <v>144</v>
      </c>
      <c r="C84" s="12"/>
      <c r="D84" s="13">
        <v>45678</v>
      </c>
      <c r="E84" s="155" t="s">
        <v>371</v>
      </c>
      <c r="F84" s="155"/>
      <c r="G84" s="156" t="s">
        <v>30</v>
      </c>
      <c r="H84" s="156" t="s">
        <v>208</v>
      </c>
      <c r="I84" s="162" t="s">
        <v>556</v>
      </c>
      <c r="J84" s="122">
        <v>1</v>
      </c>
      <c r="K84" s="15">
        <v>1449770</v>
      </c>
      <c r="L84" s="16">
        <v>1695350</v>
      </c>
      <c r="M84" s="16" t="s">
        <v>144</v>
      </c>
      <c r="N84" s="15">
        <f t="shared" si="6"/>
        <v>1695350</v>
      </c>
      <c r="O84" s="197" t="s">
        <v>622</v>
      </c>
      <c r="P84" s="9" t="s">
        <v>2644</v>
      </c>
      <c r="Q84" s="5" t="s">
        <v>144</v>
      </c>
      <c r="R84" s="209" t="s">
        <v>340</v>
      </c>
    </row>
    <row r="85" spans="1:21" ht="16.5" customHeight="1">
      <c r="A85" t="s">
        <v>64</v>
      </c>
      <c r="B85" s="147" t="s">
        <v>144</v>
      </c>
      <c r="C85" s="145"/>
      <c r="D85" s="65"/>
      <c r="E85" s="160" t="s">
        <v>371</v>
      </c>
      <c r="F85" s="160"/>
      <c r="G85" s="156" t="s">
        <v>30</v>
      </c>
      <c r="H85" s="156" t="s">
        <v>208</v>
      </c>
      <c r="I85" s="159" t="s">
        <v>209</v>
      </c>
      <c r="J85" s="122">
        <v>1</v>
      </c>
      <c r="K85" s="15">
        <v>245580</v>
      </c>
      <c r="L85" s="125"/>
      <c r="M85" s="125"/>
      <c r="N85" s="126"/>
      <c r="O85" s="176"/>
      <c r="P85" s="176"/>
      <c r="Q85" s="99"/>
      <c r="R85" s="209"/>
    </row>
    <row r="86" spans="1:21" ht="16.5" customHeight="1">
      <c r="A86" t="s">
        <v>64</v>
      </c>
      <c r="B86" s="10" t="s">
        <v>685</v>
      </c>
      <c r="C86" s="12"/>
      <c r="D86" s="13">
        <v>45678</v>
      </c>
      <c r="E86" s="155" t="s">
        <v>686</v>
      </c>
      <c r="F86" s="155" t="s">
        <v>687</v>
      </c>
      <c r="G86" s="156" t="s">
        <v>41</v>
      </c>
      <c r="H86" s="156" t="s">
        <v>309</v>
      </c>
      <c r="I86" s="69" t="s">
        <v>688</v>
      </c>
      <c r="J86" s="122">
        <v>1</v>
      </c>
      <c r="K86" s="15">
        <v>800000</v>
      </c>
      <c r="L86" s="16">
        <f>J86*K86</f>
        <v>800000</v>
      </c>
      <c r="M86" s="16">
        <f>L86*10%</f>
        <v>80000</v>
      </c>
      <c r="N86" s="15">
        <f>SUM(L86:M86)</f>
        <v>880000</v>
      </c>
      <c r="O86" s="5" t="s">
        <v>1542</v>
      </c>
      <c r="P86" s="9" t="s">
        <v>2636</v>
      </c>
      <c r="Q86" s="5">
        <v>45675</v>
      </c>
      <c r="R86" s="213"/>
    </row>
    <row r="87" spans="1:21" ht="16.5" customHeight="1">
      <c r="A87" t="s">
        <v>64</v>
      </c>
      <c r="B87" s="10" t="s">
        <v>689</v>
      </c>
      <c r="C87" s="12"/>
      <c r="D87" s="13">
        <v>45679</v>
      </c>
      <c r="E87" s="155" t="s">
        <v>641</v>
      </c>
      <c r="F87" s="155" t="s">
        <v>642</v>
      </c>
      <c r="G87" s="156" t="s">
        <v>118</v>
      </c>
      <c r="H87" s="156" t="s">
        <v>643</v>
      </c>
      <c r="I87" s="69" t="s">
        <v>452</v>
      </c>
      <c r="J87" s="122">
        <v>1</v>
      </c>
      <c r="K87" s="15">
        <v>6212655</v>
      </c>
      <c r="L87" s="16">
        <f t="shared" ref="L87:L97" si="8">J87*K87</f>
        <v>6212655</v>
      </c>
      <c r="M87" s="16">
        <v>621265</v>
      </c>
      <c r="N87" s="15">
        <f t="shared" ref="N87:N98" si="9">SUM(L87:M87)</f>
        <v>6833920</v>
      </c>
      <c r="O87" s="5" t="s">
        <v>207</v>
      </c>
      <c r="P87" s="9" t="s">
        <v>2643</v>
      </c>
      <c r="Q87" s="5">
        <v>45701</v>
      </c>
      <c r="R87" s="213"/>
    </row>
    <row r="88" spans="1:21" ht="16.5" customHeight="1">
      <c r="A88" t="s">
        <v>64</v>
      </c>
      <c r="B88" s="10" t="s">
        <v>691</v>
      </c>
      <c r="C88" s="12"/>
      <c r="D88" s="13">
        <v>45679</v>
      </c>
      <c r="E88" s="155" t="s">
        <v>652</v>
      </c>
      <c r="F88" s="155" t="s">
        <v>327</v>
      </c>
      <c r="G88" s="156" t="s">
        <v>648</v>
      </c>
      <c r="H88" s="156" t="s">
        <v>693</v>
      </c>
      <c r="I88" s="69" t="s">
        <v>692</v>
      </c>
      <c r="J88" s="122">
        <v>1</v>
      </c>
      <c r="K88" s="15">
        <v>90000</v>
      </c>
      <c r="L88" s="16">
        <f t="shared" si="8"/>
        <v>90000</v>
      </c>
      <c r="M88" s="16">
        <f t="shared" ref="M88:M93" si="10">L88*10%</f>
        <v>9000</v>
      </c>
      <c r="N88" s="15">
        <f t="shared" si="9"/>
        <v>99000</v>
      </c>
      <c r="O88" s="5" t="s">
        <v>1141</v>
      </c>
      <c r="P88" s="9" t="s">
        <v>2643</v>
      </c>
      <c r="Q88" s="5">
        <v>45701</v>
      </c>
      <c r="R88" s="213"/>
    </row>
    <row r="89" spans="1:21" ht="16.5" customHeight="1">
      <c r="A89" t="s">
        <v>64</v>
      </c>
      <c r="B89" s="141" t="s">
        <v>285</v>
      </c>
      <c r="C89" s="144"/>
      <c r="D89" s="13">
        <v>45679</v>
      </c>
      <c r="E89" s="155" t="s">
        <v>286</v>
      </c>
      <c r="F89" s="164" t="s">
        <v>105</v>
      </c>
      <c r="G89" s="158" t="s">
        <v>7</v>
      </c>
      <c r="H89" s="165" t="s">
        <v>102</v>
      </c>
      <c r="I89" s="166" t="s">
        <v>2094</v>
      </c>
      <c r="J89" s="127">
        <v>1</v>
      </c>
      <c r="K89" s="15">
        <v>600000</v>
      </c>
      <c r="L89" s="16">
        <f t="shared" si="8"/>
        <v>600000</v>
      </c>
      <c r="M89" s="16">
        <f t="shared" si="10"/>
        <v>60000</v>
      </c>
      <c r="N89" s="15">
        <f t="shared" si="9"/>
        <v>660000</v>
      </c>
      <c r="O89" s="5" t="s">
        <v>1141</v>
      </c>
      <c r="P89" s="9" t="s">
        <v>2634</v>
      </c>
      <c r="Q89" s="5">
        <v>45681</v>
      </c>
      <c r="R89" s="209"/>
      <c r="T89" s="11"/>
    </row>
    <row r="90" spans="1:21" ht="16.5" customHeight="1">
      <c r="A90" t="s">
        <v>64</v>
      </c>
      <c r="B90" s="10" t="s">
        <v>491</v>
      </c>
      <c r="C90" s="12"/>
      <c r="D90" s="13">
        <v>45680</v>
      </c>
      <c r="E90" s="155" t="s">
        <v>31</v>
      </c>
      <c r="F90" s="155" t="s">
        <v>1048</v>
      </c>
      <c r="G90" s="156" t="s">
        <v>98</v>
      </c>
      <c r="H90" s="156" t="s">
        <v>102</v>
      </c>
      <c r="I90" s="69" t="s">
        <v>646</v>
      </c>
      <c r="J90" s="122">
        <v>1</v>
      </c>
      <c r="K90" s="15">
        <v>500000</v>
      </c>
      <c r="L90" s="16">
        <f t="shared" si="8"/>
        <v>500000</v>
      </c>
      <c r="M90" s="16">
        <f t="shared" si="10"/>
        <v>50000</v>
      </c>
      <c r="N90" s="15">
        <f t="shared" si="9"/>
        <v>550000</v>
      </c>
      <c r="O90" s="5" t="s">
        <v>1542</v>
      </c>
      <c r="P90" s="9" t="s">
        <v>2636</v>
      </c>
      <c r="Q90" s="5">
        <v>45636</v>
      </c>
      <c r="R90" s="209" t="s">
        <v>647</v>
      </c>
    </row>
    <row r="91" spans="1:21" ht="16.5" customHeight="1">
      <c r="B91" s="10" t="s">
        <v>1013</v>
      </c>
      <c r="C91" s="12"/>
      <c r="D91" s="13">
        <v>45680</v>
      </c>
      <c r="E91" s="155" t="s">
        <v>33</v>
      </c>
      <c r="F91" s="155" t="s">
        <v>840</v>
      </c>
      <c r="G91" s="156" t="s">
        <v>41</v>
      </c>
      <c r="H91" s="156" t="s">
        <v>838</v>
      </c>
      <c r="I91" s="69" t="s">
        <v>839</v>
      </c>
      <c r="J91" s="122">
        <v>3</v>
      </c>
      <c r="K91" s="15">
        <v>80000</v>
      </c>
      <c r="L91" s="16">
        <f t="shared" si="8"/>
        <v>240000</v>
      </c>
      <c r="M91" s="16">
        <f t="shared" si="10"/>
        <v>24000</v>
      </c>
      <c r="N91" s="15">
        <f t="shared" si="9"/>
        <v>264000</v>
      </c>
      <c r="O91" s="5" t="s">
        <v>1542</v>
      </c>
      <c r="P91" s="9" t="s">
        <v>2636</v>
      </c>
      <c r="Q91" s="5">
        <v>45715</v>
      </c>
      <c r="R91" s="213"/>
    </row>
    <row r="92" spans="1:21" ht="16.5" customHeight="1">
      <c r="A92" t="s">
        <v>64</v>
      </c>
      <c r="B92" s="10" t="s">
        <v>307</v>
      </c>
      <c r="C92" s="12"/>
      <c r="D92" s="13">
        <v>45681</v>
      </c>
      <c r="E92" s="155" t="s">
        <v>2631</v>
      </c>
      <c r="F92" s="155" t="s">
        <v>288</v>
      </c>
      <c r="G92" s="156" t="s">
        <v>7</v>
      </c>
      <c r="H92" s="156" t="s">
        <v>102</v>
      </c>
      <c r="I92" s="69" t="s">
        <v>699</v>
      </c>
      <c r="J92" s="122">
        <v>1</v>
      </c>
      <c r="K92" s="15">
        <v>4950000</v>
      </c>
      <c r="L92" s="16">
        <f t="shared" si="8"/>
        <v>4950000</v>
      </c>
      <c r="M92" s="15">
        <f t="shared" si="10"/>
        <v>495000</v>
      </c>
      <c r="N92" s="15">
        <f t="shared" si="9"/>
        <v>5445000</v>
      </c>
      <c r="O92" s="5" t="s">
        <v>1746</v>
      </c>
      <c r="P92" s="174" t="s">
        <v>2636</v>
      </c>
      <c r="Q92" s="5">
        <v>45681</v>
      </c>
      <c r="R92" s="209"/>
    </row>
    <row r="93" spans="1:21" ht="16.5" customHeight="1">
      <c r="A93" t="s">
        <v>64</v>
      </c>
      <c r="B93" s="10" t="s">
        <v>144</v>
      </c>
      <c r="C93" s="12"/>
      <c r="D93" s="13">
        <v>45681</v>
      </c>
      <c r="E93" s="155" t="s">
        <v>400</v>
      </c>
      <c r="F93" s="155"/>
      <c r="G93" s="156" t="s">
        <v>30</v>
      </c>
      <c r="H93" s="156" t="s">
        <v>145</v>
      </c>
      <c r="I93" s="69" t="s">
        <v>700</v>
      </c>
      <c r="J93" s="122">
        <v>1</v>
      </c>
      <c r="K93" s="16">
        <v>160000</v>
      </c>
      <c r="L93" s="16">
        <f t="shared" si="8"/>
        <v>160000</v>
      </c>
      <c r="M93" s="123">
        <f t="shared" si="10"/>
        <v>16000</v>
      </c>
      <c r="N93" s="15">
        <f t="shared" si="9"/>
        <v>176000</v>
      </c>
      <c r="O93" s="5" t="s">
        <v>701</v>
      </c>
      <c r="P93" s="177" t="s">
        <v>2644</v>
      </c>
      <c r="Q93" s="5" t="s">
        <v>144</v>
      </c>
      <c r="R93" s="209"/>
    </row>
    <row r="94" spans="1:21" ht="16.5" customHeight="1">
      <c r="A94" t="s">
        <v>64</v>
      </c>
      <c r="B94" s="141" t="s">
        <v>144</v>
      </c>
      <c r="C94" s="148"/>
      <c r="D94" s="13">
        <v>45681</v>
      </c>
      <c r="E94" s="155" t="s">
        <v>21</v>
      </c>
      <c r="F94" s="155"/>
      <c r="G94" s="156" t="s">
        <v>30</v>
      </c>
      <c r="H94" s="156" t="s">
        <v>265</v>
      </c>
      <c r="I94" s="69" t="s">
        <v>2637</v>
      </c>
      <c r="J94" s="124">
        <v>1</v>
      </c>
      <c r="K94" s="16">
        <v>272727</v>
      </c>
      <c r="L94" s="16">
        <f t="shared" si="8"/>
        <v>272727</v>
      </c>
      <c r="M94" s="189">
        <v>27273</v>
      </c>
      <c r="N94" s="15">
        <f t="shared" si="9"/>
        <v>300000</v>
      </c>
      <c r="O94" s="5" t="s">
        <v>701</v>
      </c>
      <c r="P94" s="177" t="s">
        <v>2644</v>
      </c>
      <c r="Q94" s="68" t="s">
        <v>206</v>
      </c>
      <c r="R94" s="209" t="s">
        <v>339</v>
      </c>
      <c r="S94" s="7"/>
      <c r="T94" s="11"/>
    </row>
    <row r="95" spans="1:21" ht="16.5" customHeight="1">
      <c r="A95" t="s">
        <v>64</v>
      </c>
      <c r="B95" s="10" t="s">
        <v>1252</v>
      </c>
      <c r="C95" s="12"/>
      <c r="D95" s="13">
        <v>45681</v>
      </c>
      <c r="E95" s="155" t="s">
        <v>2629</v>
      </c>
      <c r="F95" s="155" t="s">
        <v>236</v>
      </c>
      <c r="G95" s="157" t="s">
        <v>98</v>
      </c>
      <c r="H95" s="156" t="s">
        <v>102</v>
      </c>
      <c r="I95" s="69" t="s">
        <v>713</v>
      </c>
      <c r="J95" s="122">
        <v>1</v>
      </c>
      <c r="K95" s="15">
        <v>250000</v>
      </c>
      <c r="L95" s="16">
        <f t="shared" si="8"/>
        <v>250000</v>
      </c>
      <c r="M95" s="16">
        <f>L95*10%</f>
        <v>25000</v>
      </c>
      <c r="N95" s="15">
        <f t="shared" si="9"/>
        <v>275000</v>
      </c>
      <c r="O95" s="5" t="s">
        <v>1542</v>
      </c>
      <c r="P95" s="9" t="s">
        <v>2636</v>
      </c>
      <c r="Q95" s="5">
        <v>45716</v>
      </c>
      <c r="R95" s="209"/>
      <c r="U95" s="11"/>
    </row>
    <row r="96" spans="1:21" ht="16.5" customHeight="1">
      <c r="A96" t="s">
        <v>64</v>
      </c>
      <c r="B96" s="141" t="s">
        <v>144</v>
      </c>
      <c r="C96" s="12"/>
      <c r="D96" s="13">
        <v>45681</v>
      </c>
      <c r="E96" s="155" t="s">
        <v>695</v>
      </c>
      <c r="F96" s="155"/>
      <c r="G96" s="156" t="s">
        <v>41</v>
      </c>
      <c r="H96" s="156" t="s">
        <v>1249</v>
      </c>
      <c r="I96" s="69" t="s">
        <v>696</v>
      </c>
      <c r="J96" s="122">
        <v>1</v>
      </c>
      <c r="K96" s="15">
        <v>3790000</v>
      </c>
      <c r="L96" s="16">
        <f t="shared" si="8"/>
        <v>3790000</v>
      </c>
      <c r="M96" s="16">
        <f>L96*10%</f>
        <v>379000</v>
      </c>
      <c r="N96" s="15">
        <f t="shared" si="9"/>
        <v>4169000</v>
      </c>
      <c r="O96" s="5" t="s">
        <v>1141</v>
      </c>
      <c r="P96" s="9" t="s">
        <v>2634</v>
      </c>
      <c r="Q96" s="5" t="s">
        <v>144</v>
      </c>
      <c r="R96" s="213"/>
    </row>
    <row r="97" spans="1:20" ht="16.5" customHeight="1">
      <c r="A97" t="s">
        <v>64</v>
      </c>
      <c r="B97" s="10" t="s">
        <v>312</v>
      </c>
      <c r="C97" s="12"/>
      <c r="D97" s="13">
        <v>45681</v>
      </c>
      <c r="E97" s="155" t="s">
        <v>155</v>
      </c>
      <c r="F97" s="155" t="s">
        <v>264</v>
      </c>
      <c r="G97" s="157" t="s">
        <v>98</v>
      </c>
      <c r="H97" s="156" t="s">
        <v>102</v>
      </c>
      <c r="I97" s="69" t="s">
        <v>717</v>
      </c>
      <c r="J97" s="122">
        <v>1</v>
      </c>
      <c r="K97" s="15">
        <v>200000</v>
      </c>
      <c r="L97" s="16">
        <f t="shared" si="8"/>
        <v>200000</v>
      </c>
      <c r="M97" s="16">
        <f>L97*10%</f>
        <v>20000</v>
      </c>
      <c r="N97" s="15">
        <f t="shared" si="9"/>
        <v>220000</v>
      </c>
      <c r="O97" s="5" t="s">
        <v>1141</v>
      </c>
      <c r="P97" s="9" t="s">
        <v>2634</v>
      </c>
      <c r="Q97" s="5">
        <v>45677</v>
      </c>
      <c r="R97" s="209"/>
      <c r="T97" s="11"/>
    </row>
    <row r="98" spans="1:20" ht="16.5" customHeight="1">
      <c r="A98" t="s">
        <v>64</v>
      </c>
      <c r="B98" s="10" t="s">
        <v>144</v>
      </c>
      <c r="C98" s="12"/>
      <c r="D98" s="13">
        <v>45682</v>
      </c>
      <c r="E98" s="155" t="s">
        <v>149</v>
      </c>
      <c r="F98" s="155"/>
      <c r="G98" s="156" t="s">
        <v>30</v>
      </c>
      <c r="H98" s="157" t="s">
        <v>208</v>
      </c>
      <c r="I98" s="69" t="s">
        <v>702</v>
      </c>
      <c r="J98" s="122">
        <v>1</v>
      </c>
      <c r="K98" s="15">
        <f>371000/1.1</f>
        <v>337272.72727272724</v>
      </c>
      <c r="L98" s="16">
        <v>437273</v>
      </c>
      <c r="M98" s="187">
        <v>43727</v>
      </c>
      <c r="N98" s="15">
        <f t="shared" si="9"/>
        <v>481000</v>
      </c>
      <c r="O98" s="5" t="s">
        <v>704</v>
      </c>
      <c r="P98" s="177" t="s">
        <v>2644</v>
      </c>
      <c r="Q98" s="5" t="s">
        <v>144</v>
      </c>
      <c r="R98" s="209" t="s">
        <v>339</v>
      </c>
    </row>
    <row r="99" spans="1:20" ht="16.5" customHeight="1">
      <c r="A99" t="s">
        <v>64</v>
      </c>
      <c r="B99" s="10" t="s">
        <v>144</v>
      </c>
      <c r="C99" s="145"/>
      <c r="D99" s="65"/>
      <c r="E99" s="160" t="s">
        <v>149</v>
      </c>
      <c r="F99" s="160"/>
      <c r="G99" s="156" t="s">
        <v>30</v>
      </c>
      <c r="H99" s="157" t="s">
        <v>208</v>
      </c>
      <c r="I99" s="69" t="s">
        <v>703</v>
      </c>
      <c r="J99" s="122">
        <v>1</v>
      </c>
      <c r="K99" s="15">
        <v>100000</v>
      </c>
      <c r="L99" s="125"/>
      <c r="M99" s="125"/>
      <c r="N99" s="126"/>
      <c r="O99" s="99" t="s">
        <v>263</v>
      </c>
      <c r="P99" s="176" t="s">
        <v>2644</v>
      </c>
      <c r="Q99" s="99" t="s">
        <v>144</v>
      </c>
      <c r="R99" s="209"/>
    </row>
    <row r="100" spans="1:20" ht="16.5" customHeight="1">
      <c r="A100" t="s">
        <v>64</v>
      </c>
      <c r="B100" s="10" t="s">
        <v>144</v>
      </c>
      <c r="C100" s="12"/>
      <c r="D100" s="13">
        <v>45682</v>
      </c>
      <c r="E100" s="155" t="s">
        <v>115</v>
      </c>
      <c r="F100" s="155"/>
      <c r="G100" s="156" t="s">
        <v>30</v>
      </c>
      <c r="H100" s="157" t="s">
        <v>208</v>
      </c>
      <c r="I100" s="69" t="s">
        <v>706</v>
      </c>
      <c r="J100" s="122">
        <v>1</v>
      </c>
      <c r="K100" s="15">
        <v>342614</v>
      </c>
      <c r="L100" s="16">
        <f t="shared" ref="L100:L123" si="11">J100*K100</f>
        <v>342614</v>
      </c>
      <c r="M100" s="187">
        <v>34261</v>
      </c>
      <c r="N100" s="15">
        <f t="shared" ref="N100:N124" si="12">SUM(L100:M100)</f>
        <v>376875</v>
      </c>
      <c r="O100" s="5" t="s">
        <v>705</v>
      </c>
      <c r="P100" s="177" t="s">
        <v>2644</v>
      </c>
      <c r="Q100" s="5" t="s">
        <v>144</v>
      </c>
      <c r="R100" s="209" t="s">
        <v>339</v>
      </c>
      <c r="S100" s="101"/>
      <c r="T100" s="11"/>
    </row>
    <row r="101" spans="1:20" ht="16.5" customHeight="1">
      <c r="A101" t="s">
        <v>64</v>
      </c>
      <c r="B101" s="10" t="s">
        <v>144</v>
      </c>
      <c r="C101" s="12"/>
      <c r="D101" s="13">
        <v>45682</v>
      </c>
      <c r="E101" s="155" t="s">
        <v>115</v>
      </c>
      <c r="F101" s="155"/>
      <c r="G101" s="156" t="s">
        <v>30</v>
      </c>
      <c r="H101" s="157" t="s">
        <v>208</v>
      </c>
      <c r="I101" s="69" t="s">
        <v>707</v>
      </c>
      <c r="J101" s="122">
        <v>1</v>
      </c>
      <c r="K101" s="15">
        <v>234659</v>
      </c>
      <c r="L101" s="16">
        <f t="shared" si="11"/>
        <v>234659</v>
      </c>
      <c r="M101" s="187">
        <v>23466</v>
      </c>
      <c r="N101" s="15">
        <f t="shared" si="12"/>
        <v>258125</v>
      </c>
      <c r="O101" s="5" t="s">
        <v>262</v>
      </c>
      <c r="P101" s="177" t="s">
        <v>2644</v>
      </c>
      <c r="Q101" s="5" t="s">
        <v>144</v>
      </c>
      <c r="R101" s="209" t="s">
        <v>339</v>
      </c>
      <c r="S101" s="101"/>
      <c r="T101" s="11"/>
    </row>
    <row r="102" spans="1:20" ht="16.5" customHeight="1">
      <c r="A102" t="s">
        <v>64</v>
      </c>
      <c r="B102" s="10" t="s">
        <v>144</v>
      </c>
      <c r="C102" s="12"/>
      <c r="D102" s="13">
        <v>45682</v>
      </c>
      <c r="E102" s="155" t="s">
        <v>115</v>
      </c>
      <c r="F102" s="155"/>
      <c r="G102" s="156" t="s">
        <v>30</v>
      </c>
      <c r="H102" s="157" t="s">
        <v>208</v>
      </c>
      <c r="I102" s="69" t="s">
        <v>708</v>
      </c>
      <c r="J102" s="122">
        <v>1</v>
      </c>
      <c r="K102" s="15">
        <v>488069</v>
      </c>
      <c r="L102" s="16">
        <f t="shared" si="11"/>
        <v>488069</v>
      </c>
      <c r="M102" s="187">
        <v>48806</v>
      </c>
      <c r="N102" s="15">
        <f t="shared" si="12"/>
        <v>536875</v>
      </c>
      <c r="O102" s="5" t="s">
        <v>705</v>
      </c>
      <c r="P102" s="177" t="s">
        <v>2644</v>
      </c>
      <c r="Q102" s="5" t="s">
        <v>144</v>
      </c>
      <c r="R102" s="209" t="s">
        <v>339</v>
      </c>
      <c r="S102" s="101"/>
      <c r="T102" s="11"/>
    </row>
    <row r="103" spans="1:20" ht="16.5" customHeight="1">
      <c r="A103" t="s">
        <v>64</v>
      </c>
      <c r="B103" s="10" t="s">
        <v>144</v>
      </c>
      <c r="C103" s="12"/>
      <c r="D103" s="13">
        <v>45682</v>
      </c>
      <c r="E103" s="155" t="s">
        <v>115</v>
      </c>
      <c r="F103" s="155"/>
      <c r="G103" s="156" t="s">
        <v>30</v>
      </c>
      <c r="H103" s="157" t="s">
        <v>208</v>
      </c>
      <c r="I103" s="69" t="s">
        <v>709</v>
      </c>
      <c r="J103" s="122">
        <v>1</v>
      </c>
      <c r="K103" s="15">
        <v>307386</v>
      </c>
      <c r="L103" s="16">
        <f t="shared" si="11"/>
        <v>307386</v>
      </c>
      <c r="M103" s="187">
        <v>30739</v>
      </c>
      <c r="N103" s="15">
        <f t="shared" si="12"/>
        <v>338125</v>
      </c>
      <c r="O103" s="5" t="s">
        <v>262</v>
      </c>
      <c r="P103" s="177" t="s">
        <v>2644</v>
      </c>
      <c r="Q103" s="5" t="s">
        <v>144</v>
      </c>
      <c r="R103" s="209" t="s">
        <v>339</v>
      </c>
      <c r="S103" s="101"/>
      <c r="T103" s="11"/>
    </row>
    <row r="104" spans="1:20" ht="16.5" customHeight="1">
      <c r="A104" t="s">
        <v>64</v>
      </c>
      <c r="B104" s="10" t="s">
        <v>1254</v>
      </c>
      <c r="C104" s="12"/>
      <c r="D104" s="13">
        <v>45684</v>
      </c>
      <c r="E104" s="155" t="s">
        <v>2633</v>
      </c>
      <c r="F104" s="155" t="s">
        <v>32</v>
      </c>
      <c r="G104" s="156" t="s">
        <v>98</v>
      </c>
      <c r="H104" s="156" t="s">
        <v>857</v>
      </c>
      <c r="I104" s="69" t="s">
        <v>856</v>
      </c>
      <c r="J104" s="122">
        <v>1</v>
      </c>
      <c r="K104" s="16">
        <v>7859914</v>
      </c>
      <c r="L104" s="16">
        <f t="shared" si="11"/>
        <v>7859914</v>
      </c>
      <c r="M104" s="16">
        <v>785991</v>
      </c>
      <c r="N104" s="15">
        <f t="shared" si="12"/>
        <v>8645905</v>
      </c>
      <c r="O104" s="5" t="s">
        <v>1141</v>
      </c>
      <c r="P104" s="174" t="s">
        <v>2636</v>
      </c>
      <c r="Q104" s="5" t="s">
        <v>858</v>
      </c>
      <c r="R104" s="209" t="s">
        <v>859</v>
      </c>
    </row>
    <row r="105" spans="1:20" ht="16.5" customHeight="1">
      <c r="A105" t="s">
        <v>64</v>
      </c>
      <c r="B105" s="141" t="s">
        <v>144</v>
      </c>
      <c r="C105" s="142"/>
      <c r="D105" s="13">
        <v>45688</v>
      </c>
      <c r="E105" s="155" t="s">
        <v>21</v>
      </c>
      <c r="F105" s="163"/>
      <c r="G105" s="156" t="s">
        <v>30</v>
      </c>
      <c r="H105" s="156" t="s">
        <v>35</v>
      </c>
      <c r="I105" s="69" t="s">
        <v>690</v>
      </c>
      <c r="J105" s="124">
        <v>1</v>
      </c>
      <c r="K105" s="16">
        <v>572701</v>
      </c>
      <c r="L105" s="16">
        <f t="shared" si="11"/>
        <v>572701</v>
      </c>
      <c r="M105" s="15">
        <v>57270</v>
      </c>
      <c r="N105" s="15">
        <f t="shared" si="12"/>
        <v>629971</v>
      </c>
      <c r="O105" s="5" t="s">
        <v>891</v>
      </c>
      <c r="P105" s="175" t="s">
        <v>2644</v>
      </c>
      <c r="Q105" s="68" t="s">
        <v>206</v>
      </c>
      <c r="R105" s="212"/>
      <c r="S105" s="7"/>
    </row>
    <row r="106" spans="1:20" ht="16.5" customHeight="1">
      <c r="A106" t="s">
        <v>64</v>
      </c>
      <c r="B106" s="141" t="s">
        <v>144</v>
      </c>
      <c r="C106" s="142"/>
      <c r="D106" s="13">
        <v>45688</v>
      </c>
      <c r="E106" s="155" t="s">
        <v>21</v>
      </c>
      <c r="F106" s="155"/>
      <c r="G106" s="156" t="s">
        <v>30</v>
      </c>
      <c r="H106" s="156" t="s">
        <v>35</v>
      </c>
      <c r="I106" s="69" t="s">
        <v>502</v>
      </c>
      <c r="J106" s="124">
        <v>1</v>
      </c>
      <c r="K106" s="16">
        <v>79417</v>
      </c>
      <c r="L106" s="16">
        <f t="shared" si="11"/>
        <v>79417</v>
      </c>
      <c r="M106" s="15" t="s">
        <v>144</v>
      </c>
      <c r="N106" s="15">
        <f t="shared" si="12"/>
        <v>79417</v>
      </c>
      <c r="O106" s="5" t="s">
        <v>891</v>
      </c>
      <c r="P106" s="175" t="s">
        <v>2644</v>
      </c>
      <c r="Q106" s="68" t="s">
        <v>206</v>
      </c>
      <c r="R106" s="212" t="s">
        <v>274</v>
      </c>
      <c r="S106" s="7"/>
    </row>
    <row r="107" spans="1:20" ht="16.5" customHeight="1">
      <c r="A107" t="s">
        <v>64</v>
      </c>
      <c r="B107" s="141" t="s">
        <v>144</v>
      </c>
      <c r="C107" s="12"/>
      <c r="D107" s="13">
        <v>45688</v>
      </c>
      <c r="E107" s="155" t="s">
        <v>275</v>
      </c>
      <c r="F107" s="155"/>
      <c r="G107" s="156" t="s">
        <v>30</v>
      </c>
      <c r="H107" s="156" t="s">
        <v>276</v>
      </c>
      <c r="I107" s="69" t="s">
        <v>323</v>
      </c>
      <c r="J107" s="122">
        <v>1</v>
      </c>
      <c r="K107" s="15">
        <v>80000</v>
      </c>
      <c r="L107" s="16">
        <f t="shared" si="11"/>
        <v>80000</v>
      </c>
      <c r="M107" s="16" t="s">
        <v>144</v>
      </c>
      <c r="N107" s="15">
        <f t="shared" si="12"/>
        <v>80000</v>
      </c>
      <c r="O107" s="5" t="s">
        <v>973</v>
      </c>
      <c r="P107" s="175" t="s">
        <v>2644</v>
      </c>
      <c r="Q107" s="100" t="s">
        <v>206</v>
      </c>
      <c r="R107" s="212" t="s">
        <v>274</v>
      </c>
    </row>
    <row r="108" spans="1:20" ht="16.5" customHeight="1">
      <c r="A108" t="s">
        <v>64</v>
      </c>
      <c r="B108" s="141" t="s">
        <v>144</v>
      </c>
      <c r="C108" s="142"/>
      <c r="D108" s="13">
        <v>45688</v>
      </c>
      <c r="E108" s="155" t="s">
        <v>177</v>
      </c>
      <c r="F108" s="155"/>
      <c r="G108" s="156" t="s">
        <v>41</v>
      </c>
      <c r="H108" s="156" t="s">
        <v>711</v>
      </c>
      <c r="I108" s="159" t="s">
        <v>712</v>
      </c>
      <c r="J108" s="124">
        <v>1</v>
      </c>
      <c r="K108" s="16">
        <v>5455</v>
      </c>
      <c r="L108" s="15">
        <f t="shared" si="11"/>
        <v>5455</v>
      </c>
      <c r="M108" s="15">
        <v>545</v>
      </c>
      <c r="N108" s="15">
        <f t="shared" si="12"/>
        <v>6000</v>
      </c>
      <c r="O108" s="5" t="s">
        <v>891</v>
      </c>
      <c r="P108" s="175" t="s">
        <v>2644</v>
      </c>
      <c r="Q108" s="68" t="s">
        <v>206</v>
      </c>
      <c r="R108" s="212"/>
      <c r="S108" s="7"/>
    </row>
    <row r="109" spans="1:20" ht="16.5" customHeight="1">
      <c r="A109" t="s">
        <v>64</v>
      </c>
      <c r="B109" s="10" t="s">
        <v>144</v>
      </c>
      <c r="C109" s="12"/>
      <c r="D109" s="13">
        <v>45683</v>
      </c>
      <c r="E109" s="155" t="s">
        <v>106</v>
      </c>
      <c r="F109" s="155"/>
      <c r="G109" s="156" t="s">
        <v>30</v>
      </c>
      <c r="H109" s="156" t="s">
        <v>282</v>
      </c>
      <c r="I109" s="69" t="s">
        <v>287</v>
      </c>
      <c r="J109" s="122">
        <v>3</v>
      </c>
      <c r="K109" s="15">
        <v>6000</v>
      </c>
      <c r="L109" s="16">
        <f t="shared" si="11"/>
        <v>18000</v>
      </c>
      <c r="M109" s="15">
        <f t="shared" ref="M109:M115" si="13">L109*10%</f>
        <v>1800</v>
      </c>
      <c r="N109" s="15">
        <f t="shared" si="12"/>
        <v>19800</v>
      </c>
      <c r="O109" s="5" t="s">
        <v>891</v>
      </c>
      <c r="P109" s="9" t="s">
        <v>2644</v>
      </c>
      <c r="Q109" s="5" t="s">
        <v>144</v>
      </c>
      <c r="R109" s="209"/>
      <c r="T109" s="11"/>
    </row>
    <row r="110" spans="1:20" ht="16.5" customHeight="1">
      <c r="A110" t="s">
        <v>64</v>
      </c>
      <c r="B110" s="10" t="s">
        <v>302</v>
      </c>
      <c r="C110" s="142"/>
      <c r="D110" s="13">
        <v>45688</v>
      </c>
      <c r="E110" s="155" t="s">
        <v>268</v>
      </c>
      <c r="F110" s="155" t="s">
        <v>266</v>
      </c>
      <c r="G110" s="157" t="s">
        <v>98</v>
      </c>
      <c r="H110" s="157" t="s">
        <v>213</v>
      </c>
      <c r="I110" s="69" t="s">
        <v>925</v>
      </c>
      <c r="J110" s="124">
        <v>1</v>
      </c>
      <c r="K110" s="16">
        <v>100000</v>
      </c>
      <c r="L110" s="15">
        <f t="shared" si="11"/>
        <v>100000</v>
      </c>
      <c r="M110" s="15">
        <f t="shared" si="13"/>
        <v>10000</v>
      </c>
      <c r="N110" s="15">
        <f t="shared" si="12"/>
        <v>110000</v>
      </c>
      <c r="O110" s="5" t="s">
        <v>1141</v>
      </c>
      <c r="P110" s="175" t="s">
        <v>2635</v>
      </c>
      <c r="Q110" s="5">
        <v>45681</v>
      </c>
      <c r="R110" s="212"/>
      <c r="S110" s="7"/>
      <c r="T110" s="11"/>
    </row>
    <row r="111" spans="1:20" ht="16.5" customHeight="1">
      <c r="A111" t="s">
        <v>64</v>
      </c>
      <c r="B111" s="140" t="s">
        <v>267</v>
      </c>
      <c r="C111" s="12"/>
      <c r="D111" s="13">
        <v>45688</v>
      </c>
      <c r="E111" s="155" t="s">
        <v>45</v>
      </c>
      <c r="F111" s="155" t="s">
        <v>345</v>
      </c>
      <c r="G111" s="157" t="s">
        <v>98</v>
      </c>
      <c r="H111" s="167" t="s">
        <v>213</v>
      </c>
      <c r="I111" s="69" t="s">
        <v>719</v>
      </c>
      <c r="J111" s="124">
        <v>1</v>
      </c>
      <c r="K111" s="16">
        <v>595000</v>
      </c>
      <c r="L111" s="15">
        <f t="shared" si="11"/>
        <v>595000</v>
      </c>
      <c r="M111" s="15">
        <f t="shared" si="13"/>
        <v>59500</v>
      </c>
      <c r="N111" s="15">
        <f t="shared" si="12"/>
        <v>654500</v>
      </c>
      <c r="O111" s="5" t="s">
        <v>1141</v>
      </c>
      <c r="P111" s="174" t="s">
        <v>2636</v>
      </c>
      <c r="Q111" s="5">
        <v>45681</v>
      </c>
      <c r="R111" s="211"/>
      <c r="S111" s="7"/>
      <c r="T111" s="11"/>
    </row>
    <row r="112" spans="1:20" ht="16.5" customHeight="1">
      <c r="A112" t="s">
        <v>64</v>
      </c>
      <c r="B112" s="140" t="s">
        <v>269</v>
      </c>
      <c r="C112" s="12"/>
      <c r="D112" s="13">
        <v>45688</v>
      </c>
      <c r="E112" s="155" t="s">
        <v>45</v>
      </c>
      <c r="F112" s="155" t="s">
        <v>345</v>
      </c>
      <c r="G112" s="157" t="s">
        <v>98</v>
      </c>
      <c r="H112" s="167" t="s">
        <v>213</v>
      </c>
      <c r="I112" s="69" t="s">
        <v>718</v>
      </c>
      <c r="J112" s="124">
        <v>1</v>
      </c>
      <c r="K112" s="188">
        <v>840000</v>
      </c>
      <c r="L112" s="15">
        <f t="shared" si="11"/>
        <v>840000</v>
      </c>
      <c r="M112" s="15">
        <f t="shared" si="13"/>
        <v>84000</v>
      </c>
      <c r="N112" s="15">
        <f t="shared" si="12"/>
        <v>924000</v>
      </c>
      <c r="O112" s="5" t="s">
        <v>1141</v>
      </c>
      <c r="P112" s="174" t="s">
        <v>2636</v>
      </c>
      <c r="Q112" s="5">
        <v>45681</v>
      </c>
      <c r="R112" s="211"/>
      <c r="S112" s="7"/>
      <c r="T112" s="11"/>
    </row>
    <row r="113" spans="1:20" ht="16.5" customHeight="1">
      <c r="A113" t="s">
        <v>64</v>
      </c>
      <c r="B113" s="10" t="s">
        <v>302</v>
      </c>
      <c r="C113" s="142"/>
      <c r="D113" s="13">
        <v>45688</v>
      </c>
      <c r="E113" s="155" t="s">
        <v>273</v>
      </c>
      <c r="F113" s="155" t="s">
        <v>266</v>
      </c>
      <c r="G113" s="157" t="s">
        <v>98</v>
      </c>
      <c r="H113" s="157" t="s">
        <v>102</v>
      </c>
      <c r="I113" s="69" t="s">
        <v>926</v>
      </c>
      <c r="J113" s="124">
        <v>1</v>
      </c>
      <c r="K113" s="16">
        <v>644700</v>
      </c>
      <c r="L113" s="16">
        <f t="shared" si="11"/>
        <v>644700</v>
      </c>
      <c r="M113" s="16">
        <f t="shared" si="13"/>
        <v>64470</v>
      </c>
      <c r="N113" s="15">
        <f t="shared" si="12"/>
        <v>709170</v>
      </c>
      <c r="O113" s="5" t="s">
        <v>1141</v>
      </c>
      <c r="P113" s="175" t="s">
        <v>2635</v>
      </c>
      <c r="Q113" s="5">
        <v>45681</v>
      </c>
      <c r="R113" s="212"/>
      <c r="S113" s="7"/>
      <c r="T113" s="11"/>
    </row>
    <row r="114" spans="1:20" ht="16.5" customHeight="1">
      <c r="A114" t="s">
        <v>64</v>
      </c>
      <c r="B114" s="10" t="s">
        <v>415</v>
      </c>
      <c r="C114" s="142"/>
      <c r="D114" s="13">
        <v>45688</v>
      </c>
      <c r="E114" s="155" t="s">
        <v>272</v>
      </c>
      <c r="F114" s="155" t="s">
        <v>99</v>
      </c>
      <c r="G114" s="157" t="s">
        <v>98</v>
      </c>
      <c r="H114" s="157" t="s">
        <v>213</v>
      </c>
      <c r="I114" s="69" t="s">
        <v>198</v>
      </c>
      <c r="J114" s="124">
        <v>1</v>
      </c>
      <c r="K114" s="16">
        <v>70000</v>
      </c>
      <c r="L114" s="15">
        <f t="shared" si="11"/>
        <v>70000</v>
      </c>
      <c r="M114" s="15">
        <f t="shared" si="13"/>
        <v>7000</v>
      </c>
      <c r="N114" s="15">
        <f t="shared" si="12"/>
        <v>77000</v>
      </c>
      <c r="O114" s="5" t="s">
        <v>1542</v>
      </c>
      <c r="P114" s="175" t="s">
        <v>2634</v>
      </c>
      <c r="Q114" s="5">
        <v>45693</v>
      </c>
      <c r="R114" s="212"/>
      <c r="S114" s="7"/>
      <c r="T114" s="11"/>
    </row>
    <row r="115" spans="1:20" ht="16.5" customHeight="1">
      <c r="A115" t="s">
        <v>64</v>
      </c>
      <c r="B115" s="141" t="s">
        <v>144</v>
      </c>
      <c r="C115" s="142"/>
      <c r="D115" s="13">
        <v>45688</v>
      </c>
      <c r="E115" s="155" t="s">
        <v>270</v>
      </c>
      <c r="F115" s="155"/>
      <c r="G115" s="156" t="s">
        <v>30</v>
      </c>
      <c r="H115" s="156" t="s">
        <v>271</v>
      </c>
      <c r="I115" s="69" t="s">
        <v>720</v>
      </c>
      <c r="J115" s="124">
        <v>1</v>
      </c>
      <c r="K115" s="16">
        <v>40000</v>
      </c>
      <c r="L115" s="15">
        <f t="shared" si="11"/>
        <v>40000</v>
      </c>
      <c r="M115" s="15">
        <f t="shared" si="13"/>
        <v>4000</v>
      </c>
      <c r="N115" s="15">
        <f t="shared" si="12"/>
        <v>44000</v>
      </c>
      <c r="O115" s="5" t="s">
        <v>721</v>
      </c>
      <c r="P115" s="175" t="s">
        <v>2644</v>
      </c>
      <c r="Q115" s="68" t="s">
        <v>206</v>
      </c>
      <c r="R115" s="212"/>
      <c r="S115" s="7"/>
      <c r="T115" s="11"/>
    </row>
    <row r="116" spans="1:20" ht="16.5" customHeight="1">
      <c r="A116" t="s">
        <v>64</v>
      </c>
      <c r="B116" s="140" t="s">
        <v>182</v>
      </c>
      <c r="C116" s="12"/>
      <c r="D116" s="13">
        <v>45688</v>
      </c>
      <c r="E116" s="155" t="s">
        <v>2633</v>
      </c>
      <c r="F116" s="155" t="s">
        <v>322</v>
      </c>
      <c r="G116" s="156" t="s">
        <v>7</v>
      </c>
      <c r="H116" s="156" t="s">
        <v>143</v>
      </c>
      <c r="I116" s="69" t="s">
        <v>860</v>
      </c>
      <c r="J116" s="122">
        <v>1</v>
      </c>
      <c r="K116" s="15">
        <v>8384</v>
      </c>
      <c r="L116" s="16">
        <f t="shared" si="11"/>
        <v>8384</v>
      </c>
      <c r="M116" s="16">
        <v>838</v>
      </c>
      <c r="N116" s="15">
        <f t="shared" si="12"/>
        <v>9222</v>
      </c>
      <c r="O116" s="5" t="s">
        <v>1542</v>
      </c>
      <c r="P116" s="174" t="s">
        <v>2636</v>
      </c>
      <c r="Q116" s="5">
        <v>45658</v>
      </c>
      <c r="R116" s="213"/>
    </row>
    <row r="117" spans="1:20" ht="16.5" customHeight="1">
      <c r="A117" t="s">
        <v>64</v>
      </c>
      <c r="B117" s="10" t="s">
        <v>415</v>
      </c>
      <c r="C117" s="12"/>
      <c r="D117" s="13">
        <v>45688</v>
      </c>
      <c r="E117" s="155" t="s">
        <v>19</v>
      </c>
      <c r="F117" s="163" t="s">
        <v>99</v>
      </c>
      <c r="G117" s="157" t="s">
        <v>98</v>
      </c>
      <c r="H117" s="157" t="s">
        <v>213</v>
      </c>
      <c r="I117" s="159" t="s">
        <v>2100</v>
      </c>
      <c r="J117" s="124">
        <v>1</v>
      </c>
      <c r="K117" s="188">
        <v>300000</v>
      </c>
      <c r="L117" s="15">
        <f t="shared" si="11"/>
        <v>300000</v>
      </c>
      <c r="M117" s="15">
        <f t="shared" ref="M117:M123" si="14">L117*10%</f>
        <v>30000</v>
      </c>
      <c r="N117" s="15">
        <f t="shared" si="12"/>
        <v>330000</v>
      </c>
      <c r="O117" s="5" t="s">
        <v>1542</v>
      </c>
      <c r="P117" s="174" t="s">
        <v>2634</v>
      </c>
      <c r="Q117" s="5">
        <v>45693</v>
      </c>
      <c r="R117" s="211"/>
      <c r="S117" s="7"/>
      <c r="T117" s="11"/>
    </row>
    <row r="118" spans="1:20" ht="16.5" customHeight="1">
      <c r="A118" t="s">
        <v>64</v>
      </c>
      <c r="B118" s="141" t="s">
        <v>144</v>
      </c>
      <c r="C118" s="12"/>
      <c r="D118" s="13">
        <v>45688</v>
      </c>
      <c r="E118" s="155" t="s">
        <v>277</v>
      </c>
      <c r="F118" s="163"/>
      <c r="G118" s="156" t="s">
        <v>30</v>
      </c>
      <c r="H118" s="157" t="s">
        <v>145</v>
      </c>
      <c r="I118" s="159" t="s">
        <v>723</v>
      </c>
      <c r="J118" s="124">
        <v>1</v>
      </c>
      <c r="K118" s="188">
        <v>200000</v>
      </c>
      <c r="L118" s="15">
        <f t="shared" si="11"/>
        <v>200000</v>
      </c>
      <c r="M118" s="15">
        <f t="shared" si="14"/>
        <v>20000</v>
      </c>
      <c r="N118" s="15">
        <f t="shared" si="12"/>
        <v>220000</v>
      </c>
      <c r="O118" s="5" t="s">
        <v>973</v>
      </c>
      <c r="P118" s="175" t="s">
        <v>2644</v>
      </c>
      <c r="Q118" s="68" t="s">
        <v>206</v>
      </c>
      <c r="R118" s="211"/>
      <c r="S118" s="7"/>
      <c r="T118" s="11"/>
    </row>
    <row r="119" spans="1:20" ht="16.5" customHeight="1">
      <c r="A119" t="s">
        <v>64</v>
      </c>
      <c r="B119" s="10" t="s">
        <v>415</v>
      </c>
      <c r="C119" s="12"/>
      <c r="D119" s="13">
        <v>45688</v>
      </c>
      <c r="E119" s="155" t="s">
        <v>173</v>
      </c>
      <c r="F119" s="155" t="s">
        <v>99</v>
      </c>
      <c r="G119" s="156" t="s">
        <v>7</v>
      </c>
      <c r="H119" s="156" t="s">
        <v>102</v>
      </c>
      <c r="I119" s="69" t="s">
        <v>2109</v>
      </c>
      <c r="J119" s="122">
        <v>1</v>
      </c>
      <c r="K119" s="15">
        <v>810000</v>
      </c>
      <c r="L119" s="16">
        <f t="shared" si="11"/>
        <v>810000</v>
      </c>
      <c r="M119" s="16">
        <f t="shared" si="14"/>
        <v>81000</v>
      </c>
      <c r="N119" s="15">
        <f t="shared" si="12"/>
        <v>891000</v>
      </c>
      <c r="O119" s="5" t="s">
        <v>1141</v>
      </c>
      <c r="P119" s="174" t="s">
        <v>2634</v>
      </c>
      <c r="Q119" s="5">
        <v>45693</v>
      </c>
      <c r="R119" s="209"/>
      <c r="T119" s="11"/>
    </row>
    <row r="120" spans="1:20" ht="16.5" customHeight="1">
      <c r="A120" t="s">
        <v>64</v>
      </c>
      <c r="B120" s="10" t="s">
        <v>881</v>
      </c>
      <c r="C120" s="12"/>
      <c r="D120" s="13">
        <v>45688</v>
      </c>
      <c r="E120" s="155" t="s">
        <v>725</v>
      </c>
      <c r="F120" s="69" t="s">
        <v>296</v>
      </c>
      <c r="G120" s="156" t="s">
        <v>7</v>
      </c>
      <c r="H120" s="156" t="s">
        <v>284</v>
      </c>
      <c r="I120" s="69" t="s">
        <v>726</v>
      </c>
      <c r="J120" s="122">
        <v>1</v>
      </c>
      <c r="K120" s="15">
        <v>8454000</v>
      </c>
      <c r="L120" s="16">
        <f t="shared" si="11"/>
        <v>8454000</v>
      </c>
      <c r="M120" s="16">
        <f t="shared" si="14"/>
        <v>845400</v>
      </c>
      <c r="N120" s="15">
        <f t="shared" si="12"/>
        <v>9299400</v>
      </c>
      <c r="O120" s="5" t="s">
        <v>1676</v>
      </c>
      <c r="P120" s="9" t="s">
        <v>2636</v>
      </c>
      <c r="Q120" s="5">
        <v>45666</v>
      </c>
      <c r="R120" s="213"/>
    </row>
    <row r="121" spans="1:20" ht="16.5" customHeight="1">
      <c r="A121" t="s">
        <v>64</v>
      </c>
      <c r="B121" s="141" t="s">
        <v>144</v>
      </c>
      <c r="C121" s="12"/>
      <c r="D121" s="13">
        <v>45688</v>
      </c>
      <c r="E121" s="155" t="s">
        <v>158</v>
      </c>
      <c r="F121" s="155"/>
      <c r="G121" s="156" t="s">
        <v>30</v>
      </c>
      <c r="H121" s="157" t="s">
        <v>145</v>
      </c>
      <c r="I121" s="69" t="s">
        <v>822</v>
      </c>
      <c r="J121" s="122">
        <v>1</v>
      </c>
      <c r="K121" s="15">
        <v>69000</v>
      </c>
      <c r="L121" s="16">
        <f t="shared" si="11"/>
        <v>69000</v>
      </c>
      <c r="M121" s="15">
        <f t="shared" si="14"/>
        <v>6900</v>
      </c>
      <c r="N121" s="15">
        <f t="shared" si="12"/>
        <v>75900</v>
      </c>
      <c r="O121" s="5" t="s">
        <v>721</v>
      </c>
      <c r="P121" s="175" t="s">
        <v>2644</v>
      </c>
      <c r="Q121" s="68" t="s">
        <v>206</v>
      </c>
      <c r="R121" s="209"/>
      <c r="T121" s="11"/>
    </row>
    <row r="122" spans="1:20" ht="16.5" customHeight="1">
      <c r="A122" t="s">
        <v>64</v>
      </c>
      <c r="B122" s="10" t="s">
        <v>881</v>
      </c>
      <c r="C122" s="12"/>
      <c r="D122" s="13">
        <v>45688</v>
      </c>
      <c r="E122" s="155" t="s">
        <v>823</v>
      </c>
      <c r="F122" s="69" t="s">
        <v>296</v>
      </c>
      <c r="G122" s="156" t="s">
        <v>7</v>
      </c>
      <c r="H122" s="156" t="s">
        <v>284</v>
      </c>
      <c r="I122" s="69" t="s">
        <v>806</v>
      </c>
      <c r="J122" s="122">
        <v>1</v>
      </c>
      <c r="K122" s="15">
        <v>680000</v>
      </c>
      <c r="L122" s="16">
        <f t="shared" si="11"/>
        <v>680000</v>
      </c>
      <c r="M122" s="16">
        <f t="shared" si="14"/>
        <v>68000</v>
      </c>
      <c r="N122" s="15">
        <f t="shared" si="12"/>
        <v>748000</v>
      </c>
      <c r="O122" s="5" t="s">
        <v>1842</v>
      </c>
      <c r="P122" s="9" t="s">
        <v>2636</v>
      </c>
      <c r="Q122" s="5">
        <v>45666</v>
      </c>
      <c r="R122" s="213"/>
    </row>
    <row r="123" spans="1:20" ht="16.5" customHeight="1">
      <c r="A123" t="s">
        <v>64</v>
      </c>
      <c r="B123" s="141" t="s">
        <v>144</v>
      </c>
      <c r="C123" s="148"/>
      <c r="D123" s="13">
        <v>45688</v>
      </c>
      <c r="E123" s="155" t="s">
        <v>833</v>
      </c>
      <c r="F123" s="155"/>
      <c r="G123" s="156" t="s">
        <v>41</v>
      </c>
      <c r="H123" s="157" t="s">
        <v>711</v>
      </c>
      <c r="I123" s="159" t="s">
        <v>834</v>
      </c>
      <c r="J123" s="124">
        <v>1</v>
      </c>
      <c r="K123" s="16">
        <v>379000</v>
      </c>
      <c r="L123" s="188">
        <f t="shared" si="11"/>
        <v>379000</v>
      </c>
      <c r="M123" s="15">
        <f t="shared" si="14"/>
        <v>37900</v>
      </c>
      <c r="N123" s="15">
        <f t="shared" si="12"/>
        <v>416900</v>
      </c>
      <c r="O123" s="5" t="s">
        <v>973</v>
      </c>
      <c r="P123" s="175" t="s">
        <v>2644</v>
      </c>
      <c r="Q123" s="68" t="s">
        <v>206</v>
      </c>
      <c r="R123" s="212"/>
      <c r="S123" s="7"/>
    </row>
    <row r="124" spans="1:20" ht="16.5" customHeight="1">
      <c r="A124" t="s">
        <v>64</v>
      </c>
      <c r="B124" s="10" t="s">
        <v>490</v>
      </c>
      <c r="C124" s="12"/>
      <c r="D124" s="13">
        <v>45688</v>
      </c>
      <c r="E124" s="155" t="s">
        <v>503</v>
      </c>
      <c r="F124" s="155" t="s">
        <v>2632</v>
      </c>
      <c r="G124" s="157" t="s">
        <v>98</v>
      </c>
      <c r="H124" s="157" t="s">
        <v>1058</v>
      </c>
      <c r="I124" s="69" t="s">
        <v>919</v>
      </c>
      <c r="J124" s="122">
        <v>1</v>
      </c>
      <c r="K124" s="15">
        <v>70180</v>
      </c>
      <c r="L124" s="16">
        <v>443680</v>
      </c>
      <c r="M124" s="16">
        <v>44368</v>
      </c>
      <c r="N124" s="15">
        <f t="shared" si="12"/>
        <v>488048</v>
      </c>
      <c r="O124" s="5" t="s">
        <v>1141</v>
      </c>
      <c r="P124" s="9" t="s">
        <v>2636</v>
      </c>
      <c r="Q124" s="5">
        <v>45682</v>
      </c>
      <c r="R124" s="209"/>
    </row>
    <row r="125" spans="1:20" ht="16.5" customHeight="1">
      <c r="A125" t="s">
        <v>64</v>
      </c>
      <c r="B125" s="10" t="s">
        <v>489</v>
      </c>
      <c r="C125" s="145"/>
      <c r="D125" s="65"/>
      <c r="E125" s="160" t="s">
        <v>503</v>
      </c>
      <c r="F125" s="160" t="s">
        <v>424</v>
      </c>
      <c r="G125" s="157" t="s">
        <v>98</v>
      </c>
      <c r="H125" s="157" t="s">
        <v>1058</v>
      </c>
      <c r="I125" s="69" t="s">
        <v>920</v>
      </c>
      <c r="J125" s="122">
        <v>1</v>
      </c>
      <c r="K125" s="15">
        <v>20600</v>
      </c>
      <c r="L125" s="125"/>
      <c r="M125" s="125"/>
      <c r="N125" s="126"/>
      <c r="O125" s="99"/>
      <c r="P125" s="9" t="s">
        <v>2636</v>
      </c>
      <c r="Q125" s="5">
        <v>45682</v>
      </c>
      <c r="R125" s="209"/>
    </row>
    <row r="126" spans="1:20" ht="16.5" customHeight="1">
      <c r="A126" t="s">
        <v>64</v>
      </c>
      <c r="B126" s="10" t="s">
        <v>415</v>
      </c>
      <c r="C126" s="145"/>
      <c r="D126" s="65"/>
      <c r="E126" s="160" t="s">
        <v>503</v>
      </c>
      <c r="F126" s="160" t="s">
        <v>99</v>
      </c>
      <c r="G126" s="157" t="s">
        <v>98</v>
      </c>
      <c r="H126" s="157" t="s">
        <v>1058</v>
      </c>
      <c r="I126" s="69" t="s">
        <v>921</v>
      </c>
      <c r="J126" s="122">
        <v>1</v>
      </c>
      <c r="K126" s="15">
        <v>352900</v>
      </c>
      <c r="L126" s="125"/>
      <c r="M126" s="125"/>
      <c r="N126" s="126"/>
      <c r="O126" s="99"/>
      <c r="P126" s="9" t="s">
        <v>2636</v>
      </c>
      <c r="Q126" s="5">
        <v>45693</v>
      </c>
      <c r="R126" s="209"/>
    </row>
    <row r="127" spans="1:20" ht="16.5" customHeight="1">
      <c r="A127" t="s">
        <v>64</v>
      </c>
      <c r="B127" s="10" t="s">
        <v>533</v>
      </c>
      <c r="C127" s="12" t="s">
        <v>522</v>
      </c>
      <c r="D127" s="13">
        <v>45658</v>
      </c>
      <c r="E127" s="155" t="s">
        <v>2625</v>
      </c>
      <c r="F127" s="155" t="s">
        <v>2629</v>
      </c>
      <c r="G127" s="156" t="s">
        <v>16</v>
      </c>
      <c r="H127" s="156" t="s">
        <v>2626</v>
      </c>
      <c r="I127" s="69" t="s">
        <v>534</v>
      </c>
      <c r="J127" s="122">
        <v>1</v>
      </c>
      <c r="K127" s="15">
        <v>6750000</v>
      </c>
      <c r="L127" s="16">
        <f t="shared" ref="L127:L158" si="15">J127*K127</f>
        <v>6750000</v>
      </c>
      <c r="M127" s="16">
        <f>L127*10%</f>
        <v>675000</v>
      </c>
      <c r="N127" s="15">
        <f t="shared" ref="N127:N158" si="16">SUM(L127:M127)</f>
        <v>7425000</v>
      </c>
      <c r="O127" s="5" t="s">
        <v>1141</v>
      </c>
      <c r="P127" s="9" t="s">
        <v>2636</v>
      </c>
      <c r="Q127" s="5" t="s">
        <v>539</v>
      </c>
      <c r="R127" s="213" t="s">
        <v>540</v>
      </c>
    </row>
    <row r="128" spans="1:20" ht="16.5" customHeight="1">
      <c r="A128" t="s">
        <v>64</v>
      </c>
      <c r="B128" s="10" t="s">
        <v>536</v>
      </c>
      <c r="C128" s="12" t="s">
        <v>520</v>
      </c>
      <c r="D128" s="13">
        <v>45659</v>
      </c>
      <c r="E128" s="155" t="s">
        <v>2625</v>
      </c>
      <c r="F128" s="155" t="s">
        <v>521</v>
      </c>
      <c r="G128" s="156" t="s">
        <v>16</v>
      </c>
      <c r="H128" s="156" t="s">
        <v>2626</v>
      </c>
      <c r="I128" s="69" t="s">
        <v>535</v>
      </c>
      <c r="J128" s="122">
        <v>1</v>
      </c>
      <c r="K128" s="15">
        <v>1530720</v>
      </c>
      <c r="L128" s="16">
        <f t="shared" si="15"/>
        <v>1530720</v>
      </c>
      <c r="M128" s="16">
        <f>L128*10%</f>
        <v>153072</v>
      </c>
      <c r="N128" s="15">
        <f t="shared" si="16"/>
        <v>1683792</v>
      </c>
      <c r="O128" s="5" t="s">
        <v>1141</v>
      </c>
      <c r="P128" s="9" t="s">
        <v>2636</v>
      </c>
      <c r="Q128" s="5">
        <v>45681</v>
      </c>
      <c r="R128" s="213" t="s">
        <v>647</v>
      </c>
    </row>
    <row r="129" spans="1:22" ht="16.5" customHeight="1">
      <c r="A129" t="s">
        <v>64</v>
      </c>
      <c r="B129" s="10" t="s">
        <v>290</v>
      </c>
      <c r="C129" s="12" t="s">
        <v>337</v>
      </c>
      <c r="D129" s="13">
        <v>45660</v>
      </c>
      <c r="E129" s="155" t="s">
        <v>2625</v>
      </c>
      <c r="F129" s="155" t="s">
        <v>291</v>
      </c>
      <c r="G129" s="168" t="s">
        <v>7</v>
      </c>
      <c r="H129" s="156" t="s">
        <v>2627</v>
      </c>
      <c r="I129" s="69" t="s">
        <v>557</v>
      </c>
      <c r="J129" s="122">
        <v>1</v>
      </c>
      <c r="K129" s="15">
        <v>9600</v>
      </c>
      <c r="L129" s="16">
        <f t="shared" si="15"/>
        <v>9600</v>
      </c>
      <c r="M129" s="15">
        <v>960</v>
      </c>
      <c r="N129" s="15">
        <f t="shared" si="16"/>
        <v>10560</v>
      </c>
      <c r="O129" s="5" t="s">
        <v>1210</v>
      </c>
      <c r="P129" s="9" t="s">
        <v>2636</v>
      </c>
      <c r="Q129" s="5">
        <v>45295</v>
      </c>
      <c r="R129" s="209" t="s">
        <v>100</v>
      </c>
    </row>
    <row r="130" spans="1:22" ht="16.5" customHeight="1">
      <c r="A130" t="s">
        <v>64</v>
      </c>
      <c r="B130" s="10" t="s">
        <v>297</v>
      </c>
      <c r="C130" s="12" t="s">
        <v>190</v>
      </c>
      <c r="D130" s="13">
        <v>45665</v>
      </c>
      <c r="E130" s="155" t="s">
        <v>2625</v>
      </c>
      <c r="F130" s="155" t="s">
        <v>224</v>
      </c>
      <c r="G130" s="168" t="s">
        <v>7</v>
      </c>
      <c r="H130" s="156" t="s">
        <v>2627</v>
      </c>
      <c r="I130" s="69" t="s">
        <v>571</v>
      </c>
      <c r="J130" s="122">
        <v>1</v>
      </c>
      <c r="K130" s="15">
        <v>22400</v>
      </c>
      <c r="L130" s="16">
        <f t="shared" si="15"/>
        <v>22400</v>
      </c>
      <c r="M130" s="15">
        <v>2240</v>
      </c>
      <c r="N130" s="15">
        <f t="shared" si="16"/>
        <v>24640</v>
      </c>
      <c r="O130" s="5" t="s">
        <v>1269</v>
      </c>
      <c r="P130" s="9" t="s">
        <v>2636</v>
      </c>
      <c r="Q130" s="5">
        <v>45322</v>
      </c>
      <c r="R130" s="209" t="s">
        <v>100</v>
      </c>
    </row>
    <row r="131" spans="1:22" ht="16.5" customHeight="1">
      <c r="A131" t="s">
        <v>64</v>
      </c>
      <c r="B131" s="10" t="s">
        <v>104</v>
      </c>
      <c r="C131" s="12" t="s">
        <v>458</v>
      </c>
      <c r="D131" s="13">
        <v>45674</v>
      </c>
      <c r="E131" s="155" t="s">
        <v>2625</v>
      </c>
      <c r="F131" s="155" t="s">
        <v>2629</v>
      </c>
      <c r="G131" s="156" t="s">
        <v>41</v>
      </c>
      <c r="H131" s="156" t="s">
        <v>214</v>
      </c>
      <c r="I131" s="69" t="s">
        <v>632</v>
      </c>
      <c r="J131" s="122">
        <v>1</v>
      </c>
      <c r="K131" s="16">
        <v>910700</v>
      </c>
      <c r="L131" s="16">
        <f t="shared" si="15"/>
        <v>910700</v>
      </c>
      <c r="M131" s="16">
        <f>L131*10%</f>
        <v>91070</v>
      </c>
      <c r="N131" s="15">
        <f t="shared" si="16"/>
        <v>1001770</v>
      </c>
      <c r="O131" s="5" t="s">
        <v>1380</v>
      </c>
      <c r="P131" s="9" t="s">
        <v>2636</v>
      </c>
      <c r="Q131" s="5">
        <v>45595</v>
      </c>
      <c r="R131" s="209" t="s">
        <v>994</v>
      </c>
    </row>
    <row r="132" spans="1:22" ht="16.5" customHeight="1">
      <c r="A132" t="s">
        <v>64</v>
      </c>
      <c r="B132" s="10" t="s">
        <v>342</v>
      </c>
      <c r="C132" s="12" t="s">
        <v>341</v>
      </c>
      <c r="D132" s="13">
        <v>45678</v>
      </c>
      <c r="E132" s="155" t="s">
        <v>2625</v>
      </c>
      <c r="F132" s="155" t="s">
        <v>111</v>
      </c>
      <c r="G132" s="168" t="s">
        <v>7</v>
      </c>
      <c r="H132" s="156" t="s">
        <v>2627</v>
      </c>
      <c r="I132" s="69" t="s">
        <v>638</v>
      </c>
      <c r="J132" s="122">
        <v>1</v>
      </c>
      <c r="K132" s="15">
        <v>136710</v>
      </c>
      <c r="L132" s="16">
        <f t="shared" si="15"/>
        <v>136710</v>
      </c>
      <c r="M132" s="15">
        <f>L132*10%</f>
        <v>13671</v>
      </c>
      <c r="N132" s="15">
        <f t="shared" si="16"/>
        <v>150381</v>
      </c>
      <c r="O132" s="5" t="s">
        <v>1452</v>
      </c>
      <c r="P132" s="177" t="s">
        <v>2636</v>
      </c>
      <c r="Q132" s="5">
        <v>45653</v>
      </c>
      <c r="R132" s="209"/>
    </row>
    <row r="133" spans="1:22" ht="16.5" customHeight="1">
      <c r="A133" t="s">
        <v>64</v>
      </c>
      <c r="B133" s="10" t="s">
        <v>879</v>
      </c>
      <c r="C133" s="12" t="s">
        <v>694</v>
      </c>
      <c r="D133" s="13">
        <v>45680</v>
      </c>
      <c r="E133" s="155" t="s">
        <v>2625</v>
      </c>
      <c r="F133" s="155" t="s">
        <v>352</v>
      </c>
      <c r="G133" s="156" t="s">
        <v>16</v>
      </c>
      <c r="H133" s="156" t="s">
        <v>2626</v>
      </c>
      <c r="I133" s="69" t="s">
        <v>697</v>
      </c>
      <c r="J133" s="122">
        <v>1</v>
      </c>
      <c r="K133" s="15">
        <v>282320</v>
      </c>
      <c r="L133" s="16">
        <f t="shared" si="15"/>
        <v>282320</v>
      </c>
      <c r="M133" s="16">
        <f>L133*10%</f>
        <v>28232</v>
      </c>
      <c r="N133" s="15">
        <f t="shared" si="16"/>
        <v>310552</v>
      </c>
      <c r="O133" s="5" t="s">
        <v>1452</v>
      </c>
      <c r="P133" s="177" t="s">
        <v>2636</v>
      </c>
      <c r="Q133" s="5">
        <v>45681</v>
      </c>
      <c r="R133" s="213"/>
    </row>
    <row r="134" spans="1:22" ht="16.5" customHeight="1">
      <c r="A134" t="s">
        <v>64</v>
      </c>
      <c r="B134" s="10" t="s">
        <v>880</v>
      </c>
      <c r="C134" s="12" t="s">
        <v>716</v>
      </c>
      <c r="D134" s="13">
        <v>45681</v>
      </c>
      <c r="E134" s="155" t="s">
        <v>2625</v>
      </c>
      <c r="F134" s="155" t="s">
        <v>101</v>
      </c>
      <c r="G134" s="168" t="s">
        <v>7</v>
      </c>
      <c r="H134" s="156" t="s">
        <v>2627</v>
      </c>
      <c r="I134" s="69" t="s">
        <v>781</v>
      </c>
      <c r="J134" s="122">
        <v>1</v>
      </c>
      <c r="K134" s="15">
        <v>170160</v>
      </c>
      <c r="L134" s="16">
        <f t="shared" si="15"/>
        <v>170160</v>
      </c>
      <c r="M134" s="16">
        <f>L134*10%</f>
        <v>17016</v>
      </c>
      <c r="N134" s="15">
        <f t="shared" si="16"/>
        <v>187176</v>
      </c>
      <c r="O134" s="5" t="s">
        <v>1511</v>
      </c>
      <c r="P134" s="177" t="s">
        <v>2636</v>
      </c>
      <c r="Q134" s="5">
        <v>45681</v>
      </c>
      <c r="R134" s="213" t="s">
        <v>783</v>
      </c>
    </row>
    <row r="135" spans="1:22" ht="16.5" customHeight="1">
      <c r="A135" t="s">
        <v>64</v>
      </c>
      <c r="B135" s="10" t="s">
        <v>880</v>
      </c>
      <c r="C135" s="12" t="s">
        <v>716</v>
      </c>
      <c r="D135" s="13">
        <v>45681</v>
      </c>
      <c r="E135" s="155" t="s">
        <v>2625</v>
      </c>
      <c r="F135" s="155" t="s">
        <v>101</v>
      </c>
      <c r="G135" s="168" t="s">
        <v>7</v>
      </c>
      <c r="H135" s="156" t="s">
        <v>2627</v>
      </c>
      <c r="I135" s="69" t="s">
        <v>782</v>
      </c>
      <c r="J135" s="122">
        <v>1</v>
      </c>
      <c r="K135" s="15">
        <v>212700</v>
      </c>
      <c r="L135" s="16">
        <f t="shared" si="15"/>
        <v>212700</v>
      </c>
      <c r="M135" s="16">
        <f>L135*10%</f>
        <v>21270</v>
      </c>
      <c r="N135" s="15">
        <f t="shared" si="16"/>
        <v>233970</v>
      </c>
      <c r="O135" s="5" t="s">
        <v>1511</v>
      </c>
      <c r="P135" s="177" t="s">
        <v>2636</v>
      </c>
      <c r="Q135" s="5">
        <v>45681</v>
      </c>
      <c r="R135" s="213" t="s">
        <v>783</v>
      </c>
    </row>
    <row r="136" spans="1:22" ht="16.5" customHeight="1">
      <c r="A136" t="s">
        <v>64</v>
      </c>
      <c r="B136" s="10" t="s">
        <v>144</v>
      </c>
      <c r="C136" s="12" t="s">
        <v>459</v>
      </c>
      <c r="D136" s="13">
        <v>45681</v>
      </c>
      <c r="E136" s="155" t="s">
        <v>2625</v>
      </c>
      <c r="F136" s="155" t="s">
        <v>215</v>
      </c>
      <c r="G136" s="156" t="s">
        <v>41</v>
      </c>
      <c r="H136" s="156" t="s">
        <v>214</v>
      </c>
      <c r="I136" s="69" t="s">
        <v>714</v>
      </c>
      <c r="J136" s="122">
        <v>1</v>
      </c>
      <c r="K136" s="15">
        <v>1666322</v>
      </c>
      <c r="L136" s="16">
        <f t="shared" si="15"/>
        <v>1666322</v>
      </c>
      <c r="M136" s="16">
        <v>166632</v>
      </c>
      <c r="N136" s="15">
        <f t="shared" si="16"/>
        <v>1832954</v>
      </c>
      <c r="O136" s="5" t="s">
        <v>1511</v>
      </c>
      <c r="P136" s="9" t="s">
        <v>2636</v>
      </c>
      <c r="Q136" s="182" t="s">
        <v>215</v>
      </c>
      <c r="R136" s="209"/>
      <c r="U136" s="11"/>
    </row>
    <row r="137" spans="1:22" ht="16.5" customHeight="1">
      <c r="A137" t="s">
        <v>64</v>
      </c>
      <c r="B137" s="10" t="s">
        <v>232</v>
      </c>
      <c r="C137" s="12" t="s">
        <v>233</v>
      </c>
      <c r="D137" s="13">
        <v>45688</v>
      </c>
      <c r="E137" s="155" t="s">
        <v>2625</v>
      </c>
      <c r="F137" s="163" t="s">
        <v>234</v>
      </c>
      <c r="G137" s="168" t="s">
        <v>7</v>
      </c>
      <c r="H137" s="156" t="s">
        <v>2627</v>
      </c>
      <c r="I137" s="69" t="s">
        <v>778</v>
      </c>
      <c r="J137" s="122">
        <v>1</v>
      </c>
      <c r="K137" s="15">
        <v>58800</v>
      </c>
      <c r="L137" s="16">
        <f t="shared" si="15"/>
        <v>58800</v>
      </c>
      <c r="M137" s="15">
        <f t="shared" ref="M137:M143" si="17">L137*10%</f>
        <v>5880</v>
      </c>
      <c r="N137" s="15">
        <f t="shared" si="16"/>
        <v>64680</v>
      </c>
      <c r="O137" s="5" t="s">
        <v>1542</v>
      </c>
      <c r="P137" s="9" t="s">
        <v>2636</v>
      </c>
      <c r="Q137" s="5">
        <v>45658</v>
      </c>
      <c r="R137" s="209" t="s">
        <v>147</v>
      </c>
      <c r="U137" s="11"/>
      <c r="V137" s="8"/>
    </row>
    <row r="138" spans="1:22" ht="16.5" customHeight="1">
      <c r="A138" t="s">
        <v>64</v>
      </c>
      <c r="B138" s="10" t="s">
        <v>461</v>
      </c>
      <c r="C138" s="12" t="s">
        <v>238</v>
      </c>
      <c r="D138" s="13">
        <v>45688</v>
      </c>
      <c r="E138" s="155" t="s">
        <v>2625</v>
      </c>
      <c r="F138" s="155" t="s">
        <v>239</v>
      </c>
      <c r="G138" s="168" t="s">
        <v>7</v>
      </c>
      <c r="H138" s="156" t="s">
        <v>2627</v>
      </c>
      <c r="I138" s="69" t="s">
        <v>776</v>
      </c>
      <c r="J138" s="122">
        <v>1</v>
      </c>
      <c r="K138" s="15">
        <v>115800</v>
      </c>
      <c r="L138" s="16">
        <f t="shared" si="15"/>
        <v>115800</v>
      </c>
      <c r="M138" s="15">
        <f t="shared" si="17"/>
        <v>11580</v>
      </c>
      <c r="N138" s="15">
        <f t="shared" si="16"/>
        <v>127380</v>
      </c>
      <c r="O138" s="5" t="s">
        <v>1542</v>
      </c>
      <c r="P138" s="9" t="s">
        <v>2636</v>
      </c>
      <c r="Q138" s="5">
        <v>45747</v>
      </c>
      <c r="R138" s="209" t="s">
        <v>147</v>
      </c>
      <c r="U138" s="11"/>
      <c r="V138" s="8"/>
    </row>
    <row r="139" spans="1:22" ht="16.5" customHeight="1">
      <c r="A139" t="s">
        <v>64</v>
      </c>
      <c r="B139" s="10" t="s">
        <v>260</v>
      </c>
      <c r="C139" s="12" t="s">
        <v>261</v>
      </c>
      <c r="D139" s="13">
        <v>45688</v>
      </c>
      <c r="E139" s="155" t="s">
        <v>2625</v>
      </c>
      <c r="F139" s="155" t="s">
        <v>250</v>
      </c>
      <c r="G139" s="168" t="s">
        <v>7</v>
      </c>
      <c r="H139" s="156" t="s">
        <v>2627</v>
      </c>
      <c r="I139" s="69" t="s">
        <v>779</v>
      </c>
      <c r="J139" s="122">
        <v>1</v>
      </c>
      <c r="K139" s="15">
        <v>9980400</v>
      </c>
      <c r="L139" s="16">
        <f t="shared" si="15"/>
        <v>9980400</v>
      </c>
      <c r="M139" s="15">
        <f t="shared" si="17"/>
        <v>998040</v>
      </c>
      <c r="N139" s="15">
        <f t="shared" si="16"/>
        <v>10978440</v>
      </c>
      <c r="O139" s="5" t="s">
        <v>1542</v>
      </c>
      <c r="P139" s="9" t="s">
        <v>2636</v>
      </c>
      <c r="Q139" s="5">
        <v>45681</v>
      </c>
      <c r="R139" s="209"/>
      <c r="U139" s="11"/>
      <c r="V139" s="8"/>
    </row>
    <row r="140" spans="1:22" ht="16.5" customHeight="1">
      <c r="A140" t="s">
        <v>64</v>
      </c>
      <c r="B140" s="10" t="s">
        <v>245</v>
      </c>
      <c r="C140" s="12" t="s">
        <v>246</v>
      </c>
      <c r="D140" s="13">
        <v>45688</v>
      </c>
      <c r="E140" s="155" t="s">
        <v>2625</v>
      </c>
      <c r="F140" s="155" t="s">
        <v>247</v>
      </c>
      <c r="G140" s="156" t="s">
        <v>7</v>
      </c>
      <c r="H140" s="156" t="s">
        <v>2627</v>
      </c>
      <c r="I140" s="69" t="s">
        <v>768</v>
      </c>
      <c r="J140" s="122">
        <v>1</v>
      </c>
      <c r="K140" s="15">
        <v>132600</v>
      </c>
      <c r="L140" s="16">
        <f t="shared" si="15"/>
        <v>132600</v>
      </c>
      <c r="M140" s="15">
        <f t="shared" si="17"/>
        <v>13260</v>
      </c>
      <c r="N140" s="15">
        <f t="shared" si="16"/>
        <v>145860</v>
      </c>
      <c r="O140" s="5" t="s">
        <v>1542</v>
      </c>
      <c r="P140" s="9" t="s">
        <v>2636</v>
      </c>
      <c r="Q140" s="5">
        <v>45057</v>
      </c>
      <c r="R140" s="209" t="s">
        <v>100</v>
      </c>
      <c r="U140" s="11"/>
      <c r="V140" s="8"/>
    </row>
    <row r="141" spans="1:22" ht="16.5" customHeight="1">
      <c r="A141" t="s">
        <v>64</v>
      </c>
      <c r="B141" s="10" t="s">
        <v>253</v>
      </c>
      <c r="C141" s="12" t="s">
        <v>254</v>
      </c>
      <c r="D141" s="13">
        <v>45688</v>
      </c>
      <c r="E141" s="155" t="s">
        <v>2625</v>
      </c>
      <c r="F141" s="155" t="s">
        <v>331</v>
      </c>
      <c r="G141" s="168" t="s">
        <v>7</v>
      </c>
      <c r="H141" s="156" t="s">
        <v>2627</v>
      </c>
      <c r="I141" s="69" t="s">
        <v>777</v>
      </c>
      <c r="J141" s="122">
        <v>1</v>
      </c>
      <c r="K141" s="15">
        <v>245700</v>
      </c>
      <c r="L141" s="16">
        <f t="shared" si="15"/>
        <v>245700</v>
      </c>
      <c r="M141" s="15">
        <f t="shared" si="17"/>
        <v>24570</v>
      </c>
      <c r="N141" s="15">
        <f t="shared" si="16"/>
        <v>270270</v>
      </c>
      <c r="O141" s="5" t="s">
        <v>1542</v>
      </c>
      <c r="P141" s="174" t="s">
        <v>2636</v>
      </c>
      <c r="Q141" s="5">
        <v>45681</v>
      </c>
      <c r="R141" s="209"/>
      <c r="U141" s="11"/>
      <c r="V141" s="8"/>
    </row>
    <row r="142" spans="1:22" ht="16.5" customHeight="1">
      <c r="A142" t="s">
        <v>64</v>
      </c>
      <c r="B142" s="10" t="s">
        <v>255</v>
      </c>
      <c r="C142" s="12" t="s">
        <v>256</v>
      </c>
      <c r="D142" s="13">
        <v>45688</v>
      </c>
      <c r="E142" s="155" t="s">
        <v>2625</v>
      </c>
      <c r="F142" s="155" t="s">
        <v>331</v>
      </c>
      <c r="G142" s="168" t="s">
        <v>7</v>
      </c>
      <c r="H142" s="156" t="s">
        <v>2627</v>
      </c>
      <c r="I142" s="69" t="s">
        <v>780</v>
      </c>
      <c r="J142" s="122">
        <v>1</v>
      </c>
      <c r="K142" s="15">
        <v>45600</v>
      </c>
      <c r="L142" s="16">
        <f t="shared" si="15"/>
        <v>45600</v>
      </c>
      <c r="M142" s="15">
        <f t="shared" si="17"/>
        <v>4560</v>
      </c>
      <c r="N142" s="15">
        <f t="shared" si="16"/>
        <v>50160</v>
      </c>
      <c r="O142" s="5" t="s">
        <v>1542</v>
      </c>
      <c r="P142" s="9" t="s">
        <v>2636</v>
      </c>
      <c r="Q142" s="5">
        <v>45681</v>
      </c>
      <c r="R142" s="209"/>
      <c r="U142" s="11"/>
      <c r="V142" s="8"/>
    </row>
    <row r="143" spans="1:22" ht="16.5" customHeight="1">
      <c r="A143" t="s">
        <v>64</v>
      </c>
      <c r="B143" s="10" t="s">
        <v>399</v>
      </c>
      <c r="C143" s="12" t="s">
        <v>257</v>
      </c>
      <c r="D143" s="13">
        <v>45688</v>
      </c>
      <c r="E143" s="155" t="s">
        <v>2625</v>
      </c>
      <c r="F143" s="155" t="s">
        <v>258</v>
      </c>
      <c r="G143" s="168" t="s">
        <v>7</v>
      </c>
      <c r="H143" s="156" t="s">
        <v>2627</v>
      </c>
      <c r="I143" s="69" t="s">
        <v>765</v>
      </c>
      <c r="J143" s="122">
        <v>1</v>
      </c>
      <c r="K143" s="15">
        <v>494903</v>
      </c>
      <c r="L143" s="16">
        <f t="shared" si="15"/>
        <v>494903</v>
      </c>
      <c r="M143" s="15">
        <f t="shared" si="17"/>
        <v>49490.3</v>
      </c>
      <c r="N143" s="15">
        <f t="shared" si="16"/>
        <v>544393.30000000005</v>
      </c>
      <c r="O143" s="5" t="s">
        <v>1542</v>
      </c>
      <c r="P143" s="9" t="s">
        <v>2636</v>
      </c>
      <c r="Q143" s="5">
        <v>45681</v>
      </c>
      <c r="R143" s="213"/>
      <c r="U143" s="216"/>
      <c r="V143" s="8"/>
    </row>
    <row r="144" spans="1:22" ht="16.5" customHeight="1">
      <c r="A144" t="s">
        <v>64</v>
      </c>
      <c r="B144" s="10" t="s">
        <v>387</v>
      </c>
      <c r="C144" s="12" t="s">
        <v>217</v>
      </c>
      <c r="D144" s="13">
        <v>45688</v>
      </c>
      <c r="E144" s="155" t="s">
        <v>2625</v>
      </c>
      <c r="F144" s="155" t="s">
        <v>218</v>
      </c>
      <c r="G144" s="168" t="s">
        <v>7</v>
      </c>
      <c r="H144" s="156" t="s">
        <v>2627</v>
      </c>
      <c r="I144" s="69" t="s">
        <v>766</v>
      </c>
      <c r="J144" s="122">
        <v>1</v>
      </c>
      <c r="K144" s="15">
        <v>3017539</v>
      </c>
      <c r="L144" s="16">
        <f t="shared" si="15"/>
        <v>3017539</v>
      </c>
      <c r="M144" s="15">
        <v>301753</v>
      </c>
      <c r="N144" s="15">
        <f t="shared" si="16"/>
        <v>3319292</v>
      </c>
      <c r="O144" s="5" t="s">
        <v>1542</v>
      </c>
      <c r="P144" s="9" t="s">
        <v>2636</v>
      </c>
      <c r="Q144" s="5">
        <v>45681</v>
      </c>
      <c r="R144" s="209"/>
      <c r="U144" s="11"/>
      <c r="V144" s="8"/>
    </row>
    <row r="145" spans="1:22" ht="16.5" customHeight="1">
      <c r="A145" t="s">
        <v>64</v>
      </c>
      <c r="B145" s="10" t="s">
        <v>227</v>
      </c>
      <c r="C145" s="12" t="s">
        <v>383</v>
      </c>
      <c r="D145" s="13">
        <v>45688</v>
      </c>
      <c r="E145" s="155" t="s">
        <v>2625</v>
      </c>
      <c r="F145" s="155" t="s">
        <v>228</v>
      </c>
      <c r="G145" s="156" t="s">
        <v>7</v>
      </c>
      <c r="H145" s="156" t="s">
        <v>2627</v>
      </c>
      <c r="I145" s="69" t="s">
        <v>775</v>
      </c>
      <c r="J145" s="122">
        <v>1</v>
      </c>
      <c r="K145" s="15">
        <v>18000</v>
      </c>
      <c r="L145" s="16">
        <f t="shared" si="15"/>
        <v>18000</v>
      </c>
      <c r="M145" s="15">
        <f>L145*10%</f>
        <v>1800</v>
      </c>
      <c r="N145" s="15">
        <f t="shared" si="16"/>
        <v>19800</v>
      </c>
      <c r="O145" s="5" t="s">
        <v>1542</v>
      </c>
      <c r="P145" s="9" t="s">
        <v>2636</v>
      </c>
      <c r="Q145" s="5">
        <v>45195</v>
      </c>
      <c r="R145" s="209" t="s">
        <v>100</v>
      </c>
      <c r="U145" s="11"/>
      <c r="V145" s="8"/>
    </row>
    <row r="146" spans="1:22" ht="16.5" customHeight="1">
      <c r="A146" t="s">
        <v>64</v>
      </c>
      <c r="B146" s="10" t="s">
        <v>316</v>
      </c>
      <c r="C146" s="12" t="s">
        <v>315</v>
      </c>
      <c r="D146" s="13">
        <v>45688</v>
      </c>
      <c r="E146" s="155" t="s">
        <v>2625</v>
      </c>
      <c r="F146" s="155" t="s">
        <v>222</v>
      </c>
      <c r="G146" s="168" t="s">
        <v>7</v>
      </c>
      <c r="H146" s="156" t="s">
        <v>2627</v>
      </c>
      <c r="I146" s="69" t="s">
        <v>278</v>
      </c>
      <c r="J146" s="122">
        <v>1</v>
      </c>
      <c r="K146" s="15">
        <v>134700</v>
      </c>
      <c r="L146" s="16">
        <f t="shared" si="15"/>
        <v>134700</v>
      </c>
      <c r="M146" s="15">
        <f>L146*10%</f>
        <v>13470</v>
      </c>
      <c r="N146" s="15">
        <f t="shared" si="16"/>
        <v>148170</v>
      </c>
      <c r="O146" s="5" t="s">
        <v>1542</v>
      </c>
      <c r="P146" s="9" t="s">
        <v>2636</v>
      </c>
      <c r="Q146" s="5">
        <v>45231</v>
      </c>
      <c r="R146" s="209" t="s">
        <v>100</v>
      </c>
    </row>
    <row r="147" spans="1:22" ht="16.5" customHeight="1">
      <c r="B147" s="10" t="s">
        <v>526</v>
      </c>
      <c r="C147" s="12" t="s">
        <v>292</v>
      </c>
      <c r="D147" s="13">
        <v>45688</v>
      </c>
      <c r="E147" s="155" t="s">
        <v>2625</v>
      </c>
      <c r="F147" s="155" t="s">
        <v>231</v>
      </c>
      <c r="G147" s="156" t="s">
        <v>7</v>
      </c>
      <c r="H147" s="156" t="s">
        <v>2627</v>
      </c>
      <c r="I147" s="69" t="s">
        <v>821</v>
      </c>
      <c r="J147" s="122">
        <v>1</v>
      </c>
      <c r="K147" s="15">
        <v>17220</v>
      </c>
      <c r="L147" s="16">
        <f t="shared" si="15"/>
        <v>17220</v>
      </c>
      <c r="M147" s="15">
        <v>1722</v>
      </c>
      <c r="N147" s="15">
        <f t="shared" si="16"/>
        <v>18942</v>
      </c>
      <c r="O147" s="5" t="s">
        <v>1542</v>
      </c>
      <c r="P147" s="9" t="s">
        <v>2636</v>
      </c>
      <c r="Q147" s="5">
        <v>45261</v>
      </c>
      <c r="R147" s="209" t="s">
        <v>100</v>
      </c>
    </row>
    <row r="148" spans="1:22" ht="16.5" customHeight="1">
      <c r="A148" t="s">
        <v>64</v>
      </c>
      <c r="B148" s="10" t="s">
        <v>348</v>
      </c>
      <c r="C148" s="12" t="s">
        <v>412</v>
      </c>
      <c r="D148" s="13">
        <v>45688</v>
      </c>
      <c r="E148" s="155" t="s">
        <v>2625</v>
      </c>
      <c r="F148" s="155" t="s">
        <v>347</v>
      </c>
      <c r="G148" s="168" t="s">
        <v>7</v>
      </c>
      <c r="H148" s="156" t="s">
        <v>2627</v>
      </c>
      <c r="I148" s="69" t="s">
        <v>772</v>
      </c>
      <c r="J148" s="122">
        <v>1</v>
      </c>
      <c r="K148" s="15">
        <v>90000</v>
      </c>
      <c r="L148" s="16">
        <f t="shared" si="15"/>
        <v>90000</v>
      </c>
      <c r="M148" s="15">
        <f t="shared" ref="M148:M157" si="18">L148*10%</f>
        <v>9000</v>
      </c>
      <c r="N148" s="15">
        <f t="shared" si="16"/>
        <v>99000</v>
      </c>
      <c r="O148" s="5" t="s">
        <v>1542</v>
      </c>
      <c r="P148" s="9" t="s">
        <v>2636</v>
      </c>
      <c r="Q148" s="5">
        <v>45278</v>
      </c>
      <c r="R148" s="209" t="s">
        <v>100</v>
      </c>
    </row>
    <row r="149" spans="1:22" ht="16.5" customHeight="1">
      <c r="A149" t="s">
        <v>64</v>
      </c>
      <c r="B149" s="10" t="s">
        <v>294</v>
      </c>
      <c r="C149" s="12" t="s">
        <v>289</v>
      </c>
      <c r="D149" s="13">
        <v>45688</v>
      </c>
      <c r="E149" s="155" t="s">
        <v>2625</v>
      </c>
      <c r="F149" s="155" t="s">
        <v>295</v>
      </c>
      <c r="G149" s="168" t="s">
        <v>7</v>
      </c>
      <c r="H149" s="156" t="s">
        <v>2627</v>
      </c>
      <c r="I149" s="69" t="s">
        <v>763</v>
      </c>
      <c r="J149" s="122">
        <v>1</v>
      </c>
      <c r="K149" s="15">
        <v>976200</v>
      </c>
      <c r="L149" s="16">
        <f t="shared" si="15"/>
        <v>976200</v>
      </c>
      <c r="M149" s="15">
        <f t="shared" si="18"/>
        <v>97620</v>
      </c>
      <c r="N149" s="15">
        <f t="shared" si="16"/>
        <v>1073820</v>
      </c>
      <c r="O149" s="5" t="s">
        <v>1542</v>
      </c>
      <c r="P149" s="9" t="s">
        <v>2636</v>
      </c>
      <c r="Q149" s="5">
        <v>45703</v>
      </c>
      <c r="R149" s="209"/>
    </row>
    <row r="150" spans="1:22" ht="16.5" customHeight="1">
      <c r="A150" t="s">
        <v>64</v>
      </c>
      <c r="B150" s="10" t="s">
        <v>318</v>
      </c>
      <c r="C150" s="12" t="s">
        <v>317</v>
      </c>
      <c r="D150" s="13">
        <v>45688</v>
      </c>
      <c r="E150" s="155" t="s">
        <v>2625</v>
      </c>
      <c r="F150" s="155" t="s">
        <v>225</v>
      </c>
      <c r="G150" s="168" t="s">
        <v>7</v>
      </c>
      <c r="H150" s="156" t="s">
        <v>2627</v>
      </c>
      <c r="I150" s="69" t="s">
        <v>773</v>
      </c>
      <c r="J150" s="122">
        <v>1</v>
      </c>
      <c r="K150" s="15">
        <v>133200</v>
      </c>
      <c r="L150" s="16">
        <f t="shared" si="15"/>
        <v>133200</v>
      </c>
      <c r="M150" s="15">
        <f t="shared" si="18"/>
        <v>13320</v>
      </c>
      <c r="N150" s="15">
        <f t="shared" si="16"/>
        <v>146520</v>
      </c>
      <c r="O150" s="5" t="s">
        <v>1542</v>
      </c>
      <c r="P150" s="9" t="s">
        <v>2636</v>
      </c>
      <c r="Q150" s="5">
        <v>45351</v>
      </c>
      <c r="R150" s="209" t="s">
        <v>100</v>
      </c>
    </row>
    <row r="151" spans="1:22" ht="16.5" customHeight="1">
      <c r="A151" t="s">
        <v>64</v>
      </c>
      <c r="B151" s="10" t="s">
        <v>334</v>
      </c>
      <c r="C151" s="12" t="s">
        <v>338</v>
      </c>
      <c r="D151" s="13">
        <v>45688</v>
      </c>
      <c r="E151" s="155" t="s">
        <v>2625</v>
      </c>
      <c r="F151" s="155" t="s">
        <v>242</v>
      </c>
      <c r="G151" s="156" t="s">
        <v>7</v>
      </c>
      <c r="H151" s="156" t="s">
        <v>2627</v>
      </c>
      <c r="I151" s="69" t="s">
        <v>770</v>
      </c>
      <c r="J151" s="122">
        <v>1</v>
      </c>
      <c r="K151" s="15">
        <v>41700</v>
      </c>
      <c r="L151" s="16">
        <f t="shared" si="15"/>
        <v>41700</v>
      </c>
      <c r="M151" s="15">
        <f t="shared" si="18"/>
        <v>4170</v>
      </c>
      <c r="N151" s="15">
        <f t="shared" si="16"/>
        <v>45870</v>
      </c>
      <c r="O151" s="5" t="s">
        <v>1542</v>
      </c>
      <c r="P151" s="9" t="s">
        <v>2636</v>
      </c>
      <c r="Q151" s="5">
        <v>45380</v>
      </c>
      <c r="R151" s="209" t="s">
        <v>100</v>
      </c>
    </row>
    <row r="152" spans="1:22" ht="16.5" customHeight="1">
      <c r="A152" t="s">
        <v>64</v>
      </c>
      <c r="B152" s="10" t="s">
        <v>306</v>
      </c>
      <c r="C152" s="12" t="s">
        <v>305</v>
      </c>
      <c r="D152" s="13">
        <v>45688</v>
      </c>
      <c r="E152" s="155" t="s">
        <v>2625</v>
      </c>
      <c r="F152" s="155" t="s">
        <v>310</v>
      </c>
      <c r="G152" s="168" t="s">
        <v>7</v>
      </c>
      <c r="H152" s="156" t="s">
        <v>2627</v>
      </c>
      <c r="I152" s="69" t="s">
        <v>774</v>
      </c>
      <c r="J152" s="122">
        <v>1</v>
      </c>
      <c r="K152" s="15">
        <v>511500</v>
      </c>
      <c r="L152" s="16">
        <f t="shared" si="15"/>
        <v>511500</v>
      </c>
      <c r="M152" s="15">
        <f t="shared" si="18"/>
        <v>51150</v>
      </c>
      <c r="N152" s="15">
        <f t="shared" si="16"/>
        <v>562650</v>
      </c>
      <c r="O152" s="5" t="s">
        <v>1542</v>
      </c>
      <c r="P152" s="9" t="s">
        <v>2636</v>
      </c>
      <c r="Q152" s="5">
        <v>45681</v>
      </c>
      <c r="R152" s="209"/>
    </row>
    <row r="153" spans="1:22" ht="16.5" customHeight="1">
      <c r="A153" t="s">
        <v>64</v>
      </c>
      <c r="B153" s="10" t="s">
        <v>320</v>
      </c>
      <c r="C153" s="12" t="s">
        <v>319</v>
      </c>
      <c r="D153" s="13">
        <v>45688</v>
      </c>
      <c r="E153" s="155" t="s">
        <v>2625</v>
      </c>
      <c r="F153" s="155" t="s">
        <v>2629</v>
      </c>
      <c r="G153" s="168" t="s">
        <v>7</v>
      </c>
      <c r="H153" s="156" t="s">
        <v>2627</v>
      </c>
      <c r="I153" s="69" t="s">
        <v>755</v>
      </c>
      <c r="J153" s="122">
        <v>1</v>
      </c>
      <c r="K153" s="15">
        <v>34200</v>
      </c>
      <c r="L153" s="16">
        <f t="shared" si="15"/>
        <v>34200</v>
      </c>
      <c r="M153" s="15">
        <f t="shared" si="18"/>
        <v>3420</v>
      </c>
      <c r="N153" s="15">
        <f t="shared" si="16"/>
        <v>37620</v>
      </c>
      <c r="O153" s="5" t="s">
        <v>1542</v>
      </c>
      <c r="P153" s="9" t="s">
        <v>2636</v>
      </c>
      <c r="Q153" s="5">
        <v>45351</v>
      </c>
      <c r="R153" s="209" t="s">
        <v>321</v>
      </c>
    </row>
    <row r="154" spans="1:22" ht="16.5" customHeight="1">
      <c r="A154" t="s">
        <v>64</v>
      </c>
      <c r="B154" s="10" t="s">
        <v>330</v>
      </c>
      <c r="C154" s="12" t="s">
        <v>332</v>
      </c>
      <c r="D154" s="13">
        <v>45688</v>
      </c>
      <c r="E154" s="155" t="s">
        <v>2625</v>
      </c>
      <c r="F154" s="155" t="s">
        <v>235</v>
      </c>
      <c r="G154" s="156" t="s">
        <v>7</v>
      </c>
      <c r="H154" s="156" t="s">
        <v>2627</v>
      </c>
      <c r="I154" s="69" t="s">
        <v>769</v>
      </c>
      <c r="J154" s="122">
        <v>1</v>
      </c>
      <c r="K154" s="15">
        <v>209700</v>
      </c>
      <c r="L154" s="16">
        <f t="shared" si="15"/>
        <v>209700</v>
      </c>
      <c r="M154" s="15">
        <f t="shared" si="18"/>
        <v>20970</v>
      </c>
      <c r="N154" s="15">
        <f t="shared" si="16"/>
        <v>230670</v>
      </c>
      <c r="O154" s="5" t="s">
        <v>1542</v>
      </c>
      <c r="P154" s="9" t="s">
        <v>2636</v>
      </c>
      <c r="Q154" s="5">
        <v>45356</v>
      </c>
      <c r="R154" s="209" t="s">
        <v>100</v>
      </c>
    </row>
    <row r="155" spans="1:22" ht="16.5" customHeight="1">
      <c r="A155" t="s">
        <v>64</v>
      </c>
      <c r="B155" s="10" t="s">
        <v>326</v>
      </c>
      <c r="C155" s="12" t="s">
        <v>325</v>
      </c>
      <c r="D155" s="13">
        <v>45688</v>
      </c>
      <c r="E155" s="155" t="s">
        <v>2625</v>
      </c>
      <c r="F155" s="155" t="s">
        <v>243</v>
      </c>
      <c r="G155" s="156" t="s">
        <v>7</v>
      </c>
      <c r="H155" s="156" t="s">
        <v>2627</v>
      </c>
      <c r="I155" s="69" t="s">
        <v>1568</v>
      </c>
      <c r="J155" s="122">
        <v>1</v>
      </c>
      <c r="K155" s="15">
        <v>256200</v>
      </c>
      <c r="L155" s="16">
        <f t="shared" si="15"/>
        <v>256200</v>
      </c>
      <c r="M155" s="15">
        <f t="shared" si="18"/>
        <v>25620</v>
      </c>
      <c r="N155" s="15">
        <f t="shared" si="16"/>
        <v>281820</v>
      </c>
      <c r="O155" s="5" t="s">
        <v>1542</v>
      </c>
      <c r="P155" s="9" t="s">
        <v>2636</v>
      </c>
      <c r="Q155" s="5">
        <v>45357</v>
      </c>
      <c r="R155" s="209" t="s">
        <v>100</v>
      </c>
    </row>
    <row r="156" spans="1:22" ht="16.5" customHeight="1">
      <c r="A156" t="s">
        <v>64</v>
      </c>
      <c r="B156" s="10" t="s">
        <v>335</v>
      </c>
      <c r="C156" s="12" t="s">
        <v>336</v>
      </c>
      <c r="D156" s="13">
        <v>45688</v>
      </c>
      <c r="E156" s="155" t="s">
        <v>2625</v>
      </c>
      <c r="F156" s="155" t="s">
        <v>333</v>
      </c>
      <c r="G156" s="156" t="s">
        <v>7</v>
      </c>
      <c r="H156" s="156" t="s">
        <v>2627</v>
      </c>
      <c r="I156" s="69" t="s">
        <v>764</v>
      </c>
      <c r="J156" s="122">
        <v>1</v>
      </c>
      <c r="K156" s="15">
        <v>159900</v>
      </c>
      <c r="L156" s="16">
        <f t="shared" si="15"/>
        <v>159900</v>
      </c>
      <c r="M156" s="15">
        <f t="shared" si="18"/>
        <v>15990</v>
      </c>
      <c r="N156" s="15">
        <f t="shared" si="16"/>
        <v>175890</v>
      </c>
      <c r="O156" s="5" t="s">
        <v>1542</v>
      </c>
      <c r="P156" s="9" t="s">
        <v>2636</v>
      </c>
      <c r="Q156" s="5">
        <v>45380</v>
      </c>
      <c r="R156" s="209" t="s">
        <v>100</v>
      </c>
    </row>
    <row r="157" spans="1:22" ht="16.5" customHeight="1">
      <c r="A157" t="s">
        <v>64</v>
      </c>
      <c r="B157" s="10" t="s">
        <v>343</v>
      </c>
      <c r="C157" s="12" t="s">
        <v>344</v>
      </c>
      <c r="D157" s="13">
        <v>45688</v>
      </c>
      <c r="E157" s="155" t="s">
        <v>2625</v>
      </c>
      <c r="F157" s="155" t="s">
        <v>240</v>
      </c>
      <c r="G157" s="156" t="s">
        <v>7</v>
      </c>
      <c r="H157" s="156" t="s">
        <v>2627</v>
      </c>
      <c r="I157" s="69" t="s">
        <v>761</v>
      </c>
      <c r="J157" s="122">
        <v>1</v>
      </c>
      <c r="K157" s="15">
        <v>111900</v>
      </c>
      <c r="L157" s="16">
        <f t="shared" si="15"/>
        <v>111900</v>
      </c>
      <c r="M157" s="15">
        <f t="shared" si="18"/>
        <v>11190</v>
      </c>
      <c r="N157" s="15">
        <f t="shared" si="16"/>
        <v>123090</v>
      </c>
      <c r="O157" s="5" t="s">
        <v>1542</v>
      </c>
      <c r="P157" s="9" t="s">
        <v>2636</v>
      </c>
      <c r="Q157" s="5">
        <v>45412</v>
      </c>
      <c r="R157" s="209" t="s">
        <v>100</v>
      </c>
      <c r="U157" s="11"/>
      <c r="V157" s="8"/>
    </row>
    <row r="158" spans="1:22" ht="16.5" customHeight="1">
      <c r="A158" t="s">
        <v>64</v>
      </c>
      <c r="B158" s="10" t="s">
        <v>355</v>
      </c>
      <c r="C158" s="139" t="s">
        <v>350</v>
      </c>
      <c r="D158" s="13">
        <v>45688</v>
      </c>
      <c r="E158" s="155" t="s">
        <v>2625</v>
      </c>
      <c r="F158" s="155" t="s">
        <v>351</v>
      </c>
      <c r="G158" s="156" t="s">
        <v>7</v>
      </c>
      <c r="H158" s="156" t="s">
        <v>2627</v>
      </c>
      <c r="I158" s="69" t="s">
        <v>767</v>
      </c>
      <c r="J158" s="122">
        <v>1</v>
      </c>
      <c r="K158" s="15">
        <v>518541</v>
      </c>
      <c r="L158" s="16">
        <f t="shared" si="15"/>
        <v>518541</v>
      </c>
      <c r="M158" s="15">
        <v>51854</v>
      </c>
      <c r="N158" s="15">
        <f t="shared" si="16"/>
        <v>570395</v>
      </c>
      <c r="O158" s="5" t="s">
        <v>1542</v>
      </c>
      <c r="P158" s="9" t="s">
        <v>2636</v>
      </c>
      <c r="Q158" s="5">
        <v>45681</v>
      </c>
      <c r="R158" s="209"/>
    </row>
    <row r="159" spans="1:22" ht="16.5" customHeight="1">
      <c r="A159" t="s">
        <v>64</v>
      </c>
      <c r="B159" s="10" t="s">
        <v>378</v>
      </c>
      <c r="C159" s="149" t="s">
        <v>379</v>
      </c>
      <c r="D159" s="13">
        <v>45688</v>
      </c>
      <c r="E159" s="155" t="s">
        <v>2625</v>
      </c>
      <c r="F159" s="155" t="s">
        <v>251</v>
      </c>
      <c r="G159" s="168" t="s">
        <v>7</v>
      </c>
      <c r="H159" s="156" t="s">
        <v>2627</v>
      </c>
      <c r="I159" s="69" t="s">
        <v>756</v>
      </c>
      <c r="J159" s="122">
        <v>1</v>
      </c>
      <c r="K159" s="15">
        <v>249900</v>
      </c>
      <c r="L159" s="16">
        <f t="shared" ref="L159:L190" si="19">J159*K159</f>
        <v>249900</v>
      </c>
      <c r="M159" s="15">
        <f>L159*10%</f>
        <v>24990</v>
      </c>
      <c r="N159" s="15">
        <f t="shared" ref="N159:N190" si="20">SUM(L159:M159)</f>
        <v>274890</v>
      </c>
      <c r="O159" s="5" t="s">
        <v>1542</v>
      </c>
      <c r="P159" s="9" t="s">
        <v>2636</v>
      </c>
      <c r="Q159" s="5">
        <v>45681</v>
      </c>
      <c r="R159" s="209"/>
      <c r="U159" s="11"/>
      <c r="V159" s="8"/>
    </row>
    <row r="160" spans="1:22" ht="16.5" customHeight="1">
      <c r="A160" t="s">
        <v>64</v>
      </c>
      <c r="B160" s="10" t="s">
        <v>389</v>
      </c>
      <c r="C160" s="12" t="s">
        <v>384</v>
      </c>
      <c r="D160" s="13">
        <v>45688</v>
      </c>
      <c r="E160" s="155" t="s">
        <v>2625</v>
      </c>
      <c r="F160" s="155" t="s">
        <v>385</v>
      </c>
      <c r="G160" s="156" t="s">
        <v>7</v>
      </c>
      <c r="H160" s="156" t="s">
        <v>2627</v>
      </c>
      <c r="I160" s="69" t="s">
        <v>771</v>
      </c>
      <c r="J160" s="122">
        <v>1</v>
      </c>
      <c r="K160" s="15">
        <v>111900</v>
      </c>
      <c r="L160" s="16">
        <f t="shared" si="19"/>
        <v>111900</v>
      </c>
      <c r="M160" s="15">
        <f>L160*10%</f>
        <v>11190</v>
      </c>
      <c r="N160" s="15">
        <f t="shared" si="20"/>
        <v>123090</v>
      </c>
      <c r="O160" s="5" t="s">
        <v>1542</v>
      </c>
      <c r="P160" s="9" t="s">
        <v>2636</v>
      </c>
      <c r="Q160" s="5">
        <v>45443</v>
      </c>
      <c r="R160" s="209" t="s">
        <v>100</v>
      </c>
    </row>
    <row r="161" spans="1:22" ht="16.5" customHeight="1">
      <c r="A161" t="s">
        <v>64</v>
      </c>
      <c r="B161" s="10" t="s">
        <v>363</v>
      </c>
      <c r="C161" s="12" t="s">
        <v>361</v>
      </c>
      <c r="D161" s="13">
        <v>45688</v>
      </c>
      <c r="E161" s="155" t="s">
        <v>2625</v>
      </c>
      <c r="F161" s="155" t="s">
        <v>2629</v>
      </c>
      <c r="G161" s="156" t="s">
        <v>7</v>
      </c>
      <c r="H161" s="156" t="s">
        <v>2627</v>
      </c>
      <c r="I161" s="69" t="s">
        <v>762</v>
      </c>
      <c r="J161" s="122">
        <v>1</v>
      </c>
      <c r="K161" s="15">
        <v>243955</v>
      </c>
      <c r="L161" s="16">
        <f t="shared" si="19"/>
        <v>243955</v>
      </c>
      <c r="M161" s="15">
        <v>24395</v>
      </c>
      <c r="N161" s="15">
        <f t="shared" si="20"/>
        <v>268350</v>
      </c>
      <c r="O161" s="5" t="s">
        <v>1542</v>
      </c>
      <c r="P161" s="9" t="s">
        <v>2636</v>
      </c>
      <c r="Q161" s="5">
        <v>45681</v>
      </c>
      <c r="R161" s="209"/>
    </row>
    <row r="162" spans="1:22" ht="16.5" customHeight="1">
      <c r="A162" t="s">
        <v>64</v>
      </c>
      <c r="B162" s="10" t="s">
        <v>354</v>
      </c>
      <c r="C162" s="12" t="s">
        <v>356</v>
      </c>
      <c r="D162" s="13">
        <v>45688</v>
      </c>
      <c r="E162" s="155" t="s">
        <v>2625</v>
      </c>
      <c r="F162" s="155" t="s">
        <v>244</v>
      </c>
      <c r="G162" s="156" t="s">
        <v>7</v>
      </c>
      <c r="H162" s="156" t="s">
        <v>2627</v>
      </c>
      <c r="I162" s="69" t="s">
        <v>759</v>
      </c>
      <c r="J162" s="122">
        <v>1</v>
      </c>
      <c r="K162" s="15">
        <v>310500</v>
      </c>
      <c r="L162" s="16">
        <f t="shared" si="19"/>
        <v>310500</v>
      </c>
      <c r="M162" s="15">
        <f t="shared" ref="M162:M205" si="21">L162*10%</f>
        <v>31050</v>
      </c>
      <c r="N162" s="15">
        <f t="shared" si="20"/>
        <v>341550</v>
      </c>
      <c r="O162" s="5" t="s">
        <v>1542</v>
      </c>
      <c r="P162" s="9" t="s">
        <v>2636</v>
      </c>
      <c r="Q162" s="5">
        <v>45747</v>
      </c>
      <c r="R162" s="209"/>
    </row>
    <row r="163" spans="1:22" ht="16.5" customHeight="1">
      <c r="A163" t="s">
        <v>64</v>
      </c>
      <c r="B163" s="10" t="s">
        <v>381</v>
      </c>
      <c r="C163" s="12" t="s">
        <v>382</v>
      </c>
      <c r="D163" s="13">
        <v>45688</v>
      </c>
      <c r="E163" s="155" t="s">
        <v>2625</v>
      </c>
      <c r="F163" s="155" t="s">
        <v>283</v>
      </c>
      <c r="G163" s="168" t="s">
        <v>7</v>
      </c>
      <c r="H163" s="156" t="s">
        <v>2627</v>
      </c>
      <c r="I163" s="69" t="s">
        <v>757</v>
      </c>
      <c r="J163" s="122">
        <v>1</v>
      </c>
      <c r="K163" s="15">
        <v>604800</v>
      </c>
      <c r="L163" s="16">
        <f t="shared" si="19"/>
        <v>604800</v>
      </c>
      <c r="M163" s="15">
        <f t="shared" si="21"/>
        <v>60480</v>
      </c>
      <c r="N163" s="15">
        <f t="shared" si="20"/>
        <v>665280</v>
      </c>
      <c r="O163" s="5" t="s">
        <v>1542</v>
      </c>
      <c r="P163" s="9" t="s">
        <v>2636</v>
      </c>
      <c r="Q163" s="5">
        <v>45681</v>
      </c>
      <c r="R163" s="209"/>
    </row>
    <row r="164" spans="1:22" ht="16.5" customHeight="1">
      <c r="A164" t="s">
        <v>64</v>
      </c>
      <c r="B164" s="10" t="s">
        <v>364</v>
      </c>
      <c r="C164" s="12" t="s">
        <v>360</v>
      </c>
      <c r="D164" s="13">
        <v>45688</v>
      </c>
      <c r="E164" s="155" t="s">
        <v>2625</v>
      </c>
      <c r="F164" s="155" t="s">
        <v>237</v>
      </c>
      <c r="G164" s="168" t="s">
        <v>7</v>
      </c>
      <c r="H164" s="156" t="s">
        <v>2627</v>
      </c>
      <c r="I164" s="69" t="s">
        <v>758</v>
      </c>
      <c r="J164" s="122">
        <v>1</v>
      </c>
      <c r="K164" s="15">
        <v>398400</v>
      </c>
      <c r="L164" s="16">
        <f t="shared" si="19"/>
        <v>398400</v>
      </c>
      <c r="M164" s="15">
        <f t="shared" si="21"/>
        <v>39840</v>
      </c>
      <c r="N164" s="15">
        <f t="shared" si="20"/>
        <v>438240</v>
      </c>
      <c r="O164" s="5" t="s">
        <v>1542</v>
      </c>
      <c r="P164" s="9" t="s">
        <v>2636</v>
      </c>
      <c r="Q164" s="5">
        <v>45414</v>
      </c>
      <c r="R164" s="209" t="s">
        <v>100</v>
      </c>
    </row>
    <row r="165" spans="1:22" ht="16.5" customHeight="1">
      <c r="A165" t="s">
        <v>64</v>
      </c>
      <c r="B165" s="10" t="s">
        <v>874</v>
      </c>
      <c r="C165" s="12" t="s">
        <v>715</v>
      </c>
      <c r="D165" s="13">
        <v>45688</v>
      </c>
      <c r="E165" s="155" t="s">
        <v>2625</v>
      </c>
      <c r="F165" s="155" t="s">
        <v>804</v>
      </c>
      <c r="G165" s="156" t="s">
        <v>805</v>
      </c>
      <c r="H165" s="156" t="s">
        <v>2626</v>
      </c>
      <c r="I165" s="69" t="s">
        <v>875</v>
      </c>
      <c r="J165" s="122">
        <v>1</v>
      </c>
      <c r="K165" s="15">
        <v>10093600</v>
      </c>
      <c r="L165" s="16">
        <f t="shared" si="19"/>
        <v>10093600</v>
      </c>
      <c r="M165" s="16">
        <f t="shared" si="21"/>
        <v>1009360</v>
      </c>
      <c r="N165" s="15">
        <f t="shared" si="20"/>
        <v>11102960</v>
      </c>
      <c r="O165" s="5" t="s">
        <v>1542</v>
      </c>
      <c r="P165" s="9" t="s">
        <v>2636</v>
      </c>
      <c r="Q165" s="5">
        <v>45688</v>
      </c>
      <c r="R165" s="213"/>
    </row>
    <row r="166" spans="1:22" ht="16.5" customHeight="1">
      <c r="B166" s="10" t="s">
        <v>786</v>
      </c>
      <c r="C166" s="12" t="s">
        <v>760</v>
      </c>
      <c r="D166" s="13">
        <v>45688</v>
      </c>
      <c r="E166" s="155" t="s">
        <v>2625</v>
      </c>
      <c r="F166" s="155" t="s">
        <v>2629</v>
      </c>
      <c r="G166" s="156" t="s">
        <v>7</v>
      </c>
      <c r="H166" s="156" t="s">
        <v>2627</v>
      </c>
      <c r="I166" s="69" t="s">
        <v>927</v>
      </c>
      <c r="J166" s="122">
        <v>1</v>
      </c>
      <c r="K166" s="15">
        <v>661800</v>
      </c>
      <c r="L166" s="16">
        <f t="shared" si="19"/>
        <v>661800</v>
      </c>
      <c r="M166" s="16">
        <f t="shared" si="21"/>
        <v>66180</v>
      </c>
      <c r="N166" s="15">
        <f t="shared" si="20"/>
        <v>727980</v>
      </c>
      <c r="O166" s="5" t="s">
        <v>1542</v>
      </c>
      <c r="P166" s="9" t="s">
        <v>2636</v>
      </c>
      <c r="Q166" s="5">
        <v>45681</v>
      </c>
      <c r="R166" s="213"/>
    </row>
    <row r="167" spans="1:22" ht="16.5" customHeight="1">
      <c r="B167" s="10" t="s">
        <v>527</v>
      </c>
      <c r="C167" s="12" t="s">
        <v>524</v>
      </c>
      <c r="D167" s="13">
        <v>45688</v>
      </c>
      <c r="E167" s="155" t="s">
        <v>2625</v>
      </c>
      <c r="F167" s="155" t="s">
        <v>231</v>
      </c>
      <c r="G167" s="156" t="s">
        <v>7</v>
      </c>
      <c r="H167" s="156" t="s">
        <v>2627</v>
      </c>
      <c r="I167" s="69" t="s">
        <v>754</v>
      </c>
      <c r="J167" s="122">
        <v>1</v>
      </c>
      <c r="K167" s="15">
        <v>319200</v>
      </c>
      <c r="L167" s="16">
        <f t="shared" si="19"/>
        <v>319200</v>
      </c>
      <c r="M167" s="15">
        <f t="shared" si="21"/>
        <v>31920</v>
      </c>
      <c r="N167" s="15">
        <f t="shared" si="20"/>
        <v>351120</v>
      </c>
      <c r="O167" s="5" t="s">
        <v>1542</v>
      </c>
      <c r="P167" s="9" t="s">
        <v>2636</v>
      </c>
      <c r="Q167" s="5">
        <v>45645</v>
      </c>
      <c r="R167" s="209" t="s">
        <v>100</v>
      </c>
    </row>
    <row r="168" spans="1:22" ht="16.5" customHeight="1">
      <c r="B168" s="10" t="s">
        <v>787</v>
      </c>
      <c r="C168" s="12" t="s">
        <v>753</v>
      </c>
      <c r="D168" s="13">
        <v>45688</v>
      </c>
      <c r="E168" s="155" t="s">
        <v>2625</v>
      </c>
      <c r="F168" s="155" t="s">
        <v>788</v>
      </c>
      <c r="G168" s="156" t="s">
        <v>7</v>
      </c>
      <c r="H168" s="156" t="s">
        <v>2627</v>
      </c>
      <c r="I168" s="69" t="s">
        <v>789</v>
      </c>
      <c r="J168" s="122">
        <v>1</v>
      </c>
      <c r="K168" s="15">
        <v>71720</v>
      </c>
      <c r="L168" s="16">
        <f t="shared" si="19"/>
        <v>71720</v>
      </c>
      <c r="M168" s="16">
        <f t="shared" si="21"/>
        <v>7172</v>
      </c>
      <c r="N168" s="15">
        <f t="shared" si="20"/>
        <v>78892</v>
      </c>
      <c r="O168" s="5" t="s">
        <v>1542</v>
      </c>
      <c r="P168" s="9" t="s">
        <v>2636</v>
      </c>
      <c r="Q168" s="5">
        <v>45681</v>
      </c>
      <c r="R168" s="209" t="s">
        <v>100</v>
      </c>
    </row>
    <row r="169" spans="1:22" ht="16.5" customHeight="1">
      <c r="B169" s="10" t="s">
        <v>528</v>
      </c>
      <c r="C169" s="12" t="s">
        <v>523</v>
      </c>
      <c r="D169" s="13">
        <v>45688</v>
      </c>
      <c r="E169" s="155" t="s">
        <v>2625</v>
      </c>
      <c r="F169" s="155" t="s">
        <v>67</v>
      </c>
      <c r="G169" s="168" t="s">
        <v>7</v>
      </c>
      <c r="H169" s="156" t="s">
        <v>2627</v>
      </c>
      <c r="I169" s="69" t="s">
        <v>749</v>
      </c>
      <c r="J169" s="122">
        <v>1</v>
      </c>
      <c r="K169" s="15">
        <v>98100</v>
      </c>
      <c r="L169" s="16">
        <f t="shared" si="19"/>
        <v>98100</v>
      </c>
      <c r="M169" s="15">
        <f t="shared" si="21"/>
        <v>9810</v>
      </c>
      <c r="N169" s="15">
        <f t="shared" si="20"/>
        <v>107910</v>
      </c>
      <c r="O169" s="5" t="s">
        <v>1542</v>
      </c>
      <c r="P169" s="9" t="s">
        <v>2636</v>
      </c>
      <c r="Q169" s="5">
        <v>45659</v>
      </c>
      <c r="R169" s="209" t="s">
        <v>100</v>
      </c>
    </row>
    <row r="170" spans="1:22" ht="16.5" customHeight="1">
      <c r="B170" s="10" t="s">
        <v>792</v>
      </c>
      <c r="C170" s="12" t="s">
        <v>750</v>
      </c>
      <c r="D170" s="13">
        <v>45688</v>
      </c>
      <c r="E170" s="155" t="s">
        <v>2625</v>
      </c>
      <c r="F170" s="155" t="s">
        <v>2629</v>
      </c>
      <c r="G170" s="168" t="s">
        <v>7</v>
      </c>
      <c r="H170" s="156" t="s">
        <v>2627</v>
      </c>
      <c r="I170" s="69" t="s">
        <v>793</v>
      </c>
      <c r="J170" s="122">
        <v>1</v>
      </c>
      <c r="K170" s="15">
        <v>1196100</v>
      </c>
      <c r="L170" s="16">
        <f t="shared" si="19"/>
        <v>1196100</v>
      </c>
      <c r="M170" s="16">
        <f t="shared" si="21"/>
        <v>119610</v>
      </c>
      <c r="N170" s="15">
        <f t="shared" si="20"/>
        <v>1315710</v>
      </c>
      <c r="O170" s="5" t="s">
        <v>1542</v>
      </c>
      <c r="P170" s="9" t="s">
        <v>2636</v>
      </c>
      <c r="Q170" s="5">
        <v>45681</v>
      </c>
      <c r="R170" s="213"/>
    </row>
    <row r="171" spans="1:22" ht="16.5" customHeight="1">
      <c r="B171" s="10" t="s">
        <v>796</v>
      </c>
      <c r="C171" s="12" t="s">
        <v>897</v>
      </c>
      <c r="D171" s="13">
        <v>45688</v>
      </c>
      <c r="E171" s="155" t="s">
        <v>2625</v>
      </c>
      <c r="F171" s="155" t="s">
        <v>291</v>
      </c>
      <c r="G171" s="168" t="s">
        <v>7</v>
      </c>
      <c r="H171" s="156" t="s">
        <v>2627</v>
      </c>
      <c r="I171" s="69" t="s">
        <v>797</v>
      </c>
      <c r="J171" s="122">
        <v>1</v>
      </c>
      <c r="K171" s="15">
        <v>89910</v>
      </c>
      <c r="L171" s="16">
        <f t="shared" si="19"/>
        <v>89910</v>
      </c>
      <c r="M171" s="16">
        <f t="shared" si="21"/>
        <v>8991</v>
      </c>
      <c r="N171" s="15">
        <f t="shared" si="20"/>
        <v>98901</v>
      </c>
      <c r="O171" s="5" t="s">
        <v>1542</v>
      </c>
      <c r="P171" s="9" t="s">
        <v>2636</v>
      </c>
      <c r="Q171" s="5">
        <v>45661</v>
      </c>
      <c r="R171" s="209" t="s">
        <v>100</v>
      </c>
    </row>
    <row r="172" spans="1:22" ht="16.5" customHeight="1">
      <c r="B172" s="10" t="s">
        <v>790</v>
      </c>
      <c r="C172" s="12" t="s">
        <v>751</v>
      </c>
      <c r="D172" s="13">
        <v>45688</v>
      </c>
      <c r="E172" s="155" t="s">
        <v>2625</v>
      </c>
      <c r="F172" s="155" t="s">
        <v>2629</v>
      </c>
      <c r="G172" s="168" t="s">
        <v>7</v>
      </c>
      <c r="H172" s="156" t="s">
        <v>2627</v>
      </c>
      <c r="I172" s="69" t="s">
        <v>791</v>
      </c>
      <c r="J172" s="122">
        <v>1</v>
      </c>
      <c r="K172" s="15">
        <v>590400</v>
      </c>
      <c r="L172" s="16">
        <f t="shared" si="19"/>
        <v>590400</v>
      </c>
      <c r="M172" s="16">
        <f t="shared" si="21"/>
        <v>59040</v>
      </c>
      <c r="N172" s="15">
        <f t="shared" si="20"/>
        <v>649440</v>
      </c>
      <c r="O172" s="5" t="s">
        <v>1542</v>
      </c>
      <c r="P172" s="9" t="s">
        <v>2636</v>
      </c>
      <c r="Q172" s="5">
        <v>45681</v>
      </c>
      <c r="R172" s="213"/>
    </row>
    <row r="173" spans="1:22" ht="16.5" customHeight="1">
      <c r="B173" s="10" t="s">
        <v>794</v>
      </c>
      <c r="C173" s="12" t="s">
        <v>748</v>
      </c>
      <c r="D173" s="13">
        <v>45688</v>
      </c>
      <c r="E173" s="155" t="s">
        <v>2625</v>
      </c>
      <c r="F173" s="155" t="s">
        <v>2629</v>
      </c>
      <c r="G173" s="168" t="s">
        <v>7</v>
      </c>
      <c r="H173" s="156" t="s">
        <v>2627</v>
      </c>
      <c r="I173" s="69" t="s">
        <v>795</v>
      </c>
      <c r="J173" s="122">
        <v>1</v>
      </c>
      <c r="K173" s="15">
        <v>289800</v>
      </c>
      <c r="L173" s="16">
        <f t="shared" si="19"/>
        <v>289800</v>
      </c>
      <c r="M173" s="16">
        <f t="shared" si="21"/>
        <v>28980</v>
      </c>
      <c r="N173" s="15">
        <f t="shared" si="20"/>
        <v>318780</v>
      </c>
      <c r="O173" s="5" t="s">
        <v>1542</v>
      </c>
      <c r="P173" s="9" t="s">
        <v>2636</v>
      </c>
      <c r="Q173" s="5">
        <v>45681</v>
      </c>
      <c r="R173" s="213"/>
    </row>
    <row r="174" spans="1:22" ht="16.5" customHeight="1">
      <c r="A174" t="s">
        <v>64</v>
      </c>
      <c r="B174" s="10" t="s">
        <v>370</v>
      </c>
      <c r="C174" s="12" t="s">
        <v>388</v>
      </c>
      <c r="D174" s="13">
        <v>45688</v>
      </c>
      <c r="E174" s="155" t="s">
        <v>2625</v>
      </c>
      <c r="F174" s="155" t="s">
        <v>252</v>
      </c>
      <c r="G174" s="156" t="s">
        <v>7</v>
      </c>
      <c r="H174" s="156" t="s">
        <v>2627</v>
      </c>
      <c r="I174" s="69" t="s">
        <v>752</v>
      </c>
      <c r="J174" s="122">
        <v>1</v>
      </c>
      <c r="K174" s="15">
        <v>52200</v>
      </c>
      <c r="L174" s="16">
        <f t="shared" si="19"/>
        <v>52200</v>
      </c>
      <c r="M174" s="15">
        <f t="shared" si="21"/>
        <v>5220</v>
      </c>
      <c r="N174" s="15">
        <f t="shared" si="20"/>
        <v>57420</v>
      </c>
      <c r="O174" s="5" t="s">
        <v>1542</v>
      </c>
      <c r="P174" s="9" t="s">
        <v>2636</v>
      </c>
      <c r="Q174" s="5">
        <v>45471</v>
      </c>
      <c r="R174" s="209" t="s">
        <v>100</v>
      </c>
      <c r="U174" s="11"/>
      <c r="V174" s="8"/>
    </row>
    <row r="175" spans="1:22" ht="16.5" customHeight="1">
      <c r="A175" t="s">
        <v>64</v>
      </c>
      <c r="B175" s="10" t="s">
        <v>362</v>
      </c>
      <c r="C175" s="12" t="s">
        <v>358</v>
      </c>
      <c r="D175" s="13">
        <v>45688</v>
      </c>
      <c r="E175" s="155" t="s">
        <v>2625</v>
      </c>
      <c r="F175" s="155" t="s">
        <v>224</v>
      </c>
      <c r="G175" s="156" t="s">
        <v>7</v>
      </c>
      <c r="H175" s="156" t="s">
        <v>2627</v>
      </c>
      <c r="I175" s="69" t="s">
        <v>747</v>
      </c>
      <c r="J175" s="122">
        <v>1</v>
      </c>
      <c r="K175" s="15">
        <v>45600</v>
      </c>
      <c r="L175" s="16">
        <f t="shared" si="19"/>
        <v>45600</v>
      </c>
      <c r="M175" s="15">
        <f t="shared" si="21"/>
        <v>4560</v>
      </c>
      <c r="N175" s="15">
        <f t="shared" si="20"/>
        <v>50160</v>
      </c>
      <c r="O175" s="5" t="s">
        <v>1542</v>
      </c>
      <c r="P175" s="9" t="s">
        <v>2636</v>
      </c>
      <c r="Q175" s="5">
        <v>45412</v>
      </c>
      <c r="R175" s="209" t="s">
        <v>100</v>
      </c>
    </row>
    <row r="176" spans="1:22" ht="16.5" customHeight="1">
      <c r="A176" t="s">
        <v>64</v>
      </c>
      <c r="B176" s="10" t="s">
        <v>362</v>
      </c>
      <c r="C176" s="12" t="s">
        <v>359</v>
      </c>
      <c r="D176" s="13">
        <v>45688</v>
      </c>
      <c r="E176" s="155" t="s">
        <v>2625</v>
      </c>
      <c r="F176" s="155" t="s">
        <v>224</v>
      </c>
      <c r="G176" s="156" t="s">
        <v>7</v>
      </c>
      <c r="H176" s="156" t="s">
        <v>2627</v>
      </c>
      <c r="I176" s="69" t="s">
        <v>747</v>
      </c>
      <c r="J176" s="122">
        <v>1</v>
      </c>
      <c r="K176" s="15">
        <v>153900</v>
      </c>
      <c r="L176" s="16">
        <f t="shared" si="19"/>
        <v>153900</v>
      </c>
      <c r="M176" s="15">
        <f t="shared" si="21"/>
        <v>15390</v>
      </c>
      <c r="N176" s="15">
        <f t="shared" si="20"/>
        <v>169290</v>
      </c>
      <c r="O176" s="5" t="s">
        <v>1542</v>
      </c>
      <c r="P176" s="9" t="s">
        <v>2636</v>
      </c>
      <c r="Q176" s="5">
        <v>45412</v>
      </c>
      <c r="R176" s="209" t="s">
        <v>100</v>
      </c>
    </row>
    <row r="177" spans="1:22" ht="16.5" customHeight="1">
      <c r="A177" t="s">
        <v>64</v>
      </c>
      <c r="B177" s="10" t="s">
        <v>375</v>
      </c>
      <c r="C177" s="149" t="s">
        <v>376</v>
      </c>
      <c r="D177" s="13">
        <v>45688</v>
      </c>
      <c r="E177" s="155" t="s">
        <v>2625</v>
      </c>
      <c r="F177" s="155" t="s">
        <v>249</v>
      </c>
      <c r="G177" s="156" t="s">
        <v>7</v>
      </c>
      <c r="H177" s="156" t="s">
        <v>2627</v>
      </c>
      <c r="I177" s="69" t="s">
        <v>752</v>
      </c>
      <c r="J177" s="122">
        <v>1</v>
      </c>
      <c r="K177" s="15">
        <v>170400</v>
      </c>
      <c r="L177" s="16">
        <f t="shared" si="19"/>
        <v>170400</v>
      </c>
      <c r="M177" s="15">
        <f t="shared" si="21"/>
        <v>17040</v>
      </c>
      <c r="N177" s="15">
        <f t="shared" si="20"/>
        <v>187440</v>
      </c>
      <c r="O177" s="5" t="s">
        <v>1542</v>
      </c>
      <c r="P177" s="9" t="s">
        <v>2636</v>
      </c>
      <c r="Q177" s="5">
        <v>45471</v>
      </c>
      <c r="R177" s="209" t="s">
        <v>100</v>
      </c>
      <c r="U177" s="11"/>
      <c r="V177" s="8"/>
    </row>
    <row r="178" spans="1:22" ht="16.5" customHeight="1">
      <c r="A178" t="s">
        <v>64</v>
      </c>
      <c r="B178" s="10" t="s">
        <v>377</v>
      </c>
      <c r="C178" s="12" t="s">
        <v>380</v>
      </c>
      <c r="D178" s="13">
        <v>45688</v>
      </c>
      <c r="E178" s="155" t="s">
        <v>2625</v>
      </c>
      <c r="F178" s="155" t="s">
        <v>219</v>
      </c>
      <c r="G178" s="168" t="s">
        <v>7</v>
      </c>
      <c r="H178" s="156" t="s">
        <v>2627</v>
      </c>
      <c r="I178" s="69" t="s">
        <v>746</v>
      </c>
      <c r="J178" s="122">
        <v>1</v>
      </c>
      <c r="K178" s="15">
        <v>101400</v>
      </c>
      <c r="L178" s="16">
        <f t="shared" si="19"/>
        <v>101400</v>
      </c>
      <c r="M178" s="15">
        <f t="shared" si="21"/>
        <v>10140</v>
      </c>
      <c r="N178" s="15">
        <f t="shared" si="20"/>
        <v>111540</v>
      </c>
      <c r="O178" s="5" t="s">
        <v>1542</v>
      </c>
      <c r="P178" s="9" t="s">
        <v>2636</v>
      </c>
      <c r="Q178" s="5">
        <v>45681</v>
      </c>
      <c r="R178" s="209"/>
    </row>
    <row r="179" spans="1:22" ht="16.5" customHeight="1">
      <c r="A179" t="s">
        <v>64</v>
      </c>
      <c r="B179" s="10" t="s">
        <v>390</v>
      </c>
      <c r="C179" s="12" t="s">
        <v>386</v>
      </c>
      <c r="D179" s="13">
        <v>45688</v>
      </c>
      <c r="E179" s="155" t="s">
        <v>2625</v>
      </c>
      <c r="F179" s="155" t="s">
        <v>97</v>
      </c>
      <c r="G179" s="156" t="s">
        <v>7</v>
      </c>
      <c r="H179" s="156" t="s">
        <v>2627</v>
      </c>
      <c r="I179" s="69" t="s">
        <v>193</v>
      </c>
      <c r="J179" s="122">
        <v>1</v>
      </c>
      <c r="K179" s="15">
        <v>171600</v>
      </c>
      <c r="L179" s="16">
        <f t="shared" si="19"/>
        <v>171600</v>
      </c>
      <c r="M179" s="15">
        <f t="shared" si="21"/>
        <v>17160</v>
      </c>
      <c r="N179" s="15">
        <f t="shared" si="20"/>
        <v>188760</v>
      </c>
      <c r="O179" s="5" t="s">
        <v>1542</v>
      </c>
      <c r="P179" s="9" t="s">
        <v>2636</v>
      </c>
      <c r="Q179" s="5">
        <v>45658</v>
      </c>
      <c r="R179" s="209"/>
    </row>
    <row r="180" spans="1:22" ht="16.5" customHeight="1">
      <c r="A180" t="s">
        <v>64</v>
      </c>
      <c r="B180" s="10" t="s">
        <v>406</v>
      </c>
      <c r="C180" s="12" t="s">
        <v>407</v>
      </c>
      <c r="D180" s="13">
        <v>45688</v>
      </c>
      <c r="E180" s="155" t="s">
        <v>2625</v>
      </c>
      <c r="F180" s="155" t="s">
        <v>259</v>
      </c>
      <c r="G180" s="156" t="s">
        <v>7</v>
      </c>
      <c r="H180" s="156" t="s">
        <v>2627</v>
      </c>
      <c r="I180" s="69" t="s">
        <v>742</v>
      </c>
      <c r="J180" s="122">
        <v>1</v>
      </c>
      <c r="K180" s="15">
        <v>1120200</v>
      </c>
      <c r="L180" s="16">
        <f t="shared" si="19"/>
        <v>1120200</v>
      </c>
      <c r="M180" s="15">
        <f t="shared" si="21"/>
        <v>112020</v>
      </c>
      <c r="N180" s="15">
        <f t="shared" si="20"/>
        <v>1232220</v>
      </c>
      <c r="O180" s="5" t="s">
        <v>1542</v>
      </c>
      <c r="P180" s="9" t="s">
        <v>2636</v>
      </c>
      <c r="Q180" s="5">
        <v>45658</v>
      </c>
      <c r="R180" s="209"/>
    </row>
    <row r="181" spans="1:22" ht="16.5" customHeight="1">
      <c r="A181" t="s">
        <v>64</v>
      </c>
      <c r="B181" s="10" t="s">
        <v>393</v>
      </c>
      <c r="C181" s="12" t="s">
        <v>392</v>
      </c>
      <c r="D181" s="13">
        <v>45688</v>
      </c>
      <c r="E181" s="155" t="s">
        <v>2625</v>
      </c>
      <c r="F181" s="155" t="s">
        <v>234</v>
      </c>
      <c r="G181" s="168" t="s">
        <v>7</v>
      </c>
      <c r="H181" s="156" t="s">
        <v>2627</v>
      </c>
      <c r="I181" s="69" t="s">
        <v>2510</v>
      </c>
      <c r="J181" s="122">
        <v>1</v>
      </c>
      <c r="K181" s="15">
        <v>1706400</v>
      </c>
      <c r="L181" s="16">
        <f t="shared" si="19"/>
        <v>1706400</v>
      </c>
      <c r="M181" s="15">
        <f t="shared" si="21"/>
        <v>170640</v>
      </c>
      <c r="N181" s="15">
        <f t="shared" si="20"/>
        <v>1877040</v>
      </c>
      <c r="O181" s="5" t="s">
        <v>1542</v>
      </c>
      <c r="P181" s="9" t="s">
        <v>2636</v>
      </c>
      <c r="Q181" s="5">
        <v>45658</v>
      </c>
      <c r="R181" s="209" t="s">
        <v>147</v>
      </c>
    </row>
    <row r="182" spans="1:22" ht="16.5" customHeight="1">
      <c r="A182" t="s">
        <v>64</v>
      </c>
      <c r="B182" s="10" t="s">
        <v>408</v>
      </c>
      <c r="C182" s="12" t="s">
        <v>409</v>
      </c>
      <c r="D182" s="13">
        <v>45688</v>
      </c>
      <c r="E182" s="155" t="s">
        <v>2625</v>
      </c>
      <c r="F182" s="155" t="s">
        <v>13</v>
      </c>
      <c r="G182" s="168" t="s">
        <v>7</v>
      </c>
      <c r="H182" s="156" t="s">
        <v>2627</v>
      </c>
      <c r="I182" s="69" t="s">
        <v>741</v>
      </c>
      <c r="J182" s="122">
        <v>1</v>
      </c>
      <c r="K182" s="15">
        <v>173400</v>
      </c>
      <c r="L182" s="16">
        <f t="shared" si="19"/>
        <v>173400</v>
      </c>
      <c r="M182" s="15">
        <f t="shared" si="21"/>
        <v>17340</v>
      </c>
      <c r="N182" s="15">
        <f t="shared" si="20"/>
        <v>190740</v>
      </c>
      <c r="O182" s="5" t="s">
        <v>1542</v>
      </c>
      <c r="P182" s="9" t="s">
        <v>2636</v>
      </c>
      <c r="Q182" s="5">
        <v>45489</v>
      </c>
      <c r="R182" s="213" t="s">
        <v>100</v>
      </c>
    </row>
    <row r="183" spans="1:22" ht="16.5" customHeight="1">
      <c r="A183" t="s">
        <v>64</v>
      </c>
      <c r="B183" s="10" t="s">
        <v>410</v>
      </c>
      <c r="C183" s="12" t="s">
        <v>411</v>
      </c>
      <c r="D183" s="13">
        <v>45688</v>
      </c>
      <c r="E183" s="155" t="s">
        <v>2625</v>
      </c>
      <c r="F183" s="155" t="s">
        <v>2629</v>
      </c>
      <c r="G183" s="168" t="s">
        <v>7</v>
      </c>
      <c r="H183" s="156" t="s">
        <v>2627</v>
      </c>
      <c r="I183" s="69" t="s">
        <v>745</v>
      </c>
      <c r="J183" s="122">
        <v>1</v>
      </c>
      <c r="K183" s="15">
        <v>505200</v>
      </c>
      <c r="L183" s="16">
        <f t="shared" si="19"/>
        <v>505200</v>
      </c>
      <c r="M183" s="15">
        <f t="shared" si="21"/>
        <v>50520</v>
      </c>
      <c r="N183" s="15">
        <f t="shared" si="20"/>
        <v>555720</v>
      </c>
      <c r="O183" s="5" t="s">
        <v>1542</v>
      </c>
      <c r="P183" s="177" t="s">
        <v>2636</v>
      </c>
      <c r="Q183" s="5">
        <v>45681</v>
      </c>
      <c r="R183" s="209"/>
    </row>
    <row r="184" spans="1:22" ht="16.5" customHeight="1">
      <c r="A184" t="s">
        <v>64</v>
      </c>
      <c r="B184" s="10" t="s">
        <v>433</v>
      </c>
      <c r="C184" s="12" t="s">
        <v>427</v>
      </c>
      <c r="D184" s="13">
        <v>45688</v>
      </c>
      <c r="E184" s="155" t="s">
        <v>2625</v>
      </c>
      <c r="F184" s="155" t="s">
        <v>224</v>
      </c>
      <c r="G184" s="156" t="s">
        <v>7</v>
      </c>
      <c r="H184" s="156" t="s">
        <v>2627</v>
      </c>
      <c r="I184" s="69" t="s">
        <v>743</v>
      </c>
      <c r="J184" s="122">
        <v>1</v>
      </c>
      <c r="K184" s="15">
        <v>334800</v>
      </c>
      <c r="L184" s="16">
        <f t="shared" si="19"/>
        <v>334800</v>
      </c>
      <c r="M184" s="15">
        <f t="shared" si="21"/>
        <v>33480</v>
      </c>
      <c r="N184" s="15">
        <f t="shared" si="20"/>
        <v>368280</v>
      </c>
      <c r="O184" s="5" t="s">
        <v>1542</v>
      </c>
      <c r="P184" s="9" t="s">
        <v>2636</v>
      </c>
      <c r="Q184" s="5">
        <v>45504</v>
      </c>
      <c r="R184" s="209" t="s">
        <v>100</v>
      </c>
    </row>
    <row r="185" spans="1:22" ht="16.5" customHeight="1">
      <c r="A185" t="s">
        <v>64</v>
      </c>
      <c r="B185" s="10" t="s">
        <v>434</v>
      </c>
      <c r="C185" s="12" t="s">
        <v>428</v>
      </c>
      <c r="D185" s="13">
        <v>45688</v>
      </c>
      <c r="E185" s="155" t="s">
        <v>2625</v>
      </c>
      <c r="F185" s="155" t="s">
        <v>2629</v>
      </c>
      <c r="G185" s="156" t="s">
        <v>7</v>
      </c>
      <c r="H185" s="156" t="s">
        <v>2627</v>
      </c>
      <c r="I185" s="69" t="s">
        <v>744</v>
      </c>
      <c r="J185" s="122">
        <v>1</v>
      </c>
      <c r="K185" s="15">
        <v>204600</v>
      </c>
      <c r="L185" s="16">
        <f t="shared" si="19"/>
        <v>204600</v>
      </c>
      <c r="M185" s="15">
        <f t="shared" si="21"/>
        <v>20460</v>
      </c>
      <c r="N185" s="15">
        <f t="shared" si="20"/>
        <v>225060</v>
      </c>
      <c r="O185" s="5" t="s">
        <v>1542</v>
      </c>
      <c r="P185" s="9" t="s">
        <v>2636</v>
      </c>
      <c r="Q185" s="5">
        <v>45681</v>
      </c>
      <c r="R185" s="209"/>
    </row>
    <row r="186" spans="1:22" ht="16.5" customHeight="1">
      <c r="A186" t="s">
        <v>64</v>
      </c>
      <c r="B186" s="10" t="s">
        <v>435</v>
      </c>
      <c r="C186" s="12" t="s">
        <v>429</v>
      </c>
      <c r="D186" s="13">
        <v>45688</v>
      </c>
      <c r="E186" s="155" t="s">
        <v>2625</v>
      </c>
      <c r="F186" s="155" t="s">
        <v>248</v>
      </c>
      <c r="G186" s="156" t="s">
        <v>7</v>
      </c>
      <c r="H186" s="156" t="s">
        <v>2627</v>
      </c>
      <c r="I186" s="69" t="s">
        <v>546</v>
      </c>
      <c r="J186" s="122">
        <v>1</v>
      </c>
      <c r="K186" s="15">
        <v>499500</v>
      </c>
      <c r="L186" s="16">
        <f t="shared" si="19"/>
        <v>499500</v>
      </c>
      <c r="M186" s="15">
        <f t="shared" si="21"/>
        <v>49950</v>
      </c>
      <c r="N186" s="15">
        <f t="shared" si="20"/>
        <v>549450</v>
      </c>
      <c r="O186" s="5" t="s">
        <v>1542</v>
      </c>
      <c r="P186" s="9" t="s">
        <v>2636</v>
      </c>
      <c r="Q186" s="5">
        <v>45681</v>
      </c>
      <c r="R186" s="209"/>
    </row>
    <row r="187" spans="1:22" ht="16.5" customHeight="1">
      <c r="A187" t="s">
        <v>64</v>
      </c>
      <c r="B187" s="10" t="s">
        <v>436</v>
      </c>
      <c r="C187" s="12" t="s">
        <v>430</v>
      </c>
      <c r="D187" s="13">
        <v>45688</v>
      </c>
      <c r="E187" s="155" t="s">
        <v>2625</v>
      </c>
      <c r="F187" s="155" t="s">
        <v>226</v>
      </c>
      <c r="G187" s="156" t="s">
        <v>7</v>
      </c>
      <c r="H187" s="156" t="s">
        <v>2627</v>
      </c>
      <c r="I187" s="69" t="s">
        <v>2552</v>
      </c>
      <c r="J187" s="122">
        <v>1</v>
      </c>
      <c r="K187" s="15">
        <v>251700</v>
      </c>
      <c r="L187" s="16">
        <f t="shared" si="19"/>
        <v>251700</v>
      </c>
      <c r="M187" s="15">
        <f t="shared" si="21"/>
        <v>25170</v>
      </c>
      <c r="N187" s="15">
        <f t="shared" si="20"/>
        <v>276870</v>
      </c>
      <c r="O187" s="5" t="s">
        <v>1542</v>
      </c>
      <c r="P187" s="9" t="s">
        <v>2636</v>
      </c>
      <c r="Q187" s="5">
        <v>45504</v>
      </c>
      <c r="R187" s="209" t="s">
        <v>100</v>
      </c>
    </row>
    <row r="188" spans="1:22" ht="16.5" customHeight="1">
      <c r="A188" t="s">
        <v>64</v>
      </c>
      <c r="B188" s="10" t="s">
        <v>432</v>
      </c>
      <c r="C188" s="12" t="s">
        <v>431</v>
      </c>
      <c r="D188" s="13">
        <v>45688</v>
      </c>
      <c r="E188" s="155" t="s">
        <v>2625</v>
      </c>
      <c r="F188" s="155" t="s">
        <v>331</v>
      </c>
      <c r="G188" s="156" t="s">
        <v>7</v>
      </c>
      <c r="H188" s="156" t="s">
        <v>2627</v>
      </c>
      <c r="I188" s="69" t="s">
        <v>735</v>
      </c>
      <c r="J188" s="122">
        <v>1</v>
      </c>
      <c r="K188" s="15">
        <v>111600</v>
      </c>
      <c r="L188" s="16">
        <f t="shared" si="19"/>
        <v>111600</v>
      </c>
      <c r="M188" s="15">
        <f t="shared" si="21"/>
        <v>11160</v>
      </c>
      <c r="N188" s="15">
        <f t="shared" si="20"/>
        <v>122760</v>
      </c>
      <c r="O188" s="5" t="s">
        <v>1542</v>
      </c>
      <c r="P188" s="9" t="s">
        <v>2636</v>
      </c>
      <c r="Q188" s="5">
        <v>45590</v>
      </c>
      <c r="R188" s="209" t="s">
        <v>100</v>
      </c>
    </row>
    <row r="189" spans="1:22" ht="16.5" customHeight="1">
      <c r="A189" t="s">
        <v>64</v>
      </c>
      <c r="B189" s="10" t="s">
        <v>413</v>
      </c>
      <c r="C189" s="12" t="s">
        <v>437</v>
      </c>
      <c r="D189" s="13">
        <v>45688</v>
      </c>
      <c r="E189" s="155" t="s">
        <v>2625</v>
      </c>
      <c r="F189" s="155" t="s">
        <v>101</v>
      </c>
      <c r="G189" s="156" t="s">
        <v>98</v>
      </c>
      <c r="H189" s="156" t="s">
        <v>2627</v>
      </c>
      <c r="I189" s="69" t="s">
        <v>281</v>
      </c>
      <c r="J189" s="122">
        <v>1</v>
      </c>
      <c r="K189" s="15">
        <v>276600</v>
      </c>
      <c r="L189" s="16">
        <f t="shared" si="19"/>
        <v>276600</v>
      </c>
      <c r="M189" s="15">
        <f t="shared" si="21"/>
        <v>27660</v>
      </c>
      <c r="N189" s="15">
        <f t="shared" si="20"/>
        <v>304260</v>
      </c>
      <c r="O189" s="5" t="s">
        <v>1542</v>
      </c>
      <c r="P189" s="9" t="s">
        <v>2636</v>
      </c>
      <c r="Q189" s="5">
        <v>45534</v>
      </c>
      <c r="R189" s="209" t="s">
        <v>100</v>
      </c>
    </row>
    <row r="190" spans="1:22" ht="16.5" customHeight="1">
      <c r="A190" t="s">
        <v>64</v>
      </c>
      <c r="B190" s="10" t="s">
        <v>439</v>
      </c>
      <c r="C190" s="12" t="s">
        <v>438</v>
      </c>
      <c r="D190" s="13">
        <v>45688</v>
      </c>
      <c r="E190" s="155" t="s">
        <v>2625</v>
      </c>
      <c r="F190" s="155" t="s">
        <v>226</v>
      </c>
      <c r="G190" s="156" t="s">
        <v>98</v>
      </c>
      <c r="H190" s="156" t="s">
        <v>2627</v>
      </c>
      <c r="I190" s="69" t="s">
        <v>198</v>
      </c>
      <c r="J190" s="122">
        <v>1</v>
      </c>
      <c r="K190" s="15">
        <v>226200</v>
      </c>
      <c r="L190" s="16">
        <f t="shared" si="19"/>
        <v>226200</v>
      </c>
      <c r="M190" s="15">
        <f t="shared" si="21"/>
        <v>22620</v>
      </c>
      <c r="N190" s="15">
        <f t="shared" si="20"/>
        <v>248820</v>
      </c>
      <c r="O190" s="5" t="s">
        <v>1542</v>
      </c>
      <c r="P190" s="9" t="s">
        <v>2636</v>
      </c>
      <c r="Q190" s="5">
        <v>45565</v>
      </c>
      <c r="R190" s="209" t="s">
        <v>100</v>
      </c>
    </row>
    <row r="191" spans="1:22" ht="16.5" customHeight="1">
      <c r="A191" t="s">
        <v>64</v>
      </c>
      <c r="B191" s="10" t="s">
        <v>445</v>
      </c>
      <c r="C191" s="12" t="s">
        <v>440</v>
      </c>
      <c r="D191" s="13">
        <v>45688</v>
      </c>
      <c r="E191" s="155" t="s">
        <v>2625</v>
      </c>
      <c r="F191" s="155" t="s">
        <v>223</v>
      </c>
      <c r="G191" s="168" t="s">
        <v>7</v>
      </c>
      <c r="H191" s="156" t="s">
        <v>2627</v>
      </c>
      <c r="I191" s="69" t="s">
        <v>279</v>
      </c>
      <c r="J191" s="122">
        <v>1</v>
      </c>
      <c r="K191" s="15">
        <v>78000</v>
      </c>
      <c r="L191" s="16">
        <f t="shared" ref="L191:L205" si="22">J191*K191</f>
        <v>78000</v>
      </c>
      <c r="M191" s="15">
        <f t="shared" si="21"/>
        <v>7800</v>
      </c>
      <c r="N191" s="15">
        <f t="shared" ref="N191:N205" si="23">SUM(L191:M191)</f>
        <v>85800</v>
      </c>
      <c r="O191" s="5" t="s">
        <v>1542</v>
      </c>
      <c r="P191" s="9" t="s">
        <v>2636</v>
      </c>
      <c r="Q191" s="5">
        <v>45565</v>
      </c>
      <c r="R191" s="209" t="s">
        <v>100</v>
      </c>
    </row>
    <row r="192" spans="1:22" ht="16.5" customHeight="1">
      <c r="A192" t="s">
        <v>64</v>
      </c>
      <c r="B192" s="10" t="s">
        <v>446</v>
      </c>
      <c r="C192" s="12" t="s">
        <v>441</v>
      </c>
      <c r="D192" s="13">
        <v>45688</v>
      </c>
      <c r="E192" s="155" t="s">
        <v>2625</v>
      </c>
      <c r="F192" s="155" t="s">
        <v>216</v>
      </c>
      <c r="G192" s="168" t="s">
        <v>7</v>
      </c>
      <c r="H192" s="156" t="s">
        <v>2627</v>
      </c>
      <c r="I192" s="69" t="s">
        <v>2604</v>
      </c>
      <c r="J192" s="122">
        <v>1</v>
      </c>
      <c r="K192" s="15">
        <v>534900</v>
      </c>
      <c r="L192" s="16">
        <f t="shared" si="22"/>
        <v>534900</v>
      </c>
      <c r="M192" s="15">
        <f t="shared" si="21"/>
        <v>53490</v>
      </c>
      <c r="N192" s="15">
        <f t="shared" si="23"/>
        <v>588390</v>
      </c>
      <c r="O192" s="5" t="s">
        <v>1542</v>
      </c>
      <c r="P192" s="9" t="s">
        <v>2636</v>
      </c>
      <c r="Q192" s="5">
        <v>45560</v>
      </c>
      <c r="R192" s="209" t="s">
        <v>100</v>
      </c>
    </row>
    <row r="193" spans="1:18" ht="16.5" customHeight="1">
      <c r="A193" t="s">
        <v>64</v>
      </c>
      <c r="B193" s="10" t="s">
        <v>426</v>
      </c>
      <c r="C193" s="12" t="s">
        <v>425</v>
      </c>
      <c r="D193" s="13">
        <v>45688</v>
      </c>
      <c r="E193" s="155" t="s">
        <v>2625</v>
      </c>
      <c r="F193" s="155" t="s">
        <v>220</v>
      </c>
      <c r="G193" s="168" t="s">
        <v>7</v>
      </c>
      <c r="H193" s="156" t="s">
        <v>2627</v>
      </c>
      <c r="I193" s="69" t="s">
        <v>738</v>
      </c>
      <c r="J193" s="122">
        <v>1</v>
      </c>
      <c r="K193" s="15">
        <v>11892900</v>
      </c>
      <c r="L193" s="16">
        <f t="shared" si="22"/>
        <v>11892900</v>
      </c>
      <c r="M193" s="15">
        <f t="shared" si="21"/>
        <v>1189290</v>
      </c>
      <c r="N193" s="15">
        <f t="shared" si="23"/>
        <v>13082190</v>
      </c>
      <c r="O193" s="5" t="s">
        <v>1542</v>
      </c>
      <c r="P193" s="9" t="s">
        <v>2636</v>
      </c>
      <c r="Q193" s="5">
        <v>45681</v>
      </c>
      <c r="R193" s="209"/>
    </row>
    <row r="194" spans="1:18" ht="16.5" customHeight="1">
      <c r="A194" t="s">
        <v>64</v>
      </c>
      <c r="B194" s="10" t="s">
        <v>447</v>
      </c>
      <c r="C194" s="12" t="s">
        <v>442</v>
      </c>
      <c r="D194" s="13">
        <v>45688</v>
      </c>
      <c r="E194" s="155" t="s">
        <v>2625</v>
      </c>
      <c r="F194" s="155" t="s">
        <v>229</v>
      </c>
      <c r="G194" s="168" t="s">
        <v>7</v>
      </c>
      <c r="H194" s="156" t="s">
        <v>2627</v>
      </c>
      <c r="I194" s="69" t="s">
        <v>734</v>
      </c>
      <c r="J194" s="122">
        <v>1</v>
      </c>
      <c r="K194" s="15">
        <v>48900</v>
      </c>
      <c r="L194" s="16">
        <f t="shared" si="22"/>
        <v>48900</v>
      </c>
      <c r="M194" s="15">
        <f t="shared" si="21"/>
        <v>4890</v>
      </c>
      <c r="N194" s="15">
        <f t="shared" si="23"/>
        <v>53790</v>
      </c>
      <c r="O194" s="5" t="s">
        <v>1542</v>
      </c>
      <c r="P194" s="9" t="s">
        <v>2636</v>
      </c>
      <c r="Q194" s="5">
        <v>45590</v>
      </c>
      <c r="R194" s="209" t="s">
        <v>100</v>
      </c>
    </row>
    <row r="195" spans="1:18" ht="16.5" customHeight="1">
      <c r="A195" t="s">
        <v>64</v>
      </c>
      <c r="B195" s="10" t="s">
        <v>448</v>
      </c>
      <c r="C195" s="12" t="s">
        <v>443</v>
      </c>
      <c r="D195" s="13">
        <v>45688</v>
      </c>
      <c r="E195" s="155" t="s">
        <v>2625</v>
      </c>
      <c r="F195" s="155" t="s">
        <v>301</v>
      </c>
      <c r="G195" s="168" t="s">
        <v>7</v>
      </c>
      <c r="H195" s="156" t="s">
        <v>2627</v>
      </c>
      <c r="I195" s="69" t="s">
        <v>737</v>
      </c>
      <c r="J195" s="122">
        <v>1</v>
      </c>
      <c r="K195" s="15">
        <v>306300</v>
      </c>
      <c r="L195" s="16">
        <f t="shared" si="22"/>
        <v>306300</v>
      </c>
      <c r="M195" s="15">
        <f t="shared" si="21"/>
        <v>30630</v>
      </c>
      <c r="N195" s="15">
        <f t="shared" si="23"/>
        <v>336930</v>
      </c>
      <c r="O195" s="5" t="s">
        <v>1542</v>
      </c>
      <c r="P195" s="9" t="s">
        <v>2636</v>
      </c>
      <c r="Q195" s="5">
        <v>45596</v>
      </c>
      <c r="R195" s="209" t="s">
        <v>100</v>
      </c>
    </row>
    <row r="196" spans="1:18" ht="16.5" customHeight="1">
      <c r="A196" t="s">
        <v>64</v>
      </c>
      <c r="B196" s="10" t="s">
        <v>449</v>
      </c>
      <c r="C196" s="12" t="s">
        <v>444</v>
      </c>
      <c r="D196" s="13">
        <v>45688</v>
      </c>
      <c r="E196" s="155" t="s">
        <v>2625</v>
      </c>
      <c r="F196" s="155" t="s">
        <v>67</v>
      </c>
      <c r="G196" s="168" t="s">
        <v>7</v>
      </c>
      <c r="H196" s="156" t="s">
        <v>2627</v>
      </c>
      <c r="I196" s="69" t="s">
        <v>736</v>
      </c>
      <c r="J196" s="122">
        <v>1</v>
      </c>
      <c r="K196" s="15">
        <v>655500</v>
      </c>
      <c r="L196" s="16">
        <f t="shared" si="22"/>
        <v>655500</v>
      </c>
      <c r="M196" s="15">
        <f t="shared" si="21"/>
        <v>65550</v>
      </c>
      <c r="N196" s="15">
        <f t="shared" si="23"/>
        <v>721050</v>
      </c>
      <c r="O196" s="5" t="s">
        <v>1542</v>
      </c>
      <c r="P196" s="9" t="s">
        <v>2636</v>
      </c>
      <c r="Q196" s="5">
        <v>45681</v>
      </c>
      <c r="R196" s="209"/>
    </row>
    <row r="197" spans="1:18" ht="16.5" customHeight="1">
      <c r="A197" t="s">
        <v>64</v>
      </c>
      <c r="B197" s="10" t="s">
        <v>449</v>
      </c>
      <c r="C197" s="12" t="s">
        <v>460</v>
      </c>
      <c r="D197" s="13">
        <v>45688</v>
      </c>
      <c r="E197" s="155" t="s">
        <v>2625</v>
      </c>
      <c r="F197" s="155" t="s">
        <v>67</v>
      </c>
      <c r="G197" s="168" t="s">
        <v>7</v>
      </c>
      <c r="H197" s="156" t="s">
        <v>2627</v>
      </c>
      <c r="I197" s="69" t="s">
        <v>740</v>
      </c>
      <c r="J197" s="122">
        <v>1</v>
      </c>
      <c r="K197" s="15">
        <v>1981200</v>
      </c>
      <c r="L197" s="16">
        <f t="shared" si="22"/>
        <v>1981200</v>
      </c>
      <c r="M197" s="15">
        <f t="shared" si="21"/>
        <v>198120</v>
      </c>
      <c r="N197" s="15">
        <f t="shared" si="23"/>
        <v>2179320</v>
      </c>
      <c r="O197" s="5" t="s">
        <v>1542</v>
      </c>
      <c r="P197" s="9" t="s">
        <v>2636</v>
      </c>
      <c r="Q197" s="5">
        <v>45681</v>
      </c>
      <c r="R197" s="209"/>
    </row>
    <row r="198" spans="1:18" ht="16.5" customHeight="1">
      <c r="A198" t="s">
        <v>64</v>
      </c>
      <c r="B198" s="10" t="s">
        <v>486</v>
      </c>
      <c r="C198" s="12" t="s">
        <v>525</v>
      </c>
      <c r="D198" s="13">
        <v>45688</v>
      </c>
      <c r="E198" s="155" t="s">
        <v>2625</v>
      </c>
      <c r="F198" s="155" t="s">
        <v>230</v>
      </c>
      <c r="G198" s="168" t="s">
        <v>7</v>
      </c>
      <c r="H198" s="156" t="s">
        <v>2627</v>
      </c>
      <c r="I198" s="69" t="s">
        <v>739</v>
      </c>
      <c r="J198" s="122">
        <v>1</v>
      </c>
      <c r="K198" s="15">
        <v>277800</v>
      </c>
      <c r="L198" s="16">
        <f t="shared" si="22"/>
        <v>277800</v>
      </c>
      <c r="M198" s="15">
        <f t="shared" si="21"/>
        <v>27780</v>
      </c>
      <c r="N198" s="15">
        <f t="shared" si="23"/>
        <v>305580</v>
      </c>
      <c r="O198" s="5" t="s">
        <v>1542</v>
      </c>
      <c r="P198" s="9" t="s">
        <v>2636</v>
      </c>
      <c r="Q198" s="5">
        <v>45627</v>
      </c>
      <c r="R198" s="209" t="s">
        <v>100</v>
      </c>
    </row>
    <row r="199" spans="1:18" ht="16.5" customHeight="1">
      <c r="B199" s="10" t="s">
        <v>800</v>
      </c>
      <c r="C199" s="12" t="s">
        <v>732</v>
      </c>
      <c r="D199" s="13">
        <v>45688</v>
      </c>
      <c r="E199" s="155" t="s">
        <v>2625</v>
      </c>
      <c r="F199" s="155" t="s">
        <v>801</v>
      </c>
      <c r="G199" s="168" t="s">
        <v>7</v>
      </c>
      <c r="H199" s="156" t="s">
        <v>2627</v>
      </c>
      <c r="I199" s="69" t="s">
        <v>928</v>
      </c>
      <c r="J199" s="122">
        <v>1</v>
      </c>
      <c r="K199" s="15">
        <v>741900</v>
      </c>
      <c r="L199" s="16">
        <f t="shared" si="22"/>
        <v>741900</v>
      </c>
      <c r="M199" s="16">
        <f t="shared" si="21"/>
        <v>74190</v>
      </c>
      <c r="N199" s="15">
        <f t="shared" si="23"/>
        <v>816090</v>
      </c>
      <c r="O199" s="5" t="s">
        <v>1542</v>
      </c>
      <c r="P199" s="9" t="s">
        <v>2636</v>
      </c>
      <c r="Q199" s="5">
        <v>45681</v>
      </c>
      <c r="R199" s="213"/>
    </row>
    <row r="200" spans="1:18" ht="16.5" customHeight="1">
      <c r="B200" s="10" t="s">
        <v>798</v>
      </c>
      <c r="C200" s="12" t="s">
        <v>799</v>
      </c>
      <c r="D200" s="13">
        <v>45688</v>
      </c>
      <c r="E200" s="155" t="s">
        <v>2625</v>
      </c>
      <c r="F200" s="155" t="s">
        <v>250</v>
      </c>
      <c r="G200" s="168" t="s">
        <v>7</v>
      </c>
      <c r="H200" s="156" t="s">
        <v>2627</v>
      </c>
      <c r="I200" s="69" t="s">
        <v>733</v>
      </c>
      <c r="J200" s="122">
        <v>1</v>
      </c>
      <c r="K200" s="15">
        <v>531600</v>
      </c>
      <c r="L200" s="16">
        <f t="shared" si="22"/>
        <v>531600</v>
      </c>
      <c r="M200" s="16">
        <f t="shared" si="21"/>
        <v>53160</v>
      </c>
      <c r="N200" s="15">
        <f t="shared" si="23"/>
        <v>584760</v>
      </c>
      <c r="O200" s="5" t="s">
        <v>1542</v>
      </c>
      <c r="P200" s="9" t="s">
        <v>2636</v>
      </c>
      <c r="Q200" s="5">
        <v>45681</v>
      </c>
      <c r="R200" s="213"/>
    </row>
    <row r="201" spans="1:18" ht="16.5" customHeight="1">
      <c r="B201" s="10" t="s">
        <v>802</v>
      </c>
      <c r="C201" s="12" t="s">
        <v>729</v>
      </c>
      <c r="D201" s="13">
        <v>45688</v>
      </c>
      <c r="E201" s="155" t="s">
        <v>2625</v>
      </c>
      <c r="F201" s="155" t="s">
        <v>810</v>
      </c>
      <c r="G201" s="168" t="s">
        <v>7</v>
      </c>
      <c r="H201" s="156" t="s">
        <v>2627</v>
      </c>
      <c r="I201" s="69" t="s">
        <v>803</v>
      </c>
      <c r="J201" s="122">
        <v>1</v>
      </c>
      <c r="K201" s="15">
        <v>502800</v>
      </c>
      <c r="L201" s="16">
        <f t="shared" si="22"/>
        <v>502800</v>
      </c>
      <c r="M201" s="16">
        <f t="shared" si="21"/>
        <v>50280</v>
      </c>
      <c r="N201" s="15">
        <f t="shared" si="23"/>
        <v>553080</v>
      </c>
      <c r="O201" s="5" t="s">
        <v>1542</v>
      </c>
      <c r="P201" s="9" t="s">
        <v>2636</v>
      </c>
      <c r="Q201" s="5">
        <v>45681</v>
      </c>
      <c r="R201" s="213"/>
    </row>
    <row r="202" spans="1:18" ht="16.5" customHeight="1">
      <c r="A202" t="s">
        <v>64</v>
      </c>
      <c r="B202" s="10" t="s">
        <v>881</v>
      </c>
      <c r="C202" s="12" t="s">
        <v>727</v>
      </c>
      <c r="D202" s="13">
        <v>45688</v>
      </c>
      <c r="E202" s="155" t="s">
        <v>2625</v>
      </c>
      <c r="F202" s="155" t="s">
        <v>728</v>
      </c>
      <c r="G202" s="168" t="s">
        <v>7</v>
      </c>
      <c r="H202" s="156" t="s">
        <v>2627</v>
      </c>
      <c r="I202" s="69" t="s">
        <v>784</v>
      </c>
      <c r="J202" s="122">
        <v>1</v>
      </c>
      <c r="K202" s="15">
        <v>1417500</v>
      </c>
      <c r="L202" s="16">
        <f t="shared" si="22"/>
        <v>1417500</v>
      </c>
      <c r="M202" s="16">
        <f t="shared" si="21"/>
        <v>141750</v>
      </c>
      <c r="N202" s="15">
        <f t="shared" si="23"/>
        <v>1559250</v>
      </c>
      <c r="O202" s="5" t="s">
        <v>1542</v>
      </c>
      <c r="P202" s="9" t="s">
        <v>2636</v>
      </c>
      <c r="Q202" s="5">
        <v>45666</v>
      </c>
      <c r="R202" s="213" t="s">
        <v>783</v>
      </c>
    </row>
    <row r="203" spans="1:18" ht="16.5" customHeight="1">
      <c r="A203" t="s">
        <v>64</v>
      </c>
      <c r="B203" s="10" t="s">
        <v>882</v>
      </c>
      <c r="C203" s="12" t="s">
        <v>730</v>
      </c>
      <c r="D203" s="13">
        <v>45688</v>
      </c>
      <c r="E203" s="155" t="s">
        <v>2625</v>
      </c>
      <c r="F203" s="155" t="s">
        <v>293</v>
      </c>
      <c r="G203" s="168" t="s">
        <v>7</v>
      </c>
      <c r="H203" s="156" t="s">
        <v>2627</v>
      </c>
      <c r="I203" s="69" t="s">
        <v>731</v>
      </c>
      <c r="J203" s="122">
        <v>1</v>
      </c>
      <c r="K203" s="15">
        <v>243000</v>
      </c>
      <c r="L203" s="16">
        <f t="shared" si="22"/>
        <v>243000</v>
      </c>
      <c r="M203" s="15">
        <f t="shared" si="21"/>
        <v>24300</v>
      </c>
      <c r="N203" s="15">
        <f t="shared" si="23"/>
        <v>267300</v>
      </c>
      <c r="O203" s="5" t="s">
        <v>1542</v>
      </c>
      <c r="P203" s="9" t="s">
        <v>2636</v>
      </c>
      <c r="Q203" s="5">
        <v>45688</v>
      </c>
      <c r="R203" s="209"/>
    </row>
    <row r="204" spans="1:18" ht="16.5" customHeight="1">
      <c r="A204" t="s">
        <v>64</v>
      </c>
      <c r="B204" s="10" t="s">
        <v>880</v>
      </c>
      <c r="C204" s="12" t="s">
        <v>716</v>
      </c>
      <c r="D204" s="13">
        <v>45688</v>
      </c>
      <c r="E204" s="155" t="s">
        <v>2625</v>
      </c>
      <c r="F204" s="155" t="s">
        <v>101</v>
      </c>
      <c r="G204" s="168" t="s">
        <v>7</v>
      </c>
      <c r="H204" s="156" t="s">
        <v>2627</v>
      </c>
      <c r="I204" s="69" t="s">
        <v>785</v>
      </c>
      <c r="J204" s="122">
        <v>1</v>
      </c>
      <c r="K204" s="15">
        <v>212700</v>
      </c>
      <c r="L204" s="16">
        <f t="shared" si="22"/>
        <v>212700</v>
      </c>
      <c r="M204" s="16">
        <f t="shared" si="21"/>
        <v>21270</v>
      </c>
      <c r="N204" s="15">
        <f t="shared" si="23"/>
        <v>233970</v>
      </c>
      <c r="O204" s="5" t="s">
        <v>1542</v>
      </c>
      <c r="P204" s="177" t="s">
        <v>2636</v>
      </c>
      <c r="Q204" s="5">
        <v>45681</v>
      </c>
      <c r="R204" s="213" t="s">
        <v>783</v>
      </c>
    </row>
    <row r="205" spans="1:18" ht="16.5" customHeight="1">
      <c r="A205" t="s">
        <v>64</v>
      </c>
      <c r="B205" s="10" t="s">
        <v>807</v>
      </c>
      <c r="C205" s="12" t="s">
        <v>724</v>
      </c>
      <c r="D205" s="13">
        <v>45688</v>
      </c>
      <c r="E205" s="155" t="s">
        <v>2625</v>
      </c>
      <c r="F205" s="155" t="s">
        <v>808</v>
      </c>
      <c r="G205" s="168" t="s">
        <v>7</v>
      </c>
      <c r="H205" s="156" t="s">
        <v>2627</v>
      </c>
      <c r="I205" s="69" t="s">
        <v>809</v>
      </c>
      <c r="J205" s="122">
        <v>1</v>
      </c>
      <c r="K205" s="15">
        <v>1892400</v>
      </c>
      <c r="L205" s="16">
        <f t="shared" si="22"/>
        <v>1892400</v>
      </c>
      <c r="M205" s="16">
        <f t="shared" si="21"/>
        <v>189240</v>
      </c>
      <c r="N205" s="15">
        <f t="shared" si="23"/>
        <v>2081640</v>
      </c>
      <c r="O205" s="5" t="s">
        <v>1542</v>
      </c>
      <c r="P205" s="9" t="s">
        <v>2636</v>
      </c>
      <c r="Q205" s="5">
        <v>45687</v>
      </c>
      <c r="R205" s="213" t="s">
        <v>100</v>
      </c>
    </row>
    <row r="206" spans="1:18" ht="16.5" customHeight="1">
      <c r="A206" t="s">
        <v>64</v>
      </c>
      <c r="B206" s="10"/>
      <c r="C206" s="12"/>
      <c r="D206" s="6"/>
      <c r="E206" s="163"/>
      <c r="F206" s="163"/>
      <c r="G206" s="169"/>
      <c r="H206" s="169"/>
      <c r="I206" s="163"/>
      <c r="J206" s="127"/>
      <c r="K206" s="15"/>
      <c r="L206" s="16">
        <f t="shared" ref="L206" si="24">J206*K206</f>
        <v>0</v>
      </c>
      <c r="M206" s="16">
        <f>ROUNDDOWN(L206*10%,0)</f>
        <v>0</v>
      </c>
      <c r="N206" s="15">
        <f t="shared" ref="N206" si="25">SUM(L206:M206)</f>
        <v>0</v>
      </c>
      <c r="O206" s="5"/>
      <c r="P206" s="9"/>
      <c r="Q206" s="5"/>
      <c r="R206" s="209"/>
    </row>
    <row r="207" spans="1:18" ht="30.75" customHeight="1" thickBot="1">
      <c r="A207" t="s">
        <v>64</v>
      </c>
      <c r="B207" s="262" t="s">
        <v>24</v>
      </c>
      <c r="C207" s="263"/>
      <c r="D207" s="263"/>
      <c r="E207" s="263"/>
      <c r="F207" s="263"/>
      <c r="G207" s="263"/>
      <c r="H207" s="263"/>
      <c r="I207" s="264"/>
      <c r="J207" s="128"/>
      <c r="K207" s="129"/>
      <c r="L207" s="130">
        <f>SUM(L5:L206)</f>
        <v>247996965.36363637</v>
      </c>
      <c r="M207" s="130">
        <f>SUM(M5:M206)</f>
        <v>24614207.390909094</v>
      </c>
      <c r="N207" s="130">
        <f>SUM(N5:N206)</f>
        <v>272611172.75454545</v>
      </c>
      <c r="O207" s="97"/>
      <c r="P207" s="178"/>
      <c r="Q207" s="97"/>
      <c r="R207" s="180"/>
    </row>
    <row r="208" spans="1:18" ht="16.5" customHeight="1">
      <c r="A208" t="s">
        <v>64</v>
      </c>
      <c r="D208" s="236">
        <f>COUNTA(D5:D206)</f>
        <v>197</v>
      </c>
    </row>
    <row r="209" spans="1:20" ht="16.5" customHeight="1">
      <c r="A209" t="s">
        <v>64</v>
      </c>
      <c r="E209" t="s">
        <v>62</v>
      </c>
      <c r="K209" s="17" t="s">
        <v>46</v>
      </c>
      <c r="L209" s="131">
        <f>SUBTOTAL(109,L5:L206)</f>
        <v>247996965.36363637</v>
      </c>
      <c r="M209" s="131">
        <f>SUBTOTAL(109,M5:M206)</f>
        <v>24614207.390909094</v>
      </c>
      <c r="N209" s="131">
        <f>SUBTOTAL(109,N5:N206)</f>
        <v>271960302.75454545</v>
      </c>
    </row>
    <row r="210" spans="1:20" s="66" customFormat="1" ht="16.5" customHeight="1">
      <c r="A210" t="s">
        <v>64</v>
      </c>
      <c r="B210" s="1"/>
      <c r="C210"/>
      <c r="D210" s="96"/>
      <c r="E210" t="s">
        <v>7</v>
      </c>
      <c r="F210" s="11">
        <f t="shared" ref="F210:F221" si="26">SUMIF($G$5:$G$206,E210,$L$5:$L$206)</f>
        <v>168301731</v>
      </c>
      <c r="G210" s="1"/>
      <c r="H210" s="1"/>
      <c r="I210"/>
      <c r="J210" s="17"/>
      <c r="K210" s="17"/>
      <c r="L210" s="17"/>
      <c r="M210" s="17"/>
      <c r="N210" s="17"/>
      <c r="O210" s="96"/>
      <c r="P210"/>
      <c r="Q210" s="96"/>
      <c r="R210"/>
      <c r="S210"/>
      <c r="T210"/>
    </row>
    <row r="211" spans="1:20" s="66" customFormat="1">
      <c r="A211" t="s">
        <v>64</v>
      </c>
      <c r="B211" s="1"/>
      <c r="C211"/>
      <c r="D211" s="96"/>
      <c r="E211" t="s">
        <v>16</v>
      </c>
      <c r="F211" s="11">
        <f t="shared" si="26"/>
        <v>18656640</v>
      </c>
      <c r="G211" s="1"/>
      <c r="H211" s="1"/>
      <c r="I211"/>
      <c r="J211" s="17"/>
      <c r="K211" s="190" t="s">
        <v>42</v>
      </c>
      <c r="L211" s="17">
        <v>246142198</v>
      </c>
      <c r="M211" s="17">
        <v>24614207</v>
      </c>
      <c r="N211" s="17">
        <v>270756405</v>
      </c>
      <c r="O211" s="96"/>
      <c r="P211"/>
      <c r="Q211" s="96"/>
      <c r="R211"/>
      <c r="S211"/>
      <c r="T211"/>
    </row>
    <row r="212" spans="1:20" s="66" customFormat="1">
      <c r="A212" t="s">
        <v>64</v>
      </c>
      <c r="B212" s="1"/>
      <c r="C212"/>
      <c r="D212" s="96"/>
      <c r="E212" t="s">
        <v>28</v>
      </c>
      <c r="F212" s="11">
        <f t="shared" si="26"/>
        <v>0</v>
      </c>
      <c r="G212" s="1"/>
      <c r="H212" s="1"/>
      <c r="I212"/>
      <c r="J212" s="17"/>
      <c r="K212" s="190" t="s">
        <v>43</v>
      </c>
      <c r="L212" s="17">
        <f>80000+79417+1695350</f>
        <v>1854767</v>
      </c>
      <c r="M212" s="17">
        <v>0</v>
      </c>
      <c r="N212" s="17">
        <f>SUBTOTAL(9,L212:M212)</f>
        <v>1854767</v>
      </c>
      <c r="O212" s="96"/>
      <c r="P212"/>
      <c r="Q212" s="96"/>
      <c r="R212"/>
      <c r="S212"/>
      <c r="T212"/>
    </row>
    <row r="213" spans="1:20" s="66" customFormat="1">
      <c r="A213" t="s">
        <v>64</v>
      </c>
      <c r="B213" s="1"/>
      <c r="C213"/>
      <c r="D213" s="96"/>
      <c r="E213" t="s">
        <v>15</v>
      </c>
      <c r="F213" s="11">
        <f t="shared" si="26"/>
        <v>0</v>
      </c>
      <c r="G213" s="1"/>
      <c r="H213" s="1"/>
      <c r="I213"/>
      <c r="J213" s="17"/>
      <c r="K213" s="190" t="s">
        <v>55</v>
      </c>
      <c r="L213" s="17">
        <f>SUBTOTAL(9,L211:L212)</f>
        <v>247996965</v>
      </c>
      <c r="M213" s="17">
        <f t="shared" ref="M213:N213" si="27">SUBTOTAL(9,M211:M212)</f>
        <v>24614207</v>
      </c>
      <c r="N213" s="17">
        <f t="shared" si="27"/>
        <v>270756405</v>
      </c>
      <c r="O213" s="96"/>
      <c r="P213"/>
      <c r="Q213" s="96"/>
      <c r="R213"/>
      <c r="S213"/>
      <c r="T213"/>
    </row>
    <row r="214" spans="1:20" s="66" customFormat="1">
      <c r="A214" t="s">
        <v>64</v>
      </c>
      <c r="B214" s="1"/>
      <c r="C214"/>
      <c r="D214" s="96"/>
      <c r="E214" t="s">
        <v>27</v>
      </c>
      <c r="F214" s="11">
        <f t="shared" si="26"/>
        <v>0</v>
      </c>
      <c r="G214" s="1"/>
      <c r="H214" s="1"/>
      <c r="I214"/>
      <c r="J214" s="17"/>
      <c r="K214" s="17"/>
      <c r="L214" s="131"/>
      <c r="M214" s="131"/>
      <c r="N214" s="131"/>
      <c r="O214" s="96"/>
      <c r="P214"/>
      <c r="Q214" s="96"/>
      <c r="R214"/>
      <c r="S214"/>
      <c r="T214"/>
    </row>
    <row r="215" spans="1:20" s="66" customFormat="1">
      <c r="A215" t="s">
        <v>64</v>
      </c>
      <c r="B215" s="1"/>
      <c r="C215"/>
      <c r="D215" s="96"/>
      <c r="E215" t="s">
        <v>41</v>
      </c>
      <c r="F215" s="11">
        <f t="shared" si="26"/>
        <v>55956559.36363636</v>
      </c>
      <c r="G215" s="1"/>
      <c r="H215" s="1"/>
      <c r="I215"/>
      <c r="J215" s="17"/>
      <c r="K215" s="17"/>
      <c r="L215" s="17"/>
      <c r="M215" s="17"/>
      <c r="N215" s="131"/>
      <c r="O215" s="96"/>
      <c r="P215"/>
      <c r="Q215" s="96"/>
      <c r="R215"/>
      <c r="S215"/>
      <c r="T215"/>
    </row>
    <row r="216" spans="1:20" s="66" customFormat="1">
      <c r="A216" t="s">
        <v>64</v>
      </c>
      <c r="B216" s="1"/>
      <c r="C216"/>
      <c r="D216" s="96"/>
      <c r="E216" t="s">
        <v>25</v>
      </c>
      <c r="F216" s="11">
        <f t="shared" si="26"/>
        <v>0</v>
      </c>
      <c r="G216" s="1"/>
      <c r="H216" s="1"/>
      <c r="I216"/>
      <c r="J216" s="17"/>
      <c r="K216" s="17"/>
      <c r="L216" s="17"/>
      <c r="M216" s="17"/>
      <c r="N216" s="131"/>
      <c r="O216" s="96"/>
      <c r="P216"/>
      <c r="Q216" s="96"/>
      <c r="R216"/>
      <c r="S216"/>
      <c r="T216"/>
    </row>
    <row r="217" spans="1:20" s="66" customFormat="1">
      <c r="A217" t="s">
        <v>64</v>
      </c>
      <c r="B217" s="1"/>
      <c r="C217"/>
      <c r="D217" s="96"/>
      <c r="E217" t="s">
        <v>36</v>
      </c>
      <c r="F217" s="11">
        <f t="shared" si="26"/>
        <v>0</v>
      </c>
      <c r="G217" s="1"/>
      <c r="H217" s="1"/>
      <c r="I217"/>
      <c r="J217" s="17"/>
      <c r="K217" s="17"/>
      <c r="L217" s="17"/>
      <c r="M217" s="17"/>
      <c r="N217" s="17"/>
      <c r="O217" s="96"/>
      <c r="P217"/>
      <c r="Q217" s="96"/>
      <c r="R217"/>
      <c r="S217"/>
      <c r="T217"/>
    </row>
    <row r="218" spans="1:20" s="66" customFormat="1">
      <c r="A218" t="s">
        <v>64</v>
      </c>
      <c r="B218" s="1"/>
      <c r="C218"/>
      <c r="D218" s="96"/>
      <c r="E218" t="s">
        <v>30</v>
      </c>
      <c r="F218" s="11">
        <f t="shared" si="26"/>
        <v>5082035</v>
      </c>
      <c r="G218" s="1"/>
      <c r="H218" s="1"/>
      <c r="I218"/>
      <c r="J218" s="17"/>
      <c r="K218" s="17"/>
      <c r="L218" s="17"/>
      <c r="M218" s="17"/>
      <c r="N218" s="17"/>
      <c r="O218" s="96"/>
      <c r="P218"/>
      <c r="Q218" s="96"/>
      <c r="R218"/>
      <c r="S218"/>
      <c r="T218"/>
    </row>
    <row r="219" spans="1:20" s="66" customFormat="1">
      <c r="A219" t="s">
        <v>64</v>
      </c>
      <c r="B219" s="1"/>
      <c r="C219"/>
      <c r="D219" s="96"/>
      <c r="E219" t="s">
        <v>37</v>
      </c>
      <c r="F219" s="11">
        <f t="shared" si="26"/>
        <v>0</v>
      </c>
      <c r="G219" s="1"/>
      <c r="H219" s="1"/>
      <c r="I219"/>
      <c r="J219" s="17"/>
      <c r="K219" s="17"/>
      <c r="L219" s="17"/>
      <c r="M219" s="17"/>
      <c r="N219" s="17"/>
      <c r="O219" s="96"/>
      <c r="P219"/>
      <c r="Q219" s="96"/>
      <c r="R219"/>
      <c r="S219"/>
      <c r="T219"/>
    </row>
    <row r="220" spans="1:20" s="66" customFormat="1">
      <c r="A220" t="s">
        <v>64</v>
      </c>
      <c r="B220" s="1"/>
      <c r="C220"/>
      <c r="D220" s="96"/>
      <c r="E220" t="s">
        <v>35</v>
      </c>
      <c r="F220" s="11">
        <f t="shared" si="26"/>
        <v>0</v>
      </c>
      <c r="G220" s="1"/>
      <c r="H220" s="1"/>
      <c r="I220"/>
      <c r="J220" s="17"/>
      <c r="K220" s="17"/>
      <c r="L220" s="17"/>
      <c r="M220" s="17"/>
      <c r="N220" s="17"/>
      <c r="O220" s="96"/>
      <c r="P220"/>
      <c r="Q220" s="96"/>
      <c r="R220"/>
      <c r="S220"/>
      <c r="T220"/>
    </row>
    <row r="221" spans="1:20" s="66" customFormat="1">
      <c r="A221" t="s">
        <v>64</v>
      </c>
      <c r="B221" s="1"/>
      <c r="C221"/>
      <c r="D221" s="96"/>
      <c r="E221" t="s">
        <v>80</v>
      </c>
      <c r="F221" s="11">
        <f t="shared" si="26"/>
        <v>0</v>
      </c>
      <c r="G221" s="1"/>
      <c r="H221" s="1"/>
      <c r="I221"/>
      <c r="J221" s="17"/>
      <c r="K221" s="17"/>
      <c r="L221" s="17"/>
      <c r="M221" s="17"/>
      <c r="N221" s="17"/>
      <c r="O221" s="96"/>
      <c r="P221"/>
      <c r="Q221" s="96"/>
      <c r="R221"/>
      <c r="S221"/>
      <c r="T221"/>
    </row>
    <row r="222" spans="1:20" s="66" customFormat="1">
      <c r="A222" t="s">
        <v>64</v>
      </c>
      <c r="B222" s="1"/>
      <c r="C222"/>
      <c r="D222" s="96"/>
      <c r="E222" s="171" t="s">
        <v>92</v>
      </c>
      <c r="F222" s="18">
        <f>SUM(F210:F221)</f>
        <v>247996965.36363637</v>
      </c>
      <c r="G222" s="1"/>
      <c r="H222" s="1"/>
      <c r="I222"/>
      <c r="J222" s="17"/>
      <c r="K222" s="17"/>
      <c r="L222" s="17"/>
      <c r="M222" s="17"/>
      <c r="N222" s="131"/>
      <c r="O222" s="96"/>
      <c r="P222"/>
      <c r="Q222" s="96"/>
      <c r="R222"/>
      <c r="S222"/>
      <c r="T222"/>
    </row>
    <row r="223" spans="1:20" s="66" customFormat="1">
      <c r="A223" t="s">
        <v>64</v>
      </c>
      <c r="B223" s="1"/>
      <c r="C223"/>
      <c r="D223" s="96"/>
      <c r="E223" s="171" t="s">
        <v>93</v>
      </c>
      <c r="F223" s="18">
        <f>F222-F221</f>
        <v>247996965.36363637</v>
      </c>
      <c r="G223" s="1"/>
      <c r="H223" s="1"/>
      <c r="I223"/>
      <c r="J223" s="17"/>
      <c r="K223" s="17"/>
      <c r="L223" s="131"/>
      <c r="M223" s="131"/>
      <c r="N223" s="131"/>
      <c r="O223" s="96"/>
      <c r="P223"/>
      <c r="Q223" s="96"/>
      <c r="R223"/>
      <c r="S223"/>
      <c r="T223"/>
    </row>
    <row r="224" spans="1:20" s="66" customFormat="1">
      <c r="A224" t="s">
        <v>64</v>
      </c>
      <c r="B224" s="1"/>
      <c r="C224"/>
      <c r="D224" s="96"/>
      <c r="E224" s="171"/>
      <c r="F224" s="172"/>
      <c r="G224" s="1"/>
      <c r="H224" s="1"/>
      <c r="I224"/>
      <c r="J224" s="17"/>
      <c r="K224" s="17"/>
      <c r="L224" s="17"/>
      <c r="M224" s="17"/>
      <c r="N224" s="17"/>
      <c r="O224" s="96"/>
      <c r="P224"/>
      <c r="Q224" s="96"/>
      <c r="R224"/>
      <c r="S224"/>
      <c r="T224"/>
    </row>
    <row r="225" spans="1:20" s="66" customFormat="1">
      <c r="A225"/>
      <c r="B225" s="1"/>
      <c r="C225"/>
      <c r="D225" s="96"/>
      <c r="E225"/>
      <c r="F225"/>
      <c r="G225" s="1"/>
      <c r="H225" s="1"/>
      <c r="I225"/>
      <c r="J225" s="17"/>
      <c r="K225" s="17"/>
      <c r="L225" s="131"/>
      <c r="M225" s="131"/>
      <c r="N225" s="131"/>
      <c r="O225" s="96"/>
      <c r="P225"/>
      <c r="Q225" s="96"/>
      <c r="R225"/>
      <c r="S225"/>
      <c r="T225"/>
    </row>
    <row r="226" spans="1:20">
      <c r="L226" s="191">
        <f>SUBTOTAL(9,L5:L205)</f>
        <v>247996965.36363637</v>
      </c>
      <c r="M226" s="191">
        <f t="shared" ref="M226" si="28">SUBTOTAL(9,M5:M205)</f>
        <v>24614207.390909094</v>
      </c>
      <c r="N226" s="191">
        <f>SUBTOTAL(9,N5:N205)</f>
        <v>271960302.75454545</v>
      </c>
      <c r="O226" s="98"/>
    </row>
    <row r="227" spans="1:20">
      <c r="F227" s="170"/>
      <c r="L227" s="191"/>
      <c r="M227" s="191"/>
      <c r="N227" s="191"/>
      <c r="O227" s="98"/>
    </row>
    <row r="228" spans="1:20">
      <c r="F228" s="170"/>
      <c r="L228" s="192"/>
      <c r="M228" s="192"/>
      <c r="N228" s="192"/>
      <c r="O228" s="98"/>
    </row>
    <row r="229" spans="1:20" s="1" customFormat="1">
      <c r="C229"/>
      <c r="D229" s="96"/>
      <c r="E229"/>
      <c r="F229"/>
      <c r="I229"/>
      <c r="J229" s="17"/>
      <c r="K229" s="17"/>
      <c r="L229" s="17"/>
      <c r="M229" s="17"/>
      <c r="N229" s="131"/>
      <c r="O229" s="96"/>
      <c r="P229"/>
      <c r="Q229" s="96"/>
      <c r="R229"/>
    </row>
    <row r="230" spans="1:20">
      <c r="N230" s="131"/>
    </row>
    <row r="231" spans="1:20">
      <c r="N231" s="131"/>
    </row>
    <row r="232" spans="1:20">
      <c r="N232" s="131"/>
    </row>
    <row r="233" spans="1:20">
      <c r="N233" s="131"/>
    </row>
    <row r="234" spans="1:20">
      <c r="N234" s="193"/>
    </row>
    <row r="235" spans="1:20">
      <c r="F235" s="170"/>
      <c r="N235" s="193"/>
    </row>
    <row r="236" spans="1:20" s="66" customFormat="1">
      <c r="A236"/>
      <c r="B236" s="1"/>
      <c r="C236"/>
      <c r="D236" s="96"/>
      <c r="E236"/>
      <c r="F236" s="170"/>
      <c r="G236" s="1"/>
      <c r="H236" s="1"/>
      <c r="I236"/>
      <c r="J236" s="17"/>
      <c r="K236" s="17"/>
      <c r="L236" s="17"/>
      <c r="M236" s="17"/>
      <c r="N236" s="193"/>
      <c r="O236" s="96"/>
      <c r="P236"/>
      <c r="Q236" s="96"/>
      <c r="R236"/>
      <c r="S236"/>
      <c r="T236"/>
    </row>
    <row r="237" spans="1:20" s="66" customFormat="1">
      <c r="A237"/>
      <c r="B237" s="1"/>
      <c r="C237"/>
      <c r="D237" s="96"/>
      <c r="E237"/>
      <c r="F237" s="170"/>
      <c r="G237" s="1"/>
      <c r="H237" s="1"/>
      <c r="I237"/>
      <c r="J237" s="17"/>
      <c r="K237" s="17"/>
      <c r="L237" s="17"/>
      <c r="M237" s="194"/>
      <c r="N237" s="195"/>
      <c r="O237" s="96"/>
      <c r="P237"/>
      <c r="Q237" s="96"/>
      <c r="R237"/>
      <c r="S237"/>
      <c r="T237"/>
    </row>
    <row r="238" spans="1:20" s="66" customFormat="1">
      <c r="A238"/>
      <c r="B238" s="1"/>
      <c r="C238"/>
      <c r="D238" s="96"/>
      <c r="E238"/>
      <c r="F238" s="170"/>
      <c r="G238" s="1"/>
      <c r="H238" s="1"/>
      <c r="I238"/>
      <c r="J238" s="17"/>
      <c r="K238" s="17"/>
      <c r="L238" s="17"/>
      <c r="M238" s="131"/>
      <c r="N238" s="193"/>
      <c r="O238" s="96"/>
      <c r="P238"/>
      <c r="Q238" s="96"/>
      <c r="R238"/>
      <c r="S238"/>
      <c r="T238"/>
    </row>
    <row r="239" spans="1:20" s="66" customFormat="1">
      <c r="A239"/>
      <c r="B239" s="1"/>
      <c r="C239"/>
      <c r="D239" s="96"/>
      <c r="E239"/>
      <c r="F239"/>
      <c r="G239" s="1"/>
      <c r="H239" s="1"/>
      <c r="I239"/>
      <c r="J239" s="17"/>
      <c r="K239" s="17"/>
      <c r="L239" s="17"/>
      <c r="M239" s="131"/>
      <c r="N239" s="193"/>
      <c r="O239" s="96"/>
      <c r="P239"/>
      <c r="Q239" s="96"/>
      <c r="R239"/>
      <c r="S239"/>
      <c r="T239"/>
    </row>
    <row r="240" spans="1:20" s="66" customFormat="1">
      <c r="A240"/>
      <c r="B240" s="1"/>
      <c r="C240"/>
      <c r="D240" s="96"/>
      <c r="E240"/>
      <c r="F240"/>
      <c r="G240" s="1"/>
      <c r="H240" s="1"/>
      <c r="I240"/>
      <c r="J240" s="17"/>
      <c r="K240" s="17"/>
      <c r="L240" s="17"/>
      <c r="M240" s="17"/>
      <c r="N240" s="193"/>
      <c r="O240" s="96"/>
      <c r="P240"/>
      <c r="Q240" s="96"/>
      <c r="R240"/>
      <c r="S240"/>
      <c r="T240"/>
    </row>
    <row r="241" spans="1:20" s="66" customFormat="1">
      <c r="A241"/>
      <c r="B241" s="1"/>
      <c r="C241"/>
      <c r="D241" s="96"/>
      <c r="E241"/>
      <c r="F241"/>
      <c r="G241" s="1"/>
      <c r="H241" s="1"/>
      <c r="I241"/>
      <c r="J241" s="17"/>
      <c r="K241" s="17"/>
      <c r="L241" s="17"/>
      <c r="M241" s="17"/>
      <c r="N241" s="17"/>
      <c r="O241" s="96"/>
      <c r="P241"/>
      <c r="Q241" s="96"/>
      <c r="R241"/>
      <c r="S241"/>
      <c r="T241"/>
    </row>
    <row r="242" spans="1:20" s="66" customFormat="1">
      <c r="A242"/>
      <c r="B242" s="1"/>
      <c r="C242"/>
      <c r="D242" s="96"/>
      <c r="E242"/>
      <c r="F242"/>
      <c r="G242" s="1"/>
      <c r="H242" s="1"/>
      <c r="I242"/>
      <c r="J242" s="17"/>
      <c r="K242" s="17"/>
      <c r="L242" s="17"/>
      <c r="M242" s="17"/>
      <c r="N242" s="17"/>
      <c r="O242" s="96"/>
      <c r="P242"/>
      <c r="Q242" s="96"/>
      <c r="R242"/>
      <c r="S242"/>
      <c r="T242"/>
    </row>
    <row r="243" spans="1:20" s="66" customFormat="1">
      <c r="A243"/>
      <c r="B243" s="1"/>
      <c r="C243"/>
      <c r="D243" s="96"/>
      <c r="E243"/>
      <c r="F243"/>
      <c r="G243" s="1"/>
      <c r="H243" s="1"/>
      <c r="I243"/>
      <c r="J243" s="17"/>
      <c r="K243" s="17"/>
      <c r="L243" s="17"/>
      <c r="M243" s="17"/>
      <c r="N243" s="17"/>
      <c r="O243" s="96"/>
      <c r="P243"/>
      <c r="Q243" s="96"/>
      <c r="R243"/>
      <c r="S243"/>
      <c r="T243"/>
    </row>
    <row r="246" spans="1:20" s="66" customFormat="1">
      <c r="A246"/>
      <c r="B246" s="1"/>
      <c r="C246"/>
      <c r="D246" s="96"/>
      <c r="E246"/>
      <c r="F246"/>
      <c r="G246" s="1"/>
      <c r="H246" s="1"/>
      <c r="I246"/>
      <c r="J246" s="17"/>
      <c r="K246" s="17"/>
      <c r="L246" s="17"/>
      <c r="M246" s="17"/>
      <c r="N246" s="17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/>
      <c r="F247"/>
      <c r="G247" s="1"/>
      <c r="H247" s="1"/>
      <c r="I247"/>
      <c r="J247" s="17"/>
      <c r="K247" s="17"/>
      <c r="L247" s="17"/>
      <c r="M247" s="17"/>
      <c r="N247" s="17"/>
      <c r="O247" s="96"/>
      <c r="P247"/>
      <c r="Q247" s="96"/>
      <c r="R247"/>
      <c r="S247"/>
      <c r="T247"/>
    </row>
    <row r="248" spans="1:20" s="66" customFormat="1">
      <c r="A248"/>
      <c r="B248" s="1"/>
      <c r="C248"/>
      <c r="D248" s="96"/>
      <c r="E248"/>
      <c r="F248"/>
      <c r="G248" s="1"/>
      <c r="H248" s="1"/>
      <c r="I248"/>
      <c r="J248" s="17"/>
      <c r="K248" s="17"/>
      <c r="L248" s="17"/>
      <c r="M248" s="17"/>
      <c r="N248" s="17"/>
      <c r="O248" s="96"/>
      <c r="P248"/>
      <c r="Q248" s="96"/>
      <c r="R248"/>
      <c r="S248"/>
      <c r="T248"/>
    </row>
    <row r="249" spans="1:20" s="66" customFormat="1">
      <c r="A249"/>
      <c r="B249" s="1"/>
      <c r="C249"/>
      <c r="D249" s="96"/>
      <c r="E249"/>
      <c r="F249"/>
      <c r="G249" s="1"/>
      <c r="H249" s="1"/>
      <c r="I249"/>
      <c r="J249" s="17"/>
      <c r="K249" s="17"/>
      <c r="L249" s="17"/>
      <c r="M249" s="17"/>
      <c r="N249" s="17"/>
      <c r="O249" s="96"/>
      <c r="P249"/>
      <c r="Q249" s="96"/>
      <c r="R249"/>
      <c r="S249"/>
      <c r="T249"/>
    </row>
    <row r="250" spans="1:20" s="66" customFormat="1">
      <c r="A250"/>
      <c r="B250" s="1"/>
      <c r="C250"/>
      <c r="D250" s="96"/>
      <c r="E250"/>
      <c r="F250"/>
      <c r="G250" s="1"/>
      <c r="H250" s="1"/>
      <c r="I250"/>
      <c r="J250" s="17"/>
      <c r="K250" s="17"/>
      <c r="L250" s="17"/>
      <c r="M250" s="17"/>
      <c r="N250" s="17"/>
      <c r="O250" s="96"/>
      <c r="P250"/>
      <c r="Q250" s="96"/>
      <c r="R250"/>
      <c r="S250"/>
      <c r="T250"/>
    </row>
    <row r="251" spans="1:20" s="66" customFormat="1">
      <c r="A251"/>
      <c r="B251" s="1"/>
      <c r="C251"/>
      <c r="D251" s="96"/>
      <c r="E251"/>
      <c r="F251"/>
      <c r="G251" s="1"/>
      <c r="H251" s="1"/>
      <c r="I251"/>
      <c r="J251" s="17"/>
      <c r="K251" s="17"/>
      <c r="L251" s="17"/>
      <c r="M251" s="17"/>
      <c r="N251" s="17"/>
      <c r="O251" s="96"/>
      <c r="P251"/>
      <c r="Q251" s="96"/>
      <c r="R251"/>
      <c r="S251"/>
      <c r="T251"/>
    </row>
  </sheetData>
  <autoFilter ref="A4:V224" xr:uid="{3890810E-6269-4888-8B67-5B79D943DABF}"/>
  <dataConsolidate/>
  <mergeCells count="15">
    <mergeCell ref="Q3:Q4"/>
    <mergeCell ref="R3:R4"/>
    <mergeCell ref="B207:I207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2929-B776-4786-BA02-68ED6CA121EF}">
  <sheetPr codeName="Sheet3">
    <pageSetUpPr fitToPage="1"/>
  </sheetPr>
  <dimension ref="A1:V275"/>
  <sheetViews>
    <sheetView zoomScaleNormal="100" workbookViewId="0">
      <pane ySplit="4" topLeftCell="A212" activePane="bottomLeft" state="frozen"/>
      <selection activeCell="F228" sqref="F228"/>
      <selection pane="bottomLeft" activeCell="E235" sqref="E235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8" ht="26.25">
      <c r="B1" s="136" t="str">
        <f>"["&amp;YEAR(D5)&amp;"년 "&amp;MONTH(D5)&amp;"월 매입]"</f>
        <v>[2025년 2월 매입]</v>
      </c>
      <c r="C1" s="136"/>
      <c r="E1" s="202"/>
      <c r="O1" s="95"/>
    </row>
    <row r="2" spans="1:18" ht="17.25" thickBot="1">
      <c r="B2" s="137"/>
      <c r="C2" s="138"/>
      <c r="M2" s="17" t="s">
        <v>109</v>
      </c>
      <c r="O2" s="243" t="s">
        <v>1843</v>
      </c>
      <c r="P2" s="1"/>
      <c r="Q2" s="243" t="s">
        <v>2278</v>
      </c>
    </row>
    <row r="3" spans="1:18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8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186" t="s">
        <v>18</v>
      </c>
      <c r="O4" s="274"/>
      <c r="P4" s="276"/>
      <c r="Q4" s="259"/>
      <c r="R4" s="261"/>
    </row>
    <row r="5" spans="1:18" ht="16.5" customHeight="1">
      <c r="A5" t="s">
        <v>64</v>
      </c>
      <c r="B5" s="10" t="s">
        <v>144</v>
      </c>
      <c r="C5" s="12"/>
      <c r="D5" s="13">
        <v>45689</v>
      </c>
      <c r="E5" s="155" t="s">
        <v>167</v>
      </c>
      <c r="F5" s="155"/>
      <c r="G5" s="156" t="s">
        <v>30</v>
      </c>
      <c r="H5" s="156" t="s">
        <v>145</v>
      </c>
      <c r="I5" s="69" t="s">
        <v>817</v>
      </c>
      <c r="J5" s="122">
        <v>1</v>
      </c>
      <c r="K5" s="15">
        <v>71000</v>
      </c>
      <c r="L5" s="15">
        <f t="shared" ref="L5:L10" si="0">J5*K5</f>
        <v>71000</v>
      </c>
      <c r="M5" s="15">
        <f>L5*10%</f>
        <v>7100</v>
      </c>
      <c r="N5" s="15">
        <f t="shared" ref="N5:N42" si="1">SUM(L5:M5)</f>
        <v>78100</v>
      </c>
      <c r="O5" s="5" t="s">
        <v>818</v>
      </c>
      <c r="P5" s="9" t="s">
        <v>2644</v>
      </c>
      <c r="Q5" s="5" t="s">
        <v>144</v>
      </c>
      <c r="R5" s="209"/>
    </row>
    <row r="6" spans="1:18" ht="16.5" customHeight="1">
      <c r="A6" t="s">
        <v>64</v>
      </c>
      <c r="B6" s="10" t="s">
        <v>372</v>
      </c>
      <c r="C6" s="139"/>
      <c r="D6" s="13">
        <v>45689</v>
      </c>
      <c r="E6" s="155" t="s">
        <v>2633</v>
      </c>
      <c r="F6" s="155" t="s">
        <v>97</v>
      </c>
      <c r="G6" s="156" t="s">
        <v>7</v>
      </c>
      <c r="H6" s="156" t="s">
        <v>143</v>
      </c>
      <c r="I6" s="69" t="s">
        <v>722</v>
      </c>
      <c r="J6" s="122">
        <v>1</v>
      </c>
      <c r="K6" s="15">
        <v>436400</v>
      </c>
      <c r="L6" s="16">
        <f t="shared" si="0"/>
        <v>436400</v>
      </c>
      <c r="M6" s="15">
        <f>L6*10%</f>
        <v>43640</v>
      </c>
      <c r="N6" s="15">
        <f t="shared" si="1"/>
        <v>480040</v>
      </c>
      <c r="O6" s="5" t="s">
        <v>1531</v>
      </c>
      <c r="P6" s="174" t="s">
        <v>2636</v>
      </c>
      <c r="Q6" s="5">
        <v>45689</v>
      </c>
      <c r="R6" s="209"/>
    </row>
    <row r="7" spans="1:18" ht="16.5" customHeight="1">
      <c r="A7" t="s">
        <v>64</v>
      </c>
      <c r="B7" s="10" t="s">
        <v>373</v>
      </c>
      <c r="C7" s="12"/>
      <c r="D7" s="13">
        <v>45689</v>
      </c>
      <c r="E7" s="155" t="s">
        <v>2633</v>
      </c>
      <c r="F7" s="155" t="s">
        <v>374</v>
      </c>
      <c r="G7" s="156" t="s">
        <v>98</v>
      </c>
      <c r="H7" s="156" t="s">
        <v>143</v>
      </c>
      <c r="I7" s="69" t="s">
        <v>842</v>
      </c>
      <c r="J7" s="122">
        <v>1</v>
      </c>
      <c r="K7" s="15">
        <v>277600</v>
      </c>
      <c r="L7" s="16">
        <f t="shared" si="0"/>
        <v>277600</v>
      </c>
      <c r="M7" s="16">
        <f>L7*10%</f>
        <v>27760</v>
      </c>
      <c r="N7" s="15">
        <f t="shared" si="1"/>
        <v>305360</v>
      </c>
      <c r="O7" s="5" t="s">
        <v>1531</v>
      </c>
      <c r="P7" s="174" t="s">
        <v>2636</v>
      </c>
      <c r="Q7" s="5">
        <v>45713</v>
      </c>
      <c r="R7" s="209"/>
    </row>
    <row r="8" spans="1:18" ht="16.5" customHeight="1">
      <c r="A8" t="s">
        <v>64</v>
      </c>
      <c r="B8" s="10" t="s">
        <v>990</v>
      </c>
      <c r="C8" s="12"/>
      <c r="D8" s="13">
        <v>45691</v>
      </c>
      <c r="E8" s="155" t="s">
        <v>710</v>
      </c>
      <c r="F8" s="155" t="s">
        <v>991</v>
      </c>
      <c r="G8" s="156" t="s">
        <v>41</v>
      </c>
      <c r="H8" s="156" t="s">
        <v>635</v>
      </c>
      <c r="I8" s="69" t="s">
        <v>636</v>
      </c>
      <c r="J8" s="122">
        <v>1</v>
      </c>
      <c r="K8" s="15">
        <v>1096609</v>
      </c>
      <c r="L8" s="16">
        <f t="shared" si="0"/>
        <v>1096609</v>
      </c>
      <c r="M8" s="16">
        <v>109661</v>
      </c>
      <c r="N8" s="15">
        <f t="shared" si="1"/>
        <v>1206270</v>
      </c>
      <c r="O8" s="5" t="s">
        <v>812</v>
      </c>
      <c r="P8" s="9" t="s">
        <v>2635</v>
      </c>
      <c r="Q8" s="5">
        <v>45715</v>
      </c>
      <c r="R8" s="213"/>
    </row>
    <row r="9" spans="1:18" ht="16.5" customHeight="1">
      <c r="A9" t="s">
        <v>64</v>
      </c>
      <c r="B9" s="10" t="s">
        <v>324</v>
      </c>
      <c r="C9" s="12"/>
      <c r="D9" s="13">
        <v>45691</v>
      </c>
      <c r="E9" s="155" t="s">
        <v>2633</v>
      </c>
      <c r="F9" s="155" t="s">
        <v>63</v>
      </c>
      <c r="G9" s="156" t="s">
        <v>7</v>
      </c>
      <c r="H9" s="156" t="s">
        <v>143</v>
      </c>
      <c r="I9" s="69" t="s">
        <v>816</v>
      </c>
      <c r="J9" s="122">
        <v>1</v>
      </c>
      <c r="K9" s="15">
        <v>93456</v>
      </c>
      <c r="L9" s="15">
        <f t="shared" si="0"/>
        <v>93456</v>
      </c>
      <c r="M9" s="15">
        <v>9345</v>
      </c>
      <c r="N9" s="15">
        <f t="shared" si="1"/>
        <v>102801</v>
      </c>
      <c r="O9" s="5" t="s">
        <v>1531</v>
      </c>
      <c r="P9" s="174" t="s">
        <v>2636</v>
      </c>
      <c r="Q9" s="5">
        <v>45380</v>
      </c>
      <c r="R9" s="209" t="s">
        <v>100</v>
      </c>
    </row>
    <row r="10" spans="1:18" ht="16.5" customHeight="1">
      <c r="A10" t="s">
        <v>64</v>
      </c>
      <c r="B10" s="10" t="s">
        <v>353</v>
      </c>
      <c r="C10" s="12"/>
      <c r="D10" s="13">
        <v>45691</v>
      </c>
      <c r="E10" s="155" t="s">
        <v>2633</v>
      </c>
      <c r="F10" s="155" t="s">
        <v>171</v>
      </c>
      <c r="G10" s="156" t="s">
        <v>7</v>
      </c>
      <c r="H10" s="156" t="s">
        <v>366</v>
      </c>
      <c r="I10" s="69" t="s">
        <v>819</v>
      </c>
      <c r="J10" s="122">
        <v>1</v>
      </c>
      <c r="K10" s="15">
        <v>3239404</v>
      </c>
      <c r="L10" s="16">
        <f t="shared" si="0"/>
        <v>3239404</v>
      </c>
      <c r="M10" s="15">
        <v>323940</v>
      </c>
      <c r="N10" s="15">
        <f t="shared" si="1"/>
        <v>3563344</v>
      </c>
      <c r="O10" s="5" t="s">
        <v>1531</v>
      </c>
      <c r="P10" s="9" t="s">
        <v>2635</v>
      </c>
      <c r="Q10" s="5">
        <v>45716</v>
      </c>
      <c r="R10" s="209"/>
    </row>
    <row r="11" spans="1:18" ht="16.5" customHeight="1">
      <c r="A11" t="s">
        <v>64</v>
      </c>
      <c r="B11" s="10" t="s">
        <v>394</v>
      </c>
      <c r="C11" s="12"/>
      <c r="D11" s="13">
        <v>45691</v>
      </c>
      <c r="E11" s="155" t="s">
        <v>2633</v>
      </c>
      <c r="F11" s="155" t="s">
        <v>391</v>
      </c>
      <c r="G11" s="156" t="s">
        <v>7</v>
      </c>
      <c r="H11" s="156" t="s">
        <v>143</v>
      </c>
      <c r="I11" s="69" t="s">
        <v>820</v>
      </c>
      <c r="J11" s="122">
        <v>1</v>
      </c>
      <c r="K11" s="15">
        <v>205780</v>
      </c>
      <c r="L11" s="16">
        <v>205780</v>
      </c>
      <c r="M11" s="16">
        <v>20578</v>
      </c>
      <c r="N11" s="15">
        <f t="shared" si="1"/>
        <v>226358</v>
      </c>
      <c r="O11" s="5" t="s">
        <v>1531</v>
      </c>
      <c r="P11" s="174" t="s">
        <v>2636</v>
      </c>
      <c r="Q11" s="5">
        <v>45491</v>
      </c>
      <c r="R11" s="209" t="s">
        <v>100</v>
      </c>
    </row>
    <row r="12" spans="1:18" ht="16.5" customHeight="1">
      <c r="A12" t="s">
        <v>64</v>
      </c>
      <c r="B12" s="10" t="s">
        <v>855</v>
      </c>
      <c r="C12" s="12"/>
      <c r="D12" s="13">
        <v>45691</v>
      </c>
      <c r="E12" s="155" t="s">
        <v>2633</v>
      </c>
      <c r="F12" s="155" t="s">
        <v>553</v>
      </c>
      <c r="G12" s="156" t="s">
        <v>7</v>
      </c>
      <c r="H12" s="156" t="s">
        <v>143</v>
      </c>
      <c r="I12" s="69" t="s">
        <v>831</v>
      </c>
      <c r="J12" s="122">
        <v>1</v>
      </c>
      <c r="K12" s="15">
        <v>990000</v>
      </c>
      <c r="L12" s="16">
        <f>J12*K12</f>
        <v>990000</v>
      </c>
      <c r="M12" s="16">
        <f>L12*10%</f>
        <v>99000</v>
      </c>
      <c r="N12" s="15">
        <f t="shared" si="1"/>
        <v>1089000</v>
      </c>
      <c r="O12" s="5" t="s">
        <v>1531</v>
      </c>
      <c r="P12" s="174" t="s">
        <v>2636</v>
      </c>
      <c r="Q12" s="5">
        <v>45689</v>
      </c>
      <c r="R12" s="213"/>
    </row>
    <row r="13" spans="1:18" ht="16.5" customHeight="1">
      <c r="A13" t="s">
        <v>64</v>
      </c>
      <c r="B13" s="10" t="s">
        <v>354</v>
      </c>
      <c r="C13" s="12"/>
      <c r="D13" s="13">
        <v>45691</v>
      </c>
      <c r="E13" s="155" t="s">
        <v>2633</v>
      </c>
      <c r="F13" s="155" t="s">
        <v>244</v>
      </c>
      <c r="G13" s="156" t="s">
        <v>7</v>
      </c>
      <c r="H13" s="156" t="s">
        <v>143</v>
      </c>
      <c r="I13" s="69" t="s">
        <v>824</v>
      </c>
      <c r="J13" s="122">
        <v>1</v>
      </c>
      <c r="K13" s="15">
        <v>305280</v>
      </c>
      <c r="L13" s="16">
        <f>J13*K13</f>
        <v>305280</v>
      </c>
      <c r="M13" s="15">
        <v>30528</v>
      </c>
      <c r="N13" s="15">
        <f t="shared" si="1"/>
        <v>335808</v>
      </c>
      <c r="O13" s="5" t="s">
        <v>1531</v>
      </c>
      <c r="P13" s="9" t="s">
        <v>2636</v>
      </c>
      <c r="Q13" s="5">
        <v>45716</v>
      </c>
      <c r="R13" s="209"/>
    </row>
    <row r="14" spans="1:18" ht="16.5" customHeight="1">
      <c r="A14" t="s">
        <v>64</v>
      </c>
      <c r="B14" s="140" t="s">
        <v>182</v>
      </c>
      <c r="C14" s="12"/>
      <c r="D14" s="13">
        <v>45691</v>
      </c>
      <c r="E14" s="155" t="s">
        <v>2633</v>
      </c>
      <c r="F14" s="155" t="s">
        <v>322</v>
      </c>
      <c r="G14" s="156" t="s">
        <v>7</v>
      </c>
      <c r="H14" s="156" t="s">
        <v>143</v>
      </c>
      <c r="I14" s="69" t="s">
        <v>1003</v>
      </c>
      <c r="J14" s="122">
        <v>1</v>
      </c>
      <c r="K14" s="15">
        <v>259896</v>
      </c>
      <c r="L14" s="16">
        <f>J14*K14</f>
        <v>259896</v>
      </c>
      <c r="M14" s="16">
        <v>25989</v>
      </c>
      <c r="N14" s="15">
        <f t="shared" si="1"/>
        <v>285885</v>
      </c>
      <c r="O14" s="5" t="s">
        <v>1531</v>
      </c>
      <c r="P14" s="9" t="s">
        <v>2636</v>
      </c>
      <c r="Q14" s="5">
        <v>45689</v>
      </c>
      <c r="R14" s="213"/>
    </row>
    <row r="15" spans="1:18" ht="16.5" customHeight="1">
      <c r="A15" t="s">
        <v>64</v>
      </c>
      <c r="B15" s="10" t="s">
        <v>346</v>
      </c>
      <c r="C15" s="12"/>
      <c r="D15" s="13">
        <v>45691</v>
      </c>
      <c r="E15" s="155" t="s">
        <v>2633</v>
      </c>
      <c r="F15" s="155" t="s">
        <v>2632</v>
      </c>
      <c r="G15" s="156" t="s">
        <v>98</v>
      </c>
      <c r="H15" s="156" t="s">
        <v>143</v>
      </c>
      <c r="I15" s="69" t="s">
        <v>825</v>
      </c>
      <c r="J15" s="122">
        <v>1</v>
      </c>
      <c r="K15" s="15">
        <v>66498</v>
      </c>
      <c r="L15" s="16">
        <f>J15*K15</f>
        <v>66498</v>
      </c>
      <c r="M15" s="15">
        <v>6649</v>
      </c>
      <c r="N15" s="15">
        <f t="shared" si="1"/>
        <v>73147</v>
      </c>
      <c r="O15" s="5" t="s">
        <v>1531</v>
      </c>
      <c r="P15" s="174" t="s">
        <v>2636</v>
      </c>
      <c r="Q15" s="5">
        <v>45716</v>
      </c>
      <c r="R15" s="209"/>
    </row>
    <row r="16" spans="1:18" ht="16.5" customHeight="1">
      <c r="A16" t="s">
        <v>64</v>
      </c>
      <c r="B16" s="10" t="s">
        <v>396</v>
      </c>
      <c r="C16" s="12"/>
      <c r="D16" s="13">
        <v>45691</v>
      </c>
      <c r="E16" s="155" t="s">
        <v>2633</v>
      </c>
      <c r="F16" s="155" t="s">
        <v>352</v>
      </c>
      <c r="G16" s="157" t="s">
        <v>98</v>
      </c>
      <c r="H16" s="156" t="s">
        <v>143</v>
      </c>
      <c r="I16" s="69" t="s">
        <v>826</v>
      </c>
      <c r="J16" s="122">
        <v>1</v>
      </c>
      <c r="K16" s="15">
        <v>80160</v>
      </c>
      <c r="L16" s="16">
        <v>80160</v>
      </c>
      <c r="M16" s="16">
        <v>8016</v>
      </c>
      <c r="N16" s="15">
        <f t="shared" si="1"/>
        <v>88176</v>
      </c>
      <c r="O16" s="5" t="s">
        <v>1531</v>
      </c>
      <c r="P16" s="174" t="s">
        <v>2636</v>
      </c>
      <c r="Q16" s="5">
        <v>45716</v>
      </c>
      <c r="R16" s="209"/>
    </row>
    <row r="17" spans="1:20" ht="16.5" customHeight="1">
      <c r="A17" t="s">
        <v>64</v>
      </c>
      <c r="B17" s="143" t="s">
        <v>174</v>
      </c>
      <c r="C17" s="144"/>
      <c r="D17" s="13">
        <v>45691</v>
      </c>
      <c r="E17" s="155" t="s">
        <v>2633</v>
      </c>
      <c r="F17" s="155" t="s">
        <v>175</v>
      </c>
      <c r="G17" s="157" t="s">
        <v>98</v>
      </c>
      <c r="H17" s="156" t="s">
        <v>143</v>
      </c>
      <c r="I17" s="69" t="s">
        <v>827</v>
      </c>
      <c r="J17" s="122">
        <v>1</v>
      </c>
      <c r="K17" s="15">
        <v>198018</v>
      </c>
      <c r="L17" s="16">
        <f t="shared" ref="L17:L41" si="2">J17*K17</f>
        <v>198018</v>
      </c>
      <c r="M17" s="15">
        <v>19801</v>
      </c>
      <c r="N17" s="15">
        <f t="shared" si="1"/>
        <v>217819</v>
      </c>
      <c r="O17" s="5" t="s">
        <v>1531</v>
      </c>
      <c r="P17" s="174" t="s">
        <v>2636</v>
      </c>
      <c r="Q17" s="5">
        <v>45689</v>
      </c>
      <c r="R17" s="209"/>
    </row>
    <row r="18" spans="1:20" ht="16.5" customHeight="1">
      <c r="A18" t="s">
        <v>64</v>
      </c>
      <c r="B18" s="10" t="s">
        <v>414</v>
      </c>
      <c r="C18" s="12"/>
      <c r="D18" s="13">
        <v>45691</v>
      </c>
      <c r="E18" s="155" t="s">
        <v>2633</v>
      </c>
      <c r="F18" s="155" t="s">
        <v>308</v>
      </c>
      <c r="G18" s="156" t="s">
        <v>98</v>
      </c>
      <c r="H18" s="156" t="s">
        <v>143</v>
      </c>
      <c r="I18" s="69" t="s">
        <v>828</v>
      </c>
      <c r="J18" s="122">
        <v>1</v>
      </c>
      <c r="K18" s="16">
        <v>84811</v>
      </c>
      <c r="L18" s="16">
        <f t="shared" si="2"/>
        <v>84811</v>
      </c>
      <c r="M18" s="15">
        <v>8481</v>
      </c>
      <c r="N18" s="15">
        <f t="shared" si="1"/>
        <v>93292</v>
      </c>
      <c r="O18" s="5" t="s">
        <v>1531</v>
      </c>
      <c r="P18" s="174" t="s">
        <v>2636</v>
      </c>
      <c r="Q18" s="5">
        <v>45713</v>
      </c>
      <c r="R18" s="209"/>
    </row>
    <row r="19" spans="1:20" ht="16.5" customHeight="1">
      <c r="A19" t="s">
        <v>64</v>
      </c>
      <c r="B19" s="10" t="s">
        <v>490</v>
      </c>
      <c r="C19" s="12"/>
      <c r="D19" s="13">
        <v>45691</v>
      </c>
      <c r="E19" s="155" t="s">
        <v>2633</v>
      </c>
      <c r="F19" s="155" t="s">
        <v>2632</v>
      </c>
      <c r="G19" s="156" t="s">
        <v>7</v>
      </c>
      <c r="H19" s="156" t="s">
        <v>143</v>
      </c>
      <c r="I19" s="69" t="s">
        <v>829</v>
      </c>
      <c r="J19" s="122">
        <v>1</v>
      </c>
      <c r="K19" s="16">
        <v>133875</v>
      </c>
      <c r="L19" s="16">
        <f t="shared" si="2"/>
        <v>133875</v>
      </c>
      <c r="M19" s="16">
        <v>13387</v>
      </c>
      <c r="N19" s="15">
        <f t="shared" si="1"/>
        <v>147262</v>
      </c>
      <c r="O19" s="5" t="s">
        <v>1531</v>
      </c>
      <c r="P19" s="9" t="s">
        <v>2636</v>
      </c>
      <c r="Q19" s="5">
        <v>45716</v>
      </c>
      <c r="R19" s="209"/>
    </row>
    <row r="20" spans="1:20">
      <c r="A20" t="s">
        <v>64</v>
      </c>
      <c r="B20" s="226" t="s">
        <v>1255</v>
      </c>
      <c r="C20" s="12"/>
      <c r="D20" s="13">
        <v>45691</v>
      </c>
      <c r="E20" s="155" t="s">
        <v>2633</v>
      </c>
      <c r="F20" s="155" t="s">
        <v>32</v>
      </c>
      <c r="G20" s="156" t="s">
        <v>98</v>
      </c>
      <c r="H20" s="156" t="s">
        <v>143</v>
      </c>
      <c r="I20" s="69" t="s">
        <v>830</v>
      </c>
      <c r="J20" s="122">
        <v>1</v>
      </c>
      <c r="K20" s="16">
        <v>11623397</v>
      </c>
      <c r="L20" s="16">
        <f t="shared" si="2"/>
        <v>11623397</v>
      </c>
      <c r="M20" s="16">
        <v>1162339</v>
      </c>
      <c r="N20" s="15">
        <f t="shared" si="1"/>
        <v>12785736</v>
      </c>
      <c r="O20" s="5" t="s">
        <v>1531</v>
      </c>
      <c r="P20" s="174" t="s">
        <v>2636</v>
      </c>
      <c r="Q20" s="5">
        <v>45713</v>
      </c>
      <c r="R20" s="209"/>
    </row>
    <row r="21" spans="1:20" ht="16.5" customHeight="1">
      <c r="A21" t="s">
        <v>64</v>
      </c>
      <c r="B21" s="10" t="s">
        <v>152</v>
      </c>
      <c r="C21" s="12"/>
      <c r="D21" s="13">
        <v>45691</v>
      </c>
      <c r="E21" s="155" t="s">
        <v>2633</v>
      </c>
      <c r="F21" s="155" t="s">
        <v>153</v>
      </c>
      <c r="G21" s="156" t="s">
        <v>7</v>
      </c>
      <c r="H21" s="9" t="s">
        <v>143</v>
      </c>
      <c r="I21" s="69" t="s">
        <v>989</v>
      </c>
      <c r="J21" s="122">
        <v>1</v>
      </c>
      <c r="K21" s="15">
        <v>564192</v>
      </c>
      <c r="L21" s="16">
        <f t="shared" si="2"/>
        <v>564192</v>
      </c>
      <c r="M21" s="15">
        <v>56419</v>
      </c>
      <c r="N21" s="15">
        <f t="shared" si="1"/>
        <v>620611</v>
      </c>
      <c r="O21" s="5" t="s">
        <v>1531</v>
      </c>
      <c r="P21" s="9" t="s">
        <v>2636</v>
      </c>
      <c r="Q21" s="5">
        <v>45689</v>
      </c>
      <c r="R21" s="209"/>
    </row>
    <row r="22" spans="1:20" ht="16.5" customHeight="1">
      <c r="A22" t="s">
        <v>64</v>
      </c>
      <c r="B22" s="10" t="s">
        <v>878</v>
      </c>
      <c r="C22" s="12"/>
      <c r="D22" s="13">
        <v>45691</v>
      </c>
      <c r="E22" s="155" t="s">
        <v>2633</v>
      </c>
      <c r="F22" s="155" t="s">
        <v>148</v>
      </c>
      <c r="G22" s="156" t="s">
        <v>98</v>
      </c>
      <c r="H22" s="156" t="s">
        <v>143</v>
      </c>
      <c r="I22" s="69" t="s">
        <v>832</v>
      </c>
      <c r="J22" s="122">
        <v>1</v>
      </c>
      <c r="K22" s="15">
        <v>2812500</v>
      </c>
      <c r="L22" s="16">
        <f t="shared" si="2"/>
        <v>2812500</v>
      </c>
      <c r="M22" s="16">
        <v>281250</v>
      </c>
      <c r="N22" s="15">
        <f t="shared" si="1"/>
        <v>3093750</v>
      </c>
      <c r="O22" s="5" t="s">
        <v>1531</v>
      </c>
      <c r="P22" s="9" t="s">
        <v>2634</v>
      </c>
      <c r="Q22" s="5">
        <v>45666</v>
      </c>
      <c r="R22" s="209" t="s">
        <v>100</v>
      </c>
    </row>
    <row r="23" spans="1:20" ht="16.5" customHeight="1">
      <c r="A23" t="s">
        <v>64</v>
      </c>
      <c r="B23" s="140" t="s">
        <v>182</v>
      </c>
      <c r="C23" s="12"/>
      <c r="D23" s="13">
        <v>45691</v>
      </c>
      <c r="E23" s="155" t="s">
        <v>2633</v>
      </c>
      <c r="F23" s="155" t="s">
        <v>322</v>
      </c>
      <c r="G23" s="157" t="s">
        <v>98</v>
      </c>
      <c r="H23" s="156" t="s">
        <v>143</v>
      </c>
      <c r="I23" s="69" t="s">
        <v>1187</v>
      </c>
      <c r="J23" s="122">
        <v>1</v>
      </c>
      <c r="K23" s="15">
        <v>1123962</v>
      </c>
      <c r="L23" s="16">
        <f t="shared" si="2"/>
        <v>1123962</v>
      </c>
      <c r="M23" s="15">
        <v>112396</v>
      </c>
      <c r="N23" s="15">
        <f t="shared" si="1"/>
        <v>1236358</v>
      </c>
      <c r="O23" s="5" t="s">
        <v>1531</v>
      </c>
      <c r="P23" s="9" t="s">
        <v>2636</v>
      </c>
      <c r="Q23" s="5">
        <v>45689</v>
      </c>
      <c r="R23" s="209"/>
    </row>
    <row r="24" spans="1:20" ht="16.5" customHeight="1">
      <c r="A24" t="s">
        <v>64</v>
      </c>
      <c r="B24" s="10" t="s">
        <v>415</v>
      </c>
      <c r="C24" s="12"/>
      <c r="D24" s="13">
        <v>45691</v>
      </c>
      <c r="E24" s="155" t="s">
        <v>2633</v>
      </c>
      <c r="F24" s="155" t="s">
        <v>99</v>
      </c>
      <c r="G24" s="156" t="s">
        <v>7</v>
      </c>
      <c r="H24" s="156" t="s">
        <v>143</v>
      </c>
      <c r="I24" s="69" t="s">
        <v>843</v>
      </c>
      <c r="J24" s="122">
        <v>1</v>
      </c>
      <c r="K24" s="15">
        <v>691782</v>
      </c>
      <c r="L24" s="16">
        <f t="shared" si="2"/>
        <v>691782</v>
      </c>
      <c r="M24" s="16">
        <v>69178</v>
      </c>
      <c r="N24" s="15">
        <f t="shared" si="1"/>
        <v>760960</v>
      </c>
      <c r="O24" s="5" t="s">
        <v>1531</v>
      </c>
      <c r="P24" s="9" t="s">
        <v>2636</v>
      </c>
      <c r="Q24" s="5">
        <v>45721</v>
      </c>
      <c r="R24" s="209"/>
    </row>
    <row r="25" spans="1:20" ht="16.5" customHeight="1">
      <c r="A25" t="s">
        <v>64</v>
      </c>
      <c r="B25" s="10" t="s">
        <v>1610</v>
      </c>
      <c r="C25" s="12"/>
      <c r="D25" s="13">
        <v>45691</v>
      </c>
      <c r="E25" s="155" t="s">
        <v>2633</v>
      </c>
      <c r="F25" s="155" t="s">
        <v>2632</v>
      </c>
      <c r="G25" s="156" t="s">
        <v>7</v>
      </c>
      <c r="H25" s="156" t="s">
        <v>143</v>
      </c>
      <c r="I25" s="69" t="s">
        <v>844</v>
      </c>
      <c r="J25" s="122">
        <v>1</v>
      </c>
      <c r="K25" s="15">
        <v>79496</v>
      </c>
      <c r="L25" s="16">
        <f t="shared" si="2"/>
        <v>79496</v>
      </c>
      <c r="M25" s="15">
        <v>7949</v>
      </c>
      <c r="N25" s="15">
        <f t="shared" si="1"/>
        <v>87445</v>
      </c>
      <c r="O25" s="5" t="s">
        <v>1531</v>
      </c>
      <c r="P25" s="9" t="s">
        <v>2636</v>
      </c>
      <c r="Q25" s="5">
        <v>45713</v>
      </c>
      <c r="R25" s="209"/>
    </row>
    <row r="26" spans="1:20" ht="16.5" customHeight="1">
      <c r="A26" t="s">
        <v>64</v>
      </c>
      <c r="B26" s="141" t="s">
        <v>169</v>
      </c>
      <c r="C26" s="142"/>
      <c r="D26" s="13">
        <v>45691</v>
      </c>
      <c r="E26" s="155" t="s">
        <v>2633</v>
      </c>
      <c r="F26" s="155" t="s">
        <v>114</v>
      </c>
      <c r="G26" s="156" t="s">
        <v>7</v>
      </c>
      <c r="H26" s="156" t="s">
        <v>143</v>
      </c>
      <c r="I26" s="69" t="s">
        <v>845</v>
      </c>
      <c r="J26" s="122">
        <v>1</v>
      </c>
      <c r="K26" s="15">
        <v>159761</v>
      </c>
      <c r="L26" s="15">
        <f t="shared" si="2"/>
        <v>159761</v>
      </c>
      <c r="M26" s="15">
        <v>15976</v>
      </c>
      <c r="N26" s="15">
        <f t="shared" si="1"/>
        <v>175737</v>
      </c>
      <c r="O26" s="5" t="s">
        <v>1531</v>
      </c>
      <c r="P26" s="9" t="s">
        <v>2636</v>
      </c>
      <c r="Q26" s="5">
        <v>45716</v>
      </c>
      <c r="R26" s="209"/>
      <c r="S26" s="7"/>
      <c r="T26" s="7"/>
    </row>
    <row r="27" spans="1:20" ht="16.5" customHeight="1">
      <c r="A27" t="s">
        <v>64</v>
      </c>
      <c r="B27" s="10" t="s">
        <v>298</v>
      </c>
      <c r="C27" s="12"/>
      <c r="D27" s="13">
        <v>45691</v>
      </c>
      <c r="E27" s="155" t="s">
        <v>2633</v>
      </c>
      <c r="F27" s="155" t="s">
        <v>114</v>
      </c>
      <c r="G27" s="156" t="s">
        <v>98</v>
      </c>
      <c r="H27" s="156" t="s">
        <v>143</v>
      </c>
      <c r="I27" s="69" t="s">
        <v>846</v>
      </c>
      <c r="J27" s="122">
        <v>1</v>
      </c>
      <c r="K27" s="15">
        <v>70422</v>
      </c>
      <c r="L27" s="16">
        <f t="shared" si="2"/>
        <v>70422</v>
      </c>
      <c r="M27" s="15">
        <v>7042</v>
      </c>
      <c r="N27" s="15">
        <f t="shared" si="1"/>
        <v>77464</v>
      </c>
      <c r="O27" s="5" t="s">
        <v>1531</v>
      </c>
      <c r="P27" s="174" t="s">
        <v>2636</v>
      </c>
      <c r="Q27" s="5">
        <v>45716</v>
      </c>
      <c r="R27" s="209" t="s">
        <v>1257</v>
      </c>
    </row>
    <row r="28" spans="1:20" ht="16.5" customHeight="1">
      <c r="A28" t="s">
        <v>64</v>
      </c>
      <c r="B28" s="10" t="s">
        <v>413</v>
      </c>
      <c r="C28" s="12"/>
      <c r="D28" s="13">
        <v>45691</v>
      </c>
      <c r="E28" s="155" t="s">
        <v>2633</v>
      </c>
      <c r="F28" s="155" t="s">
        <v>101</v>
      </c>
      <c r="G28" s="156" t="s">
        <v>98</v>
      </c>
      <c r="H28" s="156" t="s">
        <v>143</v>
      </c>
      <c r="I28" s="69" t="s">
        <v>847</v>
      </c>
      <c r="J28" s="122">
        <v>1</v>
      </c>
      <c r="K28" s="15">
        <v>95200</v>
      </c>
      <c r="L28" s="16">
        <f t="shared" si="2"/>
        <v>95200</v>
      </c>
      <c r="M28" s="16">
        <f>L28*10%</f>
        <v>9520</v>
      </c>
      <c r="N28" s="15">
        <f t="shared" si="1"/>
        <v>104720</v>
      </c>
      <c r="O28" s="5" t="s">
        <v>1531</v>
      </c>
      <c r="P28" s="9" t="s">
        <v>2636</v>
      </c>
      <c r="Q28" s="5">
        <v>45716</v>
      </c>
      <c r="R28" s="209" t="s">
        <v>147</v>
      </c>
    </row>
    <row r="29" spans="1:20" ht="16.5" customHeight="1">
      <c r="A29" t="s">
        <v>64</v>
      </c>
      <c r="B29" s="10" t="s">
        <v>373</v>
      </c>
      <c r="C29" s="139"/>
      <c r="D29" s="13">
        <v>45691</v>
      </c>
      <c r="E29" s="155" t="s">
        <v>2633</v>
      </c>
      <c r="F29" s="155" t="s">
        <v>374</v>
      </c>
      <c r="G29" s="156" t="s">
        <v>98</v>
      </c>
      <c r="H29" s="156" t="s">
        <v>143</v>
      </c>
      <c r="I29" s="69" t="s">
        <v>848</v>
      </c>
      <c r="J29" s="122">
        <v>1</v>
      </c>
      <c r="K29" s="15">
        <v>142800</v>
      </c>
      <c r="L29" s="16">
        <f t="shared" si="2"/>
        <v>142800</v>
      </c>
      <c r="M29" s="15">
        <f>L29*10%</f>
        <v>14280</v>
      </c>
      <c r="N29" s="15">
        <f t="shared" si="1"/>
        <v>157080</v>
      </c>
      <c r="O29" s="5" t="s">
        <v>1531</v>
      </c>
      <c r="P29" s="174" t="s">
        <v>2636</v>
      </c>
      <c r="Q29" s="5">
        <v>45713</v>
      </c>
      <c r="R29" s="209"/>
    </row>
    <row r="30" spans="1:20" ht="16.5" customHeight="1">
      <c r="A30" t="s">
        <v>64</v>
      </c>
      <c r="B30" s="10" t="s">
        <v>349</v>
      </c>
      <c r="C30" s="12"/>
      <c r="D30" s="13">
        <v>45691</v>
      </c>
      <c r="E30" s="155" t="s">
        <v>2633</v>
      </c>
      <c r="F30" s="155" t="s">
        <v>241</v>
      </c>
      <c r="G30" s="156" t="s">
        <v>98</v>
      </c>
      <c r="H30" s="156" t="s">
        <v>143</v>
      </c>
      <c r="I30" s="69" t="s">
        <v>1612</v>
      </c>
      <c r="J30" s="122">
        <v>1</v>
      </c>
      <c r="K30" s="15">
        <v>1263250</v>
      </c>
      <c r="L30" s="16">
        <f t="shared" si="2"/>
        <v>1263250</v>
      </c>
      <c r="M30" s="15">
        <v>126325</v>
      </c>
      <c r="N30" s="15">
        <f t="shared" si="1"/>
        <v>1389575</v>
      </c>
      <c r="O30" s="5" t="s">
        <v>1531</v>
      </c>
      <c r="P30" s="174" t="s">
        <v>2636</v>
      </c>
      <c r="Q30" s="5">
        <v>45716</v>
      </c>
      <c r="R30" s="209"/>
    </row>
    <row r="31" spans="1:20" ht="16.5" customHeight="1">
      <c r="A31" t="s">
        <v>64</v>
      </c>
      <c r="B31" s="10" t="s">
        <v>146</v>
      </c>
      <c r="C31" s="12"/>
      <c r="D31" s="13">
        <v>45691</v>
      </c>
      <c r="E31" s="155" t="s">
        <v>2633</v>
      </c>
      <c r="F31" s="155" t="s">
        <v>114</v>
      </c>
      <c r="G31" s="156" t="s">
        <v>7</v>
      </c>
      <c r="H31" s="156" t="s">
        <v>143</v>
      </c>
      <c r="I31" s="69" t="s">
        <v>849</v>
      </c>
      <c r="J31" s="122">
        <v>1</v>
      </c>
      <c r="K31" s="15">
        <v>309047</v>
      </c>
      <c r="L31" s="16">
        <f t="shared" si="2"/>
        <v>309047</v>
      </c>
      <c r="M31" s="15">
        <v>30904</v>
      </c>
      <c r="N31" s="15">
        <f t="shared" si="1"/>
        <v>339951</v>
      </c>
      <c r="O31" s="5" t="s">
        <v>1531</v>
      </c>
      <c r="P31" s="9" t="s">
        <v>2636</v>
      </c>
      <c r="Q31" s="5">
        <v>45658</v>
      </c>
      <c r="R31" s="209" t="s">
        <v>147</v>
      </c>
    </row>
    <row r="32" spans="1:20" ht="16.5" customHeight="1">
      <c r="A32" t="s">
        <v>64</v>
      </c>
      <c r="B32" s="141" t="s">
        <v>163</v>
      </c>
      <c r="C32" s="12"/>
      <c r="D32" s="13">
        <v>45691</v>
      </c>
      <c r="E32" s="155" t="s">
        <v>2633</v>
      </c>
      <c r="F32" s="155" t="s">
        <v>114</v>
      </c>
      <c r="G32" s="156" t="s">
        <v>7</v>
      </c>
      <c r="H32" s="156" t="s">
        <v>143</v>
      </c>
      <c r="I32" s="69" t="s">
        <v>850</v>
      </c>
      <c r="J32" s="122">
        <v>1</v>
      </c>
      <c r="K32" s="15">
        <v>212293</v>
      </c>
      <c r="L32" s="15">
        <f t="shared" si="2"/>
        <v>212293</v>
      </c>
      <c r="M32" s="15">
        <v>21229</v>
      </c>
      <c r="N32" s="15">
        <f t="shared" si="1"/>
        <v>233522</v>
      </c>
      <c r="O32" s="5" t="s">
        <v>1531</v>
      </c>
      <c r="P32" s="9" t="s">
        <v>2636</v>
      </c>
      <c r="Q32" s="5">
        <v>45716</v>
      </c>
      <c r="R32" s="209"/>
    </row>
    <row r="33" spans="1:19" ht="16.5" customHeight="1">
      <c r="A33" t="s">
        <v>64</v>
      </c>
      <c r="B33" s="10" t="s">
        <v>487</v>
      </c>
      <c r="C33" s="12"/>
      <c r="D33" s="13">
        <v>45691</v>
      </c>
      <c r="E33" s="155" t="s">
        <v>2633</v>
      </c>
      <c r="F33" s="155" t="s">
        <v>488</v>
      </c>
      <c r="G33" s="156" t="s">
        <v>98</v>
      </c>
      <c r="H33" s="156" t="s">
        <v>143</v>
      </c>
      <c r="I33" s="69" t="s">
        <v>851</v>
      </c>
      <c r="J33" s="122">
        <v>1</v>
      </c>
      <c r="K33" s="15">
        <v>145780</v>
      </c>
      <c r="L33" s="16">
        <f t="shared" si="2"/>
        <v>145780</v>
      </c>
      <c r="M33" s="16">
        <v>14578</v>
      </c>
      <c r="N33" s="15">
        <f t="shared" si="1"/>
        <v>160358</v>
      </c>
      <c r="O33" s="5" t="s">
        <v>1531</v>
      </c>
      <c r="P33" s="9" t="s">
        <v>2636</v>
      </c>
      <c r="Q33" s="5">
        <v>45689</v>
      </c>
      <c r="R33" s="209"/>
    </row>
    <row r="34" spans="1:19" ht="16.5" customHeight="1">
      <c r="A34" t="s">
        <v>64</v>
      </c>
      <c r="B34" s="10" t="s">
        <v>369</v>
      </c>
      <c r="C34" s="12"/>
      <c r="D34" s="13">
        <v>45691</v>
      </c>
      <c r="E34" s="155" t="s">
        <v>2633</v>
      </c>
      <c r="F34" s="155" t="s">
        <v>365</v>
      </c>
      <c r="G34" s="156" t="s">
        <v>7</v>
      </c>
      <c r="H34" s="156" t="s">
        <v>143</v>
      </c>
      <c r="I34" s="69" t="s">
        <v>852</v>
      </c>
      <c r="J34" s="122">
        <v>1</v>
      </c>
      <c r="K34" s="15">
        <v>316682</v>
      </c>
      <c r="L34" s="16">
        <f t="shared" si="2"/>
        <v>316682</v>
      </c>
      <c r="M34" s="15">
        <v>31668</v>
      </c>
      <c r="N34" s="15">
        <f t="shared" si="1"/>
        <v>348350</v>
      </c>
      <c r="O34" s="5" t="s">
        <v>1531</v>
      </c>
      <c r="P34" s="9" t="s">
        <v>2636</v>
      </c>
      <c r="Q34" s="5">
        <v>45689</v>
      </c>
      <c r="R34" s="209"/>
    </row>
    <row r="35" spans="1:19" ht="16.5" customHeight="1">
      <c r="A35" t="s">
        <v>64</v>
      </c>
      <c r="B35" s="140" t="s">
        <v>367</v>
      </c>
      <c r="C35" s="12"/>
      <c r="D35" s="13">
        <v>45691</v>
      </c>
      <c r="E35" s="155" t="s">
        <v>2633</v>
      </c>
      <c r="F35" s="155" t="s">
        <v>368</v>
      </c>
      <c r="G35" s="156" t="s">
        <v>7</v>
      </c>
      <c r="H35" s="156" t="s">
        <v>143</v>
      </c>
      <c r="I35" s="69" t="s">
        <v>853</v>
      </c>
      <c r="J35" s="122">
        <v>1</v>
      </c>
      <c r="K35" s="15">
        <v>190849</v>
      </c>
      <c r="L35" s="16">
        <f t="shared" si="2"/>
        <v>190849</v>
      </c>
      <c r="M35" s="15">
        <v>19084</v>
      </c>
      <c r="N35" s="15">
        <f t="shared" si="1"/>
        <v>209933</v>
      </c>
      <c r="O35" s="5" t="s">
        <v>1531</v>
      </c>
      <c r="P35" s="177" t="s">
        <v>2636</v>
      </c>
      <c r="Q35" s="5">
        <v>45716</v>
      </c>
      <c r="R35" s="209"/>
    </row>
    <row r="36" spans="1:19" ht="16.5" customHeight="1">
      <c r="A36" t="s">
        <v>64</v>
      </c>
      <c r="B36" s="10" t="s">
        <v>104</v>
      </c>
      <c r="C36" s="12"/>
      <c r="D36" s="13">
        <v>45691</v>
      </c>
      <c r="E36" s="155" t="s">
        <v>2630</v>
      </c>
      <c r="F36" s="218"/>
      <c r="G36" s="156" t="s">
        <v>118</v>
      </c>
      <c r="H36" s="156" t="s">
        <v>25</v>
      </c>
      <c r="I36" s="69" t="s">
        <v>494</v>
      </c>
      <c r="J36" s="124">
        <v>1</v>
      </c>
      <c r="K36" s="15">
        <v>15000000</v>
      </c>
      <c r="L36" s="16">
        <f t="shared" si="2"/>
        <v>15000000</v>
      </c>
      <c r="M36" s="16">
        <f t="shared" ref="M36:M42" si="3">L36*10%</f>
        <v>1500000</v>
      </c>
      <c r="N36" s="15">
        <f t="shared" si="1"/>
        <v>16500000</v>
      </c>
      <c r="O36" s="5" t="s">
        <v>1140</v>
      </c>
      <c r="P36" s="9" t="s">
        <v>2634</v>
      </c>
      <c r="Q36" s="5">
        <v>45643</v>
      </c>
      <c r="R36" s="213"/>
      <c r="S36" t="s">
        <v>931</v>
      </c>
    </row>
    <row r="37" spans="1:19" ht="16.5" customHeight="1">
      <c r="A37" t="s">
        <v>64</v>
      </c>
      <c r="B37" s="10" t="s">
        <v>1089</v>
      </c>
      <c r="C37" s="12"/>
      <c r="D37" s="13">
        <v>45691</v>
      </c>
      <c r="E37" s="155" t="s">
        <v>2630</v>
      </c>
      <c r="F37" s="155" t="s">
        <v>2629</v>
      </c>
      <c r="G37" s="156" t="s">
        <v>118</v>
      </c>
      <c r="H37" s="156" t="s">
        <v>1090</v>
      </c>
      <c r="I37" s="69" t="s">
        <v>1077</v>
      </c>
      <c r="J37" s="124">
        <v>1</v>
      </c>
      <c r="K37" s="15">
        <v>600000</v>
      </c>
      <c r="L37" s="16">
        <f t="shared" si="2"/>
        <v>600000</v>
      </c>
      <c r="M37" s="16">
        <f t="shared" si="3"/>
        <v>60000</v>
      </c>
      <c r="N37" s="15">
        <f t="shared" si="1"/>
        <v>660000</v>
      </c>
      <c r="O37" s="5" t="s">
        <v>1140</v>
      </c>
      <c r="P37" s="9" t="s">
        <v>2634</v>
      </c>
      <c r="Q37" s="5">
        <v>45657</v>
      </c>
      <c r="R37" s="209"/>
    </row>
    <row r="38" spans="1:19" ht="16.5" customHeight="1">
      <c r="A38" t="s">
        <v>64</v>
      </c>
      <c r="B38" s="10" t="s">
        <v>937</v>
      </c>
      <c r="C38" s="12"/>
      <c r="D38" s="13">
        <v>45691</v>
      </c>
      <c r="E38" s="155" t="s">
        <v>936</v>
      </c>
      <c r="F38" s="155" t="s">
        <v>661</v>
      </c>
      <c r="G38" s="156" t="s">
        <v>41</v>
      </c>
      <c r="H38" s="156" t="s">
        <v>938</v>
      </c>
      <c r="I38" s="69" t="s">
        <v>939</v>
      </c>
      <c r="J38" s="122">
        <v>1</v>
      </c>
      <c r="K38" s="15">
        <v>120000</v>
      </c>
      <c r="L38" s="16">
        <f t="shared" si="2"/>
        <v>120000</v>
      </c>
      <c r="M38" s="16">
        <f t="shared" si="3"/>
        <v>12000</v>
      </c>
      <c r="N38" s="15">
        <f t="shared" si="1"/>
        <v>132000</v>
      </c>
      <c r="O38" s="5" t="s">
        <v>1842</v>
      </c>
      <c r="P38" s="9" t="s">
        <v>2636</v>
      </c>
      <c r="Q38" s="5">
        <v>45716</v>
      </c>
      <c r="R38" s="209"/>
    </row>
    <row r="39" spans="1:19" ht="16.5" customHeight="1">
      <c r="A39" t="s">
        <v>64</v>
      </c>
      <c r="B39" s="141" t="s">
        <v>144</v>
      </c>
      <c r="C39" s="142"/>
      <c r="D39" s="13">
        <v>45691</v>
      </c>
      <c r="E39" s="155" t="s">
        <v>303</v>
      </c>
      <c r="F39" s="155"/>
      <c r="G39" s="156" t="s">
        <v>30</v>
      </c>
      <c r="H39" s="156" t="s">
        <v>271</v>
      </c>
      <c r="I39" s="159" t="s">
        <v>304</v>
      </c>
      <c r="J39" s="124">
        <v>1</v>
      </c>
      <c r="K39" s="16">
        <v>12956</v>
      </c>
      <c r="L39" s="15">
        <f t="shared" si="2"/>
        <v>12956</v>
      </c>
      <c r="M39" s="15">
        <v>1295</v>
      </c>
      <c r="N39" s="15">
        <f t="shared" ref="N39" si="4">SUM(L39:M39)</f>
        <v>14251</v>
      </c>
      <c r="O39" s="5" t="s">
        <v>1271</v>
      </c>
      <c r="P39" s="175" t="s">
        <v>2644</v>
      </c>
      <c r="Q39" s="68" t="s">
        <v>206</v>
      </c>
      <c r="R39" s="209"/>
      <c r="S39" s="7"/>
    </row>
    <row r="40" spans="1:19" ht="16.5" customHeight="1">
      <c r="A40" t="s">
        <v>64</v>
      </c>
      <c r="B40" s="10" t="s">
        <v>104</v>
      </c>
      <c r="C40" s="12"/>
      <c r="D40" s="13">
        <v>45693</v>
      </c>
      <c r="E40" s="155" t="s">
        <v>2632</v>
      </c>
      <c r="F40" s="155"/>
      <c r="G40" s="158" t="s">
        <v>7</v>
      </c>
      <c r="H40" s="156" t="s">
        <v>25</v>
      </c>
      <c r="I40" s="69" t="s">
        <v>567</v>
      </c>
      <c r="J40" s="122">
        <v>1</v>
      </c>
      <c r="K40" s="15">
        <v>10000000</v>
      </c>
      <c r="L40" s="16">
        <f t="shared" si="2"/>
        <v>10000000</v>
      </c>
      <c r="M40" s="16">
        <f t="shared" si="3"/>
        <v>1000000</v>
      </c>
      <c r="N40" s="15">
        <f t="shared" si="1"/>
        <v>11000000</v>
      </c>
      <c r="O40" s="5" t="s">
        <v>1511</v>
      </c>
      <c r="P40" s="9" t="s">
        <v>2634</v>
      </c>
      <c r="Q40" s="5">
        <v>45657</v>
      </c>
      <c r="R40" s="209"/>
      <c r="S40" t="s">
        <v>931</v>
      </c>
    </row>
    <row r="41" spans="1:19" ht="16.5" customHeight="1">
      <c r="A41" t="s">
        <v>64</v>
      </c>
      <c r="B41" s="10" t="s">
        <v>416</v>
      </c>
      <c r="C41" s="12"/>
      <c r="D41" s="13">
        <v>45693</v>
      </c>
      <c r="E41" s="155" t="s">
        <v>2632</v>
      </c>
      <c r="F41" s="155" t="s">
        <v>162</v>
      </c>
      <c r="G41" s="156" t="s">
        <v>98</v>
      </c>
      <c r="H41" s="156" t="s">
        <v>213</v>
      </c>
      <c r="I41" s="69" t="s">
        <v>835</v>
      </c>
      <c r="J41" s="122">
        <v>1</v>
      </c>
      <c r="K41" s="15">
        <v>1060000</v>
      </c>
      <c r="L41" s="16">
        <f t="shared" si="2"/>
        <v>1060000</v>
      </c>
      <c r="M41" s="16">
        <f t="shared" si="3"/>
        <v>106000</v>
      </c>
      <c r="N41" s="15">
        <f t="shared" si="1"/>
        <v>1166000</v>
      </c>
      <c r="O41" s="5" t="s">
        <v>1511</v>
      </c>
      <c r="P41" s="9" t="s">
        <v>2634</v>
      </c>
      <c r="Q41" s="5">
        <v>45693</v>
      </c>
      <c r="R41" s="209"/>
    </row>
    <row r="42" spans="1:19" ht="16.5" customHeight="1">
      <c r="A42" t="s">
        <v>64</v>
      </c>
      <c r="B42" s="10" t="s">
        <v>940</v>
      </c>
      <c r="C42" s="12"/>
      <c r="D42" s="13">
        <v>45694</v>
      </c>
      <c r="E42" s="155" t="s">
        <v>936</v>
      </c>
      <c r="F42" s="155" t="s">
        <v>661</v>
      </c>
      <c r="G42" s="156" t="s">
        <v>41</v>
      </c>
      <c r="H42" s="156" t="s">
        <v>945</v>
      </c>
      <c r="I42" s="69" t="s">
        <v>946</v>
      </c>
      <c r="J42" s="122">
        <v>1</v>
      </c>
      <c r="K42" s="15">
        <v>60000</v>
      </c>
      <c r="L42" s="16">
        <v>380000</v>
      </c>
      <c r="M42" s="16">
        <f t="shared" si="3"/>
        <v>38000</v>
      </c>
      <c r="N42" s="15">
        <f t="shared" si="1"/>
        <v>418000</v>
      </c>
      <c r="O42" s="5" t="s">
        <v>1842</v>
      </c>
      <c r="P42" s="9" t="s">
        <v>2636</v>
      </c>
      <c r="Q42" s="5">
        <v>45716</v>
      </c>
      <c r="R42" s="209"/>
    </row>
    <row r="43" spans="1:19" ht="16.5" customHeight="1">
      <c r="A43" t="s">
        <v>64</v>
      </c>
      <c r="B43" s="10" t="s">
        <v>941</v>
      </c>
      <c r="C43" s="145"/>
      <c r="D43" s="65"/>
      <c r="E43" s="160" t="s">
        <v>936</v>
      </c>
      <c r="F43" s="160" t="s">
        <v>661</v>
      </c>
      <c r="G43" s="156" t="s">
        <v>41</v>
      </c>
      <c r="H43" s="156" t="s">
        <v>947</v>
      </c>
      <c r="I43" s="69" t="s">
        <v>948</v>
      </c>
      <c r="J43" s="122">
        <v>1</v>
      </c>
      <c r="K43" s="15">
        <v>120000</v>
      </c>
      <c r="L43" s="125"/>
      <c r="M43" s="125"/>
      <c r="N43" s="126"/>
      <c r="O43" s="99"/>
      <c r="P43" s="176"/>
      <c r="Q43" s="176"/>
      <c r="R43" s="209"/>
    </row>
    <row r="44" spans="1:19" ht="16.5" customHeight="1">
      <c r="A44" t="s">
        <v>64</v>
      </c>
      <c r="B44" s="10" t="s">
        <v>942</v>
      </c>
      <c r="C44" s="145"/>
      <c r="D44" s="65"/>
      <c r="E44" s="160" t="s">
        <v>936</v>
      </c>
      <c r="F44" s="160" t="s">
        <v>661</v>
      </c>
      <c r="G44" s="156" t="s">
        <v>41</v>
      </c>
      <c r="H44" s="156" t="s">
        <v>949</v>
      </c>
      <c r="I44" s="69" t="s">
        <v>950</v>
      </c>
      <c r="J44" s="122">
        <v>2</v>
      </c>
      <c r="K44" s="15">
        <v>100000</v>
      </c>
      <c r="L44" s="125"/>
      <c r="M44" s="125"/>
      <c r="N44" s="126"/>
      <c r="O44" s="99"/>
      <c r="P44" s="176"/>
      <c r="Q44" s="176"/>
      <c r="R44" s="209"/>
    </row>
    <row r="45" spans="1:19" ht="16.5" customHeight="1">
      <c r="A45" t="s">
        <v>64</v>
      </c>
      <c r="B45" s="10" t="s">
        <v>943</v>
      </c>
      <c r="C45" s="12"/>
      <c r="D45" s="13">
        <v>45695</v>
      </c>
      <c r="E45" s="155" t="s">
        <v>936</v>
      </c>
      <c r="F45" s="155" t="s">
        <v>661</v>
      </c>
      <c r="G45" s="156" t="s">
        <v>41</v>
      </c>
      <c r="H45" s="156" t="s">
        <v>951</v>
      </c>
      <c r="I45" s="69" t="s">
        <v>952</v>
      </c>
      <c r="J45" s="122">
        <v>1</v>
      </c>
      <c r="K45" s="15">
        <v>150000</v>
      </c>
      <c r="L45" s="16">
        <f t="shared" ref="L45:L57" si="5">J45*K45</f>
        <v>150000</v>
      </c>
      <c r="M45" s="16">
        <f>L45*10%</f>
        <v>15000</v>
      </c>
      <c r="N45" s="15">
        <f>SUM(L45:M45)</f>
        <v>165000</v>
      </c>
      <c r="O45" s="5" t="s">
        <v>1842</v>
      </c>
      <c r="P45" s="9" t="s">
        <v>2636</v>
      </c>
      <c r="Q45" s="5">
        <v>45716</v>
      </c>
      <c r="R45" s="209"/>
    </row>
    <row r="46" spans="1:19" ht="16.5" customHeight="1">
      <c r="A46" t="s">
        <v>64</v>
      </c>
      <c r="B46" s="10" t="s">
        <v>944</v>
      </c>
      <c r="C46" s="12"/>
      <c r="D46" s="13">
        <v>45698</v>
      </c>
      <c r="E46" s="155" t="s">
        <v>936</v>
      </c>
      <c r="F46" s="155" t="s">
        <v>955</v>
      </c>
      <c r="G46" s="156" t="s">
        <v>41</v>
      </c>
      <c r="H46" s="156" t="s">
        <v>953</v>
      </c>
      <c r="I46" s="69" t="s">
        <v>954</v>
      </c>
      <c r="J46" s="122">
        <v>1</v>
      </c>
      <c r="K46" s="15">
        <v>120000</v>
      </c>
      <c r="L46" s="16">
        <f t="shared" si="5"/>
        <v>120000</v>
      </c>
      <c r="M46" s="16">
        <f>L46*10%</f>
        <v>12000</v>
      </c>
      <c r="N46" s="15">
        <f>SUM(L46:M46)</f>
        <v>132000</v>
      </c>
      <c r="O46" s="5" t="s">
        <v>1842</v>
      </c>
      <c r="P46" s="9" t="s">
        <v>2636</v>
      </c>
      <c r="Q46" s="5">
        <v>45713</v>
      </c>
      <c r="R46" s="209"/>
    </row>
    <row r="47" spans="1:19" ht="16.5" customHeight="1">
      <c r="A47" t="s">
        <v>64</v>
      </c>
      <c r="B47" s="10" t="s">
        <v>885</v>
      </c>
      <c r="C47" s="12"/>
      <c r="D47" s="13">
        <v>45698</v>
      </c>
      <c r="E47" s="155" t="s">
        <v>886</v>
      </c>
      <c r="F47" s="155"/>
      <c r="G47" s="156" t="s">
        <v>30</v>
      </c>
      <c r="H47" s="156" t="s">
        <v>884</v>
      </c>
      <c r="I47" s="69" t="s">
        <v>918</v>
      </c>
      <c r="J47" s="122">
        <v>1</v>
      </c>
      <c r="K47" s="15">
        <v>25782</v>
      </c>
      <c r="L47" s="16">
        <f t="shared" si="5"/>
        <v>25782</v>
      </c>
      <c r="M47" s="16">
        <v>2578</v>
      </c>
      <c r="N47" s="15">
        <f>SUM(L47:M47)</f>
        <v>28360</v>
      </c>
      <c r="O47" s="5" t="s">
        <v>883</v>
      </c>
      <c r="P47" s="9" t="s">
        <v>2634</v>
      </c>
      <c r="Q47" s="5" t="s">
        <v>885</v>
      </c>
      <c r="R47" s="213"/>
    </row>
    <row r="48" spans="1:19" ht="16.5" customHeight="1">
      <c r="A48" t="s">
        <v>64</v>
      </c>
      <c r="B48" s="10" t="s">
        <v>890</v>
      </c>
      <c r="C48" s="12"/>
      <c r="D48" s="13">
        <v>45698</v>
      </c>
      <c r="E48" s="155" t="s">
        <v>2632</v>
      </c>
      <c r="F48" s="155" t="s">
        <v>162</v>
      </c>
      <c r="G48" s="156" t="s">
        <v>889</v>
      </c>
      <c r="H48" s="156" t="s">
        <v>888</v>
      </c>
      <c r="I48" s="69" t="s">
        <v>887</v>
      </c>
      <c r="J48" s="122">
        <v>1</v>
      </c>
      <c r="K48" s="15">
        <v>1490000</v>
      </c>
      <c r="L48" s="16">
        <f t="shared" si="5"/>
        <v>1490000</v>
      </c>
      <c r="M48" s="16">
        <f>L48*10%</f>
        <v>149000</v>
      </c>
      <c r="N48" s="15">
        <f>SUM(L48:M48)</f>
        <v>1639000</v>
      </c>
      <c r="O48" s="5" t="s">
        <v>1511</v>
      </c>
      <c r="P48" s="9" t="s">
        <v>2634</v>
      </c>
      <c r="Q48" s="5">
        <v>45698</v>
      </c>
      <c r="R48" s="213"/>
    </row>
    <row r="49" spans="1:21" ht="16.5" customHeight="1">
      <c r="A49" t="s">
        <v>64</v>
      </c>
      <c r="B49" s="10" t="s">
        <v>419</v>
      </c>
      <c r="C49" s="12"/>
      <c r="D49" s="13">
        <v>45698</v>
      </c>
      <c r="E49" s="155" t="s">
        <v>164</v>
      </c>
      <c r="F49" s="155" t="s">
        <v>420</v>
      </c>
      <c r="G49" s="156" t="s">
        <v>98</v>
      </c>
      <c r="H49" s="156" t="s">
        <v>213</v>
      </c>
      <c r="I49" s="69" t="s">
        <v>402</v>
      </c>
      <c r="J49" s="122">
        <v>1</v>
      </c>
      <c r="K49" s="15">
        <v>155200</v>
      </c>
      <c r="L49" s="16">
        <f t="shared" si="5"/>
        <v>155200</v>
      </c>
      <c r="M49" s="16">
        <v>15520</v>
      </c>
      <c r="N49" s="15">
        <f>SUBTOTAL(9,L49:M49)</f>
        <v>170720</v>
      </c>
      <c r="O49" s="5" t="s">
        <v>1010</v>
      </c>
      <c r="P49" s="9" t="s">
        <v>2634</v>
      </c>
      <c r="Q49" s="5">
        <v>45689</v>
      </c>
      <c r="R49" s="209"/>
    </row>
    <row r="50" spans="1:21" ht="16.5" customHeight="1">
      <c r="A50" t="s">
        <v>64</v>
      </c>
      <c r="B50" s="10" t="s">
        <v>419</v>
      </c>
      <c r="C50" s="12"/>
      <c r="D50" s="13">
        <v>45698</v>
      </c>
      <c r="E50" s="155" t="s">
        <v>164</v>
      </c>
      <c r="F50" s="155" t="s">
        <v>420</v>
      </c>
      <c r="G50" s="156" t="s">
        <v>98</v>
      </c>
      <c r="H50" s="156" t="s">
        <v>213</v>
      </c>
      <c r="I50" s="69" t="s">
        <v>401</v>
      </c>
      <c r="J50" s="122">
        <v>1</v>
      </c>
      <c r="K50" s="15">
        <v>213400</v>
      </c>
      <c r="L50" s="16">
        <f t="shared" si="5"/>
        <v>213400</v>
      </c>
      <c r="M50" s="16">
        <v>21340</v>
      </c>
      <c r="N50" s="15">
        <f>SUBTOTAL(9,L50:M50)</f>
        <v>234740</v>
      </c>
      <c r="O50" s="5" t="s">
        <v>1010</v>
      </c>
      <c r="P50" s="9" t="s">
        <v>2634</v>
      </c>
      <c r="Q50" s="5">
        <v>45689</v>
      </c>
      <c r="R50" s="209"/>
    </row>
    <row r="51" spans="1:21" ht="16.5" customHeight="1">
      <c r="A51" t="s">
        <v>64</v>
      </c>
      <c r="B51" s="10" t="s">
        <v>418</v>
      </c>
      <c r="C51" s="12"/>
      <c r="D51" s="13">
        <v>45698</v>
      </c>
      <c r="E51" s="155" t="s">
        <v>164</v>
      </c>
      <c r="F51" s="155" t="s">
        <v>421</v>
      </c>
      <c r="G51" s="156" t="s">
        <v>98</v>
      </c>
      <c r="H51" s="156" t="s">
        <v>213</v>
      </c>
      <c r="I51" s="69" t="s">
        <v>402</v>
      </c>
      <c r="J51" s="122">
        <v>1</v>
      </c>
      <c r="K51" s="15">
        <v>77600</v>
      </c>
      <c r="L51" s="16">
        <f t="shared" si="5"/>
        <v>77600</v>
      </c>
      <c r="M51" s="16">
        <v>7760</v>
      </c>
      <c r="N51" s="15">
        <f>SUBTOTAL(9,L51:M51)</f>
        <v>85360</v>
      </c>
      <c r="O51" s="5" t="s">
        <v>1010</v>
      </c>
      <c r="P51" s="9" t="s">
        <v>2634</v>
      </c>
      <c r="Q51" s="5">
        <v>45689</v>
      </c>
      <c r="R51" s="209"/>
    </row>
    <row r="52" spans="1:21" ht="16.5" customHeight="1">
      <c r="A52" t="s">
        <v>64</v>
      </c>
      <c r="B52" s="10" t="s">
        <v>418</v>
      </c>
      <c r="C52" s="12"/>
      <c r="D52" s="13">
        <v>45698</v>
      </c>
      <c r="E52" s="155" t="s">
        <v>164</v>
      </c>
      <c r="F52" s="155" t="s">
        <v>421</v>
      </c>
      <c r="G52" s="156" t="s">
        <v>98</v>
      </c>
      <c r="H52" s="156" t="s">
        <v>213</v>
      </c>
      <c r="I52" s="69" t="s">
        <v>401</v>
      </c>
      <c r="J52" s="122">
        <v>1</v>
      </c>
      <c r="K52" s="15">
        <v>145500</v>
      </c>
      <c r="L52" s="16">
        <f t="shared" si="5"/>
        <v>145500</v>
      </c>
      <c r="M52" s="16">
        <v>14550</v>
      </c>
      <c r="N52" s="15">
        <f>SUBTOTAL(9,L52:M52)</f>
        <v>160050</v>
      </c>
      <c r="O52" s="5" t="s">
        <v>1010</v>
      </c>
      <c r="P52" s="9" t="s">
        <v>2634</v>
      </c>
      <c r="Q52" s="5">
        <v>45689</v>
      </c>
      <c r="R52" s="209"/>
    </row>
    <row r="53" spans="1:21" ht="16.5" customHeight="1">
      <c r="A53" t="s">
        <v>64</v>
      </c>
      <c r="B53" s="10" t="s">
        <v>893</v>
      </c>
      <c r="C53" s="12"/>
      <c r="D53" s="13">
        <v>45699</v>
      </c>
      <c r="E53" s="155" t="s">
        <v>26</v>
      </c>
      <c r="F53" s="155" t="s">
        <v>896</v>
      </c>
      <c r="G53" s="156" t="s">
        <v>889</v>
      </c>
      <c r="H53" s="156" t="s">
        <v>894</v>
      </c>
      <c r="I53" s="69" t="s">
        <v>895</v>
      </c>
      <c r="J53" s="122">
        <v>1</v>
      </c>
      <c r="K53" s="15">
        <v>572364</v>
      </c>
      <c r="L53" s="16">
        <f t="shared" si="5"/>
        <v>572364</v>
      </c>
      <c r="M53" s="16">
        <v>57236</v>
      </c>
      <c r="N53" s="15">
        <f t="shared" ref="N53:N69" si="6">SUM(L53:M53)</f>
        <v>629600</v>
      </c>
      <c r="O53" s="5" t="s">
        <v>892</v>
      </c>
      <c r="P53" s="9" t="s">
        <v>2636</v>
      </c>
      <c r="Q53" s="5" t="s">
        <v>992</v>
      </c>
      <c r="R53" s="213"/>
    </row>
    <row r="54" spans="1:21" ht="16.5" customHeight="1">
      <c r="A54" t="s">
        <v>64</v>
      </c>
      <c r="B54" s="10" t="s">
        <v>956</v>
      </c>
      <c r="C54" s="12"/>
      <c r="D54" s="13">
        <v>45699</v>
      </c>
      <c r="E54" s="155" t="s">
        <v>936</v>
      </c>
      <c r="F54" s="155" t="s">
        <v>661</v>
      </c>
      <c r="G54" s="156" t="s">
        <v>41</v>
      </c>
      <c r="H54" s="156" t="s">
        <v>670</v>
      </c>
      <c r="I54" s="69" t="s">
        <v>671</v>
      </c>
      <c r="J54" s="122">
        <v>1</v>
      </c>
      <c r="K54" s="15">
        <v>150000</v>
      </c>
      <c r="L54" s="16">
        <f t="shared" si="5"/>
        <v>150000</v>
      </c>
      <c r="M54" s="16">
        <f>L54*10%</f>
        <v>15000</v>
      </c>
      <c r="N54" s="15">
        <f t="shared" si="6"/>
        <v>165000</v>
      </c>
      <c r="O54" s="5" t="s">
        <v>1842</v>
      </c>
      <c r="P54" s="9" t="s">
        <v>2636</v>
      </c>
      <c r="Q54" s="5">
        <v>45716</v>
      </c>
      <c r="R54" s="209"/>
    </row>
    <row r="55" spans="1:21" ht="16.5" customHeight="1">
      <c r="A55" t="s">
        <v>64</v>
      </c>
      <c r="B55" s="10" t="s">
        <v>144</v>
      </c>
      <c r="C55" s="12"/>
      <c r="D55" s="13">
        <v>45700</v>
      </c>
      <c r="E55" s="155" t="s">
        <v>26</v>
      </c>
      <c r="F55" s="155"/>
      <c r="G55" s="156" t="s">
        <v>30</v>
      </c>
      <c r="H55" s="156" t="s">
        <v>884</v>
      </c>
      <c r="I55" s="69" t="s">
        <v>916</v>
      </c>
      <c r="J55" s="122">
        <v>1</v>
      </c>
      <c r="K55" s="15">
        <v>-9845</v>
      </c>
      <c r="L55" s="16">
        <f t="shared" si="5"/>
        <v>-9845</v>
      </c>
      <c r="M55" s="16">
        <v>-985</v>
      </c>
      <c r="N55" s="15">
        <f t="shared" si="6"/>
        <v>-10830</v>
      </c>
      <c r="O55" s="5" t="s">
        <v>917</v>
      </c>
      <c r="P55" s="9" t="s">
        <v>2634</v>
      </c>
      <c r="Q55" s="5" t="s">
        <v>144</v>
      </c>
      <c r="R55" s="213"/>
    </row>
    <row r="56" spans="1:21" ht="16.5" customHeight="1">
      <c r="A56" t="s">
        <v>64</v>
      </c>
      <c r="B56" s="10" t="s">
        <v>957</v>
      </c>
      <c r="C56" s="12"/>
      <c r="D56" s="13">
        <v>45700</v>
      </c>
      <c r="E56" s="155" t="s">
        <v>936</v>
      </c>
      <c r="F56" s="155" t="s">
        <v>661</v>
      </c>
      <c r="G56" s="156" t="s">
        <v>41</v>
      </c>
      <c r="H56" s="156" t="s">
        <v>958</v>
      </c>
      <c r="I56" s="69" t="s">
        <v>959</v>
      </c>
      <c r="J56" s="122">
        <v>1</v>
      </c>
      <c r="K56" s="15">
        <v>190000</v>
      </c>
      <c r="L56" s="16">
        <f t="shared" si="5"/>
        <v>190000</v>
      </c>
      <c r="M56" s="16">
        <f>L56*10%</f>
        <v>19000</v>
      </c>
      <c r="N56" s="15">
        <f t="shared" si="6"/>
        <v>209000</v>
      </c>
      <c r="O56" s="5" t="s">
        <v>1842</v>
      </c>
      <c r="P56" s="9" t="s">
        <v>2636</v>
      </c>
      <c r="Q56" s="5">
        <v>45716</v>
      </c>
      <c r="R56" s="209"/>
    </row>
    <row r="57" spans="1:21" ht="16.5" customHeight="1">
      <c r="B57" s="10" t="s">
        <v>1229</v>
      </c>
      <c r="C57" s="12"/>
      <c r="D57" s="13">
        <v>45701</v>
      </c>
      <c r="E57" s="155" t="s">
        <v>2633</v>
      </c>
      <c r="F57" s="155" t="s">
        <v>1224</v>
      </c>
      <c r="G57" s="156" t="s">
        <v>7</v>
      </c>
      <c r="H57" s="156" t="s">
        <v>143</v>
      </c>
      <c r="I57" s="69" t="s">
        <v>1226</v>
      </c>
      <c r="J57" s="122">
        <v>1</v>
      </c>
      <c r="K57" s="15">
        <v>2421068</v>
      </c>
      <c r="L57" s="16">
        <f t="shared" si="5"/>
        <v>2421068</v>
      </c>
      <c r="M57" s="16">
        <v>242106</v>
      </c>
      <c r="N57" s="15">
        <f t="shared" si="6"/>
        <v>2663174</v>
      </c>
      <c r="O57" s="5" t="s">
        <v>1531</v>
      </c>
      <c r="P57" s="9" t="s">
        <v>2636</v>
      </c>
      <c r="Q57" s="5" t="s">
        <v>1227</v>
      </c>
      <c r="R57" s="213"/>
    </row>
    <row r="58" spans="1:21" ht="16.5" customHeight="1">
      <c r="A58" t="s">
        <v>64</v>
      </c>
      <c r="B58" s="10" t="s">
        <v>932</v>
      </c>
      <c r="C58" s="12"/>
      <c r="D58" s="13">
        <v>45701</v>
      </c>
      <c r="E58" s="155" t="s">
        <v>26</v>
      </c>
      <c r="F58" s="155" t="s">
        <v>1228</v>
      </c>
      <c r="G58" s="156" t="s">
        <v>41</v>
      </c>
      <c r="H58" s="156" t="s">
        <v>933</v>
      </c>
      <c r="I58" s="69" t="s">
        <v>934</v>
      </c>
      <c r="J58" s="122">
        <v>26</v>
      </c>
      <c r="K58" s="15">
        <v>27036</v>
      </c>
      <c r="L58" s="16">
        <v>702945</v>
      </c>
      <c r="M58" s="16">
        <v>70295</v>
      </c>
      <c r="N58" s="15">
        <f t="shared" si="6"/>
        <v>773240</v>
      </c>
      <c r="O58" s="5" t="s">
        <v>935</v>
      </c>
      <c r="P58" s="9" t="s">
        <v>2636</v>
      </c>
      <c r="Q58" s="5">
        <v>45706</v>
      </c>
      <c r="R58" s="213"/>
    </row>
    <row r="59" spans="1:21" ht="16.5" customHeight="1">
      <c r="A59" t="s">
        <v>64</v>
      </c>
      <c r="B59" s="10" t="s">
        <v>144</v>
      </c>
      <c r="C59" s="12"/>
      <c r="D59" s="13">
        <v>45701</v>
      </c>
      <c r="E59" s="155" t="s">
        <v>970</v>
      </c>
      <c r="F59" s="155"/>
      <c r="G59" s="156" t="s">
        <v>30</v>
      </c>
      <c r="H59" s="156" t="s">
        <v>884</v>
      </c>
      <c r="I59" s="69" t="s">
        <v>972</v>
      </c>
      <c r="J59" s="122">
        <v>1</v>
      </c>
      <c r="K59" s="15">
        <v>270000</v>
      </c>
      <c r="L59" s="16">
        <f>J59*K59</f>
        <v>270000</v>
      </c>
      <c r="M59" s="16">
        <f>L59*10%</f>
        <v>27000</v>
      </c>
      <c r="N59" s="15">
        <f t="shared" si="6"/>
        <v>297000</v>
      </c>
      <c r="O59" s="5" t="s">
        <v>935</v>
      </c>
      <c r="P59" s="9" t="s">
        <v>2644</v>
      </c>
      <c r="Q59" s="5" t="s">
        <v>144</v>
      </c>
      <c r="R59" s="213"/>
    </row>
    <row r="60" spans="1:21" ht="16.5" customHeight="1">
      <c r="A60" t="s">
        <v>64</v>
      </c>
      <c r="B60" s="143" t="s">
        <v>96</v>
      </c>
      <c r="C60" s="144"/>
      <c r="D60" s="13">
        <v>45703</v>
      </c>
      <c r="E60" s="161" t="s">
        <v>19</v>
      </c>
      <c r="F60" s="155" t="s">
        <v>97</v>
      </c>
      <c r="G60" s="156" t="s">
        <v>7</v>
      </c>
      <c r="H60" s="156" t="s">
        <v>25</v>
      </c>
      <c r="I60" s="69" t="s">
        <v>2113</v>
      </c>
      <c r="J60" s="122">
        <v>1</v>
      </c>
      <c r="K60" s="15">
        <v>200000</v>
      </c>
      <c r="L60" s="15">
        <f>J60*K60</f>
        <v>200000</v>
      </c>
      <c r="M60" s="16">
        <f>L60*10%</f>
        <v>20000</v>
      </c>
      <c r="N60" s="15">
        <f t="shared" si="6"/>
        <v>220000</v>
      </c>
      <c r="O60" s="5" t="s">
        <v>1842</v>
      </c>
      <c r="P60" s="9" t="s">
        <v>2636</v>
      </c>
      <c r="Q60" s="5">
        <v>45689</v>
      </c>
      <c r="R60" s="210"/>
      <c r="S60" s="7"/>
      <c r="T60" s="7"/>
      <c r="U60" s="11"/>
    </row>
    <row r="61" spans="1:21" ht="16.5" customHeight="1">
      <c r="A61" t="s">
        <v>64</v>
      </c>
      <c r="B61" s="141" t="s">
        <v>285</v>
      </c>
      <c r="C61" s="144"/>
      <c r="D61" s="13">
        <v>45706</v>
      </c>
      <c r="E61" s="155" t="s">
        <v>286</v>
      </c>
      <c r="F61" s="164" t="s">
        <v>105</v>
      </c>
      <c r="G61" s="158" t="s">
        <v>7</v>
      </c>
      <c r="H61" s="165" t="s">
        <v>102</v>
      </c>
      <c r="I61" s="166" t="s">
        <v>2095</v>
      </c>
      <c r="J61" s="127">
        <v>1</v>
      </c>
      <c r="K61" s="15">
        <v>600000</v>
      </c>
      <c r="L61" s="16">
        <f>J61*K61</f>
        <v>600000</v>
      </c>
      <c r="M61" s="16">
        <f>L61*10%</f>
        <v>60000</v>
      </c>
      <c r="N61" s="15">
        <f t="shared" si="6"/>
        <v>660000</v>
      </c>
      <c r="O61" s="5" t="s">
        <v>1531</v>
      </c>
      <c r="P61" s="9" t="s">
        <v>2634</v>
      </c>
      <c r="Q61" s="5">
        <v>45716</v>
      </c>
      <c r="R61" s="209"/>
      <c r="T61" s="11"/>
    </row>
    <row r="62" spans="1:21" ht="16.5" customHeight="1">
      <c r="A62" t="s">
        <v>64</v>
      </c>
      <c r="B62" s="10" t="s">
        <v>144</v>
      </c>
      <c r="C62" s="12"/>
      <c r="D62" s="13">
        <v>45706</v>
      </c>
      <c r="E62" s="155" t="s">
        <v>1011</v>
      </c>
      <c r="F62" s="155"/>
      <c r="G62" s="156" t="s">
        <v>1019</v>
      </c>
      <c r="H62" s="156" t="s">
        <v>1024</v>
      </c>
      <c r="I62" s="69" t="s">
        <v>1025</v>
      </c>
      <c r="J62" s="122">
        <v>1</v>
      </c>
      <c r="K62" s="15">
        <v>19545</v>
      </c>
      <c r="L62" s="16">
        <f>J62*K62</f>
        <v>19545</v>
      </c>
      <c r="M62" s="16">
        <v>1955</v>
      </c>
      <c r="N62" s="15">
        <f t="shared" si="6"/>
        <v>21500</v>
      </c>
      <c r="O62" s="5" t="s">
        <v>1012</v>
      </c>
      <c r="P62" s="9" t="s">
        <v>2634</v>
      </c>
      <c r="Q62" s="5" t="s">
        <v>144</v>
      </c>
      <c r="R62" s="213"/>
    </row>
    <row r="63" spans="1:21" ht="16.5" customHeight="1">
      <c r="A63" t="s">
        <v>64</v>
      </c>
      <c r="B63" s="10" t="s">
        <v>1219</v>
      </c>
      <c r="C63" s="12"/>
      <c r="D63" s="13">
        <v>45707</v>
      </c>
      <c r="E63" s="155" t="s">
        <v>936</v>
      </c>
      <c r="F63" s="155" t="s">
        <v>424</v>
      </c>
      <c r="G63" s="156" t="s">
        <v>41</v>
      </c>
      <c r="H63" s="156" t="s">
        <v>1217</v>
      </c>
      <c r="I63" s="69" t="s">
        <v>1218</v>
      </c>
      <c r="J63" s="122">
        <v>2</v>
      </c>
      <c r="K63" s="15">
        <v>40000</v>
      </c>
      <c r="L63" s="16">
        <f>J63*K63</f>
        <v>80000</v>
      </c>
      <c r="M63" s="16">
        <f>L63*10%</f>
        <v>8000</v>
      </c>
      <c r="N63" s="15">
        <f t="shared" si="6"/>
        <v>88000</v>
      </c>
      <c r="O63" s="5" t="s">
        <v>1842</v>
      </c>
      <c r="P63" s="9" t="s">
        <v>2636</v>
      </c>
      <c r="Q63" s="5">
        <v>45713</v>
      </c>
      <c r="R63" s="209"/>
    </row>
    <row r="64" spans="1:21" ht="16.5" customHeight="1">
      <c r="A64" t="s">
        <v>64</v>
      </c>
      <c r="B64" s="10" t="s">
        <v>1022</v>
      </c>
      <c r="C64" s="12"/>
      <c r="D64" s="13">
        <v>45708</v>
      </c>
      <c r="E64" s="155" t="s">
        <v>26</v>
      </c>
      <c r="F64" s="155" t="s">
        <v>1018</v>
      </c>
      <c r="G64" s="156" t="s">
        <v>1019</v>
      </c>
      <c r="H64" s="156" t="s">
        <v>1020</v>
      </c>
      <c r="I64" s="69" t="s">
        <v>1021</v>
      </c>
      <c r="J64" s="122">
        <v>20</v>
      </c>
      <c r="K64" s="15">
        <f>2080/1.1</f>
        <v>1890.9090909090908</v>
      </c>
      <c r="L64" s="16">
        <v>37818</v>
      </c>
      <c r="M64" s="16">
        <v>3782</v>
      </c>
      <c r="N64" s="15">
        <f t="shared" si="6"/>
        <v>41600</v>
      </c>
      <c r="O64" s="5" t="s">
        <v>1017</v>
      </c>
      <c r="P64" s="9" t="s">
        <v>2635</v>
      </c>
      <c r="Q64" s="5" t="s">
        <v>1023</v>
      </c>
      <c r="R64" s="213"/>
    </row>
    <row r="65" spans="1:20" ht="16.5" customHeight="1">
      <c r="A65" t="s">
        <v>64</v>
      </c>
      <c r="B65" s="143" t="s">
        <v>210</v>
      </c>
      <c r="C65" s="144"/>
      <c r="D65" s="13">
        <v>45708</v>
      </c>
      <c r="E65" s="155" t="s">
        <v>211</v>
      </c>
      <c r="F65" s="155" t="s">
        <v>212</v>
      </c>
      <c r="G65" s="157" t="s">
        <v>98</v>
      </c>
      <c r="H65" s="157" t="s">
        <v>213</v>
      </c>
      <c r="I65" s="159" t="s">
        <v>995</v>
      </c>
      <c r="J65" s="127">
        <v>1</v>
      </c>
      <c r="K65" s="15">
        <v>370000</v>
      </c>
      <c r="L65" s="15">
        <f>J65*K65</f>
        <v>370000</v>
      </c>
      <c r="M65" s="123">
        <f>L65*10%</f>
        <v>37000</v>
      </c>
      <c r="N65" s="15">
        <f t="shared" si="6"/>
        <v>407000</v>
      </c>
      <c r="O65" s="5" t="s">
        <v>1140</v>
      </c>
      <c r="P65" s="177" t="s">
        <v>2636</v>
      </c>
      <c r="Q65" s="5">
        <v>45708</v>
      </c>
      <c r="R65" s="211"/>
      <c r="S65" s="7"/>
      <c r="T65" s="11"/>
    </row>
    <row r="66" spans="1:20" ht="16.5" customHeight="1">
      <c r="A66" t="s">
        <v>64</v>
      </c>
      <c r="B66" s="10" t="s">
        <v>1026</v>
      </c>
      <c r="C66" s="12"/>
      <c r="D66" s="13">
        <v>45708</v>
      </c>
      <c r="E66" s="155" t="s">
        <v>1027</v>
      </c>
      <c r="F66" s="155" t="s">
        <v>1031</v>
      </c>
      <c r="G66" s="156" t="s">
        <v>1030</v>
      </c>
      <c r="H66" s="156" t="s">
        <v>1028</v>
      </c>
      <c r="I66" s="69" t="s">
        <v>1029</v>
      </c>
      <c r="J66" s="122">
        <v>4</v>
      </c>
      <c r="K66" s="15">
        <v>280000</v>
      </c>
      <c r="L66" s="16">
        <f>J66*K66</f>
        <v>1120000</v>
      </c>
      <c r="M66" s="16">
        <f>L66*10%</f>
        <v>112000</v>
      </c>
      <c r="N66" s="15">
        <f t="shared" si="6"/>
        <v>1232000</v>
      </c>
      <c r="O66" s="5" t="s">
        <v>1531</v>
      </c>
      <c r="P66" s="9" t="s">
        <v>2643</v>
      </c>
      <c r="Q66" s="5">
        <v>45716</v>
      </c>
      <c r="R66" s="213"/>
    </row>
    <row r="67" spans="1:20" ht="67.5">
      <c r="A67" t="s">
        <v>64</v>
      </c>
      <c r="B67" s="146" t="s">
        <v>144</v>
      </c>
      <c r="C67" s="12"/>
      <c r="D67" s="13">
        <v>45709</v>
      </c>
      <c r="E67" s="155" t="s">
        <v>371</v>
      </c>
      <c r="F67" s="155"/>
      <c r="G67" s="156" t="s">
        <v>30</v>
      </c>
      <c r="H67" s="156" t="s">
        <v>208</v>
      </c>
      <c r="I67" s="162" t="s">
        <v>864</v>
      </c>
      <c r="J67" s="122">
        <v>1</v>
      </c>
      <c r="K67" s="15">
        <v>1449770</v>
      </c>
      <c r="L67" s="16">
        <v>1449770</v>
      </c>
      <c r="M67" s="16" t="s">
        <v>144</v>
      </c>
      <c r="N67" s="15">
        <f t="shared" si="6"/>
        <v>1449770</v>
      </c>
      <c r="O67" s="197" t="s">
        <v>1417</v>
      </c>
      <c r="P67" s="9" t="s">
        <v>2644</v>
      </c>
      <c r="Q67" s="5" t="s">
        <v>144</v>
      </c>
      <c r="R67" s="209" t="s">
        <v>340</v>
      </c>
    </row>
    <row r="68" spans="1:20" ht="54">
      <c r="A68" t="s">
        <v>64</v>
      </c>
      <c r="B68" s="248" t="s">
        <v>1267</v>
      </c>
      <c r="C68" s="12"/>
      <c r="D68" s="13">
        <v>45709</v>
      </c>
      <c r="E68" s="155" t="s">
        <v>644</v>
      </c>
      <c r="F68" s="227" t="s">
        <v>1268</v>
      </c>
      <c r="G68" s="156" t="s">
        <v>648</v>
      </c>
      <c r="H68" s="156" t="s">
        <v>650</v>
      </c>
      <c r="I68" s="69" t="s">
        <v>649</v>
      </c>
      <c r="J68" s="122">
        <v>4</v>
      </c>
      <c r="K68" s="15">
        <v>2950000</v>
      </c>
      <c r="L68" s="16">
        <f>J68*K68</f>
        <v>11800000</v>
      </c>
      <c r="M68" s="16">
        <f>L68*10%</f>
        <v>1180000</v>
      </c>
      <c r="N68" s="15">
        <f t="shared" si="6"/>
        <v>12980000</v>
      </c>
      <c r="O68" s="5" t="s">
        <v>1842</v>
      </c>
      <c r="P68" s="9" t="s">
        <v>2635</v>
      </c>
      <c r="Q68" s="197" t="s">
        <v>1760</v>
      </c>
      <c r="R68" s="209"/>
    </row>
    <row r="69" spans="1:20" ht="16.5" customHeight="1">
      <c r="A69" t="s">
        <v>64</v>
      </c>
      <c r="B69" s="10" t="s">
        <v>144</v>
      </c>
      <c r="C69" s="12"/>
      <c r="D69" s="13">
        <v>45713</v>
      </c>
      <c r="E69" s="155" t="s">
        <v>149</v>
      </c>
      <c r="F69" s="155"/>
      <c r="G69" s="156" t="s">
        <v>30</v>
      </c>
      <c r="H69" s="157" t="s">
        <v>208</v>
      </c>
      <c r="I69" s="69" t="s">
        <v>1037</v>
      </c>
      <c r="J69" s="122">
        <v>1</v>
      </c>
      <c r="K69" s="15">
        <f>371000/1.1</f>
        <v>337272.72727272724</v>
      </c>
      <c r="L69" s="16">
        <v>437273</v>
      </c>
      <c r="M69" s="187">
        <v>43727</v>
      </c>
      <c r="N69" s="15">
        <f t="shared" si="6"/>
        <v>481000</v>
      </c>
      <c r="O69" s="5" t="s">
        <v>1043</v>
      </c>
      <c r="P69" s="177" t="s">
        <v>2644</v>
      </c>
      <c r="Q69" s="5" t="s">
        <v>144</v>
      </c>
      <c r="R69" s="209" t="s">
        <v>339</v>
      </c>
    </row>
    <row r="70" spans="1:20" ht="16.5" customHeight="1">
      <c r="A70" t="s">
        <v>64</v>
      </c>
      <c r="B70" s="10" t="s">
        <v>144</v>
      </c>
      <c r="C70" s="145"/>
      <c r="D70" s="65"/>
      <c r="E70" s="160" t="s">
        <v>149</v>
      </c>
      <c r="F70" s="160"/>
      <c r="G70" s="156" t="s">
        <v>30</v>
      </c>
      <c r="H70" s="157" t="s">
        <v>208</v>
      </c>
      <c r="I70" s="69" t="s">
        <v>1038</v>
      </c>
      <c r="J70" s="122">
        <v>1</v>
      </c>
      <c r="K70" s="15">
        <v>100000</v>
      </c>
      <c r="L70" s="125"/>
      <c r="M70" s="125"/>
      <c r="N70" s="126"/>
      <c r="O70" s="99" t="s">
        <v>263</v>
      </c>
      <c r="P70" s="176" t="s">
        <v>2644</v>
      </c>
      <c r="Q70" s="99" t="s">
        <v>144</v>
      </c>
      <c r="R70" s="209"/>
    </row>
    <row r="71" spans="1:20" ht="16.5" customHeight="1">
      <c r="A71" t="s">
        <v>64</v>
      </c>
      <c r="B71" s="10" t="s">
        <v>144</v>
      </c>
      <c r="C71" s="12"/>
      <c r="D71" s="13">
        <v>45713</v>
      </c>
      <c r="E71" s="155" t="s">
        <v>115</v>
      </c>
      <c r="F71" s="155"/>
      <c r="G71" s="156" t="s">
        <v>30</v>
      </c>
      <c r="H71" s="157" t="s">
        <v>208</v>
      </c>
      <c r="I71" s="69" t="s">
        <v>1039</v>
      </c>
      <c r="J71" s="122">
        <v>1</v>
      </c>
      <c r="K71" s="15">
        <v>342614</v>
      </c>
      <c r="L71" s="16">
        <f t="shared" ref="L71:L83" si="7">J71*K71</f>
        <v>342614</v>
      </c>
      <c r="M71" s="187">
        <v>34261</v>
      </c>
      <c r="N71" s="15">
        <f t="shared" ref="N71:N84" si="8">SUM(L71:M71)</f>
        <v>376875</v>
      </c>
      <c r="O71" s="5" t="s">
        <v>1043</v>
      </c>
      <c r="P71" s="177" t="s">
        <v>2644</v>
      </c>
      <c r="Q71" s="5" t="s">
        <v>144</v>
      </c>
      <c r="R71" s="209" t="s">
        <v>339</v>
      </c>
      <c r="S71" s="101"/>
      <c r="T71" s="11"/>
    </row>
    <row r="72" spans="1:20" ht="16.5" customHeight="1">
      <c r="A72" t="s">
        <v>64</v>
      </c>
      <c r="B72" s="10" t="s">
        <v>144</v>
      </c>
      <c r="C72" s="12"/>
      <c r="D72" s="13">
        <v>45713</v>
      </c>
      <c r="E72" s="155" t="s">
        <v>115</v>
      </c>
      <c r="F72" s="155"/>
      <c r="G72" s="156" t="s">
        <v>30</v>
      </c>
      <c r="H72" s="157" t="s">
        <v>208</v>
      </c>
      <c r="I72" s="69" t="s">
        <v>1040</v>
      </c>
      <c r="J72" s="122">
        <v>1</v>
      </c>
      <c r="K72" s="15">
        <v>234659</v>
      </c>
      <c r="L72" s="16">
        <f t="shared" si="7"/>
        <v>234659</v>
      </c>
      <c r="M72" s="187">
        <v>23466</v>
      </c>
      <c r="N72" s="15">
        <f t="shared" si="8"/>
        <v>258125</v>
      </c>
      <c r="O72" s="5" t="s">
        <v>262</v>
      </c>
      <c r="P72" s="177" t="s">
        <v>2644</v>
      </c>
      <c r="Q72" s="5" t="s">
        <v>144</v>
      </c>
      <c r="R72" s="209" t="s">
        <v>339</v>
      </c>
      <c r="S72" s="101"/>
      <c r="T72" s="11"/>
    </row>
    <row r="73" spans="1:20" ht="16.5" customHeight="1">
      <c r="A73" t="s">
        <v>64</v>
      </c>
      <c r="B73" s="10" t="s">
        <v>144</v>
      </c>
      <c r="C73" s="12"/>
      <c r="D73" s="13">
        <v>45713</v>
      </c>
      <c r="E73" s="155" t="s">
        <v>115</v>
      </c>
      <c r="F73" s="155"/>
      <c r="G73" s="156" t="s">
        <v>30</v>
      </c>
      <c r="H73" s="157" t="s">
        <v>208</v>
      </c>
      <c r="I73" s="69" t="s">
        <v>1041</v>
      </c>
      <c r="J73" s="122">
        <v>1</v>
      </c>
      <c r="K73" s="15">
        <v>488069</v>
      </c>
      <c r="L73" s="16">
        <f t="shared" si="7"/>
        <v>488069</v>
      </c>
      <c r="M73" s="187">
        <v>48806</v>
      </c>
      <c r="N73" s="15">
        <f t="shared" si="8"/>
        <v>536875</v>
      </c>
      <c r="O73" s="5" t="s">
        <v>1043</v>
      </c>
      <c r="P73" s="177" t="s">
        <v>2644</v>
      </c>
      <c r="Q73" s="5" t="s">
        <v>144</v>
      </c>
      <c r="R73" s="209" t="s">
        <v>339</v>
      </c>
      <c r="S73" s="101"/>
      <c r="T73" s="11"/>
    </row>
    <row r="74" spans="1:20" ht="16.5" customHeight="1">
      <c r="A74" t="s">
        <v>64</v>
      </c>
      <c r="B74" s="10" t="s">
        <v>144</v>
      </c>
      <c r="C74" s="12"/>
      <c r="D74" s="13">
        <v>45713</v>
      </c>
      <c r="E74" s="155" t="s">
        <v>115</v>
      </c>
      <c r="F74" s="155"/>
      <c r="G74" s="156" t="s">
        <v>30</v>
      </c>
      <c r="H74" s="157" t="s">
        <v>208</v>
      </c>
      <c r="I74" s="69" t="s">
        <v>1042</v>
      </c>
      <c r="J74" s="122">
        <v>1</v>
      </c>
      <c r="K74" s="15">
        <v>307386</v>
      </c>
      <c r="L74" s="16">
        <f t="shared" si="7"/>
        <v>307386</v>
      </c>
      <c r="M74" s="187">
        <v>30739</v>
      </c>
      <c r="N74" s="15">
        <f t="shared" si="8"/>
        <v>338125</v>
      </c>
      <c r="O74" s="5" t="s">
        <v>262</v>
      </c>
      <c r="P74" s="177" t="s">
        <v>2644</v>
      </c>
      <c r="Q74" s="5" t="s">
        <v>144</v>
      </c>
      <c r="R74" s="209" t="s">
        <v>339</v>
      </c>
      <c r="S74" s="101"/>
      <c r="T74" s="11"/>
    </row>
    <row r="75" spans="1:20" ht="16.5" customHeight="1">
      <c r="A75" t="s">
        <v>64</v>
      </c>
      <c r="B75" s="141" t="s">
        <v>144</v>
      </c>
      <c r="C75" s="148"/>
      <c r="D75" s="13">
        <v>45713</v>
      </c>
      <c r="E75" s="155" t="s">
        <v>21</v>
      </c>
      <c r="F75" s="155"/>
      <c r="G75" s="156" t="s">
        <v>30</v>
      </c>
      <c r="H75" s="156" t="s">
        <v>265</v>
      </c>
      <c r="I75" s="69" t="s">
        <v>2638</v>
      </c>
      <c r="J75" s="124">
        <v>1</v>
      </c>
      <c r="K75" s="16">
        <v>272727</v>
      </c>
      <c r="L75" s="16">
        <f t="shared" si="7"/>
        <v>272727</v>
      </c>
      <c r="M75" s="189">
        <v>27273</v>
      </c>
      <c r="N75" s="15">
        <f t="shared" si="8"/>
        <v>300000</v>
      </c>
      <c r="O75" s="5" t="s">
        <v>1047</v>
      </c>
      <c r="P75" s="177" t="s">
        <v>2644</v>
      </c>
      <c r="Q75" s="68" t="s">
        <v>206</v>
      </c>
      <c r="R75" s="209" t="s">
        <v>339</v>
      </c>
      <c r="S75" s="7"/>
      <c r="T75" s="11"/>
    </row>
    <row r="76" spans="1:20" ht="16.5" customHeight="1">
      <c r="A76" t="s">
        <v>64</v>
      </c>
      <c r="B76" s="10" t="s">
        <v>144</v>
      </c>
      <c r="C76" s="12"/>
      <c r="D76" s="13">
        <v>45713</v>
      </c>
      <c r="E76" s="155" t="s">
        <v>400</v>
      </c>
      <c r="F76" s="155"/>
      <c r="G76" s="156" t="s">
        <v>30</v>
      </c>
      <c r="H76" s="156" t="s">
        <v>145</v>
      </c>
      <c r="I76" s="69" t="s">
        <v>1008</v>
      </c>
      <c r="J76" s="122">
        <v>1</v>
      </c>
      <c r="K76" s="16">
        <v>160000</v>
      </c>
      <c r="L76" s="16">
        <f t="shared" si="7"/>
        <v>160000</v>
      </c>
      <c r="M76" s="123">
        <f>L76*10%</f>
        <v>16000</v>
      </c>
      <c r="N76" s="15">
        <f t="shared" si="8"/>
        <v>176000</v>
      </c>
      <c r="O76" s="5" t="s">
        <v>1140</v>
      </c>
      <c r="P76" s="177" t="s">
        <v>2644</v>
      </c>
      <c r="Q76" s="5" t="s">
        <v>144</v>
      </c>
      <c r="R76" s="209"/>
    </row>
    <row r="77" spans="1:20" ht="16.5" customHeight="1">
      <c r="A77" t="s">
        <v>64</v>
      </c>
      <c r="B77" s="10" t="s">
        <v>312</v>
      </c>
      <c r="C77" s="12"/>
      <c r="D77" s="13">
        <v>45713</v>
      </c>
      <c r="E77" s="155" t="s">
        <v>155</v>
      </c>
      <c r="F77" s="155" t="s">
        <v>264</v>
      </c>
      <c r="G77" s="157" t="s">
        <v>98</v>
      </c>
      <c r="H77" s="156" t="s">
        <v>102</v>
      </c>
      <c r="I77" s="69" t="s">
        <v>999</v>
      </c>
      <c r="J77" s="122">
        <v>1</v>
      </c>
      <c r="K77" s="15">
        <v>200000</v>
      </c>
      <c r="L77" s="16">
        <f t="shared" si="7"/>
        <v>200000</v>
      </c>
      <c r="M77" s="16">
        <f>L77*10%</f>
        <v>20000</v>
      </c>
      <c r="N77" s="15">
        <f t="shared" si="8"/>
        <v>220000</v>
      </c>
      <c r="O77" s="5" t="s">
        <v>1531</v>
      </c>
      <c r="P77" s="9" t="s">
        <v>2634</v>
      </c>
      <c r="Q77" s="5">
        <v>45708</v>
      </c>
      <c r="R77" s="209"/>
      <c r="T77" s="11"/>
    </row>
    <row r="78" spans="1:20" ht="16.5" customHeight="1">
      <c r="A78" t="s">
        <v>64</v>
      </c>
      <c r="B78" s="10" t="s">
        <v>307</v>
      </c>
      <c r="C78" s="12"/>
      <c r="D78" s="13">
        <v>45714</v>
      </c>
      <c r="E78" s="155" t="s">
        <v>2631</v>
      </c>
      <c r="F78" s="155" t="s">
        <v>288</v>
      </c>
      <c r="G78" s="156" t="s">
        <v>7</v>
      </c>
      <c r="H78" s="156" t="s">
        <v>102</v>
      </c>
      <c r="I78" s="69" t="s">
        <v>997</v>
      </c>
      <c r="J78" s="122">
        <v>1</v>
      </c>
      <c r="K78" s="15">
        <v>4950000</v>
      </c>
      <c r="L78" s="16">
        <f>J78*K78</f>
        <v>4950000</v>
      </c>
      <c r="M78" s="15">
        <f>L78*10%</f>
        <v>495000</v>
      </c>
      <c r="N78" s="15">
        <f>SUM(L78:M78)</f>
        <v>5445000</v>
      </c>
      <c r="O78" s="5" t="s">
        <v>2116</v>
      </c>
      <c r="P78" s="174" t="s">
        <v>2636</v>
      </c>
      <c r="Q78" s="5">
        <v>45716</v>
      </c>
      <c r="R78" s="209"/>
    </row>
    <row r="79" spans="1:20" ht="16.5" customHeight="1">
      <c r="A79" t="s">
        <v>64</v>
      </c>
      <c r="B79" s="10" t="s">
        <v>491</v>
      </c>
      <c r="C79" s="12"/>
      <c r="D79" s="13">
        <v>45714</v>
      </c>
      <c r="E79" s="155" t="s">
        <v>31</v>
      </c>
      <c r="F79" s="155" t="s">
        <v>1048</v>
      </c>
      <c r="G79" s="156" t="s">
        <v>98</v>
      </c>
      <c r="H79" s="156" t="s">
        <v>102</v>
      </c>
      <c r="I79" s="69" t="s">
        <v>996</v>
      </c>
      <c r="J79" s="122">
        <v>1</v>
      </c>
      <c r="K79" s="15">
        <v>500000</v>
      </c>
      <c r="L79" s="16">
        <f t="shared" si="7"/>
        <v>500000</v>
      </c>
      <c r="M79" s="16">
        <f>L79*10%</f>
        <v>50000</v>
      </c>
      <c r="N79" s="15">
        <f t="shared" si="8"/>
        <v>550000</v>
      </c>
      <c r="O79" s="5" t="s">
        <v>1842</v>
      </c>
      <c r="P79" s="9" t="s">
        <v>2636</v>
      </c>
      <c r="Q79" s="5">
        <v>45636</v>
      </c>
      <c r="R79" s="209" t="s">
        <v>100</v>
      </c>
    </row>
    <row r="80" spans="1:20" ht="16.5" customHeight="1">
      <c r="A80" t="s">
        <v>64</v>
      </c>
      <c r="B80" s="10" t="s">
        <v>144</v>
      </c>
      <c r="C80" s="12"/>
      <c r="D80" s="13">
        <v>45714</v>
      </c>
      <c r="E80" s="155" t="s">
        <v>106</v>
      </c>
      <c r="F80" s="155"/>
      <c r="G80" s="156" t="s">
        <v>30</v>
      </c>
      <c r="H80" s="156" t="s">
        <v>282</v>
      </c>
      <c r="I80" s="69" t="s">
        <v>287</v>
      </c>
      <c r="J80" s="122">
        <v>4</v>
      </c>
      <c r="K80" s="15">
        <v>6000</v>
      </c>
      <c r="L80" s="16">
        <f t="shared" si="7"/>
        <v>24000</v>
      </c>
      <c r="M80" s="15">
        <f>L80*10%</f>
        <v>2400</v>
      </c>
      <c r="N80" s="15">
        <f t="shared" si="8"/>
        <v>26400</v>
      </c>
      <c r="O80" s="5" t="s">
        <v>1269</v>
      </c>
      <c r="P80" s="9" t="s">
        <v>2644</v>
      </c>
      <c r="Q80" s="5" t="s">
        <v>144</v>
      </c>
      <c r="R80" s="209"/>
      <c r="T80" s="11"/>
    </row>
    <row r="81" spans="1:21" ht="16.5" customHeight="1">
      <c r="A81" t="s">
        <v>64</v>
      </c>
      <c r="B81" s="10" t="s">
        <v>1181</v>
      </c>
      <c r="C81" s="12"/>
      <c r="D81" s="13">
        <v>45715</v>
      </c>
      <c r="E81" s="155" t="s">
        <v>26</v>
      </c>
      <c r="F81" s="155" t="s">
        <v>1228</v>
      </c>
      <c r="G81" s="156" t="s">
        <v>1179</v>
      </c>
      <c r="H81" s="156" t="s">
        <v>933</v>
      </c>
      <c r="I81" s="69" t="s">
        <v>1180</v>
      </c>
      <c r="J81" s="122">
        <v>1</v>
      </c>
      <c r="K81" s="15">
        <v>1081455</v>
      </c>
      <c r="L81" s="16">
        <f t="shared" si="7"/>
        <v>1081455</v>
      </c>
      <c r="M81" s="16">
        <v>108145</v>
      </c>
      <c r="N81" s="15">
        <f t="shared" si="8"/>
        <v>1189600</v>
      </c>
      <c r="O81" s="5" t="s">
        <v>1057</v>
      </c>
      <c r="P81" s="9" t="s">
        <v>2636</v>
      </c>
      <c r="Q81" s="5">
        <v>45727</v>
      </c>
      <c r="R81" s="213"/>
    </row>
    <row r="82" spans="1:21" ht="16.5" customHeight="1">
      <c r="B82" s="10" t="s">
        <v>144</v>
      </c>
      <c r="C82" s="12"/>
      <c r="D82" s="13">
        <v>45715</v>
      </c>
      <c r="E82" s="155" t="s">
        <v>1139</v>
      </c>
      <c r="F82" s="155"/>
      <c r="G82" s="156" t="s">
        <v>1176</v>
      </c>
      <c r="H82" s="156" t="s">
        <v>145</v>
      </c>
      <c r="I82" s="69" t="s">
        <v>1177</v>
      </c>
      <c r="J82" s="122">
        <v>1</v>
      </c>
      <c r="K82" s="15">
        <v>100000</v>
      </c>
      <c r="L82" s="16">
        <f t="shared" si="7"/>
        <v>100000</v>
      </c>
      <c r="M82" s="16">
        <f>L82*10%</f>
        <v>10000</v>
      </c>
      <c r="N82" s="15">
        <f t="shared" si="8"/>
        <v>110000</v>
      </c>
      <c r="O82" s="5" t="s">
        <v>1140</v>
      </c>
      <c r="P82" s="9" t="s">
        <v>2644</v>
      </c>
      <c r="Q82" s="5" t="s">
        <v>1178</v>
      </c>
      <c r="R82" s="213"/>
    </row>
    <row r="83" spans="1:21" ht="16.5" customHeight="1">
      <c r="A83" t="s">
        <v>64</v>
      </c>
      <c r="B83" s="10" t="s">
        <v>1213</v>
      </c>
      <c r="C83" s="12"/>
      <c r="D83" s="13">
        <v>45715</v>
      </c>
      <c r="E83" s="155" t="s">
        <v>936</v>
      </c>
      <c r="F83" s="155" t="s">
        <v>1214</v>
      </c>
      <c r="G83" s="156" t="s">
        <v>41</v>
      </c>
      <c r="H83" s="156" t="s">
        <v>1215</v>
      </c>
      <c r="I83" s="69" t="s">
        <v>1216</v>
      </c>
      <c r="J83" s="122">
        <v>1</v>
      </c>
      <c r="K83" s="15">
        <v>100000</v>
      </c>
      <c r="L83" s="16">
        <f t="shared" si="7"/>
        <v>100000</v>
      </c>
      <c r="M83" s="16">
        <f>L83*10%</f>
        <v>10000</v>
      </c>
      <c r="N83" s="15">
        <f t="shared" si="8"/>
        <v>110000</v>
      </c>
      <c r="O83" s="5" t="s">
        <v>1842</v>
      </c>
      <c r="P83" s="9" t="s">
        <v>2636</v>
      </c>
      <c r="Q83" s="5">
        <v>45716</v>
      </c>
      <c r="R83" s="209"/>
    </row>
    <row r="84" spans="1:21" ht="16.5" customHeight="1">
      <c r="A84" t="s">
        <v>64</v>
      </c>
      <c r="B84" s="10" t="s">
        <v>489</v>
      </c>
      <c r="C84" s="12"/>
      <c r="D84" s="13">
        <v>45716</v>
      </c>
      <c r="E84" s="155" t="s">
        <v>503</v>
      </c>
      <c r="F84" s="155" t="s">
        <v>424</v>
      </c>
      <c r="G84" s="157" t="s">
        <v>98</v>
      </c>
      <c r="H84" s="157" t="s">
        <v>1058</v>
      </c>
      <c r="I84" s="69" t="s">
        <v>1005</v>
      </c>
      <c r="J84" s="122">
        <v>1</v>
      </c>
      <c r="K84" s="15">
        <v>20600</v>
      </c>
      <c r="L84" s="16">
        <v>1302080</v>
      </c>
      <c r="M84" s="16">
        <f>L84*10%</f>
        <v>130208</v>
      </c>
      <c r="N84" s="15">
        <f t="shared" si="8"/>
        <v>1432288</v>
      </c>
      <c r="O84" s="5" t="s">
        <v>1531</v>
      </c>
      <c r="P84" s="9" t="s">
        <v>2636</v>
      </c>
      <c r="Q84" s="5">
        <v>45713</v>
      </c>
      <c r="R84" s="209"/>
    </row>
    <row r="85" spans="1:21" ht="16.5" customHeight="1">
      <c r="A85" t="s">
        <v>64</v>
      </c>
      <c r="B85" s="10" t="s">
        <v>490</v>
      </c>
      <c r="C85" s="145"/>
      <c r="D85" s="65"/>
      <c r="E85" s="160" t="s">
        <v>503</v>
      </c>
      <c r="F85" s="155" t="s">
        <v>2632</v>
      </c>
      <c r="G85" s="157" t="s">
        <v>98</v>
      </c>
      <c r="H85" s="157" t="s">
        <v>1058</v>
      </c>
      <c r="I85" s="69" t="s">
        <v>1004</v>
      </c>
      <c r="J85" s="122">
        <v>1</v>
      </c>
      <c r="K85" s="15">
        <v>70180</v>
      </c>
      <c r="L85" s="125"/>
      <c r="M85" s="125"/>
      <c r="N85" s="126"/>
      <c r="O85" s="99"/>
      <c r="P85" s="9" t="s">
        <v>2636</v>
      </c>
      <c r="Q85" s="5">
        <v>45713</v>
      </c>
      <c r="R85" s="209"/>
    </row>
    <row r="86" spans="1:21" ht="16.5" customHeight="1">
      <c r="A86" t="s">
        <v>64</v>
      </c>
      <c r="B86" s="10" t="s">
        <v>415</v>
      </c>
      <c r="C86" s="145"/>
      <c r="D86" s="65"/>
      <c r="E86" s="160" t="s">
        <v>503</v>
      </c>
      <c r="F86" s="155" t="s">
        <v>99</v>
      </c>
      <c r="G86" s="157" t="s">
        <v>98</v>
      </c>
      <c r="H86" s="157" t="s">
        <v>1058</v>
      </c>
      <c r="I86" s="69" t="s">
        <v>1006</v>
      </c>
      <c r="J86" s="122">
        <v>1</v>
      </c>
      <c r="K86" s="15">
        <v>352900</v>
      </c>
      <c r="L86" s="125"/>
      <c r="M86" s="125"/>
      <c r="N86" s="126"/>
      <c r="O86" s="99"/>
      <c r="P86" s="9" t="s">
        <v>2634</v>
      </c>
      <c r="Q86" s="5">
        <v>45721</v>
      </c>
      <c r="R86" s="209"/>
    </row>
    <row r="87" spans="1:21" ht="16.5" customHeight="1">
      <c r="A87" t="s">
        <v>64</v>
      </c>
      <c r="B87" s="10" t="s">
        <v>312</v>
      </c>
      <c r="C87" s="145"/>
      <c r="D87" s="65"/>
      <c r="E87" s="160" t="s">
        <v>503</v>
      </c>
      <c r="F87" s="155" t="s">
        <v>264</v>
      </c>
      <c r="G87" s="157" t="s">
        <v>98</v>
      </c>
      <c r="H87" s="157" t="s">
        <v>1058</v>
      </c>
      <c r="I87" s="69" t="s">
        <v>1036</v>
      </c>
      <c r="J87" s="122">
        <v>1</v>
      </c>
      <c r="K87" s="15">
        <v>80000</v>
      </c>
      <c r="L87" s="125"/>
      <c r="M87" s="125"/>
      <c r="N87" s="126"/>
      <c r="O87" s="99"/>
      <c r="P87" s="9" t="s">
        <v>2634</v>
      </c>
      <c r="Q87" s="5">
        <v>45708</v>
      </c>
      <c r="R87" s="213"/>
    </row>
    <row r="88" spans="1:21" ht="16.5" customHeight="1">
      <c r="A88" t="s">
        <v>64</v>
      </c>
      <c r="B88" s="10" t="s">
        <v>1253</v>
      </c>
      <c r="C88" s="145"/>
      <c r="D88" s="65"/>
      <c r="E88" s="160" t="s">
        <v>503</v>
      </c>
      <c r="F88" s="155" t="s">
        <v>1062</v>
      </c>
      <c r="G88" s="157" t="s">
        <v>98</v>
      </c>
      <c r="H88" s="157" t="s">
        <v>1058</v>
      </c>
      <c r="I88" s="69" t="s">
        <v>1061</v>
      </c>
      <c r="J88" s="122">
        <v>1</v>
      </c>
      <c r="K88" s="15">
        <v>66000</v>
      </c>
      <c r="L88" s="125"/>
      <c r="M88" s="125"/>
      <c r="N88" s="126"/>
      <c r="O88" s="99"/>
      <c r="P88" s="9" t="s">
        <v>2636</v>
      </c>
      <c r="Q88" s="5">
        <v>45747</v>
      </c>
      <c r="R88" s="213"/>
    </row>
    <row r="89" spans="1:21" ht="16.5" customHeight="1">
      <c r="A89" t="s">
        <v>64</v>
      </c>
      <c r="B89" s="10" t="s">
        <v>1053</v>
      </c>
      <c r="C89" s="145"/>
      <c r="D89" s="65"/>
      <c r="E89" s="160" t="s">
        <v>503</v>
      </c>
      <c r="F89" s="155" t="s">
        <v>987</v>
      </c>
      <c r="G89" s="157" t="s">
        <v>98</v>
      </c>
      <c r="H89" s="157" t="s">
        <v>1058</v>
      </c>
      <c r="I89" s="69" t="s">
        <v>988</v>
      </c>
      <c r="J89" s="124">
        <v>1</v>
      </c>
      <c r="K89" s="15">
        <v>44000</v>
      </c>
      <c r="L89" s="125"/>
      <c r="M89" s="125"/>
      <c r="N89" s="126"/>
      <c r="O89" s="99"/>
      <c r="P89" s="9" t="s">
        <v>2635</v>
      </c>
      <c r="Q89" s="5">
        <v>45716</v>
      </c>
      <c r="R89" s="209"/>
    </row>
    <row r="90" spans="1:21" ht="16.5" customHeight="1">
      <c r="A90" t="s">
        <v>64</v>
      </c>
      <c r="B90" s="10" t="s">
        <v>1254</v>
      </c>
      <c r="C90" s="145"/>
      <c r="D90" s="65"/>
      <c r="E90" s="160" t="s">
        <v>503</v>
      </c>
      <c r="F90" s="155" t="s">
        <v>32</v>
      </c>
      <c r="G90" s="157" t="s">
        <v>98</v>
      </c>
      <c r="H90" s="157" t="s">
        <v>1058</v>
      </c>
      <c r="I90" s="69" t="s">
        <v>1059</v>
      </c>
      <c r="J90" s="122">
        <v>1</v>
      </c>
      <c r="K90" s="15">
        <v>292200</v>
      </c>
      <c r="L90" s="125"/>
      <c r="M90" s="125"/>
      <c r="N90" s="126"/>
      <c r="O90" s="99"/>
      <c r="P90" s="9" t="s">
        <v>2634</v>
      </c>
      <c r="Q90" s="5">
        <v>45716</v>
      </c>
      <c r="R90" s="213"/>
    </row>
    <row r="91" spans="1:21" ht="16.5" customHeight="1">
      <c r="A91" t="s">
        <v>64</v>
      </c>
      <c r="B91" s="10" t="s">
        <v>1255</v>
      </c>
      <c r="C91" s="145"/>
      <c r="D91" s="65"/>
      <c r="E91" s="160" t="s">
        <v>503</v>
      </c>
      <c r="F91" s="155" t="s">
        <v>32</v>
      </c>
      <c r="G91" s="157" t="s">
        <v>98</v>
      </c>
      <c r="H91" s="157" t="s">
        <v>1058</v>
      </c>
      <c r="I91" s="69" t="s">
        <v>1060</v>
      </c>
      <c r="J91" s="122">
        <v>1</v>
      </c>
      <c r="K91" s="15">
        <v>376200</v>
      </c>
      <c r="L91" s="125"/>
      <c r="M91" s="125"/>
      <c r="N91" s="126"/>
      <c r="O91" s="99"/>
      <c r="P91" s="9" t="s">
        <v>2634</v>
      </c>
      <c r="Q91" s="5">
        <v>45716</v>
      </c>
      <c r="R91" s="213"/>
    </row>
    <row r="92" spans="1:21" ht="16.5" customHeight="1">
      <c r="A92" t="s">
        <v>64</v>
      </c>
      <c r="B92" s="10" t="s">
        <v>1069</v>
      </c>
      <c r="C92" s="12"/>
      <c r="D92" s="13">
        <v>45716</v>
      </c>
      <c r="E92" s="155" t="s">
        <v>1066</v>
      </c>
      <c r="F92" s="155" t="s">
        <v>1068</v>
      </c>
      <c r="G92" s="156" t="s">
        <v>1067</v>
      </c>
      <c r="H92" s="156" t="s">
        <v>1064</v>
      </c>
      <c r="I92" s="69" t="s">
        <v>1065</v>
      </c>
      <c r="J92" s="122">
        <v>1</v>
      </c>
      <c r="K92" s="15">
        <v>200000</v>
      </c>
      <c r="L92" s="16">
        <f>J92*K92</f>
        <v>200000</v>
      </c>
      <c r="M92" s="16">
        <f>L92*10%</f>
        <v>20000</v>
      </c>
      <c r="N92" s="15">
        <f>SUM(L92:M92)</f>
        <v>220000</v>
      </c>
      <c r="O92" s="5" t="s">
        <v>1531</v>
      </c>
      <c r="P92" s="9" t="s">
        <v>2643</v>
      </c>
      <c r="Q92" s="5">
        <v>45721</v>
      </c>
      <c r="R92" s="213"/>
    </row>
    <row r="93" spans="1:21" ht="16.5" customHeight="1">
      <c r="A93" t="s">
        <v>64</v>
      </c>
      <c r="B93" s="10" t="s">
        <v>1250</v>
      </c>
      <c r="C93" s="12"/>
      <c r="D93" s="13">
        <v>45716</v>
      </c>
      <c r="E93" s="155" t="s">
        <v>2629</v>
      </c>
      <c r="F93" s="155" t="s">
        <v>236</v>
      </c>
      <c r="G93" s="157" t="s">
        <v>98</v>
      </c>
      <c r="H93" s="156" t="s">
        <v>102</v>
      </c>
      <c r="I93" s="69" t="s">
        <v>998</v>
      </c>
      <c r="J93" s="122">
        <v>1</v>
      </c>
      <c r="K93" s="15">
        <v>250000</v>
      </c>
      <c r="L93" s="16">
        <f>J93*K93</f>
        <v>250000</v>
      </c>
      <c r="M93" s="16">
        <f>L93*10%</f>
        <v>25000</v>
      </c>
      <c r="N93" s="15">
        <f>SUM(L93:M93)</f>
        <v>275000</v>
      </c>
      <c r="O93" s="5" t="s">
        <v>1842</v>
      </c>
      <c r="P93" s="9" t="s">
        <v>2636</v>
      </c>
      <c r="Q93" s="5">
        <v>45716</v>
      </c>
      <c r="R93" s="209"/>
      <c r="U93" s="11"/>
    </row>
    <row r="94" spans="1:21" ht="16.5" customHeight="1">
      <c r="A94" t="s">
        <v>64</v>
      </c>
      <c r="B94" s="10" t="s">
        <v>480</v>
      </c>
      <c r="C94" s="12"/>
      <c r="D94" s="13">
        <v>45716</v>
      </c>
      <c r="E94" s="155" t="s">
        <v>2629</v>
      </c>
      <c r="F94" s="155" t="s">
        <v>963</v>
      </c>
      <c r="G94" s="156" t="s">
        <v>481</v>
      </c>
      <c r="H94" s="156" t="s">
        <v>453</v>
      </c>
      <c r="I94" s="69" t="s">
        <v>962</v>
      </c>
      <c r="J94" s="122">
        <v>1</v>
      </c>
      <c r="K94" s="15">
        <v>475000</v>
      </c>
      <c r="L94" s="16">
        <v>950000</v>
      </c>
      <c r="M94" s="16">
        <f>L94*10%</f>
        <v>95000</v>
      </c>
      <c r="N94" s="15">
        <f>SUM(L94:M94)</f>
        <v>1045000</v>
      </c>
      <c r="O94" s="5" t="s">
        <v>1842</v>
      </c>
      <c r="P94" s="9" t="s">
        <v>2636</v>
      </c>
      <c r="Q94" s="5">
        <v>45565</v>
      </c>
      <c r="R94" s="209"/>
    </row>
    <row r="95" spans="1:21" ht="16.5" customHeight="1">
      <c r="A95" t="s">
        <v>64</v>
      </c>
      <c r="B95" s="10" t="s">
        <v>960</v>
      </c>
      <c r="C95" s="145"/>
      <c r="D95" s="65"/>
      <c r="E95" s="160" t="s">
        <v>2629</v>
      </c>
      <c r="F95" s="155" t="s">
        <v>963</v>
      </c>
      <c r="G95" s="156" t="s">
        <v>7</v>
      </c>
      <c r="H95" s="156" t="s">
        <v>453</v>
      </c>
      <c r="I95" s="69" t="s">
        <v>454</v>
      </c>
      <c r="J95" s="122">
        <v>1</v>
      </c>
      <c r="K95" s="15">
        <v>475000</v>
      </c>
      <c r="L95" s="125"/>
      <c r="M95" s="125"/>
      <c r="N95" s="126"/>
      <c r="O95" s="99"/>
      <c r="P95" s="9" t="s">
        <v>2636</v>
      </c>
      <c r="Q95" s="5">
        <v>45565</v>
      </c>
      <c r="R95" s="209"/>
    </row>
    <row r="96" spans="1:21" ht="16.5" customHeight="1">
      <c r="A96" t="s">
        <v>64</v>
      </c>
      <c r="B96" s="10" t="s">
        <v>302</v>
      </c>
      <c r="C96" s="142"/>
      <c r="D96" s="13">
        <v>45716</v>
      </c>
      <c r="E96" s="155" t="s">
        <v>268</v>
      </c>
      <c r="F96" s="155" t="s">
        <v>266</v>
      </c>
      <c r="G96" s="157" t="s">
        <v>98</v>
      </c>
      <c r="H96" s="157" t="s">
        <v>213</v>
      </c>
      <c r="I96" s="69" t="s">
        <v>1000</v>
      </c>
      <c r="J96" s="124">
        <v>1</v>
      </c>
      <c r="K96" s="16">
        <v>100000</v>
      </c>
      <c r="L96" s="15">
        <f>J96*K96</f>
        <v>100000</v>
      </c>
      <c r="M96" s="15">
        <f>L96*10%</f>
        <v>10000</v>
      </c>
      <c r="N96" s="15">
        <f>SUM(L96:M96)</f>
        <v>110000</v>
      </c>
      <c r="O96" s="5" t="s">
        <v>1531</v>
      </c>
      <c r="P96" s="175" t="s">
        <v>2635</v>
      </c>
      <c r="Q96" s="5">
        <v>45716</v>
      </c>
      <c r="R96" s="212"/>
      <c r="S96" s="7"/>
      <c r="T96" s="11"/>
    </row>
    <row r="97" spans="1:20" ht="16.5" customHeight="1">
      <c r="A97" t="s">
        <v>64</v>
      </c>
      <c r="B97" s="140" t="s">
        <v>267</v>
      </c>
      <c r="C97" s="12"/>
      <c r="D97" s="13">
        <v>45716</v>
      </c>
      <c r="E97" s="155" t="s">
        <v>45</v>
      </c>
      <c r="F97" s="155" t="s">
        <v>345</v>
      </c>
      <c r="G97" s="157" t="s">
        <v>98</v>
      </c>
      <c r="H97" s="167" t="s">
        <v>213</v>
      </c>
      <c r="I97" s="69" t="s">
        <v>1001</v>
      </c>
      <c r="J97" s="124">
        <v>1</v>
      </c>
      <c r="K97" s="16">
        <v>595000</v>
      </c>
      <c r="L97" s="15">
        <f>J97*K97</f>
        <v>595000</v>
      </c>
      <c r="M97" s="15">
        <f>L97*10%</f>
        <v>59500</v>
      </c>
      <c r="N97" s="15">
        <f>SUM(L97:M97)</f>
        <v>654500</v>
      </c>
      <c r="O97" s="5" t="s">
        <v>1531</v>
      </c>
      <c r="P97" s="174" t="s">
        <v>2636</v>
      </c>
      <c r="Q97" s="5">
        <v>45716</v>
      </c>
      <c r="R97" s="211"/>
      <c r="S97" s="7"/>
      <c r="T97" s="11"/>
    </row>
    <row r="98" spans="1:20" ht="16.5" customHeight="1">
      <c r="A98" t="s">
        <v>64</v>
      </c>
      <c r="B98" s="140" t="s">
        <v>269</v>
      </c>
      <c r="C98" s="12"/>
      <c r="D98" s="13">
        <v>45716</v>
      </c>
      <c r="E98" s="155" t="s">
        <v>45</v>
      </c>
      <c r="F98" s="155" t="s">
        <v>345</v>
      </c>
      <c r="G98" s="157" t="s">
        <v>98</v>
      </c>
      <c r="H98" s="167" t="s">
        <v>213</v>
      </c>
      <c r="I98" s="69" t="s">
        <v>1002</v>
      </c>
      <c r="J98" s="124">
        <v>1</v>
      </c>
      <c r="K98" s="188">
        <v>840000</v>
      </c>
      <c r="L98" s="15">
        <f>J98*K98</f>
        <v>840000</v>
      </c>
      <c r="M98" s="15">
        <f>L98*10%</f>
        <v>84000</v>
      </c>
      <c r="N98" s="15">
        <f>SUM(L98:M98)</f>
        <v>924000</v>
      </c>
      <c r="O98" s="5" t="s">
        <v>1531</v>
      </c>
      <c r="P98" s="174" t="s">
        <v>2636</v>
      </c>
      <c r="Q98" s="5">
        <v>45716</v>
      </c>
      <c r="R98" s="211"/>
      <c r="S98" s="7"/>
      <c r="T98" s="11"/>
    </row>
    <row r="99" spans="1:20" ht="16.5" customHeight="1">
      <c r="A99" t="s">
        <v>64</v>
      </c>
      <c r="B99" s="10" t="s">
        <v>302</v>
      </c>
      <c r="C99" s="142"/>
      <c r="D99" s="13">
        <v>45716</v>
      </c>
      <c r="E99" s="155" t="s">
        <v>273</v>
      </c>
      <c r="F99" s="155" t="s">
        <v>266</v>
      </c>
      <c r="G99" s="157" t="s">
        <v>98</v>
      </c>
      <c r="H99" s="157" t="s">
        <v>102</v>
      </c>
      <c r="I99" s="69" t="s">
        <v>1072</v>
      </c>
      <c r="J99" s="124">
        <v>1</v>
      </c>
      <c r="K99" s="16">
        <v>672000</v>
      </c>
      <c r="L99" s="16">
        <v>699300</v>
      </c>
      <c r="M99" s="16">
        <f>L99*10%</f>
        <v>69930</v>
      </c>
      <c r="N99" s="15">
        <f>SUM(L99:M99)</f>
        <v>769230</v>
      </c>
      <c r="O99" s="5" t="s">
        <v>1531</v>
      </c>
      <c r="P99" s="175" t="s">
        <v>2635</v>
      </c>
      <c r="Q99" s="5">
        <v>45716</v>
      </c>
      <c r="R99" s="212"/>
      <c r="S99" s="7"/>
      <c r="T99" s="11"/>
    </row>
    <row r="100" spans="1:20" ht="16.5" customHeight="1">
      <c r="A100" t="s">
        <v>64</v>
      </c>
      <c r="B100" s="10" t="s">
        <v>302</v>
      </c>
      <c r="C100" s="145"/>
      <c r="D100" s="65"/>
      <c r="E100" s="160" t="s">
        <v>273</v>
      </c>
      <c r="F100" s="160" t="s">
        <v>266</v>
      </c>
      <c r="G100" s="157" t="s">
        <v>98</v>
      </c>
      <c r="H100" s="157" t="s">
        <v>102</v>
      </c>
      <c r="I100" s="69" t="s">
        <v>1073</v>
      </c>
      <c r="J100" s="122">
        <v>1</v>
      </c>
      <c r="K100" s="15">
        <v>27300</v>
      </c>
      <c r="L100" s="125"/>
      <c r="M100" s="125"/>
      <c r="N100" s="126"/>
      <c r="O100" s="99"/>
      <c r="P100" s="9" t="s">
        <v>2635</v>
      </c>
      <c r="Q100" s="5">
        <v>45681</v>
      </c>
      <c r="R100" s="213"/>
    </row>
    <row r="101" spans="1:20" ht="16.5" customHeight="1">
      <c r="A101" t="s">
        <v>64</v>
      </c>
      <c r="B101" s="10" t="s">
        <v>415</v>
      </c>
      <c r="C101" s="142"/>
      <c r="D101" s="13">
        <v>45716</v>
      </c>
      <c r="E101" s="155" t="s">
        <v>272</v>
      </c>
      <c r="F101" s="155" t="s">
        <v>99</v>
      </c>
      <c r="G101" s="157" t="s">
        <v>98</v>
      </c>
      <c r="H101" s="157" t="s">
        <v>213</v>
      </c>
      <c r="I101" s="69" t="s">
        <v>843</v>
      </c>
      <c r="J101" s="124">
        <v>1</v>
      </c>
      <c r="K101" s="16">
        <v>70000</v>
      </c>
      <c r="L101" s="15">
        <f t="shared" ref="L101:L128" si="9">J101*K101</f>
        <v>70000</v>
      </c>
      <c r="M101" s="15">
        <f>L101*10%</f>
        <v>7000</v>
      </c>
      <c r="N101" s="15">
        <f t="shared" ref="N101:N128" si="10">SUM(L101:M101)</f>
        <v>77000</v>
      </c>
      <c r="O101" s="5" t="s">
        <v>1842</v>
      </c>
      <c r="P101" s="175" t="s">
        <v>2634</v>
      </c>
      <c r="Q101" s="5">
        <v>45721</v>
      </c>
      <c r="R101" s="212"/>
      <c r="S101" s="7"/>
      <c r="T101" s="11"/>
    </row>
    <row r="102" spans="1:20" ht="16.5" customHeight="1">
      <c r="A102" t="s">
        <v>64</v>
      </c>
      <c r="B102" s="10" t="s">
        <v>415</v>
      </c>
      <c r="C102" s="12"/>
      <c r="D102" s="13">
        <v>45716</v>
      </c>
      <c r="E102" s="155" t="s">
        <v>173</v>
      </c>
      <c r="F102" s="155" t="s">
        <v>99</v>
      </c>
      <c r="G102" s="156" t="s">
        <v>7</v>
      </c>
      <c r="H102" s="156" t="s">
        <v>102</v>
      </c>
      <c r="I102" s="69" t="s">
        <v>2108</v>
      </c>
      <c r="J102" s="122">
        <v>1</v>
      </c>
      <c r="K102" s="15">
        <v>810000</v>
      </c>
      <c r="L102" s="16">
        <f t="shared" si="9"/>
        <v>810000</v>
      </c>
      <c r="M102" s="16">
        <f>L102*10%</f>
        <v>81000</v>
      </c>
      <c r="N102" s="15">
        <f t="shared" si="10"/>
        <v>891000</v>
      </c>
      <c r="O102" s="5" t="s">
        <v>1531</v>
      </c>
      <c r="P102" s="174" t="s">
        <v>2634</v>
      </c>
      <c r="Q102" s="5">
        <v>45721</v>
      </c>
      <c r="R102" s="209"/>
      <c r="T102" s="11"/>
    </row>
    <row r="103" spans="1:20" ht="16.5" customHeight="1">
      <c r="A103" t="s">
        <v>64</v>
      </c>
      <c r="B103" s="141" t="s">
        <v>144</v>
      </c>
      <c r="C103" s="142"/>
      <c r="D103" s="13">
        <v>45716</v>
      </c>
      <c r="E103" s="155" t="s">
        <v>270</v>
      </c>
      <c r="F103" s="155"/>
      <c r="G103" s="156" t="s">
        <v>30</v>
      </c>
      <c r="H103" s="156" t="s">
        <v>271</v>
      </c>
      <c r="I103" s="69" t="s">
        <v>1075</v>
      </c>
      <c r="J103" s="124">
        <v>1</v>
      </c>
      <c r="K103" s="16">
        <v>40000</v>
      </c>
      <c r="L103" s="15">
        <f t="shared" si="9"/>
        <v>40000</v>
      </c>
      <c r="M103" s="15">
        <f>L103*10%</f>
        <v>4000</v>
      </c>
      <c r="N103" s="15">
        <f t="shared" si="10"/>
        <v>44000</v>
      </c>
      <c r="O103" s="5" t="s">
        <v>1076</v>
      </c>
      <c r="P103" s="175" t="s">
        <v>2644</v>
      </c>
      <c r="Q103" s="68" t="s">
        <v>206</v>
      </c>
      <c r="R103" s="212"/>
      <c r="S103" s="7"/>
      <c r="T103" s="11"/>
    </row>
    <row r="104" spans="1:20" ht="16.5" customHeight="1">
      <c r="A104" t="s">
        <v>64</v>
      </c>
      <c r="B104" s="10" t="s">
        <v>415</v>
      </c>
      <c r="C104" s="12"/>
      <c r="D104" s="13">
        <v>45716</v>
      </c>
      <c r="E104" s="155" t="s">
        <v>19</v>
      </c>
      <c r="F104" s="163" t="s">
        <v>99</v>
      </c>
      <c r="G104" s="157" t="s">
        <v>98</v>
      </c>
      <c r="H104" s="157" t="s">
        <v>213</v>
      </c>
      <c r="I104" s="159" t="s">
        <v>2101</v>
      </c>
      <c r="J104" s="124">
        <v>1</v>
      </c>
      <c r="K104" s="188">
        <v>300000</v>
      </c>
      <c r="L104" s="15">
        <f t="shared" si="9"/>
        <v>300000</v>
      </c>
      <c r="M104" s="15">
        <f>L104*10%</f>
        <v>30000</v>
      </c>
      <c r="N104" s="15">
        <f t="shared" si="10"/>
        <v>330000</v>
      </c>
      <c r="O104" s="5" t="s">
        <v>1842</v>
      </c>
      <c r="P104" s="174" t="s">
        <v>2634</v>
      </c>
      <c r="Q104" s="5">
        <v>45721</v>
      </c>
      <c r="R104" s="211"/>
      <c r="S104" s="7"/>
      <c r="T104" s="11"/>
    </row>
    <row r="105" spans="1:20" ht="16.5" customHeight="1">
      <c r="A105" t="s">
        <v>64</v>
      </c>
      <c r="B105" s="141" t="s">
        <v>144</v>
      </c>
      <c r="C105" s="142"/>
      <c r="D105" s="13">
        <v>45716</v>
      </c>
      <c r="E105" s="155" t="s">
        <v>21</v>
      </c>
      <c r="F105" s="163"/>
      <c r="G105" s="156" t="s">
        <v>30</v>
      </c>
      <c r="H105" s="156" t="s">
        <v>35</v>
      </c>
      <c r="I105" s="69" t="s">
        <v>1071</v>
      </c>
      <c r="J105" s="124">
        <v>1</v>
      </c>
      <c r="K105" s="16">
        <v>530377</v>
      </c>
      <c r="L105" s="16">
        <f t="shared" si="9"/>
        <v>530377</v>
      </c>
      <c r="M105" s="15">
        <v>53037</v>
      </c>
      <c r="N105" s="15">
        <f t="shared" si="10"/>
        <v>583414</v>
      </c>
      <c r="O105" s="5" t="s">
        <v>1269</v>
      </c>
      <c r="P105" s="175" t="s">
        <v>2644</v>
      </c>
      <c r="Q105" s="68" t="s">
        <v>206</v>
      </c>
      <c r="R105" s="212"/>
      <c r="S105" s="7"/>
    </row>
    <row r="106" spans="1:20" ht="16.5" customHeight="1">
      <c r="A106" t="s">
        <v>64</v>
      </c>
      <c r="B106" s="141" t="s">
        <v>144</v>
      </c>
      <c r="C106" s="142"/>
      <c r="D106" s="13">
        <v>45716</v>
      </c>
      <c r="E106" s="155" t="s">
        <v>21</v>
      </c>
      <c r="F106" s="155"/>
      <c r="G106" s="156" t="s">
        <v>30</v>
      </c>
      <c r="H106" s="156" t="s">
        <v>35</v>
      </c>
      <c r="I106" s="69" t="s">
        <v>1070</v>
      </c>
      <c r="J106" s="124">
        <v>1</v>
      </c>
      <c r="K106" s="16">
        <v>115665</v>
      </c>
      <c r="L106" s="16">
        <f t="shared" si="9"/>
        <v>115665</v>
      </c>
      <c r="M106" s="15" t="s">
        <v>144</v>
      </c>
      <c r="N106" s="15">
        <f t="shared" si="10"/>
        <v>115665</v>
      </c>
      <c r="O106" s="5" t="s">
        <v>1269</v>
      </c>
      <c r="P106" s="175" t="s">
        <v>2644</v>
      </c>
      <c r="Q106" s="68" t="s">
        <v>206</v>
      </c>
      <c r="R106" s="212" t="s">
        <v>274</v>
      </c>
      <c r="S106" s="7"/>
    </row>
    <row r="107" spans="1:20" ht="16.5" customHeight="1">
      <c r="A107" t="s">
        <v>64</v>
      </c>
      <c r="B107" s="141" t="s">
        <v>144</v>
      </c>
      <c r="C107" s="12"/>
      <c r="D107" s="13">
        <v>45716</v>
      </c>
      <c r="E107" s="155" t="s">
        <v>277</v>
      </c>
      <c r="F107" s="163"/>
      <c r="G107" s="156" t="s">
        <v>30</v>
      </c>
      <c r="H107" s="157" t="s">
        <v>145</v>
      </c>
      <c r="I107" s="159" t="s">
        <v>1074</v>
      </c>
      <c r="J107" s="124">
        <v>1</v>
      </c>
      <c r="K107" s="188">
        <v>200000</v>
      </c>
      <c r="L107" s="15">
        <f t="shared" si="9"/>
        <v>200000</v>
      </c>
      <c r="M107" s="15">
        <f t="shared" ref="M107:M116" si="11">L107*10%</f>
        <v>20000</v>
      </c>
      <c r="N107" s="15">
        <f t="shared" si="10"/>
        <v>220000</v>
      </c>
      <c r="O107" s="5" t="s">
        <v>1371</v>
      </c>
      <c r="P107" s="175" t="s">
        <v>2644</v>
      </c>
      <c r="Q107" s="68" t="s">
        <v>206</v>
      </c>
      <c r="R107" s="211"/>
      <c r="S107" s="7"/>
      <c r="T107" s="11"/>
    </row>
    <row r="108" spans="1:20" ht="16.5" customHeight="1">
      <c r="A108" t="s">
        <v>64</v>
      </c>
      <c r="B108" s="10" t="s">
        <v>964</v>
      </c>
      <c r="C108" s="12"/>
      <c r="D108" s="13">
        <v>45716</v>
      </c>
      <c r="E108" s="155" t="s">
        <v>2630</v>
      </c>
      <c r="F108" s="155" t="s">
        <v>961</v>
      </c>
      <c r="G108" s="156" t="s">
        <v>7</v>
      </c>
      <c r="H108" s="156" t="s">
        <v>284</v>
      </c>
      <c r="I108" s="69" t="s">
        <v>1088</v>
      </c>
      <c r="J108" s="132">
        <v>1</v>
      </c>
      <c r="K108" s="15">
        <v>2000000</v>
      </c>
      <c r="L108" s="16">
        <f t="shared" si="9"/>
        <v>2000000</v>
      </c>
      <c r="M108" s="16">
        <f t="shared" si="11"/>
        <v>200000</v>
      </c>
      <c r="N108" s="15">
        <f t="shared" si="10"/>
        <v>2200000</v>
      </c>
      <c r="O108" s="5" t="s">
        <v>1140</v>
      </c>
      <c r="P108" s="9" t="s">
        <v>2636</v>
      </c>
      <c r="Q108" s="5">
        <v>45565</v>
      </c>
      <c r="R108" s="209"/>
    </row>
    <row r="109" spans="1:20" ht="16.5" customHeight="1">
      <c r="A109" t="s">
        <v>64</v>
      </c>
      <c r="B109" s="10" t="s">
        <v>1091</v>
      </c>
      <c r="C109" s="12"/>
      <c r="D109" s="13">
        <v>45716</v>
      </c>
      <c r="E109" s="155" t="s">
        <v>2630</v>
      </c>
      <c r="F109" s="155" t="s">
        <v>1092</v>
      </c>
      <c r="G109" s="156" t="s">
        <v>7</v>
      </c>
      <c r="H109" s="156" t="s">
        <v>1093</v>
      </c>
      <c r="I109" s="69" t="s">
        <v>1078</v>
      </c>
      <c r="J109" s="122">
        <v>1</v>
      </c>
      <c r="K109" s="15">
        <v>18000000</v>
      </c>
      <c r="L109" s="16">
        <f t="shared" si="9"/>
        <v>18000000</v>
      </c>
      <c r="M109" s="16">
        <f t="shared" si="11"/>
        <v>1800000</v>
      </c>
      <c r="N109" s="15">
        <f t="shared" si="10"/>
        <v>19800000</v>
      </c>
      <c r="O109" s="5" t="s">
        <v>1140</v>
      </c>
      <c r="P109" s="9" t="s">
        <v>2636</v>
      </c>
      <c r="Q109" s="5">
        <v>45666</v>
      </c>
      <c r="R109" s="209"/>
    </row>
    <row r="110" spans="1:20" ht="16.5" customHeight="1">
      <c r="A110" t="s">
        <v>64</v>
      </c>
      <c r="B110" s="10" t="s">
        <v>1250</v>
      </c>
      <c r="C110" s="12"/>
      <c r="D110" s="13">
        <v>45716</v>
      </c>
      <c r="E110" s="155" t="s">
        <v>2630</v>
      </c>
      <c r="F110" s="155" t="s">
        <v>1049</v>
      </c>
      <c r="G110" s="156" t="s">
        <v>7</v>
      </c>
      <c r="H110" s="156" t="s">
        <v>311</v>
      </c>
      <c r="I110" s="69" t="s">
        <v>1079</v>
      </c>
      <c r="J110" s="132">
        <v>1</v>
      </c>
      <c r="K110" s="15">
        <v>2500000</v>
      </c>
      <c r="L110" s="16">
        <f t="shared" si="9"/>
        <v>2500000</v>
      </c>
      <c r="M110" s="16">
        <f t="shared" si="11"/>
        <v>250000</v>
      </c>
      <c r="N110" s="15">
        <f t="shared" si="10"/>
        <v>2750000</v>
      </c>
      <c r="O110" s="5" t="s">
        <v>1140</v>
      </c>
      <c r="P110" s="9" t="s">
        <v>2636</v>
      </c>
      <c r="Q110" s="5" t="s">
        <v>1051</v>
      </c>
      <c r="R110" s="213" t="s">
        <v>1050</v>
      </c>
    </row>
    <row r="111" spans="1:20" ht="16.5" customHeight="1">
      <c r="A111" t="s">
        <v>64</v>
      </c>
      <c r="B111" s="10" t="s">
        <v>1094</v>
      </c>
      <c r="C111" s="12"/>
      <c r="D111" s="13">
        <v>45716</v>
      </c>
      <c r="E111" s="155" t="s">
        <v>2630</v>
      </c>
      <c r="F111" s="155" t="s">
        <v>1080</v>
      </c>
      <c r="G111" s="156" t="s">
        <v>7</v>
      </c>
      <c r="H111" s="156" t="s">
        <v>1090</v>
      </c>
      <c r="I111" s="69" t="s">
        <v>2599</v>
      </c>
      <c r="J111" s="122">
        <v>1</v>
      </c>
      <c r="K111" s="15">
        <v>900000</v>
      </c>
      <c r="L111" s="16">
        <f t="shared" si="9"/>
        <v>900000</v>
      </c>
      <c r="M111" s="16">
        <f t="shared" si="11"/>
        <v>90000</v>
      </c>
      <c r="N111" s="15">
        <f t="shared" si="10"/>
        <v>990000</v>
      </c>
      <c r="O111" s="5" t="s">
        <v>1140</v>
      </c>
      <c r="P111" s="9" t="s">
        <v>2634</v>
      </c>
      <c r="Q111" s="5">
        <v>45716</v>
      </c>
      <c r="R111" s="209"/>
    </row>
    <row r="112" spans="1:20" ht="16.5" customHeight="1">
      <c r="A112" t="s">
        <v>64</v>
      </c>
      <c r="B112" s="10" t="s">
        <v>1096</v>
      </c>
      <c r="C112" s="12"/>
      <c r="D112" s="13">
        <v>45716</v>
      </c>
      <c r="E112" s="155" t="s">
        <v>2630</v>
      </c>
      <c r="F112" s="155" t="s">
        <v>1081</v>
      </c>
      <c r="G112" s="156" t="s">
        <v>7</v>
      </c>
      <c r="H112" s="156" t="s">
        <v>1093</v>
      </c>
      <c r="I112" s="69" t="s">
        <v>1097</v>
      </c>
      <c r="J112" s="122">
        <v>1</v>
      </c>
      <c r="K112" s="15">
        <v>1800000</v>
      </c>
      <c r="L112" s="16">
        <f t="shared" si="9"/>
        <v>1800000</v>
      </c>
      <c r="M112" s="16">
        <f t="shared" si="11"/>
        <v>180000</v>
      </c>
      <c r="N112" s="15">
        <f t="shared" si="10"/>
        <v>1980000</v>
      </c>
      <c r="O112" s="5" t="s">
        <v>1140</v>
      </c>
      <c r="P112" s="9" t="s">
        <v>2636</v>
      </c>
      <c r="Q112" s="5" t="s">
        <v>1095</v>
      </c>
      <c r="R112" s="209"/>
    </row>
    <row r="113" spans="1:21" ht="16.5" customHeight="1">
      <c r="A113" t="s">
        <v>64</v>
      </c>
      <c r="B113" s="10" t="s">
        <v>1104</v>
      </c>
      <c r="C113" s="12"/>
      <c r="D113" s="13">
        <v>45716</v>
      </c>
      <c r="E113" s="155" t="s">
        <v>2630</v>
      </c>
      <c r="F113" s="155" t="s">
        <v>1082</v>
      </c>
      <c r="G113" s="156" t="s">
        <v>7</v>
      </c>
      <c r="H113" s="156" t="s">
        <v>1093</v>
      </c>
      <c r="I113" s="69" t="s">
        <v>1084</v>
      </c>
      <c r="J113" s="122">
        <v>1</v>
      </c>
      <c r="K113" s="15">
        <v>10560000</v>
      </c>
      <c r="L113" s="16">
        <f t="shared" si="9"/>
        <v>10560000</v>
      </c>
      <c r="M113" s="16">
        <f t="shared" si="11"/>
        <v>1056000</v>
      </c>
      <c r="N113" s="15">
        <f t="shared" si="10"/>
        <v>11616000</v>
      </c>
      <c r="O113" s="5" t="s">
        <v>1140</v>
      </c>
      <c r="P113" s="9" t="s">
        <v>2636</v>
      </c>
      <c r="Q113" s="5" t="s">
        <v>1098</v>
      </c>
      <c r="R113" s="209"/>
    </row>
    <row r="114" spans="1:21" ht="16.5" customHeight="1">
      <c r="A114" t="s">
        <v>64</v>
      </c>
      <c r="B114" s="10" t="s">
        <v>1103</v>
      </c>
      <c r="C114" s="12"/>
      <c r="D114" s="13">
        <v>45716</v>
      </c>
      <c r="E114" s="155" t="s">
        <v>2630</v>
      </c>
      <c r="F114" s="155" t="s">
        <v>1083</v>
      </c>
      <c r="G114" s="156" t="s">
        <v>7</v>
      </c>
      <c r="H114" s="156" t="s">
        <v>1085</v>
      </c>
      <c r="I114" s="69" t="s">
        <v>1099</v>
      </c>
      <c r="J114" s="122">
        <v>1</v>
      </c>
      <c r="K114" s="15">
        <v>2160000</v>
      </c>
      <c r="L114" s="16">
        <f t="shared" si="9"/>
        <v>2160000</v>
      </c>
      <c r="M114" s="16">
        <f t="shared" si="11"/>
        <v>216000</v>
      </c>
      <c r="N114" s="15">
        <f t="shared" si="10"/>
        <v>2376000</v>
      </c>
      <c r="O114" s="5" t="s">
        <v>1140</v>
      </c>
      <c r="P114" s="9" t="s">
        <v>2636</v>
      </c>
      <c r="Q114" s="5" t="s">
        <v>1100</v>
      </c>
      <c r="R114" s="209"/>
    </row>
    <row r="115" spans="1:21" ht="16.5" customHeight="1">
      <c r="A115" t="s">
        <v>64</v>
      </c>
      <c r="B115" s="10" t="s">
        <v>1102</v>
      </c>
      <c r="C115" s="12"/>
      <c r="D115" s="13">
        <v>45716</v>
      </c>
      <c r="E115" s="155" t="s">
        <v>2630</v>
      </c>
      <c r="F115" s="155" t="s">
        <v>1086</v>
      </c>
      <c r="G115" s="156" t="s">
        <v>7</v>
      </c>
      <c r="H115" s="156" t="s">
        <v>1093</v>
      </c>
      <c r="I115" s="69" t="s">
        <v>1087</v>
      </c>
      <c r="J115" s="122">
        <v>1</v>
      </c>
      <c r="K115" s="15">
        <v>700000</v>
      </c>
      <c r="L115" s="16">
        <f t="shared" si="9"/>
        <v>700000</v>
      </c>
      <c r="M115" s="16">
        <f t="shared" si="11"/>
        <v>70000</v>
      </c>
      <c r="N115" s="15">
        <f t="shared" si="10"/>
        <v>770000</v>
      </c>
      <c r="O115" s="5" t="s">
        <v>1140</v>
      </c>
      <c r="P115" s="9" t="s">
        <v>2636</v>
      </c>
      <c r="Q115" s="5" t="s">
        <v>1101</v>
      </c>
      <c r="R115" s="209"/>
    </row>
    <row r="116" spans="1:21" ht="16.5" customHeight="1">
      <c r="A116" t="s">
        <v>64</v>
      </c>
      <c r="B116" s="10" t="s">
        <v>1105</v>
      </c>
      <c r="C116" s="12"/>
      <c r="D116" s="13">
        <v>45716</v>
      </c>
      <c r="E116" s="155" t="s">
        <v>2630</v>
      </c>
      <c r="F116" s="155" t="s">
        <v>293</v>
      </c>
      <c r="G116" s="156" t="s">
        <v>7</v>
      </c>
      <c r="H116" s="156" t="s">
        <v>1085</v>
      </c>
      <c r="I116" s="69" t="s">
        <v>1107</v>
      </c>
      <c r="J116" s="122">
        <v>1</v>
      </c>
      <c r="K116" s="15">
        <v>1100000</v>
      </c>
      <c r="L116" s="16">
        <f t="shared" si="9"/>
        <v>1100000</v>
      </c>
      <c r="M116" s="16">
        <f t="shared" si="11"/>
        <v>110000</v>
      </c>
      <c r="N116" s="15">
        <f t="shared" si="10"/>
        <v>1210000</v>
      </c>
      <c r="O116" s="5" t="s">
        <v>1140</v>
      </c>
      <c r="P116" s="9" t="s">
        <v>2636</v>
      </c>
      <c r="Q116" s="5" t="s">
        <v>1106</v>
      </c>
      <c r="R116" s="209"/>
    </row>
    <row r="117" spans="1:21" ht="16.5" customHeight="1">
      <c r="A117" t="s">
        <v>64</v>
      </c>
      <c r="B117" s="141" t="s">
        <v>144</v>
      </c>
      <c r="C117" s="12"/>
      <c r="D117" s="13">
        <v>45716</v>
      </c>
      <c r="E117" s="155" t="s">
        <v>275</v>
      </c>
      <c r="F117" s="155"/>
      <c r="G117" s="156" t="s">
        <v>30</v>
      </c>
      <c r="H117" s="156" t="s">
        <v>276</v>
      </c>
      <c r="I117" s="69" t="s">
        <v>1182</v>
      </c>
      <c r="J117" s="122">
        <v>1</v>
      </c>
      <c r="K117" s="15">
        <v>320000</v>
      </c>
      <c r="L117" s="16">
        <f t="shared" si="9"/>
        <v>320000</v>
      </c>
      <c r="M117" s="16" t="s">
        <v>144</v>
      </c>
      <c r="N117" s="15">
        <f t="shared" si="10"/>
        <v>320000</v>
      </c>
      <c r="O117" s="5" t="s">
        <v>1371</v>
      </c>
      <c r="P117" s="175" t="s">
        <v>2644</v>
      </c>
      <c r="Q117" s="100" t="s">
        <v>206</v>
      </c>
      <c r="R117" s="212" t="s">
        <v>274</v>
      </c>
    </row>
    <row r="118" spans="1:21" ht="16.5" customHeight="1">
      <c r="A118" t="s">
        <v>64</v>
      </c>
      <c r="B118" s="141" t="s">
        <v>302</v>
      </c>
      <c r="C118" s="142"/>
      <c r="D118" s="13">
        <v>45716</v>
      </c>
      <c r="E118" s="155" t="s">
        <v>313</v>
      </c>
      <c r="F118" s="155" t="s">
        <v>266</v>
      </c>
      <c r="G118" s="157" t="s">
        <v>98</v>
      </c>
      <c r="H118" s="157" t="s">
        <v>213</v>
      </c>
      <c r="I118" s="69" t="s">
        <v>1183</v>
      </c>
      <c r="J118" s="124">
        <v>1</v>
      </c>
      <c r="K118" s="16">
        <v>700000</v>
      </c>
      <c r="L118" s="16">
        <f t="shared" si="9"/>
        <v>700000</v>
      </c>
      <c r="M118" s="16">
        <f>L118*10%</f>
        <v>70000</v>
      </c>
      <c r="N118" s="15">
        <f t="shared" si="10"/>
        <v>770000</v>
      </c>
      <c r="O118" s="5" t="s">
        <v>1531</v>
      </c>
      <c r="P118" s="177" t="s">
        <v>2635</v>
      </c>
      <c r="Q118" s="5">
        <v>45681</v>
      </c>
      <c r="R118" s="212"/>
      <c r="S118" s="7"/>
      <c r="T118" s="11"/>
    </row>
    <row r="119" spans="1:21" ht="16.5" customHeight="1">
      <c r="A119" t="s">
        <v>64</v>
      </c>
      <c r="B119" s="141" t="s">
        <v>302</v>
      </c>
      <c r="C119" s="142"/>
      <c r="D119" s="13">
        <v>45716</v>
      </c>
      <c r="E119" s="155" t="s">
        <v>313</v>
      </c>
      <c r="F119" s="155" t="s">
        <v>266</v>
      </c>
      <c r="G119" s="157" t="s">
        <v>98</v>
      </c>
      <c r="H119" s="157" t="s">
        <v>213</v>
      </c>
      <c r="I119" s="69" t="s">
        <v>1184</v>
      </c>
      <c r="J119" s="124">
        <v>1</v>
      </c>
      <c r="K119" s="16">
        <v>700000</v>
      </c>
      <c r="L119" s="16">
        <f t="shared" si="9"/>
        <v>700000</v>
      </c>
      <c r="M119" s="16">
        <f>L119*10%</f>
        <v>70000</v>
      </c>
      <c r="N119" s="15">
        <f t="shared" si="10"/>
        <v>770000</v>
      </c>
      <c r="O119" s="5" t="s">
        <v>1531</v>
      </c>
      <c r="P119" s="177" t="s">
        <v>2635</v>
      </c>
      <c r="Q119" s="5">
        <v>45716</v>
      </c>
      <c r="R119" s="212"/>
      <c r="S119" s="7"/>
      <c r="T119" s="11"/>
    </row>
    <row r="120" spans="1:21" ht="16.5" customHeight="1">
      <c r="A120" t="s">
        <v>64</v>
      </c>
      <c r="B120" s="141" t="s">
        <v>144</v>
      </c>
      <c r="C120" s="142"/>
      <c r="D120" s="13">
        <v>45716</v>
      </c>
      <c r="E120" s="155" t="s">
        <v>177</v>
      </c>
      <c r="F120" s="155"/>
      <c r="G120" s="156" t="s">
        <v>41</v>
      </c>
      <c r="H120" s="156" t="s">
        <v>711</v>
      </c>
      <c r="I120" s="159" t="s">
        <v>1185</v>
      </c>
      <c r="J120" s="124">
        <v>1</v>
      </c>
      <c r="K120" s="16">
        <v>13818</v>
      </c>
      <c r="L120" s="15">
        <f t="shared" si="9"/>
        <v>13818</v>
      </c>
      <c r="M120" s="15">
        <v>1382</v>
      </c>
      <c r="N120" s="15">
        <f t="shared" si="10"/>
        <v>15200</v>
      </c>
      <c r="O120" s="5" t="s">
        <v>1269</v>
      </c>
      <c r="P120" s="175" t="s">
        <v>2644</v>
      </c>
      <c r="Q120" s="68" t="s">
        <v>206</v>
      </c>
      <c r="R120" s="212"/>
      <c r="S120" s="7"/>
    </row>
    <row r="121" spans="1:21" ht="16.5" customHeight="1">
      <c r="A121" t="s">
        <v>64</v>
      </c>
      <c r="B121" s="141" t="s">
        <v>144</v>
      </c>
      <c r="C121" s="12"/>
      <c r="D121" s="13">
        <v>45716</v>
      </c>
      <c r="E121" s="155" t="s">
        <v>158</v>
      </c>
      <c r="F121" s="155"/>
      <c r="G121" s="156" t="s">
        <v>30</v>
      </c>
      <c r="H121" s="157" t="s">
        <v>145</v>
      </c>
      <c r="I121" s="69" t="s">
        <v>1191</v>
      </c>
      <c r="J121" s="122">
        <v>1</v>
      </c>
      <c r="K121" s="15">
        <v>69000</v>
      </c>
      <c r="L121" s="16">
        <f t="shared" si="9"/>
        <v>69000</v>
      </c>
      <c r="M121" s="15">
        <f t="shared" ref="M121:M152" si="12">L121*10%</f>
        <v>6900</v>
      </c>
      <c r="N121" s="15">
        <f t="shared" si="10"/>
        <v>75900</v>
      </c>
      <c r="O121" s="5" t="s">
        <v>1192</v>
      </c>
      <c r="P121" s="175" t="s">
        <v>2644</v>
      </c>
      <c r="Q121" s="68" t="s">
        <v>206</v>
      </c>
      <c r="R121" s="209"/>
      <c r="T121" s="11"/>
    </row>
    <row r="122" spans="1:21" ht="16.5" customHeight="1">
      <c r="A122" t="s">
        <v>64</v>
      </c>
      <c r="B122" s="141" t="s">
        <v>144</v>
      </c>
      <c r="C122" s="148"/>
      <c r="D122" s="13">
        <v>45716</v>
      </c>
      <c r="E122" s="155" t="s">
        <v>833</v>
      </c>
      <c r="F122" s="155"/>
      <c r="G122" s="156" t="s">
        <v>41</v>
      </c>
      <c r="H122" s="157" t="s">
        <v>711</v>
      </c>
      <c r="I122" s="159" t="s">
        <v>1212</v>
      </c>
      <c r="J122" s="124">
        <v>1</v>
      </c>
      <c r="K122" s="16">
        <v>347000</v>
      </c>
      <c r="L122" s="188">
        <f t="shared" si="9"/>
        <v>347000</v>
      </c>
      <c r="M122" s="15">
        <f t="shared" si="12"/>
        <v>34700</v>
      </c>
      <c r="N122" s="15">
        <f t="shared" si="10"/>
        <v>381700</v>
      </c>
      <c r="O122" s="5" t="s">
        <v>1371</v>
      </c>
      <c r="P122" s="175" t="s">
        <v>2644</v>
      </c>
      <c r="Q122" s="68" t="s">
        <v>206</v>
      </c>
      <c r="R122" s="212"/>
      <c r="S122" s="7"/>
    </row>
    <row r="123" spans="1:21" ht="16.5" customHeight="1">
      <c r="A123" t="s">
        <v>64</v>
      </c>
      <c r="B123" s="10" t="s">
        <v>302</v>
      </c>
      <c r="C123" s="198"/>
      <c r="D123" s="13">
        <v>45716</v>
      </c>
      <c r="E123" s="199" t="s">
        <v>178</v>
      </c>
      <c r="F123" s="199" t="s">
        <v>266</v>
      </c>
      <c r="G123" s="157" t="s">
        <v>98</v>
      </c>
      <c r="H123" s="157" t="s">
        <v>213</v>
      </c>
      <c r="I123" s="69" t="s">
        <v>1007</v>
      </c>
      <c r="J123" s="201">
        <v>2</v>
      </c>
      <c r="K123" s="15">
        <v>290000</v>
      </c>
      <c r="L123" s="16">
        <f>J123*K123</f>
        <v>580000</v>
      </c>
      <c r="M123" s="16">
        <f>L123*10%</f>
        <v>58000</v>
      </c>
      <c r="N123" s="15">
        <f>SUM(L123:M123)</f>
        <v>638000</v>
      </c>
      <c r="O123" s="5" t="s">
        <v>1531</v>
      </c>
      <c r="P123" s="175" t="s">
        <v>2635</v>
      </c>
      <c r="Q123" s="5" t="s">
        <v>1242</v>
      </c>
      <c r="R123" s="213"/>
      <c r="U123" s="11"/>
    </row>
    <row r="124" spans="1:21" ht="16.5" customHeight="1">
      <c r="A124" t="s">
        <v>64</v>
      </c>
      <c r="B124" s="10" t="s">
        <v>877</v>
      </c>
      <c r="C124" s="12" t="s">
        <v>813</v>
      </c>
      <c r="D124" s="13">
        <v>45691</v>
      </c>
      <c r="E124" s="155" t="s">
        <v>2625</v>
      </c>
      <c r="F124" s="155" t="s">
        <v>815</v>
      </c>
      <c r="G124" s="156" t="s">
        <v>16</v>
      </c>
      <c r="H124" s="156" t="s">
        <v>2626</v>
      </c>
      <c r="I124" s="69" t="s">
        <v>814</v>
      </c>
      <c r="J124" s="122">
        <v>1</v>
      </c>
      <c r="K124" s="15">
        <v>1530720</v>
      </c>
      <c r="L124" s="16">
        <f t="shared" si="9"/>
        <v>1530720</v>
      </c>
      <c r="M124" s="16">
        <v>153072</v>
      </c>
      <c r="N124" s="15">
        <f t="shared" si="10"/>
        <v>1683792</v>
      </c>
      <c r="O124" s="5" t="s">
        <v>1633</v>
      </c>
      <c r="P124" s="9" t="s">
        <v>2636</v>
      </c>
      <c r="Q124" s="5">
        <v>45711</v>
      </c>
      <c r="R124" s="213"/>
    </row>
    <row r="125" spans="1:21" ht="16.5" customHeight="1">
      <c r="A125" t="s">
        <v>64</v>
      </c>
      <c r="B125" s="10" t="s">
        <v>876</v>
      </c>
      <c r="C125" s="12" t="s">
        <v>865</v>
      </c>
      <c r="D125" s="13">
        <v>45693</v>
      </c>
      <c r="E125" s="155" t="s">
        <v>2625</v>
      </c>
      <c r="F125" s="155" t="s">
        <v>867</v>
      </c>
      <c r="G125" s="168" t="s">
        <v>7</v>
      </c>
      <c r="H125" s="156" t="s">
        <v>2627</v>
      </c>
      <c r="I125" s="69" t="s">
        <v>974</v>
      </c>
      <c r="J125" s="122">
        <v>1</v>
      </c>
      <c r="K125" s="15">
        <v>72240</v>
      </c>
      <c r="L125" s="16">
        <f t="shared" si="9"/>
        <v>72240</v>
      </c>
      <c r="M125" s="16">
        <v>7224</v>
      </c>
      <c r="N125" s="15">
        <f t="shared" si="10"/>
        <v>79464</v>
      </c>
      <c r="O125" s="5" t="s">
        <v>1666</v>
      </c>
      <c r="P125" s="9" t="s">
        <v>2636</v>
      </c>
      <c r="Q125" s="5">
        <v>45688</v>
      </c>
      <c r="R125" s="213"/>
    </row>
    <row r="126" spans="1:21" ht="16.5" customHeight="1">
      <c r="A126" t="s">
        <v>64</v>
      </c>
      <c r="B126" s="10" t="s">
        <v>876</v>
      </c>
      <c r="C126" s="12" t="s">
        <v>865</v>
      </c>
      <c r="D126" s="13">
        <v>45693</v>
      </c>
      <c r="E126" s="155" t="s">
        <v>2625</v>
      </c>
      <c r="F126" s="155" t="s">
        <v>867</v>
      </c>
      <c r="G126" s="168" t="s">
        <v>7</v>
      </c>
      <c r="H126" s="156" t="s">
        <v>2627</v>
      </c>
      <c r="I126" s="69" t="s">
        <v>975</v>
      </c>
      <c r="J126" s="122">
        <v>1</v>
      </c>
      <c r="K126" s="15">
        <v>180600</v>
      </c>
      <c r="L126" s="16">
        <f t="shared" si="9"/>
        <v>180600</v>
      </c>
      <c r="M126" s="16">
        <f t="shared" si="12"/>
        <v>18060</v>
      </c>
      <c r="N126" s="15">
        <f t="shared" si="10"/>
        <v>198660</v>
      </c>
      <c r="O126" s="5" t="s">
        <v>1666</v>
      </c>
      <c r="P126" s="9" t="s">
        <v>2636</v>
      </c>
      <c r="Q126" s="5">
        <v>45688</v>
      </c>
      <c r="R126" s="213"/>
    </row>
    <row r="127" spans="1:21" ht="16.5" customHeight="1">
      <c r="A127" t="s">
        <v>64</v>
      </c>
      <c r="B127" s="10" t="s">
        <v>876</v>
      </c>
      <c r="C127" s="12" t="s">
        <v>865</v>
      </c>
      <c r="D127" s="13">
        <v>45693</v>
      </c>
      <c r="E127" s="155" t="s">
        <v>2625</v>
      </c>
      <c r="F127" s="155" t="s">
        <v>867</v>
      </c>
      <c r="G127" s="168" t="s">
        <v>7</v>
      </c>
      <c r="H127" s="156" t="s">
        <v>2627</v>
      </c>
      <c r="I127" s="69" t="s">
        <v>976</v>
      </c>
      <c r="J127" s="122">
        <v>1</v>
      </c>
      <c r="K127" s="15">
        <v>180600</v>
      </c>
      <c r="L127" s="16">
        <f t="shared" si="9"/>
        <v>180600</v>
      </c>
      <c r="M127" s="16">
        <f t="shared" si="12"/>
        <v>18060</v>
      </c>
      <c r="N127" s="15">
        <f t="shared" si="10"/>
        <v>198660</v>
      </c>
      <c r="O127" s="5" t="s">
        <v>1666</v>
      </c>
      <c r="P127" s="9" t="s">
        <v>2636</v>
      </c>
      <c r="Q127" s="5">
        <v>45688</v>
      </c>
      <c r="R127" s="213"/>
    </row>
    <row r="128" spans="1:21" ht="16.5" customHeight="1">
      <c r="A128" t="s">
        <v>64</v>
      </c>
      <c r="B128" s="10" t="s">
        <v>876</v>
      </c>
      <c r="C128" s="12" t="s">
        <v>865</v>
      </c>
      <c r="D128" s="13">
        <v>45693</v>
      </c>
      <c r="E128" s="155" t="s">
        <v>2625</v>
      </c>
      <c r="F128" s="155" t="s">
        <v>867</v>
      </c>
      <c r="G128" s="168" t="s">
        <v>7</v>
      </c>
      <c r="H128" s="156" t="s">
        <v>2627</v>
      </c>
      <c r="I128" s="69" t="s">
        <v>977</v>
      </c>
      <c r="J128" s="122">
        <v>1</v>
      </c>
      <c r="K128" s="15">
        <v>180600</v>
      </c>
      <c r="L128" s="16">
        <f t="shared" si="9"/>
        <v>180600</v>
      </c>
      <c r="M128" s="16">
        <f t="shared" si="12"/>
        <v>18060</v>
      </c>
      <c r="N128" s="15">
        <f t="shared" si="10"/>
        <v>198660</v>
      </c>
      <c r="O128" s="5" t="s">
        <v>1666</v>
      </c>
      <c r="P128" s="9" t="s">
        <v>2636</v>
      </c>
      <c r="Q128" s="5">
        <v>45688</v>
      </c>
      <c r="R128" s="213"/>
    </row>
    <row r="129" spans="1:18" ht="16.5" customHeight="1">
      <c r="A129" t="s">
        <v>64</v>
      </c>
      <c r="B129" s="10" t="s">
        <v>876</v>
      </c>
      <c r="C129" s="12" t="s">
        <v>865</v>
      </c>
      <c r="D129" s="13">
        <v>45693</v>
      </c>
      <c r="E129" s="155" t="s">
        <v>2625</v>
      </c>
      <c r="F129" s="155" t="s">
        <v>867</v>
      </c>
      <c r="G129" s="168" t="s">
        <v>7</v>
      </c>
      <c r="H129" s="156" t="s">
        <v>2627</v>
      </c>
      <c r="I129" s="69" t="s">
        <v>978</v>
      </c>
      <c r="J129" s="122">
        <v>1</v>
      </c>
      <c r="K129" s="15">
        <v>180600</v>
      </c>
      <c r="L129" s="16">
        <f t="shared" ref="L129:L160" si="13">J129*K129</f>
        <v>180600</v>
      </c>
      <c r="M129" s="16">
        <f t="shared" si="12"/>
        <v>18060</v>
      </c>
      <c r="N129" s="15">
        <f t="shared" ref="N129:N160" si="14">SUM(L129:M129)</f>
        <v>198660</v>
      </c>
      <c r="O129" s="5" t="s">
        <v>1666</v>
      </c>
      <c r="P129" s="9" t="s">
        <v>2636</v>
      </c>
      <c r="Q129" s="5">
        <v>45688</v>
      </c>
      <c r="R129" s="213"/>
    </row>
    <row r="130" spans="1:18" ht="16.5" customHeight="1">
      <c r="A130" t="s">
        <v>64</v>
      </c>
      <c r="B130" s="10" t="s">
        <v>876</v>
      </c>
      <c r="C130" s="12" t="s">
        <v>865</v>
      </c>
      <c r="D130" s="13">
        <v>45693</v>
      </c>
      <c r="E130" s="155" t="s">
        <v>2625</v>
      </c>
      <c r="F130" s="155" t="s">
        <v>867</v>
      </c>
      <c r="G130" s="168" t="s">
        <v>7</v>
      </c>
      <c r="H130" s="156" t="s">
        <v>2627</v>
      </c>
      <c r="I130" s="69" t="s">
        <v>979</v>
      </c>
      <c r="J130" s="122">
        <v>1</v>
      </c>
      <c r="K130" s="15">
        <v>180600</v>
      </c>
      <c r="L130" s="16">
        <f t="shared" si="13"/>
        <v>180600</v>
      </c>
      <c r="M130" s="16">
        <f t="shared" si="12"/>
        <v>18060</v>
      </c>
      <c r="N130" s="15">
        <f t="shared" si="14"/>
        <v>198660</v>
      </c>
      <c r="O130" s="5" t="s">
        <v>1666</v>
      </c>
      <c r="P130" s="9" t="s">
        <v>2636</v>
      </c>
      <c r="Q130" s="5">
        <v>45688</v>
      </c>
      <c r="R130" s="213"/>
    </row>
    <row r="131" spans="1:18" ht="16.5" customHeight="1">
      <c r="A131" t="s">
        <v>64</v>
      </c>
      <c r="B131" s="10" t="s">
        <v>876</v>
      </c>
      <c r="C131" s="12" t="s">
        <v>865</v>
      </c>
      <c r="D131" s="13">
        <v>45693</v>
      </c>
      <c r="E131" s="155" t="s">
        <v>2625</v>
      </c>
      <c r="F131" s="155" t="s">
        <v>867</v>
      </c>
      <c r="G131" s="168" t="s">
        <v>7</v>
      </c>
      <c r="H131" s="156" t="s">
        <v>2627</v>
      </c>
      <c r="I131" s="69" t="s">
        <v>980</v>
      </c>
      <c r="J131" s="122">
        <v>1</v>
      </c>
      <c r="K131" s="15">
        <v>180600</v>
      </c>
      <c r="L131" s="16">
        <f t="shared" si="13"/>
        <v>180600</v>
      </c>
      <c r="M131" s="16">
        <f t="shared" si="12"/>
        <v>18060</v>
      </c>
      <c r="N131" s="15">
        <f t="shared" si="14"/>
        <v>198660</v>
      </c>
      <c r="O131" s="5" t="s">
        <v>1666</v>
      </c>
      <c r="P131" s="9" t="s">
        <v>2636</v>
      </c>
      <c r="Q131" s="5">
        <v>45688</v>
      </c>
      <c r="R131" s="213"/>
    </row>
    <row r="132" spans="1:18" ht="16.5" customHeight="1">
      <c r="A132" t="s">
        <v>64</v>
      </c>
      <c r="B132" s="10" t="s">
        <v>876</v>
      </c>
      <c r="C132" s="12" t="s">
        <v>865</v>
      </c>
      <c r="D132" s="13">
        <v>45693</v>
      </c>
      <c r="E132" s="155" t="s">
        <v>2625</v>
      </c>
      <c r="F132" s="155" t="s">
        <v>867</v>
      </c>
      <c r="G132" s="168" t="s">
        <v>7</v>
      </c>
      <c r="H132" s="156" t="s">
        <v>2627</v>
      </c>
      <c r="I132" s="69" t="s">
        <v>981</v>
      </c>
      <c r="J132" s="122">
        <v>1</v>
      </c>
      <c r="K132" s="15">
        <v>180600</v>
      </c>
      <c r="L132" s="16">
        <f t="shared" si="13"/>
        <v>180600</v>
      </c>
      <c r="M132" s="16">
        <f t="shared" si="12"/>
        <v>18060</v>
      </c>
      <c r="N132" s="15">
        <f t="shared" si="14"/>
        <v>198660</v>
      </c>
      <c r="O132" s="5" t="s">
        <v>1666</v>
      </c>
      <c r="P132" s="9" t="s">
        <v>2636</v>
      </c>
      <c r="Q132" s="5">
        <v>45688</v>
      </c>
      <c r="R132" s="213"/>
    </row>
    <row r="133" spans="1:18" ht="16.5" customHeight="1">
      <c r="A133" t="s">
        <v>64</v>
      </c>
      <c r="B133" s="10" t="s">
        <v>876</v>
      </c>
      <c r="C133" s="12" t="s">
        <v>865</v>
      </c>
      <c r="D133" s="13">
        <v>45693</v>
      </c>
      <c r="E133" s="155" t="s">
        <v>2625</v>
      </c>
      <c r="F133" s="155" t="s">
        <v>867</v>
      </c>
      <c r="G133" s="168" t="s">
        <v>7</v>
      </c>
      <c r="H133" s="156" t="s">
        <v>2627</v>
      </c>
      <c r="I133" s="69" t="s">
        <v>982</v>
      </c>
      <c r="J133" s="122">
        <v>1</v>
      </c>
      <c r="K133" s="15">
        <v>180600</v>
      </c>
      <c r="L133" s="16">
        <f t="shared" si="13"/>
        <v>180600</v>
      </c>
      <c r="M133" s="16">
        <f t="shared" si="12"/>
        <v>18060</v>
      </c>
      <c r="N133" s="15">
        <f t="shared" si="14"/>
        <v>198660</v>
      </c>
      <c r="O133" s="5" t="s">
        <v>1666</v>
      </c>
      <c r="P133" s="9" t="s">
        <v>2636</v>
      </c>
      <c r="Q133" s="5">
        <v>45688</v>
      </c>
      <c r="R133" s="213"/>
    </row>
    <row r="134" spans="1:18" ht="16.5" customHeight="1">
      <c r="A134" t="s">
        <v>64</v>
      </c>
      <c r="B134" s="10" t="s">
        <v>876</v>
      </c>
      <c r="C134" s="12" t="s">
        <v>865</v>
      </c>
      <c r="D134" s="13">
        <v>45693</v>
      </c>
      <c r="E134" s="155" t="s">
        <v>2625</v>
      </c>
      <c r="F134" s="155" t="s">
        <v>867</v>
      </c>
      <c r="G134" s="168" t="s">
        <v>7</v>
      </c>
      <c r="H134" s="156" t="s">
        <v>2627</v>
      </c>
      <c r="I134" s="69" t="s">
        <v>983</v>
      </c>
      <c r="J134" s="122">
        <v>1</v>
      </c>
      <c r="K134" s="15">
        <v>180600</v>
      </c>
      <c r="L134" s="16">
        <f t="shared" si="13"/>
        <v>180600</v>
      </c>
      <c r="M134" s="16">
        <f t="shared" si="12"/>
        <v>18060</v>
      </c>
      <c r="N134" s="15">
        <f t="shared" si="14"/>
        <v>198660</v>
      </c>
      <c r="O134" s="5" t="s">
        <v>1666</v>
      </c>
      <c r="P134" s="9" t="s">
        <v>2636</v>
      </c>
      <c r="Q134" s="5">
        <v>45688</v>
      </c>
      <c r="R134" s="213"/>
    </row>
    <row r="135" spans="1:18" ht="16.5" customHeight="1">
      <c r="A135" t="s">
        <v>64</v>
      </c>
      <c r="B135" s="10" t="s">
        <v>873</v>
      </c>
      <c r="C135" s="12" t="s">
        <v>866</v>
      </c>
      <c r="D135" s="13">
        <v>45693</v>
      </c>
      <c r="E135" s="155" t="s">
        <v>2625</v>
      </c>
      <c r="F135" s="155" t="s">
        <v>868</v>
      </c>
      <c r="G135" s="156" t="s">
        <v>16</v>
      </c>
      <c r="H135" s="156" t="s">
        <v>2626</v>
      </c>
      <c r="I135" s="69" t="s">
        <v>869</v>
      </c>
      <c r="J135" s="122">
        <v>1</v>
      </c>
      <c r="K135" s="15">
        <v>14492160</v>
      </c>
      <c r="L135" s="16">
        <f t="shared" si="13"/>
        <v>14492160</v>
      </c>
      <c r="M135" s="16">
        <v>1449216</v>
      </c>
      <c r="N135" s="15">
        <f t="shared" si="14"/>
        <v>15941376</v>
      </c>
      <c r="O135" s="5" t="s">
        <v>1666</v>
      </c>
      <c r="P135" s="9" t="s">
        <v>2636</v>
      </c>
      <c r="Q135" s="5">
        <v>45693</v>
      </c>
      <c r="R135" s="213"/>
    </row>
    <row r="136" spans="1:18" ht="16.5" customHeight="1">
      <c r="A136" t="s">
        <v>64</v>
      </c>
      <c r="B136" s="10" t="s">
        <v>872</v>
      </c>
      <c r="C136" s="12" t="s">
        <v>862</v>
      </c>
      <c r="D136" s="13">
        <v>45695</v>
      </c>
      <c r="E136" s="155" t="s">
        <v>2625</v>
      </c>
      <c r="F136" s="155" t="s">
        <v>870</v>
      </c>
      <c r="G136" s="156" t="s">
        <v>863</v>
      </c>
      <c r="H136" s="156" t="s">
        <v>2626</v>
      </c>
      <c r="I136" s="69" t="s">
        <v>871</v>
      </c>
      <c r="J136" s="122">
        <v>1</v>
      </c>
      <c r="K136" s="15">
        <v>30435093</v>
      </c>
      <c r="L136" s="16">
        <f t="shared" si="13"/>
        <v>30435093</v>
      </c>
      <c r="M136" s="16">
        <v>3043509</v>
      </c>
      <c r="N136" s="15">
        <f t="shared" si="14"/>
        <v>33478602</v>
      </c>
      <c r="O136" s="5" t="s">
        <v>1671</v>
      </c>
      <c r="P136" s="9" t="s">
        <v>2636</v>
      </c>
      <c r="Q136" s="5">
        <v>45694</v>
      </c>
      <c r="R136" s="213"/>
    </row>
    <row r="137" spans="1:18" ht="16.5" customHeight="1">
      <c r="A137" t="s">
        <v>64</v>
      </c>
      <c r="B137" s="10" t="s">
        <v>930</v>
      </c>
      <c r="C137" s="12" t="s">
        <v>898</v>
      </c>
      <c r="D137" s="13">
        <v>45698</v>
      </c>
      <c r="E137" s="155" t="s">
        <v>2625</v>
      </c>
      <c r="F137" s="155" t="s">
        <v>899</v>
      </c>
      <c r="G137" s="168" t="s">
        <v>7</v>
      </c>
      <c r="H137" s="156" t="s">
        <v>2627</v>
      </c>
      <c r="I137" s="69" t="s">
        <v>901</v>
      </c>
      <c r="J137" s="122">
        <v>1</v>
      </c>
      <c r="K137" s="15">
        <v>24090</v>
      </c>
      <c r="L137" s="16">
        <f t="shared" si="13"/>
        <v>24090</v>
      </c>
      <c r="M137" s="16">
        <f t="shared" si="12"/>
        <v>2409</v>
      </c>
      <c r="N137" s="15">
        <f t="shared" si="14"/>
        <v>26499</v>
      </c>
      <c r="O137" s="5" t="s">
        <v>1703</v>
      </c>
      <c r="P137" s="9" t="s">
        <v>2636</v>
      </c>
      <c r="Q137" s="5">
        <v>45700</v>
      </c>
      <c r="R137" s="213" t="s">
        <v>900</v>
      </c>
    </row>
    <row r="138" spans="1:18" ht="16.5" customHeight="1">
      <c r="A138" t="s">
        <v>64</v>
      </c>
      <c r="B138" s="10" t="s">
        <v>930</v>
      </c>
      <c r="C138" s="12" t="s">
        <v>898</v>
      </c>
      <c r="D138" s="13">
        <v>45698</v>
      </c>
      <c r="E138" s="155" t="s">
        <v>2625</v>
      </c>
      <c r="F138" s="155" t="s">
        <v>899</v>
      </c>
      <c r="G138" s="168" t="s">
        <v>7</v>
      </c>
      <c r="H138" s="156" t="s">
        <v>2627</v>
      </c>
      <c r="I138" s="69" t="s">
        <v>902</v>
      </c>
      <c r="J138" s="122">
        <v>1</v>
      </c>
      <c r="K138" s="15">
        <v>65700</v>
      </c>
      <c r="L138" s="16">
        <f t="shared" si="13"/>
        <v>65700</v>
      </c>
      <c r="M138" s="16">
        <f t="shared" si="12"/>
        <v>6570</v>
      </c>
      <c r="N138" s="15">
        <f t="shared" si="14"/>
        <v>72270</v>
      </c>
      <c r="O138" s="5" t="s">
        <v>1703</v>
      </c>
      <c r="P138" s="9" t="s">
        <v>2636</v>
      </c>
      <c r="Q138" s="5">
        <v>45700</v>
      </c>
      <c r="R138" s="213" t="s">
        <v>900</v>
      </c>
    </row>
    <row r="139" spans="1:18" ht="16.5" customHeight="1">
      <c r="A139" t="s">
        <v>64</v>
      </c>
      <c r="B139" s="10" t="s">
        <v>930</v>
      </c>
      <c r="C139" s="12" t="s">
        <v>898</v>
      </c>
      <c r="D139" s="13">
        <v>45698</v>
      </c>
      <c r="E139" s="155" t="s">
        <v>2625</v>
      </c>
      <c r="F139" s="155" t="s">
        <v>899</v>
      </c>
      <c r="G139" s="168" t="s">
        <v>7</v>
      </c>
      <c r="H139" s="156" t="s">
        <v>2627</v>
      </c>
      <c r="I139" s="69" t="s">
        <v>903</v>
      </c>
      <c r="J139" s="122">
        <v>1</v>
      </c>
      <c r="K139" s="15">
        <v>65700</v>
      </c>
      <c r="L139" s="16">
        <f t="shared" si="13"/>
        <v>65700</v>
      </c>
      <c r="M139" s="16">
        <f t="shared" si="12"/>
        <v>6570</v>
      </c>
      <c r="N139" s="15">
        <f t="shared" si="14"/>
        <v>72270</v>
      </c>
      <c r="O139" s="5" t="s">
        <v>1703</v>
      </c>
      <c r="P139" s="9" t="s">
        <v>2636</v>
      </c>
      <c r="Q139" s="5">
        <v>45700</v>
      </c>
      <c r="R139" s="213" t="s">
        <v>900</v>
      </c>
    </row>
    <row r="140" spans="1:18" ht="16.5" customHeight="1">
      <c r="A140" t="s">
        <v>64</v>
      </c>
      <c r="B140" s="10" t="s">
        <v>930</v>
      </c>
      <c r="C140" s="12" t="s">
        <v>898</v>
      </c>
      <c r="D140" s="13">
        <v>45698</v>
      </c>
      <c r="E140" s="155" t="s">
        <v>2625</v>
      </c>
      <c r="F140" s="155" t="s">
        <v>899</v>
      </c>
      <c r="G140" s="168" t="s">
        <v>7</v>
      </c>
      <c r="H140" s="156" t="s">
        <v>2627</v>
      </c>
      <c r="I140" s="69" t="s">
        <v>904</v>
      </c>
      <c r="J140" s="122">
        <v>1</v>
      </c>
      <c r="K140" s="15">
        <v>65700</v>
      </c>
      <c r="L140" s="16">
        <f t="shared" si="13"/>
        <v>65700</v>
      </c>
      <c r="M140" s="16">
        <f t="shared" si="12"/>
        <v>6570</v>
      </c>
      <c r="N140" s="15">
        <f t="shared" si="14"/>
        <v>72270</v>
      </c>
      <c r="O140" s="5" t="s">
        <v>1703</v>
      </c>
      <c r="P140" s="9" t="s">
        <v>2636</v>
      </c>
      <c r="Q140" s="5">
        <v>45700</v>
      </c>
      <c r="R140" s="213" t="s">
        <v>900</v>
      </c>
    </row>
    <row r="141" spans="1:18" ht="16.5" customHeight="1">
      <c r="A141" t="s">
        <v>64</v>
      </c>
      <c r="B141" s="10" t="s">
        <v>930</v>
      </c>
      <c r="C141" s="12" t="s">
        <v>898</v>
      </c>
      <c r="D141" s="13">
        <v>45698</v>
      </c>
      <c r="E141" s="155" t="s">
        <v>2625</v>
      </c>
      <c r="F141" s="155" t="s">
        <v>899</v>
      </c>
      <c r="G141" s="168" t="s">
        <v>7</v>
      </c>
      <c r="H141" s="156" t="s">
        <v>2627</v>
      </c>
      <c r="I141" s="69" t="s">
        <v>905</v>
      </c>
      <c r="J141" s="122">
        <v>1</v>
      </c>
      <c r="K141" s="15">
        <v>65700</v>
      </c>
      <c r="L141" s="16">
        <f t="shared" si="13"/>
        <v>65700</v>
      </c>
      <c r="M141" s="16">
        <f t="shared" si="12"/>
        <v>6570</v>
      </c>
      <c r="N141" s="15">
        <f t="shared" si="14"/>
        <v>72270</v>
      </c>
      <c r="O141" s="5" t="s">
        <v>1703</v>
      </c>
      <c r="P141" s="9" t="s">
        <v>2636</v>
      </c>
      <c r="Q141" s="5">
        <v>45700</v>
      </c>
      <c r="R141" s="213" t="s">
        <v>900</v>
      </c>
    </row>
    <row r="142" spans="1:18" ht="16.5" customHeight="1">
      <c r="A142" t="s">
        <v>64</v>
      </c>
      <c r="B142" s="10" t="s">
        <v>930</v>
      </c>
      <c r="C142" s="12" t="s">
        <v>898</v>
      </c>
      <c r="D142" s="13">
        <v>45698</v>
      </c>
      <c r="E142" s="155" t="s">
        <v>2625</v>
      </c>
      <c r="F142" s="155" t="s">
        <v>899</v>
      </c>
      <c r="G142" s="168" t="s">
        <v>7</v>
      </c>
      <c r="H142" s="156" t="s">
        <v>2627</v>
      </c>
      <c r="I142" s="69" t="s">
        <v>906</v>
      </c>
      <c r="J142" s="122">
        <v>1</v>
      </c>
      <c r="K142" s="15">
        <v>65700</v>
      </c>
      <c r="L142" s="16">
        <f t="shared" si="13"/>
        <v>65700</v>
      </c>
      <c r="M142" s="16">
        <f t="shared" si="12"/>
        <v>6570</v>
      </c>
      <c r="N142" s="15">
        <f t="shared" si="14"/>
        <v>72270</v>
      </c>
      <c r="O142" s="5" t="s">
        <v>1703</v>
      </c>
      <c r="P142" s="9" t="s">
        <v>2636</v>
      </c>
      <c r="Q142" s="5">
        <v>45700</v>
      </c>
      <c r="R142" s="213" t="s">
        <v>900</v>
      </c>
    </row>
    <row r="143" spans="1:18" ht="16.5" customHeight="1">
      <c r="A143" t="s">
        <v>64</v>
      </c>
      <c r="B143" s="10" t="s">
        <v>930</v>
      </c>
      <c r="C143" s="12" t="s">
        <v>898</v>
      </c>
      <c r="D143" s="13">
        <v>45698</v>
      </c>
      <c r="E143" s="155" t="s">
        <v>2625</v>
      </c>
      <c r="F143" s="155" t="s">
        <v>899</v>
      </c>
      <c r="G143" s="168" t="s">
        <v>7</v>
      </c>
      <c r="H143" s="156" t="s">
        <v>2627</v>
      </c>
      <c r="I143" s="69" t="s">
        <v>907</v>
      </c>
      <c r="J143" s="122">
        <v>1</v>
      </c>
      <c r="K143" s="15">
        <v>65700</v>
      </c>
      <c r="L143" s="16">
        <f t="shared" si="13"/>
        <v>65700</v>
      </c>
      <c r="M143" s="16">
        <f t="shared" si="12"/>
        <v>6570</v>
      </c>
      <c r="N143" s="15">
        <f t="shared" si="14"/>
        <v>72270</v>
      </c>
      <c r="O143" s="5" t="s">
        <v>1703</v>
      </c>
      <c r="P143" s="9" t="s">
        <v>2636</v>
      </c>
      <c r="Q143" s="5">
        <v>45700</v>
      </c>
      <c r="R143" s="213" t="s">
        <v>900</v>
      </c>
    </row>
    <row r="144" spans="1:18" ht="16.5" customHeight="1">
      <c r="A144" t="s">
        <v>64</v>
      </c>
      <c r="B144" s="10" t="s">
        <v>930</v>
      </c>
      <c r="C144" s="12" t="s">
        <v>898</v>
      </c>
      <c r="D144" s="13">
        <v>45698</v>
      </c>
      <c r="E144" s="155" t="s">
        <v>2625</v>
      </c>
      <c r="F144" s="155" t="s">
        <v>899</v>
      </c>
      <c r="G144" s="168" t="s">
        <v>7</v>
      </c>
      <c r="H144" s="156" t="s">
        <v>2627</v>
      </c>
      <c r="I144" s="69" t="s">
        <v>908</v>
      </c>
      <c r="J144" s="122">
        <v>1</v>
      </c>
      <c r="K144" s="15">
        <v>65700</v>
      </c>
      <c r="L144" s="16">
        <f t="shared" si="13"/>
        <v>65700</v>
      </c>
      <c r="M144" s="16">
        <f t="shared" si="12"/>
        <v>6570</v>
      </c>
      <c r="N144" s="15">
        <f t="shared" si="14"/>
        <v>72270</v>
      </c>
      <c r="O144" s="5" t="s">
        <v>1703</v>
      </c>
      <c r="P144" s="9" t="s">
        <v>2636</v>
      </c>
      <c r="Q144" s="5">
        <v>45700</v>
      </c>
      <c r="R144" s="213" t="s">
        <v>900</v>
      </c>
    </row>
    <row r="145" spans="1:22" ht="16.5" customHeight="1">
      <c r="A145" t="s">
        <v>64</v>
      </c>
      <c r="B145" s="10" t="s">
        <v>930</v>
      </c>
      <c r="C145" s="12" t="s">
        <v>898</v>
      </c>
      <c r="D145" s="13">
        <v>45698</v>
      </c>
      <c r="E145" s="155" t="s">
        <v>2625</v>
      </c>
      <c r="F145" s="155" t="s">
        <v>899</v>
      </c>
      <c r="G145" s="168" t="s">
        <v>7</v>
      </c>
      <c r="H145" s="156" t="s">
        <v>2627</v>
      </c>
      <c r="I145" s="69" t="s">
        <v>909</v>
      </c>
      <c r="J145" s="122">
        <v>1</v>
      </c>
      <c r="K145" s="15">
        <v>65700</v>
      </c>
      <c r="L145" s="16">
        <f t="shared" si="13"/>
        <v>65700</v>
      </c>
      <c r="M145" s="16">
        <f t="shared" si="12"/>
        <v>6570</v>
      </c>
      <c r="N145" s="15">
        <f t="shared" si="14"/>
        <v>72270</v>
      </c>
      <c r="O145" s="5" t="s">
        <v>1703</v>
      </c>
      <c r="P145" s="9" t="s">
        <v>2636</v>
      </c>
      <c r="Q145" s="5">
        <v>45700</v>
      </c>
      <c r="R145" s="213" t="s">
        <v>900</v>
      </c>
    </row>
    <row r="146" spans="1:22" ht="16.5" customHeight="1">
      <c r="A146" t="s">
        <v>64</v>
      </c>
      <c r="B146" s="10" t="s">
        <v>930</v>
      </c>
      <c r="C146" s="12" t="s">
        <v>898</v>
      </c>
      <c r="D146" s="13">
        <v>45698</v>
      </c>
      <c r="E146" s="155" t="s">
        <v>2625</v>
      </c>
      <c r="F146" s="155" t="s">
        <v>899</v>
      </c>
      <c r="G146" s="168" t="s">
        <v>7</v>
      </c>
      <c r="H146" s="156" t="s">
        <v>2627</v>
      </c>
      <c r="I146" s="69" t="s">
        <v>910</v>
      </c>
      <c r="J146" s="122">
        <v>1</v>
      </c>
      <c r="K146" s="15">
        <v>65700</v>
      </c>
      <c r="L146" s="16">
        <f t="shared" si="13"/>
        <v>65700</v>
      </c>
      <c r="M146" s="16">
        <f t="shared" si="12"/>
        <v>6570</v>
      </c>
      <c r="N146" s="15">
        <f t="shared" si="14"/>
        <v>72270</v>
      </c>
      <c r="O146" s="5" t="s">
        <v>1703</v>
      </c>
      <c r="P146" s="9" t="s">
        <v>2636</v>
      </c>
      <c r="Q146" s="5">
        <v>45700</v>
      </c>
      <c r="R146" s="213" t="s">
        <v>900</v>
      </c>
    </row>
    <row r="147" spans="1:22" ht="16.5" customHeight="1">
      <c r="A147" t="s">
        <v>64</v>
      </c>
      <c r="B147" s="10" t="s">
        <v>930</v>
      </c>
      <c r="C147" s="12" t="s">
        <v>898</v>
      </c>
      <c r="D147" s="13">
        <v>45698</v>
      </c>
      <c r="E147" s="155" t="s">
        <v>2625</v>
      </c>
      <c r="F147" s="155" t="s">
        <v>899</v>
      </c>
      <c r="G147" s="168" t="s">
        <v>7</v>
      </c>
      <c r="H147" s="156" t="s">
        <v>2627</v>
      </c>
      <c r="I147" s="69" t="s">
        <v>911</v>
      </c>
      <c r="J147" s="122">
        <v>1</v>
      </c>
      <c r="K147" s="15">
        <v>65700</v>
      </c>
      <c r="L147" s="16">
        <f t="shared" si="13"/>
        <v>65700</v>
      </c>
      <c r="M147" s="16">
        <f t="shared" si="12"/>
        <v>6570</v>
      </c>
      <c r="N147" s="15">
        <f t="shared" si="14"/>
        <v>72270</v>
      </c>
      <c r="O147" s="5" t="s">
        <v>1703</v>
      </c>
      <c r="P147" s="9" t="s">
        <v>2636</v>
      </c>
      <c r="Q147" s="5">
        <v>45700</v>
      </c>
      <c r="R147" s="213" t="s">
        <v>900</v>
      </c>
    </row>
    <row r="148" spans="1:22" ht="16.5" customHeight="1">
      <c r="A148" t="s">
        <v>64</v>
      </c>
      <c r="B148" s="10" t="s">
        <v>930</v>
      </c>
      <c r="C148" s="12" t="s">
        <v>898</v>
      </c>
      <c r="D148" s="13">
        <v>45698</v>
      </c>
      <c r="E148" s="155" t="s">
        <v>2625</v>
      </c>
      <c r="F148" s="155" t="s">
        <v>899</v>
      </c>
      <c r="G148" s="168" t="s">
        <v>7</v>
      </c>
      <c r="H148" s="156" t="s">
        <v>2627</v>
      </c>
      <c r="I148" s="69" t="s">
        <v>913</v>
      </c>
      <c r="J148" s="122">
        <v>1</v>
      </c>
      <c r="K148" s="15">
        <v>65700</v>
      </c>
      <c r="L148" s="16">
        <f t="shared" si="13"/>
        <v>65700</v>
      </c>
      <c r="M148" s="16">
        <f t="shared" si="12"/>
        <v>6570</v>
      </c>
      <c r="N148" s="15">
        <f t="shared" si="14"/>
        <v>72270</v>
      </c>
      <c r="O148" s="5" t="s">
        <v>1703</v>
      </c>
      <c r="P148" s="9" t="s">
        <v>2636</v>
      </c>
      <c r="Q148" s="5">
        <v>45700</v>
      </c>
      <c r="R148" s="213" t="s">
        <v>900</v>
      </c>
    </row>
    <row r="149" spans="1:22" ht="16.5" customHeight="1">
      <c r="A149" t="s">
        <v>64</v>
      </c>
      <c r="B149" s="10" t="s">
        <v>930</v>
      </c>
      <c r="C149" s="12" t="s">
        <v>898</v>
      </c>
      <c r="D149" s="13">
        <v>45698</v>
      </c>
      <c r="E149" s="155" t="s">
        <v>2625</v>
      </c>
      <c r="F149" s="155" t="s">
        <v>899</v>
      </c>
      <c r="G149" s="168" t="s">
        <v>7</v>
      </c>
      <c r="H149" s="156" t="s">
        <v>2627</v>
      </c>
      <c r="I149" s="69" t="s">
        <v>912</v>
      </c>
      <c r="J149" s="122">
        <v>1</v>
      </c>
      <c r="K149" s="15">
        <v>65700</v>
      </c>
      <c r="L149" s="16">
        <f t="shared" si="13"/>
        <v>65700</v>
      </c>
      <c r="M149" s="16">
        <f t="shared" si="12"/>
        <v>6570</v>
      </c>
      <c r="N149" s="15">
        <f t="shared" si="14"/>
        <v>72270</v>
      </c>
      <c r="O149" s="5" t="s">
        <v>1703</v>
      </c>
      <c r="P149" s="9" t="s">
        <v>2636</v>
      </c>
      <c r="Q149" s="5">
        <v>45700</v>
      </c>
      <c r="R149" s="213" t="s">
        <v>900</v>
      </c>
    </row>
    <row r="150" spans="1:22" ht="16.5" customHeight="1">
      <c r="A150" t="s">
        <v>64</v>
      </c>
      <c r="B150" s="10" t="s">
        <v>929</v>
      </c>
      <c r="C150" s="12" t="s">
        <v>1034</v>
      </c>
      <c r="D150" s="13">
        <v>45699</v>
      </c>
      <c r="E150" s="155" t="s">
        <v>2625</v>
      </c>
      <c r="F150" s="155" t="s">
        <v>915</v>
      </c>
      <c r="G150" s="156" t="s">
        <v>16</v>
      </c>
      <c r="H150" s="156" t="s">
        <v>2626</v>
      </c>
      <c r="I150" s="69" t="s">
        <v>914</v>
      </c>
      <c r="J150" s="122">
        <v>1</v>
      </c>
      <c r="K150" s="15">
        <v>1900080</v>
      </c>
      <c r="L150" s="16">
        <f t="shared" si="13"/>
        <v>1900080</v>
      </c>
      <c r="M150" s="16">
        <v>190008</v>
      </c>
      <c r="N150" s="15">
        <f t="shared" si="14"/>
        <v>2090088</v>
      </c>
      <c r="O150" s="5" t="s">
        <v>1714</v>
      </c>
      <c r="P150" s="9" t="s">
        <v>2636</v>
      </c>
      <c r="Q150" s="5">
        <v>45716</v>
      </c>
      <c r="R150" s="213"/>
    </row>
    <row r="151" spans="1:22" ht="16.5" customHeight="1">
      <c r="A151" t="s">
        <v>64</v>
      </c>
      <c r="B151" s="10" t="s">
        <v>1052</v>
      </c>
      <c r="C151" s="12" t="s">
        <v>985</v>
      </c>
      <c r="D151" s="13">
        <v>45705</v>
      </c>
      <c r="E151" s="155" t="s">
        <v>2625</v>
      </c>
      <c r="F151" s="155" t="s">
        <v>2629</v>
      </c>
      <c r="G151" s="168" t="s">
        <v>7</v>
      </c>
      <c r="H151" s="156" t="s">
        <v>2627</v>
      </c>
      <c r="I151" s="69" t="s">
        <v>986</v>
      </c>
      <c r="J151" s="122">
        <v>1</v>
      </c>
      <c r="K151" s="15">
        <v>496800</v>
      </c>
      <c r="L151" s="16">
        <f t="shared" si="13"/>
        <v>496800</v>
      </c>
      <c r="M151" s="16">
        <f t="shared" si="12"/>
        <v>49680</v>
      </c>
      <c r="N151" s="15">
        <f t="shared" si="14"/>
        <v>546480</v>
      </c>
      <c r="O151" s="5" t="s">
        <v>1723</v>
      </c>
      <c r="P151" s="9" t="s">
        <v>2636</v>
      </c>
      <c r="Q151" s="5">
        <v>45716</v>
      </c>
      <c r="R151" s="213"/>
    </row>
    <row r="152" spans="1:22" ht="16.5" customHeight="1">
      <c r="A152" t="s">
        <v>64</v>
      </c>
      <c r="B152" s="10" t="s">
        <v>104</v>
      </c>
      <c r="C152" s="12" t="s">
        <v>458</v>
      </c>
      <c r="D152" s="13">
        <v>45705</v>
      </c>
      <c r="E152" s="155" t="s">
        <v>2625</v>
      </c>
      <c r="F152" s="155" t="s">
        <v>2629</v>
      </c>
      <c r="G152" s="156" t="s">
        <v>41</v>
      </c>
      <c r="H152" s="156" t="s">
        <v>214</v>
      </c>
      <c r="I152" s="69" t="s">
        <v>993</v>
      </c>
      <c r="J152" s="122">
        <v>1</v>
      </c>
      <c r="K152" s="16">
        <v>910700</v>
      </c>
      <c r="L152" s="16">
        <f t="shared" si="13"/>
        <v>910700</v>
      </c>
      <c r="M152" s="16">
        <f t="shared" si="12"/>
        <v>91070</v>
      </c>
      <c r="N152" s="15">
        <f t="shared" si="14"/>
        <v>1001770</v>
      </c>
      <c r="O152" s="5" t="s">
        <v>1723</v>
      </c>
      <c r="P152" s="9" t="s">
        <v>2636</v>
      </c>
      <c r="Q152" s="5">
        <v>45595</v>
      </c>
      <c r="R152" s="209" t="s">
        <v>994</v>
      </c>
    </row>
    <row r="153" spans="1:22" ht="16.5" customHeight="1">
      <c r="A153" t="s">
        <v>64</v>
      </c>
      <c r="B153" s="10" t="s">
        <v>1014</v>
      </c>
      <c r="C153" s="12" t="s">
        <v>1035</v>
      </c>
      <c r="D153" s="13">
        <v>45707</v>
      </c>
      <c r="E153" s="155" t="s">
        <v>2625</v>
      </c>
      <c r="F153" s="155" t="s">
        <v>247</v>
      </c>
      <c r="G153" s="156" t="s">
        <v>1015</v>
      </c>
      <c r="H153" s="156" t="s">
        <v>2626</v>
      </c>
      <c r="I153" s="69" t="s">
        <v>1016</v>
      </c>
      <c r="J153" s="122">
        <v>1</v>
      </c>
      <c r="K153" s="15">
        <v>6111828</v>
      </c>
      <c r="L153" s="16">
        <f t="shared" si="13"/>
        <v>6111828</v>
      </c>
      <c r="M153" s="16">
        <v>611182</v>
      </c>
      <c r="N153" s="15">
        <f t="shared" si="14"/>
        <v>6723010</v>
      </c>
      <c r="O153" s="5" t="s">
        <v>1726</v>
      </c>
      <c r="P153" s="9" t="s">
        <v>2636</v>
      </c>
      <c r="Q153" s="5">
        <v>45712</v>
      </c>
      <c r="R153" s="213"/>
    </row>
    <row r="154" spans="1:22" ht="16.5" customHeight="1">
      <c r="A154" t="s">
        <v>64</v>
      </c>
      <c r="B154" s="10" t="s">
        <v>1256</v>
      </c>
      <c r="C154" s="12" t="s">
        <v>1032</v>
      </c>
      <c r="D154" s="13">
        <v>45709</v>
      </c>
      <c r="E154" s="155" t="s">
        <v>2625</v>
      </c>
      <c r="F154" s="155" t="s">
        <v>243</v>
      </c>
      <c r="G154" s="156" t="s">
        <v>16</v>
      </c>
      <c r="H154" s="156" t="s">
        <v>2626</v>
      </c>
      <c r="I154" s="69" t="s">
        <v>1033</v>
      </c>
      <c r="J154" s="122">
        <v>2</v>
      </c>
      <c r="K154" s="15">
        <v>1312160</v>
      </c>
      <c r="L154" s="16">
        <f t="shared" si="13"/>
        <v>2624320</v>
      </c>
      <c r="M154" s="16">
        <v>262432</v>
      </c>
      <c r="N154" s="15">
        <f t="shared" si="14"/>
        <v>2886752</v>
      </c>
      <c r="O154" s="5" t="s">
        <v>1746</v>
      </c>
      <c r="P154" s="9" t="s">
        <v>2636</v>
      </c>
      <c r="Q154" s="5">
        <v>45716</v>
      </c>
      <c r="R154" s="213"/>
    </row>
    <row r="155" spans="1:22" ht="16.5" customHeight="1">
      <c r="A155" t="s">
        <v>64</v>
      </c>
      <c r="B155" s="10" t="s">
        <v>144</v>
      </c>
      <c r="C155" s="12" t="s">
        <v>459</v>
      </c>
      <c r="D155" s="13">
        <v>45712</v>
      </c>
      <c r="E155" s="155" t="s">
        <v>2625</v>
      </c>
      <c r="F155" s="155" t="s">
        <v>215</v>
      </c>
      <c r="G155" s="156" t="s">
        <v>41</v>
      </c>
      <c r="H155" s="156" t="s">
        <v>214</v>
      </c>
      <c r="I155" s="69" t="s">
        <v>1044</v>
      </c>
      <c r="J155" s="122">
        <v>1</v>
      </c>
      <c r="K155" s="15">
        <v>1666322</v>
      </c>
      <c r="L155" s="16">
        <f t="shared" si="13"/>
        <v>1666322</v>
      </c>
      <c r="M155" s="16">
        <v>166632</v>
      </c>
      <c r="N155" s="15">
        <f t="shared" si="14"/>
        <v>1832954</v>
      </c>
      <c r="O155" s="5" t="s">
        <v>1782</v>
      </c>
      <c r="P155" s="9" t="s">
        <v>2636</v>
      </c>
      <c r="Q155" s="182" t="s">
        <v>215</v>
      </c>
      <c r="R155" s="209"/>
      <c r="U155" s="11"/>
    </row>
    <row r="156" spans="1:22" ht="16.5" customHeight="1">
      <c r="A156" t="s">
        <v>64</v>
      </c>
      <c r="B156" s="10" t="s">
        <v>1046</v>
      </c>
      <c r="C156" s="12" t="s">
        <v>1045</v>
      </c>
      <c r="D156" s="13">
        <v>45712</v>
      </c>
      <c r="E156" s="155" t="s">
        <v>2625</v>
      </c>
      <c r="F156" s="155" t="s">
        <v>221</v>
      </c>
      <c r="G156" s="156" t="s">
        <v>16</v>
      </c>
      <c r="H156" s="156" t="s">
        <v>2626</v>
      </c>
      <c r="I156" s="69" t="s">
        <v>1631</v>
      </c>
      <c r="J156" s="122">
        <v>4</v>
      </c>
      <c r="K156" s="15">
        <v>1542400</v>
      </c>
      <c r="L156" s="16">
        <f t="shared" si="13"/>
        <v>6169600</v>
      </c>
      <c r="M156" s="16">
        <f t="shared" ref="M156:M164" si="15">L156*10%</f>
        <v>616960</v>
      </c>
      <c r="N156" s="15">
        <f t="shared" si="14"/>
        <v>6786560</v>
      </c>
      <c r="O156" s="5" t="s">
        <v>1782</v>
      </c>
      <c r="P156" s="9" t="s">
        <v>2636</v>
      </c>
      <c r="Q156" s="5">
        <v>45687</v>
      </c>
      <c r="R156" s="213"/>
    </row>
    <row r="157" spans="1:22" ht="16.5" customHeight="1">
      <c r="A157" t="s">
        <v>64</v>
      </c>
      <c r="B157" s="10" t="s">
        <v>1250</v>
      </c>
      <c r="C157" s="12" t="s">
        <v>1063</v>
      </c>
      <c r="D157" s="13">
        <v>45715</v>
      </c>
      <c r="E157" s="155" t="s">
        <v>2625</v>
      </c>
      <c r="F157" s="155" t="s">
        <v>236</v>
      </c>
      <c r="G157" s="168" t="s">
        <v>7</v>
      </c>
      <c r="H157" s="156" t="s">
        <v>2627</v>
      </c>
      <c r="I157" s="69" t="s">
        <v>1138</v>
      </c>
      <c r="J157" s="122">
        <v>1</v>
      </c>
      <c r="K157" s="15">
        <v>1515900</v>
      </c>
      <c r="L157" s="16">
        <f t="shared" si="13"/>
        <v>1515900</v>
      </c>
      <c r="M157" s="16">
        <f t="shared" si="15"/>
        <v>151590</v>
      </c>
      <c r="N157" s="15">
        <f t="shared" si="14"/>
        <v>1667490</v>
      </c>
      <c r="O157" s="5" t="s">
        <v>1827</v>
      </c>
      <c r="P157" s="9" t="s">
        <v>2636</v>
      </c>
      <c r="Q157" s="5">
        <v>45716</v>
      </c>
      <c r="R157" s="213"/>
    </row>
    <row r="158" spans="1:22" ht="16.5" customHeight="1">
      <c r="A158" t="s">
        <v>64</v>
      </c>
      <c r="B158" s="10" t="s">
        <v>232</v>
      </c>
      <c r="C158" s="12" t="s">
        <v>233</v>
      </c>
      <c r="D158" s="13">
        <v>45716</v>
      </c>
      <c r="E158" s="155" t="s">
        <v>2625</v>
      </c>
      <c r="F158" s="163" t="s">
        <v>234</v>
      </c>
      <c r="G158" s="168" t="s">
        <v>7</v>
      </c>
      <c r="H158" s="156" t="s">
        <v>2627</v>
      </c>
      <c r="I158" s="69" t="s">
        <v>1117</v>
      </c>
      <c r="J158" s="122">
        <v>1</v>
      </c>
      <c r="K158" s="15">
        <v>58800</v>
      </c>
      <c r="L158" s="16">
        <f t="shared" si="13"/>
        <v>58800</v>
      </c>
      <c r="M158" s="15">
        <f t="shared" si="15"/>
        <v>5880</v>
      </c>
      <c r="N158" s="15">
        <f t="shared" si="14"/>
        <v>64680</v>
      </c>
      <c r="O158" s="5" t="s">
        <v>1842</v>
      </c>
      <c r="P158" s="9" t="s">
        <v>2636</v>
      </c>
      <c r="Q158" s="5">
        <v>45658</v>
      </c>
      <c r="R158" s="209" t="s">
        <v>147</v>
      </c>
      <c r="U158" s="11"/>
      <c r="V158" s="8"/>
    </row>
    <row r="159" spans="1:22" ht="16.5" customHeight="1">
      <c r="A159" t="s">
        <v>64</v>
      </c>
      <c r="B159" s="10" t="s">
        <v>461</v>
      </c>
      <c r="C159" s="12" t="s">
        <v>238</v>
      </c>
      <c r="D159" s="13">
        <v>45716</v>
      </c>
      <c r="E159" s="155" t="s">
        <v>2625</v>
      </c>
      <c r="F159" s="155" t="s">
        <v>239</v>
      </c>
      <c r="G159" s="168" t="s">
        <v>7</v>
      </c>
      <c r="H159" s="156" t="s">
        <v>2627</v>
      </c>
      <c r="I159" s="69" t="s">
        <v>1116</v>
      </c>
      <c r="J159" s="122">
        <v>1</v>
      </c>
      <c r="K159" s="15">
        <v>115800</v>
      </c>
      <c r="L159" s="16">
        <f t="shared" si="13"/>
        <v>115800</v>
      </c>
      <c r="M159" s="15">
        <f t="shared" si="15"/>
        <v>11580</v>
      </c>
      <c r="N159" s="15">
        <f t="shared" si="14"/>
        <v>127380</v>
      </c>
      <c r="O159" s="5" t="s">
        <v>1842</v>
      </c>
      <c r="P159" s="9" t="s">
        <v>2636</v>
      </c>
      <c r="Q159" s="5">
        <v>45747</v>
      </c>
      <c r="R159" s="209" t="s">
        <v>147</v>
      </c>
      <c r="U159" s="11"/>
      <c r="V159" s="8"/>
    </row>
    <row r="160" spans="1:22" ht="16.5" customHeight="1">
      <c r="A160" t="s">
        <v>64</v>
      </c>
      <c r="B160" s="10" t="s">
        <v>260</v>
      </c>
      <c r="C160" s="12" t="s">
        <v>261</v>
      </c>
      <c r="D160" s="13">
        <v>45716</v>
      </c>
      <c r="E160" s="155" t="s">
        <v>2625</v>
      </c>
      <c r="F160" s="155" t="s">
        <v>250</v>
      </c>
      <c r="G160" s="168" t="s">
        <v>7</v>
      </c>
      <c r="H160" s="156" t="s">
        <v>2627</v>
      </c>
      <c r="I160" s="69" t="s">
        <v>1123</v>
      </c>
      <c r="J160" s="122">
        <v>1</v>
      </c>
      <c r="K160" s="15">
        <v>9980400</v>
      </c>
      <c r="L160" s="16">
        <f t="shared" si="13"/>
        <v>9980400</v>
      </c>
      <c r="M160" s="15">
        <f t="shared" si="15"/>
        <v>998040</v>
      </c>
      <c r="N160" s="15">
        <f t="shared" si="14"/>
        <v>10978440</v>
      </c>
      <c r="O160" s="5" t="s">
        <v>1842</v>
      </c>
      <c r="P160" s="9" t="s">
        <v>2636</v>
      </c>
      <c r="Q160" s="5">
        <v>45716</v>
      </c>
      <c r="R160" s="209"/>
      <c r="U160" s="11"/>
      <c r="V160" s="8"/>
    </row>
    <row r="161" spans="1:22" ht="16.5" customHeight="1">
      <c r="A161" t="s">
        <v>64</v>
      </c>
      <c r="B161" s="10" t="s">
        <v>245</v>
      </c>
      <c r="C161" s="12" t="s">
        <v>246</v>
      </c>
      <c r="D161" s="13">
        <v>45716</v>
      </c>
      <c r="E161" s="155" t="s">
        <v>2625</v>
      </c>
      <c r="F161" s="155" t="s">
        <v>247</v>
      </c>
      <c r="G161" s="156" t="s">
        <v>7</v>
      </c>
      <c r="H161" s="156" t="s">
        <v>2627</v>
      </c>
      <c r="I161" s="69" t="s">
        <v>1114</v>
      </c>
      <c r="J161" s="122">
        <v>1</v>
      </c>
      <c r="K161" s="15">
        <v>132600</v>
      </c>
      <c r="L161" s="16">
        <f t="shared" ref="L161:L192" si="16">J161*K161</f>
        <v>132600</v>
      </c>
      <c r="M161" s="15">
        <f t="shared" si="15"/>
        <v>13260</v>
      </c>
      <c r="N161" s="15">
        <f t="shared" ref="N161:N192" si="17">SUM(L161:M161)</f>
        <v>145860</v>
      </c>
      <c r="O161" s="5" t="s">
        <v>1842</v>
      </c>
      <c r="P161" s="9" t="s">
        <v>2636</v>
      </c>
      <c r="Q161" s="5">
        <v>45057</v>
      </c>
      <c r="R161" s="209" t="s">
        <v>100</v>
      </c>
      <c r="U161" s="11"/>
      <c r="V161" s="8"/>
    </row>
    <row r="162" spans="1:22" ht="16.5" customHeight="1">
      <c r="A162" t="s">
        <v>64</v>
      </c>
      <c r="B162" s="10" t="s">
        <v>253</v>
      </c>
      <c r="C162" s="12" t="s">
        <v>254</v>
      </c>
      <c r="D162" s="13">
        <v>45716</v>
      </c>
      <c r="E162" s="155" t="s">
        <v>2625</v>
      </c>
      <c r="F162" s="155" t="s">
        <v>331</v>
      </c>
      <c r="G162" s="168" t="s">
        <v>7</v>
      </c>
      <c r="H162" s="156" t="s">
        <v>2627</v>
      </c>
      <c r="I162" s="69" t="s">
        <v>1109</v>
      </c>
      <c r="J162" s="122">
        <v>1</v>
      </c>
      <c r="K162" s="15">
        <v>245700</v>
      </c>
      <c r="L162" s="16">
        <f t="shared" si="16"/>
        <v>245700</v>
      </c>
      <c r="M162" s="15">
        <f t="shared" si="15"/>
        <v>24570</v>
      </c>
      <c r="N162" s="15">
        <f t="shared" si="17"/>
        <v>270270</v>
      </c>
      <c r="O162" s="5" t="s">
        <v>1842</v>
      </c>
      <c r="P162" s="174" t="s">
        <v>2636</v>
      </c>
      <c r="Q162" s="5">
        <v>45716</v>
      </c>
      <c r="R162" s="209"/>
      <c r="U162" s="11"/>
      <c r="V162" s="8"/>
    </row>
    <row r="163" spans="1:22" ht="16.5" customHeight="1">
      <c r="A163" t="s">
        <v>64</v>
      </c>
      <c r="B163" s="10" t="s">
        <v>255</v>
      </c>
      <c r="C163" s="12" t="s">
        <v>256</v>
      </c>
      <c r="D163" s="13">
        <v>45716</v>
      </c>
      <c r="E163" s="155" t="s">
        <v>2625</v>
      </c>
      <c r="F163" s="155" t="s">
        <v>331</v>
      </c>
      <c r="G163" s="168" t="s">
        <v>7</v>
      </c>
      <c r="H163" s="156" t="s">
        <v>2627</v>
      </c>
      <c r="I163" s="69" t="s">
        <v>1122</v>
      </c>
      <c r="J163" s="122">
        <v>1</v>
      </c>
      <c r="K163" s="15">
        <v>45600</v>
      </c>
      <c r="L163" s="16">
        <f t="shared" si="16"/>
        <v>45600</v>
      </c>
      <c r="M163" s="15">
        <f t="shared" si="15"/>
        <v>4560</v>
      </c>
      <c r="N163" s="15">
        <f t="shared" si="17"/>
        <v>50160</v>
      </c>
      <c r="O163" s="5" t="s">
        <v>1842</v>
      </c>
      <c r="P163" s="9" t="s">
        <v>2636</v>
      </c>
      <c r="Q163" s="5">
        <v>45716</v>
      </c>
      <c r="R163" s="209"/>
      <c r="U163" s="11"/>
      <c r="V163" s="8"/>
    </row>
    <row r="164" spans="1:22" ht="16.5" customHeight="1">
      <c r="A164" t="s">
        <v>64</v>
      </c>
      <c r="B164" s="10" t="s">
        <v>399</v>
      </c>
      <c r="C164" s="12" t="s">
        <v>257</v>
      </c>
      <c r="D164" s="13">
        <v>45716</v>
      </c>
      <c r="E164" s="155" t="s">
        <v>2625</v>
      </c>
      <c r="F164" s="155" t="s">
        <v>258</v>
      </c>
      <c r="G164" s="168" t="s">
        <v>7</v>
      </c>
      <c r="H164" s="156" t="s">
        <v>2627</v>
      </c>
      <c r="I164" s="69" t="s">
        <v>1111</v>
      </c>
      <c r="J164" s="122">
        <v>1</v>
      </c>
      <c r="K164" s="15">
        <v>494903</v>
      </c>
      <c r="L164" s="16">
        <f t="shared" si="16"/>
        <v>494903</v>
      </c>
      <c r="M164" s="15">
        <f t="shared" si="15"/>
        <v>49490.3</v>
      </c>
      <c r="N164" s="15">
        <f t="shared" si="17"/>
        <v>544393.30000000005</v>
      </c>
      <c r="O164" s="5" t="s">
        <v>1842</v>
      </c>
      <c r="P164" s="9" t="s">
        <v>2636</v>
      </c>
      <c r="Q164" s="5">
        <v>45716</v>
      </c>
      <c r="R164" s="213"/>
      <c r="U164" s="216"/>
      <c r="V164" s="8"/>
    </row>
    <row r="165" spans="1:22" ht="16.5" customHeight="1">
      <c r="A165" t="s">
        <v>64</v>
      </c>
      <c r="B165" s="10" t="s">
        <v>387</v>
      </c>
      <c r="C165" s="12" t="s">
        <v>217</v>
      </c>
      <c r="D165" s="13">
        <v>45716</v>
      </c>
      <c r="E165" s="155" t="s">
        <v>2625</v>
      </c>
      <c r="F165" s="155" t="s">
        <v>218</v>
      </c>
      <c r="G165" s="168" t="s">
        <v>7</v>
      </c>
      <c r="H165" s="156" t="s">
        <v>2627</v>
      </c>
      <c r="I165" s="69" t="s">
        <v>1113</v>
      </c>
      <c r="J165" s="122">
        <v>1</v>
      </c>
      <c r="K165" s="15">
        <v>3709756</v>
      </c>
      <c r="L165" s="16">
        <f t="shared" si="16"/>
        <v>3709756</v>
      </c>
      <c r="M165" s="15">
        <v>370975</v>
      </c>
      <c r="N165" s="15">
        <f t="shared" si="17"/>
        <v>4080731</v>
      </c>
      <c r="O165" s="5" t="s">
        <v>1842</v>
      </c>
      <c r="P165" s="9" t="s">
        <v>2636</v>
      </c>
      <c r="Q165" s="5">
        <v>45716</v>
      </c>
      <c r="R165" s="209"/>
      <c r="U165" s="11"/>
      <c r="V165" s="8"/>
    </row>
    <row r="166" spans="1:22" ht="16.5" customHeight="1">
      <c r="A166" t="s">
        <v>64</v>
      </c>
      <c r="B166" s="10" t="s">
        <v>227</v>
      </c>
      <c r="C166" s="12" t="s">
        <v>383</v>
      </c>
      <c r="D166" s="13">
        <v>45716</v>
      </c>
      <c r="E166" s="155" t="s">
        <v>2625</v>
      </c>
      <c r="F166" s="155" t="s">
        <v>228</v>
      </c>
      <c r="G166" s="156" t="s">
        <v>7</v>
      </c>
      <c r="H166" s="156" t="s">
        <v>2627</v>
      </c>
      <c r="I166" s="69" t="s">
        <v>1128</v>
      </c>
      <c r="J166" s="122">
        <v>1</v>
      </c>
      <c r="K166" s="15">
        <v>18000</v>
      </c>
      <c r="L166" s="16">
        <f t="shared" si="16"/>
        <v>18000</v>
      </c>
      <c r="M166" s="15">
        <f>L166*10%</f>
        <v>1800</v>
      </c>
      <c r="N166" s="15">
        <f t="shared" si="17"/>
        <v>19800</v>
      </c>
      <c r="O166" s="5" t="s">
        <v>1842</v>
      </c>
      <c r="P166" s="9" t="s">
        <v>2636</v>
      </c>
      <c r="Q166" s="5">
        <v>45195</v>
      </c>
      <c r="R166" s="209" t="s">
        <v>100</v>
      </c>
      <c r="U166" s="11"/>
      <c r="V166" s="8"/>
    </row>
    <row r="167" spans="1:22" ht="16.5" customHeight="1">
      <c r="A167" t="s">
        <v>64</v>
      </c>
      <c r="B167" s="10" t="s">
        <v>526</v>
      </c>
      <c r="C167" s="12" t="s">
        <v>292</v>
      </c>
      <c r="D167" s="13">
        <v>45716</v>
      </c>
      <c r="E167" s="155" t="s">
        <v>2625</v>
      </c>
      <c r="F167" s="155" t="s">
        <v>231</v>
      </c>
      <c r="G167" s="156" t="s">
        <v>7</v>
      </c>
      <c r="H167" s="156" t="s">
        <v>2627</v>
      </c>
      <c r="I167" s="69" t="s">
        <v>1121</v>
      </c>
      <c r="J167" s="122">
        <v>1</v>
      </c>
      <c r="K167" s="15">
        <v>17220</v>
      </c>
      <c r="L167" s="16">
        <f t="shared" si="16"/>
        <v>17220</v>
      </c>
      <c r="M167" s="15">
        <v>1722</v>
      </c>
      <c r="N167" s="15">
        <f t="shared" si="17"/>
        <v>18942</v>
      </c>
      <c r="O167" s="5" t="s">
        <v>1842</v>
      </c>
      <c r="P167" s="9" t="s">
        <v>2636</v>
      </c>
      <c r="Q167" s="5">
        <v>45261</v>
      </c>
      <c r="R167" s="209" t="s">
        <v>100</v>
      </c>
    </row>
    <row r="168" spans="1:22" ht="16.5" customHeight="1">
      <c r="A168" t="s">
        <v>64</v>
      </c>
      <c r="B168" s="10" t="s">
        <v>348</v>
      </c>
      <c r="C168" s="12" t="s">
        <v>412</v>
      </c>
      <c r="D168" s="13">
        <v>45716</v>
      </c>
      <c r="E168" s="155" t="s">
        <v>2625</v>
      </c>
      <c r="F168" s="155" t="s">
        <v>347</v>
      </c>
      <c r="G168" s="168" t="s">
        <v>7</v>
      </c>
      <c r="H168" s="156" t="s">
        <v>2627</v>
      </c>
      <c r="I168" s="69" t="s">
        <v>1108</v>
      </c>
      <c r="J168" s="122">
        <v>1</v>
      </c>
      <c r="K168" s="15">
        <v>90000</v>
      </c>
      <c r="L168" s="16">
        <f t="shared" si="16"/>
        <v>90000</v>
      </c>
      <c r="M168" s="15">
        <f t="shared" ref="M168:M175" si="18">L168*10%</f>
        <v>9000</v>
      </c>
      <c r="N168" s="15">
        <f t="shared" si="17"/>
        <v>99000</v>
      </c>
      <c r="O168" s="5" t="s">
        <v>1842</v>
      </c>
      <c r="P168" s="9" t="s">
        <v>2636</v>
      </c>
      <c r="Q168" s="5">
        <v>45278</v>
      </c>
      <c r="R168" s="209" t="s">
        <v>100</v>
      </c>
    </row>
    <row r="169" spans="1:22" ht="16.5" customHeight="1">
      <c r="A169" t="s">
        <v>64</v>
      </c>
      <c r="B169" s="10" t="s">
        <v>294</v>
      </c>
      <c r="C169" s="12" t="s">
        <v>289</v>
      </c>
      <c r="D169" s="13">
        <v>45716</v>
      </c>
      <c r="E169" s="155" t="s">
        <v>2625</v>
      </c>
      <c r="F169" s="155" t="s">
        <v>295</v>
      </c>
      <c r="G169" s="168" t="s">
        <v>7</v>
      </c>
      <c r="H169" s="156" t="s">
        <v>2627</v>
      </c>
      <c r="I169" s="69" t="s">
        <v>1115</v>
      </c>
      <c r="J169" s="122">
        <v>1</v>
      </c>
      <c r="K169" s="15">
        <v>976200</v>
      </c>
      <c r="L169" s="16">
        <f t="shared" si="16"/>
        <v>976200</v>
      </c>
      <c r="M169" s="15">
        <f t="shared" si="18"/>
        <v>97620</v>
      </c>
      <c r="N169" s="15">
        <f t="shared" si="17"/>
        <v>1073820</v>
      </c>
      <c r="O169" s="5" t="s">
        <v>1842</v>
      </c>
      <c r="P169" s="9" t="s">
        <v>2636</v>
      </c>
      <c r="Q169" s="5">
        <v>45731</v>
      </c>
      <c r="R169" s="209"/>
    </row>
    <row r="170" spans="1:22" ht="16.5" customHeight="1">
      <c r="A170" t="s">
        <v>64</v>
      </c>
      <c r="B170" s="10" t="s">
        <v>334</v>
      </c>
      <c r="C170" s="225" t="s">
        <v>338</v>
      </c>
      <c r="D170" s="13">
        <v>45716</v>
      </c>
      <c r="E170" s="155" t="s">
        <v>2625</v>
      </c>
      <c r="F170" s="155" t="s">
        <v>242</v>
      </c>
      <c r="G170" s="156" t="s">
        <v>7</v>
      </c>
      <c r="H170" s="156" t="s">
        <v>2627</v>
      </c>
      <c r="I170" s="69" t="s">
        <v>1131</v>
      </c>
      <c r="J170" s="122">
        <v>1</v>
      </c>
      <c r="K170" s="15">
        <v>41700</v>
      </c>
      <c r="L170" s="16">
        <f t="shared" si="16"/>
        <v>41700</v>
      </c>
      <c r="M170" s="15">
        <f t="shared" si="18"/>
        <v>4170</v>
      </c>
      <c r="N170" s="15">
        <f t="shared" si="17"/>
        <v>45870</v>
      </c>
      <c r="O170" s="5" t="s">
        <v>1842</v>
      </c>
      <c r="P170" s="9" t="s">
        <v>2636</v>
      </c>
      <c r="Q170" s="5">
        <v>45380</v>
      </c>
      <c r="R170" s="209" t="s">
        <v>100</v>
      </c>
    </row>
    <row r="171" spans="1:22" ht="16.5" customHeight="1">
      <c r="A171" t="s">
        <v>64</v>
      </c>
      <c r="B171" s="10" t="s">
        <v>306</v>
      </c>
      <c r="C171" s="12" t="s">
        <v>305</v>
      </c>
      <c r="D171" s="13">
        <v>45716</v>
      </c>
      <c r="E171" s="155" t="s">
        <v>2625</v>
      </c>
      <c r="F171" s="155" t="s">
        <v>310</v>
      </c>
      <c r="G171" s="168" t="s">
        <v>7</v>
      </c>
      <c r="H171" s="156" t="s">
        <v>2627</v>
      </c>
      <c r="I171" s="69" t="s">
        <v>1112</v>
      </c>
      <c r="J171" s="122">
        <v>1</v>
      </c>
      <c r="K171" s="15">
        <v>511500</v>
      </c>
      <c r="L171" s="16">
        <f t="shared" si="16"/>
        <v>511500</v>
      </c>
      <c r="M171" s="15">
        <f t="shared" si="18"/>
        <v>51150</v>
      </c>
      <c r="N171" s="15">
        <f t="shared" si="17"/>
        <v>562650</v>
      </c>
      <c r="O171" s="5" t="s">
        <v>1842</v>
      </c>
      <c r="P171" s="9" t="s">
        <v>2636</v>
      </c>
      <c r="Q171" s="5">
        <v>45716</v>
      </c>
      <c r="R171" s="209"/>
    </row>
    <row r="172" spans="1:22" ht="16.5" customHeight="1">
      <c r="A172" t="s">
        <v>64</v>
      </c>
      <c r="B172" s="10" t="s">
        <v>330</v>
      </c>
      <c r="C172" s="12" t="s">
        <v>332</v>
      </c>
      <c r="D172" s="13">
        <v>45716</v>
      </c>
      <c r="E172" s="155" t="s">
        <v>2625</v>
      </c>
      <c r="F172" s="155" t="s">
        <v>235</v>
      </c>
      <c r="G172" s="156" t="s">
        <v>7</v>
      </c>
      <c r="H172" s="156" t="s">
        <v>2627</v>
      </c>
      <c r="I172" s="69" t="s">
        <v>1119</v>
      </c>
      <c r="J172" s="122">
        <v>1</v>
      </c>
      <c r="K172" s="15">
        <v>209700</v>
      </c>
      <c r="L172" s="16">
        <f t="shared" si="16"/>
        <v>209700</v>
      </c>
      <c r="M172" s="15">
        <f t="shared" si="18"/>
        <v>20970</v>
      </c>
      <c r="N172" s="15">
        <f t="shared" si="17"/>
        <v>230670</v>
      </c>
      <c r="O172" s="5" t="s">
        <v>1842</v>
      </c>
      <c r="P172" s="9" t="s">
        <v>2636</v>
      </c>
      <c r="Q172" s="5">
        <v>45356</v>
      </c>
      <c r="R172" s="209" t="s">
        <v>100</v>
      </c>
    </row>
    <row r="173" spans="1:22" ht="16.5" customHeight="1">
      <c r="A173" t="s">
        <v>64</v>
      </c>
      <c r="B173" s="10" t="s">
        <v>326</v>
      </c>
      <c r="C173" s="12" t="s">
        <v>325</v>
      </c>
      <c r="D173" s="13">
        <v>45716</v>
      </c>
      <c r="E173" s="155" t="s">
        <v>2625</v>
      </c>
      <c r="F173" s="155" t="s">
        <v>243</v>
      </c>
      <c r="G173" s="156" t="s">
        <v>7</v>
      </c>
      <c r="H173" s="156" t="s">
        <v>2627</v>
      </c>
      <c r="I173" s="69" t="s">
        <v>1567</v>
      </c>
      <c r="J173" s="122">
        <v>1</v>
      </c>
      <c r="K173" s="15">
        <v>238300</v>
      </c>
      <c r="L173" s="16">
        <f t="shared" si="16"/>
        <v>238300</v>
      </c>
      <c r="M173" s="15">
        <f t="shared" si="18"/>
        <v>23830</v>
      </c>
      <c r="N173" s="15">
        <f t="shared" si="17"/>
        <v>262130</v>
      </c>
      <c r="O173" s="5" t="s">
        <v>1842</v>
      </c>
      <c r="P173" s="9" t="s">
        <v>2636</v>
      </c>
      <c r="Q173" s="5">
        <v>45357</v>
      </c>
      <c r="R173" s="209" t="s">
        <v>100</v>
      </c>
    </row>
    <row r="174" spans="1:22" ht="16.5" customHeight="1">
      <c r="A174" t="s">
        <v>64</v>
      </c>
      <c r="B174" s="10" t="s">
        <v>335</v>
      </c>
      <c r="C174" s="12" t="s">
        <v>336</v>
      </c>
      <c r="D174" s="13">
        <v>45716</v>
      </c>
      <c r="E174" s="155" t="s">
        <v>2625</v>
      </c>
      <c r="F174" s="155" t="s">
        <v>333</v>
      </c>
      <c r="G174" s="156" t="s">
        <v>7</v>
      </c>
      <c r="H174" s="156" t="s">
        <v>2627</v>
      </c>
      <c r="I174" s="69" t="s">
        <v>1125</v>
      </c>
      <c r="J174" s="122">
        <v>1</v>
      </c>
      <c r="K174" s="15">
        <v>159900</v>
      </c>
      <c r="L174" s="16">
        <f t="shared" si="16"/>
        <v>159900</v>
      </c>
      <c r="M174" s="15">
        <f t="shared" si="18"/>
        <v>15990</v>
      </c>
      <c r="N174" s="15">
        <f t="shared" si="17"/>
        <v>175890</v>
      </c>
      <c r="O174" s="5" t="s">
        <v>1842</v>
      </c>
      <c r="P174" s="9" t="s">
        <v>2636</v>
      </c>
      <c r="Q174" s="5">
        <v>45380</v>
      </c>
      <c r="R174" s="209" t="s">
        <v>100</v>
      </c>
    </row>
    <row r="175" spans="1:22" ht="16.5" customHeight="1">
      <c r="A175" t="s">
        <v>64</v>
      </c>
      <c r="B175" s="10" t="s">
        <v>343</v>
      </c>
      <c r="C175" s="12" t="s">
        <v>344</v>
      </c>
      <c r="D175" s="13">
        <v>45716</v>
      </c>
      <c r="E175" s="155" t="s">
        <v>2625</v>
      </c>
      <c r="F175" s="155" t="s">
        <v>240</v>
      </c>
      <c r="G175" s="156" t="s">
        <v>7</v>
      </c>
      <c r="H175" s="156" t="s">
        <v>2627</v>
      </c>
      <c r="I175" s="69" t="s">
        <v>1118</v>
      </c>
      <c r="J175" s="122">
        <v>1</v>
      </c>
      <c r="K175" s="15">
        <v>111900</v>
      </c>
      <c r="L175" s="16">
        <f t="shared" si="16"/>
        <v>111900</v>
      </c>
      <c r="M175" s="15">
        <f t="shared" si="18"/>
        <v>11190</v>
      </c>
      <c r="N175" s="15">
        <f t="shared" si="17"/>
        <v>123090</v>
      </c>
      <c r="O175" s="5" t="s">
        <v>1842</v>
      </c>
      <c r="P175" s="9" t="s">
        <v>2636</v>
      </c>
      <c r="Q175" s="5">
        <v>45412</v>
      </c>
      <c r="R175" s="209" t="s">
        <v>100</v>
      </c>
      <c r="U175" s="11"/>
      <c r="V175" s="8"/>
    </row>
    <row r="176" spans="1:22" ht="16.5" customHeight="1">
      <c r="A176" t="s">
        <v>64</v>
      </c>
      <c r="B176" s="10" t="s">
        <v>355</v>
      </c>
      <c r="C176" s="139" t="s">
        <v>350</v>
      </c>
      <c r="D176" s="13">
        <v>45716</v>
      </c>
      <c r="E176" s="155" t="s">
        <v>2625</v>
      </c>
      <c r="F176" s="155" t="s">
        <v>351</v>
      </c>
      <c r="G176" s="156" t="s">
        <v>7</v>
      </c>
      <c r="H176" s="156" t="s">
        <v>2627</v>
      </c>
      <c r="I176" s="69" t="s">
        <v>1120</v>
      </c>
      <c r="J176" s="122">
        <v>1</v>
      </c>
      <c r="K176" s="15">
        <v>518541</v>
      </c>
      <c r="L176" s="16">
        <f t="shared" si="16"/>
        <v>518541</v>
      </c>
      <c r="M176" s="15">
        <v>51854</v>
      </c>
      <c r="N176" s="15">
        <f t="shared" si="17"/>
        <v>570395</v>
      </c>
      <c r="O176" s="5" t="s">
        <v>1842</v>
      </c>
      <c r="P176" s="9" t="s">
        <v>2636</v>
      </c>
      <c r="Q176" s="5">
        <v>45716</v>
      </c>
      <c r="R176" s="209"/>
    </row>
    <row r="177" spans="1:22" ht="16.5" customHeight="1">
      <c r="A177" t="s">
        <v>64</v>
      </c>
      <c r="B177" s="10" t="s">
        <v>378</v>
      </c>
      <c r="C177" s="224" t="s">
        <v>379</v>
      </c>
      <c r="D177" s="13">
        <v>45716</v>
      </c>
      <c r="E177" s="155" t="s">
        <v>2625</v>
      </c>
      <c r="F177" s="155" t="s">
        <v>251</v>
      </c>
      <c r="G177" s="168" t="s">
        <v>7</v>
      </c>
      <c r="H177" s="156" t="s">
        <v>2627</v>
      </c>
      <c r="I177" s="69" t="s">
        <v>1110</v>
      </c>
      <c r="J177" s="122">
        <v>1</v>
      </c>
      <c r="K177" s="15">
        <v>249900</v>
      </c>
      <c r="L177" s="16">
        <f t="shared" si="16"/>
        <v>249900</v>
      </c>
      <c r="M177" s="15">
        <f>L177*10%</f>
        <v>24990</v>
      </c>
      <c r="N177" s="15">
        <f t="shared" si="17"/>
        <v>274890</v>
      </c>
      <c r="O177" s="5" t="s">
        <v>1842</v>
      </c>
      <c r="P177" s="9" t="s">
        <v>2636</v>
      </c>
      <c r="Q177" s="5">
        <v>45716</v>
      </c>
      <c r="R177" s="209"/>
      <c r="U177" s="11"/>
      <c r="V177" s="8"/>
    </row>
    <row r="178" spans="1:22" ht="16.5" customHeight="1">
      <c r="A178" t="s">
        <v>64</v>
      </c>
      <c r="B178" s="10" t="s">
        <v>389</v>
      </c>
      <c r="C178" s="12" t="s">
        <v>384</v>
      </c>
      <c r="D178" s="13">
        <v>45716</v>
      </c>
      <c r="E178" s="155" t="s">
        <v>2625</v>
      </c>
      <c r="F178" s="155" t="s">
        <v>385</v>
      </c>
      <c r="G178" s="156" t="s">
        <v>7</v>
      </c>
      <c r="H178" s="156" t="s">
        <v>2627</v>
      </c>
      <c r="I178" s="69" t="s">
        <v>1134</v>
      </c>
      <c r="J178" s="122">
        <v>1</v>
      </c>
      <c r="K178" s="15">
        <v>111900</v>
      </c>
      <c r="L178" s="16">
        <f t="shared" si="16"/>
        <v>111900</v>
      </c>
      <c r="M178" s="15">
        <f>L178*10%</f>
        <v>11190</v>
      </c>
      <c r="N178" s="15">
        <f t="shared" si="17"/>
        <v>123090</v>
      </c>
      <c r="O178" s="5" t="s">
        <v>1842</v>
      </c>
      <c r="P178" s="9" t="s">
        <v>2636</v>
      </c>
      <c r="Q178" s="5">
        <v>45443</v>
      </c>
      <c r="R178" s="209" t="s">
        <v>100</v>
      </c>
    </row>
    <row r="179" spans="1:22" ht="16.5" customHeight="1">
      <c r="A179" t="s">
        <v>64</v>
      </c>
      <c r="B179" s="10" t="s">
        <v>363</v>
      </c>
      <c r="C179" s="12" t="s">
        <v>361</v>
      </c>
      <c r="D179" s="13">
        <v>45716</v>
      </c>
      <c r="E179" s="155" t="s">
        <v>2625</v>
      </c>
      <c r="F179" s="155" t="s">
        <v>2629</v>
      </c>
      <c r="G179" s="156" t="s">
        <v>7</v>
      </c>
      <c r="H179" s="156" t="s">
        <v>2627</v>
      </c>
      <c r="I179" s="69" t="s">
        <v>1135</v>
      </c>
      <c r="J179" s="122">
        <v>1</v>
      </c>
      <c r="K179" s="15">
        <v>243955</v>
      </c>
      <c r="L179" s="16">
        <f t="shared" si="16"/>
        <v>243955</v>
      </c>
      <c r="M179" s="15">
        <v>24395</v>
      </c>
      <c r="N179" s="15">
        <f t="shared" si="17"/>
        <v>268350</v>
      </c>
      <c r="O179" s="5" t="s">
        <v>1842</v>
      </c>
      <c r="P179" s="9" t="s">
        <v>2636</v>
      </c>
      <c r="Q179" s="5">
        <v>45716</v>
      </c>
      <c r="R179" s="209"/>
    </row>
    <row r="180" spans="1:22" ht="16.5" customHeight="1">
      <c r="A180" t="s">
        <v>64</v>
      </c>
      <c r="B180" s="10" t="s">
        <v>354</v>
      </c>
      <c r="C180" s="12" t="s">
        <v>356</v>
      </c>
      <c r="D180" s="13">
        <v>45716</v>
      </c>
      <c r="E180" s="155" t="s">
        <v>2625</v>
      </c>
      <c r="F180" s="155" t="s">
        <v>244</v>
      </c>
      <c r="G180" s="156" t="s">
        <v>7</v>
      </c>
      <c r="H180" s="156" t="s">
        <v>2627</v>
      </c>
      <c r="I180" s="69" t="s">
        <v>1132</v>
      </c>
      <c r="J180" s="122">
        <v>1</v>
      </c>
      <c r="K180" s="15">
        <v>310500</v>
      </c>
      <c r="L180" s="16">
        <f t="shared" si="16"/>
        <v>310500</v>
      </c>
      <c r="M180" s="15">
        <f t="shared" ref="M180:M211" si="19">L180*10%</f>
        <v>31050</v>
      </c>
      <c r="N180" s="15">
        <f t="shared" si="17"/>
        <v>341550</v>
      </c>
      <c r="O180" s="5" t="s">
        <v>1842</v>
      </c>
      <c r="P180" s="9" t="s">
        <v>2636</v>
      </c>
      <c r="Q180" s="5">
        <v>45716</v>
      </c>
      <c r="R180" s="209"/>
    </row>
    <row r="181" spans="1:22" ht="16.5" customHeight="1">
      <c r="A181" t="s">
        <v>64</v>
      </c>
      <c r="B181" s="10" t="s">
        <v>381</v>
      </c>
      <c r="C181" s="12" t="s">
        <v>382</v>
      </c>
      <c r="D181" s="13">
        <v>45716</v>
      </c>
      <c r="E181" s="155" t="s">
        <v>2625</v>
      </c>
      <c r="F181" s="155" t="s">
        <v>283</v>
      </c>
      <c r="G181" s="168" t="s">
        <v>7</v>
      </c>
      <c r="H181" s="156" t="s">
        <v>2627</v>
      </c>
      <c r="I181" s="69" t="s">
        <v>1127</v>
      </c>
      <c r="J181" s="122">
        <v>1</v>
      </c>
      <c r="K181" s="15">
        <v>604800</v>
      </c>
      <c r="L181" s="16">
        <f t="shared" si="16"/>
        <v>604800</v>
      </c>
      <c r="M181" s="15">
        <f t="shared" si="19"/>
        <v>60480</v>
      </c>
      <c r="N181" s="15">
        <f t="shared" si="17"/>
        <v>665280</v>
      </c>
      <c r="O181" s="5" t="s">
        <v>1842</v>
      </c>
      <c r="P181" s="9" t="s">
        <v>2636</v>
      </c>
      <c r="Q181" s="5">
        <v>45716</v>
      </c>
      <c r="R181" s="209"/>
    </row>
    <row r="182" spans="1:22" ht="16.5" customHeight="1">
      <c r="A182" t="s">
        <v>64</v>
      </c>
      <c r="B182" s="10" t="s">
        <v>364</v>
      </c>
      <c r="C182" s="12" t="s">
        <v>360</v>
      </c>
      <c r="D182" s="13">
        <v>45716</v>
      </c>
      <c r="E182" s="155" t="s">
        <v>2625</v>
      </c>
      <c r="F182" s="155" t="s">
        <v>237</v>
      </c>
      <c r="G182" s="168" t="s">
        <v>7</v>
      </c>
      <c r="H182" s="156" t="s">
        <v>2627</v>
      </c>
      <c r="I182" s="69" t="s">
        <v>1137</v>
      </c>
      <c r="J182" s="122">
        <v>1</v>
      </c>
      <c r="K182" s="15">
        <v>398400</v>
      </c>
      <c r="L182" s="16">
        <f t="shared" si="16"/>
        <v>398400</v>
      </c>
      <c r="M182" s="15">
        <f t="shared" si="19"/>
        <v>39840</v>
      </c>
      <c r="N182" s="15">
        <f t="shared" si="17"/>
        <v>438240</v>
      </c>
      <c r="O182" s="5" t="s">
        <v>1842</v>
      </c>
      <c r="P182" s="9" t="s">
        <v>2636</v>
      </c>
      <c r="Q182" s="5">
        <v>45414</v>
      </c>
      <c r="R182" s="209" t="s">
        <v>100</v>
      </c>
    </row>
    <row r="183" spans="1:22" ht="16.5" customHeight="1">
      <c r="A183" t="s">
        <v>64</v>
      </c>
      <c r="B183" s="10" t="s">
        <v>370</v>
      </c>
      <c r="C183" s="12" t="s">
        <v>388</v>
      </c>
      <c r="D183" s="13">
        <v>45716</v>
      </c>
      <c r="E183" s="155" t="s">
        <v>2625</v>
      </c>
      <c r="F183" s="155" t="s">
        <v>252</v>
      </c>
      <c r="G183" s="156" t="s">
        <v>7</v>
      </c>
      <c r="H183" s="156" t="s">
        <v>2627</v>
      </c>
      <c r="I183" s="69" t="s">
        <v>1130</v>
      </c>
      <c r="J183" s="122">
        <v>1</v>
      </c>
      <c r="K183" s="15">
        <v>52200</v>
      </c>
      <c r="L183" s="16">
        <f t="shared" si="16"/>
        <v>52200</v>
      </c>
      <c r="M183" s="15">
        <f t="shared" si="19"/>
        <v>5220</v>
      </c>
      <c r="N183" s="15">
        <f t="shared" si="17"/>
        <v>57420</v>
      </c>
      <c r="O183" s="5" t="s">
        <v>1842</v>
      </c>
      <c r="P183" s="9" t="s">
        <v>2636</v>
      </c>
      <c r="Q183" s="5">
        <v>45471</v>
      </c>
      <c r="R183" s="209" t="s">
        <v>100</v>
      </c>
      <c r="U183" s="11"/>
      <c r="V183" s="8"/>
    </row>
    <row r="184" spans="1:22" ht="16.5" customHeight="1">
      <c r="A184" t="s">
        <v>64</v>
      </c>
      <c r="B184" s="10" t="s">
        <v>362</v>
      </c>
      <c r="C184" s="12" t="s">
        <v>358</v>
      </c>
      <c r="D184" s="13">
        <v>45716</v>
      </c>
      <c r="E184" s="155" t="s">
        <v>2625</v>
      </c>
      <c r="F184" s="155" t="s">
        <v>224</v>
      </c>
      <c r="G184" s="156" t="s">
        <v>7</v>
      </c>
      <c r="H184" s="156" t="s">
        <v>2627</v>
      </c>
      <c r="I184" s="69" t="s">
        <v>1126</v>
      </c>
      <c r="J184" s="122">
        <v>1</v>
      </c>
      <c r="K184" s="15">
        <v>45600</v>
      </c>
      <c r="L184" s="16">
        <f t="shared" si="16"/>
        <v>45600</v>
      </c>
      <c r="M184" s="15">
        <f t="shared" si="19"/>
        <v>4560</v>
      </c>
      <c r="N184" s="15">
        <f t="shared" si="17"/>
        <v>50160</v>
      </c>
      <c r="O184" s="5" t="s">
        <v>1842</v>
      </c>
      <c r="P184" s="9" t="s">
        <v>2636</v>
      </c>
      <c r="Q184" s="5">
        <v>45412</v>
      </c>
      <c r="R184" s="209" t="s">
        <v>100</v>
      </c>
    </row>
    <row r="185" spans="1:22" ht="16.5" customHeight="1">
      <c r="A185" t="s">
        <v>64</v>
      </c>
      <c r="B185" s="10" t="s">
        <v>362</v>
      </c>
      <c r="C185" s="12" t="s">
        <v>359</v>
      </c>
      <c r="D185" s="13">
        <v>45716</v>
      </c>
      <c r="E185" s="155" t="s">
        <v>2625</v>
      </c>
      <c r="F185" s="155" t="s">
        <v>224</v>
      </c>
      <c r="G185" s="156" t="s">
        <v>7</v>
      </c>
      <c r="H185" s="156" t="s">
        <v>2627</v>
      </c>
      <c r="I185" s="69" t="s">
        <v>1126</v>
      </c>
      <c r="J185" s="122">
        <v>1</v>
      </c>
      <c r="K185" s="15">
        <v>153900</v>
      </c>
      <c r="L185" s="16">
        <f t="shared" si="16"/>
        <v>153900</v>
      </c>
      <c r="M185" s="15">
        <f t="shared" si="19"/>
        <v>15390</v>
      </c>
      <c r="N185" s="15">
        <f t="shared" si="17"/>
        <v>169290</v>
      </c>
      <c r="O185" s="5" t="s">
        <v>1842</v>
      </c>
      <c r="P185" s="9" t="s">
        <v>2636</v>
      </c>
      <c r="Q185" s="5">
        <v>45412</v>
      </c>
      <c r="R185" s="209" t="s">
        <v>100</v>
      </c>
    </row>
    <row r="186" spans="1:22" ht="16.5" customHeight="1">
      <c r="A186" t="s">
        <v>64</v>
      </c>
      <c r="B186" s="10" t="s">
        <v>375</v>
      </c>
      <c r="C186" s="224" t="s">
        <v>376</v>
      </c>
      <c r="D186" s="13">
        <v>45716</v>
      </c>
      <c r="E186" s="155" t="s">
        <v>2625</v>
      </c>
      <c r="F186" s="155" t="s">
        <v>249</v>
      </c>
      <c r="G186" s="156" t="s">
        <v>7</v>
      </c>
      <c r="H186" s="156" t="s">
        <v>2627</v>
      </c>
      <c r="I186" s="69" t="s">
        <v>1130</v>
      </c>
      <c r="J186" s="122">
        <v>1</v>
      </c>
      <c r="K186" s="15">
        <v>170400</v>
      </c>
      <c r="L186" s="16">
        <f t="shared" si="16"/>
        <v>170400</v>
      </c>
      <c r="M186" s="15">
        <f t="shared" si="19"/>
        <v>17040</v>
      </c>
      <c r="N186" s="15">
        <f t="shared" si="17"/>
        <v>187440</v>
      </c>
      <c r="O186" s="5" t="s">
        <v>1842</v>
      </c>
      <c r="P186" s="9" t="s">
        <v>2636</v>
      </c>
      <c r="Q186" s="5">
        <v>45471</v>
      </c>
      <c r="R186" s="209" t="s">
        <v>100</v>
      </c>
      <c r="U186" s="11"/>
      <c r="V186" s="8"/>
    </row>
    <row r="187" spans="1:22" ht="16.5" customHeight="1">
      <c r="A187" t="s">
        <v>64</v>
      </c>
      <c r="B187" s="10" t="s">
        <v>377</v>
      </c>
      <c r="C187" s="12" t="s">
        <v>380</v>
      </c>
      <c r="D187" s="13">
        <v>45716</v>
      </c>
      <c r="E187" s="155" t="s">
        <v>2625</v>
      </c>
      <c r="F187" s="155" t="s">
        <v>219</v>
      </c>
      <c r="G187" s="168" t="s">
        <v>7</v>
      </c>
      <c r="H187" s="156" t="s">
        <v>2627</v>
      </c>
      <c r="I187" s="69" t="s">
        <v>1129</v>
      </c>
      <c r="J187" s="122">
        <v>1</v>
      </c>
      <c r="K187" s="15">
        <v>101400</v>
      </c>
      <c r="L187" s="16">
        <f t="shared" si="16"/>
        <v>101400</v>
      </c>
      <c r="M187" s="15">
        <f t="shared" si="19"/>
        <v>10140</v>
      </c>
      <c r="N187" s="15">
        <f t="shared" si="17"/>
        <v>111540</v>
      </c>
      <c r="O187" s="5" t="s">
        <v>1842</v>
      </c>
      <c r="P187" s="9" t="s">
        <v>2636</v>
      </c>
      <c r="Q187" s="5">
        <v>45716</v>
      </c>
      <c r="R187" s="209"/>
    </row>
    <row r="188" spans="1:22" ht="16.5" customHeight="1">
      <c r="A188" t="s">
        <v>64</v>
      </c>
      <c r="B188" s="10" t="s">
        <v>390</v>
      </c>
      <c r="C188" s="225" t="s">
        <v>386</v>
      </c>
      <c r="D188" s="13">
        <v>45716</v>
      </c>
      <c r="E188" s="155" t="s">
        <v>2625</v>
      </c>
      <c r="F188" s="155" t="s">
        <v>97</v>
      </c>
      <c r="G188" s="156" t="s">
        <v>7</v>
      </c>
      <c r="H188" s="156" t="s">
        <v>2627</v>
      </c>
      <c r="I188" s="69" t="s">
        <v>722</v>
      </c>
      <c r="J188" s="122">
        <v>1</v>
      </c>
      <c r="K188" s="15">
        <v>171600</v>
      </c>
      <c r="L188" s="16">
        <f t="shared" si="16"/>
        <v>171600</v>
      </c>
      <c r="M188" s="15">
        <f t="shared" si="19"/>
        <v>17160</v>
      </c>
      <c r="N188" s="15">
        <f t="shared" si="17"/>
        <v>188760</v>
      </c>
      <c r="O188" s="5" t="s">
        <v>1842</v>
      </c>
      <c r="P188" s="9" t="s">
        <v>2636</v>
      </c>
      <c r="Q188" s="5">
        <v>45689</v>
      </c>
      <c r="R188" s="209"/>
    </row>
    <row r="189" spans="1:22" ht="16.5" customHeight="1">
      <c r="A189" t="s">
        <v>64</v>
      </c>
      <c r="B189" s="10" t="s">
        <v>406</v>
      </c>
      <c r="C189" s="12" t="s">
        <v>407</v>
      </c>
      <c r="D189" s="13">
        <v>45716</v>
      </c>
      <c r="E189" s="155" t="s">
        <v>2625</v>
      </c>
      <c r="F189" s="155" t="s">
        <v>259</v>
      </c>
      <c r="G189" s="156" t="s">
        <v>7</v>
      </c>
      <c r="H189" s="156" t="s">
        <v>2627</v>
      </c>
      <c r="I189" s="69" t="s">
        <v>1124</v>
      </c>
      <c r="J189" s="122">
        <v>1</v>
      </c>
      <c r="K189" s="15">
        <v>1120200</v>
      </c>
      <c r="L189" s="16">
        <f t="shared" si="16"/>
        <v>1120200</v>
      </c>
      <c r="M189" s="15">
        <f t="shared" si="19"/>
        <v>112020</v>
      </c>
      <c r="N189" s="15">
        <f t="shared" si="17"/>
        <v>1232220</v>
      </c>
      <c r="O189" s="5" t="s">
        <v>1842</v>
      </c>
      <c r="P189" s="9" t="s">
        <v>2636</v>
      </c>
      <c r="Q189" s="5">
        <v>45689</v>
      </c>
      <c r="R189" s="209"/>
    </row>
    <row r="190" spans="1:22" ht="16.5" customHeight="1">
      <c r="A190" t="s">
        <v>64</v>
      </c>
      <c r="B190" s="10" t="s">
        <v>393</v>
      </c>
      <c r="C190" s="12" t="s">
        <v>392</v>
      </c>
      <c r="D190" s="13">
        <v>45716</v>
      </c>
      <c r="E190" s="155" t="s">
        <v>2625</v>
      </c>
      <c r="F190" s="155" t="s">
        <v>234</v>
      </c>
      <c r="G190" s="168" t="s">
        <v>7</v>
      </c>
      <c r="H190" s="156" t="s">
        <v>2627</v>
      </c>
      <c r="I190" s="69" t="s">
        <v>2511</v>
      </c>
      <c r="J190" s="122">
        <v>1</v>
      </c>
      <c r="K190" s="15">
        <v>1706400</v>
      </c>
      <c r="L190" s="16">
        <f t="shared" si="16"/>
        <v>1706400</v>
      </c>
      <c r="M190" s="15">
        <f t="shared" si="19"/>
        <v>170640</v>
      </c>
      <c r="N190" s="15">
        <f t="shared" si="17"/>
        <v>1877040</v>
      </c>
      <c r="O190" s="5" t="s">
        <v>1842</v>
      </c>
      <c r="P190" s="9" t="s">
        <v>2636</v>
      </c>
      <c r="Q190" s="5">
        <v>45658</v>
      </c>
      <c r="R190" s="209" t="s">
        <v>147</v>
      </c>
    </row>
    <row r="191" spans="1:22" ht="16.5" customHeight="1">
      <c r="A191" t="s">
        <v>64</v>
      </c>
      <c r="B191" s="10" t="s">
        <v>408</v>
      </c>
      <c r="C191" s="12" t="s">
        <v>409</v>
      </c>
      <c r="D191" s="13">
        <v>45716</v>
      </c>
      <c r="E191" s="155" t="s">
        <v>2625</v>
      </c>
      <c r="F191" s="155" t="s">
        <v>13</v>
      </c>
      <c r="G191" s="168" t="s">
        <v>7</v>
      </c>
      <c r="H191" s="156" t="s">
        <v>2627</v>
      </c>
      <c r="I191" s="69" t="s">
        <v>1136</v>
      </c>
      <c r="J191" s="122">
        <v>1</v>
      </c>
      <c r="K191" s="15">
        <v>173400</v>
      </c>
      <c r="L191" s="16">
        <f t="shared" si="16"/>
        <v>173400</v>
      </c>
      <c r="M191" s="15">
        <f t="shared" si="19"/>
        <v>17340</v>
      </c>
      <c r="N191" s="15">
        <f t="shared" si="17"/>
        <v>190740</v>
      </c>
      <c r="O191" s="5" t="s">
        <v>1842</v>
      </c>
      <c r="P191" s="9" t="s">
        <v>2636</v>
      </c>
      <c r="Q191" s="5">
        <v>45489</v>
      </c>
      <c r="R191" s="213" t="s">
        <v>100</v>
      </c>
    </row>
    <row r="192" spans="1:22" ht="16.5" customHeight="1">
      <c r="A192" t="s">
        <v>64</v>
      </c>
      <c r="B192" s="10" t="s">
        <v>410</v>
      </c>
      <c r="C192" s="12" t="s">
        <v>411</v>
      </c>
      <c r="D192" s="13">
        <v>45716</v>
      </c>
      <c r="E192" s="155" t="s">
        <v>2625</v>
      </c>
      <c r="F192" s="155" t="s">
        <v>2629</v>
      </c>
      <c r="G192" s="168" t="s">
        <v>7</v>
      </c>
      <c r="H192" s="156" t="s">
        <v>2627</v>
      </c>
      <c r="I192" s="69" t="s">
        <v>1133</v>
      </c>
      <c r="J192" s="122">
        <v>1</v>
      </c>
      <c r="K192" s="15">
        <v>505200</v>
      </c>
      <c r="L192" s="16">
        <f t="shared" si="16"/>
        <v>505200</v>
      </c>
      <c r="M192" s="15">
        <f t="shared" si="19"/>
        <v>50520</v>
      </c>
      <c r="N192" s="15">
        <f t="shared" si="17"/>
        <v>555720</v>
      </c>
      <c r="O192" s="5" t="s">
        <v>1842</v>
      </c>
      <c r="P192" s="177" t="s">
        <v>2636</v>
      </c>
      <c r="Q192" s="5">
        <v>45716</v>
      </c>
      <c r="R192" s="209"/>
    </row>
    <row r="193" spans="1:18" ht="16.5" customHeight="1">
      <c r="A193" t="s">
        <v>64</v>
      </c>
      <c r="B193" s="10" t="s">
        <v>433</v>
      </c>
      <c r="C193" s="12" t="s">
        <v>427</v>
      </c>
      <c r="D193" s="13">
        <v>45716</v>
      </c>
      <c r="E193" s="155" t="s">
        <v>2625</v>
      </c>
      <c r="F193" s="155" t="s">
        <v>224</v>
      </c>
      <c r="G193" s="156" t="s">
        <v>7</v>
      </c>
      <c r="H193" s="156" t="s">
        <v>2627</v>
      </c>
      <c r="I193" s="69" t="s">
        <v>1175</v>
      </c>
      <c r="J193" s="122">
        <v>1</v>
      </c>
      <c r="K193" s="15">
        <v>334800</v>
      </c>
      <c r="L193" s="16">
        <f t="shared" ref="L193:L224" si="20">J193*K193</f>
        <v>334800</v>
      </c>
      <c r="M193" s="15">
        <f t="shared" si="19"/>
        <v>33480</v>
      </c>
      <c r="N193" s="15">
        <f t="shared" ref="N193:N224" si="21">SUM(L193:M193)</f>
        <v>368280</v>
      </c>
      <c r="O193" s="5" t="s">
        <v>1842</v>
      </c>
      <c r="P193" s="9" t="s">
        <v>2636</v>
      </c>
      <c r="Q193" s="5">
        <v>45504</v>
      </c>
      <c r="R193" s="209" t="s">
        <v>100</v>
      </c>
    </row>
    <row r="194" spans="1:18" ht="16.5" customHeight="1">
      <c r="A194" t="s">
        <v>64</v>
      </c>
      <c r="B194" s="10" t="s">
        <v>434</v>
      </c>
      <c r="C194" s="12" t="s">
        <v>428</v>
      </c>
      <c r="D194" s="13">
        <v>45716</v>
      </c>
      <c r="E194" s="155" t="s">
        <v>2625</v>
      </c>
      <c r="F194" s="155" t="s">
        <v>2629</v>
      </c>
      <c r="G194" s="156" t="s">
        <v>7</v>
      </c>
      <c r="H194" s="156" t="s">
        <v>2627</v>
      </c>
      <c r="I194" s="69" t="s">
        <v>1169</v>
      </c>
      <c r="J194" s="122">
        <v>1</v>
      </c>
      <c r="K194" s="15">
        <v>204600</v>
      </c>
      <c r="L194" s="16">
        <f t="shared" si="20"/>
        <v>204600</v>
      </c>
      <c r="M194" s="15">
        <f t="shared" si="19"/>
        <v>20460</v>
      </c>
      <c r="N194" s="15">
        <f t="shared" si="21"/>
        <v>225060</v>
      </c>
      <c r="O194" s="5" t="s">
        <v>1842</v>
      </c>
      <c r="P194" s="9" t="s">
        <v>2636</v>
      </c>
      <c r="Q194" s="5">
        <v>45716</v>
      </c>
      <c r="R194" s="209"/>
    </row>
    <row r="195" spans="1:18" ht="16.5" customHeight="1">
      <c r="A195" t="s">
        <v>64</v>
      </c>
      <c r="B195" s="10" t="s">
        <v>435</v>
      </c>
      <c r="C195" s="12" t="s">
        <v>429</v>
      </c>
      <c r="D195" s="13">
        <v>45716</v>
      </c>
      <c r="E195" s="155" t="s">
        <v>2625</v>
      </c>
      <c r="F195" s="155" t="s">
        <v>248</v>
      </c>
      <c r="G195" s="156" t="s">
        <v>7</v>
      </c>
      <c r="H195" s="156" t="s">
        <v>2627</v>
      </c>
      <c r="I195" s="69" t="s">
        <v>848</v>
      </c>
      <c r="J195" s="122">
        <v>1</v>
      </c>
      <c r="K195" s="15">
        <v>499500</v>
      </c>
      <c r="L195" s="16">
        <f t="shared" si="20"/>
        <v>499500</v>
      </c>
      <c r="M195" s="15">
        <f t="shared" si="19"/>
        <v>49950</v>
      </c>
      <c r="N195" s="15">
        <f t="shared" si="21"/>
        <v>549450</v>
      </c>
      <c r="O195" s="5" t="s">
        <v>1842</v>
      </c>
      <c r="P195" s="9" t="s">
        <v>2636</v>
      </c>
      <c r="Q195" s="5">
        <v>45716</v>
      </c>
      <c r="R195" s="209"/>
    </row>
    <row r="196" spans="1:18" ht="16.5" customHeight="1">
      <c r="A196" t="s">
        <v>64</v>
      </c>
      <c r="B196" s="10" t="s">
        <v>436</v>
      </c>
      <c r="C196" s="12" t="s">
        <v>430</v>
      </c>
      <c r="D196" s="13">
        <v>45716</v>
      </c>
      <c r="E196" s="155" t="s">
        <v>2625</v>
      </c>
      <c r="F196" s="155" t="s">
        <v>226</v>
      </c>
      <c r="G196" s="156" t="s">
        <v>7</v>
      </c>
      <c r="H196" s="156" t="s">
        <v>2627</v>
      </c>
      <c r="I196" s="69" t="s">
        <v>2553</v>
      </c>
      <c r="J196" s="122">
        <v>1</v>
      </c>
      <c r="K196" s="15">
        <v>251700</v>
      </c>
      <c r="L196" s="16">
        <f t="shared" si="20"/>
        <v>251700</v>
      </c>
      <c r="M196" s="15">
        <f t="shared" si="19"/>
        <v>25170</v>
      </c>
      <c r="N196" s="15">
        <f t="shared" si="21"/>
        <v>276870</v>
      </c>
      <c r="O196" s="5" t="s">
        <v>1842</v>
      </c>
      <c r="P196" s="9" t="s">
        <v>2636</v>
      </c>
      <c r="Q196" s="5">
        <v>45504</v>
      </c>
      <c r="R196" s="209" t="s">
        <v>100</v>
      </c>
    </row>
    <row r="197" spans="1:18" ht="16.5" customHeight="1">
      <c r="A197" t="s">
        <v>64</v>
      </c>
      <c r="B197" s="10" t="s">
        <v>432</v>
      </c>
      <c r="C197" s="12" t="s">
        <v>431</v>
      </c>
      <c r="D197" s="13">
        <v>45716</v>
      </c>
      <c r="E197" s="155" t="s">
        <v>2625</v>
      </c>
      <c r="F197" s="155" t="s">
        <v>331</v>
      </c>
      <c r="G197" s="156" t="s">
        <v>7</v>
      </c>
      <c r="H197" s="156" t="s">
        <v>2627</v>
      </c>
      <c r="I197" s="69" t="s">
        <v>1172</v>
      </c>
      <c r="J197" s="122">
        <v>1</v>
      </c>
      <c r="K197" s="15">
        <v>111600</v>
      </c>
      <c r="L197" s="16">
        <f t="shared" si="20"/>
        <v>111600</v>
      </c>
      <c r="M197" s="15">
        <f t="shared" si="19"/>
        <v>11160</v>
      </c>
      <c r="N197" s="15">
        <f t="shared" si="21"/>
        <v>122760</v>
      </c>
      <c r="O197" s="5" t="s">
        <v>1842</v>
      </c>
      <c r="P197" s="9" t="s">
        <v>2636</v>
      </c>
      <c r="Q197" s="5">
        <v>45590</v>
      </c>
      <c r="R197" s="209" t="s">
        <v>100</v>
      </c>
    </row>
    <row r="198" spans="1:18" ht="16.5" customHeight="1">
      <c r="A198" t="s">
        <v>64</v>
      </c>
      <c r="B198" s="10" t="s">
        <v>413</v>
      </c>
      <c r="C198" s="12" t="s">
        <v>437</v>
      </c>
      <c r="D198" s="13">
        <v>45716</v>
      </c>
      <c r="E198" s="155" t="s">
        <v>2625</v>
      </c>
      <c r="F198" s="155" t="s">
        <v>101</v>
      </c>
      <c r="G198" s="156" t="s">
        <v>98</v>
      </c>
      <c r="H198" s="156" t="s">
        <v>2627</v>
      </c>
      <c r="I198" s="69" t="s">
        <v>847</v>
      </c>
      <c r="J198" s="122">
        <v>1</v>
      </c>
      <c r="K198" s="15">
        <v>276600</v>
      </c>
      <c r="L198" s="16">
        <f t="shared" si="20"/>
        <v>276600</v>
      </c>
      <c r="M198" s="15">
        <f t="shared" si="19"/>
        <v>27660</v>
      </c>
      <c r="N198" s="15">
        <f t="shared" si="21"/>
        <v>304260</v>
      </c>
      <c r="O198" s="5" t="s">
        <v>1842</v>
      </c>
      <c r="P198" s="9" t="s">
        <v>2636</v>
      </c>
      <c r="Q198" s="5">
        <v>45534</v>
      </c>
      <c r="R198" s="209" t="s">
        <v>100</v>
      </c>
    </row>
    <row r="199" spans="1:18" ht="16.5" customHeight="1">
      <c r="A199" t="s">
        <v>64</v>
      </c>
      <c r="B199" s="10" t="s">
        <v>439</v>
      </c>
      <c r="C199" s="12" t="s">
        <v>438</v>
      </c>
      <c r="D199" s="13">
        <v>45716</v>
      </c>
      <c r="E199" s="155" t="s">
        <v>2625</v>
      </c>
      <c r="F199" s="155" t="s">
        <v>226</v>
      </c>
      <c r="G199" s="156" t="s">
        <v>98</v>
      </c>
      <c r="H199" s="156" t="s">
        <v>2627</v>
      </c>
      <c r="I199" s="69" t="s">
        <v>843</v>
      </c>
      <c r="J199" s="122">
        <v>1</v>
      </c>
      <c r="K199" s="15">
        <v>226200</v>
      </c>
      <c r="L199" s="16">
        <f t="shared" si="20"/>
        <v>226200</v>
      </c>
      <c r="M199" s="15">
        <f t="shared" si="19"/>
        <v>22620</v>
      </c>
      <c r="N199" s="15">
        <f t="shared" si="21"/>
        <v>248820</v>
      </c>
      <c r="O199" s="5" t="s">
        <v>1842</v>
      </c>
      <c r="P199" s="9" t="s">
        <v>2636</v>
      </c>
      <c r="Q199" s="5">
        <v>45565</v>
      </c>
      <c r="R199" s="209" t="s">
        <v>100</v>
      </c>
    </row>
    <row r="200" spans="1:18" ht="16.5" customHeight="1">
      <c r="A200" t="s">
        <v>64</v>
      </c>
      <c r="B200" s="10" t="s">
        <v>445</v>
      </c>
      <c r="C200" s="12" t="s">
        <v>440</v>
      </c>
      <c r="D200" s="13">
        <v>45716</v>
      </c>
      <c r="E200" s="155" t="s">
        <v>2625</v>
      </c>
      <c r="F200" s="155" t="s">
        <v>223</v>
      </c>
      <c r="G200" s="168" t="s">
        <v>7</v>
      </c>
      <c r="H200" s="156" t="s">
        <v>2627</v>
      </c>
      <c r="I200" s="69" t="s">
        <v>828</v>
      </c>
      <c r="J200" s="122">
        <v>1</v>
      </c>
      <c r="K200" s="15">
        <v>78000</v>
      </c>
      <c r="L200" s="16">
        <f t="shared" si="20"/>
        <v>78000</v>
      </c>
      <c r="M200" s="15">
        <f t="shared" si="19"/>
        <v>7800</v>
      </c>
      <c r="N200" s="15">
        <f t="shared" si="21"/>
        <v>85800</v>
      </c>
      <c r="O200" s="5" t="s">
        <v>1842</v>
      </c>
      <c r="P200" s="9" t="s">
        <v>2636</v>
      </c>
      <c r="Q200" s="5">
        <v>45565</v>
      </c>
      <c r="R200" s="209" t="s">
        <v>100</v>
      </c>
    </row>
    <row r="201" spans="1:18" ht="16.5" customHeight="1">
      <c r="A201" t="s">
        <v>64</v>
      </c>
      <c r="B201" s="10" t="s">
        <v>446</v>
      </c>
      <c r="C201" s="12" t="s">
        <v>441</v>
      </c>
      <c r="D201" s="13">
        <v>45716</v>
      </c>
      <c r="E201" s="155" t="s">
        <v>2625</v>
      </c>
      <c r="F201" s="155" t="s">
        <v>216</v>
      </c>
      <c r="G201" s="168" t="s">
        <v>7</v>
      </c>
      <c r="H201" s="156" t="s">
        <v>2627</v>
      </c>
      <c r="I201" s="69" t="s">
        <v>2605</v>
      </c>
      <c r="J201" s="122">
        <v>1</v>
      </c>
      <c r="K201" s="15">
        <v>534900</v>
      </c>
      <c r="L201" s="16">
        <f t="shared" si="20"/>
        <v>534900</v>
      </c>
      <c r="M201" s="15">
        <f t="shared" si="19"/>
        <v>53490</v>
      </c>
      <c r="N201" s="15">
        <f t="shared" si="21"/>
        <v>588390</v>
      </c>
      <c r="O201" s="5" t="s">
        <v>1842</v>
      </c>
      <c r="P201" s="9" t="s">
        <v>2636</v>
      </c>
      <c r="Q201" s="5">
        <v>45560</v>
      </c>
      <c r="R201" s="209" t="s">
        <v>100</v>
      </c>
    </row>
    <row r="202" spans="1:18" ht="16.5" customHeight="1">
      <c r="A202" t="s">
        <v>64</v>
      </c>
      <c r="B202" s="10" t="s">
        <v>426</v>
      </c>
      <c r="C202" s="12" t="s">
        <v>425</v>
      </c>
      <c r="D202" s="13">
        <v>45716</v>
      </c>
      <c r="E202" s="155" t="s">
        <v>2625</v>
      </c>
      <c r="F202" s="155" t="s">
        <v>220</v>
      </c>
      <c r="G202" s="168" t="s">
        <v>7</v>
      </c>
      <c r="H202" s="156" t="s">
        <v>2627</v>
      </c>
      <c r="I202" s="69" t="s">
        <v>1173</v>
      </c>
      <c r="J202" s="122">
        <v>1</v>
      </c>
      <c r="K202" s="15">
        <v>11892900</v>
      </c>
      <c r="L202" s="16">
        <f t="shared" si="20"/>
        <v>11892900</v>
      </c>
      <c r="M202" s="15">
        <f t="shared" si="19"/>
        <v>1189290</v>
      </c>
      <c r="N202" s="15">
        <f t="shared" si="21"/>
        <v>13082190</v>
      </c>
      <c r="O202" s="5" t="s">
        <v>1842</v>
      </c>
      <c r="P202" s="9" t="s">
        <v>2636</v>
      </c>
      <c r="Q202" s="5">
        <v>45716</v>
      </c>
      <c r="R202" s="209"/>
    </row>
    <row r="203" spans="1:18" ht="16.5" customHeight="1">
      <c r="A203" t="s">
        <v>64</v>
      </c>
      <c r="B203" s="10" t="s">
        <v>447</v>
      </c>
      <c r="C203" s="12" t="s">
        <v>442</v>
      </c>
      <c r="D203" s="13">
        <v>45716</v>
      </c>
      <c r="E203" s="155" t="s">
        <v>2625</v>
      </c>
      <c r="F203" s="155" t="s">
        <v>229</v>
      </c>
      <c r="G203" s="168" t="s">
        <v>7</v>
      </c>
      <c r="H203" s="156" t="s">
        <v>2627</v>
      </c>
      <c r="I203" s="69" t="s">
        <v>1174</v>
      </c>
      <c r="J203" s="122">
        <v>1</v>
      </c>
      <c r="K203" s="15">
        <v>48900</v>
      </c>
      <c r="L203" s="16">
        <f t="shared" si="20"/>
        <v>48900</v>
      </c>
      <c r="M203" s="15">
        <f t="shared" si="19"/>
        <v>4890</v>
      </c>
      <c r="N203" s="15">
        <f t="shared" si="21"/>
        <v>53790</v>
      </c>
      <c r="O203" s="5" t="s">
        <v>1842</v>
      </c>
      <c r="P203" s="9" t="s">
        <v>2636</v>
      </c>
      <c r="Q203" s="5">
        <v>45590</v>
      </c>
      <c r="R203" s="209" t="s">
        <v>100</v>
      </c>
    </row>
    <row r="204" spans="1:18" ht="16.5" customHeight="1">
      <c r="A204" t="s">
        <v>64</v>
      </c>
      <c r="B204" s="10" t="s">
        <v>448</v>
      </c>
      <c r="C204" s="12" t="s">
        <v>443</v>
      </c>
      <c r="D204" s="13">
        <v>45716</v>
      </c>
      <c r="E204" s="155" t="s">
        <v>2625</v>
      </c>
      <c r="F204" s="155" t="s">
        <v>301</v>
      </c>
      <c r="G204" s="168" t="s">
        <v>7</v>
      </c>
      <c r="H204" s="156" t="s">
        <v>2627</v>
      </c>
      <c r="I204" s="69" t="s">
        <v>1160</v>
      </c>
      <c r="J204" s="122">
        <v>1</v>
      </c>
      <c r="K204" s="15">
        <v>306300</v>
      </c>
      <c r="L204" s="16">
        <f t="shared" si="20"/>
        <v>306300</v>
      </c>
      <c r="M204" s="15">
        <f t="shared" si="19"/>
        <v>30630</v>
      </c>
      <c r="N204" s="15">
        <f t="shared" si="21"/>
        <v>336930</v>
      </c>
      <c r="O204" s="5" t="s">
        <v>1842</v>
      </c>
      <c r="P204" s="9" t="s">
        <v>2636</v>
      </c>
      <c r="Q204" s="5">
        <v>45596</v>
      </c>
      <c r="R204" s="209" t="s">
        <v>100</v>
      </c>
    </row>
    <row r="205" spans="1:18" ht="16.5" customHeight="1">
      <c r="A205" t="s">
        <v>64</v>
      </c>
      <c r="B205" s="10" t="s">
        <v>449</v>
      </c>
      <c r="C205" s="12" t="s">
        <v>444</v>
      </c>
      <c r="D205" s="13">
        <v>45716</v>
      </c>
      <c r="E205" s="155" t="s">
        <v>2625</v>
      </c>
      <c r="F205" s="155" t="s">
        <v>67</v>
      </c>
      <c r="G205" s="168" t="s">
        <v>7</v>
      </c>
      <c r="H205" s="156" t="s">
        <v>2627</v>
      </c>
      <c r="I205" s="69" t="s">
        <v>1159</v>
      </c>
      <c r="J205" s="122">
        <v>1</v>
      </c>
      <c r="K205" s="15">
        <v>655500</v>
      </c>
      <c r="L205" s="16">
        <f t="shared" si="20"/>
        <v>655500</v>
      </c>
      <c r="M205" s="15">
        <f t="shared" si="19"/>
        <v>65550</v>
      </c>
      <c r="N205" s="15">
        <f t="shared" si="21"/>
        <v>721050</v>
      </c>
      <c r="O205" s="5" t="s">
        <v>1842</v>
      </c>
      <c r="P205" s="9" t="s">
        <v>2636</v>
      </c>
      <c r="Q205" s="5">
        <v>45716</v>
      </c>
      <c r="R205" s="209"/>
    </row>
    <row r="206" spans="1:18" ht="16.5" customHeight="1">
      <c r="A206" t="s">
        <v>64</v>
      </c>
      <c r="B206" s="10" t="s">
        <v>449</v>
      </c>
      <c r="C206" s="12" t="s">
        <v>460</v>
      </c>
      <c r="D206" s="13">
        <v>45716</v>
      </c>
      <c r="E206" s="155" t="s">
        <v>2625</v>
      </c>
      <c r="F206" s="155" t="s">
        <v>67</v>
      </c>
      <c r="G206" s="168" t="s">
        <v>7</v>
      </c>
      <c r="H206" s="156" t="s">
        <v>2627</v>
      </c>
      <c r="I206" s="69" t="s">
        <v>1170</v>
      </c>
      <c r="J206" s="122">
        <v>1</v>
      </c>
      <c r="K206" s="15">
        <v>1981200</v>
      </c>
      <c r="L206" s="16">
        <f t="shared" si="20"/>
        <v>1981200</v>
      </c>
      <c r="M206" s="15">
        <f t="shared" si="19"/>
        <v>198120</v>
      </c>
      <c r="N206" s="15">
        <f t="shared" si="21"/>
        <v>2179320</v>
      </c>
      <c r="O206" s="5" t="s">
        <v>1842</v>
      </c>
      <c r="P206" s="9" t="s">
        <v>2636</v>
      </c>
      <c r="Q206" s="5">
        <v>45716</v>
      </c>
      <c r="R206" s="209"/>
    </row>
    <row r="207" spans="1:18" ht="16.5" customHeight="1">
      <c r="A207" t="s">
        <v>64</v>
      </c>
      <c r="B207" s="10" t="s">
        <v>1162</v>
      </c>
      <c r="C207" s="12" t="s">
        <v>1163</v>
      </c>
      <c r="D207" s="13">
        <v>45716</v>
      </c>
      <c r="E207" s="155" t="s">
        <v>2625</v>
      </c>
      <c r="F207" s="155" t="s">
        <v>222</v>
      </c>
      <c r="G207" s="168" t="s">
        <v>7</v>
      </c>
      <c r="H207" s="156" t="s">
        <v>2627</v>
      </c>
      <c r="I207" s="69" t="s">
        <v>1036</v>
      </c>
      <c r="J207" s="122">
        <v>1</v>
      </c>
      <c r="K207" s="15">
        <v>153900</v>
      </c>
      <c r="L207" s="16">
        <f t="shared" si="20"/>
        <v>153900</v>
      </c>
      <c r="M207" s="15">
        <f t="shared" si="19"/>
        <v>15390</v>
      </c>
      <c r="N207" s="15">
        <f t="shared" si="21"/>
        <v>169290</v>
      </c>
      <c r="O207" s="5" t="s">
        <v>1842</v>
      </c>
      <c r="P207" s="9" t="s">
        <v>2636</v>
      </c>
      <c r="Q207" s="5">
        <v>45588</v>
      </c>
      <c r="R207" s="209" t="s">
        <v>100</v>
      </c>
    </row>
    <row r="208" spans="1:18" ht="16.5" customHeight="1">
      <c r="A208" t="s">
        <v>64</v>
      </c>
      <c r="B208" s="10" t="s">
        <v>486</v>
      </c>
      <c r="C208" s="12" t="s">
        <v>525</v>
      </c>
      <c r="D208" s="13">
        <v>45716</v>
      </c>
      <c r="E208" s="155" t="s">
        <v>2625</v>
      </c>
      <c r="F208" s="155" t="s">
        <v>230</v>
      </c>
      <c r="G208" s="168" t="s">
        <v>7</v>
      </c>
      <c r="H208" s="156" t="s">
        <v>2627</v>
      </c>
      <c r="I208" s="69" t="s">
        <v>1158</v>
      </c>
      <c r="J208" s="122">
        <v>1</v>
      </c>
      <c r="K208" s="15">
        <v>277800</v>
      </c>
      <c r="L208" s="16">
        <f t="shared" si="20"/>
        <v>277800</v>
      </c>
      <c r="M208" s="15">
        <f t="shared" si="19"/>
        <v>27780</v>
      </c>
      <c r="N208" s="15">
        <f t="shared" si="21"/>
        <v>305580</v>
      </c>
      <c r="O208" s="5" t="s">
        <v>1842</v>
      </c>
      <c r="P208" s="9" t="s">
        <v>2636</v>
      </c>
      <c r="Q208" s="5">
        <v>45627</v>
      </c>
      <c r="R208" s="209" t="s">
        <v>100</v>
      </c>
    </row>
    <row r="209" spans="1:18" ht="16.5" customHeight="1">
      <c r="A209" t="s">
        <v>64</v>
      </c>
      <c r="B209" s="10" t="s">
        <v>786</v>
      </c>
      <c r="C209" s="12" t="s">
        <v>760</v>
      </c>
      <c r="D209" s="13">
        <v>45716</v>
      </c>
      <c r="E209" s="155" t="s">
        <v>2625</v>
      </c>
      <c r="F209" s="155" t="s">
        <v>2629</v>
      </c>
      <c r="G209" s="156" t="s">
        <v>7</v>
      </c>
      <c r="H209" s="156" t="s">
        <v>2627</v>
      </c>
      <c r="I209" s="69" t="s">
        <v>1155</v>
      </c>
      <c r="J209" s="122">
        <v>1</v>
      </c>
      <c r="K209" s="15">
        <v>661800</v>
      </c>
      <c r="L209" s="16">
        <f t="shared" si="20"/>
        <v>661800</v>
      </c>
      <c r="M209" s="16">
        <f t="shared" si="19"/>
        <v>66180</v>
      </c>
      <c r="N209" s="15">
        <f t="shared" si="21"/>
        <v>727980</v>
      </c>
      <c r="O209" s="5" t="s">
        <v>1842</v>
      </c>
      <c r="P209" s="9" t="s">
        <v>2636</v>
      </c>
      <c r="Q209" s="5">
        <v>45716</v>
      </c>
      <c r="R209" s="213"/>
    </row>
    <row r="210" spans="1:18" ht="16.5" customHeight="1">
      <c r="A210" t="s">
        <v>64</v>
      </c>
      <c r="B210" s="10" t="s">
        <v>527</v>
      </c>
      <c r="C210" s="12" t="s">
        <v>524</v>
      </c>
      <c r="D210" s="13">
        <v>45716</v>
      </c>
      <c r="E210" s="155" t="s">
        <v>2625</v>
      </c>
      <c r="F210" s="155" t="s">
        <v>231</v>
      </c>
      <c r="G210" s="156" t="s">
        <v>7</v>
      </c>
      <c r="H210" s="156" t="s">
        <v>2627</v>
      </c>
      <c r="I210" s="69" t="s">
        <v>1171</v>
      </c>
      <c r="J210" s="122">
        <v>1</v>
      </c>
      <c r="K210" s="15">
        <v>319200</v>
      </c>
      <c r="L210" s="16">
        <f t="shared" si="20"/>
        <v>319200</v>
      </c>
      <c r="M210" s="15">
        <f t="shared" si="19"/>
        <v>31920</v>
      </c>
      <c r="N210" s="15">
        <f t="shared" si="21"/>
        <v>351120</v>
      </c>
      <c r="O210" s="5" t="s">
        <v>1842</v>
      </c>
      <c r="P210" s="9" t="s">
        <v>2636</v>
      </c>
      <c r="Q210" s="5">
        <v>45645</v>
      </c>
      <c r="R210" s="209" t="s">
        <v>100</v>
      </c>
    </row>
    <row r="211" spans="1:18" ht="16.5" customHeight="1">
      <c r="A211" t="s">
        <v>64</v>
      </c>
      <c r="B211" s="10" t="s">
        <v>787</v>
      </c>
      <c r="C211" s="12" t="s">
        <v>753</v>
      </c>
      <c r="D211" s="13">
        <v>45716</v>
      </c>
      <c r="E211" s="155" t="s">
        <v>2625</v>
      </c>
      <c r="F211" s="155" t="s">
        <v>788</v>
      </c>
      <c r="G211" s="156" t="s">
        <v>7</v>
      </c>
      <c r="H211" s="156" t="s">
        <v>2627</v>
      </c>
      <c r="I211" s="69" t="s">
        <v>1157</v>
      </c>
      <c r="J211" s="122">
        <v>1</v>
      </c>
      <c r="K211" s="15">
        <v>97800</v>
      </c>
      <c r="L211" s="16">
        <f t="shared" si="20"/>
        <v>97800</v>
      </c>
      <c r="M211" s="16">
        <f t="shared" si="19"/>
        <v>9780</v>
      </c>
      <c r="N211" s="15">
        <f t="shared" si="21"/>
        <v>107580</v>
      </c>
      <c r="O211" s="5" t="s">
        <v>1842</v>
      </c>
      <c r="P211" s="9" t="s">
        <v>2636</v>
      </c>
      <c r="Q211" s="5">
        <v>45681</v>
      </c>
      <c r="R211" s="209" t="s">
        <v>100</v>
      </c>
    </row>
    <row r="212" spans="1:18" ht="16.5" customHeight="1">
      <c r="A212" t="s">
        <v>64</v>
      </c>
      <c r="B212" s="10" t="s">
        <v>528</v>
      </c>
      <c r="C212" s="12" t="s">
        <v>523</v>
      </c>
      <c r="D212" s="13">
        <v>45716</v>
      </c>
      <c r="E212" s="155" t="s">
        <v>2625</v>
      </c>
      <c r="F212" s="155" t="s">
        <v>67</v>
      </c>
      <c r="G212" s="168" t="s">
        <v>7</v>
      </c>
      <c r="H212" s="156" t="s">
        <v>2627</v>
      </c>
      <c r="I212" s="69" t="s">
        <v>1150</v>
      </c>
      <c r="J212" s="122">
        <v>1</v>
      </c>
      <c r="K212" s="15">
        <v>98100</v>
      </c>
      <c r="L212" s="16">
        <f t="shared" si="20"/>
        <v>98100</v>
      </c>
      <c r="M212" s="15">
        <f t="shared" ref="M212:M228" si="22">L212*10%</f>
        <v>9810</v>
      </c>
      <c r="N212" s="15">
        <f t="shared" si="21"/>
        <v>107910</v>
      </c>
      <c r="O212" s="5" t="s">
        <v>1842</v>
      </c>
      <c r="P212" s="9" t="s">
        <v>2636</v>
      </c>
      <c r="Q212" s="5">
        <v>45659</v>
      </c>
      <c r="R212" s="209" t="s">
        <v>100</v>
      </c>
    </row>
    <row r="213" spans="1:18" ht="16.5" customHeight="1">
      <c r="A213" t="s">
        <v>64</v>
      </c>
      <c r="B213" s="10" t="s">
        <v>792</v>
      </c>
      <c r="C213" s="12" t="s">
        <v>750</v>
      </c>
      <c r="D213" s="13">
        <v>45716</v>
      </c>
      <c r="E213" s="155" t="s">
        <v>2625</v>
      </c>
      <c r="F213" s="155" t="s">
        <v>2629</v>
      </c>
      <c r="G213" s="168" t="s">
        <v>7</v>
      </c>
      <c r="H213" s="156" t="s">
        <v>2627</v>
      </c>
      <c r="I213" s="69" t="s">
        <v>1161</v>
      </c>
      <c r="J213" s="122">
        <v>1</v>
      </c>
      <c r="K213" s="15">
        <v>1196100</v>
      </c>
      <c r="L213" s="16">
        <f t="shared" si="20"/>
        <v>1196100</v>
      </c>
      <c r="M213" s="16">
        <f t="shared" si="22"/>
        <v>119610</v>
      </c>
      <c r="N213" s="15">
        <f t="shared" si="21"/>
        <v>1315710</v>
      </c>
      <c r="O213" s="5" t="s">
        <v>1842</v>
      </c>
      <c r="P213" s="9" t="s">
        <v>2636</v>
      </c>
      <c r="Q213" s="5">
        <v>45716</v>
      </c>
      <c r="R213" s="213"/>
    </row>
    <row r="214" spans="1:18" ht="16.5" customHeight="1">
      <c r="A214" t="s">
        <v>64</v>
      </c>
      <c r="B214" s="10" t="s">
        <v>796</v>
      </c>
      <c r="C214" s="12" t="s">
        <v>897</v>
      </c>
      <c r="D214" s="13">
        <v>45716</v>
      </c>
      <c r="E214" s="155" t="s">
        <v>2625</v>
      </c>
      <c r="F214" s="155" t="s">
        <v>291</v>
      </c>
      <c r="G214" s="168" t="s">
        <v>7</v>
      </c>
      <c r="H214" s="156" t="s">
        <v>2627</v>
      </c>
      <c r="I214" s="69" t="s">
        <v>1151</v>
      </c>
      <c r="J214" s="122">
        <v>1</v>
      </c>
      <c r="K214" s="15">
        <v>99900</v>
      </c>
      <c r="L214" s="16">
        <f t="shared" si="20"/>
        <v>99900</v>
      </c>
      <c r="M214" s="16">
        <f t="shared" si="22"/>
        <v>9990</v>
      </c>
      <c r="N214" s="15">
        <f t="shared" si="21"/>
        <v>109890</v>
      </c>
      <c r="O214" s="5" t="s">
        <v>1842</v>
      </c>
      <c r="P214" s="9" t="s">
        <v>2636</v>
      </c>
      <c r="Q214" s="5">
        <v>45661</v>
      </c>
      <c r="R214" s="209" t="s">
        <v>100</v>
      </c>
    </row>
    <row r="215" spans="1:18" ht="16.5" customHeight="1">
      <c r="A215" t="s">
        <v>64</v>
      </c>
      <c r="B215" s="10" t="s">
        <v>790</v>
      </c>
      <c r="C215" s="12" t="s">
        <v>751</v>
      </c>
      <c r="D215" s="13">
        <v>45716</v>
      </c>
      <c r="E215" s="155" t="s">
        <v>2625</v>
      </c>
      <c r="F215" s="155" t="s">
        <v>2629</v>
      </c>
      <c r="G215" s="168" t="s">
        <v>7</v>
      </c>
      <c r="H215" s="156" t="s">
        <v>2627</v>
      </c>
      <c r="I215" s="69" t="s">
        <v>1146</v>
      </c>
      <c r="J215" s="122">
        <v>1</v>
      </c>
      <c r="K215" s="15">
        <v>590400</v>
      </c>
      <c r="L215" s="16">
        <f t="shared" si="20"/>
        <v>590400</v>
      </c>
      <c r="M215" s="16">
        <f t="shared" si="22"/>
        <v>59040</v>
      </c>
      <c r="N215" s="15">
        <f t="shared" si="21"/>
        <v>649440</v>
      </c>
      <c r="O215" s="5" t="s">
        <v>1842</v>
      </c>
      <c r="P215" s="9" t="s">
        <v>2636</v>
      </c>
      <c r="Q215" s="5">
        <v>45716</v>
      </c>
      <c r="R215" s="213"/>
    </row>
    <row r="216" spans="1:18" ht="16.5" customHeight="1">
      <c r="A216" t="s">
        <v>64</v>
      </c>
      <c r="B216" s="10" t="s">
        <v>533</v>
      </c>
      <c r="C216" s="12" t="s">
        <v>748</v>
      </c>
      <c r="D216" s="13">
        <v>45716</v>
      </c>
      <c r="E216" s="155" t="s">
        <v>2625</v>
      </c>
      <c r="F216" s="155" t="s">
        <v>2629</v>
      </c>
      <c r="G216" s="168" t="s">
        <v>7</v>
      </c>
      <c r="H216" s="156" t="s">
        <v>2627</v>
      </c>
      <c r="I216" s="69" t="s">
        <v>1154</v>
      </c>
      <c r="J216" s="122">
        <v>1</v>
      </c>
      <c r="K216" s="15">
        <v>289800</v>
      </c>
      <c r="L216" s="16">
        <f t="shared" si="20"/>
        <v>289800</v>
      </c>
      <c r="M216" s="16">
        <f t="shared" si="22"/>
        <v>28980</v>
      </c>
      <c r="N216" s="15">
        <f t="shared" si="21"/>
        <v>318780</v>
      </c>
      <c r="O216" s="5" t="s">
        <v>1842</v>
      </c>
      <c r="P216" s="9" t="s">
        <v>2636</v>
      </c>
      <c r="Q216" s="5">
        <v>45716</v>
      </c>
      <c r="R216" s="213"/>
    </row>
    <row r="217" spans="1:18" ht="16.5" customHeight="1">
      <c r="A217" t="s">
        <v>64</v>
      </c>
      <c r="B217" s="10" t="s">
        <v>1164</v>
      </c>
      <c r="C217" s="12" t="s">
        <v>1165</v>
      </c>
      <c r="D217" s="13">
        <v>45716</v>
      </c>
      <c r="E217" s="155" t="s">
        <v>2625</v>
      </c>
      <c r="F217" s="155" t="s">
        <v>225</v>
      </c>
      <c r="G217" s="168" t="s">
        <v>7</v>
      </c>
      <c r="H217" s="156" t="s">
        <v>2627</v>
      </c>
      <c r="I217" s="69" t="s">
        <v>1166</v>
      </c>
      <c r="J217" s="122">
        <v>1</v>
      </c>
      <c r="K217" s="15">
        <v>99600</v>
      </c>
      <c r="L217" s="16">
        <f t="shared" si="20"/>
        <v>99600</v>
      </c>
      <c r="M217" s="15">
        <f t="shared" si="22"/>
        <v>9960</v>
      </c>
      <c r="N217" s="15">
        <f t="shared" si="21"/>
        <v>109560</v>
      </c>
      <c r="O217" s="5" t="s">
        <v>1842</v>
      </c>
      <c r="P217" s="9" t="s">
        <v>2636</v>
      </c>
      <c r="Q217" s="5">
        <v>45716</v>
      </c>
      <c r="R217" s="209" t="s">
        <v>100</v>
      </c>
    </row>
    <row r="218" spans="1:18" ht="16.5" customHeight="1">
      <c r="A218" t="s">
        <v>64</v>
      </c>
      <c r="B218" s="10" t="s">
        <v>876</v>
      </c>
      <c r="C218" s="12" t="s">
        <v>865</v>
      </c>
      <c r="D218" s="13">
        <v>45716</v>
      </c>
      <c r="E218" s="155" t="s">
        <v>2625</v>
      </c>
      <c r="F218" s="155" t="s">
        <v>220</v>
      </c>
      <c r="G218" s="168" t="s">
        <v>7</v>
      </c>
      <c r="H218" s="156" t="s">
        <v>2627</v>
      </c>
      <c r="I218" s="69" t="s">
        <v>984</v>
      </c>
      <c r="J218" s="122">
        <v>1</v>
      </c>
      <c r="K218" s="15">
        <v>180600</v>
      </c>
      <c r="L218" s="16">
        <f t="shared" si="20"/>
        <v>180600</v>
      </c>
      <c r="M218" s="16">
        <f t="shared" si="22"/>
        <v>18060</v>
      </c>
      <c r="N218" s="15">
        <f t="shared" si="21"/>
        <v>198660</v>
      </c>
      <c r="O218" s="5" t="s">
        <v>1842</v>
      </c>
      <c r="P218" s="9" t="s">
        <v>2636</v>
      </c>
      <c r="Q218" s="5">
        <v>45716</v>
      </c>
      <c r="R218" s="213"/>
    </row>
    <row r="219" spans="1:18" ht="16.5" customHeight="1">
      <c r="A219" t="s">
        <v>64</v>
      </c>
      <c r="B219" s="10" t="s">
        <v>930</v>
      </c>
      <c r="C219" s="12" t="s">
        <v>898</v>
      </c>
      <c r="D219" s="13">
        <v>45716</v>
      </c>
      <c r="E219" s="155" t="s">
        <v>2625</v>
      </c>
      <c r="F219" s="155" t="s">
        <v>13</v>
      </c>
      <c r="G219" s="168" t="s">
        <v>7</v>
      </c>
      <c r="H219" s="156" t="s">
        <v>2627</v>
      </c>
      <c r="I219" s="69" t="s">
        <v>1153</v>
      </c>
      <c r="J219" s="122">
        <v>1</v>
      </c>
      <c r="K219" s="15">
        <v>65700</v>
      </c>
      <c r="L219" s="16">
        <f t="shared" si="20"/>
        <v>65700</v>
      </c>
      <c r="M219" s="16">
        <f t="shared" si="22"/>
        <v>6570</v>
      </c>
      <c r="N219" s="15">
        <f t="shared" si="21"/>
        <v>72270</v>
      </c>
      <c r="O219" s="5" t="s">
        <v>1842</v>
      </c>
      <c r="P219" s="9" t="s">
        <v>2636</v>
      </c>
      <c r="Q219" s="5">
        <v>45700</v>
      </c>
      <c r="R219" s="213" t="s">
        <v>100</v>
      </c>
    </row>
    <row r="220" spans="1:18" ht="16.5" customHeight="1">
      <c r="A220" t="s">
        <v>64</v>
      </c>
      <c r="B220" s="10" t="s">
        <v>1052</v>
      </c>
      <c r="C220" s="12" t="s">
        <v>985</v>
      </c>
      <c r="D220" s="13">
        <v>45716</v>
      </c>
      <c r="E220" s="155" t="s">
        <v>2625</v>
      </c>
      <c r="F220" s="155" t="s">
        <v>2629</v>
      </c>
      <c r="G220" s="168" t="s">
        <v>7</v>
      </c>
      <c r="H220" s="156" t="s">
        <v>2627</v>
      </c>
      <c r="I220" s="69" t="s">
        <v>1145</v>
      </c>
      <c r="J220" s="122">
        <v>1</v>
      </c>
      <c r="K220" s="15">
        <v>496800</v>
      </c>
      <c r="L220" s="16">
        <f t="shared" si="20"/>
        <v>496800</v>
      </c>
      <c r="M220" s="16">
        <f t="shared" si="22"/>
        <v>49680</v>
      </c>
      <c r="N220" s="15">
        <f t="shared" si="21"/>
        <v>546480</v>
      </c>
      <c r="O220" s="5" t="s">
        <v>1842</v>
      </c>
      <c r="P220" s="9" t="s">
        <v>2636</v>
      </c>
      <c r="Q220" s="5">
        <v>45716</v>
      </c>
      <c r="R220" s="213"/>
    </row>
    <row r="221" spans="1:18" ht="16.5" customHeight="1">
      <c r="A221" t="s">
        <v>64</v>
      </c>
      <c r="B221" s="10" t="s">
        <v>1250</v>
      </c>
      <c r="C221" s="12" t="s">
        <v>1251</v>
      </c>
      <c r="D221" s="13">
        <v>45716</v>
      </c>
      <c r="E221" s="155" t="s">
        <v>2625</v>
      </c>
      <c r="F221" s="155" t="s">
        <v>236</v>
      </c>
      <c r="G221" s="168" t="s">
        <v>7</v>
      </c>
      <c r="H221" s="156" t="s">
        <v>2627</v>
      </c>
      <c r="I221" s="69" t="s">
        <v>1167</v>
      </c>
      <c r="J221" s="122">
        <v>1</v>
      </c>
      <c r="K221" s="15">
        <v>1515900</v>
      </c>
      <c r="L221" s="16">
        <f t="shared" si="20"/>
        <v>1515900</v>
      </c>
      <c r="M221" s="16">
        <f t="shared" si="22"/>
        <v>151590</v>
      </c>
      <c r="N221" s="15">
        <f t="shared" si="21"/>
        <v>1667490</v>
      </c>
      <c r="O221" s="5" t="s">
        <v>1842</v>
      </c>
      <c r="P221" s="9" t="s">
        <v>2636</v>
      </c>
      <c r="Q221" s="5">
        <v>45716</v>
      </c>
      <c r="R221" s="213"/>
    </row>
    <row r="222" spans="1:18" ht="16.5" customHeight="1">
      <c r="A222" t="s">
        <v>64</v>
      </c>
      <c r="B222" s="10" t="s">
        <v>800</v>
      </c>
      <c r="C222" s="12" t="s">
        <v>732</v>
      </c>
      <c r="D222" s="13">
        <v>45716</v>
      </c>
      <c r="E222" s="155" t="s">
        <v>2625</v>
      </c>
      <c r="F222" s="155" t="s">
        <v>801</v>
      </c>
      <c r="G222" s="168" t="s">
        <v>7</v>
      </c>
      <c r="H222" s="156" t="s">
        <v>2627</v>
      </c>
      <c r="I222" s="69" t="s">
        <v>1168</v>
      </c>
      <c r="J222" s="122">
        <v>1</v>
      </c>
      <c r="K222" s="15">
        <v>820200</v>
      </c>
      <c r="L222" s="16">
        <f t="shared" si="20"/>
        <v>820200</v>
      </c>
      <c r="M222" s="16">
        <f t="shared" si="22"/>
        <v>82020</v>
      </c>
      <c r="N222" s="15">
        <f t="shared" si="21"/>
        <v>902220</v>
      </c>
      <c r="O222" s="5" t="s">
        <v>1842</v>
      </c>
      <c r="P222" s="9" t="s">
        <v>2636</v>
      </c>
      <c r="Q222" s="5">
        <v>45716</v>
      </c>
      <c r="R222" s="213"/>
    </row>
    <row r="223" spans="1:18" ht="16.5" customHeight="1">
      <c r="A223" t="s">
        <v>64</v>
      </c>
      <c r="B223" s="10" t="s">
        <v>798</v>
      </c>
      <c r="C223" s="12" t="s">
        <v>799</v>
      </c>
      <c r="D223" s="13">
        <v>45716</v>
      </c>
      <c r="E223" s="155" t="s">
        <v>2625</v>
      </c>
      <c r="F223" s="155" t="s">
        <v>250</v>
      </c>
      <c r="G223" s="168" t="s">
        <v>7</v>
      </c>
      <c r="H223" s="156" t="s">
        <v>2627</v>
      </c>
      <c r="I223" s="69" t="s">
        <v>1156</v>
      </c>
      <c r="J223" s="122">
        <v>1</v>
      </c>
      <c r="K223" s="15">
        <v>531600</v>
      </c>
      <c r="L223" s="16">
        <f t="shared" si="20"/>
        <v>531600</v>
      </c>
      <c r="M223" s="16">
        <f t="shared" si="22"/>
        <v>53160</v>
      </c>
      <c r="N223" s="15">
        <f t="shared" si="21"/>
        <v>584760</v>
      </c>
      <c r="O223" s="5" t="s">
        <v>1842</v>
      </c>
      <c r="P223" s="9" t="s">
        <v>2636</v>
      </c>
      <c r="Q223" s="5">
        <v>45716</v>
      </c>
      <c r="R223" s="213"/>
    </row>
    <row r="224" spans="1:18" ht="16.5" customHeight="1">
      <c r="A224" t="s">
        <v>64</v>
      </c>
      <c r="B224" s="10" t="s">
        <v>802</v>
      </c>
      <c r="C224" s="12" t="s">
        <v>729</v>
      </c>
      <c r="D224" s="13">
        <v>45716</v>
      </c>
      <c r="E224" s="155" t="s">
        <v>2625</v>
      </c>
      <c r="F224" s="155" t="s">
        <v>810</v>
      </c>
      <c r="G224" s="168" t="s">
        <v>7</v>
      </c>
      <c r="H224" s="156" t="s">
        <v>2627</v>
      </c>
      <c r="I224" s="69" t="s">
        <v>1149</v>
      </c>
      <c r="J224" s="122">
        <v>1</v>
      </c>
      <c r="K224" s="15">
        <v>502800</v>
      </c>
      <c r="L224" s="16">
        <f t="shared" si="20"/>
        <v>502800</v>
      </c>
      <c r="M224" s="16">
        <f t="shared" si="22"/>
        <v>50280</v>
      </c>
      <c r="N224" s="15">
        <f t="shared" si="21"/>
        <v>553080</v>
      </c>
      <c r="O224" s="5" t="s">
        <v>1842</v>
      </c>
      <c r="P224" s="9" t="s">
        <v>2636</v>
      </c>
      <c r="Q224" s="5">
        <v>45716</v>
      </c>
      <c r="R224" s="213"/>
    </row>
    <row r="225" spans="1:20" ht="16.5" customHeight="1">
      <c r="A225" t="s">
        <v>64</v>
      </c>
      <c r="B225" s="10" t="s">
        <v>878</v>
      </c>
      <c r="C225" s="12" t="s">
        <v>727</v>
      </c>
      <c r="D225" s="13">
        <v>45716</v>
      </c>
      <c r="E225" s="155" t="s">
        <v>2625</v>
      </c>
      <c r="F225" s="155" t="s">
        <v>296</v>
      </c>
      <c r="G225" s="168" t="s">
        <v>7</v>
      </c>
      <c r="H225" s="156" t="s">
        <v>2627</v>
      </c>
      <c r="I225" s="69" t="s">
        <v>832</v>
      </c>
      <c r="J225" s="122">
        <v>1</v>
      </c>
      <c r="K225" s="15">
        <v>1417500</v>
      </c>
      <c r="L225" s="16">
        <f t="shared" ref="L225:L228" si="23">J225*K225</f>
        <v>1417500</v>
      </c>
      <c r="M225" s="16">
        <f t="shared" si="22"/>
        <v>141750</v>
      </c>
      <c r="N225" s="15">
        <f t="shared" ref="N225:N228" si="24">SUM(L225:M225)</f>
        <v>1559250</v>
      </c>
      <c r="O225" s="5" t="s">
        <v>1842</v>
      </c>
      <c r="P225" s="9" t="s">
        <v>2636</v>
      </c>
      <c r="Q225" s="5">
        <v>45666</v>
      </c>
      <c r="R225" s="213" t="s">
        <v>100</v>
      </c>
    </row>
    <row r="226" spans="1:20" ht="16.5" customHeight="1">
      <c r="A226" t="s">
        <v>64</v>
      </c>
      <c r="B226" s="10" t="s">
        <v>882</v>
      </c>
      <c r="C226" s="12" t="s">
        <v>730</v>
      </c>
      <c r="D226" s="13">
        <v>45716</v>
      </c>
      <c r="E226" s="155" t="s">
        <v>2625</v>
      </c>
      <c r="F226" s="155" t="s">
        <v>293</v>
      </c>
      <c r="G226" s="168" t="s">
        <v>7</v>
      </c>
      <c r="H226" s="156" t="s">
        <v>2627</v>
      </c>
      <c r="I226" s="69" t="s">
        <v>1152</v>
      </c>
      <c r="J226" s="122">
        <v>1</v>
      </c>
      <c r="K226" s="15">
        <v>243000</v>
      </c>
      <c r="L226" s="16">
        <f t="shared" si="23"/>
        <v>243000</v>
      </c>
      <c r="M226" s="15">
        <f t="shared" si="22"/>
        <v>24300</v>
      </c>
      <c r="N226" s="15">
        <f t="shared" si="24"/>
        <v>267300</v>
      </c>
      <c r="O226" s="5" t="s">
        <v>1842</v>
      </c>
      <c r="P226" s="9" t="s">
        <v>2636</v>
      </c>
      <c r="Q226" s="5">
        <v>45716</v>
      </c>
      <c r="R226" s="209"/>
    </row>
    <row r="227" spans="1:20" ht="16.5" customHeight="1">
      <c r="A227" t="s">
        <v>64</v>
      </c>
      <c r="B227" s="10" t="s">
        <v>807</v>
      </c>
      <c r="C227" s="12" t="s">
        <v>724</v>
      </c>
      <c r="D227" s="13">
        <v>45716</v>
      </c>
      <c r="E227" s="155" t="s">
        <v>2625</v>
      </c>
      <c r="F227" s="155" t="s">
        <v>221</v>
      </c>
      <c r="G227" s="168" t="s">
        <v>7</v>
      </c>
      <c r="H227" s="156" t="s">
        <v>2627</v>
      </c>
      <c r="I227" s="69" t="s">
        <v>1147</v>
      </c>
      <c r="J227" s="122">
        <v>1</v>
      </c>
      <c r="K227" s="15">
        <v>1892400</v>
      </c>
      <c r="L227" s="16">
        <f t="shared" si="23"/>
        <v>1892400</v>
      </c>
      <c r="M227" s="16">
        <f t="shared" si="22"/>
        <v>189240</v>
      </c>
      <c r="N227" s="15">
        <f t="shared" si="24"/>
        <v>2081640</v>
      </c>
      <c r="O227" s="5" t="s">
        <v>1842</v>
      </c>
      <c r="P227" s="9" t="s">
        <v>2636</v>
      </c>
      <c r="Q227" s="5">
        <v>45687</v>
      </c>
      <c r="R227" s="213" t="s">
        <v>100</v>
      </c>
    </row>
    <row r="228" spans="1:20" ht="16.5" customHeight="1">
      <c r="A228" t="s">
        <v>64</v>
      </c>
      <c r="B228" s="10" t="s">
        <v>880</v>
      </c>
      <c r="C228" s="12" t="s">
        <v>716</v>
      </c>
      <c r="D228" s="13">
        <v>45716</v>
      </c>
      <c r="E228" s="155" t="s">
        <v>2625</v>
      </c>
      <c r="F228" s="155" t="s">
        <v>101</v>
      </c>
      <c r="G228" s="168" t="s">
        <v>7</v>
      </c>
      <c r="H228" s="156" t="s">
        <v>2627</v>
      </c>
      <c r="I228" s="69" t="s">
        <v>1148</v>
      </c>
      <c r="J228" s="122">
        <v>1</v>
      </c>
      <c r="K228" s="15">
        <v>212700</v>
      </c>
      <c r="L228" s="16">
        <f t="shared" si="23"/>
        <v>212700</v>
      </c>
      <c r="M228" s="16">
        <f t="shared" si="22"/>
        <v>21270</v>
      </c>
      <c r="N228" s="15">
        <f t="shared" si="24"/>
        <v>233970</v>
      </c>
      <c r="O228" s="5" t="s">
        <v>1842</v>
      </c>
      <c r="P228" s="177" t="s">
        <v>2636</v>
      </c>
      <c r="Q228" s="5">
        <v>45681</v>
      </c>
      <c r="R228" s="213" t="s">
        <v>100</v>
      </c>
    </row>
    <row r="229" spans="1:20" ht="16.5" customHeight="1">
      <c r="A229" t="s">
        <v>64</v>
      </c>
      <c r="B229" s="10"/>
      <c r="C229" s="12"/>
      <c r="D229" s="6"/>
      <c r="E229" s="163"/>
      <c r="F229" s="163"/>
      <c r="G229" s="169"/>
      <c r="H229" s="169"/>
      <c r="I229" s="163"/>
      <c r="J229" s="127"/>
      <c r="K229" s="15"/>
      <c r="L229" s="16">
        <f t="shared" ref="L229" si="25">J229*K229</f>
        <v>0</v>
      </c>
      <c r="M229" s="16">
        <f>ROUNDDOWN(L229*10%,0)</f>
        <v>0</v>
      </c>
      <c r="N229" s="15">
        <f t="shared" ref="N229" si="26">SUM(L229:M229)</f>
        <v>0</v>
      </c>
      <c r="O229" s="5"/>
      <c r="P229" s="9"/>
      <c r="Q229" s="5"/>
      <c r="R229" s="209"/>
    </row>
    <row r="230" spans="1:20" ht="30.75" customHeight="1" thickBot="1">
      <c r="A230" t="s">
        <v>64</v>
      </c>
      <c r="B230" s="262" t="s">
        <v>24</v>
      </c>
      <c r="C230" s="263"/>
      <c r="D230" s="263"/>
      <c r="E230" s="263"/>
      <c r="F230" s="263"/>
      <c r="G230" s="263"/>
      <c r="H230" s="263"/>
      <c r="I230" s="264"/>
      <c r="J230" s="128"/>
      <c r="K230" s="129"/>
      <c r="L230" s="130">
        <f>SUM(L5:L229)</f>
        <v>258840954</v>
      </c>
      <c r="M230" s="130">
        <f>SUM(M5:M229)</f>
        <v>25695538.300000001</v>
      </c>
      <c r="N230" s="130">
        <f>SUM(N5:N229)</f>
        <v>284536492.30000001</v>
      </c>
      <c r="O230" s="97"/>
      <c r="P230" s="178"/>
      <c r="Q230" s="97"/>
      <c r="R230" s="180"/>
    </row>
    <row r="231" spans="1:20" ht="16.5" customHeight="1">
      <c r="D231" s="196">
        <f>COUNTA(D5:D229)</f>
        <v>212</v>
      </c>
    </row>
    <row r="232" spans="1:20" ht="16.5" customHeight="1">
      <c r="D232" s="196">
        <f>COUNTA(D5:D229)</f>
        <v>212</v>
      </c>
      <c r="K232" s="17" t="s">
        <v>46</v>
      </c>
      <c r="L232" s="131">
        <f>SUBTOTAL(109,L5:L229)</f>
        <v>258840954</v>
      </c>
      <c r="M232" s="131">
        <f>SUBTOTAL(109,M5:M229)</f>
        <v>25695538.300000001</v>
      </c>
      <c r="N232" s="131">
        <f>L232+M232</f>
        <v>284536492.30000001</v>
      </c>
    </row>
    <row r="233" spans="1:20" ht="16.5" customHeight="1">
      <c r="E233" t="s">
        <v>62</v>
      </c>
    </row>
    <row r="234" spans="1:20" s="66" customFormat="1" ht="16.5" customHeight="1">
      <c r="A234"/>
      <c r="B234" s="1"/>
      <c r="C234"/>
      <c r="D234" s="96"/>
      <c r="E234" t="s">
        <v>7</v>
      </c>
      <c r="F234" s="11">
        <f t="shared" ref="F234:F245" si="27">SUMIF($G$5:$G$229,E234,$L$5:$L$229)</f>
        <v>152167144</v>
      </c>
      <c r="G234" s="1"/>
      <c r="H234" s="1"/>
      <c r="I234"/>
      <c r="J234" s="17"/>
      <c r="K234" s="190" t="s">
        <v>42</v>
      </c>
      <c r="L234" s="17">
        <v>256955519</v>
      </c>
      <c r="M234" s="17">
        <v>25695538.300000001</v>
      </c>
      <c r="N234" s="17">
        <v>282651057.30000001</v>
      </c>
      <c r="O234" s="96"/>
      <c r="P234"/>
      <c r="Q234" s="96"/>
      <c r="R234"/>
      <c r="S234"/>
      <c r="T234"/>
    </row>
    <row r="235" spans="1:20" s="66" customFormat="1">
      <c r="A235"/>
      <c r="B235" s="1"/>
      <c r="C235"/>
      <c r="D235" s="96"/>
      <c r="E235" t="s">
        <v>16</v>
      </c>
      <c r="F235" s="11">
        <f t="shared" si="27"/>
        <v>26716880</v>
      </c>
      <c r="G235" s="1"/>
      <c r="H235" s="1"/>
      <c r="I235"/>
      <c r="J235" s="17"/>
      <c r="K235" s="190" t="s">
        <v>43</v>
      </c>
      <c r="L235" s="17">
        <f>320000+115665+1449770</f>
        <v>1885435</v>
      </c>
      <c r="M235" s="17">
        <v>0</v>
      </c>
      <c r="N235" s="17">
        <v>1885435</v>
      </c>
      <c r="O235" s="96"/>
      <c r="P235"/>
      <c r="Q235" s="96"/>
      <c r="R235"/>
      <c r="S235"/>
      <c r="T235"/>
    </row>
    <row r="236" spans="1:20" s="66" customFormat="1">
      <c r="A236"/>
      <c r="B236" s="1"/>
      <c r="C236"/>
      <c r="D236" s="96"/>
      <c r="E236" t="s">
        <v>28</v>
      </c>
      <c r="F236" s="11">
        <f t="shared" si="27"/>
        <v>0</v>
      </c>
      <c r="G236" s="1"/>
      <c r="H236" s="1"/>
      <c r="I236"/>
      <c r="J236" s="17"/>
      <c r="K236" s="190" t="s">
        <v>55</v>
      </c>
      <c r="L236" s="17">
        <f>SUBTOTAL(9,L234:L235)</f>
        <v>258840954</v>
      </c>
      <c r="M236" s="17">
        <f t="shared" ref="M236:N236" si="28">SUBTOTAL(9,M234:M235)</f>
        <v>25695538.300000001</v>
      </c>
      <c r="N236" s="17">
        <f t="shared" si="28"/>
        <v>284536492.30000001</v>
      </c>
      <c r="O236" s="96"/>
      <c r="P236"/>
      <c r="Q236" s="96"/>
      <c r="R236"/>
      <c r="S236"/>
      <c r="T236"/>
    </row>
    <row r="237" spans="1:20" s="66" customFormat="1">
      <c r="A237"/>
      <c r="B237" s="1"/>
      <c r="C237"/>
      <c r="D237" s="96"/>
      <c r="E237" t="s">
        <v>15</v>
      </c>
      <c r="F237" s="11">
        <f t="shared" si="27"/>
        <v>36546921</v>
      </c>
      <c r="G237" s="1"/>
      <c r="H237" s="1"/>
      <c r="I237"/>
      <c r="J237" s="17"/>
      <c r="K237" s="17"/>
      <c r="L237" s="17"/>
      <c r="M237" s="17"/>
      <c r="N237" s="17"/>
      <c r="O237" s="96"/>
      <c r="P237"/>
      <c r="Q237" s="96"/>
      <c r="R237"/>
      <c r="S237"/>
      <c r="T237"/>
    </row>
    <row r="238" spans="1:20" s="66" customFormat="1">
      <c r="A238"/>
      <c r="B238" s="1"/>
      <c r="C238"/>
      <c r="D238" s="96"/>
      <c r="E238" t="s">
        <v>27</v>
      </c>
      <c r="F238" s="11">
        <f t="shared" si="27"/>
        <v>0</v>
      </c>
      <c r="G238" s="1"/>
      <c r="H238" s="1"/>
      <c r="I238"/>
      <c r="J238" s="17"/>
      <c r="K238" s="17"/>
      <c r="L238" s="131"/>
      <c r="M238" s="131"/>
      <c r="N238" s="131"/>
      <c r="O238" s="96"/>
      <c r="P238"/>
      <c r="Q238" s="96"/>
      <c r="R238"/>
      <c r="S238"/>
      <c r="T238"/>
    </row>
    <row r="239" spans="1:20" s="66" customFormat="1">
      <c r="A239"/>
      <c r="B239" s="1"/>
      <c r="C239"/>
      <c r="D239" s="96"/>
      <c r="E239" t="s">
        <v>41</v>
      </c>
      <c r="F239" s="11">
        <f t="shared" si="27"/>
        <v>37948576</v>
      </c>
      <c r="G239" s="1"/>
      <c r="H239" s="1"/>
      <c r="I239"/>
      <c r="J239" s="17"/>
      <c r="K239" s="17"/>
      <c r="L239" s="17"/>
      <c r="M239" s="17"/>
      <c r="N239" s="131"/>
      <c r="O239" s="96"/>
      <c r="P239"/>
      <c r="Q239" s="96"/>
      <c r="R239"/>
      <c r="S239"/>
      <c r="T239"/>
    </row>
    <row r="240" spans="1:20" s="66" customFormat="1">
      <c r="A240"/>
      <c r="B240" s="1"/>
      <c r="C240"/>
      <c r="D240" s="96"/>
      <c r="E240" t="s">
        <v>25</v>
      </c>
      <c r="F240" s="11">
        <f t="shared" si="27"/>
        <v>0</v>
      </c>
      <c r="G240" s="1"/>
      <c r="H240" s="1"/>
      <c r="I240"/>
      <c r="J240" s="17"/>
      <c r="K240" s="17"/>
      <c r="L240" s="17"/>
      <c r="M240" s="17"/>
      <c r="N240" s="131"/>
      <c r="O240" s="96"/>
      <c r="P240"/>
      <c r="Q240" s="96"/>
      <c r="R240"/>
      <c r="S240"/>
      <c r="T240"/>
    </row>
    <row r="241" spans="1:20" s="66" customFormat="1">
      <c r="A241"/>
      <c r="B241" s="1"/>
      <c r="C241"/>
      <c r="D241" s="96"/>
      <c r="E241" t="s">
        <v>36</v>
      </c>
      <c r="F241" s="11">
        <f t="shared" si="27"/>
        <v>0</v>
      </c>
      <c r="G241" s="1"/>
      <c r="H241" s="1"/>
      <c r="I241"/>
      <c r="J241" s="17"/>
      <c r="K241" s="17"/>
      <c r="L241" s="17"/>
      <c r="M241" s="17"/>
      <c r="N241" s="17"/>
      <c r="O241" s="96"/>
      <c r="P241"/>
      <c r="Q241" s="96"/>
      <c r="R241"/>
      <c r="S241"/>
      <c r="T241"/>
    </row>
    <row r="242" spans="1:20" s="66" customFormat="1">
      <c r="A242"/>
      <c r="B242" s="1"/>
      <c r="C242"/>
      <c r="D242" s="96"/>
      <c r="E242" t="s">
        <v>30</v>
      </c>
      <c r="F242" s="11">
        <f t="shared" si="27"/>
        <v>5461433</v>
      </c>
      <c r="G242" s="1"/>
      <c r="H242" s="1"/>
      <c r="I242"/>
      <c r="J242" s="17"/>
      <c r="K242" s="17"/>
      <c r="L242" s="17"/>
      <c r="M242" s="17"/>
      <c r="N242" s="17"/>
      <c r="O242" s="96"/>
      <c r="P242"/>
      <c r="Q242" s="96"/>
      <c r="R242"/>
      <c r="S242"/>
      <c r="T242"/>
    </row>
    <row r="243" spans="1:20" s="66" customFormat="1">
      <c r="A243"/>
      <c r="B243" s="1"/>
      <c r="C243"/>
      <c r="D243" s="96"/>
      <c r="E243" t="s">
        <v>37</v>
      </c>
      <c r="F243" s="11">
        <f t="shared" si="27"/>
        <v>0</v>
      </c>
      <c r="G243" s="1"/>
      <c r="H243" s="1"/>
      <c r="I243"/>
      <c r="J243" s="17"/>
      <c r="K243" s="17"/>
      <c r="L243" s="17"/>
      <c r="M243" s="17"/>
      <c r="N243" s="17"/>
      <c r="O243" s="96"/>
      <c r="P243"/>
      <c r="Q243" s="96"/>
      <c r="R243"/>
      <c r="S243"/>
      <c r="T243"/>
    </row>
    <row r="244" spans="1:20" s="66" customFormat="1">
      <c r="A244"/>
      <c r="B244" s="1"/>
      <c r="C244"/>
      <c r="D244" s="96"/>
      <c r="E244" t="s">
        <v>35</v>
      </c>
      <c r="F244" s="11">
        <f t="shared" si="27"/>
        <v>0</v>
      </c>
      <c r="G244" s="1"/>
      <c r="H244" s="1"/>
      <c r="I244"/>
      <c r="J244" s="17"/>
      <c r="K244" s="17"/>
      <c r="L244" s="17"/>
      <c r="M244" s="17"/>
      <c r="N244" s="17"/>
      <c r="O244" s="96"/>
      <c r="P244"/>
      <c r="Q244" s="96"/>
      <c r="R244"/>
      <c r="S244"/>
      <c r="T244"/>
    </row>
    <row r="245" spans="1:20" s="66" customFormat="1">
      <c r="A245"/>
      <c r="B245" s="1"/>
      <c r="C245"/>
      <c r="D245" s="96"/>
      <c r="E245" t="s">
        <v>80</v>
      </c>
      <c r="F245" s="11">
        <f t="shared" si="27"/>
        <v>0</v>
      </c>
      <c r="G245" s="1"/>
      <c r="H245" s="1"/>
      <c r="I245"/>
      <c r="J245" s="17"/>
      <c r="K245" s="17"/>
      <c r="L245" s="17"/>
      <c r="M245" s="17"/>
      <c r="N245" s="17"/>
      <c r="O245" s="96"/>
      <c r="P245"/>
      <c r="Q245" s="96"/>
      <c r="R245"/>
      <c r="S245"/>
      <c r="T245"/>
    </row>
    <row r="246" spans="1:20" s="66" customFormat="1">
      <c r="A246"/>
      <c r="B246" s="1"/>
      <c r="C246"/>
      <c r="D246" s="96"/>
      <c r="E246" s="171" t="s">
        <v>92</v>
      </c>
      <c r="F246" s="18">
        <f>SUM(F234:F245)</f>
        <v>258840954</v>
      </c>
      <c r="G246" s="1"/>
      <c r="H246" s="1"/>
      <c r="I246"/>
      <c r="J246" s="17"/>
      <c r="K246" s="17"/>
      <c r="L246" s="17"/>
      <c r="M246" s="17"/>
      <c r="N246" s="131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 s="171" t="s">
        <v>93</v>
      </c>
      <c r="F247" s="18">
        <f>F246-F245</f>
        <v>258840954</v>
      </c>
      <c r="G247" s="1"/>
      <c r="H247" s="1"/>
      <c r="I247"/>
      <c r="J247" s="17"/>
      <c r="K247" s="17"/>
      <c r="L247" s="131"/>
      <c r="M247" s="131"/>
      <c r="N247" s="131"/>
      <c r="O247" s="96"/>
      <c r="P247"/>
      <c r="Q247" s="96"/>
      <c r="R247"/>
      <c r="S247"/>
      <c r="T247"/>
    </row>
    <row r="248" spans="1:20" s="66" customFormat="1">
      <c r="A248"/>
      <c r="B248" s="1"/>
      <c r="C248"/>
      <c r="D248" s="96"/>
      <c r="E248" s="171"/>
      <c r="F248" s="172"/>
      <c r="G248" s="1"/>
      <c r="H248" s="1"/>
      <c r="I248"/>
      <c r="J248" s="17"/>
      <c r="K248" s="17"/>
      <c r="L248" s="17"/>
      <c r="M248" s="17"/>
      <c r="N248" s="17"/>
      <c r="O248" s="96"/>
      <c r="P248"/>
      <c r="Q248" s="96"/>
      <c r="R248"/>
      <c r="S248"/>
      <c r="T248"/>
    </row>
    <row r="249" spans="1:20" s="66" customFormat="1">
      <c r="A249"/>
      <c r="B249" s="1"/>
      <c r="C249"/>
      <c r="D249" s="96"/>
      <c r="E249"/>
      <c r="F249"/>
      <c r="G249" s="1"/>
      <c r="H249" s="1"/>
      <c r="I249"/>
      <c r="J249" s="17"/>
      <c r="K249" s="222"/>
      <c r="L249" s="131"/>
      <c r="M249" s="17"/>
      <c r="N249" s="17"/>
      <c r="O249" s="96"/>
      <c r="P249"/>
      <c r="Q249" s="96"/>
      <c r="R249"/>
      <c r="S249"/>
      <c r="T249"/>
    </row>
    <row r="250" spans="1:20">
      <c r="K250" s="223"/>
      <c r="L250" s="191"/>
      <c r="M250" s="191"/>
      <c r="N250" s="191"/>
      <c r="O250" s="98"/>
    </row>
    <row r="251" spans="1:20">
      <c r="F251" s="170"/>
      <c r="L251" s="191"/>
      <c r="M251" s="191"/>
      <c r="N251" s="191">
        <f>SUBTOTAL(9,N5:N228)</f>
        <v>283885622.30000001</v>
      </c>
      <c r="O251" s="98"/>
    </row>
    <row r="252" spans="1:20">
      <c r="F252" s="170"/>
      <c r="L252" s="192"/>
      <c r="M252" s="192"/>
      <c r="N252" s="192"/>
      <c r="O252" s="98"/>
    </row>
    <row r="253" spans="1:20" s="1" customFormat="1">
      <c r="C253"/>
      <c r="D253" s="96"/>
      <c r="E253"/>
      <c r="F253"/>
      <c r="I253"/>
      <c r="J253" s="17"/>
      <c r="K253" s="17"/>
      <c r="L253" s="17"/>
      <c r="M253" s="17"/>
      <c r="N253" s="131"/>
      <c r="O253" s="96"/>
      <c r="P253"/>
      <c r="Q253" s="96"/>
      <c r="R253"/>
    </row>
    <row r="254" spans="1:20">
      <c r="N254" s="131"/>
    </row>
    <row r="255" spans="1:20">
      <c r="N255" s="131"/>
    </row>
    <row r="256" spans="1:20">
      <c r="N256" s="131"/>
    </row>
    <row r="257" spans="1:20">
      <c r="N257" s="131"/>
    </row>
    <row r="258" spans="1:20">
      <c r="N258" s="193"/>
    </row>
    <row r="259" spans="1:20">
      <c r="F259" s="170"/>
      <c r="N259" s="193"/>
    </row>
    <row r="260" spans="1:20" s="66" customFormat="1">
      <c r="A260"/>
      <c r="B260" s="1"/>
      <c r="C260"/>
      <c r="D260" s="96"/>
      <c r="E260"/>
      <c r="F260" s="170"/>
      <c r="G260" s="1"/>
      <c r="H260" s="1"/>
      <c r="I260"/>
      <c r="J260" s="17"/>
      <c r="K260" s="17"/>
      <c r="L260" s="17"/>
      <c r="M260" s="17"/>
      <c r="N260" s="193"/>
      <c r="O260" s="96"/>
      <c r="P260"/>
      <c r="Q260" s="96"/>
      <c r="R260"/>
      <c r="S260"/>
      <c r="T260"/>
    </row>
    <row r="261" spans="1:20" s="66" customFormat="1">
      <c r="A261"/>
      <c r="B261" s="1"/>
      <c r="C261"/>
      <c r="D261" s="96"/>
      <c r="E261"/>
      <c r="F261" s="170"/>
      <c r="G261" s="1"/>
      <c r="H261" s="1"/>
      <c r="I261"/>
      <c r="J261" s="17"/>
      <c r="K261" s="17"/>
      <c r="L261" s="194"/>
      <c r="M261" s="194"/>
      <c r="N261" s="195"/>
      <c r="O261" s="96"/>
      <c r="P261"/>
      <c r="Q261" s="96"/>
      <c r="R261"/>
      <c r="S261"/>
      <c r="T261"/>
    </row>
    <row r="262" spans="1:20" s="66" customFormat="1">
      <c r="A262"/>
      <c r="B262" s="1"/>
      <c r="C262"/>
      <c r="D262" s="96"/>
      <c r="E262"/>
      <c r="F262" s="170"/>
      <c r="G262" s="1"/>
      <c r="H262" s="1"/>
      <c r="I262"/>
      <c r="J262" s="17"/>
      <c r="K262" s="17"/>
      <c r="L262" s="131"/>
      <c r="M262" s="131"/>
      <c r="N262" s="193"/>
      <c r="O262" s="96"/>
      <c r="P262"/>
      <c r="Q262" s="96"/>
      <c r="R262"/>
      <c r="S262"/>
      <c r="T262"/>
    </row>
    <row r="263" spans="1:20" s="66" customFormat="1">
      <c r="A263"/>
      <c r="B263" s="1"/>
      <c r="C263"/>
      <c r="D263" s="96"/>
      <c r="E263"/>
      <c r="F263"/>
      <c r="G263" s="1"/>
      <c r="H263" s="1"/>
      <c r="I263"/>
      <c r="J263" s="17"/>
      <c r="K263" s="17"/>
      <c r="L263" s="131"/>
      <c r="M263" s="131"/>
      <c r="N263" s="193"/>
      <c r="O263" s="96"/>
      <c r="P263"/>
      <c r="Q263" s="96"/>
      <c r="R263"/>
      <c r="S263"/>
      <c r="T263"/>
    </row>
    <row r="264" spans="1:20" s="66" customFormat="1">
      <c r="A264"/>
      <c r="B264" s="1"/>
      <c r="C264"/>
      <c r="D264" s="96"/>
      <c r="E264"/>
      <c r="F264"/>
      <c r="G264" s="1"/>
      <c r="H264" s="1"/>
      <c r="I264"/>
      <c r="J264" s="17"/>
      <c r="K264" s="17"/>
      <c r="L264" s="17"/>
      <c r="M264" s="17"/>
      <c r="N264" s="193"/>
      <c r="O264" s="96"/>
      <c r="P264"/>
      <c r="Q264" s="96"/>
      <c r="R264"/>
      <c r="S264"/>
      <c r="T264"/>
    </row>
    <row r="265" spans="1:20" s="66" customFormat="1">
      <c r="A265"/>
      <c r="B265" s="1"/>
      <c r="C265"/>
      <c r="D265" s="96"/>
      <c r="E265"/>
      <c r="F265"/>
      <c r="G265" s="1"/>
      <c r="H265" s="1"/>
      <c r="I265"/>
      <c r="J265" s="17"/>
      <c r="K265" s="17"/>
      <c r="L265" s="17"/>
      <c r="M265" s="17"/>
      <c r="N265" s="17"/>
      <c r="O265" s="96"/>
      <c r="P265"/>
      <c r="Q265" s="96"/>
      <c r="R265"/>
      <c r="S265"/>
      <c r="T265"/>
    </row>
    <row r="266" spans="1:20" s="66" customFormat="1">
      <c r="A266"/>
      <c r="B266" s="1"/>
      <c r="C266"/>
      <c r="D266" s="96"/>
      <c r="E266"/>
      <c r="F266"/>
      <c r="G266" s="1"/>
      <c r="H266" s="1"/>
      <c r="I266"/>
      <c r="J266" s="17"/>
      <c r="K266" s="17"/>
      <c r="L266" s="17"/>
      <c r="M266" s="17"/>
      <c r="N266" s="17"/>
      <c r="O266" s="96"/>
      <c r="P266"/>
      <c r="Q266" s="96"/>
      <c r="R266"/>
      <c r="S266"/>
      <c r="T266"/>
    </row>
    <row r="267" spans="1:20" s="66" customFormat="1">
      <c r="A267"/>
      <c r="B267" s="1"/>
      <c r="C267"/>
      <c r="D267" s="96"/>
      <c r="E267"/>
      <c r="F267"/>
      <c r="G267" s="1"/>
      <c r="H267" s="1"/>
      <c r="I267"/>
      <c r="J267" s="17"/>
      <c r="K267" s="17"/>
      <c r="L267" s="17"/>
      <c r="M267" s="17"/>
      <c r="N267" s="17"/>
      <c r="O267" s="96"/>
      <c r="P267"/>
      <c r="Q267" s="96"/>
      <c r="R267"/>
      <c r="S267"/>
      <c r="T267"/>
    </row>
    <row r="270" spans="1:20" s="66" customFormat="1">
      <c r="A270"/>
      <c r="B270" s="1"/>
      <c r="C270"/>
      <c r="D270" s="96"/>
      <c r="E270"/>
      <c r="F270"/>
      <c r="G270" s="1"/>
      <c r="H270" s="1"/>
      <c r="I270"/>
      <c r="J270" s="17"/>
      <c r="K270" s="17"/>
      <c r="L270" s="17"/>
      <c r="M270" s="17"/>
      <c r="N270" s="17"/>
      <c r="O270" s="96"/>
      <c r="P270"/>
      <c r="Q270" s="96"/>
      <c r="R270"/>
      <c r="S270"/>
      <c r="T270"/>
    </row>
    <row r="271" spans="1:20" s="66" customFormat="1">
      <c r="A271"/>
      <c r="B271" s="1"/>
      <c r="C271"/>
      <c r="D271" s="96"/>
      <c r="E271"/>
      <c r="F271"/>
      <c r="G271" s="1"/>
      <c r="H271" s="1"/>
      <c r="I271"/>
      <c r="J271" s="17"/>
      <c r="K271" s="17"/>
      <c r="L271" s="17"/>
      <c r="M271" s="17"/>
      <c r="N271" s="17"/>
      <c r="O271" s="96"/>
      <c r="P271"/>
      <c r="Q271" s="96"/>
      <c r="R271"/>
      <c r="S271"/>
      <c r="T271"/>
    </row>
    <row r="272" spans="1:20" s="66" customFormat="1">
      <c r="A272"/>
      <c r="B272" s="1"/>
      <c r="C272"/>
      <c r="D272" s="96"/>
      <c r="E272"/>
      <c r="F272"/>
      <c r="G272" s="1"/>
      <c r="H272" s="1"/>
      <c r="I272"/>
      <c r="J272" s="17"/>
      <c r="K272" s="17"/>
      <c r="L272" s="17"/>
      <c r="M272" s="17"/>
      <c r="N272" s="17"/>
      <c r="O272" s="96"/>
      <c r="P272"/>
      <c r="Q272" s="96"/>
      <c r="R272"/>
      <c r="S272"/>
      <c r="T272"/>
    </row>
    <row r="273" spans="1:20" s="66" customFormat="1">
      <c r="A273"/>
      <c r="B273" s="1"/>
      <c r="C273"/>
      <c r="D273" s="96"/>
      <c r="E273"/>
      <c r="F273"/>
      <c r="G273" s="1"/>
      <c r="H273" s="1"/>
      <c r="I273"/>
      <c r="J273" s="17"/>
      <c r="K273" s="17"/>
      <c r="L273" s="17"/>
      <c r="M273" s="17"/>
      <c r="N273" s="17"/>
      <c r="O273" s="96"/>
      <c r="P273"/>
      <c r="Q273" s="96"/>
      <c r="R273"/>
      <c r="S273"/>
      <c r="T273"/>
    </row>
    <row r="274" spans="1:20" s="66" customFormat="1">
      <c r="A274"/>
      <c r="B274" s="1"/>
      <c r="C274"/>
      <c r="D274" s="96"/>
      <c r="E274"/>
      <c r="F274"/>
      <c r="G274" s="1"/>
      <c r="H274" s="1"/>
      <c r="I274"/>
      <c r="J274" s="17"/>
      <c r="K274" s="17"/>
      <c r="L274" s="17"/>
      <c r="M274" s="17"/>
      <c r="N274" s="17"/>
      <c r="O274" s="96"/>
      <c r="P274"/>
      <c r="Q274" s="96"/>
      <c r="R274"/>
      <c r="S274"/>
      <c r="T274"/>
    </row>
    <row r="275" spans="1:20" s="66" customFormat="1">
      <c r="A275"/>
      <c r="B275" s="1"/>
      <c r="C275"/>
      <c r="D275" s="96"/>
      <c r="E275"/>
      <c r="F275"/>
      <c r="G275" s="1"/>
      <c r="H275" s="1"/>
      <c r="I275"/>
      <c r="J275" s="17"/>
      <c r="K275" s="17"/>
      <c r="L275" s="17"/>
      <c r="M275" s="17"/>
      <c r="N275" s="17"/>
      <c r="O275" s="96"/>
      <c r="P275"/>
      <c r="Q275" s="96"/>
      <c r="R275"/>
      <c r="S275"/>
      <c r="T275"/>
    </row>
  </sheetData>
  <autoFilter ref="A4:V247" xr:uid="{0AF42929-B776-4786-BA02-68ED6CA121EF}"/>
  <sortState xmlns:xlrd2="http://schemas.microsoft.com/office/spreadsheetml/2017/richdata2" ref="A228:V228">
    <sortCondition ref="N228"/>
  </sortState>
  <dataConsolidate/>
  <mergeCells count="15">
    <mergeCell ref="Q3:Q4"/>
    <mergeCell ref="R3:R4"/>
    <mergeCell ref="B230:I230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1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7CC-CF21-460A-AB96-09C5EC760502}">
  <sheetPr codeName="Sheet4">
    <pageSetUpPr fitToPage="1"/>
  </sheetPr>
  <dimension ref="A1:V255"/>
  <sheetViews>
    <sheetView zoomScaleNormal="100" workbookViewId="0">
      <pane ySplit="4" topLeftCell="A182" activePane="bottomLeft" state="frozen"/>
      <selection activeCell="F228" sqref="F228"/>
      <selection pane="bottomLeft" activeCell="Q2" sqref="Q2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9" ht="26.25">
      <c r="B1" s="136" t="str">
        <f>"["&amp;YEAR(D5)&amp;"년 "&amp;MONTH(D5)&amp;"월 매입]"</f>
        <v>[2025년 3월 매입]</v>
      </c>
      <c r="C1" s="136"/>
      <c r="E1" s="202"/>
      <c r="O1" s="95"/>
    </row>
    <row r="2" spans="1:19" ht="17.25" thickBot="1">
      <c r="B2" s="137"/>
      <c r="C2" s="138"/>
      <c r="M2" s="17" t="s">
        <v>109</v>
      </c>
      <c r="O2" s="243" t="s">
        <v>2385</v>
      </c>
      <c r="Q2" s="243" t="s">
        <v>2277</v>
      </c>
    </row>
    <row r="3" spans="1:19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9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242" t="s">
        <v>18</v>
      </c>
      <c r="O4" s="274"/>
      <c r="P4" s="276"/>
      <c r="Q4" s="259"/>
      <c r="R4" s="261"/>
    </row>
    <row r="5" spans="1:19" ht="16.5" customHeight="1">
      <c r="A5" t="s">
        <v>64</v>
      </c>
      <c r="B5" s="10" t="s">
        <v>144</v>
      </c>
      <c r="C5" s="12"/>
      <c r="D5" s="13">
        <v>45717</v>
      </c>
      <c r="E5" s="155" t="s">
        <v>167</v>
      </c>
      <c r="F5" s="155"/>
      <c r="G5" s="156" t="s">
        <v>30</v>
      </c>
      <c r="H5" s="156" t="s">
        <v>145</v>
      </c>
      <c r="I5" s="69" t="s">
        <v>1143</v>
      </c>
      <c r="J5" s="122">
        <v>1</v>
      </c>
      <c r="K5" s="15">
        <v>71000</v>
      </c>
      <c r="L5" s="15">
        <f t="shared" ref="L5:L37" si="0">J5*K5</f>
        <v>71000</v>
      </c>
      <c r="M5" s="15">
        <f>L5*10%</f>
        <v>7100</v>
      </c>
      <c r="N5" s="15">
        <f t="shared" ref="N5:N54" si="1">SUM(L5:M5)</f>
        <v>78100</v>
      </c>
      <c r="O5" s="5" t="s">
        <v>1144</v>
      </c>
      <c r="P5" s="9" t="s">
        <v>2644</v>
      </c>
      <c r="Q5" s="5" t="s">
        <v>144</v>
      </c>
      <c r="R5" s="209"/>
    </row>
    <row r="6" spans="1:19" ht="16.5" customHeight="1">
      <c r="A6" t="s">
        <v>64</v>
      </c>
      <c r="B6" s="10" t="s">
        <v>372</v>
      </c>
      <c r="C6" s="139"/>
      <c r="D6" s="13">
        <v>45717</v>
      </c>
      <c r="E6" s="155" t="s">
        <v>2633</v>
      </c>
      <c r="F6" s="155" t="s">
        <v>97</v>
      </c>
      <c r="G6" s="156" t="s">
        <v>7</v>
      </c>
      <c r="H6" s="156" t="s">
        <v>143</v>
      </c>
      <c r="I6" s="69" t="s">
        <v>1142</v>
      </c>
      <c r="J6" s="122">
        <v>1</v>
      </c>
      <c r="K6" s="15">
        <v>436400</v>
      </c>
      <c r="L6" s="16">
        <f t="shared" si="0"/>
        <v>436400</v>
      </c>
      <c r="M6" s="15">
        <f>L6*10%</f>
        <v>43640</v>
      </c>
      <c r="N6" s="15">
        <f t="shared" si="1"/>
        <v>480040</v>
      </c>
      <c r="O6" s="5" t="s">
        <v>1542</v>
      </c>
      <c r="P6" s="174" t="s">
        <v>2636</v>
      </c>
      <c r="Q6" s="5">
        <v>45717</v>
      </c>
      <c r="R6" s="209"/>
    </row>
    <row r="7" spans="1:19" ht="16.5" customHeight="1">
      <c r="A7" t="s">
        <v>64</v>
      </c>
      <c r="B7" s="10" t="s">
        <v>373</v>
      </c>
      <c r="C7" s="12"/>
      <c r="D7" s="13">
        <v>45717</v>
      </c>
      <c r="E7" s="155" t="s">
        <v>2633</v>
      </c>
      <c r="F7" s="155" t="s">
        <v>374</v>
      </c>
      <c r="G7" s="156" t="s">
        <v>98</v>
      </c>
      <c r="H7" s="156" t="s">
        <v>143</v>
      </c>
      <c r="I7" s="69" t="s">
        <v>1207</v>
      </c>
      <c r="J7" s="122">
        <v>1</v>
      </c>
      <c r="K7" s="15">
        <v>277600</v>
      </c>
      <c r="L7" s="16">
        <f t="shared" si="0"/>
        <v>277600</v>
      </c>
      <c r="M7" s="16">
        <f>L7*10%</f>
        <v>27760</v>
      </c>
      <c r="N7" s="15">
        <f t="shared" si="1"/>
        <v>305360</v>
      </c>
      <c r="O7" s="5" t="s">
        <v>1542</v>
      </c>
      <c r="P7" s="174" t="s">
        <v>2636</v>
      </c>
      <c r="Q7" s="5">
        <v>45741</v>
      </c>
      <c r="R7" s="209"/>
    </row>
    <row r="8" spans="1:19" ht="16.5" customHeight="1">
      <c r="A8" t="s">
        <v>64</v>
      </c>
      <c r="B8" s="10" t="s">
        <v>1223</v>
      </c>
      <c r="C8" s="12"/>
      <c r="D8" s="13">
        <v>45717</v>
      </c>
      <c r="E8" s="155" t="s">
        <v>33</v>
      </c>
      <c r="F8" s="155" t="s">
        <v>1220</v>
      </c>
      <c r="G8" s="156" t="s">
        <v>41</v>
      </c>
      <c r="H8" s="156" t="s">
        <v>1221</v>
      </c>
      <c r="I8" s="69" t="s">
        <v>1222</v>
      </c>
      <c r="J8" s="122">
        <v>1</v>
      </c>
      <c r="K8" s="15">
        <v>150000</v>
      </c>
      <c r="L8" s="16">
        <f>J8*K8</f>
        <v>150000</v>
      </c>
      <c r="M8" s="16">
        <f>L8*10%</f>
        <v>15000</v>
      </c>
      <c r="N8" s="15">
        <f>SUM(L8:M8)</f>
        <v>165000</v>
      </c>
      <c r="O8" s="5" t="s">
        <v>2228</v>
      </c>
      <c r="P8" s="9" t="s">
        <v>2636</v>
      </c>
      <c r="Q8" s="5">
        <v>45713</v>
      </c>
      <c r="R8" s="209"/>
    </row>
    <row r="9" spans="1:19" ht="16.5" customHeight="1">
      <c r="A9" t="s">
        <v>64</v>
      </c>
      <c r="B9" s="10" t="s">
        <v>369</v>
      </c>
      <c r="C9" s="12"/>
      <c r="D9" s="13">
        <v>45719</v>
      </c>
      <c r="E9" s="155" t="s">
        <v>2633</v>
      </c>
      <c r="F9" s="155" t="s">
        <v>365</v>
      </c>
      <c r="G9" s="156" t="s">
        <v>7</v>
      </c>
      <c r="H9" s="156" t="s">
        <v>143</v>
      </c>
      <c r="I9" s="69" t="s">
        <v>1209</v>
      </c>
      <c r="J9" s="122">
        <v>1</v>
      </c>
      <c r="K9" s="15">
        <v>316682</v>
      </c>
      <c r="L9" s="16">
        <f t="shared" si="0"/>
        <v>316682</v>
      </c>
      <c r="M9" s="15">
        <v>31668</v>
      </c>
      <c r="N9" s="15">
        <f t="shared" si="1"/>
        <v>348350</v>
      </c>
      <c r="O9" s="5" t="s">
        <v>1844</v>
      </c>
      <c r="P9" s="9" t="s">
        <v>2636</v>
      </c>
      <c r="Q9" s="5">
        <v>45717</v>
      </c>
      <c r="R9" s="209"/>
    </row>
    <row r="10" spans="1:19" ht="16.5" customHeight="1">
      <c r="A10" t="s">
        <v>64</v>
      </c>
      <c r="B10" s="140" t="s">
        <v>367</v>
      </c>
      <c r="C10" s="12"/>
      <c r="D10" s="13">
        <v>45719</v>
      </c>
      <c r="E10" s="155" t="s">
        <v>2633</v>
      </c>
      <c r="F10" s="155" t="s">
        <v>368</v>
      </c>
      <c r="G10" s="156" t="s">
        <v>7</v>
      </c>
      <c r="H10" s="156" t="s">
        <v>143</v>
      </c>
      <c r="I10" s="69" t="s">
        <v>1208</v>
      </c>
      <c r="J10" s="122">
        <v>1</v>
      </c>
      <c r="K10" s="15">
        <v>190849</v>
      </c>
      <c r="L10" s="16">
        <f t="shared" si="0"/>
        <v>190849</v>
      </c>
      <c r="M10" s="15">
        <v>19084</v>
      </c>
      <c r="N10" s="15">
        <f t="shared" si="1"/>
        <v>209933</v>
      </c>
      <c r="O10" s="5" t="s">
        <v>1844</v>
      </c>
      <c r="P10" s="177" t="s">
        <v>2636</v>
      </c>
      <c r="Q10" s="5">
        <v>45747</v>
      </c>
      <c r="R10" s="209"/>
    </row>
    <row r="11" spans="1:19" ht="16.5" customHeight="1">
      <c r="A11" t="s">
        <v>64</v>
      </c>
      <c r="B11" s="10" t="s">
        <v>152</v>
      </c>
      <c r="C11" s="12"/>
      <c r="D11" s="13">
        <v>45719</v>
      </c>
      <c r="E11" s="155" t="s">
        <v>2633</v>
      </c>
      <c r="F11" s="155" t="s">
        <v>153</v>
      </c>
      <c r="G11" s="156" t="s">
        <v>7</v>
      </c>
      <c r="H11" s="9" t="s">
        <v>143</v>
      </c>
      <c r="I11" s="69" t="s">
        <v>1193</v>
      </c>
      <c r="J11" s="122">
        <v>1</v>
      </c>
      <c r="K11" s="15">
        <v>564192</v>
      </c>
      <c r="L11" s="16">
        <f t="shared" si="0"/>
        <v>564192</v>
      </c>
      <c r="M11" s="15">
        <v>56419</v>
      </c>
      <c r="N11" s="15">
        <f t="shared" si="1"/>
        <v>620611</v>
      </c>
      <c r="O11" s="5" t="s">
        <v>1844</v>
      </c>
      <c r="P11" s="9" t="s">
        <v>2636</v>
      </c>
      <c r="Q11" s="5">
        <v>45717</v>
      </c>
      <c r="R11" s="209"/>
    </row>
    <row r="12" spans="1:19" ht="16.5" customHeight="1">
      <c r="A12" t="s">
        <v>64</v>
      </c>
      <c r="B12" s="10" t="s">
        <v>1230</v>
      </c>
      <c r="C12" s="12"/>
      <c r="D12" s="13">
        <v>45719</v>
      </c>
      <c r="E12" s="155" t="s">
        <v>2633</v>
      </c>
      <c r="F12" s="155" t="s">
        <v>63</v>
      </c>
      <c r="G12" s="156" t="s">
        <v>7</v>
      </c>
      <c r="H12" s="156" t="s">
        <v>143</v>
      </c>
      <c r="I12" s="69" t="s">
        <v>1194</v>
      </c>
      <c r="J12" s="122">
        <v>1</v>
      </c>
      <c r="K12" s="15">
        <v>93445</v>
      </c>
      <c r="L12" s="16">
        <f t="shared" si="0"/>
        <v>93445</v>
      </c>
      <c r="M12" s="15">
        <v>9344</v>
      </c>
      <c r="N12" s="15">
        <f t="shared" si="1"/>
        <v>102789</v>
      </c>
      <c r="O12" s="5" t="s">
        <v>1844</v>
      </c>
      <c r="P12" s="174" t="s">
        <v>2636</v>
      </c>
      <c r="Q12" s="5">
        <v>45747</v>
      </c>
      <c r="R12" s="209" t="s">
        <v>1940</v>
      </c>
    </row>
    <row r="13" spans="1:19" ht="16.5" customHeight="1">
      <c r="A13" t="s">
        <v>64</v>
      </c>
      <c r="B13" s="10" t="s">
        <v>415</v>
      </c>
      <c r="C13" s="12"/>
      <c r="D13" s="13">
        <v>45719</v>
      </c>
      <c r="E13" s="155" t="s">
        <v>2633</v>
      </c>
      <c r="F13" s="155" t="s">
        <v>99</v>
      </c>
      <c r="G13" s="156" t="s">
        <v>7</v>
      </c>
      <c r="H13" s="156" t="s">
        <v>143</v>
      </c>
      <c r="I13" s="69" t="s">
        <v>1233</v>
      </c>
      <c r="J13" s="122">
        <v>1</v>
      </c>
      <c r="K13" s="15">
        <v>691782</v>
      </c>
      <c r="L13" s="16">
        <f t="shared" si="0"/>
        <v>691782</v>
      </c>
      <c r="M13" s="16">
        <v>69178</v>
      </c>
      <c r="N13" s="15">
        <f t="shared" si="1"/>
        <v>760960</v>
      </c>
      <c r="O13" s="5" t="s">
        <v>1844</v>
      </c>
      <c r="P13" s="9" t="s">
        <v>2636</v>
      </c>
      <c r="Q13" s="5">
        <v>45752</v>
      </c>
      <c r="R13" s="209"/>
    </row>
    <row r="14" spans="1:19" ht="16.5" customHeight="1">
      <c r="A14" t="s">
        <v>64</v>
      </c>
      <c r="B14" s="141" t="s">
        <v>144</v>
      </c>
      <c r="C14" s="142"/>
      <c r="D14" s="13">
        <v>45719</v>
      </c>
      <c r="E14" s="155" t="s">
        <v>303</v>
      </c>
      <c r="F14" s="155"/>
      <c r="G14" s="156" t="s">
        <v>30</v>
      </c>
      <c r="H14" s="156" t="s">
        <v>271</v>
      </c>
      <c r="I14" s="159" t="s">
        <v>304</v>
      </c>
      <c r="J14" s="124">
        <v>1</v>
      </c>
      <c r="K14" s="16">
        <v>14676</v>
      </c>
      <c r="L14" s="15">
        <f t="shared" si="0"/>
        <v>14676</v>
      </c>
      <c r="M14" s="15">
        <v>1467</v>
      </c>
      <c r="N14" s="15">
        <f t="shared" si="1"/>
        <v>16143</v>
      </c>
      <c r="O14" s="5" t="s">
        <v>1270</v>
      </c>
      <c r="P14" s="175" t="s">
        <v>2644</v>
      </c>
      <c r="Q14" s="68" t="s">
        <v>206</v>
      </c>
      <c r="R14" s="209"/>
      <c r="S14" s="7"/>
    </row>
    <row r="15" spans="1:19" ht="16.5" customHeight="1">
      <c r="A15" t="s">
        <v>64</v>
      </c>
      <c r="B15" s="10" t="s">
        <v>353</v>
      </c>
      <c r="C15" s="12"/>
      <c r="D15" s="13">
        <v>45720</v>
      </c>
      <c r="E15" s="155" t="s">
        <v>2633</v>
      </c>
      <c r="F15" s="155" t="s">
        <v>171</v>
      </c>
      <c r="G15" s="156" t="s">
        <v>7</v>
      </c>
      <c r="H15" s="156" t="s">
        <v>366</v>
      </c>
      <c r="I15" s="69" t="s">
        <v>1190</v>
      </c>
      <c r="J15" s="122">
        <v>1</v>
      </c>
      <c r="K15" s="15">
        <v>3239404</v>
      </c>
      <c r="L15" s="16">
        <f t="shared" si="0"/>
        <v>3239404</v>
      </c>
      <c r="M15" s="15">
        <v>323940</v>
      </c>
      <c r="N15" s="15">
        <f t="shared" si="1"/>
        <v>3563344</v>
      </c>
      <c r="O15" s="5" t="s">
        <v>1844</v>
      </c>
      <c r="P15" s="9" t="s">
        <v>2635</v>
      </c>
      <c r="Q15" s="5">
        <v>45747</v>
      </c>
      <c r="R15" s="209"/>
    </row>
    <row r="16" spans="1:19" ht="16.5" customHeight="1">
      <c r="A16" t="s">
        <v>64</v>
      </c>
      <c r="B16" s="10" t="s">
        <v>394</v>
      </c>
      <c r="C16" s="12"/>
      <c r="D16" s="13">
        <v>45720</v>
      </c>
      <c r="E16" s="155" t="s">
        <v>2633</v>
      </c>
      <c r="F16" s="155" t="s">
        <v>391</v>
      </c>
      <c r="G16" s="156" t="s">
        <v>7</v>
      </c>
      <c r="H16" s="156" t="s">
        <v>143</v>
      </c>
      <c r="I16" s="69" t="s">
        <v>1195</v>
      </c>
      <c r="J16" s="122">
        <v>1</v>
      </c>
      <c r="K16" s="15">
        <v>205780</v>
      </c>
      <c r="L16" s="16">
        <f t="shared" si="0"/>
        <v>205780</v>
      </c>
      <c r="M16" s="16">
        <v>20578</v>
      </c>
      <c r="N16" s="15">
        <f t="shared" si="1"/>
        <v>226358</v>
      </c>
      <c r="O16" s="5" t="s">
        <v>1844</v>
      </c>
      <c r="P16" s="174" t="s">
        <v>2636</v>
      </c>
      <c r="Q16" s="5">
        <v>45491</v>
      </c>
      <c r="R16" s="209" t="s">
        <v>100</v>
      </c>
    </row>
    <row r="17" spans="1:18" ht="16.5" customHeight="1">
      <c r="A17" t="s">
        <v>64</v>
      </c>
      <c r="B17" s="10" t="s">
        <v>1229</v>
      </c>
      <c r="C17" s="12"/>
      <c r="D17" s="13">
        <v>45720</v>
      </c>
      <c r="E17" s="155" t="s">
        <v>2633</v>
      </c>
      <c r="F17" s="155" t="s">
        <v>1224</v>
      </c>
      <c r="G17" s="156" t="s">
        <v>7</v>
      </c>
      <c r="H17" s="156" t="s">
        <v>143</v>
      </c>
      <c r="I17" s="69" t="s">
        <v>1225</v>
      </c>
      <c r="J17" s="122">
        <v>1</v>
      </c>
      <c r="K17" s="15">
        <v>1210534</v>
      </c>
      <c r="L17" s="16">
        <f t="shared" si="0"/>
        <v>1210534</v>
      </c>
      <c r="M17" s="16">
        <v>121053</v>
      </c>
      <c r="N17" s="15">
        <f t="shared" si="1"/>
        <v>1331587</v>
      </c>
      <c r="O17" s="5" t="s">
        <v>1844</v>
      </c>
      <c r="P17" s="174" t="s">
        <v>2636</v>
      </c>
      <c r="Q17" s="5">
        <v>45747</v>
      </c>
      <c r="R17" s="209"/>
    </row>
    <row r="18" spans="1:18" ht="16.5" customHeight="1">
      <c r="A18" t="s">
        <v>64</v>
      </c>
      <c r="B18" s="10" t="s">
        <v>878</v>
      </c>
      <c r="C18" s="12"/>
      <c r="D18" s="13">
        <v>45720</v>
      </c>
      <c r="E18" s="155" t="s">
        <v>2633</v>
      </c>
      <c r="F18" s="155" t="s">
        <v>148</v>
      </c>
      <c r="G18" s="156" t="s">
        <v>98</v>
      </c>
      <c r="H18" s="156" t="s">
        <v>143</v>
      </c>
      <c r="I18" s="69" t="s">
        <v>1196</v>
      </c>
      <c r="J18" s="122">
        <v>1</v>
      </c>
      <c r="K18" s="15">
        <v>2812500</v>
      </c>
      <c r="L18" s="16">
        <f t="shared" si="0"/>
        <v>2812500</v>
      </c>
      <c r="M18" s="16">
        <v>281250</v>
      </c>
      <c r="N18" s="15">
        <f t="shared" si="1"/>
        <v>3093750</v>
      </c>
      <c r="O18" s="5" t="s">
        <v>1844</v>
      </c>
      <c r="P18" s="9" t="s">
        <v>2634</v>
      </c>
      <c r="Q18" s="5">
        <v>45666</v>
      </c>
      <c r="R18" s="209" t="s">
        <v>100</v>
      </c>
    </row>
    <row r="19" spans="1:18" ht="16.5" customHeight="1">
      <c r="A19" t="s">
        <v>64</v>
      </c>
      <c r="B19" s="140" t="s">
        <v>182</v>
      </c>
      <c r="C19" s="12"/>
      <c r="D19" s="13">
        <v>45720</v>
      </c>
      <c r="E19" s="155" t="s">
        <v>2633</v>
      </c>
      <c r="F19" s="155" t="s">
        <v>322</v>
      </c>
      <c r="G19" s="157" t="s">
        <v>98</v>
      </c>
      <c r="H19" s="156" t="s">
        <v>143</v>
      </c>
      <c r="I19" s="69" t="s">
        <v>1197</v>
      </c>
      <c r="J19" s="122">
        <v>1</v>
      </c>
      <c r="K19" s="15">
        <v>1123962</v>
      </c>
      <c r="L19" s="16">
        <f t="shared" si="0"/>
        <v>1123962</v>
      </c>
      <c r="M19" s="15">
        <v>112396</v>
      </c>
      <c r="N19" s="15">
        <f t="shared" si="1"/>
        <v>1236358</v>
      </c>
      <c r="O19" s="5" t="s">
        <v>1844</v>
      </c>
      <c r="P19" s="9" t="s">
        <v>2636</v>
      </c>
      <c r="Q19" s="5">
        <v>45717</v>
      </c>
      <c r="R19" s="209"/>
    </row>
    <row r="20" spans="1:18" ht="16.5" customHeight="1">
      <c r="A20" t="s">
        <v>64</v>
      </c>
      <c r="B20" s="10" t="s">
        <v>354</v>
      </c>
      <c r="C20" s="12"/>
      <c r="D20" s="13">
        <v>45720</v>
      </c>
      <c r="E20" s="155" t="s">
        <v>2633</v>
      </c>
      <c r="F20" s="155" t="s">
        <v>244</v>
      </c>
      <c r="G20" s="156" t="s">
        <v>7</v>
      </c>
      <c r="H20" s="156" t="s">
        <v>143</v>
      </c>
      <c r="I20" s="69" t="s">
        <v>1198</v>
      </c>
      <c r="J20" s="122">
        <v>1</v>
      </c>
      <c r="K20" s="15">
        <v>305280</v>
      </c>
      <c r="L20" s="16">
        <f t="shared" si="0"/>
        <v>305280</v>
      </c>
      <c r="M20" s="15">
        <v>30528</v>
      </c>
      <c r="N20" s="15">
        <f t="shared" si="1"/>
        <v>335808</v>
      </c>
      <c r="O20" s="5" t="s">
        <v>1844</v>
      </c>
      <c r="P20" s="9" t="s">
        <v>2636</v>
      </c>
      <c r="Q20" s="5">
        <v>45747</v>
      </c>
      <c r="R20" s="209"/>
    </row>
    <row r="21" spans="1:18" ht="16.5" customHeight="1">
      <c r="A21" t="s">
        <v>64</v>
      </c>
      <c r="B21" s="140" t="s">
        <v>182</v>
      </c>
      <c r="C21" s="12"/>
      <c r="D21" s="13">
        <v>45720</v>
      </c>
      <c r="E21" s="155" t="s">
        <v>2633</v>
      </c>
      <c r="F21" s="155" t="s">
        <v>322</v>
      </c>
      <c r="G21" s="156" t="s">
        <v>7</v>
      </c>
      <c r="H21" s="156" t="s">
        <v>143</v>
      </c>
      <c r="I21" s="69" t="s">
        <v>1199</v>
      </c>
      <c r="J21" s="122">
        <v>1</v>
      </c>
      <c r="K21" s="15">
        <v>259896</v>
      </c>
      <c r="L21" s="16">
        <f t="shared" si="0"/>
        <v>259896</v>
      </c>
      <c r="M21" s="16">
        <v>25989</v>
      </c>
      <c r="N21" s="15">
        <f t="shared" si="1"/>
        <v>285885</v>
      </c>
      <c r="O21" s="5" t="s">
        <v>1844</v>
      </c>
      <c r="P21" s="9" t="s">
        <v>2636</v>
      </c>
      <c r="Q21" s="5">
        <v>45717</v>
      </c>
      <c r="R21" s="213"/>
    </row>
    <row r="22" spans="1:18" ht="16.5" customHeight="1">
      <c r="A22" t="s">
        <v>64</v>
      </c>
      <c r="B22" s="10" t="s">
        <v>346</v>
      </c>
      <c r="C22" s="12"/>
      <c r="D22" s="13">
        <v>45720</v>
      </c>
      <c r="E22" s="155" t="s">
        <v>2633</v>
      </c>
      <c r="F22" s="155" t="s">
        <v>2632</v>
      </c>
      <c r="G22" s="156" t="s">
        <v>98</v>
      </c>
      <c r="H22" s="156" t="s">
        <v>143</v>
      </c>
      <c r="I22" s="69" t="s">
        <v>1200</v>
      </c>
      <c r="J22" s="122">
        <v>1</v>
      </c>
      <c r="K22" s="15">
        <v>66498</v>
      </c>
      <c r="L22" s="16">
        <f t="shared" si="0"/>
        <v>66498</v>
      </c>
      <c r="M22" s="15">
        <v>6649</v>
      </c>
      <c r="N22" s="15">
        <f t="shared" si="1"/>
        <v>73147</v>
      </c>
      <c r="O22" s="5" t="s">
        <v>1844</v>
      </c>
      <c r="P22" s="174" t="s">
        <v>2636</v>
      </c>
      <c r="Q22" s="5">
        <v>45747</v>
      </c>
      <c r="R22" s="209"/>
    </row>
    <row r="23" spans="1:18" ht="16.5" customHeight="1">
      <c r="A23" t="s">
        <v>64</v>
      </c>
      <c r="B23" s="10" t="s">
        <v>396</v>
      </c>
      <c r="C23" s="12"/>
      <c r="D23" s="13">
        <v>45720</v>
      </c>
      <c r="E23" s="155" t="s">
        <v>2633</v>
      </c>
      <c r="F23" s="155" t="s">
        <v>352</v>
      </c>
      <c r="G23" s="157" t="s">
        <v>98</v>
      </c>
      <c r="H23" s="156" t="s">
        <v>143</v>
      </c>
      <c r="I23" s="69" t="s">
        <v>1201</v>
      </c>
      <c r="J23" s="122">
        <v>1</v>
      </c>
      <c r="K23" s="15">
        <v>80160</v>
      </c>
      <c r="L23" s="16">
        <f t="shared" si="0"/>
        <v>80160</v>
      </c>
      <c r="M23" s="16">
        <v>8016</v>
      </c>
      <c r="N23" s="15">
        <f t="shared" si="1"/>
        <v>88176</v>
      </c>
      <c r="O23" s="5" t="s">
        <v>1844</v>
      </c>
      <c r="P23" s="174" t="s">
        <v>2636</v>
      </c>
      <c r="Q23" s="5">
        <v>45747</v>
      </c>
      <c r="R23" s="209"/>
    </row>
    <row r="24" spans="1:18" ht="16.5" customHeight="1">
      <c r="A24" t="s">
        <v>64</v>
      </c>
      <c r="B24" s="143" t="s">
        <v>174</v>
      </c>
      <c r="C24" s="144"/>
      <c r="D24" s="13">
        <v>45720</v>
      </c>
      <c r="E24" s="155" t="s">
        <v>2633</v>
      </c>
      <c r="F24" s="155" t="s">
        <v>175</v>
      </c>
      <c r="G24" s="157" t="s">
        <v>98</v>
      </c>
      <c r="H24" s="156" t="s">
        <v>143</v>
      </c>
      <c r="I24" s="69" t="s">
        <v>1202</v>
      </c>
      <c r="J24" s="122">
        <v>1</v>
      </c>
      <c r="K24" s="15">
        <v>198018</v>
      </c>
      <c r="L24" s="16">
        <f t="shared" si="0"/>
        <v>198018</v>
      </c>
      <c r="M24" s="15">
        <v>19801</v>
      </c>
      <c r="N24" s="15">
        <f t="shared" si="1"/>
        <v>217819</v>
      </c>
      <c r="O24" s="5" t="s">
        <v>1844</v>
      </c>
      <c r="P24" s="174" t="s">
        <v>2636</v>
      </c>
      <c r="Q24" s="5">
        <v>45717</v>
      </c>
      <c r="R24" s="209"/>
    </row>
    <row r="25" spans="1:18" ht="16.5" customHeight="1">
      <c r="A25" t="s">
        <v>64</v>
      </c>
      <c r="B25" s="10" t="s">
        <v>414</v>
      </c>
      <c r="C25" s="12"/>
      <c r="D25" s="13">
        <v>45720</v>
      </c>
      <c r="E25" s="155" t="s">
        <v>2633</v>
      </c>
      <c r="F25" s="155" t="s">
        <v>308</v>
      </c>
      <c r="G25" s="156" t="s">
        <v>98</v>
      </c>
      <c r="H25" s="156" t="s">
        <v>143</v>
      </c>
      <c r="I25" s="69" t="s">
        <v>1203</v>
      </c>
      <c r="J25" s="122">
        <v>1</v>
      </c>
      <c r="K25" s="16">
        <v>84811</v>
      </c>
      <c r="L25" s="16">
        <f t="shared" si="0"/>
        <v>84811</v>
      </c>
      <c r="M25" s="15">
        <v>8481</v>
      </c>
      <c r="N25" s="15">
        <f t="shared" si="1"/>
        <v>93292</v>
      </c>
      <c r="O25" s="5" t="s">
        <v>1844</v>
      </c>
      <c r="P25" s="174" t="s">
        <v>2636</v>
      </c>
      <c r="Q25" s="5">
        <v>45741</v>
      </c>
      <c r="R25" s="209"/>
    </row>
    <row r="26" spans="1:18" ht="16.5" customHeight="1">
      <c r="A26" t="s">
        <v>64</v>
      </c>
      <c r="B26" s="10" t="s">
        <v>490</v>
      </c>
      <c r="C26" s="12"/>
      <c r="D26" s="13">
        <v>45720</v>
      </c>
      <c r="E26" s="155" t="s">
        <v>2633</v>
      </c>
      <c r="F26" s="155" t="s">
        <v>2632</v>
      </c>
      <c r="G26" s="156" t="s">
        <v>7</v>
      </c>
      <c r="H26" s="156" t="s">
        <v>143</v>
      </c>
      <c r="I26" s="69" t="s">
        <v>1204</v>
      </c>
      <c r="J26" s="122">
        <v>1</v>
      </c>
      <c r="K26" s="16">
        <v>133875</v>
      </c>
      <c r="L26" s="16">
        <f t="shared" si="0"/>
        <v>133875</v>
      </c>
      <c r="M26" s="16">
        <v>13387</v>
      </c>
      <c r="N26" s="15">
        <f t="shared" si="1"/>
        <v>147262</v>
      </c>
      <c r="O26" s="5" t="s">
        <v>1844</v>
      </c>
      <c r="P26" s="9" t="s">
        <v>2636</v>
      </c>
      <c r="Q26" s="5">
        <v>45747</v>
      </c>
      <c r="R26" s="209"/>
    </row>
    <row r="27" spans="1:18">
      <c r="A27" t="s">
        <v>64</v>
      </c>
      <c r="B27" s="226" t="s">
        <v>1255</v>
      </c>
      <c r="C27" s="12"/>
      <c r="D27" s="13">
        <v>45720</v>
      </c>
      <c r="E27" s="155" t="s">
        <v>2633</v>
      </c>
      <c r="F27" s="155" t="s">
        <v>32</v>
      </c>
      <c r="G27" s="156" t="s">
        <v>98</v>
      </c>
      <c r="H27" s="156" t="s">
        <v>143</v>
      </c>
      <c r="I27" s="69" t="s">
        <v>1205</v>
      </c>
      <c r="J27" s="122">
        <v>1</v>
      </c>
      <c r="K27" s="16">
        <v>11623397</v>
      </c>
      <c r="L27" s="16">
        <f t="shared" si="0"/>
        <v>11623397</v>
      </c>
      <c r="M27" s="16">
        <v>1162339</v>
      </c>
      <c r="N27" s="15">
        <f t="shared" si="1"/>
        <v>12785736</v>
      </c>
      <c r="O27" s="5" t="s">
        <v>1844</v>
      </c>
      <c r="P27" s="174" t="s">
        <v>2636</v>
      </c>
      <c r="Q27" s="5">
        <v>45741</v>
      </c>
      <c r="R27" s="209"/>
    </row>
    <row r="28" spans="1:18" ht="16.5" customHeight="1">
      <c r="A28" t="s">
        <v>64</v>
      </c>
      <c r="B28" s="10" t="s">
        <v>555</v>
      </c>
      <c r="C28" s="12"/>
      <c r="D28" s="13">
        <v>45720</v>
      </c>
      <c r="E28" s="155" t="s">
        <v>2633</v>
      </c>
      <c r="F28" s="155" t="s">
        <v>553</v>
      </c>
      <c r="G28" s="156" t="s">
        <v>7</v>
      </c>
      <c r="H28" s="156" t="s">
        <v>143</v>
      </c>
      <c r="I28" s="69" t="s">
        <v>1206</v>
      </c>
      <c r="J28" s="122">
        <v>1</v>
      </c>
      <c r="K28" s="15">
        <v>990000</v>
      </c>
      <c r="L28" s="16">
        <f t="shared" si="0"/>
        <v>990000</v>
      </c>
      <c r="M28" s="16">
        <f>L28*10%</f>
        <v>99000</v>
      </c>
      <c r="N28" s="15">
        <f t="shared" si="1"/>
        <v>1089000</v>
      </c>
      <c r="O28" s="5" t="s">
        <v>1844</v>
      </c>
      <c r="P28" s="174" t="s">
        <v>2636</v>
      </c>
      <c r="Q28" s="5">
        <v>45717</v>
      </c>
      <c r="R28" s="213"/>
    </row>
    <row r="29" spans="1:18" ht="16.5" customHeight="1">
      <c r="A29" t="s">
        <v>64</v>
      </c>
      <c r="B29" s="10" t="s">
        <v>349</v>
      </c>
      <c r="C29" s="12"/>
      <c r="D29" s="13">
        <v>45720</v>
      </c>
      <c r="E29" s="155" t="s">
        <v>2633</v>
      </c>
      <c r="F29" s="155" t="s">
        <v>241</v>
      </c>
      <c r="G29" s="156" t="s">
        <v>98</v>
      </c>
      <c r="H29" s="156" t="s">
        <v>143</v>
      </c>
      <c r="I29" s="69" t="s">
        <v>1613</v>
      </c>
      <c r="J29" s="122">
        <v>1</v>
      </c>
      <c r="K29" s="15">
        <v>1263248</v>
      </c>
      <c r="L29" s="16">
        <f t="shared" si="0"/>
        <v>1263248</v>
      </c>
      <c r="M29" s="15">
        <v>126324</v>
      </c>
      <c r="N29" s="15">
        <f t="shared" si="1"/>
        <v>1389572</v>
      </c>
      <c r="O29" s="5" t="s">
        <v>1844</v>
      </c>
      <c r="P29" s="174" t="s">
        <v>2636</v>
      </c>
      <c r="Q29" s="5">
        <v>45747</v>
      </c>
      <c r="R29" s="209"/>
    </row>
    <row r="30" spans="1:18" ht="16.5" customHeight="1">
      <c r="A30" t="s">
        <v>64</v>
      </c>
      <c r="B30" s="141" t="s">
        <v>163</v>
      </c>
      <c r="C30" s="12"/>
      <c r="D30" s="13">
        <v>45720</v>
      </c>
      <c r="E30" s="155" t="s">
        <v>2633</v>
      </c>
      <c r="F30" s="155" t="s">
        <v>114</v>
      </c>
      <c r="G30" s="156" t="s">
        <v>7</v>
      </c>
      <c r="H30" s="156" t="s">
        <v>143</v>
      </c>
      <c r="I30" s="69" t="s">
        <v>1234</v>
      </c>
      <c r="J30" s="122">
        <v>1</v>
      </c>
      <c r="K30" s="15">
        <v>212293</v>
      </c>
      <c r="L30" s="15">
        <f t="shared" si="0"/>
        <v>212293</v>
      </c>
      <c r="M30" s="15">
        <v>21229</v>
      </c>
      <c r="N30" s="15">
        <f t="shared" si="1"/>
        <v>233522</v>
      </c>
      <c r="O30" s="5" t="s">
        <v>1844</v>
      </c>
      <c r="P30" s="9" t="s">
        <v>2636</v>
      </c>
      <c r="Q30" s="5">
        <v>45747</v>
      </c>
      <c r="R30" s="209"/>
    </row>
    <row r="31" spans="1:18" ht="16.5" customHeight="1">
      <c r="A31" t="s">
        <v>64</v>
      </c>
      <c r="B31" s="10" t="s">
        <v>487</v>
      </c>
      <c r="C31" s="12"/>
      <c r="D31" s="13">
        <v>45720</v>
      </c>
      <c r="E31" s="155" t="s">
        <v>2633</v>
      </c>
      <c r="F31" s="155" t="s">
        <v>488</v>
      </c>
      <c r="G31" s="156" t="s">
        <v>98</v>
      </c>
      <c r="H31" s="156" t="s">
        <v>143</v>
      </c>
      <c r="I31" s="69" t="s">
        <v>1235</v>
      </c>
      <c r="J31" s="122">
        <v>1</v>
      </c>
      <c r="K31" s="15">
        <v>145780</v>
      </c>
      <c r="L31" s="16">
        <f t="shared" si="0"/>
        <v>145780</v>
      </c>
      <c r="M31" s="16">
        <v>14578</v>
      </c>
      <c r="N31" s="15">
        <f t="shared" si="1"/>
        <v>160358</v>
      </c>
      <c r="O31" s="5" t="s">
        <v>1844</v>
      </c>
      <c r="P31" s="9" t="s">
        <v>2636</v>
      </c>
      <c r="Q31" s="5">
        <v>45717</v>
      </c>
      <c r="R31" s="209"/>
    </row>
    <row r="32" spans="1:18" ht="16.5" customHeight="1">
      <c r="A32" t="s">
        <v>64</v>
      </c>
      <c r="B32" s="10" t="s">
        <v>146</v>
      </c>
      <c r="C32" s="12"/>
      <c r="D32" s="13">
        <v>45720</v>
      </c>
      <c r="E32" s="155" t="s">
        <v>2633</v>
      </c>
      <c r="F32" s="155" t="s">
        <v>114</v>
      </c>
      <c r="G32" s="156" t="s">
        <v>7</v>
      </c>
      <c r="H32" s="156" t="s">
        <v>143</v>
      </c>
      <c r="I32" s="69" t="s">
        <v>1236</v>
      </c>
      <c r="J32" s="122">
        <v>1</v>
      </c>
      <c r="K32" s="15">
        <v>309047</v>
      </c>
      <c r="L32" s="16">
        <f t="shared" si="0"/>
        <v>309047</v>
      </c>
      <c r="M32" s="15">
        <v>30904</v>
      </c>
      <c r="N32" s="15">
        <f t="shared" si="1"/>
        <v>339951</v>
      </c>
      <c r="O32" s="5" t="s">
        <v>1844</v>
      </c>
      <c r="P32" s="9" t="s">
        <v>2636</v>
      </c>
      <c r="Q32" s="5">
        <v>45658</v>
      </c>
      <c r="R32" s="209" t="s">
        <v>147</v>
      </c>
    </row>
    <row r="33" spans="1:20" ht="16.5" customHeight="1">
      <c r="A33" t="s">
        <v>64</v>
      </c>
      <c r="B33" s="10" t="s">
        <v>373</v>
      </c>
      <c r="C33" s="139"/>
      <c r="D33" s="13">
        <v>45720</v>
      </c>
      <c r="E33" s="155" t="s">
        <v>2633</v>
      </c>
      <c r="F33" s="155" t="s">
        <v>374</v>
      </c>
      <c r="G33" s="156" t="s">
        <v>98</v>
      </c>
      <c r="H33" s="156" t="s">
        <v>143</v>
      </c>
      <c r="I33" s="69" t="s">
        <v>1237</v>
      </c>
      <c r="J33" s="122">
        <v>1</v>
      </c>
      <c r="K33" s="15">
        <v>142800</v>
      </c>
      <c r="L33" s="16">
        <f t="shared" si="0"/>
        <v>142800</v>
      </c>
      <c r="M33" s="15">
        <f>L33*10%</f>
        <v>14280</v>
      </c>
      <c r="N33" s="15">
        <f t="shared" si="1"/>
        <v>157080</v>
      </c>
      <c r="O33" s="5" t="s">
        <v>1844</v>
      </c>
      <c r="P33" s="174" t="s">
        <v>2636</v>
      </c>
      <c r="Q33" s="5">
        <v>45741</v>
      </c>
      <c r="R33" s="209"/>
    </row>
    <row r="34" spans="1:20" ht="16.5" customHeight="1">
      <c r="A34" t="s">
        <v>64</v>
      </c>
      <c r="B34" s="10" t="s">
        <v>298</v>
      </c>
      <c r="C34" s="12"/>
      <c r="D34" s="13">
        <v>45720</v>
      </c>
      <c r="E34" s="155" t="s">
        <v>2633</v>
      </c>
      <c r="F34" s="155" t="s">
        <v>114</v>
      </c>
      <c r="G34" s="156" t="s">
        <v>98</v>
      </c>
      <c r="H34" s="156" t="s">
        <v>143</v>
      </c>
      <c r="I34" s="69" t="s">
        <v>1238</v>
      </c>
      <c r="J34" s="122">
        <v>1</v>
      </c>
      <c r="K34" s="15">
        <v>70422</v>
      </c>
      <c r="L34" s="16">
        <f t="shared" si="0"/>
        <v>70422</v>
      </c>
      <c r="M34" s="15">
        <v>7042</v>
      </c>
      <c r="N34" s="15">
        <f t="shared" si="1"/>
        <v>77464</v>
      </c>
      <c r="O34" s="5" t="s">
        <v>1844</v>
      </c>
      <c r="P34" s="174" t="s">
        <v>2636</v>
      </c>
      <c r="Q34" s="5">
        <v>45716</v>
      </c>
      <c r="R34" s="209" t="s">
        <v>1257</v>
      </c>
    </row>
    <row r="35" spans="1:20" ht="16.5" customHeight="1">
      <c r="A35" t="s">
        <v>64</v>
      </c>
      <c r="B35" s="141" t="s">
        <v>169</v>
      </c>
      <c r="C35" s="142"/>
      <c r="D35" s="13">
        <v>45720</v>
      </c>
      <c r="E35" s="155" t="s">
        <v>2633</v>
      </c>
      <c r="F35" s="155" t="s">
        <v>114</v>
      </c>
      <c r="G35" s="156" t="s">
        <v>7</v>
      </c>
      <c r="H35" s="156" t="s">
        <v>143</v>
      </c>
      <c r="I35" s="69" t="s">
        <v>1239</v>
      </c>
      <c r="J35" s="122">
        <v>1</v>
      </c>
      <c r="K35" s="15">
        <v>159761</v>
      </c>
      <c r="L35" s="15">
        <f t="shared" si="0"/>
        <v>159761</v>
      </c>
      <c r="M35" s="15">
        <v>15976</v>
      </c>
      <c r="N35" s="15">
        <f t="shared" si="1"/>
        <v>175737</v>
      </c>
      <c r="O35" s="5" t="s">
        <v>1844</v>
      </c>
      <c r="P35" s="9" t="s">
        <v>2636</v>
      </c>
      <c r="Q35" s="5">
        <v>45747</v>
      </c>
      <c r="R35" s="209"/>
      <c r="S35" s="7"/>
      <c r="T35" s="7"/>
    </row>
    <row r="36" spans="1:20" ht="16.5" customHeight="1">
      <c r="A36" t="s">
        <v>64</v>
      </c>
      <c r="B36" s="10" t="s">
        <v>1610</v>
      </c>
      <c r="C36" s="12"/>
      <c r="D36" s="13">
        <v>45720</v>
      </c>
      <c r="E36" s="155" t="s">
        <v>2633</v>
      </c>
      <c r="F36" s="155" t="s">
        <v>2632</v>
      </c>
      <c r="G36" s="156" t="s">
        <v>7</v>
      </c>
      <c r="H36" s="156" t="s">
        <v>143</v>
      </c>
      <c r="I36" s="69" t="s">
        <v>1240</v>
      </c>
      <c r="J36" s="122">
        <v>1</v>
      </c>
      <c r="K36" s="15">
        <v>79496</v>
      </c>
      <c r="L36" s="16">
        <f t="shared" si="0"/>
        <v>79496</v>
      </c>
      <c r="M36" s="15">
        <v>7949</v>
      </c>
      <c r="N36" s="15">
        <f t="shared" si="1"/>
        <v>87445</v>
      </c>
      <c r="O36" s="5" t="s">
        <v>1844</v>
      </c>
      <c r="P36" s="9" t="s">
        <v>2636</v>
      </c>
      <c r="Q36" s="5">
        <v>45741</v>
      </c>
      <c r="R36" s="209"/>
    </row>
    <row r="37" spans="1:20" ht="16.5" customHeight="1">
      <c r="A37" t="s">
        <v>64</v>
      </c>
      <c r="B37" s="10" t="s">
        <v>413</v>
      </c>
      <c r="C37" s="12"/>
      <c r="D37" s="13">
        <v>45720</v>
      </c>
      <c r="E37" s="155" t="s">
        <v>2633</v>
      </c>
      <c r="F37" s="155" t="s">
        <v>101</v>
      </c>
      <c r="G37" s="156" t="s">
        <v>98</v>
      </c>
      <c r="H37" s="156" t="s">
        <v>143</v>
      </c>
      <c r="I37" s="69" t="s">
        <v>1241</v>
      </c>
      <c r="J37" s="122">
        <v>1</v>
      </c>
      <c r="K37" s="15">
        <v>95200</v>
      </c>
      <c r="L37" s="16">
        <f t="shared" si="0"/>
        <v>95200</v>
      </c>
      <c r="M37" s="16">
        <f t="shared" ref="M37:M51" si="2">L37*10%</f>
        <v>9520</v>
      </c>
      <c r="N37" s="15">
        <f t="shared" si="1"/>
        <v>104720</v>
      </c>
      <c r="O37" s="5" t="s">
        <v>1844</v>
      </c>
      <c r="P37" s="9" t="s">
        <v>2636</v>
      </c>
      <c r="Q37" s="5">
        <v>45716</v>
      </c>
      <c r="R37" s="209" t="s">
        <v>147</v>
      </c>
    </row>
    <row r="38" spans="1:20" ht="27">
      <c r="A38" t="s">
        <v>64</v>
      </c>
      <c r="B38" s="226" t="s">
        <v>1479</v>
      </c>
      <c r="C38" s="12"/>
      <c r="D38" s="13">
        <v>45720</v>
      </c>
      <c r="E38" s="155" t="s">
        <v>2630</v>
      </c>
      <c r="F38" s="155" t="s">
        <v>32</v>
      </c>
      <c r="G38" s="156" t="s">
        <v>1460</v>
      </c>
      <c r="H38" s="156" t="s">
        <v>1463</v>
      </c>
      <c r="I38" s="69" t="s">
        <v>1456</v>
      </c>
      <c r="J38" s="132">
        <v>1</v>
      </c>
      <c r="K38" s="15">
        <v>14000000</v>
      </c>
      <c r="L38" s="16">
        <f t="shared" ref="L38:L64" si="3">J38*K38</f>
        <v>14000000</v>
      </c>
      <c r="M38" s="16">
        <f t="shared" si="2"/>
        <v>1400000</v>
      </c>
      <c r="N38" s="15">
        <f t="shared" si="1"/>
        <v>15400000</v>
      </c>
      <c r="O38" s="5" t="s">
        <v>1481</v>
      </c>
      <c r="P38" s="9" t="s">
        <v>2634</v>
      </c>
      <c r="Q38" s="5" t="s">
        <v>1473</v>
      </c>
      <c r="R38" s="213"/>
    </row>
    <row r="39" spans="1:20" ht="16.5" customHeight="1">
      <c r="A39" t="s">
        <v>64</v>
      </c>
      <c r="B39" s="10" t="s">
        <v>466</v>
      </c>
      <c r="C39" s="12"/>
      <c r="D39" s="13">
        <v>45720</v>
      </c>
      <c r="E39" s="155" t="s">
        <v>2630</v>
      </c>
      <c r="F39" s="155" t="s">
        <v>424</v>
      </c>
      <c r="G39" s="156" t="s">
        <v>7</v>
      </c>
      <c r="H39" s="156" t="s">
        <v>284</v>
      </c>
      <c r="I39" s="69" t="s">
        <v>485</v>
      </c>
      <c r="J39" s="132">
        <v>1</v>
      </c>
      <c r="K39" s="15">
        <v>1200000</v>
      </c>
      <c r="L39" s="16">
        <f t="shared" si="3"/>
        <v>1200000</v>
      </c>
      <c r="M39" s="16">
        <f t="shared" si="2"/>
        <v>120000</v>
      </c>
      <c r="N39" s="15">
        <f t="shared" si="1"/>
        <v>1320000</v>
      </c>
      <c r="O39" s="5" t="s">
        <v>1481</v>
      </c>
      <c r="P39" s="9" t="s">
        <v>2636</v>
      </c>
      <c r="Q39" s="5" t="s">
        <v>499</v>
      </c>
      <c r="R39" s="209" t="s">
        <v>398</v>
      </c>
    </row>
    <row r="40" spans="1:20" ht="16.5" customHeight="1">
      <c r="A40" t="s">
        <v>64</v>
      </c>
      <c r="B40" s="10" t="s">
        <v>1478</v>
      </c>
      <c r="C40" s="12"/>
      <c r="D40" s="13">
        <v>45720</v>
      </c>
      <c r="E40" s="155" t="s">
        <v>2630</v>
      </c>
      <c r="F40" s="155" t="s">
        <v>1461</v>
      </c>
      <c r="G40" s="156" t="s">
        <v>7</v>
      </c>
      <c r="H40" s="156" t="s">
        <v>1462</v>
      </c>
      <c r="I40" s="69" t="s">
        <v>1468</v>
      </c>
      <c r="J40" s="132">
        <v>1</v>
      </c>
      <c r="K40" s="15">
        <v>2160000</v>
      </c>
      <c r="L40" s="16">
        <f t="shared" si="3"/>
        <v>2160000</v>
      </c>
      <c r="M40" s="16">
        <f t="shared" si="2"/>
        <v>216000</v>
      </c>
      <c r="N40" s="15">
        <f t="shared" si="1"/>
        <v>2376000</v>
      </c>
      <c r="O40" s="5" t="s">
        <v>1481</v>
      </c>
      <c r="P40" s="9" t="s">
        <v>2636</v>
      </c>
      <c r="Q40" s="5" t="s">
        <v>1469</v>
      </c>
      <c r="R40" s="213" t="s">
        <v>398</v>
      </c>
    </row>
    <row r="41" spans="1:20" ht="16.5" customHeight="1">
      <c r="A41" t="s">
        <v>64</v>
      </c>
      <c r="B41" s="10" t="s">
        <v>372</v>
      </c>
      <c r="C41" s="12"/>
      <c r="D41" s="13">
        <v>45720</v>
      </c>
      <c r="E41" s="155" t="s">
        <v>2630</v>
      </c>
      <c r="F41" s="155" t="s">
        <v>476</v>
      </c>
      <c r="G41" s="156" t="s">
        <v>7</v>
      </c>
      <c r="H41" s="156" t="s">
        <v>284</v>
      </c>
      <c r="I41" s="69" t="s">
        <v>477</v>
      </c>
      <c r="J41" s="132">
        <v>1</v>
      </c>
      <c r="K41" s="15">
        <v>6000000</v>
      </c>
      <c r="L41" s="16">
        <f t="shared" si="3"/>
        <v>6000000</v>
      </c>
      <c r="M41" s="16">
        <f t="shared" si="2"/>
        <v>600000</v>
      </c>
      <c r="N41" s="15">
        <f t="shared" si="1"/>
        <v>6600000</v>
      </c>
      <c r="O41" s="5" t="s">
        <v>1481</v>
      </c>
      <c r="P41" s="9" t="s">
        <v>2636</v>
      </c>
      <c r="Q41" s="5" t="s">
        <v>478</v>
      </c>
      <c r="R41" s="209" t="s">
        <v>398</v>
      </c>
    </row>
    <row r="42" spans="1:20" ht="16.5" customHeight="1">
      <c r="A42" t="s">
        <v>64</v>
      </c>
      <c r="B42" s="10" t="s">
        <v>483</v>
      </c>
      <c r="C42" s="12"/>
      <c r="D42" s="13">
        <v>45720</v>
      </c>
      <c r="E42" s="155" t="s">
        <v>2630</v>
      </c>
      <c r="F42" s="155" t="s">
        <v>258</v>
      </c>
      <c r="G42" s="156" t="s">
        <v>7</v>
      </c>
      <c r="H42" s="156" t="s">
        <v>284</v>
      </c>
      <c r="I42" s="69" t="s">
        <v>1464</v>
      </c>
      <c r="J42" s="132">
        <v>1</v>
      </c>
      <c r="K42" s="15">
        <v>1200000</v>
      </c>
      <c r="L42" s="16">
        <f t="shared" si="3"/>
        <v>1200000</v>
      </c>
      <c r="M42" s="16">
        <f t="shared" si="2"/>
        <v>120000</v>
      </c>
      <c r="N42" s="15">
        <f t="shared" si="1"/>
        <v>1320000</v>
      </c>
      <c r="O42" s="5" t="s">
        <v>1481</v>
      </c>
      <c r="P42" s="9" t="s">
        <v>2636</v>
      </c>
      <c r="Q42" s="5" t="s">
        <v>500</v>
      </c>
      <c r="R42" s="213" t="s">
        <v>398</v>
      </c>
    </row>
    <row r="43" spans="1:20" ht="16.5" customHeight="1">
      <c r="A43" t="s">
        <v>64</v>
      </c>
      <c r="B43" s="10" t="s">
        <v>403</v>
      </c>
      <c r="C43" s="12"/>
      <c r="D43" s="13">
        <v>45720</v>
      </c>
      <c r="E43" s="155" t="s">
        <v>2630</v>
      </c>
      <c r="F43" s="155" t="s">
        <v>404</v>
      </c>
      <c r="G43" s="156" t="s">
        <v>7</v>
      </c>
      <c r="H43" s="156" t="s">
        <v>284</v>
      </c>
      <c r="I43" s="69" t="s">
        <v>479</v>
      </c>
      <c r="J43" s="132">
        <v>1</v>
      </c>
      <c r="K43" s="15">
        <v>1800000</v>
      </c>
      <c r="L43" s="16">
        <f t="shared" si="3"/>
        <v>1800000</v>
      </c>
      <c r="M43" s="16">
        <f t="shared" si="2"/>
        <v>180000</v>
      </c>
      <c r="N43" s="15">
        <f t="shared" si="1"/>
        <v>1980000</v>
      </c>
      <c r="O43" s="5" t="s">
        <v>1481</v>
      </c>
      <c r="P43" s="9" t="s">
        <v>2636</v>
      </c>
      <c r="Q43" s="5" t="s">
        <v>397</v>
      </c>
      <c r="R43" s="209" t="s">
        <v>398</v>
      </c>
    </row>
    <row r="44" spans="1:20" ht="16.5" customHeight="1">
      <c r="A44" t="s">
        <v>64</v>
      </c>
      <c r="B44" s="10" t="s">
        <v>1477</v>
      </c>
      <c r="C44" s="12"/>
      <c r="D44" s="13">
        <v>45720</v>
      </c>
      <c r="E44" s="155" t="s">
        <v>2630</v>
      </c>
      <c r="F44" s="155" t="s">
        <v>508</v>
      </c>
      <c r="G44" s="156" t="s">
        <v>7</v>
      </c>
      <c r="H44" s="156" t="s">
        <v>311</v>
      </c>
      <c r="I44" s="69" t="s">
        <v>1465</v>
      </c>
      <c r="J44" s="132">
        <v>1</v>
      </c>
      <c r="K44" s="15">
        <v>4800000</v>
      </c>
      <c r="L44" s="16">
        <f t="shared" si="3"/>
        <v>4800000</v>
      </c>
      <c r="M44" s="16">
        <f t="shared" si="2"/>
        <v>480000</v>
      </c>
      <c r="N44" s="15">
        <f t="shared" si="1"/>
        <v>5280000</v>
      </c>
      <c r="O44" s="5" t="s">
        <v>1481</v>
      </c>
      <c r="P44" s="9" t="s">
        <v>2634</v>
      </c>
      <c r="Q44" s="5" t="s">
        <v>1476</v>
      </c>
      <c r="R44" s="209"/>
    </row>
    <row r="45" spans="1:20" ht="16.5" customHeight="1">
      <c r="A45" t="s">
        <v>64</v>
      </c>
      <c r="B45" s="10" t="s">
        <v>1474</v>
      </c>
      <c r="C45" s="12"/>
      <c r="D45" s="13">
        <v>45720</v>
      </c>
      <c r="E45" s="155" t="s">
        <v>2630</v>
      </c>
      <c r="F45" s="155" t="s">
        <v>327</v>
      </c>
      <c r="G45" s="156" t="s">
        <v>7</v>
      </c>
      <c r="H45" s="156" t="s">
        <v>157</v>
      </c>
      <c r="I45" s="69" t="s">
        <v>1480</v>
      </c>
      <c r="J45" s="132">
        <v>1</v>
      </c>
      <c r="K45" s="15">
        <v>1500000</v>
      </c>
      <c r="L45" s="16">
        <f t="shared" si="3"/>
        <v>1500000</v>
      </c>
      <c r="M45" s="16">
        <f t="shared" si="2"/>
        <v>150000</v>
      </c>
      <c r="N45" s="15">
        <f t="shared" si="1"/>
        <v>1650000</v>
      </c>
      <c r="O45" s="5" t="s">
        <v>1481</v>
      </c>
      <c r="P45" s="9" t="s">
        <v>2635</v>
      </c>
      <c r="Q45" s="5" t="s">
        <v>1475</v>
      </c>
      <c r="R45" s="209"/>
    </row>
    <row r="46" spans="1:20" ht="16.5" customHeight="1">
      <c r="A46" t="s">
        <v>64</v>
      </c>
      <c r="B46" s="10" t="s">
        <v>1472</v>
      </c>
      <c r="C46" s="12"/>
      <c r="D46" s="13">
        <v>45720</v>
      </c>
      <c r="E46" s="155" t="s">
        <v>2630</v>
      </c>
      <c r="F46" s="155" t="s">
        <v>640</v>
      </c>
      <c r="G46" s="156" t="s">
        <v>7</v>
      </c>
      <c r="H46" s="156" t="s">
        <v>639</v>
      </c>
      <c r="I46" s="69" t="s">
        <v>1457</v>
      </c>
      <c r="J46" s="132">
        <v>1</v>
      </c>
      <c r="K46" s="15">
        <v>6000000</v>
      </c>
      <c r="L46" s="16">
        <f t="shared" si="3"/>
        <v>6000000</v>
      </c>
      <c r="M46" s="16">
        <f t="shared" si="2"/>
        <v>600000</v>
      </c>
      <c r="N46" s="15">
        <f t="shared" si="1"/>
        <v>6600000</v>
      </c>
      <c r="O46" s="5" t="s">
        <v>1481</v>
      </c>
      <c r="P46" s="9" t="s">
        <v>2635</v>
      </c>
      <c r="Q46" s="5" t="s">
        <v>1473</v>
      </c>
      <c r="R46" s="209"/>
    </row>
    <row r="47" spans="1:20" ht="16.5" customHeight="1">
      <c r="A47" t="s">
        <v>64</v>
      </c>
      <c r="B47" s="10" t="s">
        <v>1471</v>
      </c>
      <c r="C47" s="12"/>
      <c r="D47" s="13">
        <v>45720</v>
      </c>
      <c r="E47" s="155" t="s">
        <v>2630</v>
      </c>
      <c r="F47" s="155" t="s">
        <v>1466</v>
      </c>
      <c r="G47" s="156" t="s">
        <v>1454</v>
      </c>
      <c r="H47" s="156" t="s">
        <v>1455</v>
      </c>
      <c r="I47" s="69" t="s">
        <v>1458</v>
      </c>
      <c r="J47" s="132">
        <v>1</v>
      </c>
      <c r="K47" s="15">
        <v>5070000</v>
      </c>
      <c r="L47" s="16">
        <f t="shared" si="3"/>
        <v>5070000</v>
      </c>
      <c r="M47" s="16">
        <f t="shared" si="2"/>
        <v>507000</v>
      </c>
      <c r="N47" s="15">
        <f t="shared" si="1"/>
        <v>5577000</v>
      </c>
      <c r="O47" s="5" t="s">
        <v>1481</v>
      </c>
      <c r="P47" s="9" t="s">
        <v>2634</v>
      </c>
      <c r="Q47" s="5" t="s">
        <v>1467</v>
      </c>
      <c r="R47" s="213"/>
    </row>
    <row r="48" spans="1:20" ht="16.5" customHeight="1">
      <c r="A48" t="s">
        <v>64</v>
      </c>
      <c r="B48" s="10" t="s">
        <v>1470</v>
      </c>
      <c r="C48" s="12"/>
      <c r="D48" s="13">
        <v>45720</v>
      </c>
      <c r="E48" s="155" t="s">
        <v>2630</v>
      </c>
      <c r="F48" s="155" t="s">
        <v>1453</v>
      </c>
      <c r="G48" s="156" t="s">
        <v>1454</v>
      </c>
      <c r="H48" s="156" t="s">
        <v>1455</v>
      </c>
      <c r="I48" s="69" t="s">
        <v>1459</v>
      </c>
      <c r="J48" s="122">
        <v>1</v>
      </c>
      <c r="K48" s="15">
        <v>330000</v>
      </c>
      <c r="L48" s="16">
        <f t="shared" si="3"/>
        <v>330000</v>
      </c>
      <c r="M48" s="16">
        <f t="shared" si="2"/>
        <v>33000</v>
      </c>
      <c r="N48" s="15">
        <f t="shared" si="1"/>
        <v>363000</v>
      </c>
      <c r="O48" s="5" t="s">
        <v>1481</v>
      </c>
      <c r="P48" s="9" t="s">
        <v>2634</v>
      </c>
      <c r="Q48" s="5">
        <v>45673</v>
      </c>
      <c r="R48" s="209"/>
    </row>
    <row r="49" spans="1:20" ht="16.5" customHeight="1">
      <c r="A49" t="s">
        <v>64</v>
      </c>
      <c r="B49" s="10" t="s">
        <v>1395</v>
      </c>
      <c r="C49" s="12"/>
      <c r="D49" s="13">
        <v>45720</v>
      </c>
      <c r="E49" s="155" t="s">
        <v>936</v>
      </c>
      <c r="F49" s="155" t="s">
        <v>1405</v>
      </c>
      <c r="G49" s="156" t="s">
        <v>41</v>
      </c>
      <c r="H49" s="156" t="s">
        <v>1399</v>
      </c>
      <c r="I49" s="69" t="s">
        <v>1400</v>
      </c>
      <c r="J49" s="122">
        <v>1</v>
      </c>
      <c r="K49" s="15">
        <v>180000</v>
      </c>
      <c r="L49" s="16">
        <f>J49*K49</f>
        <v>180000</v>
      </c>
      <c r="M49" s="16">
        <f>L49*10%</f>
        <v>18000</v>
      </c>
      <c r="N49" s="15">
        <f>SUM(L49:M49)</f>
        <v>198000</v>
      </c>
      <c r="O49" s="5" t="s">
        <v>2228</v>
      </c>
      <c r="P49" s="9" t="s">
        <v>2636</v>
      </c>
      <c r="Q49" s="5">
        <v>45737</v>
      </c>
      <c r="R49" s="209"/>
    </row>
    <row r="50" spans="1:20" ht="16.5" customHeight="1">
      <c r="A50" t="s">
        <v>64</v>
      </c>
      <c r="B50" s="10" t="s">
        <v>104</v>
      </c>
      <c r="C50" s="12"/>
      <c r="D50" s="13">
        <v>45721</v>
      </c>
      <c r="E50" s="155" t="s">
        <v>2632</v>
      </c>
      <c r="F50" s="155"/>
      <c r="G50" s="217" t="s">
        <v>7</v>
      </c>
      <c r="H50" s="156" t="s">
        <v>25</v>
      </c>
      <c r="I50" s="69" t="s">
        <v>568</v>
      </c>
      <c r="J50" s="122">
        <v>1</v>
      </c>
      <c r="K50" s="15">
        <v>10000000</v>
      </c>
      <c r="L50" s="16">
        <f t="shared" si="3"/>
        <v>10000000</v>
      </c>
      <c r="M50" s="16">
        <f t="shared" si="2"/>
        <v>1000000</v>
      </c>
      <c r="N50" s="15">
        <f t="shared" si="1"/>
        <v>11000000</v>
      </c>
      <c r="O50" s="5" t="s">
        <v>1511</v>
      </c>
      <c r="P50" s="9" t="s">
        <v>2634</v>
      </c>
      <c r="Q50" s="5">
        <v>45657</v>
      </c>
      <c r="R50" s="209"/>
      <c r="S50" t="s">
        <v>1189</v>
      </c>
    </row>
    <row r="51" spans="1:20" ht="16.5" customHeight="1">
      <c r="A51" t="s">
        <v>64</v>
      </c>
      <c r="B51" s="10" t="s">
        <v>416</v>
      </c>
      <c r="C51" s="12"/>
      <c r="D51" s="13">
        <v>45721</v>
      </c>
      <c r="E51" s="155" t="s">
        <v>2632</v>
      </c>
      <c r="F51" s="155" t="s">
        <v>162</v>
      </c>
      <c r="G51" s="156" t="s">
        <v>98</v>
      </c>
      <c r="H51" s="156" t="s">
        <v>213</v>
      </c>
      <c r="I51" s="69" t="s">
        <v>1188</v>
      </c>
      <c r="J51" s="122">
        <v>1</v>
      </c>
      <c r="K51" s="15">
        <v>1060000</v>
      </c>
      <c r="L51" s="16">
        <f t="shared" si="3"/>
        <v>1060000</v>
      </c>
      <c r="M51" s="16">
        <f t="shared" si="2"/>
        <v>106000</v>
      </c>
      <c r="N51" s="15">
        <f t="shared" si="1"/>
        <v>1166000</v>
      </c>
      <c r="O51" s="5" t="s">
        <v>1844</v>
      </c>
      <c r="P51" s="9" t="s">
        <v>2634</v>
      </c>
      <c r="Q51" s="5">
        <v>45721</v>
      </c>
      <c r="R51" s="209"/>
    </row>
    <row r="52" spans="1:20" ht="16.5" customHeight="1">
      <c r="A52" t="s">
        <v>64</v>
      </c>
      <c r="B52" s="10" t="s">
        <v>1272</v>
      </c>
      <c r="C52" s="12"/>
      <c r="D52" s="13">
        <v>45721</v>
      </c>
      <c r="E52" s="155" t="s">
        <v>26</v>
      </c>
      <c r="F52" s="155" t="s">
        <v>327</v>
      </c>
      <c r="G52" s="156" t="s">
        <v>41</v>
      </c>
      <c r="H52" s="156" t="s">
        <v>643</v>
      </c>
      <c r="I52" s="69" t="s">
        <v>452</v>
      </c>
      <c r="J52" s="122">
        <v>1</v>
      </c>
      <c r="K52" s="15">
        <v>3161791</v>
      </c>
      <c r="L52" s="16">
        <f t="shared" si="3"/>
        <v>3161791</v>
      </c>
      <c r="M52" s="16">
        <v>316179</v>
      </c>
      <c r="N52" s="15">
        <f t="shared" si="1"/>
        <v>3477970</v>
      </c>
      <c r="O52" s="5" t="s">
        <v>1260</v>
      </c>
      <c r="P52" s="9" t="s">
        <v>2643</v>
      </c>
      <c r="Q52" s="5">
        <v>45735</v>
      </c>
      <c r="R52" s="209"/>
    </row>
    <row r="53" spans="1:20" ht="16.5" customHeight="1">
      <c r="A53" t="s">
        <v>64</v>
      </c>
      <c r="B53" s="10" t="s">
        <v>1243</v>
      </c>
      <c r="C53" s="12"/>
      <c r="D53" s="13">
        <v>45722</v>
      </c>
      <c r="E53" s="155" t="s">
        <v>1244</v>
      </c>
      <c r="F53" s="155" t="s">
        <v>1245</v>
      </c>
      <c r="G53" s="156" t="s">
        <v>1246</v>
      </c>
      <c r="H53" s="156" t="s">
        <v>1247</v>
      </c>
      <c r="I53" s="69" t="s">
        <v>452</v>
      </c>
      <c r="J53" s="122">
        <v>1</v>
      </c>
      <c r="K53" s="15">
        <v>3159164</v>
      </c>
      <c r="L53" s="16">
        <f t="shared" si="3"/>
        <v>3159164</v>
      </c>
      <c r="M53" s="16">
        <v>315916</v>
      </c>
      <c r="N53" s="15">
        <f t="shared" si="1"/>
        <v>3475080</v>
      </c>
      <c r="O53" s="5" t="s">
        <v>1248</v>
      </c>
      <c r="P53" s="9" t="s">
        <v>2635</v>
      </c>
      <c r="Q53" s="5">
        <v>45733</v>
      </c>
      <c r="R53" s="213"/>
    </row>
    <row r="54" spans="1:20" ht="16.5" customHeight="1">
      <c r="A54" t="s">
        <v>64</v>
      </c>
      <c r="B54" s="10" t="s">
        <v>1272</v>
      </c>
      <c r="C54" s="12"/>
      <c r="D54" s="13">
        <v>45722</v>
      </c>
      <c r="E54" s="155" t="s">
        <v>1259</v>
      </c>
      <c r="F54" s="155" t="s">
        <v>327</v>
      </c>
      <c r="G54" s="156" t="s">
        <v>41</v>
      </c>
      <c r="H54" s="156" t="s">
        <v>1273</v>
      </c>
      <c r="I54" s="69" t="s">
        <v>1274</v>
      </c>
      <c r="J54" s="122">
        <v>1</v>
      </c>
      <c r="K54" s="15">
        <v>3714000</v>
      </c>
      <c r="L54" s="16">
        <f t="shared" si="3"/>
        <v>3714000</v>
      </c>
      <c r="M54" s="16">
        <f>L54*10%</f>
        <v>371400</v>
      </c>
      <c r="N54" s="15">
        <f t="shared" si="1"/>
        <v>4085400</v>
      </c>
      <c r="O54" s="5" t="s">
        <v>1260</v>
      </c>
      <c r="P54" s="9" t="s">
        <v>2643</v>
      </c>
      <c r="Q54" s="5">
        <v>45735</v>
      </c>
      <c r="R54" s="213"/>
    </row>
    <row r="55" spans="1:20" ht="16.5" customHeight="1">
      <c r="A55" t="s">
        <v>64</v>
      </c>
      <c r="B55" s="10" t="s">
        <v>1396</v>
      </c>
      <c r="C55" s="12"/>
      <c r="D55" s="13">
        <v>45722</v>
      </c>
      <c r="E55" s="155" t="s">
        <v>936</v>
      </c>
      <c r="F55" s="155" t="s">
        <v>1406</v>
      </c>
      <c r="G55" s="156" t="s">
        <v>41</v>
      </c>
      <c r="H55" s="156" t="s">
        <v>1401</v>
      </c>
      <c r="I55" s="69" t="s">
        <v>1402</v>
      </c>
      <c r="J55" s="122">
        <v>1</v>
      </c>
      <c r="K55" s="15">
        <v>150000</v>
      </c>
      <c r="L55" s="16">
        <f>J55*K55</f>
        <v>150000</v>
      </c>
      <c r="M55" s="16">
        <f>L55*10%</f>
        <v>15000</v>
      </c>
      <c r="N55" s="15">
        <f>SUM(L55:M55)</f>
        <v>165000</v>
      </c>
      <c r="O55" s="5" t="s">
        <v>2228</v>
      </c>
      <c r="P55" s="9" t="s">
        <v>2636</v>
      </c>
      <c r="Q55" s="5">
        <v>45737</v>
      </c>
      <c r="R55" s="209"/>
    </row>
    <row r="56" spans="1:20" ht="16.5" customHeight="1">
      <c r="A56" t="s">
        <v>64</v>
      </c>
      <c r="B56" s="10" t="s">
        <v>419</v>
      </c>
      <c r="C56" s="12"/>
      <c r="D56" s="13">
        <v>45726</v>
      </c>
      <c r="E56" s="155" t="s">
        <v>164</v>
      </c>
      <c r="F56" s="155" t="s">
        <v>420</v>
      </c>
      <c r="G56" s="156" t="s">
        <v>98</v>
      </c>
      <c r="H56" s="156" t="s">
        <v>213</v>
      </c>
      <c r="I56" s="69" t="s">
        <v>401</v>
      </c>
      <c r="J56" s="122">
        <v>1</v>
      </c>
      <c r="K56" s="15">
        <v>213400</v>
      </c>
      <c r="L56" s="16">
        <f t="shared" si="3"/>
        <v>213400</v>
      </c>
      <c r="M56" s="16">
        <v>21340</v>
      </c>
      <c r="N56" s="15">
        <f>SUBTOTAL(9,L56:M56)</f>
        <v>234740</v>
      </c>
      <c r="O56" s="5" t="s">
        <v>1279</v>
      </c>
      <c r="P56" s="9" t="s">
        <v>2634</v>
      </c>
      <c r="Q56" s="5">
        <v>45717</v>
      </c>
      <c r="R56" s="209"/>
    </row>
    <row r="57" spans="1:20" ht="16.5" customHeight="1">
      <c r="A57" t="s">
        <v>64</v>
      </c>
      <c r="B57" s="10" t="s">
        <v>418</v>
      </c>
      <c r="C57" s="12"/>
      <c r="D57" s="13">
        <v>45726</v>
      </c>
      <c r="E57" s="155" t="s">
        <v>164</v>
      </c>
      <c r="F57" s="155" t="s">
        <v>421</v>
      </c>
      <c r="G57" s="156" t="s">
        <v>98</v>
      </c>
      <c r="H57" s="156" t="s">
        <v>213</v>
      </c>
      <c r="I57" s="69" t="s">
        <v>402</v>
      </c>
      <c r="J57" s="122">
        <v>1</v>
      </c>
      <c r="K57" s="15">
        <v>77600</v>
      </c>
      <c r="L57" s="16">
        <f t="shared" si="3"/>
        <v>77600</v>
      </c>
      <c r="M57" s="16">
        <v>7760</v>
      </c>
      <c r="N57" s="15">
        <f>SUBTOTAL(9,L57:M57)</f>
        <v>85360</v>
      </c>
      <c r="O57" s="5" t="s">
        <v>1279</v>
      </c>
      <c r="P57" s="9" t="s">
        <v>2634</v>
      </c>
      <c r="Q57" s="5">
        <v>45717</v>
      </c>
      <c r="R57" s="209"/>
    </row>
    <row r="58" spans="1:20" ht="16.5" customHeight="1">
      <c r="A58" t="s">
        <v>64</v>
      </c>
      <c r="B58" s="10" t="s">
        <v>419</v>
      </c>
      <c r="C58" s="12"/>
      <c r="D58" s="13">
        <v>45726</v>
      </c>
      <c r="E58" s="155" t="s">
        <v>164</v>
      </c>
      <c r="F58" s="155" t="s">
        <v>420</v>
      </c>
      <c r="G58" s="156" t="s">
        <v>98</v>
      </c>
      <c r="H58" s="156" t="s">
        <v>213</v>
      </c>
      <c r="I58" s="69" t="s">
        <v>402</v>
      </c>
      <c r="J58" s="122">
        <v>1</v>
      </c>
      <c r="K58" s="15">
        <v>155200</v>
      </c>
      <c r="L58" s="16">
        <f t="shared" si="3"/>
        <v>155200</v>
      </c>
      <c r="M58" s="16">
        <v>15520</v>
      </c>
      <c r="N58" s="15">
        <f>SUBTOTAL(9,L58:M58)</f>
        <v>170720</v>
      </c>
      <c r="O58" s="5" t="s">
        <v>1279</v>
      </c>
      <c r="P58" s="9" t="s">
        <v>2634</v>
      </c>
      <c r="Q58" s="5">
        <v>45717</v>
      </c>
      <c r="R58" s="209"/>
    </row>
    <row r="59" spans="1:20" ht="16.5" customHeight="1">
      <c r="A59" t="s">
        <v>64</v>
      </c>
      <c r="B59" s="10" t="s">
        <v>418</v>
      </c>
      <c r="C59" s="12"/>
      <c r="D59" s="13">
        <v>45726</v>
      </c>
      <c r="E59" s="155" t="s">
        <v>164</v>
      </c>
      <c r="F59" s="155" t="s">
        <v>421</v>
      </c>
      <c r="G59" s="156" t="s">
        <v>98</v>
      </c>
      <c r="H59" s="156" t="s">
        <v>213</v>
      </c>
      <c r="I59" s="69" t="s">
        <v>401</v>
      </c>
      <c r="J59" s="122">
        <v>1</v>
      </c>
      <c r="K59" s="15">
        <v>145500</v>
      </c>
      <c r="L59" s="16">
        <f t="shared" si="3"/>
        <v>145500</v>
      </c>
      <c r="M59" s="16">
        <v>14550</v>
      </c>
      <c r="N59" s="15">
        <f>SUBTOTAL(9,L59:M59)</f>
        <v>160050</v>
      </c>
      <c r="O59" s="5" t="s">
        <v>1279</v>
      </c>
      <c r="P59" s="9" t="s">
        <v>2634</v>
      </c>
      <c r="Q59" s="5">
        <v>45717</v>
      </c>
      <c r="R59" s="209"/>
    </row>
    <row r="60" spans="1:20" ht="16.5" customHeight="1">
      <c r="A60" t="s">
        <v>64</v>
      </c>
      <c r="B60" s="141" t="s">
        <v>285</v>
      </c>
      <c r="C60" s="144"/>
      <c r="D60" s="13">
        <v>45727</v>
      </c>
      <c r="E60" s="155" t="s">
        <v>286</v>
      </c>
      <c r="F60" s="164" t="s">
        <v>105</v>
      </c>
      <c r="G60" s="158" t="s">
        <v>7</v>
      </c>
      <c r="H60" s="165" t="s">
        <v>102</v>
      </c>
      <c r="I60" s="166" t="s">
        <v>2096</v>
      </c>
      <c r="J60" s="127">
        <v>1</v>
      </c>
      <c r="K60" s="15">
        <v>600000</v>
      </c>
      <c r="L60" s="16">
        <f t="shared" si="3"/>
        <v>600000</v>
      </c>
      <c r="M60" s="16">
        <f>L60*10%</f>
        <v>60000</v>
      </c>
      <c r="N60" s="15">
        <f t="shared" ref="N60:N79" si="4">SUM(L60:M60)</f>
        <v>660000</v>
      </c>
      <c r="O60" s="5" t="s">
        <v>1844</v>
      </c>
      <c r="P60" s="9" t="s">
        <v>2634</v>
      </c>
      <c r="Q60" s="5">
        <v>45747</v>
      </c>
      <c r="R60" s="209"/>
      <c r="T60" s="11"/>
    </row>
    <row r="61" spans="1:20" ht="16.5" customHeight="1">
      <c r="A61" t="s">
        <v>64</v>
      </c>
      <c r="B61" s="10" t="s">
        <v>1397</v>
      </c>
      <c r="C61" s="12"/>
      <c r="D61" s="13">
        <v>45727</v>
      </c>
      <c r="E61" s="155" t="s">
        <v>936</v>
      </c>
      <c r="F61" s="155" t="s">
        <v>661</v>
      </c>
      <c r="G61" s="156" t="s">
        <v>41</v>
      </c>
      <c r="H61" s="156" t="s">
        <v>664</v>
      </c>
      <c r="I61" s="69" t="s">
        <v>665</v>
      </c>
      <c r="J61" s="122">
        <v>1</v>
      </c>
      <c r="K61" s="15">
        <v>250000</v>
      </c>
      <c r="L61" s="16">
        <f>J61*K61</f>
        <v>250000</v>
      </c>
      <c r="M61" s="16">
        <f>L61*10%</f>
        <v>25000</v>
      </c>
      <c r="N61" s="15">
        <f>SUM(L61:M61)</f>
        <v>275000</v>
      </c>
      <c r="O61" s="5" t="s">
        <v>2228</v>
      </c>
      <c r="P61" s="9" t="s">
        <v>2636</v>
      </c>
      <c r="Q61" s="5">
        <v>45747</v>
      </c>
      <c r="R61" s="209"/>
    </row>
    <row r="62" spans="1:20" ht="16.5" customHeight="1">
      <c r="A62" t="s">
        <v>64</v>
      </c>
      <c r="B62" s="10" t="s">
        <v>1398</v>
      </c>
      <c r="C62" s="12"/>
      <c r="D62" s="13">
        <v>45728</v>
      </c>
      <c r="E62" s="155" t="s">
        <v>936</v>
      </c>
      <c r="F62" s="155" t="s">
        <v>1407</v>
      </c>
      <c r="G62" s="156" t="s">
        <v>41</v>
      </c>
      <c r="H62" s="156" t="s">
        <v>1403</v>
      </c>
      <c r="I62" s="69" t="s">
        <v>1404</v>
      </c>
      <c r="J62" s="122">
        <v>8</v>
      </c>
      <c r="K62" s="15">
        <v>70000</v>
      </c>
      <c r="L62" s="16">
        <f>J62*K62</f>
        <v>560000</v>
      </c>
      <c r="M62" s="16">
        <f>L62*10%</f>
        <v>56000</v>
      </c>
      <c r="N62" s="15">
        <f>SUM(L62:M62)</f>
        <v>616000</v>
      </c>
      <c r="O62" s="5" t="s">
        <v>2228</v>
      </c>
      <c r="P62" s="9" t="s">
        <v>2636</v>
      </c>
      <c r="Q62" s="5">
        <v>45737</v>
      </c>
      <c r="R62" s="209"/>
    </row>
    <row r="63" spans="1:20" ht="16.5" customHeight="1">
      <c r="A63" t="s">
        <v>64</v>
      </c>
      <c r="B63" s="10" t="s">
        <v>1275</v>
      </c>
      <c r="C63" s="12"/>
      <c r="D63" s="13">
        <v>45728</v>
      </c>
      <c r="E63" s="155" t="s">
        <v>1276</v>
      </c>
      <c r="F63" s="155"/>
      <c r="G63" s="156" t="s">
        <v>30</v>
      </c>
      <c r="H63" s="156" t="s">
        <v>145</v>
      </c>
      <c r="I63" s="69" t="s">
        <v>1278</v>
      </c>
      <c r="J63" s="122">
        <v>1</v>
      </c>
      <c r="K63" s="15">
        <v>4000</v>
      </c>
      <c r="L63" s="16">
        <f t="shared" si="3"/>
        <v>4000</v>
      </c>
      <c r="M63" s="16">
        <f>L63*10%</f>
        <v>400</v>
      </c>
      <c r="N63" s="15">
        <f t="shared" si="4"/>
        <v>4400</v>
      </c>
      <c r="O63" s="5" t="s">
        <v>1277</v>
      </c>
      <c r="P63" s="9" t="s">
        <v>2644</v>
      </c>
      <c r="Q63" s="5" t="s">
        <v>1275</v>
      </c>
      <c r="R63" s="213"/>
    </row>
    <row r="64" spans="1:20" ht="16.5" customHeight="1">
      <c r="A64" t="s">
        <v>64</v>
      </c>
      <c r="B64" s="10" t="s">
        <v>1704</v>
      </c>
      <c r="C64" s="12"/>
      <c r="D64" s="13">
        <v>45730</v>
      </c>
      <c r="E64" s="155" t="s">
        <v>1281</v>
      </c>
      <c r="F64" s="155" t="s">
        <v>1284</v>
      </c>
      <c r="G64" s="156" t="s">
        <v>1282</v>
      </c>
      <c r="H64" s="156" t="s">
        <v>1283</v>
      </c>
      <c r="I64" s="69" t="s">
        <v>1285</v>
      </c>
      <c r="J64" s="122">
        <v>1</v>
      </c>
      <c r="K64" s="15">
        <v>500000</v>
      </c>
      <c r="L64" s="16">
        <f t="shared" si="3"/>
        <v>500000</v>
      </c>
      <c r="M64" s="16">
        <f>L64*10%</f>
        <v>50000</v>
      </c>
      <c r="N64" s="15">
        <f t="shared" si="4"/>
        <v>550000</v>
      </c>
      <c r="O64" s="5" t="s">
        <v>2375</v>
      </c>
      <c r="P64" s="9" t="s">
        <v>2634</v>
      </c>
      <c r="Q64" s="5">
        <v>45734</v>
      </c>
      <c r="R64" s="213"/>
    </row>
    <row r="65" spans="1:21" ht="16.5" customHeight="1">
      <c r="A65" t="s">
        <v>64</v>
      </c>
      <c r="B65" s="10" t="s">
        <v>1374</v>
      </c>
      <c r="C65" s="12"/>
      <c r="D65" s="13">
        <v>45730</v>
      </c>
      <c r="E65" s="155" t="s">
        <v>1369</v>
      </c>
      <c r="F65" s="155" t="s">
        <v>1370</v>
      </c>
      <c r="G65" s="156" t="s">
        <v>1282</v>
      </c>
      <c r="H65" s="156" t="s">
        <v>1372</v>
      </c>
      <c r="I65" s="69" t="s">
        <v>1373</v>
      </c>
      <c r="J65" s="122">
        <v>32</v>
      </c>
      <c r="K65" s="15">
        <f>7750/1.1</f>
        <v>7045.454545454545</v>
      </c>
      <c r="L65" s="16">
        <v>225455</v>
      </c>
      <c r="M65" s="16">
        <v>22545</v>
      </c>
      <c r="N65" s="15">
        <f t="shared" si="4"/>
        <v>248000</v>
      </c>
      <c r="O65" s="5" t="s">
        <v>1371</v>
      </c>
      <c r="P65" s="9" t="s">
        <v>2634</v>
      </c>
      <c r="Q65" s="5">
        <v>45673</v>
      </c>
      <c r="R65" s="213"/>
    </row>
    <row r="66" spans="1:21" ht="16.5" customHeight="1">
      <c r="A66" t="s">
        <v>64</v>
      </c>
      <c r="B66" s="143" t="s">
        <v>96</v>
      </c>
      <c r="C66" s="144"/>
      <c r="D66" s="13">
        <v>45731</v>
      </c>
      <c r="E66" s="161" t="s">
        <v>19</v>
      </c>
      <c r="F66" s="155" t="s">
        <v>97</v>
      </c>
      <c r="G66" s="156" t="s">
        <v>7</v>
      </c>
      <c r="H66" s="156" t="s">
        <v>25</v>
      </c>
      <c r="I66" s="69" t="s">
        <v>2112</v>
      </c>
      <c r="J66" s="122">
        <v>1</v>
      </c>
      <c r="K66" s="15">
        <v>200000</v>
      </c>
      <c r="L66" s="15">
        <f t="shared" ref="L66:L72" si="5">J66*K66</f>
        <v>200000</v>
      </c>
      <c r="M66" s="16">
        <f>L66*10%</f>
        <v>20000</v>
      </c>
      <c r="N66" s="15">
        <f t="shared" si="4"/>
        <v>220000</v>
      </c>
      <c r="O66" s="5" t="s">
        <v>2228</v>
      </c>
      <c r="P66" s="9" t="s">
        <v>2636</v>
      </c>
      <c r="Q66" s="5">
        <v>45717</v>
      </c>
      <c r="R66" s="210"/>
      <c r="S66" s="7"/>
      <c r="T66" s="7"/>
      <c r="U66" s="11"/>
    </row>
    <row r="67" spans="1:21" ht="16.5" customHeight="1">
      <c r="A67" t="s">
        <v>64</v>
      </c>
      <c r="B67" s="10" t="s">
        <v>104</v>
      </c>
      <c r="C67" s="12"/>
      <c r="D67" s="13">
        <v>45731</v>
      </c>
      <c r="E67" s="155" t="s">
        <v>2630</v>
      </c>
      <c r="F67" s="218"/>
      <c r="G67" s="156" t="s">
        <v>118</v>
      </c>
      <c r="H67" s="156" t="s">
        <v>25</v>
      </c>
      <c r="I67" s="69" t="s">
        <v>495</v>
      </c>
      <c r="J67" s="132">
        <v>1</v>
      </c>
      <c r="K67" s="15">
        <v>10000000</v>
      </c>
      <c r="L67" s="16">
        <f t="shared" si="5"/>
        <v>10000000</v>
      </c>
      <c r="M67" s="16">
        <f>L67*10%</f>
        <v>1000000</v>
      </c>
      <c r="N67" s="15">
        <f t="shared" si="4"/>
        <v>11000000</v>
      </c>
      <c r="O67" s="5" t="s">
        <v>1481</v>
      </c>
      <c r="P67" s="9" t="s">
        <v>2634</v>
      </c>
      <c r="Q67" s="5">
        <v>45643</v>
      </c>
      <c r="R67" s="213"/>
    </row>
    <row r="68" spans="1:21" ht="16.5" customHeight="1">
      <c r="A68" t="s">
        <v>64</v>
      </c>
      <c r="B68" s="10" t="s">
        <v>104</v>
      </c>
      <c r="C68" s="12"/>
      <c r="D68" s="13">
        <v>45733</v>
      </c>
      <c r="E68" s="155" t="s">
        <v>2632</v>
      </c>
      <c r="F68" s="155"/>
      <c r="G68" s="156" t="s">
        <v>1375</v>
      </c>
      <c r="H68" s="156" t="s">
        <v>1377</v>
      </c>
      <c r="I68" s="69" t="s">
        <v>1376</v>
      </c>
      <c r="J68" s="122">
        <v>1</v>
      </c>
      <c r="K68" s="15">
        <v>1499000</v>
      </c>
      <c r="L68" s="16">
        <f t="shared" si="5"/>
        <v>1499000</v>
      </c>
      <c r="M68" s="16">
        <f>L68*10%</f>
        <v>149900</v>
      </c>
      <c r="N68" s="15">
        <f t="shared" si="4"/>
        <v>1648900</v>
      </c>
      <c r="O68" s="5" t="s">
        <v>1844</v>
      </c>
      <c r="P68" s="9" t="s">
        <v>2634</v>
      </c>
      <c r="Q68" s="5">
        <v>45729</v>
      </c>
      <c r="R68" s="213"/>
    </row>
    <row r="69" spans="1:21" ht="16.5" customHeight="1">
      <c r="A69" t="s">
        <v>64</v>
      </c>
      <c r="B69" s="10" t="s">
        <v>1412</v>
      </c>
      <c r="C69" s="12"/>
      <c r="D69" s="13">
        <v>45733</v>
      </c>
      <c r="E69" s="155" t="s">
        <v>1408</v>
      </c>
      <c r="F69" s="155" t="s">
        <v>1413</v>
      </c>
      <c r="G69" s="156" t="s">
        <v>1409</v>
      </c>
      <c r="H69" s="156" t="s">
        <v>35</v>
      </c>
      <c r="I69" s="69" t="s">
        <v>1410</v>
      </c>
      <c r="J69" s="122">
        <v>1</v>
      </c>
      <c r="K69" s="15">
        <v>88110</v>
      </c>
      <c r="L69" s="16">
        <f t="shared" si="5"/>
        <v>88110</v>
      </c>
      <c r="M69" s="16">
        <v>8810</v>
      </c>
      <c r="N69" s="15">
        <f t="shared" si="4"/>
        <v>96920</v>
      </c>
      <c r="O69" s="5" t="s">
        <v>1531</v>
      </c>
      <c r="P69" s="9" t="s">
        <v>2644</v>
      </c>
      <c r="Q69" s="5" t="s">
        <v>144</v>
      </c>
      <c r="R69" s="213"/>
    </row>
    <row r="70" spans="1:21" ht="16.5" customHeight="1">
      <c r="A70" t="s">
        <v>64</v>
      </c>
      <c r="B70" s="10" t="s">
        <v>1412</v>
      </c>
      <c r="C70" s="12"/>
      <c r="D70" s="13">
        <v>45733</v>
      </c>
      <c r="E70" s="155" t="s">
        <v>1408</v>
      </c>
      <c r="F70" s="155" t="s">
        <v>1413</v>
      </c>
      <c r="G70" s="156" t="s">
        <v>1409</v>
      </c>
      <c r="H70" s="156" t="s">
        <v>35</v>
      </c>
      <c r="I70" s="69" t="s">
        <v>1411</v>
      </c>
      <c r="J70" s="122">
        <v>1</v>
      </c>
      <c r="K70" s="15">
        <v>8090</v>
      </c>
      <c r="L70" s="16">
        <f t="shared" si="5"/>
        <v>8090</v>
      </c>
      <c r="M70" s="16" t="s">
        <v>1605</v>
      </c>
      <c r="N70" s="15">
        <f t="shared" si="4"/>
        <v>8090</v>
      </c>
      <c r="O70" s="5" t="s">
        <v>1531</v>
      </c>
      <c r="P70" s="9" t="s">
        <v>2644</v>
      </c>
      <c r="Q70" s="5" t="s">
        <v>144</v>
      </c>
      <c r="R70" s="209" t="s">
        <v>340</v>
      </c>
    </row>
    <row r="71" spans="1:21" ht="16.5" customHeight="1">
      <c r="A71" t="s">
        <v>64</v>
      </c>
      <c r="B71" s="10" t="s">
        <v>1381</v>
      </c>
      <c r="C71" s="12"/>
      <c r="D71" s="13">
        <v>45734</v>
      </c>
      <c r="E71" s="155" t="s">
        <v>26</v>
      </c>
      <c r="F71" s="155" t="s">
        <v>1571</v>
      </c>
      <c r="G71" s="156" t="s">
        <v>41</v>
      </c>
      <c r="H71" s="156" t="s">
        <v>1377</v>
      </c>
      <c r="I71" s="69" t="s">
        <v>1379</v>
      </c>
      <c r="J71" s="122">
        <v>1</v>
      </c>
      <c r="K71" s="15">
        <v>2173245</v>
      </c>
      <c r="L71" s="16">
        <f t="shared" si="5"/>
        <v>2173245</v>
      </c>
      <c r="M71" s="16">
        <v>217325</v>
      </c>
      <c r="N71" s="15">
        <f t="shared" si="4"/>
        <v>2390570</v>
      </c>
      <c r="O71" s="5" t="s">
        <v>1380</v>
      </c>
      <c r="P71" s="9" t="s">
        <v>2634</v>
      </c>
      <c r="Q71" s="5">
        <v>45749</v>
      </c>
      <c r="R71" s="213"/>
    </row>
    <row r="72" spans="1:21" ht="16.5" customHeight="1">
      <c r="A72" t="s">
        <v>64</v>
      </c>
      <c r="B72" s="143" t="s">
        <v>210</v>
      </c>
      <c r="C72" s="144"/>
      <c r="D72" s="13">
        <v>45736</v>
      </c>
      <c r="E72" s="155" t="s">
        <v>211</v>
      </c>
      <c r="F72" s="155" t="s">
        <v>212</v>
      </c>
      <c r="G72" s="157" t="s">
        <v>98</v>
      </c>
      <c r="H72" s="157" t="s">
        <v>213</v>
      </c>
      <c r="I72" s="159" t="s">
        <v>1414</v>
      </c>
      <c r="J72" s="127">
        <v>1</v>
      </c>
      <c r="K72" s="15">
        <v>370000</v>
      </c>
      <c r="L72" s="15">
        <f t="shared" si="5"/>
        <v>370000</v>
      </c>
      <c r="M72" s="123">
        <f>L72*10%</f>
        <v>37000</v>
      </c>
      <c r="N72" s="15">
        <f t="shared" si="4"/>
        <v>407000</v>
      </c>
      <c r="O72" s="5" t="s">
        <v>1542</v>
      </c>
      <c r="P72" s="177" t="s">
        <v>2636</v>
      </c>
      <c r="Q72" s="5">
        <v>45736</v>
      </c>
      <c r="R72" s="211"/>
      <c r="S72" s="7"/>
      <c r="T72" s="11"/>
    </row>
    <row r="73" spans="1:21" ht="84" customHeight="1">
      <c r="A73" t="s">
        <v>64</v>
      </c>
      <c r="B73" s="146" t="s">
        <v>144</v>
      </c>
      <c r="C73" s="12"/>
      <c r="D73" s="13">
        <v>45737</v>
      </c>
      <c r="E73" s="155" t="s">
        <v>371</v>
      </c>
      <c r="F73" s="155"/>
      <c r="G73" s="156" t="s">
        <v>30</v>
      </c>
      <c r="H73" s="156" t="s">
        <v>208</v>
      </c>
      <c r="I73" s="162" t="s">
        <v>1261</v>
      </c>
      <c r="J73" s="122">
        <v>1</v>
      </c>
      <c r="K73" s="15">
        <v>1449770</v>
      </c>
      <c r="L73" s="16">
        <v>1449770</v>
      </c>
      <c r="M73" s="16" t="s">
        <v>144</v>
      </c>
      <c r="N73" s="15">
        <f t="shared" si="4"/>
        <v>1449770</v>
      </c>
      <c r="O73" s="197" t="s">
        <v>1416</v>
      </c>
      <c r="P73" s="9" t="s">
        <v>2644</v>
      </c>
      <c r="Q73" s="5" t="s">
        <v>144</v>
      </c>
      <c r="R73" s="209" t="s">
        <v>340</v>
      </c>
    </row>
    <row r="74" spans="1:21" ht="16.5" customHeight="1">
      <c r="A74" t="s">
        <v>64</v>
      </c>
      <c r="B74" s="10" t="s">
        <v>1418</v>
      </c>
      <c r="C74" s="12"/>
      <c r="D74" s="13">
        <v>45737</v>
      </c>
      <c r="E74" s="155" t="s">
        <v>26</v>
      </c>
      <c r="F74" s="155" t="s">
        <v>1419</v>
      </c>
      <c r="G74" s="156" t="s">
        <v>1420</v>
      </c>
      <c r="H74" s="156" t="s">
        <v>1422</v>
      </c>
      <c r="I74" s="69" t="s">
        <v>1421</v>
      </c>
      <c r="J74" s="122">
        <v>1</v>
      </c>
      <c r="K74" s="15">
        <v>1070364</v>
      </c>
      <c r="L74" s="16">
        <f>J74*K74</f>
        <v>1070364</v>
      </c>
      <c r="M74" s="16">
        <v>107036</v>
      </c>
      <c r="N74" s="15">
        <f t="shared" si="4"/>
        <v>1177400</v>
      </c>
      <c r="O74" s="5" t="s">
        <v>1423</v>
      </c>
      <c r="P74" s="9" t="s">
        <v>2636</v>
      </c>
      <c r="Q74" s="5">
        <v>45741</v>
      </c>
      <c r="R74" s="213"/>
    </row>
    <row r="75" spans="1:21" ht="16.5" customHeight="1">
      <c r="A75" t="s">
        <v>64</v>
      </c>
      <c r="B75" s="10" t="s">
        <v>2186</v>
      </c>
      <c r="C75" s="12"/>
      <c r="D75" s="13">
        <v>45740</v>
      </c>
      <c r="E75" s="155" t="s">
        <v>13</v>
      </c>
      <c r="F75" s="155" t="s">
        <v>105</v>
      </c>
      <c r="G75" s="156" t="s">
        <v>41</v>
      </c>
      <c r="H75" s="156" t="s">
        <v>1427</v>
      </c>
      <c r="I75" s="69" t="s">
        <v>1428</v>
      </c>
      <c r="J75" s="122">
        <v>1</v>
      </c>
      <c r="K75" s="15">
        <v>2950000</v>
      </c>
      <c r="L75" s="16">
        <f>J75*K75</f>
        <v>2950000</v>
      </c>
      <c r="M75" s="16">
        <f>L75*10%</f>
        <v>295000</v>
      </c>
      <c r="N75" s="15">
        <f t="shared" si="4"/>
        <v>3245000</v>
      </c>
      <c r="O75" s="5" t="s">
        <v>2228</v>
      </c>
      <c r="P75" s="9" t="s">
        <v>2635</v>
      </c>
      <c r="Q75" s="5">
        <v>45805</v>
      </c>
      <c r="R75" s="213"/>
    </row>
    <row r="76" spans="1:21" ht="16.5" customHeight="1">
      <c r="A76" t="s">
        <v>64</v>
      </c>
      <c r="B76" s="10" t="s">
        <v>1286</v>
      </c>
      <c r="C76" s="12"/>
      <c r="D76" s="13">
        <v>45740</v>
      </c>
      <c r="E76" s="155" t="s">
        <v>1289</v>
      </c>
      <c r="F76" s="155" t="s">
        <v>1290</v>
      </c>
      <c r="G76" s="156" t="s">
        <v>1282</v>
      </c>
      <c r="H76" s="156" t="s">
        <v>1287</v>
      </c>
      <c r="I76" s="69" t="s">
        <v>1288</v>
      </c>
      <c r="J76" s="122">
        <v>1</v>
      </c>
      <c r="K76" s="15">
        <v>112000</v>
      </c>
      <c r="L76" s="16">
        <f>J76*K76</f>
        <v>112000</v>
      </c>
      <c r="M76" s="16">
        <f>L76*10%</f>
        <v>11200</v>
      </c>
      <c r="N76" s="15">
        <f t="shared" si="4"/>
        <v>123200</v>
      </c>
      <c r="O76" s="5" t="s">
        <v>2228</v>
      </c>
      <c r="P76" s="9" t="s">
        <v>2635</v>
      </c>
      <c r="Q76" s="5">
        <v>45747</v>
      </c>
      <c r="R76" s="209"/>
    </row>
    <row r="77" spans="1:21" ht="16.5" customHeight="1">
      <c r="A77" t="s">
        <v>64</v>
      </c>
      <c r="B77" s="10" t="s">
        <v>1510</v>
      </c>
      <c r="C77" s="12"/>
      <c r="D77" s="13">
        <v>45740</v>
      </c>
      <c r="E77" s="155" t="s">
        <v>26</v>
      </c>
      <c r="F77" s="155" t="s">
        <v>1508</v>
      </c>
      <c r="G77" s="156" t="s">
        <v>41</v>
      </c>
      <c r="H77" s="156" t="s">
        <v>1507</v>
      </c>
      <c r="I77" s="238" t="s">
        <v>1509</v>
      </c>
      <c r="J77" s="122">
        <v>1</v>
      </c>
      <c r="K77" s="15">
        <v>191764</v>
      </c>
      <c r="L77" s="16">
        <f>J77*K77</f>
        <v>191764</v>
      </c>
      <c r="M77" s="16">
        <v>19176</v>
      </c>
      <c r="N77" s="15">
        <f t="shared" si="4"/>
        <v>210940</v>
      </c>
      <c r="O77" s="5" t="s">
        <v>1452</v>
      </c>
      <c r="P77" s="9" t="s">
        <v>2636</v>
      </c>
      <c r="Q77" s="5">
        <v>45741</v>
      </c>
      <c r="R77" s="213"/>
    </row>
    <row r="78" spans="1:21" ht="16.5" customHeight="1">
      <c r="A78" t="s">
        <v>64</v>
      </c>
      <c r="B78" s="10" t="s">
        <v>1541</v>
      </c>
      <c r="C78" s="12"/>
      <c r="D78" s="13">
        <v>45740</v>
      </c>
      <c r="E78" s="155" t="s">
        <v>936</v>
      </c>
      <c r="F78" s="155" t="s">
        <v>1220</v>
      </c>
      <c r="G78" s="156" t="s">
        <v>41</v>
      </c>
      <c r="H78" s="156" t="s">
        <v>1539</v>
      </c>
      <c r="I78" s="69" t="s">
        <v>1540</v>
      </c>
      <c r="J78" s="122">
        <v>1</v>
      </c>
      <c r="K78" s="15">
        <v>120000</v>
      </c>
      <c r="L78" s="16">
        <f>J78*K78</f>
        <v>120000</v>
      </c>
      <c r="M78" s="16">
        <f>L78*10%</f>
        <v>12000</v>
      </c>
      <c r="N78" s="15">
        <f>SUM(L78:M78)</f>
        <v>132000</v>
      </c>
      <c r="O78" s="5" t="s">
        <v>2228</v>
      </c>
      <c r="P78" s="9" t="s">
        <v>2636</v>
      </c>
      <c r="Q78" s="5">
        <v>45747</v>
      </c>
      <c r="R78" s="209"/>
    </row>
    <row r="79" spans="1:21" ht="16.5" customHeight="1">
      <c r="A79" t="s">
        <v>64</v>
      </c>
      <c r="B79" s="10" t="s">
        <v>144</v>
      </c>
      <c r="C79" s="12"/>
      <c r="D79" s="13">
        <v>45741</v>
      </c>
      <c r="E79" s="155" t="s">
        <v>149</v>
      </c>
      <c r="F79" s="155"/>
      <c r="G79" s="156" t="s">
        <v>30</v>
      </c>
      <c r="H79" s="157" t="s">
        <v>208</v>
      </c>
      <c r="I79" s="69" t="s">
        <v>1349</v>
      </c>
      <c r="J79" s="122">
        <v>1</v>
      </c>
      <c r="K79" s="15">
        <f>371000/1.1</f>
        <v>337272.72727272724</v>
      </c>
      <c r="L79" s="16">
        <v>437273</v>
      </c>
      <c r="M79" s="187">
        <v>43727</v>
      </c>
      <c r="N79" s="15">
        <f t="shared" si="4"/>
        <v>481000</v>
      </c>
      <c r="O79" s="5" t="s">
        <v>1350</v>
      </c>
      <c r="P79" s="177" t="s">
        <v>2644</v>
      </c>
      <c r="Q79" s="5" t="s">
        <v>144</v>
      </c>
      <c r="R79" s="209" t="s">
        <v>339</v>
      </c>
    </row>
    <row r="80" spans="1:21" ht="16.5" customHeight="1">
      <c r="A80" t="s">
        <v>64</v>
      </c>
      <c r="B80" s="10" t="s">
        <v>144</v>
      </c>
      <c r="C80" s="145"/>
      <c r="D80" s="65"/>
      <c r="E80" s="160" t="s">
        <v>149</v>
      </c>
      <c r="F80" s="160"/>
      <c r="G80" s="156" t="s">
        <v>30</v>
      </c>
      <c r="H80" s="157" t="s">
        <v>208</v>
      </c>
      <c r="I80" s="69" t="s">
        <v>1348</v>
      </c>
      <c r="J80" s="122">
        <v>1</v>
      </c>
      <c r="K80" s="15">
        <v>100000</v>
      </c>
      <c r="L80" s="125"/>
      <c r="M80" s="125"/>
      <c r="N80" s="126"/>
      <c r="O80" s="5" t="s">
        <v>263</v>
      </c>
      <c r="P80" s="9" t="s">
        <v>2644</v>
      </c>
      <c r="Q80" s="5" t="s">
        <v>144</v>
      </c>
      <c r="R80" s="209"/>
    </row>
    <row r="81" spans="1:20" ht="16.5" customHeight="1">
      <c r="A81" t="s">
        <v>64</v>
      </c>
      <c r="B81" s="10" t="s">
        <v>144</v>
      </c>
      <c r="C81" s="12"/>
      <c r="D81" s="13">
        <v>45741</v>
      </c>
      <c r="E81" s="155" t="s">
        <v>115</v>
      </c>
      <c r="F81" s="155"/>
      <c r="G81" s="156" t="s">
        <v>30</v>
      </c>
      <c r="H81" s="157" t="s">
        <v>208</v>
      </c>
      <c r="I81" s="69" t="s">
        <v>1347</v>
      </c>
      <c r="J81" s="122">
        <v>1</v>
      </c>
      <c r="K81" s="15">
        <v>342614</v>
      </c>
      <c r="L81" s="16">
        <f t="shared" ref="L81:L95" si="6">J81*K81</f>
        <v>342614</v>
      </c>
      <c r="M81" s="187">
        <v>34261</v>
      </c>
      <c r="N81" s="15">
        <f t="shared" ref="N81:N115" si="7">SUM(L81:M81)</f>
        <v>376875</v>
      </c>
      <c r="O81" s="5" t="s">
        <v>1350</v>
      </c>
      <c r="P81" s="177" t="s">
        <v>2644</v>
      </c>
      <c r="Q81" s="5" t="s">
        <v>144</v>
      </c>
      <c r="R81" s="209" t="s">
        <v>339</v>
      </c>
      <c r="S81" s="101"/>
      <c r="T81" s="11"/>
    </row>
    <row r="82" spans="1:20" ht="16.5" customHeight="1">
      <c r="A82" t="s">
        <v>64</v>
      </c>
      <c r="B82" s="10" t="s">
        <v>144</v>
      </c>
      <c r="C82" s="12"/>
      <c r="D82" s="13">
        <v>45741</v>
      </c>
      <c r="E82" s="155" t="s">
        <v>115</v>
      </c>
      <c r="F82" s="155"/>
      <c r="G82" s="156" t="s">
        <v>30</v>
      </c>
      <c r="H82" s="157" t="s">
        <v>208</v>
      </c>
      <c r="I82" s="69" t="s">
        <v>1346</v>
      </c>
      <c r="J82" s="122">
        <v>1</v>
      </c>
      <c r="K82" s="15">
        <v>234659</v>
      </c>
      <c r="L82" s="16">
        <f t="shared" si="6"/>
        <v>234659</v>
      </c>
      <c r="M82" s="187">
        <v>23466</v>
      </c>
      <c r="N82" s="15">
        <f t="shared" si="7"/>
        <v>258125</v>
      </c>
      <c r="O82" s="5" t="s">
        <v>262</v>
      </c>
      <c r="P82" s="177" t="s">
        <v>2644</v>
      </c>
      <c r="Q82" s="5" t="s">
        <v>144</v>
      </c>
      <c r="R82" s="209" t="s">
        <v>339</v>
      </c>
      <c r="S82" s="101"/>
      <c r="T82" s="11"/>
    </row>
    <row r="83" spans="1:20" ht="16.5" customHeight="1">
      <c r="A83" t="s">
        <v>64</v>
      </c>
      <c r="B83" s="10" t="s">
        <v>144</v>
      </c>
      <c r="C83" s="12"/>
      <c r="D83" s="13">
        <v>45741</v>
      </c>
      <c r="E83" s="155" t="s">
        <v>115</v>
      </c>
      <c r="F83" s="155"/>
      <c r="G83" s="156" t="s">
        <v>30</v>
      </c>
      <c r="H83" s="157" t="s">
        <v>208</v>
      </c>
      <c r="I83" s="69" t="s">
        <v>1345</v>
      </c>
      <c r="J83" s="122">
        <v>1</v>
      </c>
      <c r="K83" s="15">
        <v>488069</v>
      </c>
      <c r="L83" s="16">
        <f t="shared" si="6"/>
        <v>488069</v>
      </c>
      <c r="M83" s="187">
        <v>48806</v>
      </c>
      <c r="N83" s="15">
        <f t="shared" si="7"/>
        <v>536875</v>
      </c>
      <c r="O83" s="5" t="s">
        <v>1350</v>
      </c>
      <c r="P83" s="177" t="s">
        <v>2644</v>
      </c>
      <c r="Q83" s="5" t="s">
        <v>144</v>
      </c>
      <c r="R83" s="209" t="s">
        <v>339</v>
      </c>
      <c r="S83" s="101"/>
      <c r="T83" s="11"/>
    </row>
    <row r="84" spans="1:20" ht="16.5" customHeight="1">
      <c r="A84" t="s">
        <v>64</v>
      </c>
      <c r="B84" s="10" t="s">
        <v>144</v>
      </c>
      <c r="C84" s="12"/>
      <c r="D84" s="13">
        <v>45741</v>
      </c>
      <c r="E84" s="155" t="s">
        <v>115</v>
      </c>
      <c r="F84" s="155"/>
      <c r="G84" s="156" t="s">
        <v>30</v>
      </c>
      <c r="H84" s="157" t="s">
        <v>208</v>
      </c>
      <c r="I84" s="69" t="s">
        <v>1344</v>
      </c>
      <c r="J84" s="122">
        <v>1</v>
      </c>
      <c r="K84" s="15">
        <v>307386</v>
      </c>
      <c r="L84" s="16">
        <f t="shared" si="6"/>
        <v>307386</v>
      </c>
      <c r="M84" s="187">
        <v>30739</v>
      </c>
      <c r="N84" s="15">
        <f t="shared" si="7"/>
        <v>338125</v>
      </c>
      <c r="O84" s="5" t="s">
        <v>262</v>
      </c>
      <c r="P84" s="177" t="s">
        <v>2644</v>
      </c>
      <c r="Q84" s="5" t="s">
        <v>144</v>
      </c>
      <c r="R84" s="209" t="s">
        <v>339</v>
      </c>
      <c r="S84" s="101"/>
      <c r="T84" s="11"/>
    </row>
    <row r="85" spans="1:20" ht="16.5" customHeight="1">
      <c r="A85" t="s">
        <v>64</v>
      </c>
      <c r="B85" s="141" t="s">
        <v>144</v>
      </c>
      <c r="C85" s="148"/>
      <c r="D85" s="13">
        <v>45741</v>
      </c>
      <c r="E85" s="155" t="s">
        <v>21</v>
      </c>
      <c r="F85" s="155"/>
      <c r="G85" s="156" t="s">
        <v>30</v>
      </c>
      <c r="H85" s="156" t="s">
        <v>265</v>
      </c>
      <c r="I85" s="69" t="s">
        <v>2639</v>
      </c>
      <c r="J85" s="124">
        <v>1</v>
      </c>
      <c r="K85" s="16">
        <v>272727</v>
      </c>
      <c r="L85" s="16">
        <f t="shared" si="6"/>
        <v>272727</v>
      </c>
      <c r="M85" s="189">
        <v>27273</v>
      </c>
      <c r="N85" s="15">
        <f t="shared" si="7"/>
        <v>300000</v>
      </c>
      <c r="O85" s="5" t="s">
        <v>1543</v>
      </c>
      <c r="P85" s="177" t="s">
        <v>2644</v>
      </c>
      <c r="Q85" s="68" t="s">
        <v>206</v>
      </c>
      <c r="R85" s="209" t="s">
        <v>339</v>
      </c>
      <c r="S85" s="7"/>
      <c r="T85" s="11"/>
    </row>
    <row r="86" spans="1:20" ht="16.5" customHeight="1">
      <c r="A86" t="s">
        <v>64</v>
      </c>
      <c r="B86" s="10" t="s">
        <v>144</v>
      </c>
      <c r="C86" s="12"/>
      <c r="D86" s="13">
        <v>45741</v>
      </c>
      <c r="E86" s="155" t="s">
        <v>400</v>
      </c>
      <c r="F86" s="155"/>
      <c r="G86" s="156" t="s">
        <v>30</v>
      </c>
      <c r="H86" s="156" t="s">
        <v>145</v>
      </c>
      <c r="I86" s="69" t="s">
        <v>1415</v>
      </c>
      <c r="J86" s="122">
        <v>1</v>
      </c>
      <c r="K86" s="16">
        <v>160000</v>
      </c>
      <c r="L86" s="16">
        <f t="shared" si="6"/>
        <v>160000</v>
      </c>
      <c r="M86" s="123">
        <f t="shared" ref="M86:M95" si="8">L86*10%</f>
        <v>16000</v>
      </c>
      <c r="N86" s="15">
        <f t="shared" si="7"/>
        <v>176000</v>
      </c>
      <c r="O86" s="5" t="s">
        <v>1542</v>
      </c>
      <c r="P86" s="177" t="s">
        <v>2644</v>
      </c>
      <c r="Q86" s="5" t="s">
        <v>144</v>
      </c>
      <c r="R86" s="209"/>
    </row>
    <row r="87" spans="1:20" ht="16.5" customHeight="1">
      <c r="A87" t="s">
        <v>64</v>
      </c>
      <c r="B87" s="10" t="s">
        <v>1558</v>
      </c>
      <c r="C87" s="12"/>
      <c r="D87" s="13">
        <v>45741</v>
      </c>
      <c r="E87" s="155" t="s">
        <v>1524</v>
      </c>
      <c r="F87" s="155" t="s">
        <v>1527</v>
      </c>
      <c r="G87" s="156" t="s">
        <v>1526</v>
      </c>
      <c r="H87" s="156" t="s">
        <v>1525</v>
      </c>
      <c r="I87" s="69" t="s">
        <v>1523</v>
      </c>
      <c r="J87" s="122">
        <v>3</v>
      </c>
      <c r="K87" s="15">
        <v>170000</v>
      </c>
      <c r="L87" s="16">
        <f t="shared" si="6"/>
        <v>510000</v>
      </c>
      <c r="M87" s="16">
        <f t="shared" si="8"/>
        <v>51000</v>
      </c>
      <c r="N87" s="15">
        <f t="shared" si="7"/>
        <v>561000</v>
      </c>
      <c r="O87" s="5" t="s">
        <v>1844</v>
      </c>
      <c r="P87" s="9" t="s">
        <v>2636</v>
      </c>
      <c r="Q87" s="5">
        <v>45749</v>
      </c>
      <c r="R87" s="213"/>
    </row>
    <row r="88" spans="1:20" ht="16.5" customHeight="1">
      <c r="A88" t="s">
        <v>64</v>
      </c>
      <c r="B88" s="10" t="s">
        <v>312</v>
      </c>
      <c r="C88" s="12"/>
      <c r="D88" s="13">
        <v>45741</v>
      </c>
      <c r="E88" s="155" t="s">
        <v>155</v>
      </c>
      <c r="F88" s="155" t="s">
        <v>264</v>
      </c>
      <c r="G88" s="157" t="s">
        <v>98</v>
      </c>
      <c r="H88" s="156" t="s">
        <v>102</v>
      </c>
      <c r="I88" s="69" t="s">
        <v>1486</v>
      </c>
      <c r="J88" s="122">
        <v>1</v>
      </c>
      <c r="K88" s="15">
        <v>200000</v>
      </c>
      <c r="L88" s="16">
        <f t="shared" si="6"/>
        <v>200000</v>
      </c>
      <c r="M88" s="16">
        <f t="shared" si="8"/>
        <v>20000</v>
      </c>
      <c r="N88" s="15">
        <f t="shared" si="7"/>
        <v>220000</v>
      </c>
      <c r="O88" s="5" t="s">
        <v>1844</v>
      </c>
      <c r="P88" s="9" t="s">
        <v>2634</v>
      </c>
      <c r="Q88" s="5">
        <v>45736</v>
      </c>
      <c r="R88" s="209"/>
      <c r="T88" s="11"/>
    </row>
    <row r="89" spans="1:20" ht="16.5" customHeight="1">
      <c r="A89" t="s">
        <v>64</v>
      </c>
      <c r="B89" s="10" t="s">
        <v>1560</v>
      </c>
      <c r="C89" s="12"/>
      <c r="D89" s="13">
        <v>45741</v>
      </c>
      <c r="E89" s="155" t="s">
        <v>19</v>
      </c>
      <c r="F89" s="155" t="s">
        <v>164</v>
      </c>
      <c r="G89" s="156" t="s">
        <v>1548</v>
      </c>
      <c r="H89" s="156" t="s">
        <v>1551</v>
      </c>
      <c r="I89" s="69" t="s">
        <v>1559</v>
      </c>
      <c r="J89" s="122">
        <v>1</v>
      </c>
      <c r="K89" s="15">
        <v>120000</v>
      </c>
      <c r="L89" s="16">
        <f t="shared" si="6"/>
        <v>120000</v>
      </c>
      <c r="M89" s="16">
        <f t="shared" si="8"/>
        <v>12000</v>
      </c>
      <c r="N89" s="15">
        <f t="shared" si="7"/>
        <v>132000</v>
      </c>
      <c r="O89" s="5" t="s">
        <v>2228</v>
      </c>
      <c r="P89" s="9" t="s">
        <v>2636</v>
      </c>
      <c r="Q89" s="5">
        <v>45749</v>
      </c>
      <c r="R89" s="213"/>
    </row>
    <row r="90" spans="1:20" ht="16.5" customHeight="1">
      <c r="A90" t="s">
        <v>64</v>
      </c>
      <c r="B90" s="10" t="s">
        <v>491</v>
      </c>
      <c r="C90" s="12"/>
      <c r="D90" s="13">
        <v>45743</v>
      </c>
      <c r="E90" s="155" t="s">
        <v>31</v>
      </c>
      <c r="F90" s="155" t="s">
        <v>1048</v>
      </c>
      <c r="G90" s="156" t="s">
        <v>98</v>
      </c>
      <c r="H90" s="156" t="s">
        <v>102</v>
      </c>
      <c r="I90" s="69" t="s">
        <v>1368</v>
      </c>
      <c r="J90" s="122">
        <v>1</v>
      </c>
      <c r="K90" s="15">
        <v>500000</v>
      </c>
      <c r="L90" s="16">
        <f t="shared" si="6"/>
        <v>500000</v>
      </c>
      <c r="M90" s="16">
        <f t="shared" si="8"/>
        <v>50000</v>
      </c>
      <c r="N90" s="15">
        <f t="shared" si="7"/>
        <v>550000</v>
      </c>
      <c r="O90" s="5" t="s">
        <v>2228</v>
      </c>
      <c r="P90" s="9" t="s">
        <v>2636</v>
      </c>
      <c r="Q90" s="5">
        <v>45636</v>
      </c>
      <c r="R90" s="209" t="s">
        <v>100</v>
      </c>
    </row>
    <row r="91" spans="1:20" ht="16.5" customHeight="1">
      <c r="A91" t="s">
        <v>64</v>
      </c>
      <c r="B91" s="10" t="s">
        <v>144</v>
      </c>
      <c r="C91" s="12"/>
      <c r="D91" s="13">
        <v>45743</v>
      </c>
      <c r="E91" s="155" t="s">
        <v>106</v>
      </c>
      <c r="F91" s="155"/>
      <c r="G91" s="156" t="s">
        <v>30</v>
      </c>
      <c r="H91" s="156" t="s">
        <v>282</v>
      </c>
      <c r="I91" s="69" t="s">
        <v>287</v>
      </c>
      <c r="J91" s="122">
        <v>4</v>
      </c>
      <c r="K91" s="15">
        <v>6000</v>
      </c>
      <c r="L91" s="16">
        <f t="shared" si="6"/>
        <v>24000</v>
      </c>
      <c r="M91" s="15">
        <f t="shared" si="8"/>
        <v>2400</v>
      </c>
      <c r="N91" s="15">
        <f t="shared" si="7"/>
        <v>26400</v>
      </c>
      <c r="O91" s="5" t="s">
        <v>1676</v>
      </c>
      <c r="P91" s="9" t="s">
        <v>2644</v>
      </c>
      <c r="Q91" s="5" t="s">
        <v>144</v>
      </c>
      <c r="R91" s="209"/>
      <c r="T91" s="11"/>
    </row>
    <row r="92" spans="1:20" ht="16.5" customHeight="1">
      <c r="A92" t="s">
        <v>64</v>
      </c>
      <c r="B92" s="10" t="s">
        <v>307</v>
      </c>
      <c r="C92" s="12"/>
      <c r="D92" s="13">
        <v>45743</v>
      </c>
      <c r="E92" s="155" t="s">
        <v>2631</v>
      </c>
      <c r="F92" s="155" t="s">
        <v>288</v>
      </c>
      <c r="G92" s="156" t="s">
        <v>7</v>
      </c>
      <c r="H92" s="156" t="s">
        <v>102</v>
      </c>
      <c r="I92" s="69" t="s">
        <v>1485</v>
      </c>
      <c r="J92" s="122">
        <v>1</v>
      </c>
      <c r="K92" s="15">
        <v>4950000</v>
      </c>
      <c r="L92" s="16">
        <f t="shared" si="6"/>
        <v>4950000</v>
      </c>
      <c r="M92" s="15">
        <f t="shared" si="8"/>
        <v>495000</v>
      </c>
      <c r="N92" s="15">
        <f t="shared" si="7"/>
        <v>5445000</v>
      </c>
      <c r="O92" s="5" t="s">
        <v>2348</v>
      </c>
      <c r="P92" s="174" t="s">
        <v>2636</v>
      </c>
      <c r="Q92" s="5">
        <v>45747</v>
      </c>
      <c r="R92" s="209"/>
    </row>
    <row r="93" spans="1:20" ht="16.5" customHeight="1">
      <c r="A93" t="s">
        <v>64</v>
      </c>
      <c r="B93" s="10" t="s">
        <v>1532</v>
      </c>
      <c r="C93" s="12"/>
      <c r="D93" s="13">
        <v>45744</v>
      </c>
      <c r="E93" s="155" t="s">
        <v>1528</v>
      </c>
      <c r="F93" s="155" t="s">
        <v>327</v>
      </c>
      <c r="G93" s="156" t="s">
        <v>41</v>
      </c>
      <c r="H93" s="156" t="s">
        <v>1377</v>
      </c>
      <c r="I93" s="69" t="s">
        <v>643</v>
      </c>
      <c r="J93" s="122">
        <v>1</v>
      </c>
      <c r="K93" s="15">
        <f>2261420/1.1</f>
        <v>2055836.3636363635</v>
      </c>
      <c r="L93" s="16">
        <f t="shared" si="6"/>
        <v>2055836.3636363635</v>
      </c>
      <c r="M93" s="16">
        <f t="shared" si="8"/>
        <v>205583.63636363635</v>
      </c>
      <c r="N93" s="15">
        <f t="shared" si="7"/>
        <v>2261420</v>
      </c>
      <c r="O93" s="5" t="s">
        <v>1529</v>
      </c>
      <c r="P93" s="9" t="s">
        <v>2643</v>
      </c>
      <c r="Q93" s="5">
        <v>45761</v>
      </c>
      <c r="R93" s="213"/>
    </row>
    <row r="94" spans="1:20" ht="16.5" customHeight="1">
      <c r="A94" t="s">
        <v>64</v>
      </c>
      <c r="B94" s="10" t="s">
        <v>1514</v>
      </c>
      <c r="C94" s="12"/>
      <c r="D94" s="13">
        <v>45744</v>
      </c>
      <c r="E94" s="155" t="s">
        <v>2632</v>
      </c>
      <c r="F94" s="155" t="s">
        <v>162</v>
      </c>
      <c r="G94" s="156" t="s">
        <v>41</v>
      </c>
      <c r="H94" s="156" t="s">
        <v>1513</v>
      </c>
      <c r="I94" s="69" t="s">
        <v>1512</v>
      </c>
      <c r="J94" s="122">
        <v>1</v>
      </c>
      <c r="K94" s="15">
        <v>200000</v>
      </c>
      <c r="L94" s="16">
        <f t="shared" si="6"/>
        <v>200000</v>
      </c>
      <c r="M94" s="16">
        <f t="shared" si="8"/>
        <v>20000</v>
      </c>
      <c r="N94" s="15">
        <f t="shared" si="7"/>
        <v>220000</v>
      </c>
      <c r="O94" s="5" t="s">
        <v>1844</v>
      </c>
      <c r="P94" s="9" t="s">
        <v>2634</v>
      </c>
      <c r="Q94" s="5">
        <v>45742</v>
      </c>
      <c r="R94" s="213"/>
    </row>
    <row r="95" spans="1:20" ht="16.5" customHeight="1">
      <c r="A95" t="s">
        <v>64</v>
      </c>
      <c r="B95" s="10" t="s">
        <v>1553</v>
      </c>
      <c r="C95" s="12"/>
      <c r="D95" s="13">
        <v>45744</v>
      </c>
      <c r="E95" s="155" t="s">
        <v>19</v>
      </c>
      <c r="F95" s="155" t="s">
        <v>1554</v>
      </c>
      <c r="G95" s="156" t="s">
        <v>1548</v>
      </c>
      <c r="H95" s="156" t="s">
        <v>1552</v>
      </c>
      <c r="I95" s="69" t="s">
        <v>1555</v>
      </c>
      <c r="J95" s="122">
        <v>1</v>
      </c>
      <c r="K95" s="15">
        <v>300000</v>
      </c>
      <c r="L95" s="16">
        <f t="shared" si="6"/>
        <v>300000</v>
      </c>
      <c r="M95" s="16">
        <f t="shared" si="8"/>
        <v>30000</v>
      </c>
      <c r="N95" s="15">
        <f t="shared" si="7"/>
        <v>330000</v>
      </c>
      <c r="O95" s="5" t="s">
        <v>2228</v>
      </c>
      <c r="P95" s="9" t="s">
        <v>2636</v>
      </c>
      <c r="Q95" s="5">
        <v>45747</v>
      </c>
      <c r="R95" s="213"/>
    </row>
    <row r="96" spans="1:20" ht="16.5" customHeight="1">
      <c r="A96" t="s">
        <v>64</v>
      </c>
      <c r="B96" s="10" t="s">
        <v>1669</v>
      </c>
      <c r="C96" s="12"/>
      <c r="D96" s="13">
        <v>45744</v>
      </c>
      <c r="E96" s="155" t="s">
        <v>936</v>
      </c>
      <c r="F96" s="155" t="s">
        <v>661</v>
      </c>
      <c r="G96" s="156" t="s">
        <v>41</v>
      </c>
      <c r="H96" s="156" t="s">
        <v>1667</v>
      </c>
      <c r="I96" s="238" t="s">
        <v>1668</v>
      </c>
      <c r="J96" s="122">
        <v>1</v>
      </c>
      <c r="K96" s="15">
        <v>1150000</v>
      </c>
      <c r="L96" s="16">
        <f>J96*K96</f>
        <v>1150000</v>
      </c>
      <c r="M96" s="16">
        <f>L96*10%</f>
        <v>115000</v>
      </c>
      <c r="N96" s="15">
        <f>SUM(L96:M96)</f>
        <v>1265000</v>
      </c>
      <c r="O96" s="5" t="s">
        <v>2228</v>
      </c>
      <c r="P96" s="9" t="s">
        <v>2636</v>
      </c>
      <c r="Q96" s="5">
        <v>45747</v>
      </c>
      <c r="R96" s="209"/>
    </row>
    <row r="97" spans="1:21" ht="16.5" customHeight="1">
      <c r="A97" t="s">
        <v>64</v>
      </c>
      <c r="B97" s="10" t="s">
        <v>1530</v>
      </c>
      <c r="C97" s="12"/>
      <c r="D97" s="13">
        <v>45747</v>
      </c>
      <c r="E97" s="155" t="s">
        <v>1528</v>
      </c>
      <c r="F97" s="155" t="s">
        <v>1228</v>
      </c>
      <c r="G97" s="156" t="s">
        <v>41</v>
      </c>
      <c r="H97" s="156" t="s">
        <v>1422</v>
      </c>
      <c r="I97" s="69" t="s">
        <v>1421</v>
      </c>
      <c r="J97" s="122">
        <v>8</v>
      </c>
      <c r="K97" s="15">
        <f>240420/8/1.1</f>
        <v>27320.454545454544</v>
      </c>
      <c r="L97" s="16">
        <v>218564</v>
      </c>
      <c r="M97" s="16">
        <v>21856</v>
      </c>
      <c r="N97" s="15">
        <f t="shared" si="7"/>
        <v>240420</v>
      </c>
      <c r="O97" s="5" t="s">
        <v>1531</v>
      </c>
      <c r="P97" s="9" t="s">
        <v>2636</v>
      </c>
      <c r="Q97" s="5">
        <v>45757</v>
      </c>
      <c r="R97" s="213"/>
    </row>
    <row r="98" spans="1:21" ht="16.5" customHeight="1">
      <c r="A98" t="s">
        <v>64</v>
      </c>
      <c r="B98" s="10" t="s">
        <v>415</v>
      </c>
      <c r="C98" s="12"/>
      <c r="D98" s="13">
        <v>45747</v>
      </c>
      <c r="E98" s="155" t="s">
        <v>19</v>
      </c>
      <c r="F98" s="163" t="s">
        <v>99</v>
      </c>
      <c r="G98" s="157" t="s">
        <v>98</v>
      </c>
      <c r="H98" s="157" t="s">
        <v>213</v>
      </c>
      <c r="I98" s="159" t="s">
        <v>2102</v>
      </c>
      <c r="J98" s="124">
        <v>1</v>
      </c>
      <c r="K98" s="188">
        <v>300000</v>
      </c>
      <c r="L98" s="15">
        <f t="shared" ref="L98:L114" si="9">J98*K98</f>
        <v>300000</v>
      </c>
      <c r="M98" s="15">
        <f t="shared" ref="M98:M111" si="10">L98*10%</f>
        <v>30000</v>
      </c>
      <c r="N98" s="15">
        <f t="shared" si="7"/>
        <v>330000</v>
      </c>
      <c r="O98" s="5" t="s">
        <v>2228</v>
      </c>
      <c r="P98" s="174" t="s">
        <v>2634</v>
      </c>
      <c r="Q98" s="5">
        <v>45752</v>
      </c>
      <c r="R98" s="211"/>
      <c r="S98" s="7"/>
      <c r="T98" s="11"/>
    </row>
    <row r="99" spans="1:21" ht="16.5" customHeight="1">
      <c r="A99" t="s">
        <v>64</v>
      </c>
      <c r="B99" s="10" t="s">
        <v>302</v>
      </c>
      <c r="C99" s="142"/>
      <c r="D99" s="13">
        <v>45747</v>
      </c>
      <c r="E99" s="155" t="s">
        <v>268</v>
      </c>
      <c r="F99" s="155" t="s">
        <v>266</v>
      </c>
      <c r="G99" s="157" t="s">
        <v>98</v>
      </c>
      <c r="H99" s="157" t="s">
        <v>213</v>
      </c>
      <c r="I99" s="69" t="s">
        <v>1522</v>
      </c>
      <c r="J99" s="124">
        <v>1</v>
      </c>
      <c r="K99" s="16">
        <v>100000</v>
      </c>
      <c r="L99" s="15">
        <f t="shared" si="9"/>
        <v>100000</v>
      </c>
      <c r="M99" s="15">
        <f t="shared" si="10"/>
        <v>10000</v>
      </c>
      <c r="N99" s="15">
        <f t="shared" si="7"/>
        <v>110000</v>
      </c>
      <c r="O99" s="5" t="s">
        <v>1844</v>
      </c>
      <c r="P99" s="175" t="s">
        <v>2635</v>
      </c>
      <c r="Q99" s="5">
        <v>45747</v>
      </c>
      <c r="R99" s="212"/>
      <c r="S99" s="7"/>
      <c r="T99" s="11"/>
    </row>
    <row r="100" spans="1:21" ht="16.5" customHeight="1">
      <c r="A100" t="s">
        <v>64</v>
      </c>
      <c r="B100" s="140" t="s">
        <v>267</v>
      </c>
      <c r="C100" s="12"/>
      <c r="D100" s="13">
        <v>45747</v>
      </c>
      <c r="E100" s="155" t="s">
        <v>45</v>
      </c>
      <c r="F100" s="155" t="s">
        <v>345</v>
      </c>
      <c r="G100" s="157" t="s">
        <v>98</v>
      </c>
      <c r="H100" s="167" t="s">
        <v>213</v>
      </c>
      <c r="I100" s="69" t="s">
        <v>1494</v>
      </c>
      <c r="J100" s="124">
        <v>1</v>
      </c>
      <c r="K100" s="16">
        <v>595000</v>
      </c>
      <c r="L100" s="15">
        <f t="shared" si="9"/>
        <v>595000</v>
      </c>
      <c r="M100" s="15">
        <f t="shared" si="10"/>
        <v>59500</v>
      </c>
      <c r="N100" s="15">
        <f t="shared" si="7"/>
        <v>654500</v>
      </c>
      <c r="O100" s="5" t="s">
        <v>1844</v>
      </c>
      <c r="P100" s="174" t="s">
        <v>2636</v>
      </c>
      <c r="Q100" s="5">
        <v>45747</v>
      </c>
      <c r="R100" s="211"/>
      <c r="S100" s="7"/>
      <c r="T100" s="11"/>
    </row>
    <row r="101" spans="1:21" ht="16.5" customHeight="1">
      <c r="A101" t="s">
        <v>64</v>
      </c>
      <c r="B101" s="140" t="s">
        <v>269</v>
      </c>
      <c r="C101" s="12"/>
      <c r="D101" s="13">
        <v>45747</v>
      </c>
      <c r="E101" s="155" t="s">
        <v>45</v>
      </c>
      <c r="F101" s="155" t="s">
        <v>345</v>
      </c>
      <c r="G101" s="157" t="s">
        <v>98</v>
      </c>
      <c r="H101" s="167" t="s">
        <v>213</v>
      </c>
      <c r="I101" s="69" t="s">
        <v>1495</v>
      </c>
      <c r="J101" s="124">
        <v>1</v>
      </c>
      <c r="K101" s="188">
        <v>840000</v>
      </c>
      <c r="L101" s="15">
        <f t="shared" si="9"/>
        <v>840000</v>
      </c>
      <c r="M101" s="15">
        <f t="shared" si="10"/>
        <v>84000</v>
      </c>
      <c r="N101" s="15">
        <f t="shared" si="7"/>
        <v>924000</v>
      </c>
      <c r="O101" s="5" t="s">
        <v>1844</v>
      </c>
      <c r="P101" s="174" t="s">
        <v>2636</v>
      </c>
      <c r="Q101" s="5">
        <v>45747</v>
      </c>
      <c r="R101" s="211"/>
      <c r="S101" s="7"/>
      <c r="T101" s="11"/>
    </row>
    <row r="102" spans="1:21" ht="16.5" customHeight="1">
      <c r="A102" t="s">
        <v>64</v>
      </c>
      <c r="B102" s="10" t="s">
        <v>302</v>
      </c>
      <c r="C102" s="142"/>
      <c r="D102" s="13">
        <v>45747</v>
      </c>
      <c r="E102" s="155" t="s">
        <v>273</v>
      </c>
      <c r="F102" s="155" t="s">
        <v>266</v>
      </c>
      <c r="G102" s="157" t="s">
        <v>98</v>
      </c>
      <c r="H102" s="157" t="s">
        <v>102</v>
      </c>
      <c r="I102" s="69" t="s">
        <v>1496</v>
      </c>
      <c r="J102" s="124">
        <v>1</v>
      </c>
      <c r="K102" s="16">
        <v>672000</v>
      </c>
      <c r="L102" s="15">
        <f t="shared" si="9"/>
        <v>672000</v>
      </c>
      <c r="M102" s="16">
        <f t="shared" si="10"/>
        <v>67200</v>
      </c>
      <c r="N102" s="15">
        <f t="shared" si="7"/>
        <v>739200</v>
      </c>
      <c r="O102" s="5" t="s">
        <v>1844</v>
      </c>
      <c r="P102" s="175" t="s">
        <v>2635</v>
      </c>
      <c r="Q102" s="5">
        <v>45747</v>
      </c>
      <c r="R102" s="212"/>
      <c r="S102" s="7"/>
      <c r="T102" s="11"/>
    </row>
    <row r="103" spans="1:21" ht="16.5" customHeight="1">
      <c r="A103" t="s">
        <v>64</v>
      </c>
      <c r="B103" s="10" t="s">
        <v>415</v>
      </c>
      <c r="C103" s="142"/>
      <c r="D103" s="13">
        <v>45747</v>
      </c>
      <c r="E103" s="155" t="s">
        <v>272</v>
      </c>
      <c r="F103" s="155" t="s">
        <v>99</v>
      </c>
      <c r="G103" s="157" t="s">
        <v>98</v>
      </c>
      <c r="H103" s="157" t="s">
        <v>213</v>
      </c>
      <c r="I103" s="69" t="s">
        <v>1233</v>
      </c>
      <c r="J103" s="124">
        <v>1</v>
      </c>
      <c r="K103" s="16">
        <v>70000</v>
      </c>
      <c r="L103" s="15">
        <f t="shared" si="9"/>
        <v>70000</v>
      </c>
      <c r="M103" s="15">
        <f t="shared" si="10"/>
        <v>7000</v>
      </c>
      <c r="N103" s="15">
        <f t="shared" si="7"/>
        <v>77000</v>
      </c>
      <c r="O103" s="5" t="s">
        <v>2228</v>
      </c>
      <c r="P103" s="175" t="s">
        <v>2634</v>
      </c>
      <c r="Q103" s="5">
        <v>45752</v>
      </c>
      <c r="R103" s="212"/>
      <c r="S103" s="7"/>
      <c r="T103" s="11"/>
    </row>
    <row r="104" spans="1:21" ht="16.5" customHeight="1">
      <c r="A104" t="s">
        <v>64</v>
      </c>
      <c r="B104" s="10" t="s">
        <v>1616</v>
      </c>
      <c r="C104" s="12"/>
      <c r="D104" s="13">
        <v>45747</v>
      </c>
      <c r="E104" s="155" t="s">
        <v>1533</v>
      </c>
      <c r="F104" s="155" t="s">
        <v>1535</v>
      </c>
      <c r="G104" s="157" t="s">
        <v>98</v>
      </c>
      <c r="H104" s="157" t="s">
        <v>213</v>
      </c>
      <c r="I104" s="69" t="s">
        <v>1534</v>
      </c>
      <c r="J104" s="122">
        <v>1</v>
      </c>
      <c r="K104" s="15">
        <v>300000</v>
      </c>
      <c r="L104" s="16">
        <f t="shared" si="9"/>
        <v>300000</v>
      </c>
      <c r="M104" s="16">
        <f t="shared" si="10"/>
        <v>30000</v>
      </c>
      <c r="N104" s="15">
        <f t="shared" si="7"/>
        <v>330000</v>
      </c>
      <c r="O104" s="5" t="s">
        <v>1844</v>
      </c>
      <c r="P104" s="175" t="s">
        <v>2644</v>
      </c>
      <c r="Q104" s="5">
        <v>45736</v>
      </c>
      <c r="R104" s="213"/>
    </row>
    <row r="105" spans="1:21" ht="16.5" customHeight="1">
      <c r="A105" t="s">
        <v>64</v>
      </c>
      <c r="B105" s="141" t="s">
        <v>144</v>
      </c>
      <c r="C105" s="12"/>
      <c r="D105" s="13">
        <v>45747</v>
      </c>
      <c r="E105" s="155" t="s">
        <v>1675</v>
      </c>
      <c r="F105" s="163"/>
      <c r="G105" s="156" t="s">
        <v>30</v>
      </c>
      <c r="H105" s="157" t="s">
        <v>145</v>
      </c>
      <c r="I105" s="159" t="s">
        <v>1355</v>
      </c>
      <c r="J105" s="124">
        <v>1</v>
      </c>
      <c r="K105" s="188">
        <v>200000</v>
      </c>
      <c r="L105" s="15">
        <f t="shared" si="9"/>
        <v>200000</v>
      </c>
      <c r="M105" s="15">
        <f t="shared" si="10"/>
        <v>20000</v>
      </c>
      <c r="N105" s="15">
        <f t="shared" si="7"/>
        <v>220000</v>
      </c>
      <c r="O105" s="5" t="s">
        <v>1718</v>
      </c>
      <c r="P105" s="175" t="s">
        <v>2644</v>
      </c>
      <c r="Q105" s="68" t="s">
        <v>206</v>
      </c>
      <c r="R105" s="211"/>
      <c r="S105" s="7"/>
      <c r="T105" s="11"/>
    </row>
    <row r="106" spans="1:21" ht="16.5" customHeight="1">
      <c r="A106" t="s">
        <v>64</v>
      </c>
      <c r="B106" s="141" t="s">
        <v>302</v>
      </c>
      <c r="C106" s="142"/>
      <c r="D106" s="13">
        <v>45747</v>
      </c>
      <c r="E106" s="155" t="s">
        <v>313</v>
      </c>
      <c r="F106" s="155" t="s">
        <v>266</v>
      </c>
      <c r="G106" s="157" t="s">
        <v>98</v>
      </c>
      <c r="H106" s="157" t="s">
        <v>213</v>
      </c>
      <c r="I106" s="69" t="s">
        <v>1497</v>
      </c>
      <c r="J106" s="124">
        <v>1</v>
      </c>
      <c r="K106" s="16">
        <v>700000</v>
      </c>
      <c r="L106" s="16">
        <f t="shared" si="9"/>
        <v>700000</v>
      </c>
      <c r="M106" s="16">
        <f t="shared" si="10"/>
        <v>70000</v>
      </c>
      <c r="N106" s="15">
        <f t="shared" si="7"/>
        <v>770000</v>
      </c>
      <c r="O106" s="5" t="s">
        <v>1844</v>
      </c>
      <c r="P106" s="177" t="s">
        <v>2635</v>
      </c>
      <c r="Q106" s="5">
        <v>45747</v>
      </c>
      <c r="R106" s="212"/>
      <c r="S106" s="7"/>
      <c r="T106" s="11"/>
    </row>
    <row r="107" spans="1:21" ht="16.5" customHeight="1">
      <c r="A107" t="s">
        <v>64</v>
      </c>
      <c r="B107" s="10" t="s">
        <v>328</v>
      </c>
      <c r="C107" s="12"/>
      <c r="D107" s="13">
        <v>45747</v>
      </c>
      <c r="E107" s="155" t="s">
        <v>2629</v>
      </c>
      <c r="F107" s="155" t="s">
        <v>236</v>
      </c>
      <c r="G107" s="157" t="s">
        <v>98</v>
      </c>
      <c r="H107" s="156" t="s">
        <v>102</v>
      </c>
      <c r="I107" s="69" t="s">
        <v>1521</v>
      </c>
      <c r="J107" s="122">
        <v>1</v>
      </c>
      <c r="K107" s="15">
        <v>250000</v>
      </c>
      <c r="L107" s="16">
        <f t="shared" si="9"/>
        <v>250000</v>
      </c>
      <c r="M107" s="16">
        <f t="shared" si="10"/>
        <v>25000</v>
      </c>
      <c r="N107" s="15">
        <f t="shared" si="7"/>
        <v>275000</v>
      </c>
      <c r="O107" s="5" t="s">
        <v>2228</v>
      </c>
      <c r="P107" s="9" t="s">
        <v>2636</v>
      </c>
      <c r="Q107" s="5">
        <v>45747</v>
      </c>
      <c r="R107" s="209"/>
      <c r="U107" s="11"/>
    </row>
    <row r="108" spans="1:21" ht="16.5" customHeight="1">
      <c r="A108" t="s">
        <v>64</v>
      </c>
      <c r="B108" s="10" t="s">
        <v>1389</v>
      </c>
      <c r="C108" s="12"/>
      <c r="D108" s="13">
        <v>45747</v>
      </c>
      <c r="E108" s="155" t="s">
        <v>2629</v>
      </c>
      <c r="F108" s="155" t="s">
        <v>1390</v>
      </c>
      <c r="G108" s="156" t="s">
        <v>41</v>
      </c>
      <c r="H108" s="156" t="s">
        <v>1394</v>
      </c>
      <c r="I108" s="69" t="s">
        <v>1391</v>
      </c>
      <c r="J108" s="122">
        <v>1</v>
      </c>
      <c r="K108" s="15">
        <v>6300000</v>
      </c>
      <c r="L108" s="16">
        <f t="shared" si="9"/>
        <v>6300000</v>
      </c>
      <c r="M108" s="16">
        <f t="shared" si="10"/>
        <v>630000</v>
      </c>
      <c r="N108" s="15">
        <f t="shared" si="7"/>
        <v>6930000</v>
      </c>
      <c r="O108" s="5" t="s">
        <v>2228</v>
      </c>
      <c r="P108" s="9" t="s">
        <v>2635</v>
      </c>
      <c r="Q108" s="5">
        <v>45776</v>
      </c>
      <c r="R108" s="209"/>
    </row>
    <row r="109" spans="1:21" ht="16.5" customHeight="1">
      <c r="A109" t="s">
        <v>64</v>
      </c>
      <c r="B109" s="10" t="s">
        <v>1424</v>
      </c>
      <c r="C109" s="12"/>
      <c r="D109" s="13">
        <v>45747</v>
      </c>
      <c r="E109" s="155" t="s">
        <v>2629</v>
      </c>
      <c r="F109" s="155" t="s">
        <v>1426</v>
      </c>
      <c r="G109" s="156" t="s">
        <v>1425</v>
      </c>
      <c r="H109" s="156" t="s">
        <v>453</v>
      </c>
      <c r="I109" s="69" t="s">
        <v>454</v>
      </c>
      <c r="J109" s="122">
        <v>1</v>
      </c>
      <c r="K109" s="15">
        <v>475000</v>
      </c>
      <c r="L109" s="16">
        <f t="shared" si="9"/>
        <v>475000</v>
      </c>
      <c r="M109" s="16">
        <f t="shared" si="10"/>
        <v>47500</v>
      </c>
      <c r="N109" s="15">
        <f t="shared" si="7"/>
        <v>522500</v>
      </c>
      <c r="O109" s="5" t="s">
        <v>2228</v>
      </c>
      <c r="P109" s="9" t="s">
        <v>2636</v>
      </c>
      <c r="Q109" s="5" t="s">
        <v>1425</v>
      </c>
      <c r="R109" s="209"/>
    </row>
    <row r="110" spans="1:21" ht="16.5" customHeight="1">
      <c r="A110" t="s">
        <v>64</v>
      </c>
      <c r="B110" s="10" t="s">
        <v>1231</v>
      </c>
      <c r="C110" s="12"/>
      <c r="D110" s="13">
        <v>45747</v>
      </c>
      <c r="E110" s="155" t="s">
        <v>1054</v>
      </c>
      <c r="F110" s="155" t="s">
        <v>1055</v>
      </c>
      <c r="G110" s="158" t="s">
        <v>7</v>
      </c>
      <c r="H110" s="156" t="s">
        <v>1056</v>
      </c>
      <c r="I110" s="69" t="s">
        <v>1536</v>
      </c>
      <c r="J110" s="122">
        <v>1</v>
      </c>
      <c r="K110" s="15">
        <v>4050000</v>
      </c>
      <c r="L110" s="16">
        <f t="shared" si="9"/>
        <v>4050000</v>
      </c>
      <c r="M110" s="16">
        <f t="shared" si="10"/>
        <v>405000</v>
      </c>
      <c r="N110" s="15">
        <f t="shared" si="7"/>
        <v>4455000</v>
      </c>
      <c r="O110" s="5" t="s">
        <v>2228</v>
      </c>
      <c r="P110" s="9" t="s">
        <v>2636</v>
      </c>
      <c r="Q110" s="5">
        <v>45716</v>
      </c>
      <c r="R110" s="213"/>
    </row>
    <row r="111" spans="1:21" ht="16.5" customHeight="1">
      <c r="A111" t="s">
        <v>64</v>
      </c>
      <c r="B111" s="141" t="s">
        <v>144</v>
      </c>
      <c r="C111" s="142"/>
      <c r="D111" s="13">
        <v>45747</v>
      </c>
      <c r="E111" s="155" t="s">
        <v>270</v>
      </c>
      <c r="F111" s="155"/>
      <c r="G111" s="156" t="s">
        <v>30</v>
      </c>
      <c r="H111" s="156" t="s">
        <v>271</v>
      </c>
      <c r="I111" s="69" t="s">
        <v>1351</v>
      </c>
      <c r="J111" s="124">
        <v>1</v>
      </c>
      <c r="K111" s="16">
        <v>40000</v>
      </c>
      <c r="L111" s="15">
        <f t="shared" si="9"/>
        <v>40000</v>
      </c>
      <c r="M111" s="15">
        <f t="shared" si="10"/>
        <v>4000</v>
      </c>
      <c r="N111" s="15">
        <f t="shared" si="7"/>
        <v>44000</v>
      </c>
      <c r="O111" s="5" t="s">
        <v>1352</v>
      </c>
      <c r="P111" s="175" t="s">
        <v>2644</v>
      </c>
      <c r="Q111" s="68" t="s">
        <v>206</v>
      </c>
      <c r="R111" s="212"/>
      <c r="S111" s="7"/>
      <c r="T111" s="11"/>
    </row>
    <row r="112" spans="1:21" ht="16.5" customHeight="1">
      <c r="A112" t="s">
        <v>64</v>
      </c>
      <c r="B112" s="141" t="s">
        <v>144</v>
      </c>
      <c r="C112" s="142"/>
      <c r="D112" s="13">
        <v>45747</v>
      </c>
      <c r="E112" s="155" t="s">
        <v>21</v>
      </c>
      <c r="F112" s="163"/>
      <c r="G112" s="156" t="s">
        <v>30</v>
      </c>
      <c r="H112" s="156" t="s">
        <v>35</v>
      </c>
      <c r="I112" s="69" t="s">
        <v>1353</v>
      </c>
      <c r="J112" s="124">
        <v>1</v>
      </c>
      <c r="K112" s="16">
        <v>557648</v>
      </c>
      <c r="L112" s="16">
        <f t="shared" si="9"/>
        <v>557648</v>
      </c>
      <c r="M112" s="15">
        <v>55764</v>
      </c>
      <c r="N112" s="15">
        <f t="shared" si="7"/>
        <v>613412</v>
      </c>
      <c r="O112" s="5" t="s">
        <v>1676</v>
      </c>
      <c r="P112" s="175" t="s">
        <v>2644</v>
      </c>
      <c r="Q112" s="68" t="s">
        <v>206</v>
      </c>
      <c r="R112" s="212"/>
      <c r="S112" s="7"/>
    </row>
    <row r="113" spans="1:21" ht="16.5" customHeight="1">
      <c r="A113" t="s">
        <v>64</v>
      </c>
      <c r="B113" s="141" t="s">
        <v>144</v>
      </c>
      <c r="C113" s="142"/>
      <c r="D113" s="13">
        <v>45747</v>
      </c>
      <c r="E113" s="155" t="s">
        <v>21</v>
      </c>
      <c r="F113" s="155"/>
      <c r="G113" s="156" t="s">
        <v>30</v>
      </c>
      <c r="H113" s="156" t="s">
        <v>35</v>
      </c>
      <c r="I113" s="69" t="s">
        <v>1354</v>
      </c>
      <c r="J113" s="124">
        <v>1</v>
      </c>
      <c r="K113" s="16">
        <v>80011</v>
      </c>
      <c r="L113" s="16">
        <f t="shared" si="9"/>
        <v>80011</v>
      </c>
      <c r="M113" s="15" t="s">
        <v>144</v>
      </c>
      <c r="N113" s="15">
        <f t="shared" si="7"/>
        <v>80011</v>
      </c>
      <c r="O113" s="5" t="s">
        <v>1676</v>
      </c>
      <c r="P113" s="175" t="s">
        <v>2644</v>
      </c>
      <c r="Q113" s="68" t="s">
        <v>206</v>
      </c>
      <c r="R113" s="212" t="s">
        <v>274</v>
      </c>
      <c r="S113" s="7"/>
    </row>
    <row r="114" spans="1:21" ht="16.5" customHeight="1">
      <c r="A114" t="s">
        <v>64</v>
      </c>
      <c r="B114" s="10" t="s">
        <v>415</v>
      </c>
      <c r="C114" s="12"/>
      <c r="D114" s="13">
        <v>45747</v>
      </c>
      <c r="E114" s="155" t="s">
        <v>173</v>
      </c>
      <c r="F114" s="155" t="s">
        <v>99</v>
      </c>
      <c r="G114" s="156" t="s">
        <v>7</v>
      </c>
      <c r="H114" s="156" t="s">
        <v>102</v>
      </c>
      <c r="I114" s="69" t="s">
        <v>2107</v>
      </c>
      <c r="J114" s="122">
        <v>1</v>
      </c>
      <c r="K114" s="15">
        <v>810000</v>
      </c>
      <c r="L114" s="16">
        <f t="shared" si="9"/>
        <v>810000</v>
      </c>
      <c r="M114" s="16">
        <f>L114*10%</f>
        <v>81000</v>
      </c>
      <c r="N114" s="15">
        <f t="shared" si="7"/>
        <v>891000</v>
      </c>
      <c r="O114" s="5" t="s">
        <v>1844</v>
      </c>
      <c r="P114" s="174" t="s">
        <v>2634</v>
      </c>
      <c r="Q114" s="5">
        <v>45752</v>
      </c>
      <c r="R114" s="209"/>
      <c r="T114" s="11"/>
    </row>
    <row r="115" spans="1:21" ht="16.5" customHeight="1">
      <c r="A115" t="s">
        <v>64</v>
      </c>
      <c r="B115" s="10" t="s">
        <v>489</v>
      </c>
      <c r="C115" s="12"/>
      <c r="D115" s="13">
        <v>45747</v>
      </c>
      <c r="E115" s="155" t="s">
        <v>503</v>
      </c>
      <c r="F115" s="155" t="s">
        <v>424</v>
      </c>
      <c r="G115" s="157" t="s">
        <v>98</v>
      </c>
      <c r="H115" s="157" t="s">
        <v>1058</v>
      </c>
      <c r="I115" s="69" t="s">
        <v>1487</v>
      </c>
      <c r="J115" s="122">
        <v>1</v>
      </c>
      <c r="K115" s="15">
        <v>20600</v>
      </c>
      <c r="L115" s="16">
        <f>SUM(K115:K123)</f>
        <v>1693080</v>
      </c>
      <c r="M115" s="16">
        <f>L115*10%</f>
        <v>169308</v>
      </c>
      <c r="N115" s="15">
        <f t="shared" si="7"/>
        <v>1862388</v>
      </c>
      <c r="O115" s="5" t="s">
        <v>1844</v>
      </c>
      <c r="P115" s="9" t="s">
        <v>2636</v>
      </c>
      <c r="Q115" s="5">
        <v>45741</v>
      </c>
      <c r="R115" s="209"/>
    </row>
    <row r="116" spans="1:21" ht="16.5" customHeight="1">
      <c r="A116" t="s">
        <v>64</v>
      </c>
      <c r="B116" s="10" t="s">
        <v>490</v>
      </c>
      <c r="C116" s="145"/>
      <c r="D116" s="65"/>
      <c r="E116" s="160" t="s">
        <v>503</v>
      </c>
      <c r="F116" s="155" t="s">
        <v>2632</v>
      </c>
      <c r="G116" s="157" t="s">
        <v>98</v>
      </c>
      <c r="H116" s="157" t="s">
        <v>1058</v>
      </c>
      <c r="I116" s="69" t="s">
        <v>1488</v>
      </c>
      <c r="J116" s="122">
        <v>1</v>
      </c>
      <c r="K116" s="15">
        <v>70180</v>
      </c>
      <c r="L116" s="125"/>
      <c r="M116" s="125"/>
      <c r="N116" s="126"/>
      <c r="O116" s="99"/>
      <c r="P116" s="9" t="s">
        <v>2636</v>
      </c>
      <c r="Q116" s="5">
        <v>45741</v>
      </c>
      <c r="R116" s="209"/>
    </row>
    <row r="117" spans="1:21" ht="16.5" customHeight="1">
      <c r="A117" t="s">
        <v>64</v>
      </c>
      <c r="B117" s="10" t="s">
        <v>415</v>
      </c>
      <c r="C117" s="145"/>
      <c r="D117" s="65"/>
      <c r="E117" s="160" t="s">
        <v>503</v>
      </c>
      <c r="F117" s="155" t="s">
        <v>99</v>
      </c>
      <c r="G117" s="157" t="s">
        <v>98</v>
      </c>
      <c r="H117" s="157" t="s">
        <v>1058</v>
      </c>
      <c r="I117" s="69" t="s">
        <v>1489</v>
      </c>
      <c r="J117" s="122">
        <v>1</v>
      </c>
      <c r="K117" s="15">
        <v>352900</v>
      </c>
      <c r="L117" s="125"/>
      <c r="M117" s="125"/>
      <c r="N117" s="126"/>
      <c r="O117" s="99"/>
      <c r="P117" s="9" t="s">
        <v>2634</v>
      </c>
      <c r="Q117" s="5">
        <v>45752</v>
      </c>
      <c r="R117" s="209"/>
    </row>
    <row r="118" spans="1:21" ht="16.5" customHeight="1">
      <c r="A118" t="s">
        <v>64</v>
      </c>
      <c r="B118" s="10" t="s">
        <v>1482</v>
      </c>
      <c r="C118" s="145"/>
      <c r="D118" s="65"/>
      <c r="E118" s="160" t="s">
        <v>503</v>
      </c>
      <c r="F118" s="155" t="s">
        <v>264</v>
      </c>
      <c r="G118" s="157" t="s">
        <v>98</v>
      </c>
      <c r="H118" s="157" t="s">
        <v>1058</v>
      </c>
      <c r="I118" s="69" t="s">
        <v>1310</v>
      </c>
      <c r="J118" s="122">
        <v>1</v>
      </c>
      <c r="K118" s="15">
        <v>80000</v>
      </c>
      <c r="L118" s="125"/>
      <c r="M118" s="125"/>
      <c r="N118" s="126"/>
      <c r="O118" s="99"/>
      <c r="P118" s="9" t="s">
        <v>2634</v>
      </c>
      <c r="Q118" s="5">
        <v>45736</v>
      </c>
      <c r="R118" s="213"/>
    </row>
    <row r="119" spans="1:21" ht="16.5" customHeight="1">
      <c r="A119" t="s">
        <v>64</v>
      </c>
      <c r="B119" s="10" t="s">
        <v>1483</v>
      </c>
      <c r="C119" s="145"/>
      <c r="D119" s="65"/>
      <c r="E119" s="160" t="s">
        <v>503</v>
      </c>
      <c r="F119" s="155" t="s">
        <v>1062</v>
      </c>
      <c r="G119" s="157" t="s">
        <v>98</v>
      </c>
      <c r="H119" s="157" t="s">
        <v>1058</v>
      </c>
      <c r="I119" s="69" t="s">
        <v>1490</v>
      </c>
      <c r="J119" s="122">
        <v>1</v>
      </c>
      <c r="K119" s="15">
        <v>66000</v>
      </c>
      <c r="L119" s="125"/>
      <c r="M119" s="125"/>
      <c r="N119" s="126"/>
      <c r="O119" s="99"/>
      <c r="P119" s="9" t="s">
        <v>2636</v>
      </c>
      <c r="Q119" s="5">
        <v>45747</v>
      </c>
      <c r="R119" s="213"/>
    </row>
    <row r="120" spans="1:21" ht="16.5" customHeight="1">
      <c r="A120" t="s">
        <v>64</v>
      </c>
      <c r="B120" s="10" t="s">
        <v>1053</v>
      </c>
      <c r="C120" s="145"/>
      <c r="D120" s="65"/>
      <c r="E120" s="160" t="s">
        <v>503</v>
      </c>
      <c r="F120" s="155" t="s">
        <v>987</v>
      </c>
      <c r="G120" s="157" t="s">
        <v>98</v>
      </c>
      <c r="H120" s="157" t="s">
        <v>1058</v>
      </c>
      <c r="I120" s="69" t="s">
        <v>1491</v>
      </c>
      <c r="J120" s="124">
        <v>1</v>
      </c>
      <c r="K120" s="15">
        <v>44000</v>
      </c>
      <c r="L120" s="125"/>
      <c r="M120" s="125"/>
      <c r="N120" s="126"/>
      <c r="O120" s="99"/>
      <c r="P120" s="9" t="s">
        <v>2635</v>
      </c>
      <c r="Q120" s="5">
        <v>45747</v>
      </c>
      <c r="R120" s="209"/>
    </row>
    <row r="121" spans="1:21" ht="16.5" customHeight="1">
      <c r="A121" t="s">
        <v>64</v>
      </c>
      <c r="B121" s="10" t="s">
        <v>1484</v>
      </c>
      <c r="C121" s="145"/>
      <c r="D121" s="65"/>
      <c r="E121" s="160" t="s">
        <v>503</v>
      </c>
      <c r="F121" s="155" t="s">
        <v>32</v>
      </c>
      <c r="G121" s="157" t="s">
        <v>98</v>
      </c>
      <c r="H121" s="157" t="s">
        <v>1058</v>
      </c>
      <c r="I121" s="69" t="s">
        <v>1492</v>
      </c>
      <c r="J121" s="122">
        <v>1</v>
      </c>
      <c r="K121" s="15">
        <v>292200</v>
      </c>
      <c r="L121" s="125"/>
      <c r="M121" s="125"/>
      <c r="N121" s="126"/>
      <c r="O121" s="99"/>
      <c r="P121" s="9" t="s">
        <v>2634</v>
      </c>
      <c r="Q121" s="5">
        <v>45747</v>
      </c>
      <c r="R121" s="213"/>
    </row>
    <row r="122" spans="1:21" ht="16.5" customHeight="1">
      <c r="A122" t="s">
        <v>64</v>
      </c>
      <c r="B122" s="10" t="s">
        <v>1617</v>
      </c>
      <c r="C122" s="145"/>
      <c r="D122" s="65"/>
      <c r="E122" s="160" t="s">
        <v>503</v>
      </c>
      <c r="F122" s="155" t="s">
        <v>32</v>
      </c>
      <c r="G122" s="157" t="s">
        <v>98</v>
      </c>
      <c r="H122" s="157" t="s">
        <v>1058</v>
      </c>
      <c r="I122" s="69" t="s">
        <v>1493</v>
      </c>
      <c r="J122" s="122">
        <v>1</v>
      </c>
      <c r="K122" s="15">
        <v>376200</v>
      </c>
      <c r="L122" s="125"/>
      <c r="M122" s="125"/>
      <c r="N122" s="126"/>
      <c r="O122" s="99"/>
      <c r="P122" s="9" t="s">
        <v>2634</v>
      </c>
      <c r="Q122" s="5">
        <v>45747</v>
      </c>
      <c r="R122" s="213"/>
    </row>
    <row r="123" spans="1:21" ht="16.5" customHeight="1">
      <c r="A123" t="s">
        <v>64</v>
      </c>
      <c r="B123" s="10" t="s">
        <v>1520</v>
      </c>
      <c r="C123" s="145"/>
      <c r="D123" s="65"/>
      <c r="E123" s="160" t="s">
        <v>503</v>
      </c>
      <c r="F123" s="155" t="s">
        <v>236</v>
      </c>
      <c r="G123" s="157" t="s">
        <v>98</v>
      </c>
      <c r="H123" s="157" t="s">
        <v>1058</v>
      </c>
      <c r="I123" s="69" t="s">
        <v>1519</v>
      </c>
      <c r="J123" s="122">
        <v>1</v>
      </c>
      <c r="K123" s="15">
        <v>391000</v>
      </c>
      <c r="L123" s="125"/>
      <c r="M123" s="125"/>
      <c r="N123" s="126"/>
      <c r="O123" s="99"/>
      <c r="P123" s="9" t="s">
        <v>2636</v>
      </c>
      <c r="Q123" s="5">
        <v>45747</v>
      </c>
      <c r="R123" s="213"/>
    </row>
    <row r="124" spans="1:21" ht="16.5" customHeight="1">
      <c r="A124" t="s">
        <v>64</v>
      </c>
      <c r="B124" s="141" t="s">
        <v>144</v>
      </c>
      <c r="C124" s="12"/>
      <c r="D124" s="13">
        <v>45747</v>
      </c>
      <c r="E124" s="155" t="s">
        <v>275</v>
      </c>
      <c r="F124" s="155"/>
      <c r="G124" s="156" t="s">
        <v>30</v>
      </c>
      <c r="H124" s="156" t="s">
        <v>276</v>
      </c>
      <c r="I124" s="69" t="s">
        <v>1182</v>
      </c>
      <c r="J124" s="122">
        <v>1</v>
      </c>
      <c r="K124" s="15">
        <v>320000</v>
      </c>
      <c r="L124" s="16">
        <f t="shared" ref="L124:L151" si="11">J124*K124</f>
        <v>320000</v>
      </c>
      <c r="M124" s="16" t="s">
        <v>144</v>
      </c>
      <c r="N124" s="15">
        <f>SUM(L124:M124)</f>
        <v>320000</v>
      </c>
      <c r="O124" s="5" t="s">
        <v>1718</v>
      </c>
      <c r="P124" s="175" t="s">
        <v>2644</v>
      </c>
      <c r="Q124" s="100" t="s">
        <v>206</v>
      </c>
      <c r="R124" s="212" t="s">
        <v>274</v>
      </c>
    </row>
    <row r="125" spans="1:21" ht="16.5" customHeight="1">
      <c r="A125" t="s">
        <v>64</v>
      </c>
      <c r="B125" s="10" t="s">
        <v>302</v>
      </c>
      <c r="C125" s="198"/>
      <c r="D125" s="13">
        <v>45747</v>
      </c>
      <c r="E125" s="199" t="s">
        <v>178</v>
      </c>
      <c r="F125" s="199" t="s">
        <v>266</v>
      </c>
      <c r="G125" s="157" t="s">
        <v>98</v>
      </c>
      <c r="H125" s="157" t="s">
        <v>213</v>
      </c>
      <c r="I125" s="69" t="s">
        <v>1196</v>
      </c>
      <c r="J125" s="201">
        <v>1</v>
      </c>
      <c r="K125" s="15">
        <v>290000</v>
      </c>
      <c r="L125" s="16">
        <f t="shared" si="11"/>
        <v>290000</v>
      </c>
      <c r="M125" s="16">
        <f>L125*10%</f>
        <v>29000</v>
      </c>
      <c r="N125" s="15">
        <f>SUM(L125:M125)</f>
        <v>319000</v>
      </c>
      <c r="O125" s="5" t="s">
        <v>1844</v>
      </c>
      <c r="P125" s="175" t="s">
        <v>2635</v>
      </c>
      <c r="Q125" s="5">
        <v>45747</v>
      </c>
      <c r="R125" s="213"/>
      <c r="U125" s="11"/>
    </row>
    <row r="126" spans="1:21" ht="16.5" customHeight="1">
      <c r="A126" t="s">
        <v>64</v>
      </c>
      <c r="B126" s="141" t="s">
        <v>144</v>
      </c>
      <c r="C126" s="142"/>
      <c r="D126" s="13">
        <v>45747</v>
      </c>
      <c r="E126" s="155" t="s">
        <v>177</v>
      </c>
      <c r="F126" s="155"/>
      <c r="G126" s="156" t="s">
        <v>41</v>
      </c>
      <c r="H126" s="156" t="s">
        <v>711</v>
      </c>
      <c r="I126" s="159" t="s">
        <v>2528</v>
      </c>
      <c r="J126" s="124">
        <v>1</v>
      </c>
      <c r="K126" s="16">
        <v>24182</v>
      </c>
      <c r="L126" s="15">
        <f t="shared" si="11"/>
        <v>24182</v>
      </c>
      <c r="M126" s="15">
        <v>2418</v>
      </c>
      <c r="N126" s="15">
        <f>SUM(L126:M126)</f>
        <v>26600</v>
      </c>
      <c r="O126" s="5" t="s">
        <v>1676</v>
      </c>
      <c r="P126" s="175" t="s">
        <v>2644</v>
      </c>
      <c r="Q126" s="68" t="s">
        <v>206</v>
      </c>
      <c r="R126" s="212"/>
      <c r="S126" s="7"/>
    </row>
    <row r="127" spans="1:21" ht="16.5" customHeight="1">
      <c r="A127" t="s">
        <v>64</v>
      </c>
      <c r="B127" s="141" t="s">
        <v>144</v>
      </c>
      <c r="C127" s="12"/>
      <c r="D127" s="13">
        <v>45747</v>
      </c>
      <c r="E127" s="155" t="s">
        <v>158</v>
      </c>
      <c r="F127" s="155"/>
      <c r="G127" s="156" t="s">
        <v>30</v>
      </c>
      <c r="H127" s="157" t="s">
        <v>145</v>
      </c>
      <c r="I127" s="69" t="s">
        <v>1356</v>
      </c>
      <c r="J127" s="122">
        <v>1</v>
      </c>
      <c r="K127" s="15">
        <v>69000</v>
      </c>
      <c r="L127" s="16">
        <f t="shared" si="11"/>
        <v>69000</v>
      </c>
      <c r="M127" s="15">
        <f>L127*10%</f>
        <v>6900</v>
      </c>
      <c r="N127" s="15">
        <f>SUM(L127:M127)</f>
        <v>75900</v>
      </c>
      <c r="O127" s="5" t="s">
        <v>1358</v>
      </c>
      <c r="P127" s="175" t="s">
        <v>2644</v>
      </c>
      <c r="Q127" s="68" t="s">
        <v>206</v>
      </c>
      <c r="R127" s="209"/>
      <c r="T127" s="11"/>
    </row>
    <row r="128" spans="1:21" ht="16.5" customHeight="1">
      <c r="A128" t="s">
        <v>64</v>
      </c>
      <c r="B128" s="141" t="s">
        <v>144</v>
      </c>
      <c r="C128" s="148"/>
      <c r="D128" s="13">
        <v>45747</v>
      </c>
      <c r="E128" s="155" t="s">
        <v>833</v>
      </c>
      <c r="F128" s="155"/>
      <c r="G128" s="156" t="s">
        <v>41</v>
      </c>
      <c r="H128" s="157" t="s">
        <v>711</v>
      </c>
      <c r="I128" s="159" t="s">
        <v>1357</v>
      </c>
      <c r="J128" s="124">
        <v>1</v>
      </c>
      <c r="K128" s="16">
        <v>175000</v>
      </c>
      <c r="L128" s="188">
        <f t="shared" si="11"/>
        <v>175000</v>
      </c>
      <c r="M128" s="15">
        <f>L128*10%</f>
        <v>17500</v>
      </c>
      <c r="N128" s="15">
        <f>SUM(L128:M128)</f>
        <v>192500</v>
      </c>
      <c r="O128" s="5" t="s">
        <v>1718</v>
      </c>
      <c r="P128" s="175" t="s">
        <v>2644</v>
      </c>
      <c r="Q128" s="68" t="s">
        <v>206</v>
      </c>
      <c r="R128" s="212"/>
      <c r="S128" s="7"/>
    </row>
    <row r="129" spans="1:22" ht="16.5" customHeight="1">
      <c r="A129" t="s">
        <v>64</v>
      </c>
      <c r="B129" s="141" t="s">
        <v>144</v>
      </c>
      <c r="C129" s="12"/>
      <c r="D129" s="13">
        <v>45747</v>
      </c>
      <c r="E129" s="155" t="s">
        <v>1570</v>
      </c>
      <c r="F129" s="155"/>
      <c r="G129" s="156" t="s">
        <v>30</v>
      </c>
      <c r="H129" s="241" t="s">
        <v>1537</v>
      </c>
      <c r="I129" s="69" t="s">
        <v>1630</v>
      </c>
      <c r="J129" s="122">
        <v>1</v>
      </c>
      <c r="K129" s="15">
        <v>112818182</v>
      </c>
      <c r="L129" s="16">
        <f t="shared" si="11"/>
        <v>112818182</v>
      </c>
      <c r="M129" s="237">
        <v>11281818</v>
      </c>
      <c r="N129" s="15">
        <v>124100000</v>
      </c>
      <c r="O129" s="5" t="s">
        <v>1531</v>
      </c>
      <c r="P129" s="9" t="s">
        <v>2644</v>
      </c>
      <c r="Q129" s="5" t="s">
        <v>1538</v>
      </c>
      <c r="R129" s="209" t="s">
        <v>339</v>
      </c>
    </row>
    <row r="130" spans="1:22" ht="16.5" customHeight="1">
      <c r="B130" s="141" t="s">
        <v>144</v>
      </c>
      <c r="C130" s="12"/>
      <c r="D130" s="13">
        <v>45747</v>
      </c>
      <c r="E130" s="155" t="s">
        <v>49</v>
      </c>
      <c r="F130" s="155"/>
      <c r="G130" s="156" t="s">
        <v>30</v>
      </c>
      <c r="H130" s="239" t="s">
        <v>145</v>
      </c>
      <c r="I130" s="69" t="s">
        <v>1673</v>
      </c>
      <c r="J130" s="122">
        <v>1</v>
      </c>
      <c r="K130" s="15">
        <v>3000000</v>
      </c>
      <c r="L130" s="16">
        <f t="shared" si="11"/>
        <v>3000000</v>
      </c>
      <c r="M130" s="16">
        <f t="shared" ref="M130:M139" si="12">L130*10%</f>
        <v>300000</v>
      </c>
      <c r="N130" s="15">
        <f t="shared" ref="N130:N157" si="13">SUM(L130:M130)</f>
        <v>3300000</v>
      </c>
      <c r="O130" s="5" t="s">
        <v>1718</v>
      </c>
      <c r="P130" s="9" t="s">
        <v>2644</v>
      </c>
      <c r="Q130" s="5" t="s">
        <v>144</v>
      </c>
      <c r="R130" s="209"/>
    </row>
    <row r="131" spans="1:22" ht="16.5" customHeight="1">
      <c r="A131" t="s">
        <v>64</v>
      </c>
      <c r="B131" s="10" t="s">
        <v>1735</v>
      </c>
      <c r="C131" s="12" t="s">
        <v>1211</v>
      </c>
      <c r="D131" s="13">
        <v>45720</v>
      </c>
      <c r="E131" s="155" t="s">
        <v>2625</v>
      </c>
      <c r="F131" s="155" t="s">
        <v>1606</v>
      </c>
      <c r="G131" s="156" t="s">
        <v>16</v>
      </c>
      <c r="H131" s="156" t="s">
        <v>2626</v>
      </c>
      <c r="I131" s="69" t="s">
        <v>1258</v>
      </c>
      <c r="J131" s="122">
        <v>1</v>
      </c>
      <c r="K131" s="15">
        <v>11840700</v>
      </c>
      <c r="L131" s="16">
        <f t="shared" si="11"/>
        <v>11840700</v>
      </c>
      <c r="M131" s="16">
        <f t="shared" si="12"/>
        <v>1184070</v>
      </c>
      <c r="N131" s="15">
        <f t="shared" si="13"/>
        <v>13024770</v>
      </c>
      <c r="O131" s="5" t="s">
        <v>1941</v>
      </c>
      <c r="P131" s="9" t="s">
        <v>2636</v>
      </c>
      <c r="Q131" s="5">
        <v>45747</v>
      </c>
      <c r="R131" s="213"/>
    </row>
    <row r="132" spans="1:22" ht="16.5" customHeight="1">
      <c r="A132" t="s">
        <v>64</v>
      </c>
      <c r="B132" s="10" t="s">
        <v>1732</v>
      </c>
      <c r="C132" s="12" t="s">
        <v>1262</v>
      </c>
      <c r="D132" s="13">
        <v>45722</v>
      </c>
      <c r="E132" s="155" t="s">
        <v>2625</v>
      </c>
      <c r="F132" s="155" t="s">
        <v>1265</v>
      </c>
      <c r="G132" s="156" t="s">
        <v>1266</v>
      </c>
      <c r="H132" s="156" t="s">
        <v>2627</v>
      </c>
      <c r="I132" s="69" t="s">
        <v>1263</v>
      </c>
      <c r="J132" s="122">
        <v>1</v>
      </c>
      <c r="K132" s="15">
        <v>10869600</v>
      </c>
      <c r="L132" s="16">
        <f t="shared" si="11"/>
        <v>10869600</v>
      </c>
      <c r="M132" s="16">
        <f t="shared" si="12"/>
        <v>1086960</v>
      </c>
      <c r="N132" s="15">
        <f t="shared" si="13"/>
        <v>11956560</v>
      </c>
      <c r="O132" s="5" t="s">
        <v>1941</v>
      </c>
      <c r="P132" s="9" t="s">
        <v>2636</v>
      </c>
      <c r="Q132" s="5">
        <v>45747</v>
      </c>
      <c r="R132" s="213"/>
    </row>
    <row r="133" spans="1:22" ht="16.5" customHeight="1">
      <c r="A133" t="s">
        <v>64</v>
      </c>
      <c r="B133" s="10" t="s">
        <v>1732</v>
      </c>
      <c r="C133" s="12" t="s">
        <v>1262</v>
      </c>
      <c r="D133" s="13">
        <v>45722</v>
      </c>
      <c r="E133" s="155" t="s">
        <v>2625</v>
      </c>
      <c r="F133" s="155" t="s">
        <v>1265</v>
      </c>
      <c r="G133" s="156" t="s">
        <v>1266</v>
      </c>
      <c r="H133" s="156" t="s">
        <v>2627</v>
      </c>
      <c r="I133" s="69" t="s">
        <v>1264</v>
      </c>
      <c r="J133" s="122">
        <v>1</v>
      </c>
      <c r="K133" s="15">
        <v>10869600</v>
      </c>
      <c r="L133" s="16">
        <f t="shared" si="11"/>
        <v>10869600</v>
      </c>
      <c r="M133" s="16">
        <f t="shared" si="12"/>
        <v>1086960</v>
      </c>
      <c r="N133" s="15">
        <f t="shared" si="13"/>
        <v>11956560</v>
      </c>
      <c r="O133" s="5" t="s">
        <v>1941</v>
      </c>
      <c r="P133" s="9" t="s">
        <v>2636</v>
      </c>
      <c r="Q133" s="5">
        <v>45747</v>
      </c>
      <c r="R133" s="213"/>
    </row>
    <row r="134" spans="1:22" ht="16.5" customHeight="1">
      <c r="A134" t="s">
        <v>64</v>
      </c>
      <c r="B134" s="10" t="s">
        <v>1619</v>
      </c>
      <c r="C134" s="12" t="s">
        <v>1280</v>
      </c>
      <c r="D134" s="13">
        <v>45728</v>
      </c>
      <c r="E134" s="155" t="s">
        <v>2625</v>
      </c>
      <c r="F134" s="155" t="s">
        <v>226</v>
      </c>
      <c r="G134" s="156" t="s">
        <v>7</v>
      </c>
      <c r="H134" s="156" t="s">
        <v>2627</v>
      </c>
      <c r="I134" s="69" t="s">
        <v>1977</v>
      </c>
      <c r="J134" s="122">
        <v>1</v>
      </c>
      <c r="K134" s="15">
        <v>77840</v>
      </c>
      <c r="L134" s="16">
        <f t="shared" si="11"/>
        <v>77840</v>
      </c>
      <c r="M134" s="16">
        <f t="shared" si="12"/>
        <v>7784</v>
      </c>
      <c r="N134" s="15">
        <f t="shared" si="13"/>
        <v>85624</v>
      </c>
      <c r="O134" s="5" t="s">
        <v>1986</v>
      </c>
      <c r="P134" s="9" t="s">
        <v>2636</v>
      </c>
      <c r="Q134" s="5">
        <v>45747</v>
      </c>
      <c r="R134" s="213" t="s">
        <v>1291</v>
      </c>
    </row>
    <row r="135" spans="1:22" ht="16.5" customHeight="1">
      <c r="A135" t="s">
        <v>64</v>
      </c>
      <c r="B135" s="10" t="s">
        <v>1619</v>
      </c>
      <c r="C135" s="12" t="s">
        <v>1280</v>
      </c>
      <c r="D135" s="13">
        <v>45728</v>
      </c>
      <c r="E135" s="155" t="s">
        <v>2625</v>
      </c>
      <c r="F135" s="155" t="s">
        <v>226</v>
      </c>
      <c r="G135" s="156" t="s">
        <v>7</v>
      </c>
      <c r="H135" s="156" t="s">
        <v>2627</v>
      </c>
      <c r="I135" s="69" t="s">
        <v>1978</v>
      </c>
      <c r="J135" s="122">
        <v>1</v>
      </c>
      <c r="K135" s="15">
        <v>1167600</v>
      </c>
      <c r="L135" s="16">
        <f t="shared" si="11"/>
        <v>1167600</v>
      </c>
      <c r="M135" s="16">
        <f t="shared" si="12"/>
        <v>116760</v>
      </c>
      <c r="N135" s="15">
        <f t="shared" si="13"/>
        <v>1284360</v>
      </c>
      <c r="O135" s="5" t="s">
        <v>1986</v>
      </c>
      <c r="P135" s="9" t="s">
        <v>2636</v>
      </c>
      <c r="Q135" s="5">
        <v>45747</v>
      </c>
      <c r="R135" s="213" t="s">
        <v>1291</v>
      </c>
    </row>
    <row r="136" spans="1:22" ht="16.5" customHeight="1">
      <c r="A136" t="s">
        <v>64</v>
      </c>
      <c r="B136" s="10" t="s">
        <v>1619</v>
      </c>
      <c r="C136" s="12" t="s">
        <v>1280</v>
      </c>
      <c r="D136" s="13">
        <v>45728</v>
      </c>
      <c r="E136" s="155" t="s">
        <v>2625</v>
      </c>
      <c r="F136" s="155" t="s">
        <v>226</v>
      </c>
      <c r="G136" s="156" t="s">
        <v>7</v>
      </c>
      <c r="H136" s="156" t="s">
        <v>2627</v>
      </c>
      <c r="I136" s="69" t="s">
        <v>1979</v>
      </c>
      <c r="J136" s="122">
        <v>1</v>
      </c>
      <c r="K136" s="15">
        <v>1167600</v>
      </c>
      <c r="L136" s="16">
        <f t="shared" si="11"/>
        <v>1167600</v>
      </c>
      <c r="M136" s="16">
        <f t="shared" si="12"/>
        <v>116760</v>
      </c>
      <c r="N136" s="15">
        <f t="shared" si="13"/>
        <v>1284360</v>
      </c>
      <c r="O136" s="5" t="s">
        <v>1986</v>
      </c>
      <c r="P136" s="9" t="s">
        <v>2636</v>
      </c>
      <c r="Q136" s="5">
        <v>45747</v>
      </c>
      <c r="R136" s="213" t="s">
        <v>1291</v>
      </c>
    </row>
    <row r="137" spans="1:22" ht="16.5" customHeight="1">
      <c r="A137" t="s">
        <v>64</v>
      </c>
      <c r="B137" s="10" t="s">
        <v>1619</v>
      </c>
      <c r="C137" s="12" t="s">
        <v>1280</v>
      </c>
      <c r="D137" s="13">
        <v>45728</v>
      </c>
      <c r="E137" s="155" t="s">
        <v>2625</v>
      </c>
      <c r="F137" s="155" t="s">
        <v>226</v>
      </c>
      <c r="G137" s="156" t="s">
        <v>7</v>
      </c>
      <c r="H137" s="156" t="s">
        <v>2627</v>
      </c>
      <c r="I137" s="69" t="s">
        <v>1980</v>
      </c>
      <c r="J137" s="122">
        <v>1</v>
      </c>
      <c r="K137" s="15">
        <v>1167600</v>
      </c>
      <c r="L137" s="16">
        <f t="shared" si="11"/>
        <v>1167600</v>
      </c>
      <c r="M137" s="16">
        <f t="shared" si="12"/>
        <v>116760</v>
      </c>
      <c r="N137" s="15">
        <f t="shared" si="13"/>
        <v>1284360</v>
      </c>
      <c r="O137" s="5" t="s">
        <v>1986</v>
      </c>
      <c r="P137" s="9" t="s">
        <v>2636</v>
      </c>
      <c r="Q137" s="5">
        <v>45747</v>
      </c>
      <c r="R137" s="213" t="s">
        <v>1291</v>
      </c>
    </row>
    <row r="138" spans="1:22" ht="16.5" customHeight="1">
      <c r="A138" t="s">
        <v>64</v>
      </c>
      <c r="B138" s="10" t="s">
        <v>1619</v>
      </c>
      <c r="C138" s="12" t="s">
        <v>1280</v>
      </c>
      <c r="D138" s="13">
        <v>45728</v>
      </c>
      <c r="E138" s="155" t="s">
        <v>2625</v>
      </c>
      <c r="F138" s="155" t="s">
        <v>226</v>
      </c>
      <c r="G138" s="156" t="s">
        <v>7</v>
      </c>
      <c r="H138" s="156" t="s">
        <v>2627</v>
      </c>
      <c r="I138" s="69" t="s">
        <v>1981</v>
      </c>
      <c r="J138" s="122">
        <v>1</v>
      </c>
      <c r="K138" s="15">
        <v>1167600</v>
      </c>
      <c r="L138" s="16">
        <f t="shared" si="11"/>
        <v>1167600</v>
      </c>
      <c r="M138" s="16">
        <f t="shared" si="12"/>
        <v>116760</v>
      </c>
      <c r="N138" s="15">
        <f t="shared" si="13"/>
        <v>1284360</v>
      </c>
      <c r="O138" s="5" t="s">
        <v>1986</v>
      </c>
      <c r="P138" s="9" t="s">
        <v>2636</v>
      </c>
      <c r="Q138" s="5">
        <v>45747</v>
      </c>
      <c r="R138" s="213" t="s">
        <v>1291</v>
      </c>
    </row>
    <row r="139" spans="1:22" ht="16.5" customHeight="1">
      <c r="A139" t="s">
        <v>64</v>
      </c>
      <c r="B139" s="10" t="s">
        <v>104</v>
      </c>
      <c r="C139" s="12" t="s">
        <v>458</v>
      </c>
      <c r="D139" s="13">
        <v>45733</v>
      </c>
      <c r="E139" s="155" t="s">
        <v>2625</v>
      </c>
      <c r="F139" s="155" t="s">
        <v>2629</v>
      </c>
      <c r="G139" s="156" t="s">
        <v>41</v>
      </c>
      <c r="H139" s="156" t="s">
        <v>214</v>
      </c>
      <c r="I139" s="69" t="s">
        <v>1378</v>
      </c>
      <c r="J139" s="122">
        <v>1</v>
      </c>
      <c r="K139" s="16">
        <v>910700</v>
      </c>
      <c r="L139" s="16">
        <f t="shared" si="11"/>
        <v>910700</v>
      </c>
      <c r="M139" s="16">
        <f t="shared" si="12"/>
        <v>91070</v>
      </c>
      <c r="N139" s="15">
        <f t="shared" si="13"/>
        <v>1001770</v>
      </c>
      <c r="O139" s="5" t="s">
        <v>2117</v>
      </c>
      <c r="P139" s="9" t="s">
        <v>2636</v>
      </c>
      <c r="Q139" s="5">
        <v>45595</v>
      </c>
      <c r="R139" s="209" t="s">
        <v>100</v>
      </c>
    </row>
    <row r="140" spans="1:22" ht="16.5" customHeight="1">
      <c r="A140" t="s">
        <v>64</v>
      </c>
      <c r="B140" s="10" t="s">
        <v>144</v>
      </c>
      <c r="C140" s="12" t="s">
        <v>459</v>
      </c>
      <c r="D140" s="13">
        <v>45740</v>
      </c>
      <c r="E140" s="155" t="s">
        <v>2625</v>
      </c>
      <c r="F140" s="155" t="s">
        <v>215</v>
      </c>
      <c r="G140" s="156" t="s">
        <v>41</v>
      </c>
      <c r="H140" s="156" t="s">
        <v>214</v>
      </c>
      <c r="I140" s="69" t="s">
        <v>1498</v>
      </c>
      <c r="J140" s="122">
        <v>1</v>
      </c>
      <c r="K140" s="15">
        <v>1666322</v>
      </c>
      <c r="L140" s="16">
        <f t="shared" si="11"/>
        <v>1666322</v>
      </c>
      <c r="M140" s="16">
        <v>166632</v>
      </c>
      <c r="N140" s="15">
        <f t="shared" si="13"/>
        <v>1832954</v>
      </c>
      <c r="O140" s="5" t="s">
        <v>2185</v>
      </c>
      <c r="P140" s="9" t="s">
        <v>2636</v>
      </c>
      <c r="Q140" s="182" t="s">
        <v>215</v>
      </c>
      <c r="R140" s="209"/>
      <c r="U140" s="11"/>
    </row>
    <row r="141" spans="1:22" ht="16.5" customHeight="1">
      <c r="A141" t="s">
        <v>64</v>
      </c>
      <c r="B141" s="10" t="s">
        <v>334</v>
      </c>
      <c r="C141" s="225" t="s">
        <v>338</v>
      </c>
      <c r="D141" s="13">
        <v>45742</v>
      </c>
      <c r="E141" s="155" t="s">
        <v>2625</v>
      </c>
      <c r="F141" s="155" t="s">
        <v>242</v>
      </c>
      <c r="G141" s="156" t="s">
        <v>7</v>
      </c>
      <c r="H141" s="156" t="s">
        <v>2627</v>
      </c>
      <c r="I141" s="69" t="s">
        <v>1294</v>
      </c>
      <c r="J141" s="122">
        <v>1</v>
      </c>
      <c r="K141" s="15">
        <v>36140</v>
      </c>
      <c r="L141" s="16">
        <f t="shared" si="11"/>
        <v>36140</v>
      </c>
      <c r="M141" s="15">
        <f>L141*10%</f>
        <v>3614</v>
      </c>
      <c r="N141" s="15">
        <f t="shared" si="13"/>
        <v>39754</v>
      </c>
      <c r="O141" s="5" t="s">
        <v>2199</v>
      </c>
      <c r="P141" s="9" t="s">
        <v>2636</v>
      </c>
      <c r="Q141" s="5">
        <v>45380</v>
      </c>
      <c r="R141" s="209" t="s">
        <v>100</v>
      </c>
    </row>
    <row r="142" spans="1:22" ht="16.5" customHeight="1">
      <c r="A142" t="s">
        <v>64</v>
      </c>
      <c r="B142" s="10" t="s">
        <v>378</v>
      </c>
      <c r="C142" s="224" t="s">
        <v>379</v>
      </c>
      <c r="D142" s="13">
        <v>45747</v>
      </c>
      <c r="E142" s="155" t="s">
        <v>2625</v>
      </c>
      <c r="F142" s="155" t="s">
        <v>251</v>
      </c>
      <c r="G142" s="168" t="s">
        <v>7</v>
      </c>
      <c r="H142" s="156" t="s">
        <v>2627</v>
      </c>
      <c r="I142" s="69" t="s">
        <v>1317</v>
      </c>
      <c r="J142" s="122">
        <v>1</v>
      </c>
      <c r="K142" s="15">
        <v>249900</v>
      </c>
      <c r="L142" s="16">
        <f t="shared" si="11"/>
        <v>249900</v>
      </c>
      <c r="M142" s="15">
        <f>L142*10%</f>
        <v>24990</v>
      </c>
      <c r="N142" s="15">
        <f t="shared" si="13"/>
        <v>274890</v>
      </c>
      <c r="O142" s="5" t="s">
        <v>2228</v>
      </c>
      <c r="P142" s="9" t="s">
        <v>2636</v>
      </c>
      <c r="Q142" s="5">
        <v>45747</v>
      </c>
      <c r="R142" s="209"/>
      <c r="U142" s="11"/>
      <c r="V142" s="8"/>
    </row>
    <row r="143" spans="1:22" ht="16.5" customHeight="1">
      <c r="A143" t="s">
        <v>64</v>
      </c>
      <c r="B143" s="10" t="s">
        <v>389</v>
      </c>
      <c r="C143" s="12" t="s">
        <v>384</v>
      </c>
      <c r="D143" s="13">
        <v>45747</v>
      </c>
      <c r="E143" s="155" t="s">
        <v>2625</v>
      </c>
      <c r="F143" s="155" t="s">
        <v>385</v>
      </c>
      <c r="G143" s="156" t="s">
        <v>7</v>
      </c>
      <c r="H143" s="156" t="s">
        <v>2627</v>
      </c>
      <c r="I143" s="69" t="s">
        <v>1307</v>
      </c>
      <c r="J143" s="122">
        <v>1</v>
      </c>
      <c r="K143" s="15">
        <v>111900</v>
      </c>
      <c r="L143" s="16">
        <f t="shared" si="11"/>
        <v>111900</v>
      </c>
      <c r="M143" s="15">
        <f>L143*10%</f>
        <v>11190</v>
      </c>
      <c r="N143" s="15">
        <f t="shared" si="13"/>
        <v>123090</v>
      </c>
      <c r="O143" s="5" t="s">
        <v>2228</v>
      </c>
      <c r="P143" s="9" t="s">
        <v>2636</v>
      </c>
      <c r="Q143" s="5">
        <v>45443</v>
      </c>
      <c r="R143" s="209" t="s">
        <v>100</v>
      </c>
    </row>
    <row r="144" spans="1:22" ht="16.5" customHeight="1">
      <c r="A144" t="s">
        <v>64</v>
      </c>
      <c r="B144" s="10" t="s">
        <v>363</v>
      </c>
      <c r="C144" s="12" t="s">
        <v>361</v>
      </c>
      <c r="D144" s="13">
        <v>45747</v>
      </c>
      <c r="E144" s="155" t="s">
        <v>2625</v>
      </c>
      <c r="F144" s="155" t="s">
        <v>2629</v>
      </c>
      <c r="G144" s="156" t="s">
        <v>7</v>
      </c>
      <c r="H144" s="156" t="s">
        <v>2627</v>
      </c>
      <c r="I144" s="69" t="s">
        <v>1316</v>
      </c>
      <c r="J144" s="122">
        <v>1</v>
      </c>
      <c r="K144" s="15">
        <v>243955</v>
      </c>
      <c r="L144" s="16">
        <f t="shared" si="11"/>
        <v>243955</v>
      </c>
      <c r="M144" s="15">
        <v>24395</v>
      </c>
      <c r="N144" s="15">
        <f t="shared" si="13"/>
        <v>268350</v>
      </c>
      <c r="O144" s="5" t="s">
        <v>2228</v>
      </c>
      <c r="P144" s="9" t="s">
        <v>2636</v>
      </c>
      <c r="Q144" s="5">
        <v>45747</v>
      </c>
      <c r="R144" s="209"/>
    </row>
    <row r="145" spans="1:22" ht="16.5" customHeight="1">
      <c r="A145" t="s">
        <v>64</v>
      </c>
      <c r="B145" s="10" t="s">
        <v>381</v>
      </c>
      <c r="C145" s="12" t="s">
        <v>382</v>
      </c>
      <c r="D145" s="13">
        <v>45747</v>
      </c>
      <c r="E145" s="155" t="s">
        <v>2625</v>
      </c>
      <c r="F145" s="155" t="s">
        <v>283</v>
      </c>
      <c r="G145" s="168" t="s">
        <v>7</v>
      </c>
      <c r="H145" s="156" t="s">
        <v>2627</v>
      </c>
      <c r="I145" s="69" t="s">
        <v>1331</v>
      </c>
      <c r="J145" s="122">
        <v>1</v>
      </c>
      <c r="K145" s="15">
        <v>604800</v>
      </c>
      <c r="L145" s="16">
        <f t="shared" si="11"/>
        <v>604800</v>
      </c>
      <c r="M145" s="15">
        <f t="shared" ref="M145:M154" si="14">L145*10%</f>
        <v>60480</v>
      </c>
      <c r="N145" s="15">
        <f t="shared" si="13"/>
        <v>665280</v>
      </c>
      <c r="O145" s="5" t="s">
        <v>2228</v>
      </c>
      <c r="P145" s="9" t="s">
        <v>2636</v>
      </c>
      <c r="Q145" s="5">
        <v>45747</v>
      </c>
      <c r="R145" s="209"/>
    </row>
    <row r="146" spans="1:22" ht="16.5" customHeight="1">
      <c r="A146" t="s">
        <v>64</v>
      </c>
      <c r="B146" s="10" t="s">
        <v>364</v>
      </c>
      <c r="C146" s="12" t="s">
        <v>360</v>
      </c>
      <c r="D146" s="13">
        <v>45747</v>
      </c>
      <c r="E146" s="155" t="s">
        <v>2625</v>
      </c>
      <c r="F146" s="155" t="s">
        <v>237</v>
      </c>
      <c r="G146" s="168" t="s">
        <v>7</v>
      </c>
      <c r="H146" s="156" t="s">
        <v>2627</v>
      </c>
      <c r="I146" s="69" t="s">
        <v>1323</v>
      </c>
      <c r="J146" s="122">
        <v>1</v>
      </c>
      <c r="K146" s="15">
        <v>398400</v>
      </c>
      <c r="L146" s="16">
        <f t="shared" si="11"/>
        <v>398400</v>
      </c>
      <c r="M146" s="15">
        <f t="shared" si="14"/>
        <v>39840</v>
      </c>
      <c r="N146" s="15">
        <f t="shared" si="13"/>
        <v>438240</v>
      </c>
      <c r="O146" s="5" t="s">
        <v>2228</v>
      </c>
      <c r="P146" s="9" t="s">
        <v>2636</v>
      </c>
      <c r="Q146" s="5">
        <v>45414</v>
      </c>
      <c r="R146" s="209" t="s">
        <v>100</v>
      </c>
    </row>
    <row r="147" spans="1:22" ht="16.5" customHeight="1">
      <c r="A147" t="s">
        <v>64</v>
      </c>
      <c r="B147" s="10" t="s">
        <v>370</v>
      </c>
      <c r="C147" s="12" t="s">
        <v>388</v>
      </c>
      <c r="D147" s="13">
        <v>45747</v>
      </c>
      <c r="E147" s="155" t="s">
        <v>2625</v>
      </c>
      <c r="F147" s="155" t="s">
        <v>252</v>
      </c>
      <c r="G147" s="156" t="s">
        <v>7</v>
      </c>
      <c r="H147" s="156" t="s">
        <v>2627</v>
      </c>
      <c r="I147" s="69" t="s">
        <v>1298</v>
      </c>
      <c r="J147" s="122">
        <v>1</v>
      </c>
      <c r="K147" s="15">
        <v>52200</v>
      </c>
      <c r="L147" s="16">
        <f t="shared" si="11"/>
        <v>52200</v>
      </c>
      <c r="M147" s="15">
        <f t="shared" si="14"/>
        <v>5220</v>
      </c>
      <c r="N147" s="15">
        <f t="shared" si="13"/>
        <v>57420</v>
      </c>
      <c r="O147" s="5" t="s">
        <v>2228</v>
      </c>
      <c r="P147" s="9" t="s">
        <v>2636</v>
      </c>
      <c r="Q147" s="5">
        <v>45471</v>
      </c>
      <c r="R147" s="209" t="s">
        <v>100</v>
      </c>
      <c r="U147" s="11"/>
      <c r="V147" s="8"/>
    </row>
    <row r="148" spans="1:22" ht="16.5" customHeight="1">
      <c r="A148" t="s">
        <v>64</v>
      </c>
      <c r="B148" s="10" t="s">
        <v>232</v>
      </c>
      <c r="C148" s="12" t="s">
        <v>233</v>
      </c>
      <c r="D148" s="13">
        <v>45747</v>
      </c>
      <c r="E148" s="155" t="s">
        <v>2625</v>
      </c>
      <c r="F148" s="163" t="s">
        <v>234</v>
      </c>
      <c r="G148" s="168" t="s">
        <v>7</v>
      </c>
      <c r="H148" s="156" t="s">
        <v>2627</v>
      </c>
      <c r="I148" s="69" t="s">
        <v>1299</v>
      </c>
      <c r="J148" s="122">
        <v>1</v>
      </c>
      <c r="K148" s="15">
        <v>58800</v>
      </c>
      <c r="L148" s="16">
        <f t="shared" si="11"/>
        <v>58800</v>
      </c>
      <c r="M148" s="15">
        <f t="shared" si="14"/>
        <v>5880</v>
      </c>
      <c r="N148" s="15">
        <f t="shared" si="13"/>
        <v>64680</v>
      </c>
      <c r="O148" s="5" t="s">
        <v>2228</v>
      </c>
      <c r="P148" s="9" t="s">
        <v>2636</v>
      </c>
      <c r="Q148" s="5">
        <v>45658</v>
      </c>
      <c r="R148" s="209" t="s">
        <v>147</v>
      </c>
      <c r="U148" s="11"/>
      <c r="V148" s="8"/>
    </row>
    <row r="149" spans="1:22" ht="16.5" customHeight="1">
      <c r="A149" t="s">
        <v>64</v>
      </c>
      <c r="B149" s="10" t="s">
        <v>461</v>
      </c>
      <c r="C149" s="12" t="s">
        <v>238</v>
      </c>
      <c r="D149" s="13">
        <v>45747</v>
      </c>
      <c r="E149" s="155" t="s">
        <v>2625</v>
      </c>
      <c r="F149" s="155" t="s">
        <v>239</v>
      </c>
      <c r="G149" s="168" t="s">
        <v>7</v>
      </c>
      <c r="H149" s="156" t="s">
        <v>2627</v>
      </c>
      <c r="I149" s="69" t="s">
        <v>1308</v>
      </c>
      <c r="J149" s="122">
        <v>1</v>
      </c>
      <c r="K149" s="15">
        <v>115800</v>
      </c>
      <c r="L149" s="16">
        <f t="shared" si="11"/>
        <v>115800</v>
      </c>
      <c r="M149" s="15">
        <f t="shared" si="14"/>
        <v>11580</v>
      </c>
      <c r="N149" s="15">
        <f t="shared" si="13"/>
        <v>127380</v>
      </c>
      <c r="O149" s="5" t="s">
        <v>2228</v>
      </c>
      <c r="P149" s="9" t="s">
        <v>2636</v>
      </c>
      <c r="Q149" s="5">
        <v>45747</v>
      </c>
      <c r="R149" s="209" t="s">
        <v>147</v>
      </c>
      <c r="U149" s="11"/>
      <c r="V149" s="8"/>
    </row>
    <row r="150" spans="1:22" ht="16.5" customHeight="1">
      <c r="A150" t="s">
        <v>64</v>
      </c>
      <c r="B150" s="10" t="s">
        <v>1361</v>
      </c>
      <c r="C150" s="12" t="s">
        <v>1362</v>
      </c>
      <c r="D150" s="13">
        <v>45747</v>
      </c>
      <c r="E150" s="155" t="s">
        <v>2625</v>
      </c>
      <c r="F150" s="155" t="s">
        <v>1359</v>
      </c>
      <c r="G150" s="156" t="s">
        <v>7</v>
      </c>
      <c r="H150" s="156" t="s">
        <v>2628</v>
      </c>
      <c r="I150" s="69" t="s">
        <v>1360</v>
      </c>
      <c r="J150" s="124">
        <v>1</v>
      </c>
      <c r="K150" s="15">
        <v>666000</v>
      </c>
      <c r="L150" s="16">
        <f t="shared" si="11"/>
        <v>666000</v>
      </c>
      <c r="M150" s="16">
        <f t="shared" si="14"/>
        <v>66600</v>
      </c>
      <c r="N150" s="15">
        <f t="shared" si="13"/>
        <v>732600</v>
      </c>
      <c r="O150" s="5" t="s">
        <v>2228</v>
      </c>
      <c r="P150" s="9" t="s">
        <v>2636</v>
      </c>
      <c r="Q150" s="5">
        <v>45747</v>
      </c>
      <c r="R150" s="209"/>
    </row>
    <row r="151" spans="1:22" ht="16.5" customHeight="1">
      <c r="A151" t="s">
        <v>64</v>
      </c>
      <c r="B151" s="10" t="s">
        <v>1363</v>
      </c>
      <c r="C151" s="12" t="s">
        <v>1632</v>
      </c>
      <c r="D151" s="13">
        <v>45747</v>
      </c>
      <c r="E151" s="155" t="s">
        <v>2625</v>
      </c>
      <c r="F151" s="155" t="s">
        <v>1359</v>
      </c>
      <c r="G151" s="156" t="s">
        <v>7</v>
      </c>
      <c r="H151" s="156" t="s">
        <v>2628</v>
      </c>
      <c r="I151" s="69" t="s">
        <v>1563</v>
      </c>
      <c r="J151" s="124">
        <v>1</v>
      </c>
      <c r="K151" s="15">
        <v>8742600</v>
      </c>
      <c r="L151" s="16">
        <f t="shared" si="11"/>
        <v>8742600</v>
      </c>
      <c r="M151" s="16">
        <f t="shared" si="14"/>
        <v>874260</v>
      </c>
      <c r="N151" s="15">
        <f t="shared" si="13"/>
        <v>9616860</v>
      </c>
      <c r="O151" s="5" t="s">
        <v>2228</v>
      </c>
      <c r="P151" s="9" t="s">
        <v>2636</v>
      </c>
      <c r="Q151" s="5">
        <v>45747</v>
      </c>
      <c r="R151" s="209"/>
    </row>
    <row r="152" spans="1:22" ht="16.5" customHeight="1">
      <c r="A152" t="s">
        <v>64</v>
      </c>
      <c r="B152" s="10" t="s">
        <v>260</v>
      </c>
      <c r="C152" s="12" t="s">
        <v>261</v>
      </c>
      <c r="D152" s="13">
        <v>45747</v>
      </c>
      <c r="E152" s="155" t="s">
        <v>2625</v>
      </c>
      <c r="F152" s="155" t="s">
        <v>250</v>
      </c>
      <c r="G152" s="168" t="s">
        <v>7</v>
      </c>
      <c r="H152" s="156" t="s">
        <v>2627</v>
      </c>
      <c r="I152" s="69" t="s">
        <v>1342</v>
      </c>
      <c r="J152" s="122">
        <v>1</v>
      </c>
      <c r="K152" s="15">
        <v>9980400</v>
      </c>
      <c r="L152" s="16">
        <f t="shared" ref="L152:L183" si="15">J152*K152</f>
        <v>9980400</v>
      </c>
      <c r="M152" s="15">
        <f t="shared" si="14"/>
        <v>998040</v>
      </c>
      <c r="N152" s="15">
        <f t="shared" si="13"/>
        <v>10978440</v>
      </c>
      <c r="O152" s="5" t="s">
        <v>2228</v>
      </c>
      <c r="P152" s="9" t="s">
        <v>2636</v>
      </c>
      <c r="Q152" s="5">
        <v>45747</v>
      </c>
      <c r="R152" s="209"/>
      <c r="U152" s="11"/>
      <c r="V152" s="8"/>
    </row>
    <row r="153" spans="1:22" ht="16.5" customHeight="1">
      <c r="A153" t="s">
        <v>64</v>
      </c>
      <c r="B153" s="10" t="s">
        <v>245</v>
      </c>
      <c r="C153" s="12" t="s">
        <v>246</v>
      </c>
      <c r="D153" s="13">
        <v>45747</v>
      </c>
      <c r="E153" s="155" t="s">
        <v>2625</v>
      </c>
      <c r="F153" s="155" t="s">
        <v>247</v>
      </c>
      <c r="G153" s="156" t="s">
        <v>7</v>
      </c>
      <c r="H153" s="156" t="s">
        <v>2627</v>
      </c>
      <c r="I153" s="69" t="s">
        <v>1309</v>
      </c>
      <c r="J153" s="122">
        <v>1</v>
      </c>
      <c r="K153" s="15">
        <v>132600</v>
      </c>
      <c r="L153" s="16">
        <f t="shared" si="15"/>
        <v>132600</v>
      </c>
      <c r="M153" s="15">
        <f t="shared" si="14"/>
        <v>13260</v>
      </c>
      <c r="N153" s="15">
        <f t="shared" si="13"/>
        <v>145860</v>
      </c>
      <c r="O153" s="5" t="s">
        <v>2228</v>
      </c>
      <c r="P153" s="9" t="s">
        <v>2636</v>
      </c>
      <c r="Q153" s="5">
        <v>45057</v>
      </c>
      <c r="R153" s="209" t="s">
        <v>100</v>
      </c>
      <c r="U153" s="11"/>
      <c r="V153" s="8"/>
    </row>
    <row r="154" spans="1:22" ht="16.5" customHeight="1">
      <c r="A154" t="s">
        <v>64</v>
      </c>
      <c r="B154" s="10" t="s">
        <v>399</v>
      </c>
      <c r="C154" s="12" t="s">
        <v>257</v>
      </c>
      <c r="D154" s="13">
        <v>45747</v>
      </c>
      <c r="E154" s="155" t="s">
        <v>2625</v>
      </c>
      <c r="F154" s="155" t="s">
        <v>258</v>
      </c>
      <c r="G154" s="168" t="s">
        <v>7</v>
      </c>
      <c r="H154" s="156" t="s">
        <v>2627</v>
      </c>
      <c r="I154" s="69" t="s">
        <v>1324</v>
      </c>
      <c r="J154" s="122">
        <v>1</v>
      </c>
      <c r="K154" s="15">
        <v>494903</v>
      </c>
      <c r="L154" s="16">
        <f t="shared" si="15"/>
        <v>494903</v>
      </c>
      <c r="M154" s="15">
        <f t="shared" si="14"/>
        <v>49490.3</v>
      </c>
      <c r="N154" s="15">
        <f t="shared" si="13"/>
        <v>544393.30000000005</v>
      </c>
      <c r="O154" s="5" t="s">
        <v>2228</v>
      </c>
      <c r="P154" s="9" t="s">
        <v>2636</v>
      </c>
      <c r="Q154" s="5">
        <v>45747</v>
      </c>
      <c r="R154" s="213"/>
      <c r="U154" s="216"/>
      <c r="V154" s="8"/>
    </row>
    <row r="155" spans="1:22" ht="16.5" customHeight="1">
      <c r="A155" t="s">
        <v>64</v>
      </c>
      <c r="B155" s="10" t="s">
        <v>387</v>
      </c>
      <c r="C155" s="12" t="s">
        <v>217</v>
      </c>
      <c r="D155" s="13">
        <v>45747</v>
      </c>
      <c r="E155" s="155" t="s">
        <v>2625</v>
      </c>
      <c r="F155" s="155" t="s">
        <v>218</v>
      </c>
      <c r="G155" s="168" t="s">
        <v>7</v>
      </c>
      <c r="H155" s="156" t="s">
        <v>2627</v>
      </c>
      <c r="I155" s="69" t="s">
        <v>1341</v>
      </c>
      <c r="J155" s="122">
        <v>1</v>
      </c>
      <c r="K155" s="15">
        <v>3709756</v>
      </c>
      <c r="L155" s="16">
        <f t="shared" si="15"/>
        <v>3709756</v>
      </c>
      <c r="M155" s="15">
        <v>370975</v>
      </c>
      <c r="N155" s="15">
        <f t="shared" si="13"/>
        <v>4080731</v>
      </c>
      <c r="O155" s="5" t="s">
        <v>2228</v>
      </c>
      <c r="P155" s="9" t="s">
        <v>2636</v>
      </c>
      <c r="Q155" s="5">
        <v>45747</v>
      </c>
      <c r="R155" s="209"/>
      <c r="U155" s="11"/>
      <c r="V155" s="8"/>
    </row>
    <row r="156" spans="1:22" ht="16.5" customHeight="1">
      <c r="A156" t="s">
        <v>64</v>
      </c>
      <c r="B156" s="10" t="s">
        <v>227</v>
      </c>
      <c r="C156" s="12" t="s">
        <v>383</v>
      </c>
      <c r="D156" s="13">
        <v>45747</v>
      </c>
      <c r="E156" s="155" t="s">
        <v>2625</v>
      </c>
      <c r="F156" s="155" t="s">
        <v>228</v>
      </c>
      <c r="G156" s="156" t="s">
        <v>7</v>
      </c>
      <c r="H156" s="156" t="s">
        <v>2627</v>
      </c>
      <c r="I156" s="69" t="s">
        <v>1293</v>
      </c>
      <c r="J156" s="122">
        <v>1</v>
      </c>
      <c r="K156" s="15">
        <v>18000</v>
      </c>
      <c r="L156" s="16">
        <f t="shared" si="15"/>
        <v>18000</v>
      </c>
      <c r="M156" s="15">
        <f>L156*10%</f>
        <v>1800</v>
      </c>
      <c r="N156" s="15">
        <f t="shared" si="13"/>
        <v>19800</v>
      </c>
      <c r="O156" s="5" t="s">
        <v>2228</v>
      </c>
      <c r="P156" s="9" t="s">
        <v>2636</v>
      </c>
      <c r="Q156" s="5">
        <v>45195</v>
      </c>
      <c r="R156" s="209" t="s">
        <v>100</v>
      </c>
      <c r="U156" s="11"/>
      <c r="V156" s="8"/>
    </row>
    <row r="157" spans="1:22" ht="16.5" customHeight="1">
      <c r="A157" t="s">
        <v>64</v>
      </c>
      <c r="B157" s="10" t="s">
        <v>526</v>
      </c>
      <c r="C157" s="12" t="s">
        <v>292</v>
      </c>
      <c r="D157" s="13">
        <v>45747</v>
      </c>
      <c r="E157" s="155" t="s">
        <v>2625</v>
      </c>
      <c r="F157" s="155" t="s">
        <v>231</v>
      </c>
      <c r="G157" s="156" t="s">
        <v>7</v>
      </c>
      <c r="H157" s="156" t="s">
        <v>2627</v>
      </c>
      <c r="I157" s="69" t="s">
        <v>1292</v>
      </c>
      <c r="J157" s="122">
        <v>1</v>
      </c>
      <c r="K157" s="15">
        <v>17220</v>
      </c>
      <c r="L157" s="16">
        <f t="shared" si="15"/>
        <v>17220</v>
      </c>
      <c r="M157" s="15">
        <v>1722</v>
      </c>
      <c r="N157" s="15">
        <f t="shared" si="13"/>
        <v>18942</v>
      </c>
      <c r="O157" s="5" t="s">
        <v>2228</v>
      </c>
      <c r="P157" s="9" t="s">
        <v>2636</v>
      </c>
      <c r="Q157" s="5">
        <v>45261</v>
      </c>
      <c r="R157" s="209" t="s">
        <v>100</v>
      </c>
    </row>
    <row r="158" spans="1:22" ht="16.5" customHeight="1">
      <c r="A158" t="s">
        <v>64</v>
      </c>
      <c r="B158" s="10" t="s">
        <v>348</v>
      </c>
      <c r="C158" s="12" t="s">
        <v>412</v>
      </c>
      <c r="D158" s="13">
        <v>45747</v>
      </c>
      <c r="E158" s="155" t="s">
        <v>2625</v>
      </c>
      <c r="F158" s="155" t="s">
        <v>347</v>
      </c>
      <c r="G158" s="168" t="s">
        <v>7</v>
      </c>
      <c r="H158" s="156" t="s">
        <v>2627</v>
      </c>
      <c r="I158" s="69" t="s">
        <v>1301</v>
      </c>
      <c r="J158" s="122">
        <v>1</v>
      </c>
      <c r="K158" s="15">
        <v>90000</v>
      </c>
      <c r="L158" s="16">
        <f t="shared" si="15"/>
        <v>90000</v>
      </c>
      <c r="M158" s="15">
        <f>L158*10%</f>
        <v>9000</v>
      </c>
      <c r="N158" s="15">
        <f t="shared" ref="N158:N189" si="16">SUM(L158:M158)</f>
        <v>99000</v>
      </c>
      <c r="O158" s="5" t="s">
        <v>2228</v>
      </c>
      <c r="P158" s="9" t="s">
        <v>2636</v>
      </c>
      <c r="Q158" s="5">
        <v>45278</v>
      </c>
      <c r="R158" s="209" t="s">
        <v>100</v>
      </c>
    </row>
    <row r="159" spans="1:22" ht="16.5" customHeight="1">
      <c r="A159" t="s">
        <v>64</v>
      </c>
      <c r="B159" s="10" t="s">
        <v>294</v>
      </c>
      <c r="C159" s="12" t="s">
        <v>289</v>
      </c>
      <c r="D159" s="13">
        <v>45747</v>
      </c>
      <c r="E159" s="155" t="s">
        <v>2625</v>
      </c>
      <c r="F159" s="155" t="s">
        <v>295</v>
      </c>
      <c r="G159" s="168" t="s">
        <v>7</v>
      </c>
      <c r="H159" s="156" t="s">
        <v>2627</v>
      </c>
      <c r="I159" s="69" t="s">
        <v>1335</v>
      </c>
      <c r="J159" s="122">
        <v>1</v>
      </c>
      <c r="K159" s="15">
        <v>976200</v>
      </c>
      <c r="L159" s="16">
        <f t="shared" si="15"/>
        <v>976200</v>
      </c>
      <c r="M159" s="15">
        <f>L159*10%</f>
        <v>97620</v>
      </c>
      <c r="N159" s="15">
        <f t="shared" si="16"/>
        <v>1073820</v>
      </c>
      <c r="O159" s="5" t="s">
        <v>2228</v>
      </c>
      <c r="P159" s="9" t="s">
        <v>2636</v>
      </c>
      <c r="Q159" s="5">
        <v>45762</v>
      </c>
      <c r="R159" s="209"/>
    </row>
    <row r="160" spans="1:22" ht="16.5" customHeight="1">
      <c r="A160" t="s">
        <v>64</v>
      </c>
      <c r="B160" s="10" t="s">
        <v>306</v>
      </c>
      <c r="C160" s="12" t="s">
        <v>305</v>
      </c>
      <c r="D160" s="13">
        <v>45747</v>
      </c>
      <c r="E160" s="155" t="s">
        <v>2625</v>
      </c>
      <c r="F160" s="155" t="s">
        <v>310</v>
      </c>
      <c r="G160" s="168" t="s">
        <v>7</v>
      </c>
      <c r="H160" s="156" t="s">
        <v>2627</v>
      </c>
      <c r="I160" s="69" t="s">
        <v>1327</v>
      </c>
      <c r="J160" s="122">
        <v>1</v>
      </c>
      <c r="K160" s="15">
        <v>511500</v>
      </c>
      <c r="L160" s="16">
        <f t="shared" si="15"/>
        <v>511500</v>
      </c>
      <c r="M160" s="15">
        <f>L160*10%</f>
        <v>51150</v>
      </c>
      <c r="N160" s="15">
        <f t="shared" si="16"/>
        <v>562650</v>
      </c>
      <c r="O160" s="5" t="s">
        <v>2228</v>
      </c>
      <c r="P160" s="9" t="s">
        <v>2636</v>
      </c>
      <c r="Q160" s="5">
        <v>45747</v>
      </c>
      <c r="R160" s="209"/>
    </row>
    <row r="161" spans="1:22" ht="16.5" customHeight="1">
      <c r="A161" t="s">
        <v>64</v>
      </c>
      <c r="B161" s="10" t="s">
        <v>1608</v>
      </c>
      <c r="C161" s="12" t="s">
        <v>1607</v>
      </c>
      <c r="D161" s="13">
        <v>45747</v>
      </c>
      <c r="E161" s="155" t="s">
        <v>2625</v>
      </c>
      <c r="F161" s="155" t="s">
        <v>1562</v>
      </c>
      <c r="G161" s="168" t="s">
        <v>7</v>
      </c>
      <c r="H161" s="156" t="s">
        <v>2627</v>
      </c>
      <c r="I161" s="69" t="s">
        <v>1569</v>
      </c>
      <c r="J161" s="122">
        <v>1</v>
      </c>
      <c r="K161" s="15">
        <v>148800</v>
      </c>
      <c r="L161" s="16">
        <f t="shared" si="15"/>
        <v>148800</v>
      </c>
      <c r="M161" s="16">
        <f>L161*10%</f>
        <v>14880</v>
      </c>
      <c r="N161" s="15">
        <f t="shared" si="16"/>
        <v>163680</v>
      </c>
      <c r="O161" s="5" t="s">
        <v>2228</v>
      </c>
      <c r="P161" s="177" t="s">
        <v>2636</v>
      </c>
      <c r="Q161" s="5">
        <v>45722</v>
      </c>
      <c r="R161" s="213"/>
    </row>
    <row r="162" spans="1:22" ht="16.5" customHeight="1">
      <c r="A162" t="s">
        <v>64</v>
      </c>
      <c r="B162" s="10" t="s">
        <v>343</v>
      </c>
      <c r="C162" s="12" t="s">
        <v>344</v>
      </c>
      <c r="D162" s="13">
        <v>45747</v>
      </c>
      <c r="E162" s="155" t="s">
        <v>2625</v>
      </c>
      <c r="F162" s="155" t="s">
        <v>1561</v>
      </c>
      <c r="G162" s="168" t="s">
        <v>7</v>
      </c>
      <c r="H162" s="156" t="s">
        <v>2627</v>
      </c>
      <c r="I162" s="69" t="s">
        <v>1566</v>
      </c>
      <c r="J162" s="122">
        <v>1</v>
      </c>
      <c r="K162" s="15">
        <v>111900</v>
      </c>
      <c r="L162" s="16">
        <f t="shared" si="15"/>
        <v>111900</v>
      </c>
      <c r="M162" s="16">
        <f>L162*10%</f>
        <v>11190</v>
      </c>
      <c r="N162" s="15">
        <f t="shared" si="16"/>
        <v>123090</v>
      </c>
      <c r="O162" s="5" t="s">
        <v>2228</v>
      </c>
      <c r="P162" s="177" t="s">
        <v>2636</v>
      </c>
      <c r="Q162" s="5">
        <v>45412</v>
      </c>
      <c r="R162" s="209" t="s">
        <v>100</v>
      </c>
    </row>
    <row r="163" spans="1:22">
      <c r="A163" t="s">
        <v>64</v>
      </c>
      <c r="B163" s="10" t="s">
        <v>355</v>
      </c>
      <c r="C163" s="139" t="s">
        <v>350</v>
      </c>
      <c r="D163" s="13">
        <v>45747</v>
      </c>
      <c r="E163" s="155" t="s">
        <v>2625</v>
      </c>
      <c r="F163" s="155" t="s">
        <v>351</v>
      </c>
      <c r="G163" s="156" t="s">
        <v>7</v>
      </c>
      <c r="H163" s="156" t="s">
        <v>2627</v>
      </c>
      <c r="I163" s="69" t="s">
        <v>1328</v>
      </c>
      <c r="J163" s="122">
        <v>1</v>
      </c>
      <c r="K163" s="15">
        <v>518541</v>
      </c>
      <c r="L163" s="16">
        <f t="shared" si="15"/>
        <v>518541</v>
      </c>
      <c r="M163" s="15">
        <v>51854</v>
      </c>
      <c r="N163" s="15">
        <f t="shared" si="16"/>
        <v>570395</v>
      </c>
      <c r="O163" s="5" t="s">
        <v>2228</v>
      </c>
      <c r="P163" s="9" t="s">
        <v>2636</v>
      </c>
      <c r="Q163" s="5">
        <v>45747</v>
      </c>
      <c r="R163" s="209"/>
    </row>
    <row r="164" spans="1:22" ht="16.5" customHeight="1">
      <c r="A164" t="s">
        <v>64</v>
      </c>
      <c r="B164" s="10" t="s">
        <v>796</v>
      </c>
      <c r="C164" s="12" t="s">
        <v>897</v>
      </c>
      <c r="D164" s="13">
        <v>45747</v>
      </c>
      <c r="E164" s="155" t="s">
        <v>2625</v>
      </c>
      <c r="F164" s="155" t="s">
        <v>291</v>
      </c>
      <c r="G164" s="168" t="s">
        <v>7</v>
      </c>
      <c r="H164" s="156" t="s">
        <v>2627</v>
      </c>
      <c r="I164" s="69" t="s">
        <v>1305</v>
      </c>
      <c r="J164" s="122">
        <v>1</v>
      </c>
      <c r="K164" s="15">
        <v>99900</v>
      </c>
      <c r="L164" s="16">
        <f t="shared" si="15"/>
        <v>99900</v>
      </c>
      <c r="M164" s="16">
        <f t="shared" ref="M164:M195" si="17">L164*10%</f>
        <v>9990</v>
      </c>
      <c r="N164" s="15">
        <f t="shared" si="16"/>
        <v>109890</v>
      </c>
      <c r="O164" s="5" t="s">
        <v>2228</v>
      </c>
      <c r="P164" s="9" t="s">
        <v>2636</v>
      </c>
      <c r="Q164" s="5">
        <v>45661</v>
      </c>
      <c r="R164" s="209" t="s">
        <v>100</v>
      </c>
    </row>
    <row r="165" spans="1:22" ht="16.5" customHeight="1">
      <c r="A165" t="s">
        <v>64</v>
      </c>
      <c r="B165" s="10" t="s">
        <v>375</v>
      </c>
      <c r="C165" s="224" t="s">
        <v>376</v>
      </c>
      <c r="D165" s="13">
        <v>45747</v>
      </c>
      <c r="E165" s="155" t="s">
        <v>2625</v>
      </c>
      <c r="F165" s="155" t="s">
        <v>249</v>
      </c>
      <c r="G165" s="156" t="s">
        <v>7</v>
      </c>
      <c r="H165" s="156" t="s">
        <v>2627</v>
      </c>
      <c r="I165" s="69" t="s">
        <v>1298</v>
      </c>
      <c r="J165" s="122">
        <v>1</v>
      </c>
      <c r="K165" s="15">
        <v>170400</v>
      </c>
      <c r="L165" s="16">
        <f t="shared" si="15"/>
        <v>170400</v>
      </c>
      <c r="M165" s="15">
        <f t="shared" si="17"/>
        <v>17040</v>
      </c>
      <c r="N165" s="15">
        <f t="shared" si="16"/>
        <v>187440</v>
      </c>
      <c r="O165" s="5" t="s">
        <v>2228</v>
      </c>
      <c r="P165" s="9" t="s">
        <v>2636</v>
      </c>
      <c r="Q165" s="5">
        <v>45471</v>
      </c>
      <c r="R165" s="209" t="s">
        <v>100</v>
      </c>
      <c r="U165" s="11"/>
      <c r="V165" s="8"/>
    </row>
    <row r="166" spans="1:22" ht="16.5" customHeight="1">
      <c r="A166" t="s">
        <v>64</v>
      </c>
      <c r="B166" s="10" t="s">
        <v>377</v>
      </c>
      <c r="C166" s="12" t="s">
        <v>380</v>
      </c>
      <c r="D166" s="13">
        <v>45747</v>
      </c>
      <c r="E166" s="155" t="s">
        <v>2625</v>
      </c>
      <c r="F166" s="155" t="s">
        <v>219</v>
      </c>
      <c r="G166" s="168" t="s">
        <v>7</v>
      </c>
      <c r="H166" s="156" t="s">
        <v>2627</v>
      </c>
      <c r="I166" s="69" t="s">
        <v>1306</v>
      </c>
      <c r="J166" s="122">
        <v>1</v>
      </c>
      <c r="K166" s="15">
        <v>101400</v>
      </c>
      <c r="L166" s="16">
        <f t="shared" si="15"/>
        <v>101400</v>
      </c>
      <c r="M166" s="15">
        <f t="shared" si="17"/>
        <v>10140</v>
      </c>
      <c r="N166" s="15">
        <f t="shared" si="16"/>
        <v>111540</v>
      </c>
      <c r="O166" s="5" t="s">
        <v>2228</v>
      </c>
      <c r="P166" s="9" t="s">
        <v>2636</v>
      </c>
      <c r="Q166" s="5">
        <v>45747</v>
      </c>
      <c r="R166" s="209"/>
    </row>
    <row r="167" spans="1:22" ht="16.5" customHeight="1">
      <c r="A167" t="s">
        <v>64</v>
      </c>
      <c r="B167" s="10" t="s">
        <v>390</v>
      </c>
      <c r="C167" s="225" t="s">
        <v>386</v>
      </c>
      <c r="D167" s="13">
        <v>45747</v>
      </c>
      <c r="E167" s="155" t="s">
        <v>2625</v>
      </c>
      <c r="F167" s="155" t="s">
        <v>97</v>
      </c>
      <c r="G167" s="156" t="s">
        <v>7</v>
      </c>
      <c r="H167" s="156" t="s">
        <v>2627</v>
      </c>
      <c r="I167" s="69" t="s">
        <v>1142</v>
      </c>
      <c r="J167" s="122">
        <v>1</v>
      </c>
      <c r="K167" s="15">
        <v>171600</v>
      </c>
      <c r="L167" s="16">
        <f t="shared" si="15"/>
        <v>171600</v>
      </c>
      <c r="M167" s="15">
        <f t="shared" si="17"/>
        <v>17160</v>
      </c>
      <c r="N167" s="15">
        <f t="shared" si="16"/>
        <v>188760</v>
      </c>
      <c r="O167" s="5" t="s">
        <v>2228</v>
      </c>
      <c r="P167" s="9" t="s">
        <v>2636</v>
      </c>
      <c r="Q167" s="5">
        <v>45717</v>
      </c>
      <c r="R167" s="209"/>
    </row>
    <row r="168" spans="1:22" ht="16.5" customHeight="1">
      <c r="A168" t="s">
        <v>64</v>
      </c>
      <c r="B168" s="10" t="s">
        <v>406</v>
      </c>
      <c r="C168" s="12" t="s">
        <v>407</v>
      </c>
      <c r="D168" s="13">
        <v>45747</v>
      </c>
      <c r="E168" s="155" t="s">
        <v>2625</v>
      </c>
      <c r="F168" s="155" t="s">
        <v>259</v>
      </c>
      <c r="G168" s="156" t="s">
        <v>7</v>
      </c>
      <c r="H168" s="156" t="s">
        <v>2627</v>
      </c>
      <c r="I168" s="69" t="s">
        <v>1336</v>
      </c>
      <c r="J168" s="122">
        <v>1</v>
      </c>
      <c r="K168" s="15">
        <v>1120200</v>
      </c>
      <c r="L168" s="16">
        <f t="shared" si="15"/>
        <v>1120200</v>
      </c>
      <c r="M168" s="15">
        <f t="shared" si="17"/>
        <v>112020</v>
      </c>
      <c r="N168" s="15">
        <f t="shared" si="16"/>
        <v>1232220</v>
      </c>
      <c r="O168" s="5" t="s">
        <v>2228</v>
      </c>
      <c r="P168" s="9" t="s">
        <v>2636</v>
      </c>
      <c r="Q168" s="5">
        <v>45717</v>
      </c>
      <c r="R168" s="209"/>
    </row>
    <row r="169" spans="1:22" ht="16.5" customHeight="1">
      <c r="A169" t="s">
        <v>64</v>
      </c>
      <c r="B169" s="10" t="s">
        <v>393</v>
      </c>
      <c r="C169" s="12" t="s">
        <v>392</v>
      </c>
      <c r="D169" s="13">
        <v>45747</v>
      </c>
      <c r="E169" s="155" t="s">
        <v>2625</v>
      </c>
      <c r="F169" s="155" t="s">
        <v>234</v>
      </c>
      <c r="G169" s="168" t="s">
        <v>7</v>
      </c>
      <c r="H169" s="156" t="s">
        <v>2627</v>
      </c>
      <c r="I169" s="69" t="s">
        <v>2512</v>
      </c>
      <c r="J169" s="122">
        <v>1</v>
      </c>
      <c r="K169" s="15">
        <v>1706400</v>
      </c>
      <c r="L169" s="16">
        <f t="shared" si="15"/>
        <v>1706400</v>
      </c>
      <c r="M169" s="15">
        <f t="shared" si="17"/>
        <v>170640</v>
      </c>
      <c r="N169" s="15">
        <f t="shared" si="16"/>
        <v>1877040</v>
      </c>
      <c r="O169" s="5" t="s">
        <v>2228</v>
      </c>
      <c r="P169" s="9" t="s">
        <v>2636</v>
      </c>
      <c r="Q169" s="5">
        <v>45658</v>
      </c>
      <c r="R169" s="209" t="s">
        <v>147</v>
      </c>
    </row>
    <row r="170" spans="1:22" ht="16.5" customHeight="1">
      <c r="A170" t="s">
        <v>64</v>
      </c>
      <c r="B170" s="10" t="s">
        <v>408</v>
      </c>
      <c r="C170" s="12" t="s">
        <v>409</v>
      </c>
      <c r="D170" s="13">
        <v>45747</v>
      </c>
      <c r="E170" s="155" t="s">
        <v>2625</v>
      </c>
      <c r="F170" s="155" t="s">
        <v>13</v>
      </c>
      <c r="G170" s="168" t="s">
        <v>7</v>
      </c>
      <c r="H170" s="156" t="s">
        <v>2627</v>
      </c>
      <c r="I170" s="69" t="s">
        <v>1311</v>
      </c>
      <c r="J170" s="122">
        <v>1</v>
      </c>
      <c r="K170" s="15">
        <v>173400</v>
      </c>
      <c r="L170" s="16">
        <f t="shared" si="15"/>
        <v>173400</v>
      </c>
      <c r="M170" s="15">
        <f t="shared" si="17"/>
        <v>17340</v>
      </c>
      <c r="N170" s="15">
        <f t="shared" si="16"/>
        <v>190740</v>
      </c>
      <c r="O170" s="5" t="s">
        <v>2228</v>
      </c>
      <c r="P170" s="9" t="s">
        <v>2636</v>
      </c>
      <c r="Q170" s="5">
        <v>45489</v>
      </c>
      <c r="R170" s="213" t="s">
        <v>100</v>
      </c>
    </row>
    <row r="171" spans="1:22" ht="16.5" customHeight="1">
      <c r="A171" t="s">
        <v>64</v>
      </c>
      <c r="B171" s="10" t="s">
        <v>410</v>
      </c>
      <c r="C171" s="12" t="s">
        <v>411</v>
      </c>
      <c r="D171" s="13">
        <v>45747</v>
      </c>
      <c r="E171" s="155" t="s">
        <v>2625</v>
      </c>
      <c r="F171" s="155" t="s">
        <v>2629</v>
      </c>
      <c r="G171" s="168" t="s">
        <v>7</v>
      </c>
      <c r="H171" s="156" t="s">
        <v>2627</v>
      </c>
      <c r="I171" s="69" t="s">
        <v>1326</v>
      </c>
      <c r="J171" s="122">
        <v>1</v>
      </c>
      <c r="K171" s="15">
        <v>505200</v>
      </c>
      <c r="L171" s="16">
        <f t="shared" si="15"/>
        <v>505200</v>
      </c>
      <c r="M171" s="15">
        <f t="shared" si="17"/>
        <v>50520</v>
      </c>
      <c r="N171" s="15">
        <f t="shared" si="16"/>
        <v>555720</v>
      </c>
      <c r="O171" s="5" t="s">
        <v>2228</v>
      </c>
      <c r="P171" s="177" t="s">
        <v>2636</v>
      </c>
      <c r="Q171" s="5">
        <v>45747</v>
      </c>
      <c r="R171" s="209"/>
    </row>
    <row r="172" spans="1:22" ht="16.5" customHeight="1">
      <c r="A172" t="s">
        <v>64</v>
      </c>
      <c r="B172" s="10" t="s">
        <v>433</v>
      </c>
      <c r="C172" s="12" t="s">
        <v>427</v>
      </c>
      <c r="D172" s="13">
        <v>45747</v>
      </c>
      <c r="E172" s="155" t="s">
        <v>2625</v>
      </c>
      <c r="F172" s="155" t="s">
        <v>224</v>
      </c>
      <c r="G172" s="156" t="s">
        <v>7</v>
      </c>
      <c r="H172" s="156" t="s">
        <v>2627</v>
      </c>
      <c r="I172" s="69" t="s">
        <v>1322</v>
      </c>
      <c r="J172" s="122">
        <v>1</v>
      </c>
      <c r="K172" s="15">
        <v>334800</v>
      </c>
      <c r="L172" s="16">
        <f t="shared" si="15"/>
        <v>334800</v>
      </c>
      <c r="M172" s="15">
        <f t="shared" si="17"/>
        <v>33480</v>
      </c>
      <c r="N172" s="15">
        <f t="shared" si="16"/>
        <v>368280</v>
      </c>
      <c r="O172" s="5" t="s">
        <v>2228</v>
      </c>
      <c r="P172" s="9" t="s">
        <v>2636</v>
      </c>
      <c r="Q172" s="5">
        <v>45504</v>
      </c>
      <c r="R172" s="209" t="s">
        <v>100</v>
      </c>
    </row>
    <row r="173" spans="1:22" ht="16.5" customHeight="1">
      <c r="A173" t="s">
        <v>64</v>
      </c>
      <c r="B173" s="10" t="s">
        <v>434</v>
      </c>
      <c r="C173" s="12" t="s">
        <v>428</v>
      </c>
      <c r="D173" s="13">
        <v>45747</v>
      </c>
      <c r="E173" s="155" t="s">
        <v>2625</v>
      </c>
      <c r="F173" s="155" t="s">
        <v>2629</v>
      </c>
      <c r="G173" s="156" t="s">
        <v>7</v>
      </c>
      <c r="H173" s="156" t="s">
        <v>2627</v>
      </c>
      <c r="I173" s="69" t="s">
        <v>1313</v>
      </c>
      <c r="J173" s="122">
        <v>1</v>
      </c>
      <c r="K173" s="15">
        <v>204600</v>
      </c>
      <c r="L173" s="16">
        <f t="shared" si="15"/>
        <v>204600</v>
      </c>
      <c r="M173" s="15">
        <f t="shared" si="17"/>
        <v>20460</v>
      </c>
      <c r="N173" s="15">
        <f t="shared" si="16"/>
        <v>225060</v>
      </c>
      <c r="O173" s="5" t="s">
        <v>2228</v>
      </c>
      <c r="P173" s="9" t="s">
        <v>2636</v>
      </c>
      <c r="Q173" s="5">
        <v>45747</v>
      </c>
      <c r="R173" s="209"/>
    </row>
    <row r="174" spans="1:22" ht="16.5" customHeight="1">
      <c r="A174" t="s">
        <v>64</v>
      </c>
      <c r="B174" s="10" t="s">
        <v>435</v>
      </c>
      <c r="C174" s="12" t="s">
        <v>429</v>
      </c>
      <c r="D174" s="13">
        <v>45747</v>
      </c>
      <c r="E174" s="155" t="s">
        <v>2625</v>
      </c>
      <c r="F174" s="155" t="s">
        <v>248</v>
      </c>
      <c r="G174" s="156" t="s">
        <v>7</v>
      </c>
      <c r="H174" s="156" t="s">
        <v>2627</v>
      </c>
      <c r="I174" s="69" t="s">
        <v>1237</v>
      </c>
      <c r="J174" s="122">
        <v>1</v>
      </c>
      <c r="K174" s="15">
        <v>499500</v>
      </c>
      <c r="L174" s="16">
        <f t="shared" si="15"/>
        <v>499500</v>
      </c>
      <c r="M174" s="15">
        <f t="shared" si="17"/>
        <v>49950</v>
      </c>
      <c r="N174" s="15">
        <f t="shared" si="16"/>
        <v>549450</v>
      </c>
      <c r="O174" s="5" t="s">
        <v>2228</v>
      </c>
      <c r="P174" s="9" t="s">
        <v>2636</v>
      </c>
      <c r="Q174" s="5">
        <v>45747</v>
      </c>
      <c r="R174" s="209"/>
    </row>
    <row r="175" spans="1:22" ht="16.5" customHeight="1">
      <c r="A175" t="s">
        <v>64</v>
      </c>
      <c r="B175" s="10" t="s">
        <v>436</v>
      </c>
      <c r="C175" s="12" t="s">
        <v>430</v>
      </c>
      <c r="D175" s="13">
        <v>45747</v>
      </c>
      <c r="E175" s="155" t="s">
        <v>2625</v>
      </c>
      <c r="F175" s="155" t="s">
        <v>226</v>
      </c>
      <c r="G175" s="156" t="s">
        <v>7</v>
      </c>
      <c r="H175" s="156" t="s">
        <v>2627</v>
      </c>
      <c r="I175" s="69" t="s">
        <v>2554</v>
      </c>
      <c r="J175" s="122">
        <v>1</v>
      </c>
      <c r="K175" s="15">
        <v>251700</v>
      </c>
      <c r="L175" s="16">
        <f t="shared" si="15"/>
        <v>251700</v>
      </c>
      <c r="M175" s="15">
        <f t="shared" si="17"/>
        <v>25170</v>
      </c>
      <c r="N175" s="15">
        <f t="shared" si="16"/>
        <v>276870</v>
      </c>
      <c r="O175" s="5" t="s">
        <v>2228</v>
      </c>
      <c r="P175" s="9" t="s">
        <v>2636</v>
      </c>
      <c r="Q175" s="5">
        <v>45504</v>
      </c>
      <c r="R175" s="209" t="s">
        <v>100</v>
      </c>
    </row>
    <row r="176" spans="1:22" ht="16.5" customHeight="1">
      <c r="A176" t="s">
        <v>64</v>
      </c>
      <c r="B176" s="10" t="s">
        <v>413</v>
      </c>
      <c r="C176" s="12" t="s">
        <v>437</v>
      </c>
      <c r="D176" s="13">
        <v>45747</v>
      </c>
      <c r="E176" s="155" t="s">
        <v>2625</v>
      </c>
      <c r="F176" s="155" t="s">
        <v>101</v>
      </c>
      <c r="G176" s="156" t="s">
        <v>98</v>
      </c>
      <c r="H176" s="156" t="s">
        <v>2627</v>
      </c>
      <c r="I176" s="69" t="s">
        <v>1241</v>
      </c>
      <c r="J176" s="122">
        <v>1</v>
      </c>
      <c r="K176" s="15">
        <v>276600</v>
      </c>
      <c r="L176" s="16">
        <f t="shared" si="15"/>
        <v>276600</v>
      </c>
      <c r="M176" s="15">
        <f t="shared" si="17"/>
        <v>27660</v>
      </c>
      <c r="N176" s="15">
        <f t="shared" si="16"/>
        <v>304260</v>
      </c>
      <c r="O176" s="5" t="s">
        <v>2228</v>
      </c>
      <c r="P176" s="9" t="s">
        <v>2636</v>
      </c>
      <c r="Q176" s="5">
        <v>45534</v>
      </c>
      <c r="R176" s="209" t="s">
        <v>100</v>
      </c>
    </row>
    <row r="177" spans="1:18" ht="16.5" customHeight="1">
      <c r="A177" t="s">
        <v>64</v>
      </c>
      <c r="B177" s="10" t="s">
        <v>439</v>
      </c>
      <c r="C177" s="12" t="s">
        <v>438</v>
      </c>
      <c r="D177" s="13">
        <v>45747</v>
      </c>
      <c r="E177" s="155" t="s">
        <v>2625</v>
      </c>
      <c r="F177" s="155" t="s">
        <v>226</v>
      </c>
      <c r="G177" s="156" t="s">
        <v>98</v>
      </c>
      <c r="H177" s="156" t="s">
        <v>2627</v>
      </c>
      <c r="I177" s="69" t="s">
        <v>1233</v>
      </c>
      <c r="J177" s="122">
        <v>1</v>
      </c>
      <c r="K177" s="15">
        <v>226200</v>
      </c>
      <c r="L177" s="16">
        <f t="shared" si="15"/>
        <v>226200</v>
      </c>
      <c r="M177" s="15">
        <f t="shared" si="17"/>
        <v>22620</v>
      </c>
      <c r="N177" s="15">
        <f t="shared" si="16"/>
        <v>248820</v>
      </c>
      <c r="O177" s="5" t="s">
        <v>2228</v>
      </c>
      <c r="P177" s="9" t="s">
        <v>2636</v>
      </c>
      <c r="Q177" s="5">
        <v>45565</v>
      </c>
      <c r="R177" s="209" t="s">
        <v>100</v>
      </c>
    </row>
    <row r="178" spans="1:18" ht="16.5" customHeight="1">
      <c r="A178" t="s">
        <v>64</v>
      </c>
      <c r="B178" s="10" t="s">
        <v>445</v>
      </c>
      <c r="C178" s="12" t="s">
        <v>440</v>
      </c>
      <c r="D178" s="13">
        <v>45747</v>
      </c>
      <c r="E178" s="155" t="s">
        <v>2625</v>
      </c>
      <c r="F178" s="155" t="s">
        <v>223</v>
      </c>
      <c r="G178" s="168" t="s">
        <v>7</v>
      </c>
      <c r="H178" s="156" t="s">
        <v>2627</v>
      </c>
      <c r="I178" s="69" t="s">
        <v>1203</v>
      </c>
      <c r="J178" s="122">
        <v>1</v>
      </c>
      <c r="K178" s="15">
        <v>78000</v>
      </c>
      <c r="L178" s="16">
        <f t="shared" si="15"/>
        <v>78000</v>
      </c>
      <c r="M178" s="15">
        <f t="shared" si="17"/>
        <v>7800</v>
      </c>
      <c r="N178" s="15">
        <f t="shared" si="16"/>
        <v>85800</v>
      </c>
      <c r="O178" s="5" t="s">
        <v>2228</v>
      </c>
      <c r="P178" s="9" t="s">
        <v>2636</v>
      </c>
      <c r="Q178" s="5">
        <v>45565</v>
      </c>
      <c r="R178" s="209" t="s">
        <v>100</v>
      </c>
    </row>
    <row r="179" spans="1:18" ht="16.5" customHeight="1">
      <c r="A179" t="s">
        <v>64</v>
      </c>
      <c r="B179" s="10" t="s">
        <v>446</v>
      </c>
      <c r="C179" s="12" t="s">
        <v>441</v>
      </c>
      <c r="D179" s="13">
        <v>45747</v>
      </c>
      <c r="E179" s="155" t="s">
        <v>2625</v>
      </c>
      <c r="F179" s="155" t="s">
        <v>216</v>
      </c>
      <c r="G179" s="168" t="s">
        <v>7</v>
      </c>
      <c r="H179" s="156" t="s">
        <v>2627</v>
      </c>
      <c r="I179" s="69" t="s">
        <v>2606</v>
      </c>
      <c r="J179" s="122">
        <v>1</v>
      </c>
      <c r="K179" s="15">
        <v>534900</v>
      </c>
      <c r="L179" s="16">
        <f t="shared" si="15"/>
        <v>534900</v>
      </c>
      <c r="M179" s="15">
        <f t="shared" si="17"/>
        <v>53490</v>
      </c>
      <c r="N179" s="15">
        <f t="shared" si="16"/>
        <v>588390</v>
      </c>
      <c r="O179" s="5" t="s">
        <v>2228</v>
      </c>
      <c r="P179" s="9" t="s">
        <v>2636</v>
      </c>
      <c r="Q179" s="5">
        <v>45560</v>
      </c>
      <c r="R179" s="209" t="s">
        <v>100</v>
      </c>
    </row>
    <row r="180" spans="1:18" ht="16.5" customHeight="1">
      <c r="A180" t="s">
        <v>64</v>
      </c>
      <c r="B180" s="10" t="s">
        <v>426</v>
      </c>
      <c r="C180" s="12" t="s">
        <v>425</v>
      </c>
      <c r="D180" s="13">
        <v>45747</v>
      </c>
      <c r="E180" s="155" t="s">
        <v>2625</v>
      </c>
      <c r="F180" s="155" t="s">
        <v>220</v>
      </c>
      <c r="G180" s="168" t="s">
        <v>7</v>
      </c>
      <c r="H180" s="156" t="s">
        <v>2627</v>
      </c>
      <c r="I180" s="69" t="s">
        <v>1343</v>
      </c>
      <c r="J180" s="122">
        <v>1</v>
      </c>
      <c r="K180" s="15">
        <v>11892900</v>
      </c>
      <c r="L180" s="16">
        <f t="shared" si="15"/>
        <v>11892900</v>
      </c>
      <c r="M180" s="15">
        <f t="shared" si="17"/>
        <v>1189290</v>
      </c>
      <c r="N180" s="15">
        <f t="shared" si="16"/>
        <v>13082190</v>
      </c>
      <c r="O180" s="5" t="s">
        <v>2228</v>
      </c>
      <c r="P180" s="9" t="s">
        <v>2636</v>
      </c>
      <c r="Q180" s="5">
        <v>45747</v>
      </c>
      <c r="R180" s="209"/>
    </row>
    <row r="181" spans="1:18" ht="16.5" customHeight="1">
      <c r="A181" t="s">
        <v>64</v>
      </c>
      <c r="B181" s="10" t="s">
        <v>447</v>
      </c>
      <c r="C181" s="12" t="s">
        <v>442</v>
      </c>
      <c r="D181" s="13">
        <v>45747</v>
      </c>
      <c r="E181" s="155" t="s">
        <v>2625</v>
      </c>
      <c r="F181" s="155" t="s">
        <v>229</v>
      </c>
      <c r="G181" s="168" t="s">
        <v>7</v>
      </c>
      <c r="H181" s="156" t="s">
        <v>2627</v>
      </c>
      <c r="I181" s="69" t="s">
        <v>1297</v>
      </c>
      <c r="J181" s="122">
        <v>1</v>
      </c>
      <c r="K181" s="15">
        <v>48900</v>
      </c>
      <c r="L181" s="16">
        <f t="shared" si="15"/>
        <v>48900</v>
      </c>
      <c r="M181" s="15">
        <f t="shared" si="17"/>
        <v>4890</v>
      </c>
      <c r="N181" s="15">
        <f t="shared" si="16"/>
        <v>53790</v>
      </c>
      <c r="O181" s="5" t="s">
        <v>2228</v>
      </c>
      <c r="P181" s="9" t="s">
        <v>2636</v>
      </c>
      <c r="Q181" s="5">
        <v>45590</v>
      </c>
      <c r="R181" s="209" t="s">
        <v>100</v>
      </c>
    </row>
    <row r="182" spans="1:18" ht="16.5" customHeight="1">
      <c r="A182" t="s">
        <v>64</v>
      </c>
      <c r="B182" s="10" t="s">
        <v>448</v>
      </c>
      <c r="C182" s="12" t="s">
        <v>443</v>
      </c>
      <c r="D182" s="13">
        <v>45747</v>
      </c>
      <c r="E182" s="155" t="s">
        <v>2625</v>
      </c>
      <c r="F182" s="155" t="s">
        <v>301</v>
      </c>
      <c r="G182" s="168" t="s">
        <v>7</v>
      </c>
      <c r="H182" s="156" t="s">
        <v>2627</v>
      </c>
      <c r="I182" s="69" t="s">
        <v>1320</v>
      </c>
      <c r="J182" s="122">
        <v>1</v>
      </c>
      <c r="K182" s="15">
        <v>306300</v>
      </c>
      <c r="L182" s="16">
        <f t="shared" si="15"/>
        <v>306300</v>
      </c>
      <c r="M182" s="15">
        <f t="shared" si="17"/>
        <v>30630</v>
      </c>
      <c r="N182" s="15">
        <f t="shared" si="16"/>
        <v>336930</v>
      </c>
      <c r="O182" s="5" t="s">
        <v>2228</v>
      </c>
      <c r="P182" s="9" t="s">
        <v>2636</v>
      </c>
      <c r="Q182" s="5">
        <v>45596</v>
      </c>
      <c r="R182" s="209" t="s">
        <v>100</v>
      </c>
    </row>
    <row r="183" spans="1:18" ht="16.5" customHeight="1">
      <c r="A183" t="s">
        <v>64</v>
      </c>
      <c r="B183" s="10" t="s">
        <v>449</v>
      </c>
      <c r="C183" s="12" t="s">
        <v>444</v>
      </c>
      <c r="D183" s="13">
        <v>45747</v>
      </c>
      <c r="E183" s="155" t="s">
        <v>2625</v>
      </c>
      <c r="F183" s="155" t="s">
        <v>67</v>
      </c>
      <c r="G183" s="168" t="s">
        <v>7</v>
      </c>
      <c r="H183" s="156" t="s">
        <v>2627</v>
      </c>
      <c r="I183" s="69" t="s">
        <v>1332</v>
      </c>
      <c r="J183" s="122">
        <v>1</v>
      </c>
      <c r="K183" s="15">
        <v>655500</v>
      </c>
      <c r="L183" s="16">
        <f t="shared" si="15"/>
        <v>655500</v>
      </c>
      <c r="M183" s="15">
        <f t="shared" si="17"/>
        <v>65550</v>
      </c>
      <c r="N183" s="15">
        <f t="shared" si="16"/>
        <v>721050</v>
      </c>
      <c r="O183" s="5" t="s">
        <v>2228</v>
      </c>
      <c r="P183" s="9" t="s">
        <v>2636</v>
      </c>
      <c r="Q183" s="5">
        <v>45747</v>
      </c>
      <c r="R183" s="209"/>
    </row>
    <row r="184" spans="1:18" ht="16.5" customHeight="1">
      <c r="A184" t="s">
        <v>64</v>
      </c>
      <c r="B184" s="10" t="s">
        <v>449</v>
      </c>
      <c r="C184" s="12" t="s">
        <v>460</v>
      </c>
      <c r="D184" s="13">
        <v>45747</v>
      </c>
      <c r="E184" s="155" t="s">
        <v>2625</v>
      </c>
      <c r="F184" s="155" t="s">
        <v>67</v>
      </c>
      <c r="G184" s="168" t="s">
        <v>7</v>
      </c>
      <c r="H184" s="156" t="s">
        <v>2627</v>
      </c>
      <c r="I184" s="69" t="s">
        <v>1340</v>
      </c>
      <c r="J184" s="122">
        <v>1</v>
      </c>
      <c r="K184" s="15">
        <v>1981200</v>
      </c>
      <c r="L184" s="16">
        <f t="shared" ref="L184:L208" si="18">J184*K184</f>
        <v>1981200</v>
      </c>
      <c r="M184" s="15">
        <f t="shared" si="17"/>
        <v>198120</v>
      </c>
      <c r="N184" s="15">
        <f t="shared" si="16"/>
        <v>2179320</v>
      </c>
      <c r="O184" s="5" t="s">
        <v>2228</v>
      </c>
      <c r="P184" s="9" t="s">
        <v>2636</v>
      </c>
      <c r="Q184" s="5">
        <v>45747</v>
      </c>
      <c r="R184" s="209"/>
    </row>
    <row r="185" spans="1:18" ht="16.5" customHeight="1">
      <c r="A185" t="s">
        <v>64</v>
      </c>
      <c r="B185" s="10" t="s">
        <v>1162</v>
      </c>
      <c r="C185" s="12" t="s">
        <v>1163</v>
      </c>
      <c r="D185" s="13">
        <v>45747</v>
      </c>
      <c r="E185" s="155" t="s">
        <v>2625</v>
      </c>
      <c r="F185" s="155" t="s">
        <v>222</v>
      </c>
      <c r="G185" s="168" t="s">
        <v>7</v>
      </c>
      <c r="H185" s="156" t="s">
        <v>2627</v>
      </c>
      <c r="I185" s="69" t="s">
        <v>1310</v>
      </c>
      <c r="J185" s="122">
        <v>1</v>
      </c>
      <c r="K185" s="15">
        <v>153900</v>
      </c>
      <c r="L185" s="16">
        <f t="shared" si="18"/>
        <v>153900</v>
      </c>
      <c r="M185" s="15">
        <f t="shared" si="17"/>
        <v>15390</v>
      </c>
      <c r="N185" s="15">
        <f t="shared" si="16"/>
        <v>169290</v>
      </c>
      <c r="O185" s="5" t="s">
        <v>2228</v>
      </c>
      <c r="P185" s="9" t="s">
        <v>2636</v>
      </c>
      <c r="Q185" s="5">
        <v>45588</v>
      </c>
      <c r="R185" s="209" t="s">
        <v>100</v>
      </c>
    </row>
    <row r="186" spans="1:18" ht="16.5" customHeight="1">
      <c r="A186" t="s">
        <v>64</v>
      </c>
      <c r="B186" s="10" t="s">
        <v>486</v>
      </c>
      <c r="C186" s="12" t="s">
        <v>525</v>
      </c>
      <c r="D186" s="13">
        <v>45747</v>
      </c>
      <c r="E186" s="155" t="s">
        <v>2625</v>
      </c>
      <c r="F186" s="155" t="s">
        <v>230</v>
      </c>
      <c r="G186" s="168" t="s">
        <v>7</v>
      </c>
      <c r="H186" s="156" t="s">
        <v>2627</v>
      </c>
      <c r="I186" s="69" t="s">
        <v>1318</v>
      </c>
      <c r="J186" s="122">
        <v>1</v>
      </c>
      <c r="K186" s="15">
        <v>277800</v>
      </c>
      <c r="L186" s="16">
        <f t="shared" si="18"/>
        <v>277800</v>
      </c>
      <c r="M186" s="15">
        <f t="shared" si="17"/>
        <v>27780</v>
      </c>
      <c r="N186" s="15">
        <f t="shared" si="16"/>
        <v>305580</v>
      </c>
      <c r="O186" s="5" t="s">
        <v>2228</v>
      </c>
      <c r="P186" s="9" t="s">
        <v>2636</v>
      </c>
      <c r="Q186" s="5">
        <v>45627</v>
      </c>
      <c r="R186" s="209" t="s">
        <v>100</v>
      </c>
    </row>
    <row r="187" spans="1:18" ht="16.5" customHeight="1">
      <c r="A187" t="s">
        <v>64</v>
      </c>
      <c r="B187" s="10" t="s">
        <v>786</v>
      </c>
      <c r="C187" s="12" t="s">
        <v>760</v>
      </c>
      <c r="D187" s="13">
        <v>45747</v>
      </c>
      <c r="E187" s="155" t="s">
        <v>2625</v>
      </c>
      <c r="F187" s="155" t="s">
        <v>2629</v>
      </c>
      <c r="G187" s="156" t="s">
        <v>7</v>
      </c>
      <c r="H187" s="156" t="s">
        <v>2627</v>
      </c>
      <c r="I187" s="69" t="s">
        <v>1333</v>
      </c>
      <c r="J187" s="122">
        <v>1</v>
      </c>
      <c r="K187" s="15">
        <v>661800</v>
      </c>
      <c r="L187" s="16">
        <f t="shared" si="18"/>
        <v>661800</v>
      </c>
      <c r="M187" s="16">
        <f t="shared" si="17"/>
        <v>66180</v>
      </c>
      <c r="N187" s="15">
        <f t="shared" si="16"/>
        <v>727980</v>
      </c>
      <c r="O187" s="5" t="s">
        <v>2228</v>
      </c>
      <c r="P187" s="9" t="s">
        <v>2636</v>
      </c>
      <c r="Q187" s="5">
        <v>45747</v>
      </c>
      <c r="R187" s="213"/>
    </row>
    <row r="188" spans="1:18" ht="16.5" customHeight="1">
      <c r="A188" t="s">
        <v>64</v>
      </c>
      <c r="B188" s="10" t="s">
        <v>527</v>
      </c>
      <c r="C188" s="12" t="s">
        <v>524</v>
      </c>
      <c r="D188" s="13">
        <v>45747</v>
      </c>
      <c r="E188" s="155" t="s">
        <v>2625</v>
      </c>
      <c r="F188" s="155" t="s">
        <v>231</v>
      </c>
      <c r="G188" s="156" t="s">
        <v>7</v>
      </c>
      <c r="H188" s="156" t="s">
        <v>2627</v>
      </c>
      <c r="I188" s="69" t="s">
        <v>1321</v>
      </c>
      <c r="J188" s="122">
        <v>1</v>
      </c>
      <c r="K188" s="15">
        <v>319200</v>
      </c>
      <c r="L188" s="16">
        <f t="shared" si="18"/>
        <v>319200</v>
      </c>
      <c r="M188" s="15">
        <f t="shared" si="17"/>
        <v>31920</v>
      </c>
      <c r="N188" s="15">
        <f t="shared" si="16"/>
        <v>351120</v>
      </c>
      <c r="O188" s="5" t="s">
        <v>2228</v>
      </c>
      <c r="P188" s="9" t="s">
        <v>2636</v>
      </c>
      <c r="Q188" s="5">
        <v>45645</v>
      </c>
      <c r="R188" s="209" t="s">
        <v>100</v>
      </c>
    </row>
    <row r="189" spans="1:18" ht="16.5" customHeight="1">
      <c r="A189" t="s">
        <v>64</v>
      </c>
      <c r="B189" s="10" t="s">
        <v>787</v>
      </c>
      <c r="C189" s="12" t="s">
        <v>753</v>
      </c>
      <c r="D189" s="13">
        <v>45747</v>
      </c>
      <c r="E189" s="155" t="s">
        <v>2625</v>
      </c>
      <c r="F189" s="155" t="s">
        <v>788</v>
      </c>
      <c r="G189" s="156" t="s">
        <v>7</v>
      </c>
      <c r="H189" s="156" t="s">
        <v>2627</v>
      </c>
      <c r="I189" s="69" t="s">
        <v>1302</v>
      </c>
      <c r="J189" s="122">
        <v>1</v>
      </c>
      <c r="K189" s="15">
        <v>97800</v>
      </c>
      <c r="L189" s="16">
        <f t="shared" si="18"/>
        <v>97800</v>
      </c>
      <c r="M189" s="16">
        <f t="shared" si="17"/>
        <v>9780</v>
      </c>
      <c r="N189" s="15">
        <f t="shared" si="16"/>
        <v>107580</v>
      </c>
      <c r="O189" s="5" t="s">
        <v>2228</v>
      </c>
      <c r="P189" s="9" t="s">
        <v>2636</v>
      </c>
      <c r="Q189" s="5">
        <v>45681</v>
      </c>
      <c r="R189" s="209" t="s">
        <v>100</v>
      </c>
    </row>
    <row r="190" spans="1:18" ht="16.5" customHeight="1">
      <c r="A190" t="s">
        <v>64</v>
      </c>
      <c r="B190" s="10" t="s">
        <v>528</v>
      </c>
      <c r="C190" s="12" t="s">
        <v>523</v>
      </c>
      <c r="D190" s="13">
        <v>45747</v>
      </c>
      <c r="E190" s="155" t="s">
        <v>2625</v>
      </c>
      <c r="F190" s="155" t="s">
        <v>67</v>
      </c>
      <c r="G190" s="168" t="s">
        <v>7</v>
      </c>
      <c r="H190" s="156" t="s">
        <v>2627</v>
      </c>
      <c r="I190" s="69" t="s">
        <v>1303</v>
      </c>
      <c r="J190" s="122">
        <v>1</v>
      </c>
      <c r="K190" s="15">
        <v>98100</v>
      </c>
      <c r="L190" s="16">
        <f t="shared" si="18"/>
        <v>98100</v>
      </c>
      <c r="M190" s="15">
        <f t="shared" si="17"/>
        <v>9810</v>
      </c>
      <c r="N190" s="15">
        <f t="shared" ref="N190:N208" si="19">SUM(L190:M190)</f>
        <v>107910</v>
      </c>
      <c r="O190" s="5" t="s">
        <v>2228</v>
      </c>
      <c r="P190" s="9" t="s">
        <v>2636</v>
      </c>
      <c r="Q190" s="5">
        <v>45659</v>
      </c>
      <c r="R190" s="209" t="s">
        <v>100</v>
      </c>
    </row>
    <row r="191" spans="1:18" ht="16.5" customHeight="1">
      <c r="A191" t="s">
        <v>64</v>
      </c>
      <c r="B191" s="10" t="s">
        <v>792</v>
      </c>
      <c r="C191" s="12" t="s">
        <v>750</v>
      </c>
      <c r="D191" s="13">
        <v>45747</v>
      </c>
      <c r="E191" s="155" t="s">
        <v>2625</v>
      </c>
      <c r="F191" s="155" t="s">
        <v>2629</v>
      </c>
      <c r="G191" s="168" t="s">
        <v>7</v>
      </c>
      <c r="H191" s="156" t="s">
        <v>2627</v>
      </c>
      <c r="I191" s="69" t="s">
        <v>1337</v>
      </c>
      <c r="J191" s="122">
        <v>1</v>
      </c>
      <c r="K191" s="15">
        <v>1196100</v>
      </c>
      <c r="L191" s="16">
        <f t="shared" si="18"/>
        <v>1196100</v>
      </c>
      <c r="M191" s="16">
        <f t="shared" si="17"/>
        <v>119610</v>
      </c>
      <c r="N191" s="15">
        <f t="shared" si="19"/>
        <v>1315710</v>
      </c>
      <c r="O191" s="5" t="s">
        <v>2228</v>
      </c>
      <c r="P191" s="9" t="s">
        <v>2636</v>
      </c>
      <c r="Q191" s="5">
        <v>45747</v>
      </c>
      <c r="R191" s="213"/>
    </row>
    <row r="192" spans="1:18" ht="16.5" customHeight="1">
      <c r="A192" t="s">
        <v>64</v>
      </c>
      <c r="B192" s="10" t="s">
        <v>790</v>
      </c>
      <c r="C192" s="12" t="s">
        <v>751</v>
      </c>
      <c r="D192" s="13">
        <v>45747</v>
      </c>
      <c r="E192" s="155" t="s">
        <v>2625</v>
      </c>
      <c r="F192" s="155" t="s">
        <v>2629</v>
      </c>
      <c r="G192" s="168" t="s">
        <v>7</v>
      </c>
      <c r="H192" s="156" t="s">
        <v>2627</v>
      </c>
      <c r="I192" s="69" t="s">
        <v>1330</v>
      </c>
      <c r="J192" s="122">
        <v>1</v>
      </c>
      <c r="K192" s="15">
        <v>590400</v>
      </c>
      <c r="L192" s="16">
        <f t="shared" si="18"/>
        <v>590400</v>
      </c>
      <c r="M192" s="16">
        <f t="shared" si="17"/>
        <v>59040</v>
      </c>
      <c r="N192" s="15">
        <f t="shared" si="19"/>
        <v>649440</v>
      </c>
      <c r="O192" s="5" t="s">
        <v>2228</v>
      </c>
      <c r="P192" s="9" t="s">
        <v>2636</v>
      </c>
      <c r="Q192" s="5">
        <v>45747</v>
      </c>
      <c r="R192" s="213"/>
    </row>
    <row r="193" spans="1:18" ht="16.5" customHeight="1">
      <c r="A193" t="s">
        <v>64</v>
      </c>
      <c r="B193" s="10" t="s">
        <v>533</v>
      </c>
      <c r="C193" s="12" t="s">
        <v>748</v>
      </c>
      <c r="D193" s="13">
        <v>45747</v>
      </c>
      <c r="E193" s="155" t="s">
        <v>2625</v>
      </c>
      <c r="F193" s="155" t="s">
        <v>2629</v>
      </c>
      <c r="G193" s="168" t="s">
        <v>7</v>
      </c>
      <c r="H193" s="156" t="s">
        <v>2627</v>
      </c>
      <c r="I193" s="69" t="s">
        <v>1319</v>
      </c>
      <c r="J193" s="122">
        <v>1</v>
      </c>
      <c r="K193" s="15">
        <v>289800</v>
      </c>
      <c r="L193" s="16">
        <f t="shared" si="18"/>
        <v>289800</v>
      </c>
      <c r="M193" s="16">
        <f t="shared" si="17"/>
        <v>28980</v>
      </c>
      <c r="N193" s="15">
        <f t="shared" si="19"/>
        <v>318780</v>
      </c>
      <c r="O193" s="5" t="s">
        <v>2228</v>
      </c>
      <c r="P193" s="9" t="s">
        <v>2636</v>
      </c>
      <c r="Q193" s="5">
        <v>45747</v>
      </c>
      <c r="R193" s="213"/>
    </row>
    <row r="194" spans="1:18" ht="16.5" customHeight="1">
      <c r="A194" t="s">
        <v>64</v>
      </c>
      <c r="B194" s="10" t="s">
        <v>800</v>
      </c>
      <c r="C194" s="12" t="s">
        <v>732</v>
      </c>
      <c r="D194" s="13">
        <v>45747</v>
      </c>
      <c r="E194" s="155" t="s">
        <v>2625</v>
      </c>
      <c r="F194" s="155" t="s">
        <v>801</v>
      </c>
      <c r="G194" s="168" t="s">
        <v>7</v>
      </c>
      <c r="H194" s="156" t="s">
        <v>2627</v>
      </c>
      <c r="I194" s="69" t="s">
        <v>1334</v>
      </c>
      <c r="J194" s="122">
        <v>1</v>
      </c>
      <c r="K194" s="15">
        <v>820200</v>
      </c>
      <c r="L194" s="16">
        <f t="shared" si="18"/>
        <v>820200</v>
      </c>
      <c r="M194" s="16">
        <f t="shared" si="17"/>
        <v>82020</v>
      </c>
      <c r="N194" s="15">
        <f t="shared" si="19"/>
        <v>902220</v>
      </c>
      <c r="O194" s="5" t="s">
        <v>2228</v>
      </c>
      <c r="P194" s="9" t="s">
        <v>2636</v>
      </c>
      <c r="Q194" s="5">
        <v>45747</v>
      </c>
      <c r="R194" s="213"/>
    </row>
    <row r="195" spans="1:18" ht="16.5" customHeight="1">
      <c r="A195" t="s">
        <v>64</v>
      </c>
      <c r="B195" s="10" t="s">
        <v>1250</v>
      </c>
      <c r="C195" s="12" t="s">
        <v>1251</v>
      </c>
      <c r="D195" s="13">
        <v>45747</v>
      </c>
      <c r="E195" s="155" t="s">
        <v>2625</v>
      </c>
      <c r="F195" s="155" t="s">
        <v>236</v>
      </c>
      <c r="G195" s="168" t="s">
        <v>7</v>
      </c>
      <c r="H195" s="156" t="s">
        <v>2627</v>
      </c>
      <c r="I195" s="69" t="s">
        <v>1338</v>
      </c>
      <c r="J195" s="122">
        <v>1</v>
      </c>
      <c r="K195" s="15">
        <v>1515900</v>
      </c>
      <c r="L195" s="16">
        <f t="shared" si="18"/>
        <v>1515900</v>
      </c>
      <c r="M195" s="16">
        <f t="shared" si="17"/>
        <v>151590</v>
      </c>
      <c r="N195" s="15">
        <f t="shared" si="19"/>
        <v>1667490</v>
      </c>
      <c r="O195" s="5" t="s">
        <v>2228</v>
      </c>
      <c r="P195" s="9" t="s">
        <v>2636</v>
      </c>
      <c r="Q195" s="5">
        <v>45747</v>
      </c>
      <c r="R195" s="213"/>
    </row>
    <row r="196" spans="1:18" ht="16.5" customHeight="1">
      <c r="A196" t="s">
        <v>64</v>
      </c>
      <c r="B196" s="10" t="s">
        <v>1735</v>
      </c>
      <c r="C196" s="12" t="s">
        <v>1295</v>
      </c>
      <c r="D196" s="13">
        <v>45747</v>
      </c>
      <c r="E196" s="155" t="s">
        <v>2625</v>
      </c>
      <c r="F196" s="155" t="s">
        <v>1296</v>
      </c>
      <c r="G196" s="156" t="s">
        <v>7</v>
      </c>
      <c r="H196" s="156" t="s">
        <v>2627</v>
      </c>
      <c r="I196" s="69" t="s">
        <v>1565</v>
      </c>
      <c r="J196" s="124">
        <v>1</v>
      </c>
      <c r="K196" s="15">
        <v>405600</v>
      </c>
      <c r="L196" s="16">
        <f t="shared" si="18"/>
        <v>405600</v>
      </c>
      <c r="M196" s="16">
        <f t="shared" ref="M196:M208" si="20">L196*10%</f>
        <v>40560</v>
      </c>
      <c r="N196" s="15">
        <f t="shared" si="19"/>
        <v>446160</v>
      </c>
      <c r="O196" s="5" t="s">
        <v>2228</v>
      </c>
      <c r="P196" s="9" t="s">
        <v>2636</v>
      </c>
      <c r="Q196" s="5">
        <v>45747</v>
      </c>
      <c r="R196" s="209"/>
    </row>
    <row r="197" spans="1:18" ht="16.5" customHeight="1">
      <c r="A197" t="s">
        <v>64</v>
      </c>
      <c r="B197" s="10" t="s">
        <v>1618</v>
      </c>
      <c r="C197" s="12" t="s">
        <v>1620</v>
      </c>
      <c r="D197" s="13">
        <v>45747</v>
      </c>
      <c r="E197" s="155" t="s">
        <v>2625</v>
      </c>
      <c r="F197" s="155" t="s">
        <v>226</v>
      </c>
      <c r="G197" s="156" t="s">
        <v>7</v>
      </c>
      <c r="H197" s="156" t="s">
        <v>2627</v>
      </c>
      <c r="I197" s="69" t="s">
        <v>1982</v>
      </c>
      <c r="J197" s="122">
        <v>1</v>
      </c>
      <c r="K197" s="15">
        <v>1167600</v>
      </c>
      <c r="L197" s="16">
        <f t="shared" si="18"/>
        <v>1167600</v>
      </c>
      <c r="M197" s="16">
        <f t="shared" si="20"/>
        <v>116760</v>
      </c>
      <c r="N197" s="15">
        <f t="shared" si="19"/>
        <v>1284360</v>
      </c>
      <c r="O197" s="5" t="s">
        <v>2228</v>
      </c>
      <c r="P197" s="9" t="s">
        <v>2636</v>
      </c>
      <c r="Q197" s="5">
        <v>45747</v>
      </c>
      <c r="R197" s="213" t="s">
        <v>1291</v>
      </c>
    </row>
    <row r="198" spans="1:18" ht="16.5" customHeight="1">
      <c r="A198" t="s">
        <v>64</v>
      </c>
      <c r="B198" s="10" t="s">
        <v>798</v>
      </c>
      <c r="C198" s="12" t="s">
        <v>799</v>
      </c>
      <c r="D198" s="13">
        <v>45747</v>
      </c>
      <c r="E198" s="155" t="s">
        <v>2625</v>
      </c>
      <c r="F198" s="155" t="s">
        <v>250</v>
      </c>
      <c r="G198" s="168" t="s">
        <v>7</v>
      </c>
      <c r="H198" s="156" t="s">
        <v>2627</v>
      </c>
      <c r="I198" s="69" t="s">
        <v>1329</v>
      </c>
      <c r="J198" s="122">
        <v>1</v>
      </c>
      <c r="K198" s="15">
        <v>531600</v>
      </c>
      <c r="L198" s="16">
        <f t="shared" si="18"/>
        <v>531600</v>
      </c>
      <c r="M198" s="16">
        <f t="shared" si="20"/>
        <v>53160</v>
      </c>
      <c r="N198" s="15">
        <f t="shared" si="19"/>
        <v>584760</v>
      </c>
      <c r="O198" s="5" t="s">
        <v>2228</v>
      </c>
      <c r="P198" s="9" t="s">
        <v>2636</v>
      </c>
      <c r="Q198" s="5">
        <v>45747</v>
      </c>
      <c r="R198" s="213"/>
    </row>
    <row r="199" spans="1:18" ht="16.5" customHeight="1">
      <c r="A199" t="s">
        <v>64</v>
      </c>
      <c r="B199" s="10" t="s">
        <v>802</v>
      </c>
      <c r="C199" s="12" t="s">
        <v>729</v>
      </c>
      <c r="D199" s="13">
        <v>45747</v>
      </c>
      <c r="E199" s="155" t="s">
        <v>2625</v>
      </c>
      <c r="F199" s="155" t="s">
        <v>810</v>
      </c>
      <c r="G199" s="168" t="s">
        <v>7</v>
      </c>
      <c r="H199" s="156" t="s">
        <v>2627</v>
      </c>
      <c r="I199" s="69" t="s">
        <v>1564</v>
      </c>
      <c r="J199" s="122">
        <v>1</v>
      </c>
      <c r="K199" s="15">
        <v>502800</v>
      </c>
      <c r="L199" s="16">
        <f t="shared" si="18"/>
        <v>502800</v>
      </c>
      <c r="M199" s="16">
        <f t="shared" si="20"/>
        <v>50280</v>
      </c>
      <c r="N199" s="15">
        <f t="shared" si="19"/>
        <v>553080</v>
      </c>
      <c r="O199" s="5" t="s">
        <v>2228</v>
      </c>
      <c r="P199" s="9" t="s">
        <v>2636</v>
      </c>
      <c r="Q199" s="5">
        <v>45747</v>
      </c>
      <c r="R199" s="213"/>
    </row>
    <row r="200" spans="1:18" ht="16.5" customHeight="1">
      <c r="A200" t="s">
        <v>64</v>
      </c>
      <c r="B200" s="10" t="s">
        <v>878</v>
      </c>
      <c r="C200" s="12" t="s">
        <v>727</v>
      </c>
      <c r="D200" s="13">
        <v>45747</v>
      </c>
      <c r="E200" s="155" t="s">
        <v>2625</v>
      </c>
      <c r="F200" s="155" t="s">
        <v>296</v>
      </c>
      <c r="G200" s="168" t="s">
        <v>7</v>
      </c>
      <c r="H200" s="156" t="s">
        <v>2627</v>
      </c>
      <c r="I200" s="69" t="s">
        <v>1196</v>
      </c>
      <c r="J200" s="122">
        <v>1</v>
      </c>
      <c r="K200" s="15">
        <v>1417500</v>
      </c>
      <c r="L200" s="16">
        <f t="shared" si="18"/>
        <v>1417500</v>
      </c>
      <c r="M200" s="16">
        <f t="shared" si="20"/>
        <v>141750</v>
      </c>
      <c r="N200" s="15">
        <f t="shared" si="19"/>
        <v>1559250</v>
      </c>
      <c r="O200" s="5" t="s">
        <v>2228</v>
      </c>
      <c r="P200" s="9" t="s">
        <v>2636</v>
      </c>
      <c r="Q200" s="5">
        <v>45666</v>
      </c>
      <c r="R200" s="213" t="s">
        <v>100</v>
      </c>
    </row>
    <row r="201" spans="1:18" ht="16.5" customHeight="1">
      <c r="A201" t="s">
        <v>64</v>
      </c>
      <c r="B201" s="10" t="s">
        <v>882</v>
      </c>
      <c r="C201" s="12" t="s">
        <v>730</v>
      </c>
      <c r="D201" s="13">
        <v>45747</v>
      </c>
      <c r="E201" s="155" t="s">
        <v>2625</v>
      </c>
      <c r="F201" s="155" t="s">
        <v>293</v>
      </c>
      <c r="G201" s="168" t="s">
        <v>7</v>
      </c>
      <c r="H201" s="156" t="s">
        <v>2627</v>
      </c>
      <c r="I201" s="69" t="s">
        <v>1315</v>
      </c>
      <c r="J201" s="122">
        <v>1</v>
      </c>
      <c r="K201" s="15">
        <v>243000</v>
      </c>
      <c r="L201" s="16">
        <f t="shared" si="18"/>
        <v>243000</v>
      </c>
      <c r="M201" s="15">
        <f t="shared" si="20"/>
        <v>24300</v>
      </c>
      <c r="N201" s="15">
        <f t="shared" si="19"/>
        <v>267300</v>
      </c>
      <c r="O201" s="5" t="s">
        <v>2228</v>
      </c>
      <c r="P201" s="9" t="s">
        <v>2636</v>
      </c>
      <c r="Q201" s="5">
        <v>45747</v>
      </c>
      <c r="R201" s="209"/>
    </row>
    <row r="202" spans="1:18" ht="16.5" customHeight="1">
      <c r="A202" t="s">
        <v>64</v>
      </c>
      <c r="B202" s="10" t="s">
        <v>807</v>
      </c>
      <c r="C202" s="12" t="s">
        <v>724</v>
      </c>
      <c r="D202" s="13">
        <v>45747</v>
      </c>
      <c r="E202" s="155" t="s">
        <v>2625</v>
      </c>
      <c r="F202" s="155" t="s">
        <v>221</v>
      </c>
      <c r="G202" s="168" t="s">
        <v>7</v>
      </c>
      <c r="H202" s="156" t="s">
        <v>2627</v>
      </c>
      <c r="I202" s="69" t="s">
        <v>1339</v>
      </c>
      <c r="J202" s="122">
        <v>1</v>
      </c>
      <c r="K202" s="15">
        <v>1892400</v>
      </c>
      <c r="L202" s="16">
        <f t="shared" si="18"/>
        <v>1892400</v>
      </c>
      <c r="M202" s="16">
        <f t="shared" si="20"/>
        <v>189240</v>
      </c>
      <c r="N202" s="15">
        <f t="shared" si="19"/>
        <v>2081640</v>
      </c>
      <c r="O202" s="5" t="s">
        <v>2228</v>
      </c>
      <c r="P202" s="9" t="s">
        <v>2636</v>
      </c>
      <c r="Q202" s="5">
        <v>45687</v>
      </c>
      <c r="R202" s="213" t="s">
        <v>100</v>
      </c>
    </row>
    <row r="203" spans="1:18" ht="16.5" customHeight="1">
      <c r="A203" t="s">
        <v>64</v>
      </c>
      <c r="B203" s="10" t="s">
        <v>880</v>
      </c>
      <c r="C203" s="12" t="s">
        <v>716</v>
      </c>
      <c r="D203" s="13">
        <v>45747</v>
      </c>
      <c r="E203" s="155" t="s">
        <v>2625</v>
      </c>
      <c r="F203" s="155" t="s">
        <v>101</v>
      </c>
      <c r="G203" s="168" t="s">
        <v>7</v>
      </c>
      <c r="H203" s="156" t="s">
        <v>2627</v>
      </c>
      <c r="I203" s="69" t="s">
        <v>1314</v>
      </c>
      <c r="J203" s="122">
        <v>1</v>
      </c>
      <c r="K203" s="15">
        <v>212700</v>
      </c>
      <c r="L203" s="16">
        <f t="shared" si="18"/>
        <v>212700</v>
      </c>
      <c r="M203" s="16">
        <f t="shared" si="20"/>
        <v>21270</v>
      </c>
      <c r="N203" s="15">
        <f t="shared" si="19"/>
        <v>233970</v>
      </c>
      <c r="O203" s="5" t="s">
        <v>2228</v>
      </c>
      <c r="P203" s="177" t="s">
        <v>2636</v>
      </c>
      <c r="Q203" s="5">
        <v>45681</v>
      </c>
      <c r="R203" s="213" t="s">
        <v>100</v>
      </c>
    </row>
    <row r="204" spans="1:18" ht="16.5" customHeight="1">
      <c r="A204" t="s">
        <v>64</v>
      </c>
      <c r="B204" s="10" t="s">
        <v>1164</v>
      </c>
      <c r="C204" s="12" t="s">
        <v>1165</v>
      </c>
      <c r="D204" s="13">
        <v>45747</v>
      </c>
      <c r="E204" s="155" t="s">
        <v>2625</v>
      </c>
      <c r="F204" s="155" t="s">
        <v>225</v>
      </c>
      <c r="G204" s="168" t="s">
        <v>7</v>
      </c>
      <c r="H204" s="156" t="s">
        <v>2627</v>
      </c>
      <c r="I204" s="69" t="s">
        <v>1304</v>
      </c>
      <c r="J204" s="122">
        <v>1</v>
      </c>
      <c r="K204" s="15">
        <v>149400</v>
      </c>
      <c r="L204" s="16">
        <f t="shared" si="18"/>
        <v>149400</v>
      </c>
      <c r="M204" s="15">
        <f t="shared" si="20"/>
        <v>14940</v>
      </c>
      <c r="N204" s="15">
        <f t="shared" si="19"/>
        <v>164340</v>
      </c>
      <c r="O204" s="5" t="s">
        <v>2228</v>
      </c>
      <c r="P204" s="9" t="s">
        <v>2636</v>
      </c>
      <c r="Q204" s="5">
        <v>45716</v>
      </c>
      <c r="R204" s="209" t="s">
        <v>100</v>
      </c>
    </row>
    <row r="205" spans="1:18" ht="16.5" customHeight="1">
      <c r="A205" t="s">
        <v>64</v>
      </c>
      <c r="B205" s="10" t="s">
        <v>876</v>
      </c>
      <c r="C205" s="12" t="s">
        <v>865</v>
      </c>
      <c r="D205" s="13">
        <v>45747</v>
      </c>
      <c r="E205" s="155" t="s">
        <v>2625</v>
      </c>
      <c r="F205" s="155" t="s">
        <v>220</v>
      </c>
      <c r="G205" s="168" t="s">
        <v>7</v>
      </c>
      <c r="H205" s="156" t="s">
        <v>2627</v>
      </c>
      <c r="I205" s="69" t="s">
        <v>1312</v>
      </c>
      <c r="J205" s="122">
        <v>1</v>
      </c>
      <c r="K205" s="15">
        <v>180600</v>
      </c>
      <c r="L205" s="16">
        <f t="shared" si="18"/>
        <v>180600</v>
      </c>
      <c r="M205" s="16">
        <f t="shared" si="20"/>
        <v>18060</v>
      </c>
      <c r="N205" s="15">
        <f t="shared" si="19"/>
        <v>198660</v>
      </c>
      <c r="O205" s="5" t="s">
        <v>2228</v>
      </c>
      <c r="P205" s="9" t="s">
        <v>2636</v>
      </c>
      <c r="Q205" s="5">
        <v>45747</v>
      </c>
      <c r="R205" s="213"/>
    </row>
    <row r="206" spans="1:18" ht="16.5" customHeight="1">
      <c r="A206" t="s">
        <v>64</v>
      </c>
      <c r="B206" s="10" t="s">
        <v>930</v>
      </c>
      <c r="C206" s="12" t="s">
        <v>898</v>
      </c>
      <c r="D206" s="13">
        <v>45747</v>
      </c>
      <c r="E206" s="155" t="s">
        <v>2625</v>
      </c>
      <c r="F206" s="155" t="s">
        <v>13</v>
      </c>
      <c r="G206" s="168" t="s">
        <v>7</v>
      </c>
      <c r="H206" s="156" t="s">
        <v>2627</v>
      </c>
      <c r="I206" s="69" t="s">
        <v>1300</v>
      </c>
      <c r="J206" s="122">
        <v>1</v>
      </c>
      <c r="K206" s="15">
        <v>65700</v>
      </c>
      <c r="L206" s="16">
        <f t="shared" si="18"/>
        <v>65700</v>
      </c>
      <c r="M206" s="16">
        <f t="shared" si="20"/>
        <v>6570</v>
      </c>
      <c r="N206" s="15">
        <f t="shared" si="19"/>
        <v>72270</v>
      </c>
      <c r="O206" s="5" t="s">
        <v>2228</v>
      </c>
      <c r="P206" s="9" t="s">
        <v>2636</v>
      </c>
      <c r="Q206" s="5">
        <v>45700</v>
      </c>
      <c r="R206" s="213" t="s">
        <v>100</v>
      </c>
    </row>
    <row r="207" spans="1:18" ht="16.5" customHeight="1">
      <c r="A207" t="s">
        <v>64</v>
      </c>
      <c r="B207" s="10" t="s">
        <v>1052</v>
      </c>
      <c r="C207" s="12" t="s">
        <v>985</v>
      </c>
      <c r="D207" s="13">
        <v>45747</v>
      </c>
      <c r="E207" s="155" t="s">
        <v>2625</v>
      </c>
      <c r="F207" s="155" t="s">
        <v>2629</v>
      </c>
      <c r="G207" s="168" t="s">
        <v>7</v>
      </c>
      <c r="H207" s="156" t="s">
        <v>2627</v>
      </c>
      <c r="I207" s="69" t="s">
        <v>1325</v>
      </c>
      <c r="J207" s="122">
        <v>1</v>
      </c>
      <c r="K207" s="15">
        <v>496800</v>
      </c>
      <c r="L207" s="16">
        <f t="shared" si="18"/>
        <v>496800</v>
      </c>
      <c r="M207" s="16">
        <f t="shared" si="20"/>
        <v>49680</v>
      </c>
      <c r="N207" s="15">
        <f t="shared" si="19"/>
        <v>546480</v>
      </c>
      <c r="O207" s="5" t="s">
        <v>2228</v>
      </c>
      <c r="P207" s="9" t="s">
        <v>2636</v>
      </c>
      <c r="Q207" s="5">
        <v>45747</v>
      </c>
      <c r="R207" s="213"/>
    </row>
    <row r="208" spans="1:18" ht="16.5" customHeight="1">
      <c r="A208" t="s">
        <v>64</v>
      </c>
      <c r="B208" s="10"/>
      <c r="C208" s="12"/>
      <c r="D208" s="13"/>
      <c r="E208" s="155"/>
      <c r="F208" s="155"/>
      <c r="G208" s="156"/>
      <c r="H208" s="156"/>
      <c r="I208" s="69"/>
      <c r="J208" s="122"/>
      <c r="K208" s="15"/>
      <c r="L208" s="16">
        <f t="shared" si="18"/>
        <v>0</v>
      </c>
      <c r="M208" s="16">
        <f t="shared" si="20"/>
        <v>0</v>
      </c>
      <c r="N208" s="15">
        <f t="shared" si="19"/>
        <v>0</v>
      </c>
      <c r="O208" s="5"/>
      <c r="P208" s="9"/>
      <c r="Q208" s="5"/>
      <c r="R208" s="213"/>
    </row>
    <row r="209" spans="1:20" ht="16.5" customHeight="1">
      <c r="A209" t="s">
        <v>64</v>
      </c>
      <c r="B209" s="10"/>
      <c r="C209" s="12"/>
      <c r="D209" s="6"/>
      <c r="E209" s="163"/>
      <c r="F209" s="163"/>
      <c r="G209" s="169"/>
      <c r="H209" s="169"/>
      <c r="I209" s="163"/>
      <c r="J209" s="127"/>
      <c r="K209" s="15"/>
      <c r="L209" s="16">
        <f t="shared" ref="L209" si="21">J209*K209</f>
        <v>0</v>
      </c>
      <c r="M209" s="16">
        <f>ROUNDDOWN(L209*10%,0)</f>
        <v>0</v>
      </c>
      <c r="N209" s="15">
        <f t="shared" ref="N209" si="22">SUM(L209:M209)</f>
        <v>0</v>
      </c>
      <c r="O209" s="5"/>
      <c r="P209" s="9"/>
      <c r="Q209" s="5"/>
      <c r="R209" s="209"/>
    </row>
    <row r="210" spans="1:20" ht="30.75" customHeight="1" thickBot="1">
      <c r="A210" t="s">
        <v>64</v>
      </c>
      <c r="B210" s="262" t="s">
        <v>24</v>
      </c>
      <c r="C210" s="263"/>
      <c r="D210" s="263"/>
      <c r="E210" s="263"/>
      <c r="F210" s="263"/>
      <c r="G210" s="263"/>
      <c r="H210" s="263"/>
      <c r="I210" s="264"/>
      <c r="J210" s="128"/>
      <c r="K210" s="129"/>
      <c r="L210" s="130">
        <f>SUM(L5:L209)</f>
        <v>366789249.36363637</v>
      </c>
      <c r="M210" s="130">
        <f>SUM(M5:M209)</f>
        <v>36493121.936363637</v>
      </c>
      <c r="N210" s="130">
        <f>SUM(N5:N209)</f>
        <v>403282371.30000001</v>
      </c>
      <c r="O210" s="97"/>
      <c r="P210" s="178"/>
      <c r="Q210" s="97"/>
      <c r="R210" s="180"/>
    </row>
    <row r="211" spans="1:20" ht="16.5" customHeight="1">
      <c r="D211" s="236">
        <f>COUNTA(D5:D209)</f>
        <v>194</v>
      </c>
    </row>
    <row r="212" spans="1:20" ht="16.5" customHeight="1">
      <c r="K212" s="17" t="s">
        <v>46</v>
      </c>
      <c r="L212" s="131">
        <f>SUBTOTAL(109,L5:L209)</f>
        <v>366789249.36363637</v>
      </c>
      <c r="M212" s="131">
        <f>SUBTOTAL(109,M5:M209)</f>
        <v>36493121.936363637</v>
      </c>
      <c r="N212" s="131">
        <f>SUBTOTAL(109,N5:N209)</f>
        <v>402631501.30000001</v>
      </c>
    </row>
    <row r="213" spans="1:20" ht="16.5" customHeight="1">
      <c r="E213" t="s">
        <v>62</v>
      </c>
    </row>
    <row r="214" spans="1:20" s="66" customFormat="1" ht="16.5" customHeight="1">
      <c r="A214"/>
      <c r="B214" s="1"/>
      <c r="C214"/>
      <c r="D214" s="96"/>
      <c r="E214" t="s">
        <v>7</v>
      </c>
      <c r="F214" s="11">
        <f t="shared" ref="F214:F225" si="23">SUMIF($G$5:$G$209,E214,$L$5:$L$209)</f>
        <v>184763947</v>
      </c>
      <c r="G214" s="1"/>
      <c r="H214" s="1"/>
      <c r="I214"/>
      <c r="J214" s="17"/>
      <c r="K214" s="190" t="s">
        <v>42</v>
      </c>
      <c r="L214" s="17">
        <v>364931378.36363637</v>
      </c>
      <c r="M214" s="17">
        <v>36493121.936363637</v>
      </c>
      <c r="N214" s="17">
        <v>401424500.30000001</v>
      </c>
      <c r="O214" s="96"/>
      <c r="P214"/>
      <c r="Q214" s="96"/>
      <c r="R214"/>
      <c r="S214"/>
      <c r="T214"/>
    </row>
    <row r="215" spans="1:20" s="66" customFormat="1">
      <c r="A215"/>
      <c r="B215" s="1"/>
      <c r="C215"/>
      <c r="D215" s="96"/>
      <c r="E215" t="s">
        <v>16</v>
      </c>
      <c r="F215" s="11">
        <f t="shared" si="23"/>
        <v>11840700</v>
      </c>
      <c r="G215" s="1"/>
      <c r="H215" s="1"/>
      <c r="I215"/>
      <c r="J215" s="17"/>
      <c r="K215" s="190" t="s">
        <v>43</v>
      </c>
      <c r="L215" s="17">
        <v>1857871</v>
      </c>
      <c r="M215" s="17">
        <v>0</v>
      </c>
      <c r="N215" s="17">
        <v>1857871</v>
      </c>
      <c r="O215" s="96"/>
      <c r="P215"/>
      <c r="Q215" s="96"/>
      <c r="R215"/>
      <c r="S215"/>
      <c r="T215"/>
    </row>
    <row r="216" spans="1:20" s="66" customFormat="1">
      <c r="A216"/>
      <c r="B216" s="1"/>
      <c r="C216"/>
      <c r="D216" s="96"/>
      <c r="E216" t="s">
        <v>28</v>
      </c>
      <c r="F216" s="11">
        <f t="shared" si="23"/>
        <v>0</v>
      </c>
      <c r="G216" s="1"/>
      <c r="H216" s="1"/>
      <c r="I216"/>
      <c r="J216" s="17"/>
      <c r="K216" s="190" t="s">
        <v>55</v>
      </c>
      <c r="L216" s="17">
        <f>SUBTOTAL(9,L214:L215)</f>
        <v>366789249.36363637</v>
      </c>
      <c r="M216" s="17">
        <f t="shared" ref="M216:N216" si="24">SUBTOTAL(9,M214:M215)</f>
        <v>36493121.936363637</v>
      </c>
      <c r="N216" s="17">
        <f t="shared" si="24"/>
        <v>403282371.30000001</v>
      </c>
      <c r="O216" s="96"/>
      <c r="P216"/>
      <c r="Q216" s="96"/>
      <c r="R216"/>
      <c r="S216"/>
      <c r="T216"/>
    </row>
    <row r="217" spans="1:20" s="66" customFormat="1">
      <c r="A217"/>
      <c r="B217" s="1"/>
      <c r="C217"/>
      <c r="D217" s="96"/>
      <c r="E217" t="s">
        <v>15</v>
      </c>
      <c r="F217" s="11">
        <f t="shared" si="23"/>
        <v>0</v>
      </c>
      <c r="G217" s="1"/>
      <c r="H217" s="1"/>
      <c r="I217"/>
      <c r="J217" s="17"/>
      <c r="K217" s="17"/>
      <c r="L217" s="17"/>
      <c r="M217" s="17"/>
      <c r="N217" s="17"/>
      <c r="O217" s="96"/>
      <c r="P217"/>
      <c r="Q217" s="96"/>
      <c r="R217"/>
      <c r="S217"/>
      <c r="T217"/>
    </row>
    <row r="218" spans="1:20" s="66" customFormat="1">
      <c r="A218"/>
      <c r="B218" s="1"/>
      <c r="C218"/>
      <c r="D218" s="96"/>
      <c r="E218" t="s">
        <v>27</v>
      </c>
      <c r="F218" s="11">
        <f t="shared" si="23"/>
        <v>0</v>
      </c>
      <c r="G218" s="1"/>
      <c r="H218" s="1"/>
      <c r="I218"/>
      <c r="J218" s="17"/>
      <c r="K218" s="17"/>
      <c r="L218" s="131"/>
      <c r="M218" s="131"/>
      <c r="N218" s="131"/>
      <c r="O218" s="96"/>
      <c r="P218"/>
      <c r="Q218" s="96"/>
      <c r="R218"/>
      <c r="S218"/>
      <c r="T218"/>
    </row>
    <row r="219" spans="1:20" s="66" customFormat="1">
      <c r="A219"/>
      <c r="B219" s="1"/>
      <c r="C219"/>
      <c r="D219" s="96"/>
      <c r="E219" t="s">
        <v>41</v>
      </c>
      <c r="F219" s="11">
        <f t="shared" si="23"/>
        <v>49197387.363636367</v>
      </c>
      <c r="G219" s="1"/>
      <c r="H219" s="1"/>
      <c r="I219"/>
      <c r="J219" s="17"/>
      <c r="K219" s="17"/>
      <c r="L219" s="17"/>
      <c r="M219" s="17"/>
      <c r="N219" s="131"/>
      <c r="O219" s="96"/>
      <c r="P219"/>
      <c r="Q219" s="96"/>
      <c r="R219"/>
      <c r="S219"/>
      <c r="T219"/>
    </row>
    <row r="220" spans="1:20" s="66" customFormat="1">
      <c r="A220"/>
      <c r="B220" s="1"/>
      <c r="C220"/>
      <c r="D220" s="96"/>
      <c r="E220" t="s">
        <v>25</v>
      </c>
      <c r="F220" s="11">
        <f t="shared" si="23"/>
        <v>0</v>
      </c>
      <c r="G220" s="1"/>
      <c r="H220" s="1"/>
      <c r="I220"/>
      <c r="J220" s="17"/>
      <c r="K220" s="17"/>
      <c r="L220" s="17"/>
      <c r="M220" s="17"/>
      <c r="N220" s="131"/>
      <c r="O220" s="96"/>
      <c r="P220"/>
      <c r="Q220" s="96"/>
      <c r="R220"/>
      <c r="S220"/>
      <c r="T220"/>
    </row>
    <row r="221" spans="1:20" s="66" customFormat="1">
      <c r="A221"/>
      <c r="B221" s="1"/>
      <c r="C221"/>
      <c r="D221" s="96"/>
      <c r="E221" t="s">
        <v>36</v>
      </c>
      <c r="F221" s="11">
        <f t="shared" si="23"/>
        <v>0</v>
      </c>
      <c r="G221" s="1"/>
      <c r="H221" s="1"/>
      <c r="I221"/>
      <c r="J221" s="17"/>
      <c r="K221" s="17"/>
      <c r="L221" s="17"/>
      <c r="M221" s="17"/>
      <c r="N221" s="17"/>
      <c r="O221" s="96"/>
      <c r="P221"/>
      <c r="Q221" s="96"/>
      <c r="R221"/>
      <c r="S221"/>
      <c r="T221"/>
    </row>
    <row r="222" spans="1:20" s="66" customFormat="1">
      <c r="A222"/>
      <c r="B222" s="1"/>
      <c r="C222"/>
      <c r="D222" s="96"/>
      <c r="E222" t="s">
        <v>30</v>
      </c>
      <c r="F222" s="11">
        <f t="shared" si="23"/>
        <v>120987215</v>
      </c>
      <c r="G222" s="1"/>
      <c r="H222" s="1"/>
      <c r="I222"/>
      <c r="J222" s="17"/>
      <c r="K222" s="17"/>
      <c r="L222" s="17"/>
      <c r="M222" s="17"/>
      <c r="N222" s="17"/>
      <c r="O222" s="96"/>
      <c r="P222"/>
      <c r="Q222" s="96"/>
      <c r="R222"/>
      <c r="S222"/>
      <c r="T222"/>
    </row>
    <row r="223" spans="1:20" s="66" customFormat="1">
      <c r="A223"/>
      <c r="B223" s="1"/>
      <c r="C223"/>
      <c r="D223" s="96"/>
      <c r="E223" t="s">
        <v>37</v>
      </c>
      <c r="F223" s="11">
        <f t="shared" si="23"/>
        <v>0</v>
      </c>
      <c r="G223" s="1"/>
      <c r="H223" s="1"/>
      <c r="I223"/>
      <c r="J223" s="17"/>
      <c r="K223" s="17"/>
      <c r="L223" s="17"/>
      <c r="M223" s="17"/>
      <c r="N223" s="17"/>
      <c r="O223" s="96"/>
      <c r="P223"/>
      <c r="Q223" s="96"/>
      <c r="R223"/>
      <c r="S223"/>
      <c r="T223"/>
    </row>
    <row r="224" spans="1:20" s="66" customFormat="1">
      <c r="A224"/>
      <c r="B224" s="1"/>
      <c r="C224"/>
      <c r="D224" s="96"/>
      <c r="E224" t="s">
        <v>35</v>
      </c>
      <c r="F224" s="11">
        <f t="shared" si="23"/>
        <v>0</v>
      </c>
      <c r="G224" s="1"/>
      <c r="H224" s="1"/>
      <c r="I224"/>
      <c r="J224" s="17"/>
      <c r="K224" s="17"/>
      <c r="L224" s="17"/>
      <c r="M224" s="17"/>
      <c r="N224" s="17"/>
      <c r="O224" s="96"/>
      <c r="P224"/>
      <c r="Q224" s="96"/>
      <c r="R224"/>
      <c r="S224"/>
      <c r="T224"/>
    </row>
    <row r="225" spans="1:20" s="66" customFormat="1">
      <c r="A225"/>
      <c r="B225" s="1"/>
      <c r="C225"/>
      <c r="D225" s="96"/>
      <c r="E225" t="s">
        <v>80</v>
      </c>
      <c r="F225" s="11">
        <f t="shared" si="23"/>
        <v>0</v>
      </c>
      <c r="G225" s="1"/>
      <c r="H225" s="1"/>
      <c r="I225"/>
      <c r="J225" s="17"/>
      <c r="K225" s="17"/>
      <c r="L225" s="17"/>
      <c r="M225" s="17"/>
      <c r="N225" s="17"/>
      <c r="O225" s="96"/>
      <c r="P225"/>
      <c r="Q225" s="96"/>
      <c r="R225"/>
      <c r="S225"/>
      <c r="T225"/>
    </row>
    <row r="226" spans="1:20" s="66" customFormat="1">
      <c r="A226"/>
      <c r="B226" s="1"/>
      <c r="C226"/>
      <c r="D226" s="96"/>
      <c r="E226" s="171" t="s">
        <v>92</v>
      </c>
      <c r="F226" s="18">
        <f>SUM(F214:F225)</f>
        <v>366789249.36363637</v>
      </c>
      <c r="G226" s="1"/>
      <c r="H226" s="1"/>
      <c r="I226"/>
      <c r="J226" s="17"/>
      <c r="K226" s="17"/>
      <c r="L226" s="17"/>
      <c r="M226" s="17"/>
      <c r="N226" s="131"/>
      <c r="O226" s="96"/>
      <c r="P226"/>
      <c r="Q226" s="96"/>
      <c r="R226"/>
      <c r="S226"/>
      <c r="T226"/>
    </row>
    <row r="227" spans="1:20" s="66" customFormat="1">
      <c r="A227"/>
      <c r="B227" s="1"/>
      <c r="C227"/>
      <c r="D227" s="96"/>
      <c r="E227" s="171" t="s">
        <v>93</v>
      </c>
      <c r="F227" s="18">
        <f>F226-F225</f>
        <v>366789249.36363637</v>
      </c>
      <c r="G227" s="1"/>
      <c r="H227" s="1"/>
      <c r="I227"/>
      <c r="J227" s="17"/>
      <c r="K227" s="17"/>
      <c r="L227" s="131"/>
      <c r="M227" s="131"/>
      <c r="N227" s="131"/>
      <c r="O227" s="96"/>
      <c r="P227"/>
      <c r="Q227" s="96"/>
      <c r="R227"/>
      <c r="S227"/>
      <c r="T227"/>
    </row>
    <row r="228" spans="1:20" s="66" customFormat="1">
      <c r="A228"/>
      <c r="B228" s="1"/>
      <c r="C228"/>
      <c r="D228" s="96"/>
      <c r="E228" s="171"/>
      <c r="F228" s="172"/>
      <c r="G228" s="1"/>
      <c r="H228" s="1"/>
      <c r="I228"/>
      <c r="J228" s="17"/>
      <c r="K228" s="17"/>
      <c r="L228" s="17"/>
      <c r="M228" s="17"/>
      <c r="N228" s="17"/>
      <c r="O228" s="96"/>
      <c r="P228"/>
      <c r="Q228" s="96"/>
      <c r="R228"/>
      <c r="S228"/>
      <c r="T228"/>
    </row>
    <row r="229" spans="1:20" s="66" customFormat="1">
      <c r="A229"/>
      <c r="B229" s="1"/>
      <c r="C229"/>
      <c r="D229" s="96"/>
      <c r="E229"/>
      <c r="F229"/>
      <c r="G229" s="1"/>
      <c r="H229" s="1"/>
      <c r="I229"/>
      <c r="J229" s="17"/>
      <c r="K229" s="17"/>
      <c r="L229" s="131">
        <f>SUBTOTAL(9,L6:L207)</f>
        <v>366718249.36363637</v>
      </c>
      <c r="M229" s="17"/>
      <c r="N229" s="17"/>
      <c r="O229" s="96"/>
      <c r="P229"/>
      <c r="Q229" s="96"/>
      <c r="R229"/>
      <c r="S229"/>
      <c r="T229"/>
    </row>
    <row r="230" spans="1:20">
      <c r="L230" s="191"/>
      <c r="M230" s="191"/>
      <c r="N230" s="191"/>
      <c r="O230" s="98"/>
    </row>
    <row r="231" spans="1:20">
      <c r="F231" s="170"/>
      <c r="L231" s="191"/>
      <c r="M231" s="191"/>
      <c r="N231" s="191"/>
      <c r="O231" s="98"/>
    </row>
    <row r="232" spans="1:20">
      <c r="F232" s="170"/>
      <c r="L232" s="192"/>
      <c r="M232" s="192"/>
      <c r="N232" s="192"/>
      <c r="O232" s="98"/>
    </row>
    <row r="233" spans="1:20" s="1" customFormat="1">
      <c r="C233"/>
      <c r="D233" s="96"/>
      <c r="E233"/>
      <c r="F233"/>
      <c r="I233"/>
      <c r="J233" s="17"/>
      <c r="K233" s="17"/>
      <c r="L233" s="17"/>
      <c r="M233" s="17"/>
      <c r="N233" s="131"/>
      <c r="O233" s="96"/>
      <c r="P233"/>
      <c r="Q233" s="96"/>
      <c r="R233"/>
    </row>
    <row r="234" spans="1:20">
      <c r="N234" s="131"/>
    </row>
    <row r="235" spans="1:20">
      <c r="N235" s="131"/>
    </row>
    <row r="236" spans="1:20">
      <c r="N236" s="131"/>
    </row>
    <row r="237" spans="1:20">
      <c r="N237" s="131"/>
    </row>
    <row r="238" spans="1:20">
      <c r="N238" s="193"/>
    </row>
    <row r="239" spans="1:20">
      <c r="F239" s="170"/>
      <c r="N239" s="193"/>
    </row>
    <row r="240" spans="1:20" s="66" customFormat="1">
      <c r="A240"/>
      <c r="B240" s="1"/>
      <c r="C240"/>
      <c r="D240" s="96"/>
      <c r="E240"/>
      <c r="F240" s="170"/>
      <c r="G240" s="1"/>
      <c r="H240" s="1"/>
      <c r="I240"/>
      <c r="J240" s="17"/>
      <c r="K240" s="17"/>
      <c r="L240" s="17"/>
      <c r="M240" s="17"/>
      <c r="N240" s="193"/>
      <c r="O240" s="96"/>
      <c r="P240"/>
      <c r="Q240" s="96"/>
      <c r="R240"/>
      <c r="S240"/>
      <c r="T240"/>
    </row>
    <row r="241" spans="1:20" s="66" customFormat="1">
      <c r="A241"/>
      <c r="B241" s="1"/>
      <c r="C241"/>
      <c r="D241" s="96"/>
      <c r="E241"/>
      <c r="F241" s="170"/>
      <c r="G241" s="1"/>
      <c r="H241" s="1"/>
      <c r="I241"/>
      <c r="J241" s="17"/>
      <c r="K241" s="17"/>
      <c r="L241" s="194"/>
      <c r="M241" s="194"/>
      <c r="N241" s="195"/>
      <c r="O241" s="96"/>
      <c r="P241"/>
      <c r="Q241" s="96"/>
      <c r="R241"/>
      <c r="S241"/>
      <c r="T241"/>
    </row>
    <row r="242" spans="1:20" s="66" customFormat="1">
      <c r="A242"/>
      <c r="B242" s="1"/>
      <c r="C242"/>
      <c r="D242" s="96"/>
      <c r="E242"/>
      <c r="F242" s="170"/>
      <c r="G242" s="1"/>
      <c r="H242" s="1"/>
      <c r="I242"/>
      <c r="J242" s="17"/>
      <c r="K242" s="17"/>
      <c r="L242" s="131"/>
      <c r="M242" s="131"/>
      <c r="N242" s="193"/>
      <c r="O242" s="96"/>
      <c r="P242"/>
      <c r="Q242" s="96"/>
      <c r="R242"/>
      <c r="S242"/>
      <c r="T242"/>
    </row>
    <row r="243" spans="1:20" s="66" customFormat="1">
      <c r="A243"/>
      <c r="B243" s="1"/>
      <c r="C243"/>
      <c r="D243" s="96"/>
      <c r="E243"/>
      <c r="F243"/>
      <c r="G243" s="1"/>
      <c r="H243" s="1"/>
      <c r="I243"/>
      <c r="J243" s="17"/>
      <c r="K243" s="17"/>
      <c r="L243" s="131"/>
      <c r="M243" s="131"/>
      <c r="N243" s="193"/>
      <c r="O243" s="96"/>
      <c r="P243"/>
      <c r="Q243" s="96"/>
      <c r="R243"/>
      <c r="S243"/>
      <c r="T243"/>
    </row>
    <row r="244" spans="1:20" s="66" customFormat="1">
      <c r="A244"/>
      <c r="B244" s="1"/>
      <c r="C244"/>
      <c r="D244" s="96"/>
      <c r="E244"/>
      <c r="F244"/>
      <c r="G244" s="1"/>
      <c r="H244" s="1"/>
      <c r="I244"/>
      <c r="J244" s="17"/>
      <c r="K244" s="17"/>
      <c r="L244" s="17"/>
      <c r="M244" s="17"/>
      <c r="N244" s="193"/>
      <c r="O244" s="96"/>
      <c r="P244"/>
      <c r="Q244" s="96"/>
      <c r="R244"/>
      <c r="S244"/>
      <c r="T244"/>
    </row>
    <row r="245" spans="1:20" s="66" customFormat="1">
      <c r="A245"/>
      <c r="B245" s="1"/>
      <c r="C245"/>
      <c r="D245" s="96"/>
      <c r="E245"/>
      <c r="F245"/>
      <c r="G245" s="1"/>
      <c r="H245" s="1"/>
      <c r="I245"/>
      <c r="J245" s="17"/>
      <c r="K245" s="17"/>
      <c r="L245" s="17"/>
      <c r="M245" s="17"/>
      <c r="N245" s="17"/>
      <c r="O245" s="96"/>
      <c r="P245"/>
      <c r="Q245" s="96"/>
      <c r="R245"/>
      <c r="S245"/>
      <c r="T245"/>
    </row>
    <row r="246" spans="1:20" s="66" customFormat="1">
      <c r="A246"/>
      <c r="B246" s="1"/>
      <c r="C246"/>
      <c r="D246" s="96"/>
      <c r="E246"/>
      <c r="F246"/>
      <c r="G246" s="1"/>
      <c r="H246" s="1"/>
      <c r="I246"/>
      <c r="J246" s="17"/>
      <c r="K246" s="17"/>
      <c r="L246" s="17"/>
      <c r="M246" s="17"/>
      <c r="N246" s="17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/>
      <c r="F247"/>
      <c r="G247" s="1"/>
      <c r="H247" s="1"/>
      <c r="I247"/>
      <c r="J247" s="17"/>
      <c r="K247" s="17"/>
      <c r="L247" s="17"/>
      <c r="M247" s="17"/>
      <c r="N247" s="17"/>
      <c r="O247" s="96"/>
      <c r="P247"/>
      <c r="Q247" s="96"/>
      <c r="R247"/>
      <c r="S247"/>
      <c r="T247"/>
    </row>
    <row r="250" spans="1:20" s="66" customFormat="1">
      <c r="A250"/>
      <c r="B250" s="1"/>
      <c r="C250"/>
      <c r="D250" s="96"/>
      <c r="E250"/>
      <c r="F250"/>
      <c r="G250" s="1"/>
      <c r="H250" s="1"/>
      <c r="I250"/>
      <c r="J250" s="17"/>
      <c r="K250" s="17"/>
      <c r="L250" s="17"/>
      <c r="M250" s="17"/>
      <c r="N250" s="17"/>
      <c r="O250" s="96"/>
      <c r="P250"/>
      <c r="Q250" s="96"/>
      <c r="R250"/>
      <c r="S250"/>
      <c r="T250"/>
    </row>
    <row r="251" spans="1:20" s="66" customFormat="1">
      <c r="A251"/>
      <c r="B251" s="1"/>
      <c r="C251"/>
      <c r="D251" s="96"/>
      <c r="E251"/>
      <c r="F251"/>
      <c r="G251" s="1"/>
      <c r="H251" s="1"/>
      <c r="I251"/>
      <c r="J251" s="17"/>
      <c r="K251" s="17"/>
      <c r="L251" s="17"/>
      <c r="M251" s="17"/>
      <c r="N251" s="17"/>
      <c r="O251" s="96"/>
      <c r="P251"/>
      <c r="Q251" s="96"/>
      <c r="R251"/>
      <c r="S251"/>
      <c r="T251"/>
    </row>
    <row r="252" spans="1:20" s="66" customFormat="1">
      <c r="A252"/>
      <c r="B252" s="1"/>
      <c r="C252"/>
      <c r="D252" s="96"/>
      <c r="E252"/>
      <c r="F252"/>
      <c r="G252" s="1"/>
      <c r="H252" s="1"/>
      <c r="I252"/>
      <c r="J252" s="17"/>
      <c r="K252" s="17"/>
      <c r="L252" s="17"/>
      <c r="M252" s="17"/>
      <c r="N252" s="17"/>
      <c r="O252" s="96"/>
      <c r="P252"/>
      <c r="Q252" s="96"/>
      <c r="R252"/>
      <c r="S252"/>
      <c r="T252"/>
    </row>
    <row r="253" spans="1:20" s="66" customFormat="1">
      <c r="A253"/>
      <c r="B253" s="1"/>
      <c r="C253"/>
      <c r="D253" s="96"/>
      <c r="E253"/>
      <c r="F253"/>
      <c r="G253" s="1"/>
      <c r="H253" s="1"/>
      <c r="I253"/>
      <c r="J253" s="17"/>
      <c r="K253" s="17"/>
      <c r="L253" s="17"/>
      <c r="M253" s="17"/>
      <c r="N253" s="17"/>
      <c r="O253" s="96"/>
      <c r="P253"/>
      <c r="Q253" s="96"/>
      <c r="R253"/>
      <c r="S253"/>
      <c r="T253"/>
    </row>
    <row r="254" spans="1:20" s="66" customFormat="1">
      <c r="A254"/>
      <c r="B254" s="1"/>
      <c r="C254"/>
      <c r="D254" s="96"/>
      <c r="E254"/>
      <c r="F254"/>
      <c r="G254" s="1"/>
      <c r="H254" s="1"/>
      <c r="I254"/>
      <c r="J254" s="17"/>
      <c r="K254" s="17"/>
      <c r="L254" s="17"/>
      <c r="M254" s="17"/>
      <c r="N254" s="17"/>
      <c r="O254" s="96"/>
      <c r="P254"/>
      <c r="Q254" s="96"/>
      <c r="R254"/>
      <c r="S254"/>
      <c r="T254"/>
    </row>
    <row r="255" spans="1:20" s="66" customFormat="1">
      <c r="A255"/>
      <c r="B255" s="1"/>
      <c r="C255"/>
      <c r="D255" s="96"/>
      <c r="E255"/>
      <c r="F255"/>
      <c r="G255" s="1"/>
      <c r="H255" s="1"/>
      <c r="I255"/>
      <c r="J255" s="17"/>
      <c r="K255" s="17"/>
      <c r="L255" s="17"/>
      <c r="M255" s="17"/>
      <c r="N255" s="17"/>
      <c r="O255" s="96"/>
      <c r="P255"/>
      <c r="Q255" s="96"/>
      <c r="R255"/>
      <c r="S255"/>
      <c r="T255"/>
    </row>
  </sheetData>
  <autoFilter ref="A4:V227" xr:uid="{7742D7CC-CF21-460A-AB96-09C5EC760502}"/>
  <dataConsolidate/>
  <mergeCells count="15">
    <mergeCell ref="Q3:Q4"/>
    <mergeCell ref="R3:R4"/>
    <mergeCell ref="B210:I210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F85A-5EC1-4C06-9EFB-D1FC1A805719}">
  <sheetPr codeName="Sheet5">
    <pageSetUpPr fitToPage="1"/>
  </sheetPr>
  <dimension ref="A1:V257"/>
  <sheetViews>
    <sheetView zoomScaleNormal="100" workbookViewId="0">
      <pane ySplit="4" topLeftCell="A200" activePane="bottomLeft" state="frozen"/>
      <selection activeCell="F228" sqref="F228"/>
      <selection pane="bottomLeft" activeCell="Q2" sqref="Q2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8" ht="26.25">
      <c r="B1" s="136" t="str">
        <f>"["&amp;YEAR(D5)&amp;"년 "&amp;MONTH(D5)&amp;"월 매입]"</f>
        <v>[2025년 4월 매입]</v>
      </c>
      <c r="C1" s="136"/>
      <c r="E1" s="202"/>
      <c r="O1" s="95"/>
    </row>
    <row r="2" spans="1:18" ht="17.25" thickBot="1">
      <c r="B2" s="137"/>
      <c r="C2" s="138"/>
      <c r="M2" s="17" t="s">
        <v>109</v>
      </c>
      <c r="O2" s="243" t="s">
        <v>1843</v>
      </c>
      <c r="Q2" s="243" t="s">
        <v>2277</v>
      </c>
    </row>
    <row r="3" spans="1:18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8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186" t="s">
        <v>18</v>
      </c>
      <c r="O4" s="274"/>
      <c r="P4" s="276"/>
      <c r="Q4" s="259"/>
      <c r="R4" s="261"/>
    </row>
    <row r="5" spans="1:18" ht="16.5" customHeight="1">
      <c r="A5" t="s">
        <v>64</v>
      </c>
      <c r="B5" s="10" t="s">
        <v>144</v>
      </c>
      <c r="C5" s="12"/>
      <c r="D5" s="13">
        <v>45748</v>
      </c>
      <c r="E5" s="155" t="s">
        <v>167</v>
      </c>
      <c r="F5" s="155"/>
      <c r="G5" s="156" t="s">
        <v>30</v>
      </c>
      <c r="H5" s="156" t="s">
        <v>145</v>
      </c>
      <c r="I5" s="69" t="s">
        <v>1544</v>
      </c>
      <c r="J5" s="122">
        <v>1</v>
      </c>
      <c r="K5" s="15">
        <v>71000</v>
      </c>
      <c r="L5" s="15">
        <f t="shared" ref="L5:L38" si="0">J5*K5</f>
        <v>71000</v>
      </c>
      <c r="M5" s="15">
        <f>L5*10%</f>
        <v>7100</v>
      </c>
      <c r="N5" s="15">
        <f t="shared" ref="N5:N47" si="1">SUM(L5:M5)</f>
        <v>78100</v>
      </c>
      <c r="O5" s="5" t="s">
        <v>1545</v>
      </c>
      <c r="P5" s="9" t="s">
        <v>2644</v>
      </c>
      <c r="Q5" s="5" t="s">
        <v>144</v>
      </c>
      <c r="R5" s="209"/>
    </row>
    <row r="6" spans="1:18" ht="16.5" customHeight="1">
      <c r="A6" t="s">
        <v>64</v>
      </c>
      <c r="B6" s="10" t="s">
        <v>1546</v>
      </c>
      <c r="C6" s="12"/>
      <c r="D6" s="13">
        <v>45748</v>
      </c>
      <c r="E6" s="155" t="s">
        <v>2632</v>
      </c>
      <c r="F6" s="155" t="s">
        <v>1547</v>
      </c>
      <c r="G6" s="156" t="s">
        <v>1548</v>
      </c>
      <c r="H6" s="156" t="s">
        <v>1549</v>
      </c>
      <c r="I6" s="69" t="s">
        <v>1550</v>
      </c>
      <c r="J6" s="122">
        <v>1</v>
      </c>
      <c r="K6" s="15">
        <v>7546000</v>
      </c>
      <c r="L6" s="16">
        <f t="shared" si="0"/>
        <v>7546000</v>
      </c>
      <c r="M6" s="16">
        <f>L6*10%</f>
        <v>754600</v>
      </c>
      <c r="N6" s="15">
        <f t="shared" si="1"/>
        <v>8300600</v>
      </c>
      <c r="O6" s="5" t="s">
        <v>2228</v>
      </c>
      <c r="P6" s="9" t="s">
        <v>2634</v>
      </c>
      <c r="Q6" s="5">
        <v>45748</v>
      </c>
      <c r="R6" s="213"/>
    </row>
    <row r="7" spans="1:18" ht="16.5" customHeight="1">
      <c r="A7" t="s">
        <v>64</v>
      </c>
      <c r="B7" s="10" t="s">
        <v>372</v>
      </c>
      <c r="C7" s="139"/>
      <c r="D7" s="13">
        <v>45748</v>
      </c>
      <c r="E7" s="155" t="s">
        <v>2633</v>
      </c>
      <c r="F7" s="155" t="s">
        <v>97</v>
      </c>
      <c r="G7" s="156" t="s">
        <v>7</v>
      </c>
      <c r="H7" s="156" t="s">
        <v>143</v>
      </c>
      <c r="I7" s="69" t="s">
        <v>1556</v>
      </c>
      <c r="J7" s="122">
        <v>1</v>
      </c>
      <c r="K7" s="15">
        <v>436400</v>
      </c>
      <c r="L7" s="16">
        <f t="shared" si="0"/>
        <v>436400</v>
      </c>
      <c r="M7" s="15">
        <f>L7*10%</f>
        <v>43640</v>
      </c>
      <c r="N7" s="15">
        <f t="shared" si="1"/>
        <v>480040</v>
      </c>
      <c r="O7" s="5" t="s">
        <v>2228</v>
      </c>
      <c r="P7" s="174" t="s">
        <v>2636</v>
      </c>
      <c r="Q7" s="5">
        <v>45748</v>
      </c>
      <c r="R7" s="209"/>
    </row>
    <row r="8" spans="1:18" ht="16.5" customHeight="1">
      <c r="A8" t="s">
        <v>64</v>
      </c>
      <c r="B8" s="10" t="s">
        <v>394</v>
      </c>
      <c r="C8" s="12"/>
      <c r="D8" s="13">
        <v>45748</v>
      </c>
      <c r="E8" s="155" t="s">
        <v>2633</v>
      </c>
      <c r="F8" s="155" t="s">
        <v>391</v>
      </c>
      <c r="G8" s="156" t="s">
        <v>7</v>
      </c>
      <c r="H8" s="156" t="s">
        <v>143</v>
      </c>
      <c r="I8" s="69" t="s">
        <v>1573</v>
      </c>
      <c r="J8" s="122">
        <v>1</v>
      </c>
      <c r="K8" s="15">
        <v>205780</v>
      </c>
      <c r="L8" s="16">
        <f t="shared" si="0"/>
        <v>205780</v>
      </c>
      <c r="M8" s="16">
        <v>20578</v>
      </c>
      <c r="N8" s="15">
        <f t="shared" si="1"/>
        <v>226358</v>
      </c>
      <c r="O8" s="5" t="s">
        <v>2228</v>
      </c>
      <c r="P8" s="174" t="s">
        <v>2636</v>
      </c>
      <c r="Q8" s="5">
        <v>45491</v>
      </c>
      <c r="R8" s="209" t="s">
        <v>100</v>
      </c>
    </row>
    <row r="9" spans="1:18" ht="16.5" customHeight="1">
      <c r="A9" t="s">
        <v>64</v>
      </c>
      <c r="B9" s="10" t="s">
        <v>152</v>
      </c>
      <c r="C9" s="12"/>
      <c r="D9" s="13">
        <v>45748</v>
      </c>
      <c r="E9" s="155" t="s">
        <v>2633</v>
      </c>
      <c r="F9" s="155" t="s">
        <v>153</v>
      </c>
      <c r="G9" s="156" t="s">
        <v>7</v>
      </c>
      <c r="H9" s="9" t="s">
        <v>143</v>
      </c>
      <c r="I9" s="69" t="s">
        <v>1572</v>
      </c>
      <c r="J9" s="122">
        <v>1</v>
      </c>
      <c r="K9" s="15">
        <v>564192</v>
      </c>
      <c r="L9" s="16">
        <f t="shared" si="0"/>
        <v>564192</v>
      </c>
      <c r="M9" s="15">
        <v>56419</v>
      </c>
      <c r="N9" s="15">
        <f t="shared" si="1"/>
        <v>620611</v>
      </c>
      <c r="O9" s="5" t="s">
        <v>2228</v>
      </c>
      <c r="P9" s="9" t="s">
        <v>2636</v>
      </c>
      <c r="Q9" s="5">
        <v>45748</v>
      </c>
      <c r="R9" s="209"/>
    </row>
    <row r="10" spans="1:18" ht="16.5" customHeight="1">
      <c r="A10" t="s">
        <v>64</v>
      </c>
      <c r="B10" s="10" t="s">
        <v>1230</v>
      </c>
      <c r="C10" s="12"/>
      <c r="D10" s="13">
        <v>45748</v>
      </c>
      <c r="E10" s="155" t="s">
        <v>2633</v>
      </c>
      <c r="F10" s="155" t="s">
        <v>63</v>
      </c>
      <c r="G10" s="156" t="s">
        <v>7</v>
      </c>
      <c r="H10" s="156" t="s">
        <v>143</v>
      </c>
      <c r="I10" s="69" t="s">
        <v>1574</v>
      </c>
      <c r="J10" s="122">
        <v>1</v>
      </c>
      <c r="K10" s="15">
        <v>93445</v>
      </c>
      <c r="L10" s="16">
        <f t="shared" si="0"/>
        <v>93445</v>
      </c>
      <c r="M10" s="15">
        <v>9344</v>
      </c>
      <c r="N10" s="15">
        <f t="shared" si="1"/>
        <v>102789</v>
      </c>
      <c r="O10" s="5" t="s">
        <v>2228</v>
      </c>
      <c r="P10" s="174" t="s">
        <v>2636</v>
      </c>
      <c r="Q10" s="5">
        <v>45747</v>
      </c>
      <c r="R10" s="209" t="s">
        <v>1992</v>
      </c>
    </row>
    <row r="11" spans="1:18" ht="16.5" customHeight="1">
      <c r="A11" t="s">
        <v>64</v>
      </c>
      <c r="B11" s="10" t="s">
        <v>555</v>
      </c>
      <c r="C11" s="12"/>
      <c r="D11" s="13">
        <v>45748</v>
      </c>
      <c r="E11" s="155" t="s">
        <v>2633</v>
      </c>
      <c r="F11" s="155" t="s">
        <v>553</v>
      </c>
      <c r="G11" s="156" t="s">
        <v>7</v>
      </c>
      <c r="H11" s="156" t="s">
        <v>143</v>
      </c>
      <c r="I11" s="69" t="s">
        <v>1575</v>
      </c>
      <c r="J11" s="122">
        <v>1</v>
      </c>
      <c r="K11" s="15">
        <v>990000</v>
      </c>
      <c r="L11" s="16">
        <f t="shared" si="0"/>
        <v>990000</v>
      </c>
      <c r="M11" s="16">
        <f>L11*10%</f>
        <v>99000</v>
      </c>
      <c r="N11" s="15">
        <f t="shared" si="1"/>
        <v>1089000</v>
      </c>
      <c r="O11" s="5" t="s">
        <v>2228</v>
      </c>
      <c r="P11" s="174" t="s">
        <v>2636</v>
      </c>
      <c r="Q11" s="5">
        <v>45748</v>
      </c>
      <c r="R11" s="213"/>
    </row>
    <row r="12" spans="1:18" ht="16.5" customHeight="1">
      <c r="A12" t="s">
        <v>64</v>
      </c>
      <c r="B12" s="10" t="s">
        <v>354</v>
      </c>
      <c r="C12" s="12"/>
      <c r="D12" s="13">
        <v>45748</v>
      </c>
      <c r="E12" s="155" t="s">
        <v>2633</v>
      </c>
      <c r="F12" s="155" t="s">
        <v>244</v>
      </c>
      <c r="G12" s="156" t="s">
        <v>7</v>
      </c>
      <c r="H12" s="156" t="s">
        <v>143</v>
      </c>
      <c r="I12" s="69" t="s">
        <v>1576</v>
      </c>
      <c r="J12" s="122">
        <v>1</v>
      </c>
      <c r="K12" s="15">
        <v>305280</v>
      </c>
      <c r="L12" s="16">
        <f t="shared" si="0"/>
        <v>305280</v>
      </c>
      <c r="M12" s="15">
        <v>30528</v>
      </c>
      <c r="N12" s="15">
        <f t="shared" si="1"/>
        <v>335808</v>
      </c>
      <c r="O12" s="5" t="s">
        <v>2228</v>
      </c>
      <c r="P12" s="9" t="s">
        <v>2636</v>
      </c>
      <c r="Q12" s="5">
        <v>45777</v>
      </c>
      <c r="R12" s="209"/>
    </row>
    <row r="13" spans="1:18" ht="16.5" customHeight="1">
      <c r="A13" t="s">
        <v>64</v>
      </c>
      <c r="B13" s="140" t="s">
        <v>182</v>
      </c>
      <c r="C13" s="12"/>
      <c r="D13" s="13">
        <v>45748</v>
      </c>
      <c r="E13" s="155" t="s">
        <v>2633</v>
      </c>
      <c r="F13" s="155" t="s">
        <v>322</v>
      </c>
      <c r="G13" s="156" t="s">
        <v>7</v>
      </c>
      <c r="H13" s="156" t="s">
        <v>143</v>
      </c>
      <c r="I13" s="69" t="s">
        <v>1577</v>
      </c>
      <c r="J13" s="122">
        <v>1</v>
      </c>
      <c r="K13" s="15">
        <v>259896</v>
      </c>
      <c r="L13" s="16">
        <f t="shared" si="0"/>
        <v>259896</v>
      </c>
      <c r="M13" s="16">
        <v>25989</v>
      </c>
      <c r="N13" s="15">
        <f t="shared" si="1"/>
        <v>285885</v>
      </c>
      <c r="O13" s="5" t="s">
        <v>2228</v>
      </c>
      <c r="P13" s="9" t="s">
        <v>2636</v>
      </c>
      <c r="Q13" s="5">
        <v>45748</v>
      </c>
      <c r="R13" s="213"/>
    </row>
    <row r="14" spans="1:18" ht="16.5" customHeight="1">
      <c r="A14" t="s">
        <v>64</v>
      </c>
      <c r="B14" s="10" t="s">
        <v>396</v>
      </c>
      <c r="C14" s="12"/>
      <c r="D14" s="13">
        <v>45748</v>
      </c>
      <c r="E14" s="155" t="s">
        <v>2633</v>
      </c>
      <c r="F14" s="155" t="s">
        <v>352</v>
      </c>
      <c r="G14" s="157" t="s">
        <v>98</v>
      </c>
      <c r="H14" s="156" t="s">
        <v>143</v>
      </c>
      <c r="I14" s="69" t="s">
        <v>1583</v>
      </c>
      <c r="J14" s="122">
        <v>1</v>
      </c>
      <c r="K14" s="15">
        <v>80160</v>
      </c>
      <c r="L14" s="16">
        <f t="shared" si="0"/>
        <v>80160</v>
      </c>
      <c r="M14" s="16">
        <v>8016</v>
      </c>
      <c r="N14" s="15">
        <f t="shared" si="1"/>
        <v>88176</v>
      </c>
      <c r="O14" s="5" t="s">
        <v>2228</v>
      </c>
      <c r="P14" s="174" t="s">
        <v>2636</v>
      </c>
      <c r="Q14" s="5">
        <v>45777</v>
      </c>
      <c r="R14" s="209"/>
    </row>
    <row r="15" spans="1:18" ht="16.5" customHeight="1">
      <c r="A15" t="s">
        <v>64</v>
      </c>
      <c r="B15" s="143" t="s">
        <v>174</v>
      </c>
      <c r="C15" s="144"/>
      <c r="D15" s="13">
        <v>45748</v>
      </c>
      <c r="E15" s="155" t="s">
        <v>2633</v>
      </c>
      <c r="F15" s="155" t="s">
        <v>175</v>
      </c>
      <c r="G15" s="157" t="s">
        <v>98</v>
      </c>
      <c r="H15" s="156" t="s">
        <v>143</v>
      </c>
      <c r="I15" s="69" t="s">
        <v>1582</v>
      </c>
      <c r="J15" s="122">
        <v>1</v>
      </c>
      <c r="K15" s="15">
        <v>198018</v>
      </c>
      <c r="L15" s="16">
        <f t="shared" si="0"/>
        <v>198018</v>
      </c>
      <c r="M15" s="15">
        <v>19801</v>
      </c>
      <c r="N15" s="15">
        <f t="shared" si="1"/>
        <v>217819</v>
      </c>
      <c r="O15" s="5" t="s">
        <v>2228</v>
      </c>
      <c r="P15" s="174" t="s">
        <v>2636</v>
      </c>
      <c r="Q15" s="5">
        <v>45748</v>
      </c>
      <c r="R15" s="209"/>
    </row>
    <row r="16" spans="1:18" ht="16.5" customHeight="1">
      <c r="A16" t="s">
        <v>64</v>
      </c>
      <c r="B16" s="10" t="s">
        <v>414</v>
      </c>
      <c r="C16" s="12"/>
      <c r="D16" s="13">
        <v>45748</v>
      </c>
      <c r="E16" s="155" t="s">
        <v>2633</v>
      </c>
      <c r="F16" s="155" t="s">
        <v>308</v>
      </c>
      <c r="G16" s="156" t="s">
        <v>98</v>
      </c>
      <c r="H16" s="156" t="s">
        <v>143</v>
      </c>
      <c r="I16" s="69" t="s">
        <v>1581</v>
      </c>
      <c r="J16" s="122">
        <v>1</v>
      </c>
      <c r="K16" s="16">
        <v>84811</v>
      </c>
      <c r="L16" s="16">
        <f t="shared" si="0"/>
        <v>84811</v>
      </c>
      <c r="M16" s="15">
        <v>8481</v>
      </c>
      <c r="N16" s="15">
        <f t="shared" si="1"/>
        <v>93292</v>
      </c>
      <c r="O16" s="5" t="s">
        <v>2228</v>
      </c>
      <c r="P16" s="174" t="s">
        <v>2636</v>
      </c>
      <c r="Q16" s="5">
        <v>45772</v>
      </c>
      <c r="R16" s="209"/>
    </row>
    <row r="17" spans="1:20" ht="16.5" customHeight="1">
      <c r="A17" t="s">
        <v>64</v>
      </c>
      <c r="B17" s="10" t="s">
        <v>490</v>
      </c>
      <c r="C17" s="12"/>
      <c r="D17" s="13">
        <v>45748</v>
      </c>
      <c r="E17" s="155" t="s">
        <v>2633</v>
      </c>
      <c r="F17" s="155" t="s">
        <v>2632</v>
      </c>
      <c r="G17" s="156" t="s">
        <v>7</v>
      </c>
      <c r="H17" s="156" t="s">
        <v>143</v>
      </c>
      <c r="I17" s="69" t="s">
        <v>1580</v>
      </c>
      <c r="J17" s="122">
        <v>1</v>
      </c>
      <c r="K17" s="16">
        <v>133875</v>
      </c>
      <c r="L17" s="16">
        <f t="shared" si="0"/>
        <v>133875</v>
      </c>
      <c r="M17" s="16">
        <v>13387</v>
      </c>
      <c r="N17" s="15">
        <f t="shared" si="1"/>
        <v>147262</v>
      </c>
      <c r="O17" s="5" t="s">
        <v>2228</v>
      </c>
      <c r="P17" s="9" t="s">
        <v>2636</v>
      </c>
      <c r="Q17" s="5">
        <v>45777</v>
      </c>
      <c r="R17" s="209"/>
    </row>
    <row r="18" spans="1:20" ht="16.5" customHeight="1">
      <c r="A18" t="s">
        <v>64</v>
      </c>
      <c r="B18" s="10" t="s">
        <v>1615</v>
      </c>
      <c r="C18" s="12"/>
      <c r="D18" s="13">
        <v>45748</v>
      </c>
      <c r="E18" s="155" t="s">
        <v>2633</v>
      </c>
      <c r="F18" s="155" t="s">
        <v>241</v>
      </c>
      <c r="G18" s="156" t="s">
        <v>98</v>
      </c>
      <c r="H18" s="156" t="s">
        <v>143</v>
      </c>
      <c r="I18" s="69" t="s">
        <v>1614</v>
      </c>
      <c r="J18" s="122">
        <v>1</v>
      </c>
      <c r="K18" s="15">
        <v>1352754</v>
      </c>
      <c r="L18" s="16">
        <f t="shared" si="0"/>
        <v>1352754</v>
      </c>
      <c r="M18" s="15">
        <v>135275</v>
      </c>
      <c r="N18" s="15">
        <f t="shared" si="1"/>
        <v>1488029</v>
      </c>
      <c r="O18" s="5" t="s">
        <v>2228</v>
      </c>
      <c r="P18" s="174" t="s">
        <v>2636</v>
      </c>
      <c r="Q18" s="5">
        <v>45777</v>
      </c>
      <c r="R18" s="209"/>
    </row>
    <row r="19" spans="1:20" ht="16.5" customHeight="1">
      <c r="A19" t="s">
        <v>64</v>
      </c>
      <c r="B19" s="10" t="s">
        <v>346</v>
      </c>
      <c r="C19" s="12"/>
      <c r="D19" s="13">
        <v>45748</v>
      </c>
      <c r="E19" s="155" t="s">
        <v>2633</v>
      </c>
      <c r="F19" s="155" t="s">
        <v>2632</v>
      </c>
      <c r="G19" s="156" t="s">
        <v>98</v>
      </c>
      <c r="H19" s="156" t="s">
        <v>143</v>
      </c>
      <c r="I19" s="69" t="s">
        <v>1579</v>
      </c>
      <c r="J19" s="122">
        <v>1</v>
      </c>
      <c r="K19" s="15">
        <v>66498</v>
      </c>
      <c r="L19" s="16">
        <f t="shared" si="0"/>
        <v>66498</v>
      </c>
      <c r="M19" s="15">
        <v>6649</v>
      </c>
      <c r="N19" s="15">
        <f t="shared" si="1"/>
        <v>73147</v>
      </c>
      <c r="O19" s="5" t="s">
        <v>2228</v>
      </c>
      <c r="P19" s="174" t="s">
        <v>2636</v>
      </c>
      <c r="Q19" s="5">
        <v>45777</v>
      </c>
      <c r="R19" s="209"/>
    </row>
    <row r="20" spans="1:20">
      <c r="A20" t="s">
        <v>64</v>
      </c>
      <c r="B20" s="226" t="s">
        <v>1255</v>
      </c>
      <c r="C20" s="12"/>
      <c r="D20" s="13">
        <v>45748</v>
      </c>
      <c r="E20" s="155" t="s">
        <v>2633</v>
      </c>
      <c r="F20" s="155" t="s">
        <v>32</v>
      </c>
      <c r="G20" s="156" t="s">
        <v>98</v>
      </c>
      <c r="H20" s="156" t="s">
        <v>143</v>
      </c>
      <c r="I20" s="69" t="s">
        <v>1578</v>
      </c>
      <c r="J20" s="122">
        <v>1</v>
      </c>
      <c r="K20" s="16">
        <v>11623397</v>
      </c>
      <c r="L20" s="16">
        <f t="shared" si="0"/>
        <v>11623397</v>
      </c>
      <c r="M20" s="16">
        <v>1162339</v>
      </c>
      <c r="N20" s="15">
        <f t="shared" si="1"/>
        <v>12785736</v>
      </c>
      <c r="O20" s="5" t="s">
        <v>2228</v>
      </c>
      <c r="P20" s="174" t="s">
        <v>2636</v>
      </c>
      <c r="Q20" s="5">
        <v>45772</v>
      </c>
      <c r="R20" s="209"/>
    </row>
    <row r="21" spans="1:20" ht="16.5" customHeight="1">
      <c r="A21" t="s">
        <v>64</v>
      </c>
      <c r="B21" s="10" t="s">
        <v>1229</v>
      </c>
      <c r="C21" s="12"/>
      <c r="D21" s="13">
        <v>45748</v>
      </c>
      <c r="E21" s="155" t="s">
        <v>2633</v>
      </c>
      <c r="F21" s="155" t="s">
        <v>32</v>
      </c>
      <c r="G21" s="156" t="s">
        <v>7</v>
      </c>
      <c r="H21" s="156" t="s">
        <v>143</v>
      </c>
      <c r="I21" s="69" t="s">
        <v>1589</v>
      </c>
      <c r="J21" s="122">
        <v>1</v>
      </c>
      <c r="K21" s="15">
        <v>1210534</v>
      </c>
      <c r="L21" s="16">
        <f t="shared" si="0"/>
        <v>1210534</v>
      </c>
      <c r="M21" s="16">
        <v>121053</v>
      </c>
      <c r="N21" s="15">
        <f t="shared" si="1"/>
        <v>1331587</v>
      </c>
      <c r="O21" s="5" t="s">
        <v>2228</v>
      </c>
      <c r="P21" s="174" t="s">
        <v>2636</v>
      </c>
      <c r="Q21" s="5">
        <v>45777</v>
      </c>
      <c r="R21" s="209"/>
    </row>
    <row r="22" spans="1:20" ht="16.5" customHeight="1">
      <c r="A22" t="s">
        <v>64</v>
      </c>
      <c r="B22" s="10" t="s">
        <v>878</v>
      </c>
      <c r="C22" s="12"/>
      <c r="D22" s="13">
        <v>45748</v>
      </c>
      <c r="E22" s="155" t="s">
        <v>2633</v>
      </c>
      <c r="F22" s="155" t="s">
        <v>148</v>
      </c>
      <c r="G22" s="156" t="s">
        <v>98</v>
      </c>
      <c r="H22" s="156" t="s">
        <v>143</v>
      </c>
      <c r="I22" s="69" t="s">
        <v>1590</v>
      </c>
      <c r="J22" s="122">
        <v>1</v>
      </c>
      <c r="K22" s="15">
        <v>2812500</v>
      </c>
      <c r="L22" s="16">
        <f t="shared" si="0"/>
        <v>2812500</v>
      </c>
      <c r="M22" s="16">
        <v>281250</v>
      </c>
      <c r="N22" s="15">
        <f t="shared" si="1"/>
        <v>3093750</v>
      </c>
      <c r="O22" s="5" t="s">
        <v>2228</v>
      </c>
      <c r="P22" s="9" t="s">
        <v>2634</v>
      </c>
      <c r="Q22" s="5">
        <v>45666</v>
      </c>
      <c r="R22" s="209" t="s">
        <v>100</v>
      </c>
    </row>
    <row r="23" spans="1:20" ht="16.5" customHeight="1">
      <c r="A23" t="s">
        <v>64</v>
      </c>
      <c r="B23" s="140" t="s">
        <v>182</v>
      </c>
      <c r="C23" s="12"/>
      <c r="D23" s="13">
        <v>45748</v>
      </c>
      <c r="E23" s="155" t="s">
        <v>2633</v>
      </c>
      <c r="F23" s="155" t="s">
        <v>322</v>
      </c>
      <c r="G23" s="157" t="s">
        <v>98</v>
      </c>
      <c r="H23" s="156" t="s">
        <v>143</v>
      </c>
      <c r="I23" s="69" t="s">
        <v>1591</v>
      </c>
      <c r="J23" s="122">
        <v>1</v>
      </c>
      <c r="K23" s="15">
        <v>1123962</v>
      </c>
      <c r="L23" s="16">
        <f t="shared" si="0"/>
        <v>1123962</v>
      </c>
      <c r="M23" s="15">
        <v>112396</v>
      </c>
      <c r="N23" s="15">
        <f t="shared" si="1"/>
        <v>1236358</v>
      </c>
      <c r="O23" s="5" t="s">
        <v>2228</v>
      </c>
      <c r="P23" s="9" t="s">
        <v>2636</v>
      </c>
      <c r="Q23" s="5">
        <v>45748</v>
      </c>
      <c r="R23" s="209"/>
    </row>
    <row r="24" spans="1:20" ht="16.5" customHeight="1">
      <c r="A24" t="s">
        <v>64</v>
      </c>
      <c r="B24" s="10" t="s">
        <v>1610</v>
      </c>
      <c r="C24" s="12"/>
      <c r="D24" s="13">
        <v>45748</v>
      </c>
      <c r="E24" s="155" t="s">
        <v>2633</v>
      </c>
      <c r="F24" s="155" t="s">
        <v>2632</v>
      </c>
      <c r="G24" s="156" t="s">
        <v>7</v>
      </c>
      <c r="H24" s="156" t="s">
        <v>143</v>
      </c>
      <c r="I24" s="69" t="s">
        <v>1592</v>
      </c>
      <c r="J24" s="122">
        <v>1</v>
      </c>
      <c r="K24" s="15">
        <v>79496</v>
      </c>
      <c r="L24" s="16">
        <f t="shared" si="0"/>
        <v>79496</v>
      </c>
      <c r="M24" s="15">
        <v>7949</v>
      </c>
      <c r="N24" s="15">
        <f t="shared" si="1"/>
        <v>87445</v>
      </c>
      <c r="O24" s="5" t="s">
        <v>2228</v>
      </c>
      <c r="P24" s="9" t="s">
        <v>2636</v>
      </c>
      <c r="Q24" s="5">
        <v>45772</v>
      </c>
      <c r="R24" s="209"/>
    </row>
    <row r="25" spans="1:20" ht="16.5" customHeight="1">
      <c r="A25" t="s">
        <v>64</v>
      </c>
      <c r="B25" s="141" t="s">
        <v>169</v>
      </c>
      <c r="C25" s="142"/>
      <c r="D25" s="13">
        <v>45748</v>
      </c>
      <c r="E25" s="155" t="s">
        <v>2633</v>
      </c>
      <c r="F25" s="155" t="s">
        <v>114</v>
      </c>
      <c r="G25" s="156" t="s">
        <v>7</v>
      </c>
      <c r="H25" s="156" t="s">
        <v>143</v>
      </c>
      <c r="I25" s="69" t="s">
        <v>1593</v>
      </c>
      <c r="J25" s="122">
        <v>1</v>
      </c>
      <c r="K25" s="15">
        <v>159761</v>
      </c>
      <c r="L25" s="15">
        <f t="shared" si="0"/>
        <v>159761</v>
      </c>
      <c r="M25" s="15">
        <v>15976</v>
      </c>
      <c r="N25" s="15">
        <f t="shared" si="1"/>
        <v>175737</v>
      </c>
      <c r="O25" s="5" t="s">
        <v>2228</v>
      </c>
      <c r="P25" s="9" t="s">
        <v>2636</v>
      </c>
      <c r="Q25" s="5">
        <v>45777</v>
      </c>
      <c r="R25" s="209"/>
      <c r="S25" s="7"/>
      <c r="T25" s="7"/>
    </row>
    <row r="26" spans="1:20" ht="16.5" customHeight="1">
      <c r="A26" t="s">
        <v>64</v>
      </c>
      <c r="B26" s="10" t="s">
        <v>298</v>
      </c>
      <c r="C26" s="12"/>
      <c r="D26" s="13">
        <v>45748</v>
      </c>
      <c r="E26" s="155" t="s">
        <v>2633</v>
      </c>
      <c r="F26" s="155" t="s">
        <v>114</v>
      </c>
      <c r="G26" s="156" t="s">
        <v>98</v>
      </c>
      <c r="H26" s="156" t="s">
        <v>143</v>
      </c>
      <c r="I26" s="69" t="s">
        <v>1594</v>
      </c>
      <c r="J26" s="122">
        <v>1</v>
      </c>
      <c r="K26" s="15">
        <v>70422</v>
      </c>
      <c r="L26" s="16">
        <f t="shared" si="0"/>
        <v>70422</v>
      </c>
      <c r="M26" s="15">
        <v>7042</v>
      </c>
      <c r="N26" s="15">
        <f t="shared" si="1"/>
        <v>77464</v>
      </c>
      <c r="O26" s="5" t="s">
        <v>2228</v>
      </c>
      <c r="P26" s="174" t="s">
        <v>2636</v>
      </c>
      <c r="Q26" s="5">
        <v>45716</v>
      </c>
      <c r="R26" s="209" t="s">
        <v>100</v>
      </c>
    </row>
    <row r="27" spans="1:20" ht="16.5" customHeight="1">
      <c r="A27" t="s">
        <v>64</v>
      </c>
      <c r="B27" s="10" t="s">
        <v>413</v>
      </c>
      <c r="C27" s="12"/>
      <c r="D27" s="13">
        <v>45748</v>
      </c>
      <c r="E27" s="155" t="s">
        <v>2633</v>
      </c>
      <c r="F27" s="155" t="s">
        <v>101</v>
      </c>
      <c r="G27" s="156" t="s">
        <v>98</v>
      </c>
      <c r="H27" s="156" t="s">
        <v>143</v>
      </c>
      <c r="I27" s="69" t="s">
        <v>1595</v>
      </c>
      <c r="J27" s="122">
        <v>1</v>
      </c>
      <c r="K27" s="15">
        <v>95200</v>
      </c>
      <c r="L27" s="16">
        <f t="shared" si="0"/>
        <v>95200</v>
      </c>
      <c r="M27" s="16">
        <f>L27*10%</f>
        <v>9520</v>
      </c>
      <c r="N27" s="15">
        <f t="shared" si="1"/>
        <v>104720</v>
      </c>
      <c r="O27" s="5" t="s">
        <v>2228</v>
      </c>
      <c r="P27" s="9" t="s">
        <v>2636</v>
      </c>
      <c r="Q27" s="5">
        <v>45716</v>
      </c>
      <c r="R27" s="209" t="s">
        <v>147</v>
      </c>
    </row>
    <row r="28" spans="1:20" ht="16.5" customHeight="1">
      <c r="A28" t="s">
        <v>64</v>
      </c>
      <c r="B28" s="10" t="s">
        <v>369</v>
      </c>
      <c r="C28" s="12"/>
      <c r="D28" s="13">
        <v>45748</v>
      </c>
      <c r="E28" s="155" t="s">
        <v>2633</v>
      </c>
      <c r="F28" s="155" t="s">
        <v>365</v>
      </c>
      <c r="G28" s="156" t="s">
        <v>7</v>
      </c>
      <c r="H28" s="156" t="s">
        <v>143</v>
      </c>
      <c r="I28" s="69" t="s">
        <v>1596</v>
      </c>
      <c r="J28" s="122">
        <v>1</v>
      </c>
      <c r="K28" s="15">
        <v>316682</v>
      </c>
      <c r="L28" s="16">
        <f t="shared" si="0"/>
        <v>316682</v>
      </c>
      <c r="M28" s="15">
        <v>31668</v>
      </c>
      <c r="N28" s="15">
        <f t="shared" si="1"/>
        <v>348350</v>
      </c>
      <c r="O28" s="5" t="s">
        <v>2228</v>
      </c>
      <c r="P28" s="9" t="s">
        <v>2636</v>
      </c>
      <c r="Q28" s="5">
        <v>45748</v>
      </c>
      <c r="R28" s="209"/>
    </row>
    <row r="29" spans="1:20" ht="16.5" customHeight="1">
      <c r="A29" t="s">
        <v>64</v>
      </c>
      <c r="B29" s="140" t="s">
        <v>367</v>
      </c>
      <c r="C29" s="12"/>
      <c r="D29" s="13">
        <v>45748</v>
      </c>
      <c r="E29" s="155" t="s">
        <v>2633</v>
      </c>
      <c r="F29" s="155" t="s">
        <v>368</v>
      </c>
      <c r="G29" s="156" t="s">
        <v>7</v>
      </c>
      <c r="H29" s="156" t="s">
        <v>143</v>
      </c>
      <c r="I29" s="69" t="s">
        <v>1597</v>
      </c>
      <c r="J29" s="122">
        <v>1</v>
      </c>
      <c r="K29" s="15">
        <v>190849</v>
      </c>
      <c r="L29" s="16">
        <f t="shared" si="0"/>
        <v>190849</v>
      </c>
      <c r="M29" s="15">
        <v>19084</v>
      </c>
      <c r="N29" s="15">
        <f t="shared" si="1"/>
        <v>209933</v>
      </c>
      <c r="O29" s="5" t="s">
        <v>2228</v>
      </c>
      <c r="P29" s="177" t="s">
        <v>2636</v>
      </c>
      <c r="Q29" s="5">
        <v>45777</v>
      </c>
      <c r="R29" s="209"/>
    </row>
    <row r="30" spans="1:20" ht="16.5" customHeight="1">
      <c r="A30" t="s">
        <v>64</v>
      </c>
      <c r="B30" s="10" t="s">
        <v>373</v>
      </c>
      <c r="C30" s="139"/>
      <c r="D30" s="13">
        <v>45748</v>
      </c>
      <c r="E30" s="155" t="s">
        <v>2633</v>
      </c>
      <c r="F30" s="155" t="s">
        <v>374</v>
      </c>
      <c r="G30" s="156" t="s">
        <v>98</v>
      </c>
      <c r="H30" s="156" t="s">
        <v>143</v>
      </c>
      <c r="I30" s="69" t="s">
        <v>1598</v>
      </c>
      <c r="J30" s="122">
        <v>1</v>
      </c>
      <c r="K30" s="15">
        <v>142800</v>
      </c>
      <c r="L30" s="16">
        <f t="shared" si="0"/>
        <v>142800</v>
      </c>
      <c r="M30" s="15">
        <f>L30*10%</f>
        <v>14280</v>
      </c>
      <c r="N30" s="15">
        <f t="shared" si="1"/>
        <v>157080</v>
      </c>
      <c r="O30" s="5" t="s">
        <v>2228</v>
      </c>
      <c r="P30" s="174" t="s">
        <v>2636</v>
      </c>
      <c r="Q30" s="5">
        <v>45772</v>
      </c>
      <c r="R30" s="209"/>
    </row>
    <row r="31" spans="1:20" ht="16.5" customHeight="1">
      <c r="A31" t="s">
        <v>64</v>
      </c>
      <c r="B31" s="10" t="s">
        <v>146</v>
      </c>
      <c r="C31" s="12"/>
      <c r="D31" s="13">
        <v>45748</v>
      </c>
      <c r="E31" s="155" t="s">
        <v>2633</v>
      </c>
      <c r="F31" s="155" t="s">
        <v>114</v>
      </c>
      <c r="G31" s="156" t="s">
        <v>7</v>
      </c>
      <c r="H31" s="156" t="s">
        <v>143</v>
      </c>
      <c r="I31" s="69" t="s">
        <v>1599</v>
      </c>
      <c r="J31" s="122">
        <v>1</v>
      </c>
      <c r="K31" s="15">
        <v>309047</v>
      </c>
      <c r="L31" s="16">
        <f t="shared" si="0"/>
        <v>309047</v>
      </c>
      <c r="M31" s="15">
        <v>30904</v>
      </c>
      <c r="N31" s="15">
        <f t="shared" si="1"/>
        <v>339951</v>
      </c>
      <c r="O31" s="5" t="s">
        <v>2228</v>
      </c>
      <c r="P31" s="9" t="s">
        <v>2636</v>
      </c>
      <c r="Q31" s="5">
        <v>45748</v>
      </c>
      <c r="R31" s="209" t="s">
        <v>147</v>
      </c>
    </row>
    <row r="32" spans="1:20" ht="16.5" customHeight="1">
      <c r="A32" t="s">
        <v>64</v>
      </c>
      <c r="B32" s="10" t="s">
        <v>487</v>
      </c>
      <c r="C32" s="12"/>
      <c r="D32" s="13">
        <v>45748</v>
      </c>
      <c r="E32" s="155" t="s">
        <v>2633</v>
      </c>
      <c r="F32" s="155" t="s">
        <v>488</v>
      </c>
      <c r="G32" s="156" t="s">
        <v>98</v>
      </c>
      <c r="H32" s="156" t="s">
        <v>143</v>
      </c>
      <c r="I32" s="69" t="s">
        <v>1600</v>
      </c>
      <c r="J32" s="122">
        <v>1</v>
      </c>
      <c r="K32" s="15">
        <v>145780</v>
      </c>
      <c r="L32" s="16">
        <f t="shared" si="0"/>
        <v>145780</v>
      </c>
      <c r="M32" s="16">
        <v>14578</v>
      </c>
      <c r="N32" s="15">
        <f t="shared" si="1"/>
        <v>160358</v>
      </c>
      <c r="O32" s="5" t="s">
        <v>2228</v>
      </c>
      <c r="P32" s="9" t="s">
        <v>2636</v>
      </c>
      <c r="Q32" s="5">
        <v>45748</v>
      </c>
      <c r="R32" s="209"/>
    </row>
    <row r="33" spans="1:19" ht="16.5" customHeight="1">
      <c r="A33" t="s">
        <v>64</v>
      </c>
      <c r="B33" s="141" t="s">
        <v>163</v>
      </c>
      <c r="C33" s="12"/>
      <c r="D33" s="13">
        <v>45748</v>
      </c>
      <c r="E33" s="155" t="s">
        <v>2633</v>
      </c>
      <c r="F33" s="155" t="s">
        <v>114</v>
      </c>
      <c r="G33" s="156" t="s">
        <v>7</v>
      </c>
      <c r="H33" s="156" t="s">
        <v>143</v>
      </c>
      <c r="I33" s="69" t="s">
        <v>1601</v>
      </c>
      <c r="J33" s="122">
        <v>1</v>
      </c>
      <c r="K33" s="15">
        <v>212293</v>
      </c>
      <c r="L33" s="15">
        <f t="shared" si="0"/>
        <v>212293</v>
      </c>
      <c r="M33" s="15">
        <v>21229</v>
      </c>
      <c r="N33" s="15">
        <f t="shared" si="1"/>
        <v>233522</v>
      </c>
      <c r="O33" s="5" t="s">
        <v>2228</v>
      </c>
      <c r="P33" s="9" t="s">
        <v>2636</v>
      </c>
      <c r="Q33" s="5">
        <v>45777</v>
      </c>
      <c r="R33" s="209"/>
    </row>
    <row r="34" spans="1:19" ht="16.5" customHeight="1">
      <c r="A34" t="s">
        <v>64</v>
      </c>
      <c r="B34" s="10" t="s">
        <v>373</v>
      </c>
      <c r="C34" s="12"/>
      <c r="D34" s="13">
        <v>45748</v>
      </c>
      <c r="E34" s="155" t="s">
        <v>2633</v>
      </c>
      <c r="F34" s="155" t="s">
        <v>374</v>
      </c>
      <c r="G34" s="156" t="s">
        <v>98</v>
      </c>
      <c r="H34" s="156" t="s">
        <v>143</v>
      </c>
      <c r="I34" s="69" t="s">
        <v>1602</v>
      </c>
      <c r="J34" s="122">
        <v>1</v>
      </c>
      <c r="K34" s="15">
        <v>277600</v>
      </c>
      <c r="L34" s="16">
        <f t="shared" si="0"/>
        <v>277600</v>
      </c>
      <c r="M34" s="16">
        <f>L34*10%</f>
        <v>27760</v>
      </c>
      <c r="N34" s="15">
        <f t="shared" si="1"/>
        <v>305360</v>
      </c>
      <c r="O34" s="5" t="s">
        <v>2228</v>
      </c>
      <c r="P34" s="174" t="s">
        <v>2636</v>
      </c>
      <c r="Q34" s="5">
        <v>45772</v>
      </c>
      <c r="R34" s="209"/>
    </row>
    <row r="35" spans="1:19" ht="16.5" customHeight="1">
      <c r="A35" t="s">
        <v>64</v>
      </c>
      <c r="B35" s="10" t="s">
        <v>415</v>
      </c>
      <c r="C35" s="12"/>
      <c r="D35" s="13">
        <v>45748</v>
      </c>
      <c r="E35" s="155" t="s">
        <v>2633</v>
      </c>
      <c r="F35" s="155" t="s">
        <v>99</v>
      </c>
      <c r="G35" s="156" t="s">
        <v>7</v>
      </c>
      <c r="H35" s="156" t="s">
        <v>143</v>
      </c>
      <c r="I35" s="69" t="s">
        <v>1603</v>
      </c>
      <c r="J35" s="122">
        <v>1</v>
      </c>
      <c r="K35" s="15">
        <v>691782</v>
      </c>
      <c r="L35" s="16">
        <f t="shared" si="0"/>
        <v>691782</v>
      </c>
      <c r="M35" s="16">
        <v>69178</v>
      </c>
      <c r="N35" s="15">
        <f t="shared" si="1"/>
        <v>760960</v>
      </c>
      <c r="O35" s="5" t="s">
        <v>2228</v>
      </c>
      <c r="P35" s="9" t="s">
        <v>2636</v>
      </c>
      <c r="Q35" s="5">
        <v>45782</v>
      </c>
      <c r="R35" s="209"/>
    </row>
    <row r="36" spans="1:19" ht="16.5" customHeight="1">
      <c r="A36" t="s">
        <v>64</v>
      </c>
      <c r="B36" s="10" t="s">
        <v>353</v>
      </c>
      <c r="C36" s="12"/>
      <c r="D36" s="13">
        <v>45748</v>
      </c>
      <c r="E36" s="155" t="s">
        <v>2633</v>
      </c>
      <c r="F36" s="155" t="s">
        <v>171</v>
      </c>
      <c r="G36" s="156" t="s">
        <v>7</v>
      </c>
      <c r="H36" s="156" t="s">
        <v>366</v>
      </c>
      <c r="I36" s="69" t="s">
        <v>1659</v>
      </c>
      <c r="J36" s="122">
        <v>1</v>
      </c>
      <c r="K36" s="15">
        <v>3239414</v>
      </c>
      <c r="L36" s="16">
        <f t="shared" si="0"/>
        <v>3239414</v>
      </c>
      <c r="M36" s="15">
        <v>323941</v>
      </c>
      <c r="N36" s="15">
        <f t="shared" si="1"/>
        <v>3563355</v>
      </c>
      <c r="O36" s="5" t="s">
        <v>2228</v>
      </c>
      <c r="P36" s="9" t="s">
        <v>2635</v>
      </c>
      <c r="Q36" s="5">
        <v>45777</v>
      </c>
      <c r="R36" s="209"/>
    </row>
    <row r="37" spans="1:19" ht="16.5" customHeight="1">
      <c r="A37" t="s">
        <v>64</v>
      </c>
      <c r="B37" s="10" t="s">
        <v>1585</v>
      </c>
      <c r="C37" s="12"/>
      <c r="D37" s="13">
        <v>45749</v>
      </c>
      <c r="E37" s="155" t="s">
        <v>1584</v>
      </c>
      <c r="F37" s="155" t="s">
        <v>327</v>
      </c>
      <c r="G37" s="156" t="s">
        <v>1586</v>
      </c>
      <c r="H37" s="156" t="s">
        <v>1587</v>
      </c>
      <c r="I37" s="69" t="s">
        <v>1588</v>
      </c>
      <c r="J37" s="122">
        <v>1</v>
      </c>
      <c r="K37" s="15">
        <f>1772100/1.1</f>
        <v>1610999.9999999998</v>
      </c>
      <c r="L37" s="16">
        <f t="shared" si="0"/>
        <v>1610999.9999999998</v>
      </c>
      <c r="M37" s="16">
        <f>L37*10%</f>
        <v>161100</v>
      </c>
      <c r="N37" s="15">
        <f t="shared" si="1"/>
        <v>1772099.9999999998</v>
      </c>
      <c r="O37" s="5" t="s">
        <v>1604</v>
      </c>
      <c r="P37" s="9" t="s">
        <v>2643</v>
      </c>
      <c r="Q37" s="5">
        <v>45761</v>
      </c>
      <c r="R37" s="213"/>
    </row>
    <row r="38" spans="1:19" ht="16.5" customHeight="1">
      <c r="A38" t="s">
        <v>64</v>
      </c>
      <c r="B38" s="10" t="s">
        <v>1626</v>
      </c>
      <c r="C38" s="12"/>
      <c r="D38" s="13">
        <v>45750</v>
      </c>
      <c r="E38" s="155" t="s">
        <v>2632</v>
      </c>
      <c r="F38" s="155" t="s">
        <v>162</v>
      </c>
      <c r="G38" s="156" t="s">
        <v>1586</v>
      </c>
      <c r="H38" s="156" t="s">
        <v>1587</v>
      </c>
      <c r="I38" s="69" t="s">
        <v>1609</v>
      </c>
      <c r="J38" s="122">
        <v>1</v>
      </c>
      <c r="K38" s="15">
        <v>2188000</v>
      </c>
      <c r="L38" s="16">
        <f t="shared" si="0"/>
        <v>2188000</v>
      </c>
      <c r="M38" s="16">
        <f>L38*10%</f>
        <v>218800</v>
      </c>
      <c r="N38" s="15">
        <f t="shared" si="1"/>
        <v>2406800</v>
      </c>
      <c r="O38" s="5" t="s">
        <v>2228</v>
      </c>
      <c r="P38" s="9" t="s">
        <v>2634</v>
      </c>
      <c r="Q38" s="5">
        <v>45750</v>
      </c>
      <c r="R38" s="213"/>
    </row>
    <row r="39" spans="1:19" ht="16.5" customHeight="1">
      <c r="A39" t="s">
        <v>64</v>
      </c>
      <c r="B39" s="10" t="s">
        <v>1623</v>
      </c>
      <c r="C39" s="12"/>
      <c r="D39" s="13">
        <v>45750</v>
      </c>
      <c r="E39" s="155" t="s">
        <v>1584</v>
      </c>
      <c r="F39" s="155" t="s">
        <v>1621</v>
      </c>
      <c r="G39" s="156" t="s">
        <v>1586</v>
      </c>
      <c r="H39" s="156" t="s">
        <v>1587</v>
      </c>
      <c r="I39" s="69" t="s">
        <v>1588</v>
      </c>
      <c r="J39" s="122">
        <v>1</v>
      </c>
      <c r="K39" s="15">
        <v>3332182</v>
      </c>
      <c r="L39" s="16">
        <v>4438491</v>
      </c>
      <c r="M39" s="16">
        <v>443849</v>
      </c>
      <c r="N39" s="15">
        <f t="shared" si="1"/>
        <v>4882340</v>
      </c>
      <c r="O39" s="5" t="s">
        <v>1625</v>
      </c>
      <c r="P39" s="9" t="s">
        <v>2635</v>
      </c>
      <c r="Q39" s="5">
        <v>45768</v>
      </c>
      <c r="R39" s="213"/>
    </row>
    <row r="40" spans="1:19" ht="16.5" customHeight="1">
      <c r="A40" t="s">
        <v>64</v>
      </c>
      <c r="B40" s="10" t="s">
        <v>1622</v>
      </c>
      <c r="C40" s="145"/>
      <c r="D40" s="65"/>
      <c r="E40" s="160" t="s">
        <v>1584</v>
      </c>
      <c r="F40" s="160" t="s">
        <v>1621</v>
      </c>
      <c r="G40" s="156" t="s">
        <v>1586</v>
      </c>
      <c r="H40" s="156" t="s">
        <v>309</v>
      </c>
      <c r="I40" s="69" t="s">
        <v>1624</v>
      </c>
      <c r="J40" s="122">
        <v>1</v>
      </c>
      <c r="K40" s="15">
        <f>1216940/1.1</f>
        <v>1106309.0909090908</v>
      </c>
      <c r="L40" s="125"/>
      <c r="M40" s="125"/>
      <c r="N40" s="126"/>
      <c r="O40" s="99"/>
      <c r="P40" s="99"/>
      <c r="Q40" s="99"/>
      <c r="R40" s="213"/>
    </row>
    <row r="41" spans="1:19" ht="16.5" customHeight="1">
      <c r="A41" t="s">
        <v>64</v>
      </c>
      <c r="B41" s="141" t="s">
        <v>144</v>
      </c>
      <c r="C41" s="142"/>
      <c r="D41" s="13">
        <v>45750</v>
      </c>
      <c r="E41" s="155" t="s">
        <v>303</v>
      </c>
      <c r="F41" s="155"/>
      <c r="G41" s="156" t="s">
        <v>30</v>
      </c>
      <c r="H41" s="156" t="s">
        <v>271</v>
      </c>
      <c r="I41" s="159" t="s">
        <v>304</v>
      </c>
      <c r="J41" s="124">
        <v>1</v>
      </c>
      <c r="K41" s="16">
        <v>13167</v>
      </c>
      <c r="L41" s="15">
        <f t="shared" ref="L41:L46" si="2">J41*K41</f>
        <v>13167</v>
      </c>
      <c r="M41" s="15">
        <v>1316</v>
      </c>
      <c r="N41" s="15">
        <f t="shared" si="1"/>
        <v>14483</v>
      </c>
      <c r="O41" s="5" t="s">
        <v>1747</v>
      </c>
      <c r="P41" s="175" t="s">
        <v>2644</v>
      </c>
      <c r="Q41" s="68" t="s">
        <v>206</v>
      </c>
      <c r="R41" s="209"/>
      <c r="S41" s="7"/>
    </row>
    <row r="42" spans="1:19" ht="16.5" customHeight="1">
      <c r="A42" t="s">
        <v>64</v>
      </c>
      <c r="B42" s="10" t="s">
        <v>1677</v>
      </c>
      <c r="C42" s="12"/>
      <c r="D42" s="13">
        <v>45751</v>
      </c>
      <c r="E42" s="155" t="s">
        <v>1685</v>
      </c>
      <c r="F42" s="155" t="s">
        <v>1920</v>
      </c>
      <c r="G42" s="156" t="s">
        <v>1686</v>
      </c>
      <c r="H42" s="156" t="s">
        <v>1680</v>
      </c>
      <c r="I42" s="69" t="s">
        <v>1681</v>
      </c>
      <c r="J42" s="122">
        <v>1</v>
      </c>
      <c r="K42" s="15">
        <v>340000</v>
      </c>
      <c r="L42" s="16">
        <f t="shared" si="2"/>
        <v>340000</v>
      </c>
      <c r="M42" s="16">
        <f>L42*10%</f>
        <v>34000</v>
      </c>
      <c r="N42" s="15">
        <f t="shared" si="1"/>
        <v>374000</v>
      </c>
      <c r="O42" s="5" t="s">
        <v>2455</v>
      </c>
      <c r="P42" s="9" t="s">
        <v>2636</v>
      </c>
      <c r="Q42" s="5">
        <v>45777</v>
      </c>
      <c r="R42" s="209"/>
    </row>
    <row r="43" spans="1:19" ht="16.5" customHeight="1">
      <c r="A43" t="s">
        <v>64</v>
      </c>
      <c r="B43" s="10" t="s">
        <v>1677</v>
      </c>
      <c r="C43" s="12"/>
      <c r="D43" s="13">
        <v>45751</v>
      </c>
      <c r="E43" s="155" t="s">
        <v>33</v>
      </c>
      <c r="F43" s="155" t="s">
        <v>1920</v>
      </c>
      <c r="G43" s="156" t="s">
        <v>41</v>
      </c>
      <c r="H43" s="156" t="s">
        <v>1680</v>
      </c>
      <c r="I43" s="69" t="s">
        <v>1681</v>
      </c>
      <c r="J43" s="122">
        <v>1</v>
      </c>
      <c r="K43" s="15">
        <v>340000</v>
      </c>
      <c r="L43" s="16">
        <f t="shared" si="2"/>
        <v>340000</v>
      </c>
      <c r="M43" s="16">
        <f>L43*10%</f>
        <v>34000</v>
      </c>
      <c r="N43" s="15">
        <f t="shared" si="1"/>
        <v>374000</v>
      </c>
      <c r="O43" s="5" t="s">
        <v>2455</v>
      </c>
      <c r="P43" s="9" t="s">
        <v>2636</v>
      </c>
      <c r="Q43" s="5">
        <v>45777</v>
      </c>
      <c r="R43" s="209"/>
    </row>
    <row r="44" spans="1:19" ht="16.5" customHeight="1">
      <c r="A44" t="s">
        <v>64</v>
      </c>
      <c r="B44" s="10" t="s">
        <v>416</v>
      </c>
      <c r="C44" s="12"/>
      <c r="D44" s="13">
        <v>45754</v>
      </c>
      <c r="E44" s="155" t="s">
        <v>2632</v>
      </c>
      <c r="F44" s="155" t="s">
        <v>162</v>
      </c>
      <c r="G44" s="156" t="s">
        <v>98</v>
      </c>
      <c r="H44" s="156" t="s">
        <v>213</v>
      </c>
      <c r="I44" s="69" t="s">
        <v>1634</v>
      </c>
      <c r="J44" s="122">
        <v>1</v>
      </c>
      <c r="K44" s="15">
        <v>1060000</v>
      </c>
      <c r="L44" s="16">
        <f t="shared" si="2"/>
        <v>1060000</v>
      </c>
      <c r="M44" s="16">
        <f>L44*10%</f>
        <v>106000</v>
      </c>
      <c r="N44" s="15">
        <f t="shared" si="1"/>
        <v>1166000</v>
      </c>
      <c r="O44" s="5" t="s">
        <v>2228</v>
      </c>
      <c r="P44" s="9" t="s">
        <v>2634</v>
      </c>
      <c r="Q44" s="5">
        <v>45754</v>
      </c>
      <c r="R44" s="209"/>
    </row>
    <row r="45" spans="1:19" ht="16.5" customHeight="1">
      <c r="A45" t="s">
        <v>64</v>
      </c>
      <c r="B45" s="10" t="s">
        <v>1623</v>
      </c>
      <c r="C45" s="12"/>
      <c r="D45" s="13">
        <v>45754</v>
      </c>
      <c r="E45" s="155" t="s">
        <v>26</v>
      </c>
      <c r="F45" s="155" t="s">
        <v>94</v>
      </c>
      <c r="G45" s="156" t="s">
        <v>41</v>
      </c>
      <c r="H45" s="156" t="s">
        <v>1989</v>
      </c>
      <c r="I45" s="69" t="s">
        <v>1990</v>
      </c>
      <c r="J45" s="122">
        <v>1</v>
      </c>
      <c r="K45" s="15">
        <v>100427</v>
      </c>
      <c r="L45" s="16">
        <f t="shared" si="2"/>
        <v>100427</v>
      </c>
      <c r="M45" s="16">
        <v>10043</v>
      </c>
      <c r="N45" s="15">
        <f t="shared" si="1"/>
        <v>110470</v>
      </c>
      <c r="O45" s="245" t="s">
        <v>1988</v>
      </c>
      <c r="P45" s="9" t="s">
        <v>2635</v>
      </c>
      <c r="Q45" s="5">
        <v>45768</v>
      </c>
      <c r="R45" s="209"/>
    </row>
    <row r="46" spans="1:19" ht="16.5" customHeight="1">
      <c r="A46" t="s">
        <v>64</v>
      </c>
      <c r="B46" s="10" t="s">
        <v>104</v>
      </c>
      <c r="C46" s="12"/>
      <c r="D46" s="13">
        <v>45755</v>
      </c>
      <c r="E46" s="155" t="s">
        <v>451</v>
      </c>
      <c r="F46" s="155"/>
      <c r="G46" s="156" t="s">
        <v>30</v>
      </c>
      <c r="H46" s="156" t="s">
        <v>145</v>
      </c>
      <c r="I46" s="69" t="s">
        <v>1670</v>
      </c>
      <c r="J46" s="122">
        <v>1</v>
      </c>
      <c r="K46" s="15">
        <v>500000</v>
      </c>
      <c r="L46" s="16">
        <f t="shared" si="2"/>
        <v>500000</v>
      </c>
      <c r="M46" s="16">
        <f>L46*10%</f>
        <v>50000</v>
      </c>
      <c r="N46" s="15">
        <f t="shared" si="1"/>
        <v>550000</v>
      </c>
      <c r="O46" s="5" t="s">
        <v>1671</v>
      </c>
      <c r="P46" s="9" t="s">
        <v>2634</v>
      </c>
      <c r="Q46" s="5" t="s">
        <v>1672</v>
      </c>
      <c r="R46" s="213"/>
    </row>
    <row r="47" spans="1:19" ht="16.5" customHeight="1">
      <c r="A47" t="s">
        <v>64</v>
      </c>
      <c r="B47" s="10" t="s">
        <v>1697</v>
      </c>
      <c r="C47" s="12"/>
      <c r="D47" s="13">
        <v>45756</v>
      </c>
      <c r="E47" s="155" t="s">
        <v>26</v>
      </c>
      <c r="F47" s="155" t="s">
        <v>1698</v>
      </c>
      <c r="G47" s="156" t="s">
        <v>1699</v>
      </c>
      <c r="H47" s="156" t="s">
        <v>1702</v>
      </c>
      <c r="I47" s="69" t="s">
        <v>1700</v>
      </c>
      <c r="J47" s="122">
        <v>6</v>
      </c>
      <c r="K47" s="15">
        <v>68181.8</v>
      </c>
      <c r="L47" s="16">
        <v>1714418</v>
      </c>
      <c r="M47" s="16">
        <v>171442</v>
      </c>
      <c r="N47" s="15">
        <f t="shared" si="1"/>
        <v>1885860</v>
      </c>
      <c r="O47" s="5" t="s">
        <v>1674</v>
      </c>
      <c r="P47" s="9" t="s">
        <v>2635</v>
      </c>
      <c r="Q47" s="5">
        <v>45776</v>
      </c>
      <c r="R47" s="213"/>
    </row>
    <row r="48" spans="1:19" ht="16.5" customHeight="1">
      <c r="A48" t="s">
        <v>64</v>
      </c>
      <c r="B48" s="147"/>
      <c r="C48" s="145"/>
      <c r="D48" s="65"/>
      <c r="E48" s="160" t="s">
        <v>26</v>
      </c>
      <c r="F48" s="160" t="s">
        <v>1698</v>
      </c>
      <c r="G48" s="156" t="s">
        <v>1699</v>
      </c>
      <c r="H48" s="156" t="s">
        <v>1702</v>
      </c>
      <c r="I48" s="69" t="s">
        <v>1701</v>
      </c>
      <c r="J48" s="122">
        <v>6</v>
      </c>
      <c r="K48" s="15">
        <v>217554.5</v>
      </c>
      <c r="L48" s="125"/>
      <c r="M48" s="125"/>
      <c r="N48" s="126"/>
      <c r="O48" s="99"/>
      <c r="P48" s="176"/>
      <c r="Q48" s="99"/>
      <c r="R48" s="213"/>
    </row>
    <row r="49" spans="1:21" ht="16.5" customHeight="1">
      <c r="A49" t="s">
        <v>64</v>
      </c>
      <c r="B49" s="10" t="s">
        <v>1678</v>
      </c>
      <c r="C49" s="12"/>
      <c r="D49" s="13">
        <v>45756</v>
      </c>
      <c r="E49" s="155" t="s">
        <v>1685</v>
      </c>
      <c r="F49" s="155" t="s">
        <v>1920</v>
      </c>
      <c r="G49" s="156" t="s">
        <v>1686</v>
      </c>
      <c r="H49" s="156" t="s">
        <v>1682</v>
      </c>
      <c r="I49" s="69" t="s">
        <v>1683</v>
      </c>
      <c r="J49" s="122">
        <v>4</v>
      </c>
      <c r="K49" s="15">
        <v>90000</v>
      </c>
      <c r="L49" s="16">
        <f t="shared" ref="L49:L60" si="3">J49*K49</f>
        <v>360000</v>
      </c>
      <c r="M49" s="16">
        <f>L49*10%</f>
        <v>36000</v>
      </c>
      <c r="N49" s="15">
        <f>SUM(L49:M49)</f>
        <v>396000</v>
      </c>
      <c r="O49" s="5" t="s">
        <v>2455</v>
      </c>
      <c r="P49" s="9" t="s">
        <v>2636</v>
      </c>
      <c r="Q49" s="5">
        <v>45777</v>
      </c>
      <c r="R49" s="209"/>
    </row>
    <row r="50" spans="1:21" ht="16.5" customHeight="1">
      <c r="A50" t="s">
        <v>64</v>
      </c>
      <c r="B50" s="10" t="s">
        <v>419</v>
      </c>
      <c r="C50" s="12"/>
      <c r="D50" s="13">
        <v>45757</v>
      </c>
      <c r="E50" s="155" t="s">
        <v>164</v>
      </c>
      <c r="F50" s="155" t="s">
        <v>420</v>
      </c>
      <c r="G50" s="156" t="s">
        <v>98</v>
      </c>
      <c r="H50" s="156" t="s">
        <v>213</v>
      </c>
      <c r="I50" s="69" t="s">
        <v>401</v>
      </c>
      <c r="J50" s="122">
        <v>1</v>
      </c>
      <c r="K50" s="15">
        <v>213400</v>
      </c>
      <c r="L50" s="16">
        <f t="shared" si="3"/>
        <v>213400</v>
      </c>
      <c r="M50" s="16">
        <v>21340</v>
      </c>
      <c r="N50" s="15">
        <f>SUBTOTAL(9,L50:M50)</f>
        <v>234740</v>
      </c>
      <c r="O50" s="5" t="s">
        <v>1637</v>
      </c>
      <c r="P50" s="9" t="s">
        <v>2634</v>
      </c>
      <c r="Q50" s="5">
        <v>45748</v>
      </c>
      <c r="R50" s="209"/>
    </row>
    <row r="51" spans="1:21" ht="16.5" customHeight="1">
      <c r="A51" t="s">
        <v>64</v>
      </c>
      <c r="B51" s="10" t="s">
        <v>418</v>
      </c>
      <c r="C51" s="12"/>
      <c r="D51" s="13">
        <v>45757</v>
      </c>
      <c r="E51" s="155" t="s">
        <v>164</v>
      </c>
      <c r="F51" s="155" t="s">
        <v>421</v>
      </c>
      <c r="G51" s="156" t="s">
        <v>98</v>
      </c>
      <c r="H51" s="156" t="s">
        <v>213</v>
      </c>
      <c r="I51" s="69" t="s">
        <v>402</v>
      </c>
      <c r="J51" s="122">
        <v>1</v>
      </c>
      <c r="K51" s="15">
        <v>77600</v>
      </c>
      <c r="L51" s="16">
        <f t="shared" si="3"/>
        <v>77600</v>
      </c>
      <c r="M51" s="16">
        <v>7760</v>
      </c>
      <c r="N51" s="15">
        <f>SUBTOTAL(9,L51:M51)</f>
        <v>85360</v>
      </c>
      <c r="O51" s="5" t="s">
        <v>1637</v>
      </c>
      <c r="P51" s="9" t="s">
        <v>2634</v>
      </c>
      <c r="Q51" s="5">
        <v>45748</v>
      </c>
      <c r="R51" s="209"/>
    </row>
    <row r="52" spans="1:21" ht="16.5" customHeight="1">
      <c r="A52" t="s">
        <v>64</v>
      </c>
      <c r="B52" s="10" t="s">
        <v>419</v>
      </c>
      <c r="C52" s="12"/>
      <c r="D52" s="13">
        <v>45757</v>
      </c>
      <c r="E52" s="155" t="s">
        <v>164</v>
      </c>
      <c r="F52" s="155" t="s">
        <v>420</v>
      </c>
      <c r="G52" s="156" t="s">
        <v>98</v>
      </c>
      <c r="H52" s="156" t="s">
        <v>213</v>
      </c>
      <c r="I52" s="69" t="s">
        <v>402</v>
      </c>
      <c r="J52" s="122">
        <v>1</v>
      </c>
      <c r="K52" s="15">
        <v>155200</v>
      </c>
      <c r="L52" s="16">
        <f t="shared" si="3"/>
        <v>155200</v>
      </c>
      <c r="M52" s="16">
        <v>15520</v>
      </c>
      <c r="N52" s="15">
        <f>SUBTOTAL(9,L52:M52)</f>
        <v>170720</v>
      </c>
      <c r="O52" s="5" t="s">
        <v>1637</v>
      </c>
      <c r="P52" s="9" t="s">
        <v>2634</v>
      </c>
      <c r="Q52" s="5">
        <v>45748</v>
      </c>
      <c r="R52" s="209"/>
    </row>
    <row r="53" spans="1:21" ht="16.5" customHeight="1">
      <c r="A53" t="s">
        <v>64</v>
      </c>
      <c r="B53" s="10" t="s">
        <v>418</v>
      </c>
      <c r="C53" s="12"/>
      <c r="D53" s="13">
        <v>45757</v>
      </c>
      <c r="E53" s="155" t="s">
        <v>164</v>
      </c>
      <c r="F53" s="155" t="s">
        <v>421</v>
      </c>
      <c r="G53" s="156" t="s">
        <v>98</v>
      </c>
      <c r="H53" s="156" t="s">
        <v>213</v>
      </c>
      <c r="I53" s="69" t="s">
        <v>401</v>
      </c>
      <c r="J53" s="122">
        <v>1</v>
      </c>
      <c r="K53" s="15">
        <v>145500</v>
      </c>
      <c r="L53" s="16">
        <f t="shared" si="3"/>
        <v>145500</v>
      </c>
      <c r="M53" s="16">
        <v>14550</v>
      </c>
      <c r="N53" s="15">
        <f>SUBTOTAL(9,L53:M53)</f>
        <v>160050</v>
      </c>
      <c r="O53" s="5" t="s">
        <v>1637</v>
      </c>
      <c r="P53" s="9" t="s">
        <v>2634</v>
      </c>
      <c r="Q53" s="5">
        <v>45748</v>
      </c>
      <c r="R53" s="209"/>
    </row>
    <row r="54" spans="1:21" ht="16.5" customHeight="1">
      <c r="A54" t="s">
        <v>64</v>
      </c>
      <c r="B54" s="10" t="s">
        <v>1691</v>
      </c>
      <c r="C54" s="12"/>
      <c r="D54" s="13">
        <v>45757</v>
      </c>
      <c r="E54" s="155" t="s">
        <v>1687</v>
      </c>
      <c r="F54" s="155" t="s">
        <v>1688</v>
      </c>
      <c r="G54" s="156" t="s">
        <v>1686</v>
      </c>
      <c r="H54" s="156" t="s">
        <v>1689</v>
      </c>
      <c r="I54" s="69" t="s">
        <v>1690</v>
      </c>
      <c r="J54" s="122">
        <v>1</v>
      </c>
      <c r="K54" s="15">
        <v>310000</v>
      </c>
      <c r="L54" s="16">
        <f t="shared" si="3"/>
        <v>310000</v>
      </c>
      <c r="M54" s="16">
        <f>L54*10%</f>
        <v>31000</v>
      </c>
      <c r="N54" s="15">
        <f t="shared" ref="N54:N69" si="4">SUM(L54:M54)</f>
        <v>341000</v>
      </c>
      <c r="O54" s="5" t="s">
        <v>2228</v>
      </c>
      <c r="P54" s="9" t="s">
        <v>2643</v>
      </c>
      <c r="Q54" s="5">
        <v>45750</v>
      </c>
      <c r="R54" s="213"/>
    </row>
    <row r="55" spans="1:21" ht="16.5" customHeight="1">
      <c r="A55" t="s">
        <v>64</v>
      </c>
      <c r="B55" s="143" t="s">
        <v>96</v>
      </c>
      <c r="C55" s="144"/>
      <c r="D55" s="13">
        <v>45762</v>
      </c>
      <c r="E55" s="161" t="s">
        <v>19</v>
      </c>
      <c r="F55" s="155" t="s">
        <v>97</v>
      </c>
      <c r="G55" s="156" t="s">
        <v>7</v>
      </c>
      <c r="H55" s="156" t="s">
        <v>25</v>
      </c>
      <c r="I55" s="69" t="s">
        <v>2111</v>
      </c>
      <c r="J55" s="122">
        <v>1</v>
      </c>
      <c r="K55" s="15">
        <v>200000</v>
      </c>
      <c r="L55" s="15">
        <f t="shared" si="3"/>
        <v>200000</v>
      </c>
      <c r="M55" s="16">
        <f>L55*10%</f>
        <v>20000</v>
      </c>
      <c r="N55" s="15">
        <f t="shared" si="4"/>
        <v>220000</v>
      </c>
      <c r="O55" s="5" t="s">
        <v>2455</v>
      </c>
      <c r="P55" s="9" t="s">
        <v>2636</v>
      </c>
      <c r="Q55" s="5">
        <v>45748</v>
      </c>
      <c r="R55" s="210"/>
      <c r="S55" s="7"/>
      <c r="T55" s="7"/>
      <c r="U55" s="11"/>
    </row>
    <row r="56" spans="1:21" ht="16.5" customHeight="1">
      <c r="A56" t="s">
        <v>64</v>
      </c>
      <c r="B56" s="10" t="s">
        <v>144</v>
      </c>
      <c r="C56" s="12"/>
      <c r="D56" s="13">
        <v>45762</v>
      </c>
      <c r="E56" s="155" t="s">
        <v>1408</v>
      </c>
      <c r="F56" s="155" t="s">
        <v>1413</v>
      </c>
      <c r="G56" s="156" t="s">
        <v>30</v>
      </c>
      <c r="H56" s="156" t="s">
        <v>35</v>
      </c>
      <c r="I56" s="69" t="s">
        <v>1724</v>
      </c>
      <c r="J56" s="122">
        <v>1</v>
      </c>
      <c r="K56" s="15">
        <v>116310</v>
      </c>
      <c r="L56" s="16">
        <f t="shared" si="3"/>
        <v>116310</v>
      </c>
      <c r="M56" s="16">
        <v>11630</v>
      </c>
      <c r="N56" s="15">
        <f t="shared" si="4"/>
        <v>127940</v>
      </c>
      <c r="O56" s="5" t="s">
        <v>1842</v>
      </c>
      <c r="P56" s="9" t="s">
        <v>2644</v>
      </c>
      <c r="Q56" s="5" t="s">
        <v>144</v>
      </c>
      <c r="R56" s="213"/>
    </row>
    <row r="57" spans="1:21" ht="16.5" customHeight="1">
      <c r="A57" t="s">
        <v>64</v>
      </c>
      <c r="B57" s="10" t="s">
        <v>144</v>
      </c>
      <c r="C57" s="12"/>
      <c r="D57" s="13">
        <v>45762</v>
      </c>
      <c r="E57" s="155" t="s">
        <v>1408</v>
      </c>
      <c r="F57" s="155" t="s">
        <v>1413</v>
      </c>
      <c r="G57" s="156" t="s">
        <v>30</v>
      </c>
      <c r="H57" s="156" t="s">
        <v>35</v>
      </c>
      <c r="I57" s="69" t="s">
        <v>1725</v>
      </c>
      <c r="J57" s="122">
        <v>1</v>
      </c>
      <c r="K57" s="15">
        <v>12580</v>
      </c>
      <c r="L57" s="16">
        <f t="shared" si="3"/>
        <v>12580</v>
      </c>
      <c r="M57" s="16" t="s">
        <v>144</v>
      </c>
      <c r="N57" s="15">
        <f t="shared" si="4"/>
        <v>12580</v>
      </c>
      <c r="O57" s="5" t="s">
        <v>1842</v>
      </c>
      <c r="P57" s="9" t="s">
        <v>2644</v>
      </c>
      <c r="Q57" s="5" t="s">
        <v>144</v>
      </c>
      <c r="R57" s="209" t="s">
        <v>340</v>
      </c>
    </row>
    <row r="58" spans="1:21" ht="16.5" customHeight="1">
      <c r="A58" t="s">
        <v>64</v>
      </c>
      <c r="B58" s="10" t="s">
        <v>1745</v>
      </c>
      <c r="C58" s="12"/>
      <c r="D58" s="13">
        <v>45763</v>
      </c>
      <c r="E58" s="155" t="s">
        <v>1741</v>
      </c>
      <c r="F58" s="155"/>
      <c r="G58" s="156" t="s">
        <v>1742</v>
      </c>
      <c r="H58" s="156" t="s">
        <v>1743</v>
      </c>
      <c r="I58" s="69" t="s">
        <v>1744</v>
      </c>
      <c r="J58" s="124">
        <v>1</v>
      </c>
      <c r="K58" s="15">
        <v>295000</v>
      </c>
      <c r="L58" s="16">
        <f t="shared" si="3"/>
        <v>295000</v>
      </c>
      <c r="M58" s="16" t="s">
        <v>144</v>
      </c>
      <c r="N58" s="15">
        <f t="shared" si="4"/>
        <v>295000</v>
      </c>
      <c r="O58" s="5" t="s">
        <v>1842</v>
      </c>
      <c r="P58" s="9" t="s">
        <v>2644</v>
      </c>
      <c r="Q58" s="5" t="s">
        <v>1745</v>
      </c>
      <c r="R58" s="209"/>
    </row>
    <row r="59" spans="1:21" ht="16.5" customHeight="1">
      <c r="A59" t="s">
        <v>64</v>
      </c>
      <c r="B59" s="10" t="s">
        <v>1938</v>
      </c>
      <c r="C59" s="12"/>
      <c r="D59" s="13">
        <v>45763</v>
      </c>
      <c r="E59" s="155" t="s">
        <v>33</v>
      </c>
      <c r="F59" s="155" t="s">
        <v>45</v>
      </c>
      <c r="G59" s="156" t="s">
        <v>41</v>
      </c>
      <c r="H59" s="156" t="s">
        <v>1934</v>
      </c>
      <c r="I59" s="69" t="s">
        <v>1935</v>
      </c>
      <c r="J59" s="122">
        <v>2</v>
      </c>
      <c r="K59" s="15">
        <v>100000</v>
      </c>
      <c r="L59" s="16">
        <f t="shared" si="3"/>
        <v>200000</v>
      </c>
      <c r="M59" s="16">
        <f>L59*10%</f>
        <v>20000</v>
      </c>
      <c r="N59" s="15">
        <f t="shared" si="4"/>
        <v>220000</v>
      </c>
      <c r="O59" s="5" t="s">
        <v>2455</v>
      </c>
      <c r="P59" s="9" t="s">
        <v>2643</v>
      </c>
      <c r="Q59" s="5">
        <v>45777</v>
      </c>
      <c r="R59" s="209"/>
    </row>
    <row r="60" spans="1:21" ht="16.5" customHeight="1">
      <c r="A60" t="s">
        <v>64</v>
      </c>
      <c r="B60" s="10" t="s">
        <v>1917</v>
      </c>
      <c r="C60" s="12"/>
      <c r="D60" s="13">
        <v>45764</v>
      </c>
      <c r="E60" s="155" t="s">
        <v>33</v>
      </c>
      <c r="F60" s="155" t="s">
        <v>1918</v>
      </c>
      <c r="G60" s="156" t="s">
        <v>1919</v>
      </c>
      <c r="H60" s="156" t="s">
        <v>134</v>
      </c>
      <c r="I60" s="69" t="s">
        <v>1936</v>
      </c>
      <c r="J60" s="122">
        <v>1</v>
      </c>
      <c r="K60" s="15">
        <v>930000</v>
      </c>
      <c r="L60" s="16">
        <f t="shared" si="3"/>
        <v>930000</v>
      </c>
      <c r="M60" s="16">
        <f>L60*10%</f>
        <v>93000</v>
      </c>
      <c r="N60" s="15">
        <f t="shared" si="4"/>
        <v>1023000</v>
      </c>
      <c r="O60" s="5" t="s">
        <v>2455</v>
      </c>
      <c r="P60" s="9" t="s">
        <v>2636</v>
      </c>
      <c r="Q60" s="5">
        <v>45768</v>
      </c>
      <c r="R60" s="209"/>
    </row>
    <row r="61" spans="1:21" ht="84" customHeight="1">
      <c r="A61" t="s">
        <v>64</v>
      </c>
      <c r="B61" s="146" t="s">
        <v>144</v>
      </c>
      <c r="C61" s="12"/>
      <c r="D61" s="13">
        <v>45768</v>
      </c>
      <c r="E61" s="155" t="s">
        <v>371</v>
      </c>
      <c r="F61" s="155"/>
      <c r="G61" s="156" t="s">
        <v>30</v>
      </c>
      <c r="H61" s="156" t="s">
        <v>208</v>
      </c>
      <c r="I61" s="162" t="s">
        <v>1727</v>
      </c>
      <c r="J61" s="122">
        <v>1</v>
      </c>
      <c r="K61" s="15">
        <v>1449770</v>
      </c>
      <c r="L61" s="16">
        <v>1449770</v>
      </c>
      <c r="M61" s="16" t="s">
        <v>144</v>
      </c>
      <c r="N61" s="15">
        <f t="shared" si="4"/>
        <v>1449770</v>
      </c>
      <c r="O61" s="197" t="s">
        <v>1728</v>
      </c>
      <c r="P61" s="9" t="s">
        <v>2644</v>
      </c>
      <c r="Q61" s="5" t="s">
        <v>144</v>
      </c>
      <c r="R61" s="209" t="s">
        <v>340</v>
      </c>
    </row>
    <row r="62" spans="1:21" ht="16.5" customHeight="1">
      <c r="A62" t="s">
        <v>64</v>
      </c>
      <c r="B62" s="141" t="s">
        <v>285</v>
      </c>
      <c r="C62" s="144"/>
      <c r="D62" s="13">
        <v>45768</v>
      </c>
      <c r="E62" s="155" t="s">
        <v>286</v>
      </c>
      <c r="F62" s="164" t="s">
        <v>105</v>
      </c>
      <c r="G62" s="158" t="s">
        <v>7</v>
      </c>
      <c r="H62" s="165" t="s">
        <v>102</v>
      </c>
      <c r="I62" s="166" t="s">
        <v>2097</v>
      </c>
      <c r="J62" s="127">
        <v>1</v>
      </c>
      <c r="K62" s="15">
        <v>600000</v>
      </c>
      <c r="L62" s="16">
        <f>J62*K62</f>
        <v>600000</v>
      </c>
      <c r="M62" s="16">
        <f>L62*10%</f>
        <v>60000</v>
      </c>
      <c r="N62" s="15">
        <f t="shared" si="4"/>
        <v>660000</v>
      </c>
      <c r="O62" s="5" t="s">
        <v>2228</v>
      </c>
      <c r="P62" s="9" t="s">
        <v>2634</v>
      </c>
      <c r="Q62" s="5">
        <v>45777</v>
      </c>
      <c r="R62" s="209"/>
      <c r="T62" s="11"/>
    </row>
    <row r="63" spans="1:21" ht="16.5" customHeight="1">
      <c r="A63" t="s">
        <v>64</v>
      </c>
      <c r="B63" s="143" t="s">
        <v>210</v>
      </c>
      <c r="C63" s="144"/>
      <c r="D63" s="13">
        <v>45768</v>
      </c>
      <c r="E63" s="155" t="s">
        <v>211</v>
      </c>
      <c r="F63" s="155" t="s">
        <v>212</v>
      </c>
      <c r="G63" s="157" t="s">
        <v>98</v>
      </c>
      <c r="H63" s="157" t="s">
        <v>213</v>
      </c>
      <c r="I63" s="159" t="s">
        <v>1638</v>
      </c>
      <c r="J63" s="127">
        <v>1</v>
      </c>
      <c r="K63" s="15">
        <v>370000</v>
      </c>
      <c r="L63" s="15">
        <f>J63*K63</f>
        <v>370000</v>
      </c>
      <c r="M63" s="123">
        <f>L63*10%</f>
        <v>37000</v>
      </c>
      <c r="N63" s="15">
        <f t="shared" si="4"/>
        <v>407000</v>
      </c>
      <c r="O63" s="5" t="s">
        <v>1842</v>
      </c>
      <c r="P63" s="177" t="s">
        <v>2636</v>
      </c>
      <c r="Q63" s="5">
        <v>45767</v>
      </c>
      <c r="R63" s="211"/>
      <c r="S63" s="7"/>
      <c r="T63" s="11"/>
    </row>
    <row r="64" spans="1:21" ht="16.5" customHeight="1">
      <c r="A64" t="s">
        <v>64</v>
      </c>
      <c r="B64" s="10" t="s">
        <v>1921</v>
      </c>
      <c r="C64" s="12"/>
      <c r="D64" s="13">
        <v>45768</v>
      </c>
      <c r="E64" s="155" t="s">
        <v>33</v>
      </c>
      <c r="F64" s="155" t="s">
        <v>1920</v>
      </c>
      <c r="G64" s="156" t="s">
        <v>41</v>
      </c>
      <c r="H64" s="156" t="s">
        <v>1923</v>
      </c>
      <c r="I64" s="69" t="s">
        <v>1924</v>
      </c>
      <c r="J64" s="122">
        <v>1</v>
      </c>
      <c r="K64" s="15">
        <v>120000</v>
      </c>
      <c r="L64" s="16">
        <v>220000</v>
      </c>
      <c r="M64" s="16">
        <f>L64*10%</f>
        <v>22000</v>
      </c>
      <c r="N64" s="15">
        <f t="shared" si="4"/>
        <v>242000</v>
      </c>
      <c r="O64" s="5" t="s">
        <v>2455</v>
      </c>
      <c r="P64" s="9" t="s">
        <v>2636</v>
      </c>
      <c r="Q64" s="5">
        <v>45777</v>
      </c>
      <c r="R64" s="209"/>
    </row>
    <row r="65" spans="1:20" ht="16.5" customHeight="1">
      <c r="A65" t="s">
        <v>64</v>
      </c>
      <c r="B65" s="10" t="s">
        <v>1922</v>
      </c>
      <c r="C65" s="145"/>
      <c r="D65" s="65"/>
      <c r="E65" s="160" t="s">
        <v>33</v>
      </c>
      <c r="F65" s="160" t="s">
        <v>1920</v>
      </c>
      <c r="G65" s="156" t="s">
        <v>41</v>
      </c>
      <c r="H65" s="156" t="s">
        <v>1925</v>
      </c>
      <c r="I65" s="69" t="s">
        <v>1926</v>
      </c>
      <c r="J65" s="122">
        <v>1</v>
      </c>
      <c r="K65" s="15">
        <v>100000</v>
      </c>
      <c r="L65" s="125"/>
      <c r="M65" s="125"/>
      <c r="N65" s="126">
        <f t="shared" si="4"/>
        <v>0</v>
      </c>
      <c r="O65" s="99"/>
      <c r="P65" s="176"/>
      <c r="Q65" s="99"/>
      <c r="R65" s="209"/>
    </row>
    <row r="66" spans="1:20" ht="16.5" customHeight="1">
      <c r="A66" t="s">
        <v>64</v>
      </c>
      <c r="B66" s="10" t="s">
        <v>1795</v>
      </c>
      <c r="C66" s="12"/>
      <c r="D66" s="13">
        <v>45769</v>
      </c>
      <c r="E66" s="155" t="s">
        <v>33</v>
      </c>
      <c r="F66" s="155" t="s">
        <v>1920</v>
      </c>
      <c r="G66" s="156" t="s">
        <v>41</v>
      </c>
      <c r="H66" s="156" t="s">
        <v>1797</v>
      </c>
      <c r="I66" s="69" t="s">
        <v>1798</v>
      </c>
      <c r="J66" s="122">
        <v>1</v>
      </c>
      <c r="K66" s="15">
        <v>1200000</v>
      </c>
      <c r="L66" s="16">
        <f>J66*K66</f>
        <v>1200000</v>
      </c>
      <c r="M66" s="16">
        <f>L66*10%</f>
        <v>120000</v>
      </c>
      <c r="N66" s="15">
        <f t="shared" si="4"/>
        <v>1320000</v>
      </c>
      <c r="O66" s="5" t="s">
        <v>2455</v>
      </c>
      <c r="P66" s="9" t="s">
        <v>2636</v>
      </c>
      <c r="Q66" s="5">
        <v>45777</v>
      </c>
      <c r="R66" s="209"/>
    </row>
    <row r="67" spans="1:20" ht="16.5" customHeight="1">
      <c r="A67" t="s">
        <v>64</v>
      </c>
      <c r="B67" s="10" t="s">
        <v>1792</v>
      </c>
      <c r="C67" s="12"/>
      <c r="D67" s="13">
        <v>45769</v>
      </c>
      <c r="E67" s="155" t="s">
        <v>1739</v>
      </c>
      <c r="F67" s="155" t="s">
        <v>1791</v>
      </c>
      <c r="G67" s="156" t="s">
        <v>1793</v>
      </c>
      <c r="H67" s="156" t="s">
        <v>1794</v>
      </c>
      <c r="I67" s="69" t="s">
        <v>1740</v>
      </c>
      <c r="J67" s="122">
        <v>1</v>
      </c>
      <c r="K67" s="15">
        <v>800000</v>
      </c>
      <c r="L67" s="16">
        <f>J67*K67</f>
        <v>800000</v>
      </c>
      <c r="M67" s="16">
        <f>L67*10%</f>
        <v>80000</v>
      </c>
      <c r="N67" s="15">
        <f t="shared" si="4"/>
        <v>880000</v>
      </c>
      <c r="O67" s="5" t="s">
        <v>2228</v>
      </c>
      <c r="P67" s="177" t="s">
        <v>2636</v>
      </c>
      <c r="Q67" s="5">
        <v>45777</v>
      </c>
      <c r="R67" s="213"/>
    </row>
    <row r="68" spans="1:20" ht="16.5" customHeight="1">
      <c r="A68" t="s">
        <v>64</v>
      </c>
      <c r="B68" s="10" t="s">
        <v>1796</v>
      </c>
      <c r="C68" s="12"/>
      <c r="D68" s="13">
        <v>45770</v>
      </c>
      <c r="E68" s="155" t="s">
        <v>33</v>
      </c>
      <c r="F68" s="155" t="s">
        <v>2632</v>
      </c>
      <c r="G68" s="156" t="s">
        <v>41</v>
      </c>
      <c r="H68" s="156" t="s">
        <v>1799</v>
      </c>
      <c r="I68" s="69" t="s">
        <v>1800</v>
      </c>
      <c r="J68" s="122">
        <v>3</v>
      </c>
      <c r="K68" s="15">
        <v>90000</v>
      </c>
      <c r="L68" s="16">
        <f>J68*K68</f>
        <v>270000</v>
      </c>
      <c r="M68" s="16">
        <f>L68*10%</f>
        <v>27000</v>
      </c>
      <c r="N68" s="15">
        <f t="shared" si="4"/>
        <v>297000</v>
      </c>
      <c r="O68" s="5" t="s">
        <v>2455</v>
      </c>
      <c r="P68" s="9" t="s">
        <v>2636</v>
      </c>
      <c r="Q68" s="5">
        <v>45777</v>
      </c>
      <c r="R68" s="209"/>
    </row>
    <row r="69" spans="1:20" ht="16.5" customHeight="1">
      <c r="A69" t="s">
        <v>64</v>
      </c>
      <c r="B69" s="10" t="s">
        <v>144</v>
      </c>
      <c r="C69" s="12"/>
      <c r="D69" s="13">
        <v>45772</v>
      </c>
      <c r="E69" s="155" t="s">
        <v>149</v>
      </c>
      <c r="F69" s="155"/>
      <c r="G69" s="156" t="s">
        <v>30</v>
      </c>
      <c r="H69" s="157" t="s">
        <v>208</v>
      </c>
      <c r="I69" s="69" t="s">
        <v>1748</v>
      </c>
      <c r="J69" s="122">
        <v>1</v>
      </c>
      <c r="K69" s="15">
        <f>371000/1.1</f>
        <v>337272.72727272724</v>
      </c>
      <c r="L69" s="16">
        <v>437273</v>
      </c>
      <c r="M69" s="187">
        <v>43727</v>
      </c>
      <c r="N69" s="15">
        <f t="shared" si="4"/>
        <v>481000</v>
      </c>
      <c r="O69" s="5" t="s">
        <v>1747</v>
      </c>
      <c r="P69" s="177" t="s">
        <v>2644</v>
      </c>
      <c r="Q69" s="5" t="s">
        <v>144</v>
      </c>
      <c r="R69" s="209" t="s">
        <v>339</v>
      </c>
    </row>
    <row r="70" spans="1:20" ht="16.5" customHeight="1">
      <c r="A70" t="s">
        <v>64</v>
      </c>
      <c r="B70" s="10" t="s">
        <v>144</v>
      </c>
      <c r="C70" s="145"/>
      <c r="D70" s="65"/>
      <c r="E70" s="160" t="s">
        <v>149</v>
      </c>
      <c r="F70" s="160"/>
      <c r="G70" s="156" t="s">
        <v>30</v>
      </c>
      <c r="H70" s="157" t="s">
        <v>208</v>
      </c>
      <c r="I70" s="69" t="s">
        <v>1749</v>
      </c>
      <c r="J70" s="122">
        <v>1</v>
      </c>
      <c r="K70" s="15">
        <v>100000</v>
      </c>
      <c r="L70" s="125"/>
      <c r="M70" s="125"/>
      <c r="N70" s="126"/>
      <c r="O70" s="5" t="s">
        <v>263</v>
      </c>
      <c r="P70" s="9" t="s">
        <v>2644</v>
      </c>
      <c r="Q70" s="5" t="s">
        <v>144</v>
      </c>
      <c r="R70" s="209"/>
    </row>
    <row r="71" spans="1:20" ht="16.5" customHeight="1">
      <c r="A71" t="s">
        <v>64</v>
      </c>
      <c r="B71" s="10" t="s">
        <v>144</v>
      </c>
      <c r="C71" s="12"/>
      <c r="D71" s="13">
        <v>45772</v>
      </c>
      <c r="E71" s="155" t="s">
        <v>115</v>
      </c>
      <c r="F71" s="155"/>
      <c r="G71" s="156" t="s">
        <v>30</v>
      </c>
      <c r="H71" s="157" t="s">
        <v>208</v>
      </c>
      <c r="I71" s="69" t="s">
        <v>1750</v>
      </c>
      <c r="J71" s="122">
        <v>1</v>
      </c>
      <c r="K71" s="15">
        <v>342614</v>
      </c>
      <c r="L71" s="16">
        <f t="shared" ref="L71:L88" si="5">J71*K71</f>
        <v>342614</v>
      </c>
      <c r="M71" s="187">
        <v>34261</v>
      </c>
      <c r="N71" s="15">
        <f t="shared" ref="N71:N118" si="6">SUM(L71:M71)</f>
        <v>376875</v>
      </c>
      <c r="O71" s="5" t="s">
        <v>1747</v>
      </c>
      <c r="P71" s="177" t="s">
        <v>2644</v>
      </c>
      <c r="Q71" s="5" t="s">
        <v>144</v>
      </c>
      <c r="R71" s="209" t="s">
        <v>339</v>
      </c>
      <c r="S71" s="101"/>
      <c r="T71" s="11"/>
    </row>
    <row r="72" spans="1:20" ht="16.5" customHeight="1">
      <c r="A72" t="s">
        <v>64</v>
      </c>
      <c r="B72" s="10" t="s">
        <v>144</v>
      </c>
      <c r="C72" s="12"/>
      <c r="D72" s="13">
        <v>45772</v>
      </c>
      <c r="E72" s="155" t="s">
        <v>115</v>
      </c>
      <c r="F72" s="155"/>
      <c r="G72" s="156" t="s">
        <v>30</v>
      </c>
      <c r="H72" s="157" t="s">
        <v>208</v>
      </c>
      <c r="I72" s="69" t="s">
        <v>1751</v>
      </c>
      <c r="J72" s="122">
        <v>1</v>
      </c>
      <c r="K72" s="15">
        <v>234659</v>
      </c>
      <c r="L72" s="16">
        <f t="shared" si="5"/>
        <v>234659</v>
      </c>
      <c r="M72" s="187">
        <v>23466</v>
      </c>
      <c r="N72" s="15">
        <f t="shared" si="6"/>
        <v>258125</v>
      </c>
      <c r="O72" s="5" t="s">
        <v>262</v>
      </c>
      <c r="P72" s="177" t="s">
        <v>2644</v>
      </c>
      <c r="Q72" s="5" t="s">
        <v>144</v>
      </c>
      <c r="R72" s="209" t="s">
        <v>339</v>
      </c>
      <c r="S72" s="101"/>
      <c r="T72" s="11"/>
    </row>
    <row r="73" spans="1:20" ht="16.5" customHeight="1">
      <c r="A73" t="s">
        <v>64</v>
      </c>
      <c r="B73" s="10" t="s">
        <v>144</v>
      </c>
      <c r="C73" s="12"/>
      <c r="D73" s="13">
        <v>45772</v>
      </c>
      <c r="E73" s="155" t="s">
        <v>115</v>
      </c>
      <c r="F73" s="155"/>
      <c r="G73" s="156" t="s">
        <v>30</v>
      </c>
      <c r="H73" s="157" t="s">
        <v>208</v>
      </c>
      <c r="I73" s="69" t="s">
        <v>1752</v>
      </c>
      <c r="J73" s="122">
        <v>1</v>
      </c>
      <c r="K73" s="15">
        <v>488069</v>
      </c>
      <c r="L73" s="16">
        <f t="shared" si="5"/>
        <v>488069</v>
      </c>
      <c r="M73" s="187">
        <v>48806</v>
      </c>
      <c r="N73" s="15">
        <f t="shared" si="6"/>
        <v>536875</v>
      </c>
      <c r="O73" s="5" t="s">
        <v>1747</v>
      </c>
      <c r="P73" s="177" t="s">
        <v>2644</v>
      </c>
      <c r="Q73" s="5" t="s">
        <v>144</v>
      </c>
      <c r="R73" s="209" t="s">
        <v>339</v>
      </c>
      <c r="S73" s="101"/>
      <c r="T73" s="11"/>
    </row>
    <row r="74" spans="1:20" ht="16.5" customHeight="1">
      <c r="A74" t="s">
        <v>64</v>
      </c>
      <c r="B74" s="10" t="s">
        <v>144</v>
      </c>
      <c r="C74" s="12"/>
      <c r="D74" s="13">
        <v>45772</v>
      </c>
      <c r="E74" s="155" t="s">
        <v>115</v>
      </c>
      <c r="F74" s="155"/>
      <c r="G74" s="156" t="s">
        <v>30</v>
      </c>
      <c r="H74" s="157" t="s">
        <v>208</v>
      </c>
      <c r="I74" s="69" t="s">
        <v>1753</v>
      </c>
      <c r="J74" s="122">
        <v>1</v>
      </c>
      <c r="K74" s="15">
        <v>307386</v>
      </c>
      <c r="L74" s="16">
        <f t="shared" si="5"/>
        <v>307386</v>
      </c>
      <c r="M74" s="187">
        <v>30739</v>
      </c>
      <c r="N74" s="15">
        <f t="shared" si="6"/>
        <v>338125</v>
      </c>
      <c r="O74" s="5" t="s">
        <v>262</v>
      </c>
      <c r="P74" s="177" t="s">
        <v>2644</v>
      </c>
      <c r="Q74" s="5" t="s">
        <v>144</v>
      </c>
      <c r="R74" s="209" t="s">
        <v>339</v>
      </c>
      <c r="S74" s="101"/>
      <c r="T74" s="11"/>
    </row>
    <row r="75" spans="1:20" ht="16.5" customHeight="1">
      <c r="A75" t="s">
        <v>64</v>
      </c>
      <c r="B75" s="10" t="s">
        <v>1738</v>
      </c>
      <c r="C75" s="12"/>
      <c r="D75" s="13">
        <v>45772</v>
      </c>
      <c r="E75" s="155" t="s">
        <v>2630</v>
      </c>
      <c r="F75" s="155" t="s">
        <v>1518</v>
      </c>
      <c r="G75" s="156" t="s">
        <v>7</v>
      </c>
      <c r="H75" s="156" t="s">
        <v>1516</v>
      </c>
      <c r="I75" s="69" t="s">
        <v>1779</v>
      </c>
      <c r="J75" s="132">
        <v>1</v>
      </c>
      <c r="K75" s="15">
        <v>8000000</v>
      </c>
      <c r="L75" s="16">
        <f t="shared" si="5"/>
        <v>8000000</v>
      </c>
      <c r="M75" s="16">
        <f t="shared" ref="M75:M83" si="7">L75*10%</f>
        <v>800000</v>
      </c>
      <c r="N75" s="15">
        <f t="shared" si="6"/>
        <v>8800000</v>
      </c>
      <c r="O75" s="5" t="s">
        <v>1787</v>
      </c>
      <c r="P75" s="9" t="s">
        <v>2634</v>
      </c>
      <c r="Q75" s="5" t="s">
        <v>1778</v>
      </c>
      <c r="R75" s="213"/>
    </row>
    <row r="76" spans="1:20" ht="16.5" customHeight="1">
      <c r="A76" t="s">
        <v>64</v>
      </c>
      <c r="B76" s="10" t="s">
        <v>1737</v>
      </c>
      <c r="C76" s="12"/>
      <c r="D76" s="13">
        <v>45772</v>
      </c>
      <c r="E76" s="155" t="s">
        <v>2630</v>
      </c>
      <c r="F76" s="155" t="s">
        <v>264</v>
      </c>
      <c r="G76" s="156" t="s">
        <v>7</v>
      </c>
      <c r="H76" s="156" t="s">
        <v>157</v>
      </c>
      <c r="I76" s="69" t="s">
        <v>2602</v>
      </c>
      <c r="J76" s="132">
        <v>1</v>
      </c>
      <c r="K76" s="15">
        <v>2100000</v>
      </c>
      <c r="L76" s="16">
        <f t="shared" si="5"/>
        <v>2100000</v>
      </c>
      <c r="M76" s="16">
        <f t="shared" si="7"/>
        <v>210000</v>
      </c>
      <c r="N76" s="15">
        <f t="shared" si="6"/>
        <v>2310000</v>
      </c>
      <c r="O76" s="5" t="s">
        <v>1787</v>
      </c>
      <c r="P76" s="9" t="s">
        <v>2634</v>
      </c>
      <c r="Q76" s="5" t="s">
        <v>2603</v>
      </c>
      <c r="R76" s="209"/>
    </row>
    <row r="77" spans="1:20" ht="16.5" customHeight="1">
      <c r="A77" t="s">
        <v>64</v>
      </c>
      <c r="B77" s="10" t="s">
        <v>1506</v>
      </c>
      <c r="C77" s="12"/>
      <c r="D77" s="13">
        <v>45772</v>
      </c>
      <c r="E77" s="155" t="s">
        <v>2630</v>
      </c>
      <c r="F77" s="155" t="s">
        <v>1504</v>
      </c>
      <c r="G77" s="156" t="s">
        <v>7</v>
      </c>
      <c r="H77" s="156" t="s">
        <v>1463</v>
      </c>
      <c r="I77" s="69" t="s">
        <v>1505</v>
      </c>
      <c r="J77" s="132">
        <v>1</v>
      </c>
      <c r="K77" s="15">
        <v>5000000</v>
      </c>
      <c r="L77" s="16">
        <f t="shared" si="5"/>
        <v>5000000</v>
      </c>
      <c r="M77" s="16">
        <f t="shared" si="7"/>
        <v>500000</v>
      </c>
      <c r="N77" s="15">
        <f t="shared" si="6"/>
        <v>5500000</v>
      </c>
      <c r="O77" s="5" t="s">
        <v>1787</v>
      </c>
      <c r="P77" s="9" t="s">
        <v>2634</v>
      </c>
      <c r="Q77" s="5" t="s">
        <v>1781</v>
      </c>
      <c r="R77" s="213"/>
    </row>
    <row r="78" spans="1:20" ht="16.5" customHeight="1">
      <c r="A78" t="s">
        <v>64</v>
      </c>
      <c r="B78" s="10" t="s">
        <v>1771</v>
      </c>
      <c r="C78" s="12"/>
      <c r="D78" s="13">
        <v>45772</v>
      </c>
      <c r="E78" s="155" t="s">
        <v>2630</v>
      </c>
      <c r="F78" s="155" t="s">
        <v>1765</v>
      </c>
      <c r="G78" s="156" t="s">
        <v>7</v>
      </c>
      <c r="H78" s="156" t="s">
        <v>157</v>
      </c>
      <c r="I78" s="69" t="s">
        <v>1766</v>
      </c>
      <c r="J78" s="132">
        <v>1</v>
      </c>
      <c r="K78" s="15">
        <v>2000000</v>
      </c>
      <c r="L78" s="16">
        <f t="shared" si="5"/>
        <v>2000000</v>
      </c>
      <c r="M78" s="16">
        <f t="shared" si="7"/>
        <v>200000</v>
      </c>
      <c r="N78" s="15">
        <f t="shared" si="6"/>
        <v>2200000</v>
      </c>
      <c r="O78" s="5" t="s">
        <v>1787</v>
      </c>
      <c r="P78" s="9" t="s">
        <v>2636</v>
      </c>
      <c r="Q78" s="5" t="s">
        <v>1772</v>
      </c>
      <c r="R78" s="213"/>
    </row>
    <row r="79" spans="1:20" ht="16.5" customHeight="1">
      <c r="A79" t="s">
        <v>64</v>
      </c>
      <c r="B79" s="10" t="s">
        <v>1774</v>
      </c>
      <c r="C79" s="12"/>
      <c r="D79" s="13">
        <v>45772</v>
      </c>
      <c r="E79" s="155" t="s">
        <v>2630</v>
      </c>
      <c r="F79" s="155" t="s">
        <v>1773</v>
      </c>
      <c r="G79" s="156" t="s">
        <v>7</v>
      </c>
      <c r="H79" s="156" t="s">
        <v>1767</v>
      </c>
      <c r="I79" s="69" t="s">
        <v>1775</v>
      </c>
      <c r="J79" s="132">
        <v>1</v>
      </c>
      <c r="K79" s="15">
        <v>11400000</v>
      </c>
      <c r="L79" s="16">
        <f t="shared" si="5"/>
        <v>11400000</v>
      </c>
      <c r="M79" s="16">
        <f t="shared" si="7"/>
        <v>1140000</v>
      </c>
      <c r="N79" s="15">
        <f t="shared" si="6"/>
        <v>12540000</v>
      </c>
      <c r="O79" s="5" t="s">
        <v>1787</v>
      </c>
      <c r="P79" s="9" t="s">
        <v>2636</v>
      </c>
      <c r="Q79" s="5" t="s">
        <v>1776</v>
      </c>
      <c r="R79" s="209" t="s">
        <v>398</v>
      </c>
    </row>
    <row r="80" spans="1:20" ht="16.5" customHeight="1">
      <c r="A80" t="s">
        <v>64</v>
      </c>
      <c r="B80" s="10" t="s">
        <v>489</v>
      </c>
      <c r="C80" s="12"/>
      <c r="D80" s="13">
        <v>45772</v>
      </c>
      <c r="E80" s="155" t="s">
        <v>2630</v>
      </c>
      <c r="F80" s="155" t="s">
        <v>424</v>
      </c>
      <c r="G80" s="156" t="s">
        <v>7</v>
      </c>
      <c r="H80" s="156" t="s">
        <v>311</v>
      </c>
      <c r="I80" s="69" t="s">
        <v>2221</v>
      </c>
      <c r="J80" s="132">
        <v>1</v>
      </c>
      <c r="K80" s="15">
        <v>600000</v>
      </c>
      <c r="L80" s="16">
        <f t="shared" si="5"/>
        <v>600000</v>
      </c>
      <c r="M80" s="16">
        <f t="shared" si="7"/>
        <v>60000</v>
      </c>
      <c r="N80" s="15">
        <f t="shared" si="6"/>
        <v>660000</v>
      </c>
      <c r="O80" s="5" t="s">
        <v>1787</v>
      </c>
      <c r="P80" s="9" t="s">
        <v>2636</v>
      </c>
      <c r="Q80" s="5" t="s">
        <v>501</v>
      </c>
      <c r="R80" s="209" t="s">
        <v>398</v>
      </c>
    </row>
    <row r="81" spans="1:20" ht="16.5" customHeight="1">
      <c r="A81" t="s">
        <v>64</v>
      </c>
      <c r="B81" s="10" t="s">
        <v>1517</v>
      </c>
      <c r="C81" s="12"/>
      <c r="D81" s="13">
        <v>45772</v>
      </c>
      <c r="E81" s="155" t="s">
        <v>2630</v>
      </c>
      <c r="F81" s="155" t="s">
        <v>1515</v>
      </c>
      <c r="G81" s="156" t="s">
        <v>7</v>
      </c>
      <c r="H81" s="156" t="s">
        <v>1516</v>
      </c>
      <c r="I81" s="69" t="s">
        <v>2574</v>
      </c>
      <c r="J81" s="132">
        <v>1</v>
      </c>
      <c r="K81" s="15">
        <v>1500000</v>
      </c>
      <c r="L81" s="16">
        <f t="shared" si="5"/>
        <v>1500000</v>
      </c>
      <c r="M81" s="16">
        <f t="shared" si="7"/>
        <v>150000</v>
      </c>
      <c r="N81" s="15">
        <f t="shared" si="6"/>
        <v>1650000</v>
      </c>
      <c r="O81" s="5" t="s">
        <v>1787</v>
      </c>
      <c r="P81" s="9" t="s">
        <v>2635</v>
      </c>
      <c r="Q81" s="5" t="s">
        <v>1785</v>
      </c>
      <c r="R81" s="213"/>
    </row>
    <row r="82" spans="1:20" ht="16.5" customHeight="1">
      <c r="A82" t="s">
        <v>64</v>
      </c>
      <c r="B82" s="10" t="s">
        <v>1501</v>
      </c>
      <c r="C82" s="12"/>
      <c r="D82" s="13">
        <v>45772</v>
      </c>
      <c r="E82" s="155" t="s">
        <v>2630</v>
      </c>
      <c r="F82" s="155" t="s">
        <v>1499</v>
      </c>
      <c r="G82" s="156" t="s">
        <v>7</v>
      </c>
      <c r="H82" s="156" t="s">
        <v>1500</v>
      </c>
      <c r="I82" s="69" t="s">
        <v>1780</v>
      </c>
      <c r="J82" s="132">
        <v>1</v>
      </c>
      <c r="K82" s="15">
        <v>3400000</v>
      </c>
      <c r="L82" s="16">
        <f t="shared" si="5"/>
        <v>3400000</v>
      </c>
      <c r="M82" s="16">
        <f t="shared" si="7"/>
        <v>340000</v>
      </c>
      <c r="N82" s="15">
        <f t="shared" si="6"/>
        <v>3740000</v>
      </c>
      <c r="O82" s="5" t="s">
        <v>1787</v>
      </c>
      <c r="P82" s="9" t="s">
        <v>2636</v>
      </c>
      <c r="Q82" s="5" t="s">
        <v>1502</v>
      </c>
      <c r="R82" s="213" t="s">
        <v>1503</v>
      </c>
    </row>
    <row r="83" spans="1:20" ht="16.5" customHeight="1">
      <c r="A83" t="s">
        <v>64</v>
      </c>
      <c r="B83" s="10" t="s">
        <v>1777</v>
      </c>
      <c r="C83" s="12"/>
      <c r="D83" s="13">
        <v>45772</v>
      </c>
      <c r="E83" s="155" t="s">
        <v>2630</v>
      </c>
      <c r="F83" s="155" t="s">
        <v>1768</v>
      </c>
      <c r="G83" s="156" t="s">
        <v>7</v>
      </c>
      <c r="H83" s="156" t="s">
        <v>1769</v>
      </c>
      <c r="I83" s="69" t="s">
        <v>1770</v>
      </c>
      <c r="J83" s="132">
        <v>1</v>
      </c>
      <c r="K83" s="15">
        <v>1000000</v>
      </c>
      <c r="L83" s="16">
        <f t="shared" si="5"/>
        <v>1000000</v>
      </c>
      <c r="M83" s="16">
        <f t="shared" si="7"/>
        <v>100000</v>
      </c>
      <c r="N83" s="15">
        <f t="shared" si="6"/>
        <v>1100000</v>
      </c>
      <c r="O83" s="5" t="s">
        <v>1787</v>
      </c>
      <c r="P83" s="9" t="s">
        <v>2636</v>
      </c>
      <c r="Q83" s="5" t="s">
        <v>1786</v>
      </c>
      <c r="R83" s="213"/>
    </row>
    <row r="84" spans="1:20" ht="16.5" customHeight="1">
      <c r="A84" t="s">
        <v>64</v>
      </c>
      <c r="B84" s="141" t="s">
        <v>144</v>
      </c>
      <c r="C84" s="148"/>
      <c r="D84" s="13">
        <v>45772</v>
      </c>
      <c r="E84" s="155" t="s">
        <v>21</v>
      </c>
      <c r="F84" s="155"/>
      <c r="G84" s="156" t="s">
        <v>30</v>
      </c>
      <c r="H84" s="156" t="s">
        <v>265</v>
      </c>
      <c r="I84" s="69" t="s">
        <v>2640</v>
      </c>
      <c r="J84" s="124">
        <v>1</v>
      </c>
      <c r="K84" s="16">
        <v>272727</v>
      </c>
      <c r="L84" s="16">
        <f t="shared" si="5"/>
        <v>272727</v>
      </c>
      <c r="M84" s="189">
        <v>27273</v>
      </c>
      <c r="N84" s="15">
        <f t="shared" si="6"/>
        <v>300000</v>
      </c>
      <c r="O84" s="5" t="s">
        <v>1788</v>
      </c>
      <c r="P84" s="177" t="s">
        <v>2644</v>
      </c>
      <c r="Q84" s="68" t="s">
        <v>206</v>
      </c>
      <c r="R84" s="209" t="s">
        <v>339</v>
      </c>
      <c r="S84" s="7"/>
      <c r="T84" s="11"/>
    </row>
    <row r="85" spans="1:20" ht="16.5" customHeight="1">
      <c r="A85" t="s">
        <v>64</v>
      </c>
      <c r="B85" s="10" t="s">
        <v>144</v>
      </c>
      <c r="C85" s="12"/>
      <c r="D85" s="13">
        <v>45772</v>
      </c>
      <c r="E85" s="155" t="s">
        <v>400</v>
      </c>
      <c r="F85" s="155"/>
      <c r="G85" s="156" t="s">
        <v>30</v>
      </c>
      <c r="H85" s="156" t="s">
        <v>145</v>
      </c>
      <c r="I85" s="69" t="s">
        <v>1754</v>
      </c>
      <c r="J85" s="122">
        <v>1</v>
      </c>
      <c r="K85" s="16">
        <v>160000</v>
      </c>
      <c r="L85" s="16">
        <f t="shared" si="5"/>
        <v>160000</v>
      </c>
      <c r="M85" s="123">
        <f>L85*10%</f>
        <v>16000</v>
      </c>
      <c r="N85" s="15">
        <f t="shared" si="6"/>
        <v>176000</v>
      </c>
      <c r="O85" s="5" t="s">
        <v>1842</v>
      </c>
      <c r="P85" s="177" t="s">
        <v>2644</v>
      </c>
      <c r="Q85" s="5" t="s">
        <v>144</v>
      </c>
      <c r="R85" s="209"/>
    </row>
    <row r="86" spans="1:20" ht="16.5" customHeight="1">
      <c r="A86" t="s">
        <v>64</v>
      </c>
      <c r="B86" s="10" t="s">
        <v>312</v>
      </c>
      <c r="C86" s="12"/>
      <c r="D86" s="13">
        <v>45772</v>
      </c>
      <c r="E86" s="155" t="s">
        <v>155</v>
      </c>
      <c r="F86" s="155" t="s">
        <v>264</v>
      </c>
      <c r="G86" s="157" t="s">
        <v>98</v>
      </c>
      <c r="H86" s="156" t="s">
        <v>102</v>
      </c>
      <c r="I86" s="69" t="s">
        <v>1639</v>
      </c>
      <c r="J86" s="122">
        <v>1</v>
      </c>
      <c r="K86" s="15">
        <v>200000</v>
      </c>
      <c r="L86" s="16">
        <f t="shared" si="5"/>
        <v>200000</v>
      </c>
      <c r="M86" s="16">
        <f>L86*10%</f>
        <v>20000</v>
      </c>
      <c r="N86" s="15">
        <f t="shared" si="6"/>
        <v>220000</v>
      </c>
      <c r="O86" s="5" t="s">
        <v>2228</v>
      </c>
      <c r="P86" s="9" t="s">
        <v>2634</v>
      </c>
      <c r="Q86" s="5">
        <v>45767</v>
      </c>
      <c r="R86" s="209"/>
      <c r="T86" s="11"/>
    </row>
    <row r="87" spans="1:20" ht="16.5" customHeight="1">
      <c r="A87" t="s">
        <v>64</v>
      </c>
      <c r="B87" s="10" t="s">
        <v>1713</v>
      </c>
      <c r="C87" s="12"/>
      <c r="D87" s="13">
        <v>45772</v>
      </c>
      <c r="E87" s="155" t="s">
        <v>1663</v>
      </c>
      <c r="F87" s="155" t="s">
        <v>1664</v>
      </c>
      <c r="G87" s="157" t="s">
        <v>98</v>
      </c>
      <c r="H87" s="157" t="s">
        <v>213</v>
      </c>
      <c r="I87" s="69" t="s">
        <v>1665</v>
      </c>
      <c r="J87" s="122">
        <v>1</v>
      </c>
      <c r="K87" s="15">
        <v>500000</v>
      </c>
      <c r="L87" s="16">
        <f t="shared" si="5"/>
        <v>500000</v>
      </c>
      <c r="M87" s="16">
        <f>L87*10%</f>
        <v>50000</v>
      </c>
      <c r="N87" s="15">
        <f t="shared" si="6"/>
        <v>550000</v>
      </c>
      <c r="O87" s="5" t="s">
        <v>2455</v>
      </c>
      <c r="P87" s="9" t="s">
        <v>2636</v>
      </c>
      <c r="Q87" s="5">
        <v>45777</v>
      </c>
      <c r="R87" s="209"/>
    </row>
    <row r="88" spans="1:20" ht="16.5" customHeight="1">
      <c r="A88" t="s">
        <v>64</v>
      </c>
      <c r="B88" s="141" t="s">
        <v>354</v>
      </c>
      <c r="C88" s="142"/>
      <c r="D88" s="13">
        <v>45772</v>
      </c>
      <c r="E88" s="155" t="s">
        <v>31</v>
      </c>
      <c r="F88" s="155" t="s">
        <v>1729</v>
      </c>
      <c r="G88" s="156" t="s">
        <v>7</v>
      </c>
      <c r="H88" s="156" t="s">
        <v>102</v>
      </c>
      <c r="I88" s="69" t="s">
        <v>1789</v>
      </c>
      <c r="J88" s="132">
        <v>1</v>
      </c>
      <c r="K88" s="16">
        <v>300000</v>
      </c>
      <c r="L88" s="16">
        <f t="shared" si="5"/>
        <v>300000</v>
      </c>
      <c r="M88" s="16">
        <f>L88*10%</f>
        <v>30000</v>
      </c>
      <c r="N88" s="15">
        <f t="shared" si="6"/>
        <v>330000</v>
      </c>
      <c r="O88" s="5" t="s">
        <v>2455</v>
      </c>
      <c r="P88" s="9" t="s">
        <v>2634</v>
      </c>
      <c r="Q88" s="5" t="s">
        <v>1783</v>
      </c>
      <c r="R88" s="212"/>
      <c r="S88" s="7"/>
      <c r="T88" s="11"/>
    </row>
    <row r="89" spans="1:20" ht="16.5" customHeight="1">
      <c r="A89" t="s">
        <v>64</v>
      </c>
      <c r="B89" s="10" t="s">
        <v>1807</v>
      </c>
      <c r="C89" s="12"/>
      <c r="D89" s="13">
        <v>45775</v>
      </c>
      <c r="E89" s="155" t="s">
        <v>1790</v>
      </c>
      <c r="F89" s="155" t="s">
        <v>327</v>
      </c>
      <c r="G89" s="156" t="s">
        <v>1793</v>
      </c>
      <c r="H89" s="156" t="s">
        <v>1808</v>
      </c>
      <c r="I89" s="69" t="s">
        <v>1588</v>
      </c>
      <c r="J89" s="124">
        <v>3</v>
      </c>
      <c r="K89" s="15">
        <f>2875364/3</f>
        <v>958454.66666666663</v>
      </c>
      <c r="L89" s="16">
        <v>2875364</v>
      </c>
      <c r="M89" s="16">
        <v>287536</v>
      </c>
      <c r="N89" s="15">
        <f t="shared" si="6"/>
        <v>3162900</v>
      </c>
      <c r="O89" s="5" t="s">
        <v>1804</v>
      </c>
      <c r="P89" s="9" t="s">
        <v>2643</v>
      </c>
      <c r="Q89" s="5">
        <v>45798</v>
      </c>
      <c r="R89" s="209"/>
    </row>
    <row r="90" spans="1:20" ht="16.5" customHeight="1">
      <c r="A90" t="s">
        <v>64</v>
      </c>
      <c r="B90" s="10" t="s">
        <v>1801</v>
      </c>
      <c r="C90" s="12"/>
      <c r="D90" s="13">
        <v>45775</v>
      </c>
      <c r="E90" s="155" t="s">
        <v>1790</v>
      </c>
      <c r="F90" s="155" t="s">
        <v>45</v>
      </c>
      <c r="G90" s="156" t="s">
        <v>1793</v>
      </c>
      <c r="H90" s="156" t="s">
        <v>1802</v>
      </c>
      <c r="I90" s="69" t="s">
        <v>1803</v>
      </c>
      <c r="J90" s="124">
        <v>12</v>
      </c>
      <c r="K90" s="15">
        <v>14582</v>
      </c>
      <c r="L90" s="16">
        <v>174982</v>
      </c>
      <c r="M90" s="16">
        <v>17498</v>
      </c>
      <c r="N90" s="15">
        <f t="shared" si="6"/>
        <v>192480</v>
      </c>
      <c r="O90" s="5" t="s">
        <v>1804</v>
      </c>
      <c r="P90" s="9" t="s">
        <v>2635</v>
      </c>
      <c r="Q90" s="5">
        <v>45776</v>
      </c>
      <c r="R90" s="209"/>
    </row>
    <row r="91" spans="1:20" ht="16.5" customHeight="1">
      <c r="A91" t="s">
        <v>64</v>
      </c>
      <c r="B91" s="10" t="s">
        <v>144</v>
      </c>
      <c r="C91" s="12"/>
      <c r="D91" s="13">
        <v>45775</v>
      </c>
      <c r="E91" s="155" t="s">
        <v>1820</v>
      </c>
      <c r="F91" s="155"/>
      <c r="G91" s="156" t="s">
        <v>1821</v>
      </c>
      <c r="H91" s="156" t="s">
        <v>208</v>
      </c>
      <c r="I91" s="69" t="s">
        <v>1822</v>
      </c>
      <c r="J91" s="124">
        <v>1</v>
      </c>
      <c r="K91" s="15">
        <v>780000</v>
      </c>
      <c r="L91" s="16">
        <f>J91*K91</f>
        <v>780000</v>
      </c>
      <c r="M91" s="16">
        <f>L91*10%</f>
        <v>78000</v>
      </c>
      <c r="N91" s="15">
        <f t="shared" si="6"/>
        <v>858000</v>
      </c>
      <c r="O91" s="5" t="s">
        <v>1804</v>
      </c>
      <c r="P91" s="9" t="s">
        <v>2644</v>
      </c>
      <c r="Q91" s="5" t="s">
        <v>144</v>
      </c>
      <c r="R91" s="209"/>
    </row>
    <row r="92" spans="1:20" ht="16.5" customHeight="1">
      <c r="A92" t="s">
        <v>64</v>
      </c>
      <c r="B92" s="10" t="s">
        <v>1761</v>
      </c>
      <c r="C92" s="12"/>
      <c r="D92" s="13">
        <v>45775</v>
      </c>
      <c r="E92" s="155" t="s">
        <v>1762</v>
      </c>
      <c r="F92" s="155" t="s">
        <v>327</v>
      </c>
      <c r="G92" s="156" t="s">
        <v>41</v>
      </c>
      <c r="H92" s="156" t="s">
        <v>1763</v>
      </c>
      <c r="I92" s="69" t="s">
        <v>1764</v>
      </c>
      <c r="J92" s="122">
        <v>3</v>
      </c>
      <c r="K92" s="15">
        <v>2033000</v>
      </c>
      <c r="L92" s="16">
        <f>J92*K92</f>
        <v>6099000</v>
      </c>
      <c r="M92" s="16">
        <f>L92*10%</f>
        <v>609900</v>
      </c>
      <c r="N92" s="15">
        <f t="shared" si="6"/>
        <v>6708900</v>
      </c>
      <c r="O92" s="5" t="s">
        <v>1804</v>
      </c>
      <c r="P92" s="9" t="s">
        <v>2643</v>
      </c>
      <c r="Q92" s="5">
        <v>45798</v>
      </c>
      <c r="R92" s="209"/>
    </row>
    <row r="93" spans="1:20" ht="16.5" customHeight="1">
      <c r="A93" t="s">
        <v>64</v>
      </c>
      <c r="B93" s="10" t="s">
        <v>1761</v>
      </c>
      <c r="C93" s="12"/>
      <c r="D93" s="13">
        <v>45775</v>
      </c>
      <c r="E93" s="155" t="s">
        <v>1823</v>
      </c>
      <c r="F93" s="155" t="s">
        <v>327</v>
      </c>
      <c r="G93" s="156" t="s">
        <v>41</v>
      </c>
      <c r="H93" s="156" t="s">
        <v>1824</v>
      </c>
      <c r="I93" s="69" t="s">
        <v>1825</v>
      </c>
      <c r="J93" s="124">
        <v>3</v>
      </c>
      <c r="K93" s="15">
        <f>1364973/3</f>
        <v>454991</v>
      </c>
      <c r="L93" s="16">
        <v>1364973</v>
      </c>
      <c r="M93" s="16">
        <v>136497</v>
      </c>
      <c r="N93" s="15">
        <f t="shared" si="6"/>
        <v>1501470</v>
      </c>
      <c r="O93" s="5" t="s">
        <v>1804</v>
      </c>
      <c r="P93" s="9" t="s">
        <v>2643</v>
      </c>
      <c r="Q93" s="5">
        <v>45798</v>
      </c>
      <c r="R93" s="209"/>
    </row>
    <row r="94" spans="1:20" ht="16.5" customHeight="1">
      <c r="A94" t="s">
        <v>64</v>
      </c>
      <c r="B94" s="10" t="s">
        <v>307</v>
      </c>
      <c r="C94" s="12"/>
      <c r="D94" s="13">
        <v>45775</v>
      </c>
      <c r="E94" s="155" t="s">
        <v>2631</v>
      </c>
      <c r="F94" s="155" t="s">
        <v>288</v>
      </c>
      <c r="G94" s="156" t="s">
        <v>7</v>
      </c>
      <c r="H94" s="156" t="s">
        <v>102</v>
      </c>
      <c r="I94" s="69" t="s">
        <v>1640</v>
      </c>
      <c r="J94" s="122">
        <v>1</v>
      </c>
      <c r="K94" s="15">
        <v>4950000</v>
      </c>
      <c r="L94" s="16">
        <f>J94*K94</f>
        <v>4950000</v>
      </c>
      <c r="M94" s="15">
        <f>L94*10%</f>
        <v>495000</v>
      </c>
      <c r="N94" s="15">
        <f t="shared" si="6"/>
        <v>5445000</v>
      </c>
      <c r="O94" s="5" t="s">
        <v>2570</v>
      </c>
      <c r="P94" s="174" t="s">
        <v>2636</v>
      </c>
      <c r="Q94" s="5">
        <v>45777</v>
      </c>
      <c r="R94" s="209"/>
    </row>
    <row r="95" spans="1:20" ht="16.5" customHeight="1">
      <c r="A95" t="s">
        <v>64</v>
      </c>
      <c r="B95" s="10" t="s">
        <v>1679</v>
      </c>
      <c r="C95" s="12"/>
      <c r="D95" s="13">
        <v>45775</v>
      </c>
      <c r="E95" s="155" t="s">
        <v>2631</v>
      </c>
      <c r="F95" s="155" t="s">
        <v>1826</v>
      </c>
      <c r="G95" s="156" t="s">
        <v>1686</v>
      </c>
      <c r="H95" s="156" t="s">
        <v>1684</v>
      </c>
      <c r="I95" s="69" t="s">
        <v>2562</v>
      </c>
      <c r="J95" s="122">
        <v>1</v>
      </c>
      <c r="K95" s="15">
        <v>44400000</v>
      </c>
      <c r="L95" s="16">
        <f>J95*K95</f>
        <v>44400000</v>
      </c>
      <c r="M95" s="16">
        <f>L95*10%</f>
        <v>4440000</v>
      </c>
      <c r="N95" s="15">
        <f t="shared" si="6"/>
        <v>48840000</v>
      </c>
      <c r="O95" s="5" t="s">
        <v>2570</v>
      </c>
      <c r="P95" s="9" t="s">
        <v>2636</v>
      </c>
      <c r="Q95" s="5">
        <v>45771</v>
      </c>
      <c r="R95" s="209"/>
    </row>
    <row r="96" spans="1:20" ht="16.5" customHeight="1">
      <c r="A96" t="s">
        <v>64</v>
      </c>
      <c r="B96" s="10" t="s">
        <v>1942</v>
      </c>
      <c r="C96" s="12"/>
      <c r="D96" s="13">
        <v>45775</v>
      </c>
      <c r="E96" s="155" t="s">
        <v>33</v>
      </c>
      <c r="F96" s="155" t="s">
        <v>1688</v>
      </c>
      <c r="G96" s="156" t="s">
        <v>7</v>
      </c>
      <c r="H96" s="156" t="s">
        <v>1933</v>
      </c>
      <c r="I96" s="69" t="s">
        <v>1932</v>
      </c>
      <c r="J96" s="122">
        <v>1</v>
      </c>
      <c r="K96" s="15">
        <v>250000</v>
      </c>
      <c r="L96" s="16">
        <f>J96*K96</f>
        <v>250000</v>
      </c>
      <c r="M96" s="16">
        <f>L96*10%</f>
        <v>25000</v>
      </c>
      <c r="N96" s="15">
        <f t="shared" si="6"/>
        <v>275000</v>
      </c>
      <c r="O96" s="5" t="s">
        <v>2455</v>
      </c>
      <c r="P96" s="9" t="s">
        <v>2636</v>
      </c>
      <c r="Q96" s="5" t="s">
        <v>1943</v>
      </c>
      <c r="R96" s="209"/>
    </row>
    <row r="97" spans="1:20" ht="16.5" customHeight="1">
      <c r="A97" t="s">
        <v>64</v>
      </c>
      <c r="B97" s="10" t="s">
        <v>1944</v>
      </c>
      <c r="C97" s="12"/>
      <c r="D97" s="13">
        <v>45775</v>
      </c>
      <c r="E97" s="155" t="s">
        <v>33</v>
      </c>
      <c r="F97" s="155" t="s">
        <v>1688</v>
      </c>
      <c r="G97" s="156" t="s">
        <v>7</v>
      </c>
      <c r="H97" s="156" t="s">
        <v>1931</v>
      </c>
      <c r="I97" s="69" t="s">
        <v>1930</v>
      </c>
      <c r="J97" s="122">
        <v>2</v>
      </c>
      <c r="K97" s="15">
        <v>60000</v>
      </c>
      <c r="L97" s="16">
        <f>J97*K97</f>
        <v>120000</v>
      </c>
      <c r="M97" s="16">
        <f>L97*10%</f>
        <v>12000</v>
      </c>
      <c r="N97" s="15">
        <f t="shared" si="6"/>
        <v>132000</v>
      </c>
      <c r="O97" s="5" t="s">
        <v>2455</v>
      </c>
      <c r="P97" s="9" t="s">
        <v>2636</v>
      </c>
      <c r="Q97" s="5" t="s">
        <v>1943</v>
      </c>
      <c r="R97" s="209"/>
    </row>
    <row r="98" spans="1:20" ht="16.5" customHeight="1">
      <c r="A98" t="s">
        <v>64</v>
      </c>
      <c r="B98" s="10" t="s">
        <v>1697</v>
      </c>
      <c r="C98" s="12"/>
      <c r="D98" s="13">
        <v>45776</v>
      </c>
      <c r="E98" s="155" t="s">
        <v>26</v>
      </c>
      <c r="F98" s="155" t="s">
        <v>45</v>
      </c>
      <c r="G98" s="156" t="s">
        <v>41</v>
      </c>
      <c r="H98" s="156" t="s">
        <v>1802</v>
      </c>
      <c r="I98" s="69" t="s">
        <v>1803</v>
      </c>
      <c r="J98" s="124">
        <v>12</v>
      </c>
      <c r="K98" s="15">
        <f>25010/1.1</f>
        <v>22736.363636363636</v>
      </c>
      <c r="L98" s="16">
        <v>272836</v>
      </c>
      <c r="M98" s="16">
        <v>27284</v>
      </c>
      <c r="N98" s="15">
        <f t="shared" si="6"/>
        <v>300120</v>
      </c>
      <c r="O98" s="5" t="s">
        <v>1827</v>
      </c>
      <c r="P98" s="9" t="s">
        <v>2635</v>
      </c>
      <c r="Q98" s="5">
        <v>45776</v>
      </c>
      <c r="R98" s="209"/>
    </row>
    <row r="99" spans="1:20" ht="16.5" customHeight="1">
      <c r="A99" t="s">
        <v>64</v>
      </c>
      <c r="B99" s="10" t="s">
        <v>1697</v>
      </c>
      <c r="C99" s="12"/>
      <c r="D99" s="13">
        <v>45776</v>
      </c>
      <c r="E99" s="155" t="s">
        <v>26</v>
      </c>
      <c r="F99" s="155" t="s">
        <v>45</v>
      </c>
      <c r="G99" s="156" t="s">
        <v>41</v>
      </c>
      <c r="H99" s="156" t="s">
        <v>1802</v>
      </c>
      <c r="I99" s="69" t="s">
        <v>1803</v>
      </c>
      <c r="J99" s="124">
        <v>12</v>
      </c>
      <c r="K99" s="15">
        <v>-14582</v>
      </c>
      <c r="L99" s="16">
        <v>-174982</v>
      </c>
      <c r="M99" s="16">
        <v>-17498</v>
      </c>
      <c r="N99" s="15">
        <f t="shared" si="6"/>
        <v>-192480</v>
      </c>
      <c r="O99" s="5" t="s">
        <v>1830</v>
      </c>
      <c r="P99" s="9" t="s">
        <v>2635</v>
      </c>
      <c r="Q99" s="5">
        <v>45776</v>
      </c>
      <c r="R99" s="209"/>
    </row>
    <row r="100" spans="1:20" ht="16.5" customHeight="1">
      <c r="A100" t="s">
        <v>64</v>
      </c>
      <c r="B100" s="10" t="s">
        <v>1761</v>
      </c>
      <c r="C100" s="12"/>
      <c r="D100" s="13">
        <v>45776</v>
      </c>
      <c r="E100" s="155" t="s">
        <v>26</v>
      </c>
      <c r="F100" s="155" t="s">
        <v>327</v>
      </c>
      <c r="G100" s="156" t="s">
        <v>41</v>
      </c>
      <c r="H100" s="156" t="s">
        <v>1702</v>
      </c>
      <c r="I100" s="69" t="s">
        <v>1829</v>
      </c>
      <c r="J100" s="124">
        <v>6</v>
      </c>
      <c r="K100" s="15">
        <f>142000/1.1</f>
        <v>129090.90909090907</v>
      </c>
      <c r="L100" s="16">
        <v>774545</v>
      </c>
      <c r="M100" s="16">
        <v>77455</v>
      </c>
      <c r="N100" s="15">
        <f t="shared" si="6"/>
        <v>852000</v>
      </c>
      <c r="O100" s="5" t="s">
        <v>1827</v>
      </c>
      <c r="P100" s="9" t="s">
        <v>2643</v>
      </c>
      <c r="Q100" s="5">
        <v>45798</v>
      </c>
      <c r="R100" s="209"/>
    </row>
    <row r="101" spans="1:20" ht="16.5" customHeight="1">
      <c r="A101" t="s">
        <v>64</v>
      </c>
      <c r="B101" s="10" t="s">
        <v>1761</v>
      </c>
      <c r="C101" s="12"/>
      <c r="D101" s="13">
        <v>45776</v>
      </c>
      <c r="E101" s="155" t="s">
        <v>26</v>
      </c>
      <c r="F101" s="155" t="s">
        <v>327</v>
      </c>
      <c r="G101" s="156" t="s">
        <v>41</v>
      </c>
      <c r="H101" s="156" t="s">
        <v>1702</v>
      </c>
      <c r="I101" s="69" t="s">
        <v>1831</v>
      </c>
      <c r="J101" s="124">
        <v>6</v>
      </c>
      <c r="K101" s="15">
        <f>-245000/1.1</f>
        <v>-222727.27272727271</v>
      </c>
      <c r="L101" s="16">
        <f t="shared" ref="L101:L117" si="8">J101*K101</f>
        <v>-1336363.6363636362</v>
      </c>
      <c r="M101" s="16">
        <f>L101*10%</f>
        <v>-133636.36363636362</v>
      </c>
      <c r="N101" s="15">
        <f t="shared" si="6"/>
        <v>-1469999.9999999998</v>
      </c>
      <c r="O101" s="5" t="s">
        <v>1830</v>
      </c>
      <c r="P101" s="9" t="s">
        <v>2643</v>
      </c>
      <c r="Q101" s="5">
        <v>45798</v>
      </c>
      <c r="R101" s="209"/>
    </row>
    <row r="102" spans="1:20" ht="16.5" customHeight="1">
      <c r="A102" t="s">
        <v>64</v>
      </c>
      <c r="B102" s="10" t="s">
        <v>1947</v>
      </c>
      <c r="C102" s="12"/>
      <c r="D102" s="13">
        <v>45776</v>
      </c>
      <c r="E102" s="155" t="s">
        <v>33</v>
      </c>
      <c r="F102" s="155" t="s">
        <v>32</v>
      </c>
      <c r="G102" s="156" t="s">
        <v>41</v>
      </c>
      <c r="H102" s="156" t="s">
        <v>1928</v>
      </c>
      <c r="I102" s="69" t="s">
        <v>1927</v>
      </c>
      <c r="J102" s="122">
        <v>2</v>
      </c>
      <c r="K102" s="15">
        <v>125000</v>
      </c>
      <c r="L102" s="16">
        <f t="shared" si="8"/>
        <v>250000</v>
      </c>
      <c r="M102" s="16">
        <f>L102*10%</f>
        <v>25000</v>
      </c>
      <c r="N102" s="15">
        <f t="shared" si="6"/>
        <v>275000</v>
      </c>
      <c r="O102" s="5" t="s">
        <v>2455</v>
      </c>
      <c r="P102" s="9" t="s">
        <v>2636</v>
      </c>
      <c r="Q102" s="5">
        <v>45785</v>
      </c>
      <c r="R102" s="209"/>
    </row>
    <row r="103" spans="1:20" ht="16.5" customHeight="1">
      <c r="A103" t="s">
        <v>64</v>
      </c>
      <c r="B103" s="10" t="s">
        <v>1945</v>
      </c>
      <c r="C103" s="12"/>
      <c r="D103" s="13">
        <v>45777</v>
      </c>
      <c r="E103" s="155" t="s">
        <v>33</v>
      </c>
      <c r="F103" s="155" t="s">
        <v>1946</v>
      </c>
      <c r="G103" s="156" t="s">
        <v>41</v>
      </c>
      <c r="H103" s="244" t="s">
        <v>1937</v>
      </c>
      <c r="I103" s="69" t="s">
        <v>1929</v>
      </c>
      <c r="J103" s="122">
        <v>2</v>
      </c>
      <c r="K103" s="15">
        <v>200000</v>
      </c>
      <c r="L103" s="16">
        <f t="shared" si="8"/>
        <v>400000</v>
      </c>
      <c r="M103" s="16">
        <f>L103*10%</f>
        <v>40000</v>
      </c>
      <c r="N103" s="15">
        <f t="shared" si="6"/>
        <v>440000</v>
      </c>
      <c r="O103" s="5" t="s">
        <v>2455</v>
      </c>
      <c r="P103" s="9" t="s">
        <v>2636</v>
      </c>
      <c r="Q103" s="5">
        <v>45791</v>
      </c>
      <c r="R103" s="209"/>
    </row>
    <row r="104" spans="1:20" ht="16.5" customHeight="1">
      <c r="A104" t="s">
        <v>64</v>
      </c>
      <c r="B104" s="141" t="s">
        <v>144</v>
      </c>
      <c r="C104" s="142"/>
      <c r="D104" s="13">
        <v>45777</v>
      </c>
      <c r="E104" s="155" t="s">
        <v>21</v>
      </c>
      <c r="F104" s="163"/>
      <c r="G104" s="156" t="s">
        <v>30</v>
      </c>
      <c r="H104" s="156" t="s">
        <v>35</v>
      </c>
      <c r="I104" s="69" t="s">
        <v>1757</v>
      </c>
      <c r="J104" s="124">
        <v>1</v>
      </c>
      <c r="K104" s="16">
        <v>416985</v>
      </c>
      <c r="L104" s="16">
        <f t="shared" si="8"/>
        <v>416985</v>
      </c>
      <c r="M104" s="15">
        <v>41698</v>
      </c>
      <c r="N104" s="15">
        <f t="shared" si="6"/>
        <v>458683</v>
      </c>
      <c r="O104" s="5" t="s">
        <v>1986</v>
      </c>
      <c r="P104" s="175" t="s">
        <v>2644</v>
      </c>
      <c r="Q104" s="68" t="s">
        <v>206</v>
      </c>
      <c r="R104" s="212"/>
      <c r="S104" s="7"/>
    </row>
    <row r="105" spans="1:20" ht="16.5" customHeight="1">
      <c r="A105" t="s">
        <v>64</v>
      </c>
      <c r="B105" s="141" t="s">
        <v>144</v>
      </c>
      <c r="C105" s="142"/>
      <c r="D105" s="13">
        <v>45777</v>
      </c>
      <c r="E105" s="155" t="s">
        <v>21</v>
      </c>
      <c r="F105" s="155"/>
      <c r="G105" s="156" t="s">
        <v>30</v>
      </c>
      <c r="H105" s="156" t="s">
        <v>35</v>
      </c>
      <c r="I105" s="69" t="s">
        <v>1758</v>
      </c>
      <c r="J105" s="124">
        <v>1</v>
      </c>
      <c r="K105" s="16">
        <v>82368</v>
      </c>
      <c r="L105" s="16">
        <f t="shared" si="8"/>
        <v>82368</v>
      </c>
      <c r="M105" s="15" t="s">
        <v>144</v>
      </c>
      <c r="N105" s="15">
        <f t="shared" si="6"/>
        <v>82368</v>
      </c>
      <c r="O105" s="5" t="s">
        <v>1986</v>
      </c>
      <c r="P105" s="175" t="s">
        <v>2644</v>
      </c>
      <c r="Q105" s="68" t="s">
        <v>206</v>
      </c>
      <c r="R105" s="212" t="s">
        <v>274</v>
      </c>
      <c r="S105" s="7"/>
    </row>
    <row r="106" spans="1:20" ht="16.5" customHeight="1">
      <c r="A106" t="s">
        <v>64</v>
      </c>
      <c r="B106" s="10" t="s">
        <v>302</v>
      </c>
      <c r="C106" s="142"/>
      <c r="D106" s="13">
        <v>45777</v>
      </c>
      <c r="E106" s="155" t="s">
        <v>273</v>
      </c>
      <c r="F106" s="155" t="s">
        <v>266</v>
      </c>
      <c r="G106" s="157" t="s">
        <v>98</v>
      </c>
      <c r="H106" s="157" t="s">
        <v>102</v>
      </c>
      <c r="I106" s="69" t="s">
        <v>1644</v>
      </c>
      <c r="J106" s="124">
        <v>1</v>
      </c>
      <c r="K106" s="16">
        <v>672000</v>
      </c>
      <c r="L106" s="15">
        <f t="shared" si="8"/>
        <v>672000</v>
      </c>
      <c r="M106" s="16">
        <f t="shared" ref="M106:M118" si="9">L106*10%</f>
        <v>67200</v>
      </c>
      <c r="N106" s="15">
        <f t="shared" si="6"/>
        <v>739200</v>
      </c>
      <c r="O106" s="5" t="s">
        <v>2228</v>
      </c>
      <c r="P106" s="175" t="s">
        <v>2635</v>
      </c>
      <c r="Q106" s="5">
        <v>45777</v>
      </c>
      <c r="R106" s="212"/>
      <c r="S106" s="7"/>
      <c r="T106" s="11"/>
    </row>
    <row r="107" spans="1:20" ht="16.5" customHeight="1">
      <c r="A107" t="s">
        <v>64</v>
      </c>
      <c r="B107" s="10" t="s">
        <v>415</v>
      </c>
      <c r="C107" s="142"/>
      <c r="D107" s="13">
        <v>45777</v>
      </c>
      <c r="E107" s="155" t="s">
        <v>272</v>
      </c>
      <c r="F107" s="155" t="s">
        <v>99</v>
      </c>
      <c r="G107" s="157" t="s">
        <v>98</v>
      </c>
      <c r="H107" s="157" t="s">
        <v>213</v>
      </c>
      <c r="I107" s="69" t="s">
        <v>1603</v>
      </c>
      <c r="J107" s="124">
        <v>1</v>
      </c>
      <c r="K107" s="16">
        <v>70000</v>
      </c>
      <c r="L107" s="15">
        <f t="shared" si="8"/>
        <v>70000</v>
      </c>
      <c r="M107" s="15">
        <f t="shared" si="9"/>
        <v>7000</v>
      </c>
      <c r="N107" s="15">
        <f t="shared" si="6"/>
        <v>77000</v>
      </c>
      <c r="O107" s="5" t="s">
        <v>2455</v>
      </c>
      <c r="P107" s="175" t="s">
        <v>2634</v>
      </c>
      <c r="Q107" s="5">
        <v>45782</v>
      </c>
      <c r="R107" s="212"/>
      <c r="S107" s="7"/>
      <c r="T107" s="11"/>
    </row>
    <row r="108" spans="1:20" ht="16.5" customHeight="1">
      <c r="A108" t="s">
        <v>64</v>
      </c>
      <c r="B108" s="141" t="s">
        <v>144</v>
      </c>
      <c r="C108" s="142"/>
      <c r="D108" s="13">
        <v>45777</v>
      </c>
      <c r="E108" s="155" t="s">
        <v>270</v>
      </c>
      <c r="F108" s="155"/>
      <c r="G108" s="156" t="s">
        <v>30</v>
      </c>
      <c r="H108" s="156" t="s">
        <v>271</v>
      </c>
      <c r="I108" s="69" t="s">
        <v>1756</v>
      </c>
      <c r="J108" s="124">
        <v>1</v>
      </c>
      <c r="K108" s="16">
        <v>40000</v>
      </c>
      <c r="L108" s="15">
        <f t="shared" si="8"/>
        <v>40000</v>
      </c>
      <c r="M108" s="15">
        <f t="shared" si="9"/>
        <v>4000</v>
      </c>
      <c r="N108" s="15">
        <f t="shared" si="6"/>
        <v>44000</v>
      </c>
      <c r="O108" s="5" t="s">
        <v>1987</v>
      </c>
      <c r="P108" s="175" t="s">
        <v>2644</v>
      </c>
      <c r="Q108" s="68" t="s">
        <v>206</v>
      </c>
      <c r="R108" s="212"/>
      <c r="S108" s="7"/>
      <c r="T108" s="11"/>
    </row>
    <row r="109" spans="1:20" ht="16.5" customHeight="1">
      <c r="A109" t="s">
        <v>64</v>
      </c>
      <c r="B109" s="10" t="s">
        <v>302</v>
      </c>
      <c r="C109" s="142"/>
      <c r="D109" s="13">
        <v>45777</v>
      </c>
      <c r="E109" s="155" t="s">
        <v>268</v>
      </c>
      <c r="F109" s="155" t="s">
        <v>266</v>
      </c>
      <c r="G109" s="157" t="s">
        <v>98</v>
      </c>
      <c r="H109" s="157" t="s">
        <v>213</v>
      </c>
      <c r="I109" s="69" t="s">
        <v>1641</v>
      </c>
      <c r="J109" s="124">
        <v>1</v>
      </c>
      <c r="K109" s="16">
        <v>100000</v>
      </c>
      <c r="L109" s="15">
        <f t="shared" si="8"/>
        <v>100000</v>
      </c>
      <c r="M109" s="15">
        <f t="shared" si="9"/>
        <v>10000</v>
      </c>
      <c r="N109" s="15">
        <f t="shared" si="6"/>
        <v>110000</v>
      </c>
      <c r="O109" s="5" t="s">
        <v>2228</v>
      </c>
      <c r="P109" s="175" t="s">
        <v>2635</v>
      </c>
      <c r="Q109" s="5">
        <v>45777</v>
      </c>
      <c r="R109" s="212"/>
      <c r="S109" s="7"/>
      <c r="T109" s="11"/>
    </row>
    <row r="110" spans="1:20" ht="16.5" customHeight="1">
      <c r="A110" t="s">
        <v>64</v>
      </c>
      <c r="B110" s="140" t="s">
        <v>267</v>
      </c>
      <c r="C110" s="12"/>
      <c r="D110" s="13">
        <v>45777</v>
      </c>
      <c r="E110" s="155" t="s">
        <v>45</v>
      </c>
      <c r="F110" s="155" t="s">
        <v>345</v>
      </c>
      <c r="G110" s="157" t="s">
        <v>98</v>
      </c>
      <c r="H110" s="167" t="s">
        <v>213</v>
      </c>
      <c r="I110" s="69" t="s">
        <v>1642</v>
      </c>
      <c r="J110" s="124">
        <v>1</v>
      </c>
      <c r="K110" s="16">
        <v>595000</v>
      </c>
      <c r="L110" s="15">
        <f t="shared" si="8"/>
        <v>595000</v>
      </c>
      <c r="M110" s="15">
        <f t="shared" si="9"/>
        <v>59500</v>
      </c>
      <c r="N110" s="15">
        <f t="shared" si="6"/>
        <v>654500</v>
      </c>
      <c r="O110" s="5" t="s">
        <v>2228</v>
      </c>
      <c r="P110" s="174" t="s">
        <v>2636</v>
      </c>
      <c r="Q110" s="5">
        <v>45777</v>
      </c>
      <c r="R110" s="211"/>
      <c r="S110" s="7"/>
      <c r="T110" s="11"/>
    </row>
    <row r="111" spans="1:20" ht="16.5" customHeight="1">
      <c r="A111" t="s">
        <v>64</v>
      </c>
      <c r="B111" s="140" t="s">
        <v>269</v>
      </c>
      <c r="C111" s="12"/>
      <c r="D111" s="13">
        <v>45777</v>
      </c>
      <c r="E111" s="155" t="s">
        <v>45</v>
      </c>
      <c r="F111" s="155" t="s">
        <v>345</v>
      </c>
      <c r="G111" s="157" t="s">
        <v>98</v>
      </c>
      <c r="H111" s="167" t="s">
        <v>213</v>
      </c>
      <c r="I111" s="69" t="s">
        <v>1643</v>
      </c>
      <c r="J111" s="124">
        <v>1</v>
      </c>
      <c r="K111" s="188">
        <v>840000</v>
      </c>
      <c r="L111" s="15">
        <f t="shared" si="8"/>
        <v>840000</v>
      </c>
      <c r="M111" s="15">
        <f t="shared" si="9"/>
        <v>84000</v>
      </c>
      <c r="N111" s="15">
        <f t="shared" si="6"/>
        <v>924000</v>
      </c>
      <c r="O111" s="5" t="s">
        <v>2228</v>
      </c>
      <c r="P111" s="174" t="s">
        <v>2636</v>
      </c>
      <c r="Q111" s="5">
        <v>45777</v>
      </c>
      <c r="R111" s="211"/>
      <c r="S111" s="7"/>
      <c r="T111" s="11"/>
    </row>
    <row r="112" spans="1:20" ht="16.5" customHeight="1">
      <c r="A112" t="s">
        <v>64</v>
      </c>
      <c r="B112" s="141" t="s">
        <v>144</v>
      </c>
      <c r="C112" s="12"/>
      <c r="D112" s="13">
        <v>45777</v>
      </c>
      <c r="E112" s="155" t="s">
        <v>277</v>
      </c>
      <c r="F112" s="163"/>
      <c r="G112" s="156" t="s">
        <v>30</v>
      </c>
      <c r="H112" s="157" t="s">
        <v>145</v>
      </c>
      <c r="I112" s="159" t="s">
        <v>1755</v>
      </c>
      <c r="J112" s="124">
        <v>1</v>
      </c>
      <c r="K112" s="188">
        <v>200000</v>
      </c>
      <c r="L112" s="15">
        <f t="shared" si="8"/>
        <v>200000</v>
      </c>
      <c r="M112" s="15">
        <f t="shared" si="9"/>
        <v>20000</v>
      </c>
      <c r="N112" s="15">
        <f t="shared" si="6"/>
        <v>220000</v>
      </c>
      <c r="O112" s="5" t="s">
        <v>2115</v>
      </c>
      <c r="P112" s="175" t="s">
        <v>2644</v>
      </c>
      <c r="Q112" s="68" t="s">
        <v>206</v>
      </c>
      <c r="R112" s="211"/>
      <c r="S112" s="7"/>
      <c r="T112" s="11"/>
    </row>
    <row r="113" spans="1:21" ht="16.5" customHeight="1">
      <c r="A113" t="s">
        <v>64</v>
      </c>
      <c r="B113" s="10" t="s">
        <v>328</v>
      </c>
      <c r="C113" s="12"/>
      <c r="D113" s="13">
        <v>45777</v>
      </c>
      <c r="E113" s="155" t="s">
        <v>2629</v>
      </c>
      <c r="F113" s="155" t="s">
        <v>236</v>
      </c>
      <c r="G113" s="157" t="s">
        <v>98</v>
      </c>
      <c r="H113" s="156" t="s">
        <v>102</v>
      </c>
      <c r="I113" s="69" t="s">
        <v>1647</v>
      </c>
      <c r="J113" s="122">
        <v>1</v>
      </c>
      <c r="K113" s="15">
        <v>250000</v>
      </c>
      <c r="L113" s="16">
        <f t="shared" si="8"/>
        <v>250000</v>
      </c>
      <c r="M113" s="16">
        <f t="shared" si="9"/>
        <v>25000</v>
      </c>
      <c r="N113" s="15">
        <f t="shared" si="6"/>
        <v>275000</v>
      </c>
      <c r="O113" s="5" t="s">
        <v>2455</v>
      </c>
      <c r="P113" s="9" t="s">
        <v>2636</v>
      </c>
      <c r="Q113" s="5">
        <v>45777</v>
      </c>
      <c r="R113" s="209"/>
      <c r="U113" s="11"/>
    </row>
    <row r="114" spans="1:21" ht="16.5" customHeight="1">
      <c r="A114" t="s">
        <v>64</v>
      </c>
      <c r="B114" s="10" t="s">
        <v>1616</v>
      </c>
      <c r="C114" s="12"/>
      <c r="D114" s="13">
        <v>45777</v>
      </c>
      <c r="E114" s="155" t="s">
        <v>65</v>
      </c>
      <c r="F114" s="155" t="s">
        <v>1535</v>
      </c>
      <c r="G114" s="157" t="s">
        <v>98</v>
      </c>
      <c r="H114" s="157" t="s">
        <v>213</v>
      </c>
      <c r="I114" s="69" t="s">
        <v>1645</v>
      </c>
      <c r="J114" s="122">
        <v>1</v>
      </c>
      <c r="K114" s="15">
        <v>300000</v>
      </c>
      <c r="L114" s="16">
        <f t="shared" si="8"/>
        <v>300000</v>
      </c>
      <c r="M114" s="16">
        <f t="shared" si="9"/>
        <v>30000</v>
      </c>
      <c r="N114" s="15">
        <f t="shared" si="6"/>
        <v>330000</v>
      </c>
      <c r="O114" s="5" t="s">
        <v>2228</v>
      </c>
      <c r="P114" s="175" t="s">
        <v>2644</v>
      </c>
      <c r="Q114" s="5">
        <v>45767</v>
      </c>
      <c r="R114" s="213"/>
    </row>
    <row r="115" spans="1:21" ht="16.5" customHeight="1">
      <c r="A115" t="s">
        <v>64</v>
      </c>
      <c r="B115" s="10" t="s">
        <v>415</v>
      </c>
      <c r="C115" s="12"/>
      <c r="D115" s="13">
        <v>45777</v>
      </c>
      <c r="E115" s="155" t="s">
        <v>19</v>
      </c>
      <c r="F115" s="163" t="s">
        <v>99</v>
      </c>
      <c r="G115" s="157" t="s">
        <v>98</v>
      </c>
      <c r="H115" s="157" t="s">
        <v>213</v>
      </c>
      <c r="I115" s="159" t="s">
        <v>2103</v>
      </c>
      <c r="J115" s="124">
        <v>1</v>
      </c>
      <c r="K115" s="188">
        <v>300000</v>
      </c>
      <c r="L115" s="15">
        <f t="shared" si="8"/>
        <v>300000</v>
      </c>
      <c r="M115" s="15">
        <f t="shared" si="9"/>
        <v>30000</v>
      </c>
      <c r="N115" s="15">
        <f t="shared" si="6"/>
        <v>330000</v>
      </c>
      <c r="O115" s="5" t="s">
        <v>2455</v>
      </c>
      <c r="P115" s="174" t="s">
        <v>2634</v>
      </c>
      <c r="Q115" s="5">
        <v>45782</v>
      </c>
      <c r="R115" s="211"/>
      <c r="S115" s="7"/>
      <c r="T115" s="11"/>
    </row>
    <row r="116" spans="1:21" ht="16.5" customHeight="1">
      <c r="A116" t="s">
        <v>64</v>
      </c>
      <c r="B116" s="141" t="s">
        <v>302</v>
      </c>
      <c r="C116" s="142"/>
      <c r="D116" s="13">
        <v>45777</v>
      </c>
      <c r="E116" s="155" t="s">
        <v>313</v>
      </c>
      <c r="F116" s="155" t="s">
        <v>266</v>
      </c>
      <c r="G116" s="157" t="s">
        <v>98</v>
      </c>
      <c r="H116" s="157" t="s">
        <v>213</v>
      </c>
      <c r="I116" s="69" t="s">
        <v>1646</v>
      </c>
      <c r="J116" s="124">
        <v>1</v>
      </c>
      <c r="K116" s="16">
        <v>700000</v>
      </c>
      <c r="L116" s="16">
        <f t="shared" si="8"/>
        <v>700000</v>
      </c>
      <c r="M116" s="16">
        <f t="shared" si="9"/>
        <v>70000</v>
      </c>
      <c r="N116" s="15">
        <f t="shared" si="6"/>
        <v>770000</v>
      </c>
      <c r="O116" s="5" t="s">
        <v>2228</v>
      </c>
      <c r="P116" s="177" t="s">
        <v>2635</v>
      </c>
      <c r="Q116" s="5">
        <v>45777</v>
      </c>
      <c r="R116" s="212"/>
      <c r="S116" s="7"/>
      <c r="T116" s="11"/>
    </row>
    <row r="117" spans="1:21" ht="16.5" customHeight="1">
      <c r="A117" t="s">
        <v>64</v>
      </c>
      <c r="B117" s="10" t="s">
        <v>415</v>
      </c>
      <c r="C117" s="12"/>
      <c r="D117" s="13">
        <v>45777</v>
      </c>
      <c r="E117" s="155" t="s">
        <v>173</v>
      </c>
      <c r="F117" s="155" t="s">
        <v>99</v>
      </c>
      <c r="G117" s="156" t="s">
        <v>7</v>
      </c>
      <c r="H117" s="156" t="s">
        <v>102</v>
      </c>
      <c r="I117" s="69" t="s">
        <v>2106</v>
      </c>
      <c r="J117" s="122">
        <v>1</v>
      </c>
      <c r="K117" s="15">
        <v>810000</v>
      </c>
      <c r="L117" s="16">
        <f t="shared" si="8"/>
        <v>810000</v>
      </c>
      <c r="M117" s="16">
        <f t="shared" si="9"/>
        <v>81000</v>
      </c>
      <c r="N117" s="15">
        <f t="shared" si="6"/>
        <v>891000</v>
      </c>
      <c r="O117" s="5" t="s">
        <v>2228</v>
      </c>
      <c r="P117" s="174" t="s">
        <v>2634</v>
      </c>
      <c r="Q117" s="5">
        <v>45782</v>
      </c>
      <c r="R117" s="209"/>
      <c r="T117" s="11"/>
    </row>
    <row r="118" spans="1:21" ht="16.5" customHeight="1">
      <c r="A118" t="s">
        <v>64</v>
      </c>
      <c r="B118" s="10" t="s">
        <v>489</v>
      </c>
      <c r="C118" s="12"/>
      <c r="D118" s="13">
        <v>45777</v>
      </c>
      <c r="E118" s="155" t="s">
        <v>503</v>
      </c>
      <c r="F118" s="155" t="s">
        <v>424</v>
      </c>
      <c r="G118" s="157" t="s">
        <v>98</v>
      </c>
      <c r="H118" s="157" t="s">
        <v>1058</v>
      </c>
      <c r="I118" s="69" t="s">
        <v>1648</v>
      </c>
      <c r="J118" s="122">
        <v>1</v>
      </c>
      <c r="K118" s="15">
        <v>20600</v>
      </c>
      <c r="L118" s="16">
        <f>SUM(K118:K128)</f>
        <v>1721080</v>
      </c>
      <c r="M118" s="16">
        <f t="shared" si="9"/>
        <v>172108</v>
      </c>
      <c r="N118" s="15">
        <f t="shared" si="6"/>
        <v>1893188</v>
      </c>
      <c r="O118" s="5" t="s">
        <v>2228</v>
      </c>
      <c r="P118" s="9" t="s">
        <v>2636</v>
      </c>
      <c r="Q118" s="5">
        <v>45772</v>
      </c>
      <c r="R118" s="209"/>
    </row>
    <row r="119" spans="1:21" ht="16.5" customHeight="1">
      <c r="A119" t="s">
        <v>64</v>
      </c>
      <c r="B119" s="10" t="s">
        <v>490</v>
      </c>
      <c r="C119" s="145"/>
      <c r="D119" s="65"/>
      <c r="E119" s="160" t="s">
        <v>503</v>
      </c>
      <c r="F119" s="155" t="s">
        <v>2632</v>
      </c>
      <c r="G119" s="157" t="s">
        <v>98</v>
      </c>
      <c r="H119" s="157" t="s">
        <v>1058</v>
      </c>
      <c r="I119" s="69" t="s">
        <v>1649</v>
      </c>
      <c r="J119" s="122">
        <v>1</v>
      </c>
      <c r="K119" s="15">
        <v>70180</v>
      </c>
      <c r="L119" s="125"/>
      <c r="M119" s="125"/>
      <c r="N119" s="126"/>
      <c r="O119" s="99"/>
      <c r="P119" s="9" t="s">
        <v>2636</v>
      </c>
      <c r="Q119" s="5">
        <v>45772</v>
      </c>
      <c r="R119" s="209"/>
    </row>
    <row r="120" spans="1:21" ht="16.5" customHeight="1">
      <c r="A120" t="s">
        <v>64</v>
      </c>
      <c r="B120" s="10" t="s">
        <v>415</v>
      </c>
      <c r="C120" s="145"/>
      <c r="D120" s="65"/>
      <c r="E120" s="160" t="s">
        <v>503</v>
      </c>
      <c r="F120" s="155" t="s">
        <v>99</v>
      </c>
      <c r="G120" s="157" t="s">
        <v>98</v>
      </c>
      <c r="H120" s="157" t="s">
        <v>1058</v>
      </c>
      <c r="I120" s="69" t="s">
        <v>1650</v>
      </c>
      <c r="J120" s="122">
        <v>1</v>
      </c>
      <c r="K120" s="15">
        <v>352900</v>
      </c>
      <c r="L120" s="125"/>
      <c r="M120" s="125"/>
      <c r="N120" s="126"/>
      <c r="O120" s="99"/>
      <c r="P120" s="9" t="s">
        <v>2634</v>
      </c>
      <c r="Q120" s="5">
        <v>45782</v>
      </c>
      <c r="R120" s="209"/>
    </row>
    <row r="121" spans="1:21" ht="16.5" customHeight="1">
      <c r="A121" t="s">
        <v>64</v>
      </c>
      <c r="B121" s="10" t="s">
        <v>312</v>
      </c>
      <c r="C121" s="145"/>
      <c r="D121" s="65"/>
      <c r="E121" s="160" t="s">
        <v>503</v>
      </c>
      <c r="F121" s="155" t="s">
        <v>264</v>
      </c>
      <c r="G121" s="157" t="s">
        <v>98</v>
      </c>
      <c r="H121" s="157" t="s">
        <v>1058</v>
      </c>
      <c r="I121" s="69" t="s">
        <v>1651</v>
      </c>
      <c r="J121" s="122">
        <v>1</v>
      </c>
      <c r="K121" s="15">
        <v>80000</v>
      </c>
      <c r="L121" s="125"/>
      <c r="M121" s="125"/>
      <c r="N121" s="126"/>
      <c r="O121" s="99"/>
      <c r="P121" s="9" t="s">
        <v>2634</v>
      </c>
      <c r="Q121" s="5">
        <v>45767</v>
      </c>
      <c r="R121" s="213"/>
    </row>
    <row r="122" spans="1:21" ht="16.5" customHeight="1">
      <c r="A122" t="s">
        <v>64</v>
      </c>
      <c r="B122" s="10" t="s">
        <v>1253</v>
      </c>
      <c r="C122" s="145"/>
      <c r="D122" s="65"/>
      <c r="E122" s="160" t="s">
        <v>503</v>
      </c>
      <c r="F122" s="155" t="s">
        <v>1062</v>
      </c>
      <c r="G122" s="157" t="s">
        <v>98</v>
      </c>
      <c r="H122" s="157" t="s">
        <v>1058</v>
      </c>
      <c r="I122" s="69" t="s">
        <v>1652</v>
      </c>
      <c r="J122" s="122">
        <v>1</v>
      </c>
      <c r="K122" s="15">
        <v>66000</v>
      </c>
      <c r="L122" s="125"/>
      <c r="M122" s="125"/>
      <c r="N122" s="126"/>
      <c r="O122" s="99"/>
      <c r="P122" s="9" t="s">
        <v>2636</v>
      </c>
      <c r="Q122" s="5">
        <v>45838</v>
      </c>
      <c r="R122" s="213"/>
    </row>
    <row r="123" spans="1:21" ht="16.5" customHeight="1">
      <c r="A123" t="s">
        <v>64</v>
      </c>
      <c r="B123" s="10" t="s">
        <v>1053</v>
      </c>
      <c r="C123" s="145"/>
      <c r="D123" s="65"/>
      <c r="E123" s="160" t="s">
        <v>503</v>
      </c>
      <c r="F123" s="155" t="s">
        <v>987</v>
      </c>
      <c r="G123" s="157" t="s">
        <v>98</v>
      </c>
      <c r="H123" s="157" t="s">
        <v>1058</v>
      </c>
      <c r="I123" s="69" t="s">
        <v>1653</v>
      </c>
      <c r="J123" s="124">
        <v>1</v>
      </c>
      <c r="K123" s="15">
        <v>44000</v>
      </c>
      <c r="L123" s="125"/>
      <c r="M123" s="125"/>
      <c r="N123" s="126"/>
      <c r="O123" s="99"/>
      <c r="P123" s="9" t="s">
        <v>2635</v>
      </c>
      <c r="Q123" s="5">
        <v>45777</v>
      </c>
      <c r="R123" s="209"/>
    </row>
    <row r="124" spans="1:21" ht="16.5" customHeight="1">
      <c r="A124" t="s">
        <v>64</v>
      </c>
      <c r="B124" s="10" t="s">
        <v>1254</v>
      </c>
      <c r="C124" s="145"/>
      <c r="D124" s="65"/>
      <c r="E124" s="160" t="s">
        <v>503</v>
      </c>
      <c r="F124" s="155" t="s">
        <v>32</v>
      </c>
      <c r="G124" s="157" t="s">
        <v>98</v>
      </c>
      <c r="H124" s="157" t="s">
        <v>1058</v>
      </c>
      <c r="I124" s="69" t="s">
        <v>1654</v>
      </c>
      <c r="J124" s="122">
        <v>1</v>
      </c>
      <c r="K124" s="15">
        <v>292200</v>
      </c>
      <c r="L124" s="125"/>
      <c r="M124" s="125"/>
      <c r="N124" s="126"/>
      <c r="O124" s="99"/>
      <c r="P124" s="9" t="s">
        <v>2634</v>
      </c>
      <c r="Q124" s="5">
        <v>45777</v>
      </c>
      <c r="R124" s="213"/>
    </row>
    <row r="125" spans="1:21" ht="16.5" customHeight="1">
      <c r="A125" t="s">
        <v>64</v>
      </c>
      <c r="B125" s="10" t="s">
        <v>1617</v>
      </c>
      <c r="C125" s="145"/>
      <c r="D125" s="65"/>
      <c r="E125" s="160" t="s">
        <v>503</v>
      </c>
      <c r="F125" s="155" t="s">
        <v>32</v>
      </c>
      <c r="G125" s="157" t="s">
        <v>98</v>
      </c>
      <c r="H125" s="157" t="s">
        <v>1058</v>
      </c>
      <c r="I125" s="69" t="s">
        <v>1655</v>
      </c>
      <c r="J125" s="122">
        <v>1</v>
      </c>
      <c r="K125" s="15">
        <v>376200</v>
      </c>
      <c r="L125" s="125"/>
      <c r="M125" s="125"/>
      <c r="N125" s="126"/>
      <c r="O125" s="99"/>
      <c r="P125" s="9" t="s">
        <v>2634</v>
      </c>
      <c r="Q125" s="5">
        <v>45777</v>
      </c>
      <c r="R125" s="213"/>
    </row>
    <row r="126" spans="1:21" ht="16.5" customHeight="1">
      <c r="A126" t="s">
        <v>64</v>
      </c>
      <c r="B126" s="10" t="s">
        <v>1252</v>
      </c>
      <c r="C126" s="145"/>
      <c r="D126" s="65"/>
      <c r="E126" s="160" t="s">
        <v>503</v>
      </c>
      <c r="F126" s="155" t="s">
        <v>236</v>
      </c>
      <c r="G126" s="157" t="s">
        <v>98</v>
      </c>
      <c r="H126" s="157" t="s">
        <v>1058</v>
      </c>
      <c r="I126" s="69" t="s">
        <v>1656</v>
      </c>
      <c r="J126" s="122">
        <v>1</v>
      </c>
      <c r="K126" s="15">
        <v>391000</v>
      </c>
      <c r="L126" s="125"/>
      <c r="M126" s="125"/>
      <c r="N126" s="126"/>
      <c r="O126" s="99"/>
      <c r="P126" s="9" t="s">
        <v>2636</v>
      </c>
      <c r="Q126" s="5">
        <v>45777</v>
      </c>
      <c r="R126" s="213"/>
    </row>
    <row r="127" spans="1:21" ht="16.5" customHeight="1">
      <c r="A127" t="s">
        <v>64</v>
      </c>
      <c r="B127" s="10" t="s">
        <v>1730</v>
      </c>
      <c r="C127" s="145"/>
      <c r="D127" s="65"/>
      <c r="E127" s="160" t="s">
        <v>503</v>
      </c>
      <c r="F127" s="155" t="s">
        <v>1657</v>
      </c>
      <c r="G127" s="157" t="s">
        <v>98</v>
      </c>
      <c r="H127" s="157" t="s">
        <v>1058</v>
      </c>
      <c r="I127" s="69" t="s">
        <v>1658</v>
      </c>
      <c r="J127" s="122">
        <v>1</v>
      </c>
      <c r="K127" s="15">
        <v>14000</v>
      </c>
      <c r="L127" s="125"/>
      <c r="M127" s="125"/>
      <c r="N127" s="126"/>
      <c r="O127" s="99"/>
      <c r="P127" s="9" t="s">
        <v>2636</v>
      </c>
      <c r="Q127" s="5">
        <v>45777</v>
      </c>
      <c r="R127" s="213" t="s">
        <v>1841</v>
      </c>
    </row>
    <row r="128" spans="1:21" ht="16.5" customHeight="1">
      <c r="A128" t="s">
        <v>64</v>
      </c>
      <c r="B128" s="10" t="s">
        <v>1731</v>
      </c>
      <c r="C128" s="145"/>
      <c r="D128" s="65"/>
      <c r="E128" s="160" t="s">
        <v>503</v>
      </c>
      <c r="F128" s="155" t="s">
        <v>1661</v>
      </c>
      <c r="G128" s="157" t="s">
        <v>98</v>
      </c>
      <c r="H128" s="157" t="s">
        <v>1058</v>
      </c>
      <c r="I128" s="69" t="s">
        <v>1662</v>
      </c>
      <c r="J128" s="122">
        <v>1</v>
      </c>
      <c r="K128" s="15">
        <v>14000</v>
      </c>
      <c r="L128" s="125"/>
      <c r="M128" s="125"/>
      <c r="N128" s="126"/>
      <c r="O128" s="99"/>
      <c r="P128" s="9" t="s">
        <v>2636</v>
      </c>
      <c r="Q128" s="5">
        <v>45777</v>
      </c>
      <c r="R128" s="213" t="s">
        <v>1841</v>
      </c>
    </row>
    <row r="129" spans="1:21" ht="16.5" customHeight="1">
      <c r="A129" t="s">
        <v>64</v>
      </c>
      <c r="B129" s="141" t="s">
        <v>144</v>
      </c>
      <c r="C129" s="142"/>
      <c r="D129" s="13">
        <v>45777</v>
      </c>
      <c r="E129" s="155" t="s">
        <v>177</v>
      </c>
      <c r="F129" s="155"/>
      <c r="G129" s="156" t="s">
        <v>41</v>
      </c>
      <c r="H129" s="156" t="s">
        <v>711</v>
      </c>
      <c r="I129" s="159" t="s">
        <v>2527</v>
      </c>
      <c r="J129" s="124">
        <v>1</v>
      </c>
      <c r="K129" s="16">
        <v>31636</v>
      </c>
      <c r="L129" s="15">
        <f t="shared" ref="L129:L152" si="10">J129*K129</f>
        <v>31636</v>
      </c>
      <c r="M129" s="15">
        <v>3164</v>
      </c>
      <c r="N129" s="15">
        <f t="shared" ref="N129:N152" si="11">SUM(L129:M129)</f>
        <v>34800</v>
      </c>
      <c r="O129" s="5" t="s">
        <v>1986</v>
      </c>
      <c r="P129" s="175" t="s">
        <v>2644</v>
      </c>
      <c r="Q129" s="68" t="s">
        <v>206</v>
      </c>
      <c r="R129" s="212"/>
      <c r="S129" s="7"/>
    </row>
    <row r="130" spans="1:21" ht="16.5" customHeight="1">
      <c r="A130" t="s">
        <v>64</v>
      </c>
      <c r="B130" s="141" t="s">
        <v>144</v>
      </c>
      <c r="C130" s="148"/>
      <c r="D130" s="13">
        <v>45777</v>
      </c>
      <c r="E130" s="155" t="s">
        <v>833</v>
      </c>
      <c r="F130" s="155"/>
      <c r="G130" s="156" t="s">
        <v>41</v>
      </c>
      <c r="H130" s="157" t="s">
        <v>711</v>
      </c>
      <c r="I130" s="159" t="s">
        <v>1846</v>
      </c>
      <c r="J130" s="124">
        <v>1</v>
      </c>
      <c r="K130" s="16">
        <v>277000</v>
      </c>
      <c r="L130" s="188">
        <f t="shared" si="10"/>
        <v>277000</v>
      </c>
      <c r="M130" s="15">
        <f t="shared" ref="M130:M141" si="12">L130*10%</f>
        <v>27700</v>
      </c>
      <c r="N130" s="15">
        <f t="shared" si="11"/>
        <v>304700</v>
      </c>
      <c r="O130" s="5" t="s">
        <v>2115</v>
      </c>
      <c r="P130" s="175" t="s">
        <v>2644</v>
      </c>
      <c r="Q130" s="68" t="s">
        <v>206</v>
      </c>
      <c r="R130" s="212"/>
      <c r="S130" s="7"/>
    </row>
    <row r="131" spans="1:21" ht="16.5" customHeight="1">
      <c r="A131" t="s">
        <v>64</v>
      </c>
      <c r="B131" s="141" t="s">
        <v>144</v>
      </c>
      <c r="C131" s="12"/>
      <c r="D131" s="13">
        <v>45777</v>
      </c>
      <c r="E131" s="155" t="s">
        <v>158</v>
      </c>
      <c r="F131" s="155"/>
      <c r="G131" s="156" t="s">
        <v>30</v>
      </c>
      <c r="H131" s="157" t="s">
        <v>145</v>
      </c>
      <c r="I131" s="69" t="s">
        <v>1759</v>
      </c>
      <c r="J131" s="122">
        <v>1</v>
      </c>
      <c r="K131" s="15">
        <v>69000</v>
      </c>
      <c r="L131" s="16">
        <f t="shared" si="10"/>
        <v>69000</v>
      </c>
      <c r="M131" s="15">
        <f t="shared" si="12"/>
        <v>6900</v>
      </c>
      <c r="N131" s="15">
        <f t="shared" si="11"/>
        <v>75900</v>
      </c>
      <c r="O131" s="5" t="s">
        <v>1987</v>
      </c>
      <c r="P131" s="175" t="s">
        <v>2644</v>
      </c>
      <c r="Q131" s="68" t="s">
        <v>206</v>
      </c>
      <c r="R131" s="209"/>
      <c r="T131" s="11"/>
    </row>
    <row r="132" spans="1:21" ht="16.5" customHeight="1">
      <c r="A132" t="s">
        <v>64</v>
      </c>
      <c r="B132" s="10" t="s">
        <v>1382</v>
      </c>
      <c r="C132" s="12"/>
      <c r="D132" s="13">
        <v>45777</v>
      </c>
      <c r="E132" s="155" t="s">
        <v>1384</v>
      </c>
      <c r="F132" s="155" t="s">
        <v>1385</v>
      </c>
      <c r="G132" s="156" t="s">
        <v>1386</v>
      </c>
      <c r="H132" s="156" t="s">
        <v>1387</v>
      </c>
      <c r="I132" s="69" t="s">
        <v>1388</v>
      </c>
      <c r="J132" s="122">
        <v>1</v>
      </c>
      <c r="K132" s="15">
        <v>2040000</v>
      </c>
      <c r="L132" s="16">
        <f t="shared" si="10"/>
        <v>2040000</v>
      </c>
      <c r="M132" s="16">
        <f t="shared" si="12"/>
        <v>204000</v>
      </c>
      <c r="N132" s="15">
        <f t="shared" si="11"/>
        <v>2244000</v>
      </c>
      <c r="O132" s="5" t="s">
        <v>2578</v>
      </c>
      <c r="P132" s="9" t="s">
        <v>2635</v>
      </c>
      <c r="Q132" s="5">
        <v>45735</v>
      </c>
      <c r="R132" s="209"/>
    </row>
    <row r="133" spans="1:21" ht="16.5" customHeight="1">
      <c r="A133" t="s">
        <v>64</v>
      </c>
      <c r="B133" s="10" t="s">
        <v>302</v>
      </c>
      <c r="C133" s="198"/>
      <c r="D133" s="13">
        <v>45777</v>
      </c>
      <c r="E133" s="199" t="s">
        <v>178</v>
      </c>
      <c r="F133" s="199" t="s">
        <v>266</v>
      </c>
      <c r="G133" s="157" t="s">
        <v>98</v>
      </c>
      <c r="H133" s="157" t="s">
        <v>213</v>
      </c>
      <c r="I133" s="69" t="s">
        <v>1651</v>
      </c>
      <c r="J133" s="201">
        <v>1</v>
      </c>
      <c r="K133" s="15">
        <v>290000</v>
      </c>
      <c r="L133" s="16">
        <f t="shared" si="10"/>
        <v>290000</v>
      </c>
      <c r="M133" s="16">
        <f t="shared" si="12"/>
        <v>29000</v>
      </c>
      <c r="N133" s="15">
        <f t="shared" si="11"/>
        <v>319000</v>
      </c>
      <c r="O133" s="5" t="s">
        <v>2228</v>
      </c>
      <c r="P133" s="175" t="s">
        <v>2635</v>
      </c>
      <c r="Q133" s="5">
        <v>45777</v>
      </c>
      <c r="R133" s="213"/>
      <c r="U133" s="11"/>
    </row>
    <row r="134" spans="1:21" ht="16.5" customHeight="1">
      <c r="A134" t="s">
        <v>64</v>
      </c>
      <c r="B134" s="10" t="s">
        <v>1732</v>
      </c>
      <c r="C134" s="12" t="s">
        <v>1262</v>
      </c>
      <c r="D134" s="13">
        <v>45748</v>
      </c>
      <c r="E134" s="155" t="s">
        <v>2625</v>
      </c>
      <c r="F134" s="155" t="s">
        <v>1265</v>
      </c>
      <c r="G134" s="156" t="s">
        <v>7</v>
      </c>
      <c r="H134" s="156" t="s">
        <v>2627</v>
      </c>
      <c r="I134" s="69" t="s">
        <v>1364</v>
      </c>
      <c r="J134" s="122">
        <v>1</v>
      </c>
      <c r="K134" s="15">
        <v>10869600</v>
      </c>
      <c r="L134" s="16">
        <f t="shared" si="10"/>
        <v>10869600</v>
      </c>
      <c r="M134" s="16">
        <f t="shared" si="12"/>
        <v>1086960</v>
      </c>
      <c r="N134" s="15">
        <f t="shared" si="11"/>
        <v>11956560</v>
      </c>
      <c r="O134" s="5" t="s">
        <v>2233</v>
      </c>
      <c r="P134" s="9" t="s">
        <v>2636</v>
      </c>
      <c r="Q134" s="5">
        <v>45747</v>
      </c>
      <c r="R134" s="213"/>
    </row>
    <row r="135" spans="1:21" ht="16.5" customHeight="1">
      <c r="A135" t="s">
        <v>64</v>
      </c>
      <c r="B135" s="10" t="s">
        <v>1733</v>
      </c>
      <c r="C135" s="12" t="s">
        <v>1627</v>
      </c>
      <c r="D135" s="13">
        <v>45749</v>
      </c>
      <c r="E135" s="155" t="s">
        <v>2625</v>
      </c>
      <c r="F135" s="155" t="s">
        <v>1628</v>
      </c>
      <c r="G135" s="156" t="s">
        <v>7</v>
      </c>
      <c r="H135" s="156" t="s">
        <v>2627</v>
      </c>
      <c r="I135" s="69" t="s">
        <v>1629</v>
      </c>
      <c r="J135" s="124">
        <v>1</v>
      </c>
      <c r="K135" s="15">
        <v>6840</v>
      </c>
      <c r="L135" s="16">
        <f t="shared" si="10"/>
        <v>6840</v>
      </c>
      <c r="M135" s="16">
        <f t="shared" si="12"/>
        <v>684</v>
      </c>
      <c r="N135" s="15">
        <f t="shared" si="11"/>
        <v>7524</v>
      </c>
      <c r="O135" s="5" t="s">
        <v>2233</v>
      </c>
      <c r="P135" s="9" t="s">
        <v>2636</v>
      </c>
      <c r="Q135" s="5">
        <v>45748</v>
      </c>
      <c r="R135" s="209" t="s">
        <v>1636</v>
      </c>
    </row>
    <row r="136" spans="1:21" ht="16.5" customHeight="1">
      <c r="A136" t="s">
        <v>64</v>
      </c>
      <c r="B136" s="10" t="s">
        <v>967</v>
      </c>
      <c r="C136" s="12" t="s">
        <v>1710</v>
      </c>
      <c r="D136" s="13">
        <v>45751</v>
      </c>
      <c r="E136" s="155" t="s">
        <v>2625</v>
      </c>
      <c r="F136" s="155" t="s">
        <v>968</v>
      </c>
      <c r="G136" s="156" t="s">
        <v>41</v>
      </c>
      <c r="H136" s="156" t="s">
        <v>969</v>
      </c>
      <c r="I136" s="69" t="s">
        <v>1847</v>
      </c>
      <c r="J136" s="122">
        <v>1</v>
      </c>
      <c r="K136" s="15">
        <v>455000</v>
      </c>
      <c r="L136" s="16">
        <f t="shared" si="10"/>
        <v>455000</v>
      </c>
      <c r="M136" s="16">
        <f t="shared" si="12"/>
        <v>45500</v>
      </c>
      <c r="N136" s="15">
        <f t="shared" si="11"/>
        <v>500500</v>
      </c>
      <c r="O136" s="5" t="s">
        <v>1941</v>
      </c>
      <c r="P136" s="9" t="s">
        <v>2636</v>
      </c>
      <c r="Q136" s="5">
        <v>45702</v>
      </c>
      <c r="R136" s="209"/>
    </row>
    <row r="137" spans="1:21" ht="16.5" customHeight="1">
      <c r="A137" t="s">
        <v>64</v>
      </c>
      <c r="B137" s="10" t="s">
        <v>1734</v>
      </c>
      <c r="C137" s="12" t="s">
        <v>1706</v>
      </c>
      <c r="D137" s="13">
        <v>45756</v>
      </c>
      <c r="E137" s="155" t="s">
        <v>2625</v>
      </c>
      <c r="F137" s="155" t="s">
        <v>1707</v>
      </c>
      <c r="G137" s="156" t="s">
        <v>1708</v>
      </c>
      <c r="H137" s="156" t="s">
        <v>2626</v>
      </c>
      <c r="I137" s="69" t="s">
        <v>1709</v>
      </c>
      <c r="J137" s="124">
        <v>1</v>
      </c>
      <c r="K137" s="15">
        <v>16300800</v>
      </c>
      <c r="L137" s="16">
        <f t="shared" si="10"/>
        <v>16300800</v>
      </c>
      <c r="M137" s="16">
        <f t="shared" si="12"/>
        <v>1630080</v>
      </c>
      <c r="N137" s="15">
        <f t="shared" si="11"/>
        <v>17930880</v>
      </c>
      <c r="O137" s="5" t="s">
        <v>2289</v>
      </c>
      <c r="P137" s="9" t="s">
        <v>2636</v>
      </c>
      <c r="Q137" s="5">
        <v>45747</v>
      </c>
      <c r="R137" s="209"/>
    </row>
    <row r="138" spans="1:21" ht="16.5" customHeight="1">
      <c r="A138" t="s">
        <v>64</v>
      </c>
      <c r="B138" s="10" t="s">
        <v>1734</v>
      </c>
      <c r="C138" s="12" t="s">
        <v>1711</v>
      </c>
      <c r="D138" s="13">
        <v>45758</v>
      </c>
      <c r="E138" s="155" t="s">
        <v>2625</v>
      </c>
      <c r="F138" s="155" t="s">
        <v>224</v>
      </c>
      <c r="G138" s="156" t="s">
        <v>7</v>
      </c>
      <c r="H138" s="156" t="s">
        <v>2627</v>
      </c>
      <c r="I138" s="69" t="s">
        <v>1719</v>
      </c>
      <c r="J138" s="124">
        <v>1</v>
      </c>
      <c r="K138" s="15">
        <v>420000</v>
      </c>
      <c r="L138" s="16">
        <f t="shared" si="10"/>
        <v>420000</v>
      </c>
      <c r="M138" s="16">
        <f t="shared" si="12"/>
        <v>42000</v>
      </c>
      <c r="N138" s="15">
        <f t="shared" si="11"/>
        <v>462000</v>
      </c>
      <c r="O138" s="5" t="s">
        <v>2327</v>
      </c>
      <c r="P138" s="9" t="s">
        <v>2636</v>
      </c>
      <c r="Q138" s="5">
        <v>45747</v>
      </c>
      <c r="R138" s="209"/>
    </row>
    <row r="139" spans="1:21" ht="16.5" customHeight="1">
      <c r="A139" t="s">
        <v>64</v>
      </c>
      <c r="B139" s="10" t="s">
        <v>1734</v>
      </c>
      <c r="C139" s="12" t="s">
        <v>1711</v>
      </c>
      <c r="D139" s="13">
        <v>45758</v>
      </c>
      <c r="E139" s="155" t="s">
        <v>2625</v>
      </c>
      <c r="F139" s="155" t="s">
        <v>224</v>
      </c>
      <c r="G139" s="156" t="s">
        <v>7</v>
      </c>
      <c r="H139" s="156" t="s">
        <v>2627</v>
      </c>
      <c r="I139" s="69" t="s">
        <v>1720</v>
      </c>
      <c r="J139" s="124">
        <v>1</v>
      </c>
      <c r="K139" s="15">
        <v>420000</v>
      </c>
      <c r="L139" s="16">
        <f t="shared" si="10"/>
        <v>420000</v>
      </c>
      <c r="M139" s="16">
        <f t="shared" si="12"/>
        <v>42000</v>
      </c>
      <c r="N139" s="15">
        <f t="shared" si="11"/>
        <v>462000</v>
      </c>
      <c r="O139" s="5" t="s">
        <v>2327</v>
      </c>
      <c r="P139" s="9" t="s">
        <v>2636</v>
      </c>
      <c r="Q139" s="5">
        <v>45747</v>
      </c>
      <c r="R139" s="209"/>
    </row>
    <row r="140" spans="1:21" ht="16.5" customHeight="1">
      <c r="A140" t="s">
        <v>64</v>
      </c>
      <c r="B140" s="10" t="s">
        <v>1734</v>
      </c>
      <c r="C140" s="12" t="s">
        <v>1711</v>
      </c>
      <c r="D140" s="13">
        <v>45758</v>
      </c>
      <c r="E140" s="155" t="s">
        <v>2625</v>
      </c>
      <c r="F140" s="155" t="s">
        <v>224</v>
      </c>
      <c r="G140" s="156" t="s">
        <v>7</v>
      </c>
      <c r="H140" s="156" t="s">
        <v>2627</v>
      </c>
      <c r="I140" s="69" t="s">
        <v>1721</v>
      </c>
      <c r="J140" s="124">
        <v>1</v>
      </c>
      <c r="K140" s="15">
        <v>420000</v>
      </c>
      <c r="L140" s="16">
        <f t="shared" si="10"/>
        <v>420000</v>
      </c>
      <c r="M140" s="16">
        <f t="shared" si="12"/>
        <v>42000</v>
      </c>
      <c r="N140" s="15">
        <f t="shared" si="11"/>
        <v>462000</v>
      </c>
      <c r="O140" s="5" t="s">
        <v>2327</v>
      </c>
      <c r="P140" s="9" t="s">
        <v>2636</v>
      </c>
      <c r="Q140" s="5">
        <v>45747</v>
      </c>
      <c r="R140" s="209"/>
    </row>
    <row r="141" spans="1:21" ht="16.5" customHeight="1">
      <c r="A141" t="s">
        <v>64</v>
      </c>
      <c r="B141" s="10" t="s">
        <v>104</v>
      </c>
      <c r="C141" s="12" t="s">
        <v>458</v>
      </c>
      <c r="D141" s="13">
        <v>45764</v>
      </c>
      <c r="E141" s="155" t="s">
        <v>2625</v>
      </c>
      <c r="F141" s="155" t="s">
        <v>2629</v>
      </c>
      <c r="G141" s="156" t="s">
        <v>41</v>
      </c>
      <c r="H141" s="156" t="s">
        <v>214</v>
      </c>
      <c r="I141" s="69" t="s">
        <v>1722</v>
      </c>
      <c r="J141" s="122">
        <v>1</v>
      </c>
      <c r="K141" s="16">
        <v>910700</v>
      </c>
      <c r="L141" s="16">
        <f t="shared" si="10"/>
        <v>910700</v>
      </c>
      <c r="M141" s="16">
        <f t="shared" si="12"/>
        <v>91070</v>
      </c>
      <c r="N141" s="15">
        <f t="shared" si="11"/>
        <v>1001770</v>
      </c>
      <c r="O141" s="5" t="s">
        <v>2359</v>
      </c>
      <c r="P141" s="9" t="s">
        <v>2636</v>
      </c>
      <c r="Q141" s="5">
        <v>45595</v>
      </c>
      <c r="R141" s="209" t="s">
        <v>100</v>
      </c>
    </row>
    <row r="142" spans="1:21" ht="16.5" customHeight="1">
      <c r="A142" t="s">
        <v>64</v>
      </c>
      <c r="B142" s="10" t="s">
        <v>144</v>
      </c>
      <c r="C142" s="12" t="s">
        <v>459</v>
      </c>
      <c r="D142" s="13">
        <v>45771</v>
      </c>
      <c r="E142" s="155" t="s">
        <v>2625</v>
      </c>
      <c r="F142" s="155" t="s">
        <v>215</v>
      </c>
      <c r="G142" s="156" t="s">
        <v>41</v>
      </c>
      <c r="H142" s="156" t="s">
        <v>214</v>
      </c>
      <c r="I142" s="69" t="s">
        <v>1784</v>
      </c>
      <c r="J142" s="122">
        <v>1</v>
      </c>
      <c r="K142" s="15">
        <v>1666322</v>
      </c>
      <c r="L142" s="16">
        <f t="shared" si="10"/>
        <v>1666322</v>
      </c>
      <c r="M142" s="16">
        <v>166632</v>
      </c>
      <c r="N142" s="15">
        <f t="shared" si="11"/>
        <v>1832954</v>
      </c>
      <c r="O142" s="5" t="s">
        <v>2375</v>
      </c>
      <c r="P142" s="9" t="s">
        <v>2636</v>
      </c>
      <c r="Q142" s="182" t="s">
        <v>215</v>
      </c>
      <c r="R142" s="209"/>
      <c r="U142" s="11"/>
    </row>
    <row r="143" spans="1:21" ht="16.5" customHeight="1">
      <c r="A143" t="s">
        <v>64</v>
      </c>
      <c r="B143" s="10" t="s">
        <v>1991</v>
      </c>
      <c r="C143" s="12" t="s">
        <v>1828</v>
      </c>
      <c r="D143" s="13">
        <v>45775</v>
      </c>
      <c r="E143" s="155" t="s">
        <v>2625</v>
      </c>
      <c r="F143" s="155" t="s">
        <v>2629</v>
      </c>
      <c r="G143" s="156" t="s">
        <v>7</v>
      </c>
      <c r="H143" s="156" t="s">
        <v>2627</v>
      </c>
      <c r="I143" s="69" t="s">
        <v>1948</v>
      </c>
      <c r="J143" s="124">
        <v>1</v>
      </c>
      <c r="K143" s="15">
        <v>777840</v>
      </c>
      <c r="L143" s="16">
        <f t="shared" si="10"/>
        <v>777840</v>
      </c>
      <c r="M143" s="16">
        <f t="shared" ref="M143:M153" si="13">L143*10%</f>
        <v>77784</v>
      </c>
      <c r="N143" s="15">
        <f t="shared" si="11"/>
        <v>855624</v>
      </c>
      <c r="O143" s="5" t="s">
        <v>2401</v>
      </c>
      <c r="P143" s="9" t="s">
        <v>2636</v>
      </c>
      <c r="Q143" s="5">
        <v>45777</v>
      </c>
      <c r="R143" s="209"/>
    </row>
    <row r="144" spans="1:21" ht="16.5" customHeight="1">
      <c r="A144" t="s">
        <v>64</v>
      </c>
      <c r="B144" s="10" t="s">
        <v>1991</v>
      </c>
      <c r="C144" s="12" t="s">
        <v>1828</v>
      </c>
      <c r="D144" s="13">
        <v>45775</v>
      </c>
      <c r="E144" s="155" t="s">
        <v>2625</v>
      </c>
      <c r="F144" s="155" t="s">
        <v>2629</v>
      </c>
      <c r="G144" s="156" t="s">
        <v>7</v>
      </c>
      <c r="H144" s="156" t="s">
        <v>2627</v>
      </c>
      <c r="I144" s="69" t="s">
        <v>1949</v>
      </c>
      <c r="J144" s="124">
        <v>1</v>
      </c>
      <c r="K144" s="15">
        <v>1111200</v>
      </c>
      <c r="L144" s="16">
        <f t="shared" si="10"/>
        <v>1111200</v>
      </c>
      <c r="M144" s="16">
        <f t="shared" si="13"/>
        <v>111120</v>
      </c>
      <c r="N144" s="15">
        <f t="shared" si="11"/>
        <v>1222320</v>
      </c>
      <c r="O144" s="5" t="s">
        <v>2401</v>
      </c>
      <c r="P144" s="9" t="s">
        <v>2636</v>
      </c>
      <c r="Q144" s="5">
        <v>45777</v>
      </c>
      <c r="R144" s="209"/>
    </row>
    <row r="145" spans="1:22" ht="16.5" customHeight="1">
      <c r="A145" t="s">
        <v>64</v>
      </c>
      <c r="B145" s="10" t="s">
        <v>377</v>
      </c>
      <c r="C145" s="12" t="s">
        <v>380</v>
      </c>
      <c r="D145" s="13">
        <v>45777</v>
      </c>
      <c r="E145" s="155" t="s">
        <v>2625</v>
      </c>
      <c r="F145" s="155" t="s">
        <v>219</v>
      </c>
      <c r="G145" s="168" t="s">
        <v>7</v>
      </c>
      <c r="H145" s="156" t="s">
        <v>2627</v>
      </c>
      <c r="I145" s="69" t="s">
        <v>1848</v>
      </c>
      <c r="J145" s="122">
        <v>1</v>
      </c>
      <c r="K145" s="15">
        <v>101400</v>
      </c>
      <c r="L145" s="16">
        <f t="shared" si="10"/>
        <v>101400</v>
      </c>
      <c r="M145" s="15">
        <f t="shared" si="13"/>
        <v>10140</v>
      </c>
      <c r="N145" s="15">
        <f t="shared" si="11"/>
        <v>111540</v>
      </c>
      <c r="O145" s="5" t="s">
        <v>2455</v>
      </c>
      <c r="P145" s="9" t="s">
        <v>2636</v>
      </c>
      <c r="Q145" s="5">
        <v>45777</v>
      </c>
      <c r="R145" s="209"/>
    </row>
    <row r="146" spans="1:22" ht="16.5" customHeight="1">
      <c r="A146" t="s">
        <v>64</v>
      </c>
      <c r="B146" s="10" t="s">
        <v>390</v>
      </c>
      <c r="C146" s="225" t="s">
        <v>386</v>
      </c>
      <c r="D146" s="13">
        <v>45777</v>
      </c>
      <c r="E146" s="155" t="s">
        <v>2625</v>
      </c>
      <c r="F146" s="155" t="s">
        <v>97</v>
      </c>
      <c r="G146" s="156" t="s">
        <v>7</v>
      </c>
      <c r="H146" s="156" t="s">
        <v>2627</v>
      </c>
      <c r="I146" s="69" t="s">
        <v>1556</v>
      </c>
      <c r="J146" s="122">
        <v>1</v>
      </c>
      <c r="K146" s="15">
        <v>171600</v>
      </c>
      <c r="L146" s="16">
        <f t="shared" si="10"/>
        <v>171600</v>
      </c>
      <c r="M146" s="15">
        <f t="shared" si="13"/>
        <v>17160</v>
      </c>
      <c r="N146" s="15">
        <f t="shared" si="11"/>
        <v>188760</v>
      </c>
      <c r="O146" s="5" t="s">
        <v>2455</v>
      </c>
      <c r="P146" s="9" t="s">
        <v>2636</v>
      </c>
      <c r="Q146" s="5">
        <v>45748</v>
      </c>
      <c r="R146" s="209"/>
    </row>
    <row r="147" spans="1:22" ht="16.5" customHeight="1">
      <c r="A147" t="s">
        <v>64</v>
      </c>
      <c r="B147" s="10" t="s">
        <v>406</v>
      </c>
      <c r="C147" s="12" t="s">
        <v>407</v>
      </c>
      <c r="D147" s="13">
        <v>45777</v>
      </c>
      <c r="E147" s="155" t="s">
        <v>2625</v>
      </c>
      <c r="F147" s="155" t="s">
        <v>259</v>
      </c>
      <c r="G147" s="156" t="s">
        <v>7</v>
      </c>
      <c r="H147" s="156" t="s">
        <v>2627</v>
      </c>
      <c r="I147" s="69" t="s">
        <v>1866</v>
      </c>
      <c r="J147" s="122">
        <v>1</v>
      </c>
      <c r="K147" s="15">
        <v>1120200</v>
      </c>
      <c r="L147" s="16">
        <f t="shared" si="10"/>
        <v>1120200</v>
      </c>
      <c r="M147" s="15">
        <f t="shared" si="13"/>
        <v>112020</v>
      </c>
      <c r="N147" s="15">
        <f t="shared" si="11"/>
        <v>1232220</v>
      </c>
      <c r="O147" s="5" t="s">
        <v>2455</v>
      </c>
      <c r="P147" s="9" t="s">
        <v>2636</v>
      </c>
      <c r="Q147" s="5">
        <v>45748</v>
      </c>
      <c r="R147" s="209"/>
    </row>
    <row r="148" spans="1:22" ht="16.5" customHeight="1">
      <c r="A148" t="s">
        <v>64</v>
      </c>
      <c r="B148" s="10" t="s">
        <v>393</v>
      </c>
      <c r="C148" s="12" t="s">
        <v>392</v>
      </c>
      <c r="D148" s="13">
        <v>45777</v>
      </c>
      <c r="E148" s="155" t="s">
        <v>2625</v>
      </c>
      <c r="F148" s="155" t="s">
        <v>234</v>
      </c>
      <c r="G148" s="168" t="s">
        <v>7</v>
      </c>
      <c r="H148" s="156" t="s">
        <v>2627</v>
      </c>
      <c r="I148" s="69" t="s">
        <v>2513</v>
      </c>
      <c r="J148" s="122">
        <v>1</v>
      </c>
      <c r="K148" s="15">
        <v>1706400</v>
      </c>
      <c r="L148" s="16">
        <f t="shared" si="10"/>
        <v>1706400</v>
      </c>
      <c r="M148" s="15">
        <f t="shared" si="13"/>
        <v>170640</v>
      </c>
      <c r="N148" s="15">
        <f t="shared" si="11"/>
        <v>1877040</v>
      </c>
      <c r="O148" s="5" t="s">
        <v>2455</v>
      </c>
      <c r="P148" s="9" t="s">
        <v>2636</v>
      </c>
      <c r="Q148" s="5">
        <v>45748</v>
      </c>
      <c r="R148" s="209" t="s">
        <v>147</v>
      </c>
    </row>
    <row r="149" spans="1:22" ht="16.5" customHeight="1">
      <c r="A149" t="s">
        <v>64</v>
      </c>
      <c r="B149" s="10" t="s">
        <v>232</v>
      </c>
      <c r="C149" s="12" t="s">
        <v>233</v>
      </c>
      <c r="D149" s="13">
        <v>45777</v>
      </c>
      <c r="E149" s="155" t="s">
        <v>2625</v>
      </c>
      <c r="F149" s="163" t="s">
        <v>234</v>
      </c>
      <c r="G149" s="168" t="s">
        <v>7</v>
      </c>
      <c r="H149" s="156" t="s">
        <v>2627</v>
      </c>
      <c r="I149" s="69" t="s">
        <v>1854</v>
      </c>
      <c r="J149" s="122">
        <v>1</v>
      </c>
      <c r="K149" s="15">
        <v>58800</v>
      </c>
      <c r="L149" s="16">
        <f t="shared" si="10"/>
        <v>58800</v>
      </c>
      <c r="M149" s="15">
        <f t="shared" si="13"/>
        <v>5880</v>
      </c>
      <c r="N149" s="15">
        <f t="shared" si="11"/>
        <v>64680</v>
      </c>
      <c r="O149" s="5" t="s">
        <v>2455</v>
      </c>
      <c r="P149" s="9" t="s">
        <v>2636</v>
      </c>
      <c r="Q149" s="5">
        <v>45748</v>
      </c>
      <c r="R149" s="209" t="s">
        <v>147</v>
      </c>
      <c r="U149" s="11"/>
      <c r="V149" s="8"/>
    </row>
    <row r="150" spans="1:22" ht="16.5" customHeight="1">
      <c r="A150" t="s">
        <v>64</v>
      </c>
      <c r="B150" s="10" t="s">
        <v>461</v>
      </c>
      <c r="C150" s="12" t="s">
        <v>238</v>
      </c>
      <c r="D150" s="13">
        <v>45777</v>
      </c>
      <c r="E150" s="155" t="s">
        <v>2625</v>
      </c>
      <c r="F150" s="155" t="s">
        <v>239</v>
      </c>
      <c r="G150" s="168" t="s">
        <v>7</v>
      </c>
      <c r="H150" s="156" t="s">
        <v>2627</v>
      </c>
      <c r="I150" s="69" t="s">
        <v>1855</v>
      </c>
      <c r="J150" s="122">
        <v>1</v>
      </c>
      <c r="K150" s="15">
        <v>115800</v>
      </c>
      <c r="L150" s="16">
        <f t="shared" si="10"/>
        <v>115800</v>
      </c>
      <c r="M150" s="15">
        <f t="shared" si="13"/>
        <v>11580</v>
      </c>
      <c r="N150" s="15">
        <f t="shared" si="11"/>
        <v>127380</v>
      </c>
      <c r="O150" s="5" t="s">
        <v>2455</v>
      </c>
      <c r="P150" s="9" t="s">
        <v>2636</v>
      </c>
      <c r="Q150" s="5">
        <v>45838</v>
      </c>
      <c r="R150" s="209" t="s">
        <v>147</v>
      </c>
      <c r="U150" s="11"/>
      <c r="V150" s="8"/>
    </row>
    <row r="151" spans="1:22" ht="16.5" customHeight="1">
      <c r="A151" t="s">
        <v>64</v>
      </c>
      <c r="B151" s="10" t="s">
        <v>260</v>
      </c>
      <c r="C151" s="12" t="s">
        <v>261</v>
      </c>
      <c r="D151" s="13">
        <v>45777</v>
      </c>
      <c r="E151" s="155" t="s">
        <v>2625</v>
      </c>
      <c r="F151" s="155" t="s">
        <v>250</v>
      </c>
      <c r="G151" s="168" t="s">
        <v>7</v>
      </c>
      <c r="H151" s="156" t="s">
        <v>2627</v>
      </c>
      <c r="I151" s="69" t="s">
        <v>1856</v>
      </c>
      <c r="J151" s="122">
        <v>1</v>
      </c>
      <c r="K151" s="15">
        <v>9980400</v>
      </c>
      <c r="L151" s="16">
        <f t="shared" si="10"/>
        <v>9980400</v>
      </c>
      <c r="M151" s="15">
        <f t="shared" si="13"/>
        <v>998040</v>
      </c>
      <c r="N151" s="15">
        <f t="shared" si="11"/>
        <v>10978440</v>
      </c>
      <c r="O151" s="5" t="s">
        <v>2455</v>
      </c>
      <c r="P151" s="9" t="s">
        <v>2636</v>
      </c>
      <c r="Q151" s="5">
        <v>45777</v>
      </c>
      <c r="R151" s="209"/>
      <c r="U151" s="11"/>
      <c r="V151" s="8"/>
    </row>
    <row r="152" spans="1:22" ht="16.5" customHeight="1">
      <c r="A152" t="s">
        <v>64</v>
      </c>
      <c r="B152" s="10" t="s">
        <v>245</v>
      </c>
      <c r="C152" s="12" t="s">
        <v>246</v>
      </c>
      <c r="D152" s="13">
        <v>45777</v>
      </c>
      <c r="E152" s="155" t="s">
        <v>2625</v>
      </c>
      <c r="F152" s="155" t="s">
        <v>247</v>
      </c>
      <c r="G152" s="156" t="s">
        <v>7</v>
      </c>
      <c r="H152" s="156" t="s">
        <v>2627</v>
      </c>
      <c r="I152" s="69" t="s">
        <v>1857</v>
      </c>
      <c r="J152" s="122">
        <v>1</v>
      </c>
      <c r="K152" s="15">
        <v>132600</v>
      </c>
      <c r="L152" s="16">
        <f t="shared" si="10"/>
        <v>132600</v>
      </c>
      <c r="M152" s="15">
        <f t="shared" si="13"/>
        <v>13260</v>
      </c>
      <c r="N152" s="15">
        <f t="shared" si="11"/>
        <v>145860</v>
      </c>
      <c r="O152" s="5" t="s">
        <v>2455</v>
      </c>
      <c r="P152" s="9" t="s">
        <v>2636</v>
      </c>
      <c r="Q152" s="5">
        <v>45057</v>
      </c>
      <c r="R152" s="209" t="s">
        <v>100</v>
      </c>
      <c r="U152" s="11"/>
      <c r="V152" s="8"/>
    </row>
    <row r="153" spans="1:22" ht="16.5" customHeight="1">
      <c r="A153" t="s">
        <v>64</v>
      </c>
      <c r="B153" s="10" t="s">
        <v>1365</v>
      </c>
      <c r="C153" s="12" t="s">
        <v>1366</v>
      </c>
      <c r="D153" s="13">
        <v>45777</v>
      </c>
      <c r="E153" s="155" t="s">
        <v>2625</v>
      </c>
      <c r="F153" s="155" t="s">
        <v>224</v>
      </c>
      <c r="G153" s="168" t="s">
        <v>7</v>
      </c>
      <c r="H153" s="156" t="s">
        <v>2627</v>
      </c>
      <c r="I153" s="69" t="s">
        <v>1367</v>
      </c>
      <c r="J153" s="122">
        <v>1</v>
      </c>
      <c r="K153" s="15">
        <v>475200</v>
      </c>
      <c r="L153" s="16">
        <f t="shared" ref="L153:L184" si="14">J153*K153</f>
        <v>475200</v>
      </c>
      <c r="M153" s="15">
        <f t="shared" si="13"/>
        <v>47520</v>
      </c>
      <c r="N153" s="15">
        <f t="shared" ref="N153:N184" si="15">SUM(L153:M153)</f>
        <v>522720</v>
      </c>
      <c r="O153" s="5" t="s">
        <v>2455</v>
      </c>
      <c r="P153" s="9" t="s">
        <v>2636</v>
      </c>
      <c r="Q153" s="5">
        <v>45681</v>
      </c>
      <c r="R153" s="209" t="s">
        <v>1291</v>
      </c>
    </row>
    <row r="154" spans="1:22" ht="16.5" customHeight="1">
      <c r="A154" t="s">
        <v>64</v>
      </c>
      <c r="B154" s="10" t="s">
        <v>387</v>
      </c>
      <c r="C154" s="12" t="s">
        <v>217</v>
      </c>
      <c r="D154" s="13">
        <v>45777</v>
      </c>
      <c r="E154" s="155" t="s">
        <v>2625</v>
      </c>
      <c r="F154" s="155" t="s">
        <v>218</v>
      </c>
      <c r="G154" s="168" t="s">
        <v>7</v>
      </c>
      <c r="H154" s="156" t="s">
        <v>2627</v>
      </c>
      <c r="I154" s="69" t="s">
        <v>1660</v>
      </c>
      <c r="J154" s="122">
        <v>1</v>
      </c>
      <c r="K154" s="15">
        <v>4859055.4545454541</v>
      </c>
      <c r="L154" s="16">
        <f t="shared" si="14"/>
        <v>4859055.4545454541</v>
      </c>
      <c r="M154" s="15">
        <v>485906</v>
      </c>
      <c r="N154" s="15">
        <f t="shared" si="15"/>
        <v>5344961.4545454541</v>
      </c>
      <c r="O154" s="5" t="s">
        <v>2455</v>
      </c>
      <c r="P154" s="9" t="s">
        <v>2636</v>
      </c>
      <c r="Q154" s="5">
        <v>45777</v>
      </c>
      <c r="R154" s="209"/>
      <c r="U154" s="11"/>
      <c r="V154" s="8"/>
    </row>
    <row r="155" spans="1:22" ht="16.5" customHeight="1">
      <c r="A155" t="s">
        <v>64</v>
      </c>
      <c r="B155" s="10" t="s">
        <v>227</v>
      </c>
      <c r="C155" s="12" t="s">
        <v>383</v>
      </c>
      <c r="D155" s="13">
        <v>45777</v>
      </c>
      <c r="E155" s="155" t="s">
        <v>2625</v>
      </c>
      <c r="F155" s="155" t="s">
        <v>228</v>
      </c>
      <c r="G155" s="156" t="s">
        <v>7</v>
      </c>
      <c r="H155" s="156" t="s">
        <v>2627</v>
      </c>
      <c r="I155" s="69" t="s">
        <v>1858</v>
      </c>
      <c r="J155" s="122">
        <v>1</v>
      </c>
      <c r="K155" s="15">
        <v>18000</v>
      </c>
      <c r="L155" s="16">
        <f t="shared" si="14"/>
        <v>18000</v>
      </c>
      <c r="M155" s="15">
        <f>L155*10%</f>
        <v>1800</v>
      </c>
      <c r="N155" s="15">
        <f t="shared" si="15"/>
        <v>19800</v>
      </c>
      <c r="O155" s="5" t="s">
        <v>2455</v>
      </c>
      <c r="P155" s="9" t="s">
        <v>2636</v>
      </c>
      <c r="Q155" s="5">
        <v>45195</v>
      </c>
      <c r="R155" s="209" t="s">
        <v>100</v>
      </c>
      <c r="U155" s="11"/>
      <c r="V155" s="8"/>
    </row>
    <row r="156" spans="1:22" ht="16.5" customHeight="1">
      <c r="A156" t="s">
        <v>64</v>
      </c>
      <c r="B156" s="10" t="s">
        <v>526</v>
      </c>
      <c r="C156" s="12" t="s">
        <v>292</v>
      </c>
      <c r="D156" s="13">
        <v>45777</v>
      </c>
      <c r="E156" s="155" t="s">
        <v>2625</v>
      </c>
      <c r="F156" s="155" t="s">
        <v>231</v>
      </c>
      <c r="G156" s="156" t="s">
        <v>7</v>
      </c>
      <c r="H156" s="156" t="s">
        <v>2627</v>
      </c>
      <c r="I156" s="69" t="s">
        <v>1859</v>
      </c>
      <c r="J156" s="122">
        <v>1</v>
      </c>
      <c r="K156" s="15">
        <v>17220</v>
      </c>
      <c r="L156" s="16">
        <f t="shared" si="14"/>
        <v>17220</v>
      </c>
      <c r="M156" s="15">
        <v>1722</v>
      </c>
      <c r="N156" s="15">
        <f t="shared" si="15"/>
        <v>18942</v>
      </c>
      <c r="O156" s="5" t="s">
        <v>2455</v>
      </c>
      <c r="P156" s="9" t="s">
        <v>2636</v>
      </c>
      <c r="Q156" s="5">
        <v>45261</v>
      </c>
      <c r="R156" s="209" t="s">
        <v>100</v>
      </c>
    </row>
    <row r="157" spans="1:22" ht="16.5" customHeight="1">
      <c r="A157" t="s">
        <v>64</v>
      </c>
      <c r="B157" s="10" t="s">
        <v>348</v>
      </c>
      <c r="C157" s="12" t="s">
        <v>412</v>
      </c>
      <c r="D157" s="13">
        <v>45777</v>
      </c>
      <c r="E157" s="155" t="s">
        <v>2625</v>
      </c>
      <c r="F157" s="155" t="s">
        <v>347</v>
      </c>
      <c r="G157" s="168" t="s">
        <v>7</v>
      </c>
      <c r="H157" s="156" t="s">
        <v>2627</v>
      </c>
      <c r="I157" s="69" t="s">
        <v>1860</v>
      </c>
      <c r="J157" s="122">
        <v>1</v>
      </c>
      <c r="K157" s="15">
        <v>90000</v>
      </c>
      <c r="L157" s="16">
        <f t="shared" si="14"/>
        <v>90000</v>
      </c>
      <c r="M157" s="15">
        <f>L157*10%</f>
        <v>9000</v>
      </c>
      <c r="N157" s="15">
        <f t="shared" si="15"/>
        <v>99000</v>
      </c>
      <c r="O157" s="5" t="s">
        <v>2455</v>
      </c>
      <c r="P157" s="9" t="s">
        <v>2636</v>
      </c>
      <c r="Q157" s="5">
        <v>45278</v>
      </c>
      <c r="R157" s="209" t="s">
        <v>100</v>
      </c>
    </row>
    <row r="158" spans="1:22" ht="16.5" customHeight="1">
      <c r="A158" t="s">
        <v>64</v>
      </c>
      <c r="B158" s="10" t="s">
        <v>294</v>
      </c>
      <c r="C158" s="12" t="s">
        <v>289</v>
      </c>
      <c r="D158" s="13">
        <v>45777</v>
      </c>
      <c r="E158" s="155" t="s">
        <v>2625</v>
      </c>
      <c r="F158" s="155" t="s">
        <v>295</v>
      </c>
      <c r="G158" s="168" t="s">
        <v>7</v>
      </c>
      <c r="H158" s="156" t="s">
        <v>2627</v>
      </c>
      <c r="I158" s="69" t="s">
        <v>1861</v>
      </c>
      <c r="J158" s="122">
        <v>1</v>
      </c>
      <c r="K158" s="15">
        <v>976200</v>
      </c>
      <c r="L158" s="16">
        <f t="shared" si="14"/>
        <v>976200</v>
      </c>
      <c r="M158" s="15">
        <f>L158*10%</f>
        <v>97620</v>
      </c>
      <c r="N158" s="15">
        <f t="shared" si="15"/>
        <v>1073820</v>
      </c>
      <c r="O158" s="5" t="s">
        <v>2455</v>
      </c>
      <c r="P158" s="9" t="s">
        <v>2636</v>
      </c>
      <c r="Q158" s="5">
        <v>45792</v>
      </c>
      <c r="R158" s="209"/>
    </row>
    <row r="159" spans="1:22" ht="16.5" customHeight="1">
      <c r="A159" t="s">
        <v>64</v>
      </c>
      <c r="B159" s="10" t="s">
        <v>306</v>
      </c>
      <c r="C159" s="12" t="s">
        <v>305</v>
      </c>
      <c r="D159" s="13">
        <v>45777</v>
      </c>
      <c r="E159" s="155" t="s">
        <v>2625</v>
      </c>
      <c r="F159" s="155" t="s">
        <v>310</v>
      </c>
      <c r="G159" s="168" t="s">
        <v>7</v>
      </c>
      <c r="H159" s="156" t="s">
        <v>2627</v>
      </c>
      <c r="I159" s="69" t="s">
        <v>1862</v>
      </c>
      <c r="J159" s="122">
        <v>1</v>
      </c>
      <c r="K159" s="15">
        <v>511500</v>
      </c>
      <c r="L159" s="16">
        <f t="shared" si="14"/>
        <v>511500</v>
      </c>
      <c r="M159" s="15">
        <f>L159*10%</f>
        <v>51150</v>
      </c>
      <c r="N159" s="15">
        <f t="shared" si="15"/>
        <v>562650</v>
      </c>
      <c r="O159" s="5" t="s">
        <v>2455</v>
      </c>
      <c r="P159" s="9" t="s">
        <v>2636</v>
      </c>
      <c r="Q159" s="5">
        <v>45777</v>
      </c>
      <c r="R159" s="209"/>
    </row>
    <row r="160" spans="1:22" ht="16.5" customHeight="1">
      <c r="A160" t="s">
        <v>64</v>
      </c>
      <c r="B160" s="10" t="s">
        <v>1608</v>
      </c>
      <c r="C160" s="12" t="s">
        <v>1896</v>
      </c>
      <c r="D160" s="13">
        <v>45777</v>
      </c>
      <c r="E160" s="155" t="s">
        <v>2625</v>
      </c>
      <c r="F160" s="155" t="s">
        <v>243</v>
      </c>
      <c r="G160" s="168" t="s">
        <v>7</v>
      </c>
      <c r="H160" s="156" t="s">
        <v>2627</v>
      </c>
      <c r="I160" s="69" t="s">
        <v>1863</v>
      </c>
      <c r="J160" s="122">
        <v>1</v>
      </c>
      <c r="K160" s="15">
        <v>148800</v>
      </c>
      <c r="L160" s="16">
        <f t="shared" si="14"/>
        <v>148800</v>
      </c>
      <c r="M160" s="16">
        <f>L160*10%</f>
        <v>14880</v>
      </c>
      <c r="N160" s="15">
        <f t="shared" si="15"/>
        <v>163680</v>
      </c>
      <c r="O160" s="5" t="s">
        <v>2455</v>
      </c>
      <c r="P160" s="177" t="s">
        <v>2636</v>
      </c>
      <c r="Q160" s="5">
        <v>45357</v>
      </c>
      <c r="R160" s="213" t="s">
        <v>1895</v>
      </c>
    </row>
    <row r="161" spans="1:22">
      <c r="A161" t="s">
        <v>64</v>
      </c>
      <c r="B161" s="10" t="s">
        <v>355</v>
      </c>
      <c r="C161" s="139" t="s">
        <v>350</v>
      </c>
      <c r="D161" s="13">
        <v>45777</v>
      </c>
      <c r="E161" s="155" t="s">
        <v>2625</v>
      </c>
      <c r="F161" s="155" t="s">
        <v>351</v>
      </c>
      <c r="G161" s="156" t="s">
        <v>7</v>
      </c>
      <c r="H161" s="156" t="s">
        <v>2627</v>
      </c>
      <c r="I161" s="69" t="s">
        <v>1864</v>
      </c>
      <c r="J161" s="122">
        <v>1</v>
      </c>
      <c r="K161" s="15">
        <v>518541</v>
      </c>
      <c r="L161" s="16">
        <f t="shared" si="14"/>
        <v>518541</v>
      </c>
      <c r="M161" s="15">
        <v>51854</v>
      </c>
      <c r="N161" s="15">
        <f t="shared" si="15"/>
        <v>570395</v>
      </c>
      <c r="O161" s="5" t="s">
        <v>2455</v>
      </c>
      <c r="P161" s="9" t="s">
        <v>2636</v>
      </c>
      <c r="Q161" s="5">
        <v>45777</v>
      </c>
      <c r="R161" s="209"/>
    </row>
    <row r="162" spans="1:22" ht="16.5" customHeight="1">
      <c r="A162" t="s">
        <v>64</v>
      </c>
      <c r="B162" s="10" t="s">
        <v>378</v>
      </c>
      <c r="C162" s="224" t="s">
        <v>379</v>
      </c>
      <c r="D162" s="13">
        <v>45777</v>
      </c>
      <c r="E162" s="155" t="s">
        <v>2625</v>
      </c>
      <c r="F162" s="155" t="s">
        <v>251</v>
      </c>
      <c r="G162" s="168" t="s">
        <v>7</v>
      </c>
      <c r="H162" s="156" t="s">
        <v>2627</v>
      </c>
      <c r="I162" s="69" t="s">
        <v>1849</v>
      </c>
      <c r="J162" s="122">
        <v>1</v>
      </c>
      <c r="K162" s="15">
        <v>249900</v>
      </c>
      <c r="L162" s="16">
        <f t="shared" si="14"/>
        <v>249900</v>
      </c>
      <c r="M162" s="15">
        <f>L162*10%</f>
        <v>24990</v>
      </c>
      <c r="N162" s="15">
        <f t="shared" si="15"/>
        <v>274890</v>
      </c>
      <c r="O162" s="5" t="s">
        <v>2455</v>
      </c>
      <c r="P162" s="9" t="s">
        <v>2636</v>
      </c>
      <c r="Q162" s="5">
        <v>45777</v>
      </c>
      <c r="R162" s="209"/>
      <c r="U162" s="11"/>
      <c r="V162" s="8"/>
    </row>
    <row r="163" spans="1:22" ht="16.5" customHeight="1">
      <c r="A163" t="s">
        <v>64</v>
      </c>
      <c r="B163" s="10" t="s">
        <v>389</v>
      </c>
      <c r="C163" s="12" t="s">
        <v>384</v>
      </c>
      <c r="D163" s="13">
        <v>45777</v>
      </c>
      <c r="E163" s="155" t="s">
        <v>2625</v>
      </c>
      <c r="F163" s="155" t="s">
        <v>385</v>
      </c>
      <c r="G163" s="156" t="s">
        <v>7</v>
      </c>
      <c r="H163" s="156" t="s">
        <v>2627</v>
      </c>
      <c r="I163" s="69" t="s">
        <v>1850</v>
      </c>
      <c r="J163" s="122">
        <v>1</v>
      </c>
      <c r="K163" s="15">
        <v>111900</v>
      </c>
      <c r="L163" s="16">
        <f t="shared" si="14"/>
        <v>111900</v>
      </c>
      <c r="M163" s="15">
        <f>L163*10%</f>
        <v>11190</v>
      </c>
      <c r="N163" s="15">
        <f t="shared" si="15"/>
        <v>123090</v>
      </c>
      <c r="O163" s="5" t="s">
        <v>2455</v>
      </c>
      <c r="P163" s="9" t="s">
        <v>2636</v>
      </c>
      <c r="Q163" s="5">
        <v>45443</v>
      </c>
      <c r="R163" s="209" t="s">
        <v>100</v>
      </c>
    </row>
    <row r="164" spans="1:22" ht="16.5" customHeight="1">
      <c r="A164" t="s">
        <v>64</v>
      </c>
      <c r="B164" s="10" t="s">
        <v>363</v>
      </c>
      <c r="C164" s="12" t="s">
        <v>361</v>
      </c>
      <c r="D164" s="13">
        <v>45777</v>
      </c>
      <c r="E164" s="155" t="s">
        <v>2625</v>
      </c>
      <c r="F164" s="155" t="s">
        <v>2629</v>
      </c>
      <c r="G164" s="156" t="s">
        <v>7</v>
      </c>
      <c r="H164" s="156" t="s">
        <v>2627</v>
      </c>
      <c r="I164" s="69" t="s">
        <v>1851</v>
      </c>
      <c r="J164" s="122">
        <v>1</v>
      </c>
      <c r="K164" s="15">
        <v>243955</v>
      </c>
      <c r="L164" s="16">
        <f t="shared" si="14"/>
        <v>243955</v>
      </c>
      <c r="M164" s="15">
        <v>24395</v>
      </c>
      <c r="N164" s="15">
        <f t="shared" si="15"/>
        <v>268350</v>
      </c>
      <c r="O164" s="5" t="s">
        <v>2455</v>
      </c>
      <c r="P164" s="9" t="s">
        <v>2636</v>
      </c>
      <c r="Q164" s="5">
        <v>45777</v>
      </c>
      <c r="R164" s="209"/>
    </row>
    <row r="165" spans="1:22" ht="16.5" customHeight="1">
      <c r="A165" t="s">
        <v>64</v>
      </c>
      <c r="B165" s="10" t="s">
        <v>381</v>
      </c>
      <c r="C165" s="12" t="s">
        <v>382</v>
      </c>
      <c r="D165" s="13">
        <v>45777</v>
      </c>
      <c r="E165" s="155" t="s">
        <v>2625</v>
      </c>
      <c r="F165" s="155" t="s">
        <v>283</v>
      </c>
      <c r="G165" s="168" t="s">
        <v>7</v>
      </c>
      <c r="H165" s="156" t="s">
        <v>2627</v>
      </c>
      <c r="I165" s="69" t="s">
        <v>1852</v>
      </c>
      <c r="J165" s="122">
        <v>1</v>
      </c>
      <c r="K165" s="15">
        <v>604800</v>
      </c>
      <c r="L165" s="16">
        <f t="shared" si="14"/>
        <v>604800</v>
      </c>
      <c r="M165" s="15">
        <f t="shared" ref="M165:M210" si="16">L165*10%</f>
        <v>60480</v>
      </c>
      <c r="N165" s="15">
        <f t="shared" si="15"/>
        <v>665280</v>
      </c>
      <c r="O165" s="5" t="s">
        <v>2455</v>
      </c>
      <c r="P165" s="9" t="s">
        <v>2636</v>
      </c>
      <c r="Q165" s="5">
        <v>45777</v>
      </c>
      <c r="R165" s="209"/>
    </row>
    <row r="166" spans="1:22" ht="16.5" customHeight="1">
      <c r="A166" t="s">
        <v>64</v>
      </c>
      <c r="B166" s="10" t="s">
        <v>370</v>
      </c>
      <c r="C166" s="12" t="s">
        <v>388</v>
      </c>
      <c r="D166" s="13">
        <v>45777</v>
      </c>
      <c r="E166" s="155" t="s">
        <v>2625</v>
      </c>
      <c r="F166" s="155" t="s">
        <v>252</v>
      </c>
      <c r="G166" s="156" t="s">
        <v>7</v>
      </c>
      <c r="H166" s="156" t="s">
        <v>2627</v>
      </c>
      <c r="I166" s="69" t="s">
        <v>1853</v>
      </c>
      <c r="J166" s="122">
        <v>1</v>
      </c>
      <c r="K166" s="15">
        <v>52200</v>
      </c>
      <c r="L166" s="16">
        <f t="shared" si="14"/>
        <v>52200</v>
      </c>
      <c r="M166" s="15">
        <f t="shared" si="16"/>
        <v>5220</v>
      </c>
      <c r="N166" s="15">
        <f t="shared" si="15"/>
        <v>57420</v>
      </c>
      <c r="O166" s="5" t="s">
        <v>2455</v>
      </c>
      <c r="P166" s="9" t="s">
        <v>2636</v>
      </c>
      <c r="Q166" s="5">
        <v>45471</v>
      </c>
      <c r="R166" s="209" t="s">
        <v>100</v>
      </c>
      <c r="U166" s="11"/>
      <c r="V166" s="8"/>
    </row>
    <row r="167" spans="1:22" ht="16.5" customHeight="1">
      <c r="A167" t="s">
        <v>64</v>
      </c>
      <c r="B167" s="10" t="s">
        <v>375</v>
      </c>
      <c r="C167" s="224" t="s">
        <v>376</v>
      </c>
      <c r="D167" s="13">
        <v>45777</v>
      </c>
      <c r="E167" s="155" t="s">
        <v>2625</v>
      </c>
      <c r="F167" s="155" t="s">
        <v>249</v>
      </c>
      <c r="G167" s="156" t="s">
        <v>7</v>
      </c>
      <c r="H167" s="156" t="s">
        <v>2627</v>
      </c>
      <c r="I167" s="69" t="s">
        <v>1853</v>
      </c>
      <c r="J167" s="122">
        <v>1</v>
      </c>
      <c r="K167" s="15">
        <v>170400</v>
      </c>
      <c r="L167" s="16">
        <f t="shared" si="14"/>
        <v>170400</v>
      </c>
      <c r="M167" s="15">
        <f t="shared" si="16"/>
        <v>17040</v>
      </c>
      <c r="N167" s="15">
        <f t="shared" si="15"/>
        <v>187440</v>
      </c>
      <c r="O167" s="5" t="s">
        <v>2455</v>
      </c>
      <c r="P167" s="9" t="s">
        <v>2636</v>
      </c>
      <c r="Q167" s="5">
        <v>45471</v>
      </c>
      <c r="R167" s="209" t="s">
        <v>100</v>
      </c>
      <c r="U167" s="11"/>
      <c r="V167" s="8"/>
    </row>
    <row r="168" spans="1:22" ht="16.5" customHeight="1">
      <c r="A168" t="s">
        <v>64</v>
      </c>
      <c r="B168" s="10" t="s">
        <v>790</v>
      </c>
      <c r="C168" s="12" t="s">
        <v>751</v>
      </c>
      <c r="D168" s="13">
        <v>45777</v>
      </c>
      <c r="E168" s="155" t="s">
        <v>2625</v>
      </c>
      <c r="F168" s="155" t="s">
        <v>2629</v>
      </c>
      <c r="G168" s="168" t="s">
        <v>7</v>
      </c>
      <c r="H168" s="156" t="s">
        <v>2627</v>
      </c>
      <c r="I168" s="69" t="s">
        <v>1881</v>
      </c>
      <c r="J168" s="122">
        <v>1</v>
      </c>
      <c r="K168" s="15">
        <v>590400</v>
      </c>
      <c r="L168" s="16">
        <f t="shared" si="14"/>
        <v>590400</v>
      </c>
      <c r="M168" s="16">
        <f t="shared" si="16"/>
        <v>59040</v>
      </c>
      <c r="N168" s="15">
        <f t="shared" si="15"/>
        <v>649440</v>
      </c>
      <c r="O168" s="5" t="s">
        <v>2455</v>
      </c>
      <c r="P168" s="9" t="s">
        <v>2636</v>
      </c>
      <c r="Q168" s="5">
        <v>45777</v>
      </c>
      <c r="R168" s="213"/>
    </row>
    <row r="169" spans="1:22" ht="16.5" customHeight="1">
      <c r="A169" t="s">
        <v>64</v>
      </c>
      <c r="B169" s="10" t="s">
        <v>533</v>
      </c>
      <c r="C169" s="12" t="s">
        <v>748</v>
      </c>
      <c r="D169" s="13">
        <v>45777</v>
      </c>
      <c r="E169" s="155" t="s">
        <v>2625</v>
      </c>
      <c r="F169" s="155" t="s">
        <v>2629</v>
      </c>
      <c r="G169" s="168" t="s">
        <v>7</v>
      </c>
      <c r="H169" s="156" t="s">
        <v>2627</v>
      </c>
      <c r="I169" s="69" t="s">
        <v>1882</v>
      </c>
      <c r="J169" s="122">
        <v>1</v>
      </c>
      <c r="K169" s="15">
        <v>289800</v>
      </c>
      <c r="L169" s="16">
        <f t="shared" si="14"/>
        <v>289800</v>
      </c>
      <c r="M169" s="16">
        <f t="shared" si="16"/>
        <v>28980</v>
      </c>
      <c r="N169" s="15">
        <f t="shared" si="15"/>
        <v>318780</v>
      </c>
      <c r="O169" s="5" t="s">
        <v>2455</v>
      </c>
      <c r="P169" s="9" t="s">
        <v>2636</v>
      </c>
      <c r="Q169" s="5">
        <v>45777</v>
      </c>
      <c r="R169" s="213"/>
    </row>
    <row r="170" spans="1:22" ht="16.5" customHeight="1">
      <c r="A170" t="s">
        <v>64</v>
      </c>
      <c r="B170" s="10" t="s">
        <v>410</v>
      </c>
      <c r="C170" s="12" t="s">
        <v>411</v>
      </c>
      <c r="D170" s="13">
        <v>45777</v>
      </c>
      <c r="E170" s="155" t="s">
        <v>2625</v>
      </c>
      <c r="F170" s="155" t="s">
        <v>2629</v>
      </c>
      <c r="G170" s="168" t="s">
        <v>7</v>
      </c>
      <c r="H170" s="156" t="s">
        <v>2627</v>
      </c>
      <c r="I170" s="69" t="s">
        <v>1867</v>
      </c>
      <c r="J170" s="122">
        <v>1</v>
      </c>
      <c r="K170" s="15">
        <v>505200</v>
      </c>
      <c r="L170" s="16">
        <f t="shared" si="14"/>
        <v>505200</v>
      </c>
      <c r="M170" s="15">
        <f t="shared" si="16"/>
        <v>50520</v>
      </c>
      <c r="N170" s="15">
        <f t="shared" si="15"/>
        <v>555720</v>
      </c>
      <c r="O170" s="5" t="s">
        <v>2455</v>
      </c>
      <c r="P170" s="177" t="s">
        <v>2636</v>
      </c>
      <c r="Q170" s="5">
        <v>45777</v>
      </c>
      <c r="R170" s="209"/>
    </row>
    <row r="171" spans="1:22" ht="16.5" customHeight="1">
      <c r="A171" t="s">
        <v>64</v>
      </c>
      <c r="B171" s="10" t="s">
        <v>433</v>
      </c>
      <c r="C171" s="12" t="s">
        <v>427</v>
      </c>
      <c r="D171" s="13">
        <v>45777</v>
      </c>
      <c r="E171" s="155" t="s">
        <v>2625</v>
      </c>
      <c r="F171" s="155" t="s">
        <v>224</v>
      </c>
      <c r="G171" s="156" t="s">
        <v>7</v>
      </c>
      <c r="H171" s="156" t="s">
        <v>2627</v>
      </c>
      <c r="I171" s="69" t="s">
        <v>1868</v>
      </c>
      <c r="J171" s="122">
        <v>1</v>
      </c>
      <c r="K171" s="15">
        <v>334800</v>
      </c>
      <c r="L171" s="16">
        <f t="shared" si="14"/>
        <v>334800</v>
      </c>
      <c r="M171" s="15">
        <f t="shared" si="16"/>
        <v>33480</v>
      </c>
      <c r="N171" s="15">
        <f t="shared" si="15"/>
        <v>368280</v>
      </c>
      <c r="O171" s="5" t="s">
        <v>2455</v>
      </c>
      <c r="P171" s="9" t="s">
        <v>2636</v>
      </c>
      <c r="Q171" s="5">
        <v>45504</v>
      </c>
      <c r="R171" s="209" t="s">
        <v>100</v>
      </c>
    </row>
    <row r="172" spans="1:22" ht="16.5" customHeight="1">
      <c r="A172" t="s">
        <v>64</v>
      </c>
      <c r="B172" s="10" t="s">
        <v>434</v>
      </c>
      <c r="C172" s="12" t="s">
        <v>428</v>
      </c>
      <c r="D172" s="13">
        <v>45777</v>
      </c>
      <c r="E172" s="155" t="s">
        <v>2625</v>
      </c>
      <c r="F172" s="155" t="s">
        <v>2629</v>
      </c>
      <c r="G172" s="156" t="s">
        <v>7</v>
      </c>
      <c r="H172" s="156" t="s">
        <v>2627</v>
      </c>
      <c r="I172" s="69" t="s">
        <v>1869</v>
      </c>
      <c r="J172" s="122">
        <v>1</v>
      </c>
      <c r="K172" s="15">
        <v>204600</v>
      </c>
      <c r="L172" s="16">
        <f t="shared" si="14"/>
        <v>204600</v>
      </c>
      <c r="M172" s="15">
        <f t="shared" si="16"/>
        <v>20460</v>
      </c>
      <c r="N172" s="15">
        <f t="shared" si="15"/>
        <v>225060</v>
      </c>
      <c r="O172" s="5" t="s">
        <v>2455</v>
      </c>
      <c r="P172" s="9" t="s">
        <v>2636</v>
      </c>
      <c r="Q172" s="5">
        <v>45777</v>
      </c>
      <c r="R172" s="209"/>
    </row>
    <row r="173" spans="1:22" ht="16.5" customHeight="1">
      <c r="A173" t="s">
        <v>64</v>
      </c>
      <c r="B173" s="10" t="s">
        <v>435</v>
      </c>
      <c r="C173" s="12" t="s">
        <v>429</v>
      </c>
      <c r="D173" s="13">
        <v>45777</v>
      </c>
      <c r="E173" s="155" t="s">
        <v>2625</v>
      </c>
      <c r="F173" s="155" t="s">
        <v>248</v>
      </c>
      <c r="G173" s="156" t="s">
        <v>7</v>
      </c>
      <c r="H173" s="156" t="s">
        <v>2627</v>
      </c>
      <c r="I173" s="69" t="s">
        <v>1598</v>
      </c>
      <c r="J173" s="122">
        <v>1</v>
      </c>
      <c r="K173" s="15">
        <v>499500</v>
      </c>
      <c r="L173" s="16">
        <f t="shared" si="14"/>
        <v>499500</v>
      </c>
      <c r="M173" s="15">
        <f t="shared" si="16"/>
        <v>49950</v>
      </c>
      <c r="N173" s="15">
        <f t="shared" si="15"/>
        <v>549450</v>
      </c>
      <c r="O173" s="5" t="s">
        <v>2455</v>
      </c>
      <c r="P173" s="9" t="s">
        <v>2636</v>
      </c>
      <c r="Q173" s="5">
        <v>45777</v>
      </c>
      <c r="R173" s="209"/>
    </row>
    <row r="174" spans="1:22" ht="16.5" customHeight="1">
      <c r="A174" t="s">
        <v>64</v>
      </c>
      <c r="B174" s="10" t="s">
        <v>436</v>
      </c>
      <c r="C174" s="12" t="s">
        <v>430</v>
      </c>
      <c r="D174" s="13">
        <v>45777</v>
      </c>
      <c r="E174" s="155" t="s">
        <v>2625</v>
      </c>
      <c r="F174" s="155" t="s">
        <v>226</v>
      </c>
      <c r="G174" s="156" t="s">
        <v>7</v>
      </c>
      <c r="H174" s="156" t="s">
        <v>2627</v>
      </c>
      <c r="I174" s="69" t="s">
        <v>2555</v>
      </c>
      <c r="J174" s="122">
        <v>1</v>
      </c>
      <c r="K174" s="15">
        <v>251700</v>
      </c>
      <c r="L174" s="16">
        <f t="shared" si="14"/>
        <v>251700</v>
      </c>
      <c r="M174" s="15">
        <f t="shared" si="16"/>
        <v>25170</v>
      </c>
      <c r="N174" s="15">
        <f t="shared" si="15"/>
        <v>276870</v>
      </c>
      <c r="O174" s="5" t="s">
        <v>2455</v>
      </c>
      <c r="P174" s="9" t="s">
        <v>2636</v>
      </c>
      <c r="Q174" s="5">
        <v>45504</v>
      </c>
      <c r="R174" s="209" t="s">
        <v>100</v>
      </c>
    </row>
    <row r="175" spans="1:22" ht="16.5" customHeight="1">
      <c r="A175" t="s">
        <v>64</v>
      </c>
      <c r="B175" s="10" t="s">
        <v>413</v>
      </c>
      <c r="C175" s="12" t="s">
        <v>437</v>
      </c>
      <c r="D175" s="13">
        <v>45777</v>
      </c>
      <c r="E175" s="155" t="s">
        <v>2625</v>
      </c>
      <c r="F175" s="155" t="s">
        <v>101</v>
      </c>
      <c r="G175" s="156" t="s">
        <v>98</v>
      </c>
      <c r="H175" s="156" t="s">
        <v>2627</v>
      </c>
      <c r="I175" s="69" t="s">
        <v>1595</v>
      </c>
      <c r="J175" s="122">
        <v>1</v>
      </c>
      <c r="K175" s="15">
        <v>276600</v>
      </c>
      <c r="L175" s="16">
        <f t="shared" si="14"/>
        <v>276600</v>
      </c>
      <c r="M175" s="15">
        <f t="shared" si="16"/>
        <v>27660</v>
      </c>
      <c r="N175" s="15">
        <f t="shared" si="15"/>
        <v>304260</v>
      </c>
      <c r="O175" s="5" t="s">
        <v>2455</v>
      </c>
      <c r="P175" s="9" t="s">
        <v>2636</v>
      </c>
      <c r="Q175" s="5">
        <v>45534</v>
      </c>
      <c r="R175" s="209" t="s">
        <v>100</v>
      </c>
    </row>
    <row r="176" spans="1:22" ht="16.5" customHeight="1">
      <c r="A176" t="s">
        <v>64</v>
      </c>
      <c r="B176" s="10" t="s">
        <v>439</v>
      </c>
      <c r="C176" s="12" t="s">
        <v>438</v>
      </c>
      <c r="D176" s="13">
        <v>45777</v>
      </c>
      <c r="E176" s="155" t="s">
        <v>2625</v>
      </c>
      <c r="F176" s="155" t="s">
        <v>226</v>
      </c>
      <c r="G176" s="156" t="s">
        <v>98</v>
      </c>
      <c r="H176" s="156" t="s">
        <v>2627</v>
      </c>
      <c r="I176" s="69" t="s">
        <v>1603</v>
      </c>
      <c r="J176" s="122">
        <v>1</v>
      </c>
      <c r="K176" s="15">
        <v>226200</v>
      </c>
      <c r="L176" s="16">
        <f t="shared" si="14"/>
        <v>226200</v>
      </c>
      <c r="M176" s="15">
        <f t="shared" si="16"/>
        <v>22620</v>
      </c>
      <c r="N176" s="15">
        <f t="shared" si="15"/>
        <v>248820</v>
      </c>
      <c r="O176" s="5" t="s">
        <v>2455</v>
      </c>
      <c r="P176" s="9" t="s">
        <v>2636</v>
      </c>
      <c r="Q176" s="5">
        <v>45565</v>
      </c>
      <c r="R176" s="209" t="s">
        <v>100</v>
      </c>
    </row>
    <row r="177" spans="1:18" ht="16.5" customHeight="1">
      <c r="A177" t="s">
        <v>64</v>
      </c>
      <c r="B177" s="10" t="s">
        <v>445</v>
      </c>
      <c r="C177" s="12" t="s">
        <v>440</v>
      </c>
      <c r="D177" s="13">
        <v>45777</v>
      </c>
      <c r="E177" s="155" t="s">
        <v>2625</v>
      </c>
      <c r="F177" s="155" t="s">
        <v>223</v>
      </c>
      <c r="G177" s="168" t="s">
        <v>7</v>
      </c>
      <c r="H177" s="156" t="s">
        <v>2627</v>
      </c>
      <c r="I177" s="69" t="s">
        <v>1581</v>
      </c>
      <c r="J177" s="122">
        <v>1</v>
      </c>
      <c r="K177" s="15">
        <v>78000</v>
      </c>
      <c r="L177" s="16">
        <f t="shared" si="14"/>
        <v>78000</v>
      </c>
      <c r="M177" s="15">
        <f t="shared" si="16"/>
        <v>7800</v>
      </c>
      <c r="N177" s="15">
        <f t="shared" si="15"/>
        <v>85800</v>
      </c>
      <c r="O177" s="5" t="s">
        <v>2455</v>
      </c>
      <c r="P177" s="9" t="s">
        <v>2636</v>
      </c>
      <c r="Q177" s="5">
        <v>45565</v>
      </c>
      <c r="R177" s="209" t="s">
        <v>100</v>
      </c>
    </row>
    <row r="178" spans="1:18" ht="16.5" customHeight="1">
      <c r="A178" t="s">
        <v>64</v>
      </c>
      <c r="B178" s="10" t="s">
        <v>446</v>
      </c>
      <c r="C178" s="12" t="s">
        <v>441</v>
      </c>
      <c r="D178" s="13">
        <v>45777</v>
      </c>
      <c r="E178" s="155" t="s">
        <v>2625</v>
      </c>
      <c r="F178" s="155" t="s">
        <v>216</v>
      </c>
      <c r="G178" s="168" t="s">
        <v>7</v>
      </c>
      <c r="H178" s="156" t="s">
        <v>2627</v>
      </c>
      <c r="I178" s="69" t="s">
        <v>2607</v>
      </c>
      <c r="J178" s="122">
        <v>1</v>
      </c>
      <c r="K178" s="15">
        <v>534900</v>
      </c>
      <c r="L178" s="16">
        <f t="shared" si="14"/>
        <v>534900</v>
      </c>
      <c r="M178" s="15">
        <f t="shared" si="16"/>
        <v>53490</v>
      </c>
      <c r="N178" s="15">
        <f t="shared" si="15"/>
        <v>588390</v>
      </c>
      <c r="O178" s="5" t="s">
        <v>2455</v>
      </c>
      <c r="P178" s="9" t="s">
        <v>2636</v>
      </c>
      <c r="Q178" s="5">
        <v>45560</v>
      </c>
      <c r="R178" s="209" t="s">
        <v>100</v>
      </c>
    </row>
    <row r="179" spans="1:18" ht="16.5" customHeight="1">
      <c r="A179" t="s">
        <v>64</v>
      </c>
      <c r="B179" s="10" t="s">
        <v>426</v>
      </c>
      <c r="C179" s="12" t="s">
        <v>425</v>
      </c>
      <c r="D179" s="13">
        <v>45777</v>
      </c>
      <c r="E179" s="155" t="s">
        <v>2625</v>
      </c>
      <c r="F179" s="155" t="s">
        <v>220</v>
      </c>
      <c r="G179" s="168" t="s">
        <v>7</v>
      </c>
      <c r="H179" s="156" t="s">
        <v>2627</v>
      </c>
      <c r="I179" s="69" t="s">
        <v>1870</v>
      </c>
      <c r="J179" s="122">
        <v>1</v>
      </c>
      <c r="K179" s="15">
        <v>11892900</v>
      </c>
      <c r="L179" s="16">
        <f t="shared" si="14"/>
        <v>11892900</v>
      </c>
      <c r="M179" s="15">
        <f t="shared" si="16"/>
        <v>1189290</v>
      </c>
      <c r="N179" s="15">
        <f t="shared" si="15"/>
        <v>13082190</v>
      </c>
      <c r="O179" s="5" t="s">
        <v>2455</v>
      </c>
      <c r="P179" s="9" t="s">
        <v>2636</v>
      </c>
      <c r="Q179" s="5">
        <v>45777</v>
      </c>
      <c r="R179" s="209"/>
    </row>
    <row r="180" spans="1:18" ht="16.5" customHeight="1">
      <c r="A180" t="s">
        <v>64</v>
      </c>
      <c r="B180" s="10" t="s">
        <v>447</v>
      </c>
      <c r="C180" s="12" t="s">
        <v>442</v>
      </c>
      <c r="D180" s="13">
        <v>45777</v>
      </c>
      <c r="E180" s="155" t="s">
        <v>2625</v>
      </c>
      <c r="F180" s="155" t="s">
        <v>229</v>
      </c>
      <c r="G180" s="168" t="s">
        <v>7</v>
      </c>
      <c r="H180" s="156" t="s">
        <v>2627</v>
      </c>
      <c r="I180" s="69" t="s">
        <v>1871</v>
      </c>
      <c r="J180" s="122">
        <v>1</v>
      </c>
      <c r="K180" s="15">
        <v>48900</v>
      </c>
      <c r="L180" s="16">
        <f t="shared" si="14"/>
        <v>48900</v>
      </c>
      <c r="M180" s="15">
        <f t="shared" si="16"/>
        <v>4890</v>
      </c>
      <c r="N180" s="15">
        <f t="shared" si="15"/>
        <v>53790</v>
      </c>
      <c r="O180" s="5" t="s">
        <v>2455</v>
      </c>
      <c r="P180" s="9" t="s">
        <v>2636</v>
      </c>
      <c r="Q180" s="5">
        <v>45590</v>
      </c>
      <c r="R180" s="209" t="s">
        <v>100</v>
      </c>
    </row>
    <row r="181" spans="1:18" ht="16.5" customHeight="1">
      <c r="A181" t="s">
        <v>64</v>
      </c>
      <c r="B181" s="10" t="s">
        <v>448</v>
      </c>
      <c r="C181" s="12" t="s">
        <v>443</v>
      </c>
      <c r="D181" s="13">
        <v>45777</v>
      </c>
      <c r="E181" s="155" t="s">
        <v>2625</v>
      </c>
      <c r="F181" s="155" t="s">
        <v>301</v>
      </c>
      <c r="G181" s="168" t="s">
        <v>7</v>
      </c>
      <c r="H181" s="156" t="s">
        <v>2627</v>
      </c>
      <c r="I181" s="69" t="s">
        <v>1872</v>
      </c>
      <c r="J181" s="122">
        <v>1</v>
      </c>
      <c r="K181" s="15">
        <v>306300</v>
      </c>
      <c r="L181" s="16">
        <f t="shared" si="14"/>
        <v>306300</v>
      </c>
      <c r="M181" s="15">
        <f t="shared" si="16"/>
        <v>30630</v>
      </c>
      <c r="N181" s="15">
        <f t="shared" si="15"/>
        <v>336930</v>
      </c>
      <c r="O181" s="5" t="s">
        <v>2455</v>
      </c>
      <c r="P181" s="9" t="s">
        <v>2636</v>
      </c>
      <c r="Q181" s="5">
        <v>45596</v>
      </c>
      <c r="R181" s="209" t="s">
        <v>100</v>
      </c>
    </row>
    <row r="182" spans="1:18" ht="16.5" customHeight="1">
      <c r="A182" t="s">
        <v>64</v>
      </c>
      <c r="B182" s="10" t="s">
        <v>449</v>
      </c>
      <c r="C182" s="12" t="s">
        <v>444</v>
      </c>
      <c r="D182" s="13">
        <v>45777</v>
      </c>
      <c r="E182" s="155" t="s">
        <v>2625</v>
      </c>
      <c r="F182" s="155" t="s">
        <v>67</v>
      </c>
      <c r="G182" s="168" t="s">
        <v>7</v>
      </c>
      <c r="H182" s="156" t="s">
        <v>2627</v>
      </c>
      <c r="I182" s="69" t="s">
        <v>1873</v>
      </c>
      <c r="J182" s="122">
        <v>1</v>
      </c>
      <c r="K182" s="15">
        <v>655500</v>
      </c>
      <c r="L182" s="16">
        <f t="shared" si="14"/>
        <v>655500</v>
      </c>
      <c r="M182" s="15">
        <f t="shared" si="16"/>
        <v>65550</v>
      </c>
      <c r="N182" s="15">
        <f t="shared" si="15"/>
        <v>721050</v>
      </c>
      <c r="O182" s="5" t="s">
        <v>2455</v>
      </c>
      <c r="P182" s="9" t="s">
        <v>2636</v>
      </c>
      <c r="Q182" s="5">
        <v>45777</v>
      </c>
      <c r="R182" s="209"/>
    </row>
    <row r="183" spans="1:18" ht="16.5" customHeight="1">
      <c r="A183" t="s">
        <v>64</v>
      </c>
      <c r="B183" s="10" t="s">
        <v>449</v>
      </c>
      <c r="C183" s="12" t="s">
        <v>460</v>
      </c>
      <c r="D183" s="13">
        <v>45777</v>
      </c>
      <c r="E183" s="155" t="s">
        <v>2625</v>
      </c>
      <c r="F183" s="155" t="s">
        <v>67</v>
      </c>
      <c r="G183" s="168" t="s">
        <v>7</v>
      </c>
      <c r="H183" s="156" t="s">
        <v>2627</v>
      </c>
      <c r="I183" s="69" t="s">
        <v>1874</v>
      </c>
      <c r="J183" s="122">
        <v>1</v>
      </c>
      <c r="K183" s="15">
        <v>1981200</v>
      </c>
      <c r="L183" s="16">
        <f t="shared" si="14"/>
        <v>1981200</v>
      </c>
      <c r="M183" s="15">
        <f t="shared" si="16"/>
        <v>198120</v>
      </c>
      <c r="N183" s="15">
        <f t="shared" si="15"/>
        <v>2179320</v>
      </c>
      <c r="O183" s="5" t="s">
        <v>2455</v>
      </c>
      <c r="P183" s="9" t="s">
        <v>2636</v>
      </c>
      <c r="Q183" s="5">
        <v>45777</v>
      </c>
      <c r="R183" s="209"/>
    </row>
    <row r="184" spans="1:18" ht="16.5" customHeight="1">
      <c r="A184" t="s">
        <v>64</v>
      </c>
      <c r="B184" s="10" t="s">
        <v>1162</v>
      </c>
      <c r="C184" s="12" t="s">
        <v>1163</v>
      </c>
      <c r="D184" s="13">
        <v>45777</v>
      </c>
      <c r="E184" s="155" t="s">
        <v>2625</v>
      </c>
      <c r="F184" s="155" t="s">
        <v>222</v>
      </c>
      <c r="G184" s="168" t="s">
        <v>7</v>
      </c>
      <c r="H184" s="156" t="s">
        <v>2627</v>
      </c>
      <c r="I184" s="69" t="s">
        <v>1651</v>
      </c>
      <c r="J184" s="122">
        <v>1</v>
      </c>
      <c r="K184" s="15">
        <v>153900</v>
      </c>
      <c r="L184" s="16">
        <f t="shared" si="14"/>
        <v>153900</v>
      </c>
      <c r="M184" s="15">
        <f t="shared" si="16"/>
        <v>15390</v>
      </c>
      <c r="N184" s="15">
        <f t="shared" si="15"/>
        <v>169290</v>
      </c>
      <c r="O184" s="5" t="s">
        <v>2455</v>
      </c>
      <c r="P184" s="9" t="s">
        <v>2636</v>
      </c>
      <c r="Q184" s="5">
        <v>45588</v>
      </c>
      <c r="R184" s="209" t="s">
        <v>100</v>
      </c>
    </row>
    <row r="185" spans="1:18" ht="16.5" customHeight="1">
      <c r="A185" t="s">
        <v>64</v>
      </c>
      <c r="B185" s="10" t="s">
        <v>486</v>
      </c>
      <c r="C185" s="12" t="s">
        <v>525</v>
      </c>
      <c r="D185" s="13">
        <v>45777</v>
      </c>
      <c r="E185" s="155" t="s">
        <v>2625</v>
      </c>
      <c r="F185" s="155" t="s">
        <v>230</v>
      </c>
      <c r="G185" s="168" t="s">
        <v>7</v>
      </c>
      <c r="H185" s="156" t="s">
        <v>2627</v>
      </c>
      <c r="I185" s="69" t="s">
        <v>1875</v>
      </c>
      <c r="J185" s="122">
        <v>1</v>
      </c>
      <c r="K185" s="15">
        <v>444480</v>
      </c>
      <c r="L185" s="16">
        <f t="shared" ref="L185:L211" si="17">J185*K185</f>
        <v>444480</v>
      </c>
      <c r="M185" s="15">
        <f t="shared" si="16"/>
        <v>44448</v>
      </c>
      <c r="N185" s="15">
        <f t="shared" ref="N185:N210" si="18">SUM(L185:M185)</f>
        <v>488928</v>
      </c>
      <c r="O185" s="5" t="s">
        <v>2455</v>
      </c>
      <c r="P185" s="9" t="s">
        <v>2636</v>
      </c>
      <c r="Q185" s="5">
        <v>45627</v>
      </c>
      <c r="R185" s="209" t="s">
        <v>100</v>
      </c>
    </row>
    <row r="186" spans="1:18" ht="16.5" customHeight="1">
      <c r="A186" t="s">
        <v>64</v>
      </c>
      <c r="B186" s="10" t="s">
        <v>786</v>
      </c>
      <c r="C186" s="12" t="s">
        <v>760</v>
      </c>
      <c r="D186" s="13">
        <v>45777</v>
      </c>
      <c r="E186" s="155" t="s">
        <v>2625</v>
      </c>
      <c r="F186" s="155" t="s">
        <v>2629</v>
      </c>
      <c r="G186" s="156" t="s">
        <v>7</v>
      </c>
      <c r="H186" s="156" t="s">
        <v>2627</v>
      </c>
      <c r="I186" s="69" t="s">
        <v>1876</v>
      </c>
      <c r="J186" s="122">
        <v>1</v>
      </c>
      <c r="K186" s="15">
        <v>661800</v>
      </c>
      <c r="L186" s="16">
        <f t="shared" si="17"/>
        <v>661800</v>
      </c>
      <c r="M186" s="16">
        <f t="shared" si="16"/>
        <v>66180</v>
      </c>
      <c r="N186" s="15">
        <f t="shared" si="18"/>
        <v>727980</v>
      </c>
      <c r="O186" s="5" t="s">
        <v>2455</v>
      </c>
      <c r="P186" s="9" t="s">
        <v>2636</v>
      </c>
      <c r="Q186" s="5">
        <v>45777</v>
      </c>
      <c r="R186" s="213"/>
    </row>
    <row r="187" spans="1:18" ht="16.5" customHeight="1">
      <c r="A187" t="s">
        <v>64</v>
      </c>
      <c r="B187" s="10" t="s">
        <v>527</v>
      </c>
      <c r="C187" s="12" t="s">
        <v>524</v>
      </c>
      <c r="D187" s="13">
        <v>45777</v>
      </c>
      <c r="E187" s="155" t="s">
        <v>2625</v>
      </c>
      <c r="F187" s="155" t="s">
        <v>231</v>
      </c>
      <c r="G187" s="156" t="s">
        <v>7</v>
      </c>
      <c r="H187" s="156" t="s">
        <v>2627</v>
      </c>
      <c r="I187" s="69" t="s">
        <v>1877</v>
      </c>
      <c r="J187" s="122">
        <v>1</v>
      </c>
      <c r="K187" s="15">
        <v>319200</v>
      </c>
      <c r="L187" s="16">
        <f t="shared" si="17"/>
        <v>319200</v>
      </c>
      <c r="M187" s="15">
        <f t="shared" si="16"/>
        <v>31920</v>
      </c>
      <c r="N187" s="15">
        <f t="shared" si="18"/>
        <v>351120</v>
      </c>
      <c r="O187" s="5" t="s">
        <v>2455</v>
      </c>
      <c r="P187" s="9" t="s">
        <v>2636</v>
      </c>
      <c r="Q187" s="5">
        <v>45645</v>
      </c>
      <c r="R187" s="209" t="s">
        <v>100</v>
      </c>
    </row>
    <row r="188" spans="1:18" ht="16.5" customHeight="1">
      <c r="A188" t="s">
        <v>64</v>
      </c>
      <c r="B188" s="10" t="s">
        <v>787</v>
      </c>
      <c r="C188" s="12" t="s">
        <v>753</v>
      </c>
      <c r="D188" s="13">
        <v>45777</v>
      </c>
      <c r="E188" s="155" t="s">
        <v>2625</v>
      </c>
      <c r="F188" s="155" t="s">
        <v>788</v>
      </c>
      <c r="G188" s="156" t="s">
        <v>7</v>
      </c>
      <c r="H188" s="156" t="s">
        <v>2627</v>
      </c>
      <c r="I188" s="69" t="s">
        <v>1878</v>
      </c>
      <c r="J188" s="122">
        <v>1</v>
      </c>
      <c r="K188" s="15">
        <v>97800</v>
      </c>
      <c r="L188" s="16">
        <f t="shared" si="17"/>
        <v>97800</v>
      </c>
      <c r="M188" s="16">
        <f t="shared" si="16"/>
        <v>9780</v>
      </c>
      <c r="N188" s="15">
        <f t="shared" si="18"/>
        <v>107580</v>
      </c>
      <c r="O188" s="5" t="s">
        <v>2455</v>
      </c>
      <c r="P188" s="9" t="s">
        <v>2636</v>
      </c>
      <c r="Q188" s="5">
        <v>45681</v>
      </c>
      <c r="R188" s="209" t="s">
        <v>100</v>
      </c>
    </row>
    <row r="189" spans="1:18" ht="16.5" customHeight="1">
      <c r="A189" t="s">
        <v>64</v>
      </c>
      <c r="B189" s="10" t="s">
        <v>528</v>
      </c>
      <c r="C189" s="12" t="s">
        <v>523</v>
      </c>
      <c r="D189" s="13">
        <v>45777</v>
      </c>
      <c r="E189" s="155" t="s">
        <v>2625</v>
      </c>
      <c r="F189" s="155" t="s">
        <v>67</v>
      </c>
      <c r="G189" s="168" t="s">
        <v>7</v>
      </c>
      <c r="H189" s="156" t="s">
        <v>2627</v>
      </c>
      <c r="I189" s="69" t="s">
        <v>1879</v>
      </c>
      <c r="J189" s="122">
        <v>1</v>
      </c>
      <c r="K189" s="15">
        <v>98100</v>
      </c>
      <c r="L189" s="16">
        <f t="shared" si="17"/>
        <v>98100</v>
      </c>
      <c r="M189" s="15">
        <f t="shared" si="16"/>
        <v>9810</v>
      </c>
      <c r="N189" s="15">
        <f t="shared" si="18"/>
        <v>107910</v>
      </c>
      <c r="O189" s="5" t="s">
        <v>2455</v>
      </c>
      <c r="P189" s="9" t="s">
        <v>2636</v>
      </c>
      <c r="Q189" s="5">
        <v>45659</v>
      </c>
      <c r="R189" s="209" t="s">
        <v>100</v>
      </c>
    </row>
    <row r="190" spans="1:18" ht="16.5" customHeight="1">
      <c r="A190" t="s">
        <v>64</v>
      </c>
      <c r="B190" s="10" t="s">
        <v>792</v>
      </c>
      <c r="C190" s="12" t="s">
        <v>750</v>
      </c>
      <c r="D190" s="13">
        <v>45777</v>
      </c>
      <c r="E190" s="155" t="s">
        <v>2625</v>
      </c>
      <c r="F190" s="155" t="s">
        <v>2629</v>
      </c>
      <c r="G190" s="168" t="s">
        <v>7</v>
      </c>
      <c r="H190" s="156" t="s">
        <v>2627</v>
      </c>
      <c r="I190" s="69" t="s">
        <v>1880</v>
      </c>
      <c r="J190" s="122">
        <v>1</v>
      </c>
      <c r="K190" s="15">
        <v>1196100</v>
      </c>
      <c r="L190" s="16">
        <f t="shared" si="17"/>
        <v>1196100</v>
      </c>
      <c r="M190" s="16">
        <f t="shared" si="16"/>
        <v>119610</v>
      </c>
      <c r="N190" s="15">
        <f t="shared" si="18"/>
        <v>1315710</v>
      </c>
      <c r="O190" s="5" t="s">
        <v>2455</v>
      </c>
      <c r="P190" s="9" t="s">
        <v>2636</v>
      </c>
      <c r="Q190" s="5">
        <v>45777</v>
      </c>
      <c r="R190" s="213"/>
    </row>
    <row r="191" spans="1:18" ht="16.5" customHeight="1">
      <c r="A191" t="s">
        <v>64</v>
      </c>
      <c r="B191" s="10" t="s">
        <v>796</v>
      </c>
      <c r="C191" s="12" t="s">
        <v>897</v>
      </c>
      <c r="D191" s="13">
        <v>45777</v>
      </c>
      <c r="E191" s="155" t="s">
        <v>2625</v>
      </c>
      <c r="F191" s="155" t="s">
        <v>291</v>
      </c>
      <c r="G191" s="168" t="s">
        <v>7</v>
      </c>
      <c r="H191" s="156" t="s">
        <v>2627</v>
      </c>
      <c r="I191" s="69" t="s">
        <v>1865</v>
      </c>
      <c r="J191" s="122">
        <v>1</v>
      </c>
      <c r="K191" s="15">
        <v>99900</v>
      </c>
      <c r="L191" s="16">
        <f t="shared" si="17"/>
        <v>99900</v>
      </c>
      <c r="M191" s="16">
        <f t="shared" si="16"/>
        <v>9990</v>
      </c>
      <c r="N191" s="15">
        <f t="shared" si="18"/>
        <v>109890</v>
      </c>
      <c r="O191" s="5" t="s">
        <v>2455</v>
      </c>
      <c r="P191" s="9" t="s">
        <v>2636</v>
      </c>
      <c r="Q191" s="5">
        <v>45661</v>
      </c>
      <c r="R191" s="209" t="s">
        <v>100</v>
      </c>
    </row>
    <row r="192" spans="1:18" ht="16.5" customHeight="1">
      <c r="A192" t="s">
        <v>64</v>
      </c>
      <c r="B192" s="10" t="s">
        <v>800</v>
      </c>
      <c r="C192" s="12" t="s">
        <v>732</v>
      </c>
      <c r="D192" s="13">
        <v>45777</v>
      </c>
      <c r="E192" s="155" t="s">
        <v>2625</v>
      </c>
      <c r="F192" s="155" t="s">
        <v>801</v>
      </c>
      <c r="G192" s="168" t="s">
        <v>7</v>
      </c>
      <c r="H192" s="156" t="s">
        <v>2627</v>
      </c>
      <c r="I192" s="69" t="s">
        <v>1883</v>
      </c>
      <c r="J192" s="122">
        <v>1</v>
      </c>
      <c r="K192" s="15">
        <v>820200</v>
      </c>
      <c r="L192" s="16">
        <f t="shared" si="17"/>
        <v>820200</v>
      </c>
      <c r="M192" s="16">
        <f t="shared" si="16"/>
        <v>82020</v>
      </c>
      <c r="N192" s="15">
        <f t="shared" si="18"/>
        <v>902220</v>
      </c>
      <c r="O192" s="5" t="s">
        <v>2455</v>
      </c>
      <c r="P192" s="9" t="s">
        <v>2636</v>
      </c>
      <c r="Q192" s="5">
        <v>45777</v>
      </c>
      <c r="R192" s="213"/>
    </row>
    <row r="193" spans="1:18" ht="16.5" customHeight="1">
      <c r="A193" t="s">
        <v>64</v>
      </c>
      <c r="B193" s="10" t="s">
        <v>802</v>
      </c>
      <c r="C193" s="12" t="s">
        <v>729</v>
      </c>
      <c r="D193" s="13">
        <v>45777</v>
      </c>
      <c r="E193" s="155" t="s">
        <v>2625</v>
      </c>
      <c r="F193" s="155" t="s">
        <v>810</v>
      </c>
      <c r="G193" s="168" t="s">
        <v>7</v>
      </c>
      <c r="H193" s="156" t="s">
        <v>2627</v>
      </c>
      <c r="I193" s="69" t="s">
        <v>1887</v>
      </c>
      <c r="J193" s="122">
        <v>1</v>
      </c>
      <c r="K193" s="15">
        <v>502800</v>
      </c>
      <c r="L193" s="16">
        <f t="shared" si="17"/>
        <v>502800</v>
      </c>
      <c r="M193" s="16">
        <f t="shared" si="16"/>
        <v>50280</v>
      </c>
      <c r="N193" s="15">
        <f t="shared" si="18"/>
        <v>553080</v>
      </c>
      <c r="O193" s="5" t="s">
        <v>2455</v>
      </c>
      <c r="P193" s="9" t="s">
        <v>2636</v>
      </c>
      <c r="Q193" s="5">
        <v>45777</v>
      </c>
      <c r="R193" s="213"/>
    </row>
    <row r="194" spans="1:18" ht="16.5" customHeight="1">
      <c r="A194" t="s">
        <v>64</v>
      </c>
      <c r="B194" s="10" t="s">
        <v>878</v>
      </c>
      <c r="C194" s="12" t="s">
        <v>727</v>
      </c>
      <c r="D194" s="13">
        <v>45777</v>
      </c>
      <c r="E194" s="155" t="s">
        <v>2625</v>
      </c>
      <c r="F194" s="155" t="s">
        <v>296</v>
      </c>
      <c r="G194" s="168" t="s">
        <v>7</v>
      </c>
      <c r="H194" s="156" t="s">
        <v>2627</v>
      </c>
      <c r="I194" s="69" t="s">
        <v>1590</v>
      </c>
      <c r="J194" s="122">
        <v>1</v>
      </c>
      <c r="K194" s="15">
        <v>1417500</v>
      </c>
      <c r="L194" s="16">
        <f t="shared" si="17"/>
        <v>1417500</v>
      </c>
      <c r="M194" s="16">
        <f t="shared" si="16"/>
        <v>141750</v>
      </c>
      <c r="N194" s="15">
        <f t="shared" si="18"/>
        <v>1559250</v>
      </c>
      <c r="O194" s="5" t="s">
        <v>2455</v>
      </c>
      <c r="P194" s="9" t="s">
        <v>2636</v>
      </c>
      <c r="Q194" s="5">
        <v>45666</v>
      </c>
      <c r="R194" s="213" t="s">
        <v>100</v>
      </c>
    </row>
    <row r="195" spans="1:18" ht="16.5" customHeight="1">
      <c r="A195" t="s">
        <v>64</v>
      </c>
      <c r="B195" s="10" t="s">
        <v>882</v>
      </c>
      <c r="C195" s="12" t="s">
        <v>730</v>
      </c>
      <c r="D195" s="13">
        <v>45777</v>
      </c>
      <c r="E195" s="155" t="s">
        <v>2625</v>
      </c>
      <c r="F195" s="155" t="s">
        <v>293</v>
      </c>
      <c r="G195" s="168" t="s">
        <v>7</v>
      </c>
      <c r="H195" s="156" t="s">
        <v>2627</v>
      </c>
      <c r="I195" s="69" t="s">
        <v>1888</v>
      </c>
      <c r="J195" s="122">
        <v>1</v>
      </c>
      <c r="K195" s="15">
        <v>243000</v>
      </c>
      <c r="L195" s="16">
        <f t="shared" si="17"/>
        <v>243000</v>
      </c>
      <c r="M195" s="15">
        <f t="shared" si="16"/>
        <v>24300</v>
      </c>
      <c r="N195" s="15">
        <f t="shared" si="18"/>
        <v>267300</v>
      </c>
      <c r="O195" s="5" t="s">
        <v>2455</v>
      </c>
      <c r="P195" s="9" t="s">
        <v>2636</v>
      </c>
      <c r="Q195" s="5">
        <v>45777</v>
      </c>
      <c r="R195" s="209"/>
    </row>
    <row r="196" spans="1:18" ht="16.5" customHeight="1">
      <c r="A196" t="s">
        <v>64</v>
      </c>
      <c r="B196" s="10" t="s">
        <v>807</v>
      </c>
      <c r="C196" s="12" t="s">
        <v>724</v>
      </c>
      <c r="D196" s="13">
        <v>45777</v>
      </c>
      <c r="E196" s="155" t="s">
        <v>2625</v>
      </c>
      <c r="F196" s="155" t="s">
        <v>221</v>
      </c>
      <c r="G196" s="168" t="s">
        <v>7</v>
      </c>
      <c r="H196" s="156" t="s">
        <v>2627</v>
      </c>
      <c r="I196" s="69" t="s">
        <v>1889</v>
      </c>
      <c r="J196" s="122">
        <v>1</v>
      </c>
      <c r="K196" s="15">
        <v>1892400</v>
      </c>
      <c r="L196" s="16">
        <f t="shared" si="17"/>
        <v>1892400</v>
      </c>
      <c r="M196" s="16">
        <f t="shared" si="16"/>
        <v>189240</v>
      </c>
      <c r="N196" s="15">
        <f t="shared" si="18"/>
        <v>2081640</v>
      </c>
      <c r="O196" s="5" t="s">
        <v>2455</v>
      </c>
      <c r="P196" s="9" t="s">
        <v>2636</v>
      </c>
      <c r="Q196" s="5">
        <v>45687</v>
      </c>
      <c r="R196" s="213" t="s">
        <v>100</v>
      </c>
    </row>
    <row r="197" spans="1:18" ht="16.5" customHeight="1">
      <c r="A197" t="s">
        <v>64</v>
      </c>
      <c r="B197" s="10" t="s">
        <v>880</v>
      </c>
      <c r="C197" s="12" t="s">
        <v>716</v>
      </c>
      <c r="D197" s="13">
        <v>45777</v>
      </c>
      <c r="E197" s="155" t="s">
        <v>2625</v>
      </c>
      <c r="F197" s="155" t="s">
        <v>101</v>
      </c>
      <c r="G197" s="168" t="s">
        <v>7</v>
      </c>
      <c r="H197" s="156" t="s">
        <v>2627</v>
      </c>
      <c r="I197" s="69" t="s">
        <v>1890</v>
      </c>
      <c r="J197" s="122">
        <v>1</v>
      </c>
      <c r="K197" s="15">
        <v>212700</v>
      </c>
      <c r="L197" s="16">
        <f t="shared" si="17"/>
        <v>212700</v>
      </c>
      <c r="M197" s="16">
        <f t="shared" si="16"/>
        <v>21270</v>
      </c>
      <c r="N197" s="15">
        <f t="shared" si="18"/>
        <v>233970</v>
      </c>
      <c r="O197" s="5" t="s">
        <v>2455</v>
      </c>
      <c r="P197" s="177" t="s">
        <v>2636</v>
      </c>
      <c r="Q197" s="5">
        <v>45681</v>
      </c>
      <c r="R197" s="213" t="s">
        <v>100</v>
      </c>
    </row>
    <row r="198" spans="1:18" ht="16.5" customHeight="1">
      <c r="A198" t="s">
        <v>64</v>
      </c>
      <c r="B198" s="10" t="s">
        <v>1164</v>
      </c>
      <c r="C198" s="12" t="s">
        <v>1165</v>
      </c>
      <c r="D198" s="13">
        <v>45777</v>
      </c>
      <c r="E198" s="155" t="s">
        <v>2625</v>
      </c>
      <c r="F198" s="155" t="s">
        <v>225</v>
      </c>
      <c r="G198" s="168" t="s">
        <v>7</v>
      </c>
      <c r="H198" s="156" t="s">
        <v>2627</v>
      </c>
      <c r="I198" s="69" t="s">
        <v>1891</v>
      </c>
      <c r="J198" s="122">
        <v>1</v>
      </c>
      <c r="K198" s="15">
        <v>149400</v>
      </c>
      <c r="L198" s="16">
        <f t="shared" si="17"/>
        <v>149400</v>
      </c>
      <c r="M198" s="15">
        <f t="shared" si="16"/>
        <v>14940</v>
      </c>
      <c r="N198" s="15">
        <f t="shared" si="18"/>
        <v>164340</v>
      </c>
      <c r="O198" s="5" t="s">
        <v>2455</v>
      </c>
      <c r="P198" s="9" t="s">
        <v>2636</v>
      </c>
      <c r="Q198" s="5">
        <v>45716</v>
      </c>
      <c r="R198" s="209" t="s">
        <v>100</v>
      </c>
    </row>
    <row r="199" spans="1:18" ht="16.5" customHeight="1">
      <c r="A199" t="s">
        <v>64</v>
      </c>
      <c r="B199" s="10" t="s">
        <v>876</v>
      </c>
      <c r="C199" s="12" t="s">
        <v>865</v>
      </c>
      <c r="D199" s="13">
        <v>45777</v>
      </c>
      <c r="E199" s="155" t="s">
        <v>2625</v>
      </c>
      <c r="F199" s="155" t="s">
        <v>220</v>
      </c>
      <c r="G199" s="168" t="s">
        <v>7</v>
      </c>
      <c r="H199" s="156" t="s">
        <v>2627</v>
      </c>
      <c r="I199" s="69" t="s">
        <v>1892</v>
      </c>
      <c r="J199" s="122">
        <v>1</v>
      </c>
      <c r="K199" s="15">
        <v>180600</v>
      </c>
      <c r="L199" s="16">
        <f t="shared" si="17"/>
        <v>180600</v>
      </c>
      <c r="M199" s="16">
        <f t="shared" si="16"/>
        <v>18060</v>
      </c>
      <c r="N199" s="15">
        <f t="shared" si="18"/>
        <v>198660</v>
      </c>
      <c r="O199" s="5" t="s">
        <v>2455</v>
      </c>
      <c r="P199" s="9" t="s">
        <v>2636</v>
      </c>
      <c r="Q199" s="5">
        <v>45777</v>
      </c>
      <c r="R199" s="213"/>
    </row>
    <row r="200" spans="1:18" ht="16.5" customHeight="1">
      <c r="A200" t="s">
        <v>64</v>
      </c>
      <c r="B200" s="10" t="s">
        <v>930</v>
      </c>
      <c r="C200" s="12" t="s">
        <v>898</v>
      </c>
      <c r="D200" s="13">
        <v>45777</v>
      </c>
      <c r="E200" s="155" t="s">
        <v>2625</v>
      </c>
      <c r="F200" s="155" t="s">
        <v>13</v>
      </c>
      <c r="G200" s="168" t="s">
        <v>7</v>
      </c>
      <c r="H200" s="156" t="s">
        <v>2627</v>
      </c>
      <c r="I200" s="69" t="s">
        <v>1893</v>
      </c>
      <c r="J200" s="122">
        <v>1</v>
      </c>
      <c r="K200" s="15">
        <v>65700</v>
      </c>
      <c r="L200" s="16">
        <f t="shared" si="17"/>
        <v>65700</v>
      </c>
      <c r="M200" s="16">
        <f t="shared" si="16"/>
        <v>6570</v>
      </c>
      <c r="N200" s="15">
        <f t="shared" si="18"/>
        <v>72270</v>
      </c>
      <c r="O200" s="5" t="s">
        <v>2455</v>
      </c>
      <c r="P200" s="9" t="s">
        <v>2636</v>
      </c>
      <c r="Q200" s="5">
        <v>45700</v>
      </c>
      <c r="R200" s="213" t="s">
        <v>100</v>
      </c>
    </row>
    <row r="201" spans="1:18" ht="16.5" customHeight="1">
      <c r="A201" t="s">
        <v>64</v>
      </c>
      <c r="B201" s="10" t="s">
        <v>1052</v>
      </c>
      <c r="C201" s="12" t="s">
        <v>985</v>
      </c>
      <c r="D201" s="13">
        <v>45777</v>
      </c>
      <c r="E201" s="155" t="s">
        <v>2625</v>
      </c>
      <c r="F201" s="155" t="s">
        <v>2629</v>
      </c>
      <c r="G201" s="168" t="s">
        <v>7</v>
      </c>
      <c r="H201" s="156" t="s">
        <v>2627</v>
      </c>
      <c r="I201" s="69" t="s">
        <v>1894</v>
      </c>
      <c r="J201" s="122">
        <v>1</v>
      </c>
      <c r="K201" s="15">
        <v>496800</v>
      </c>
      <c r="L201" s="16">
        <f t="shared" si="17"/>
        <v>496800</v>
      </c>
      <c r="M201" s="16">
        <f t="shared" si="16"/>
        <v>49680</v>
      </c>
      <c r="N201" s="15">
        <f t="shared" si="18"/>
        <v>546480</v>
      </c>
      <c r="O201" s="5" t="s">
        <v>2455</v>
      </c>
      <c r="P201" s="9" t="s">
        <v>2636</v>
      </c>
      <c r="Q201" s="5">
        <v>45777</v>
      </c>
      <c r="R201" s="213"/>
    </row>
    <row r="202" spans="1:18" ht="16.5" customHeight="1">
      <c r="A202" t="s">
        <v>64</v>
      </c>
      <c r="B202" s="10" t="s">
        <v>1250</v>
      </c>
      <c r="C202" s="12" t="s">
        <v>1251</v>
      </c>
      <c r="D202" s="13">
        <v>45777</v>
      </c>
      <c r="E202" s="155" t="s">
        <v>2625</v>
      </c>
      <c r="F202" s="155" t="s">
        <v>236</v>
      </c>
      <c r="G202" s="168" t="s">
        <v>7</v>
      </c>
      <c r="H202" s="156" t="s">
        <v>2627</v>
      </c>
      <c r="I202" s="69" t="s">
        <v>1884</v>
      </c>
      <c r="J202" s="122">
        <v>1</v>
      </c>
      <c r="K202" s="15">
        <v>1515900</v>
      </c>
      <c r="L202" s="16">
        <f t="shared" si="17"/>
        <v>1515900</v>
      </c>
      <c r="M202" s="16">
        <f t="shared" si="16"/>
        <v>151590</v>
      </c>
      <c r="N202" s="15">
        <f t="shared" si="18"/>
        <v>1667490</v>
      </c>
      <c r="O202" s="5" t="s">
        <v>2455</v>
      </c>
      <c r="P202" s="9" t="s">
        <v>2636</v>
      </c>
      <c r="Q202" s="5">
        <v>45777</v>
      </c>
      <c r="R202" s="213"/>
    </row>
    <row r="203" spans="1:18" ht="16.5" customHeight="1">
      <c r="A203" t="s">
        <v>64</v>
      </c>
      <c r="B203" s="10" t="s">
        <v>1735</v>
      </c>
      <c r="C203" s="12" t="s">
        <v>1295</v>
      </c>
      <c r="D203" s="13">
        <v>45777</v>
      </c>
      <c r="E203" s="155" t="s">
        <v>2625</v>
      </c>
      <c r="F203" s="155" t="s">
        <v>331</v>
      </c>
      <c r="G203" s="156" t="s">
        <v>7</v>
      </c>
      <c r="H203" s="156" t="s">
        <v>2627</v>
      </c>
      <c r="I203" s="69" t="s">
        <v>1885</v>
      </c>
      <c r="J203" s="124">
        <v>1</v>
      </c>
      <c r="K203" s="15">
        <v>405600</v>
      </c>
      <c r="L203" s="16">
        <f t="shared" si="17"/>
        <v>405600</v>
      </c>
      <c r="M203" s="16">
        <f t="shared" si="16"/>
        <v>40560</v>
      </c>
      <c r="N203" s="15">
        <f t="shared" si="18"/>
        <v>446160</v>
      </c>
      <c r="O203" s="5" t="s">
        <v>2455</v>
      </c>
      <c r="P203" s="9" t="s">
        <v>2636</v>
      </c>
      <c r="Q203" s="5">
        <v>45777</v>
      </c>
      <c r="R203" s="209"/>
    </row>
    <row r="204" spans="1:18" ht="16.5" customHeight="1">
      <c r="A204" t="s">
        <v>64</v>
      </c>
      <c r="B204" s="10" t="s">
        <v>1900</v>
      </c>
      <c r="C204" s="12" t="s">
        <v>1897</v>
      </c>
      <c r="D204" s="13">
        <v>45777</v>
      </c>
      <c r="E204" s="155" t="s">
        <v>2625</v>
      </c>
      <c r="F204" s="155" t="s">
        <v>1898</v>
      </c>
      <c r="G204" s="156" t="s">
        <v>7</v>
      </c>
      <c r="H204" s="156" t="s">
        <v>2627</v>
      </c>
      <c r="I204" s="69" t="s">
        <v>1899</v>
      </c>
      <c r="J204" s="122">
        <v>1</v>
      </c>
      <c r="K204" s="15">
        <f>11956560/1.1</f>
        <v>10869600</v>
      </c>
      <c r="L204" s="16">
        <f t="shared" si="17"/>
        <v>10869600</v>
      </c>
      <c r="M204" s="15">
        <f t="shared" si="16"/>
        <v>1086960</v>
      </c>
      <c r="N204" s="15">
        <f t="shared" si="18"/>
        <v>11956560</v>
      </c>
      <c r="O204" s="5" t="s">
        <v>2455</v>
      </c>
      <c r="P204" s="9" t="s">
        <v>2636</v>
      </c>
      <c r="Q204" s="5">
        <v>45838</v>
      </c>
      <c r="R204" s="209"/>
    </row>
    <row r="205" spans="1:18" ht="16.5" customHeight="1">
      <c r="A205" t="s">
        <v>64</v>
      </c>
      <c r="B205" s="10" t="s">
        <v>1618</v>
      </c>
      <c r="C205" s="12" t="s">
        <v>1620</v>
      </c>
      <c r="D205" s="13">
        <v>45777</v>
      </c>
      <c r="E205" s="155" t="s">
        <v>2625</v>
      </c>
      <c r="F205" s="155" t="s">
        <v>226</v>
      </c>
      <c r="G205" s="156" t="s">
        <v>7</v>
      </c>
      <c r="H205" s="156" t="s">
        <v>2627</v>
      </c>
      <c r="I205" s="69" t="s">
        <v>1983</v>
      </c>
      <c r="J205" s="122">
        <v>1</v>
      </c>
      <c r="K205" s="15">
        <v>1167600</v>
      </c>
      <c r="L205" s="16">
        <f t="shared" si="17"/>
        <v>1167600</v>
      </c>
      <c r="M205" s="16">
        <f t="shared" si="16"/>
        <v>116760</v>
      </c>
      <c r="N205" s="15">
        <f t="shared" si="18"/>
        <v>1284360</v>
      </c>
      <c r="O205" s="5" t="s">
        <v>2455</v>
      </c>
      <c r="P205" s="9" t="s">
        <v>2636</v>
      </c>
      <c r="Q205" s="5">
        <v>45747</v>
      </c>
      <c r="R205" s="213" t="s">
        <v>100</v>
      </c>
    </row>
    <row r="206" spans="1:18" ht="16.5" customHeight="1">
      <c r="A206" t="s">
        <v>64</v>
      </c>
      <c r="B206" s="10" t="s">
        <v>1733</v>
      </c>
      <c r="C206" s="12" t="s">
        <v>1627</v>
      </c>
      <c r="D206" s="13">
        <v>45777</v>
      </c>
      <c r="E206" s="155" t="s">
        <v>2625</v>
      </c>
      <c r="F206" s="155" t="s">
        <v>242</v>
      </c>
      <c r="G206" s="156" t="s">
        <v>7</v>
      </c>
      <c r="H206" s="156" t="s">
        <v>2627</v>
      </c>
      <c r="I206" s="69" t="s">
        <v>1635</v>
      </c>
      <c r="J206" s="124">
        <v>1</v>
      </c>
      <c r="K206" s="15">
        <v>51300</v>
      </c>
      <c r="L206" s="16">
        <f t="shared" si="17"/>
        <v>51300</v>
      </c>
      <c r="M206" s="16">
        <f t="shared" si="16"/>
        <v>5130</v>
      </c>
      <c r="N206" s="15">
        <f t="shared" si="18"/>
        <v>56430</v>
      </c>
      <c r="O206" s="5" t="s">
        <v>2455</v>
      </c>
      <c r="P206" s="9" t="s">
        <v>2636</v>
      </c>
      <c r="Q206" s="5">
        <v>45748</v>
      </c>
      <c r="R206" s="209" t="s">
        <v>1636</v>
      </c>
    </row>
    <row r="207" spans="1:18" ht="16.5" customHeight="1">
      <c r="A207" t="s">
        <v>64</v>
      </c>
      <c r="B207" s="10" t="s">
        <v>1734</v>
      </c>
      <c r="C207" s="12" t="s">
        <v>1711</v>
      </c>
      <c r="D207" s="13">
        <v>45777</v>
      </c>
      <c r="E207" s="155" t="s">
        <v>2625</v>
      </c>
      <c r="F207" s="155" t="s">
        <v>224</v>
      </c>
      <c r="G207" s="156" t="s">
        <v>7</v>
      </c>
      <c r="H207" s="156" t="s">
        <v>2627</v>
      </c>
      <c r="I207" s="69" t="s">
        <v>1712</v>
      </c>
      <c r="J207" s="124">
        <v>1</v>
      </c>
      <c r="K207" s="15">
        <v>420000</v>
      </c>
      <c r="L207" s="16">
        <f t="shared" si="17"/>
        <v>420000</v>
      </c>
      <c r="M207" s="16">
        <f t="shared" si="16"/>
        <v>42000</v>
      </c>
      <c r="N207" s="15">
        <f t="shared" si="18"/>
        <v>462000</v>
      </c>
      <c r="O207" s="5" t="s">
        <v>2455</v>
      </c>
      <c r="P207" s="9" t="s">
        <v>2636</v>
      </c>
      <c r="Q207" s="5">
        <v>45747</v>
      </c>
      <c r="R207" s="209" t="s">
        <v>100</v>
      </c>
    </row>
    <row r="208" spans="1:18" ht="16.5" customHeight="1">
      <c r="A208" t="s">
        <v>64</v>
      </c>
      <c r="B208" s="10" t="s">
        <v>1736</v>
      </c>
      <c r="C208" s="12" t="s">
        <v>1717</v>
      </c>
      <c r="D208" s="13">
        <v>45777</v>
      </c>
      <c r="E208" s="155" t="s">
        <v>2625</v>
      </c>
      <c r="F208" s="155" t="s">
        <v>1715</v>
      </c>
      <c r="G208" s="156" t="s">
        <v>7</v>
      </c>
      <c r="H208" s="156" t="s">
        <v>2627</v>
      </c>
      <c r="I208" s="69" t="s">
        <v>1716</v>
      </c>
      <c r="J208" s="124">
        <v>1</v>
      </c>
      <c r="K208" s="15">
        <v>35600</v>
      </c>
      <c r="L208" s="16">
        <f t="shared" si="17"/>
        <v>35600</v>
      </c>
      <c r="M208" s="16">
        <f t="shared" si="16"/>
        <v>3560</v>
      </c>
      <c r="N208" s="15">
        <f t="shared" si="18"/>
        <v>39160</v>
      </c>
      <c r="O208" s="5" t="s">
        <v>2455</v>
      </c>
      <c r="P208" s="9" t="s">
        <v>2636</v>
      </c>
      <c r="Q208" s="5">
        <v>45772</v>
      </c>
      <c r="R208" s="209"/>
    </row>
    <row r="209" spans="1:20" ht="16.5" customHeight="1">
      <c r="A209" t="s">
        <v>64</v>
      </c>
      <c r="B209" s="10" t="s">
        <v>1991</v>
      </c>
      <c r="C209" s="12" t="s">
        <v>1828</v>
      </c>
      <c r="D209" s="13">
        <v>45777</v>
      </c>
      <c r="E209" s="155" t="s">
        <v>2625</v>
      </c>
      <c r="F209" s="155" t="s">
        <v>2629</v>
      </c>
      <c r="G209" s="156" t="s">
        <v>7</v>
      </c>
      <c r="H209" s="156" t="s">
        <v>2627</v>
      </c>
      <c r="I209" s="69" t="s">
        <v>1950</v>
      </c>
      <c r="J209" s="124">
        <v>1</v>
      </c>
      <c r="K209" s="15">
        <v>1111200</v>
      </c>
      <c r="L209" s="16">
        <f t="shared" si="17"/>
        <v>1111200</v>
      </c>
      <c r="M209" s="16">
        <f t="shared" si="16"/>
        <v>111120</v>
      </c>
      <c r="N209" s="15">
        <f t="shared" si="18"/>
        <v>1222320</v>
      </c>
      <c r="O209" s="5" t="s">
        <v>2455</v>
      </c>
      <c r="P209" s="9" t="s">
        <v>2636</v>
      </c>
      <c r="Q209" s="5">
        <v>45777</v>
      </c>
      <c r="R209" s="209"/>
    </row>
    <row r="210" spans="1:20">
      <c r="A210" t="s">
        <v>64</v>
      </c>
      <c r="B210" s="10" t="s">
        <v>798</v>
      </c>
      <c r="C210" s="12" t="s">
        <v>799</v>
      </c>
      <c r="D210" s="13">
        <v>45777</v>
      </c>
      <c r="E210" s="155" t="s">
        <v>2625</v>
      </c>
      <c r="F210" s="155" t="s">
        <v>250</v>
      </c>
      <c r="G210" s="168" t="s">
        <v>7</v>
      </c>
      <c r="H210" s="156" t="s">
        <v>2627</v>
      </c>
      <c r="I210" s="69" t="s">
        <v>1886</v>
      </c>
      <c r="J210" s="122">
        <v>1</v>
      </c>
      <c r="K210" s="15">
        <v>531600</v>
      </c>
      <c r="L210" s="16">
        <f t="shared" si="17"/>
        <v>531600</v>
      </c>
      <c r="M210" s="16">
        <f t="shared" si="16"/>
        <v>53160</v>
      </c>
      <c r="N210" s="15">
        <f t="shared" si="18"/>
        <v>584760</v>
      </c>
      <c r="O210" s="5" t="s">
        <v>2455</v>
      </c>
      <c r="P210" s="9" t="s">
        <v>2636</v>
      </c>
      <c r="Q210" s="5">
        <v>45777</v>
      </c>
      <c r="R210" s="213"/>
    </row>
    <row r="211" spans="1:20" ht="16.5" customHeight="1">
      <c r="A211" t="s">
        <v>64</v>
      </c>
      <c r="B211" s="10"/>
      <c r="C211" s="12"/>
      <c r="D211" s="6"/>
      <c r="E211" s="163"/>
      <c r="F211" s="163"/>
      <c r="G211" s="169"/>
      <c r="H211" s="169"/>
      <c r="I211" s="163"/>
      <c r="J211" s="127"/>
      <c r="K211" s="15"/>
      <c r="L211" s="16">
        <f t="shared" si="17"/>
        <v>0</v>
      </c>
      <c r="M211" s="16">
        <f>ROUNDDOWN(L211*10%,0)</f>
        <v>0</v>
      </c>
      <c r="N211" s="15">
        <f t="shared" ref="N211" si="19">SUM(L211:M211)</f>
        <v>0</v>
      </c>
      <c r="O211" s="5"/>
      <c r="P211" s="9"/>
      <c r="Q211" s="5"/>
      <c r="R211" s="209"/>
    </row>
    <row r="212" spans="1:20" ht="30.75" customHeight="1" thickBot="1">
      <c r="A212" t="s">
        <v>64</v>
      </c>
      <c r="B212" s="262" t="s">
        <v>24</v>
      </c>
      <c r="C212" s="263"/>
      <c r="D212" s="263"/>
      <c r="E212" s="263"/>
      <c r="F212" s="263"/>
      <c r="G212" s="263"/>
      <c r="H212" s="263"/>
      <c r="I212" s="264"/>
      <c r="J212" s="128"/>
      <c r="K212" s="129"/>
      <c r="L212" s="130">
        <f>SUM(L5:L211)</f>
        <v>264199095.81818184</v>
      </c>
      <c r="M212" s="130">
        <f>SUM(M5:M211)</f>
        <v>26235926.636363637</v>
      </c>
      <c r="N212" s="130">
        <f>SUM(N5:N211)</f>
        <v>290435022.4545455</v>
      </c>
      <c r="O212" s="97"/>
      <c r="P212" s="178"/>
      <c r="Q212" s="97"/>
      <c r="R212" s="180"/>
    </row>
    <row r="213" spans="1:20" ht="16.5" customHeight="1">
      <c r="D213" s="236">
        <f>COUNTA(D5:D211)</f>
        <v>192</v>
      </c>
    </row>
    <row r="214" spans="1:20" ht="16.5" customHeight="1">
      <c r="K214" s="17" t="s">
        <v>46</v>
      </c>
      <c r="L214" s="131">
        <f>SUBTOTAL(109,L5:L211)</f>
        <v>264199095.81818184</v>
      </c>
      <c r="M214" s="131">
        <f>SUBTOTAL(109,M5:M211)</f>
        <v>26235926.636363637</v>
      </c>
      <c r="N214" s="131">
        <f>SUBTOTAL(109,N5:N211)</f>
        <v>289784152.4545455</v>
      </c>
    </row>
    <row r="215" spans="1:20" ht="16.5" customHeight="1">
      <c r="E215" t="s">
        <v>62</v>
      </c>
    </row>
    <row r="216" spans="1:20" s="66" customFormat="1" ht="16.5" customHeight="1">
      <c r="A216"/>
      <c r="B216" s="1"/>
      <c r="C216"/>
      <c r="D216" s="96"/>
      <c r="E216" t="s">
        <v>7</v>
      </c>
      <c r="F216" s="11">
        <f t="shared" ref="F216:F227" si="20">SUMIF($G$5:$G$211,E216,$L$5:$L$211)</f>
        <v>160600039.45454544</v>
      </c>
      <c r="G216" s="1"/>
      <c r="H216" s="1"/>
      <c r="I216"/>
      <c r="J216" s="17"/>
      <c r="K216" s="190" t="s">
        <v>42</v>
      </c>
      <c r="L216" s="17"/>
      <c r="M216" s="17"/>
      <c r="N216" s="17"/>
      <c r="O216" s="96"/>
      <c r="P216"/>
      <c r="Q216" s="96"/>
      <c r="R216"/>
      <c r="S216"/>
      <c r="T216"/>
    </row>
    <row r="217" spans="1:20" s="66" customFormat="1">
      <c r="A217"/>
      <c r="B217" s="1"/>
      <c r="C217"/>
      <c r="D217" s="96"/>
      <c r="E217" t="s">
        <v>16</v>
      </c>
      <c r="F217" s="11">
        <f t="shared" si="20"/>
        <v>16300800</v>
      </c>
      <c r="G217" s="1"/>
      <c r="H217" s="1"/>
      <c r="I217"/>
      <c r="J217" s="17"/>
      <c r="K217" s="190" t="s">
        <v>43</v>
      </c>
      <c r="L217" s="17"/>
      <c r="M217" s="17"/>
      <c r="N217" s="17"/>
      <c r="O217" s="96"/>
      <c r="P217"/>
      <c r="Q217" s="96"/>
      <c r="R217"/>
      <c r="S217"/>
      <c r="T217"/>
    </row>
    <row r="218" spans="1:20" s="66" customFormat="1">
      <c r="A218"/>
      <c r="B218" s="1"/>
      <c r="C218"/>
      <c r="D218" s="96"/>
      <c r="E218" t="s">
        <v>28</v>
      </c>
      <c r="F218" s="11">
        <f t="shared" si="20"/>
        <v>0</v>
      </c>
      <c r="G218" s="1"/>
      <c r="H218" s="1"/>
      <c r="I218"/>
      <c r="J218" s="17"/>
      <c r="K218" s="190" t="s">
        <v>55</v>
      </c>
      <c r="L218" s="17"/>
      <c r="M218" s="17"/>
      <c r="N218" s="131"/>
      <c r="O218" s="96"/>
      <c r="P218"/>
      <c r="Q218" s="96"/>
      <c r="R218"/>
      <c r="S218"/>
      <c r="T218"/>
    </row>
    <row r="219" spans="1:20" s="66" customFormat="1">
      <c r="A219"/>
      <c r="B219" s="1"/>
      <c r="C219"/>
      <c r="D219" s="96"/>
      <c r="E219" t="s">
        <v>15</v>
      </c>
      <c r="F219" s="11">
        <f t="shared" si="20"/>
        <v>0</v>
      </c>
      <c r="G219" s="1"/>
      <c r="H219" s="1"/>
      <c r="I219"/>
      <c r="J219" s="17"/>
      <c r="K219" s="17"/>
      <c r="L219" s="17">
        <v>256573</v>
      </c>
      <c r="M219" s="17"/>
      <c r="N219" s="17"/>
      <c r="O219" s="96"/>
      <c r="P219"/>
      <c r="Q219" s="96"/>
      <c r="R219"/>
      <c r="S219"/>
      <c r="T219"/>
    </row>
    <row r="220" spans="1:20" s="66" customFormat="1">
      <c r="A220"/>
      <c r="B220" s="1"/>
      <c r="C220"/>
      <c r="D220" s="96"/>
      <c r="E220" t="s">
        <v>27</v>
      </c>
      <c r="F220" s="11">
        <f t="shared" si="20"/>
        <v>0</v>
      </c>
      <c r="G220" s="1"/>
      <c r="H220" s="1"/>
      <c r="I220"/>
      <c r="J220" s="17"/>
      <c r="K220" s="17"/>
      <c r="L220" s="131"/>
      <c r="M220" s="131"/>
      <c r="N220" s="131"/>
      <c r="O220" s="96"/>
      <c r="P220"/>
      <c r="Q220" s="96"/>
      <c r="R220"/>
      <c r="S220"/>
      <c r="T220"/>
    </row>
    <row r="221" spans="1:20" s="66" customFormat="1">
      <c r="A221"/>
      <c r="B221" s="1"/>
      <c r="C221"/>
      <c r="D221" s="96"/>
      <c r="E221" t="s">
        <v>41</v>
      </c>
      <c r="F221" s="11">
        <f t="shared" si="20"/>
        <v>80079348.36363636</v>
      </c>
      <c r="G221" s="1"/>
      <c r="H221" s="1"/>
      <c r="I221"/>
      <c r="J221" s="17"/>
      <c r="K221" s="17"/>
      <c r="L221" s="17"/>
      <c r="M221" s="17"/>
      <c r="N221" s="131"/>
      <c r="O221" s="96"/>
      <c r="P221"/>
      <c r="Q221" s="96"/>
      <c r="R221"/>
      <c r="S221"/>
      <c r="T221"/>
    </row>
    <row r="222" spans="1:20" s="66" customFormat="1">
      <c r="A222"/>
      <c r="B222" s="1"/>
      <c r="C222"/>
      <c r="D222" s="96"/>
      <c r="E222" t="s">
        <v>25</v>
      </c>
      <c r="F222" s="11">
        <f t="shared" si="20"/>
        <v>0</v>
      </c>
      <c r="G222" s="1"/>
      <c r="H222" s="1"/>
      <c r="I222"/>
      <c r="J222" s="17"/>
      <c r="K222" s="17"/>
      <c r="L222" s="17"/>
      <c r="M222" s="17"/>
      <c r="N222" s="131"/>
      <c r="O222" s="96"/>
      <c r="P222"/>
      <c r="Q222" s="96"/>
      <c r="R222"/>
      <c r="S222"/>
      <c r="T222"/>
    </row>
    <row r="223" spans="1:20" s="66" customFormat="1">
      <c r="A223"/>
      <c r="B223" s="1"/>
      <c r="C223"/>
      <c r="D223" s="96"/>
      <c r="E223" t="s">
        <v>36</v>
      </c>
      <c r="F223" s="11">
        <f t="shared" si="20"/>
        <v>930000</v>
      </c>
      <c r="G223" s="1"/>
      <c r="H223" s="1"/>
      <c r="I223"/>
      <c r="J223" s="17"/>
      <c r="K223" s="17"/>
      <c r="L223" s="17"/>
      <c r="M223" s="17"/>
      <c r="N223" s="17"/>
      <c r="O223" s="96"/>
      <c r="P223"/>
      <c r="Q223" s="96"/>
      <c r="R223"/>
      <c r="S223"/>
      <c r="T223"/>
    </row>
    <row r="224" spans="1:20" s="66" customFormat="1">
      <c r="A224"/>
      <c r="B224" s="1"/>
      <c r="C224"/>
      <c r="D224" s="96"/>
      <c r="E224" t="s">
        <v>30</v>
      </c>
      <c r="F224" s="11">
        <f t="shared" si="20"/>
        <v>6288908</v>
      </c>
      <c r="G224" s="1"/>
      <c r="H224" s="1"/>
      <c r="I224"/>
      <c r="J224" s="17"/>
      <c r="K224" s="17"/>
      <c r="L224" s="17"/>
      <c r="M224" s="17"/>
      <c r="N224" s="17"/>
      <c r="O224" s="96"/>
      <c r="P224"/>
      <c r="Q224" s="96"/>
      <c r="R224"/>
      <c r="S224"/>
      <c r="T224"/>
    </row>
    <row r="225" spans="1:20" s="66" customFormat="1">
      <c r="A225"/>
      <c r="B225" s="1"/>
      <c r="C225"/>
      <c r="D225" s="96"/>
      <c r="E225" t="s">
        <v>37</v>
      </c>
      <c r="F225" s="11">
        <f t="shared" si="20"/>
        <v>0</v>
      </c>
      <c r="G225" s="1"/>
      <c r="H225" s="1"/>
      <c r="I225"/>
      <c r="J225" s="17"/>
      <c r="K225" s="17"/>
      <c r="L225" s="17"/>
      <c r="M225" s="17"/>
      <c r="N225" s="17"/>
      <c r="O225" s="96"/>
      <c r="P225"/>
      <c r="Q225" s="96"/>
      <c r="R225"/>
      <c r="S225"/>
      <c r="T225"/>
    </row>
    <row r="226" spans="1:20" s="66" customFormat="1">
      <c r="A226"/>
      <c r="B226" s="1"/>
      <c r="C226"/>
      <c r="D226" s="96"/>
      <c r="E226" t="s">
        <v>35</v>
      </c>
      <c r="F226" s="11">
        <f t="shared" si="20"/>
        <v>0</v>
      </c>
      <c r="G226" s="1"/>
      <c r="H226" s="1"/>
      <c r="I226"/>
      <c r="J226" s="17"/>
      <c r="K226" s="17"/>
      <c r="L226" s="17"/>
      <c r="M226" s="17"/>
      <c r="N226" s="17"/>
      <c r="O226" s="96"/>
      <c r="P226"/>
      <c r="Q226" s="96"/>
      <c r="R226"/>
      <c r="S226"/>
      <c r="T226"/>
    </row>
    <row r="227" spans="1:20" s="66" customFormat="1">
      <c r="A227"/>
      <c r="B227" s="1"/>
      <c r="C227"/>
      <c r="D227" s="96"/>
      <c r="E227" t="s">
        <v>80</v>
      </c>
      <c r="F227" s="11">
        <f t="shared" si="20"/>
        <v>0</v>
      </c>
      <c r="G227" s="1"/>
      <c r="H227" s="1"/>
      <c r="I227"/>
      <c r="J227" s="17"/>
      <c r="K227" s="17"/>
      <c r="L227" s="17"/>
      <c r="M227" s="17"/>
      <c r="N227" s="17"/>
      <c r="O227" s="96"/>
      <c r="P227"/>
      <c r="Q227" s="96"/>
      <c r="R227"/>
      <c r="S227"/>
      <c r="T227"/>
    </row>
    <row r="228" spans="1:20" s="66" customFormat="1">
      <c r="A228"/>
      <c r="B228" s="1"/>
      <c r="C228"/>
      <c r="D228" s="96"/>
      <c r="E228" s="171" t="s">
        <v>92</v>
      </c>
      <c r="F228" s="18">
        <f>SUM(F216:F227)</f>
        <v>264199095.81818181</v>
      </c>
      <c r="G228" s="1"/>
      <c r="H228" s="1"/>
      <c r="I228"/>
      <c r="J228" s="17"/>
      <c r="K228" s="17"/>
      <c r="L228" s="17"/>
      <c r="M228" s="17"/>
      <c r="N228" s="131"/>
      <c r="O228" s="96"/>
      <c r="P228"/>
      <c r="Q228" s="96"/>
      <c r="R228"/>
      <c r="S228"/>
      <c r="T228"/>
    </row>
    <row r="229" spans="1:20" s="66" customFormat="1">
      <c r="A229"/>
      <c r="B229" s="1"/>
      <c r="C229"/>
      <c r="D229" s="96"/>
      <c r="E229" s="171" t="s">
        <v>93</v>
      </c>
      <c r="F229" s="18">
        <f>F228-F227</f>
        <v>264199095.81818181</v>
      </c>
      <c r="G229" s="1"/>
      <c r="H229" s="1"/>
      <c r="I229"/>
      <c r="J229" s="17"/>
      <c r="K229" s="17"/>
      <c r="L229" s="131"/>
      <c r="M229" s="131"/>
      <c r="N229" s="131"/>
      <c r="O229" s="96"/>
      <c r="P229"/>
      <c r="Q229" s="96"/>
      <c r="R229"/>
      <c r="S229"/>
      <c r="T229"/>
    </row>
    <row r="230" spans="1:20" s="66" customFormat="1">
      <c r="A230"/>
      <c r="B230" s="1"/>
      <c r="C230"/>
      <c r="D230" s="96"/>
      <c r="E230" s="171"/>
      <c r="F230" s="172"/>
      <c r="G230" s="1"/>
      <c r="H230" s="1"/>
      <c r="I230"/>
      <c r="J230" s="17"/>
      <c r="K230" s="17"/>
      <c r="L230" s="17"/>
      <c r="M230" s="17"/>
      <c r="N230" s="17">
        <f>SUBTOTAL(9,N6:N210)</f>
        <v>289706052.4545455</v>
      </c>
      <c r="O230" s="96"/>
      <c r="P230"/>
      <c r="Q230" s="96"/>
      <c r="R230"/>
      <c r="S230"/>
      <c r="T230"/>
    </row>
    <row r="231" spans="1:20" s="66" customFormat="1">
      <c r="A231"/>
      <c r="B231" s="1"/>
      <c r="C231"/>
      <c r="D231" s="96"/>
      <c r="E231"/>
      <c r="F231"/>
      <c r="G231" s="1"/>
      <c r="H231" s="1"/>
      <c r="I231"/>
      <c r="J231" s="17"/>
      <c r="K231" s="17"/>
      <c r="L231" s="131"/>
      <c r="M231" s="17"/>
      <c r="N231" s="17" t="e">
        <f>SUBTOTAL(9,#REF!)</f>
        <v>#REF!</v>
      </c>
      <c r="O231" s="96"/>
      <c r="P231"/>
      <c r="Q231" s="96"/>
      <c r="R231"/>
      <c r="S231"/>
      <c r="T231"/>
    </row>
    <row r="232" spans="1:20">
      <c r="L232" s="191"/>
      <c r="M232" s="191"/>
      <c r="N232" s="191" t="e">
        <f>#REF!+'4월'!N231</f>
        <v>#REF!</v>
      </c>
      <c r="O232" s="98"/>
    </row>
    <row r="233" spans="1:20">
      <c r="A233" t="s">
        <v>1999</v>
      </c>
      <c r="F233" s="170"/>
      <c r="L233" s="191"/>
      <c r="M233" s="191"/>
      <c r="N233" s="191"/>
      <c r="O233" s="98"/>
    </row>
    <row r="234" spans="1:20">
      <c r="F234" s="170"/>
      <c r="L234" s="192">
        <f>SUBTOTAL(109,L5:L210)</f>
        <v>264199095.81818184</v>
      </c>
      <c r="M234" s="192"/>
      <c r="N234" s="192"/>
      <c r="O234" s="98"/>
    </row>
    <row r="235" spans="1:20" s="1" customFormat="1">
      <c r="C235"/>
      <c r="D235" s="96"/>
      <c r="E235"/>
      <c r="F235"/>
      <c r="I235"/>
      <c r="J235" s="17"/>
      <c r="K235" s="17"/>
      <c r="L235" s="17"/>
      <c r="M235" s="17"/>
      <c r="N235" s="131"/>
      <c r="O235" s="96"/>
      <c r="P235"/>
      <c r="Q235" s="96"/>
      <c r="R235"/>
    </row>
    <row r="236" spans="1:20">
      <c r="N236" s="131"/>
    </row>
    <row r="237" spans="1:20">
      <c r="N237" s="131"/>
    </row>
    <row r="238" spans="1:20">
      <c r="N238" s="131"/>
    </row>
    <row r="239" spans="1:20">
      <c r="N239" s="131"/>
    </row>
    <row r="240" spans="1:20">
      <c r="N240" s="193"/>
    </row>
    <row r="241" spans="1:20">
      <c r="F241" s="170"/>
      <c r="N241" s="193"/>
    </row>
    <row r="242" spans="1:20" s="66" customFormat="1">
      <c r="A242"/>
      <c r="B242" s="1"/>
      <c r="C242"/>
      <c r="D242" s="96"/>
      <c r="E242"/>
      <c r="F242" s="170"/>
      <c r="G242" s="1"/>
      <c r="H242" s="1"/>
      <c r="I242"/>
      <c r="J242" s="17"/>
      <c r="K242" s="17"/>
      <c r="L242" s="17"/>
      <c r="M242" s="17"/>
      <c r="N242" s="193"/>
      <c r="O242" s="96"/>
      <c r="P242"/>
      <c r="Q242" s="96"/>
      <c r="R242"/>
      <c r="S242"/>
      <c r="T242"/>
    </row>
    <row r="243" spans="1:20" s="66" customFormat="1">
      <c r="A243"/>
      <c r="B243" s="1"/>
      <c r="C243"/>
      <c r="D243" s="96"/>
      <c r="E243"/>
      <c r="F243" s="170"/>
      <c r="G243" s="1"/>
      <c r="H243" s="1"/>
      <c r="I243"/>
      <c r="J243" s="17"/>
      <c r="K243" s="17"/>
      <c r="L243" s="194"/>
      <c r="M243" s="194"/>
      <c r="N243" s="195"/>
      <c r="O243" s="96"/>
      <c r="P243"/>
      <c r="Q243" s="96"/>
      <c r="R243"/>
      <c r="S243"/>
      <c r="T243"/>
    </row>
    <row r="244" spans="1:20" s="66" customFormat="1">
      <c r="A244"/>
      <c r="B244" s="1"/>
      <c r="C244"/>
      <c r="D244" s="96"/>
      <c r="E244"/>
      <c r="F244" s="170"/>
      <c r="G244" s="1"/>
      <c r="H244" s="1"/>
      <c r="I244"/>
      <c r="J244" s="17"/>
      <c r="K244" s="17"/>
      <c r="L244" s="131"/>
      <c r="M244" s="131"/>
      <c r="N244" s="193"/>
      <c r="O244" s="96"/>
      <c r="P244"/>
      <c r="Q244" s="96"/>
      <c r="R244"/>
      <c r="S244"/>
      <c r="T244"/>
    </row>
    <row r="245" spans="1:20" s="66" customFormat="1">
      <c r="A245"/>
      <c r="B245" s="1"/>
      <c r="C245"/>
      <c r="D245" s="96"/>
      <c r="E245"/>
      <c r="F245"/>
      <c r="G245" s="1"/>
      <c r="H245" s="1"/>
      <c r="I245"/>
      <c r="J245" s="17"/>
      <c r="K245" s="17"/>
      <c r="L245" s="131"/>
      <c r="M245" s="131"/>
      <c r="N245" s="193"/>
      <c r="O245" s="96"/>
      <c r="P245"/>
      <c r="Q245" s="96"/>
      <c r="R245"/>
      <c r="S245"/>
      <c r="T245"/>
    </row>
    <row r="246" spans="1:20" s="66" customFormat="1">
      <c r="A246"/>
      <c r="B246" s="1"/>
      <c r="C246"/>
      <c r="D246" s="96"/>
      <c r="E246"/>
      <c r="F246"/>
      <c r="G246" s="1"/>
      <c r="H246" s="1"/>
      <c r="I246"/>
      <c r="J246" s="17"/>
      <c r="K246" s="17"/>
      <c r="L246" s="17"/>
      <c r="M246" s="17"/>
      <c r="N246" s="193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/>
      <c r="F247"/>
      <c r="G247" s="1"/>
      <c r="H247" s="1"/>
      <c r="I247"/>
      <c r="J247" s="17"/>
      <c r="K247" s="17"/>
      <c r="L247" s="17"/>
      <c r="M247" s="17"/>
      <c r="N247" s="17"/>
      <c r="O247" s="96"/>
      <c r="P247"/>
      <c r="Q247" s="96"/>
      <c r="R247"/>
      <c r="S247"/>
      <c r="T247"/>
    </row>
    <row r="248" spans="1:20" s="66" customFormat="1">
      <c r="A248"/>
      <c r="B248" s="1"/>
      <c r="C248"/>
      <c r="D248" s="96"/>
      <c r="E248"/>
      <c r="F248"/>
      <c r="G248" s="1"/>
      <c r="H248" s="1"/>
      <c r="I248"/>
      <c r="J248" s="17"/>
      <c r="K248" s="17"/>
      <c r="L248" s="17"/>
      <c r="M248" s="17"/>
      <c r="N248" s="17"/>
      <c r="O248" s="96"/>
      <c r="P248"/>
      <c r="Q248" s="96"/>
      <c r="R248"/>
      <c r="S248"/>
      <c r="T248"/>
    </row>
    <row r="249" spans="1:20" s="66" customFormat="1">
      <c r="A249"/>
      <c r="B249" s="1"/>
      <c r="C249"/>
      <c r="D249" s="96"/>
      <c r="E249"/>
      <c r="F249"/>
      <c r="G249" s="1"/>
      <c r="H249" s="1"/>
      <c r="I249"/>
      <c r="J249" s="17"/>
      <c r="K249" s="17"/>
      <c r="L249" s="17"/>
      <c r="M249" s="17"/>
      <c r="N249" s="17"/>
      <c r="O249" s="96"/>
      <c r="P249"/>
      <c r="Q249" s="96"/>
      <c r="R249"/>
      <c r="S249"/>
      <c r="T249"/>
    </row>
    <row r="252" spans="1:20" s="66" customFormat="1">
      <c r="A252"/>
      <c r="B252" s="1"/>
      <c r="C252"/>
      <c r="D252" s="96"/>
      <c r="E252"/>
      <c r="F252"/>
      <c r="G252" s="1"/>
      <c r="H252" s="1"/>
      <c r="I252"/>
      <c r="J252" s="17"/>
      <c r="K252" s="17"/>
      <c r="L252" s="17"/>
      <c r="M252" s="17"/>
      <c r="N252" s="17"/>
      <c r="O252" s="96"/>
      <c r="P252"/>
      <c r="Q252" s="96"/>
      <c r="R252"/>
      <c r="S252"/>
      <c r="T252"/>
    </row>
    <row r="253" spans="1:20" s="66" customFormat="1">
      <c r="A253"/>
      <c r="B253" s="1"/>
      <c r="C253"/>
      <c r="D253" s="96"/>
      <c r="E253"/>
      <c r="F253"/>
      <c r="G253" s="1"/>
      <c r="H253" s="1"/>
      <c r="I253"/>
      <c r="J253" s="17"/>
      <c r="K253" s="17"/>
      <c r="L253" s="17"/>
      <c r="M253" s="17"/>
      <c r="N253" s="17"/>
      <c r="O253" s="96"/>
      <c r="P253"/>
      <c r="Q253" s="96"/>
      <c r="R253"/>
      <c r="S253"/>
      <c r="T253"/>
    </row>
    <row r="254" spans="1:20" s="66" customFormat="1">
      <c r="A254"/>
      <c r="B254" s="1"/>
      <c r="C254"/>
      <c r="D254" s="96"/>
      <c r="E254"/>
      <c r="F254"/>
      <c r="G254" s="1"/>
      <c r="H254" s="1"/>
      <c r="I254"/>
      <c r="J254" s="17"/>
      <c r="K254" s="17"/>
      <c r="L254" s="17"/>
      <c r="M254" s="17"/>
      <c r="N254" s="17"/>
      <c r="O254" s="96"/>
      <c r="P254"/>
      <c r="Q254" s="96"/>
      <c r="R254"/>
      <c r="S254"/>
      <c r="T254"/>
    </row>
    <row r="255" spans="1:20" s="66" customFormat="1">
      <c r="A255"/>
      <c r="B255" s="1"/>
      <c r="C255"/>
      <c r="D255" s="96"/>
      <c r="E255"/>
      <c r="F255"/>
      <c r="G255" s="1"/>
      <c r="H255" s="1"/>
      <c r="I255"/>
      <c r="J255" s="17"/>
      <c r="K255" s="17"/>
      <c r="L255" s="17"/>
      <c r="M255" s="17"/>
      <c r="N255" s="17"/>
      <c r="O255" s="96"/>
      <c r="P255"/>
      <c r="Q255" s="96"/>
      <c r="R255"/>
      <c r="S255"/>
      <c r="T255"/>
    </row>
    <row r="256" spans="1:20" s="66" customFormat="1">
      <c r="A256"/>
      <c r="B256" s="1"/>
      <c r="C256"/>
      <c r="D256" s="96"/>
      <c r="E256"/>
      <c r="F256"/>
      <c r="G256" s="1"/>
      <c r="H256" s="1"/>
      <c r="I256"/>
      <c r="J256" s="17"/>
      <c r="K256" s="17"/>
      <c r="L256" s="17"/>
      <c r="M256" s="17"/>
      <c r="N256" s="17"/>
      <c r="O256" s="96"/>
      <c r="P256"/>
      <c r="Q256" s="96"/>
      <c r="R256"/>
      <c r="S256"/>
      <c r="T256"/>
    </row>
    <row r="257" spans="1:20" s="66" customFormat="1">
      <c r="A257"/>
      <c r="B257" s="1"/>
      <c r="C257"/>
      <c r="D257" s="96"/>
      <c r="E257"/>
      <c r="F257"/>
      <c r="G257" s="1"/>
      <c r="H257" s="1"/>
      <c r="I257"/>
      <c r="J257" s="17"/>
      <c r="K257" s="17"/>
      <c r="L257" s="17"/>
      <c r="M257" s="17"/>
      <c r="N257" s="17"/>
      <c r="O257" s="96"/>
      <c r="P257"/>
      <c r="Q257" s="96"/>
      <c r="R257"/>
      <c r="S257"/>
      <c r="T257"/>
    </row>
  </sheetData>
  <autoFilter ref="A4:V233" xr:uid="{C5BFF85A-5EC1-4C06-9EFB-D1FC1A805719}"/>
  <dataConsolidate/>
  <mergeCells count="15">
    <mergeCell ref="Q3:Q4"/>
    <mergeCell ref="R3:R4"/>
    <mergeCell ref="B212:I212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20EB-B741-41DC-B9DF-523CEC6626DE}">
  <sheetPr codeName="Sheet6">
    <pageSetUpPr fitToPage="1"/>
  </sheetPr>
  <dimension ref="A1:V258"/>
  <sheetViews>
    <sheetView zoomScaleNormal="100" workbookViewId="0">
      <pane ySplit="4" topLeftCell="A188" activePane="bottomLeft" state="frozen"/>
      <selection activeCell="F228" sqref="F228"/>
      <selection pane="bottomLeft" activeCell="F26" sqref="F26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8" ht="26.25">
      <c r="B1" s="136" t="str">
        <f>"["&amp;YEAR(D5)&amp;"년 "&amp;MONTH(D5)&amp;"월 매입]"</f>
        <v>[2025년 5월 매입]</v>
      </c>
      <c r="C1" s="136"/>
      <c r="E1" s="202"/>
      <c r="O1" s="95"/>
    </row>
    <row r="2" spans="1:18" ht="17.25" thickBot="1">
      <c r="B2" s="137"/>
      <c r="C2" s="138"/>
      <c r="M2" s="17" t="s">
        <v>109</v>
      </c>
      <c r="O2" s="243" t="s">
        <v>1843</v>
      </c>
      <c r="Q2" s="243" t="s">
        <v>2277</v>
      </c>
    </row>
    <row r="3" spans="1:18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8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186" t="s">
        <v>18</v>
      </c>
      <c r="O4" s="274"/>
      <c r="P4" s="276"/>
      <c r="Q4" s="259"/>
      <c r="R4" s="261"/>
    </row>
    <row r="5" spans="1:18" ht="16.5" customHeight="1">
      <c r="A5" t="s">
        <v>64</v>
      </c>
      <c r="B5" s="10" t="s">
        <v>144</v>
      </c>
      <c r="C5" s="12"/>
      <c r="D5" s="13">
        <v>45778</v>
      </c>
      <c r="E5" s="155" t="s">
        <v>167</v>
      </c>
      <c r="F5" s="155"/>
      <c r="G5" s="156" t="s">
        <v>30</v>
      </c>
      <c r="H5" s="156" t="s">
        <v>145</v>
      </c>
      <c r="I5" s="69" t="s">
        <v>1902</v>
      </c>
      <c r="J5" s="122">
        <v>1</v>
      </c>
      <c r="K5" s="15">
        <v>71000</v>
      </c>
      <c r="L5" s="15">
        <f t="shared" ref="L5:L39" si="0">J5*K5</f>
        <v>71000</v>
      </c>
      <c r="M5" s="15">
        <f>L5*10%</f>
        <v>7100</v>
      </c>
      <c r="N5" s="15">
        <f t="shared" ref="N5:N51" si="1">SUM(L5:M5)</f>
        <v>78100</v>
      </c>
      <c r="O5" s="5" t="s">
        <v>1987</v>
      </c>
      <c r="P5" s="9" t="s">
        <v>2644</v>
      </c>
      <c r="Q5" s="5" t="s">
        <v>144</v>
      </c>
      <c r="R5" s="209"/>
    </row>
    <row r="6" spans="1:18" ht="16.5" customHeight="1">
      <c r="A6" t="s">
        <v>64</v>
      </c>
      <c r="B6" s="10" t="s">
        <v>372</v>
      </c>
      <c r="C6" s="139"/>
      <c r="D6" s="13">
        <v>45778</v>
      </c>
      <c r="E6" s="155" t="s">
        <v>2633</v>
      </c>
      <c r="F6" s="155" t="s">
        <v>97</v>
      </c>
      <c r="G6" s="156" t="s">
        <v>7</v>
      </c>
      <c r="H6" s="156" t="s">
        <v>143</v>
      </c>
      <c r="I6" s="69" t="s">
        <v>1914</v>
      </c>
      <c r="J6" s="122">
        <v>1</v>
      </c>
      <c r="K6" s="15">
        <v>436400</v>
      </c>
      <c r="L6" s="16">
        <f t="shared" si="0"/>
        <v>436400</v>
      </c>
      <c r="M6" s="15">
        <f>L6*10%</f>
        <v>43640</v>
      </c>
      <c r="N6" s="15">
        <f t="shared" si="1"/>
        <v>480040</v>
      </c>
      <c r="O6" s="5" t="s">
        <v>2228</v>
      </c>
      <c r="P6" s="174" t="s">
        <v>2636</v>
      </c>
      <c r="Q6" s="5">
        <v>45778</v>
      </c>
      <c r="R6" s="209"/>
    </row>
    <row r="7" spans="1:18" ht="16.5" customHeight="1">
      <c r="A7" t="s">
        <v>64</v>
      </c>
      <c r="B7" s="10" t="s">
        <v>373</v>
      </c>
      <c r="C7" s="12"/>
      <c r="D7" s="13">
        <v>45778</v>
      </c>
      <c r="E7" s="155" t="s">
        <v>2633</v>
      </c>
      <c r="F7" s="155" t="s">
        <v>374</v>
      </c>
      <c r="G7" s="156" t="s">
        <v>98</v>
      </c>
      <c r="H7" s="156" t="s">
        <v>143</v>
      </c>
      <c r="I7" s="69" t="s">
        <v>1951</v>
      </c>
      <c r="J7" s="122">
        <v>1</v>
      </c>
      <c r="K7" s="15">
        <v>277600</v>
      </c>
      <c r="L7" s="16">
        <f t="shared" si="0"/>
        <v>277600</v>
      </c>
      <c r="M7" s="16">
        <f>L7*10%</f>
        <v>27760</v>
      </c>
      <c r="N7" s="15">
        <f t="shared" si="1"/>
        <v>305360</v>
      </c>
      <c r="O7" s="5" t="s">
        <v>2228</v>
      </c>
      <c r="P7" s="174" t="s">
        <v>2636</v>
      </c>
      <c r="Q7" s="5">
        <v>45802</v>
      </c>
      <c r="R7" s="209"/>
    </row>
    <row r="8" spans="1:18" ht="16.5" customHeight="1">
      <c r="A8" t="s">
        <v>64</v>
      </c>
      <c r="B8" s="10" t="s">
        <v>1389</v>
      </c>
      <c r="C8" s="12"/>
      <c r="D8" s="13">
        <v>45778</v>
      </c>
      <c r="E8" s="155" t="s">
        <v>1383</v>
      </c>
      <c r="F8" s="155" t="s">
        <v>1390</v>
      </c>
      <c r="G8" s="156" t="s">
        <v>41</v>
      </c>
      <c r="H8" s="156" t="s">
        <v>1392</v>
      </c>
      <c r="I8" s="69" t="s">
        <v>1393</v>
      </c>
      <c r="J8" s="122">
        <v>1</v>
      </c>
      <c r="K8" s="15">
        <v>1000000</v>
      </c>
      <c r="L8" s="16">
        <f>J8*K8</f>
        <v>1000000</v>
      </c>
      <c r="M8" s="16">
        <f>L8*10%</f>
        <v>100000</v>
      </c>
      <c r="N8" s="15">
        <f>SUM(L8:M8)</f>
        <v>1100000</v>
      </c>
      <c r="O8" s="5" t="s">
        <v>2583</v>
      </c>
      <c r="P8" s="9" t="s">
        <v>2635</v>
      </c>
      <c r="Q8" s="5">
        <v>45776</v>
      </c>
      <c r="R8" s="209"/>
    </row>
    <row r="9" spans="1:18" ht="16.5" customHeight="1">
      <c r="A9" t="s">
        <v>64</v>
      </c>
      <c r="B9" s="10" t="s">
        <v>346</v>
      </c>
      <c r="C9" s="12"/>
      <c r="D9" s="13">
        <v>45779</v>
      </c>
      <c r="E9" s="155" t="s">
        <v>2633</v>
      </c>
      <c r="F9" s="155" t="s">
        <v>2632</v>
      </c>
      <c r="G9" s="156" t="s">
        <v>98</v>
      </c>
      <c r="H9" s="156" t="s">
        <v>143</v>
      </c>
      <c r="I9" s="69" t="s">
        <v>1901</v>
      </c>
      <c r="J9" s="122">
        <v>1</v>
      </c>
      <c r="K9" s="15">
        <v>66498</v>
      </c>
      <c r="L9" s="16">
        <f t="shared" si="0"/>
        <v>66498</v>
      </c>
      <c r="M9" s="15">
        <v>6649</v>
      </c>
      <c r="N9" s="15">
        <f t="shared" si="1"/>
        <v>73147</v>
      </c>
      <c r="O9" s="5" t="s">
        <v>2417</v>
      </c>
      <c r="P9" s="174" t="s">
        <v>2636</v>
      </c>
      <c r="Q9" s="5">
        <v>45807</v>
      </c>
      <c r="R9" s="209"/>
    </row>
    <row r="10" spans="1:18" ht="16.5" customHeight="1">
      <c r="A10" t="s">
        <v>64</v>
      </c>
      <c r="B10" s="10" t="s">
        <v>396</v>
      </c>
      <c r="C10" s="12"/>
      <c r="D10" s="13">
        <v>45779</v>
      </c>
      <c r="E10" s="155" t="s">
        <v>2633</v>
      </c>
      <c r="F10" s="155" t="s">
        <v>352</v>
      </c>
      <c r="G10" s="157" t="s">
        <v>98</v>
      </c>
      <c r="H10" s="156" t="s">
        <v>143</v>
      </c>
      <c r="I10" s="69" t="s">
        <v>1903</v>
      </c>
      <c r="J10" s="122">
        <v>1</v>
      </c>
      <c r="K10" s="15">
        <v>80160</v>
      </c>
      <c r="L10" s="16">
        <f t="shared" si="0"/>
        <v>80160</v>
      </c>
      <c r="M10" s="16">
        <v>8016</v>
      </c>
      <c r="N10" s="15">
        <f t="shared" si="1"/>
        <v>88176</v>
      </c>
      <c r="O10" s="5" t="s">
        <v>2417</v>
      </c>
      <c r="P10" s="174" t="s">
        <v>2636</v>
      </c>
      <c r="Q10" s="5">
        <v>45807</v>
      </c>
      <c r="R10" s="209"/>
    </row>
    <row r="11" spans="1:18" ht="16.5" customHeight="1">
      <c r="A11" t="s">
        <v>64</v>
      </c>
      <c r="B11" s="143" t="s">
        <v>174</v>
      </c>
      <c r="C11" s="144"/>
      <c r="D11" s="13">
        <v>45779</v>
      </c>
      <c r="E11" s="155" t="s">
        <v>2633</v>
      </c>
      <c r="F11" s="155" t="s">
        <v>175</v>
      </c>
      <c r="G11" s="157" t="s">
        <v>98</v>
      </c>
      <c r="H11" s="156" t="s">
        <v>143</v>
      </c>
      <c r="I11" s="69" t="s">
        <v>1904</v>
      </c>
      <c r="J11" s="122">
        <v>1</v>
      </c>
      <c r="K11" s="15">
        <v>198018</v>
      </c>
      <c r="L11" s="16">
        <f t="shared" si="0"/>
        <v>198018</v>
      </c>
      <c r="M11" s="15">
        <v>19801</v>
      </c>
      <c r="N11" s="15">
        <f t="shared" si="1"/>
        <v>217819</v>
      </c>
      <c r="O11" s="5" t="s">
        <v>2417</v>
      </c>
      <c r="P11" s="174" t="s">
        <v>2636</v>
      </c>
      <c r="Q11" s="5">
        <v>45778</v>
      </c>
      <c r="R11" s="209"/>
    </row>
    <row r="12" spans="1:18" ht="16.5" customHeight="1">
      <c r="A12" t="s">
        <v>64</v>
      </c>
      <c r="B12" s="10" t="s">
        <v>414</v>
      </c>
      <c r="C12" s="12"/>
      <c r="D12" s="13">
        <v>45779</v>
      </c>
      <c r="E12" s="155" t="s">
        <v>2633</v>
      </c>
      <c r="F12" s="155" t="s">
        <v>308</v>
      </c>
      <c r="G12" s="156" t="s">
        <v>98</v>
      </c>
      <c r="H12" s="156" t="s">
        <v>143</v>
      </c>
      <c r="I12" s="69" t="s">
        <v>1905</v>
      </c>
      <c r="J12" s="122">
        <v>1</v>
      </c>
      <c r="K12" s="16">
        <v>84811</v>
      </c>
      <c r="L12" s="16">
        <f t="shared" si="0"/>
        <v>84811</v>
      </c>
      <c r="M12" s="15">
        <v>8481</v>
      </c>
      <c r="N12" s="15">
        <f t="shared" si="1"/>
        <v>93292</v>
      </c>
      <c r="O12" s="5" t="s">
        <v>2417</v>
      </c>
      <c r="P12" s="174" t="s">
        <v>2636</v>
      </c>
      <c r="Q12" s="5">
        <v>45802</v>
      </c>
      <c r="R12" s="209"/>
    </row>
    <row r="13" spans="1:18" ht="16.5" customHeight="1">
      <c r="A13" t="s">
        <v>64</v>
      </c>
      <c r="B13" s="10" t="s">
        <v>490</v>
      </c>
      <c r="C13" s="12"/>
      <c r="D13" s="13">
        <v>45779</v>
      </c>
      <c r="E13" s="155" t="s">
        <v>2633</v>
      </c>
      <c r="F13" s="155" t="s">
        <v>2632</v>
      </c>
      <c r="G13" s="156" t="s">
        <v>7</v>
      </c>
      <c r="H13" s="156" t="s">
        <v>143</v>
      </c>
      <c r="I13" s="69" t="s">
        <v>1906</v>
      </c>
      <c r="J13" s="122">
        <v>1</v>
      </c>
      <c r="K13" s="16">
        <v>133875</v>
      </c>
      <c r="L13" s="16">
        <f t="shared" si="0"/>
        <v>133875</v>
      </c>
      <c r="M13" s="16">
        <v>13387</v>
      </c>
      <c r="N13" s="15">
        <f t="shared" si="1"/>
        <v>147262</v>
      </c>
      <c r="O13" s="5" t="s">
        <v>2417</v>
      </c>
      <c r="P13" s="9" t="s">
        <v>2636</v>
      </c>
      <c r="Q13" s="5">
        <v>45807</v>
      </c>
      <c r="R13" s="209"/>
    </row>
    <row r="14" spans="1:18">
      <c r="A14" t="s">
        <v>64</v>
      </c>
      <c r="B14" s="226" t="s">
        <v>1255</v>
      </c>
      <c r="C14" s="12"/>
      <c r="D14" s="13">
        <v>45779</v>
      </c>
      <c r="E14" s="155" t="s">
        <v>2633</v>
      </c>
      <c r="F14" s="155" t="s">
        <v>32</v>
      </c>
      <c r="G14" s="156" t="s">
        <v>98</v>
      </c>
      <c r="H14" s="156" t="s">
        <v>143</v>
      </c>
      <c r="I14" s="69" t="s">
        <v>1907</v>
      </c>
      <c r="J14" s="122">
        <v>1</v>
      </c>
      <c r="K14" s="16">
        <v>11623397</v>
      </c>
      <c r="L14" s="16">
        <f t="shared" si="0"/>
        <v>11623397</v>
      </c>
      <c r="M14" s="16">
        <v>1162339</v>
      </c>
      <c r="N14" s="15">
        <f t="shared" si="1"/>
        <v>12785736</v>
      </c>
      <c r="O14" s="5" t="s">
        <v>2417</v>
      </c>
      <c r="P14" s="174" t="s">
        <v>2636</v>
      </c>
      <c r="Q14" s="5">
        <v>45802</v>
      </c>
      <c r="R14" s="209"/>
    </row>
    <row r="15" spans="1:18" ht="16.5" customHeight="1">
      <c r="A15" t="s">
        <v>64</v>
      </c>
      <c r="B15" s="10" t="s">
        <v>1615</v>
      </c>
      <c r="C15" s="12"/>
      <c r="D15" s="13">
        <v>45779</v>
      </c>
      <c r="E15" s="155" t="s">
        <v>2633</v>
      </c>
      <c r="F15" s="155" t="s">
        <v>241</v>
      </c>
      <c r="G15" s="156" t="s">
        <v>98</v>
      </c>
      <c r="H15" s="156" t="s">
        <v>143</v>
      </c>
      <c r="I15" s="69" t="s">
        <v>1908</v>
      </c>
      <c r="J15" s="122">
        <v>1</v>
      </c>
      <c r="K15" s="15">
        <v>1352754</v>
      </c>
      <c r="L15" s="16">
        <f t="shared" si="0"/>
        <v>1352754</v>
      </c>
      <c r="M15" s="15">
        <v>135275</v>
      </c>
      <c r="N15" s="15">
        <f t="shared" si="1"/>
        <v>1488029</v>
      </c>
      <c r="O15" s="5" t="s">
        <v>2417</v>
      </c>
      <c r="P15" s="174" t="s">
        <v>2636</v>
      </c>
      <c r="Q15" s="5">
        <v>45807</v>
      </c>
      <c r="R15" s="209"/>
    </row>
    <row r="16" spans="1:18" ht="16.5" customHeight="1">
      <c r="A16" t="s">
        <v>64</v>
      </c>
      <c r="B16" s="10" t="s">
        <v>152</v>
      </c>
      <c r="C16" s="12"/>
      <c r="D16" s="13">
        <v>45779</v>
      </c>
      <c r="E16" s="155" t="s">
        <v>2633</v>
      </c>
      <c r="F16" s="155" t="s">
        <v>153</v>
      </c>
      <c r="G16" s="156" t="s">
        <v>7</v>
      </c>
      <c r="H16" s="9" t="s">
        <v>143</v>
      </c>
      <c r="I16" s="69" t="s">
        <v>1909</v>
      </c>
      <c r="J16" s="122">
        <v>1</v>
      </c>
      <c r="K16" s="15">
        <v>564192</v>
      </c>
      <c r="L16" s="16">
        <f t="shared" si="0"/>
        <v>564192</v>
      </c>
      <c r="M16" s="15">
        <v>56419</v>
      </c>
      <c r="N16" s="15">
        <f t="shared" si="1"/>
        <v>620611</v>
      </c>
      <c r="O16" s="5" t="s">
        <v>2417</v>
      </c>
      <c r="P16" s="9" t="s">
        <v>2636</v>
      </c>
      <c r="Q16" s="5">
        <v>45778</v>
      </c>
      <c r="R16" s="209"/>
    </row>
    <row r="17" spans="1:20" ht="16.5" customHeight="1">
      <c r="A17" t="s">
        <v>64</v>
      </c>
      <c r="B17" s="10" t="s">
        <v>353</v>
      </c>
      <c r="C17" s="12"/>
      <c r="D17" s="13">
        <v>45779</v>
      </c>
      <c r="E17" s="155" t="s">
        <v>2633</v>
      </c>
      <c r="F17" s="155" t="s">
        <v>171</v>
      </c>
      <c r="G17" s="156" t="s">
        <v>7</v>
      </c>
      <c r="H17" s="156" t="s">
        <v>366</v>
      </c>
      <c r="I17" s="69" t="s">
        <v>1910</v>
      </c>
      <c r="J17" s="122">
        <v>1</v>
      </c>
      <c r="K17" s="15">
        <v>2884612</v>
      </c>
      <c r="L17" s="16">
        <f t="shared" si="0"/>
        <v>2884612</v>
      </c>
      <c r="M17" s="15">
        <v>288461</v>
      </c>
      <c r="N17" s="15">
        <f t="shared" si="1"/>
        <v>3173073</v>
      </c>
      <c r="O17" s="5" t="s">
        <v>2417</v>
      </c>
      <c r="P17" s="9" t="s">
        <v>2635</v>
      </c>
      <c r="Q17" s="5">
        <v>45807</v>
      </c>
      <c r="R17" s="209"/>
    </row>
    <row r="18" spans="1:20" ht="16.5" customHeight="1">
      <c r="A18" t="s">
        <v>64</v>
      </c>
      <c r="B18" s="10" t="s">
        <v>394</v>
      </c>
      <c r="C18" s="12"/>
      <c r="D18" s="13">
        <v>45779</v>
      </c>
      <c r="E18" s="155" t="s">
        <v>2633</v>
      </c>
      <c r="F18" s="155" t="s">
        <v>391</v>
      </c>
      <c r="G18" s="156" t="s">
        <v>7</v>
      </c>
      <c r="H18" s="156" t="s">
        <v>143</v>
      </c>
      <c r="I18" s="69" t="s">
        <v>1911</v>
      </c>
      <c r="J18" s="122">
        <v>1</v>
      </c>
      <c r="K18" s="15">
        <v>205780</v>
      </c>
      <c r="L18" s="16">
        <f t="shared" si="0"/>
        <v>205780</v>
      </c>
      <c r="M18" s="16">
        <v>20578</v>
      </c>
      <c r="N18" s="15">
        <f t="shared" si="1"/>
        <v>226358</v>
      </c>
      <c r="O18" s="5" t="s">
        <v>2417</v>
      </c>
      <c r="P18" s="174" t="s">
        <v>2636</v>
      </c>
      <c r="Q18" s="5">
        <v>45491</v>
      </c>
      <c r="R18" s="209" t="s">
        <v>100</v>
      </c>
    </row>
    <row r="19" spans="1:20" ht="16.5" customHeight="1">
      <c r="A19" t="s">
        <v>64</v>
      </c>
      <c r="B19" s="10" t="s">
        <v>1229</v>
      </c>
      <c r="C19" s="12"/>
      <c r="D19" s="13">
        <v>45779</v>
      </c>
      <c r="E19" s="155" t="s">
        <v>2633</v>
      </c>
      <c r="F19" s="155" t="s">
        <v>32</v>
      </c>
      <c r="G19" s="156" t="s">
        <v>7</v>
      </c>
      <c r="H19" s="156" t="s">
        <v>143</v>
      </c>
      <c r="I19" s="69" t="s">
        <v>1912</v>
      </c>
      <c r="J19" s="122">
        <v>1</v>
      </c>
      <c r="K19" s="15">
        <v>1210534</v>
      </c>
      <c r="L19" s="16">
        <f t="shared" si="0"/>
        <v>1210534</v>
      </c>
      <c r="M19" s="16">
        <v>121053</v>
      </c>
      <c r="N19" s="15">
        <f t="shared" si="1"/>
        <v>1331587</v>
      </c>
      <c r="O19" s="5" t="s">
        <v>2417</v>
      </c>
      <c r="P19" s="174" t="s">
        <v>2636</v>
      </c>
      <c r="Q19" s="5">
        <v>45807</v>
      </c>
      <c r="R19" s="209"/>
    </row>
    <row r="20" spans="1:20" ht="16.5" customHeight="1">
      <c r="A20" t="s">
        <v>64</v>
      </c>
      <c r="B20" s="140" t="s">
        <v>182</v>
      </c>
      <c r="C20" s="12"/>
      <c r="D20" s="13">
        <v>45779</v>
      </c>
      <c r="E20" s="155" t="s">
        <v>2633</v>
      </c>
      <c r="F20" s="155" t="s">
        <v>322</v>
      </c>
      <c r="G20" s="156" t="s">
        <v>7</v>
      </c>
      <c r="H20" s="156" t="s">
        <v>143</v>
      </c>
      <c r="I20" s="69" t="s">
        <v>1913</v>
      </c>
      <c r="J20" s="122">
        <v>1</v>
      </c>
      <c r="K20" s="15">
        <v>259896</v>
      </c>
      <c r="L20" s="16">
        <f t="shared" si="0"/>
        <v>259896</v>
      </c>
      <c r="M20" s="16">
        <v>25989</v>
      </c>
      <c r="N20" s="15">
        <f t="shared" si="1"/>
        <v>285885</v>
      </c>
      <c r="O20" s="5" t="s">
        <v>2417</v>
      </c>
      <c r="P20" s="9" t="s">
        <v>2636</v>
      </c>
      <c r="Q20" s="5">
        <v>45778</v>
      </c>
      <c r="R20" s="213"/>
    </row>
    <row r="21" spans="1:20" ht="16.5" customHeight="1">
      <c r="A21" t="s">
        <v>64</v>
      </c>
      <c r="B21" s="10" t="s">
        <v>878</v>
      </c>
      <c r="C21" s="12"/>
      <c r="D21" s="13">
        <v>45779</v>
      </c>
      <c r="E21" s="155" t="s">
        <v>2633</v>
      </c>
      <c r="F21" s="155" t="s">
        <v>148</v>
      </c>
      <c r="G21" s="156" t="s">
        <v>98</v>
      </c>
      <c r="H21" s="156" t="s">
        <v>143</v>
      </c>
      <c r="I21" s="69" t="s">
        <v>1915</v>
      </c>
      <c r="J21" s="122">
        <v>1</v>
      </c>
      <c r="K21" s="15">
        <v>2812500</v>
      </c>
      <c r="L21" s="16">
        <f t="shared" si="0"/>
        <v>2812500</v>
      </c>
      <c r="M21" s="16">
        <v>281250</v>
      </c>
      <c r="N21" s="15">
        <f t="shared" si="1"/>
        <v>3093750</v>
      </c>
      <c r="O21" s="5" t="s">
        <v>2417</v>
      </c>
      <c r="P21" s="9" t="s">
        <v>2634</v>
      </c>
      <c r="Q21" s="5">
        <v>45666</v>
      </c>
      <c r="R21" s="209" t="s">
        <v>100</v>
      </c>
    </row>
    <row r="22" spans="1:20" ht="16.5" customHeight="1">
      <c r="A22" t="s">
        <v>64</v>
      </c>
      <c r="B22" s="140" t="s">
        <v>182</v>
      </c>
      <c r="C22" s="12"/>
      <c r="D22" s="13">
        <v>45779</v>
      </c>
      <c r="E22" s="155" t="s">
        <v>2633</v>
      </c>
      <c r="F22" s="155" t="s">
        <v>322</v>
      </c>
      <c r="G22" s="157" t="s">
        <v>98</v>
      </c>
      <c r="H22" s="156" t="s">
        <v>143</v>
      </c>
      <c r="I22" s="69" t="s">
        <v>1916</v>
      </c>
      <c r="J22" s="122">
        <v>1</v>
      </c>
      <c r="K22" s="15">
        <v>1123962</v>
      </c>
      <c r="L22" s="16">
        <f t="shared" si="0"/>
        <v>1123962</v>
      </c>
      <c r="M22" s="15">
        <v>112396</v>
      </c>
      <c r="N22" s="15">
        <f t="shared" si="1"/>
        <v>1236358</v>
      </c>
      <c r="O22" s="5" t="s">
        <v>2417</v>
      </c>
      <c r="P22" s="9" t="s">
        <v>2636</v>
      </c>
      <c r="Q22" s="5">
        <v>45778</v>
      </c>
      <c r="R22" s="209"/>
    </row>
    <row r="23" spans="1:20" ht="16.5" customHeight="1">
      <c r="A23" t="s">
        <v>64</v>
      </c>
      <c r="B23" s="10" t="s">
        <v>555</v>
      </c>
      <c r="C23" s="12"/>
      <c r="D23" s="13">
        <v>45779</v>
      </c>
      <c r="E23" s="155" t="s">
        <v>2633</v>
      </c>
      <c r="F23" s="155" t="s">
        <v>553</v>
      </c>
      <c r="G23" s="156" t="s">
        <v>7</v>
      </c>
      <c r="H23" s="156" t="s">
        <v>143</v>
      </c>
      <c r="I23" s="69" t="s">
        <v>2457</v>
      </c>
      <c r="J23" s="122">
        <v>1</v>
      </c>
      <c r="K23" s="15">
        <v>990000</v>
      </c>
      <c r="L23" s="16">
        <f t="shared" si="0"/>
        <v>990000</v>
      </c>
      <c r="M23" s="16">
        <f>L23*10%</f>
        <v>99000</v>
      </c>
      <c r="N23" s="15">
        <f t="shared" si="1"/>
        <v>1089000</v>
      </c>
      <c r="O23" s="5" t="s">
        <v>2417</v>
      </c>
      <c r="P23" s="174" t="s">
        <v>2636</v>
      </c>
      <c r="Q23" s="5">
        <v>45778</v>
      </c>
      <c r="R23" s="213"/>
    </row>
    <row r="24" spans="1:20" ht="16.5" customHeight="1">
      <c r="A24" t="s">
        <v>64</v>
      </c>
      <c r="B24" s="10" t="s">
        <v>1230</v>
      </c>
      <c r="C24" s="12"/>
      <c r="D24" s="13">
        <v>45779</v>
      </c>
      <c r="E24" s="155" t="s">
        <v>2633</v>
      </c>
      <c r="F24" s="155" t="s">
        <v>63</v>
      </c>
      <c r="G24" s="156" t="s">
        <v>7</v>
      </c>
      <c r="H24" s="156" t="s">
        <v>143</v>
      </c>
      <c r="I24" s="69" t="s">
        <v>1939</v>
      </c>
      <c r="J24" s="122">
        <v>1</v>
      </c>
      <c r="K24" s="15">
        <v>93445</v>
      </c>
      <c r="L24" s="16">
        <f t="shared" si="0"/>
        <v>93445</v>
      </c>
      <c r="M24" s="15">
        <v>9344</v>
      </c>
      <c r="N24" s="15">
        <f t="shared" si="1"/>
        <v>102789</v>
      </c>
      <c r="O24" s="5" t="s">
        <v>2417</v>
      </c>
      <c r="P24" s="174" t="s">
        <v>2636</v>
      </c>
      <c r="Q24" s="5">
        <v>45747</v>
      </c>
      <c r="R24" s="209" t="s">
        <v>1940</v>
      </c>
    </row>
    <row r="25" spans="1:20" ht="16.5" customHeight="1">
      <c r="A25" t="s">
        <v>64</v>
      </c>
      <c r="B25" s="10" t="s">
        <v>1610</v>
      </c>
      <c r="C25" s="12"/>
      <c r="D25" s="13">
        <v>45779</v>
      </c>
      <c r="E25" s="155" t="s">
        <v>2633</v>
      </c>
      <c r="F25" s="155" t="s">
        <v>2632</v>
      </c>
      <c r="G25" s="156" t="s">
        <v>7</v>
      </c>
      <c r="H25" s="156" t="s">
        <v>143</v>
      </c>
      <c r="I25" s="69" t="s">
        <v>1952</v>
      </c>
      <c r="J25" s="122">
        <v>1</v>
      </c>
      <c r="K25" s="15">
        <v>79496</v>
      </c>
      <c r="L25" s="16">
        <f t="shared" si="0"/>
        <v>79496</v>
      </c>
      <c r="M25" s="15">
        <v>7949</v>
      </c>
      <c r="N25" s="15">
        <f t="shared" si="1"/>
        <v>87445</v>
      </c>
      <c r="O25" s="5" t="s">
        <v>2417</v>
      </c>
      <c r="P25" s="9" t="s">
        <v>2636</v>
      </c>
      <c r="Q25" s="5">
        <v>45802</v>
      </c>
      <c r="R25" s="209"/>
    </row>
    <row r="26" spans="1:20" ht="16.5" customHeight="1">
      <c r="A26" t="s">
        <v>64</v>
      </c>
      <c r="B26" s="141" t="s">
        <v>169</v>
      </c>
      <c r="C26" s="142"/>
      <c r="D26" s="13">
        <v>45779</v>
      </c>
      <c r="E26" s="155" t="s">
        <v>2633</v>
      </c>
      <c r="F26" s="155" t="s">
        <v>114</v>
      </c>
      <c r="G26" s="156" t="s">
        <v>7</v>
      </c>
      <c r="H26" s="156" t="s">
        <v>143</v>
      </c>
      <c r="I26" s="69" t="s">
        <v>1953</v>
      </c>
      <c r="J26" s="122">
        <v>1</v>
      </c>
      <c r="K26" s="15">
        <v>159761</v>
      </c>
      <c r="L26" s="15">
        <f t="shared" si="0"/>
        <v>159761</v>
      </c>
      <c r="M26" s="15">
        <v>15976</v>
      </c>
      <c r="N26" s="15">
        <f t="shared" si="1"/>
        <v>175737</v>
      </c>
      <c r="O26" s="5" t="s">
        <v>2417</v>
      </c>
      <c r="P26" s="9" t="s">
        <v>2636</v>
      </c>
      <c r="Q26" s="5">
        <v>45807</v>
      </c>
      <c r="R26" s="209"/>
      <c r="S26" s="7"/>
      <c r="T26" s="7"/>
    </row>
    <row r="27" spans="1:20" ht="16.5" customHeight="1">
      <c r="A27" t="s">
        <v>64</v>
      </c>
      <c r="B27" s="10" t="s">
        <v>298</v>
      </c>
      <c r="C27" s="12"/>
      <c r="D27" s="13">
        <v>45779</v>
      </c>
      <c r="E27" s="155" t="s">
        <v>2633</v>
      </c>
      <c r="F27" s="155" t="s">
        <v>114</v>
      </c>
      <c r="G27" s="156" t="s">
        <v>98</v>
      </c>
      <c r="H27" s="156" t="s">
        <v>143</v>
      </c>
      <c r="I27" s="69" t="s">
        <v>1954</v>
      </c>
      <c r="J27" s="122">
        <v>1</v>
      </c>
      <c r="K27" s="15">
        <v>70422</v>
      </c>
      <c r="L27" s="16">
        <f t="shared" si="0"/>
        <v>70422</v>
      </c>
      <c r="M27" s="15">
        <v>7042</v>
      </c>
      <c r="N27" s="15">
        <f t="shared" si="1"/>
        <v>77464</v>
      </c>
      <c r="O27" s="5" t="s">
        <v>2417</v>
      </c>
      <c r="P27" s="174" t="s">
        <v>2636</v>
      </c>
      <c r="Q27" s="5">
        <v>45716</v>
      </c>
      <c r="R27" s="209" t="s">
        <v>100</v>
      </c>
    </row>
    <row r="28" spans="1:20" ht="16.5" customHeight="1">
      <c r="A28" t="s">
        <v>64</v>
      </c>
      <c r="B28" s="10" t="s">
        <v>413</v>
      </c>
      <c r="C28" s="12"/>
      <c r="D28" s="13">
        <v>45779</v>
      </c>
      <c r="E28" s="155" t="s">
        <v>2633</v>
      </c>
      <c r="F28" s="155" t="s">
        <v>101</v>
      </c>
      <c r="G28" s="156" t="s">
        <v>98</v>
      </c>
      <c r="H28" s="156" t="s">
        <v>143</v>
      </c>
      <c r="I28" s="69" t="s">
        <v>1955</v>
      </c>
      <c r="J28" s="122">
        <v>1</v>
      </c>
      <c r="K28" s="15">
        <v>95200</v>
      </c>
      <c r="L28" s="16">
        <f t="shared" si="0"/>
        <v>95200</v>
      </c>
      <c r="M28" s="16">
        <f>L28*10%</f>
        <v>9520</v>
      </c>
      <c r="N28" s="15">
        <f t="shared" si="1"/>
        <v>104720</v>
      </c>
      <c r="O28" s="5" t="s">
        <v>2417</v>
      </c>
      <c r="P28" s="9" t="s">
        <v>2636</v>
      </c>
      <c r="Q28" s="5">
        <v>45807</v>
      </c>
      <c r="R28" s="209" t="s">
        <v>147</v>
      </c>
    </row>
    <row r="29" spans="1:20" ht="16.5" customHeight="1">
      <c r="A29" t="s">
        <v>64</v>
      </c>
      <c r="B29" s="10" t="s">
        <v>369</v>
      </c>
      <c r="C29" s="12"/>
      <c r="D29" s="13">
        <v>45779</v>
      </c>
      <c r="E29" s="155" t="s">
        <v>2633</v>
      </c>
      <c r="F29" s="155" t="s">
        <v>365</v>
      </c>
      <c r="G29" s="156" t="s">
        <v>7</v>
      </c>
      <c r="H29" s="156" t="s">
        <v>143</v>
      </c>
      <c r="I29" s="69" t="s">
        <v>1956</v>
      </c>
      <c r="J29" s="122">
        <v>1</v>
      </c>
      <c r="K29" s="15">
        <v>316682</v>
      </c>
      <c r="L29" s="16">
        <f t="shared" si="0"/>
        <v>316682</v>
      </c>
      <c r="M29" s="15">
        <v>31668</v>
      </c>
      <c r="N29" s="15">
        <f t="shared" si="1"/>
        <v>348350</v>
      </c>
      <c r="O29" s="5" t="s">
        <v>2417</v>
      </c>
      <c r="P29" s="9" t="s">
        <v>2636</v>
      </c>
      <c r="Q29" s="5">
        <v>45778</v>
      </c>
      <c r="R29" s="209"/>
    </row>
    <row r="30" spans="1:20" ht="16.5" customHeight="1">
      <c r="A30" t="s">
        <v>64</v>
      </c>
      <c r="B30" s="140" t="s">
        <v>367</v>
      </c>
      <c r="C30" s="12"/>
      <c r="D30" s="13">
        <v>45779</v>
      </c>
      <c r="E30" s="155" t="s">
        <v>2633</v>
      </c>
      <c r="F30" s="155" t="s">
        <v>368</v>
      </c>
      <c r="G30" s="156" t="s">
        <v>7</v>
      </c>
      <c r="H30" s="156" t="s">
        <v>143</v>
      </c>
      <c r="I30" s="69" t="s">
        <v>1957</v>
      </c>
      <c r="J30" s="122">
        <v>1</v>
      </c>
      <c r="K30" s="15">
        <v>190849</v>
      </c>
      <c r="L30" s="16">
        <f t="shared" si="0"/>
        <v>190849</v>
      </c>
      <c r="M30" s="15">
        <v>19084</v>
      </c>
      <c r="N30" s="15">
        <f t="shared" si="1"/>
        <v>209933</v>
      </c>
      <c r="O30" s="5" t="s">
        <v>2417</v>
      </c>
      <c r="P30" s="177" t="s">
        <v>2636</v>
      </c>
      <c r="Q30" s="5">
        <v>45807</v>
      </c>
      <c r="R30" s="209"/>
    </row>
    <row r="31" spans="1:20" ht="16.5" customHeight="1">
      <c r="A31" t="s">
        <v>64</v>
      </c>
      <c r="B31" s="10" t="s">
        <v>373</v>
      </c>
      <c r="C31" s="139"/>
      <c r="D31" s="13">
        <v>45779</v>
      </c>
      <c r="E31" s="155" t="s">
        <v>2633</v>
      </c>
      <c r="F31" s="155" t="s">
        <v>374</v>
      </c>
      <c r="G31" s="156" t="s">
        <v>98</v>
      </c>
      <c r="H31" s="156" t="s">
        <v>143</v>
      </c>
      <c r="I31" s="69" t="s">
        <v>1958</v>
      </c>
      <c r="J31" s="122">
        <v>1</v>
      </c>
      <c r="K31" s="15">
        <v>142800</v>
      </c>
      <c r="L31" s="16">
        <f t="shared" si="0"/>
        <v>142800</v>
      </c>
      <c r="M31" s="15">
        <f>L31*10%</f>
        <v>14280</v>
      </c>
      <c r="N31" s="15">
        <f t="shared" si="1"/>
        <v>157080</v>
      </c>
      <c r="O31" s="5" t="s">
        <v>2417</v>
      </c>
      <c r="P31" s="174" t="s">
        <v>2636</v>
      </c>
      <c r="Q31" s="5">
        <v>45802</v>
      </c>
      <c r="R31" s="209"/>
    </row>
    <row r="32" spans="1:20" ht="16.5" customHeight="1">
      <c r="A32" t="s">
        <v>64</v>
      </c>
      <c r="B32" s="10" t="s">
        <v>146</v>
      </c>
      <c r="C32" s="12"/>
      <c r="D32" s="13">
        <v>45779</v>
      </c>
      <c r="E32" s="155" t="s">
        <v>2633</v>
      </c>
      <c r="F32" s="155" t="s">
        <v>114</v>
      </c>
      <c r="G32" s="156" t="s">
        <v>7</v>
      </c>
      <c r="H32" s="156" t="s">
        <v>143</v>
      </c>
      <c r="I32" s="69" t="s">
        <v>1959</v>
      </c>
      <c r="J32" s="122">
        <v>1</v>
      </c>
      <c r="K32" s="15">
        <v>309047</v>
      </c>
      <c r="L32" s="16">
        <f t="shared" si="0"/>
        <v>309047</v>
      </c>
      <c r="M32" s="15">
        <v>30904</v>
      </c>
      <c r="N32" s="15">
        <f t="shared" si="1"/>
        <v>339951</v>
      </c>
      <c r="O32" s="5" t="s">
        <v>2417</v>
      </c>
      <c r="P32" s="9" t="s">
        <v>2636</v>
      </c>
      <c r="Q32" s="5">
        <v>45748</v>
      </c>
      <c r="R32" s="209" t="s">
        <v>147</v>
      </c>
    </row>
    <row r="33" spans="1:19" ht="16.5" customHeight="1">
      <c r="A33" t="s">
        <v>64</v>
      </c>
      <c r="B33" s="10" t="s">
        <v>487</v>
      </c>
      <c r="C33" s="12"/>
      <c r="D33" s="13">
        <v>45779</v>
      </c>
      <c r="E33" s="155" t="s">
        <v>2633</v>
      </c>
      <c r="F33" s="155" t="s">
        <v>488</v>
      </c>
      <c r="G33" s="156" t="s">
        <v>98</v>
      </c>
      <c r="H33" s="156" t="s">
        <v>143</v>
      </c>
      <c r="I33" s="69" t="s">
        <v>2299</v>
      </c>
      <c r="J33" s="122">
        <v>1</v>
      </c>
      <c r="K33" s="15">
        <v>145780</v>
      </c>
      <c r="L33" s="16">
        <f t="shared" si="0"/>
        <v>145780</v>
      </c>
      <c r="M33" s="16">
        <v>14578</v>
      </c>
      <c r="N33" s="15">
        <f t="shared" si="1"/>
        <v>160358</v>
      </c>
      <c r="O33" s="5" t="s">
        <v>2417</v>
      </c>
      <c r="P33" s="9" t="s">
        <v>2636</v>
      </c>
      <c r="Q33" s="5">
        <v>45778</v>
      </c>
      <c r="R33" s="209"/>
    </row>
    <row r="34" spans="1:19" ht="16.5" customHeight="1">
      <c r="A34" t="s">
        <v>64</v>
      </c>
      <c r="B34" s="141" t="s">
        <v>163</v>
      </c>
      <c r="C34" s="12"/>
      <c r="D34" s="13">
        <v>45779</v>
      </c>
      <c r="E34" s="155" t="s">
        <v>2633</v>
      </c>
      <c r="F34" s="155" t="s">
        <v>114</v>
      </c>
      <c r="G34" s="156" t="s">
        <v>7</v>
      </c>
      <c r="H34" s="156" t="s">
        <v>143</v>
      </c>
      <c r="I34" s="69" t="s">
        <v>1960</v>
      </c>
      <c r="J34" s="122">
        <v>1</v>
      </c>
      <c r="K34" s="15">
        <v>212293</v>
      </c>
      <c r="L34" s="15">
        <f t="shared" si="0"/>
        <v>212293</v>
      </c>
      <c r="M34" s="15">
        <v>21229</v>
      </c>
      <c r="N34" s="15">
        <f t="shared" si="1"/>
        <v>233522</v>
      </c>
      <c r="O34" s="5" t="s">
        <v>2417</v>
      </c>
      <c r="P34" s="9" t="s">
        <v>2636</v>
      </c>
      <c r="Q34" s="5">
        <v>45807</v>
      </c>
      <c r="R34" s="209"/>
    </row>
    <row r="35" spans="1:19" ht="16.5" customHeight="1">
      <c r="A35" t="s">
        <v>64</v>
      </c>
      <c r="B35" s="10" t="s">
        <v>415</v>
      </c>
      <c r="C35" s="12"/>
      <c r="D35" s="13">
        <v>45779</v>
      </c>
      <c r="E35" s="155" t="s">
        <v>2633</v>
      </c>
      <c r="F35" s="155" t="s">
        <v>99</v>
      </c>
      <c r="G35" s="156" t="s">
        <v>7</v>
      </c>
      <c r="H35" s="156" t="s">
        <v>143</v>
      </c>
      <c r="I35" s="69" t="s">
        <v>1961</v>
      </c>
      <c r="J35" s="122">
        <v>1</v>
      </c>
      <c r="K35" s="15">
        <v>691782</v>
      </c>
      <c r="L35" s="16">
        <f t="shared" si="0"/>
        <v>691782</v>
      </c>
      <c r="M35" s="16">
        <v>69178</v>
      </c>
      <c r="N35" s="15">
        <f t="shared" si="1"/>
        <v>760960</v>
      </c>
      <c r="O35" s="5" t="s">
        <v>2417</v>
      </c>
      <c r="P35" s="9" t="s">
        <v>2636</v>
      </c>
      <c r="Q35" s="5">
        <v>45813</v>
      </c>
      <c r="R35" s="209"/>
    </row>
    <row r="36" spans="1:19" ht="16.5" customHeight="1">
      <c r="A36" t="s">
        <v>64</v>
      </c>
      <c r="B36" s="141" t="s">
        <v>144</v>
      </c>
      <c r="C36" s="142"/>
      <c r="D36" s="13">
        <v>45780</v>
      </c>
      <c r="E36" s="155" t="s">
        <v>303</v>
      </c>
      <c r="F36" s="155"/>
      <c r="G36" s="156" t="s">
        <v>30</v>
      </c>
      <c r="H36" s="156" t="s">
        <v>271</v>
      </c>
      <c r="I36" s="159" t="s">
        <v>304</v>
      </c>
      <c r="J36" s="124">
        <v>1</v>
      </c>
      <c r="K36" s="16">
        <v>14166</v>
      </c>
      <c r="L36" s="15">
        <f t="shared" si="0"/>
        <v>14166</v>
      </c>
      <c r="M36" s="15">
        <v>1416</v>
      </c>
      <c r="N36" s="15">
        <f t="shared" ref="N36" si="2">SUM(L36:M36)</f>
        <v>15582</v>
      </c>
      <c r="O36" s="5" t="s">
        <v>2009</v>
      </c>
      <c r="P36" s="175" t="s">
        <v>2644</v>
      </c>
      <c r="Q36" s="68" t="s">
        <v>206</v>
      </c>
      <c r="R36" s="209"/>
      <c r="S36" s="7"/>
    </row>
    <row r="37" spans="1:19" ht="16.5" customHeight="1">
      <c r="A37" t="s">
        <v>64</v>
      </c>
      <c r="B37" s="10" t="s">
        <v>416</v>
      </c>
      <c r="C37" s="12"/>
      <c r="D37" s="13">
        <v>45784</v>
      </c>
      <c r="E37" s="155" t="s">
        <v>2632</v>
      </c>
      <c r="F37" s="155" t="s">
        <v>162</v>
      </c>
      <c r="G37" s="156" t="s">
        <v>98</v>
      </c>
      <c r="H37" s="156" t="s">
        <v>213</v>
      </c>
      <c r="I37" s="69" t="s">
        <v>1845</v>
      </c>
      <c r="J37" s="122">
        <v>1</v>
      </c>
      <c r="K37" s="15">
        <v>1060000</v>
      </c>
      <c r="L37" s="16">
        <f t="shared" si="0"/>
        <v>1060000</v>
      </c>
      <c r="M37" s="16">
        <f>L37*10%</f>
        <v>106000</v>
      </c>
      <c r="N37" s="15">
        <f t="shared" si="1"/>
        <v>1166000</v>
      </c>
      <c r="O37" s="5" t="s">
        <v>2417</v>
      </c>
      <c r="P37" s="9" t="s">
        <v>2634</v>
      </c>
      <c r="Q37" s="5">
        <v>45784</v>
      </c>
      <c r="R37" s="209"/>
    </row>
    <row r="38" spans="1:19" ht="16.5" customHeight="1">
      <c r="A38" t="s">
        <v>64</v>
      </c>
      <c r="B38" s="10" t="s">
        <v>1964</v>
      </c>
      <c r="C38" s="12"/>
      <c r="D38" s="13">
        <v>45784</v>
      </c>
      <c r="E38" s="155" t="s">
        <v>2632</v>
      </c>
      <c r="F38" s="155" t="s">
        <v>162</v>
      </c>
      <c r="G38" s="156" t="s">
        <v>98</v>
      </c>
      <c r="H38" s="156" t="s">
        <v>1966</v>
      </c>
      <c r="I38" s="69" t="s">
        <v>1967</v>
      </c>
      <c r="J38" s="122">
        <v>1</v>
      </c>
      <c r="K38" s="15">
        <v>1760000</v>
      </c>
      <c r="L38" s="16">
        <f t="shared" si="0"/>
        <v>1760000</v>
      </c>
      <c r="M38" s="16">
        <f>L38*10%</f>
        <v>176000</v>
      </c>
      <c r="N38" s="15">
        <f t="shared" si="1"/>
        <v>1936000</v>
      </c>
      <c r="O38" s="5" t="s">
        <v>2417</v>
      </c>
      <c r="P38" s="9" t="s">
        <v>2634</v>
      </c>
      <c r="Q38" s="5">
        <v>45784</v>
      </c>
      <c r="R38" s="213"/>
    </row>
    <row r="39" spans="1:19" ht="16.5" customHeight="1">
      <c r="A39" t="s">
        <v>64</v>
      </c>
      <c r="B39" s="10" t="s">
        <v>1964</v>
      </c>
      <c r="C39" s="12"/>
      <c r="D39" s="13">
        <v>45784</v>
      </c>
      <c r="E39" s="155" t="s">
        <v>2632</v>
      </c>
      <c r="F39" s="155" t="s">
        <v>162</v>
      </c>
      <c r="G39" s="156" t="s">
        <v>98</v>
      </c>
      <c r="H39" s="156" t="s">
        <v>1966</v>
      </c>
      <c r="I39" s="69" t="s">
        <v>1968</v>
      </c>
      <c r="J39" s="122">
        <v>1</v>
      </c>
      <c r="K39" s="15">
        <v>3490000</v>
      </c>
      <c r="L39" s="16">
        <f t="shared" si="0"/>
        <v>3490000</v>
      </c>
      <c r="M39" s="16">
        <f>L39*10%</f>
        <v>349000</v>
      </c>
      <c r="N39" s="15">
        <f t="shared" si="1"/>
        <v>3839000</v>
      </c>
      <c r="O39" s="5" t="s">
        <v>2417</v>
      </c>
      <c r="P39" s="9" t="s">
        <v>2634</v>
      </c>
      <c r="Q39" s="5">
        <v>45784</v>
      </c>
      <c r="R39" s="213"/>
    </row>
    <row r="40" spans="1:19" ht="16.5" customHeight="1">
      <c r="A40" t="s">
        <v>64</v>
      </c>
      <c r="B40" s="10" t="s">
        <v>2156</v>
      </c>
      <c r="C40" s="12"/>
      <c r="D40" s="13">
        <v>45784</v>
      </c>
      <c r="E40" s="155" t="s">
        <v>2155</v>
      </c>
      <c r="F40" s="155" t="s">
        <v>2157</v>
      </c>
      <c r="G40" s="156" t="s">
        <v>41</v>
      </c>
      <c r="H40" s="156" t="s">
        <v>2153</v>
      </c>
      <c r="I40" s="69" t="s">
        <v>2154</v>
      </c>
      <c r="J40" s="122">
        <v>1</v>
      </c>
      <c r="K40" s="15">
        <v>220000</v>
      </c>
      <c r="L40" s="16">
        <f>J40*K40</f>
        <v>220000</v>
      </c>
      <c r="M40" s="16">
        <f>L40*10%</f>
        <v>22000</v>
      </c>
      <c r="N40" s="15">
        <f t="shared" si="1"/>
        <v>242000</v>
      </c>
      <c r="O40" s="5" t="s">
        <v>2578</v>
      </c>
      <c r="P40" s="9" t="s">
        <v>2636</v>
      </c>
      <c r="Q40" s="5">
        <v>45807</v>
      </c>
      <c r="R40" s="213"/>
    </row>
    <row r="41" spans="1:19" ht="16.5" customHeight="1">
      <c r="A41" t="s">
        <v>64</v>
      </c>
      <c r="B41" s="10" t="s">
        <v>2158</v>
      </c>
      <c r="C41" s="12"/>
      <c r="D41" s="13">
        <v>45785</v>
      </c>
      <c r="E41" s="155" t="s">
        <v>2155</v>
      </c>
      <c r="F41" s="155" t="s">
        <v>2157</v>
      </c>
      <c r="G41" s="156" t="s">
        <v>41</v>
      </c>
      <c r="H41" s="156" t="s">
        <v>2169</v>
      </c>
      <c r="I41" s="69" t="s">
        <v>2283</v>
      </c>
      <c r="J41" s="122">
        <v>1</v>
      </c>
      <c r="K41" s="15">
        <v>260000</v>
      </c>
      <c r="L41" s="16">
        <f>J41*K41</f>
        <v>260000</v>
      </c>
      <c r="M41" s="16">
        <f>L41*10%</f>
        <v>26000</v>
      </c>
      <c r="N41" s="15">
        <f t="shared" si="1"/>
        <v>286000</v>
      </c>
      <c r="O41" s="5" t="s">
        <v>2578</v>
      </c>
      <c r="P41" s="9" t="s">
        <v>2636</v>
      </c>
      <c r="Q41" s="5">
        <v>45807</v>
      </c>
      <c r="R41" s="213"/>
    </row>
    <row r="42" spans="1:19" ht="16.5" customHeight="1">
      <c r="A42" t="s">
        <v>64</v>
      </c>
      <c r="B42" s="10" t="s">
        <v>1969</v>
      </c>
      <c r="C42" s="12"/>
      <c r="D42" s="13">
        <v>45785</v>
      </c>
      <c r="E42" s="155" t="s">
        <v>1963</v>
      </c>
      <c r="F42" s="155" t="s">
        <v>1970</v>
      </c>
      <c r="G42" s="156" t="s">
        <v>1965</v>
      </c>
      <c r="H42" s="156" t="s">
        <v>1972</v>
      </c>
      <c r="I42" s="69" t="s">
        <v>1971</v>
      </c>
      <c r="J42" s="122">
        <v>1</v>
      </c>
      <c r="K42" s="15">
        <v>5105809</v>
      </c>
      <c r="L42" s="16">
        <v>5105809</v>
      </c>
      <c r="M42" s="16">
        <v>510581</v>
      </c>
      <c r="N42" s="15">
        <f t="shared" si="1"/>
        <v>5616390</v>
      </c>
      <c r="O42" s="5" t="s">
        <v>1973</v>
      </c>
      <c r="P42" s="9" t="s">
        <v>2635</v>
      </c>
      <c r="Q42" s="5">
        <v>45798</v>
      </c>
      <c r="R42" s="213"/>
    </row>
    <row r="43" spans="1:19" ht="16.5" customHeight="1">
      <c r="A43" t="s">
        <v>64</v>
      </c>
      <c r="B43" s="10" t="s">
        <v>419</v>
      </c>
      <c r="C43" s="12"/>
      <c r="D43" s="13">
        <v>45787</v>
      </c>
      <c r="E43" s="155" t="s">
        <v>164</v>
      </c>
      <c r="F43" s="155" t="s">
        <v>420</v>
      </c>
      <c r="G43" s="156" t="s">
        <v>98</v>
      </c>
      <c r="H43" s="156" t="s">
        <v>213</v>
      </c>
      <c r="I43" s="69" t="s">
        <v>401</v>
      </c>
      <c r="J43" s="122">
        <v>1</v>
      </c>
      <c r="K43" s="15">
        <v>213400</v>
      </c>
      <c r="L43" s="16">
        <f t="shared" ref="L43:L51" si="3">J43*K43</f>
        <v>213400</v>
      </c>
      <c r="M43" s="16">
        <v>21340</v>
      </c>
      <c r="N43" s="15">
        <f t="shared" si="1"/>
        <v>234740</v>
      </c>
      <c r="O43" s="5" t="s">
        <v>1984</v>
      </c>
      <c r="P43" s="9" t="s">
        <v>2634</v>
      </c>
      <c r="Q43" s="5">
        <v>45778</v>
      </c>
      <c r="R43" s="209"/>
    </row>
    <row r="44" spans="1:19" ht="16.5" customHeight="1">
      <c r="A44" t="s">
        <v>64</v>
      </c>
      <c r="B44" s="10" t="s">
        <v>418</v>
      </c>
      <c r="C44" s="12"/>
      <c r="D44" s="13">
        <v>45787</v>
      </c>
      <c r="E44" s="155" t="s">
        <v>164</v>
      </c>
      <c r="F44" s="155" t="s">
        <v>421</v>
      </c>
      <c r="G44" s="156" t="s">
        <v>98</v>
      </c>
      <c r="H44" s="156" t="s">
        <v>213</v>
      </c>
      <c r="I44" s="69" t="s">
        <v>402</v>
      </c>
      <c r="J44" s="122">
        <v>1</v>
      </c>
      <c r="K44" s="15">
        <v>77600</v>
      </c>
      <c r="L44" s="16">
        <f t="shared" si="3"/>
        <v>77600</v>
      </c>
      <c r="M44" s="16">
        <v>7760</v>
      </c>
      <c r="N44" s="15">
        <f t="shared" si="1"/>
        <v>85360</v>
      </c>
      <c r="O44" s="5" t="s">
        <v>1984</v>
      </c>
      <c r="P44" s="9" t="s">
        <v>2634</v>
      </c>
      <c r="Q44" s="5">
        <v>45778</v>
      </c>
      <c r="R44" s="209"/>
    </row>
    <row r="45" spans="1:19" ht="16.5" customHeight="1">
      <c r="A45" t="s">
        <v>64</v>
      </c>
      <c r="B45" s="10" t="s">
        <v>419</v>
      </c>
      <c r="C45" s="12"/>
      <c r="D45" s="13">
        <v>45787</v>
      </c>
      <c r="E45" s="155" t="s">
        <v>164</v>
      </c>
      <c r="F45" s="155" t="s">
        <v>420</v>
      </c>
      <c r="G45" s="156" t="s">
        <v>98</v>
      </c>
      <c r="H45" s="156" t="s">
        <v>213</v>
      </c>
      <c r="I45" s="69" t="s">
        <v>402</v>
      </c>
      <c r="J45" s="122">
        <v>1</v>
      </c>
      <c r="K45" s="15">
        <v>155200</v>
      </c>
      <c r="L45" s="16">
        <f t="shared" si="3"/>
        <v>155200</v>
      </c>
      <c r="M45" s="16">
        <v>15520</v>
      </c>
      <c r="N45" s="15">
        <f t="shared" si="1"/>
        <v>170720</v>
      </c>
      <c r="O45" s="5" t="s">
        <v>1984</v>
      </c>
      <c r="P45" s="9" t="s">
        <v>2634</v>
      </c>
      <c r="Q45" s="5">
        <v>45778</v>
      </c>
      <c r="R45" s="209"/>
    </row>
    <row r="46" spans="1:19" ht="16.5" customHeight="1">
      <c r="A46" t="s">
        <v>64</v>
      </c>
      <c r="B46" s="10" t="s">
        <v>418</v>
      </c>
      <c r="C46" s="12"/>
      <c r="D46" s="13">
        <v>45787</v>
      </c>
      <c r="E46" s="155" t="s">
        <v>164</v>
      </c>
      <c r="F46" s="155" t="s">
        <v>421</v>
      </c>
      <c r="G46" s="156" t="s">
        <v>98</v>
      </c>
      <c r="H46" s="156" t="s">
        <v>213</v>
      </c>
      <c r="I46" s="69" t="s">
        <v>401</v>
      </c>
      <c r="J46" s="122">
        <v>1</v>
      </c>
      <c r="K46" s="15">
        <v>145500</v>
      </c>
      <c r="L46" s="16">
        <f t="shared" si="3"/>
        <v>145500</v>
      </c>
      <c r="M46" s="16">
        <v>14550</v>
      </c>
      <c r="N46" s="15">
        <f t="shared" si="1"/>
        <v>160050</v>
      </c>
      <c r="O46" s="5" t="s">
        <v>1984</v>
      </c>
      <c r="P46" s="9" t="s">
        <v>2634</v>
      </c>
      <c r="Q46" s="5">
        <v>45778</v>
      </c>
      <c r="R46" s="209"/>
    </row>
    <row r="47" spans="1:19" ht="16.5" customHeight="1">
      <c r="A47" t="s">
        <v>64</v>
      </c>
      <c r="B47" s="10" t="s">
        <v>1616</v>
      </c>
      <c r="C47" s="12"/>
      <c r="D47" s="13">
        <v>45789</v>
      </c>
      <c r="E47" s="155" t="s">
        <v>2633</v>
      </c>
      <c r="F47" s="155" t="s">
        <v>1535</v>
      </c>
      <c r="G47" s="157" t="s">
        <v>98</v>
      </c>
      <c r="H47" s="156" t="s">
        <v>143</v>
      </c>
      <c r="I47" s="69" t="s">
        <v>2274</v>
      </c>
      <c r="J47" s="122">
        <v>1</v>
      </c>
      <c r="K47" s="15">
        <v>291532</v>
      </c>
      <c r="L47" s="16">
        <f t="shared" si="3"/>
        <v>291532</v>
      </c>
      <c r="M47" s="16">
        <f t="shared" ref="M47:M52" si="4">L47*10%</f>
        <v>29153.200000000001</v>
      </c>
      <c r="N47" s="15">
        <f t="shared" si="1"/>
        <v>320685.2</v>
      </c>
      <c r="O47" s="5" t="s">
        <v>2417</v>
      </c>
      <c r="P47" s="175" t="s">
        <v>2636</v>
      </c>
      <c r="Q47" s="5">
        <v>45797</v>
      </c>
      <c r="R47" s="213"/>
    </row>
    <row r="48" spans="1:19" ht="16.5" customHeight="1">
      <c r="A48" t="s">
        <v>64</v>
      </c>
      <c r="B48" s="10" t="s">
        <v>2159</v>
      </c>
      <c r="C48" s="12"/>
      <c r="D48" s="13">
        <v>45790</v>
      </c>
      <c r="E48" s="155" t="s">
        <v>2155</v>
      </c>
      <c r="F48" s="155" t="s">
        <v>2165</v>
      </c>
      <c r="G48" s="156" t="s">
        <v>41</v>
      </c>
      <c r="H48" s="156" t="s">
        <v>2161</v>
      </c>
      <c r="I48" s="69" t="s">
        <v>2162</v>
      </c>
      <c r="J48" s="122">
        <v>1</v>
      </c>
      <c r="K48" s="15">
        <v>180000</v>
      </c>
      <c r="L48" s="16">
        <f>J48*K48</f>
        <v>180000</v>
      </c>
      <c r="M48" s="16">
        <f t="shared" si="4"/>
        <v>18000</v>
      </c>
      <c r="N48" s="15">
        <f t="shared" si="1"/>
        <v>198000</v>
      </c>
      <c r="O48" s="5" t="s">
        <v>2578</v>
      </c>
      <c r="P48" s="9" t="s">
        <v>2636</v>
      </c>
      <c r="Q48" s="5">
        <v>45803</v>
      </c>
      <c r="R48" s="213"/>
    </row>
    <row r="49" spans="1:21" ht="16.5" customHeight="1">
      <c r="A49" t="s">
        <v>64</v>
      </c>
      <c r="B49" s="10" t="s">
        <v>2160</v>
      </c>
      <c r="C49" s="12"/>
      <c r="D49" s="13">
        <v>45791</v>
      </c>
      <c r="E49" s="155" t="s">
        <v>2155</v>
      </c>
      <c r="F49" s="155" t="s">
        <v>2165</v>
      </c>
      <c r="G49" s="156" t="s">
        <v>41</v>
      </c>
      <c r="H49" s="156" t="s">
        <v>2163</v>
      </c>
      <c r="I49" s="69" t="s">
        <v>2164</v>
      </c>
      <c r="J49" s="122">
        <v>1</v>
      </c>
      <c r="K49" s="15">
        <v>150000</v>
      </c>
      <c r="L49" s="16">
        <f>J49*K49</f>
        <v>150000</v>
      </c>
      <c r="M49" s="16">
        <f t="shared" si="4"/>
        <v>15000</v>
      </c>
      <c r="N49" s="15">
        <f t="shared" si="1"/>
        <v>165000</v>
      </c>
      <c r="O49" s="5" t="s">
        <v>2578</v>
      </c>
      <c r="P49" s="9" t="s">
        <v>2636</v>
      </c>
      <c r="Q49" s="5">
        <v>45803</v>
      </c>
      <c r="R49" s="213"/>
    </row>
    <row r="50" spans="1:21" ht="16.5" customHeight="1">
      <c r="A50" t="s">
        <v>64</v>
      </c>
      <c r="B50" s="10" t="s">
        <v>2168</v>
      </c>
      <c r="C50" s="12"/>
      <c r="D50" s="13">
        <v>45791</v>
      </c>
      <c r="E50" s="155" t="s">
        <v>2155</v>
      </c>
      <c r="F50" s="155" t="s">
        <v>2540</v>
      </c>
      <c r="G50" s="156" t="s">
        <v>7</v>
      </c>
      <c r="H50" s="156" t="s">
        <v>2166</v>
      </c>
      <c r="I50" s="69" t="s">
        <v>2167</v>
      </c>
      <c r="J50" s="122">
        <v>1</v>
      </c>
      <c r="K50" s="15">
        <v>70000</v>
      </c>
      <c r="L50" s="16">
        <f>J50*K50</f>
        <v>70000</v>
      </c>
      <c r="M50" s="16">
        <f t="shared" si="4"/>
        <v>7000</v>
      </c>
      <c r="N50" s="15">
        <f t="shared" si="1"/>
        <v>77000</v>
      </c>
      <c r="O50" s="5" t="s">
        <v>2578</v>
      </c>
      <c r="P50" s="9" t="s">
        <v>2636</v>
      </c>
      <c r="Q50" s="5" t="s">
        <v>7</v>
      </c>
      <c r="R50" s="213"/>
    </row>
    <row r="51" spans="1:21" ht="16.5" customHeight="1">
      <c r="A51" t="s">
        <v>64</v>
      </c>
      <c r="B51" s="10" t="s">
        <v>1805</v>
      </c>
      <c r="C51" s="12"/>
      <c r="D51" s="13">
        <v>45791</v>
      </c>
      <c r="E51" s="155" t="s">
        <v>1806</v>
      </c>
      <c r="F51" s="155" t="s">
        <v>1816</v>
      </c>
      <c r="G51" s="156" t="s">
        <v>1793</v>
      </c>
      <c r="H51" s="156" t="s">
        <v>1812</v>
      </c>
      <c r="I51" s="69" t="s">
        <v>1815</v>
      </c>
      <c r="J51" s="122">
        <v>1</v>
      </c>
      <c r="K51" s="15">
        <v>3860000</v>
      </c>
      <c r="L51" s="16">
        <f t="shared" si="3"/>
        <v>3860000</v>
      </c>
      <c r="M51" s="16">
        <f t="shared" si="4"/>
        <v>386000</v>
      </c>
      <c r="N51" s="15">
        <f t="shared" si="1"/>
        <v>4246000</v>
      </c>
      <c r="O51" s="5" t="s">
        <v>2578</v>
      </c>
      <c r="P51" s="9" t="s">
        <v>2635</v>
      </c>
      <c r="Q51" s="5">
        <v>45805</v>
      </c>
      <c r="R51" s="209"/>
    </row>
    <row r="52" spans="1:21" ht="16.5" customHeight="1">
      <c r="A52" t="s">
        <v>64</v>
      </c>
      <c r="B52" s="10" t="s">
        <v>1994</v>
      </c>
      <c r="C52" s="12"/>
      <c r="D52" s="13">
        <v>45791</v>
      </c>
      <c r="E52" s="155" t="s">
        <v>1993</v>
      </c>
      <c r="F52" s="155" t="s">
        <v>1810</v>
      </c>
      <c r="G52" s="156" t="s">
        <v>41</v>
      </c>
      <c r="H52" s="156" t="s">
        <v>1997</v>
      </c>
      <c r="I52" s="69" t="s">
        <v>1995</v>
      </c>
      <c r="J52" s="122">
        <v>1</v>
      </c>
      <c r="K52" s="15">
        <v>1100000</v>
      </c>
      <c r="L52" s="16">
        <v>8600000</v>
      </c>
      <c r="M52" s="16">
        <f t="shared" si="4"/>
        <v>860000</v>
      </c>
      <c r="N52" s="15">
        <f>SUM(L52:M52)</f>
        <v>9460000</v>
      </c>
      <c r="O52" s="5" t="s">
        <v>2578</v>
      </c>
      <c r="P52" s="9" t="s">
        <v>2635</v>
      </c>
      <c r="Q52" s="5">
        <v>45832</v>
      </c>
      <c r="R52" s="213"/>
    </row>
    <row r="53" spans="1:21" ht="16.5" customHeight="1">
      <c r="A53" t="s">
        <v>64</v>
      </c>
      <c r="B53" s="147"/>
      <c r="C53" s="145"/>
      <c r="D53" s="65"/>
      <c r="E53" s="160" t="s">
        <v>1993</v>
      </c>
      <c r="F53" s="160" t="s">
        <v>1810</v>
      </c>
      <c r="G53" s="156" t="s">
        <v>41</v>
      </c>
      <c r="H53" s="156" t="s">
        <v>1998</v>
      </c>
      <c r="I53" s="69" t="s">
        <v>1996</v>
      </c>
      <c r="J53" s="122">
        <v>30</v>
      </c>
      <c r="K53" s="15">
        <v>250000</v>
      </c>
      <c r="L53" s="125"/>
      <c r="M53" s="125"/>
      <c r="N53" s="126"/>
      <c r="O53" s="99"/>
      <c r="P53" s="176"/>
      <c r="Q53" s="99"/>
      <c r="R53" s="213"/>
    </row>
    <row r="54" spans="1:21" ht="16.5" customHeight="1">
      <c r="A54" t="s">
        <v>64</v>
      </c>
      <c r="B54" s="143" t="s">
        <v>96</v>
      </c>
      <c r="C54" s="144"/>
      <c r="D54" s="13">
        <v>45792</v>
      </c>
      <c r="E54" s="161" t="s">
        <v>19</v>
      </c>
      <c r="F54" s="155" t="s">
        <v>97</v>
      </c>
      <c r="G54" s="156" t="s">
        <v>7</v>
      </c>
      <c r="H54" s="156" t="s">
        <v>25</v>
      </c>
      <c r="I54" s="69" t="s">
        <v>2110</v>
      </c>
      <c r="J54" s="122">
        <v>1</v>
      </c>
      <c r="K54" s="15">
        <v>200000</v>
      </c>
      <c r="L54" s="15">
        <f>J54*K54</f>
        <v>200000</v>
      </c>
      <c r="M54" s="16">
        <f>L54*10%</f>
        <v>20000</v>
      </c>
      <c r="N54" s="15">
        <f t="shared" ref="N54:N72" si="5">SUM(L54:M54)</f>
        <v>220000</v>
      </c>
      <c r="O54" s="5" t="s">
        <v>2578</v>
      </c>
      <c r="P54" s="9" t="s">
        <v>2636</v>
      </c>
      <c r="Q54" s="5">
        <v>45778</v>
      </c>
      <c r="R54" s="210"/>
      <c r="S54" s="7"/>
      <c r="T54" s="7"/>
      <c r="U54" s="11"/>
    </row>
    <row r="55" spans="1:21" ht="16.5" customHeight="1">
      <c r="A55" t="s">
        <v>64</v>
      </c>
      <c r="B55" s="10" t="s">
        <v>144</v>
      </c>
      <c r="C55" s="12"/>
      <c r="D55" s="13">
        <v>45792</v>
      </c>
      <c r="E55" s="155" t="s">
        <v>1408</v>
      </c>
      <c r="F55" s="155" t="s">
        <v>1413</v>
      </c>
      <c r="G55" s="156" t="s">
        <v>30</v>
      </c>
      <c r="H55" s="156" t="s">
        <v>35</v>
      </c>
      <c r="I55" s="69" t="s">
        <v>2152</v>
      </c>
      <c r="J55" s="122">
        <v>1</v>
      </c>
      <c r="K55" s="15">
        <v>32190</v>
      </c>
      <c r="L55" s="16">
        <f>J55*K55</f>
        <v>32190</v>
      </c>
      <c r="M55" s="16">
        <v>3220</v>
      </c>
      <c r="N55" s="15">
        <f t="shared" si="5"/>
        <v>35410</v>
      </c>
      <c r="O55" s="5" t="s">
        <v>2228</v>
      </c>
      <c r="P55" s="9" t="s">
        <v>2644</v>
      </c>
      <c r="Q55" s="5" t="s">
        <v>144</v>
      </c>
      <c r="R55" s="213"/>
    </row>
    <row r="56" spans="1:21" ht="16.5" customHeight="1">
      <c r="A56" t="s">
        <v>64</v>
      </c>
      <c r="B56" s="10" t="s">
        <v>144</v>
      </c>
      <c r="C56" s="12"/>
      <c r="D56" s="13">
        <v>45792</v>
      </c>
      <c r="E56" s="155" t="s">
        <v>1408</v>
      </c>
      <c r="F56" s="155" t="s">
        <v>1413</v>
      </c>
      <c r="G56" s="156" t="s">
        <v>30</v>
      </c>
      <c r="H56" s="156" t="s">
        <v>35</v>
      </c>
      <c r="I56" s="69" t="s">
        <v>2151</v>
      </c>
      <c r="J56" s="122">
        <v>1</v>
      </c>
      <c r="K56" s="15">
        <v>3330</v>
      </c>
      <c r="L56" s="16">
        <f>J56*K56</f>
        <v>3330</v>
      </c>
      <c r="M56" s="16" t="s">
        <v>144</v>
      </c>
      <c r="N56" s="15">
        <f t="shared" si="5"/>
        <v>3330</v>
      </c>
      <c r="O56" s="5" t="s">
        <v>2228</v>
      </c>
      <c r="P56" s="9" t="s">
        <v>2644</v>
      </c>
      <c r="Q56" s="5" t="s">
        <v>144</v>
      </c>
      <c r="R56" s="209" t="s">
        <v>340</v>
      </c>
    </row>
    <row r="57" spans="1:21" ht="16.5" customHeight="1">
      <c r="A57" t="s">
        <v>64</v>
      </c>
      <c r="B57" s="10" t="s">
        <v>2121</v>
      </c>
      <c r="C57" s="12"/>
      <c r="D57" s="13">
        <v>45792</v>
      </c>
      <c r="E57" s="155" t="s">
        <v>2122</v>
      </c>
      <c r="F57" s="155" t="s">
        <v>2632</v>
      </c>
      <c r="G57" s="156" t="s">
        <v>41</v>
      </c>
      <c r="H57" s="156" t="s">
        <v>2123</v>
      </c>
      <c r="I57" s="69" t="s">
        <v>2124</v>
      </c>
      <c r="J57" s="122">
        <v>8</v>
      </c>
      <c r="K57" s="15">
        <v>120000</v>
      </c>
      <c r="L57" s="16">
        <f>J57*K57</f>
        <v>960000</v>
      </c>
      <c r="M57" s="16">
        <f>L57*10%</f>
        <v>96000</v>
      </c>
      <c r="N57" s="15">
        <f t="shared" si="5"/>
        <v>1056000</v>
      </c>
      <c r="O57" s="5" t="s">
        <v>2417</v>
      </c>
      <c r="P57" s="9" t="s">
        <v>2635</v>
      </c>
      <c r="Q57" s="5">
        <v>45805</v>
      </c>
      <c r="R57" s="213"/>
    </row>
    <row r="58" spans="1:21" ht="16.5" customHeight="1">
      <c r="A58" t="s">
        <v>64</v>
      </c>
      <c r="B58" s="10" t="s">
        <v>104</v>
      </c>
      <c r="C58" s="12"/>
      <c r="D58" s="13">
        <v>45793</v>
      </c>
      <c r="E58" s="155" t="s">
        <v>2632</v>
      </c>
      <c r="F58" s="155" t="s">
        <v>162</v>
      </c>
      <c r="G58" s="156" t="s">
        <v>2118</v>
      </c>
      <c r="H58" s="156" t="s">
        <v>2120</v>
      </c>
      <c r="I58" s="69" t="s">
        <v>2119</v>
      </c>
      <c r="J58" s="122">
        <v>1</v>
      </c>
      <c r="K58" s="15">
        <v>3055000</v>
      </c>
      <c r="L58" s="16">
        <f>J58*K58</f>
        <v>3055000</v>
      </c>
      <c r="M58" s="16">
        <f>L58*10%</f>
        <v>305500</v>
      </c>
      <c r="N58" s="15">
        <f t="shared" si="5"/>
        <v>3360500</v>
      </c>
      <c r="O58" s="5" t="s">
        <v>2417</v>
      </c>
      <c r="P58" s="9" t="s">
        <v>2634</v>
      </c>
      <c r="Q58" s="5">
        <v>45793</v>
      </c>
      <c r="R58" s="213"/>
    </row>
    <row r="59" spans="1:21" ht="16.5" customHeight="1">
      <c r="A59" t="s">
        <v>64</v>
      </c>
      <c r="B59" s="10" t="s">
        <v>2126</v>
      </c>
      <c r="C59" s="12"/>
      <c r="D59" s="13">
        <v>45793</v>
      </c>
      <c r="E59" s="155" t="s">
        <v>26</v>
      </c>
      <c r="F59" s="155" t="s">
        <v>2127</v>
      </c>
      <c r="G59" s="156" t="s">
        <v>41</v>
      </c>
      <c r="H59" s="156" t="s">
        <v>2128</v>
      </c>
      <c r="I59" s="69" t="s">
        <v>452</v>
      </c>
      <c r="J59" s="122">
        <v>3</v>
      </c>
      <c r="K59" s="15">
        <f>4293136/3</f>
        <v>1431045.3333333333</v>
      </c>
      <c r="L59" s="16">
        <v>4293136</v>
      </c>
      <c r="M59" s="16">
        <v>429314</v>
      </c>
      <c r="N59" s="15">
        <f t="shared" si="5"/>
        <v>4722450</v>
      </c>
      <c r="O59" s="5" t="s">
        <v>2129</v>
      </c>
      <c r="P59" s="9" t="s">
        <v>2635</v>
      </c>
      <c r="Q59" s="5">
        <v>45805</v>
      </c>
      <c r="R59" s="213"/>
    </row>
    <row r="60" spans="1:21" ht="16.5" customHeight="1">
      <c r="A60" t="s">
        <v>64</v>
      </c>
      <c r="B60" s="143" t="s">
        <v>210</v>
      </c>
      <c r="C60" s="144"/>
      <c r="D60" s="13">
        <v>45797</v>
      </c>
      <c r="E60" s="155" t="s">
        <v>211</v>
      </c>
      <c r="F60" s="155" t="s">
        <v>212</v>
      </c>
      <c r="G60" s="157" t="s">
        <v>98</v>
      </c>
      <c r="H60" s="157" t="s">
        <v>213</v>
      </c>
      <c r="I60" s="159" t="s">
        <v>2073</v>
      </c>
      <c r="J60" s="127">
        <v>1</v>
      </c>
      <c r="K60" s="15">
        <v>370000</v>
      </c>
      <c r="L60" s="15">
        <f>J60*K60</f>
        <v>370000</v>
      </c>
      <c r="M60" s="123">
        <f>L60*10%</f>
        <v>37000</v>
      </c>
      <c r="N60" s="15">
        <f t="shared" si="5"/>
        <v>407000</v>
      </c>
      <c r="O60" s="5" t="s">
        <v>2228</v>
      </c>
      <c r="P60" s="177" t="s">
        <v>2636</v>
      </c>
      <c r="Q60" s="5">
        <v>45797</v>
      </c>
      <c r="R60" s="211"/>
      <c r="S60" s="7"/>
      <c r="T60" s="11"/>
    </row>
    <row r="61" spans="1:21" ht="16.5" customHeight="1">
      <c r="A61" t="s">
        <v>64</v>
      </c>
      <c r="B61" s="10" t="s">
        <v>2171</v>
      </c>
      <c r="C61" s="12"/>
      <c r="D61" s="13">
        <v>45798</v>
      </c>
      <c r="E61" s="155" t="s">
        <v>2170</v>
      </c>
      <c r="F61" s="155" t="s">
        <v>2172</v>
      </c>
      <c r="G61" s="156" t="s">
        <v>41</v>
      </c>
      <c r="H61" s="156" t="s">
        <v>2173</v>
      </c>
      <c r="I61" s="69" t="s">
        <v>2174</v>
      </c>
      <c r="J61" s="122">
        <v>1</v>
      </c>
      <c r="K61" s="15">
        <v>405636</v>
      </c>
      <c r="L61" s="16">
        <f>J61*K61</f>
        <v>405636</v>
      </c>
      <c r="M61" s="16">
        <v>40564</v>
      </c>
      <c r="N61" s="15">
        <f t="shared" si="5"/>
        <v>446200</v>
      </c>
      <c r="O61" s="5" t="s">
        <v>2177</v>
      </c>
      <c r="P61" s="9" t="s">
        <v>2643</v>
      </c>
      <c r="Q61" s="5">
        <v>45813</v>
      </c>
      <c r="R61" s="213"/>
    </row>
    <row r="62" spans="1:21" ht="16.5" customHeight="1">
      <c r="B62" s="10" t="s">
        <v>2288</v>
      </c>
      <c r="C62" s="12"/>
      <c r="D62" s="13">
        <v>45798</v>
      </c>
      <c r="E62" s="155" t="s">
        <v>33</v>
      </c>
      <c r="F62" s="155" t="s">
        <v>65</v>
      </c>
      <c r="G62" s="156" t="s">
        <v>2347</v>
      </c>
      <c r="H62" s="156" t="s">
        <v>2285</v>
      </c>
      <c r="I62" s="69" t="s">
        <v>2284</v>
      </c>
      <c r="J62" s="122">
        <v>1</v>
      </c>
      <c r="K62" s="15">
        <v>170000</v>
      </c>
      <c r="L62" s="16">
        <f>J62*K62</f>
        <v>170000</v>
      </c>
      <c r="M62" s="16">
        <f>ROUNDDOWN(L62*10%,0)</f>
        <v>17000</v>
      </c>
      <c r="N62" s="15">
        <f>SUM(L62:M62)</f>
        <v>187000</v>
      </c>
      <c r="O62" s="5" t="s">
        <v>2578</v>
      </c>
      <c r="P62" s="9" t="s">
        <v>2636</v>
      </c>
      <c r="Q62" s="5">
        <v>45807</v>
      </c>
      <c r="R62" s="213"/>
    </row>
    <row r="63" spans="1:21" ht="16.5" customHeight="1">
      <c r="A63" t="s">
        <v>64</v>
      </c>
      <c r="B63" s="10" t="s">
        <v>2182</v>
      </c>
      <c r="C63" s="12"/>
      <c r="D63" s="13">
        <v>45799</v>
      </c>
      <c r="E63" s="155" t="s">
        <v>33</v>
      </c>
      <c r="F63" s="155" t="s">
        <v>2227</v>
      </c>
      <c r="G63" s="156" t="s">
        <v>41</v>
      </c>
      <c r="H63" s="156" t="s">
        <v>2183</v>
      </c>
      <c r="I63" s="69" t="s">
        <v>2184</v>
      </c>
      <c r="J63" s="122">
        <v>3</v>
      </c>
      <c r="K63" s="15">
        <v>180000</v>
      </c>
      <c r="L63" s="16">
        <f>J63*K63</f>
        <v>540000</v>
      </c>
      <c r="M63" s="16">
        <f>L63*10%</f>
        <v>54000</v>
      </c>
      <c r="N63" s="15">
        <f>SUM(L63:M63)</f>
        <v>594000</v>
      </c>
      <c r="O63" s="5" t="s">
        <v>2578</v>
      </c>
      <c r="P63" s="9" t="s">
        <v>2635</v>
      </c>
      <c r="Q63" s="5">
        <v>45805</v>
      </c>
      <c r="R63" s="213"/>
    </row>
    <row r="64" spans="1:21" ht="16.5" customHeight="1">
      <c r="A64" t="s">
        <v>64</v>
      </c>
      <c r="B64" s="10" t="s">
        <v>2171</v>
      </c>
      <c r="C64" s="12"/>
      <c r="D64" s="13">
        <v>45799</v>
      </c>
      <c r="E64" s="155" t="s">
        <v>2175</v>
      </c>
      <c r="F64" s="155" t="s">
        <v>2172</v>
      </c>
      <c r="G64" s="156" t="s">
        <v>41</v>
      </c>
      <c r="H64" s="156" t="s">
        <v>643</v>
      </c>
      <c r="I64" s="69" t="s">
        <v>2176</v>
      </c>
      <c r="J64" s="122">
        <v>1</v>
      </c>
      <c r="K64" s="15">
        <v>2543655</v>
      </c>
      <c r="L64" s="16">
        <f>J64*K64</f>
        <v>2543655</v>
      </c>
      <c r="M64" s="16">
        <v>254365</v>
      </c>
      <c r="N64" s="15">
        <f t="shared" si="5"/>
        <v>2798020</v>
      </c>
      <c r="O64" s="5" t="s">
        <v>2177</v>
      </c>
      <c r="P64" s="9" t="s">
        <v>2643</v>
      </c>
      <c r="Q64" s="5">
        <v>45813</v>
      </c>
      <c r="R64" s="213"/>
    </row>
    <row r="65" spans="1:20" ht="16.5" customHeight="1">
      <c r="A65" t="s">
        <v>64</v>
      </c>
      <c r="B65" s="10" t="s">
        <v>2181</v>
      </c>
      <c r="C65" s="12"/>
      <c r="D65" s="13">
        <v>45799</v>
      </c>
      <c r="E65" s="155" t="s">
        <v>2175</v>
      </c>
      <c r="F65" s="155" t="s">
        <v>2178</v>
      </c>
      <c r="G65" s="156" t="s">
        <v>41</v>
      </c>
      <c r="H65" s="156" t="s">
        <v>2179</v>
      </c>
      <c r="I65" s="69" t="s">
        <v>2180</v>
      </c>
      <c r="J65" s="122">
        <v>6</v>
      </c>
      <c r="K65" s="15">
        <f>46500/1.1/6</f>
        <v>7045.454545454545</v>
      </c>
      <c r="L65" s="16">
        <v>42273</v>
      </c>
      <c r="M65" s="16">
        <v>4227</v>
      </c>
      <c r="N65" s="15">
        <f t="shared" si="5"/>
        <v>46500</v>
      </c>
      <c r="O65" s="5" t="s">
        <v>2177</v>
      </c>
      <c r="P65" s="9" t="s">
        <v>2635</v>
      </c>
      <c r="Q65" s="5">
        <v>45805</v>
      </c>
      <c r="R65" s="213"/>
    </row>
    <row r="66" spans="1:20" ht="16.5" customHeight="1">
      <c r="A66" t="s">
        <v>64</v>
      </c>
      <c r="B66" s="10" t="s">
        <v>2205</v>
      </c>
      <c r="C66" s="12"/>
      <c r="D66" s="13">
        <v>45800</v>
      </c>
      <c r="E66" s="155" t="s">
        <v>2191</v>
      </c>
      <c r="F66" s="155" t="s">
        <v>2629</v>
      </c>
      <c r="G66" s="156" t="s">
        <v>41</v>
      </c>
      <c r="H66" s="156" t="s">
        <v>2192</v>
      </c>
      <c r="I66" s="69" t="s">
        <v>2193</v>
      </c>
      <c r="J66" s="122">
        <v>1</v>
      </c>
      <c r="K66" s="15">
        <v>400000</v>
      </c>
      <c r="L66" s="16">
        <f t="shared" ref="L66:L71" si="6">J66*K66</f>
        <v>400000</v>
      </c>
      <c r="M66" s="16">
        <f>L66*10%</f>
        <v>40000</v>
      </c>
      <c r="N66" s="15">
        <f t="shared" si="5"/>
        <v>440000</v>
      </c>
      <c r="O66" s="5" t="s">
        <v>2580</v>
      </c>
      <c r="P66" s="9" t="s">
        <v>2636</v>
      </c>
      <c r="Q66" s="5">
        <v>45807</v>
      </c>
      <c r="R66" s="213"/>
    </row>
    <row r="67" spans="1:20" ht="16.5" customHeight="1">
      <c r="A67" t="s">
        <v>64</v>
      </c>
      <c r="B67" s="10" t="s">
        <v>312</v>
      </c>
      <c r="C67" s="12"/>
      <c r="D67" s="13">
        <v>45802</v>
      </c>
      <c r="E67" s="155" t="s">
        <v>155</v>
      </c>
      <c r="F67" s="155" t="s">
        <v>264</v>
      </c>
      <c r="G67" s="157" t="s">
        <v>98</v>
      </c>
      <c r="H67" s="156" t="s">
        <v>102</v>
      </c>
      <c r="I67" s="69" t="s">
        <v>2074</v>
      </c>
      <c r="J67" s="122">
        <v>1</v>
      </c>
      <c r="K67" s="15">
        <v>200000</v>
      </c>
      <c r="L67" s="16">
        <f t="shared" si="6"/>
        <v>200000</v>
      </c>
      <c r="M67" s="16">
        <f>L67*10%</f>
        <v>20000</v>
      </c>
      <c r="N67" s="15">
        <f t="shared" si="5"/>
        <v>220000</v>
      </c>
      <c r="O67" s="5" t="s">
        <v>2417</v>
      </c>
      <c r="P67" s="9" t="s">
        <v>2634</v>
      </c>
      <c r="Q67" s="5">
        <v>45797</v>
      </c>
      <c r="R67" s="209"/>
      <c r="T67" s="11"/>
    </row>
    <row r="68" spans="1:20" ht="16.5" customHeight="1">
      <c r="A68" t="s">
        <v>64</v>
      </c>
      <c r="B68" s="10" t="s">
        <v>144</v>
      </c>
      <c r="C68" s="12"/>
      <c r="D68" s="13">
        <v>45802</v>
      </c>
      <c r="E68" s="155" t="s">
        <v>115</v>
      </c>
      <c r="F68" s="155"/>
      <c r="G68" s="156" t="s">
        <v>30</v>
      </c>
      <c r="H68" s="157" t="s">
        <v>208</v>
      </c>
      <c r="I68" s="69" t="s">
        <v>2012</v>
      </c>
      <c r="J68" s="122">
        <v>1</v>
      </c>
      <c r="K68" s="15">
        <v>342614</v>
      </c>
      <c r="L68" s="16">
        <f t="shared" si="6"/>
        <v>342614</v>
      </c>
      <c r="M68" s="187">
        <v>34261</v>
      </c>
      <c r="N68" s="15">
        <f t="shared" si="5"/>
        <v>376875</v>
      </c>
      <c r="O68" s="5" t="s">
        <v>2009</v>
      </c>
      <c r="P68" s="177" t="s">
        <v>2644</v>
      </c>
      <c r="Q68" s="5" t="s">
        <v>144</v>
      </c>
      <c r="R68" s="209" t="s">
        <v>339</v>
      </c>
      <c r="S68" s="101"/>
      <c r="T68" s="11"/>
    </row>
    <row r="69" spans="1:20" ht="16.5" customHeight="1">
      <c r="A69" t="s">
        <v>64</v>
      </c>
      <c r="B69" s="10" t="s">
        <v>144</v>
      </c>
      <c r="C69" s="12"/>
      <c r="D69" s="13">
        <v>45802</v>
      </c>
      <c r="E69" s="155" t="s">
        <v>115</v>
      </c>
      <c r="F69" s="155"/>
      <c r="G69" s="156" t="s">
        <v>30</v>
      </c>
      <c r="H69" s="157" t="s">
        <v>208</v>
      </c>
      <c r="I69" s="69" t="s">
        <v>2011</v>
      </c>
      <c r="J69" s="122">
        <v>1</v>
      </c>
      <c r="K69" s="15">
        <v>234659</v>
      </c>
      <c r="L69" s="16">
        <f t="shared" si="6"/>
        <v>234659</v>
      </c>
      <c r="M69" s="187">
        <v>23466</v>
      </c>
      <c r="N69" s="15">
        <f t="shared" si="5"/>
        <v>258125</v>
      </c>
      <c r="O69" s="5" t="s">
        <v>262</v>
      </c>
      <c r="P69" s="177" t="s">
        <v>2644</v>
      </c>
      <c r="Q69" s="5" t="s">
        <v>144</v>
      </c>
      <c r="R69" s="209" t="s">
        <v>339</v>
      </c>
      <c r="S69" s="101"/>
      <c r="T69" s="11"/>
    </row>
    <row r="70" spans="1:20" ht="16.5" customHeight="1">
      <c r="A70" t="s">
        <v>64</v>
      </c>
      <c r="B70" s="10" t="s">
        <v>144</v>
      </c>
      <c r="C70" s="12"/>
      <c r="D70" s="13">
        <v>45802</v>
      </c>
      <c r="E70" s="155" t="s">
        <v>115</v>
      </c>
      <c r="F70" s="155"/>
      <c r="G70" s="156" t="s">
        <v>30</v>
      </c>
      <c r="H70" s="157" t="s">
        <v>208</v>
      </c>
      <c r="I70" s="69" t="s">
        <v>2010</v>
      </c>
      <c r="J70" s="122">
        <v>1</v>
      </c>
      <c r="K70" s="15">
        <v>488069</v>
      </c>
      <c r="L70" s="16">
        <f t="shared" si="6"/>
        <v>488069</v>
      </c>
      <c r="M70" s="187">
        <v>48806</v>
      </c>
      <c r="N70" s="15">
        <f t="shared" si="5"/>
        <v>536875</v>
      </c>
      <c r="O70" s="5" t="s">
        <v>2009</v>
      </c>
      <c r="P70" s="177" t="s">
        <v>2644</v>
      </c>
      <c r="Q70" s="5" t="s">
        <v>144</v>
      </c>
      <c r="R70" s="209" t="s">
        <v>339</v>
      </c>
      <c r="S70" s="101"/>
      <c r="T70" s="11"/>
    </row>
    <row r="71" spans="1:20" ht="16.5" customHeight="1">
      <c r="A71" t="s">
        <v>64</v>
      </c>
      <c r="B71" s="10" t="s">
        <v>144</v>
      </c>
      <c r="C71" s="12"/>
      <c r="D71" s="13">
        <v>45802</v>
      </c>
      <c r="E71" s="155" t="s">
        <v>115</v>
      </c>
      <c r="F71" s="155"/>
      <c r="G71" s="156" t="s">
        <v>30</v>
      </c>
      <c r="H71" s="157" t="s">
        <v>208</v>
      </c>
      <c r="I71" s="69" t="s">
        <v>2008</v>
      </c>
      <c r="J71" s="122">
        <v>1</v>
      </c>
      <c r="K71" s="15">
        <v>307386</v>
      </c>
      <c r="L71" s="16">
        <f t="shared" si="6"/>
        <v>307386</v>
      </c>
      <c r="M71" s="187">
        <v>30739</v>
      </c>
      <c r="N71" s="15">
        <f t="shared" si="5"/>
        <v>338125</v>
      </c>
      <c r="O71" s="5" t="s">
        <v>262</v>
      </c>
      <c r="P71" s="177" t="s">
        <v>2644</v>
      </c>
      <c r="Q71" s="5" t="s">
        <v>144</v>
      </c>
      <c r="R71" s="209" t="s">
        <v>339</v>
      </c>
      <c r="S71" s="101"/>
      <c r="T71" s="11"/>
    </row>
    <row r="72" spans="1:20" ht="16.5" customHeight="1">
      <c r="A72" t="s">
        <v>64</v>
      </c>
      <c r="B72" s="10" t="s">
        <v>144</v>
      </c>
      <c r="C72" s="12"/>
      <c r="D72" s="13">
        <v>45802</v>
      </c>
      <c r="E72" s="155" t="s">
        <v>149</v>
      </c>
      <c r="F72" s="155"/>
      <c r="G72" s="156" t="s">
        <v>30</v>
      </c>
      <c r="H72" s="157" t="s">
        <v>208</v>
      </c>
      <c r="I72" s="69" t="s">
        <v>2013</v>
      </c>
      <c r="J72" s="122">
        <v>1</v>
      </c>
      <c r="K72" s="15">
        <f>371000/1.1</f>
        <v>337272.72727272724</v>
      </c>
      <c r="L72" s="16">
        <v>437273</v>
      </c>
      <c r="M72" s="187">
        <v>43727</v>
      </c>
      <c r="N72" s="15">
        <f t="shared" si="5"/>
        <v>481000</v>
      </c>
      <c r="O72" s="5" t="s">
        <v>2009</v>
      </c>
      <c r="P72" s="177" t="s">
        <v>2644</v>
      </c>
      <c r="Q72" s="5" t="s">
        <v>144</v>
      </c>
      <c r="R72" s="209" t="s">
        <v>339</v>
      </c>
    </row>
    <row r="73" spans="1:20" ht="16.5" customHeight="1">
      <c r="A73" t="s">
        <v>64</v>
      </c>
      <c r="B73" s="10" t="s">
        <v>144</v>
      </c>
      <c r="C73" s="145"/>
      <c r="D73" s="65"/>
      <c r="E73" s="160" t="s">
        <v>149</v>
      </c>
      <c r="F73" s="160"/>
      <c r="G73" s="156" t="s">
        <v>30</v>
      </c>
      <c r="H73" s="157" t="s">
        <v>208</v>
      </c>
      <c r="I73" s="69" t="s">
        <v>2014</v>
      </c>
      <c r="J73" s="122">
        <v>1</v>
      </c>
      <c r="K73" s="15">
        <v>100000</v>
      </c>
      <c r="L73" s="125"/>
      <c r="M73" s="125"/>
      <c r="N73" s="126"/>
      <c r="O73" s="5" t="s">
        <v>263</v>
      </c>
      <c r="P73" s="9" t="s">
        <v>2644</v>
      </c>
      <c r="Q73" s="5" t="s">
        <v>144</v>
      </c>
      <c r="R73" s="209"/>
    </row>
    <row r="74" spans="1:20">
      <c r="A74" t="s">
        <v>64</v>
      </c>
      <c r="B74" s="10" t="s">
        <v>144</v>
      </c>
      <c r="C74" s="12"/>
      <c r="D74" s="13">
        <v>45802</v>
      </c>
      <c r="E74" s="155" t="s">
        <v>106</v>
      </c>
      <c r="F74" s="155"/>
      <c r="G74" s="156" t="s">
        <v>30</v>
      </c>
      <c r="H74" s="156" t="s">
        <v>282</v>
      </c>
      <c r="I74" s="69" t="s">
        <v>1962</v>
      </c>
      <c r="J74" s="122">
        <v>4</v>
      </c>
      <c r="K74" s="15">
        <v>6000</v>
      </c>
      <c r="L74" s="16">
        <f t="shared" ref="L74:L84" si="7">J74*K74</f>
        <v>24000</v>
      </c>
      <c r="M74" s="15">
        <f>L74*10%</f>
        <v>2400</v>
      </c>
      <c r="N74" s="15">
        <f t="shared" ref="N74:N85" si="8">SUM(L74:M74)</f>
        <v>26400</v>
      </c>
      <c r="O74" s="5" t="s">
        <v>2304</v>
      </c>
      <c r="P74" s="9" t="s">
        <v>2644</v>
      </c>
      <c r="Q74" s="5" t="s">
        <v>144</v>
      </c>
      <c r="R74" s="209"/>
      <c r="T74" s="11"/>
    </row>
    <row r="75" spans="1:20" ht="16.5" customHeight="1">
      <c r="A75" t="s">
        <v>64</v>
      </c>
      <c r="B75" s="10" t="s">
        <v>1713</v>
      </c>
      <c r="C75" s="12"/>
      <c r="D75" s="13">
        <v>45803</v>
      </c>
      <c r="E75" s="155" t="s">
        <v>1663</v>
      </c>
      <c r="F75" s="155" t="s">
        <v>1535</v>
      </c>
      <c r="G75" s="157" t="s">
        <v>98</v>
      </c>
      <c r="H75" s="157" t="s">
        <v>213</v>
      </c>
      <c r="I75" s="69" t="s">
        <v>2075</v>
      </c>
      <c r="J75" s="122">
        <v>1</v>
      </c>
      <c r="K75" s="15">
        <v>500000</v>
      </c>
      <c r="L75" s="16">
        <f t="shared" si="7"/>
        <v>500000</v>
      </c>
      <c r="M75" s="16">
        <f>L75*10%</f>
        <v>50000</v>
      </c>
      <c r="N75" s="15">
        <f t="shared" si="8"/>
        <v>550000</v>
      </c>
      <c r="O75" s="5" t="s">
        <v>2578</v>
      </c>
      <c r="P75" s="9" t="s">
        <v>2636</v>
      </c>
      <c r="Q75" s="5">
        <v>45807</v>
      </c>
      <c r="R75" s="209"/>
    </row>
    <row r="76" spans="1:20" ht="16.5" customHeight="1">
      <c r="A76" t="s">
        <v>64</v>
      </c>
      <c r="B76" s="141" t="s">
        <v>2098</v>
      </c>
      <c r="C76" s="142"/>
      <c r="D76" s="13">
        <v>45803</v>
      </c>
      <c r="E76" s="155" t="s">
        <v>31</v>
      </c>
      <c r="F76" s="155" t="s">
        <v>1729</v>
      </c>
      <c r="G76" s="156" t="s">
        <v>7</v>
      </c>
      <c r="H76" s="156" t="s">
        <v>102</v>
      </c>
      <c r="I76" s="69" t="s">
        <v>2099</v>
      </c>
      <c r="J76" s="132">
        <v>1</v>
      </c>
      <c r="K76" s="16">
        <v>150000</v>
      </c>
      <c r="L76" s="16">
        <f t="shared" si="7"/>
        <v>150000</v>
      </c>
      <c r="M76" s="16">
        <f>L76*10%</f>
        <v>15000</v>
      </c>
      <c r="N76" s="15">
        <f t="shared" si="8"/>
        <v>165000</v>
      </c>
      <c r="O76" s="5" t="s">
        <v>2578</v>
      </c>
      <c r="P76" s="9" t="s">
        <v>2634</v>
      </c>
      <c r="Q76" s="5">
        <v>45797</v>
      </c>
      <c r="R76" s="212"/>
      <c r="S76" s="7"/>
      <c r="T76" s="11"/>
    </row>
    <row r="77" spans="1:20" ht="16.5" customHeight="1">
      <c r="A77" t="s">
        <v>64</v>
      </c>
      <c r="B77" s="141" t="s">
        <v>144</v>
      </c>
      <c r="C77" s="148"/>
      <c r="D77" s="13">
        <v>45803</v>
      </c>
      <c r="E77" s="155" t="s">
        <v>21</v>
      </c>
      <c r="F77" s="155"/>
      <c r="G77" s="156" t="s">
        <v>30</v>
      </c>
      <c r="H77" s="156" t="s">
        <v>265</v>
      </c>
      <c r="I77" s="69" t="s">
        <v>2641</v>
      </c>
      <c r="J77" s="124">
        <v>1</v>
      </c>
      <c r="K77" s="16">
        <v>272727</v>
      </c>
      <c r="L77" s="16">
        <f t="shared" si="7"/>
        <v>272727</v>
      </c>
      <c r="M77" s="189">
        <v>27273</v>
      </c>
      <c r="N77" s="15">
        <f t="shared" si="8"/>
        <v>300000</v>
      </c>
      <c r="O77" s="5" t="s">
        <v>2200</v>
      </c>
      <c r="P77" s="177" t="s">
        <v>2644</v>
      </c>
      <c r="Q77" s="68" t="s">
        <v>206</v>
      </c>
      <c r="R77" s="209" t="s">
        <v>339</v>
      </c>
      <c r="S77" s="7"/>
      <c r="T77" s="11"/>
    </row>
    <row r="78" spans="1:20" ht="16.5" customHeight="1">
      <c r="A78" t="s">
        <v>64</v>
      </c>
      <c r="B78" s="141" t="s">
        <v>285</v>
      </c>
      <c r="C78" s="144"/>
      <c r="D78" s="13">
        <v>45803</v>
      </c>
      <c r="E78" s="155" t="s">
        <v>286</v>
      </c>
      <c r="F78" s="164" t="s">
        <v>105</v>
      </c>
      <c r="G78" s="158" t="s">
        <v>7</v>
      </c>
      <c r="H78" s="165" t="s">
        <v>102</v>
      </c>
      <c r="I78" s="166" t="s">
        <v>2093</v>
      </c>
      <c r="J78" s="127">
        <v>1</v>
      </c>
      <c r="K78" s="15">
        <v>600000</v>
      </c>
      <c r="L78" s="16">
        <f t="shared" si="7"/>
        <v>600000</v>
      </c>
      <c r="M78" s="16">
        <f>L78*10%</f>
        <v>60000</v>
      </c>
      <c r="N78" s="15">
        <f t="shared" si="8"/>
        <v>660000</v>
      </c>
      <c r="O78" s="5" t="s">
        <v>2417</v>
      </c>
      <c r="P78" s="9" t="s">
        <v>2634</v>
      </c>
      <c r="Q78" s="5">
        <v>45807</v>
      </c>
      <c r="R78" s="209"/>
      <c r="T78" s="11"/>
    </row>
    <row r="79" spans="1:20" ht="16.5" customHeight="1">
      <c r="A79" t="s">
        <v>64</v>
      </c>
      <c r="B79" s="10" t="s">
        <v>144</v>
      </c>
      <c r="C79" s="12"/>
      <c r="D79" s="13">
        <v>45803</v>
      </c>
      <c r="E79" s="155" t="s">
        <v>400</v>
      </c>
      <c r="F79" s="155"/>
      <c r="G79" s="156" t="s">
        <v>30</v>
      </c>
      <c r="H79" s="156" t="s">
        <v>145</v>
      </c>
      <c r="I79" s="69" t="s">
        <v>2007</v>
      </c>
      <c r="J79" s="122">
        <v>1</v>
      </c>
      <c r="K79" s="16">
        <v>160000</v>
      </c>
      <c r="L79" s="16">
        <f t="shared" si="7"/>
        <v>160000</v>
      </c>
      <c r="M79" s="123">
        <f>L79*10%</f>
        <v>16000</v>
      </c>
      <c r="N79" s="15">
        <f t="shared" si="8"/>
        <v>176000</v>
      </c>
      <c r="O79" s="5" t="s">
        <v>2228</v>
      </c>
      <c r="P79" s="177" t="s">
        <v>2644</v>
      </c>
      <c r="Q79" s="5" t="s">
        <v>144</v>
      </c>
      <c r="R79" s="209"/>
    </row>
    <row r="80" spans="1:20" ht="16.5" customHeight="1">
      <c r="A80" t="s">
        <v>64</v>
      </c>
      <c r="B80" s="10" t="s">
        <v>307</v>
      </c>
      <c r="C80" s="12"/>
      <c r="D80" s="13">
        <v>45804</v>
      </c>
      <c r="E80" s="155" t="s">
        <v>2631</v>
      </c>
      <c r="F80" s="155" t="s">
        <v>288</v>
      </c>
      <c r="G80" s="156" t="s">
        <v>7</v>
      </c>
      <c r="H80" s="156" t="s">
        <v>102</v>
      </c>
      <c r="I80" s="69" t="s">
        <v>2076</v>
      </c>
      <c r="J80" s="122">
        <v>1</v>
      </c>
      <c r="K80" s="15">
        <v>4950000</v>
      </c>
      <c r="L80" s="16">
        <f t="shared" si="7"/>
        <v>4950000</v>
      </c>
      <c r="M80" s="15">
        <f>L80*10%</f>
        <v>495000</v>
      </c>
      <c r="N80" s="15">
        <f t="shared" si="8"/>
        <v>5445000</v>
      </c>
      <c r="O80" s="5" t="s">
        <v>2584</v>
      </c>
      <c r="P80" s="174" t="s">
        <v>2636</v>
      </c>
      <c r="Q80" s="5">
        <v>45807</v>
      </c>
      <c r="R80" s="209"/>
    </row>
    <row r="81" spans="1:20" ht="16.5" customHeight="1">
      <c r="A81" t="s">
        <v>64</v>
      </c>
      <c r="B81" s="10" t="s">
        <v>2218</v>
      </c>
      <c r="C81" s="12"/>
      <c r="D81" s="13">
        <v>45804</v>
      </c>
      <c r="E81" s="155" t="s">
        <v>33</v>
      </c>
      <c r="F81" s="155" t="s">
        <v>65</v>
      </c>
      <c r="G81" s="156" t="s">
        <v>41</v>
      </c>
      <c r="H81" s="156" t="s">
        <v>2216</v>
      </c>
      <c r="I81" s="69" t="s">
        <v>2217</v>
      </c>
      <c r="J81" s="122">
        <v>1</v>
      </c>
      <c r="K81" s="15">
        <v>250000</v>
      </c>
      <c r="L81" s="16">
        <f t="shared" ref="L81:L83" si="9">J81*K81</f>
        <v>250000</v>
      </c>
      <c r="M81" s="16">
        <f t="shared" ref="M81:M82" si="10">L81*10%</f>
        <v>25000</v>
      </c>
      <c r="N81" s="15">
        <f t="shared" ref="N81:N82" si="11">SUM(L81:M81)</f>
        <v>275000</v>
      </c>
      <c r="O81" s="5" t="s">
        <v>2578</v>
      </c>
      <c r="P81" s="9" t="s">
        <v>2636</v>
      </c>
      <c r="Q81" s="5">
        <v>45838</v>
      </c>
      <c r="R81" s="213"/>
    </row>
    <row r="82" spans="1:20" ht="16.5" customHeight="1">
      <c r="A82" t="s">
        <v>64</v>
      </c>
      <c r="B82" s="10" t="s">
        <v>2219</v>
      </c>
      <c r="C82" s="12"/>
      <c r="D82" s="13">
        <v>45805</v>
      </c>
      <c r="E82" s="155" t="s">
        <v>33</v>
      </c>
      <c r="F82" s="155" t="s">
        <v>2215</v>
      </c>
      <c r="G82" s="156" t="s">
        <v>41</v>
      </c>
      <c r="H82" s="156" t="s">
        <v>2213</v>
      </c>
      <c r="I82" s="69" t="s">
        <v>2214</v>
      </c>
      <c r="J82" s="122">
        <v>1</v>
      </c>
      <c r="K82" s="15">
        <v>300000</v>
      </c>
      <c r="L82" s="16">
        <f t="shared" si="9"/>
        <v>300000</v>
      </c>
      <c r="M82" s="16">
        <f t="shared" si="10"/>
        <v>30000</v>
      </c>
      <c r="N82" s="15">
        <f t="shared" si="11"/>
        <v>330000</v>
      </c>
      <c r="O82" s="5" t="s">
        <v>2578</v>
      </c>
      <c r="P82" s="9" t="s">
        <v>2636</v>
      </c>
      <c r="Q82" s="5">
        <v>45817</v>
      </c>
      <c r="R82" s="213"/>
    </row>
    <row r="83" spans="1:20" ht="16.5" customHeight="1">
      <c r="A83" t="s">
        <v>64</v>
      </c>
      <c r="B83" s="10" t="s">
        <v>2317</v>
      </c>
      <c r="C83" s="12"/>
      <c r="D83" s="13">
        <v>45805</v>
      </c>
      <c r="E83" s="155" t="s">
        <v>33</v>
      </c>
      <c r="F83" s="155" t="s">
        <v>661</v>
      </c>
      <c r="G83" s="156" t="s">
        <v>2347</v>
      </c>
      <c r="H83" s="156" t="s">
        <v>2287</v>
      </c>
      <c r="I83" s="69" t="s">
        <v>2286</v>
      </c>
      <c r="J83" s="122">
        <v>1</v>
      </c>
      <c r="K83" s="15">
        <v>220000</v>
      </c>
      <c r="L83" s="16">
        <f t="shared" si="9"/>
        <v>220000</v>
      </c>
      <c r="M83" s="16">
        <f t="shared" ref="M83" si="12">L83*10%</f>
        <v>22000</v>
      </c>
      <c r="N83" s="15">
        <f t="shared" ref="N83" si="13">SUM(L83:M83)</f>
        <v>242000</v>
      </c>
      <c r="O83" s="5" t="s">
        <v>2578</v>
      </c>
      <c r="P83" s="9" t="s">
        <v>2636</v>
      </c>
      <c r="Q83" s="5">
        <v>45838</v>
      </c>
      <c r="R83" s="213"/>
    </row>
    <row r="84" spans="1:20" ht="16.5" customHeight="1">
      <c r="B84" s="10" t="s">
        <v>2209</v>
      </c>
      <c r="C84" s="12"/>
      <c r="D84" s="13">
        <v>45806</v>
      </c>
      <c r="E84" s="155" t="s">
        <v>2629</v>
      </c>
      <c r="F84" s="155" t="s">
        <v>2211</v>
      </c>
      <c r="G84" s="156" t="s">
        <v>2212</v>
      </c>
      <c r="H84" s="156" t="s">
        <v>453</v>
      </c>
      <c r="I84" s="69" t="s">
        <v>2210</v>
      </c>
      <c r="J84" s="122">
        <v>1</v>
      </c>
      <c r="K84" s="15">
        <v>465000</v>
      </c>
      <c r="L84" s="16">
        <f t="shared" si="7"/>
        <v>465000</v>
      </c>
      <c r="M84" s="16">
        <f>L84*10%</f>
        <v>46500</v>
      </c>
      <c r="N84" s="15">
        <f t="shared" si="8"/>
        <v>511500</v>
      </c>
      <c r="O84" s="5" t="s">
        <v>2578</v>
      </c>
      <c r="P84" s="9" t="s">
        <v>2636</v>
      </c>
      <c r="Q84" s="5">
        <v>45930</v>
      </c>
      <c r="R84" s="213"/>
    </row>
    <row r="85" spans="1:20" ht="16.5" customHeight="1">
      <c r="A85" t="s">
        <v>64</v>
      </c>
      <c r="B85" s="10" t="s">
        <v>1809</v>
      </c>
      <c r="C85" s="12"/>
      <c r="D85" s="13">
        <v>45806</v>
      </c>
      <c r="E85" s="155" t="s">
        <v>2629</v>
      </c>
      <c r="F85" s="155" t="s">
        <v>1810</v>
      </c>
      <c r="G85" s="156" t="s">
        <v>1793</v>
      </c>
      <c r="H85" s="156" t="s">
        <v>1812</v>
      </c>
      <c r="I85" s="69" t="s">
        <v>1811</v>
      </c>
      <c r="J85" s="122">
        <v>1</v>
      </c>
      <c r="K85" s="15">
        <v>5780000</v>
      </c>
      <c r="L85" s="16">
        <v>7175000</v>
      </c>
      <c r="M85" s="16">
        <f>L85*10%</f>
        <v>717500</v>
      </c>
      <c r="N85" s="15">
        <f t="shared" si="8"/>
        <v>7892500</v>
      </c>
      <c r="O85" s="5" t="s">
        <v>2578</v>
      </c>
      <c r="P85" s="9" t="s">
        <v>2635</v>
      </c>
      <c r="Q85" s="5">
        <v>45832</v>
      </c>
      <c r="R85" s="213"/>
    </row>
    <row r="86" spans="1:20" ht="16.5" customHeight="1">
      <c r="A86" t="s">
        <v>64</v>
      </c>
      <c r="B86" s="10" t="s">
        <v>1805</v>
      </c>
      <c r="C86" s="145"/>
      <c r="D86" s="65"/>
      <c r="E86" s="160" t="s">
        <v>2629</v>
      </c>
      <c r="F86" s="160" t="s">
        <v>1816</v>
      </c>
      <c r="G86" s="156" t="s">
        <v>1793</v>
      </c>
      <c r="H86" s="156" t="s">
        <v>1818</v>
      </c>
      <c r="I86" s="69" t="s">
        <v>1819</v>
      </c>
      <c r="J86" s="122">
        <v>1</v>
      </c>
      <c r="K86" s="15">
        <v>1395000</v>
      </c>
      <c r="L86" s="125"/>
      <c r="M86" s="125"/>
      <c r="N86" s="126"/>
      <c r="O86" s="99"/>
      <c r="P86" s="176"/>
      <c r="Q86" s="5">
        <v>45805</v>
      </c>
      <c r="R86" s="213"/>
    </row>
    <row r="87" spans="1:20" ht="16.5" customHeight="1">
      <c r="A87" t="s">
        <v>64</v>
      </c>
      <c r="B87" s="10" t="s">
        <v>302</v>
      </c>
      <c r="C87" s="142"/>
      <c r="D87" s="13">
        <v>45807</v>
      </c>
      <c r="E87" s="155" t="s">
        <v>273</v>
      </c>
      <c r="F87" s="155" t="s">
        <v>266</v>
      </c>
      <c r="G87" s="157" t="s">
        <v>98</v>
      </c>
      <c r="H87" s="157" t="s">
        <v>102</v>
      </c>
      <c r="I87" s="69" t="s">
        <v>2077</v>
      </c>
      <c r="J87" s="124">
        <v>1</v>
      </c>
      <c r="K87" s="16">
        <v>672000</v>
      </c>
      <c r="L87" s="15">
        <f>J87*K87</f>
        <v>672000</v>
      </c>
      <c r="M87" s="16">
        <f>L87*10%</f>
        <v>67200</v>
      </c>
      <c r="N87" s="15">
        <f>SUM(L87:M87)</f>
        <v>739200</v>
      </c>
      <c r="O87" s="5" t="s">
        <v>2417</v>
      </c>
      <c r="P87" s="175" t="s">
        <v>2635</v>
      </c>
      <c r="Q87" s="5">
        <v>45807</v>
      </c>
      <c r="R87" s="212"/>
      <c r="S87" s="7"/>
      <c r="T87" s="11"/>
    </row>
    <row r="88" spans="1:20" ht="16.5" customHeight="1">
      <c r="B88" s="10" t="s">
        <v>2201</v>
      </c>
      <c r="C88" s="12"/>
      <c r="D88" s="13">
        <v>45807</v>
      </c>
      <c r="E88" s="155" t="s">
        <v>2202</v>
      </c>
      <c r="F88" s="155" t="s">
        <v>2629</v>
      </c>
      <c r="G88" s="156" t="s">
        <v>41</v>
      </c>
      <c r="H88" s="156" t="s">
        <v>2203</v>
      </c>
      <c r="I88" s="69" t="s">
        <v>2204</v>
      </c>
      <c r="J88" s="122">
        <v>1</v>
      </c>
      <c r="K88" s="15">
        <v>13270000</v>
      </c>
      <c r="L88" s="16">
        <f>J88*K88</f>
        <v>13270000</v>
      </c>
      <c r="M88" s="16">
        <f>L88*10%</f>
        <v>1327000</v>
      </c>
      <c r="N88" s="15">
        <f>SUM(L88:M88)</f>
        <v>14597000</v>
      </c>
      <c r="O88" s="5" t="s">
        <v>2578</v>
      </c>
      <c r="P88" s="9" t="s">
        <v>2634</v>
      </c>
      <c r="Q88" s="5">
        <v>45807</v>
      </c>
      <c r="R88" s="213"/>
    </row>
    <row r="89" spans="1:20" ht="16.5" customHeight="1">
      <c r="A89" t="s">
        <v>64</v>
      </c>
      <c r="B89" s="10" t="s">
        <v>489</v>
      </c>
      <c r="C89" s="12"/>
      <c r="D89" s="13">
        <v>45807</v>
      </c>
      <c r="E89" s="155" t="s">
        <v>503</v>
      </c>
      <c r="F89" s="155" t="s">
        <v>424</v>
      </c>
      <c r="G89" s="157" t="s">
        <v>98</v>
      </c>
      <c r="H89" s="157" t="s">
        <v>1058</v>
      </c>
      <c r="I89" s="69" t="s">
        <v>2084</v>
      </c>
      <c r="J89" s="122">
        <v>1</v>
      </c>
      <c r="K89" s="15">
        <v>20600</v>
      </c>
      <c r="L89" s="16">
        <v>1823080</v>
      </c>
      <c r="M89" s="16">
        <f>L89*10%</f>
        <v>182308</v>
      </c>
      <c r="N89" s="15">
        <f>SUM(L89:M89)</f>
        <v>2005388</v>
      </c>
      <c r="O89" s="5" t="s">
        <v>2417</v>
      </c>
      <c r="P89" s="9" t="s">
        <v>2636</v>
      </c>
      <c r="Q89" s="5">
        <v>45802</v>
      </c>
      <c r="R89" s="209"/>
    </row>
    <row r="90" spans="1:20" ht="16.5" customHeight="1">
      <c r="A90" t="s">
        <v>64</v>
      </c>
      <c r="B90" s="10" t="s">
        <v>490</v>
      </c>
      <c r="C90" s="145"/>
      <c r="D90" s="65"/>
      <c r="E90" s="160" t="s">
        <v>503</v>
      </c>
      <c r="F90" s="155" t="s">
        <v>2632</v>
      </c>
      <c r="G90" s="157" t="s">
        <v>98</v>
      </c>
      <c r="H90" s="157" t="s">
        <v>1058</v>
      </c>
      <c r="I90" s="69" t="s">
        <v>2085</v>
      </c>
      <c r="J90" s="122">
        <v>1</v>
      </c>
      <c r="K90" s="15">
        <v>70180</v>
      </c>
      <c r="L90" s="125"/>
      <c r="M90" s="125"/>
      <c r="N90" s="126"/>
      <c r="O90" s="99"/>
      <c r="P90" s="9" t="s">
        <v>2636</v>
      </c>
      <c r="Q90" s="5">
        <v>45802</v>
      </c>
      <c r="R90" s="209"/>
    </row>
    <row r="91" spans="1:20" ht="16.5" customHeight="1">
      <c r="A91" t="s">
        <v>64</v>
      </c>
      <c r="B91" s="10" t="s">
        <v>415</v>
      </c>
      <c r="C91" s="145"/>
      <c r="D91" s="65"/>
      <c r="E91" s="160" t="s">
        <v>503</v>
      </c>
      <c r="F91" s="155" t="s">
        <v>99</v>
      </c>
      <c r="G91" s="157" t="s">
        <v>98</v>
      </c>
      <c r="H91" s="157" t="s">
        <v>1058</v>
      </c>
      <c r="I91" s="69" t="s">
        <v>2086</v>
      </c>
      <c r="J91" s="122">
        <v>1</v>
      </c>
      <c r="K91" s="15">
        <v>352900</v>
      </c>
      <c r="L91" s="125"/>
      <c r="M91" s="125"/>
      <c r="N91" s="126"/>
      <c r="O91" s="99"/>
      <c r="P91" s="9" t="s">
        <v>2634</v>
      </c>
      <c r="Q91" s="5">
        <v>45813</v>
      </c>
      <c r="R91" s="209"/>
    </row>
    <row r="92" spans="1:20" ht="16.5" customHeight="1">
      <c r="A92" t="s">
        <v>64</v>
      </c>
      <c r="B92" s="10" t="s">
        <v>312</v>
      </c>
      <c r="C92" s="145"/>
      <c r="D92" s="65"/>
      <c r="E92" s="160" t="s">
        <v>503</v>
      </c>
      <c r="F92" s="155" t="s">
        <v>264</v>
      </c>
      <c r="G92" s="157" t="s">
        <v>98</v>
      </c>
      <c r="H92" s="157" t="s">
        <v>1058</v>
      </c>
      <c r="I92" s="69" t="s">
        <v>2052</v>
      </c>
      <c r="J92" s="122">
        <v>1</v>
      </c>
      <c r="K92" s="15">
        <v>80000</v>
      </c>
      <c r="L92" s="125"/>
      <c r="M92" s="125"/>
      <c r="N92" s="126"/>
      <c r="O92" s="99"/>
      <c r="P92" s="9" t="s">
        <v>2634</v>
      </c>
      <c r="Q92" s="5">
        <v>45797</v>
      </c>
      <c r="R92" s="213"/>
    </row>
    <row r="93" spans="1:20" ht="16.5" customHeight="1">
      <c r="A93" t="s">
        <v>64</v>
      </c>
      <c r="B93" s="10" t="s">
        <v>1253</v>
      </c>
      <c r="C93" s="145"/>
      <c r="D93" s="65"/>
      <c r="E93" s="160" t="s">
        <v>503</v>
      </c>
      <c r="F93" s="155" t="s">
        <v>1062</v>
      </c>
      <c r="G93" s="157" t="s">
        <v>98</v>
      </c>
      <c r="H93" s="157" t="s">
        <v>1058</v>
      </c>
      <c r="I93" s="69" t="s">
        <v>2087</v>
      </c>
      <c r="J93" s="122">
        <v>1</v>
      </c>
      <c r="K93" s="15">
        <v>66000</v>
      </c>
      <c r="L93" s="125"/>
      <c r="M93" s="125"/>
      <c r="N93" s="126"/>
      <c r="O93" s="99"/>
      <c r="P93" s="9" t="s">
        <v>2636</v>
      </c>
      <c r="Q93" s="5">
        <v>45838</v>
      </c>
      <c r="R93" s="213"/>
    </row>
    <row r="94" spans="1:20" ht="16.5" customHeight="1">
      <c r="A94" t="s">
        <v>64</v>
      </c>
      <c r="B94" s="10" t="s">
        <v>1053</v>
      </c>
      <c r="C94" s="145"/>
      <c r="D94" s="65"/>
      <c r="E94" s="160" t="s">
        <v>503</v>
      </c>
      <c r="F94" s="155" t="s">
        <v>987</v>
      </c>
      <c r="G94" s="157" t="s">
        <v>98</v>
      </c>
      <c r="H94" s="157" t="s">
        <v>1058</v>
      </c>
      <c r="I94" s="69" t="s">
        <v>2088</v>
      </c>
      <c r="J94" s="124">
        <v>1</v>
      </c>
      <c r="K94" s="15">
        <v>44000</v>
      </c>
      <c r="L94" s="125"/>
      <c r="M94" s="125"/>
      <c r="N94" s="126"/>
      <c r="O94" s="99"/>
      <c r="P94" s="9" t="s">
        <v>2635</v>
      </c>
      <c r="Q94" s="5">
        <v>45807</v>
      </c>
      <c r="R94" s="209"/>
    </row>
    <row r="95" spans="1:20" ht="16.5" customHeight="1">
      <c r="A95" t="s">
        <v>64</v>
      </c>
      <c r="B95" s="10" t="s">
        <v>1254</v>
      </c>
      <c r="C95" s="145"/>
      <c r="D95" s="65"/>
      <c r="E95" s="160" t="s">
        <v>503</v>
      </c>
      <c r="F95" s="155" t="s">
        <v>32</v>
      </c>
      <c r="G95" s="157" t="s">
        <v>98</v>
      </c>
      <c r="H95" s="157" t="s">
        <v>1058</v>
      </c>
      <c r="I95" s="69" t="s">
        <v>2089</v>
      </c>
      <c r="J95" s="122">
        <v>1</v>
      </c>
      <c r="K95" s="15">
        <v>292200</v>
      </c>
      <c r="L95" s="125"/>
      <c r="M95" s="125"/>
      <c r="N95" s="126"/>
      <c r="O95" s="99"/>
      <c r="P95" s="9" t="s">
        <v>2634</v>
      </c>
      <c r="Q95" s="5">
        <v>45807</v>
      </c>
      <c r="R95" s="213"/>
    </row>
    <row r="96" spans="1:20" ht="16.5" customHeight="1">
      <c r="A96" t="s">
        <v>64</v>
      </c>
      <c r="B96" s="10" t="s">
        <v>1617</v>
      </c>
      <c r="C96" s="145"/>
      <c r="D96" s="65"/>
      <c r="E96" s="160" t="s">
        <v>503</v>
      </c>
      <c r="F96" s="155" t="s">
        <v>32</v>
      </c>
      <c r="G96" s="157" t="s">
        <v>98</v>
      </c>
      <c r="H96" s="157" t="s">
        <v>1058</v>
      </c>
      <c r="I96" s="69" t="s">
        <v>2090</v>
      </c>
      <c r="J96" s="122">
        <v>1</v>
      </c>
      <c r="K96" s="15">
        <v>376200</v>
      </c>
      <c r="L96" s="125"/>
      <c r="M96" s="125"/>
      <c r="N96" s="126"/>
      <c r="O96" s="99"/>
      <c r="P96" s="9" t="s">
        <v>2634</v>
      </c>
      <c r="Q96" s="5">
        <v>45807</v>
      </c>
      <c r="R96" s="213"/>
    </row>
    <row r="97" spans="1:21" ht="16.5" customHeight="1">
      <c r="A97" t="s">
        <v>64</v>
      </c>
      <c r="B97" s="10" t="s">
        <v>1252</v>
      </c>
      <c r="C97" s="145"/>
      <c r="D97" s="65"/>
      <c r="E97" s="160" t="s">
        <v>503</v>
      </c>
      <c r="F97" s="155" t="s">
        <v>236</v>
      </c>
      <c r="G97" s="157" t="s">
        <v>98</v>
      </c>
      <c r="H97" s="157" t="s">
        <v>1058</v>
      </c>
      <c r="I97" s="69" t="s">
        <v>2091</v>
      </c>
      <c r="J97" s="122">
        <v>1</v>
      </c>
      <c r="K97" s="15">
        <v>391000</v>
      </c>
      <c r="L97" s="125"/>
      <c r="M97" s="125"/>
      <c r="N97" s="126"/>
      <c r="O97" s="99"/>
      <c r="P97" s="9" t="s">
        <v>2636</v>
      </c>
      <c r="Q97" s="5">
        <v>45807</v>
      </c>
      <c r="R97" s="213"/>
    </row>
    <row r="98" spans="1:21" ht="16.5" customHeight="1">
      <c r="A98" t="s">
        <v>64</v>
      </c>
      <c r="B98" s="10" t="s">
        <v>1730</v>
      </c>
      <c r="C98" s="145"/>
      <c r="D98" s="65"/>
      <c r="E98" s="160" t="s">
        <v>503</v>
      </c>
      <c r="F98" s="155" t="s">
        <v>961</v>
      </c>
      <c r="G98" s="157" t="s">
        <v>98</v>
      </c>
      <c r="H98" s="157" t="s">
        <v>1058</v>
      </c>
      <c r="I98" s="69" t="s">
        <v>2226</v>
      </c>
      <c r="J98" s="122">
        <v>1</v>
      </c>
      <c r="K98" s="15">
        <v>14000</v>
      </c>
      <c r="L98" s="125"/>
      <c r="M98" s="125"/>
      <c r="N98" s="126"/>
      <c r="O98" s="99"/>
      <c r="P98" s="9" t="s">
        <v>2636</v>
      </c>
      <c r="Q98" s="5">
        <v>45777</v>
      </c>
      <c r="R98" s="213" t="s">
        <v>100</v>
      </c>
    </row>
    <row r="99" spans="1:21" ht="16.5" customHeight="1">
      <c r="A99" t="s">
        <v>64</v>
      </c>
      <c r="B99" s="10" t="s">
        <v>1731</v>
      </c>
      <c r="C99" s="145"/>
      <c r="D99" s="65"/>
      <c r="E99" s="160" t="s">
        <v>503</v>
      </c>
      <c r="F99" s="155" t="s">
        <v>961</v>
      </c>
      <c r="G99" s="157" t="s">
        <v>98</v>
      </c>
      <c r="H99" s="157" t="s">
        <v>1058</v>
      </c>
      <c r="I99" s="69" t="s">
        <v>2092</v>
      </c>
      <c r="J99" s="122">
        <v>1</v>
      </c>
      <c r="K99" s="15">
        <v>14000</v>
      </c>
      <c r="L99" s="125"/>
      <c r="M99" s="125"/>
      <c r="N99" s="126"/>
      <c r="O99" s="99"/>
      <c r="P99" s="9" t="s">
        <v>2636</v>
      </c>
      <c r="Q99" s="5">
        <v>45777</v>
      </c>
      <c r="R99" s="213" t="s">
        <v>100</v>
      </c>
    </row>
    <row r="100" spans="1:21" ht="16.5" customHeight="1">
      <c r="B100" s="10" t="s">
        <v>2222</v>
      </c>
      <c r="C100" s="145"/>
      <c r="D100" s="65"/>
      <c r="E100" s="160" t="s">
        <v>503</v>
      </c>
      <c r="F100" s="155" t="s">
        <v>2632</v>
      </c>
      <c r="G100" s="157" t="s">
        <v>98</v>
      </c>
      <c r="H100" s="157" t="s">
        <v>1058</v>
      </c>
      <c r="I100" s="69" t="s">
        <v>2223</v>
      </c>
      <c r="J100" s="122">
        <v>1</v>
      </c>
      <c r="K100" s="15">
        <v>33000</v>
      </c>
      <c r="L100" s="125"/>
      <c r="M100" s="125"/>
      <c r="N100" s="126"/>
      <c r="O100" s="99"/>
      <c r="P100" s="9" t="s">
        <v>2636</v>
      </c>
      <c r="Q100" s="5">
        <v>45802</v>
      </c>
      <c r="R100" s="213"/>
    </row>
    <row r="101" spans="1:21" ht="16.5" customHeight="1">
      <c r="B101" s="10" t="s">
        <v>2224</v>
      </c>
      <c r="C101" s="145"/>
      <c r="D101" s="65"/>
      <c r="E101" s="160" t="s">
        <v>503</v>
      </c>
      <c r="F101" s="155" t="s">
        <v>2632</v>
      </c>
      <c r="G101" s="157" t="s">
        <v>98</v>
      </c>
      <c r="H101" s="157" t="s">
        <v>1058</v>
      </c>
      <c r="I101" s="69" t="s">
        <v>2225</v>
      </c>
      <c r="J101" s="122">
        <v>1</v>
      </c>
      <c r="K101" s="15">
        <v>69000</v>
      </c>
      <c r="L101" s="125"/>
      <c r="M101" s="125"/>
      <c r="N101" s="126"/>
      <c r="O101" s="99"/>
      <c r="P101" s="9" t="s">
        <v>2636</v>
      </c>
      <c r="Q101" s="5">
        <v>45802</v>
      </c>
      <c r="R101" s="213"/>
    </row>
    <row r="102" spans="1:21" ht="16.5" customHeight="1">
      <c r="A102" t="s">
        <v>64</v>
      </c>
      <c r="B102" s="10" t="s">
        <v>1809</v>
      </c>
      <c r="C102" s="12"/>
      <c r="D102" s="13">
        <v>45807</v>
      </c>
      <c r="E102" s="155" t="s">
        <v>1813</v>
      </c>
      <c r="F102" s="155" t="s">
        <v>1810</v>
      </c>
      <c r="G102" s="156" t="s">
        <v>1793</v>
      </c>
      <c r="H102" s="156" t="s">
        <v>1817</v>
      </c>
      <c r="I102" s="69" t="s">
        <v>1814</v>
      </c>
      <c r="J102" s="122">
        <v>1</v>
      </c>
      <c r="K102" s="15">
        <v>2400000</v>
      </c>
      <c r="L102" s="16">
        <f t="shared" ref="L102:L132" si="14">J102*K102</f>
        <v>2400000</v>
      </c>
      <c r="M102" s="16">
        <f t="shared" ref="M102:M115" si="15">L102*10%</f>
        <v>240000</v>
      </c>
      <c r="N102" s="15">
        <f t="shared" ref="N102:N132" si="16">SUM(L102:M102)</f>
        <v>2640000</v>
      </c>
      <c r="O102" s="5" t="s">
        <v>2523</v>
      </c>
      <c r="P102" s="9" t="s">
        <v>2635</v>
      </c>
      <c r="Q102" s="5">
        <v>45832</v>
      </c>
      <c r="R102" s="213"/>
    </row>
    <row r="103" spans="1:21" ht="16.5" customHeight="1">
      <c r="A103" t="s">
        <v>64</v>
      </c>
      <c r="B103" s="141" t="s">
        <v>144</v>
      </c>
      <c r="C103" s="142"/>
      <c r="D103" s="13">
        <v>45807</v>
      </c>
      <c r="E103" s="155" t="s">
        <v>270</v>
      </c>
      <c r="F103" s="155"/>
      <c r="G103" s="156" t="s">
        <v>30</v>
      </c>
      <c r="H103" s="156" t="s">
        <v>271</v>
      </c>
      <c r="I103" s="69" t="s">
        <v>2004</v>
      </c>
      <c r="J103" s="124">
        <v>1</v>
      </c>
      <c r="K103" s="16">
        <v>40000</v>
      </c>
      <c r="L103" s="15">
        <f t="shared" si="14"/>
        <v>40000</v>
      </c>
      <c r="M103" s="15">
        <f t="shared" si="15"/>
        <v>4000</v>
      </c>
      <c r="N103" s="15">
        <f t="shared" si="16"/>
        <v>44000</v>
      </c>
      <c r="O103" s="5" t="s">
        <v>2002</v>
      </c>
      <c r="P103" s="175" t="s">
        <v>2644</v>
      </c>
      <c r="Q103" s="68" t="s">
        <v>206</v>
      </c>
      <c r="R103" s="212"/>
      <c r="S103" s="7"/>
      <c r="T103" s="11"/>
    </row>
    <row r="104" spans="1:21" ht="16.5" customHeight="1">
      <c r="A104" t="s">
        <v>64</v>
      </c>
      <c r="B104" s="10" t="s">
        <v>415</v>
      </c>
      <c r="C104" s="142"/>
      <c r="D104" s="13">
        <v>45807</v>
      </c>
      <c r="E104" s="155" t="s">
        <v>272</v>
      </c>
      <c r="F104" s="155" t="s">
        <v>99</v>
      </c>
      <c r="G104" s="157" t="s">
        <v>98</v>
      </c>
      <c r="H104" s="157" t="s">
        <v>213</v>
      </c>
      <c r="I104" s="69" t="s">
        <v>1961</v>
      </c>
      <c r="J104" s="124">
        <v>1</v>
      </c>
      <c r="K104" s="16">
        <v>70000</v>
      </c>
      <c r="L104" s="15">
        <f t="shared" si="14"/>
        <v>70000</v>
      </c>
      <c r="M104" s="15">
        <f t="shared" si="15"/>
        <v>7000</v>
      </c>
      <c r="N104" s="15">
        <f t="shared" si="16"/>
        <v>77000</v>
      </c>
      <c r="O104" s="5" t="s">
        <v>2578</v>
      </c>
      <c r="P104" s="175" t="s">
        <v>2634</v>
      </c>
      <c r="Q104" s="5">
        <v>45813</v>
      </c>
      <c r="R104" s="212"/>
      <c r="S104" s="7"/>
      <c r="T104" s="11"/>
    </row>
    <row r="105" spans="1:21" ht="16.5" customHeight="1">
      <c r="B105" s="140" t="s">
        <v>2220</v>
      </c>
      <c r="C105" s="142"/>
      <c r="D105" s="13">
        <v>45807</v>
      </c>
      <c r="E105" s="155" t="s">
        <v>272</v>
      </c>
      <c r="F105" s="155" t="s">
        <v>1832</v>
      </c>
      <c r="G105" s="157" t="s">
        <v>98</v>
      </c>
      <c r="H105" s="157" t="s">
        <v>2207</v>
      </c>
      <c r="I105" s="69" t="s">
        <v>2208</v>
      </c>
      <c r="J105" s="124">
        <v>1</v>
      </c>
      <c r="K105" s="16">
        <v>1680000</v>
      </c>
      <c r="L105" s="15">
        <f t="shared" si="14"/>
        <v>1680000</v>
      </c>
      <c r="M105" s="15">
        <f t="shared" si="15"/>
        <v>168000</v>
      </c>
      <c r="N105" s="15">
        <f t="shared" si="16"/>
        <v>1848000</v>
      </c>
      <c r="O105" s="5" t="s">
        <v>2578</v>
      </c>
      <c r="P105" s="175" t="s">
        <v>2635</v>
      </c>
      <c r="Q105" s="5" t="s">
        <v>2125</v>
      </c>
      <c r="R105" s="209" t="s">
        <v>398</v>
      </c>
      <c r="S105" s="7"/>
      <c r="T105" s="11"/>
    </row>
    <row r="106" spans="1:21" ht="16.5" customHeight="1">
      <c r="A106" t="s">
        <v>64</v>
      </c>
      <c r="B106" s="10" t="s">
        <v>302</v>
      </c>
      <c r="C106" s="142"/>
      <c r="D106" s="13">
        <v>45807</v>
      </c>
      <c r="E106" s="155" t="s">
        <v>268</v>
      </c>
      <c r="F106" s="155" t="s">
        <v>266</v>
      </c>
      <c r="G106" s="157" t="s">
        <v>98</v>
      </c>
      <c r="H106" s="157" t="s">
        <v>213</v>
      </c>
      <c r="I106" s="69" t="s">
        <v>2078</v>
      </c>
      <c r="J106" s="124">
        <v>1</v>
      </c>
      <c r="K106" s="16">
        <v>100000</v>
      </c>
      <c r="L106" s="15">
        <f t="shared" si="14"/>
        <v>100000</v>
      </c>
      <c r="M106" s="15">
        <f t="shared" si="15"/>
        <v>10000</v>
      </c>
      <c r="N106" s="15">
        <f t="shared" si="16"/>
        <v>110000</v>
      </c>
      <c r="O106" s="5" t="s">
        <v>2417</v>
      </c>
      <c r="P106" s="175" t="s">
        <v>2635</v>
      </c>
      <c r="Q106" s="5">
        <v>45807</v>
      </c>
      <c r="R106" s="212"/>
      <c r="S106" s="7"/>
      <c r="T106" s="11"/>
    </row>
    <row r="107" spans="1:21" ht="16.5" customHeight="1">
      <c r="A107" t="s">
        <v>64</v>
      </c>
      <c r="B107" s="140" t="s">
        <v>267</v>
      </c>
      <c r="C107" s="12"/>
      <c r="D107" s="13">
        <v>45807</v>
      </c>
      <c r="E107" s="155" t="s">
        <v>45</v>
      </c>
      <c r="F107" s="155" t="s">
        <v>345</v>
      </c>
      <c r="G107" s="157" t="s">
        <v>98</v>
      </c>
      <c r="H107" s="167" t="s">
        <v>213</v>
      </c>
      <c r="I107" s="69" t="s">
        <v>2079</v>
      </c>
      <c r="J107" s="124">
        <v>1</v>
      </c>
      <c r="K107" s="16">
        <v>595000</v>
      </c>
      <c r="L107" s="15">
        <f t="shared" si="14"/>
        <v>595000</v>
      </c>
      <c r="M107" s="15">
        <f t="shared" si="15"/>
        <v>59500</v>
      </c>
      <c r="N107" s="15">
        <f t="shared" si="16"/>
        <v>654500</v>
      </c>
      <c r="O107" s="5" t="s">
        <v>2417</v>
      </c>
      <c r="P107" s="174" t="s">
        <v>2636</v>
      </c>
      <c r="Q107" s="5">
        <v>45807</v>
      </c>
      <c r="R107" s="211"/>
      <c r="S107" s="7"/>
      <c r="T107" s="11"/>
    </row>
    <row r="108" spans="1:21" ht="16.5" customHeight="1">
      <c r="A108" t="s">
        <v>64</v>
      </c>
      <c r="B108" s="140" t="s">
        <v>269</v>
      </c>
      <c r="C108" s="12"/>
      <c r="D108" s="13">
        <v>45807</v>
      </c>
      <c r="E108" s="155" t="s">
        <v>45</v>
      </c>
      <c r="F108" s="155" t="s">
        <v>345</v>
      </c>
      <c r="G108" s="157" t="s">
        <v>98</v>
      </c>
      <c r="H108" s="167" t="s">
        <v>213</v>
      </c>
      <c r="I108" s="69" t="s">
        <v>2080</v>
      </c>
      <c r="J108" s="124">
        <v>1</v>
      </c>
      <c r="K108" s="188">
        <v>840000</v>
      </c>
      <c r="L108" s="15">
        <f t="shared" si="14"/>
        <v>840000</v>
      </c>
      <c r="M108" s="15">
        <f t="shared" si="15"/>
        <v>84000</v>
      </c>
      <c r="N108" s="15">
        <f t="shared" si="16"/>
        <v>924000</v>
      </c>
      <c r="O108" s="5" t="s">
        <v>2417</v>
      </c>
      <c r="P108" s="174" t="s">
        <v>2636</v>
      </c>
      <c r="Q108" s="5">
        <v>45807</v>
      </c>
      <c r="R108" s="211"/>
      <c r="S108" s="7"/>
      <c r="T108" s="11"/>
    </row>
    <row r="109" spans="1:21" ht="16.5" customHeight="1">
      <c r="A109" t="s">
        <v>64</v>
      </c>
      <c r="B109" s="10" t="s">
        <v>328</v>
      </c>
      <c r="C109" s="12"/>
      <c r="D109" s="13">
        <v>45807</v>
      </c>
      <c r="E109" s="155" t="s">
        <v>2629</v>
      </c>
      <c r="F109" s="155" t="s">
        <v>236</v>
      </c>
      <c r="G109" s="157" t="s">
        <v>98</v>
      </c>
      <c r="H109" s="156" t="s">
        <v>102</v>
      </c>
      <c r="I109" s="69" t="s">
        <v>2081</v>
      </c>
      <c r="J109" s="122">
        <v>1</v>
      </c>
      <c r="K109" s="15">
        <v>250000</v>
      </c>
      <c r="L109" s="16">
        <f t="shared" si="14"/>
        <v>250000</v>
      </c>
      <c r="M109" s="16">
        <f t="shared" si="15"/>
        <v>25000</v>
      </c>
      <c r="N109" s="15">
        <f t="shared" si="16"/>
        <v>275000</v>
      </c>
      <c r="O109" s="5" t="s">
        <v>2578</v>
      </c>
      <c r="P109" s="9" t="s">
        <v>2636</v>
      </c>
      <c r="Q109" s="5">
        <v>45807</v>
      </c>
      <c r="R109" s="209"/>
      <c r="U109" s="11"/>
    </row>
    <row r="110" spans="1:21" ht="16.5" customHeight="1">
      <c r="A110" t="s">
        <v>64</v>
      </c>
      <c r="B110" s="10" t="s">
        <v>1616</v>
      </c>
      <c r="C110" s="12"/>
      <c r="D110" s="13">
        <v>45807</v>
      </c>
      <c r="E110" s="155" t="s">
        <v>65</v>
      </c>
      <c r="F110" s="155" t="s">
        <v>1535</v>
      </c>
      <c r="G110" s="157" t="s">
        <v>98</v>
      </c>
      <c r="H110" s="157" t="s">
        <v>213</v>
      </c>
      <c r="I110" s="69" t="s">
        <v>2082</v>
      </c>
      <c r="J110" s="122">
        <v>1</v>
      </c>
      <c r="K110" s="15">
        <v>300000</v>
      </c>
      <c r="L110" s="16">
        <f t="shared" si="14"/>
        <v>300000</v>
      </c>
      <c r="M110" s="16">
        <f t="shared" si="15"/>
        <v>30000</v>
      </c>
      <c r="N110" s="15">
        <f t="shared" si="16"/>
        <v>330000</v>
      </c>
      <c r="O110" s="5" t="s">
        <v>2417</v>
      </c>
      <c r="P110" s="175" t="s">
        <v>2644</v>
      </c>
      <c r="Q110" s="5">
        <v>45797</v>
      </c>
      <c r="R110" s="213"/>
    </row>
    <row r="111" spans="1:21" ht="16.5" customHeight="1">
      <c r="A111" t="s">
        <v>64</v>
      </c>
      <c r="B111" s="10" t="s">
        <v>415</v>
      </c>
      <c r="C111" s="12"/>
      <c r="D111" s="13">
        <v>45807</v>
      </c>
      <c r="E111" s="155" t="s">
        <v>173</v>
      </c>
      <c r="F111" s="155" t="s">
        <v>99</v>
      </c>
      <c r="G111" s="156" t="s">
        <v>7</v>
      </c>
      <c r="H111" s="156" t="s">
        <v>102</v>
      </c>
      <c r="I111" s="69" t="s">
        <v>2105</v>
      </c>
      <c r="J111" s="122">
        <v>1</v>
      </c>
      <c r="K111" s="15">
        <v>810000</v>
      </c>
      <c r="L111" s="16">
        <f t="shared" si="14"/>
        <v>810000</v>
      </c>
      <c r="M111" s="16">
        <f t="shared" si="15"/>
        <v>81000</v>
      </c>
      <c r="N111" s="15">
        <f t="shared" si="16"/>
        <v>891000</v>
      </c>
      <c r="O111" s="5" t="s">
        <v>2417</v>
      </c>
      <c r="P111" s="174" t="s">
        <v>2634</v>
      </c>
      <c r="Q111" s="5">
        <v>45813</v>
      </c>
      <c r="R111" s="209"/>
      <c r="T111" s="11"/>
    </row>
    <row r="112" spans="1:21" ht="16.5" customHeight="1">
      <c r="A112" t="s">
        <v>64</v>
      </c>
      <c r="B112" s="10" t="s">
        <v>302</v>
      </c>
      <c r="C112" s="198"/>
      <c r="D112" s="13">
        <v>45807</v>
      </c>
      <c r="E112" s="199" t="s">
        <v>178</v>
      </c>
      <c r="F112" s="199" t="s">
        <v>266</v>
      </c>
      <c r="G112" s="157" t="s">
        <v>98</v>
      </c>
      <c r="H112" s="157" t="s">
        <v>213</v>
      </c>
      <c r="I112" s="69" t="s">
        <v>2052</v>
      </c>
      <c r="J112" s="201">
        <v>1</v>
      </c>
      <c r="K112" s="15">
        <v>290000</v>
      </c>
      <c r="L112" s="16">
        <f t="shared" si="14"/>
        <v>290000</v>
      </c>
      <c r="M112" s="16">
        <f t="shared" si="15"/>
        <v>29000</v>
      </c>
      <c r="N112" s="15">
        <f t="shared" si="16"/>
        <v>319000</v>
      </c>
      <c r="O112" s="5" t="s">
        <v>2417</v>
      </c>
      <c r="P112" s="175" t="s">
        <v>2635</v>
      </c>
      <c r="Q112" s="5">
        <v>45807</v>
      </c>
      <c r="R112" s="213"/>
      <c r="U112" s="11"/>
    </row>
    <row r="113" spans="1:20" ht="16.5" customHeight="1">
      <c r="A113" t="s">
        <v>64</v>
      </c>
      <c r="B113" s="10" t="s">
        <v>2251</v>
      </c>
      <c r="C113" s="12"/>
      <c r="D113" s="13">
        <v>45807</v>
      </c>
      <c r="E113" s="155" t="s">
        <v>2235</v>
      </c>
      <c r="F113" s="155" t="s">
        <v>2252</v>
      </c>
      <c r="G113" s="156" t="s">
        <v>2253</v>
      </c>
      <c r="H113" s="156" t="s">
        <v>2254</v>
      </c>
      <c r="I113" s="69" t="s">
        <v>2236</v>
      </c>
      <c r="J113" s="122">
        <v>1</v>
      </c>
      <c r="K113" s="15">
        <v>1850000</v>
      </c>
      <c r="L113" s="16">
        <f>J113*K113</f>
        <v>1850000</v>
      </c>
      <c r="M113" s="16">
        <f>L113*10%</f>
        <v>185000</v>
      </c>
      <c r="N113" s="15">
        <f>SUM(L113:M113)</f>
        <v>2035000</v>
      </c>
      <c r="O113" s="5" t="s">
        <v>2417</v>
      </c>
      <c r="P113" s="9" t="s">
        <v>2636</v>
      </c>
      <c r="Q113" s="5">
        <v>45792</v>
      </c>
      <c r="R113" s="213"/>
    </row>
    <row r="114" spans="1:20" ht="16.5" customHeight="1">
      <c r="A114" t="s">
        <v>64</v>
      </c>
      <c r="B114" s="10" t="s">
        <v>1974</v>
      </c>
      <c r="C114" s="12"/>
      <c r="D114" s="13">
        <v>45807</v>
      </c>
      <c r="E114" s="155" t="s">
        <v>1383</v>
      </c>
      <c r="F114" s="155" t="s">
        <v>1975</v>
      </c>
      <c r="G114" s="156" t="s">
        <v>41</v>
      </c>
      <c r="H114" s="156" t="s">
        <v>1392</v>
      </c>
      <c r="I114" s="69" t="s">
        <v>2581</v>
      </c>
      <c r="J114" s="122">
        <v>1</v>
      </c>
      <c r="K114" s="15">
        <v>1250000</v>
      </c>
      <c r="L114" s="16">
        <f>J114*K114</f>
        <v>1250000</v>
      </c>
      <c r="M114" s="16">
        <f>L114*10%</f>
        <v>125000</v>
      </c>
      <c r="N114" s="15">
        <f>SUM(L114:M114)</f>
        <v>1375000</v>
      </c>
      <c r="O114" s="5" t="s">
        <v>2582</v>
      </c>
      <c r="P114" s="9" t="s">
        <v>2635</v>
      </c>
      <c r="Q114" s="5">
        <v>45777</v>
      </c>
      <c r="R114" s="209"/>
    </row>
    <row r="115" spans="1:20" ht="16.5" customHeight="1">
      <c r="A115" t="s">
        <v>64</v>
      </c>
      <c r="B115" s="141" t="s">
        <v>144</v>
      </c>
      <c r="C115" s="12"/>
      <c r="D115" s="13">
        <v>45808</v>
      </c>
      <c r="E115" s="155" t="s">
        <v>277</v>
      </c>
      <c r="F115" s="163"/>
      <c r="G115" s="156" t="s">
        <v>30</v>
      </c>
      <c r="H115" s="157" t="s">
        <v>145</v>
      </c>
      <c r="I115" s="159" t="s">
        <v>2003</v>
      </c>
      <c r="J115" s="124">
        <v>1</v>
      </c>
      <c r="K115" s="188">
        <v>200000</v>
      </c>
      <c r="L115" s="15">
        <f t="shared" si="14"/>
        <v>200000</v>
      </c>
      <c r="M115" s="15">
        <f t="shared" si="15"/>
        <v>20000</v>
      </c>
      <c r="N115" s="15">
        <f t="shared" si="16"/>
        <v>220000</v>
      </c>
      <c r="O115" s="5" t="s">
        <v>2348</v>
      </c>
      <c r="P115" s="175" t="s">
        <v>2644</v>
      </c>
      <c r="Q115" s="68" t="s">
        <v>206</v>
      </c>
      <c r="R115" s="211"/>
      <c r="S115" s="7"/>
      <c r="T115" s="11"/>
    </row>
    <row r="116" spans="1:20" ht="16.5" customHeight="1">
      <c r="A116" t="s">
        <v>64</v>
      </c>
      <c r="B116" s="141" t="s">
        <v>144</v>
      </c>
      <c r="C116" s="142"/>
      <c r="D116" s="13">
        <v>45808</v>
      </c>
      <c r="E116" s="155" t="s">
        <v>21</v>
      </c>
      <c r="F116" s="163"/>
      <c r="G116" s="156" t="s">
        <v>30</v>
      </c>
      <c r="H116" s="156" t="s">
        <v>35</v>
      </c>
      <c r="I116" s="69" t="s">
        <v>2006</v>
      </c>
      <c r="J116" s="124">
        <v>1</v>
      </c>
      <c r="K116" s="16">
        <v>417565</v>
      </c>
      <c r="L116" s="16">
        <f t="shared" si="14"/>
        <v>417565</v>
      </c>
      <c r="M116" s="15">
        <v>41756</v>
      </c>
      <c r="N116" s="15">
        <f t="shared" si="16"/>
        <v>459321</v>
      </c>
      <c r="O116" s="5" t="s">
        <v>2304</v>
      </c>
      <c r="P116" s="175" t="s">
        <v>2644</v>
      </c>
      <c r="Q116" s="68" t="s">
        <v>206</v>
      </c>
      <c r="R116" s="212"/>
      <c r="S116" s="7"/>
    </row>
    <row r="117" spans="1:20" ht="16.5" customHeight="1">
      <c r="A117" t="s">
        <v>64</v>
      </c>
      <c r="B117" s="141" t="s">
        <v>144</v>
      </c>
      <c r="C117" s="142"/>
      <c r="D117" s="13">
        <v>45808</v>
      </c>
      <c r="E117" s="155" t="s">
        <v>21</v>
      </c>
      <c r="F117" s="155"/>
      <c r="G117" s="156" t="s">
        <v>30</v>
      </c>
      <c r="H117" s="156" t="s">
        <v>35</v>
      </c>
      <c r="I117" s="69" t="s">
        <v>2005</v>
      </c>
      <c r="J117" s="124">
        <v>1</v>
      </c>
      <c r="K117" s="16">
        <v>92575</v>
      </c>
      <c r="L117" s="16">
        <f t="shared" si="14"/>
        <v>92575</v>
      </c>
      <c r="M117" s="15" t="s">
        <v>144</v>
      </c>
      <c r="N117" s="15">
        <f t="shared" si="16"/>
        <v>92575</v>
      </c>
      <c r="O117" s="5" t="s">
        <v>2304</v>
      </c>
      <c r="P117" s="175" t="s">
        <v>2644</v>
      </c>
      <c r="Q117" s="68" t="s">
        <v>206</v>
      </c>
      <c r="R117" s="212" t="s">
        <v>274</v>
      </c>
      <c r="S117" s="7"/>
    </row>
    <row r="118" spans="1:20" ht="16.5" customHeight="1">
      <c r="A118" t="s">
        <v>64</v>
      </c>
      <c r="B118" s="10" t="s">
        <v>415</v>
      </c>
      <c r="C118" s="12"/>
      <c r="D118" s="13">
        <v>45808</v>
      </c>
      <c r="E118" s="155" t="s">
        <v>19</v>
      </c>
      <c r="F118" s="163" t="s">
        <v>99</v>
      </c>
      <c r="G118" s="157" t="s">
        <v>98</v>
      </c>
      <c r="H118" s="157" t="s">
        <v>213</v>
      </c>
      <c r="I118" s="159" t="s">
        <v>2104</v>
      </c>
      <c r="J118" s="124">
        <v>1</v>
      </c>
      <c r="K118" s="188">
        <v>300000</v>
      </c>
      <c r="L118" s="15">
        <f t="shared" si="14"/>
        <v>300000</v>
      </c>
      <c r="M118" s="15">
        <f>L118*10%</f>
        <v>30000</v>
      </c>
      <c r="N118" s="15">
        <f t="shared" si="16"/>
        <v>330000</v>
      </c>
      <c r="O118" s="5" t="s">
        <v>2578</v>
      </c>
      <c r="P118" s="174" t="s">
        <v>2634</v>
      </c>
      <c r="Q118" s="5">
        <v>45813</v>
      </c>
      <c r="R118" s="211"/>
      <c r="S118" s="7"/>
      <c r="T118" s="11"/>
    </row>
    <row r="119" spans="1:20" ht="16.5" customHeight="1">
      <c r="A119" t="s">
        <v>64</v>
      </c>
      <c r="B119" s="141" t="s">
        <v>144</v>
      </c>
      <c r="C119" s="12"/>
      <c r="D119" s="13">
        <v>45808</v>
      </c>
      <c r="E119" s="155" t="s">
        <v>275</v>
      </c>
      <c r="F119" s="155"/>
      <c r="G119" s="156" t="s">
        <v>30</v>
      </c>
      <c r="H119" s="156" t="s">
        <v>276</v>
      </c>
      <c r="I119" s="69" t="s">
        <v>2229</v>
      </c>
      <c r="J119" s="122">
        <v>1</v>
      </c>
      <c r="K119" s="15">
        <v>160000</v>
      </c>
      <c r="L119" s="16">
        <f t="shared" si="14"/>
        <v>160000</v>
      </c>
      <c r="M119" s="16" t="s">
        <v>144</v>
      </c>
      <c r="N119" s="15">
        <f t="shared" si="16"/>
        <v>160000</v>
      </c>
      <c r="O119" s="5" t="s">
        <v>2348</v>
      </c>
      <c r="P119" s="175" t="s">
        <v>2644</v>
      </c>
      <c r="Q119" s="100" t="s">
        <v>206</v>
      </c>
      <c r="R119" s="212" t="s">
        <v>274</v>
      </c>
    </row>
    <row r="120" spans="1:20" ht="16.5" customHeight="1">
      <c r="A120" t="s">
        <v>64</v>
      </c>
      <c r="B120" s="141" t="s">
        <v>302</v>
      </c>
      <c r="C120" s="142"/>
      <c r="D120" s="13">
        <v>45808</v>
      </c>
      <c r="E120" s="155" t="s">
        <v>313</v>
      </c>
      <c r="F120" s="155" t="s">
        <v>266</v>
      </c>
      <c r="G120" s="157" t="s">
        <v>98</v>
      </c>
      <c r="H120" s="157" t="s">
        <v>213</v>
      </c>
      <c r="I120" s="69" t="s">
        <v>2083</v>
      </c>
      <c r="J120" s="124">
        <v>1</v>
      </c>
      <c r="K120" s="16">
        <v>700000</v>
      </c>
      <c r="L120" s="16">
        <f>J120*K120</f>
        <v>700000</v>
      </c>
      <c r="M120" s="16">
        <f>L120*10%</f>
        <v>70000</v>
      </c>
      <c r="N120" s="15">
        <f>SUM(L120:M120)</f>
        <v>770000</v>
      </c>
      <c r="O120" s="5" t="s">
        <v>2417</v>
      </c>
      <c r="P120" s="177" t="s">
        <v>2635</v>
      </c>
      <c r="Q120" s="5">
        <v>45807</v>
      </c>
      <c r="R120" s="212"/>
      <c r="S120" s="7"/>
      <c r="T120" s="11"/>
    </row>
    <row r="121" spans="1:20" ht="16.5" customHeight="1">
      <c r="A121" t="s">
        <v>64</v>
      </c>
      <c r="B121" s="141" t="s">
        <v>144</v>
      </c>
      <c r="C121" s="142"/>
      <c r="D121" s="13">
        <v>45808</v>
      </c>
      <c r="E121" s="155" t="s">
        <v>177</v>
      </c>
      <c r="F121" s="155"/>
      <c r="G121" s="156" t="s">
        <v>41</v>
      </c>
      <c r="H121" s="156" t="s">
        <v>711</v>
      </c>
      <c r="I121" s="159" t="s">
        <v>2526</v>
      </c>
      <c r="J121" s="124">
        <v>1</v>
      </c>
      <c r="K121" s="16">
        <v>13818</v>
      </c>
      <c r="L121" s="15">
        <f>J121*K121</f>
        <v>13818</v>
      </c>
      <c r="M121" s="15">
        <v>1382</v>
      </c>
      <c r="N121" s="15">
        <f>SUM(L121:M121)</f>
        <v>15200</v>
      </c>
      <c r="O121" s="5" t="s">
        <v>2304</v>
      </c>
      <c r="P121" s="175" t="s">
        <v>2644</v>
      </c>
      <c r="Q121" s="68" t="s">
        <v>206</v>
      </c>
      <c r="R121" s="212"/>
      <c r="S121" s="7"/>
    </row>
    <row r="122" spans="1:20" ht="16.5" customHeight="1">
      <c r="A122" t="s">
        <v>64</v>
      </c>
      <c r="B122" s="141" t="s">
        <v>144</v>
      </c>
      <c r="C122" s="12"/>
      <c r="D122" s="13">
        <v>45808</v>
      </c>
      <c r="E122" s="155" t="s">
        <v>158</v>
      </c>
      <c r="F122" s="155"/>
      <c r="G122" s="156" t="s">
        <v>30</v>
      </c>
      <c r="H122" s="157" t="s">
        <v>145</v>
      </c>
      <c r="I122" s="69" t="s">
        <v>2001</v>
      </c>
      <c r="J122" s="122">
        <v>1</v>
      </c>
      <c r="K122" s="15">
        <v>69000</v>
      </c>
      <c r="L122" s="16">
        <f>J122*K122</f>
        <v>69000</v>
      </c>
      <c r="M122" s="15">
        <f>L122*10%</f>
        <v>6900</v>
      </c>
      <c r="N122" s="15">
        <f>SUM(L122:M122)</f>
        <v>75900</v>
      </c>
      <c r="O122" s="5" t="s">
        <v>2002</v>
      </c>
      <c r="P122" s="175" t="s">
        <v>2644</v>
      </c>
      <c r="Q122" s="68" t="s">
        <v>206</v>
      </c>
      <c r="R122" s="209"/>
      <c r="T122" s="11"/>
    </row>
    <row r="123" spans="1:20" ht="16.5" customHeight="1">
      <c r="A123" t="s">
        <v>64</v>
      </c>
      <c r="B123" s="141" t="s">
        <v>144</v>
      </c>
      <c r="C123" s="148"/>
      <c r="D123" s="13">
        <v>45808</v>
      </c>
      <c r="E123" s="155" t="s">
        <v>833</v>
      </c>
      <c r="F123" s="155"/>
      <c r="G123" s="156" t="s">
        <v>41</v>
      </c>
      <c r="H123" s="157" t="s">
        <v>711</v>
      </c>
      <c r="I123" s="159" t="s">
        <v>2000</v>
      </c>
      <c r="J123" s="124">
        <v>1</v>
      </c>
      <c r="K123" s="16">
        <v>233000</v>
      </c>
      <c r="L123" s="188">
        <f>J123*K123</f>
        <v>233000</v>
      </c>
      <c r="M123" s="15">
        <f>L123*10%</f>
        <v>23300</v>
      </c>
      <c r="N123" s="15">
        <f>SUM(L123:M123)</f>
        <v>256300</v>
      </c>
      <c r="O123" s="5" t="s">
        <v>2348</v>
      </c>
      <c r="P123" s="175" t="s">
        <v>2644</v>
      </c>
      <c r="Q123" s="68" t="s">
        <v>206</v>
      </c>
      <c r="R123" s="212"/>
      <c r="S123" s="7"/>
    </row>
    <row r="124" spans="1:20" ht="16.5" customHeight="1">
      <c r="A124" t="s">
        <v>64</v>
      </c>
      <c r="B124" s="10" t="s">
        <v>2017</v>
      </c>
      <c r="C124" s="12" t="s">
        <v>2131</v>
      </c>
      <c r="D124" s="13">
        <v>45786</v>
      </c>
      <c r="E124" s="155" t="s">
        <v>2625</v>
      </c>
      <c r="F124" s="155" t="s">
        <v>1833</v>
      </c>
      <c r="G124" s="156" t="s">
        <v>7</v>
      </c>
      <c r="H124" s="156" t="s">
        <v>2627</v>
      </c>
      <c r="I124" s="69" t="s">
        <v>2020</v>
      </c>
      <c r="J124" s="122">
        <v>1</v>
      </c>
      <c r="K124" s="15">
        <v>26850</v>
      </c>
      <c r="L124" s="16">
        <f t="shared" si="14"/>
        <v>26850</v>
      </c>
      <c r="M124" s="16">
        <f t="shared" ref="M124:M142" si="17">L124*10%</f>
        <v>2685</v>
      </c>
      <c r="N124" s="15">
        <f t="shared" si="16"/>
        <v>29535</v>
      </c>
      <c r="O124" s="5" t="s">
        <v>2558</v>
      </c>
      <c r="P124" s="9" t="s">
        <v>2636</v>
      </c>
      <c r="Q124" s="5">
        <v>45772</v>
      </c>
      <c r="R124" s="213" t="s">
        <v>1976</v>
      </c>
    </row>
    <row r="125" spans="1:20" ht="16.5" customHeight="1">
      <c r="A125" t="s">
        <v>64</v>
      </c>
      <c r="B125" s="10" t="s">
        <v>2017</v>
      </c>
      <c r="C125" s="12" t="s">
        <v>2131</v>
      </c>
      <c r="D125" s="13">
        <v>45786</v>
      </c>
      <c r="E125" s="155" t="s">
        <v>2625</v>
      </c>
      <c r="F125" s="155" t="s">
        <v>1833</v>
      </c>
      <c r="G125" s="156" t="s">
        <v>7</v>
      </c>
      <c r="H125" s="156" t="s">
        <v>2627</v>
      </c>
      <c r="I125" s="69" t="s">
        <v>2021</v>
      </c>
      <c r="J125" s="122">
        <v>1</v>
      </c>
      <c r="K125" s="15">
        <v>184640</v>
      </c>
      <c r="L125" s="16">
        <f t="shared" si="14"/>
        <v>184640</v>
      </c>
      <c r="M125" s="16">
        <f t="shared" si="17"/>
        <v>18464</v>
      </c>
      <c r="N125" s="15">
        <f t="shared" si="16"/>
        <v>203104</v>
      </c>
      <c r="O125" s="5" t="s">
        <v>2558</v>
      </c>
      <c r="P125" s="9" t="s">
        <v>2636</v>
      </c>
      <c r="Q125" s="5">
        <v>45772</v>
      </c>
      <c r="R125" s="213" t="s">
        <v>1976</v>
      </c>
    </row>
    <row r="126" spans="1:20" ht="16.5" customHeight="1">
      <c r="A126" t="s">
        <v>64</v>
      </c>
      <c r="B126" s="10" t="s">
        <v>2017</v>
      </c>
      <c r="C126" s="12" t="s">
        <v>2131</v>
      </c>
      <c r="D126" s="13">
        <v>45786</v>
      </c>
      <c r="E126" s="155" t="s">
        <v>2625</v>
      </c>
      <c r="F126" s="155" t="s">
        <v>1833</v>
      </c>
      <c r="G126" s="156" t="s">
        <v>7</v>
      </c>
      <c r="H126" s="156" t="s">
        <v>2627</v>
      </c>
      <c r="I126" s="69" t="s">
        <v>2022</v>
      </c>
      <c r="J126" s="122">
        <v>1</v>
      </c>
      <c r="K126" s="15">
        <v>867300</v>
      </c>
      <c r="L126" s="16">
        <f t="shared" si="14"/>
        <v>867300</v>
      </c>
      <c r="M126" s="16">
        <f t="shared" si="17"/>
        <v>86730</v>
      </c>
      <c r="N126" s="15">
        <f t="shared" si="16"/>
        <v>954030</v>
      </c>
      <c r="O126" s="5" t="s">
        <v>2558</v>
      </c>
      <c r="P126" s="9" t="s">
        <v>2636</v>
      </c>
      <c r="Q126" s="5">
        <v>45772</v>
      </c>
      <c r="R126" s="213" t="s">
        <v>1976</v>
      </c>
    </row>
    <row r="127" spans="1:20" ht="16.5" customHeight="1">
      <c r="A127" t="s">
        <v>64</v>
      </c>
      <c r="B127" s="10" t="s">
        <v>2017</v>
      </c>
      <c r="C127" s="12" t="s">
        <v>2131</v>
      </c>
      <c r="D127" s="13">
        <v>45786</v>
      </c>
      <c r="E127" s="155" t="s">
        <v>2625</v>
      </c>
      <c r="F127" s="155" t="s">
        <v>1833</v>
      </c>
      <c r="G127" s="156" t="s">
        <v>7</v>
      </c>
      <c r="H127" s="156" t="s">
        <v>2627</v>
      </c>
      <c r="I127" s="69" t="s">
        <v>2132</v>
      </c>
      <c r="J127" s="124">
        <v>1</v>
      </c>
      <c r="K127" s="15">
        <v>867300</v>
      </c>
      <c r="L127" s="16">
        <f t="shared" si="14"/>
        <v>867300</v>
      </c>
      <c r="M127" s="16">
        <f t="shared" si="17"/>
        <v>86730</v>
      </c>
      <c r="N127" s="15">
        <f t="shared" si="16"/>
        <v>954030</v>
      </c>
      <c r="O127" s="5" t="s">
        <v>2558</v>
      </c>
      <c r="P127" s="9" t="s">
        <v>2636</v>
      </c>
      <c r="Q127" s="5">
        <v>45772</v>
      </c>
      <c r="R127" s="213" t="s">
        <v>1976</v>
      </c>
    </row>
    <row r="128" spans="1:20" ht="16.5" customHeight="1">
      <c r="A128" t="s">
        <v>64</v>
      </c>
      <c r="B128" s="10" t="s">
        <v>2017</v>
      </c>
      <c r="C128" s="12" t="s">
        <v>2131</v>
      </c>
      <c r="D128" s="13">
        <v>45786</v>
      </c>
      <c r="E128" s="155" t="s">
        <v>2625</v>
      </c>
      <c r="F128" s="155" t="s">
        <v>1833</v>
      </c>
      <c r="G128" s="156" t="s">
        <v>7</v>
      </c>
      <c r="H128" s="156" t="s">
        <v>2627</v>
      </c>
      <c r="I128" s="69" t="s">
        <v>2133</v>
      </c>
      <c r="J128" s="124">
        <v>1</v>
      </c>
      <c r="K128" s="15">
        <v>867300</v>
      </c>
      <c r="L128" s="16">
        <f t="shared" si="14"/>
        <v>867300</v>
      </c>
      <c r="M128" s="16">
        <f t="shared" si="17"/>
        <v>86730</v>
      </c>
      <c r="N128" s="15">
        <f t="shared" si="16"/>
        <v>954030</v>
      </c>
      <c r="O128" s="5" t="s">
        <v>2558</v>
      </c>
      <c r="P128" s="9" t="s">
        <v>2636</v>
      </c>
      <c r="Q128" s="5">
        <v>45772</v>
      </c>
      <c r="R128" s="213" t="s">
        <v>1976</v>
      </c>
    </row>
    <row r="129" spans="1:18" ht="16.5" customHeight="1">
      <c r="A129" t="s">
        <v>64</v>
      </c>
      <c r="B129" s="10" t="s">
        <v>2017</v>
      </c>
      <c r="C129" s="12" t="s">
        <v>2131</v>
      </c>
      <c r="D129" s="13">
        <v>45786</v>
      </c>
      <c r="E129" s="155" t="s">
        <v>2625</v>
      </c>
      <c r="F129" s="155" t="s">
        <v>1833</v>
      </c>
      <c r="G129" s="156" t="s">
        <v>7</v>
      </c>
      <c r="H129" s="156" t="s">
        <v>2627</v>
      </c>
      <c r="I129" s="69" t="s">
        <v>2134</v>
      </c>
      <c r="J129" s="124">
        <v>1</v>
      </c>
      <c r="K129" s="15">
        <v>867300</v>
      </c>
      <c r="L129" s="16">
        <f t="shared" si="14"/>
        <v>867300</v>
      </c>
      <c r="M129" s="16">
        <f t="shared" si="17"/>
        <v>86730</v>
      </c>
      <c r="N129" s="15">
        <f t="shared" si="16"/>
        <v>954030</v>
      </c>
      <c r="O129" s="5" t="s">
        <v>2558</v>
      </c>
      <c r="P129" s="9" t="s">
        <v>2636</v>
      </c>
      <c r="Q129" s="5">
        <v>45772</v>
      </c>
      <c r="R129" s="213" t="s">
        <v>1976</v>
      </c>
    </row>
    <row r="130" spans="1:18" ht="16.5" customHeight="1">
      <c r="A130" t="s">
        <v>64</v>
      </c>
      <c r="B130" s="10" t="s">
        <v>2017</v>
      </c>
      <c r="C130" s="12" t="s">
        <v>2131</v>
      </c>
      <c r="D130" s="13">
        <v>45786</v>
      </c>
      <c r="E130" s="155" t="s">
        <v>2625</v>
      </c>
      <c r="F130" s="155" t="s">
        <v>1833</v>
      </c>
      <c r="G130" s="156" t="s">
        <v>7</v>
      </c>
      <c r="H130" s="156" t="s">
        <v>2627</v>
      </c>
      <c r="I130" s="69" t="s">
        <v>2135</v>
      </c>
      <c r="J130" s="124">
        <v>1</v>
      </c>
      <c r="K130" s="15">
        <v>867300</v>
      </c>
      <c r="L130" s="16">
        <f t="shared" si="14"/>
        <v>867300</v>
      </c>
      <c r="M130" s="16">
        <f t="shared" si="17"/>
        <v>86730</v>
      </c>
      <c r="N130" s="15">
        <f t="shared" si="16"/>
        <v>954030</v>
      </c>
      <c r="O130" s="5" t="s">
        <v>2558</v>
      </c>
      <c r="P130" s="9" t="s">
        <v>2636</v>
      </c>
      <c r="Q130" s="5">
        <v>45772</v>
      </c>
      <c r="R130" s="213" t="s">
        <v>1976</v>
      </c>
    </row>
    <row r="131" spans="1:18" ht="16.5" customHeight="1">
      <c r="A131" t="s">
        <v>64</v>
      </c>
      <c r="B131" s="10" t="s">
        <v>2017</v>
      </c>
      <c r="C131" s="12" t="s">
        <v>2131</v>
      </c>
      <c r="D131" s="13">
        <v>45786</v>
      </c>
      <c r="E131" s="155" t="s">
        <v>2625</v>
      </c>
      <c r="F131" s="155" t="s">
        <v>1833</v>
      </c>
      <c r="G131" s="156" t="s">
        <v>7</v>
      </c>
      <c r="H131" s="156" t="s">
        <v>2627</v>
      </c>
      <c r="I131" s="69" t="s">
        <v>2136</v>
      </c>
      <c r="J131" s="124">
        <v>1</v>
      </c>
      <c r="K131" s="15">
        <v>867300</v>
      </c>
      <c r="L131" s="16">
        <f t="shared" si="14"/>
        <v>867300</v>
      </c>
      <c r="M131" s="16">
        <f t="shared" si="17"/>
        <v>86730</v>
      </c>
      <c r="N131" s="15">
        <f t="shared" si="16"/>
        <v>954030</v>
      </c>
      <c r="O131" s="5" t="s">
        <v>2558</v>
      </c>
      <c r="P131" s="9" t="s">
        <v>2636</v>
      </c>
      <c r="Q131" s="5">
        <v>45772</v>
      </c>
      <c r="R131" s="213" t="s">
        <v>1976</v>
      </c>
    </row>
    <row r="132" spans="1:18" ht="16.5" customHeight="1">
      <c r="A132" t="s">
        <v>64</v>
      </c>
      <c r="B132" s="10" t="s">
        <v>2017</v>
      </c>
      <c r="C132" s="12" t="s">
        <v>2131</v>
      </c>
      <c r="D132" s="13">
        <v>45786</v>
      </c>
      <c r="E132" s="155" t="s">
        <v>2625</v>
      </c>
      <c r="F132" s="155" t="s">
        <v>1833</v>
      </c>
      <c r="G132" s="156" t="s">
        <v>7</v>
      </c>
      <c r="H132" s="156" t="s">
        <v>2627</v>
      </c>
      <c r="I132" s="69" t="s">
        <v>2137</v>
      </c>
      <c r="J132" s="122">
        <v>1</v>
      </c>
      <c r="K132" s="15">
        <v>867300</v>
      </c>
      <c r="L132" s="16">
        <f t="shared" si="14"/>
        <v>867300</v>
      </c>
      <c r="M132" s="16">
        <f t="shared" si="17"/>
        <v>86730</v>
      </c>
      <c r="N132" s="15">
        <f t="shared" si="16"/>
        <v>954030</v>
      </c>
      <c r="O132" s="5" t="s">
        <v>2558</v>
      </c>
      <c r="P132" s="9" t="s">
        <v>2636</v>
      </c>
      <c r="Q132" s="5">
        <v>45772</v>
      </c>
      <c r="R132" s="213" t="s">
        <v>1976</v>
      </c>
    </row>
    <row r="133" spans="1:18" ht="16.5" customHeight="1">
      <c r="A133" t="s">
        <v>64</v>
      </c>
      <c r="B133" s="10" t="s">
        <v>2017</v>
      </c>
      <c r="C133" s="12" t="s">
        <v>2131</v>
      </c>
      <c r="D133" s="13">
        <v>45786</v>
      </c>
      <c r="E133" s="155" t="s">
        <v>2625</v>
      </c>
      <c r="F133" s="155" t="s">
        <v>1833</v>
      </c>
      <c r="G133" s="156" t="s">
        <v>7</v>
      </c>
      <c r="H133" s="156" t="s">
        <v>2627</v>
      </c>
      <c r="I133" s="69" t="s">
        <v>2138</v>
      </c>
      <c r="J133" s="122">
        <v>1</v>
      </c>
      <c r="K133" s="15">
        <v>867300</v>
      </c>
      <c r="L133" s="16">
        <f t="shared" ref="L133:L164" si="18">J133*K133</f>
        <v>867300</v>
      </c>
      <c r="M133" s="16">
        <f t="shared" si="17"/>
        <v>86730</v>
      </c>
      <c r="N133" s="15">
        <f t="shared" ref="N133:N164" si="19">SUM(L133:M133)</f>
        <v>954030</v>
      </c>
      <c r="O133" s="5" t="s">
        <v>2558</v>
      </c>
      <c r="P133" s="9" t="s">
        <v>2636</v>
      </c>
      <c r="Q133" s="5">
        <v>45772</v>
      </c>
      <c r="R133" s="213" t="s">
        <v>1976</v>
      </c>
    </row>
    <row r="134" spans="1:18" ht="16.5" customHeight="1">
      <c r="A134" t="s">
        <v>64</v>
      </c>
      <c r="B134" s="10" t="s">
        <v>2017</v>
      </c>
      <c r="C134" s="12" t="s">
        <v>2131</v>
      </c>
      <c r="D134" s="13">
        <v>45786</v>
      </c>
      <c r="E134" s="155" t="s">
        <v>2625</v>
      </c>
      <c r="F134" s="155" t="s">
        <v>1833</v>
      </c>
      <c r="G134" s="156" t="s">
        <v>7</v>
      </c>
      <c r="H134" s="156" t="s">
        <v>2627</v>
      </c>
      <c r="I134" s="69" t="s">
        <v>2139</v>
      </c>
      <c r="J134" s="124">
        <v>1</v>
      </c>
      <c r="K134" s="15">
        <v>867300</v>
      </c>
      <c r="L134" s="16">
        <f t="shared" si="18"/>
        <v>867300</v>
      </c>
      <c r="M134" s="16">
        <f t="shared" si="17"/>
        <v>86730</v>
      </c>
      <c r="N134" s="15">
        <f t="shared" si="19"/>
        <v>954030</v>
      </c>
      <c r="O134" s="5" t="s">
        <v>2558</v>
      </c>
      <c r="P134" s="9" t="s">
        <v>2636</v>
      </c>
      <c r="Q134" s="5">
        <v>45772</v>
      </c>
      <c r="R134" s="213" t="s">
        <v>1976</v>
      </c>
    </row>
    <row r="135" spans="1:18" ht="16.5" customHeight="1">
      <c r="A135" t="s">
        <v>64</v>
      </c>
      <c r="B135" s="10" t="s">
        <v>2017</v>
      </c>
      <c r="C135" s="12" t="s">
        <v>2131</v>
      </c>
      <c r="D135" s="13">
        <v>45786</v>
      </c>
      <c r="E135" s="155" t="s">
        <v>2625</v>
      </c>
      <c r="F135" s="155" t="s">
        <v>1833</v>
      </c>
      <c r="G135" s="156" t="s">
        <v>7</v>
      </c>
      <c r="H135" s="156" t="s">
        <v>2627</v>
      </c>
      <c r="I135" s="69" t="s">
        <v>2140</v>
      </c>
      <c r="J135" s="122">
        <v>1</v>
      </c>
      <c r="K135" s="15">
        <v>867300</v>
      </c>
      <c r="L135" s="16">
        <f t="shared" si="18"/>
        <v>867300</v>
      </c>
      <c r="M135" s="16">
        <f t="shared" si="17"/>
        <v>86730</v>
      </c>
      <c r="N135" s="15">
        <f t="shared" si="19"/>
        <v>954030</v>
      </c>
      <c r="O135" s="5" t="s">
        <v>2558</v>
      </c>
      <c r="P135" s="9" t="s">
        <v>2636</v>
      </c>
      <c r="Q135" s="5">
        <v>45772</v>
      </c>
      <c r="R135" s="213" t="s">
        <v>1976</v>
      </c>
    </row>
    <row r="136" spans="1:18" ht="16.5" customHeight="1">
      <c r="A136" t="s">
        <v>64</v>
      </c>
      <c r="B136" s="10" t="s">
        <v>2017</v>
      </c>
      <c r="C136" s="12" t="s">
        <v>2131</v>
      </c>
      <c r="D136" s="13">
        <v>45786</v>
      </c>
      <c r="E136" s="155" t="s">
        <v>2625</v>
      </c>
      <c r="F136" s="155" t="s">
        <v>1833</v>
      </c>
      <c r="G136" s="156" t="s">
        <v>7</v>
      </c>
      <c r="H136" s="156" t="s">
        <v>2627</v>
      </c>
      <c r="I136" s="69" t="s">
        <v>2141</v>
      </c>
      <c r="J136" s="122">
        <v>1</v>
      </c>
      <c r="K136" s="15">
        <v>867300</v>
      </c>
      <c r="L136" s="16">
        <f t="shared" si="18"/>
        <v>867300</v>
      </c>
      <c r="M136" s="16">
        <f t="shared" si="17"/>
        <v>86730</v>
      </c>
      <c r="N136" s="15">
        <f t="shared" si="19"/>
        <v>954030</v>
      </c>
      <c r="O136" s="5" t="s">
        <v>2558</v>
      </c>
      <c r="P136" s="9" t="s">
        <v>2636</v>
      </c>
      <c r="Q136" s="5">
        <v>45772</v>
      </c>
      <c r="R136" s="213" t="s">
        <v>1976</v>
      </c>
    </row>
    <row r="137" spans="1:18" ht="16.5" customHeight="1">
      <c r="A137" t="s">
        <v>64</v>
      </c>
      <c r="B137" s="10" t="s">
        <v>2017</v>
      </c>
      <c r="C137" s="12" t="s">
        <v>2131</v>
      </c>
      <c r="D137" s="13">
        <v>45786</v>
      </c>
      <c r="E137" s="155" t="s">
        <v>2625</v>
      </c>
      <c r="F137" s="155" t="s">
        <v>1833</v>
      </c>
      <c r="G137" s="156" t="s">
        <v>7</v>
      </c>
      <c r="H137" s="156" t="s">
        <v>2627</v>
      </c>
      <c r="I137" s="69" t="s">
        <v>2142</v>
      </c>
      <c r="J137" s="122">
        <v>1</v>
      </c>
      <c r="K137" s="15">
        <v>867300</v>
      </c>
      <c r="L137" s="16">
        <f t="shared" si="18"/>
        <v>867300</v>
      </c>
      <c r="M137" s="16">
        <f t="shared" si="17"/>
        <v>86730</v>
      </c>
      <c r="N137" s="15">
        <f t="shared" si="19"/>
        <v>954030</v>
      </c>
      <c r="O137" s="5" t="s">
        <v>2558</v>
      </c>
      <c r="P137" s="9" t="s">
        <v>2636</v>
      </c>
      <c r="Q137" s="5">
        <v>45772</v>
      </c>
      <c r="R137" s="213" t="s">
        <v>1976</v>
      </c>
    </row>
    <row r="138" spans="1:18" ht="16.5" customHeight="1">
      <c r="A138" t="s">
        <v>64</v>
      </c>
      <c r="B138" s="10" t="s">
        <v>2017</v>
      </c>
      <c r="C138" s="12" t="s">
        <v>2131</v>
      </c>
      <c r="D138" s="13">
        <v>45786</v>
      </c>
      <c r="E138" s="155" t="s">
        <v>2625</v>
      </c>
      <c r="F138" s="155" t="s">
        <v>1833</v>
      </c>
      <c r="G138" s="156" t="s">
        <v>7</v>
      </c>
      <c r="H138" s="156" t="s">
        <v>2627</v>
      </c>
      <c r="I138" s="69" t="s">
        <v>2143</v>
      </c>
      <c r="J138" s="122">
        <v>1</v>
      </c>
      <c r="K138" s="15">
        <v>867300</v>
      </c>
      <c r="L138" s="16">
        <f t="shared" si="18"/>
        <v>867300</v>
      </c>
      <c r="M138" s="16">
        <f t="shared" si="17"/>
        <v>86730</v>
      </c>
      <c r="N138" s="15">
        <f t="shared" si="19"/>
        <v>954030</v>
      </c>
      <c r="O138" s="5" t="s">
        <v>2558</v>
      </c>
      <c r="P138" s="9" t="s">
        <v>2636</v>
      </c>
      <c r="Q138" s="5">
        <v>45772</v>
      </c>
      <c r="R138" s="213" t="s">
        <v>1976</v>
      </c>
    </row>
    <row r="139" spans="1:18" ht="16.5" customHeight="1">
      <c r="A139" t="s">
        <v>64</v>
      </c>
      <c r="B139" s="10" t="s">
        <v>2017</v>
      </c>
      <c r="C139" s="12" t="s">
        <v>2131</v>
      </c>
      <c r="D139" s="13">
        <v>45786</v>
      </c>
      <c r="E139" s="155" t="s">
        <v>2625</v>
      </c>
      <c r="F139" s="155" t="s">
        <v>1833</v>
      </c>
      <c r="G139" s="156" t="s">
        <v>7</v>
      </c>
      <c r="H139" s="156" t="s">
        <v>2627</v>
      </c>
      <c r="I139" s="69" t="s">
        <v>2144</v>
      </c>
      <c r="J139" s="122">
        <v>1</v>
      </c>
      <c r="K139" s="15">
        <v>867300</v>
      </c>
      <c r="L139" s="16">
        <f t="shared" si="18"/>
        <v>867300</v>
      </c>
      <c r="M139" s="16">
        <f t="shared" si="17"/>
        <v>86730</v>
      </c>
      <c r="N139" s="15">
        <f t="shared" si="19"/>
        <v>954030</v>
      </c>
      <c r="O139" s="5" t="s">
        <v>2558</v>
      </c>
      <c r="P139" s="9" t="s">
        <v>2636</v>
      </c>
      <c r="Q139" s="5">
        <v>45772</v>
      </c>
      <c r="R139" s="213" t="s">
        <v>1976</v>
      </c>
    </row>
    <row r="140" spans="1:18" ht="16.5" customHeight="1">
      <c r="A140" t="s">
        <v>64</v>
      </c>
      <c r="B140" s="10" t="s">
        <v>2017</v>
      </c>
      <c r="C140" s="12" t="s">
        <v>2131</v>
      </c>
      <c r="D140" s="13">
        <v>45786</v>
      </c>
      <c r="E140" s="155" t="s">
        <v>2625</v>
      </c>
      <c r="F140" s="155" t="s">
        <v>1833</v>
      </c>
      <c r="G140" s="156" t="s">
        <v>7</v>
      </c>
      <c r="H140" s="156" t="s">
        <v>2627</v>
      </c>
      <c r="I140" s="69" t="s">
        <v>2145</v>
      </c>
      <c r="J140" s="122">
        <v>1</v>
      </c>
      <c r="K140" s="15">
        <v>1114320</v>
      </c>
      <c r="L140" s="16">
        <f t="shared" si="18"/>
        <v>1114320</v>
      </c>
      <c r="M140" s="16">
        <f t="shared" si="17"/>
        <v>111432</v>
      </c>
      <c r="N140" s="15">
        <f t="shared" si="19"/>
        <v>1225752</v>
      </c>
      <c r="O140" s="5" t="s">
        <v>2558</v>
      </c>
      <c r="P140" s="9" t="s">
        <v>2636</v>
      </c>
      <c r="Q140" s="5">
        <v>45772</v>
      </c>
      <c r="R140" s="213" t="s">
        <v>1976</v>
      </c>
    </row>
    <row r="141" spans="1:18" ht="16.5" customHeight="1">
      <c r="A141" t="s">
        <v>64</v>
      </c>
      <c r="B141" s="10" t="s">
        <v>2017</v>
      </c>
      <c r="C141" s="12" t="s">
        <v>2131</v>
      </c>
      <c r="D141" s="13">
        <v>45786</v>
      </c>
      <c r="E141" s="155" t="s">
        <v>2625</v>
      </c>
      <c r="F141" s="155" t="s">
        <v>1833</v>
      </c>
      <c r="G141" s="156" t="s">
        <v>7</v>
      </c>
      <c r="H141" s="156" t="s">
        <v>2627</v>
      </c>
      <c r="I141" s="69" t="s">
        <v>2146</v>
      </c>
      <c r="J141" s="124">
        <v>1</v>
      </c>
      <c r="K141" s="15">
        <v>1189500</v>
      </c>
      <c r="L141" s="16">
        <f t="shared" si="18"/>
        <v>1189500</v>
      </c>
      <c r="M141" s="16">
        <f t="shared" si="17"/>
        <v>118950</v>
      </c>
      <c r="N141" s="15">
        <f t="shared" si="19"/>
        <v>1308450</v>
      </c>
      <c r="O141" s="5" t="s">
        <v>2558</v>
      </c>
      <c r="P141" s="9" t="s">
        <v>2636</v>
      </c>
      <c r="Q141" s="5">
        <v>45772</v>
      </c>
      <c r="R141" s="213" t="s">
        <v>1976</v>
      </c>
    </row>
    <row r="142" spans="1:18" ht="16.5" customHeight="1">
      <c r="A142" t="s">
        <v>64</v>
      </c>
      <c r="B142" s="10" t="s">
        <v>2017</v>
      </c>
      <c r="C142" s="12" t="s">
        <v>2131</v>
      </c>
      <c r="D142" s="13">
        <v>45786</v>
      </c>
      <c r="E142" s="155" t="s">
        <v>2625</v>
      </c>
      <c r="F142" s="155" t="s">
        <v>1833</v>
      </c>
      <c r="G142" s="156" t="s">
        <v>7</v>
      </c>
      <c r="H142" s="156" t="s">
        <v>2627</v>
      </c>
      <c r="I142" s="69" t="s">
        <v>2147</v>
      </c>
      <c r="J142" s="122">
        <v>1</v>
      </c>
      <c r="K142" s="15">
        <v>1189500</v>
      </c>
      <c r="L142" s="16">
        <f t="shared" si="18"/>
        <v>1189500</v>
      </c>
      <c r="M142" s="16">
        <f t="shared" si="17"/>
        <v>118950</v>
      </c>
      <c r="N142" s="15">
        <f t="shared" si="19"/>
        <v>1308450</v>
      </c>
      <c r="O142" s="5" t="s">
        <v>2558</v>
      </c>
      <c r="P142" s="9" t="s">
        <v>2636</v>
      </c>
      <c r="Q142" s="5">
        <v>45863</v>
      </c>
      <c r="R142" s="213" t="s">
        <v>1976</v>
      </c>
    </row>
    <row r="143" spans="1:18" ht="16.5" customHeight="1">
      <c r="A143" t="s">
        <v>64</v>
      </c>
      <c r="B143" s="10" t="s">
        <v>526</v>
      </c>
      <c r="C143" s="12" t="s">
        <v>292</v>
      </c>
      <c r="D143" s="13">
        <v>45788</v>
      </c>
      <c r="E143" s="155" t="s">
        <v>2625</v>
      </c>
      <c r="F143" s="155" t="s">
        <v>231</v>
      </c>
      <c r="G143" s="156" t="s">
        <v>7</v>
      </c>
      <c r="H143" s="156" t="s">
        <v>2627</v>
      </c>
      <c r="I143" s="69" t="s">
        <v>1985</v>
      </c>
      <c r="J143" s="122">
        <v>1</v>
      </c>
      <c r="K143" s="15">
        <v>6314</v>
      </c>
      <c r="L143" s="16">
        <f t="shared" si="18"/>
        <v>6314</v>
      </c>
      <c r="M143" s="15">
        <v>631</v>
      </c>
      <c r="N143" s="15">
        <f t="shared" si="19"/>
        <v>6945</v>
      </c>
      <c r="O143" s="5" t="s">
        <v>2560</v>
      </c>
      <c r="P143" s="9" t="s">
        <v>2636</v>
      </c>
      <c r="Q143" s="5">
        <v>45261</v>
      </c>
      <c r="R143" s="209" t="s">
        <v>100</v>
      </c>
    </row>
    <row r="144" spans="1:18" ht="16.5" customHeight="1">
      <c r="A144" t="s">
        <v>64</v>
      </c>
      <c r="B144" s="10" t="s">
        <v>104</v>
      </c>
      <c r="C144" s="12" t="s">
        <v>458</v>
      </c>
      <c r="D144" s="13">
        <v>45793</v>
      </c>
      <c r="E144" s="155" t="s">
        <v>2625</v>
      </c>
      <c r="F144" s="155" t="s">
        <v>2629</v>
      </c>
      <c r="G144" s="156" t="s">
        <v>41</v>
      </c>
      <c r="H144" s="156" t="s">
        <v>214</v>
      </c>
      <c r="I144" s="69" t="s">
        <v>2130</v>
      </c>
      <c r="J144" s="122">
        <v>1</v>
      </c>
      <c r="K144" s="16">
        <v>910700</v>
      </c>
      <c r="L144" s="16">
        <f t="shared" si="18"/>
        <v>910700</v>
      </c>
      <c r="M144" s="16">
        <f>L144*10%</f>
        <v>91070</v>
      </c>
      <c r="N144" s="15">
        <f t="shared" si="19"/>
        <v>1001770</v>
      </c>
      <c r="O144" s="5" t="s">
        <v>2570</v>
      </c>
      <c r="P144" s="9" t="s">
        <v>2636</v>
      </c>
      <c r="Q144" s="5">
        <v>45595</v>
      </c>
      <c r="R144" s="209" t="s">
        <v>100</v>
      </c>
    </row>
    <row r="145" spans="1:22" ht="16.5" customHeight="1">
      <c r="A145" t="s">
        <v>64</v>
      </c>
      <c r="B145" s="10" t="s">
        <v>1608</v>
      </c>
      <c r="C145" s="12" t="s">
        <v>325</v>
      </c>
      <c r="D145" s="13">
        <v>45794</v>
      </c>
      <c r="E145" s="155" t="s">
        <v>2625</v>
      </c>
      <c r="F145" s="155" t="s">
        <v>243</v>
      </c>
      <c r="G145" s="168" t="s">
        <v>7</v>
      </c>
      <c r="H145" s="156" t="s">
        <v>2627</v>
      </c>
      <c r="I145" s="69" t="s">
        <v>2043</v>
      </c>
      <c r="J145" s="122">
        <v>1</v>
      </c>
      <c r="K145" s="15">
        <v>84320</v>
      </c>
      <c r="L145" s="16">
        <f t="shared" si="18"/>
        <v>84320</v>
      </c>
      <c r="M145" s="16">
        <f>L145*10%</f>
        <v>8432</v>
      </c>
      <c r="N145" s="15">
        <f t="shared" si="19"/>
        <v>92752</v>
      </c>
      <c r="O145" s="5" t="s">
        <v>2572</v>
      </c>
      <c r="P145" s="177" t="s">
        <v>2636</v>
      </c>
      <c r="Q145" s="5">
        <v>45357</v>
      </c>
      <c r="R145" s="213" t="s">
        <v>100</v>
      </c>
    </row>
    <row r="146" spans="1:22" ht="16.5" customHeight="1">
      <c r="A146" t="s">
        <v>64</v>
      </c>
      <c r="B146" s="10" t="s">
        <v>2148</v>
      </c>
      <c r="C146" s="12" t="s">
        <v>2206</v>
      </c>
      <c r="D146" s="13">
        <v>45798</v>
      </c>
      <c r="E146" s="155" t="s">
        <v>2625</v>
      </c>
      <c r="F146" s="155" t="s">
        <v>2150</v>
      </c>
      <c r="G146" s="156" t="s">
        <v>41</v>
      </c>
      <c r="H146" s="156" t="s">
        <v>2149</v>
      </c>
      <c r="I146" s="69" t="s">
        <v>2339</v>
      </c>
      <c r="J146" s="122">
        <v>1</v>
      </c>
      <c r="K146" s="15">
        <v>243000</v>
      </c>
      <c r="L146" s="16">
        <f t="shared" si="18"/>
        <v>243000</v>
      </c>
      <c r="M146" s="16">
        <f>L146*10%</f>
        <v>24300</v>
      </c>
      <c r="N146" s="15">
        <f t="shared" si="19"/>
        <v>267300</v>
      </c>
      <c r="O146" s="5" t="s">
        <v>2363</v>
      </c>
      <c r="P146" s="9" t="s">
        <v>2636</v>
      </c>
      <c r="Q146" s="5">
        <v>45792</v>
      </c>
      <c r="R146" s="209"/>
    </row>
    <row r="147" spans="1:22" ht="16.5" customHeight="1">
      <c r="A147" t="s">
        <v>64</v>
      </c>
      <c r="B147" s="10" t="s">
        <v>144</v>
      </c>
      <c r="C147" s="12" t="s">
        <v>459</v>
      </c>
      <c r="D147" s="13">
        <v>45800</v>
      </c>
      <c r="E147" s="155" t="s">
        <v>2625</v>
      </c>
      <c r="F147" s="155" t="s">
        <v>215</v>
      </c>
      <c r="G147" s="156" t="s">
        <v>41</v>
      </c>
      <c r="H147" s="156" t="s">
        <v>214</v>
      </c>
      <c r="I147" s="69" t="s">
        <v>2190</v>
      </c>
      <c r="J147" s="122">
        <v>1</v>
      </c>
      <c r="K147" s="15">
        <v>1666322</v>
      </c>
      <c r="L147" s="16">
        <f t="shared" si="18"/>
        <v>1666322</v>
      </c>
      <c r="M147" s="16">
        <v>166632</v>
      </c>
      <c r="N147" s="15">
        <f t="shared" si="19"/>
        <v>1832954</v>
      </c>
      <c r="O147" s="5" t="s">
        <v>2573</v>
      </c>
      <c r="P147" s="9" t="s">
        <v>2636</v>
      </c>
      <c r="Q147" s="182" t="s">
        <v>215</v>
      </c>
      <c r="R147" s="209"/>
      <c r="U147" s="11"/>
    </row>
    <row r="148" spans="1:22" ht="16.5" customHeight="1">
      <c r="A148" t="s">
        <v>64</v>
      </c>
      <c r="B148" s="10" t="s">
        <v>389</v>
      </c>
      <c r="C148" s="12" t="s">
        <v>384</v>
      </c>
      <c r="D148" s="13">
        <v>45807</v>
      </c>
      <c r="E148" s="155" t="s">
        <v>2625</v>
      </c>
      <c r="F148" s="155" t="s">
        <v>385</v>
      </c>
      <c r="G148" s="156" t="s">
        <v>7</v>
      </c>
      <c r="H148" s="156" t="s">
        <v>2627</v>
      </c>
      <c r="I148" s="69" t="s">
        <v>2044</v>
      </c>
      <c r="J148" s="122">
        <v>1</v>
      </c>
      <c r="K148" s="15">
        <v>111900</v>
      </c>
      <c r="L148" s="16">
        <f t="shared" si="18"/>
        <v>111900</v>
      </c>
      <c r="M148" s="15">
        <f t="shared" ref="M148:M159" si="20">L148*10%</f>
        <v>11190</v>
      </c>
      <c r="N148" s="15">
        <f t="shared" si="19"/>
        <v>123090</v>
      </c>
      <c r="O148" s="5" t="s">
        <v>2576</v>
      </c>
      <c r="P148" s="9" t="s">
        <v>2636</v>
      </c>
      <c r="Q148" s="5">
        <v>45807</v>
      </c>
      <c r="R148" s="209" t="s">
        <v>100</v>
      </c>
    </row>
    <row r="149" spans="1:22" ht="16.5" customHeight="1">
      <c r="A149" t="s">
        <v>64</v>
      </c>
      <c r="B149" s="10" t="s">
        <v>434</v>
      </c>
      <c r="C149" s="12" t="s">
        <v>428</v>
      </c>
      <c r="D149" s="13">
        <v>45808</v>
      </c>
      <c r="E149" s="155" t="s">
        <v>2625</v>
      </c>
      <c r="F149" s="155" t="s">
        <v>2629</v>
      </c>
      <c r="G149" s="156" t="s">
        <v>7</v>
      </c>
      <c r="H149" s="156" t="s">
        <v>2627</v>
      </c>
      <c r="I149" s="69" t="s">
        <v>2028</v>
      </c>
      <c r="J149" s="122">
        <v>1</v>
      </c>
      <c r="K149" s="15">
        <v>204600</v>
      </c>
      <c r="L149" s="16">
        <f t="shared" si="18"/>
        <v>204600</v>
      </c>
      <c r="M149" s="15">
        <f t="shared" si="20"/>
        <v>20460</v>
      </c>
      <c r="N149" s="15">
        <f t="shared" si="19"/>
        <v>225060</v>
      </c>
      <c r="O149" s="5" t="s">
        <v>2577</v>
      </c>
      <c r="P149" s="9" t="s">
        <v>2636</v>
      </c>
      <c r="Q149" s="5">
        <v>45807</v>
      </c>
      <c r="R149" s="209"/>
    </row>
    <row r="150" spans="1:22" ht="16.5" customHeight="1">
      <c r="A150" t="s">
        <v>64</v>
      </c>
      <c r="B150" s="10" t="s">
        <v>435</v>
      </c>
      <c r="C150" s="12" t="s">
        <v>429</v>
      </c>
      <c r="D150" s="13">
        <v>45808</v>
      </c>
      <c r="E150" s="155" t="s">
        <v>2625</v>
      </c>
      <c r="F150" s="155" t="s">
        <v>248</v>
      </c>
      <c r="G150" s="156" t="s">
        <v>7</v>
      </c>
      <c r="H150" s="156" t="s">
        <v>2627</v>
      </c>
      <c r="I150" s="69" t="s">
        <v>1958</v>
      </c>
      <c r="J150" s="122">
        <v>1</v>
      </c>
      <c r="K150" s="15">
        <v>499500</v>
      </c>
      <c r="L150" s="16">
        <f t="shared" si="18"/>
        <v>499500</v>
      </c>
      <c r="M150" s="15">
        <f t="shared" si="20"/>
        <v>49950</v>
      </c>
      <c r="N150" s="15">
        <f t="shared" si="19"/>
        <v>549450</v>
      </c>
      <c r="O150" s="5" t="s">
        <v>2577</v>
      </c>
      <c r="P150" s="9" t="s">
        <v>2636</v>
      </c>
      <c r="Q150" s="5">
        <v>45807</v>
      </c>
      <c r="R150" s="209"/>
    </row>
    <row r="151" spans="1:22" ht="16.5" customHeight="1">
      <c r="A151" t="s">
        <v>64</v>
      </c>
      <c r="B151" s="10" t="s">
        <v>436</v>
      </c>
      <c r="C151" s="12" t="s">
        <v>430</v>
      </c>
      <c r="D151" s="13">
        <v>45808</v>
      </c>
      <c r="E151" s="155" t="s">
        <v>2625</v>
      </c>
      <c r="F151" s="155" t="s">
        <v>226</v>
      </c>
      <c r="G151" s="156" t="s">
        <v>7</v>
      </c>
      <c r="H151" s="156" t="s">
        <v>2627</v>
      </c>
      <c r="I151" s="69" t="s">
        <v>2556</v>
      </c>
      <c r="J151" s="122">
        <v>1</v>
      </c>
      <c r="K151" s="15">
        <v>251700</v>
      </c>
      <c r="L151" s="16">
        <f t="shared" si="18"/>
        <v>251700</v>
      </c>
      <c r="M151" s="15">
        <f t="shared" si="20"/>
        <v>25170</v>
      </c>
      <c r="N151" s="15">
        <f t="shared" si="19"/>
        <v>276870</v>
      </c>
      <c r="O151" s="5" t="s">
        <v>2577</v>
      </c>
      <c r="P151" s="9" t="s">
        <v>2636</v>
      </c>
      <c r="Q151" s="5">
        <v>45504</v>
      </c>
      <c r="R151" s="209" t="s">
        <v>100</v>
      </c>
    </row>
    <row r="152" spans="1:22" ht="16.5" customHeight="1">
      <c r="A152" t="s">
        <v>64</v>
      </c>
      <c r="B152" s="10" t="s">
        <v>413</v>
      </c>
      <c r="C152" s="12" t="s">
        <v>437</v>
      </c>
      <c r="D152" s="13">
        <v>45808</v>
      </c>
      <c r="E152" s="155" t="s">
        <v>2625</v>
      </c>
      <c r="F152" s="155" t="s">
        <v>101</v>
      </c>
      <c r="G152" s="156" t="s">
        <v>98</v>
      </c>
      <c r="H152" s="156" t="s">
        <v>2627</v>
      </c>
      <c r="I152" s="69" t="s">
        <v>1955</v>
      </c>
      <c r="J152" s="122">
        <v>1</v>
      </c>
      <c r="K152" s="15">
        <v>276600</v>
      </c>
      <c r="L152" s="16">
        <f t="shared" si="18"/>
        <v>276600</v>
      </c>
      <c r="M152" s="15">
        <f t="shared" si="20"/>
        <v>27660</v>
      </c>
      <c r="N152" s="15">
        <f t="shared" si="19"/>
        <v>304260</v>
      </c>
      <c r="O152" s="5" t="s">
        <v>2577</v>
      </c>
      <c r="P152" s="9" t="s">
        <v>2636</v>
      </c>
      <c r="Q152" s="5">
        <v>45534</v>
      </c>
      <c r="R152" s="209" t="s">
        <v>100</v>
      </c>
    </row>
    <row r="153" spans="1:22" ht="16.5" customHeight="1">
      <c r="A153" t="s">
        <v>64</v>
      </c>
      <c r="B153" s="10" t="s">
        <v>439</v>
      </c>
      <c r="C153" s="12" t="s">
        <v>438</v>
      </c>
      <c r="D153" s="13">
        <v>45808</v>
      </c>
      <c r="E153" s="155" t="s">
        <v>2625</v>
      </c>
      <c r="F153" s="155" t="s">
        <v>226</v>
      </c>
      <c r="G153" s="156" t="s">
        <v>98</v>
      </c>
      <c r="H153" s="156" t="s">
        <v>2627</v>
      </c>
      <c r="I153" s="69" t="s">
        <v>1961</v>
      </c>
      <c r="J153" s="122">
        <v>1</v>
      </c>
      <c r="K153" s="15">
        <v>226200</v>
      </c>
      <c r="L153" s="16">
        <f t="shared" si="18"/>
        <v>226200</v>
      </c>
      <c r="M153" s="15">
        <f t="shared" si="20"/>
        <v>22620</v>
      </c>
      <c r="N153" s="15">
        <f t="shared" si="19"/>
        <v>248820</v>
      </c>
      <c r="O153" s="5" t="s">
        <v>2577</v>
      </c>
      <c r="P153" s="9" t="s">
        <v>2636</v>
      </c>
      <c r="Q153" s="5">
        <v>45565</v>
      </c>
      <c r="R153" s="209" t="s">
        <v>100</v>
      </c>
    </row>
    <row r="154" spans="1:22" ht="16.5" customHeight="1">
      <c r="A154" t="s">
        <v>64</v>
      </c>
      <c r="B154" s="10" t="s">
        <v>232</v>
      </c>
      <c r="C154" s="12" t="s">
        <v>233</v>
      </c>
      <c r="D154" s="13">
        <v>45808</v>
      </c>
      <c r="E154" s="155" t="s">
        <v>2625</v>
      </c>
      <c r="F154" s="163" t="s">
        <v>234</v>
      </c>
      <c r="G154" s="168" t="s">
        <v>7</v>
      </c>
      <c r="H154" s="156" t="s">
        <v>2627</v>
      </c>
      <c r="I154" s="69" t="s">
        <v>2037</v>
      </c>
      <c r="J154" s="122">
        <v>1</v>
      </c>
      <c r="K154" s="15">
        <v>58800</v>
      </c>
      <c r="L154" s="16">
        <f t="shared" si="18"/>
        <v>58800</v>
      </c>
      <c r="M154" s="15">
        <f t="shared" si="20"/>
        <v>5880</v>
      </c>
      <c r="N154" s="15">
        <f t="shared" si="19"/>
        <v>64680</v>
      </c>
      <c r="O154" s="5" t="s">
        <v>2577</v>
      </c>
      <c r="P154" s="9" t="s">
        <v>2636</v>
      </c>
      <c r="Q154" s="5">
        <v>45748</v>
      </c>
      <c r="R154" s="209" t="s">
        <v>147</v>
      </c>
      <c r="U154" s="11"/>
      <c r="V154" s="8"/>
    </row>
    <row r="155" spans="1:22" ht="16.5" customHeight="1">
      <c r="A155" t="s">
        <v>64</v>
      </c>
      <c r="B155" s="10" t="s">
        <v>461</v>
      </c>
      <c r="C155" s="12" t="s">
        <v>238</v>
      </c>
      <c r="D155" s="13">
        <v>45808</v>
      </c>
      <c r="E155" s="155" t="s">
        <v>2625</v>
      </c>
      <c r="F155" s="155" t="s">
        <v>239</v>
      </c>
      <c r="G155" s="168" t="s">
        <v>7</v>
      </c>
      <c r="H155" s="156" t="s">
        <v>2627</v>
      </c>
      <c r="I155" s="69" t="s">
        <v>2038</v>
      </c>
      <c r="J155" s="122">
        <v>1</v>
      </c>
      <c r="K155" s="15">
        <v>115800</v>
      </c>
      <c r="L155" s="16">
        <f t="shared" si="18"/>
        <v>115800</v>
      </c>
      <c r="M155" s="15">
        <f t="shared" si="20"/>
        <v>11580</v>
      </c>
      <c r="N155" s="15">
        <f t="shared" si="19"/>
        <v>127380</v>
      </c>
      <c r="O155" s="5" t="s">
        <v>2577</v>
      </c>
      <c r="P155" s="9" t="s">
        <v>2636</v>
      </c>
      <c r="Q155" s="5">
        <v>45838</v>
      </c>
      <c r="R155" s="209" t="s">
        <v>147</v>
      </c>
      <c r="U155" s="11"/>
      <c r="V155" s="8"/>
    </row>
    <row r="156" spans="1:22" ht="16.5" customHeight="1">
      <c r="A156" t="s">
        <v>64</v>
      </c>
      <c r="B156" s="10" t="s">
        <v>245</v>
      </c>
      <c r="C156" s="12" t="s">
        <v>246</v>
      </c>
      <c r="D156" s="13">
        <v>45808</v>
      </c>
      <c r="E156" s="155" t="s">
        <v>2625</v>
      </c>
      <c r="F156" s="155" t="s">
        <v>247</v>
      </c>
      <c r="G156" s="156" t="s">
        <v>7</v>
      </c>
      <c r="H156" s="156" t="s">
        <v>2627</v>
      </c>
      <c r="I156" s="69" t="s">
        <v>2039</v>
      </c>
      <c r="J156" s="122">
        <v>1</v>
      </c>
      <c r="K156" s="15">
        <v>132600</v>
      </c>
      <c r="L156" s="16">
        <f t="shared" si="18"/>
        <v>132600</v>
      </c>
      <c r="M156" s="15">
        <f t="shared" si="20"/>
        <v>13260</v>
      </c>
      <c r="N156" s="15">
        <f t="shared" si="19"/>
        <v>145860</v>
      </c>
      <c r="O156" s="5" t="s">
        <v>2577</v>
      </c>
      <c r="P156" s="9" t="s">
        <v>2636</v>
      </c>
      <c r="Q156" s="5">
        <v>45057</v>
      </c>
      <c r="R156" s="209" t="s">
        <v>100</v>
      </c>
      <c r="U156" s="11"/>
      <c r="V156" s="8"/>
    </row>
    <row r="157" spans="1:22" ht="16.5" customHeight="1">
      <c r="A157" t="s">
        <v>64</v>
      </c>
      <c r="B157" s="10" t="s">
        <v>1365</v>
      </c>
      <c r="C157" s="12" t="s">
        <v>1366</v>
      </c>
      <c r="D157" s="13">
        <v>45808</v>
      </c>
      <c r="E157" s="155" t="s">
        <v>2625</v>
      </c>
      <c r="F157" s="155" t="s">
        <v>224</v>
      </c>
      <c r="G157" s="168" t="s">
        <v>7</v>
      </c>
      <c r="H157" s="156" t="s">
        <v>2627</v>
      </c>
      <c r="I157" s="69" t="s">
        <v>2040</v>
      </c>
      <c r="J157" s="122">
        <v>1</v>
      </c>
      <c r="K157" s="15">
        <v>475200</v>
      </c>
      <c r="L157" s="16">
        <f t="shared" si="18"/>
        <v>475200</v>
      </c>
      <c r="M157" s="15">
        <f t="shared" si="20"/>
        <v>47520</v>
      </c>
      <c r="N157" s="15">
        <f t="shared" si="19"/>
        <v>522720</v>
      </c>
      <c r="O157" s="5" t="s">
        <v>2577</v>
      </c>
      <c r="P157" s="9" t="s">
        <v>2636</v>
      </c>
      <c r="Q157" s="5">
        <v>45681</v>
      </c>
      <c r="R157" s="209" t="s">
        <v>100</v>
      </c>
    </row>
    <row r="158" spans="1:22" ht="16.5" customHeight="1">
      <c r="A158" t="s">
        <v>64</v>
      </c>
      <c r="B158" s="10" t="s">
        <v>260</v>
      </c>
      <c r="C158" s="12" t="s">
        <v>261</v>
      </c>
      <c r="D158" s="13">
        <v>45808</v>
      </c>
      <c r="E158" s="155" t="s">
        <v>2625</v>
      </c>
      <c r="F158" s="155" t="s">
        <v>250</v>
      </c>
      <c r="G158" s="168" t="s">
        <v>7</v>
      </c>
      <c r="H158" s="156" t="s">
        <v>2627</v>
      </c>
      <c r="I158" s="69" t="s">
        <v>2015</v>
      </c>
      <c r="J158" s="122">
        <v>1</v>
      </c>
      <c r="K158" s="15">
        <v>9980400</v>
      </c>
      <c r="L158" s="16">
        <f t="shared" si="18"/>
        <v>9980400</v>
      </c>
      <c r="M158" s="15">
        <f t="shared" si="20"/>
        <v>998040</v>
      </c>
      <c r="N158" s="15">
        <f t="shared" si="19"/>
        <v>10978440</v>
      </c>
      <c r="O158" s="5" t="s">
        <v>2577</v>
      </c>
      <c r="P158" s="9" t="s">
        <v>2636</v>
      </c>
      <c r="Q158" s="5">
        <v>45807</v>
      </c>
      <c r="R158" s="209"/>
      <c r="U158" s="11"/>
      <c r="V158" s="8"/>
    </row>
    <row r="159" spans="1:22" ht="16.5" customHeight="1">
      <c r="A159" t="s">
        <v>64</v>
      </c>
      <c r="B159" s="10" t="s">
        <v>348</v>
      </c>
      <c r="C159" s="12" t="s">
        <v>412</v>
      </c>
      <c r="D159" s="13">
        <v>45808</v>
      </c>
      <c r="E159" s="155" t="s">
        <v>2625</v>
      </c>
      <c r="F159" s="155" t="s">
        <v>347</v>
      </c>
      <c r="G159" s="168" t="s">
        <v>7</v>
      </c>
      <c r="H159" s="156" t="s">
        <v>2627</v>
      </c>
      <c r="I159" s="69" t="s">
        <v>2042</v>
      </c>
      <c r="J159" s="122">
        <v>1</v>
      </c>
      <c r="K159" s="15">
        <v>90000</v>
      </c>
      <c r="L159" s="16">
        <f t="shared" si="18"/>
        <v>90000</v>
      </c>
      <c r="M159" s="15">
        <f t="shared" si="20"/>
        <v>9000</v>
      </c>
      <c r="N159" s="15">
        <f t="shared" si="19"/>
        <v>99000</v>
      </c>
      <c r="O159" s="5" t="s">
        <v>2577</v>
      </c>
      <c r="P159" s="9" t="s">
        <v>2636</v>
      </c>
      <c r="Q159" s="5">
        <v>45278</v>
      </c>
      <c r="R159" s="209" t="s">
        <v>100</v>
      </c>
    </row>
    <row r="160" spans="1:22" ht="16.5" customHeight="1">
      <c r="A160" t="s">
        <v>64</v>
      </c>
      <c r="B160" s="10" t="s">
        <v>387</v>
      </c>
      <c r="C160" s="12" t="s">
        <v>217</v>
      </c>
      <c r="D160" s="13">
        <v>45808</v>
      </c>
      <c r="E160" s="155" t="s">
        <v>2625</v>
      </c>
      <c r="F160" s="155" t="s">
        <v>218</v>
      </c>
      <c r="G160" s="168" t="s">
        <v>7</v>
      </c>
      <c r="H160" s="156" t="s">
        <v>2627</v>
      </c>
      <c r="I160" s="69" t="s">
        <v>2023</v>
      </c>
      <c r="J160" s="122">
        <v>1</v>
      </c>
      <c r="K160" s="15">
        <v>4875031</v>
      </c>
      <c r="L160" s="16">
        <f t="shared" si="18"/>
        <v>4875031</v>
      </c>
      <c r="M160" s="15">
        <v>487503</v>
      </c>
      <c r="N160" s="15">
        <f t="shared" si="19"/>
        <v>5362534</v>
      </c>
      <c r="O160" s="5" t="s">
        <v>2577</v>
      </c>
      <c r="P160" s="9" t="s">
        <v>2636</v>
      </c>
      <c r="Q160" s="5">
        <v>45807</v>
      </c>
      <c r="R160" s="209"/>
      <c r="U160" s="11"/>
      <c r="V160" s="8"/>
    </row>
    <row r="161" spans="1:22" ht="16.5" customHeight="1">
      <c r="A161" t="s">
        <v>64</v>
      </c>
      <c r="B161" s="10" t="s">
        <v>294</v>
      </c>
      <c r="C161" s="12" t="s">
        <v>289</v>
      </c>
      <c r="D161" s="13">
        <v>45808</v>
      </c>
      <c r="E161" s="155" t="s">
        <v>2625</v>
      </c>
      <c r="F161" s="155" t="s">
        <v>295</v>
      </c>
      <c r="G161" s="168" t="s">
        <v>7</v>
      </c>
      <c r="H161" s="156" t="s">
        <v>2627</v>
      </c>
      <c r="I161" s="69" t="s">
        <v>2025</v>
      </c>
      <c r="J161" s="122">
        <v>1</v>
      </c>
      <c r="K161" s="15">
        <v>976200</v>
      </c>
      <c r="L161" s="16">
        <f t="shared" si="18"/>
        <v>976200</v>
      </c>
      <c r="M161" s="15">
        <f>L161*10%</f>
        <v>97620</v>
      </c>
      <c r="N161" s="15">
        <f t="shared" si="19"/>
        <v>1073820</v>
      </c>
      <c r="O161" s="5" t="s">
        <v>2577</v>
      </c>
      <c r="P161" s="9" t="s">
        <v>2636</v>
      </c>
      <c r="Q161" s="5">
        <v>45823</v>
      </c>
      <c r="R161" s="209"/>
    </row>
    <row r="162" spans="1:22" ht="16.5" customHeight="1">
      <c r="A162" t="s">
        <v>64</v>
      </c>
      <c r="B162" s="10" t="s">
        <v>306</v>
      </c>
      <c r="C162" s="12" t="s">
        <v>305</v>
      </c>
      <c r="D162" s="13">
        <v>45808</v>
      </c>
      <c r="E162" s="155" t="s">
        <v>2625</v>
      </c>
      <c r="F162" s="155" t="s">
        <v>310</v>
      </c>
      <c r="G162" s="168" t="s">
        <v>7</v>
      </c>
      <c r="H162" s="156" t="s">
        <v>2627</v>
      </c>
      <c r="I162" s="69" t="s">
        <v>2026</v>
      </c>
      <c r="J162" s="122">
        <v>1</v>
      </c>
      <c r="K162" s="15">
        <v>511500</v>
      </c>
      <c r="L162" s="16">
        <f t="shared" si="18"/>
        <v>511500</v>
      </c>
      <c r="M162" s="15">
        <f>L162*10%</f>
        <v>51150</v>
      </c>
      <c r="N162" s="15">
        <f t="shared" si="19"/>
        <v>562650</v>
      </c>
      <c r="O162" s="5" t="s">
        <v>2577</v>
      </c>
      <c r="P162" s="9" t="s">
        <v>2636</v>
      </c>
      <c r="Q162" s="5">
        <v>45807</v>
      </c>
      <c r="R162" s="209"/>
    </row>
    <row r="163" spans="1:22" ht="16.5" customHeight="1">
      <c r="A163" t="s">
        <v>64</v>
      </c>
      <c r="B163" s="10" t="s">
        <v>227</v>
      </c>
      <c r="C163" s="12" t="s">
        <v>383</v>
      </c>
      <c r="D163" s="13">
        <v>45808</v>
      </c>
      <c r="E163" s="155" t="s">
        <v>2625</v>
      </c>
      <c r="F163" s="155" t="s">
        <v>228</v>
      </c>
      <c r="G163" s="156" t="s">
        <v>7</v>
      </c>
      <c r="H163" s="156" t="s">
        <v>2627</v>
      </c>
      <c r="I163" s="69" t="s">
        <v>2041</v>
      </c>
      <c r="J163" s="122">
        <v>1</v>
      </c>
      <c r="K163" s="15">
        <v>18000</v>
      </c>
      <c r="L163" s="16">
        <f t="shared" si="18"/>
        <v>18000</v>
      </c>
      <c r="M163" s="15">
        <f>L163*10%</f>
        <v>1800</v>
      </c>
      <c r="N163" s="15">
        <f t="shared" si="19"/>
        <v>19800</v>
      </c>
      <c r="O163" s="5" t="s">
        <v>2577</v>
      </c>
      <c r="P163" s="9" t="s">
        <v>2636</v>
      </c>
      <c r="Q163" s="5">
        <v>45195</v>
      </c>
      <c r="R163" s="209" t="s">
        <v>100</v>
      </c>
      <c r="U163" s="11"/>
      <c r="V163" s="8"/>
    </row>
    <row r="164" spans="1:22">
      <c r="A164" t="s">
        <v>64</v>
      </c>
      <c r="B164" s="10" t="s">
        <v>355</v>
      </c>
      <c r="C164" s="139" t="s">
        <v>350</v>
      </c>
      <c r="D164" s="13">
        <v>45808</v>
      </c>
      <c r="E164" s="155" t="s">
        <v>2625</v>
      </c>
      <c r="F164" s="155" t="s">
        <v>351</v>
      </c>
      <c r="G164" s="156" t="s">
        <v>7</v>
      </c>
      <c r="H164" s="156" t="s">
        <v>2627</v>
      </c>
      <c r="I164" s="69" t="s">
        <v>2030</v>
      </c>
      <c r="J164" s="122">
        <v>1</v>
      </c>
      <c r="K164" s="15">
        <v>518541</v>
      </c>
      <c r="L164" s="16">
        <f t="shared" si="18"/>
        <v>518541</v>
      </c>
      <c r="M164" s="15">
        <v>51854</v>
      </c>
      <c r="N164" s="15">
        <f t="shared" si="19"/>
        <v>570395</v>
      </c>
      <c r="O164" s="5" t="s">
        <v>2577</v>
      </c>
      <c r="P164" s="9" t="s">
        <v>2636</v>
      </c>
      <c r="Q164" s="5">
        <v>45807</v>
      </c>
      <c r="R164" s="209"/>
    </row>
    <row r="165" spans="1:22" ht="16.5" customHeight="1">
      <c r="A165" t="s">
        <v>64</v>
      </c>
      <c r="B165" s="10" t="s">
        <v>378</v>
      </c>
      <c r="C165" s="224" t="s">
        <v>379</v>
      </c>
      <c r="D165" s="13">
        <v>45808</v>
      </c>
      <c r="E165" s="155" t="s">
        <v>2625</v>
      </c>
      <c r="F165" s="155" t="s">
        <v>251</v>
      </c>
      <c r="G165" s="168" t="s">
        <v>7</v>
      </c>
      <c r="H165" s="156" t="s">
        <v>2627</v>
      </c>
      <c r="I165" s="69" t="s">
        <v>2035</v>
      </c>
      <c r="J165" s="122">
        <v>1</v>
      </c>
      <c r="K165" s="15">
        <v>249900</v>
      </c>
      <c r="L165" s="16">
        <f t="shared" ref="L165:L196" si="21">J165*K165</f>
        <v>249900</v>
      </c>
      <c r="M165" s="15">
        <f t="shared" ref="M165:M182" si="22">L165*10%</f>
        <v>24990</v>
      </c>
      <c r="N165" s="15">
        <f t="shared" ref="N165:N196" si="23">SUM(L165:M165)</f>
        <v>274890</v>
      </c>
      <c r="O165" s="5" t="s">
        <v>2577</v>
      </c>
      <c r="P165" s="9" t="s">
        <v>2636</v>
      </c>
      <c r="Q165" s="5">
        <v>45807</v>
      </c>
      <c r="R165" s="209"/>
      <c r="U165" s="11"/>
      <c r="V165" s="8"/>
    </row>
    <row r="166" spans="1:22" ht="16.5" customHeight="1">
      <c r="A166" t="s">
        <v>64</v>
      </c>
      <c r="B166" s="10" t="s">
        <v>381</v>
      </c>
      <c r="C166" s="12" t="s">
        <v>382</v>
      </c>
      <c r="D166" s="13">
        <v>45808</v>
      </c>
      <c r="E166" s="155" t="s">
        <v>2625</v>
      </c>
      <c r="F166" s="155" t="s">
        <v>283</v>
      </c>
      <c r="G166" s="168" t="s">
        <v>7</v>
      </c>
      <c r="H166" s="156" t="s">
        <v>2627</v>
      </c>
      <c r="I166" s="69" t="s">
        <v>2024</v>
      </c>
      <c r="J166" s="122">
        <v>1</v>
      </c>
      <c r="K166" s="15">
        <v>604800</v>
      </c>
      <c r="L166" s="16">
        <f t="shared" si="21"/>
        <v>604800</v>
      </c>
      <c r="M166" s="15">
        <f t="shared" si="22"/>
        <v>60480</v>
      </c>
      <c r="N166" s="15">
        <f t="shared" si="23"/>
        <v>665280</v>
      </c>
      <c r="O166" s="5" t="s">
        <v>2577</v>
      </c>
      <c r="P166" s="9" t="s">
        <v>2636</v>
      </c>
      <c r="Q166" s="5">
        <v>45807</v>
      </c>
      <c r="R166" s="209"/>
    </row>
    <row r="167" spans="1:22" ht="16.5" customHeight="1">
      <c r="A167" t="s">
        <v>64</v>
      </c>
      <c r="B167" s="10" t="s">
        <v>370</v>
      </c>
      <c r="C167" s="12" t="s">
        <v>388</v>
      </c>
      <c r="D167" s="13">
        <v>45808</v>
      </c>
      <c r="E167" s="155" t="s">
        <v>2625</v>
      </c>
      <c r="F167" s="155" t="s">
        <v>252</v>
      </c>
      <c r="G167" s="156" t="s">
        <v>7</v>
      </c>
      <c r="H167" s="156" t="s">
        <v>2627</v>
      </c>
      <c r="I167" s="69" t="s">
        <v>2045</v>
      </c>
      <c r="J167" s="122">
        <v>1</v>
      </c>
      <c r="K167" s="15">
        <v>52200</v>
      </c>
      <c r="L167" s="16">
        <f t="shared" si="21"/>
        <v>52200</v>
      </c>
      <c r="M167" s="15">
        <f t="shared" si="22"/>
        <v>5220</v>
      </c>
      <c r="N167" s="15">
        <f t="shared" si="23"/>
        <v>57420</v>
      </c>
      <c r="O167" s="5" t="s">
        <v>2577</v>
      </c>
      <c r="P167" s="9" t="s">
        <v>2636</v>
      </c>
      <c r="Q167" s="5">
        <v>45471</v>
      </c>
      <c r="R167" s="209" t="s">
        <v>100</v>
      </c>
      <c r="U167" s="11"/>
      <c r="V167" s="8"/>
    </row>
    <row r="168" spans="1:22" ht="16.5" customHeight="1">
      <c r="A168" t="s">
        <v>64</v>
      </c>
      <c r="B168" s="10" t="s">
        <v>375</v>
      </c>
      <c r="C168" s="224" t="s">
        <v>376</v>
      </c>
      <c r="D168" s="13">
        <v>45808</v>
      </c>
      <c r="E168" s="155" t="s">
        <v>2625</v>
      </c>
      <c r="F168" s="155" t="s">
        <v>249</v>
      </c>
      <c r="G168" s="156" t="s">
        <v>7</v>
      </c>
      <c r="H168" s="156" t="s">
        <v>2627</v>
      </c>
      <c r="I168" s="69" t="s">
        <v>2045</v>
      </c>
      <c r="J168" s="122">
        <v>1</v>
      </c>
      <c r="K168" s="15">
        <v>170400</v>
      </c>
      <c r="L168" s="16">
        <f t="shared" si="21"/>
        <v>170400</v>
      </c>
      <c r="M168" s="15">
        <f t="shared" si="22"/>
        <v>17040</v>
      </c>
      <c r="N168" s="15">
        <f t="shared" si="23"/>
        <v>187440</v>
      </c>
      <c r="O168" s="5" t="s">
        <v>2577</v>
      </c>
      <c r="P168" s="9" t="s">
        <v>2636</v>
      </c>
      <c r="Q168" s="5">
        <v>45471</v>
      </c>
      <c r="R168" s="209" t="s">
        <v>100</v>
      </c>
      <c r="U168" s="11"/>
      <c r="V168" s="8"/>
    </row>
    <row r="169" spans="1:22" ht="16.5" customHeight="1">
      <c r="A169" t="s">
        <v>64</v>
      </c>
      <c r="B169" s="10" t="s">
        <v>377</v>
      </c>
      <c r="C169" s="12" t="s">
        <v>380</v>
      </c>
      <c r="D169" s="13">
        <v>45808</v>
      </c>
      <c r="E169" s="155" t="s">
        <v>2625</v>
      </c>
      <c r="F169" s="155" t="s">
        <v>219</v>
      </c>
      <c r="G169" s="168" t="s">
        <v>7</v>
      </c>
      <c r="H169" s="156" t="s">
        <v>2627</v>
      </c>
      <c r="I169" s="69" t="s">
        <v>2312</v>
      </c>
      <c r="J169" s="122">
        <v>1</v>
      </c>
      <c r="K169" s="15">
        <v>101400</v>
      </c>
      <c r="L169" s="16">
        <f t="shared" si="21"/>
        <v>101400</v>
      </c>
      <c r="M169" s="15">
        <f t="shared" si="22"/>
        <v>10140</v>
      </c>
      <c r="N169" s="15">
        <f t="shared" si="23"/>
        <v>111540</v>
      </c>
      <c r="O169" s="5" t="s">
        <v>2577</v>
      </c>
      <c r="P169" s="9" t="s">
        <v>2636</v>
      </c>
      <c r="Q169" s="5">
        <v>45807</v>
      </c>
      <c r="R169" s="209"/>
    </row>
    <row r="170" spans="1:22" ht="16.5" customHeight="1">
      <c r="A170" t="s">
        <v>64</v>
      </c>
      <c r="B170" s="10" t="s">
        <v>390</v>
      </c>
      <c r="C170" s="225" t="s">
        <v>386</v>
      </c>
      <c r="D170" s="13">
        <v>45808</v>
      </c>
      <c r="E170" s="155" t="s">
        <v>2625</v>
      </c>
      <c r="F170" s="155" t="s">
        <v>97</v>
      </c>
      <c r="G170" s="156" t="s">
        <v>7</v>
      </c>
      <c r="H170" s="156" t="s">
        <v>2627</v>
      </c>
      <c r="I170" s="69" t="s">
        <v>1914</v>
      </c>
      <c r="J170" s="122">
        <v>1</v>
      </c>
      <c r="K170" s="15">
        <v>171600</v>
      </c>
      <c r="L170" s="16">
        <f t="shared" si="21"/>
        <v>171600</v>
      </c>
      <c r="M170" s="15">
        <f t="shared" si="22"/>
        <v>17160</v>
      </c>
      <c r="N170" s="15">
        <f t="shared" si="23"/>
        <v>188760</v>
      </c>
      <c r="O170" s="5" t="s">
        <v>2577</v>
      </c>
      <c r="P170" s="9" t="s">
        <v>2636</v>
      </c>
      <c r="Q170" s="5">
        <v>45778</v>
      </c>
      <c r="R170" s="209"/>
    </row>
    <row r="171" spans="1:22" ht="16.5" customHeight="1">
      <c r="A171" t="s">
        <v>64</v>
      </c>
      <c r="B171" s="10" t="s">
        <v>406</v>
      </c>
      <c r="C171" s="12" t="s">
        <v>407</v>
      </c>
      <c r="D171" s="13">
        <v>45808</v>
      </c>
      <c r="E171" s="155" t="s">
        <v>2625</v>
      </c>
      <c r="F171" s="155" t="s">
        <v>259</v>
      </c>
      <c r="G171" s="156" t="s">
        <v>7</v>
      </c>
      <c r="H171" s="156" t="s">
        <v>2627</v>
      </c>
      <c r="I171" s="69" t="s">
        <v>2036</v>
      </c>
      <c r="J171" s="122">
        <v>1</v>
      </c>
      <c r="K171" s="15">
        <v>1120200</v>
      </c>
      <c r="L171" s="16">
        <f t="shared" si="21"/>
        <v>1120200</v>
      </c>
      <c r="M171" s="15">
        <f t="shared" si="22"/>
        <v>112020</v>
      </c>
      <c r="N171" s="15">
        <f t="shared" si="23"/>
        <v>1232220</v>
      </c>
      <c r="O171" s="5" t="s">
        <v>2577</v>
      </c>
      <c r="P171" s="9" t="s">
        <v>2636</v>
      </c>
      <c r="Q171" s="5">
        <v>45778</v>
      </c>
      <c r="R171" s="209"/>
    </row>
    <row r="172" spans="1:22" ht="16.5" customHeight="1">
      <c r="A172" t="s">
        <v>64</v>
      </c>
      <c r="B172" s="10" t="s">
        <v>393</v>
      </c>
      <c r="C172" s="12" t="s">
        <v>392</v>
      </c>
      <c r="D172" s="13">
        <v>45808</v>
      </c>
      <c r="E172" s="155" t="s">
        <v>2625</v>
      </c>
      <c r="F172" s="155" t="s">
        <v>234</v>
      </c>
      <c r="G172" s="168" t="s">
        <v>7</v>
      </c>
      <c r="H172" s="156" t="s">
        <v>2627</v>
      </c>
      <c r="I172" s="69" t="s">
        <v>2514</v>
      </c>
      <c r="J172" s="122">
        <v>1</v>
      </c>
      <c r="K172" s="15">
        <v>1706400</v>
      </c>
      <c r="L172" s="16">
        <f t="shared" si="21"/>
        <v>1706400</v>
      </c>
      <c r="M172" s="15">
        <f t="shared" si="22"/>
        <v>170640</v>
      </c>
      <c r="N172" s="15">
        <f t="shared" si="23"/>
        <v>1877040</v>
      </c>
      <c r="O172" s="5" t="s">
        <v>2577</v>
      </c>
      <c r="P172" s="9" t="s">
        <v>2636</v>
      </c>
      <c r="Q172" s="5">
        <v>45748</v>
      </c>
      <c r="R172" s="209" t="s">
        <v>147</v>
      </c>
    </row>
    <row r="173" spans="1:22" ht="16.5" customHeight="1">
      <c r="A173" t="s">
        <v>64</v>
      </c>
      <c r="B173" s="10" t="s">
        <v>410</v>
      </c>
      <c r="C173" s="12" t="s">
        <v>411</v>
      </c>
      <c r="D173" s="13">
        <v>45808</v>
      </c>
      <c r="E173" s="155" t="s">
        <v>2625</v>
      </c>
      <c r="F173" s="155" t="s">
        <v>2629</v>
      </c>
      <c r="G173" s="168" t="s">
        <v>7</v>
      </c>
      <c r="H173" s="156" t="s">
        <v>2627</v>
      </c>
      <c r="I173" s="69" t="s">
        <v>2027</v>
      </c>
      <c r="J173" s="122">
        <v>1</v>
      </c>
      <c r="K173" s="15">
        <v>505200</v>
      </c>
      <c r="L173" s="16">
        <f t="shared" si="21"/>
        <v>505200</v>
      </c>
      <c r="M173" s="15">
        <f t="shared" si="22"/>
        <v>50520</v>
      </c>
      <c r="N173" s="15">
        <f t="shared" si="23"/>
        <v>555720</v>
      </c>
      <c r="O173" s="5" t="s">
        <v>2577</v>
      </c>
      <c r="P173" s="177" t="s">
        <v>2636</v>
      </c>
      <c r="Q173" s="5">
        <v>45807</v>
      </c>
      <c r="R173" s="209"/>
    </row>
    <row r="174" spans="1:22" ht="16.5" customHeight="1">
      <c r="A174" t="s">
        <v>64</v>
      </c>
      <c r="B174" s="10" t="s">
        <v>433</v>
      </c>
      <c r="C174" s="12" t="s">
        <v>427</v>
      </c>
      <c r="D174" s="13">
        <v>45808</v>
      </c>
      <c r="E174" s="155" t="s">
        <v>2625</v>
      </c>
      <c r="F174" s="155" t="s">
        <v>224</v>
      </c>
      <c r="G174" s="156" t="s">
        <v>7</v>
      </c>
      <c r="H174" s="156" t="s">
        <v>2627</v>
      </c>
      <c r="I174" s="69" t="s">
        <v>2046</v>
      </c>
      <c r="J174" s="122">
        <v>1</v>
      </c>
      <c r="K174" s="15">
        <v>334800</v>
      </c>
      <c r="L174" s="16">
        <f t="shared" si="21"/>
        <v>334800</v>
      </c>
      <c r="M174" s="15">
        <f t="shared" si="22"/>
        <v>33480</v>
      </c>
      <c r="N174" s="15">
        <f t="shared" si="23"/>
        <v>368280</v>
      </c>
      <c r="O174" s="5" t="s">
        <v>2577</v>
      </c>
      <c r="P174" s="9" t="s">
        <v>2636</v>
      </c>
      <c r="Q174" s="5">
        <v>45504</v>
      </c>
      <c r="R174" s="209" t="s">
        <v>100</v>
      </c>
    </row>
    <row r="175" spans="1:22" ht="16.5" customHeight="1">
      <c r="A175" t="s">
        <v>64</v>
      </c>
      <c r="B175" s="10" t="s">
        <v>445</v>
      </c>
      <c r="C175" s="12" t="s">
        <v>440</v>
      </c>
      <c r="D175" s="13">
        <v>45808</v>
      </c>
      <c r="E175" s="155" t="s">
        <v>2625</v>
      </c>
      <c r="F175" s="155" t="s">
        <v>223</v>
      </c>
      <c r="G175" s="168" t="s">
        <v>7</v>
      </c>
      <c r="H175" s="156" t="s">
        <v>2627</v>
      </c>
      <c r="I175" s="69" t="s">
        <v>1905</v>
      </c>
      <c r="J175" s="122">
        <v>1</v>
      </c>
      <c r="K175" s="15">
        <v>78000</v>
      </c>
      <c r="L175" s="16">
        <f t="shared" si="21"/>
        <v>78000</v>
      </c>
      <c r="M175" s="15">
        <f t="shared" si="22"/>
        <v>7800</v>
      </c>
      <c r="N175" s="15">
        <f t="shared" si="23"/>
        <v>85800</v>
      </c>
      <c r="O175" s="5" t="s">
        <v>2577</v>
      </c>
      <c r="P175" s="9" t="s">
        <v>2636</v>
      </c>
      <c r="Q175" s="5">
        <v>45565</v>
      </c>
      <c r="R175" s="209" t="s">
        <v>100</v>
      </c>
    </row>
    <row r="176" spans="1:22" ht="16.5" customHeight="1">
      <c r="A176" t="s">
        <v>64</v>
      </c>
      <c r="B176" s="10" t="s">
        <v>446</v>
      </c>
      <c r="C176" s="12" t="s">
        <v>441</v>
      </c>
      <c r="D176" s="13">
        <v>45808</v>
      </c>
      <c r="E176" s="155" t="s">
        <v>2625</v>
      </c>
      <c r="F176" s="155" t="s">
        <v>216</v>
      </c>
      <c r="G176" s="168" t="s">
        <v>7</v>
      </c>
      <c r="H176" s="156" t="s">
        <v>2627</v>
      </c>
      <c r="I176" s="69" t="s">
        <v>2608</v>
      </c>
      <c r="J176" s="122">
        <v>1</v>
      </c>
      <c r="K176" s="15">
        <v>534900</v>
      </c>
      <c r="L176" s="16">
        <f t="shared" si="21"/>
        <v>534900</v>
      </c>
      <c r="M176" s="15">
        <f t="shared" si="22"/>
        <v>53490</v>
      </c>
      <c r="N176" s="15">
        <f t="shared" si="23"/>
        <v>588390</v>
      </c>
      <c r="O176" s="5" t="s">
        <v>2577</v>
      </c>
      <c r="P176" s="9" t="s">
        <v>2636</v>
      </c>
      <c r="Q176" s="5">
        <v>45560</v>
      </c>
      <c r="R176" s="209" t="s">
        <v>100</v>
      </c>
    </row>
    <row r="177" spans="1:18" ht="16.5" customHeight="1">
      <c r="A177" t="s">
        <v>64</v>
      </c>
      <c r="B177" s="10" t="s">
        <v>426</v>
      </c>
      <c r="C177" s="12" t="s">
        <v>425</v>
      </c>
      <c r="D177" s="13">
        <v>45808</v>
      </c>
      <c r="E177" s="155" t="s">
        <v>2625</v>
      </c>
      <c r="F177" s="155" t="s">
        <v>220</v>
      </c>
      <c r="G177" s="168" t="s">
        <v>7</v>
      </c>
      <c r="H177" s="156" t="s">
        <v>2627</v>
      </c>
      <c r="I177" s="69" t="s">
        <v>2047</v>
      </c>
      <c r="J177" s="122">
        <v>1</v>
      </c>
      <c r="K177" s="15">
        <v>11892900</v>
      </c>
      <c r="L177" s="16">
        <f t="shared" si="21"/>
        <v>11892900</v>
      </c>
      <c r="M177" s="15">
        <f t="shared" si="22"/>
        <v>1189290</v>
      </c>
      <c r="N177" s="15">
        <f t="shared" si="23"/>
        <v>13082190</v>
      </c>
      <c r="O177" s="5" t="s">
        <v>2577</v>
      </c>
      <c r="P177" s="9" t="s">
        <v>2636</v>
      </c>
      <c r="Q177" s="5">
        <v>45807</v>
      </c>
      <c r="R177" s="209"/>
    </row>
    <row r="178" spans="1:18" ht="16.5" customHeight="1">
      <c r="A178" t="s">
        <v>64</v>
      </c>
      <c r="B178" s="10" t="s">
        <v>447</v>
      </c>
      <c r="C178" s="12" t="s">
        <v>442</v>
      </c>
      <c r="D178" s="13">
        <v>45808</v>
      </c>
      <c r="E178" s="155" t="s">
        <v>2625</v>
      </c>
      <c r="F178" s="155" t="s">
        <v>229</v>
      </c>
      <c r="G178" s="168" t="s">
        <v>7</v>
      </c>
      <c r="H178" s="156" t="s">
        <v>2627</v>
      </c>
      <c r="I178" s="69" t="s">
        <v>2048</v>
      </c>
      <c r="J178" s="122">
        <v>1</v>
      </c>
      <c r="K178" s="15">
        <v>48900</v>
      </c>
      <c r="L178" s="16">
        <f t="shared" si="21"/>
        <v>48900</v>
      </c>
      <c r="M178" s="15">
        <f t="shared" si="22"/>
        <v>4890</v>
      </c>
      <c r="N178" s="15">
        <f t="shared" si="23"/>
        <v>53790</v>
      </c>
      <c r="O178" s="5" t="s">
        <v>2577</v>
      </c>
      <c r="P178" s="9" t="s">
        <v>2636</v>
      </c>
      <c r="Q178" s="5">
        <v>45590</v>
      </c>
      <c r="R178" s="209" t="s">
        <v>100</v>
      </c>
    </row>
    <row r="179" spans="1:18" ht="16.5" customHeight="1">
      <c r="A179" t="s">
        <v>64</v>
      </c>
      <c r="B179" s="10" t="s">
        <v>448</v>
      </c>
      <c r="C179" s="12" t="s">
        <v>443</v>
      </c>
      <c r="D179" s="13">
        <v>45808</v>
      </c>
      <c r="E179" s="155" t="s">
        <v>2625</v>
      </c>
      <c r="F179" s="155" t="s">
        <v>301</v>
      </c>
      <c r="G179" s="168" t="s">
        <v>7</v>
      </c>
      <c r="H179" s="156" t="s">
        <v>2627</v>
      </c>
      <c r="I179" s="69" t="s">
        <v>2049</v>
      </c>
      <c r="J179" s="122">
        <v>1</v>
      </c>
      <c r="K179" s="15">
        <v>306300</v>
      </c>
      <c r="L179" s="16">
        <f t="shared" si="21"/>
        <v>306300</v>
      </c>
      <c r="M179" s="15">
        <f t="shared" si="22"/>
        <v>30630</v>
      </c>
      <c r="N179" s="15">
        <f t="shared" si="23"/>
        <v>336930</v>
      </c>
      <c r="O179" s="5" t="s">
        <v>2577</v>
      </c>
      <c r="P179" s="9" t="s">
        <v>2636</v>
      </c>
      <c r="Q179" s="5">
        <v>45596</v>
      </c>
      <c r="R179" s="209" t="s">
        <v>100</v>
      </c>
    </row>
    <row r="180" spans="1:18" ht="16.5" customHeight="1">
      <c r="A180" t="s">
        <v>64</v>
      </c>
      <c r="B180" s="10" t="s">
        <v>449</v>
      </c>
      <c r="C180" s="12" t="s">
        <v>444</v>
      </c>
      <c r="D180" s="13">
        <v>45808</v>
      </c>
      <c r="E180" s="155" t="s">
        <v>2625</v>
      </c>
      <c r="F180" s="155" t="s">
        <v>67</v>
      </c>
      <c r="G180" s="168" t="s">
        <v>7</v>
      </c>
      <c r="H180" s="156" t="s">
        <v>2627</v>
      </c>
      <c r="I180" s="69" t="s">
        <v>2050</v>
      </c>
      <c r="J180" s="122">
        <v>1</v>
      </c>
      <c r="K180" s="15">
        <v>655500</v>
      </c>
      <c r="L180" s="16">
        <f t="shared" si="21"/>
        <v>655500</v>
      </c>
      <c r="M180" s="15">
        <f t="shared" si="22"/>
        <v>65550</v>
      </c>
      <c r="N180" s="15">
        <f t="shared" si="23"/>
        <v>721050</v>
      </c>
      <c r="O180" s="5" t="s">
        <v>2577</v>
      </c>
      <c r="P180" s="9" t="s">
        <v>2636</v>
      </c>
      <c r="Q180" s="5">
        <v>45807</v>
      </c>
      <c r="R180" s="209"/>
    </row>
    <row r="181" spans="1:18" ht="16.5" customHeight="1">
      <c r="A181" t="s">
        <v>64</v>
      </c>
      <c r="B181" s="10" t="s">
        <v>449</v>
      </c>
      <c r="C181" s="12" t="s">
        <v>460</v>
      </c>
      <c r="D181" s="13">
        <v>45808</v>
      </c>
      <c r="E181" s="155" t="s">
        <v>2625</v>
      </c>
      <c r="F181" s="155" t="s">
        <v>67</v>
      </c>
      <c r="G181" s="168" t="s">
        <v>7</v>
      </c>
      <c r="H181" s="156" t="s">
        <v>2627</v>
      </c>
      <c r="I181" s="69" t="s">
        <v>2051</v>
      </c>
      <c r="J181" s="122">
        <v>1</v>
      </c>
      <c r="K181" s="15">
        <v>1981200</v>
      </c>
      <c r="L181" s="16">
        <f t="shared" si="21"/>
        <v>1981200</v>
      </c>
      <c r="M181" s="15">
        <f t="shared" si="22"/>
        <v>198120</v>
      </c>
      <c r="N181" s="15">
        <f t="shared" si="23"/>
        <v>2179320</v>
      </c>
      <c r="O181" s="5" t="s">
        <v>2577</v>
      </c>
      <c r="P181" s="9" t="s">
        <v>2636</v>
      </c>
      <c r="Q181" s="5">
        <v>45807</v>
      </c>
      <c r="R181" s="209"/>
    </row>
    <row r="182" spans="1:18" ht="16.5" customHeight="1">
      <c r="A182" t="s">
        <v>64</v>
      </c>
      <c r="B182" s="10" t="s">
        <v>1162</v>
      </c>
      <c r="C182" s="12" t="s">
        <v>1163</v>
      </c>
      <c r="D182" s="13">
        <v>45808</v>
      </c>
      <c r="E182" s="155" t="s">
        <v>2625</v>
      </c>
      <c r="F182" s="155" t="s">
        <v>222</v>
      </c>
      <c r="G182" s="168" t="s">
        <v>7</v>
      </c>
      <c r="H182" s="156" t="s">
        <v>2627</v>
      </c>
      <c r="I182" s="69" t="s">
        <v>2052</v>
      </c>
      <c r="J182" s="122">
        <v>1</v>
      </c>
      <c r="K182" s="15">
        <v>153900</v>
      </c>
      <c r="L182" s="16">
        <f t="shared" si="21"/>
        <v>153900</v>
      </c>
      <c r="M182" s="15">
        <f t="shared" si="22"/>
        <v>15390</v>
      </c>
      <c r="N182" s="15">
        <f t="shared" si="23"/>
        <v>169290</v>
      </c>
      <c r="O182" s="5" t="s">
        <v>2577</v>
      </c>
      <c r="P182" s="9" t="s">
        <v>2636</v>
      </c>
      <c r="Q182" s="5">
        <v>45588</v>
      </c>
      <c r="R182" s="209" t="s">
        <v>100</v>
      </c>
    </row>
    <row r="183" spans="1:18" ht="16.5" customHeight="1">
      <c r="A183" t="s">
        <v>64</v>
      </c>
      <c r="B183" s="10" t="s">
        <v>486</v>
      </c>
      <c r="C183" s="12" t="s">
        <v>525</v>
      </c>
      <c r="D183" s="13">
        <v>45808</v>
      </c>
      <c r="E183" s="155" t="s">
        <v>2625</v>
      </c>
      <c r="F183" s="155" t="s">
        <v>230</v>
      </c>
      <c r="G183" s="168" t="s">
        <v>7</v>
      </c>
      <c r="H183" s="156" t="s">
        <v>2627</v>
      </c>
      <c r="I183" s="69" t="s">
        <v>2053</v>
      </c>
      <c r="J183" s="122">
        <v>1</v>
      </c>
      <c r="K183" s="15">
        <v>555600</v>
      </c>
      <c r="L183" s="16">
        <f t="shared" si="21"/>
        <v>555600</v>
      </c>
      <c r="M183" s="15">
        <v>55560</v>
      </c>
      <c r="N183" s="15">
        <f t="shared" si="23"/>
        <v>611160</v>
      </c>
      <c r="O183" s="5" t="s">
        <v>2577</v>
      </c>
      <c r="P183" s="9" t="s">
        <v>2636</v>
      </c>
      <c r="Q183" s="5">
        <v>45627</v>
      </c>
      <c r="R183" s="209" t="s">
        <v>100</v>
      </c>
    </row>
    <row r="184" spans="1:18" ht="16.5" customHeight="1">
      <c r="A184" t="s">
        <v>64</v>
      </c>
      <c r="B184" s="10" t="s">
        <v>786</v>
      </c>
      <c r="C184" s="12" t="s">
        <v>760</v>
      </c>
      <c r="D184" s="13">
        <v>45808</v>
      </c>
      <c r="E184" s="155" t="s">
        <v>2625</v>
      </c>
      <c r="F184" s="155" t="s">
        <v>2629</v>
      </c>
      <c r="G184" s="156" t="s">
        <v>7</v>
      </c>
      <c r="H184" s="156" t="s">
        <v>2627</v>
      </c>
      <c r="I184" s="69" t="s">
        <v>2029</v>
      </c>
      <c r="J184" s="122">
        <v>1</v>
      </c>
      <c r="K184" s="15">
        <v>661800</v>
      </c>
      <c r="L184" s="16">
        <f t="shared" si="21"/>
        <v>661800</v>
      </c>
      <c r="M184" s="16">
        <f>L184*10%</f>
        <v>66180</v>
      </c>
      <c r="N184" s="15">
        <f t="shared" si="23"/>
        <v>727980</v>
      </c>
      <c r="O184" s="5" t="s">
        <v>2577</v>
      </c>
      <c r="P184" s="9" t="s">
        <v>2636</v>
      </c>
      <c r="Q184" s="5">
        <v>45807</v>
      </c>
      <c r="R184" s="213"/>
    </row>
    <row r="185" spans="1:18" ht="16.5" customHeight="1">
      <c r="A185" t="s">
        <v>64</v>
      </c>
      <c r="B185" s="10" t="s">
        <v>527</v>
      </c>
      <c r="C185" s="12" t="s">
        <v>524</v>
      </c>
      <c r="D185" s="13">
        <v>45808</v>
      </c>
      <c r="E185" s="155" t="s">
        <v>2625</v>
      </c>
      <c r="F185" s="155" t="s">
        <v>231</v>
      </c>
      <c r="G185" s="156" t="s">
        <v>7</v>
      </c>
      <c r="H185" s="156" t="s">
        <v>2627</v>
      </c>
      <c r="I185" s="69" t="s">
        <v>2054</v>
      </c>
      <c r="J185" s="122">
        <v>1</v>
      </c>
      <c r="K185" s="15">
        <v>331170</v>
      </c>
      <c r="L185" s="16">
        <f t="shared" si="21"/>
        <v>331170</v>
      </c>
      <c r="M185" s="15">
        <v>33117</v>
      </c>
      <c r="N185" s="15">
        <f t="shared" si="23"/>
        <v>364287</v>
      </c>
      <c r="O185" s="5" t="s">
        <v>2577</v>
      </c>
      <c r="P185" s="9" t="s">
        <v>2636</v>
      </c>
      <c r="Q185" s="5">
        <v>45645</v>
      </c>
      <c r="R185" s="209" t="s">
        <v>100</v>
      </c>
    </row>
    <row r="186" spans="1:18" ht="16.5" customHeight="1">
      <c r="A186" t="s">
        <v>64</v>
      </c>
      <c r="B186" s="10" t="s">
        <v>787</v>
      </c>
      <c r="C186" s="12" t="s">
        <v>753</v>
      </c>
      <c r="D186" s="13">
        <v>45808</v>
      </c>
      <c r="E186" s="155" t="s">
        <v>2625</v>
      </c>
      <c r="F186" s="155" t="s">
        <v>788</v>
      </c>
      <c r="G186" s="156" t="s">
        <v>7</v>
      </c>
      <c r="H186" s="156" t="s">
        <v>2627</v>
      </c>
      <c r="I186" s="69" t="s">
        <v>2055</v>
      </c>
      <c r="J186" s="122">
        <v>1</v>
      </c>
      <c r="K186" s="15">
        <v>97800</v>
      </c>
      <c r="L186" s="16">
        <f t="shared" si="21"/>
        <v>97800</v>
      </c>
      <c r="M186" s="16">
        <f t="shared" ref="M186:M211" si="24">L186*10%</f>
        <v>9780</v>
      </c>
      <c r="N186" s="15">
        <f t="shared" si="23"/>
        <v>107580</v>
      </c>
      <c r="O186" s="5" t="s">
        <v>2577</v>
      </c>
      <c r="P186" s="9" t="s">
        <v>2636</v>
      </c>
      <c r="Q186" s="5">
        <v>45681</v>
      </c>
      <c r="R186" s="209" t="s">
        <v>100</v>
      </c>
    </row>
    <row r="187" spans="1:18" ht="16.5" customHeight="1">
      <c r="A187" t="s">
        <v>64</v>
      </c>
      <c r="B187" s="10" t="s">
        <v>528</v>
      </c>
      <c r="C187" s="12" t="s">
        <v>523</v>
      </c>
      <c r="D187" s="13">
        <v>45808</v>
      </c>
      <c r="E187" s="155" t="s">
        <v>2625</v>
      </c>
      <c r="F187" s="155" t="s">
        <v>67</v>
      </c>
      <c r="G187" s="168" t="s">
        <v>7</v>
      </c>
      <c r="H187" s="156" t="s">
        <v>2627</v>
      </c>
      <c r="I187" s="69" t="s">
        <v>2056</v>
      </c>
      <c r="J187" s="122">
        <v>1</v>
      </c>
      <c r="K187" s="15">
        <v>98100</v>
      </c>
      <c r="L187" s="16">
        <f t="shared" si="21"/>
        <v>98100</v>
      </c>
      <c r="M187" s="15">
        <f t="shared" si="24"/>
        <v>9810</v>
      </c>
      <c r="N187" s="15">
        <f t="shared" si="23"/>
        <v>107910</v>
      </c>
      <c r="O187" s="5" t="s">
        <v>2577</v>
      </c>
      <c r="P187" s="9" t="s">
        <v>2636</v>
      </c>
      <c r="Q187" s="5">
        <v>45659</v>
      </c>
      <c r="R187" s="209" t="s">
        <v>100</v>
      </c>
    </row>
    <row r="188" spans="1:18" ht="16.5" customHeight="1">
      <c r="A188" t="s">
        <v>64</v>
      </c>
      <c r="B188" s="10" t="s">
        <v>792</v>
      </c>
      <c r="C188" s="12" t="s">
        <v>750</v>
      </c>
      <c r="D188" s="13">
        <v>45808</v>
      </c>
      <c r="E188" s="155" t="s">
        <v>2625</v>
      </c>
      <c r="F188" s="155" t="s">
        <v>2629</v>
      </c>
      <c r="G188" s="168" t="s">
        <v>7</v>
      </c>
      <c r="H188" s="156" t="s">
        <v>2627</v>
      </c>
      <c r="I188" s="69" t="s">
        <v>2033</v>
      </c>
      <c r="J188" s="122">
        <v>1</v>
      </c>
      <c r="K188" s="15">
        <v>1196100</v>
      </c>
      <c r="L188" s="16">
        <f t="shared" si="21"/>
        <v>1196100</v>
      </c>
      <c r="M188" s="16">
        <f t="shared" si="24"/>
        <v>119610</v>
      </c>
      <c r="N188" s="15">
        <f t="shared" si="23"/>
        <v>1315710</v>
      </c>
      <c r="O188" s="5" t="s">
        <v>2577</v>
      </c>
      <c r="P188" s="9" t="s">
        <v>2636</v>
      </c>
      <c r="Q188" s="5">
        <v>45807</v>
      </c>
      <c r="R188" s="213"/>
    </row>
    <row r="189" spans="1:18" ht="16.5" customHeight="1">
      <c r="A189" t="s">
        <v>64</v>
      </c>
      <c r="B189" s="10" t="s">
        <v>796</v>
      </c>
      <c r="C189" s="12" t="s">
        <v>897</v>
      </c>
      <c r="D189" s="13">
        <v>45808</v>
      </c>
      <c r="E189" s="155" t="s">
        <v>2625</v>
      </c>
      <c r="F189" s="155" t="s">
        <v>291</v>
      </c>
      <c r="G189" s="168" t="s">
        <v>7</v>
      </c>
      <c r="H189" s="156" t="s">
        <v>2627</v>
      </c>
      <c r="I189" s="69" t="s">
        <v>2057</v>
      </c>
      <c r="J189" s="122">
        <v>1</v>
      </c>
      <c r="K189" s="15">
        <v>99900</v>
      </c>
      <c r="L189" s="16">
        <f t="shared" si="21"/>
        <v>99900</v>
      </c>
      <c r="M189" s="16">
        <f t="shared" si="24"/>
        <v>9990</v>
      </c>
      <c r="N189" s="15">
        <f t="shared" si="23"/>
        <v>109890</v>
      </c>
      <c r="O189" s="5" t="s">
        <v>2577</v>
      </c>
      <c r="P189" s="9" t="s">
        <v>2636</v>
      </c>
      <c r="Q189" s="5">
        <v>45661</v>
      </c>
      <c r="R189" s="209" t="s">
        <v>100</v>
      </c>
    </row>
    <row r="190" spans="1:18" ht="16.5" customHeight="1">
      <c r="A190" t="s">
        <v>64</v>
      </c>
      <c r="B190" s="10" t="s">
        <v>790</v>
      </c>
      <c r="C190" s="12" t="s">
        <v>751</v>
      </c>
      <c r="D190" s="13">
        <v>45808</v>
      </c>
      <c r="E190" s="155" t="s">
        <v>2625</v>
      </c>
      <c r="F190" s="155" t="s">
        <v>2629</v>
      </c>
      <c r="G190" s="168" t="s">
        <v>7</v>
      </c>
      <c r="H190" s="156" t="s">
        <v>2627</v>
      </c>
      <c r="I190" s="69" t="s">
        <v>2034</v>
      </c>
      <c r="J190" s="122">
        <v>1</v>
      </c>
      <c r="K190" s="15">
        <v>590400</v>
      </c>
      <c r="L190" s="16">
        <f t="shared" si="21"/>
        <v>590400</v>
      </c>
      <c r="M190" s="16">
        <f t="shared" si="24"/>
        <v>59040</v>
      </c>
      <c r="N190" s="15">
        <f t="shared" si="23"/>
        <v>649440</v>
      </c>
      <c r="O190" s="5" t="s">
        <v>2577</v>
      </c>
      <c r="P190" s="9" t="s">
        <v>2636</v>
      </c>
      <c r="Q190" s="5">
        <v>45807</v>
      </c>
      <c r="R190" s="213"/>
    </row>
    <row r="191" spans="1:18" ht="16.5" customHeight="1">
      <c r="A191" t="s">
        <v>64</v>
      </c>
      <c r="B191" s="10" t="s">
        <v>533</v>
      </c>
      <c r="C191" s="12" t="s">
        <v>748</v>
      </c>
      <c r="D191" s="13">
        <v>45808</v>
      </c>
      <c r="E191" s="155" t="s">
        <v>2625</v>
      </c>
      <c r="F191" s="155" t="s">
        <v>2629</v>
      </c>
      <c r="G191" s="168" t="s">
        <v>7</v>
      </c>
      <c r="H191" s="156" t="s">
        <v>2627</v>
      </c>
      <c r="I191" s="69" t="s">
        <v>2034</v>
      </c>
      <c r="J191" s="122">
        <v>1</v>
      </c>
      <c r="K191" s="15">
        <v>289800</v>
      </c>
      <c r="L191" s="16">
        <f t="shared" si="21"/>
        <v>289800</v>
      </c>
      <c r="M191" s="16">
        <f t="shared" si="24"/>
        <v>28980</v>
      </c>
      <c r="N191" s="15">
        <f t="shared" si="23"/>
        <v>318780</v>
      </c>
      <c r="O191" s="5" t="s">
        <v>2577</v>
      </c>
      <c r="P191" s="9" t="s">
        <v>2636</v>
      </c>
      <c r="Q191" s="5">
        <v>45807</v>
      </c>
      <c r="R191" s="213"/>
    </row>
    <row r="192" spans="1:18" ht="16.5" customHeight="1">
      <c r="A192" t="s">
        <v>64</v>
      </c>
      <c r="B192" s="10" t="s">
        <v>800</v>
      </c>
      <c r="C192" s="12" t="s">
        <v>732</v>
      </c>
      <c r="D192" s="13">
        <v>45808</v>
      </c>
      <c r="E192" s="155" t="s">
        <v>2625</v>
      </c>
      <c r="F192" s="155" t="s">
        <v>801</v>
      </c>
      <c r="G192" s="168" t="s">
        <v>7</v>
      </c>
      <c r="H192" s="156" t="s">
        <v>2627</v>
      </c>
      <c r="I192" s="69" t="s">
        <v>2058</v>
      </c>
      <c r="J192" s="122">
        <v>1</v>
      </c>
      <c r="K192" s="15">
        <v>820200</v>
      </c>
      <c r="L192" s="16">
        <f t="shared" si="21"/>
        <v>820200</v>
      </c>
      <c r="M192" s="16">
        <f t="shared" si="24"/>
        <v>82020</v>
      </c>
      <c r="N192" s="15">
        <f t="shared" si="23"/>
        <v>902220</v>
      </c>
      <c r="O192" s="5" t="s">
        <v>2577</v>
      </c>
      <c r="P192" s="9" t="s">
        <v>2636</v>
      </c>
      <c r="Q192" s="5">
        <v>45807</v>
      </c>
      <c r="R192" s="213"/>
    </row>
    <row r="193" spans="1:18">
      <c r="A193" t="s">
        <v>64</v>
      </c>
      <c r="B193" s="10" t="s">
        <v>798</v>
      </c>
      <c r="C193" s="12" t="s">
        <v>799</v>
      </c>
      <c r="D193" s="13">
        <v>45808</v>
      </c>
      <c r="E193" s="155" t="s">
        <v>2625</v>
      </c>
      <c r="F193" s="155" t="s">
        <v>250</v>
      </c>
      <c r="G193" s="168" t="s">
        <v>7</v>
      </c>
      <c r="H193" s="156" t="s">
        <v>2627</v>
      </c>
      <c r="I193" s="69" t="s">
        <v>2016</v>
      </c>
      <c r="J193" s="122">
        <v>1</v>
      </c>
      <c r="K193" s="15">
        <v>531600</v>
      </c>
      <c r="L193" s="16">
        <f t="shared" si="21"/>
        <v>531600</v>
      </c>
      <c r="M193" s="16">
        <f t="shared" si="24"/>
        <v>53160</v>
      </c>
      <c r="N193" s="15">
        <f t="shared" si="23"/>
        <v>584760</v>
      </c>
      <c r="O193" s="5" t="s">
        <v>2577</v>
      </c>
      <c r="P193" s="9" t="s">
        <v>2636</v>
      </c>
      <c r="Q193" s="5">
        <v>45807</v>
      </c>
      <c r="R193" s="213"/>
    </row>
    <row r="194" spans="1:18" ht="16.5" customHeight="1">
      <c r="A194" t="s">
        <v>64</v>
      </c>
      <c r="B194" s="10" t="s">
        <v>802</v>
      </c>
      <c r="C194" s="12" t="s">
        <v>729</v>
      </c>
      <c r="D194" s="13">
        <v>45808</v>
      </c>
      <c r="E194" s="155" t="s">
        <v>2625</v>
      </c>
      <c r="F194" s="155" t="s">
        <v>810</v>
      </c>
      <c r="G194" s="168" t="s">
        <v>7</v>
      </c>
      <c r="H194" s="156" t="s">
        <v>2627</v>
      </c>
      <c r="I194" s="69" t="s">
        <v>2059</v>
      </c>
      <c r="J194" s="122">
        <v>1</v>
      </c>
      <c r="K194" s="15">
        <v>502800</v>
      </c>
      <c r="L194" s="16">
        <f t="shared" si="21"/>
        <v>502800</v>
      </c>
      <c r="M194" s="16">
        <f t="shared" si="24"/>
        <v>50280</v>
      </c>
      <c r="N194" s="15">
        <f t="shared" si="23"/>
        <v>553080</v>
      </c>
      <c r="O194" s="5" t="s">
        <v>2577</v>
      </c>
      <c r="P194" s="9" t="s">
        <v>2636</v>
      </c>
      <c r="Q194" s="5">
        <v>45807</v>
      </c>
      <c r="R194" s="213"/>
    </row>
    <row r="195" spans="1:18" ht="16.5" customHeight="1">
      <c r="A195" t="s">
        <v>64</v>
      </c>
      <c r="B195" s="10" t="s">
        <v>878</v>
      </c>
      <c r="C195" s="12" t="s">
        <v>727</v>
      </c>
      <c r="D195" s="13">
        <v>45808</v>
      </c>
      <c r="E195" s="155" t="s">
        <v>2625</v>
      </c>
      <c r="F195" s="155" t="s">
        <v>296</v>
      </c>
      <c r="G195" s="168" t="s">
        <v>7</v>
      </c>
      <c r="H195" s="156" t="s">
        <v>2627</v>
      </c>
      <c r="I195" s="69" t="s">
        <v>1915</v>
      </c>
      <c r="J195" s="122">
        <v>1</v>
      </c>
      <c r="K195" s="15">
        <v>1417500</v>
      </c>
      <c r="L195" s="16">
        <f t="shared" si="21"/>
        <v>1417500</v>
      </c>
      <c r="M195" s="16">
        <f t="shared" si="24"/>
        <v>141750</v>
      </c>
      <c r="N195" s="15">
        <f t="shared" si="23"/>
        <v>1559250</v>
      </c>
      <c r="O195" s="5" t="s">
        <v>2577</v>
      </c>
      <c r="P195" s="9" t="s">
        <v>2636</v>
      </c>
      <c r="Q195" s="5">
        <v>45666</v>
      </c>
      <c r="R195" s="213" t="s">
        <v>100</v>
      </c>
    </row>
    <row r="196" spans="1:18" ht="16.5" customHeight="1">
      <c r="A196" t="s">
        <v>64</v>
      </c>
      <c r="B196" s="10" t="s">
        <v>807</v>
      </c>
      <c r="C196" s="12" t="s">
        <v>724</v>
      </c>
      <c r="D196" s="13">
        <v>45808</v>
      </c>
      <c r="E196" s="155" t="s">
        <v>2625</v>
      </c>
      <c r="F196" s="155" t="s">
        <v>221</v>
      </c>
      <c r="G196" s="168" t="s">
        <v>7</v>
      </c>
      <c r="H196" s="156" t="s">
        <v>2627</v>
      </c>
      <c r="I196" s="69" t="s">
        <v>2061</v>
      </c>
      <c r="J196" s="122">
        <v>1</v>
      </c>
      <c r="K196" s="15">
        <v>1897430</v>
      </c>
      <c r="L196" s="16">
        <f t="shared" si="21"/>
        <v>1897430</v>
      </c>
      <c r="M196" s="16">
        <f t="shared" si="24"/>
        <v>189743</v>
      </c>
      <c r="N196" s="15">
        <f t="shared" si="23"/>
        <v>2087173</v>
      </c>
      <c r="O196" s="5" t="s">
        <v>2577</v>
      </c>
      <c r="P196" s="9" t="s">
        <v>2636</v>
      </c>
      <c r="Q196" s="5">
        <v>45687</v>
      </c>
      <c r="R196" s="213" t="s">
        <v>100</v>
      </c>
    </row>
    <row r="197" spans="1:18" ht="16.5" customHeight="1">
      <c r="A197" t="s">
        <v>64</v>
      </c>
      <c r="B197" s="10" t="s">
        <v>880</v>
      </c>
      <c r="C197" s="12" t="s">
        <v>716</v>
      </c>
      <c r="D197" s="13">
        <v>45808</v>
      </c>
      <c r="E197" s="155" t="s">
        <v>2625</v>
      </c>
      <c r="F197" s="155" t="s">
        <v>101</v>
      </c>
      <c r="G197" s="168" t="s">
        <v>7</v>
      </c>
      <c r="H197" s="156" t="s">
        <v>2627</v>
      </c>
      <c r="I197" s="69" t="s">
        <v>2062</v>
      </c>
      <c r="J197" s="122">
        <v>1</v>
      </c>
      <c r="K197" s="15">
        <v>212700</v>
      </c>
      <c r="L197" s="16">
        <f t="shared" ref="L197:L211" si="25">J197*K197</f>
        <v>212700</v>
      </c>
      <c r="M197" s="16">
        <f t="shared" si="24"/>
        <v>21270</v>
      </c>
      <c r="N197" s="15">
        <f t="shared" ref="N197:N211" si="26">SUM(L197:M197)</f>
        <v>233970</v>
      </c>
      <c r="O197" s="5" t="s">
        <v>2577</v>
      </c>
      <c r="P197" s="177" t="s">
        <v>2636</v>
      </c>
      <c r="Q197" s="5">
        <v>45681</v>
      </c>
      <c r="R197" s="213" t="s">
        <v>100</v>
      </c>
    </row>
    <row r="198" spans="1:18" ht="16.5" customHeight="1">
      <c r="A198" t="s">
        <v>64</v>
      </c>
      <c r="B198" s="10" t="s">
        <v>1164</v>
      </c>
      <c r="C198" s="12" t="s">
        <v>1165</v>
      </c>
      <c r="D198" s="13">
        <v>45808</v>
      </c>
      <c r="E198" s="155" t="s">
        <v>2625</v>
      </c>
      <c r="F198" s="155" t="s">
        <v>225</v>
      </c>
      <c r="G198" s="168" t="s">
        <v>7</v>
      </c>
      <c r="H198" s="156" t="s">
        <v>2627</v>
      </c>
      <c r="I198" s="69" t="s">
        <v>2063</v>
      </c>
      <c r="J198" s="122">
        <v>1</v>
      </c>
      <c r="K198" s="15">
        <v>149400</v>
      </c>
      <c r="L198" s="16">
        <f t="shared" si="25"/>
        <v>149400</v>
      </c>
      <c r="M198" s="15">
        <f t="shared" si="24"/>
        <v>14940</v>
      </c>
      <c r="N198" s="15">
        <f t="shared" si="26"/>
        <v>164340</v>
      </c>
      <c r="O198" s="5" t="s">
        <v>2577</v>
      </c>
      <c r="P198" s="9" t="s">
        <v>2636</v>
      </c>
      <c r="Q198" s="5">
        <v>45716</v>
      </c>
      <c r="R198" s="209" t="s">
        <v>100</v>
      </c>
    </row>
    <row r="199" spans="1:18" ht="16.5" customHeight="1">
      <c r="A199" t="s">
        <v>64</v>
      </c>
      <c r="B199" s="10" t="s">
        <v>876</v>
      </c>
      <c r="C199" s="12" t="s">
        <v>865</v>
      </c>
      <c r="D199" s="13">
        <v>45808</v>
      </c>
      <c r="E199" s="155" t="s">
        <v>2625</v>
      </c>
      <c r="F199" s="155" t="s">
        <v>220</v>
      </c>
      <c r="G199" s="168" t="s">
        <v>7</v>
      </c>
      <c r="H199" s="156" t="s">
        <v>2627</v>
      </c>
      <c r="I199" s="69" t="s">
        <v>2064</v>
      </c>
      <c r="J199" s="122">
        <v>1</v>
      </c>
      <c r="K199" s="15">
        <v>180600</v>
      </c>
      <c r="L199" s="16">
        <f t="shared" si="25"/>
        <v>180600</v>
      </c>
      <c r="M199" s="16">
        <f t="shared" si="24"/>
        <v>18060</v>
      </c>
      <c r="N199" s="15">
        <f t="shared" si="26"/>
        <v>198660</v>
      </c>
      <c r="O199" s="5" t="s">
        <v>2577</v>
      </c>
      <c r="P199" s="9" t="s">
        <v>2636</v>
      </c>
      <c r="Q199" s="5">
        <v>45807</v>
      </c>
      <c r="R199" s="213"/>
    </row>
    <row r="200" spans="1:18" ht="16.5" customHeight="1">
      <c r="A200" t="s">
        <v>64</v>
      </c>
      <c r="B200" s="10" t="s">
        <v>930</v>
      </c>
      <c r="C200" s="12" t="s">
        <v>898</v>
      </c>
      <c r="D200" s="13">
        <v>45808</v>
      </c>
      <c r="E200" s="155" t="s">
        <v>2625</v>
      </c>
      <c r="F200" s="155" t="s">
        <v>13</v>
      </c>
      <c r="G200" s="168" t="s">
        <v>7</v>
      </c>
      <c r="H200" s="156" t="s">
        <v>2627</v>
      </c>
      <c r="I200" s="69" t="s">
        <v>2065</v>
      </c>
      <c r="J200" s="122">
        <v>1</v>
      </c>
      <c r="K200" s="15">
        <v>65700</v>
      </c>
      <c r="L200" s="16">
        <f t="shared" si="25"/>
        <v>65700</v>
      </c>
      <c r="M200" s="16">
        <f t="shared" si="24"/>
        <v>6570</v>
      </c>
      <c r="N200" s="15">
        <f t="shared" si="26"/>
        <v>72270</v>
      </c>
      <c r="O200" s="5" t="s">
        <v>2577</v>
      </c>
      <c r="P200" s="9" t="s">
        <v>2636</v>
      </c>
      <c r="Q200" s="5">
        <v>45700</v>
      </c>
      <c r="R200" s="213" t="s">
        <v>100</v>
      </c>
    </row>
    <row r="201" spans="1:18" ht="16.5" customHeight="1">
      <c r="A201" t="s">
        <v>64</v>
      </c>
      <c r="B201" s="10" t="s">
        <v>882</v>
      </c>
      <c r="C201" s="12" t="s">
        <v>730</v>
      </c>
      <c r="D201" s="13">
        <v>45808</v>
      </c>
      <c r="E201" s="155" t="s">
        <v>2625</v>
      </c>
      <c r="F201" s="155" t="s">
        <v>293</v>
      </c>
      <c r="G201" s="168" t="s">
        <v>7</v>
      </c>
      <c r="H201" s="156" t="s">
        <v>2627</v>
      </c>
      <c r="I201" s="69" t="s">
        <v>2060</v>
      </c>
      <c r="J201" s="122">
        <v>1</v>
      </c>
      <c r="K201" s="15">
        <v>243000</v>
      </c>
      <c r="L201" s="16">
        <f t="shared" si="25"/>
        <v>243000</v>
      </c>
      <c r="M201" s="15">
        <f t="shared" si="24"/>
        <v>24300</v>
      </c>
      <c r="N201" s="15">
        <f t="shared" si="26"/>
        <v>267300</v>
      </c>
      <c r="O201" s="5" t="s">
        <v>2577</v>
      </c>
      <c r="P201" s="9" t="s">
        <v>2636</v>
      </c>
      <c r="Q201" s="5">
        <v>45807</v>
      </c>
      <c r="R201" s="209"/>
    </row>
    <row r="202" spans="1:18" ht="16.5" customHeight="1">
      <c r="A202" t="s">
        <v>64</v>
      </c>
      <c r="B202" s="10" t="s">
        <v>1052</v>
      </c>
      <c r="C202" s="12" t="s">
        <v>985</v>
      </c>
      <c r="D202" s="13">
        <v>45808</v>
      </c>
      <c r="E202" s="155" t="s">
        <v>2625</v>
      </c>
      <c r="F202" s="155" t="s">
        <v>2629</v>
      </c>
      <c r="G202" s="168" t="s">
        <v>7</v>
      </c>
      <c r="H202" s="156" t="s">
        <v>2627</v>
      </c>
      <c r="I202" s="69" t="s">
        <v>2032</v>
      </c>
      <c r="J202" s="122">
        <v>1</v>
      </c>
      <c r="K202" s="15">
        <v>496800</v>
      </c>
      <c r="L202" s="16">
        <f t="shared" si="25"/>
        <v>496800</v>
      </c>
      <c r="M202" s="16">
        <f t="shared" si="24"/>
        <v>49680</v>
      </c>
      <c r="N202" s="15">
        <f t="shared" si="26"/>
        <v>546480</v>
      </c>
      <c r="O202" s="5" t="s">
        <v>2577</v>
      </c>
      <c r="P202" s="9" t="s">
        <v>2636</v>
      </c>
      <c r="Q202" s="5">
        <v>45807</v>
      </c>
      <c r="R202" s="213"/>
    </row>
    <row r="203" spans="1:18" ht="16.5" customHeight="1">
      <c r="A203" t="s">
        <v>64</v>
      </c>
      <c r="B203" s="10" t="s">
        <v>1250</v>
      </c>
      <c r="C203" s="12" t="s">
        <v>1251</v>
      </c>
      <c r="D203" s="13">
        <v>45808</v>
      </c>
      <c r="E203" s="155" t="s">
        <v>2625</v>
      </c>
      <c r="F203" s="155" t="s">
        <v>236</v>
      </c>
      <c r="G203" s="168" t="s">
        <v>7</v>
      </c>
      <c r="H203" s="156" t="s">
        <v>2627</v>
      </c>
      <c r="I203" s="69" t="s">
        <v>2066</v>
      </c>
      <c r="J203" s="122">
        <v>1</v>
      </c>
      <c r="K203" s="15">
        <v>1515900</v>
      </c>
      <c r="L203" s="16">
        <f t="shared" si="25"/>
        <v>1515900</v>
      </c>
      <c r="M203" s="16">
        <f t="shared" si="24"/>
        <v>151590</v>
      </c>
      <c r="N203" s="15">
        <f t="shared" si="26"/>
        <v>1667490</v>
      </c>
      <c r="O203" s="5" t="s">
        <v>2577</v>
      </c>
      <c r="P203" s="9" t="s">
        <v>2636</v>
      </c>
      <c r="Q203" s="5">
        <v>45807</v>
      </c>
      <c r="R203" s="213"/>
    </row>
    <row r="204" spans="1:18" ht="16.5" customHeight="1">
      <c r="A204" t="s">
        <v>64</v>
      </c>
      <c r="B204" s="10" t="s">
        <v>1735</v>
      </c>
      <c r="C204" s="12" t="s">
        <v>1295</v>
      </c>
      <c r="D204" s="13">
        <v>45808</v>
      </c>
      <c r="E204" s="155" t="s">
        <v>2625</v>
      </c>
      <c r="F204" s="155" t="s">
        <v>331</v>
      </c>
      <c r="G204" s="156" t="s">
        <v>7</v>
      </c>
      <c r="H204" s="156" t="s">
        <v>2627</v>
      </c>
      <c r="I204" s="69" t="s">
        <v>2067</v>
      </c>
      <c r="J204" s="124">
        <v>1</v>
      </c>
      <c r="K204" s="15">
        <v>405600</v>
      </c>
      <c r="L204" s="16">
        <f t="shared" si="25"/>
        <v>405600</v>
      </c>
      <c r="M204" s="16">
        <f t="shared" si="24"/>
        <v>40560</v>
      </c>
      <c r="N204" s="15">
        <f t="shared" si="26"/>
        <v>446160</v>
      </c>
      <c r="O204" s="5" t="s">
        <v>2577</v>
      </c>
      <c r="P204" s="9" t="s">
        <v>2636</v>
      </c>
      <c r="Q204" s="5">
        <v>45807</v>
      </c>
      <c r="R204" s="209"/>
    </row>
    <row r="205" spans="1:18" ht="16.5" customHeight="1">
      <c r="A205" t="s">
        <v>64</v>
      </c>
      <c r="B205" s="10" t="s">
        <v>1900</v>
      </c>
      <c r="C205" s="12" t="s">
        <v>1897</v>
      </c>
      <c r="D205" s="13">
        <v>45808</v>
      </c>
      <c r="E205" s="155" t="s">
        <v>2625</v>
      </c>
      <c r="F205" s="155" t="s">
        <v>1265</v>
      </c>
      <c r="G205" s="156" t="s">
        <v>7</v>
      </c>
      <c r="H205" s="156" t="s">
        <v>2627</v>
      </c>
      <c r="I205" s="69" t="s">
        <v>2068</v>
      </c>
      <c r="J205" s="122">
        <v>1</v>
      </c>
      <c r="K205" s="15">
        <f>11956560/1.1</f>
        <v>10869600</v>
      </c>
      <c r="L205" s="16">
        <f t="shared" si="25"/>
        <v>10869600</v>
      </c>
      <c r="M205" s="15">
        <f t="shared" si="24"/>
        <v>1086960</v>
      </c>
      <c r="N205" s="15">
        <f t="shared" si="26"/>
        <v>11956560</v>
      </c>
      <c r="O205" s="5" t="s">
        <v>2577</v>
      </c>
      <c r="P205" s="9" t="s">
        <v>2636</v>
      </c>
      <c r="Q205" s="5">
        <v>45838</v>
      </c>
      <c r="R205" s="209"/>
    </row>
    <row r="206" spans="1:18" ht="16.5" customHeight="1">
      <c r="A206" t="s">
        <v>64</v>
      </c>
      <c r="B206" s="10" t="s">
        <v>1618</v>
      </c>
      <c r="C206" s="12" t="s">
        <v>1620</v>
      </c>
      <c r="D206" s="13">
        <v>45808</v>
      </c>
      <c r="E206" s="155" t="s">
        <v>2625</v>
      </c>
      <c r="F206" s="155" t="s">
        <v>226</v>
      </c>
      <c r="G206" s="156" t="s">
        <v>7</v>
      </c>
      <c r="H206" s="156" t="s">
        <v>2627</v>
      </c>
      <c r="I206" s="69" t="s">
        <v>2069</v>
      </c>
      <c r="J206" s="122">
        <v>1</v>
      </c>
      <c r="K206" s="15">
        <v>1167600</v>
      </c>
      <c r="L206" s="16">
        <f t="shared" si="25"/>
        <v>1167600</v>
      </c>
      <c r="M206" s="16">
        <f t="shared" si="24"/>
        <v>116760</v>
      </c>
      <c r="N206" s="15">
        <f t="shared" si="26"/>
        <v>1284360</v>
      </c>
      <c r="O206" s="5" t="s">
        <v>2577</v>
      </c>
      <c r="P206" s="9" t="s">
        <v>2636</v>
      </c>
      <c r="Q206" s="5">
        <v>45747</v>
      </c>
      <c r="R206" s="213" t="s">
        <v>100</v>
      </c>
    </row>
    <row r="207" spans="1:18" ht="16.5" customHeight="1">
      <c r="A207" t="s">
        <v>64</v>
      </c>
      <c r="B207" s="10" t="s">
        <v>1733</v>
      </c>
      <c r="C207" s="12" t="s">
        <v>1627</v>
      </c>
      <c r="D207" s="13">
        <v>45808</v>
      </c>
      <c r="E207" s="155" t="s">
        <v>2625</v>
      </c>
      <c r="F207" s="155" t="s">
        <v>242</v>
      </c>
      <c r="G207" s="156" t="s">
        <v>7</v>
      </c>
      <c r="H207" s="156" t="s">
        <v>2627</v>
      </c>
      <c r="I207" s="69" t="s">
        <v>2070</v>
      </c>
      <c r="J207" s="124">
        <v>1</v>
      </c>
      <c r="K207" s="15">
        <v>51300</v>
      </c>
      <c r="L207" s="16">
        <f t="shared" si="25"/>
        <v>51300</v>
      </c>
      <c r="M207" s="16">
        <f t="shared" si="24"/>
        <v>5130</v>
      </c>
      <c r="N207" s="15">
        <f t="shared" si="26"/>
        <v>56430</v>
      </c>
      <c r="O207" s="5" t="s">
        <v>2577</v>
      </c>
      <c r="P207" s="9" t="s">
        <v>2636</v>
      </c>
      <c r="Q207" s="5">
        <v>45748</v>
      </c>
      <c r="R207" s="209" t="s">
        <v>100</v>
      </c>
    </row>
    <row r="208" spans="1:18" ht="16.5" customHeight="1">
      <c r="A208" t="s">
        <v>64</v>
      </c>
      <c r="B208" s="10" t="s">
        <v>1734</v>
      </c>
      <c r="C208" s="12" t="s">
        <v>1711</v>
      </c>
      <c r="D208" s="13">
        <v>45808</v>
      </c>
      <c r="E208" s="155" t="s">
        <v>2625</v>
      </c>
      <c r="F208" s="155" t="s">
        <v>224</v>
      </c>
      <c r="G208" s="156" t="s">
        <v>7</v>
      </c>
      <c r="H208" s="156" t="s">
        <v>2627</v>
      </c>
      <c r="I208" s="69" t="s">
        <v>2071</v>
      </c>
      <c r="J208" s="124">
        <v>1</v>
      </c>
      <c r="K208" s="15">
        <v>420000</v>
      </c>
      <c r="L208" s="16">
        <f t="shared" si="25"/>
        <v>420000</v>
      </c>
      <c r="M208" s="16">
        <f t="shared" si="24"/>
        <v>42000</v>
      </c>
      <c r="N208" s="15">
        <f t="shared" si="26"/>
        <v>462000</v>
      </c>
      <c r="O208" s="5" t="s">
        <v>2577</v>
      </c>
      <c r="P208" s="9" t="s">
        <v>2636</v>
      </c>
      <c r="Q208" s="5">
        <v>45747</v>
      </c>
      <c r="R208" s="209" t="s">
        <v>100</v>
      </c>
    </row>
    <row r="209" spans="1:20" ht="16.5" customHeight="1">
      <c r="A209" t="s">
        <v>64</v>
      </c>
      <c r="B209" s="10" t="s">
        <v>1736</v>
      </c>
      <c r="C209" s="12" t="s">
        <v>1717</v>
      </c>
      <c r="D209" s="13">
        <v>45808</v>
      </c>
      <c r="E209" s="155" t="s">
        <v>2625</v>
      </c>
      <c r="F209" s="155" t="s">
        <v>1715</v>
      </c>
      <c r="G209" s="156" t="s">
        <v>7</v>
      </c>
      <c r="H209" s="156" t="s">
        <v>2627</v>
      </c>
      <c r="I209" s="69" t="s">
        <v>2072</v>
      </c>
      <c r="J209" s="124">
        <v>1</v>
      </c>
      <c r="K209" s="15">
        <v>53400</v>
      </c>
      <c r="L209" s="16">
        <f t="shared" si="25"/>
        <v>53400</v>
      </c>
      <c r="M209" s="16">
        <f t="shared" si="24"/>
        <v>5340</v>
      </c>
      <c r="N209" s="15">
        <f t="shared" si="26"/>
        <v>58740</v>
      </c>
      <c r="O209" s="5" t="s">
        <v>2577</v>
      </c>
      <c r="P209" s="9" t="s">
        <v>2636</v>
      </c>
      <c r="Q209" s="5">
        <v>45802</v>
      </c>
      <c r="R209" s="209"/>
    </row>
    <row r="210" spans="1:20" ht="16.5" customHeight="1">
      <c r="A210" t="s">
        <v>64</v>
      </c>
      <c r="B210" s="10" t="s">
        <v>1991</v>
      </c>
      <c r="C210" s="12" t="s">
        <v>1828</v>
      </c>
      <c r="D210" s="13">
        <v>45808</v>
      </c>
      <c r="E210" s="155" t="s">
        <v>2625</v>
      </c>
      <c r="F210" s="155" t="s">
        <v>2629</v>
      </c>
      <c r="G210" s="156" t="s">
        <v>7</v>
      </c>
      <c r="H210" s="156" t="s">
        <v>2627</v>
      </c>
      <c r="I210" s="69" t="s">
        <v>2031</v>
      </c>
      <c r="J210" s="124">
        <v>1</v>
      </c>
      <c r="K210" s="15">
        <v>1111200</v>
      </c>
      <c r="L210" s="16">
        <f t="shared" si="25"/>
        <v>1111200</v>
      </c>
      <c r="M210" s="16">
        <f t="shared" si="24"/>
        <v>111120</v>
      </c>
      <c r="N210" s="15">
        <f t="shared" si="26"/>
        <v>1222320</v>
      </c>
      <c r="O210" s="5" t="s">
        <v>2577</v>
      </c>
      <c r="P210" s="9" t="s">
        <v>2636</v>
      </c>
      <c r="Q210" s="5">
        <v>45807</v>
      </c>
      <c r="R210" s="209"/>
    </row>
    <row r="211" spans="1:20" ht="16.5" customHeight="1">
      <c r="A211" t="s">
        <v>64</v>
      </c>
      <c r="B211" s="10" t="s">
        <v>2017</v>
      </c>
      <c r="C211" s="12" t="s">
        <v>2019</v>
      </c>
      <c r="D211" s="13">
        <v>45808</v>
      </c>
      <c r="E211" s="155" t="s">
        <v>2625</v>
      </c>
      <c r="F211" s="155" t="s">
        <v>1833</v>
      </c>
      <c r="G211" s="156" t="s">
        <v>7</v>
      </c>
      <c r="H211" s="156" t="s">
        <v>2627</v>
      </c>
      <c r="I211" s="69" t="s">
        <v>2018</v>
      </c>
      <c r="J211" s="122">
        <v>1</v>
      </c>
      <c r="K211" s="15">
        <v>1189500</v>
      </c>
      <c r="L211" s="16">
        <f t="shared" si="25"/>
        <v>1189500</v>
      </c>
      <c r="M211" s="16">
        <f t="shared" si="24"/>
        <v>118950</v>
      </c>
      <c r="N211" s="15">
        <f t="shared" si="26"/>
        <v>1308450</v>
      </c>
      <c r="O211" s="5" t="s">
        <v>2577</v>
      </c>
      <c r="P211" s="9" t="s">
        <v>2636</v>
      </c>
      <c r="Q211" s="5">
        <v>45863</v>
      </c>
      <c r="R211" s="213" t="s">
        <v>1976</v>
      </c>
    </row>
    <row r="212" spans="1:20" ht="16.5" customHeight="1">
      <c r="A212" t="s">
        <v>64</v>
      </c>
      <c r="B212" s="10"/>
      <c r="C212" s="12"/>
      <c r="D212" s="6"/>
      <c r="E212" s="163"/>
      <c r="F212" s="163"/>
      <c r="G212" s="169"/>
      <c r="H212" s="169"/>
      <c r="I212" s="163"/>
      <c r="J212" s="127"/>
      <c r="K212" s="15"/>
      <c r="L212" s="16">
        <f t="shared" ref="L212" si="27">J212*K212</f>
        <v>0</v>
      </c>
      <c r="M212" s="16">
        <f>ROUNDDOWN(L212*10%,0)</f>
        <v>0</v>
      </c>
      <c r="N212" s="15">
        <f t="shared" ref="N212" si="28">SUM(L212:M212)</f>
        <v>0</v>
      </c>
      <c r="O212" s="5"/>
      <c r="P212" s="9"/>
      <c r="Q212" s="5"/>
      <c r="R212" s="209"/>
    </row>
    <row r="213" spans="1:20" ht="30.75" customHeight="1" thickBot="1">
      <c r="A213" t="s">
        <v>64</v>
      </c>
      <c r="B213" s="262" t="s">
        <v>24</v>
      </c>
      <c r="C213" s="263"/>
      <c r="D213" s="263"/>
      <c r="E213" s="263"/>
      <c r="F213" s="263"/>
      <c r="G213" s="263"/>
      <c r="H213" s="263"/>
      <c r="I213" s="264"/>
      <c r="J213" s="128"/>
      <c r="K213" s="129"/>
      <c r="L213" s="130">
        <f>SUM(L5:L212)</f>
        <v>198025977</v>
      </c>
      <c r="M213" s="130">
        <f>SUM(M5:M212)</f>
        <v>19776997.199999999</v>
      </c>
      <c r="N213" s="130">
        <f>SUM(N5:N212)</f>
        <v>217802974.19999999</v>
      </c>
      <c r="O213" s="97"/>
      <c r="P213" s="178"/>
      <c r="Q213" s="97"/>
      <c r="R213" s="180"/>
    </row>
    <row r="214" spans="1:20" ht="16.5" customHeight="1">
      <c r="D214" s="236">
        <f>COUNTA(D5:D212)</f>
        <v>192</v>
      </c>
    </row>
    <row r="215" spans="1:20" ht="16.5" customHeight="1">
      <c r="K215" s="17" t="s">
        <v>46</v>
      </c>
      <c r="L215" s="131">
        <f>SUBTOTAL(109,L5:L212)</f>
        <v>198025977</v>
      </c>
      <c r="M215" s="131">
        <f>SUBTOTAL(109,M5:M212)</f>
        <v>19776997.199999999</v>
      </c>
      <c r="N215" s="131">
        <f>SUBTOTAL(109,N5:N212)</f>
        <v>217802974.19999999</v>
      </c>
    </row>
    <row r="216" spans="1:20" ht="16.5" customHeight="1">
      <c r="E216" t="s">
        <v>62</v>
      </c>
    </row>
    <row r="217" spans="1:20" s="66" customFormat="1" ht="16.5" customHeight="1">
      <c r="A217"/>
      <c r="B217" s="1"/>
      <c r="C217"/>
      <c r="D217" s="96"/>
      <c r="E217" t="s">
        <v>7</v>
      </c>
      <c r="F217" s="11">
        <f t="shared" ref="F217:F228" si="29">SUMIF($G$5:$G$212,E217,$L$5:$L$212)</f>
        <v>134942074</v>
      </c>
      <c r="G217" s="1"/>
      <c r="H217" s="1"/>
      <c r="I217"/>
      <c r="J217" s="17"/>
      <c r="K217" s="190" t="s">
        <v>42</v>
      </c>
      <c r="L217" s="17">
        <v>197770072</v>
      </c>
      <c r="M217" s="17">
        <v>19776997.199999999</v>
      </c>
      <c r="N217" s="17">
        <v>217547069.19999999</v>
      </c>
      <c r="O217" s="96"/>
      <c r="P217"/>
      <c r="Q217" s="96"/>
      <c r="R217"/>
      <c r="S217"/>
      <c r="T217"/>
    </row>
    <row r="218" spans="1:20" s="66" customFormat="1">
      <c r="A218"/>
      <c r="B218" s="1"/>
      <c r="C218"/>
      <c r="D218" s="96"/>
      <c r="E218" t="s">
        <v>16</v>
      </c>
      <c r="F218" s="11">
        <f t="shared" si="29"/>
        <v>0</v>
      </c>
      <c r="G218" s="1"/>
      <c r="H218" s="1"/>
      <c r="I218"/>
      <c r="J218" s="17"/>
      <c r="K218" s="190" t="s">
        <v>43</v>
      </c>
      <c r="L218" s="17">
        <f>3330+160000+92575</f>
        <v>255905</v>
      </c>
      <c r="M218" s="17">
        <v>0</v>
      </c>
      <c r="N218" s="17">
        <v>255905</v>
      </c>
      <c r="O218" s="96"/>
      <c r="P218"/>
      <c r="Q218" s="96"/>
      <c r="R218"/>
      <c r="S218"/>
      <c r="T218"/>
    </row>
    <row r="219" spans="1:20" s="66" customFormat="1">
      <c r="A219"/>
      <c r="B219" s="1"/>
      <c r="C219"/>
      <c r="D219" s="96"/>
      <c r="E219" t="s">
        <v>28</v>
      </c>
      <c r="F219" s="11">
        <f t="shared" si="29"/>
        <v>0</v>
      </c>
      <c r="G219" s="1"/>
      <c r="H219" s="1"/>
      <c r="I219"/>
      <c r="J219" s="17"/>
      <c r="K219" s="190" t="s">
        <v>55</v>
      </c>
      <c r="L219" s="17">
        <f>SUBTOTAL(9,L217:L218)</f>
        <v>198025977</v>
      </c>
      <c r="M219" s="17">
        <f t="shared" ref="M219:N219" si="30">SUBTOTAL(9,M217:M218)</f>
        <v>19776997.199999999</v>
      </c>
      <c r="N219" s="17">
        <f t="shared" si="30"/>
        <v>217802974.19999999</v>
      </c>
      <c r="O219" s="96"/>
      <c r="P219"/>
      <c r="Q219" s="96"/>
      <c r="R219"/>
      <c r="S219"/>
      <c r="T219"/>
    </row>
    <row r="220" spans="1:20" s="66" customFormat="1">
      <c r="A220"/>
      <c r="B220" s="1"/>
      <c r="C220"/>
      <c r="D220" s="96"/>
      <c r="E220" t="s">
        <v>15</v>
      </c>
      <c r="F220" s="11">
        <f t="shared" si="29"/>
        <v>0</v>
      </c>
      <c r="G220" s="1"/>
      <c r="H220" s="1"/>
      <c r="I220"/>
      <c r="J220" s="17"/>
      <c r="K220" s="17"/>
      <c r="L220" s="17"/>
      <c r="M220" s="17"/>
      <c r="N220" s="17"/>
      <c r="O220" s="96"/>
      <c r="P220"/>
      <c r="Q220" s="96"/>
      <c r="R220"/>
      <c r="S220"/>
      <c r="T220"/>
    </row>
    <row r="221" spans="1:20" s="66" customFormat="1">
      <c r="A221"/>
      <c r="B221" s="1"/>
      <c r="C221"/>
      <c r="D221" s="96"/>
      <c r="E221" t="s">
        <v>27</v>
      </c>
      <c r="F221" s="11">
        <f t="shared" si="29"/>
        <v>0</v>
      </c>
      <c r="G221" s="1"/>
      <c r="H221" s="1"/>
      <c r="I221"/>
      <c r="J221" s="17"/>
      <c r="K221" s="17"/>
      <c r="L221" s="131"/>
      <c r="M221" s="131"/>
      <c r="N221" s="131"/>
      <c r="O221" s="96"/>
      <c r="P221"/>
      <c r="Q221" s="96"/>
      <c r="R221"/>
      <c r="S221"/>
      <c r="T221"/>
    </row>
    <row r="222" spans="1:20" s="66" customFormat="1">
      <c r="A222"/>
      <c r="B222" s="1"/>
      <c r="C222"/>
      <c r="D222" s="96"/>
      <c r="E222" t="s">
        <v>41</v>
      </c>
      <c r="F222" s="11">
        <f t="shared" si="29"/>
        <v>59717349</v>
      </c>
      <c r="G222" s="1"/>
      <c r="H222" s="1"/>
      <c r="I222"/>
      <c r="J222" s="17"/>
      <c r="K222" s="17"/>
      <c r="L222" s="17"/>
      <c r="M222" s="17"/>
      <c r="N222" s="131"/>
      <c r="O222" s="96"/>
      <c r="P222"/>
      <c r="Q222" s="96"/>
      <c r="R222"/>
      <c r="S222"/>
      <c r="T222"/>
    </row>
    <row r="223" spans="1:20" s="66" customFormat="1">
      <c r="A223"/>
      <c r="B223" s="1"/>
      <c r="C223"/>
      <c r="D223" s="96"/>
      <c r="E223" t="s">
        <v>25</v>
      </c>
      <c r="F223" s="11">
        <f t="shared" si="29"/>
        <v>0</v>
      </c>
      <c r="G223" s="1"/>
      <c r="H223" s="1"/>
      <c r="I223"/>
      <c r="J223" s="17"/>
      <c r="K223" s="17"/>
      <c r="L223" s="17"/>
      <c r="M223" s="17"/>
      <c r="N223" s="131"/>
      <c r="O223" s="96"/>
      <c r="P223"/>
      <c r="Q223" s="96"/>
      <c r="R223"/>
      <c r="S223"/>
      <c r="T223"/>
    </row>
    <row r="224" spans="1:20" s="66" customFormat="1">
      <c r="A224"/>
      <c r="B224" s="1"/>
      <c r="C224"/>
      <c r="D224" s="96"/>
      <c r="E224" t="s">
        <v>36</v>
      </c>
      <c r="F224" s="11">
        <f t="shared" si="29"/>
        <v>0</v>
      </c>
      <c r="G224" s="1"/>
      <c r="H224" s="1"/>
      <c r="I224"/>
      <c r="J224" s="17"/>
      <c r="K224" s="17"/>
      <c r="L224" s="17"/>
      <c r="M224" s="17"/>
      <c r="N224" s="17"/>
      <c r="O224" s="96"/>
      <c r="P224"/>
      <c r="Q224" s="96"/>
      <c r="R224"/>
      <c r="S224"/>
      <c r="T224"/>
    </row>
    <row r="225" spans="1:20" s="66" customFormat="1">
      <c r="A225"/>
      <c r="B225" s="1"/>
      <c r="C225"/>
      <c r="D225" s="96"/>
      <c r="E225" t="s">
        <v>30</v>
      </c>
      <c r="F225" s="11">
        <f t="shared" si="29"/>
        <v>3366554</v>
      </c>
      <c r="G225" s="1"/>
      <c r="H225" s="1"/>
      <c r="I225"/>
      <c r="J225" s="17"/>
      <c r="K225" s="17"/>
      <c r="L225" s="17"/>
      <c r="M225" s="17"/>
      <c r="N225" s="17"/>
      <c r="O225" s="96"/>
      <c r="P225"/>
      <c r="Q225" s="96"/>
      <c r="R225"/>
      <c r="S225"/>
      <c r="T225"/>
    </row>
    <row r="226" spans="1:20" s="66" customFormat="1">
      <c r="A226"/>
      <c r="B226" s="1"/>
      <c r="C226"/>
      <c r="D226" s="96"/>
      <c r="E226" t="s">
        <v>37</v>
      </c>
      <c r="F226" s="11">
        <f t="shared" si="29"/>
        <v>0</v>
      </c>
      <c r="G226" s="1"/>
      <c r="H226" s="1"/>
      <c r="I226"/>
      <c r="J226" s="17"/>
      <c r="K226" s="17"/>
      <c r="L226" s="17"/>
      <c r="M226" s="17"/>
      <c r="N226" s="17"/>
      <c r="O226" s="96"/>
      <c r="P226"/>
      <c r="Q226" s="96"/>
      <c r="R226"/>
      <c r="S226"/>
      <c r="T226"/>
    </row>
    <row r="227" spans="1:20" s="66" customFormat="1">
      <c r="A227"/>
      <c r="B227" s="1"/>
      <c r="C227"/>
      <c r="D227" s="96"/>
      <c r="E227" t="s">
        <v>35</v>
      </c>
      <c r="F227" s="11">
        <f t="shared" si="29"/>
        <v>0</v>
      </c>
      <c r="G227" s="1"/>
      <c r="H227" s="1"/>
      <c r="I227"/>
      <c r="J227" s="17"/>
      <c r="K227" s="17"/>
      <c r="L227" s="17"/>
      <c r="M227" s="17"/>
      <c r="N227" s="17"/>
      <c r="O227" s="96"/>
      <c r="P227"/>
      <c r="Q227" s="96"/>
      <c r="R227"/>
      <c r="S227"/>
      <c r="T227"/>
    </row>
    <row r="228" spans="1:20" s="66" customFormat="1">
      <c r="A228"/>
      <c r="B228" s="1"/>
      <c r="C228"/>
      <c r="D228" s="96"/>
      <c r="E228" t="s">
        <v>80</v>
      </c>
      <c r="F228" s="11">
        <f t="shared" si="29"/>
        <v>0</v>
      </c>
      <c r="G228" s="1"/>
      <c r="H228" s="1"/>
      <c r="I228"/>
      <c r="J228" s="17"/>
      <c r="K228" s="17"/>
      <c r="L228" s="17"/>
      <c r="M228" s="17"/>
      <c r="N228" s="17"/>
      <c r="O228" s="96"/>
      <c r="P228"/>
      <c r="Q228" s="96"/>
      <c r="R228"/>
      <c r="S228"/>
      <c r="T228"/>
    </row>
    <row r="229" spans="1:20" s="66" customFormat="1">
      <c r="A229"/>
      <c r="B229" s="1"/>
      <c r="C229"/>
      <c r="D229" s="96"/>
      <c r="E229" s="171" t="s">
        <v>92</v>
      </c>
      <c r="F229" s="18">
        <f>SUM(F217:F228)</f>
        <v>198025977</v>
      </c>
      <c r="G229" s="1"/>
      <c r="H229" s="1"/>
      <c r="I229"/>
      <c r="J229" s="17"/>
      <c r="K229" s="17"/>
      <c r="L229" s="17"/>
      <c r="M229" s="17"/>
      <c r="N229" s="131"/>
      <c r="O229" s="96"/>
      <c r="P229"/>
      <c r="Q229" s="96"/>
      <c r="R229"/>
      <c r="S229"/>
      <c r="T229"/>
    </row>
    <row r="230" spans="1:20" s="66" customFormat="1">
      <c r="A230"/>
      <c r="B230" s="1"/>
      <c r="C230"/>
      <c r="D230" s="96"/>
      <c r="E230" s="171" t="s">
        <v>93</v>
      </c>
      <c r="F230" s="18">
        <f>F229-F228</f>
        <v>198025977</v>
      </c>
      <c r="G230" s="1"/>
      <c r="H230" s="1"/>
      <c r="I230"/>
      <c r="J230" s="17"/>
      <c r="K230" s="17"/>
      <c r="L230" s="131"/>
      <c r="M230" s="131"/>
      <c r="N230" s="131"/>
      <c r="O230" s="96"/>
      <c r="P230"/>
      <c r="Q230" s="96"/>
      <c r="R230"/>
      <c r="S230"/>
      <c r="T230"/>
    </row>
    <row r="231" spans="1:20" s="66" customFormat="1">
      <c r="A231"/>
      <c r="B231" s="1"/>
      <c r="C231"/>
      <c r="D231" s="96"/>
      <c r="E231" s="171"/>
      <c r="F231" s="172"/>
      <c r="G231" s="1"/>
      <c r="H231" s="1"/>
      <c r="I231"/>
      <c r="J231" s="17"/>
      <c r="K231" s="17"/>
      <c r="L231" s="17"/>
      <c r="M231" s="17"/>
      <c r="N231" s="17"/>
      <c r="O231" s="96"/>
      <c r="P231"/>
      <c r="Q231" s="96"/>
      <c r="R231"/>
      <c r="S231"/>
      <c r="T231"/>
    </row>
    <row r="232" spans="1:20" s="66" customFormat="1">
      <c r="A232"/>
      <c r="B232" s="1"/>
      <c r="C232"/>
      <c r="D232" s="96"/>
      <c r="E232"/>
      <c r="F232"/>
      <c r="G232" s="1"/>
      <c r="H232" s="1"/>
      <c r="I232"/>
      <c r="J232" s="17"/>
      <c r="K232" s="17"/>
      <c r="L232" s="131"/>
      <c r="M232" s="17"/>
      <c r="N232" s="17"/>
      <c r="O232" s="96"/>
      <c r="P232"/>
      <c r="Q232" s="96"/>
      <c r="R232"/>
      <c r="S232"/>
      <c r="T232"/>
    </row>
    <row r="233" spans="1:20">
      <c r="L233" s="191"/>
      <c r="M233" s="191"/>
      <c r="N233" s="191"/>
      <c r="O233" s="98"/>
    </row>
    <row r="234" spans="1:20">
      <c r="F234" s="170"/>
      <c r="L234" s="191"/>
      <c r="M234" s="191"/>
      <c r="N234" s="191"/>
      <c r="O234" s="98"/>
    </row>
    <row r="235" spans="1:20">
      <c r="F235" s="170"/>
      <c r="L235" s="192"/>
      <c r="M235" s="192"/>
      <c r="N235" s="192"/>
      <c r="O235" s="98"/>
    </row>
    <row r="236" spans="1:20" s="1" customFormat="1">
      <c r="C236"/>
      <c r="D236" s="96"/>
      <c r="E236"/>
      <c r="F236"/>
      <c r="I236"/>
      <c r="J236" s="17"/>
      <c r="K236" s="17"/>
      <c r="L236" s="17"/>
      <c r="M236" s="17"/>
      <c r="N236" s="131"/>
      <c r="O236" s="96"/>
      <c r="P236"/>
      <c r="Q236" s="96"/>
      <c r="R236"/>
    </row>
    <row r="237" spans="1:20">
      <c r="N237" s="131"/>
    </row>
    <row r="238" spans="1:20">
      <c r="N238" s="131"/>
    </row>
    <row r="239" spans="1:20">
      <c r="N239" s="131"/>
    </row>
    <row r="240" spans="1:20">
      <c r="N240" s="131"/>
    </row>
    <row r="241" spans="1:20">
      <c r="N241" s="193"/>
    </row>
    <row r="242" spans="1:20">
      <c r="F242" s="170"/>
      <c r="N242" s="193"/>
    </row>
    <row r="243" spans="1:20" s="66" customFormat="1">
      <c r="A243"/>
      <c r="B243" s="1"/>
      <c r="C243"/>
      <c r="D243" s="96"/>
      <c r="E243"/>
      <c r="F243" s="170"/>
      <c r="G243" s="1"/>
      <c r="H243" s="1"/>
      <c r="I243"/>
      <c r="J243" s="17"/>
      <c r="K243" s="17"/>
      <c r="L243" s="17"/>
      <c r="M243" s="17"/>
      <c r="N243" s="193"/>
      <c r="O243" s="96"/>
      <c r="P243"/>
      <c r="Q243" s="96"/>
      <c r="R243"/>
      <c r="S243"/>
      <c r="T243"/>
    </row>
    <row r="244" spans="1:20" s="66" customFormat="1">
      <c r="A244"/>
      <c r="B244" s="1"/>
      <c r="C244"/>
      <c r="D244" s="96"/>
      <c r="E244"/>
      <c r="F244" s="170"/>
      <c r="G244" s="1"/>
      <c r="H244" s="1"/>
      <c r="I244"/>
      <c r="J244" s="17"/>
      <c r="K244" s="17"/>
      <c r="L244" s="194"/>
      <c r="M244" s="194"/>
      <c r="N244" s="195"/>
      <c r="O244" s="96"/>
      <c r="P244"/>
      <c r="Q244" s="96"/>
      <c r="R244"/>
      <c r="S244"/>
      <c r="T244"/>
    </row>
    <row r="245" spans="1:20" s="66" customFormat="1">
      <c r="A245"/>
      <c r="B245" s="1"/>
      <c r="C245"/>
      <c r="D245" s="96"/>
      <c r="E245"/>
      <c r="F245" s="170"/>
      <c r="G245" s="1"/>
      <c r="H245" s="1"/>
      <c r="I245"/>
      <c r="J245" s="17"/>
      <c r="K245" s="17"/>
      <c r="L245" s="131"/>
      <c r="M245" s="131"/>
      <c r="N245" s="193"/>
      <c r="O245" s="96"/>
      <c r="P245"/>
      <c r="Q245" s="96"/>
      <c r="R245"/>
      <c r="S245"/>
      <c r="T245"/>
    </row>
    <row r="246" spans="1:20" s="66" customFormat="1">
      <c r="A246"/>
      <c r="B246" s="1"/>
      <c r="C246"/>
      <c r="D246" s="96"/>
      <c r="E246"/>
      <c r="F246"/>
      <c r="G246" s="1"/>
      <c r="H246" s="1"/>
      <c r="I246"/>
      <c r="J246" s="17"/>
      <c r="K246" s="17"/>
      <c r="L246" s="131"/>
      <c r="M246" s="131"/>
      <c r="N246" s="193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/>
      <c r="F247"/>
      <c r="G247" s="1"/>
      <c r="H247" s="1"/>
      <c r="I247"/>
      <c r="J247" s="17"/>
      <c r="K247" s="17"/>
      <c r="L247" s="17"/>
      <c r="M247" s="17"/>
      <c r="N247" s="193"/>
      <c r="O247" s="96"/>
      <c r="P247"/>
      <c r="Q247" s="96"/>
      <c r="R247"/>
      <c r="S247"/>
      <c r="T247"/>
    </row>
    <row r="248" spans="1:20" s="66" customFormat="1">
      <c r="A248"/>
      <c r="B248" s="1"/>
      <c r="C248"/>
      <c r="D248" s="96"/>
      <c r="E248"/>
      <c r="F248"/>
      <c r="G248" s="1"/>
      <c r="H248" s="1"/>
      <c r="I248"/>
      <c r="J248" s="17"/>
      <c r="K248" s="17"/>
      <c r="L248" s="17"/>
      <c r="M248" s="17"/>
      <c r="N248" s="17"/>
      <c r="O248" s="96"/>
      <c r="P248"/>
      <c r="Q248" s="96"/>
      <c r="R248"/>
      <c r="S248"/>
      <c r="T248"/>
    </row>
    <row r="249" spans="1:20" s="66" customFormat="1">
      <c r="A249"/>
      <c r="B249" s="1"/>
      <c r="C249"/>
      <c r="D249" s="96"/>
      <c r="E249"/>
      <c r="F249"/>
      <c r="G249" s="1"/>
      <c r="H249" s="1"/>
      <c r="I249"/>
      <c r="J249" s="17"/>
      <c r="K249" s="17"/>
      <c r="L249" s="17"/>
      <c r="M249" s="17"/>
      <c r="N249" s="17"/>
      <c r="O249" s="96"/>
      <c r="P249"/>
      <c r="Q249" s="96"/>
      <c r="R249"/>
      <c r="S249"/>
      <c r="T249"/>
    </row>
    <row r="250" spans="1:20" s="66" customFormat="1">
      <c r="A250"/>
      <c r="B250" s="1"/>
      <c r="C250"/>
      <c r="D250" s="96"/>
      <c r="E250"/>
      <c r="F250"/>
      <c r="G250" s="1"/>
      <c r="H250" s="1"/>
      <c r="I250"/>
      <c r="J250" s="17"/>
      <c r="K250" s="17"/>
      <c r="L250" s="17"/>
      <c r="M250" s="17"/>
      <c r="N250" s="17"/>
      <c r="O250" s="96"/>
      <c r="P250"/>
      <c r="Q250" s="96"/>
      <c r="R250"/>
      <c r="S250"/>
      <c r="T250"/>
    </row>
    <row r="253" spans="1:20" s="66" customFormat="1">
      <c r="A253"/>
      <c r="B253" s="1"/>
      <c r="C253"/>
      <c r="D253" s="96"/>
      <c r="E253"/>
      <c r="F253"/>
      <c r="G253" s="1"/>
      <c r="H253" s="1"/>
      <c r="I253"/>
      <c r="J253" s="17"/>
      <c r="K253" s="17"/>
      <c r="L253" s="17"/>
      <c r="M253" s="17"/>
      <c r="N253" s="17"/>
      <c r="O253" s="96"/>
      <c r="P253"/>
      <c r="Q253" s="96"/>
      <c r="R253"/>
      <c r="S253"/>
      <c r="T253"/>
    </row>
    <row r="254" spans="1:20" s="66" customFormat="1">
      <c r="A254"/>
      <c r="B254" s="1"/>
      <c r="C254"/>
      <c r="D254" s="96"/>
      <c r="E254"/>
      <c r="F254"/>
      <c r="G254" s="1"/>
      <c r="H254" s="1"/>
      <c r="I254"/>
      <c r="J254" s="17"/>
      <c r="K254" s="17"/>
      <c r="L254" s="17"/>
      <c r="M254" s="17"/>
      <c r="N254" s="17"/>
      <c r="O254" s="96"/>
      <c r="P254"/>
      <c r="Q254" s="96"/>
      <c r="R254"/>
      <c r="S254"/>
      <c r="T254"/>
    </row>
    <row r="255" spans="1:20" s="66" customFormat="1">
      <c r="A255"/>
      <c r="B255" s="1"/>
      <c r="C255"/>
      <c r="D255" s="96"/>
      <c r="E255"/>
      <c r="F255"/>
      <c r="G255" s="1"/>
      <c r="H255" s="1"/>
      <c r="I255"/>
      <c r="J255" s="17"/>
      <c r="K255" s="17"/>
      <c r="L255" s="17"/>
      <c r="M255" s="17"/>
      <c r="N255" s="17"/>
      <c r="O255" s="96"/>
      <c r="P255"/>
      <c r="Q255" s="96"/>
      <c r="R255"/>
      <c r="S255"/>
      <c r="T255"/>
    </row>
    <row r="256" spans="1:20" s="66" customFormat="1">
      <c r="A256"/>
      <c r="B256" s="1"/>
      <c r="C256"/>
      <c r="D256" s="96"/>
      <c r="E256"/>
      <c r="F256"/>
      <c r="G256" s="1"/>
      <c r="H256" s="1"/>
      <c r="I256"/>
      <c r="J256" s="17"/>
      <c r="K256" s="17"/>
      <c r="L256" s="17"/>
      <c r="M256" s="17"/>
      <c r="N256" s="17"/>
      <c r="O256" s="96"/>
      <c r="P256"/>
      <c r="Q256" s="96"/>
      <c r="R256"/>
      <c r="S256"/>
      <c r="T256"/>
    </row>
    <row r="257" spans="1:20" s="66" customFormat="1">
      <c r="A257"/>
      <c r="B257" s="1"/>
      <c r="C257"/>
      <c r="D257" s="96"/>
      <c r="E257"/>
      <c r="F257"/>
      <c r="G257" s="1"/>
      <c r="H257" s="1"/>
      <c r="I257"/>
      <c r="J257" s="17"/>
      <c r="K257" s="17"/>
      <c r="L257" s="17"/>
      <c r="M257" s="17"/>
      <c r="N257" s="17"/>
      <c r="O257" s="96"/>
      <c r="P257"/>
      <c r="Q257" s="96"/>
      <c r="R257"/>
      <c r="S257"/>
      <c r="T257"/>
    </row>
    <row r="258" spans="1:20" s="66" customFormat="1">
      <c r="A258"/>
      <c r="B258" s="1"/>
      <c r="C258"/>
      <c r="D258" s="96"/>
      <c r="E258"/>
      <c r="F258"/>
      <c r="G258" s="1"/>
      <c r="H258" s="1"/>
      <c r="I258"/>
      <c r="J258" s="17"/>
      <c r="K258" s="17"/>
      <c r="L258" s="17"/>
      <c r="M258" s="17"/>
      <c r="N258" s="17"/>
      <c r="O258" s="96"/>
      <c r="P258"/>
      <c r="Q258" s="96"/>
      <c r="R258"/>
      <c r="S258"/>
      <c r="T258"/>
    </row>
  </sheetData>
  <autoFilter ref="A4:V230" xr:uid="{C1C920EB-B741-41DC-B9DF-523CEC6626DE}"/>
  <dataConsolidate/>
  <mergeCells count="15">
    <mergeCell ref="Q3:Q4"/>
    <mergeCell ref="R3:R4"/>
    <mergeCell ref="B213:I213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2398-EDFB-4196-9067-F87DB21F697D}">
  <sheetPr codeName="Sheet11">
    <pageSetUpPr fitToPage="1"/>
  </sheetPr>
  <dimension ref="A1:V260"/>
  <sheetViews>
    <sheetView zoomScaleNormal="100" workbookViewId="0">
      <pane ySplit="4" topLeftCell="A197" activePane="bottomLeft" state="frozen"/>
      <selection activeCell="F228" sqref="F228"/>
      <selection pane="bottomLeft" activeCell="O213" sqref="O213:O214"/>
    </sheetView>
  </sheetViews>
  <sheetFormatPr defaultRowHeight="16.5"/>
  <cols>
    <col min="1" max="1" width="1" customWidth="1"/>
    <col min="2" max="2" width="9" style="1" customWidth="1"/>
    <col min="3" max="3" width="9.625" customWidth="1"/>
    <col min="4" max="4" width="10.875" style="96" customWidth="1"/>
    <col min="5" max="5" width="22.625" customWidth="1"/>
    <col min="6" max="6" width="20.75" customWidth="1"/>
    <col min="7" max="7" width="8.125" style="1" customWidth="1"/>
    <col min="8" max="8" width="12.5" style="1" customWidth="1"/>
    <col min="9" max="9" width="38.625" customWidth="1"/>
    <col min="10" max="10" width="6" style="17" customWidth="1"/>
    <col min="11" max="11" width="10.75" style="17" customWidth="1"/>
    <col min="12" max="12" width="14.25" style="17" bestFit="1" customWidth="1"/>
    <col min="13" max="13" width="12.75" style="17" bestFit="1" customWidth="1"/>
    <col min="14" max="14" width="15" style="17" bestFit="1" customWidth="1"/>
    <col min="15" max="15" width="9.875" style="96" customWidth="1"/>
    <col min="16" max="16" width="7.75" customWidth="1"/>
    <col min="17" max="17" width="10.875" style="96" customWidth="1"/>
    <col min="18" max="18" width="10.625" customWidth="1"/>
    <col min="20" max="20" width="15.125" bestFit="1" customWidth="1"/>
    <col min="21" max="21" width="12.75" bestFit="1" customWidth="1"/>
    <col min="23" max="23" width="17.75" bestFit="1" customWidth="1"/>
  </cols>
  <sheetData>
    <row r="1" spans="1:18" ht="26.25">
      <c r="B1" s="136" t="str">
        <f>"["&amp;YEAR(D5)&amp;"년 "&amp;MONTH(D6)&amp;"월 매입]"</f>
        <v>[2025년 6월 매입]</v>
      </c>
      <c r="C1" s="136"/>
      <c r="E1" s="202"/>
      <c r="O1" s="95"/>
    </row>
    <row r="2" spans="1:18" ht="17.25" thickBot="1">
      <c r="B2" s="137"/>
      <c r="C2" s="138"/>
      <c r="M2" s="17" t="s">
        <v>109</v>
      </c>
      <c r="O2" s="243" t="s">
        <v>2595</v>
      </c>
      <c r="Q2" s="243" t="s">
        <v>2585</v>
      </c>
    </row>
    <row r="3" spans="1:18" ht="16.5" customHeight="1">
      <c r="A3" s="1"/>
      <c r="B3" s="277" t="s">
        <v>69</v>
      </c>
      <c r="C3" s="279" t="s">
        <v>68</v>
      </c>
      <c r="D3" s="281" t="s">
        <v>0</v>
      </c>
      <c r="E3" s="283" t="s">
        <v>1</v>
      </c>
      <c r="F3" s="285" t="s">
        <v>2</v>
      </c>
      <c r="G3" s="287" t="s">
        <v>12</v>
      </c>
      <c r="H3" s="265" t="s">
        <v>14</v>
      </c>
      <c r="I3" s="267" t="s">
        <v>3</v>
      </c>
      <c r="J3" s="269" t="s">
        <v>4</v>
      </c>
      <c r="K3" s="271" t="s">
        <v>5</v>
      </c>
      <c r="L3" s="271"/>
      <c r="M3" s="271"/>
      <c r="N3" s="272"/>
      <c r="O3" s="273" t="s">
        <v>54</v>
      </c>
      <c r="P3" s="275" t="s">
        <v>10</v>
      </c>
      <c r="Q3" s="258" t="s">
        <v>11</v>
      </c>
      <c r="R3" s="260" t="s">
        <v>6</v>
      </c>
    </row>
    <row r="4" spans="1:18">
      <c r="A4" s="1"/>
      <c r="B4" s="278"/>
      <c r="C4" s="280"/>
      <c r="D4" s="282"/>
      <c r="E4" s="284"/>
      <c r="F4" s="286"/>
      <c r="G4" s="288"/>
      <c r="H4" s="266"/>
      <c r="I4" s="268"/>
      <c r="J4" s="270"/>
      <c r="K4" s="3" t="s">
        <v>8</v>
      </c>
      <c r="L4" s="184" t="s">
        <v>17</v>
      </c>
      <c r="M4" s="185" t="s">
        <v>9</v>
      </c>
      <c r="N4" s="186" t="s">
        <v>18</v>
      </c>
      <c r="O4" s="274"/>
      <c r="P4" s="276"/>
      <c r="Q4" s="259"/>
      <c r="R4" s="261"/>
    </row>
    <row r="5" spans="1:18" ht="16.5" customHeight="1">
      <c r="A5" t="s">
        <v>64</v>
      </c>
      <c r="B5" s="10" t="s">
        <v>144</v>
      </c>
      <c r="C5" s="12"/>
      <c r="D5" s="13">
        <v>45809</v>
      </c>
      <c r="E5" s="155" t="s">
        <v>167</v>
      </c>
      <c r="F5" s="155"/>
      <c r="G5" s="156" t="s">
        <v>30</v>
      </c>
      <c r="H5" s="156" t="s">
        <v>145</v>
      </c>
      <c r="I5" s="69" t="s">
        <v>2541</v>
      </c>
      <c r="J5" s="122">
        <v>1</v>
      </c>
      <c r="K5" s="15">
        <v>71000</v>
      </c>
      <c r="L5" s="15">
        <f t="shared" ref="L5:L52" si="0">J5*K5</f>
        <v>71000</v>
      </c>
      <c r="M5" s="15">
        <f>L5*10%</f>
        <v>7100</v>
      </c>
      <c r="N5" s="15">
        <f t="shared" ref="N5:N63" si="1">SUM(L5:M5)</f>
        <v>78100</v>
      </c>
      <c r="O5" s="5" t="s">
        <v>2542</v>
      </c>
      <c r="P5" s="9" t="s">
        <v>2644</v>
      </c>
      <c r="Q5" s="5" t="s">
        <v>144</v>
      </c>
      <c r="R5" s="209"/>
    </row>
    <row r="6" spans="1:18" ht="16.5" customHeight="1">
      <c r="A6" t="s">
        <v>64</v>
      </c>
      <c r="B6" s="10" t="s">
        <v>373</v>
      </c>
      <c r="C6" s="12"/>
      <c r="D6" s="13">
        <v>45809</v>
      </c>
      <c r="E6" s="155" t="s">
        <v>2633</v>
      </c>
      <c r="F6" s="155" t="s">
        <v>374</v>
      </c>
      <c r="G6" s="156" t="s">
        <v>98</v>
      </c>
      <c r="H6" s="156" t="s">
        <v>143</v>
      </c>
      <c r="I6" s="69" t="s">
        <v>2255</v>
      </c>
      <c r="J6" s="122">
        <v>1</v>
      </c>
      <c r="K6" s="15">
        <v>277500</v>
      </c>
      <c r="L6" s="16">
        <f t="shared" si="0"/>
        <v>277500</v>
      </c>
      <c r="M6" s="16">
        <v>27750</v>
      </c>
      <c r="N6" s="15">
        <f t="shared" si="1"/>
        <v>305250</v>
      </c>
      <c r="O6" s="5" t="s">
        <v>2578</v>
      </c>
      <c r="P6" s="174" t="s">
        <v>2636</v>
      </c>
      <c r="Q6" s="5">
        <v>45833</v>
      </c>
      <c r="R6" s="209"/>
    </row>
    <row r="7" spans="1:18" ht="16.5" customHeight="1">
      <c r="A7" t="s">
        <v>64</v>
      </c>
      <c r="B7" s="10" t="s">
        <v>353</v>
      </c>
      <c r="C7" s="12"/>
      <c r="D7" s="13">
        <v>45810</v>
      </c>
      <c r="E7" s="155" t="s">
        <v>2633</v>
      </c>
      <c r="F7" s="155" t="s">
        <v>171</v>
      </c>
      <c r="G7" s="156" t="s">
        <v>7</v>
      </c>
      <c r="H7" s="156" t="s">
        <v>366</v>
      </c>
      <c r="I7" s="69" t="s">
        <v>2234</v>
      </c>
      <c r="J7" s="122">
        <v>1</v>
      </c>
      <c r="K7" s="15">
        <v>2884612</v>
      </c>
      <c r="L7" s="16">
        <f t="shared" si="0"/>
        <v>2884612</v>
      </c>
      <c r="M7" s="15">
        <v>288461</v>
      </c>
      <c r="N7" s="15">
        <f t="shared" si="1"/>
        <v>3173073</v>
      </c>
      <c r="O7" s="5" t="s">
        <v>2578</v>
      </c>
      <c r="P7" s="9" t="s">
        <v>2635</v>
      </c>
      <c r="Q7" s="5">
        <v>45838</v>
      </c>
      <c r="R7" s="209"/>
    </row>
    <row r="8" spans="1:18" ht="16.5" customHeight="1">
      <c r="A8" t="s">
        <v>64</v>
      </c>
      <c r="B8" s="10" t="s">
        <v>394</v>
      </c>
      <c r="C8" s="12"/>
      <c r="D8" s="13">
        <v>45810</v>
      </c>
      <c r="E8" s="155" t="s">
        <v>2633</v>
      </c>
      <c r="F8" s="155" t="s">
        <v>391</v>
      </c>
      <c r="G8" s="156" t="s">
        <v>7</v>
      </c>
      <c r="H8" s="156" t="s">
        <v>143</v>
      </c>
      <c r="I8" s="69" t="s">
        <v>2237</v>
      </c>
      <c r="J8" s="122">
        <v>1</v>
      </c>
      <c r="K8" s="15">
        <v>205780</v>
      </c>
      <c r="L8" s="16">
        <f t="shared" si="0"/>
        <v>205780</v>
      </c>
      <c r="M8" s="16">
        <v>20578</v>
      </c>
      <c r="N8" s="15">
        <f t="shared" si="1"/>
        <v>226358</v>
      </c>
      <c r="O8" s="5" t="s">
        <v>2578</v>
      </c>
      <c r="P8" s="174" t="s">
        <v>2636</v>
      </c>
      <c r="Q8" s="5">
        <v>45491</v>
      </c>
      <c r="R8" s="209" t="s">
        <v>100</v>
      </c>
    </row>
    <row r="9" spans="1:18" ht="16.5" customHeight="1">
      <c r="A9" t="s">
        <v>64</v>
      </c>
      <c r="B9" s="10" t="s">
        <v>1229</v>
      </c>
      <c r="C9" s="12"/>
      <c r="D9" s="13">
        <v>45810</v>
      </c>
      <c r="E9" s="155" t="s">
        <v>2633</v>
      </c>
      <c r="F9" s="155" t="s">
        <v>32</v>
      </c>
      <c r="G9" s="156" t="s">
        <v>7</v>
      </c>
      <c r="H9" s="156" t="s">
        <v>143</v>
      </c>
      <c r="I9" s="69" t="s">
        <v>2238</v>
      </c>
      <c r="J9" s="122">
        <v>1</v>
      </c>
      <c r="K9" s="15">
        <v>1210534</v>
      </c>
      <c r="L9" s="16">
        <f t="shared" si="0"/>
        <v>1210534</v>
      </c>
      <c r="M9" s="16">
        <v>121053</v>
      </c>
      <c r="N9" s="15">
        <f t="shared" si="1"/>
        <v>1331587</v>
      </c>
      <c r="O9" s="5" t="s">
        <v>2578</v>
      </c>
      <c r="P9" s="174" t="s">
        <v>2636</v>
      </c>
      <c r="Q9" s="5">
        <v>45838</v>
      </c>
      <c r="R9" s="209"/>
    </row>
    <row r="10" spans="1:18" ht="16.5" customHeight="1">
      <c r="A10" t="s">
        <v>64</v>
      </c>
      <c r="B10" s="10" t="s">
        <v>878</v>
      </c>
      <c r="C10" s="12"/>
      <c r="D10" s="13">
        <v>45810</v>
      </c>
      <c r="E10" s="155" t="s">
        <v>2633</v>
      </c>
      <c r="F10" s="155" t="s">
        <v>148</v>
      </c>
      <c r="G10" s="156" t="s">
        <v>98</v>
      </c>
      <c r="H10" s="156" t="s">
        <v>143</v>
      </c>
      <c r="I10" s="69" t="s">
        <v>2239</v>
      </c>
      <c r="J10" s="122">
        <v>1</v>
      </c>
      <c r="K10" s="15">
        <v>2812500</v>
      </c>
      <c r="L10" s="16">
        <f t="shared" si="0"/>
        <v>2812500</v>
      </c>
      <c r="M10" s="16">
        <v>281250</v>
      </c>
      <c r="N10" s="15">
        <f t="shared" si="1"/>
        <v>3093750</v>
      </c>
      <c r="O10" s="5" t="s">
        <v>2578</v>
      </c>
      <c r="P10" s="9" t="s">
        <v>2634</v>
      </c>
      <c r="Q10" s="5">
        <v>45666</v>
      </c>
      <c r="R10" s="209" t="s">
        <v>100</v>
      </c>
    </row>
    <row r="11" spans="1:18" ht="16.5" customHeight="1">
      <c r="A11" t="s">
        <v>64</v>
      </c>
      <c r="B11" s="140" t="s">
        <v>182</v>
      </c>
      <c r="C11" s="12"/>
      <c r="D11" s="13">
        <v>45810</v>
      </c>
      <c r="E11" s="155" t="s">
        <v>2633</v>
      </c>
      <c r="F11" s="155" t="s">
        <v>322</v>
      </c>
      <c r="G11" s="157" t="s">
        <v>98</v>
      </c>
      <c r="H11" s="156" t="s">
        <v>143</v>
      </c>
      <c r="I11" s="69" t="s">
        <v>2240</v>
      </c>
      <c r="J11" s="122">
        <v>1</v>
      </c>
      <c r="K11" s="15">
        <v>1123962</v>
      </c>
      <c r="L11" s="16">
        <f t="shared" si="0"/>
        <v>1123962</v>
      </c>
      <c r="M11" s="15">
        <v>112396</v>
      </c>
      <c r="N11" s="15">
        <f t="shared" si="1"/>
        <v>1236358</v>
      </c>
      <c r="O11" s="5" t="s">
        <v>2578</v>
      </c>
      <c r="P11" s="9" t="s">
        <v>2636</v>
      </c>
      <c r="Q11" s="5">
        <v>45809</v>
      </c>
      <c r="R11" s="209"/>
    </row>
    <row r="12" spans="1:18" ht="16.5" customHeight="1">
      <c r="A12" t="s">
        <v>64</v>
      </c>
      <c r="B12" s="140" t="s">
        <v>182</v>
      </c>
      <c r="C12" s="12"/>
      <c r="D12" s="13">
        <v>45810</v>
      </c>
      <c r="E12" s="155" t="s">
        <v>2633</v>
      </c>
      <c r="F12" s="155" t="s">
        <v>322</v>
      </c>
      <c r="G12" s="156" t="s">
        <v>7</v>
      </c>
      <c r="H12" s="156" t="s">
        <v>143</v>
      </c>
      <c r="I12" s="69" t="s">
        <v>2241</v>
      </c>
      <c r="J12" s="122">
        <v>1</v>
      </c>
      <c r="K12" s="15">
        <v>259896</v>
      </c>
      <c r="L12" s="16">
        <f t="shared" si="0"/>
        <v>259896</v>
      </c>
      <c r="M12" s="16">
        <v>25989</v>
      </c>
      <c r="N12" s="15">
        <f t="shared" si="1"/>
        <v>285885</v>
      </c>
      <c r="O12" s="5" t="s">
        <v>2578</v>
      </c>
      <c r="P12" s="9" t="s">
        <v>2636</v>
      </c>
      <c r="Q12" s="5">
        <v>45809</v>
      </c>
      <c r="R12" s="213"/>
    </row>
    <row r="13" spans="1:18" ht="16.5" customHeight="1">
      <c r="A13" t="s">
        <v>64</v>
      </c>
      <c r="B13" s="10" t="s">
        <v>1230</v>
      </c>
      <c r="C13" s="12"/>
      <c r="D13" s="13">
        <v>45810</v>
      </c>
      <c r="E13" s="155" t="s">
        <v>2633</v>
      </c>
      <c r="F13" s="155" t="s">
        <v>63</v>
      </c>
      <c r="G13" s="156" t="s">
        <v>7</v>
      </c>
      <c r="H13" s="156" t="s">
        <v>143</v>
      </c>
      <c r="I13" s="69" t="s">
        <v>2242</v>
      </c>
      <c r="J13" s="122">
        <v>1</v>
      </c>
      <c r="K13" s="15">
        <v>93445</v>
      </c>
      <c r="L13" s="16">
        <f t="shared" si="0"/>
        <v>93445</v>
      </c>
      <c r="M13" s="15">
        <v>9344</v>
      </c>
      <c r="N13" s="15">
        <f t="shared" si="1"/>
        <v>102789</v>
      </c>
      <c r="O13" s="5" t="s">
        <v>2578</v>
      </c>
      <c r="P13" s="174" t="s">
        <v>2636</v>
      </c>
      <c r="Q13" s="5">
        <v>45747</v>
      </c>
      <c r="R13" s="209" t="s">
        <v>100</v>
      </c>
    </row>
    <row r="14" spans="1:18" ht="16.5" customHeight="1">
      <c r="A14" t="s">
        <v>64</v>
      </c>
      <c r="B14" s="10" t="s">
        <v>346</v>
      </c>
      <c r="C14" s="12"/>
      <c r="D14" s="13">
        <v>45810</v>
      </c>
      <c r="E14" s="155" t="s">
        <v>2633</v>
      </c>
      <c r="F14" s="155" t="s">
        <v>2632</v>
      </c>
      <c r="G14" s="156" t="s">
        <v>98</v>
      </c>
      <c r="H14" s="156" t="s">
        <v>143</v>
      </c>
      <c r="I14" s="69" t="s">
        <v>2243</v>
      </c>
      <c r="J14" s="122">
        <v>1</v>
      </c>
      <c r="K14" s="15">
        <v>66501</v>
      </c>
      <c r="L14" s="16">
        <f t="shared" si="0"/>
        <v>66501</v>
      </c>
      <c r="M14" s="15">
        <v>6650</v>
      </c>
      <c r="N14" s="15">
        <f t="shared" si="1"/>
        <v>73151</v>
      </c>
      <c r="O14" s="5" t="s">
        <v>2578</v>
      </c>
      <c r="P14" s="174" t="s">
        <v>2636</v>
      </c>
      <c r="Q14" s="5">
        <v>45838</v>
      </c>
      <c r="R14" s="209"/>
    </row>
    <row r="15" spans="1:18" ht="16.5" customHeight="1">
      <c r="A15" t="s">
        <v>64</v>
      </c>
      <c r="B15" s="143" t="s">
        <v>174</v>
      </c>
      <c r="C15" s="144"/>
      <c r="D15" s="13">
        <v>45810</v>
      </c>
      <c r="E15" s="155" t="s">
        <v>2633</v>
      </c>
      <c r="F15" s="155" t="s">
        <v>175</v>
      </c>
      <c r="G15" s="157" t="s">
        <v>98</v>
      </c>
      <c r="H15" s="156" t="s">
        <v>143</v>
      </c>
      <c r="I15" s="69" t="s">
        <v>2244</v>
      </c>
      <c r="J15" s="122">
        <v>1</v>
      </c>
      <c r="K15" s="15">
        <v>198012</v>
      </c>
      <c r="L15" s="16">
        <f t="shared" si="0"/>
        <v>198012</v>
      </c>
      <c r="M15" s="15">
        <v>19801</v>
      </c>
      <c r="N15" s="15">
        <f t="shared" si="1"/>
        <v>217813</v>
      </c>
      <c r="O15" s="5" t="s">
        <v>2578</v>
      </c>
      <c r="P15" s="174" t="s">
        <v>2636</v>
      </c>
      <c r="Q15" s="5">
        <v>45809</v>
      </c>
      <c r="R15" s="209"/>
    </row>
    <row r="16" spans="1:18" ht="16.5" customHeight="1">
      <c r="A16" t="s">
        <v>64</v>
      </c>
      <c r="B16" s="10" t="s">
        <v>414</v>
      </c>
      <c r="C16" s="12"/>
      <c r="D16" s="13">
        <v>45810</v>
      </c>
      <c r="E16" s="155" t="s">
        <v>2633</v>
      </c>
      <c r="F16" s="155" t="s">
        <v>308</v>
      </c>
      <c r="G16" s="156" t="s">
        <v>98</v>
      </c>
      <c r="H16" s="156" t="s">
        <v>143</v>
      </c>
      <c r="I16" s="69" t="s">
        <v>2245</v>
      </c>
      <c r="J16" s="122">
        <v>1</v>
      </c>
      <c r="K16" s="16">
        <v>84811</v>
      </c>
      <c r="L16" s="16">
        <f t="shared" si="0"/>
        <v>84811</v>
      </c>
      <c r="M16" s="15">
        <v>8481</v>
      </c>
      <c r="N16" s="15">
        <f t="shared" si="1"/>
        <v>93292</v>
      </c>
      <c r="O16" s="5" t="s">
        <v>2578</v>
      </c>
      <c r="P16" s="174" t="s">
        <v>2636</v>
      </c>
      <c r="Q16" s="5">
        <v>45833</v>
      </c>
      <c r="R16" s="209"/>
    </row>
    <row r="17" spans="1:20" ht="16.5" customHeight="1">
      <c r="A17" t="s">
        <v>64</v>
      </c>
      <c r="B17" s="10" t="s">
        <v>396</v>
      </c>
      <c r="C17" s="12"/>
      <c r="D17" s="13">
        <v>45810</v>
      </c>
      <c r="E17" s="155" t="s">
        <v>2633</v>
      </c>
      <c r="F17" s="155" t="s">
        <v>352</v>
      </c>
      <c r="G17" s="157" t="s">
        <v>98</v>
      </c>
      <c r="H17" s="156" t="s">
        <v>143</v>
      </c>
      <c r="I17" s="69" t="s">
        <v>2246</v>
      </c>
      <c r="J17" s="122">
        <v>1</v>
      </c>
      <c r="K17" s="15">
        <v>80163</v>
      </c>
      <c r="L17" s="16">
        <f t="shared" si="0"/>
        <v>80163</v>
      </c>
      <c r="M17" s="16">
        <v>8016</v>
      </c>
      <c r="N17" s="15">
        <f t="shared" si="1"/>
        <v>88179</v>
      </c>
      <c r="O17" s="5" t="s">
        <v>2578</v>
      </c>
      <c r="P17" s="174" t="s">
        <v>2636</v>
      </c>
      <c r="Q17" s="5">
        <v>45838</v>
      </c>
      <c r="R17" s="209"/>
    </row>
    <row r="18" spans="1:20" ht="16.5" customHeight="1">
      <c r="A18" t="s">
        <v>64</v>
      </c>
      <c r="B18" s="10" t="s">
        <v>490</v>
      </c>
      <c r="C18" s="12"/>
      <c r="D18" s="13">
        <v>45810</v>
      </c>
      <c r="E18" s="155" t="s">
        <v>2633</v>
      </c>
      <c r="F18" s="155" t="s">
        <v>2632</v>
      </c>
      <c r="G18" s="156" t="s">
        <v>7</v>
      </c>
      <c r="H18" s="156" t="s">
        <v>143</v>
      </c>
      <c r="I18" s="69" t="s">
        <v>2247</v>
      </c>
      <c r="J18" s="122">
        <v>1</v>
      </c>
      <c r="K18" s="16">
        <v>133875</v>
      </c>
      <c r="L18" s="16">
        <f t="shared" si="0"/>
        <v>133875</v>
      </c>
      <c r="M18" s="16">
        <v>13387</v>
      </c>
      <c r="N18" s="15">
        <f t="shared" si="1"/>
        <v>147262</v>
      </c>
      <c r="O18" s="5" t="s">
        <v>2578</v>
      </c>
      <c r="P18" s="9" t="s">
        <v>2636</v>
      </c>
      <c r="Q18" s="5">
        <v>45838</v>
      </c>
      <c r="R18" s="209"/>
    </row>
    <row r="19" spans="1:20">
      <c r="A19" t="s">
        <v>64</v>
      </c>
      <c r="B19" s="226" t="s">
        <v>1255</v>
      </c>
      <c r="C19" s="12"/>
      <c r="D19" s="13">
        <v>45810</v>
      </c>
      <c r="E19" s="155" t="s">
        <v>2633</v>
      </c>
      <c r="F19" s="155" t="s">
        <v>32</v>
      </c>
      <c r="G19" s="156" t="s">
        <v>98</v>
      </c>
      <c r="H19" s="156" t="s">
        <v>143</v>
      </c>
      <c r="I19" s="69" t="s">
        <v>2248</v>
      </c>
      <c r="J19" s="122">
        <v>1</v>
      </c>
      <c r="K19" s="16">
        <v>11623397</v>
      </c>
      <c r="L19" s="16">
        <f t="shared" si="0"/>
        <v>11623397</v>
      </c>
      <c r="M19" s="16">
        <v>1162339</v>
      </c>
      <c r="N19" s="15">
        <f t="shared" si="1"/>
        <v>12785736</v>
      </c>
      <c r="O19" s="5" t="s">
        <v>2578</v>
      </c>
      <c r="P19" s="174" t="s">
        <v>2636</v>
      </c>
      <c r="Q19" s="5">
        <v>45838</v>
      </c>
      <c r="R19" s="209"/>
    </row>
    <row r="20" spans="1:20" ht="16.5" customHeight="1">
      <c r="A20" t="s">
        <v>64</v>
      </c>
      <c r="B20" s="10" t="s">
        <v>1615</v>
      </c>
      <c r="C20" s="12"/>
      <c r="D20" s="13">
        <v>45810</v>
      </c>
      <c r="E20" s="155" t="s">
        <v>2633</v>
      </c>
      <c r="F20" s="155" t="s">
        <v>241</v>
      </c>
      <c r="G20" s="156" t="s">
        <v>98</v>
      </c>
      <c r="H20" s="156" t="s">
        <v>143</v>
      </c>
      <c r="I20" s="69" t="s">
        <v>2249</v>
      </c>
      <c r="J20" s="122">
        <v>1</v>
      </c>
      <c r="K20" s="15">
        <v>1352754</v>
      </c>
      <c r="L20" s="16">
        <f t="shared" si="0"/>
        <v>1352754</v>
      </c>
      <c r="M20" s="15">
        <v>135275</v>
      </c>
      <c r="N20" s="15">
        <f t="shared" si="1"/>
        <v>1488029</v>
      </c>
      <c r="O20" s="5" t="s">
        <v>2578</v>
      </c>
      <c r="P20" s="174" t="s">
        <v>2636</v>
      </c>
      <c r="Q20" s="5">
        <v>45838</v>
      </c>
      <c r="R20" s="209"/>
    </row>
    <row r="21" spans="1:20" ht="16.5" customHeight="1">
      <c r="A21" t="s">
        <v>64</v>
      </c>
      <c r="B21" s="10" t="s">
        <v>152</v>
      </c>
      <c r="C21" s="12"/>
      <c r="D21" s="13">
        <v>45810</v>
      </c>
      <c r="E21" s="155" t="s">
        <v>2633</v>
      </c>
      <c r="F21" s="155" t="s">
        <v>153</v>
      </c>
      <c r="G21" s="156" t="s">
        <v>7</v>
      </c>
      <c r="H21" s="9" t="s">
        <v>143</v>
      </c>
      <c r="I21" s="69" t="s">
        <v>2250</v>
      </c>
      <c r="J21" s="122">
        <v>1</v>
      </c>
      <c r="K21" s="15">
        <v>564192</v>
      </c>
      <c r="L21" s="16">
        <f t="shared" si="0"/>
        <v>564192</v>
      </c>
      <c r="M21" s="15">
        <v>56419</v>
      </c>
      <c r="N21" s="15">
        <f t="shared" si="1"/>
        <v>620611</v>
      </c>
      <c r="O21" s="5" t="s">
        <v>2578</v>
      </c>
      <c r="P21" s="9" t="s">
        <v>2636</v>
      </c>
      <c r="Q21" s="5">
        <v>45809</v>
      </c>
      <c r="R21" s="209"/>
    </row>
    <row r="22" spans="1:20" ht="16.5" customHeight="1">
      <c r="A22" t="s">
        <v>64</v>
      </c>
      <c r="B22" s="10" t="s">
        <v>1616</v>
      </c>
      <c r="C22" s="12"/>
      <c r="D22" s="13">
        <v>45810</v>
      </c>
      <c r="E22" s="155" t="s">
        <v>2633</v>
      </c>
      <c r="F22" s="155" t="s">
        <v>1535</v>
      </c>
      <c r="G22" s="157" t="s">
        <v>98</v>
      </c>
      <c r="H22" s="156" t="s">
        <v>143</v>
      </c>
      <c r="I22" s="69" t="s">
        <v>2456</v>
      </c>
      <c r="J22" s="122">
        <v>1</v>
      </c>
      <c r="K22" s="15">
        <v>451875</v>
      </c>
      <c r="L22" s="16">
        <f t="shared" si="0"/>
        <v>451875</v>
      </c>
      <c r="M22" s="16">
        <v>45187</v>
      </c>
      <c r="N22" s="15">
        <f t="shared" si="1"/>
        <v>497062</v>
      </c>
      <c r="O22" s="5" t="s">
        <v>2578</v>
      </c>
      <c r="P22" s="175" t="s">
        <v>2636</v>
      </c>
      <c r="Q22" s="5">
        <v>45828</v>
      </c>
      <c r="R22" s="213"/>
    </row>
    <row r="23" spans="1:20" ht="16.5" customHeight="1">
      <c r="A23" t="s">
        <v>64</v>
      </c>
      <c r="B23" s="10" t="s">
        <v>1610</v>
      </c>
      <c r="C23" s="12"/>
      <c r="D23" s="13">
        <v>45810</v>
      </c>
      <c r="E23" s="155" t="s">
        <v>2633</v>
      </c>
      <c r="F23" s="155" t="s">
        <v>2632</v>
      </c>
      <c r="G23" s="156" t="s">
        <v>7</v>
      </c>
      <c r="H23" s="156" t="s">
        <v>143</v>
      </c>
      <c r="I23" s="69" t="s">
        <v>2290</v>
      </c>
      <c r="J23" s="122">
        <v>1</v>
      </c>
      <c r="K23" s="15">
        <v>79496</v>
      </c>
      <c r="L23" s="16">
        <f t="shared" si="0"/>
        <v>79496</v>
      </c>
      <c r="M23" s="15">
        <v>7949</v>
      </c>
      <c r="N23" s="15">
        <f t="shared" si="1"/>
        <v>87445</v>
      </c>
      <c r="O23" s="5" t="s">
        <v>2578</v>
      </c>
      <c r="P23" s="9" t="s">
        <v>2636</v>
      </c>
      <c r="Q23" s="5">
        <v>45833</v>
      </c>
      <c r="R23" s="209"/>
    </row>
    <row r="24" spans="1:20" ht="16.5" customHeight="1">
      <c r="A24" t="s">
        <v>64</v>
      </c>
      <c r="B24" s="10" t="s">
        <v>1610</v>
      </c>
      <c r="C24" s="12"/>
      <c r="D24" s="13">
        <v>45810</v>
      </c>
      <c r="E24" s="155" t="s">
        <v>2633</v>
      </c>
      <c r="F24" s="155" t="s">
        <v>2632</v>
      </c>
      <c r="G24" s="157" t="s">
        <v>98</v>
      </c>
      <c r="H24" s="156" t="s">
        <v>143</v>
      </c>
      <c r="I24" s="69" t="s">
        <v>2302</v>
      </c>
      <c r="J24" s="122">
        <v>1</v>
      </c>
      <c r="K24" s="15">
        <v>74124</v>
      </c>
      <c r="L24" s="16">
        <f t="shared" si="0"/>
        <v>74124</v>
      </c>
      <c r="M24" s="16">
        <v>7412</v>
      </c>
      <c r="N24" s="15">
        <f t="shared" si="1"/>
        <v>81536</v>
      </c>
      <c r="O24" s="5" t="s">
        <v>2578</v>
      </c>
      <c r="P24" s="9" t="s">
        <v>2636</v>
      </c>
      <c r="Q24" s="5">
        <v>45833</v>
      </c>
      <c r="R24" s="209"/>
    </row>
    <row r="25" spans="1:20" ht="16.5" customHeight="1">
      <c r="A25" t="s">
        <v>64</v>
      </c>
      <c r="B25" s="141" t="s">
        <v>169</v>
      </c>
      <c r="C25" s="142"/>
      <c r="D25" s="13">
        <v>45810</v>
      </c>
      <c r="E25" s="155" t="s">
        <v>2633</v>
      </c>
      <c r="F25" s="155" t="s">
        <v>114</v>
      </c>
      <c r="G25" s="156" t="s">
        <v>7</v>
      </c>
      <c r="H25" s="156" t="s">
        <v>143</v>
      </c>
      <c r="I25" s="69" t="s">
        <v>2291</v>
      </c>
      <c r="J25" s="122">
        <v>1</v>
      </c>
      <c r="K25" s="15">
        <v>159761</v>
      </c>
      <c r="L25" s="15">
        <f t="shared" si="0"/>
        <v>159761</v>
      </c>
      <c r="M25" s="15">
        <v>15976</v>
      </c>
      <c r="N25" s="15">
        <f t="shared" si="1"/>
        <v>175737</v>
      </c>
      <c r="O25" s="5" t="s">
        <v>2578</v>
      </c>
      <c r="P25" s="9" t="s">
        <v>2636</v>
      </c>
      <c r="Q25" s="5">
        <v>45838</v>
      </c>
      <c r="R25" s="209"/>
      <c r="S25" s="7"/>
      <c r="T25" s="7"/>
    </row>
    <row r="26" spans="1:20" ht="16.5" customHeight="1">
      <c r="A26" t="s">
        <v>64</v>
      </c>
      <c r="B26" s="10" t="s">
        <v>298</v>
      </c>
      <c r="C26" s="12"/>
      <c r="D26" s="13">
        <v>45810</v>
      </c>
      <c r="E26" s="155" t="s">
        <v>2633</v>
      </c>
      <c r="F26" s="155" t="s">
        <v>114</v>
      </c>
      <c r="G26" s="157" t="s">
        <v>98</v>
      </c>
      <c r="H26" s="156" t="s">
        <v>143</v>
      </c>
      <c r="I26" s="69" t="s">
        <v>2292</v>
      </c>
      <c r="J26" s="122">
        <v>1</v>
      </c>
      <c r="K26" s="15">
        <v>70422</v>
      </c>
      <c r="L26" s="16">
        <f t="shared" si="0"/>
        <v>70422</v>
      </c>
      <c r="M26" s="15">
        <v>7042</v>
      </c>
      <c r="N26" s="15">
        <f t="shared" si="1"/>
        <v>77464</v>
      </c>
      <c r="O26" s="5" t="s">
        <v>2578</v>
      </c>
      <c r="P26" s="174" t="s">
        <v>2636</v>
      </c>
      <c r="Q26" s="5">
        <v>45716</v>
      </c>
      <c r="R26" s="209" t="s">
        <v>100</v>
      </c>
    </row>
    <row r="27" spans="1:20" ht="16.5" customHeight="1">
      <c r="A27" t="s">
        <v>64</v>
      </c>
      <c r="B27" s="10" t="s">
        <v>369</v>
      </c>
      <c r="C27" s="12"/>
      <c r="D27" s="13">
        <v>45810</v>
      </c>
      <c r="E27" s="155" t="s">
        <v>2633</v>
      </c>
      <c r="F27" s="155" t="s">
        <v>365</v>
      </c>
      <c r="G27" s="157" t="s">
        <v>98</v>
      </c>
      <c r="H27" s="156" t="s">
        <v>143</v>
      </c>
      <c r="I27" s="69" t="s">
        <v>2293</v>
      </c>
      <c r="J27" s="122">
        <v>1</v>
      </c>
      <c r="K27" s="15">
        <v>316682</v>
      </c>
      <c r="L27" s="16">
        <f t="shared" si="0"/>
        <v>316682</v>
      </c>
      <c r="M27" s="15">
        <v>31668</v>
      </c>
      <c r="N27" s="15">
        <f t="shared" si="1"/>
        <v>348350</v>
      </c>
      <c r="O27" s="5" t="s">
        <v>2578</v>
      </c>
      <c r="P27" s="9" t="s">
        <v>2636</v>
      </c>
      <c r="Q27" s="5">
        <v>45809</v>
      </c>
      <c r="R27" s="209"/>
    </row>
    <row r="28" spans="1:20" ht="16.5" customHeight="1">
      <c r="A28" t="s">
        <v>64</v>
      </c>
      <c r="B28" s="140" t="s">
        <v>367</v>
      </c>
      <c r="C28" s="12"/>
      <c r="D28" s="13">
        <v>45810</v>
      </c>
      <c r="E28" s="155" t="s">
        <v>2633</v>
      </c>
      <c r="F28" s="155" t="s">
        <v>368</v>
      </c>
      <c r="G28" s="157" t="s">
        <v>98</v>
      </c>
      <c r="H28" s="156" t="s">
        <v>143</v>
      </c>
      <c r="I28" s="69" t="s">
        <v>2294</v>
      </c>
      <c r="J28" s="122">
        <v>1</v>
      </c>
      <c r="K28" s="15">
        <v>190849</v>
      </c>
      <c r="L28" s="16">
        <f t="shared" si="0"/>
        <v>190849</v>
      </c>
      <c r="M28" s="15">
        <v>19084</v>
      </c>
      <c r="N28" s="15">
        <f t="shared" si="1"/>
        <v>209933</v>
      </c>
      <c r="O28" s="5" t="s">
        <v>2578</v>
      </c>
      <c r="P28" s="177" t="s">
        <v>2636</v>
      </c>
      <c r="Q28" s="5">
        <v>45838</v>
      </c>
      <c r="R28" s="209"/>
    </row>
    <row r="29" spans="1:20" ht="16.5" customHeight="1">
      <c r="A29" t="s">
        <v>64</v>
      </c>
      <c r="B29" s="10" t="s">
        <v>415</v>
      </c>
      <c r="C29" s="12"/>
      <c r="D29" s="13">
        <v>45810</v>
      </c>
      <c r="E29" s="155" t="s">
        <v>2633</v>
      </c>
      <c r="F29" s="155" t="s">
        <v>99</v>
      </c>
      <c r="G29" s="157" t="s">
        <v>98</v>
      </c>
      <c r="H29" s="156" t="s">
        <v>143</v>
      </c>
      <c r="I29" s="69" t="s">
        <v>2295</v>
      </c>
      <c r="J29" s="122">
        <v>1</v>
      </c>
      <c r="K29" s="15">
        <v>691782</v>
      </c>
      <c r="L29" s="16">
        <f t="shared" si="0"/>
        <v>691782</v>
      </c>
      <c r="M29" s="16">
        <v>69178</v>
      </c>
      <c r="N29" s="15">
        <f t="shared" si="1"/>
        <v>760960</v>
      </c>
      <c r="O29" s="5" t="s">
        <v>2578</v>
      </c>
      <c r="P29" s="9" t="s">
        <v>2636</v>
      </c>
      <c r="Q29" s="5">
        <v>45843</v>
      </c>
      <c r="R29" s="209"/>
    </row>
    <row r="30" spans="1:20" ht="16.5" customHeight="1">
      <c r="A30" t="s">
        <v>64</v>
      </c>
      <c r="B30" s="10" t="s">
        <v>413</v>
      </c>
      <c r="C30" s="12"/>
      <c r="D30" s="13">
        <v>45810</v>
      </c>
      <c r="E30" s="155" t="s">
        <v>2633</v>
      </c>
      <c r="F30" s="155" t="s">
        <v>101</v>
      </c>
      <c r="G30" s="157" t="s">
        <v>98</v>
      </c>
      <c r="H30" s="156" t="s">
        <v>143</v>
      </c>
      <c r="I30" s="69" t="s">
        <v>2296</v>
      </c>
      <c r="J30" s="122">
        <v>1</v>
      </c>
      <c r="K30" s="15">
        <v>95200</v>
      </c>
      <c r="L30" s="16">
        <f t="shared" si="0"/>
        <v>95200</v>
      </c>
      <c r="M30" s="16">
        <f>L30*10%</f>
        <v>9520</v>
      </c>
      <c r="N30" s="15">
        <f t="shared" si="1"/>
        <v>104720</v>
      </c>
      <c r="O30" s="5" t="s">
        <v>2578</v>
      </c>
      <c r="P30" s="9" t="s">
        <v>2636</v>
      </c>
      <c r="Q30" s="5">
        <v>45807</v>
      </c>
      <c r="R30" s="209" t="s">
        <v>147</v>
      </c>
    </row>
    <row r="31" spans="1:20" ht="16.5" customHeight="1">
      <c r="A31" t="s">
        <v>64</v>
      </c>
      <c r="B31" s="10" t="s">
        <v>373</v>
      </c>
      <c r="C31" s="139"/>
      <c r="D31" s="13">
        <v>45810</v>
      </c>
      <c r="E31" s="155" t="s">
        <v>2633</v>
      </c>
      <c r="F31" s="155" t="s">
        <v>374</v>
      </c>
      <c r="G31" s="157" t="s">
        <v>98</v>
      </c>
      <c r="H31" s="156" t="s">
        <v>143</v>
      </c>
      <c r="I31" s="69" t="s">
        <v>2297</v>
      </c>
      <c r="J31" s="122">
        <v>1</v>
      </c>
      <c r="K31" s="15">
        <v>142800</v>
      </c>
      <c r="L31" s="16">
        <f t="shared" si="0"/>
        <v>142800</v>
      </c>
      <c r="M31" s="15">
        <f>L31*10%</f>
        <v>14280</v>
      </c>
      <c r="N31" s="15">
        <f t="shared" si="1"/>
        <v>157080</v>
      </c>
      <c r="O31" s="5" t="s">
        <v>2578</v>
      </c>
      <c r="P31" s="174" t="s">
        <v>2636</v>
      </c>
      <c r="Q31" s="5">
        <v>45833</v>
      </c>
      <c r="R31" s="209"/>
    </row>
    <row r="32" spans="1:20" ht="16.5" customHeight="1">
      <c r="A32" t="s">
        <v>64</v>
      </c>
      <c r="B32" s="10" t="s">
        <v>146</v>
      </c>
      <c r="C32" s="12"/>
      <c r="D32" s="13">
        <v>45810</v>
      </c>
      <c r="E32" s="155" t="s">
        <v>2633</v>
      </c>
      <c r="F32" s="155" t="s">
        <v>114</v>
      </c>
      <c r="G32" s="157" t="s">
        <v>98</v>
      </c>
      <c r="H32" s="156" t="s">
        <v>143</v>
      </c>
      <c r="I32" s="69" t="s">
        <v>2298</v>
      </c>
      <c r="J32" s="122">
        <v>1</v>
      </c>
      <c r="K32" s="15">
        <v>309047</v>
      </c>
      <c r="L32" s="16">
        <f t="shared" si="0"/>
        <v>309047</v>
      </c>
      <c r="M32" s="15">
        <v>30904</v>
      </c>
      <c r="N32" s="15">
        <f t="shared" si="1"/>
        <v>339951</v>
      </c>
      <c r="O32" s="5" t="s">
        <v>2578</v>
      </c>
      <c r="P32" s="9" t="s">
        <v>2636</v>
      </c>
      <c r="Q32" s="5">
        <v>45748</v>
      </c>
      <c r="R32" s="209" t="s">
        <v>147</v>
      </c>
    </row>
    <row r="33" spans="1:19" ht="16.5" customHeight="1">
      <c r="A33" t="s">
        <v>64</v>
      </c>
      <c r="B33" s="10" t="s">
        <v>487</v>
      </c>
      <c r="C33" s="12"/>
      <c r="D33" s="13">
        <v>45810</v>
      </c>
      <c r="E33" s="155" t="s">
        <v>2633</v>
      </c>
      <c r="F33" s="155" t="s">
        <v>488</v>
      </c>
      <c r="G33" s="156" t="s">
        <v>98</v>
      </c>
      <c r="H33" s="156" t="s">
        <v>143</v>
      </c>
      <c r="I33" s="69" t="s">
        <v>2300</v>
      </c>
      <c r="J33" s="122">
        <v>1</v>
      </c>
      <c r="K33" s="15">
        <v>145780</v>
      </c>
      <c r="L33" s="16">
        <f t="shared" si="0"/>
        <v>145780</v>
      </c>
      <c r="M33" s="16">
        <v>14578</v>
      </c>
      <c r="N33" s="15">
        <f t="shared" si="1"/>
        <v>160358</v>
      </c>
      <c r="O33" s="5" t="s">
        <v>2578</v>
      </c>
      <c r="P33" s="9" t="s">
        <v>2636</v>
      </c>
      <c r="Q33" s="5">
        <v>45809</v>
      </c>
      <c r="R33" s="209"/>
    </row>
    <row r="34" spans="1:19" ht="16.5" customHeight="1">
      <c r="A34" t="s">
        <v>64</v>
      </c>
      <c r="B34" s="141" t="s">
        <v>163</v>
      </c>
      <c r="C34" s="12"/>
      <c r="D34" s="13">
        <v>45810</v>
      </c>
      <c r="E34" s="155" t="s">
        <v>2633</v>
      </c>
      <c r="F34" s="155" t="s">
        <v>114</v>
      </c>
      <c r="G34" s="156" t="s">
        <v>7</v>
      </c>
      <c r="H34" s="156" t="s">
        <v>143</v>
      </c>
      <c r="I34" s="69" t="s">
        <v>2301</v>
      </c>
      <c r="J34" s="122">
        <v>1</v>
      </c>
      <c r="K34" s="15">
        <v>212293</v>
      </c>
      <c r="L34" s="15">
        <f t="shared" si="0"/>
        <v>212293</v>
      </c>
      <c r="M34" s="15">
        <v>21229</v>
      </c>
      <c r="N34" s="15">
        <f t="shared" si="1"/>
        <v>233522</v>
      </c>
      <c r="O34" s="5" t="s">
        <v>2578</v>
      </c>
      <c r="P34" s="9" t="s">
        <v>2636</v>
      </c>
      <c r="Q34" s="5">
        <v>45838</v>
      </c>
      <c r="R34" s="209"/>
    </row>
    <row r="35" spans="1:19" ht="16.5" customHeight="1">
      <c r="A35" t="s">
        <v>64</v>
      </c>
      <c r="B35" s="141" t="s">
        <v>144</v>
      </c>
      <c r="C35" s="142"/>
      <c r="D35" s="13">
        <v>45811</v>
      </c>
      <c r="E35" s="155" t="s">
        <v>303</v>
      </c>
      <c r="F35" s="155"/>
      <c r="G35" s="156" t="s">
        <v>30</v>
      </c>
      <c r="H35" s="156" t="s">
        <v>271</v>
      </c>
      <c r="I35" s="159" t="s">
        <v>304</v>
      </c>
      <c r="J35" s="124">
        <v>1</v>
      </c>
      <c r="K35" s="16">
        <v>14346</v>
      </c>
      <c r="L35" s="15">
        <f t="shared" si="0"/>
        <v>14346</v>
      </c>
      <c r="M35" s="15">
        <v>1434</v>
      </c>
      <c r="N35" s="15">
        <f t="shared" si="1"/>
        <v>15780</v>
      </c>
      <c r="O35" s="5" t="s">
        <v>2382</v>
      </c>
      <c r="P35" s="175" t="s">
        <v>2644</v>
      </c>
      <c r="Q35" s="68" t="s">
        <v>206</v>
      </c>
      <c r="R35" s="209"/>
      <c r="S35" s="7"/>
    </row>
    <row r="36" spans="1:19" ht="16.5" customHeight="1">
      <c r="A36" t="s">
        <v>64</v>
      </c>
      <c r="B36" s="10" t="s">
        <v>2563</v>
      </c>
      <c r="C36" s="139"/>
      <c r="D36" s="13">
        <v>45812</v>
      </c>
      <c r="E36" s="155" t="s">
        <v>2633</v>
      </c>
      <c r="F36" s="155" t="s">
        <v>97</v>
      </c>
      <c r="G36" s="156" t="s">
        <v>7</v>
      </c>
      <c r="H36" s="156" t="s">
        <v>143</v>
      </c>
      <c r="I36" s="69" t="s">
        <v>2275</v>
      </c>
      <c r="J36" s="122">
        <v>1</v>
      </c>
      <c r="K36" s="15">
        <v>449492</v>
      </c>
      <c r="L36" s="16">
        <f t="shared" si="0"/>
        <v>449492</v>
      </c>
      <c r="M36" s="15">
        <v>44949</v>
      </c>
      <c r="N36" s="15">
        <f t="shared" si="1"/>
        <v>494441</v>
      </c>
      <c r="O36" s="5" t="s">
        <v>2578</v>
      </c>
      <c r="P36" s="174" t="s">
        <v>2636</v>
      </c>
      <c r="Q36" s="5">
        <v>45809</v>
      </c>
      <c r="R36" s="209"/>
    </row>
    <row r="37" spans="1:19" ht="16.5" customHeight="1">
      <c r="A37" t="s">
        <v>64</v>
      </c>
      <c r="B37" s="10" t="s">
        <v>104</v>
      </c>
      <c r="C37" s="12"/>
      <c r="D37" s="13">
        <v>45813</v>
      </c>
      <c r="E37" s="155" t="s">
        <v>2632</v>
      </c>
      <c r="F37" s="155" t="s">
        <v>2230</v>
      </c>
      <c r="G37" s="156" t="s">
        <v>118</v>
      </c>
      <c r="H37" s="156" t="s">
        <v>2203</v>
      </c>
      <c r="I37" s="69" t="s">
        <v>2232</v>
      </c>
      <c r="J37" s="122">
        <v>1</v>
      </c>
      <c r="K37" s="15">
        <v>2940000</v>
      </c>
      <c r="L37" s="16">
        <f t="shared" si="0"/>
        <v>2940000</v>
      </c>
      <c r="M37" s="16">
        <f t="shared" ref="M37:M41" si="2">L37*10%</f>
        <v>294000</v>
      </c>
      <c r="N37" s="15">
        <f t="shared" si="1"/>
        <v>3234000</v>
      </c>
      <c r="O37" s="5" t="s">
        <v>2578</v>
      </c>
      <c r="P37" s="9" t="s">
        <v>2634</v>
      </c>
      <c r="Q37" s="5">
        <v>45813</v>
      </c>
      <c r="R37" s="213"/>
    </row>
    <row r="38" spans="1:19" ht="16.5" customHeight="1">
      <c r="A38" t="s">
        <v>64</v>
      </c>
      <c r="B38" s="10" t="s">
        <v>104</v>
      </c>
      <c r="C38" s="12"/>
      <c r="D38" s="13">
        <v>45813</v>
      </c>
      <c r="E38" s="155" t="s">
        <v>2632</v>
      </c>
      <c r="F38" s="155" t="s">
        <v>2231</v>
      </c>
      <c r="G38" s="156" t="s">
        <v>118</v>
      </c>
      <c r="H38" s="156" t="s">
        <v>2203</v>
      </c>
      <c r="I38" s="69" t="s">
        <v>2232</v>
      </c>
      <c r="J38" s="122">
        <v>1</v>
      </c>
      <c r="K38" s="15">
        <v>2940000</v>
      </c>
      <c r="L38" s="16">
        <f t="shared" si="0"/>
        <v>2940000</v>
      </c>
      <c r="M38" s="16">
        <f t="shared" si="2"/>
        <v>294000</v>
      </c>
      <c r="N38" s="15">
        <f t="shared" si="1"/>
        <v>3234000</v>
      </c>
      <c r="O38" s="5" t="s">
        <v>2578</v>
      </c>
      <c r="P38" s="9" t="s">
        <v>2634</v>
      </c>
      <c r="Q38" s="5">
        <v>45813</v>
      </c>
      <c r="R38" s="213"/>
    </row>
    <row r="39" spans="1:19" ht="16.5" customHeight="1">
      <c r="A39" t="s">
        <v>64</v>
      </c>
      <c r="B39" s="10" t="s">
        <v>416</v>
      </c>
      <c r="C39" s="12"/>
      <c r="D39" s="13">
        <v>45813</v>
      </c>
      <c r="E39" s="155" t="s">
        <v>2632</v>
      </c>
      <c r="F39" s="155" t="s">
        <v>2230</v>
      </c>
      <c r="G39" s="156" t="s">
        <v>98</v>
      </c>
      <c r="H39" s="156" t="s">
        <v>213</v>
      </c>
      <c r="I39" s="69" t="s">
        <v>2256</v>
      </c>
      <c r="J39" s="122">
        <v>1</v>
      </c>
      <c r="K39" s="15">
        <v>1060000</v>
      </c>
      <c r="L39" s="16">
        <f t="shared" si="0"/>
        <v>1060000</v>
      </c>
      <c r="M39" s="16">
        <f t="shared" si="2"/>
        <v>106000</v>
      </c>
      <c r="N39" s="15">
        <f t="shared" si="1"/>
        <v>1166000</v>
      </c>
      <c r="O39" s="5" t="s">
        <v>2578</v>
      </c>
      <c r="P39" s="9" t="s">
        <v>2634</v>
      </c>
      <c r="Q39" s="5">
        <v>45813</v>
      </c>
      <c r="R39" s="209"/>
    </row>
    <row r="40" spans="1:19" ht="16.5" customHeight="1">
      <c r="A40" t="s">
        <v>64</v>
      </c>
      <c r="B40" s="10" t="s">
        <v>2318</v>
      </c>
      <c r="C40" s="12"/>
      <c r="D40" s="13">
        <v>45817</v>
      </c>
      <c r="E40" s="155" t="s">
        <v>936</v>
      </c>
      <c r="F40" s="155" t="s">
        <v>1220</v>
      </c>
      <c r="G40" s="156" t="s">
        <v>41</v>
      </c>
      <c r="H40" s="156" t="s">
        <v>2321</v>
      </c>
      <c r="I40" s="69" t="s">
        <v>2322</v>
      </c>
      <c r="J40" s="122">
        <v>1</v>
      </c>
      <c r="K40" s="15">
        <v>200000</v>
      </c>
      <c r="L40" s="16">
        <f t="shared" si="0"/>
        <v>200000</v>
      </c>
      <c r="M40" s="16">
        <f t="shared" si="2"/>
        <v>20000</v>
      </c>
      <c r="N40" s="15">
        <f t="shared" si="1"/>
        <v>220000</v>
      </c>
      <c r="O40" s="5" t="s">
        <v>2590</v>
      </c>
      <c r="P40" s="9" t="s">
        <v>2636</v>
      </c>
      <c r="Q40" s="5">
        <v>45821</v>
      </c>
      <c r="R40" s="213"/>
    </row>
    <row r="41" spans="1:19" ht="16.5" customHeight="1">
      <c r="A41" t="s">
        <v>64</v>
      </c>
      <c r="B41" s="10" t="s">
        <v>2319</v>
      </c>
      <c r="C41" s="12"/>
      <c r="D41" s="13">
        <v>45817</v>
      </c>
      <c r="E41" s="155" t="s">
        <v>936</v>
      </c>
      <c r="F41" s="155" t="s">
        <v>661</v>
      </c>
      <c r="G41" s="156" t="s">
        <v>41</v>
      </c>
      <c r="H41" s="156" t="s">
        <v>2323</v>
      </c>
      <c r="I41" s="69" t="s">
        <v>2324</v>
      </c>
      <c r="J41" s="122">
        <v>1</v>
      </c>
      <c r="K41" s="15">
        <v>130000</v>
      </c>
      <c r="L41" s="16">
        <f t="shared" si="0"/>
        <v>130000</v>
      </c>
      <c r="M41" s="16">
        <f t="shared" si="2"/>
        <v>13000</v>
      </c>
      <c r="N41" s="15">
        <f t="shared" si="1"/>
        <v>143000</v>
      </c>
      <c r="O41" s="5" t="s">
        <v>2590</v>
      </c>
      <c r="P41" s="9" t="s">
        <v>2636</v>
      </c>
      <c r="Q41" s="5">
        <v>45838</v>
      </c>
      <c r="R41" s="213"/>
    </row>
    <row r="42" spans="1:19" ht="16.5" customHeight="1">
      <c r="A42" t="s">
        <v>64</v>
      </c>
      <c r="B42" s="10" t="s">
        <v>419</v>
      </c>
      <c r="C42" s="12"/>
      <c r="D42" s="13">
        <v>45818</v>
      </c>
      <c r="E42" s="155" t="s">
        <v>164</v>
      </c>
      <c r="F42" s="155" t="s">
        <v>420</v>
      </c>
      <c r="G42" s="156" t="s">
        <v>98</v>
      </c>
      <c r="H42" s="156" t="s">
        <v>213</v>
      </c>
      <c r="I42" s="69" t="s">
        <v>401</v>
      </c>
      <c r="J42" s="122">
        <v>1</v>
      </c>
      <c r="K42" s="15">
        <v>213400</v>
      </c>
      <c r="L42" s="16">
        <f t="shared" si="0"/>
        <v>213400</v>
      </c>
      <c r="M42" s="16">
        <v>21340</v>
      </c>
      <c r="N42" s="15">
        <f t="shared" si="1"/>
        <v>234740</v>
      </c>
      <c r="O42" s="5" t="s">
        <v>2303</v>
      </c>
      <c r="P42" s="9" t="s">
        <v>2634</v>
      </c>
      <c r="Q42" s="5">
        <v>45809</v>
      </c>
      <c r="R42" s="209"/>
    </row>
    <row r="43" spans="1:19" ht="16.5" customHeight="1">
      <c r="A43" t="s">
        <v>64</v>
      </c>
      <c r="B43" s="10" t="s">
        <v>418</v>
      </c>
      <c r="C43" s="12"/>
      <c r="D43" s="13">
        <v>45818</v>
      </c>
      <c r="E43" s="155" t="s">
        <v>164</v>
      </c>
      <c r="F43" s="155" t="s">
        <v>421</v>
      </c>
      <c r="G43" s="156" t="s">
        <v>98</v>
      </c>
      <c r="H43" s="156" t="s">
        <v>213</v>
      </c>
      <c r="I43" s="69" t="s">
        <v>402</v>
      </c>
      <c r="J43" s="122">
        <v>1</v>
      </c>
      <c r="K43" s="15">
        <v>77600</v>
      </c>
      <c r="L43" s="16">
        <f t="shared" si="0"/>
        <v>77600</v>
      </c>
      <c r="M43" s="16">
        <v>7760</v>
      </c>
      <c r="N43" s="15">
        <f t="shared" si="1"/>
        <v>85360</v>
      </c>
      <c r="O43" s="5" t="s">
        <v>2303</v>
      </c>
      <c r="P43" s="9" t="s">
        <v>2634</v>
      </c>
      <c r="Q43" s="5">
        <v>45809</v>
      </c>
      <c r="R43" s="209"/>
    </row>
    <row r="44" spans="1:19" ht="16.5" customHeight="1">
      <c r="A44" t="s">
        <v>64</v>
      </c>
      <c r="B44" s="10" t="s">
        <v>419</v>
      </c>
      <c r="C44" s="12"/>
      <c r="D44" s="13">
        <v>45818</v>
      </c>
      <c r="E44" s="155" t="s">
        <v>164</v>
      </c>
      <c r="F44" s="155" t="s">
        <v>420</v>
      </c>
      <c r="G44" s="156" t="s">
        <v>98</v>
      </c>
      <c r="H44" s="156" t="s">
        <v>213</v>
      </c>
      <c r="I44" s="69" t="s">
        <v>402</v>
      </c>
      <c r="J44" s="122">
        <v>1</v>
      </c>
      <c r="K44" s="15">
        <v>155200</v>
      </c>
      <c r="L44" s="16">
        <f t="shared" si="0"/>
        <v>155200</v>
      </c>
      <c r="M44" s="16">
        <v>15520</v>
      </c>
      <c r="N44" s="15">
        <f t="shared" si="1"/>
        <v>170720</v>
      </c>
      <c r="O44" s="5" t="s">
        <v>2303</v>
      </c>
      <c r="P44" s="9" t="s">
        <v>2634</v>
      </c>
      <c r="Q44" s="5">
        <v>45809</v>
      </c>
      <c r="R44" s="209"/>
    </row>
    <row r="45" spans="1:19" ht="16.5" customHeight="1">
      <c r="A45" t="s">
        <v>64</v>
      </c>
      <c r="B45" s="10" t="s">
        <v>418</v>
      </c>
      <c r="C45" s="12"/>
      <c r="D45" s="13">
        <v>45818</v>
      </c>
      <c r="E45" s="155" t="s">
        <v>164</v>
      </c>
      <c r="F45" s="155" t="s">
        <v>421</v>
      </c>
      <c r="G45" s="156" t="s">
        <v>98</v>
      </c>
      <c r="H45" s="156" t="s">
        <v>213</v>
      </c>
      <c r="I45" s="69" t="s">
        <v>401</v>
      </c>
      <c r="J45" s="122">
        <v>1</v>
      </c>
      <c r="K45" s="15">
        <v>145500</v>
      </c>
      <c r="L45" s="16">
        <f t="shared" si="0"/>
        <v>145500</v>
      </c>
      <c r="M45" s="16">
        <v>14550</v>
      </c>
      <c r="N45" s="15">
        <f t="shared" si="1"/>
        <v>160050</v>
      </c>
      <c r="O45" s="5" t="s">
        <v>2303</v>
      </c>
      <c r="P45" s="9" t="s">
        <v>2634</v>
      </c>
      <c r="Q45" s="5">
        <v>45809</v>
      </c>
      <c r="R45" s="209"/>
    </row>
    <row r="46" spans="1:19" ht="16.5" customHeight="1">
      <c r="A46" t="s">
        <v>64</v>
      </c>
      <c r="B46" s="10" t="s">
        <v>2369</v>
      </c>
      <c r="C46" s="12"/>
      <c r="D46" s="13">
        <v>45818</v>
      </c>
      <c r="E46" s="155" t="s">
        <v>19</v>
      </c>
      <c r="F46" s="155" t="s">
        <v>2366</v>
      </c>
      <c r="G46" s="156" t="s">
        <v>118</v>
      </c>
      <c r="H46" s="156" t="s">
        <v>2367</v>
      </c>
      <c r="I46" s="69" t="s">
        <v>2368</v>
      </c>
      <c r="J46" s="122">
        <v>3</v>
      </c>
      <c r="K46" s="15">
        <v>150000</v>
      </c>
      <c r="L46" s="16">
        <f t="shared" si="0"/>
        <v>450000</v>
      </c>
      <c r="M46" s="16">
        <f t="shared" ref="M46:M52" si="3">L46*10%</f>
        <v>45000</v>
      </c>
      <c r="N46" s="15">
        <f t="shared" si="1"/>
        <v>495000</v>
      </c>
      <c r="O46" s="5" t="s">
        <v>2590</v>
      </c>
      <c r="P46" s="9" t="s">
        <v>2636</v>
      </c>
      <c r="Q46" s="5">
        <v>45838</v>
      </c>
      <c r="R46" s="209"/>
    </row>
    <row r="47" spans="1:19" ht="16.5" customHeight="1">
      <c r="A47" t="s">
        <v>64</v>
      </c>
      <c r="B47" s="10" t="s">
        <v>2320</v>
      </c>
      <c r="C47" s="12"/>
      <c r="D47" s="13">
        <v>45818</v>
      </c>
      <c r="E47" s="155" t="s">
        <v>936</v>
      </c>
      <c r="F47" s="155" t="s">
        <v>2326</v>
      </c>
      <c r="G47" s="156" t="s">
        <v>7</v>
      </c>
      <c r="H47" s="156" t="s">
        <v>949</v>
      </c>
      <c r="I47" s="69" t="s">
        <v>2325</v>
      </c>
      <c r="J47" s="122">
        <v>1</v>
      </c>
      <c r="K47" s="15">
        <v>120000</v>
      </c>
      <c r="L47" s="16">
        <f>J47*K47</f>
        <v>120000</v>
      </c>
      <c r="M47" s="16">
        <f>L47*10%</f>
        <v>12000</v>
      </c>
      <c r="N47" s="15">
        <f t="shared" si="1"/>
        <v>132000</v>
      </c>
      <c r="O47" s="5" t="s">
        <v>2590</v>
      </c>
      <c r="P47" s="9" t="s">
        <v>2636</v>
      </c>
      <c r="Q47" s="5" t="s">
        <v>7</v>
      </c>
      <c r="R47" s="213"/>
    </row>
    <row r="48" spans="1:19" ht="16.5" customHeight="1">
      <c r="A48" t="s">
        <v>64</v>
      </c>
      <c r="B48" s="10" t="s">
        <v>2333</v>
      </c>
      <c r="C48" s="12"/>
      <c r="D48" s="13">
        <v>45820</v>
      </c>
      <c r="E48" s="155" t="s">
        <v>26</v>
      </c>
      <c r="F48" s="155" t="s">
        <v>961</v>
      </c>
      <c r="G48" s="156" t="s">
        <v>41</v>
      </c>
      <c r="H48" s="156" t="s">
        <v>2336</v>
      </c>
      <c r="I48" s="69" t="s">
        <v>2337</v>
      </c>
      <c r="J48" s="122">
        <v>1</v>
      </c>
      <c r="K48" s="15">
        <v>1562727</v>
      </c>
      <c r="L48" s="16">
        <f t="shared" si="0"/>
        <v>1562727</v>
      </c>
      <c r="M48" s="16">
        <f t="shared" si="3"/>
        <v>156272.70000000001</v>
      </c>
      <c r="N48" s="15">
        <f t="shared" si="1"/>
        <v>1718999.7</v>
      </c>
      <c r="O48" s="5" t="s">
        <v>2338</v>
      </c>
      <c r="P48" s="9" t="s">
        <v>2635</v>
      </c>
      <c r="Q48" s="5">
        <v>45838</v>
      </c>
      <c r="R48" s="213"/>
    </row>
    <row r="49" spans="1:21" ht="16.5" customHeight="1">
      <c r="A49" t="s">
        <v>64</v>
      </c>
      <c r="B49" s="10" t="s">
        <v>2332</v>
      </c>
      <c r="C49" s="12"/>
      <c r="D49" s="13">
        <v>45821</v>
      </c>
      <c r="E49" s="155" t="s">
        <v>168</v>
      </c>
      <c r="F49" s="155" t="s">
        <v>961</v>
      </c>
      <c r="G49" s="156" t="s">
        <v>41</v>
      </c>
      <c r="H49" s="156" t="s">
        <v>2334</v>
      </c>
      <c r="I49" s="69" t="s">
        <v>2335</v>
      </c>
      <c r="J49" s="122">
        <v>6</v>
      </c>
      <c r="K49" s="15">
        <v>240000</v>
      </c>
      <c r="L49" s="16">
        <f t="shared" si="0"/>
        <v>1440000</v>
      </c>
      <c r="M49" s="16">
        <f t="shared" si="3"/>
        <v>144000</v>
      </c>
      <c r="N49" s="15">
        <f t="shared" si="1"/>
        <v>1584000</v>
      </c>
      <c r="O49" s="5" t="s">
        <v>2578</v>
      </c>
      <c r="P49" s="9" t="s">
        <v>2635</v>
      </c>
      <c r="Q49" s="5">
        <v>45838</v>
      </c>
      <c r="R49" s="209"/>
    </row>
    <row r="50" spans="1:21" ht="16.5" customHeight="1">
      <c r="A50" t="s">
        <v>64</v>
      </c>
      <c r="B50" s="10" t="s">
        <v>2354</v>
      </c>
      <c r="C50" s="12"/>
      <c r="D50" s="13">
        <v>45821</v>
      </c>
      <c r="E50" s="155" t="s">
        <v>33</v>
      </c>
      <c r="F50" s="155" t="s">
        <v>2632</v>
      </c>
      <c r="G50" s="156" t="s">
        <v>41</v>
      </c>
      <c r="H50" s="156" t="s">
        <v>2355</v>
      </c>
      <c r="I50" s="69" t="s">
        <v>2356</v>
      </c>
      <c r="J50" s="122">
        <v>1</v>
      </c>
      <c r="K50" s="15">
        <v>70000</v>
      </c>
      <c r="L50" s="16">
        <f t="shared" si="0"/>
        <v>70000</v>
      </c>
      <c r="M50" s="16">
        <f t="shared" si="3"/>
        <v>7000</v>
      </c>
      <c r="N50" s="15">
        <f t="shared" si="1"/>
        <v>77000</v>
      </c>
      <c r="O50" s="5" t="s">
        <v>2590</v>
      </c>
      <c r="P50" s="9" t="s">
        <v>2636</v>
      </c>
      <c r="Q50" s="5">
        <v>45827</v>
      </c>
      <c r="R50" s="213"/>
    </row>
    <row r="51" spans="1:21" ht="16.5" customHeight="1">
      <c r="A51" t="s">
        <v>64</v>
      </c>
      <c r="B51" s="143" t="s">
        <v>2525</v>
      </c>
      <c r="C51" s="144"/>
      <c r="D51" s="13">
        <v>45823</v>
      </c>
      <c r="E51" s="161" t="s">
        <v>19</v>
      </c>
      <c r="F51" s="155" t="s">
        <v>97</v>
      </c>
      <c r="G51" s="156" t="s">
        <v>7</v>
      </c>
      <c r="H51" s="156" t="s">
        <v>25</v>
      </c>
      <c r="I51" s="69" t="s">
        <v>2538</v>
      </c>
      <c r="J51" s="122">
        <v>1</v>
      </c>
      <c r="K51" s="15">
        <v>200000</v>
      </c>
      <c r="L51" s="15">
        <f t="shared" si="0"/>
        <v>200000</v>
      </c>
      <c r="M51" s="16">
        <f t="shared" si="3"/>
        <v>20000</v>
      </c>
      <c r="N51" s="15">
        <f t="shared" si="1"/>
        <v>220000</v>
      </c>
      <c r="O51" s="5" t="s">
        <v>2590</v>
      </c>
      <c r="P51" s="9" t="s">
        <v>2636</v>
      </c>
      <c r="Q51" s="5">
        <v>45809</v>
      </c>
      <c r="R51" s="210"/>
      <c r="S51" s="7"/>
      <c r="T51" s="7"/>
      <c r="U51" s="11"/>
    </row>
    <row r="52" spans="1:21" ht="16.5" customHeight="1">
      <c r="A52" t="s">
        <v>64</v>
      </c>
      <c r="B52" s="10" t="s">
        <v>2340</v>
      </c>
      <c r="C52" s="12"/>
      <c r="D52" s="13">
        <v>45824</v>
      </c>
      <c r="E52" s="155" t="s">
        <v>26</v>
      </c>
      <c r="F52" s="155" t="s">
        <v>94</v>
      </c>
      <c r="G52" s="156" t="s">
        <v>118</v>
      </c>
      <c r="H52" s="156" t="s">
        <v>357</v>
      </c>
      <c r="I52" s="69" t="s">
        <v>2341</v>
      </c>
      <c r="J52" s="122">
        <v>1</v>
      </c>
      <c r="K52" s="15">
        <v>445309</v>
      </c>
      <c r="L52" s="16">
        <f t="shared" si="0"/>
        <v>445309</v>
      </c>
      <c r="M52" s="16">
        <f t="shared" si="3"/>
        <v>44530.9</v>
      </c>
      <c r="N52" s="15">
        <f t="shared" si="1"/>
        <v>489839.9</v>
      </c>
      <c r="O52" s="5" t="s">
        <v>2342</v>
      </c>
      <c r="P52" s="9" t="s">
        <v>2635</v>
      </c>
      <c r="Q52" s="5">
        <v>45828</v>
      </c>
      <c r="R52" s="209"/>
    </row>
    <row r="53" spans="1:21" ht="16.5" customHeight="1">
      <c r="A53" t="s">
        <v>64</v>
      </c>
      <c r="B53" s="10" t="s">
        <v>2343</v>
      </c>
      <c r="C53" s="12"/>
      <c r="D53" s="13">
        <v>45824</v>
      </c>
      <c r="E53" s="155" t="s">
        <v>26</v>
      </c>
      <c r="F53" s="155" t="s">
        <v>327</v>
      </c>
      <c r="G53" s="156" t="s">
        <v>118</v>
      </c>
      <c r="H53" s="156" t="s">
        <v>643</v>
      </c>
      <c r="I53" s="69" t="s">
        <v>2349</v>
      </c>
      <c r="J53" s="122">
        <v>1</v>
      </c>
      <c r="K53" s="15">
        <v>4194264</v>
      </c>
      <c r="L53" s="16">
        <v>4194264</v>
      </c>
      <c r="M53" s="16">
        <v>419426</v>
      </c>
      <c r="N53" s="15">
        <f t="shared" si="1"/>
        <v>4613690</v>
      </c>
      <c r="O53" s="5" t="s">
        <v>2342</v>
      </c>
      <c r="P53" s="9" t="s">
        <v>2643</v>
      </c>
      <c r="Q53" s="5">
        <v>45853</v>
      </c>
      <c r="R53" s="209"/>
    </row>
    <row r="54" spans="1:21" ht="16.5" customHeight="1">
      <c r="A54" t="s">
        <v>64</v>
      </c>
      <c r="B54" s="10" t="s">
        <v>2430</v>
      </c>
      <c r="C54" s="12"/>
      <c r="D54" s="13">
        <v>45826</v>
      </c>
      <c r="E54" s="155" t="s">
        <v>33</v>
      </c>
      <c r="F54" s="155" t="s">
        <v>2427</v>
      </c>
      <c r="G54" s="156" t="s">
        <v>41</v>
      </c>
      <c r="H54" s="156" t="s">
        <v>2428</v>
      </c>
      <c r="I54" s="69" t="s">
        <v>2429</v>
      </c>
      <c r="J54" s="122">
        <v>1</v>
      </c>
      <c r="K54" s="15">
        <v>250000</v>
      </c>
      <c r="L54" s="16">
        <f t="shared" ref="L54:L63" si="4">J54*K54</f>
        <v>250000</v>
      </c>
      <c r="M54" s="16">
        <f>L54*10%</f>
        <v>25000</v>
      </c>
      <c r="N54" s="15">
        <f t="shared" si="1"/>
        <v>275000</v>
      </c>
      <c r="O54" s="5" t="s">
        <v>2590</v>
      </c>
      <c r="P54" s="9" t="s">
        <v>2636</v>
      </c>
      <c r="Q54" s="5">
        <v>45838</v>
      </c>
      <c r="R54" s="213"/>
    </row>
    <row r="55" spans="1:21" ht="16.5" customHeight="1">
      <c r="A55" t="s">
        <v>64</v>
      </c>
      <c r="B55" s="248" t="s">
        <v>2550</v>
      </c>
      <c r="C55" s="12"/>
      <c r="D55" s="13">
        <v>45826</v>
      </c>
      <c r="E55" s="155" t="s">
        <v>91</v>
      </c>
      <c r="F55" s="155" t="s">
        <v>961</v>
      </c>
      <c r="G55" s="156" t="s">
        <v>41</v>
      </c>
      <c r="H55" s="156" t="s">
        <v>635</v>
      </c>
      <c r="I55" s="69" t="s">
        <v>2551</v>
      </c>
      <c r="J55" s="122">
        <v>1</v>
      </c>
      <c r="K55" s="15">
        <v>2950000</v>
      </c>
      <c r="L55" s="16">
        <v>2950000</v>
      </c>
      <c r="M55" s="16">
        <f>L55*10%</f>
        <v>295000</v>
      </c>
      <c r="N55" s="15">
        <f t="shared" si="1"/>
        <v>3245000</v>
      </c>
      <c r="O55" s="5" t="s">
        <v>2580</v>
      </c>
      <c r="P55" s="9" t="s">
        <v>2636</v>
      </c>
      <c r="Q55" s="5">
        <v>45838</v>
      </c>
      <c r="R55" s="213"/>
    </row>
    <row r="56" spans="1:21" ht="16.5" customHeight="1">
      <c r="A56" t="s">
        <v>64</v>
      </c>
      <c r="B56" s="10" t="s">
        <v>2343</v>
      </c>
      <c r="C56" s="12"/>
      <c r="D56" s="13">
        <v>45827</v>
      </c>
      <c r="E56" s="155" t="s">
        <v>26</v>
      </c>
      <c r="F56" s="155" t="s">
        <v>327</v>
      </c>
      <c r="G56" s="156" t="s">
        <v>118</v>
      </c>
      <c r="H56" s="156" t="s">
        <v>643</v>
      </c>
      <c r="I56" s="69" t="s">
        <v>2364</v>
      </c>
      <c r="J56" s="122">
        <v>1</v>
      </c>
      <c r="K56" s="15">
        <f>124500/1.1</f>
        <v>113181.81818181818</v>
      </c>
      <c r="L56" s="16">
        <f t="shared" si="4"/>
        <v>113181.81818181818</v>
      </c>
      <c r="M56" s="16">
        <f>L56*10%</f>
        <v>11318.181818181818</v>
      </c>
      <c r="N56" s="15">
        <f t="shared" si="1"/>
        <v>124500</v>
      </c>
      <c r="O56" s="5" t="s">
        <v>2365</v>
      </c>
      <c r="P56" s="9" t="s">
        <v>2643</v>
      </c>
      <c r="Q56" s="5">
        <v>45853</v>
      </c>
      <c r="R56" s="209"/>
    </row>
    <row r="57" spans="1:21" ht="16.5" customHeight="1">
      <c r="A57" t="s">
        <v>64</v>
      </c>
      <c r="B57" s="10" t="s">
        <v>2419</v>
      </c>
      <c r="C57" s="12"/>
      <c r="D57" s="13">
        <v>45827</v>
      </c>
      <c r="E57" s="155" t="s">
        <v>33</v>
      </c>
      <c r="F57" s="155" t="s">
        <v>2420</v>
      </c>
      <c r="G57" s="156" t="s">
        <v>41</v>
      </c>
      <c r="H57" s="156" t="s">
        <v>2422</v>
      </c>
      <c r="I57" s="69" t="s">
        <v>2421</v>
      </c>
      <c r="J57" s="122">
        <v>1</v>
      </c>
      <c r="K57" s="15">
        <v>220000</v>
      </c>
      <c r="L57" s="16">
        <f t="shared" si="4"/>
        <v>220000</v>
      </c>
      <c r="M57" s="16">
        <f>L57*10%</f>
        <v>22000</v>
      </c>
      <c r="N57" s="15">
        <f t="shared" si="1"/>
        <v>242000</v>
      </c>
      <c r="O57" s="5" t="s">
        <v>2590</v>
      </c>
      <c r="P57" s="9" t="s">
        <v>2635</v>
      </c>
      <c r="Q57" s="5">
        <v>45835</v>
      </c>
      <c r="R57" s="213"/>
    </row>
    <row r="58" spans="1:21" ht="16.5" customHeight="1">
      <c r="A58" t="s">
        <v>64</v>
      </c>
      <c r="B58" s="10" t="s">
        <v>2431</v>
      </c>
      <c r="C58" s="12"/>
      <c r="D58" s="13">
        <v>45828</v>
      </c>
      <c r="E58" s="155" t="s">
        <v>33</v>
      </c>
      <c r="F58" s="155" t="s">
        <v>2366</v>
      </c>
      <c r="G58" s="156" t="s">
        <v>41</v>
      </c>
      <c r="H58" s="156" t="s">
        <v>2432</v>
      </c>
      <c r="I58" s="69" t="s">
        <v>2433</v>
      </c>
      <c r="J58" s="122">
        <v>1</v>
      </c>
      <c r="K58" s="15">
        <v>60000</v>
      </c>
      <c r="L58" s="16">
        <f t="shared" si="4"/>
        <v>60000</v>
      </c>
      <c r="M58" s="16">
        <f>L58*10%</f>
        <v>6000</v>
      </c>
      <c r="N58" s="15">
        <f t="shared" si="1"/>
        <v>66000</v>
      </c>
      <c r="O58" s="5" t="s">
        <v>2590</v>
      </c>
      <c r="P58" s="9" t="s">
        <v>2636</v>
      </c>
      <c r="Q58" s="5">
        <v>45838</v>
      </c>
      <c r="R58" s="213"/>
    </row>
    <row r="59" spans="1:21" ht="16.5" customHeight="1">
      <c r="A59" t="s">
        <v>64</v>
      </c>
      <c r="B59" s="10" t="s">
        <v>2362</v>
      </c>
      <c r="C59" s="12"/>
      <c r="D59" s="13">
        <v>45828</v>
      </c>
      <c r="E59" s="155" t="s">
        <v>26</v>
      </c>
      <c r="F59" s="155" t="s">
        <v>1385</v>
      </c>
      <c r="G59" s="156" t="s">
        <v>118</v>
      </c>
      <c r="H59" s="156" t="s">
        <v>643</v>
      </c>
      <c r="I59" s="69" t="s">
        <v>643</v>
      </c>
      <c r="J59" s="122">
        <v>1</v>
      </c>
      <c r="K59" s="15">
        <v>426282</v>
      </c>
      <c r="L59" s="16">
        <f t="shared" si="4"/>
        <v>426282</v>
      </c>
      <c r="M59" s="16">
        <v>42628</v>
      </c>
      <c r="N59" s="15">
        <f t="shared" si="1"/>
        <v>468910</v>
      </c>
      <c r="O59" s="5" t="s">
        <v>2363</v>
      </c>
      <c r="P59" s="9" t="s">
        <v>2635</v>
      </c>
      <c r="Q59" s="5">
        <v>45828</v>
      </c>
      <c r="R59" s="209"/>
    </row>
    <row r="60" spans="1:21" ht="16.5" customHeight="1">
      <c r="A60" t="s">
        <v>64</v>
      </c>
      <c r="B60" s="143" t="s">
        <v>210</v>
      </c>
      <c r="C60" s="144"/>
      <c r="D60" s="13">
        <v>45828</v>
      </c>
      <c r="E60" s="155" t="s">
        <v>211</v>
      </c>
      <c r="F60" s="155" t="s">
        <v>212</v>
      </c>
      <c r="G60" s="157" t="s">
        <v>98</v>
      </c>
      <c r="H60" s="157" t="s">
        <v>213</v>
      </c>
      <c r="I60" s="159" t="s">
        <v>2371</v>
      </c>
      <c r="J60" s="127">
        <v>1</v>
      </c>
      <c r="K60" s="15">
        <v>370000</v>
      </c>
      <c r="L60" s="16">
        <f t="shared" si="4"/>
        <v>370000</v>
      </c>
      <c r="M60" s="16">
        <f>L60*10%</f>
        <v>37000</v>
      </c>
      <c r="N60" s="15">
        <f t="shared" si="1"/>
        <v>407000</v>
      </c>
      <c r="O60" s="5" t="s">
        <v>2455</v>
      </c>
      <c r="P60" s="177" t="s">
        <v>2636</v>
      </c>
      <c r="Q60" s="5">
        <v>45828</v>
      </c>
      <c r="R60" s="211"/>
      <c r="S60" s="7"/>
      <c r="T60" s="11"/>
    </row>
    <row r="61" spans="1:21" ht="16.5" customHeight="1">
      <c r="A61" t="s">
        <v>64</v>
      </c>
      <c r="B61" s="10" t="s">
        <v>2331</v>
      </c>
      <c r="C61" s="12"/>
      <c r="D61" s="13">
        <v>45828</v>
      </c>
      <c r="E61" s="155" t="s">
        <v>211</v>
      </c>
      <c r="F61" s="155" t="s">
        <v>212</v>
      </c>
      <c r="G61" s="157" t="s">
        <v>41</v>
      </c>
      <c r="H61" s="157" t="s">
        <v>25</v>
      </c>
      <c r="I61" s="159" t="s">
        <v>2330</v>
      </c>
      <c r="J61" s="127">
        <v>1</v>
      </c>
      <c r="K61" s="15">
        <v>600000</v>
      </c>
      <c r="L61" s="16">
        <f t="shared" si="4"/>
        <v>600000</v>
      </c>
      <c r="M61" s="16">
        <f>L61*10%</f>
        <v>60000</v>
      </c>
      <c r="N61" s="15">
        <f t="shared" si="1"/>
        <v>660000</v>
      </c>
      <c r="O61" s="5" t="s">
        <v>2455</v>
      </c>
      <c r="P61" s="177" t="s">
        <v>2636</v>
      </c>
      <c r="Q61" s="5">
        <v>45828</v>
      </c>
      <c r="R61" s="211"/>
      <c r="S61" s="7"/>
      <c r="T61" s="11"/>
    </row>
    <row r="62" spans="1:21" ht="16.5" customHeight="1">
      <c r="A62" t="s">
        <v>64</v>
      </c>
      <c r="B62" s="10" t="s">
        <v>2381</v>
      </c>
      <c r="C62" s="12"/>
      <c r="D62" s="13">
        <v>45828</v>
      </c>
      <c r="E62" s="155" t="s">
        <v>166</v>
      </c>
      <c r="F62" s="155" t="s">
        <v>2374</v>
      </c>
      <c r="G62" s="157" t="s">
        <v>41</v>
      </c>
      <c r="H62" s="156" t="s">
        <v>25</v>
      </c>
      <c r="I62" s="69" t="s">
        <v>2330</v>
      </c>
      <c r="J62" s="122">
        <v>1</v>
      </c>
      <c r="K62" s="15">
        <v>300000</v>
      </c>
      <c r="L62" s="16">
        <f t="shared" si="4"/>
        <v>300000</v>
      </c>
      <c r="M62" s="16">
        <f>L62*10%</f>
        <v>30000</v>
      </c>
      <c r="N62" s="15">
        <f t="shared" si="1"/>
        <v>330000</v>
      </c>
      <c r="O62" s="5" t="s">
        <v>2578</v>
      </c>
      <c r="P62" s="9" t="s">
        <v>2636</v>
      </c>
      <c r="Q62" s="5">
        <v>45833</v>
      </c>
      <c r="R62" s="209"/>
    </row>
    <row r="63" spans="1:21" ht="24.75" customHeight="1">
      <c r="A63" t="s">
        <v>64</v>
      </c>
      <c r="B63" s="248" t="s">
        <v>2379</v>
      </c>
      <c r="C63" s="12"/>
      <c r="D63" s="13">
        <v>45831</v>
      </c>
      <c r="E63" s="155" t="s">
        <v>26</v>
      </c>
      <c r="F63" s="155" t="s">
        <v>32</v>
      </c>
      <c r="G63" s="156" t="s">
        <v>41</v>
      </c>
      <c r="H63" s="156" t="s">
        <v>574</v>
      </c>
      <c r="I63" s="69" t="s">
        <v>2380</v>
      </c>
      <c r="J63" s="122">
        <v>1</v>
      </c>
      <c r="K63" s="15">
        <v>17982</v>
      </c>
      <c r="L63" s="16">
        <f t="shared" si="4"/>
        <v>17982</v>
      </c>
      <c r="M63" s="16">
        <v>1798</v>
      </c>
      <c r="N63" s="15">
        <f t="shared" si="1"/>
        <v>19780</v>
      </c>
      <c r="O63" s="5" t="s">
        <v>2375</v>
      </c>
      <c r="P63" s="9" t="s">
        <v>2636</v>
      </c>
      <c r="Q63" s="5">
        <v>45838</v>
      </c>
      <c r="R63" s="209"/>
    </row>
    <row r="64" spans="1:21" ht="16.5" customHeight="1">
      <c r="A64" t="s">
        <v>64</v>
      </c>
      <c r="B64" s="10" t="s">
        <v>2434</v>
      </c>
      <c r="C64" s="12"/>
      <c r="D64" s="13">
        <v>45831</v>
      </c>
      <c r="E64" s="155" t="s">
        <v>33</v>
      </c>
      <c r="F64" s="155" t="s">
        <v>2454</v>
      </c>
      <c r="G64" s="156" t="s">
        <v>41</v>
      </c>
      <c r="H64" s="156" t="s">
        <v>357</v>
      </c>
      <c r="I64" s="69" t="s">
        <v>2439</v>
      </c>
      <c r="J64" s="122">
        <v>1</v>
      </c>
      <c r="K64" s="15">
        <v>150000</v>
      </c>
      <c r="L64" s="16">
        <v>690000</v>
      </c>
      <c r="M64" s="16">
        <f>L64*10%</f>
        <v>69000</v>
      </c>
      <c r="N64" s="15">
        <f t="shared" ref="N64" si="5">SUM(L64:M64)</f>
        <v>759000</v>
      </c>
      <c r="O64" s="5" t="s">
        <v>2590</v>
      </c>
      <c r="P64" s="9" t="s">
        <v>2636</v>
      </c>
      <c r="Q64" s="5">
        <v>45838</v>
      </c>
      <c r="R64" s="213"/>
    </row>
    <row r="65" spans="1:20" ht="16.5" customHeight="1">
      <c r="A65" t="s">
        <v>64</v>
      </c>
      <c r="B65" s="147" t="s">
        <v>2435</v>
      </c>
      <c r="C65" s="145"/>
      <c r="D65" s="65"/>
      <c r="E65" s="160" t="s">
        <v>33</v>
      </c>
      <c r="F65" s="160" t="s">
        <v>2454</v>
      </c>
      <c r="G65" s="156" t="s">
        <v>41</v>
      </c>
      <c r="H65" s="156" t="s">
        <v>1925</v>
      </c>
      <c r="I65" s="69" t="s">
        <v>2440</v>
      </c>
      <c r="J65" s="122">
        <v>1</v>
      </c>
      <c r="K65" s="15">
        <v>100000</v>
      </c>
      <c r="L65" s="125"/>
      <c r="M65" s="125"/>
      <c r="N65" s="126"/>
      <c r="O65" s="99"/>
      <c r="P65" s="176"/>
      <c r="Q65" s="99"/>
      <c r="R65" s="213"/>
    </row>
    <row r="66" spans="1:20" ht="16.5" customHeight="1">
      <c r="A66" t="s">
        <v>64</v>
      </c>
      <c r="B66" s="147" t="s">
        <v>2436</v>
      </c>
      <c r="C66" s="145"/>
      <c r="D66" s="65"/>
      <c r="E66" s="160" t="s">
        <v>33</v>
      </c>
      <c r="F66" s="160" t="s">
        <v>2454</v>
      </c>
      <c r="G66" s="156" t="s">
        <v>41</v>
      </c>
      <c r="H66" s="156" t="s">
        <v>2441</v>
      </c>
      <c r="I66" s="69" t="s">
        <v>2442</v>
      </c>
      <c r="J66" s="122">
        <v>1</v>
      </c>
      <c r="K66" s="15">
        <v>200000</v>
      </c>
      <c r="L66" s="125"/>
      <c r="M66" s="125"/>
      <c r="N66" s="126"/>
      <c r="O66" s="99"/>
      <c r="P66" s="176"/>
      <c r="Q66" s="99"/>
      <c r="R66" s="213"/>
    </row>
    <row r="67" spans="1:20" ht="16.5" customHeight="1">
      <c r="A67" t="s">
        <v>64</v>
      </c>
      <c r="B67" s="147" t="s">
        <v>2437</v>
      </c>
      <c r="C67" s="145"/>
      <c r="D67" s="65"/>
      <c r="E67" s="160" t="s">
        <v>33</v>
      </c>
      <c r="F67" s="160" t="s">
        <v>2454</v>
      </c>
      <c r="G67" s="156" t="s">
        <v>41</v>
      </c>
      <c r="H67" s="156" t="s">
        <v>2443</v>
      </c>
      <c r="I67" s="69" t="s">
        <v>2444</v>
      </c>
      <c r="J67" s="122">
        <v>1</v>
      </c>
      <c r="K67" s="15">
        <v>120000</v>
      </c>
      <c r="L67" s="125"/>
      <c r="M67" s="125"/>
      <c r="N67" s="126"/>
      <c r="O67" s="99"/>
      <c r="P67" s="176"/>
      <c r="Q67" s="99"/>
      <c r="R67" s="213"/>
    </row>
    <row r="68" spans="1:20" ht="16.5" customHeight="1">
      <c r="A68" t="s">
        <v>64</v>
      </c>
      <c r="B68" s="147" t="s">
        <v>2438</v>
      </c>
      <c r="C68" s="145"/>
      <c r="D68" s="65"/>
      <c r="E68" s="160" t="s">
        <v>33</v>
      </c>
      <c r="F68" s="160" t="s">
        <v>2454</v>
      </c>
      <c r="G68" s="156" t="s">
        <v>41</v>
      </c>
      <c r="H68" s="156" t="s">
        <v>2445</v>
      </c>
      <c r="I68" s="69" t="s">
        <v>2446</v>
      </c>
      <c r="J68" s="122">
        <v>1</v>
      </c>
      <c r="K68" s="15">
        <v>120000</v>
      </c>
      <c r="L68" s="125"/>
      <c r="M68" s="125"/>
      <c r="N68" s="126"/>
      <c r="O68" s="99"/>
      <c r="P68" s="176"/>
      <c r="Q68" s="99"/>
      <c r="R68" s="213"/>
    </row>
    <row r="69" spans="1:20" ht="16.5" customHeight="1">
      <c r="A69" t="s">
        <v>64</v>
      </c>
      <c r="B69" s="10" t="s">
        <v>2377</v>
      </c>
      <c r="C69" s="12"/>
      <c r="D69" s="13">
        <v>45832</v>
      </c>
      <c r="E69" s="155" t="s">
        <v>26</v>
      </c>
      <c r="F69" s="155" t="s">
        <v>32</v>
      </c>
      <c r="G69" s="156" t="s">
        <v>41</v>
      </c>
      <c r="H69" s="156" t="s">
        <v>574</v>
      </c>
      <c r="I69" s="69" t="s">
        <v>2378</v>
      </c>
      <c r="J69" s="122">
        <v>8</v>
      </c>
      <c r="K69" s="15">
        <f>82982/8</f>
        <v>10372.75</v>
      </c>
      <c r="L69" s="16">
        <v>82982</v>
      </c>
      <c r="M69" s="16">
        <v>8298</v>
      </c>
      <c r="N69" s="15">
        <f t="shared" ref="N69:N75" si="6">SUM(L69:M69)</f>
        <v>91280</v>
      </c>
      <c r="O69" s="5" t="s">
        <v>2376</v>
      </c>
      <c r="P69" s="9" t="s">
        <v>2636</v>
      </c>
      <c r="Q69" s="5">
        <v>45838</v>
      </c>
      <c r="R69" s="209"/>
    </row>
    <row r="70" spans="1:20" ht="16.5" customHeight="1">
      <c r="A70" t="s">
        <v>64</v>
      </c>
      <c r="B70" s="10" t="s">
        <v>2447</v>
      </c>
      <c r="C70" s="12"/>
      <c r="D70" s="13">
        <v>45833</v>
      </c>
      <c r="E70" s="155" t="s">
        <v>33</v>
      </c>
      <c r="F70" s="155" t="s">
        <v>1220</v>
      </c>
      <c r="G70" s="156" t="s">
        <v>41</v>
      </c>
      <c r="H70" s="156" t="s">
        <v>2449</v>
      </c>
      <c r="I70" s="69" t="s">
        <v>2450</v>
      </c>
      <c r="J70" s="122">
        <v>1</v>
      </c>
      <c r="K70" s="15">
        <v>400000</v>
      </c>
      <c r="L70" s="16">
        <f>J70*K70</f>
        <v>400000</v>
      </c>
      <c r="M70" s="16">
        <f>L70*10%</f>
        <v>40000</v>
      </c>
      <c r="N70" s="15">
        <f t="shared" si="6"/>
        <v>440000</v>
      </c>
      <c r="O70" s="5" t="s">
        <v>2590</v>
      </c>
      <c r="P70" s="9" t="s">
        <v>2636</v>
      </c>
      <c r="Q70" s="5">
        <v>45838</v>
      </c>
      <c r="R70" s="213"/>
    </row>
    <row r="71" spans="1:20" ht="16.5" customHeight="1">
      <c r="A71" t="s">
        <v>64</v>
      </c>
      <c r="B71" s="10" t="s">
        <v>144</v>
      </c>
      <c r="C71" s="12"/>
      <c r="D71" s="13">
        <v>45833</v>
      </c>
      <c r="E71" s="155" t="s">
        <v>115</v>
      </c>
      <c r="F71" s="155"/>
      <c r="G71" s="156" t="s">
        <v>30</v>
      </c>
      <c r="H71" s="157" t="s">
        <v>208</v>
      </c>
      <c r="I71" s="69" t="s">
        <v>2532</v>
      </c>
      <c r="J71" s="122">
        <v>1</v>
      </c>
      <c r="K71" s="15">
        <v>342614</v>
      </c>
      <c r="L71" s="16">
        <f>J71*K71</f>
        <v>342614</v>
      </c>
      <c r="M71" s="187">
        <v>34261</v>
      </c>
      <c r="N71" s="15">
        <f t="shared" si="6"/>
        <v>376875</v>
      </c>
      <c r="O71" s="5" t="s">
        <v>2382</v>
      </c>
      <c r="P71" s="177" t="s">
        <v>2644</v>
      </c>
      <c r="Q71" s="5" t="s">
        <v>144</v>
      </c>
      <c r="R71" s="209" t="s">
        <v>339</v>
      </c>
      <c r="S71" s="101"/>
      <c r="T71" s="11"/>
    </row>
    <row r="72" spans="1:20" ht="16.5" customHeight="1">
      <c r="A72" t="s">
        <v>64</v>
      </c>
      <c r="B72" s="10" t="s">
        <v>144</v>
      </c>
      <c r="C72" s="12"/>
      <c r="D72" s="13">
        <v>45833</v>
      </c>
      <c r="E72" s="155" t="s">
        <v>115</v>
      </c>
      <c r="F72" s="155"/>
      <c r="G72" s="156" t="s">
        <v>30</v>
      </c>
      <c r="H72" s="157" t="s">
        <v>208</v>
      </c>
      <c r="I72" s="69" t="s">
        <v>2533</v>
      </c>
      <c r="J72" s="122">
        <v>1</v>
      </c>
      <c r="K72" s="15">
        <v>234659</v>
      </c>
      <c r="L72" s="16">
        <f>J72*K72</f>
        <v>234659</v>
      </c>
      <c r="M72" s="187">
        <v>23466</v>
      </c>
      <c r="N72" s="15">
        <f t="shared" si="6"/>
        <v>258125</v>
      </c>
      <c r="O72" s="5" t="s">
        <v>262</v>
      </c>
      <c r="P72" s="177" t="s">
        <v>2644</v>
      </c>
      <c r="Q72" s="5" t="s">
        <v>144</v>
      </c>
      <c r="R72" s="209" t="s">
        <v>339</v>
      </c>
      <c r="S72" s="101"/>
      <c r="T72" s="11"/>
    </row>
    <row r="73" spans="1:20" ht="16.5" customHeight="1">
      <c r="A73" t="s">
        <v>64</v>
      </c>
      <c r="B73" s="10" t="s">
        <v>144</v>
      </c>
      <c r="C73" s="12"/>
      <c r="D73" s="13">
        <v>45833</v>
      </c>
      <c r="E73" s="155" t="s">
        <v>115</v>
      </c>
      <c r="F73" s="155"/>
      <c r="G73" s="156" t="s">
        <v>30</v>
      </c>
      <c r="H73" s="157" t="s">
        <v>208</v>
      </c>
      <c r="I73" s="69" t="s">
        <v>2534</v>
      </c>
      <c r="J73" s="122">
        <v>1</v>
      </c>
      <c r="K73" s="15">
        <v>488069</v>
      </c>
      <c r="L73" s="16">
        <f>J73*K73</f>
        <v>488069</v>
      </c>
      <c r="M73" s="187">
        <v>48806</v>
      </c>
      <c r="N73" s="15">
        <f t="shared" si="6"/>
        <v>536875</v>
      </c>
      <c r="O73" s="5" t="s">
        <v>2382</v>
      </c>
      <c r="P73" s="177" t="s">
        <v>2644</v>
      </c>
      <c r="Q73" s="5" t="s">
        <v>144</v>
      </c>
      <c r="R73" s="209" t="s">
        <v>339</v>
      </c>
      <c r="S73" s="101"/>
      <c r="T73" s="11"/>
    </row>
    <row r="74" spans="1:20" ht="16.5" customHeight="1">
      <c r="A74" t="s">
        <v>64</v>
      </c>
      <c r="B74" s="10" t="s">
        <v>144</v>
      </c>
      <c r="C74" s="12"/>
      <c r="D74" s="13">
        <v>45833</v>
      </c>
      <c r="E74" s="155" t="s">
        <v>115</v>
      </c>
      <c r="F74" s="155"/>
      <c r="G74" s="156" t="s">
        <v>30</v>
      </c>
      <c r="H74" s="157" t="s">
        <v>208</v>
      </c>
      <c r="I74" s="69" t="s">
        <v>2535</v>
      </c>
      <c r="J74" s="122">
        <v>1</v>
      </c>
      <c r="K74" s="15">
        <v>307386</v>
      </c>
      <c r="L74" s="16">
        <f>J74*K74</f>
        <v>307386</v>
      </c>
      <c r="M74" s="187">
        <v>30739</v>
      </c>
      <c r="N74" s="15">
        <f t="shared" si="6"/>
        <v>338125</v>
      </c>
      <c r="O74" s="5" t="s">
        <v>262</v>
      </c>
      <c r="P74" s="177" t="s">
        <v>2644</v>
      </c>
      <c r="Q74" s="5" t="s">
        <v>144</v>
      </c>
      <c r="R74" s="209" t="s">
        <v>339</v>
      </c>
      <c r="S74" s="101"/>
      <c r="T74" s="11"/>
    </row>
    <row r="75" spans="1:20" ht="16.5" customHeight="1">
      <c r="A75" t="s">
        <v>64</v>
      </c>
      <c r="B75" s="10" t="s">
        <v>144</v>
      </c>
      <c r="C75" s="12"/>
      <c r="D75" s="13">
        <v>45833</v>
      </c>
      <c r="E75" s="155" t="s">
        <v>149</v>
      </c>
      <c r="F75" s="155"/>
      <c r="G75" s="156" t="s">
        <v>30</v>
      </c>
      <c r="H75" s="157" t="s">
        <v>208</v>
      </c>
      <c r="I75" s="69" t="s">
        <v>2536</v>
      </c>
      <c r="J75" s="122">
        <v>1</v>
      </c>
      <c r="K75" s="15">
        <f>371000/1.1</f>
        <v>337272.72727272724</v>
      </c>
      <c r="L75" s="16">
        <v>437273</v>
      </c>
      <c r="M75" s="187">
        <v>43727</v>
      </c>
      <c r="N75" s="15">
        <f t="shared" si="6"/>
        <v>481000</v>
      </c>
      <c r="O75" s="5" t="s">
        <v>2382</v>
      </c>
      <c r="P75" s="177" t="s">
        <v>2644</v>
      </c>
      <c r="Q75" s="5" t="s">
        <v>144</v>
      </c>
      <c r="R75" s="209" t="s">
        <v>339</v>
      </c>
    </row>
    <row r="76" spans="1:20" ht="16.5" customHeight="1">
      <c r="A76" t="s">
        <v>64</v>
      </c>
      <c r="B76" s="10" t="s">
        <v>144</v>
      </c>
      <c r="C76" s="145"/>
      <c r="D76" s="65"/>
      <c r="E76" s="160" t="s">
        <v>149</v>
      </c>
      <c r="F76" s="160"/>
      <c r="G76" s="156" t="s">
        <v>30</v>
      </c>
      <c r="H76" s="157" t="s">
        <v>208</v>
      </c>
      <c r="I76" s="69" t="s">
        <v>2537</v>
      </c>
      <c r="J76" s="122">
        <v>1</v>
      </c>
      <c r="K76" s="15">
        <v>100000</v>
      </c>
      <c r="L76" s="125"/>
      <c r="M76" s="125"/>
      <c r="N76" s="126"/>
      <c r="O76" s="5" t="s">
        <v>263</v>
      </c>
      <c r="P76" s="9" t="s">
        <v>2644</v>
      </c>
      <c r="Q76" s="5" t="s">
        <v>144</v>
      </c>
      <c r="R76" s="209"/>
    </row>
    <row r="77" spans="1:20" ht="16.5" customHeight="1">
      <c r="A77" t="s">
        <v>64</v>
      </c>
      <c r="B77" s="10" t="s">
        <v>1713</v>
      </c>
      <c r="C77" s="12"/>
      <c r="D77" s="13">
        <v>45833</v>
      </c>
      <c r="E77" s="155" t="s">
        <v>1663</v>
      </c>
      <c r="F77" s="155" t="s">
        <v>1535</v>
      </c>
      <c r="G77" s="157" t="s">
        <v>98</v>
      </c>
      <c r="H77" s="157" t="s">
        <v>213</v>
      </c>
      <c r="I77" s="69" t="s">
        <v>2384</v>
      </c>
      <c r="J77" s="122">
        <v>1</v>
      </c>
      <c r="K77" s="15">
        <v>500000</v>
      </c>
      <c r="L77" s="16">
        <f t="shared" ref="L77:L87" si="7">J77*K77</f>
        <v>500000</v>
      </c>
      <c r="M77" s="16">
        <f>L77*10%</f>
        <v>50000</v>
      </c>
      <c r="N77" s="15">
        <f t="shared" ref="N77:N90" si="8">SUM(L77:M77)</f>
        <v>550000</v>
      </c>
      <c r="O77" s="5" t="s">
        <v>2590</v>
      </c>
      <c r="P77" s="9" t="s">
        <v>2636</v>
      </c>
      <c r="Q77" s="5">
        <v>45838</v>
      </c>
      <c r="R77" s="209"/>
    </row>
    <row r="78" spans="1:20" ht="16.5" customHeight="1">
      <c r="A78" t="s">
        <v>64</v>
      </c>
      <c r="B78" s="141" t="s">
        <v>2098</v>
      </c>
      <c r="C78" s="142"/>
      <c r="D78" s="13">
        <v>45833</v>
      </c>
      <c r="E78" s="155" t="s">
        <v>31</v>
      </c>
      <c r="F78" s="155" t="s">
        <v>1729</v>
      </c>
      <c r="G78" s="156" t="s">
        <v>7</v>
      </c>
      <c r="H78" s="156" t="s">
        <v>102</v>
      </c>
      <c r="I78" s="69" t="s">
        <v>2383</v>
      </c>
      <c r="J78" s="132">
        <v>1</v>
      </c>
      <c r="K78" s="16">
        <v>150000</v>
      </c>
      <c r="L78" s="16">
        <f t="shared" si="7"/>
        <v>150000</v>
      </c>
      <c r="M78" s="16">
        <f>L78*10%</f>
        <v>15000</v>
      </c>
      <c r="N78" s="15">
        <f t="shared" si="8"/>
        <v>165000</v>
      </c>
      <c r="O78" s="5" t="s">
        <v>2590</v>
      </c>
      <c r="P78" s="9" t="s">
        <v>2634</v>
      </c>
      <c r="Q78" s="5">
        <v>45828</v>
      </c>
      <c r="R78" s="212"/>
      <c r="S78" s="7"/>
      <c r="T78" s="11"/>
    </row>
    <row r="79" spans="1:20" ht="16.5" customHeight="1">
      <c r="A79" t="s">
        <v>64</v>
      </c>
      <c r="B79" s="10" t="s">
        <v>144</v>
      </c>
      <c r="C79" s="12"/>
      <c r="D79" s="13">
        <v>45833</v>
      </c>
      <c r="E79" s="155" t="s">
        <v>400</v>
      </c>
      <c r="F79" s="155"/>
      <c r="G79" s="156" t="s">
        <v>30</v>
      </c>
      <c r="H79" s="156" t="s">
        <v>145</v>
      </c>
      <c r="I79" s="69" t="s">
        <v>2386</v>
      </c>
      <c r="J79" s="122">
        <v>1</v>
      </c>
      <c r="K79" s="16">
        <v>160000</v>
      </c>
      <c r="L79" s="16">
        <f t="shared" si="7"/>
        <v>160000</v>
      </c>
      <c r="M79" s="123">
        <f>L79*10%</f>
        <v>16000</v>
      </c>
      <c r="N79" s="15">
        <f t="shared" si="8"/>
        <v>176000</v>
      </c>
      <c r="O79" s="5" t="s">
        <v>2455</v>
      </c>
      <c r="P79" s="177" t="s">
        <v>2644</v>
      </c>
      <c r="Q79" s="5" t="s">
        <v>144</v>
      </c>
      <c r="R79" s="209"/>
    </row>
    <row r="80" spans="1:20" ht="16.5" customHeight="1">
      <c r="A80" t="s">
        <v>64</v>
      </c>
      <c r="B80" s="141" t="s">
        <v>144</v>
      </c>
      <c r="C80" s="148"/>
      <c r="D80" s="13">
        <v>45833</v>
      </c>
      <c r="E80" s="155" t="s">
        <v>21</v>
      </c>
      <c r="F80" s="155"/>
      <c r="G80" s="156" t="s">
        <v>30</v>
      </c>
      <c r="H80" s="156" t="s">
        <v>265</v>
      </c>
      <c r="I80" s="69" t="s">
        <v>2642</v>
      </c>
      <c r="J80" s="124">
        <v>1</v>
      </c>
      <c r="K80" s="16">
        <v>272727</v>
      </c>
      <c r="L80" s="16">
        <f t="shared" si="7"/>
        <v>272727</v>
      </c>
      <c r="M80" s="189">
        <v>27273</v>
      </c>
      <c r="N80" s="15">
        <f t="shared" si="8"/>
        <v>300000</v>
      </c>
      <c r="O80" s="5" t="s">
        <v>2387</v>
      </c>
      <c r="P80" s="177" t="s">
        <v>2644</v>
      </c>
      <c r="Q80" s="68" t="s">
        <v>206</v>
      </c>
      <c r="R80" s="209" t="s">
        <v>339</v>
      </c>
      <c r="S80" s="7"/>
      <c r="T80" s="11"/>
    </row>
    <row r="81" spans="1:20" ht="16.5" customHeight="1">
      <c r="A81" t="s">
        <v>64</v>
      </c>
      <c r="B81" s="10" t="s">
        <v>2393</v>
      </c>
      <c r="C81" s="12"/>
      <c r="D81" s="13">
        <v>45833</v>
      </c>
      <c r="E81" s="155" t="s">
        <v>186</v>
      </c>
      <c r="F81" s="155" t="s">
        <v>327</v>
      </c>
      <c r="G81" s="156" t="s">
        <v>41</v>
      </c>
      <c r="H81" s="156" t="s">
        <v>2394</v>
      </c>
      <c r="I81" s="69" t="s">
        <v>2395</v>
      </c>
      <c r="J81" s="122">
        <v>1</v>
      </c>
      <c r="K81" s="15">
        <v>1970000</v>
      </c>
      <c r="L81" s="16">
        <f t="shared" si="7"/>
        <v>1970000</v>
      </c>
      <c r="M81" s="16">
        <f t="shared" ref="M81:M87" si="9">L81*10%</f>
        <v>197000</v>
      </c>
      <c r="N81" s="15">
        <f t="shared" si="8"/>
        <v>2167000</v>
      </c>
      <c r="O81" s="5" t="s">
        <v>2387</v>
      </c>
      <c r="P81" s="9" t="s">
        <v>2643</v>
      </c>
      <c r="Q81" s="5">
        <v>45838</v>
      </c>
      <c r="R81" s="209"/>
    </row>
    <row r="82" spans="1:20" ht="16.5" customHeight="1">
      <c r="A82" t="s">
        <v>64</v>
      </c>
      <c r="B82" s="10" t="s">
        <v>312</v>
      </c>
      <c r="C82" s="12"/>
      <c r="D82" s="13">
        <v>45833</v>
      </c>
      <c r="E82" s="155" t="s">
        <v>155</v>
      </c>
      <c r="F82" s="155" t="s">
        <v>264</v>
      </c>
      <c r="G82" s="157" t="s">
        <v>98</v>
      </c>
      <c r="H82" s="156" t="s">
        <v>102</v>
      </c>
      <c r="I82" s="69" t="s">
        <v>2388</v>
      </c>
      <c r="J82" s="122">
        <v>1</v>
      </c>
      <c r="K82" s="15">
        <v>200000</v>
      </c>
      <c r="L82" s="16">
        <f t="shared" si="7"/>
        <v>200000</v>
      </c>
      <c r="M82" s="16">
        <f t="shared" si="9"/>
        <v>20000</v>
      </c>
      <c r="N82" s="15">
        <f t="shared" si="8"/>
        <v>220000</v>
      </c>
      <c r="O82" s="5" t="s">
        <v>2578</v>
      </c>
      <c r="P82" s="9" t="s">
        <v>2634</v>
      </c>
      <c r="Q82" s="5">
        <v>45828</v>
      </c>
      <c r="R82" s="209"/>
      <c r="T82" s="11"/>
    </row>
    <row r="83" spans="1:20" ht="16.5" customHeight="1">
      <c r="A83" t="s">
        <v>64</v>
      </c>
      <c r="B83" s="10" t="s">
        <v>307</v>
      </c>
      <c r="C83" s="12"/>
      <c r="D83" s="13">
        <v>45833</v>
      </c>
      <c r="E83" s="155" t="s">
        <v>2631</v>
      </c>
      <c r="F83" s="155" t="s">
        <v>288</v>
      </c>
      <c r="G83" s="156" t="s">
        <v>7</v>
      </c>
      <c r="H83" s="156" t="s">
        <v>102</v>
      </c>
      <c r="I83" s="69" t="s">
        <v>2390</v>
      </c>
      <c r="J83" s="122">
        <v>1</v>
      </c>
      <c r="K83" s="15">
        <v>4950000</v>
      </c>
      <c r="L83" s="16">
        <f t="shared" si="7"/>
        <v>4950000</v>
      </c>
      <c r="M83" s="15">
        <f t="shared" si="9"/>
        <v>495000</v>
      </c>
      <c r="N83" s="15">
        <f t="shared" si="8"/>
        <v>5445000</v>
      </c>
      <c r="O83" s="5" t="s">
        <v>2594</v>
      </c>
      <c r="P83" s="174" t="s">
        <v>2636</v>
      </c>
      <c r="Q83" s="5">
        <v>45838</v>
      </c>
      <c r="R83" s="209"/>
    </row>
    <row r="84" spans="1:20" ht="16.5" customHeight="1">
      <c r="A84" t="s">
        <v>64</v>
      </c>
      <c r="B84" s="10" t="s">
        <v>2448</v>
      </c>
      <c r="C84" s="12"/>
      <c r="D84" s="13">
        <v>45834</v>
      </c>
      <c r="E84" s="155" t="s">
        <v>33</v>
      </c>
      <c r="F84" s="155" t="s">
        <v>2453</v>
      </c>
      <c r="G84" s="156" t="s">
        <v>41</v>
      </c>
      <c r="H84" s="156" t="s">
        <v>2451</v>
      </c>
      <c r="I84" s="69" t="s">
        <v>2452</v>
      </c>
      <c r="J84" s="122">
        <v>2</v>
      </c>
      <c r="K84" s="15">
        <v>100000</v>
      </c>
      <c r="L84" s="16">
        <f>J84*K84</f>
        <v>200000</v>
      </c>
      <c r="M84" s="16">
        <f t="shared" si="9"/>
        <v>20000</v>
      </c>
      <c r="N84" s="15">
        <f t="shared" si="8"/>
        <v>220000</v>
      </c>
      <c r="O84" s="5" t="s">
        <v>2590</v>
      </c>
      <c r="P84" s="9" t="s">
        <v>2636</v>
      </c>
      <c r="Q84" s="5">
        <v>45838</v>
      </c>
      <c r="R84" s="213"/>
    </row>
    <row r="85" spans="1:20" ht="16.5" customHeight="1">
      <c r="A85" t="s">
        <v>64</v>
      </c>
      <c r="B85" s="10" t="s">
        <v>2392</v>
      </c>
      <c r="C85" s="12"/>
      <c r="D85" s="13">
        <v>45834</v>
      </c>
      <c r="E85" s="155" t="s">
        <v>26</v>
      </c>
      <c r="F85" s="155" t="s">
        <v>1385</v>
      </c>
      <c r="G85" s="156" t="s">
        <v>41</v>
      </c>
      <c r="H85" s="156" t="s">
        <v>643</v>
      </c>
      <c r="I85" s="69" t="s">
        <v>643</v>
      </c>
      <c r="J85" s="122">
        <v>1</v>
      </c>
      <c r="K85" s="15">
        <v>2399818</v>
      </c>
      <c r="L85" s="16">
        <f t="shared" si="7"/>
        <v>2399818</v>
      </c>
      <c r="M85" s="16">
        <f t="shared" si="9"/>
        <v>239981.80000000002</v>
      </c>
      <c r="N85" s="15">
        <f t="shared" si="8"/>
        <v>2639799.7999999998</v>
      </c>
      <c r="O85" s="5" t="s">
        <v>2391</v>
      </c>
      <c r="P85" s="9" t="s">
        <v>2643</v>
      </c>
      <c r="Q85" s="5">
        <v>45835</v>
      </c>
      <c r="R85" s="209"/>
    </row>
    <row r="86" spans="1:20">
      <c r="A86" t="s">
        <v>64</v>
      </c>
      <c r="B86" s="10" t="s">
        <v>144</v>
      </c>
      <c r="C86" s="12"/>
      <c r="D86" s="13">
        <v>45834</v>
      </c>
      <c r="E86" s="155" t="s">
        <v>106</v>
      </c>
      <c r="F86" s="155"/>
      <c r="G86" s="156" t="s">
        <v>30</v>
      </c>
      <c r="H86" s="156" t="s">
        <v>282</v>
      </c>
      <c r="I86" s="69" t="s">
        <v>2400</v>
      </c>
      <c r="J86" s="122">
        <v>5</v>
      </c>
      <c r="K86" s="15">
        <v>6000</v>
      </c>
      <c r="L86" s="16">
        <f t="shared" si="7"/>
        <v>30000</v>
      </c>
      <c r="M86" s="15">
        <f t="shared" si="9"/>
        <v>3000</v>
      </c>
      <c r="N86" s="15">
        <f t="shared" si="8"/>
        <v>33000</v>
      </c>
      <c r="O86" s="5" t="s">
        <v>2561</v>
      </c>
      <c r="P86" s="9" t="s">
        <v>2644</v>
      </c>
      <c r="Q86" s="5" t="s">
        <v>144</v>
      </c>
      <c r="R86" s="209"/>
      <c r="T86" s="11"/>
    </row>
    <row r="87" spans="1:20" ht="16.5" customHeight="1">
      <c r="A87" t="s">
        <v>64</v>
      </c>
      <c r="B87" s="10" t="s">
        <v>2564</v>
      </c>
      <c r="C87" s="12"/>
      <c r="D87" s="13">
        <v>45835</v>
      </c>
      <c r="E87" s="155" t="s">
        <v>119</v>
      </c>
      <c r="F87" s="155" t="s">
        <v>105</v>
      </c>
      <c r="G87" s="157" t="s">
        <v>98</v>
      </c>
      <c r="H87" s="156" t="s">
        <v>311</v>
      </c>
      <c r="I87" s="69" t="s">
        <v>2575</v>
      </c>
      <c r="J87" s="122">
        <v>1</v>
      </c>
      <c r="K87" s="15">
        <v>1250000</v>
      </c>
      <c r="L87" s="16">
        <f t="shared" si="7"/>
        <v>1250000</v>
      </c>
      <c r="M87" s="16">
        <f t="shared" si="9"/>
        <v>125000</v>
      </c>
      <c r="N87" s="15">
        <f t="shared" si="8"/>
        <v>1375000</v>
      </c>
      <c r="O87" s="5" t="s">
        <v>2578</v>
      </c>
      <c r="P87" s="9" t="s">
        <v>2634</v>
      </c>
      <c r="Q87" s="5" t="s">
        <v>1232</v>
      </c>
      <c r="R87" s="213"/>
    </row>
    <row r="88" spans="1:20" ht="16.5" customHeight="1">
      <c r="A88" t="s">
        <v>64</v>
      </c>
      <c r="B88" s="141" t="s">
        <v>144</v>
      </c>
      <c r="C88" s="142"/>
      <c r="D88" s="13">
        <v>45838</v>
      </c>
      <c r="E88" s="155" t="s">
        <v>21</v>
      </c>
      <c r="F88" s="163"/>
      <c r="G88" s="156" t="s">
        <v>30</v>
      </c>
      <c r="H88" s="156" t="s">
        <v>35</v>
      </c>
      <c r="I88" s="69" t="s">
        <v>2006</v>
      </c>
      <c r="J88" s="124">
        <v>1</v>
      </c>
      <c r="K88" s="16">
        <v>397293</v>
      </c>
      <c r="L88" s="16">
        <v>394293</v>
      </c>
      <c r="M88" s="15">
        <v>39429</v>
      </c>
      <c r="N88" s="15">
        <f t="shared" si="8"/>
        <v>433722</v>
      </c>
      <c r="O88" s="5" t="s">
        <v>2561</v>
      </c>
      <c r="P88" s="175" t="s">
        <v>2644</v>
      </c>
      <c r="Q88" s="68" t="s">
        <v>206</v>
      </c>
      <c r="R88" s="212"/>
      <c r="S88" s="7"/>
    </row>
    <row r="89" spans="1:20" ht="16.5" customHeight="1">
      <c r="A89" t="s">
        <v>64</v>
      </c>
      <c r="B89" s="141" t="s">
        <v>144</v>
      </c>
      <c r="C89" s="142"/>
      <c r="D89" s="13">
        <v>45838</v>
      </c>
      <c r="E89" s="155" t="s">
        <v>21</v>
      </c>
      <c r="F89" s="155"/>
      <c r="G89" s="156" t="s">
        <v>30</v>
      </c>
      <c r="H89" s="156" t="s">
        <v>35</v>
      </c>
      <c r="I89" s="69" t="s">
        <v>2005</v>
      </c>
      <c r="J89" s="124">
        <v>1</v>
      </c>
      <c r="K89" s="16">
        <v>85316</v>
      </c>
      <c r="L89" s="16">
        <f>J89*K89</f>
        <v>85316</v>
      </c>
      <c r="M89" s="15" t="s">
        <v>144</v>
      </c>
      <c r="N89" s="15">
        <f t="shared" si="8"/>
        <v>85316</v>
      </c>
      <c r="O89" s="5" t="s">
        <v>2561</v>
      </c>
      <c r="P89" s="175" t="s">
        <v>2644</v>
      </c>
      <c r="Q89" s="68" t="s">
        <v>206</v>
      </c>
      <c r="R89" s="212" t="s">
        <v>274</v>
      </c>
      <c r="S89" s="7"/>
    </row>
    <row r="90" spans="1:20" ht="16.5" customHeight="1">
      <c r="A90" t="s">
        <v>64</v>
      </c>
      <c r="B90" s="10" t="s">
        <v>489</v>
      </c>
      <c r="C90" s="12"/>
      <c r="D90" s="13">
        <v>45838</v>
      </c>
      <c r="E90" s="155" t="s">
        <v>503</v>
      </c>
      <c r="F90" s="155" t="s">
        <v>424</v>
      </c>
      <c r="G90" s="157" t="s">
        <v>98</v>
      </c>
      <c r="H90" s="157" t="s">
        <v>1058</v>
      </c>
      <c r="I90" s="69" t="s">
        <v>2258</v>
      </c>
      <c r="J90" s="122">
        <v>1</v>
      </c>
      <c r="K90" s="15">
        <v>20600</v>
      </c>
      <c r="L90" s="16">
        <v>1837080</v>
      </c>
      <c r="M90" s="16">
        <f>L90*10%</f>
        <v>183708</v>
      </c>
      <c r="N90" s="15">
        <f t="shared" si="8"/>
        <v>2020788</v>
      </c>
      <c r="O90" s="5" t="s">
        <v>2578</v>
      </c>
      <c r="P90" s="9" t="s">
        <v>2636</v>
      </c>
      <c r="Q90" s="5">
        <v>45833</v>
      </c>
      <c r="R90" s="209"/>
    </row>
    <row r="91" spans="1:20" ht="16.5" customHeight="1">
      <c r="A91" t="s">
        <v>64</v>
      </c>
      <c r="B91" s="10" t="s">
        <v>490</v>
      </c>
      <c r="C91" s="145"/>
      <c r="D91" s="65"/>
      <c r="E91" s="160" t="s">
        <v>503</v>
      </c>
      <c r="F91" s="155" t="s">
        <v>2632</v>
      </c>
      <c r="G91" s="157" t="s">
        <v>98</v>
      </c>
      <c r="H91" s="157" t="s">
        <v>1058</v>
      </c>
      <c r="I91" s="69" t="s">
        <v>2259</v>
      </c>
      <c r="J91" s="122">
        <v>1</v>
      </c>
      <c r="K91" s="15">
        <v>70180</v>
      </c>
      <c r="L91" s="125"/>
      <c r="M91" s="125"/>
      <c r="N91" s="126"/>
      <c r="O91" s="99"/>
      <c r="P91" s="9" t="s">
        <v>2636</v>
      </c>
      <c r="Q91" s="5">
        <v>45833</v>
      </c>
      <c r="R91" s="209"/>
    </row>
    <row r="92" spans="1:20" ht="16.5" customHeight="1">
      <c r="A92" t="s">
        <v>64</v>
      </c>
      <c r="B92" s="10" t="s">
        <v>415</v>
      </c>
      <c r="C92" s="145"/>
      <c r="D92" s="65"/>
      <c r="E92" s="160" t="s">
        <v>503</v>
      </c>
      <c r="F92" s="155" t="s">
        <v>99</v>
      </c>
      <c r="G92" s="157" t="s">
        <v>98</v>
      </c>
      <c r="H92" s="157" t="s">
        <v>1058</v>
      </c>
      <c r="I92" s="69" t="s">
        <v>2260</v>
      </c>
      <c r="J92" s="122">
        <v>1</v>
      </c>
      <c r="K92" s="15">
        <v>352900</v>
      </c>
      <c r="L92" s="125"/>
      <c r="M92" s="125"/>
      <c r="N92" s="126"/>
      <c r="O92" s="99"/>
      <c r="P92" s="9" t="s">
        <v>2634</v>
      </c>
      <c r="Q92" s="5">
        <v>45843</v>
      </c>
      <c r="R92" s="209"/>
    </row>
    <row r="93" spans="1:20" ht="16.5" customHeight="1">
      <c r="A93" t="s">
        <v>64</v>
      </c>
      <c r="B93" s="10" t="s">
        <v>312</v>
      </c>
      <c r="C93" s="145"/>
      <c r="D93" s="65"/>
      <c r="E93" s="160" t="s">
        <v>503</v>
      </c>
      <c r="F93" s="155" t="s">
        <v>264</v>
      </c>
      <c r="G93" s="157" t="s">
        <v>98</v>
      </c>
      <c r="H93" s="157" t="s">
        <v>1058</v>
      </c>
      <c r="I93" s="69" t="s">
        <v>2261</v>
      </c>
      <c r="J93" s="122">
        <v>1</v>
      </c>
      <c r="K93" s="15">
        <v>80000</v>
      </c>
      <c r="L93" s="125"/>
      <c r="M93" s="125"/>
      <c r="N93" s="126"/>
      <c r="O93" s="99"/>
      <c r="P93" s="9" t="s">
        <v>2634</v>
      </c>
      <c r="Q93" s="5">
        <v>45828</v>
      </c>
      <c r="R93" s="213"/>
    </row>
    <row r="94" spans="1:20" ht="16.5" customHeight="1">
      <c r="A94" t="s">
        <v>64</v>
      </c>
      <c r="B94" s="10" t="s">
        <v>1253</v>
      </c>
      <c r="C94" s="145"/>
      <c r="D94" s="65"/>
      <c r="E94" s="160" t="s">
        <v>503</v>
      </c>
      <c r="F94" s="155" t="s">
        <v>1062</v>
      </c>
      <c r="G94" s="157" t="s">
        <v>98</v>
      </c>
      <c r="H94" s="157" t="s">
        <v>1058</v>
      </c>
      <c r="I94" s="69" t="s">
        <v>2262</v>
      </c>
      <c r="J94" s="122">
        <v>1</v>
      </c>
      <c r="K94" s="15">
        <v>66000</v>
      </c>
      <c r="L94" s="125"/>
      <c r="M94" s="125"/>
      <c r="N94" s="126"/>
      <c r="O94" s="99"/>
      <c r="P94" s="9" t="s">
        <v>2636</v>
      </c>
      <c r="Q94" s="5">
        <v>45838</v>
      </c>
      <c r="R94" s="213"/>
    </row>
    <row r="95" spans="1:20" ht="16.5" customHeight="1">
      <c r="A95" t="s">
        <v>64</v>
      </c>
      <c r="B95" s="10" t="s">
        <v>1053</v>
      </c>
      <c r="C95" s="145"/>
      <c r="D95" s="65"/>
      <c r="E95" s="160" t="s">
        <v>503</v>
      </c>
      <c r="F95" s="155" t="s">
        <v>987</v>
      </c>
      <c r="G95" s="157" t="s">
        <v>98</v>
      </c>
      <c r="H95" s="157" t="s">
        <v>1058</v>
      </c>
      <c r="I95" s="69" t="s">
        <v>2263</v>
      </c>
      <c r="J95" s="124">
        <v>1</v>
      </c>
      <c r="K95" s="15">
        <v>44000</v>
      </c>
      <c r="L95" s="125"/>
      <c r="M95" s="125"/>
      <c r="N95" s="126"/>
      <c r="O95" s="99"/>
      <c r="P95" s="9" t="s">
        <v>2635</v>
      </c>
      <c r="Q95" s="5">
        <v>45838</v>
      </c>
      <c r="R95" s="209"/>
    </row>
    <row r="96" spans="1:20" ht="16.5" customHeight="1">
      <c r="A96" t="s">
        <v>64</v>
      </c>
      <c r="B96" s="10" t="s">
        <v>1254</v>
      </c>
      <c r="C96" s="145"/>
      <c r="D96" s="65"/>
      <c r="E96" s="160" t="s">
        <v>503</v>
      </c>
      <c r="F96" s="155" t="s">
        <v>32</v>
      </c>
      <c r="G96" s="157" t="s">
        <v>98</v>
      </c>
      <c r="H96" s="157" t="s">
        <v>1058</v>
      </c>
      <c r="I96" s="69" t="s">
        <v>2264</v>
      </c>
      <c r="J96" s="122">
        <v>1</v>
      </c>
      <c r="K96" s="15">
        <v>292200</v>
      </c>
      <c r="L96" s="125"/>
      <c r="M96" s="125"/>
      <c r="N96" s="126"/>
      <c r="O96" s="99"/>
      <c r="P96" s="9" t="s">
        <v>2634</v>
      </c>
      <c r="Q96" s="5">
        <v>45838</v>
      </c>
      <c r="R96" s="213"/>
    </row>
    <row r="97" spans="1:20" ht="16.5" customHeight="1">
      <c r="A97" t="s">
        <v>64</v>
      </c>
      <c r="B97" s="10" t="s">
        <v>1617</v>
      </c>
      <c r="C97" s="145"/>
      <c r="D97" s="65"/>
      <c r="E97" s="160" t="s">
        <v>503</v>
      </c>
      <c r="F97" s="155" t="s">
        <v>32</v>
      </c>
      <c r="G97" s="157" t="s">
        <v>98</v>
      </c>
      <c r="H97" s="157" t="s">
        <v>1058</v>
      </c>
      <c r="I97" s="69" t="s">
        <v>2265</v>
      </c>
      <c r="J97" s="122">
        <v>1</v>
      </c>
      <c r="K97" s="15">
        <v>376200</v>
      </c>
      <c r="L97" s="125"/>
      <c r="M97" s="125"/>
      <c r="N97" s="126"/>
      <c r="O97" s="99"/>
      <c r="P97" s="9" t="s">
        <v>2634</v>
      </c>
      <c r="Q97" s="5">
        <v>45838</v>
      </c>
      <c r="R97" s="213"/>
    </row>
    <row r="98" spans="1:20" ht="16.5" customHeight="1">
      <c r="A98" t="s">
        <v>64</v>
      </c>
      <c r="B98" s="10" t="s">
        <v>1252</v>
      </c>
      <c r="C98" s="145"/>
      <c r="D98" s="65"/>
      <c r="E98" s="160" t="s">
        <v>503</v>
      </c>
      <c r="F98" s="155" t="s">
        <v>236</v>
      </c>
      <c r="G98" s="157" t="s">
        <v>98</v>
      </c>
      <c r="H98" s="157" t="s">
        <v>1058</v>
      </c>
      <c r="I98" s="69" t="s">
        <v>2266</v>
      </c>
      <c r="J98" s="122">
        <v>1</v>
      </c>
      <c r="K98" s="15">
        <v>391000</v>
      </c>
      <c r="L98" s="125"/>
      <c r="M98" s="125"/>
      <c r="N98" s="126"/>
      <c r="O98" s="99"/>
      <c r="P98" s="9" t="s">
        <v>2636</v>
      </c>
      <c r="Q98" s="5">
        <v>45838</v>
      </c>
      <c r="R98" s="213"/>
    </row>
    <row r="99" spans="1:20" ht="16.5" customHeight="1">
      <c r="A99" t="s">
        <v>64</v>
      </c>
      <c r="B99" s="10" t="s">
        <v>1730</v>
      </c>
      <c r="C99" s="145"/>
      <c r="D99" s="65"/>
      <c r="E99" s="160" t="s">
        <v>503</v>
      </c>
      <c r="F99" s="155" t="s">
        <v>961</v>
      </c>
      <c r="G99" s="157" t="s">
        <v>98</v>
      </c>
      <c r="H99" s="157" t="s">
        <v>1058</v>
      </c>
      <c r="I99" s="69" t="s">
        <v>2267</v>
      </c>
      <c r="J99" s="122">
        <v>1</v>
      </c>
      <c r="K99" s="15">
        <v>14000</v>
      </c>
      <c r="L99" s="125"/>
      <c r="M99" s="125"/>
      <c r="N99" s="126"/>
      <c r="O99" s="99"/>
      <c r="P99" s="9" t="s">
        <v>2636</v>
      </c>
      <c r="Q99" s="5">
        <v>45777</v>
      </c>
      <c r="R99" s="213" t="s">
        <v>100</v>
      </c>
    </row>
    <row r="100" spans="1:20" ht="16.5" customHeight="1">
      <c r="A100" t="s">
        <v>64</v>
      </c>
      <c r="B100" s="10" t="s">
        <v>1731</v>
      </c>
      <c r="C100" s="145"/>
      <c r="D100" s="65"/>
      <c r="E100" s="160" t="s">
        <v>503</v>
      </c>
      <c r="F100" s="155" t="s">
        <v>961</v>
      </c>
      <c r="G100" s="157" t="s">
        <v>98</v>
      </c>
      <c r="H100" s="157" t="s">
        <v>1058</v>
      </c>
      <c r="I100" s="69" t="s">
        <v>2268</v>
      </c>
      <c r="J100" s="122">
        <v>1</v>
      </c>
      <c r="K100" s="15">
        <v>14000</v>
      </c>
      <c r="L100" s="125"/>
      <c r="M100" s="125"/>
      <c r="N100" s="126"/>
      <c r="O100" s="99"/>
      <c r="P100" s="9" t="s">
        <v>2636</v>
      </c>
      <c r="Q100" s="5">
        <v>45777</v>
      </c>
      <c r="R100" s="213" t="s">
        <v>100</v>
      </c>
    </row>
    <row r="101" spans="1:20" ht="16.5" customHeight="1">
      <c r="A101" t="s">
        <v>64</v>
      </c>
      <c r="B101" s="10" t="s">
        <v>2222</v>
      </c>
      <c r="C101" s="145"/>
      <c r="D101" s="65"/>
      <c r="E101" s="160" t="s">
        <v>503</v>
      </c>
      <c r="F101" s="155" t="s">
        <v>2632</v>
      </c>
      <c r="G101" s="157" t="s">
        <v>98</v>
      </c>
      <c r="H101" s="157" t="s">
        <v>1058</v>
      </c>
      <c r="I101" s="69" t="s">
        <v>2269</v>
      </c>
      <c r="J101" s="122">
        <v>1</v>
      </c>
      <c r="K101" s="15">
        <v>33000</v>
      </c>
      <c r="L101" s="125"/>
      <c r="M101" s="125"/>
      <c r="N101" s="126"/>
      <c r="O101" s="99"/>
      <c r="P101" s="9" t="s">
        <v>2636</v>
      </c>
      <c r="Q101" s="5">
        <v>45833</v>
      </c>
      <c r="R101" s="213"/>
    </row>
    <row r="102" spans="1:20" ht="16.5" customHeight="1">
      <c r="A102" t="s">
        <v>64</v>
      </c>
      <c r="B102" s="10" t="s">
        <v>2224</v>
      </c>
      <c r="C102" s="145"/>
      <c r="D102" s="65"/>
      <c r="E102" s="160" t="s">
        <v>503</v>
      </c>
      <c r="F102" s="155" t="s">
        <v>2632</v>
      </c>
      <c r="G102" s="157" t="s">
        <v>98</v>
      </c>
      <c r="H102" s="157" t="s">
        <v>1058</v>
      </c>
      <c r="I102" s="69" t="s">
        <v>2270</v>
      </c>
      <c r="J102" s="122">
        <v>1</v>
      </c>
      <c r="K102" s="15">
        <v>69000</v>
      </c>
      <c r="L102" s="125"/>
      <c r="M102" s="125"/>
      <c r="N102" s="126"/>
      <c r="O102" s="99"/>
      <c r="P102" s="9" t="s">
        <v>2636</v>
      </c>
      <c r="Q102" s="5">
        <v>45833</v>
      </c>
      <c r="R102" s="213"/>
    </row>
    <row r="103" spans="1:20" ht="16.5" customHeight="1">
      <c r="A103" t="s">
        <v>64</v>
      </c>
      <c r="B103" s="10" t="s">
        <v>2565</v>
      </c>
      <c r="C103" s="145"/>
      <c r="D103" s="65"/>
      <c r="E103" s="160" t="s">
        <v>503</v>
      </c>
      <c r="F103" s="155" t="s">
        <v>961</v>
      </c>
      <c r="G103" s="157" t="s">
        <v>98</v>
      </c>
      <c r="H103" s="157" t="s">
        <v>1058</v>
      </c>
      <c r="I103" s="69" t="s">
        <v>2257</v>
      </c>
      <c r="J103" s="122">
        <v>1</v>
      </c>
      <c r="K103" s="15">
        <v>14000</v>
      </c>
      <c r="L103" s="125"/>
      <c r="M103" s="125"/>
      <c r="N103" s="126"/>
      <c r="O103" s="99"/>
      <c r="P103" s="9" t="s">
        <v>2636</v>
      </c>
      <c r="Q103" s="5">
        <v>45838</v>
      </c>
      <c r="R103" s="213" t="s">
        <v>100</v>
      </c>
    </row>
    <row r="104" spans="1:20" ht="16.5" customHeight="1">
      <c r="A104" t="s">
        <v>64</v>
      </c>
      <c r="B104" s="10" t="s">
        <v>302</v>
      </c>
      <c r="C104" s="142"/>
      <c r="D104" s="13">
        <v>45838</v>
      </c>
      <c r="E104" s="155" t="s">
        <v>273</v>
      </c>
      <c r="F104" s="155" t="s">
        <v>266</v>
      </c>
      <c r="G104" s="157" t="s">
        <v>98</v>
      </c>
      <c r="H104" s="157" t="s">
        <v>102</v>
      </c>
      <c r="I104" s="69" t="s">
        <v>2407</v>
      </c>
      <c r="J104" s="124">
        <v>1</v>
      </c>
      <c r="K104" s="16">
        <v>672000</v>
      </c>
      <c r="L104" s="15">
        <f t="shared" ref="L104:L114" si="10">J104*K104</f>
        <v>672000</v>
      </c>
      <c r="M104" s="16">
        <f t="shared" ref="M104:M115" si="11">L104*10%</f>
        <v>67200</v>
      </c>
      <c r="N104" s="15">
        <f t="shared" ref="N104:N115" si="12">SUM(L104:M104)</f>
        <v>739200</v>
      </c>
      <c r="O104" s="5" t="s">
        <v>2578</v>
      </c>
      <c r="P104" s="175" t="s">
        <v>2635</v>
      </c>
      <c r="Q104" s="5">
        <v>45838</v>
      </c>
      <c r="R104" s="212"/>
      <c r="S104" s="7"/>
      <c r="T104" s="11"/>
    </row>
    <row r="105" spans="1:20" ht="16.5" customHeight="1">
      <c r="A105" t="s">
        <v>64</v>
      </c>
      <c r="B105" s="141" t="s">
        <v>144</v>
      </c>
      <c r="C105" s="12"/>
      <c r="D105" s="13">
        <v>45838</v>
      </c>
      <c r="E105" s="155" t="s">
        <v>277</v>
      </c>
      <c r="F105" s="163"/>
      <c r="G105" s="156" t="s">
        <v>30</v>
      </c>
      <c r="H105" s="157" t="s">
        <v>145</v>
      </c>
      <c r="I105" s="159" t="s">
        <v>2405</v>
      </c>
      <c r="J105" s="124">
        <v>1</v>
      </c>
      <c r="K105" s="188">
        <v>200000</v>
      </c>
      <c r="L105" s="15">
        <f t="shared" si="10"/>
        <v>200000</v>
      </c>
      <c r="M105" s="15">
        <f t="shared" si="11"/>
        <v>20000</v>
      </c>
      <c r="N105" s="15">
        <f t="shared" si="12"/>
        <v>220000</v>
      </c>
      <c r="O105" s="5" t="s">
        <v>2571</v>
      </c>
      <c r="P105" s="175" t="s">
        <v>2644</v>
      </c>
      <c r="Q105" s="68" t="s">
        <v>206</v>
      </c>
      <c r="R105" s="211"/>
      <c r="S105" s="7"/>
      <c r="T105" s="11"/>
    </row>
    <row r="106" spans="1:20" ht="16.5" customHeight="1">
      <c r="A106" t="s">
        <v>64</v>
      </c>
      <c r="B106" s="10" t="s">
        <v>415</v>
      </c>
      <c r="C106" s="142"/>
      <c r="D106" s="13">
        <v>45838</v>
      </c>
      <c r="E106" s="155" t="s">
        <v>272</v>
      </c>
      <c r="F106" s="155" t="s">
        <v>99</v>
      </c>
      <c r="G106" s="157" t="s">
        <v>98</v>
      </c>
      <c r="H106" s="157" t="s">
        <v>213</v>
      </c>
      <c r="I106" s="69" t="s">
        <v>2295</v>
      </c>
      <c r="J106" s="124">
        <v>1</v>
      </c>
      <c r="K106" s="16">
        <v>70000</v>
      </c>
      <c r="L106" s="15">
        <f t="shared" si="10"/>
        <v>70000</v>
      </c>
      <c r="M106" s="15">
        <f t="shared" si="11"/>
        <v>7000</v>
      </c>
      <c r="N106" s="15">
        <f t="shared" si="12"/>
        <v>77000</v>
      </c>
      <c r="O106" s="5" t="s">
        <v>2590</v>
      </c>
      <c r="P106" s="175" t="s">
        <v>2634</v>
      </c>
      <c r="Q106" s="5">
        <v>45843</v>
      </c>
      <c r="R106" s="212"/>
      <c r="S106" s="7"/>
      <c r="T106" s="11"/>
    </row>
    <row r="107" spans="1:20" ht="16.5" customHeight="1">
      <c r="A107" t="s">
        <v>64</v>
      </c>
      <c r="B107" s="10" t="s">
        <v>302</v>
      </c>
      <c r="C107" s="142"/>
      <c r="D107" s="13">
        <v>45838</v>
      </c>
      <c r="E107" s="155" t="s">
        <v>268</v>
      </c>
      <c r="F107" s="155" t="s">
        <v>266</v>
      </c>
      <c r="G107" s="157" t="s">
        <v>98</v>
      </c>
      <c r="H107" s="157" t="s">
        <v>213</v>
      </c>
      <c r="I107" s="69" t="s">
        <v>2404</v>
      </c>
      <c r="J107" s="124">
        <v>1</v>
      </c>
      <c r="K107" s="16">
        <v>100000</v>
      </c>
      <c r="L107" s="15">
        <f t="shared" si="10"/>
        <v>100000</v>
      </c>
      <c r="M107" s="15">
        <f t="shared" si="11"/>
        <v>10000</v>
      </c>
      <c r="N107" s="15">
        <f t="shared" si="12"/>
        <v>110000</v>
      </c>
      <c r="O107" s="5" t="s">
        <v>2578</v>
      </c>
      <c r="P107" s="175" t="s">
        <v>2635</v>
      </c>
      <c r="Q107" s="5">
        <v>45838</v>
      </c>
      <c r="R107" s="212"/>
      <c r="S107" s="7"/>
      <c r="T107" s="11"/>
    </row>
    <row r="108" spans="1:20" ht="16.5" customHeight="1">
      <c r="A108" t="s">
        <v>64</v>
      </c>
      <c r="B108" s="140" t="s">
        <v>267</v>
      </c>
      <c r="C108" s="12"/>
      <c r="D108" s="13">
        <v>45838</v>
      </c>
      <c r="E108" s="155" t="s">
        <v>45</v>
      </c>
      <c r="F108" s="155" t="s">
        <v>345</v>
      </c>
      <c r="G108" s="157" t="s">
        <v>98</v>
      </c>
      <c r="H108" s="167" t="s">
        <v>213</v>
      </c>
      <c r="I108" s="69" t="s">
        <v>2403</v>
      </c>
      <c r="J108" s="124">
        <v>1</v>
      </c>
      <c r="K108" s="16">
        <v>595000</v>
      </c>
      <c r="L108" s="15">
        <f t="shared" si="10"/>
        <v>595000</v>
      </c>
      <c r="M108" s="15">
        <f t="shared" si="11"/>
        <v>59500</v>
      </c>
      <c r="N108" s="15">
        <f t="shared" si="12"/>
        <v>654500</v>
      </c>
      <c r="O108" s="5" t="s">
        <v>2578</v>
      </c>
      <c r="P108" s="174" t="s">
        <v>2636</v>
      </c>
      <c r="Q108" s="5">
        <v>45838</v>
      </c>
      <c r="R108" s="211"/>
      <c r="S108" s="7"/>
      <c r="T108" s="11"/>
    </row>
    <row r="109" spans="1:20" ht="16.5" customHeight="1">
      <c r="A109" t="s">
        <v>64</v>
      </c>
      <c r="B109" s="140" t="s">
        <v>269</v>
      </c>
      <c r="C109" s="12"/>
      <c r="D109" s="13">
        <v>45838</v>
      </c>
      <c r="E109" s="155" t="s">
        <v>45</v>
      </c>
      <c r="F109" s="155" t="s">
        <v>345</v>
      </c>
      <c r="G109" s="157" t="s">
        <v>98</v>
      </c>
      <c r="H109" s="167" t="s">
        <v>213</v>
      </c>
      <c r="I109" s="69" t="s">
        <v>2402</v>
      </c>
      <c r="J109" s="124">
        <v>1</v>
      </c>
      <c r="K109" s="188">
        <v>840000</v>
      </c>
      <c r="L109" s="15">
        <f t="shared" si="10"/>
        <v>840000</v>
      </c>
      <c r="M109" s="15">
        <f t="shared" si="11"/>
        <v>84000</v>
      </c>
      <c r="N109" s="15">
        <f t="shared" si="12"/>
        <v>924000</v>
      </c>
      <c r="O109" s="5" t="s">
        <v>2578</v>
      </c>
      <c r="P109" s="174" t="s">
        <v>2636</v>
      </c>
      <c r="Q109" s="5">
        <v>45838</v>
      </c>
      <c r="R109" s="211"/>
      <c r="S109" s="7"/>
      <c r="T109" s="11"/>
    </row>
    <row r="110" spans="1:20" ht="16.5" customHeight="1">
      <c r="A110" t="s">
        <v>64</v>
      </c>
      <c r="B110" s="10" t="s">
        <v>2566</v>
      </c>
      <c r="C110" s="12"/>
      <c r="D110" s="13">
        <v>45838</v>
      </c>
      <c r="E110" s="155" t="s">
        <v>2406</v>
      </c>
      <c r="F110" s="155" t="s">
        <v>1729</v>
      </c>
      <c r="G110" s="157" t="s">
        <v>98</v>
      </c>
      <c r="H110" s="167" t="s">
        <v>213</v>
      </c>
      <c r="I110" s="69" t="s">
        <v>2567</v>
      </c>
      <c r="J110" s="122">
        <v>1</v>
      </c>
      <c r="K110" s="15">
        <v>100000</v>
      </c>
      <c r="L110" s="16">
        <f t="shared" si="10"/>
        <v>100000</v>
      </c>
      <c r="M110" s="16">
        <f t="shared" si="11"/>
        <v>10000</v>
      </c>
      <c r="N110" s="15">
        <f t="shared" si="12"/>
        <v>110000</v>
      </c>
      <c r="O110" s="5" t="s">
        <v>2578</v>
      </c>
      <c r="P110" s="174" t="s">
        <v>2636</v>
      </c>
      <c r="Q110" s="5">
        <v>45797</v>
      </c>
      <c r="R110" s="209"/>
    </row>
    <row r="111" spans="1:20" ht="16.5" customHeight="1">
      <c r="B111" s="10" t="s">
        <v>2566</v>
      </c>
      <c r="C111" s="12"/>
      <c r="D111" s="13">
        <v>45838</v>
      </c>
      <c r="E111" s="155" t="s">
        <v>2406</v>
      </c>
      <c r="F111" s="155" t="s">
        <v>1729</v>
      </c>
      <c r="G111" s="157" t="s">
        <v>98</v>
      </c>
      <c r="H111" s="167" t="s">
        <v>213</v>
      </c>
      <c r="I111" s="69" t="s">
        <v>2568</v>
      </c>
      <c r="J111" s="122">
        <v>1</v>
      </c>
      <c r="K111" s="15">
        <v>100000</v>
      </c>
      <c r="L111" s="16">
        <f t="shared" ref="L111" si="13">J111*K111</f>
        <v>100000</v>
      </c>
      <c r="M111" s="16">
        <f t="shared" ref="M111" si="14">L111*10%</f>
        <v>10000</v>
      </c>
      <c r="N111" s="15">
        <f t="shared" si="12"/>
        <v>110000</v>
      </c>
      <c r="O111" s="5" t="s">
        <v>2578</v>
      </c>
      <c r="P111" s="174" t="s">
        <v>2636</v>
      </c>
      <c r="Q111" s="5">
        <v>45828</v>
      </c>
      <c r="R111" s="209"/>
    </row>
    <row r="112" spans="1:20" ht="16.5" customHeight="1">
      <c r="A112" t="s">
        <v>64</v>
      </c>
      <c r="B112" s="141" t="s">
        <v>144</v>
      </c>
      <c r="C112" s="142"/>
      <c r="D112" s="13">
        <v>45838</v>
      </c>
      <c r="E112" s="155" t="s">
        <v>270</v>
      </c>
      <c r="F112" s="155"/>
      <c r="G112" s="156" t="s">
        <v>30</v>
      </c>
      <c r="H112" s="156" t="s">
        <v>271</v>
      </c>
      <c r="I112" s="69" t="s">
        <v>2408</v>
      </c>
      <c r="J112" s="124">
        <v>1</v>
      </c>
      <c r="K112" s="16">
        <v>40000</v>
      </c>
      <c r="L112" s="15">
        <f t="shared" si="10"/>
        <v>40000</v>
      </c>
      <c r="M112" s="15">
        <f t="shared" si="11"/>
        <v>4000</v>
      </c>
      <c r="N112" s="15">
        <f t="shared" si="12"/>
        <v>44000</v>
      </c>
      <c r="O112" s="5" t="s">
        <v>2409</v>
      </c>
      <c r="P112" s="175" t="s">
        <v>2644</v>
      </c>
      <c r="Q112" s="68" t="s">
        <v>206</v>
      </c>
      <c r="R112" s="212"/>
      <c r="S112" s="7"/>
      <c r="T112" s="11"/>
    </row>
    <row r="113" spans="1:21" ht="16.5" customHeight="1">
      <c r="A113" t="s">
        <v>64</v>
      </c>
      <c r="B113" s="141" t="s">
        <v>302</v>
      </c>
      <c r="C113" s="142"/>
      <c r="D113" s="13">
        <v>45838</v>
      </c>
      <c r="E113" s="155" t="s">
        <v>313</v>
      </c>
      <c r="F113" s="155" t="s">
        <v>266</v>
      </c>
      <c r="G113" s="157" t="s">
        <v>98</v>
      </c>
      <c r="H113" s="157" t="s">
        <v>213</v>
      </c>
      <c r="I113" s="69" t="s">
        <v>2410</v>
      </c>
      <c r="J113" s="124">
        <v>1</v>
      </c>
      <c r="K113" s="16">
        <v>700000</v>
      </c>
      <c r="L113" s="16">
        <f t="shared" si="10"/>
        <v>700000</v>
      </c>
      <c r="M113" s="16">
        <f t="shared" si="11"/>
        <v>70000</v>
      </c>
      <c r="N113" s="15">
        <f t="shared" si="12"/>
        <v>770000</v>
      </c>
      <c r="O113" s="5" t="s">
        <v>2578</v>
      </c>
      <c r="P113" s="177" t="s">
        <v>2635</v>
      </c>
      <c r="Q113" s="5">
        <v>45838</v>
      </c>
      <c r="R113" s="212"/>
      <c r="S113" s="7"/>
      <c r="T113" s="11"/>
    </row>
    <row r="114" spans="1:21" ht="16.5" customHeight="1">
      <c r="A114" t="s">
        <v>64</v>
      </c>
      <c r="B114" s="10" t="s">
        <v>2328</v>
      </c>
      <c r="C114" s="12"/>
      <c r="D114" s="13">
        <v>45838</v>
      </c>
      <c r="E114" s="155" t="s">
        <v>2629</v>
      </c>
      <c r="F114" s="155" t="s">
        <v>105</v>
      </c>
      <c r="G114" s="156" t="s">
        <v>41</v>
      </c>
      <c r="H114" s="156" t="s">
        <v>214</v>
      </c>
      <c r="I114" s="69" t="s">
        <v>2329</v>
      </c>
      <c r="J114" s="122">
        <v>1</v>
      </c>
      <c r="K114" s="15">
        <v>2900000</v>
      </c>
      <c r="L114" s="16">
        <f t="shared" si="10"/>
        <v>2900000</v>
      </c>
      <c r="M114" s="16">
        <f t="shared" si="11"/>
        <v>290000</v>
      </c>
      <c r="N114" s="15">
        <f t="shared" si="12"/>
        <v>3190000</v>
      </c>
      <c r="O114" s="5" t="s">
        <v>2590</v>
      </c>
      <c r="P114" s="9" t="s">
        <v>2635</v>
      </c>
      <c r="Q114" s="5">
        <v>45835</v>
      </c>
      <c r="R114" s="213"/>
    </row>
    <row r="115" spans="1:21" ht="16.5" customHeight="1">
      <c r="A115" t="s">
        <v>64</v>
      </c>
      <c r="B115" s="10" t="s">
        <v>2351</v>
      </c>
      <c r="C115" s="12"/>
      <c r="D115" s="13">
        <v>45838</v>
      </c>
      <c r="E115" s="155" t="s">
        <v>2629</v>
      </c>
      <c r="F115" s="155" t="s">
        <v>105</v>
      </c>
      <c r="G115" s="156" t="s">
        <v>41</v>
      </c>
      <c r="H115" s="156" t="s">
        <v>214</v>
      </c>
      <c r="I115" s="69" t="s">
        <v>2350</v>
      </c>
      <c r="J115" s="122">
        <v>3</v>
      </c>
      <c r="K115" s="15">
        <v>5050000</v>
      </c>
      <c r="L115" s="16">
        <v>17850000</v>
      </c>
      <c r="M115" s="16">
        <f t="shared" si="11"/>
        <v>1785000</v>
      </c>
      <c r="N115" s="15">
        <f t="shared" si="12"/>
        <v>19635000</v>
      </c>
      <c r="O115" s="5" t="s">
        <v>2590</v>
      </c>
      <c r="P115" s="9" t="s">
        <v>2635</v>
      </c>
      <c r="Q115" s="5">
        <v>45835</v>
      </c>
      <c r="R115" s="213"/>
    </row>
    <row r="116" spans="1:21" ht="16.5" customHeight="1">
      <c r="A116" t="s">
        <v>64</v>
      </c>
      <c r="B116" s="147"/>
      <c r="C116" s="145"/>
      <c r="D116" s="65"/>
      <c r="E116" s="160" t="s">
        <v>2629</v>
      </c>
      <c r="F116" s="155" t="s">
        <v>105</v>
      </c>
      <c r="G116" s="156" t="s">
        <v>41</v>
      </c>
      <c r="H116" s="156" t="s">
        <v>214</v>
      </c>
      <c r="I116" s="69" t="s">
        <v>2411</v>
      </c>
      <c r="J116" s="122">
        <v>1</v>
      </c>
      <c r="K116" s="15">
        <v>2700000</v>
      </c>
      <c r="L116" s="125"/>
      <c r="M116" s="125"/>
      <c r="N116" s="126"/>
      <c r="O116" s="99"/>
      <c r="P116" s="176"/>
      <c r="Q116" s="99"/>
      <c r="R116" s="209"/>
    </row>
    <row r="117" spans="1:21" ht="16.5" customHeight="1">
      <c r="A117" t="s">
        <v>64</v>
      </c>
      <c r="B117" s="10" t="s">
        <v>2352</v>
      </c>
      <c r="C117" s="12"/>
      <c r="D117" s="13">
        <v>45838</v>
      </c>
      <c r="E117" s="155" t="s">
        <v>2629</v>
      </c>
      <c r="F117" s="155" t="s">
        <v>105</v>
      </c>
      <c r="G117" s="156" t="s">
        <v>41</v>
      </c>
      <c r="H117" s="156" t="s">
        <v>214</v>
      </c>
      <c r="I117" s="69" t="s">
        <v>2353</v>
      </c>
      <c r="J117" s="122">
        <v>1</v>
      </c>
      <c r="K117" s="15">
        <v>2450000</v>
      </c>
      <c r="L117" s="16">
        <f t="shared" ref="L117:L122" si="15">J117*K117</f>
        <v>2450000</v>
      </c>
      <c r="M117" s="16">
        <f>L117*10%</f>
        <v>245000</v>
      </c>
      <c r="N117" s="15">
        <f t="shared" ref="N117:N123" si="16">SUM(L117:M117)</f>
        <v>2695000</v>
      </c>
      <c r="O117" s="5" t="s">
        <v>2590</v>
      </c>
      <c r="P117" s="9" t="s">
        <v>2635</v>
      </c>
      <c r="Q117" s="5">
        <v>45835</v>
      </c>
      <c r="R117" s="213"/>
    </row>
    <row r="118" spans="1:21" ht="16.5" customHeight="1">
      <c r="A118" t="s">
        <v>64</v>
      </c>
      <c r="B118" s="10" t="s">
        <v>328</v>
      </c>
      <c r="C118" s="12"/>
      <c r="D118" s="13">
        <v>45838</v>
      </c>
      <c r="E118" s="155" t="s">
        <v>2629</v>
      </c>
      <c r="F118" s="155" t="s">
        <v>236</v>
      </c>
      <c r="G118" s="157" t="s">
        <v>98</v>
      </c>
      <c r="H118" s="156" t="s">
        <v>102</v>
      </c>
      <c r="I118" s="69" t="s">
        <v>2412</v>
      </c>
      <c r="J118" s="122">
        <v>1</v>
      </c>
      <c r="K118" s="15">
        <v>250000</v>
      </c>
      <c r="L118" s="16">
        <f t="shared" si="15"/>
        <v>250000</v>
      </c>
      <c r="M118" s="16">
        <f>L118*10%</f>
        <v>25000</v>
      </c>
      <c r="N118" s="15">
        <f t="shared" si="16"/>
        <v>275000</v>
      </c>
      <c r="O118" s="5" t="s">
        <v>2590</v>
      </c>
      <c r="P118" s="9" t="s">
        <v>2636</v>
      </c>
      <c r="Q118" s="5">
        <v>45838</v>
      </c>
      <c r="R118" s="209"/>
      <c r="U118" s="11"/>
    </row>
    <row r="119" spans="1:21" ht="16.5" customHeight="1">
      <c r="A119" t="s">
        <v>64</v>
      </c>
      <c r="B119" s="10" t="s">
        <v>1616</v>
      </c>
      <c r="C119" s="12"/>
      <c r="D119" s="13">
        <v>45838</v>
      </c>
      <c r="E119" s="155" t="s">
        <v>65</v>
      </c>
      <c r="F119" s="155" t="s">
        <v>1535</v>
      </c>
      <c r="G119" s="157" t="s">
        <v>98</v>
      </c>
      <c r="H119" s="157" t="s">
        <v>213</v>
      </c>
      <c r="I119" s="69" t="s">
        <v>2413</v>
      </c>
      <c r="J119" s="122">
        <v>1</v>
      </c>
      <c r="K119" s="15">
        <v>300000</v>
      </c>
      <c r="L119" s="16">
        <f t="shared" si="15"/>
        <v>300000</v>
      </c>
      <c r="M119" s="16">
        <f>L119*10%</f>
        <v>30000</v>
      </c>
      <c r="N119" s="15">
        <f t="shared" si="16"/>
        <v>330000</v>
      </c>
      <c r="O119" s="5" t="s">
        <v>2578</v>
      </c>
      <c r="P119" s="175" t="s">
        <v>2644</v>
      </c>
      <c r="Q119" s="5">
        <v>45828</v>
      </c>
      <c r="R119" s="213"/>
    </row>
    <row r="120" spans="1:21" ht="16.5" customHeight="1">
      <c r="A120" t="s">
        <v>64</v>
      </c>
      <c r="B120" s="141" t="s">
        <v>285</v>
      </c>
      <c r="C120" s="144"/>
      <c r="D120" s="13">
        <v>45838</v>
      </c>
      <c r="E120" s="155" t="s">
        <v>286</v>
      </c>
      <c r="F120" s="164" t="s">
        <v>105</v>
      </c>
      <c r="G120" s="158" t="s">
        <v>7</v>
      </c>
      <c r="H120" s="165" t="s">
        <v>102</v>
      </c>
      <c r="I120" s="166" t="s">
        <v>2414</v>
      </c>
      <c r="J120" s="127">
        <v>1</v>
      </c>
      <c r="K120" s="15">
        <v>600000</v>
      </c>
      <c r="L120" s="16">
        <f t="shared" si="15"/>
        <v>600000</v>
      </c>
      <c r="M120" s="16">
        <f>L120*10%</f>
        <v>60000</v>
      </c>
      <c r="N120" s="15">
        <f t="shared" si="16"/>
        <v>660000</v>
      </c>
      <c r="O120" s="5" t="s">
        <v>2578</v>
      </c>
      <c r="P120" s="9" t="s">
        <v>2634</v>
      </c>
      <c r="Q120" s="5">
        <v>45838</v>
      </c>
      <c r="R120" s="209"/>
      <c r="T120" s="11"/>
    </row>
    <row r="121" spans="1:21" ht="16.5" customHeight="1">
      <c r="A121" t="s">
        <v>64</v>
      </c>
      <c r="B121" s="10" t="s">
        <v>2418</v>
      </c>
      <c r="C121" s="12"/>
      <c r="D121" s="13">
        <v>45838</v>
      </c>
      <c r="E121" s="155" t="s">
        <v>26</v>
      </c>
      <c r="F121" s="155"/>
      <c r="G121" s="156" t="s">
        <v>2415</v>
      </c>
      <c r="H121" s="156" t="s">
        <v>643</v>
      </c>
      <c r="I121" s="69" t="s">
        <v>2416</v>
      </c>
      <c r="J121" s="122">
        <v>1</v>
      </c>
      <c r="K121" s="15">
        <v>340809</v>
      </c>
      <c r="L121" s="16">
        <f t="shared" si="15"/>
        <v>340809</v>
      </c>
      <c r="M121" s="16">
        <v>34081</v>
      </c>
      <c r="N121" s="15">
        <f t="shared" si="16"/>
        <v>374890</v>
      </c>
      <c r="O121" s="5" t="s">
        <v>2417</v>
      </c>
      <c r="P121" s="9" t="s">
        <v>2634</v>
      </c>
      <c r="Q121" s="5" t="s">
        <v>2524</v>
      </c>
      <c r="R121" s="209"/>
    </row>
    <row r="122" spans="1:21" ht="16.5" customHeight="1">
      <c r="A122" t="s">
        <v>64</v>
      </c>
      <c r="B122" s="10" t="s">
        <v>104</v>
      </c>
      <c r="C122" s="12"/>
      <c r="D122" s="13">
        <v>45838</v>
      </c>
      <c r="E122" s="155" t="s">
        <v>26</v>
      </c>
      <c r="F122" s="155"/>
      <c r="G122" s="156" t="s">
        <v>41</v>
      </c>
      <c r="H122" s="156" t="s">
        <v>643</v>
      </c>
      <c r="I122" s="69" t="s">
        <v>2349</v>
      </c>
      <c r="J122" s="122">
        <v>1</v>
      </c>
      <c r="K122" s="15">
        <v>67182</v>
      </c>
      <c r="L122" s="16">
        <f t="shared" si="15"/>
        <v>67182</v>
      </c>
      <c r="M122" s="16">
        <v>6718</v>
      </c>
      <c r="N122" s="15">
        <f t="shared" si="16"/>
        <v>73900</v>
      </c>
      <c r="O122" s="5" t="s">
        <v>2417</v>
      </c>
      <c r="P122" s="9" t="s">
        <v>2634</v>
      </c>
      <c r="Q122" s="5" t="s">
        <v>2524</v>
      </c>
      <c r="R122" s="209"/>
    </row>
    <row r="123" spans="1:21" ht="16.5" customHeight="1">
      <c r="A123" t="s">
        <v>64</v>
      </c>
      <c r="B123" s="10" t="s">
        <v>878</v>
      </c>
      <c r="C123" s="12"/>
      <c r="D123" s="13">
        <v>45838</v>
      </c>
      <c r="E123" s="155" t="s">
        <v>150</v>
      </c>
      <c r="F123" s="155" t="s">
        <v>2360</v>
      </c>
      <c r="G123" s="157" t="s">
        <v>98</v>
      </c>
      <c r="H123" s="156" t="s">
        <v>2458</v>
      </c>
      <c r="I123" s="69" t="s">
        <v>2361</v>
      </c>
      <c r="J123" s="122">
        <v>1</v>
      </c>
      <c r="K123" s="15">
        <v>3700000</v>
      </c>
      <c r="L123" s="16">
        <v>6730000</v>
      </c>
      <c r="M123" s="16">
        <f>L123*10%</f>
        <v>673000</v>
      </c>
      <c r="N123" s="15">
        <f t="shared" si="16"/>
        <v>7403000</v>
      </c>
      <c r="O123" s="5" t="s">
        <v>2590</v>
      </c>
      <c r="P123" s="9" t="s">
        <v>2636</v>
      </c>
      <c r="Q123" s="5">
        <v>45666</v>
      </c>
      <c r="R123" s="213"/>
    </row>
    <row r="124" spans="1:21" ht="16.5" customHeight="1">
      <c r="A124" t="s">
        <v>64</v>
      </c>
      <c r="B124" s="10" t="s">
        <v>878</v>
      </c>
      <c r="C124" s="145"/>
      <c r="D124" s="65"/>
      <c r="E124" s="160" t="s">
        <v>150</v>
      </c>
      <c r="F124" s="160" t="s">
        <v>2360</v>
      </c>
      <c r="G124" s="157" t="s">
        <v>98</v>
      </c>
      <c r="H124" s="156" t="s">
        <v>2458</v>
      </c>
      <c r="I124" s="69" t="s">
        <v>2361</v>
      </c>
      <c r="J124" s="122">
        <v>1</v>
      </c>
      <c r="K124" s="15">
        <v>3030000</v>
      </c>
      <c r="L124" s="125"/>
      <c r="M124" s="125"/>
      <c r="N124" s="126"/>
      <c r="O124" s="99"/>
      <c r="P124" s="176"/>
      <c r="Q124" s="99"/>
      <c r="R124" s="213"/>
    </row>
    <row r="125" spans="1:21" ht="16.5" customHeight="1">
      <c r="A125" t="s">
        <v>64</v>
      </c>
      <c r="B125" s="10" t="s">
        <v>415</v>
      </c>
      <c r="C125" s="12"/>
      <c r="D125" s="13">
        <v>45838</v>
      </c>
      <c r="E125" s="155" t="s">
        <v>19</v>
      </c>
      <c r="F125" s="163" t="s">
        <v>99</v>
      </c>
      <c r="G125" s="157" t="s">
        <v>98</v>
      </c>
      <c r="H125" s="157" t="s">
        <v>213</v>
      </c>
      <c r="I125" s="159" t="s">
        <v>2459</v>
      </c>
      <c r="J125" s="124">
        <v>1</v>
      </c>
      <c r="K125" s="188">
        <v>300000</v>
      </c>
      <c r="L125" s="15">
        <f t="shared" ref="L125:L133" si="17">J125*K125</f>
        <v>300000</v>
      </c>
      <c r="M125" s="15">
        <f>L125*10%</f>
        <v>30000</v>
      </c>
      <c r="N125" s="15">
        <f t="shared" ref="N125:N128" si="18">SUM(L125:M125)</f>
        <v>330000</v>
      </c>
      <c r="O125" s="5" t="s">
        <v>2590</v>
      </c>
      <c r="P125" s="174" t="s">
        <v>2634</v>
      </c>
      <c r="Q125" s="5">
        <v>45843</v>
      </c>
      <c r="R125" s="211"/>
      <c r="S125" s="7"/>
      <c r="T125" s="11"/>
    </row>
    <row r="126" spans="1:21" ht="16.5" customHeight="1">
      <c r="A126" t="s">
        <v>64</v>
      </c>
      <c r="B126" s="10" t="s">
        <v>415</v>
      </c>
      <c r="C126" s="12"/>
      <c r="D126" s="13">
        <v>45838</v>
      </c>
      <c r="E126" s="155" t="s">
        <v>173</v>
      </c>
      <c r="F126" s="155" t="s">
        <v>99</v>
      </c>
      <c r="G126" s="156" t="s">
        <v>7</v>
      </c>
      <c r="H126" s="156" t="s">
        <v>102</v>
      </c>
      <c r="I126" s="69" t="s">
        <v>2460</v>
      </c>
      <c r="J126" s="122">
        <v>1</v>
      </c>
      <c r="K126" s="15">
        <v>810000</v>
      </c>
      <c r="L126" s="16">
        <f t="shared" si="17"/>
        <v>810000</v>
      </c>
      <c r="M126" s="16">
        <f>L126*10%</f>
        <v>81000</v>
      </c>
      <c r="N126" s="15">
        <f t="shared" si="18"/>
        <v>891000</v>
      </c>
      <c r="O126" s="5" t="s">
        <v>2578</v>
      </c>
      <c r="P126" s="174" t="s">
        <v>2634</v>
      </c>
      <c r="Q126" s="5">
        <v>45843</v>
      </c>
      <c r="R126" s="209"/>
      <c r="T126" s="11"/>
    </row>
    <row r="127" spans="1:21" ht="16.5" customHeight="1">
      <c r="A127" t="s">
        <v>64</v>
      </c>
      <c r="B127" s="10" t="s">
        <v>302</v>
      </c>
      <c r="C127" s="198"/>
      <c r="D127" s="13">
        <v>45838</v>
      </c>
      <c r="E127" s="199" t="s">
        <v>178</v>
      </c>
      <c r="F127" s="199" t="s">
        <v>266</v>
      </c>
      <c r="G127" s="157" t="s">
        <v>98</v>
      </c>
      <c r="H127" s="157" t="s">
        <v>213</v>
      </c>
      <c r="I127" s="69" t="s">
        <v>2261</v>
      </c>
      <c r="J127" s="201">
        <v>1</v>
      </c>
      <c r="K127" s="15">
        <v>290000</v>
      </c>
      <c r="L127" s="16">
        <f t="shared" si="17"/>
        <v>290000</v>
      </c>
      <c r="M127" s="16">
        <f>L127*10%</f>
        <v>29000</v>
      </c>
      <c r="N127" s="15">
        <f t="shared" si="18"/>
        <v>319000</v>
      </c>
      <c r="O127" s="5" t="s">
        <v>2578</v>
      </c>
      <c r="P127" s="175" t="s">
        <v>2635</v>
      </c>
      <c r="Q127" s="5">
        <v>45838</v>
      </c>
      <c r="R127" s="213"/>
      <c r="U127" s="11"/>
    </row>
    <row r="128" spans="1:21" ht="16.5" customHeight="1">
      <c r="A128" t="s">
        <v>64</v>
      </c>
      <c r="B128" s="141" t="s">
        <v>144</v>
      </c>
      <c r="C128" s="148"/>
      <c r="D128" s="13">
        <v>45838</v>
      </c>
      <c r="E128" s="155" t="s">
        <v>833</v>
      </c>
      <c r="F128" s="155"/>
      <c r="G128" s="156" t="s">
        <v>41</v>
      </c>
      <c r="H128" s="157" t="s">
        <v>711</v>
      </c>
      <c r="I128" s="159" t="s">
        <v>2522</v>
      </c>
      <c r="J128" s="124">
        <v>1</v>
      </c>
      <c r="K128" s="16">
        <v>170000</v>
      </c>
      <c r="L128" s="188">
        <f t="shared" si="17"/>
        <v>170000</v>
      </c>
      <c r="M128" s="15">
        <f>L128*10%</f>
        <v>17000</v>
      </c>
      <c r="N128" s="15">
        <f t="shared" si="18"/>
        <v>187000</v>
      </c>
      <c r="O128" s="5" t="s">
        <v>2571</v>
      </c>
      <c r="P128" s="175" t="s">
        <v>2644</v>
      </c>
      <c r="Q128" s="68" t="s">
        <v>206</v>
      </c>
      <c r="R128" s="212"/>
      <c r="S128" s="7"/>
    </row>
    <row r="129" spans="1:22" ht="16.5" customHeight="1">
      <c r="A129" t="s">
        <v>64</v>
      </c>
      <c r="B129" s="141" t="s">
        <v>144</v>
      </c>
      <c r="C129" s="12"/>
      <c r="D129" s="13">
        <v>45838</v>
      </c>
      <c r="E129" s="155" t="s">
        <v>275</v>
      </c>
      <c r="F129" s="155"/>
      <c r="G129" s="156" t="s">
        <v>30</v>
      </c>
      <c r="H129" s="156" t="s">
        <v>276</v>
      </c>
      <c r="I129" s="69" t="s">
        <v>323</v>
      </c>
      <c r="J129" s="122">
        <v>1</v>
      </c>
      <c r="K129" s="15">
        <v>80000</v>
      </c>
      <c r="L129" s="16">
        <f t="shared" si="17"/>
        <v>80000</v>
      </c>
      <c r="M129" s="16" t="s">
        <v>144</v>
      </c>
      <c r="N129" s="15">
        <f t="shared" ref="N129:N188" si="19">SUM(L129:M129)</f>
        <v>80000</v>
      </c>
      <c r="O129" s="5" t="s">
        <v>2571</v>
      </c>
      <c r="P129" s="175" t="s">
        <v>2644</v>
      </c>
      <c r="Q129" s="100" t="s">
        <v>206</v>
      </c>
      <c r="R129" s="212" t="s">
        <v>274</v>
      </c>
    </row>
    <row r="130" spans="1:22" ht="16.5" customHeight="1">
      <c r="A130" t="s">
        <v>64</v>
      </c>
      <c r="B130" s="141" t="s">
        <v>144</v>
      </c>
      <c r="C130" s="142"/>
      <c r="D130" s="13">
        <v>45838</v>
      </c>
      <c r="E130" s="155" t="s">
        <v>177</v>
      </c>
      <c r="F130" s="155"/>
      <c r="G130" s="156" t="s">
        <v>41</v>
      </c>
      <c r="H130" s="156" t="s">
        <v>711</v>
      </c>
      <c r="I130" s="159" t="s">
        <v>2529</v>
      </c>
      <c r="J130" s="124">
        <v>1</v>
      </c>
      <c r="K130" s="16">
        <v>10364</v>
      </c>
      <c r="L130" s="15">
        <f t="shared" si="17"/>
        <v>10364</v>
      </c>
      <c r="M130" s="15">
        <v>1036</v>
      </c>
      <c r="N130" s="15">
        <f t="shared" si="19"/>
        <v>11400</v>
      </c>
      <c r="O130" s="5" t="s">
        <v>2561</v>
      </c>
      <c r="P130" s="175" t="s">
        <v>2644</v>
      </c>
      <c r="Q130" s="68" t="s">
        <v>206</v>
      </c>
      <c r="R130" s="212"/>
      <c r="S130" s="7"/>
    </row>
    <row r="131" spans="1:22" ht="16.5" customHeight="1">
      <c r="A131" t="s">
        <v>64</v>
      </c>
      <c r="B131" s="141" t="s">
        <v>144</v>
      </c>
      <c r="C131" s="12"/>
      <c r="D131" s="13">
        <v>45838</v>
      </c>
      <c r="E131" s="155" t="s">
        <v>158</v>
      </c>
      <c r="F131" s="155"/>
      <c r="G131" s="156" t="s">
        <v>30</v>
      </c>
      <c r="H131" s="157" t="s">
        <v>145</v>
      </c>
      <c r="I131" s="69" t="s">
        <v>2530</v>
      </c>
      <c r="J131" s="122">
        <v>1</v>
      </c>
      <c r="K131" s="15">
        <v>69000</v>
      </c>
      <c r="L131" s="16">
        <f t="shared" si="17"/>
        <v>69000</v>
      </c>
      <c r="M131" s="15">
        <f t="shared" ref="M131:M149" si="20">L131*10%</f>
        <v>6900</v>
      </c>
      <c r="N131" s="15">
        <f t="shared" si="19"/>
        <v>75900</v>
      </c>
      <c r="O131" s="5" t="s">
        <v>2409</v>
      </c>
      <c r="P131" s="175" t="s">
        <v>2644</v>
      </c>
      <c r="Q131" s="68" t="s">
        <v>206</v>
      </c>
      <c r="R131" s="209"/>
      <c r="T131" s="11"/>
    </row>
    <row r="132" spans="1:22" ht="16.5" customHeight="1">
      <c r="A132" t="s">
        <v>64</v>
      </c>
      <c r="B132" s="10" t="s">
        <v>2424</v>
      </c>
      <c r="C132" s="12"/>
      <c r="D132" s="13">
        <v>45838</v>
      </c>
      <c r="E132" s="155" t="s">
        <v>2423</v>
      </c>
      <c r="F132" s="155" t="s">
        <v>961</v>
      </c>
      <c r="G132" s="156" t="s">
        <v>41</v>
      </c>
      <c r="H132" s="156" t="s">
        <v>2425</v>
      </c>
      <c r="I132" s="69" t="s">
        <v>2426</v>
      </c>
      <c r="J132" s="122">
        <v>1</v>
      </c>
      <c r="K132" s="15">
        <v>1000000</v>
      </c>
      <c r="L132" s="16">
        <f t="shared" si="17"/>
        <v>1000000</v>
      </c>
      <c r="M132" s="16">
        <f t="shared" si="20"/>
        <v>100000</v>
      </c>
      <c r="N132" s="15">
        <f t="shared" si="19"/>
        <v>1100000</v>
      </c>
      <c r="O132" s="5" t="s">
        <v>2578</v>
      </c>
      <c r="P132" s="9" t="s">
        <v>2636</v>
      </c>
      <c r="Q132" s="5">
        <v>45838</v>
      </c>
      <c r="R132" s="213"/>
    </row>
    <row r="133" spans="1:22" ht="16.5" customHeight="1">
      <c r="A133" t="s">
        <v>64</v>
      </c>
      <c r="B133" s="10" t="s">
        <v>2543</v>
      </c>
      <c r="C133" s="12"/>
      <c r="D133" s="13">
        <v>45838</v>
      </c>
      <c r="E133" s="155" t="s">
        <v>33</v>
      </c>
      <c r="F133" s="155" t="s">
        <v>661</v>
      </c>
      <c r="G133" s="156" t="s">
        <v>41</v>
      </c>
      <c r="H133" s="156" t="s">
        <v>2545</v>
      </c>
      <c r="I133" s="69" t="s">
        <v>2546</v>
      </c>
      <c r="J133" s="122">
        <v>1</v>
      </c>
      <c r="K133" s="15">
        <v>150000</v>
      </c>
      <c r="L133" s="16">
        <f t="shared" si="17"/>
        <v>150000</v>
      </c>
      <c r="M133" s="16">
        <f t="shared" si="20"/>
        <v>15000</v>
      </c>
      <c r="N133" s="15">
        <f t="shared" si="19"/>
        <v>165000</v>
      </c>
      <c r="O133" s="5" t="s">
        <v>2590</v>
      </c>
      <c r="P133" s="9" t="s">
        <v>2636</v>
      </c>
      <c r="Q133" s="5">
        <v>45869</v>
      </c>
      <c r="R133" s="213"/>
    </row>
    <row r="134" spans="1:22" ht="16.5" customHeight="1">
      <c r="A134" t="s">
        <v>64</v>
      </c>
      <c r="B134" s="10" t="s">
        <v>2544</v>
      </c>
      <c r="C134" s="12"/>
      <c r="D134" s="13">
        <v>45838</v>
      </c>
      <c r="E134" s="155" t="s">
        <v>33</v>
      </c>
      <c r="F134" s="155" t="s">
        <v>2549</v>
      </c>
      <c r="G134" s="156" t="s">
        <v>41</v>
      </c>
      <c r="H134" s="156" t="s">
        <v>2547</v>
      </c>
      <c r="I134" s="69" t="s">
        <v>2548</v>
      </c>
      <c r="J134" s="122">
        <v>1</v>
      </c>
      <c r="K134" s="15">
        <v>50000</v>
      </c>
      <c r="L134" s="16">
        <f t="shared" ref="L134" si="21">J134*K134</f>
        <v>50000</v>
      </c>
      <c r="M134" s="16">
        <f t="shared" si="20"/>
        <v>5000</v>
      </c>
      <c r="N134" s="15">
        <f t="shared" si="19"/>
        <v>55000</v>
      </c>
      <c r="O134" s="5" t="s">
        <v>2590</v>
      </c>
      <c r="P134" s="9" t="s">
        <v>2636</v>
      </c>
      <c r="Q134" s="5">
        <v>45849</v>
      </c>
      <c r="R134" s="213"/>
    </row>
    <row r="135" spans="1:22" ht="16.5" customHeight="1">
      <c r="A135" t="s">
        <v>64</v>
      </c>
      <c r="B135" s="10" t="s">
        <v>2280</v>
      </c>
      <c r="C135" s="12"/>
      <c r="D135" s="13">
        <v>45838</v>
      </c>
      <c r="E135" s="155" t="s">
        <v>2596</v>
      </c>
      <c r="F135" s="155" t="s">
        <v>2281</v>
      </c>
      <c r="G135" s="156" t="s">
        <v>41</v>
      </c>
      <c r="H135" s="156" t="s">
        <v>214</v>
      </c>
      <c r="I135" s="69" t="s">
        <v>2282</v>
      </c>
      <c r="J135" s="122">
        <v>3</v>
      </c>
      <c r="K135" s="15">
        <v>4561000</v>
      </c>
      <c r="L135" s="16">
        <f>J135*K135</f>
        <v>13683000</v>
      </c>
      <c r="M135" s="16">
        <f>L135*10%</f>
        <v>1368300</v>
      </c>
      <c r="N135" s="15">
        <f t="shared" si="19"/>
        <v>15051300</v>
      </c>
      <c r="O135" s="5" t="s">
        <v>2590</v>
      </c>
      <c r="P135" s="9" t="s">
        <v>2635</v>
      </c>
      <c r="Q135" s="5">
        <v>45867</v>
      </c>
      <c r="R135" s="213"/>
    </row>
    <row r="136" spans="1:22" ht="16.5" customHeight="1">
      <c r="A136" t="s">
        <v>64</v>
      </c>
      <c r="B136" s="10" t="s">
        <v>375</v>
      </c>
      <c r="C136" s="224" t="s">
        <v>376</v>
      </c>
      <c r="D136" s="13">
        <v>45818</v>
      </c>
      <c r="E136" s="155" t="s">
        <v>2625</v>
      </c>
      <c r="F136" s="155" t="s">
        <v>249</v>
      </c>
      <c r="G136" s="156" t="s">
        <v>7</v>
      </c>
      <c r="H136" s="156" t="s">
        <v>2627</v>
      </c>
      <c r="I136" s="69" t="s">
        <v>2305</v>
      </c>
      <c r="J136" s="122">
        <v>1</v>
      </c>
      <c r="K136" s="15">
        <v>56800</v>
      </c>
      <c r="L136" s="16">
        <f t="shared" ref="L136:L167" si="22">J136*K136</f>
        <v>56800</v>
      </c>
      <c r="M136" s="15">
        <f t="shared" si="20"/>
        <v>5680</v>
      </c>
      <c r="N136" s="15">
        <f t="shared" si="19"/>
        <v>62480</v>
      </c>
      <c r="O136" s="5" t="s">
        <v>2582</v>
      </c>
      <c r="P136" s="9" t="s">
        <v>2636</v>
      </c>
      <c r="Q136" s="5">
        <v>45471</v>
      </c>
      <c r="R136" s="209" t="s">
        <v>100</v>
      </c>
      <c r="U136" s="11"/>
      <c r="V136" s="8"/>
    </row>
    <row r="137" spans="1:22" ht="16.5" customHeight="1">
      <c r="A137" t="s">
        <v>64</v>
      </c>
      <c r="B137" s="10" t="s">
        <v>2316</v>
      </c>
      <c r="C137" s="12" t="s">
        <v>2306</v>
      </c>
      <c r="D137" s="13">
        <v>45818</v>
      </c>
      <c r="E137" s="155" t="s">
        <v>2625</v>
      </c>
      <c r="F137" s="155" t="s">
        <v>224</v>
      </c>
      <c r="G137" s="156" t="s">
        <v>7</v>
      </c>
      <c r="H137" s="156" t="s">
        <v>2627</v>
      </c>
      <c r="I137" s="69" t="s">
        <v>2314</v>
      </c>
      <c r="J137" s="122">
        <v>1</v>
      </c>
      <c r="K137" s="15">
        <v>390300</v>
      </c>
      <c r="L137" s="16">
        <f t="shared" si="22"/>
        <v>390300</v>
      </c>
      <c r="M137" s="16">
        <f t="shared" si="20"/>
        <v>39030</v>
      </c>
      <c r="N137" s="15">
        <f t="shared" si="19"/>
        <v>429330</v>
      </c>
      <c r="O137" s="5" t="s">
        <v>2582</v>
      </c>
      <c r="P137" s="9" t="s">
        <v>2636</v>
      </c>
      <c r="Q137" s="5">
        <v>45808</v>
      </c>
      <c r="R137" s="209"/>
      <c r="U137" s="11"/>
    </row>
    <row r="138" spans="1:22" ht="16.5" customHeight="1">
      <c r="A138" t="s">
        <v>64</v>
      </c>
      <c r="B138" s="10" t="s">
        <v>2316</v>
      </c>
      <c r="C138" s="12" t="s">
        <v>2306</v>
      </c>
      <c r="D138" s="13">
        <v>45818</v>
      </c>
      <c r="E138" s="155" t="s">
        <v>2625</v>
      </c>
      <c r="F138" s="155" t="s">
        <v>224</v>
      </c>
      <c r="G138" s="156" t="s">
        <v>7</v>
      </c>
      <c r="H138" s="156" t="s">
        <v>2627</v>
      </c>
      <c r="I138" s="69" t="s">
        <v>2311</v>
      </c>
      <c r="J138" s="122">
        <v>1</v>
      </c>
      <c r="K138" s="15">
        <v>390300</v>
      </c>
      <c r="L138" s="16">
        <f t="shared" si="22"/>
        <v>390300</v>
      </c>
      <c r="M138" s="16">
        <f t="shared" si="20"/>
        <v>39030</v>
      </c>
      <c r="N138" s="15">
        <f t="shared" si="19"/>
        <v>429330</v>
      </c>
      <c r="O138" s="5" t="s">
        <v>2582</v>
      </c>
      <c r="P138" s="9" t="s">
        <v>2636</v>
      </c>
      <c r="Q138" s="5">
        <v>45808</v>
      </c>
      <c r="R138" s="209"/>
      <c r="U138" s="11"/>
    </row>
    <row r="139" spans="1:22" ht="16.5" customHeight="1">
      <c r="A139" t="s">
        <v>64</v>
      </c>
      <c r="B139" s="10" t="s">
        <v>2316</v>
      </c>
      <c r="C139" s="12" t="s">
        <v>2307</v>
      </c>
      <c r="D139" s="13">
        <v>45818</v>
      </c>
      <c r="E139" s="155" t="s">
        <v>2625</v>
      </c>
      <c r="F139" s="155" t="s">
        <v>224</v>
      </c>
      <c r="G139" s="156" t="s">
        <v>7</v>
      </c>
      <c r="H139" s="156" t="s">
        <v>2627</v>
      </c>
      <c r="I139" s="69" t="s">
        <v>2308</v>
      </c>
      <c r="J139" s="122">
        <v>1</v>
      </c>
      <c r="K139" s="15">
        <v>390300</v>
      </c>
      <c r="L139" s="16">
        <f t="shared" si="22"/>
        <v>390300</v>
      </c>
      <c r="M139" s="16">
        <f t="shared" si="20"/>
        <v>39030</v>
      </c>
      <c r="N139" s="15">
        <f t="shared" si="19"/>
        <v>429330</v>
      </c>
      <c r="O139" s="5" t="s">
        <v>2582</v>
      </c>
      <c r="P139" s="9" t="s">
        <v>2636</v>
      </c>
      <c r="Q139" s="5">
        <v>45808</v>
      </c>
      <c r="R139" s="209"/>
      <c r="U139" s="11"/>
    </row>
    <row r="140" spans="1:22" ht="16.5" customHeight="1">
      <c r="A140" t="s">
        <v>64</v>
      </c>
      <c r="B140" s="10" t="s">
        <v>2316</v>
      </c>
      <c r="C140" s="12" t="s">
        <v>2310</v>
      </c>
      <c r="D140" s="13">
        <v>45818</v>
      </c>
      <c r="E140" s="155" t="s">
        <v>2625</v>
      </c>
      <c r="F140" s="155" t="s">
        <v>224</v>
      </c>
      <c r="G140" s="158" t="s">
        <v>16</v>
      </c>
      <c r="H140" s="247" t="s">
        <v>2626</v>
      </c>
      <c r="I140" s="69" t="s">
        <v>2309</v>
      </c>
      <c r="J140" s="122">
        <v>1</v>
      </c>
      <c r="K140" s="15">
        <v>6796233</v>
      </c>
      <c r="L140" s="16">
        <f t="shared" si="22"/>
        <v>6796233</v>
      </c>
      <c r="M140" s="16">
        <f t="shared" si="20"/>
        <v>679623.3</v>
      </c>
      <c r="N140" s="15">
        <f t="shared" si="19"/>
        <v>7475856.2999999998</v>
      </c>
      <c r="O140" s="5" t="s">
        <v>2582</v>
      </c>
      <c r="P140" s="9" t="s">
        <v>2636</v>
      </c>
      <c r="Q140" s="5">
        <v>45808</v>
      </c>
      <c r="R140" s="209"/>
      <c r="U140" s="11"/>
    </row>
    <row r="141" spans="1:22" ht="16.5" customHeight="1">
      <c r="A141" t="s">
        <v>64</v>
      </c>
      <c r="B141" s="10" t="s">
        <v>318</v>
      </c>
      <c r="C141" s="12" t="s">
        <v>317</v>
      </c>
      <c r="D141" s="13">
        <v>45819</v>
      </c>
      <c r="E141" s="155" t="s">
        <v>2625</v>
      </c>
      <c r="F141" s="155" t="s">
        <v>225</v>
      </c>
      <c r="G141" s="168" t="s">
        <v>7</v>
      </c>
      <c r="H141" s="156" t="s">
        <v>2627</v>
      </c>
      <c r="I141" s="69" t="s">
        <v>2315</v>
      </c>
      <c r="J141" s="122">
        <v>1</v>
      </c>
      <c r="K141" s="15">
        <v>44400</v>
      </c>
      <c r="L141" s="16">
        <f t="shared" si="22"/>
        <v>44400</v>
      </c>
      <c r="M141" s="15">
        <f t="shared" si="20"/>
        <v>4440</v>
      </c>
      <c r="N141" s="15">
        <f t="shared" si="19"/>
        <v>48840</v>
      </c>
      <c r="O141" s="5" t="s">
        <v>2582</v>
      </c>
      <c r="P141" s="9" t="s">
        <v>2636</v>
      </c>
      <c r="Q141" s="5">
        <v>45351</v>
      </c>
      <c r="R141" s="209" t="s">
        <v>100</v>
      </c>
    </row>
    <row r="142" spans="1:22" ht="16.5" customHeight="1">
      <c r="A142" t="s">
        <v>64</v>
      </c>
      <c r="B142" s="10" t="s">
        <v>377</v>
      </c>
      <c r="C142" s="12" t="s">
        <v>380</v>
      </c>
      <c r="D142" s="13">
        <v>45819</v>
      </c>
      <c r="E142" s="155" t="s">
        <v>2625</v>
      </c>
      <c r="F142" s="155" t="s">
        <v>219</v>
      </c>
      <c r="G142" s="168" t="s">
        <v>7</v>
      </c>
      <c r="H142" s="156" t="s">
        <v>2627</v>
      </c>
      <c r="I142" s="69" t="s">
        <v>2313</v>
      </c>
      <c r="J142" s="122">
        <v>1</v>
      </c>
      <c r="K142" s="15">
        <v>37180</v>
      </c>
      <c r="L142" s="16">
        <f t="shared" si="22"/>
        <v>37180</v>
      </c>
      <c r="M142" s="15">
        <f t="shared" si="20"/>
        <v>3718</v>
      </c>
      <c r="N142" s="15">
        <f t="shared" si="19"/>
        <v>40898</v>
      </c>
      <c r="O142" s="5" t="s">
        <v>2582</v>
      </c>
      <c r="P142" s="9" t="s">
        <v>2636</v>
      </c>
      <c r="Q142" s="5">
        <v>45808</v>
      </c>
      <c r="R142" s="209"/>
    </row>
    <row r="143" spans="1:22" ht="16.5" customHeight="1">
      <c r="A143" t="s">
        <v>64</v>
      </c>
      <c r="B143" s="10" t="s">
        <v>381</v>
      </c>
      <c r="C143" s="12" t="s">
        <v>382</v>
      </c>
      <c r="D143" s="13">
        <v>45821</v>
      </c>
      <c r="E143" s="155" t="s">
        <v>2625</v>
      </c>
      <c r="F143" s="155" t="s">
        <v>283</v>
      </c>
      <c r="G143" s="168" t="s">
        <v>7</v>
      </c>
      <c r="H143" s="156" t="s">
        <v>2627</v>
      </c>
      <c r="I143" s="69" t="s">
        <v>2344</v>
      </c>
      <c r="J143" s="122">
        <v>1</v>
      </c>
      <c r="K143" s="15">
        <v>262080</v>
      </c>
      <c r="L143" s="16">
        <f t="shared" si="22"/>
        <v>262080</v>
      </c>
      <c r="M143" s="15">
        <f t="shared" si="20"/>
        <v>26208</v>
      </c>
      <c r="N143" s="15">
        <f t="shared" si="19"/>
        <v>288288</v>
      </c>
      <c r="O143" s="5" t="s">
        <v>2582</v>
      </c>
      <c r="P143" s="9" t="s">
        <v>2636</v>
      </c>
      <c r="Q143" s="5">
        <v>45807</v>
      </c>
      <c r="R143" s="209"/>
    </row>
    <row r="144" spans="1:22" ht="16.5" customHeight="1">
      <c r="A144" t="s">
        <v>64</v>
      </c>
      <c r="B144" s="10" t="s">
        <v>2345</v>
      </c>
      <c r="C144" s="12" t="s">
        <v>360</v>
      </c>
      <c r="D144" s="13">
        <v>45824</v>
      </c>
      <c r="E144" s="155" t="s">
        <v>2625</v>
      </c>
      <c r="F144" s="155" t="s">
        <v>870</v>
      </c>
      <c r="G144" s="168" t="s">
        <v>7</v>
      </c>
      <c r="H144" s="156" t="s">
        <v>2627</v>
      </c>
      <c r="I144" s="69" t="s">
        <v>2346</v>
      </c>
      <c r="J144" s="122">
        <v>1</v>
      </c>
      <c r="K144" s="15">
        <v>796800</v>
      </c>
      <c r="L144" s="16">
        <f t="shared" si="22"/>
        <v>796800</v>
      </c>
      <c r="M144" s="16">
        <f t="shared" si="20"/>
        <v>79680</v>
      </c>
      <c r="N144" s="15">
        <f t="shared" si="19"/>
        <v>876480</v>
      </c>
      <c r="O144" s="5" t="s">
        <v>2584</v>
      </c>
      <c r="P144" s="9" t="s">
        <v>2636</v>
      </c>
      <c r="Q144" s="5">
        <v>45818</v>
      </c>
      <c r="R144" s="209"/>
    </row>
    <row r="145" spans="1:22" ht="16.5" customHeight="1">
      <c r="A145" t="s">
        <v>64</v>
      </c>
      <c r="B145" s="10" t="s">
        <v>104</v>
      </c>
      <c r="C145" s="12" t="s">
        <v>458</v>
      </c>
      <c r="D145" s="13">
        <v>45825</v>
      </c>
      <c r="E145" s="155" t="s">
        <v>2625</v>
      </c>
      <c r="F145" s="155" t="s">
        <v>2629</v>
      </c>
      <c r="G145" s="156" t="s">
        <v>41</v>
      </c>
      <c r="H145" s="156" t="s">
        <v>214</v>
      </c>
      <c r="I145" s="69" t="s">
        <v>2531</v>
      </c>
      <c r="J145" s="122">
        <v>1</v>
      </c>
      <c r="K145" s="16">
        <v>910700</v>
      </c>
      <c r="L145" s="16">
        <f t="shared" si="22"/>
        <v>910700</v>
      </c>
      <c r="M145" s="16">
        <f t="shared" si="20"/>
        <v>91070</v>
      </c>
      <c r="N145" s="15">
        <f t="shared" si="19"/>
        <v>1001770</v>
      </c>
      <c r="O145" s="5" t="s">
        <v>2584</v>
      </c>
      <c r="P145" s="9" t="s">
        <v>2636</v>
      </c>
      <c r="Q145" s="5">
        <v>45595</v>
      </c>
      <c r="R145" s="209" t="s">
        <v>100</v>
      </c>
    </row>
    <row r="146" spans="1:22" ht="16.5" customHeight="1">
      <c r="A146" t="s">
        <v>64</v>
      </c>
      <c r="B146" s="10" t="s">
        <v>370</v>
      </c>
      <c r="C146" s="12" t="s">
        <v>388</v>
      </c>
      <c r="D146" s="13">
        <v>45826</v>
      </c>
      <c r="E146" s="155" t="s">
        <v>2625</v>
      </c>
      <c r="F146" s="155" t="s">
        <v>252</v>
      </c>
      <c r="G146" s="156" t="s">
        <v>7</v>
      </c>
      <c r="H146" s="156" t="s">
        <v>2627</v>
      </c>
      <c r="I146" s="69" t="s">
        <v>2305</v>
      </c>
      <c r="J146" s="122">
        <v>1</v>
      </c>
      <c r="K146" s="15">
        <v>31320</v>
      </c>
      <c r="L146" s="16">
        <f t="shared" si="22"/>
        <v>31320</v>
      </c>
      <c r="M146" s="15">
        <f t="shared" si="20"/>
        <v>3132</v>
      </c>
      <c r="N146" s="15">
        <f t="shared" si="19"/>
        <v>34452</v>
      </c>
      <c r="O146" s="5" t="s">
        <v>2584</v>
      </c>
      <c r="P146" s="9" t="s">
        <v>2636</v>
      </c>
      <c r="Q146" s="5">
        <v>45471</v>
      </c>
      <c r="R146" s="209" t="s">
        <v>100</v>
      </c>
      <c r="U146" s="11"/>
      <c r="V146" s="8"/>
    </row>
    <row r="147" spans="1:22" ht="16.5" customHeight="1">
      <c r="A147" t="s">
        <v>64</v>
      </c>
      <c r="B147" s="10" t="s">
        <v>2518</v>
      </c>
      <c r="C147" s="12" t="s">
        <v>2519</v>
      </c>
      <c r="D147" s="13">
        <v>45827</v>
      </c>
      <c r="E147" s="155" t="s">
        <v>2625</v>
      </c>
      <c r="F147" s="155" t="s">
        <v>252</v>
      </c>
      <c r="G147" s="156" t="s">
        <v>16</v>
      </c>
      <c r="H147" s="156" t="s">
        <v>2626</v>
      </c>
      <c r="I147" s="69" t="s">
        <v>2370</v>
      </c>
      <c r="J147" s="122">
        <v>1</v>
      </c>
      <c r="K147" s="15">
        <v>662400</v>
      </c>
      <c r="L147" s="16">
        <f t="shared" si="22"/>
        <v>662400</v>
      </c>
      <c r="M147" s="16">
        <f t="shared" si="20"/>
        <v>66240</v>
      </c>
      <c r="N147" s="15">
        <f t="shared" si="19"/>
        <v>728640</v>
      </c>
      <c r="O147" s="5" t="s">
        <v>2584</v>
      </c>
      <c r="P147" s="9" t="s">
        <v>2636</v>
      </c>
      <c r="Q147" s="5">
        <v>45813</v>
      </c>
      <c r="R147" s="213"/>
    </row>
    <row r="148" spans="1:22" ht="16.5" customHeight="1">
      <c r="A148" t="s">
        <v>64</v>
      </c>
      <c r="B148" s="10" t="s">
        <v>2569</v>
      </c>
      <c r="C148" s="12" t="s">
        <v>2372</v>
      </c>
      <c r="D148" s="13">
        <v>45828</v>
      </c>
      <c r="E148" s="155" t="s">
        <v>2625</v>
      </c>
      <c r="F148" s="155" t="s">
        <v>870</v>
      </c>
      <c r="G148" s="156" t="s">
        <v>16</v>
      </c>
      <c r="H148" s="156" t="s">
        <v>2626</v>
      </c>
      <c r="I148" s="69" t="s">
        <v>2399</v>
      </c>
      <c r="J148" s="122">
        <v>1</v>
      </c>
      <c r="K148" s="15">
        <v>2353680</v>
      </c>
      <c r="L148" s="16">
        <f t="shared" si="22"/>
        <v>2353680</v>
      </c>
      <c r="M148" s="16">
        <f t="shared" si="20"/>
        <v>235368</v>
      </c>
      <c r="N148" s="15">
        <f t="shared" si="19"/>
        <v>2589048</v>
      </c>
      <c r="O148" s="5" t="s">
        <v>2586</v>
      </c>
      <c r="P148" s="9" t="s">
        <v>2636</v>
      </c>
      <c r="Q148" s="5">
        <v>45834</v>
      </c>
      <c r="R148" s="209"/>
    </row>
    <row r="149" spans="1:22" ht="16.5" customHeight="1">
      <c r="A149" t="s">
        <v>64</v>
      </c>
      <c r="B149" s="10" t="s">
        <v>2396</v>
      </c>
      <c r="C149" s="12" t="s">
        <v>2373</v>
      </c>
      <c r="D149" s="13">
        <v>45830</v>
      </c>
      <c r="E149" s="155" t="s">
        <v>2625</v>
      </c>
      <c r="F149" s="155" t="s">
        <v>2397</v>
      </c>
      <c r="G149" s="156" t="s">
        <v>16</v>
      </c>
      <c r="H149" s="156" t="s">
        <v>2626</v>
      </c>
      <c r="I149" s="69" t="s">
        <v>2398</v>
      </c>
      <c r="J149" s="122">
        <v>1</v>
      </c>
      <c r="K149" s="15">
        <v>36064360</v>
      </c>
      <c r="L149" s="16">
        <f t="shared" si="22"/>
        <v>36064360</v>
      </c>
      <c r="M149" s="16">
        <f t="shared" si="20"/>
        <v>3606436</v>
      </c>
      <c r="N149" s="15">
        <f t="shared" si="19"/>
        <v>39670796</v>
      </c>
      <c r="O149" s="5" t="s">
        <v>2587</v>
      </c>
      <c r="P149" s="9" t="s">
        <v>2636</v>
      </c>
      <c r="Q149" s="5">
        <v>45384</v>
      </c>
      <c r="R149" s="213"/>
    </row>
    <row r="150" spans="1:22" ht="16.5" customHeight="1">
      <c r="A150" t="s">
        <v>64</v>
      </c>
      <c r="B150" s="10" t="s">
        <v>144</v>
      </c>
      <c r="C150" s="12" t="s">
        <v>459</v>
      </c>
      <c r="D150" s="13">
        <v>45832</v>
      </c>
      <c r="E150" s="155" t="s">
        <v>2625</v>
      </c>
      <c r="F150" s="155" t="s">
        <v>215</v>
      </c>
      <c r="G150" s="156" t="s">
        <v>41</v>
      </c>
      <c r="H150" s="156" t="s">
        <v>214</v>
      </c>
      <c r="I150" s="69" t="s">
        <v>2389</v>
      </c>
      <c r="J150" s="122">
        <v>1</v>
      </c>
      <c r="K150" s="15">
        <v>1666322</v>
      </c>
      <c r="L150" s="16">
        <f t="shared" si="22"/>
        <v>1666322</v>
      </c>
      <c r="M150" s="16">
        <v>166632</v>
      </c>
      <c r="N150" s="15">
        <f t="shared" si="19"/>
        <v>1832954</v>
      </c>
      <c r="O150" s="5" t="s">
        <v>2588</v>
      </c>
      <c r="P150" s="9" t="s">
        <v>2636</v>
      </c>
      <c r="Q150" s="182" t="s">
        <v>215</v>
      </c>
      <c r="R150" s="209"/>
      <c r="U150" s="11"/>
    </row>
    <row r="151" spans="1:22" ht="16.5" customHeight="1">
      <c r="A151" t="s">
        <v>64</v>
      </c>
      <c r="B151" s="10" t="s">
        <v>436</v>
      </c>
      <c r="C151" s="12" t="s">
        <v>430</v>
      </c>
      <c r="D151" s="13">
        <v>45837</v>
      </c>
      <c r="E151" s="155" t="s">
        <v>2625</v>
      </c>
      <c r="F151" s="155" t="s">
        <v>226</v>
      </c>
      <c r="G151" s="156" t="s">
        <v>7</v>
      </c>
      <c r="H151" s="156" t="s">
        <v>2627</v>
      </c>
      <c r="I151" s="69" t="s">
        <v>2557</v>
      </c>
      <c r="J151" s="122">
        <v>1</v>
      </c>
      <c r="K151" s="15">
        <v>243310</v>
      </c>
      <c r="L151" s="16">
        <f t="shared" si="22"/>
        <v>243310</v>
      </c>
      <c r="M151" s="15">
        <v>24331</v>
      </c>
      <c r="N151" s="15">
        <f t="shared" si="19"/>
        <v>267641</v>
      </c>
      <c r="O151" s="5" t="s">
        <v>2589</v>
      </c>
      <c r="P151" s="9" t="s">
        <v>2636</v>
      </c>
      <c r="Q151" s="5">
        <v>45504</v>
      </c>
      <c r="R151" s="209" t="s">
        <v>100</v>
      </c>
    </row>
    <row r="152" spans="1:22" ht="16.5" customHeight="1">
      <c r="A152" t="s">
        <v>64</v>
      </c>
      <c r="B152" s="10" t="s">
        <v>439</v>
      </c>
      <c r="C152" s="12" t="s">
        <v>438</v>
      </c>
      <c r="D152" s="13">
        <v>45838</v>
      </c>
      <c r="E152" s="155" t="s">
        <v>2625</v>
      </c>
      <c r="F152" s="155" t="s">
        <v>226</v>
      </c>
      <c r="G152" s="156" t="s">
        <v>98</v>
      </c>
      <c r="H152" s="156" t="s">
        <v>2627</v>
      </c>
      <c r="I152" s="69" t="s">
        <v>2295</v>
      </c>
      <c r="J152" s="122">
        <v>1</v>
      </c>
      <c r="K152" s="15">
        <v>226200</v>
      </c>
      <c r="L152" s="16">
        <f t="shared" si="22"/>
        <v>226200</v>
      </c>
      <c r="M152" s="15">
        <f t="shared" ref="M152:M161" si="23">L152*10%</f>
        <v>22620</v>
      </c>
      <c r="N152" s="15">
        <f t="shared" si="19"/>
        <v>248820</v>
      </c>
      <c r="O152" s="5" t="s">
        <v>2590</v>
      </c>
      <c r="P152" s="9" t="s">
        <v>2636</v>
      </c>
      <c r="Q152" s="5">
        <v>45565</v>
      </c>
      <c r="R152" s="209" t="s">
        <v>100</v>
      </c>
    </row>
    <row r="153" spans="1:22" ht="16.5" customHeight="1">
      <c r="A153" t="s">
        <v>64</v>
      </c>
      <c r="B153" s="10" t="s">
        <v>445</v>
      </c>
      <c r="C153" s="12" t="s">
        <v>440</v>
      </c>
      <c r="D153" s="13">
        <v>45838</v>
      </c>
      <c r="E153" s="155" t="s">
        <v>2625</v>
      </c>
      <c r="F153" s="155" t="s">
        <v>223</v>
      </c>
      <c r="G153" s="168" t="s">
        <v>7</v>
      </c>
      <c r="H153" s="156" t="s">
        <v>2627</v>
      </c>
      <c r="I153" s="69" t="s">
        <v>2245</v>
      </c>
      <c r="J153" s="122">
        <v>1</v>
      </c>
      <c r="K153" s="15">
        <v>78000</v>
      </c>
      <c r="L153" s="16">
        <f t="shared" si="22"/>
        <v>78000</v>
      </c>
      <c r="M153" s="15">
        <f t="shared" si="23"/>
        <v>7800</v>
      </c>
      <c r="N153" s="15">
        <f t="shared" si="19"/>
        <v>85800</v>
      </c>
      <c r="O153" s="5" t="s">
        <v>2590</v>
      </c>
      <c r="P153" s="9" t="s">
        <v>2636</v>
      </c>
      <c r="Q153" s="5">
        <v>45565</v>
      </c>
      <c r="R153" s="209" t="s">
        <v>100</v>
      </c>
    </row>
    <row r="154" spans="1:22" ht="16.5" customHeight="1">
      <c r="A154" t="s">
        <v>64</v>
      </c>
      <c r="B154" s="10" t="s">
        <v>446</v>
      </c>
      <c r="C154" s="12" t="s">
        <v>441</v>
      </c>
      <c r="D154" s="13">
        <v>45838</v>
      </c>
      <c r="E154" s="155" t="s">
        <v>2625</v>
      </c>
      <c r="F154" s="155" t="s">
        <v>216</v>
      </c>
      <c r="G154" s="168" t="s">
        <v>7</v>
      </c>
      <c r="H154" s="156" t="s">
        <v>2627</v>
      </c>
      <c r="I154" s="69" t="s">
        <v>2609</v>
      </c>
      <c r="J154" s="122">
        <v>1</v>
      </c>
      <c r="K154" s="15">
        <v>534900</v>
      </c>
      <c r="L154" s="16">
        <f t="shared" si="22"/>
        <v>534900</v>
      </c>
      <c r="M154" s="15">
        <f t="shared" si="23"/>
        <v>53490</v>
      </c>
      <c r="N154" s="15">
        <f t="shared" si="19"/>
        <v>588390</v>
      </c>
      <c r="O154" s="5" t="s">
        <v>2590</v>
      </c>
      <c r="P154" s="9" t="s">
        <v>2636</v>
      </c>
      <c r="Q154" s="5">
        <v>45560</v>
      </c>
      <c r="R154" s="209" t="s">
        <v>100</v>
      </c>
    </row>
    <row r="155" spans="1:22" ht="16.5" customHeight="1">
      <c r="A155" t="s">
        <v>64</v>
      </c>
      <c r="B155" s="10" t="s">
        <v>232</v>
      </c>
      <c r="C155" s="12" t="s">
        <v>233</v>
      </c>
      <c r="D155" s="13">
        <v>45838</v>
      </c>
      <c r="E155" s="155" t="s">
        <v>2625</v>
      </c>
      <c r="F155" s="163" t="s">
        <v>234</v>
      </c>
      <c r="G155" s="168" t="s">
        <v>7</v>
      </c>
      <c r="H155" s="156" t="s">
        <v>2627</v>
      </c>
      <c r="I155" s="69" t="s">
        <v>2461</v>
      </c>
      <c r="J155" s="122">
        <v>1</v>
      </c>
      <c r="K155" s="15">
        <v>58800</v>
      </c>
      <c r="L155" s="16">
        <f t="shared" si="22"/>
        <v>58800</v>
      </c>
      <c r="M155" s="15">
        <f t="shared" si="23"/>
        <v>5880</v>
      </c>
      <c r="N155" s="15">
        <f t="shared" si="19"/>
        <v>64680</v>
      </c>
      <c r="O155" s="5" t="s">
        <v>2590</v>
      </c>
      <c r="P155" s="9" t="s">
        <v>2636</v>
      </c>
      <c r="Q155" s="5">
        <v>45748</v>
      </c>
      <c r="R155" s="209" t="s">
        <v>147</v>
      </c>
      <c r="U155" s="11"/>
      <c r="V155" s="8"/>
    </row>
    <row r="156" spans="1:22" ht="16.5" customHeight="1">
      <c r="A156" t="s">
        <v>64</v>
      </c>
      <c r="B156" s="10" t="s">
        <v>461</v>
      </c>
      <c r="C156" s="12" t="s">
        <v>238</v>
      </c>
      <c r="D156" s="13">
        <v>45838</v>
      </c>
      <c r="E156" s="155" t="s">
        <v>2625</v>
      </c>
      <c r="F156" s="155" t="s">
        <v>239</v>
      </c>
      <c r="G156" s="168" t="s">
        <v>7</v>
      </c>
      <c r="H156" s="156" t="s">
        <v>2627</v>
      </c>
      <c r="I156" s="69" t="s">
        <v>2462</v>
      </c>
      <c r="J156" s="122">
        <v>1</v>
      </c>
      <c r="K156" s="15">
        <v>115800</v>
      </c>
      <c r="L156" s="16">
        <f t="shared" si="22"/>
        <v>115800</v>
      </c>
      <c r="M156" s="15">
        <f t="shared" si="23"/>
        <v>11580</v>
      </c>
      <c r="N156" s="15">
        <f t="shared" si="19"/>
        <v>127380</v>
      </c>
      <c r="O156" s="5" t="s">
        <v>2590</v>
      </c>
      <c r="P156" s="9" t="s">
        <v>2636</v>
      </c>
      <c r="Q156" s="5">
        <v>45838</v>
      </c>
      <c r="R156" s="209" t="s">
        <v>147</v>
      </c>
      <c r="U156" s="11"/>
      <c r="V156" s="8"/>
    </row>
    <row r="157" spans="1:22" ht="16.5" customHeight="1">
      <c r="A157" t="s">
        <v>64</v>
      </c>
      <c r="B157" s="10" t="s">
        <v>597</v>
      </c>
      <c r="C157" s="12" t="s">
        <v>1362</v>
      </c>
      <c r="D157" s="13">
        <v>45838</v>
      </c>
      <c r="E157" s="155" t="s">
        <v>2625</v>
      </c>
      <c r="F157" s="155" t="s">
        <v>584</v>
      </c>
      <c r="G157" s="156" t="s">
        <v>7</v>
      </c>
      <c r="H157" s="156" t="s">
        <v>2628</v>
      </c>
      <c r="I157" s="69" t="s">
        <v>2463</v>
      </c>
      <c r="J157" s="124">
        <v>1</v>
      </c>
      <c r="K157" s="15">
        <v>666000</v>
      </c>
      <c r="L157" s="16">
        <f t="shared" si="22"/>
        <v>666000</v>
      </c>
      <c r="M157" s="16">
        <f t="shared" si="23"/>
        <v>66600</v>
      </c>
      <c r="N157" s="15">
        <f t="shared" si="19"/>
        <v>732600</v>
      </c>
      <c r="O157" s="5" t="s">
        <v>2590</v>
      </c>
      <c r="P157" s="9" t="s">
        <v>2636</v>
      </c>
      <c r="Q157" s="5">
        <v>45838</v>
      </c>
      <c r="R157" s="209"/>
    </row>
    <row r="158" spans="1:22" ht="16.5" customHeight="1">
      <c r="A158" t="s">
        <v>64</v>
      </c>
      <c r="B158" s="10" t="s">
        <v>1363</v>
      </c>
      <c r="C158" s="12" t="s">
        <v>1632</v>
      </c>
      <c r="D158" s="13">
        <v>45838</v>
      </c>
      <c r="E158" s="155" t="s">
        <v>2625</v>
      </c>
      <c r="F158" s="155" t="s">
        <v>584</v>
      </c>
      <c r="G158" s="156" t="s">
        <v>7</v>
      </c>
      <c r="H158" s="156" t="s">
        <v>2628</v>
      </c>
      <c r="I158" s="69" t="s">
        <v>2464</v>
      </c>
      <c r="J158" s="124">
        <v>1</v>
      </c>
      <c r="K158" s="15">
        <v>8742600</v>
      </c>
      <c r="L158" s="16">
        <f t="shared" si="22"/>
        <v>8742600</v>
      </c>
      <c r="M158" s="16">
        <f t="shared" si="23"/>
        <v>874260</v>
      </c>
      <c r="N158" s="15">
        <f t="shared" si="19"/>
        <v>9616860</v>
      </c>
      <c r="O158" s="5" t="s">
        <v>2590</v>
      </c>
      <c r="P158" s="9" t="s">
        <v>2636</v>
      </c>
      <c r="Q158" s="5">
        <v>45838</v>
      </c>
      <c r="R158" s="209"/>
    </row>
    <row r="159" spans="1:22" ht="16.5" customHeight="1">
      <c r="A159" t="s">
        <v>64</v>
      </c>
      <c r="B159" s="10" t="s">
        <v>260</v>
      </c>
      <c r="C159" s="12" t="s">
        <v>261</v>
      </c>
      <c r="D159" s="13">
        <v>45838</v>
      </c>
      <c r="E159" s="155" t="s">
        <v>2625</v>
      </c>
      <c r="F159" s="155" t="s">
        <v>250</v>
      </c>
      <c r="G159" s="168" t="s">
        <v>7</v>
      </c>
      <c r="H159" s="156" t="s">
        <v>2627</v>
      </c>
      <c r="I159" s="69" t="s">
        <v>2465</v>
      </c>
      <c r="J159" s="122">
        <v>1</v>
      </c>
      <c r="K159" s="15">
        <v>9980400</v>
      </c>
      <c r="L159" s="16">
        <f t="shared" si="22"/>
        <v>9980400</v>
      </c>
      <c r="M159" s="15">
        <f t="shared" si="23"/>
        <v>998040</v>
      </c>
      <c r="N159" s="15">
        <f t="shared" si="19"/>
        <v>10978440</v>
      </c>
      <c r="O159" s="5" t="s">
        <v>2590</v>
      </c>
      <c r="P159" s="9" t="s">
        <v>2636</v>
      </c>
      <c r="Q159" s="5">
        <v>45838</v>
      </c>
      <c r="R159" s="209"/>
      <c r="U159" s="11"/>
      <c r="V159" s="8"/>
    </row>
    <row r="160" spans="1:22" ht="16.5" customHeight="1">
      <c r="A160" t="s">
        <v>64</v>
      </c>
      <c r="B160" s="10" t="s">
        <v>245</v>
      </c>
      <c r="C160" s="12" t="s">
        <v>246</v>
      </c>
      <c r="D160" s="13">
        <v>45838</v>
      </c>
      <c r="E160" s="155" t="s">
        <v>2625</v>
      </c>
      <c r="F160" s="155" t="s">
        <v>247</v>
      </c>
      <c r="G160" s="156" t="s">
        <v>7</v>
      </c>
      <c r="H160" s="156" t="s">
        <v>2627</v>
      </c>
      <c r="I160" s="69" t="s">
        <v>2466</v>
      </c>
      <c r="J160" s="122">
        <v>1</v>
      </c>
      <c r="K160" s="15">
        <v>132600</v>
      </c>
      <c r="L160" s="16">
        <f t="shared" si="22"/>
        <v>132600</v>
      </c>
      <c r="M160" s="15">
        <f t="shared" si="23"/>
        <v>13260</v>
      </c>
      <c r="N160" s="15">
        <f t="shared" si="19"/>
        <v>145860</v>
      </c>
      <c r="O160" s="5" t="s">
        <v>2590</v>
      </c>
      <c r="P160" s="9" t="s">
        <v>2636</v>
      </c>
      <c r="Q160" s="5">
        <v>45057</v>
      </c>
      <c r="R160" s="209" t="s">
        <v>100</v>
      </c>
      <c r="U160" s="11"/>
      <c r="V160" s="8"/>
    </row>
    <row r="161" spans="1:22" ht="16.5" customHeight="1">
      <c r="A161" t="s">
        <v>64</v>
      </c>
      <c r="B161" s="10" t="s">
        <v>1365</v>
      </c>
      <c r="C161" s="12" t="s">
        <v>1366</v>
      </c>
      <c r="D161" s="13">
        <v>45838</v>
      </c>
      <c r="E161" s="155" t="s">
        <v>2625</v>
      </c>
      <c r="F161" s="155" t="s">
        <v>224</v>
      </c>
      <c r="G161" s="168" t="s">
        <v>7</v>
      </c>
      <c r="H161" s="156" t="s">
        <v>2627</v>
      </c>
      <c r="I161" s="69" t="s">
        <v>2467</v>
      </c>
      <c r="J161" s="122">
        <v>1</v>
      </c>
      <c r="K161" s="15">
        <v>475200</v>
      </c>
      <c r="L161" s="16">
        <f t="shared" si="22"/>
        <v>475200</v>
      </c>
      <c r="M161" s="15">
        <f t="shared" si="23"/>
        <v>47520</v>
      </c>
      <c r="N161" s="15">
        <f t="shared" si="19"/>
        <v>522720</v>
      </c>
      <c r="O161" s="5" t="s">
        <v>2590</v>
      </c>
      <c r="P161" s="9" t="s">
        <v>2636</v>
      </c>
      <c r="Q161" s="5">
        <v>45681</v>
      </c>
      <c r="R161" s="209" t="s">
        <v>100</v>
      </c>
    </row>
    <row r="162" spans="1:22" ht="16.5" customHeight="1">
      <c r="A162" t="s">
        <v>64</v>
      </c>
      <c r="B162" s="10" t="s">
        <v>387</v>
      </c>
      <c r="C162" s="12" t="s">
        <v>217</v>
      </c>
      <c r="D162" s="13">
        <v>45838</v>
      </c>
      <c r="E162" s="155" t="s">
        <v>2625</v>
      </c>
      <c r="F162" s="155" t="s">
        <v>218</v>
      </c>
      <c r="G162" s="168" t="s">
        <v>7</v>
      </c>
      <c r="H162" s="156" t="s">
        <v>2627</v>
      </c>
      <c r="I162" s="69" t="s">
        <v>2468</v>
      </c>
      <c r="J162" s="122">
        <v>1</v>
      </c>
      <c r="K162" s="15">
        <v>5338296</v>
      </c>
      <c r="L162" s="16">
        <f t="shared" si="22"/>
        <v>5338296</v>
      </c>
      <c r="M162" s="15">
        <v>533829</v>
      </c>
      <c r="N162" s="15">
        <f t="shared" si="19"/>
        <v>5872125</v>
      </c>
      <c r="O162" s="5" t="s">
        <v>2590</v>
      </c>
      <c r="P162" s="9" t="s">
        <v>2636</v>
      </c>
      <c r="Q162" s="5">
        <v>45838</v>
      </c>
      <c r="R162" s="209"/>
      <c r="U162" s="11"/>
      <c r="V162" s="8"/>
    </row>
    <row r="163" spans="1:22" ht="16.5" customHeight="1">
      <c r="A163" t="s">
        <v>64</v>
      </c>
      <c r="B163" s="10" t="s">
        <v>227</v>
      </c>
      <c r="C163" s="12" t="s">
        <v>383</v>
      </c>
      <c r="D163" s="13">
        <v>45838</v>
      </c>
      <c r="E163" s="155" t="s">
        <v>2625</v>
      </c>
      <c r="F163" s="155" t="s">
        <v>228</v>
      </c>
      <c r="G163" s="156" t="s">
        <v>7</v>
      </c>
      <c r="H163" s="156" t="s">
        <v>2627</v>
      </c>
      <c r="I163" s="69" t="s">
        <v>2469</v>
      </c>
      <c r="J163" s="122">
        <v>1</v>
      </c>
      <c r="K163" s="15">
        <v>18000</v>
      </c>
      <c r="L163" s="16">
        <f t="shared" si="22"/>
        <v>18000</v>
      </c>
      <c r="M163" s="15">
        <f>L163*10%</f>
        <v>1800</v>
      </c>
      <c r="N163" s="15">
        <f t="shared" si="19"/>
        <v>19800</v>
      </c>
      <c r="O163" s="5" t="s">
        <v>2590</v>
      </c>
      <c r="P163" s="9" t="s">
        <v>2636</v>
      </c>
      <c r="Q163" s="5">
        <v>45195</v>
      </c>
      <c r="R163" s="209" t="s">
        <v>100</v>
      </c>
      <c r="U163" s="11"/>
      <c r="V163" s="8"/>
    </row>
    <row r="164" spans="1:22" ht="16.5" customHeight="1">
      <c r="A164" t="s">
        <v>64</v>
      </c>
      <c r="B164" s="10" t="s">
        <v>348</v>
      </c>
      <c r="C164" s="12" t="s">
        <v>412</v>
      </c>
      <c r="D164" s="13">
        <v>45838</v>
      </c>
      <c r="E164" s="155" t="s">
        <v>2625</v>
      </c>
      <c r="F164" s="155" t="s">
        <v>347</v>
      </c>
      <c r="G164" s="168" t="s">
        <v>7</v>
      </c>
      <c r="H164" s="156" t="s">
        <v>2627</v>
      </c>
      <c r="I164" s="69" t="s">
        <v>2470</v>
      </c>
      <c r="J164" s="122">
        <v>1</v>
      </c>
      <c r="K164" s="15">
        <v>90000</v>
      </c>
      <c r="L164" s="16">
        <f t="shared" si="22"/>
        <v>90000</v>
      </c>
      <c r="M164" s="15">
        <f>L164*10%</f>
        <v>9000</v>
      </c>
      <c r="N164" s="15">
        <f t="shared" si="19"/>
        <v>99000</v>
      </c>
      <c r="O164" s="5" t="s">
        <v>2590</v>
      </c>
      <c r="P164" s="9" t="s">
        <v>2636</v>
      </c>
      <c r="Q164" s="5">
        <v>45278</v>
      </c>
      <c r="R164" s="209" t="s">
        <v>100</v>
      </c>
    </row>
    <row r="165" spans="1:22" ht="16.5" customHeight="1">
      <c r="A165" t="s">
        <v>64</v>
      </c>
      <c r="B165" s="10" t="s">
        <v>294</v>
      </c>
      <c r="C165" s="12" t="s">
        <v>289</v>
      </c>
      <c r="D165" s="13">
        <v>45838</v>
      </c>
      <c r="E165" s="155" t="s">
        <v>2625</v>
      </c>
      <c r="F165" s="155" t="s">
        <v>295</v>
      </c>
      <c r="G165" s="168" t="s">
        <v>7</v>
      </c>
      <c r="H165" s="156" t="s">
        <v>2627</v>
      </c>
      <c r="I165" s="69" t="s">
        <v>2471</v>
      </c>
      <c r="J165" s="122">
        <v>1</v>
      </c>
      <c r="K165" s="15">
        <v>976200</v>
      </c>
      <c r="L165" s="16">
        <f t="shared" si="22"/>
        <v>976200</v>
      </c>
      <c r="M165" s="15">
        <f>L165*10%</f>
        <v>97620</v>
      </c>
      <c r="N165" s="15">
        <f t="shared" si="19"/>
        <v>1073820</v>
      </c>
      <c r="O165" s="5" t="s">
        <v>2590</v>
      </c>
      <c r="P165" s="9" t="s">
        <v>2636</v>
      </c>
      <c r="Q165" s="5">
        <v>45853</v>
      </c>
      <c r="R165" s="209"/>
    </row>
    <row r="166" spans="1:22" ht="16.5" customHeight="1">
      <c r="A166" t="s">
        <v>64</v>
      </c>
      <c r="B166" s="10" t="s">
        <v>306</v>
      </c>
      <c r="C166" s="12" t="s">
        <v>305</v>
      </c>
      <c r="D166" s="13">
        <v>45838</v>
      </c>
      <c r="E166" s="155" t="s">
        <v>2625</v>
      </c>
      <c r="F166" s="155" t="s">
        <v>310</v>
      </c>
      <c r="G166" s="168" t="s">
        <v>7</v>
      </c>
      <c r="H166" s="156" t="s">
        <v>2627</v>
      </c>
      <c r="I166" s="69" t="s">
        <v>2473</v>
      </c>
      <c r="J166" s="122">
        <v>1</v>
      </c>
      <c r="K166" s="15">
        <v>511500</v>
      </c>
      <c r="L166" s="16">
        <f t="shared" si="22"/>
        <v>511500</v>
      </c>
      <c r="M166" s="15">
        <f>L166*10%</f>
        <v>51150</v>
      </c>
      <c r="N166" s="15">
        <f t="shared" si="19"/>
        <v>562650</v>
      </c>
      <c r="O166" s="5" t="s">
        <v>2590</v>
      </c>
      <c r="P166" s="9" t="s">
        <v>2636</v>
      </c>
      <c r="Q166" s="5">
        <v>45838</v>
      </c>
      <c r="R166" s="209"/>
    </row>
    <row r="167" spans="1:22">
      <c r="A167" t="s">
        <v>64</v>
      </c>
      <c r="B167" s="10" t="s">
        <v>355</v>
      </c>
      <c r="C167" s="139" t="s">
        <v>350</v>
      </c>
      <c r="D167" s="13">
        <v>45838</v>
      </c>
      <c r="E167" s="155" t="s">
        <v>2625</v>
      </c>
      <c r="F167" s="155" t="s">
        <v>351</v>
      </c>
      <c r="G167" s="156" t="s">
        <v>7</v>
      </c>
      <c r="H167" s="156" t="s">
        <v>2627</v>
      </c>
      <c r="I167" s="69" t="s">
        <v>2474</v>
      </c>
      <c r="J167" s="122">
        <v>1</v>
      </c>
      <c r="K167" s="15">
        <v>518541</v>
      </c>
      <c r="L167" s="16">
        <f t="shared" si="22"/>
        <v>518541</v>
      </c>
      <c r="M167" s="15">
        <v>51854</v>
      </c>
      <c r="N167" s="15">
        <f t="shared" si="19"/>
        <v>570395</v>
      </c>
      <c r="O167" s="5" t="s">
        <v>2590</v>
      </c>
      <c r="P167" s="9" t="s">
        <v>2636</v>
      </c>
      <c r="Q167" s="5">
        <v>45838</v>
      </c>
      <c r="R167" s="209"/>
    </row>
    <row r="168" spans="1:22" ht="16.5" customHeight="1">
      <c r="A168" t="s">
        <v>64</v>
      </c>
      <c r="B168" s="10" t="s">
        <v>406</v>
      </c>
      <c r="C168" s="12" t="s">
        <v>407</v>
      </c>
      <c r="D168" s="13">
        <v>45838</v>
      </c>
      <c r="E168" s="155" t="s">
        <v>2625</v>
      </c>
      <c r="F168" s="155" t="s">
        <v>259</v>
      </c>
      <c r="G168" s="156" t="s">
        <v>7</v>
      </c>
      <c r="H168" s="156" t="s">
        <v>2627</v>
      </c>
      <c r="I168" s="69" t="s">
        <v>2475</v>
      </c>
      <c r="J168" s="122">
        <v>1</v>
      </c>
      <c r="K168" s="15">
        <v>1120200</v>
      </c>
      <c r="L168" s="16">
        <f t="shared" ref="L168:L199" si="24">J168*K168</f>
        <v>1120200</v>
      </c>
      <c r="M168" s="15">
        <f t="shared" ref="M168:M186" si="25">L168*10%</f>
        <v>112020</v>
      </c>
      <c r="N168" s="15">
        <f t="shared" si="19"/>
        <v>1232220</v>
      </c>
      <c r="O168" s="5" t="s">
        <v>2590</v>
      </c>
      <c r="P168" s="9" t="s">
        <v>2636</v>
      </c>
      <c r="Q168" s="5">
        <v>45809</v>
      </c>
      <c r="R168" s="209"/>
    </row>
    <row r="169" spans="1:22" ht="16.5" customHeight="1">
      <c r="A169" t="s">
        <v>64</v>
      </c>
      <c r="B169" s="10" t="s">
        <v>393</v>
      </c>
      <c r="C169" s="12" t="s">
        <v>392</v>
      </c>
      <c r="D169" s="13">
        <v>45838</v>
      </c>
      <c r="E169" s="155" t="s">
        <v>2625</v>
      </c>
      <c r="F169" s="155" t="s">
        <v>234</v>
      </c>
      <c r="G169" s="168" t="s">
        <v>7</v>
      </c>
      <c r="H169" s="156" t="s">
        <v>2627</v>
      </c>
      <c r="I169" s="69" t="s">
        <v>2515</v>
      </c>
      <c r="J169" s="122">
        <v>1</v>
      </c>
      <c r="K169" s="15">
        <v>445200</v>
      </c>
      <c r="L169" s="16">
        <f t="shared" si="24"/>
        <v>445200</v>
      </c>
      <c r="M169" s="15">
        <f t="shared" si="25"/>
        <v>44520</v>
      </c>
      <c r="N169" s="15">
        <f t="shared" si="19"/>
        <v>489720</v>
      </c>
      <c r="O169" s="5" t="s">
        <v>2590</v>
      </c>
      <c r="P169" s="9" t="s">
        <v>2636</v>
      </c>
      <c r="Q169" s="5">
        <v>45474</v>
      </c>
      <c r="R169" s="209" t="s">
        <v>147</v>
      </c>
    </row>
    <row r="170" spans="1:22" ht="16.5" customHeight="1">
      <c r="A170" t="s">
        <v>64</v>
      </c>
      <c r="B170" s="10" t="s">
        <v>410</v>
      </c>
      <c r="C170" s="12" t="s">
        <v>411</v>
      </c>
      <c r="D170" s="13">
        <v>45838</v>
      </c>
      <c r="E170" s="155" t="s">
        <v>2625</v>
      </c>
      <c r="F170" s="155" t="s">
        <v>2629</v>
      </c>
      <c r="G170" s="168" t="s">
        <v>7</v>
      </c>
      <c r="H170" s="156" t="s">
        <v>2627</v>
      </c>
      <c r="I170" s="69" t="s">
        <v>2476</v>
      </c>
      <c r="J170" s="122">
        <v>1</v>
      </c>
      <c r="K170" s="15">
        <v>505200</v>
      </c>
      <c r="L170" s="16">
        <f t="shared" si="24"/>
        <v>505200</v>
      </c>
      <c r="M170" s="15">
        <f t="shared" si="25"/>
        <v>50520</v>
      </c>
      <c r="N170" s="15">
        <f t="shared" si="19"/>
        <v>555720</v>
      </c>
      <c r="O170" s="5" t="s">
        <v>2590</v>
      </c>
      <c r="P170" s="177" t="s">
        <v>2636</v>
      </c>
      <c r="Q170" s="5">
        <v>45838</v>
      </c>
      <c r="R170" s="209"/>
    </row>
    <row r="171" spans="1:22" ht="16.5" customHeight="1">
      <c r="A171" t="s">
        <v>64</v>
      </c>
      <c r="B171" s="10" t="s">
        <v>433</v>
      </c>
      <c r="C171" s="12" t="s">
        <v>427</v>
      </c>
      <c r="D171" s="13">
        <v>45838</v>
      </c>
      <c r="E171" s="155" t="s">
        <v>2625</v>
      </c>
      <c r="F171" s="155" t="s">
        <v>224</v>
      </c>
      <c r="G171" s="156" t="s">
        <v>7</v>
      </c>
      <c r="H171" s="156" t="s">
        <v>2627</v>
      </c>
      <c r="I171" s="69" t="s">
        <v>2477</v>
      </c>
      <c r="J171" s="122">
        <v>1</v>
      </c>
      <c r="K171" s="15">
        <v>334800</v>
      </c>
      <c r="L171" s="16">
        <f t="shared" si="24"/>
        <v>334800</v>
      </c>
      <c r="M171" s="15">
        <f t="shared" si="25"/>
        <v>33480</v>
      </c>
      <c r="N171" s="15">
        <f t="shared" si="19"/>
        <v>368280</v>
      </c>
      <c r="O171" s="5" t="s">
        <v>2590</v>
      </c>
      <c r="P171" s="9" t="s">
        <v>2636</v>
      </c>
      <c r="Q171" s="5">
        <v>45504</v>
      </c>
      <c r="R171" s="209" t="s">
        <v>100</v>
      </c>
    </row>
    <row r="172" spans="1:22" ht="16.5" customHeight="1">
      <c r="A172" t="s">
        <v>64</v>
      </c>
      <c r="B172" s="10" t="s">
        <v>434</v>
      </c>
      <c r="C172" s="12" t="s">
        <v>428</v>
      </c>
      <c r="D172" s="13">
        <v>45838</v>
      </c>
      <c r="E172" s="155" t="s">
        <v>2625</v>
      </c>
      <c r="F172" s="155" t="s">
        <v>2629</v>
      </c>
      <c r="G172" s="156" t="s">
        <v>7</v>
      </c>
      <c r="H172" s="156" t="s">
        <v>2627</v>
      </c>
      <c r="I172" s="69" t="s">
        <v>2472</v>
      </c>
      <c r="J172" s="122">
        <v>1</v>
      </c>
      <c r="K172" s="15">
        <v>204600</v>
      </c>
      <c r="L172" s="16">
        <f t="shared" si="24"/>
        <v>204600</v>
      </c>
      <c r="M172" s="15">
        <f t="shared" si="25"/>
        <v>20460</v>
      </c>
      <c r="N172" s="15">
        <f t="shared" si="19"/>
        <v>225060</v>
      </c>
      <c r="O172" s="5" t="s">
        <v>2590</v>
      </c>
      <c r="P172" s="9" t="s">
        <v>2636</v>
      </c>
      <c r="Q172" s="5">
        <v>45838</v>
      </c>
      <c r="R172" s="209"/>
    </row>
    <row r="173" spans="1:22" ht="16.5" customHeight="1">
      <c r="A173" t="s">
        <v>64</v>
      </c>
      <c r="B173" s="10" t="s">
        <v>435</v>
      </c>
      <c r="C173" s="12" t="s">
        <v>429</v>
      </c>
      <c r="D173" s="13">
        <v>45838</v>
      </c>
      <c r="E173" s="155" t="s">
        <v>2625</v>
      </c>
      <c r="F173" s="155" t="s">
        <v>248</v>
      </c>
      <c r="G173" s="156" t="s">
        <v>7</v>
      </c>
      <c r="H173" s="156" t="s">
        <v>2627</v>
      </c>
      <c r="I173" s="69" t="s">
        <v>2297</v>
      </c>
      <c r="J173" s="122">
        <v>1</v>
      </c>
      <c r="K173" s="15">
        <v>499500</v>
      </c>
      <c r="L173" s="16">
        <f t="shared" si="24"/>
        <v>499500</v>
      </c>
      <c r="M173" s="15">
        <f t="shared" si="25"/>
        <v>49950</v>
      </c>
      <c r="N173" s="15">
        <f t="shared" si="19"/>
        <v>549450</v>
      </c>
      <c r="O173" s="5" t="s">
        <v>2590</v>
      </c>
      <c r="P173" s="9" t="s">
        <v>2636</v>
      </c>
      <c r="Q173" s="5">
        <v>45838</v>
      </c>
      <c r="R173" s="209"/>
    </row>
    <row r="174" spans="1:22" ht="16.5" customHeight="1">
      <c r="A174" t="s">
        <v>64</v>
      </c>
      <c r="B174" s="10" t="s">
        <v>413</v>
      </c>
      <c r="C174" s="12" t="s">
        <v>437</v>
      </c>
      <c r="D174" s="13">
        <v>45838</v>
      </c>
      <c r="E174" s="155" t="s">
        <v>2625</v>
      </c>
      <c r="F174" s="155" t="s">
        <v>101</v>
      </c>
      <c r="G174" s="156" t="s">
        <v>98</v>
      </c>
      <c r="H174" s="156" t="s">
        <v>2627</v>
      </c>
      <c r="I174" s="69" t="s">
        <v>2296</v>
      </c>
      <c r="J174" s="122">
        <v>1</v>
      </c>
      <c r="K174" s="15">
        <v>276600</v>
      </c>
      <c r="L174" s="16">
        <f t="shared" si="24"/>
        <v>276600</v>
      </c>
      <c r="M174" s="15">
        <f t="shared" si="25"/>
        <v>27660</v>
      </c>
      <c r="N174" s="15">
        <f t="shared" si="19"/>
        <v>304260</v>
      </c>
      <c r="O174" s="5" t="s">
        <v>2590</v>
      </c>
      <c r="P174" s="9" t="s">
        <v>2636</v>
      </c>
      <c r="Q174" s="5">
        <v>45534</v>
      </c>
      <c r="R174" s="209" t="s">
        <v>100</v>
      </c>
    </row>
    <row r="175" spans="1:22" ht="16.5" customHeight="1">
      <c r="A175" t="s">
        <v>64</v>
      </c>
      <c r="B175" s="10" t="s">
        <v>882</v>
      </c>
      <c r="C175" s="12" t="s">
        <v>730</v>
      </c>
      <c r="D175" s="13">
        <v>45838</v>
      </c>
      <c r="E175" s="155" t="s">
        <v>2625</v>
      </c>
      <c r="F175" s="155" t="s">
        <v>293</v>
      </c>
      <c r="G175" s="168" t="s">
        <v>7</v>
      </c>
      <c r="H175" s="156" t="s">
        <v>2627</v>
      </c>
      <c r="I175" s="69" t="s">
        <v>2499</v>
      </c>
      <c r="J175" s="122">
        <v>1</v>
      </c>
      <c r="K175" s="15">
        <v>243000</v>
      </c>
      <c r="L175" s="16">
        <f t="shared" si="24"/>
        <v>243000</v>
      </c>
      <c r="M175" s="15">
        <f t="shared" si="25"/>
        <v>24300</v>
      </c>
      <c r="N175" s="15">
        <f t="shared" si="19"/>
        <v>267300</v>
      </c>
      <c r="O175" s="5" t="s">
        <v>2590</v>
      </c>
      <c r="P175" s="9" t="s">
        <v>2636</v>
      </c>
      <c r="Q175" s="5">
        <v>45838</v>
      </c>
      <c r="R175" s="209"/>
    </row>
    <row r="176" spans="1:22" ht="16.5" customHeight="1">
      <c r="A176" t="s">
        <v>64</v>
      </c>
      <c r="B176" s="10" t="s">
        <v>807</v>
      </c>
      <c r="C176" s="12" t="s">
        <v>724</v>
      </c>
      <c r="D176" s="13">
        <v>45838</v>
      </c>
      <c r="E176" s="155" t="s">
        <v>2625</v>
      </c>
      <c r="F176" s="155" t="s">
        <v>221</v>
      </c>
      <c r="G176" s="168" t="s">
        <v>7</v>
      </c>
      <c r="H176" s="156" t="s">
        <v>2627</v>
      </c>
      <c r="I176" s="69" t="s">
        <v>2494</v>
      </c>
      <c r="J176" s="122">
        <v>1</v>
      </c>
      <c r="K176" s="15">
        <v>2043300</v>
      </c>
      <c r="L176" s="16">
        <f t="shared" si="24"/>
        <v>2043300</v>
      </c>
      <c r="M176" s="16">
        <f t="shared" si="25"/>
        <v>204330</v>
      </c>
      <c r="N176" s="15">
        <f t="shared" si="19"/>
        <v>2247630</v>
      </c>
      <c r="O176" s="5" t="s">
        <v>2590</v>
      </c>
      <c r="P176" s="9" t="s">
        <v>2636</v>
      </c>
      <c r="Q176" s="5">
        <v>45687</v>
      </c>
      <c r="R176" s="213" t="s">
        <v>100</v>
      </c>
    </row>
    <row r="177" spans="1:18" ht="16.5" customHeight="1">
      <c r="A177" t="s">
        <v>64</v>
      </c>
      <c r="B177" s="10" t="s">
        <v>880</v>
      </c>
      <c r="C177" s="12" t="s">
        <v>716</v>
      </c>
      <c r="D177" s="13">
        <v>45838</v>
      </c>
      <c r="E177" s="155" t="s">
        <v>2625</v>
      </c>
      <c r="F177" s="155" t="s">
        <v>101</v>
      </c>
      <c r="G177" s="168" t="s">
        <v>7</v>
      </c>
      <c r="H177" s="156" t="s">
        <v>2627</v>
      </c>
      <c r="I177" s="69" t="s">
        <v>2495</v>
      </c>
      <c r="J177" s="122">
        <v>1</v>
      </c>
      <c r="K177" s="15">
        <v>212700</v>
      </c>
      <c r="L177" s="16">
        <f t="shared" si="24"/>
        <v>212700</v>
      </c>
      <c r="M177" s="16">
        <f t="shared" si="25"/>
        <v>21270</v>
      </c>
      <c r="N177" s="15">
        <f t="shared" si="19"/>
        <v>233970</v>
      </c>
      <c r="O177" s="5" t="s">
        <v>2590</v>
      </c>
      <c r="P177" s="177" t="s">
        <v>2636</v>
      </c>
      <c r="Q177" s="5">
        <v>45681</v>
      </c>
      <c r="R177" s="213" t="s">
        <v>100</v>
      </c>
    </row>
    <row r="178" spans="1:18" ht="16.5" customHeight="1">
      <c r="A178" t="s">
        <v>64</v>
      </c>
      <c r="B178" s="10" t="s">
        <v>1164</v>
      </c>
      <c r="C178" s="12" t="s">
        <v>1165</v>
      </c>
      <c r="D178" s="13">
        <v>45838</v>
      </c>
      <c r="E178" s="155" t="s">
        <v>2625</v>
      </c>
      <c r="F178" s="155" t="s">
        <v>225</v>
      </c>
      <c r="G178" s="168" t="s">
        <v>7</v>
      </c>
      <c r="H178" s="156" t="s">
        <v>2627</v>
      </c>
      <c r="I178" s="69" t="s">
        <v>2496</v>
      </c>
      <c r="J178" s="122">
        <v>1</v>
      </c>
      <c r="K178" s="15">
        <v>149400</v>
      </c>
      <c r="L178" s="16">
        <f t="shared" si="24"/>
        <v>149400</v>
      </c>
      <c r="M178" s="15">
        <f t="shared" si="25"/>
        <v>14940</v>
      </c>
      <c r="N178" s="15">
        <f t="shared" si="19"/>
        <v>164340</v>
      </c>
      <c r="O178" s="5" t="s">
        <v>2590</v>
      </c>
      <c r="P178" s="9" t="s">
        <v>2636</v>
      </c>
      <c r="Q178" s="5">
        <v>45716</v>
      </c>
      <c r="R178" s="209" t="s">
        <v>100</v>
      </c>
    </row>
    <row r="179" spans="1:18" ht="16.5" customHeight="1">
      <c r="A179" t="s">
        <v>64</v>
      </c>
      <c r="B179" s="10" t="s">
        <v>876</v>
      </c>
      <c r="C179" s="12" t="s">
        <v>865</v>
      </c>
      <c r="D179" s="13">
        <v>45838</v>
      </c>
      <c r="E179" s="155" t="s">
        <v>2625</v>
      </c>
      <c r="F179" s="155" t="s">
        <v>220</v>
      </c>
      <c r="G179" s="168" t="s">
        <v>7</v>
      </c>
      <c r="H179" s="156" t="s">
        <v>2627</v>
      </c>
      <c r="I179" s="69" t="s">
        <v>2497</v>
      </c>
      <c r="J179" s="122">
        <v>1</v>
      </c>
      <c r="K179" s="15">
        <v>180600</v>
      </c>
      <c r="L179" s="16">
        <f t="shared" si="24"/>
        <v>180600</v>
      </c>
      <c r="M179" s="16">
        <f t="shared" si="25"/>
        <v>18060</v>
      </c>
      <c r="N179" s="15">
        <f t="shared" si="19"/>
        <v>198660</v>
      </c>
      <c r="O179" s="5" t="s">
        <v>2590</v>
      </c>
      <c r="P179" s="9" t="s">
        <v>2636</v>
      </c>
      <c r="Q179" s="5">
        <v>45838</v>
      </c>
      <c r="R179" s="213"/>
    </row>
    <row r="180" spans="1:18" ht="16.5" customHeight="1">
      <c r="A180" t="s">
        <v>64</v>
      </c>
      <c r="B180" s="10" t="s">
        <v>930</v>
      </c>
      <c r="C180" s="12" t="s">
        <v>898</v>
      </c>
      <c r="D180" s="13">
        <v>45838</v>
      </c>
      <c r="E180" s="155" t="s">
        <v>2625</v>
      </c>
      <c r="F180" s="155" t="s">
        <v>13</v>
      </c>
      <c r="G180" s="168" t="s">
        <v>7</v>
      </c>
      <c r="H180" s="156" t="s">
        <v>2627</v>
      </c>
      <c r="I180" s="69" t="s">
        <v>2498</v>
      </c>
      <c r="J180" s="122">
        <v>1</v>
      </c>
      <c r="K180" s="15">
        <v>65700</v>
      </c>
      <c r="L180" s="16">
        <f t="shared" si="24"/>
        <v>65700</v>
      </c>
      <c r="M180" s="16">
        <f t="shared" si="25"/>
        <v>6570</v>
      </c>
      <c r="N180" s="15">
        <f t="shared" si="19"/>
        <v>72270</v>
      </c>
      <c r="O180" s="5" t="s">
        <v>2590</v>
      </c>
      <c r="P180" s="9" t="s">
        <v>2636</v>
      </c>
      <c r="Q180" s="5">
        <v>45700</v>
      </c>
      <c r="R180" s="213" t="s">
        <v>100</v>
      </c>
    </row>
    <row r="181" spans="1:18" ht="16.5" customHeight="1">
      <c r="A181" t="s">
        <v>64</v>
      </c>
      <c r="B181" s="10" t="s">
        <v>426</v>
      </c>
      <c r="C181" s="12" t="s">
        <v>425</v>
      </c>
      <c r="D181" s="13">
        <v>45838</v>
      </c>
      <c r="E181" s="155" t="s">
        <v>2625</v>
      </c>
      <c r="F181" s="155" t="s">
        <v>220</v>
      </c>
      <c r="G181" s="168" t="s">
        <v>7</v>
      </c>
      <c r="H181" s="156" t="s">
        <v>2627</v>
      </c>
      <c r="I181" s="69" t="s">
        <v>2478</v>
      </c>
      <c r="J181" s="122">
        <v>1</v>
      </c>
      <c r="K181" s="15">
        <v>11892900</v>
      </c>
      <c r="L181" s="16">
        <f t="shared" si="24"/>
        <v>11892900</v>
      </c>
      <c r="M181" s="15">
        <f t="shared" si="25"/>
        <v>1189290</v>
      </c>
      <c r="N181" s="15">
        <f t="shared" si="19"/>
        <v>13082190</v>
      </c>
      <c r="O181" s="5" t="s">
        <v>2590</v>
      </c>
      <c r="P181" s="9" t="s">
        <v>2636</v>
      </c>
      <c r="Q181" s="5">
        <v>45838</v>
      </c>
      <c r="R181" s="209"/>
    </row>
    <row r="182" spans="1:18" ht="16.5" customHeight="1">
      <c r="A182" t="s">
        <v>64</v>
      </c>
      <c r="B182" s="10" t="s">
        <v>447</v>
      </c>
      <c r="C182" s="12" t="s">
        <v>442</v>
      </c>
      <c r="D182" s="13">
        <v>45838</v>
      </c>
      <c r="E182" s="155" t="s">
        <v>2625</v>
      </c>
      <c r="F182" s="155" t="s">
        <v>229</v>
      </c>
      <c r="G182" s="168" t="s">
        <v>7</v>
      </c>
      <c r="H182" s="156" t="s">
        <v>2627</v>
      </c>
      <c r="I182" s="69" t="s">
        <v>2479</v>
      </c>
      <c r="J182" s="122">
        <v>1</v>
      </c>
      <c r="K182" s="15">
        <v>48900</v>
      </c>
      <c r="L182" s="16">
        <f t="shared" si="24"/>
        <v>48900</v>
      </c>
      <c r="M182" s="15">
        <f t="shared" si="25"/>
        <v>4890</v>
      </c>
      <c r="N182" s="15">
        <f t="shared" si="19"/>
        <v>53790</v>
      </c>
      <c r="O182" s="5" t="s">
        <v>2590</v>
      </c>
      <c r="P182" s="9" t="s">
        <v>2636</v>
      </c>
      <c r="Q182" s="5">
        <v>45590</v>
      </c>
      <c r="R182" s="209" t="s">
        <v>100</v>
      </c>
    </row>
    <row r="183" spans="1:18" ht="16.5" customHeight="1">
      <c r="A183" t="s">
        <v>64</v>
      </c>
      <c r="B183" s="10" t="s">
        <v>448</v>
      </c>
      <c r="C183" s="12" t="s">
        <v>443</v>
      </c>
      <c r="D183" s="13">
        <v>45838</v>
      </c>
      <c r="E183" s="155" t="s">
        <v>2625</v>
      </c>
      <c r="F183" s="155" t="s">
        <v>301</v>
      </c>
      <c r="G183" s="168" t="s">
        <v>7</v>
      </c>
      <c r="H183" s="156" t="s">
        <v>2627</v>
      </c>
      <c r="I183" s="69" t="s">
        <v>2480</v>
      </c>
      <c r="J183" s="122">
        <v>1</v>
      </c>
      <c r="K183" s="15">
        <v>306300</v>
      </c>
      <c r="L183" s="16">
        <f t="shared" si="24"/>
        <v>306300</v>
      </c>
      <c r="M183" s="15">
        <f t="shared" si="25"/>
        <v>30630</v>
      </c>
      <c r="N183" s="15">
        <f t="shared" si="19"/>
        <v>336930</v>
      </c>
      <c r="O183" s="5" t="s">
        <v>2590</v>
      </c>
      <c r="P183" s="9" t="s">
        <v>2636</v>
      </c>
      <c r="Q183" s="5">
        <v>45596</v>
      </c>
      <c r="R183" s="209" t="s">
        <v>100</v>
      </c>
    </row>
    <row r="184" spans="1:18" ht="16.5" customHeight="1">
      <c r="A184" t="s">
        <v>64</v>
      </c>
      <c r="B184" s="10" t="s">
        <v>449</v>
      </c>
      <c r="C184" s="12" t="s">
        <v>444</v>
      </c>
      <c r="D184" s="13">
        <v>45838</v>
      </c>
      <c r="E184" s="155" t="s">
        <v>2625</v>
      </c>
      <c r="F184" s="155" t="s">
        <v>67</v>
      </c>
      <c r="G184" s="168" t="s">
        <v>7</v>
      </c>
      <c r="H184" s="156" t="s">
        <v>2627</v>
      </c>
      <c r="I184" s="69" t="s">
        <v>2481</v>
      </c>
      <c r="J184" s="122">
        <v>1</v>
      </c>
      <c r="K184" s="15">
        <v>655500</v>
      </c>
      <c r="L184" s="16">
        <f t="shared" si="24"/>
        <v>655500</v>
      </c>
      <c r="M184" s="15">
        <f t="shared" si="25"/>
        <v>65550</v>
      </c>
      <c r="N184" s="15">
        <f t="shared" si="19"/>
        <v>721050</v>
      </c>
      <c r="O184" s="5" t="s">
        <v>2590</v>
      </c>
      <c r="P184" s="9" t="s">
        <v>2636</v>
      </c>
      <c r="Q184" s="5">
        <v>45838</v>
      </c>
      <c r="R184" s="209"/>
    </row>
    <row r="185" spans="1:18" ht="16.5" customHeight="1">
      <c r="A185" t="s">
        <v>64</v>
      </c>
      <c r="B185" s="10" t="s">
        <v>449</v>
      </c>
      <c r="C185" s="12" t="s">
        <v>460</v>
      </c>
      <c r="D185" s="13">
        <v>45838</v>
      </c>
      <c r="E185" s="155" t="s">
        <v>2625</v>
      </c>
      <c r="F185" s="155" t="s">
        <v>67</v>
      </c>
      <c r="G185" s="168" t="s">
        <v>7</v>
      </c>
      <c r="H185" s="156" t="s">
        <v>2627</v>
      </c>
      <c r="I185" s="69" t="s">
        <v>2482</v>
      </c>
      <c r="J185" s="122">
        <v>1</v>
      </c>
      <c r="K185" s="15">
        <v>1981200</v>
      </c>
      <c r="L185" s="16">
        <f t="shared" si="24"/>
        <v>1981200</v>
      </c>
      <c r="M185" s="15">
        <f t="shared" si="25"/>
        <v>198120</v>
      </c>
      <c r="N185" s="15">
        <f t="shared" si="19"/>
        <v>2179320</v>
      </c>
      <c r="O185" s="5" t="s">
        <v>2590</v>
      </c>
      <c r="P185" s="9" t="s">
        <v>2636</v>
      </c>
      <c r="Q185" s="5">
        <v>45838</v>
      </c>
      <c r="R185" s="209"/>
    </row>
    <row r="186" spans="1:18" ht="16.5" customHeight="1">
      <c r="A186" t="s">
        <v>64</v>
      </c>
      <c r="B186" s="10" t="s">
        <v>1162</v>
      </c>
      <c r="C186" s="12" t="s">
        <v>1163</v>
      </c>
      <c r="D186" s="13">
        <v>45838</v>
      </c>
      <c r="E186" s="155" t="s">
        <v>2625</v>
      </c>
      <c r="F186" s="155" t="s">
        <v>222</v>
      </c>
      <c r="G186" s="168" t="s">
        <v>7</v>
      </c>
      <c r="H186" s="156" t="s">
        <v>2627</v>
      </c>
      <c r="I186" s="69" t="s">
        <v>2261</v>
      </c>
      <c r="J186" s="122">
        <v>1</v>
      </c>
      <c r="K186" s="15">
        <v>153900</v>
      </c>
      <c r="L186" s="16">
        <f t="shared" si="24"/>
        <v>153900</v>
      </c>
      <c r="M186" s="15">
        <f t="shared" si="25"/>
        <v>15390</v>
      </c>
      <c r="N186" s="15">
        <f t="shared" si="19"/>
        <v>169290</v>
      </c>
      <c r="O186" s="5" t="s">
        <v>2590</v>
      </c>
      <c r="P186" s="9" t="s">
        <v>2636</v>
      </c>
      <c r="Q186" s="5">
        <v>45588</v>
      </c>
      <c r="R186" s="209" t="s">
        <v>100</v>
      </c>
    </row>
    <row r="187" spans="1:18" ht="16.5" customHeight="1">
      <c r="A187" t="s">
        <v>64</v>
      </c>
      <c r="B187" s="10" t="s">
        <v>486</v>
      </c>
      <c r="C187" s="12" t="s">
        <v>525</v>
      </c>
      <c r="D187" s="13">
        <v>45838</v>
      </c>
      <c r="E187" s="155" t="s">
        <v>2625</v>
      </c>
      <c r="F187" s="155" t="s">
        <v>230</v>
      </c>
      <c r="G187" s="168" t="s">
        <v>7</v>
      </c>
      <c r="H187" s="156" t="s">
        <v>2627</v>
      </c>
      <c r="I187" s="69" t="s">
        <v>2483</v>
      </c>
      <c r="J187" s="122">
        <v>1</v>
      </c>
      <c r="K187" s="15">
        <v>555600</v>
      </c>
      <c r="L187" s="16">
        <f t="shared" si="24"/>
        <v>555600</v>
      </c>
      <c r="M187" s="15">
        <v>55560</v>
      </c>
      <c r="N187" s="15">
        <f t="shared" si="19"/>
        <v>611160</v>
      </c>
      <c r="O187" s="5" t="s">
        <v>2590</v>
      </c>
      <c r="P187" s="9" t="s">
        <v>2636</v>
      </c>
      <c r="Q187" s="5">
        <v>45627</v>
      </c>
      <c r="R187" s="209" t="s">
        <v>100</v>
      </c>
    </row>
    <row r="188" spans="1:18" ht="16.5" customHeight="1">
      <c r="A188" t="s">
        <v>64</v>
      </c>
      <c r="B188" s="10" t="s">
        <v>786</v>
      </c>
      <c r="C188" s="12" t="s">
        <v>760</v>
      </c>
      <c r="D188" s="13">
        <v>45838</v>
      </c>
      <c r="E188" s="155" t="s">
        <v>2625</v>
      </c>
      <c r="F188" s="155" t="s">
        <v>2629</v>
      </c>
      <c r="G188" s="156" t="s">
        <v>7</v>
      </c>
      <c r="H188" s="156" t="s">
        <v>2627</v>
      </c>
      <c r="I188" s="69" t="s">
        <v>2484</v>
      </c>
      <c r="J188" s="122">
        <v>1</v>
      </c>
      <c r="K188" s="15">
        <v>661800</v>
      </c>
      <c r="L188" s="16">
        <f t="shared" si="24"/>
        <v>661800</v>
      </c>
      <c r="M188" s="16">
        <f t="shared" ref="M188:M213" si="26">L188*10%</f>
        <v>66180</v>
      </c>
      <c r="N188" s="15">
        <f t="shared" si="19"/>
        <v>727980</v>
      </c>
      <c r="O188" s="5" t="s">
        <v>2590</v>
      </c>
      <c r="P188" s="9" t="s">
        <v>2636</v>
      </c>
      <c r="Q188" s="5">
        <v>45838</v>
      </c>
      <c r="R188" s="213"/>
    </row>
    <row r="189" spans="1:18" ht="16.5" customHeight="1">
      <c r="A189" t="s">
        <v>64</v>
      </c>
      <c r="B189" s="10" t="s">
        <v>527</v>
      </c>
      <c r="C189" s="12" t="s">
        <v>524</v>
      </c>
      <c r="D189" s="13">
        <v>45838</v>
      </c>
      <c r="E189" s="155" t="s">
        <v>2625</v>
      </c>
      <c r="F189" s="155" t="s">
        <v>231</v>
      </c>
      <c r="G189" s="156" t="s">
        <v>7</v>
      </c>
      <c r="H189" s="156" t="s">
        <v>2627</v>
      </c>
      <c r="I189" s="69" t="s">
        <v>2485</v>
      </c>
      <c r="J189" s="122">
        <v>1</v>
      </c>
      <c r="K189" s="15">
        <v>338100</v>
      </c>
      <c r="L189" s="16">
        <f t="shared" si="24"/>
        <v>338100</v>
      </c>
      <c r="M189" s="16">
        <f t="shared" si="26"/>
        <v>33810</v>
      </c>
      <c r="N189" s="15">
        <f t="shared" ref="N189:N211" si="27">SUM(L189:M189)</f>
        <v>371910</v>
      </c>
      <c r="O189" s="5" t="s">
        <v>2590</v>
      </c>
      <c r="P189" s="9" t="s">
        <v>2636</v>
      </c>
      <c r="Q189" s="5">
        <v>45645</v>
      </c>
      <c r="R189" s="209" t="s">
        <v>100</v>
      </c>
    </row>
    <row r="190" spans="1:18" ht="16.5" customHeight="1">
      <c r="A190" t="s">
        <v>64</v>
      </c>
      <c r="B190" s="10" t="s">
        <v>787</v>
      </c>
      <c r="C190" s="12" t="s">
        <v>753</v>
      </c>
      <c r="D190" s="13">
        <v>45838</v>
      </c>
      <c r="E190" s="155" t="s">
        <v>2625</v>
      </c>
      <c r="F190" s="155" t="s">
        <v>788</v>
      </c>
      <c r="G190" s="156" t="s">
        <v>7</v>
      </c>
      <c r="H190" s="156" t="s">
        <v>2627</v>
      </c>
      <c r="I190" s="69" t="s">
        <v>2486</v>
      </c>
      <c r="J190" s="122">
        <v>1</v>
      </c>
      <c r="K190" s="15">
        <v>97800</v>
      </c>
      <c r="L190" s="16">
        <f t="shared" si="24"/>
        <v>97800</v>
      </c>
      <c r="M190" s="16">
        <f t="shared" si="26"/>
        <v>9780</v>
      </c>
      <c r="N190" s="15">
        <f t="shared" si="27"/>
        <v>107580</v>
      </c>
      <c r="O190" s="5" t="s">
        <v>2590</v>
      </c>
      <c r="P190" s="9" t="s">
        <v>2636</v>
      </c>
      <c r="Q190" s="5">
        <v>45681</v>
      </c>
      <c r="R190" s="209" t="s">
        <v>100</v>
      </c>
    </row>
    <row r="191" spans="1:18" ht="16.5" customHeight="1">
      <c r="A191" t="s">
        <v>64</v>
      </c>
      <c r="B191" s="10" t="s">
        <v>528</v>
      </c>
      <c r="C191" s="12" t="s">
        <v>523</v>
      </c>
      <c r="D191" s="13">
        <v>45838</v>
      </c>
      <c r="E191" s="155" t="s">
        <v>2625</v>
      </c>
      <c r="F191" s="155" t="s">
        <v>67</v>
      </c>
      <c r="G191" s="168" t="s">
        <v>7</v>
      </c>
      <c r="H191" s="156" t="s">
        <v>2627</v>
      </c>
      <c r="I191" s="69" t="s">
        <v>2487</v>
      </c>
      <c r="J191" s="122">
        <v>1</v>
      </c>
      <c r="K191" s="15">
        <v>98100</v>
      </c>
      <c r="L191" s="16">
        <f t="shared" si="24"/>
        <v>98100</v>
      </c>
      <c r="M191" s="15">
        <f t="shared" si="26"/>
        <v>9810</v>
      </c>
      <c r="N191" s="15">
        <f t="shared" si="27"/>
        <v>107910</v>
      </c>
      <c r="O191" s="5" t="s">
        <v>2590</v>
      </c>
      <c r="P191" s="9" t="s">
        <v>2636</v>
      </c>
      <c r="Q191" s="5">
        <v>45659</v>
      </c>
      <c r="R191" s="209" t="s">
        <v>100</v>
      </c>
    </row>
    <row r="192" spans="1:18" ht="16.5" customHeight="1">
      <c r="A192" t="s">
        <v>64</v>
      </c>
      <c r="B192" s="10" t="s">
        <v>792</v>
      </c>
      <c r="C192" s="12" t="s">
        <v>750</v>
      </c>
      <c r="D192" s="13">
        <v>45838</v>
      </c>
      <c r="E192" s="155" t="s">
        <v>2625</v>
      </c>
      <c r="F192" s="155" t="s">
        <v>2629</v>
      </c>
      <c r="G192" s="168" t="s">
        <v>7</v>
      </c>
      <c r="H192" s="156" t="s">
        <v>2627</v>
      </c>
      <c r="I192" s="69" t="s">
        <v>2488</v>
      </c>
      <c r="J192" s="122">
        <v>1</v>
      </c>
      <c r="K192" s="15">
        <v>1196100</v>
      </c>
      <c r="L192" s="16">
        <f t="shared" si="24"/>
        <v>1196100</v>
      </c>
      <c r="M192" s="16">
        <f t="shared" si="26"/>
        <v>119610</v>
      </c>
      <c r="N192" s="15">
        <f t="shared" si="27"/>
        <v>1315710</v>
      </c>
      <c r="O192" s="5" t="s">
        <v>2590</v>
      </c>
      <c r="P192" s="9" t="s">
        <v>2636</v>
      </c>
      <c r="Q192" s="5">
        <v>45838</v>
      </c>
      <c r="R192" s="213"/>
    </row>
    <row r="193" spans="1:18" ht="16.5" customHeight="1">
      <c r="A193" t="s">
        <v>64</v>
      </c>
      <c r="B193" s="10" t="s">
        <v>796</v>
      </c>
      <c r="C193" s="12" t="s">
        <v>897</v>
      </c>
      <c r="D193" s="13">
        <v>45838</v>
      </c>
      <c r="E193" s="155" t="s">
        <v>2625</v>
      </c>
      <c r="F193" s="155" t="s">
        <v>291</v>
      </c>
      <c r="G193" s="168" t="s">
        <v>7</v>
      </c>
      <c r="H193" s="156" t="s">
        <v>2627</v>
      </c>
      <c r="I193" s="69" t="s">
        <v>2489</v>
      </c>
      <c r="J193" s="122">
        <v>1</v>
      </c>
      <c r="K193" s="15">
        <v>99900</v>
      </c>
      <c r="L193" s="16">
        <f t="shared" si="24"/>
        <v>99900</v>
      </c>
      <c r="M193" s="16">
        <f t="shared" si="26"/>
        <v>9990</v>
      </c>
      <c r="N193" s="15">
        <f t="shared" si="27"/>
        <v>109890</v>
      </c>
      <c r="O193" s="5" t="s">
        <v>2590</v>
      </c>
      <c r="P193" s="9" t="s">
        <v>2636</v>
      </c>
      <c r="Q193" s="5">
        <v>45661</v>
      </c>
      <c r="R193" s="209" t="s">
        <v>100</v>
      </c>
    </row>
    <row r="194" spans="1:18" ht="16.5" customHeight="1">
      <c r="A194" t="s">
        <v>64</v>
      </c>
      <c r="B194" s="10" t="s">
        <v>790</v>
      </c>
      <c r="C194" s="12" t="s">
        <v>751</v>
      </c>
      <c r="D194" s="13">
        <v>45838</v>
      </c>
      <c r="E194" s="155" t="s">
        <v>2625</v>
      </c>
      <c r="F194" s="155" t="s">
        <v>2629</v>
      </c>
      <c r="G194" s="168" t="s">
        <v>7</v>
      </c>
      <c r="H194" s="156" t="s">
        <v>2627</v>
      </c>
      <c r="I194" s="69" t="s">
        <v>2490</v>
      </c>
      <c r="J194" s="122">
        <v>1</v>
      </c>
      <c r="K194" s="15">
        <v>590400</v>
      </c>
      <c r="L194" s="16">
        <f t="shared" si="24"/>
        <v>590400</v>
      </c>
      <c r="M194" s="16">
        <f t="shared" si="26"/>
        <v>59040</v>
      </c>
      <c r="N194" s="15">
        <f t="shared" si="27"/>
        <v>649440</v>
      </c>
      <c r="O194" s="5" t="s">
        <v>2590</v>
      </c>
      <c r="P194" s="9" t="s">
        <v>2636</v>
      </c>
      <c r="Q194" s="5">
        <v>45838</v>
      </c>
      <c r="R194" s="213"/>
    </row>
    <row r="195" spans="1:18" ht="16.5" customHeight="1">
      <c r="A195" t="s">
        <v>64</v>
      </c>
      <c r="B195" s="10" t="s">
        <v>533</v>
      </c>
      <c r="C195" s="12" t="s">
        <v>748</v>
      </c>
      <c r="D195" s="13">
        <v>45838</v>
      </c>
      <c r="E195" s="155" t="s">
        <v>2625</v>
      </c>
      <c r="F195" s="155" t="s">
        <v>2629</v>
      </c>
      <c r="G195" s="168" t="s">
        <v>7</v>
      </c>
      <c r="H195" s="156" t="s">
        <v>2627</v>
      </c>
      <c r="I195" s="69" t="s">
        <v>2490</v>
      </c>
      <c r="J195" s="122">
        <v>1</v>
      </c>
      <c r="K195" s="15">
        <v>289800</v>
      </c>
      <c r="L195" s="16">
        <f t="shared" si="24"/>
        <v>289800</v>
      </c>
      <c r="M195" s="16">
        <f t="shared" si="26"/>
        <v>28980</v>
      </c>
      <c r="N195" s="15">
        <f t="shared" si="27"/>
        <v>318780</v>
      </c>
      <c r="O195" s="5" t="s">
        <v>2590</v>
      </c>
      <c r="P195" s="9" t="s">
        <v>2636</v>
      </c>
      <c r="Q195" s="5">
        <v>45838</v>
      </c>
      <c r="R195" s="213"/>
    </row>
    <row r="196" spans="1:18">
      <c r="A196" t="s">
        <v>64</v>
      </c>
      <c r="B196" s="10" t="s">
        <v>798</v>
      </c>
      <c r="C196" s="12" t="s">
        <v>799</v>
      </c>
      <c r="D196" s="13">
        <v>45838</v>
      </c>
      <c r="E196" s="155" t="s">
        <v>2625</v>
      </c>
      <c r="F196" s="155" t="s">
        <v>250</v>
      </c>
      <c r="G196" s="168" t="s">
        <v>7</v>
      </c>
      <c r="H196" s="156" t="s">
        <v>2627</v>
      </c>
      <c r="I196" s="69" t="s">
        <v>2492</v>
      </c>
      <c r="J196" s="122">
        <v>1</v>
      </c>
      <c r="K196" s="15">
        <v>531600</v>
      </c>
      <c r="L196" s="16">
        <f t="shared" si="24"/>
        <v>531600</v>
      </c>
      <c r="M196" s="16">
        <f t="shared" si="26"/>
        <v>53160</v>
      </c>
      <c r="N196" s="15">
        <f t="shared" si="27"/>
        <v>584760</v>
      </c>
      <c r="O196" s="5" t="s">
        <v>2590</v>
      </c>
      <c r="P196" s="9" t="s">
        <v>2636</v>
      </c>
      <c r="Q196" s="5">
        <v>45838</v>
      </c>
      <c r="R196" s="213"/>
    </row>
    <row r="197" spans="1:18" ht="16.5" customHeight="1">
      <c r="A197" t="s">
        <v>64</v>
      </c>
      <c r="B197" s="10" t="s">
        <v>802</v>
      </c>
      <c r="C197" s="12" t="s">
        <v>729</v>
      </c>
      <c r="D197" s="13">
        <v>45838</v>
      </c>
      <c r="E197" s="155" t="s">
        <v>2625</v>
      </c>
      <c r="F197" s="155" t="s">
        <v>810</v>
      </c>
      <c r="G197" s="168" t="s">
        <v>7</v>
      </c>
      <c r="H197" s="156" t="s">
        <v>2627</v>
      </c>
      <c r="I197" s="69" t="s">
        <v>2493</v>
      </c>
      <c r="J197" s="122">
        <v>1</v>
      </c>
      <c r="K197" s="15">
        <v>502800</v>
      </c>
      <c r="L197" s="16">
        <f t="shared" si="24"/>
        <v>502800</v>
      </c>
      <c r="M197" s="16">
        <f t="shared" si="26"/>
        <v>50280</v>
      </c>
      <c r="N197" s="15">
        <f t="shared" si="27"/>
        <v>553080</v>
      </c>
      <c r="O197" s="5" t="s">
        <v>2590</v>
      </c>
      <c r="P197" s="9" t="s">
        <v>2636</v>
      </c>
      <c r="Q197" s="5">
        <v>45838</v>
      </c>
      <c r="R197" s="213"/>
    </row>
    <row r="198" spans="1:18" ht="16.5" customHeight="1">
      <c r="A198" t="s">
        <v>64</v>
      </c>
      <c r="B198" s="10" t="s">
        <v>878</v>
      </c>
      <c r="C198" s="12" t="s">
        <v>727</v>
      </c>
      <c r="D198" s="13">
        <v>45838</v>
      </c>
      <c r="E198" s="155" t="s">
        <v>2625</v>
      </c>
      <c r="F198" s="155" t="s">
        <v>296</v>
      </c>
      <c r="G198" s="168" t="s">
        <v>7</v>
      </c>
      <c r="H198" s="156" t="s">
        <v>2627</v>
      </c>
      <c r="I198" s="69" t="s">
        <v>2239</v>
      </c>
      <c r="J198" s="122">
        <v>1</v>
      </c>
      <c r="K198" s="15">
        <v>1417500</v>
      </c>
      <c r="L198" s="16">
        <f t="shared" si="24"/>
        <v>1417500</v>
      </c>
      <c r="M198" s="16">
        <f t="shared" si="26"/>
        <v>141750</v>
      </c>
      <c r="N198" s="15">
        <f t="shared" si="27"/>
        <v>1559250</v>
      </c>
      <c r="O198" s="5" t="s">
        <v>2590</v>
      </c>
      <c r="P198" s="9" t="s">
        <v>2636</v>
      </c>
      <c r="Q198" s="5">
        <v>45666</v>
      </c>
      <c r="R198" s="213" t="s">
        <v>100</v>
      </c>
    </row>
    <row r="199" spans="1:18" ht="16.5" customHeight="1">
      <c r="A199" t="s">
        <v>64</v>
      </c>
      <c r="B199" s="10" t="s">
        <v>1052</v>
      </c>
      <c r="C199" s="12" t="s">
        <v>985</v>
      </c>
      <c r="D199" s="13">
        <v>45838</v>
      </c>
      <c r="E199" s="155" t="s">
        <v>2625</v>
      </c>
      <c r="F199" s="155" t="s">
        <v>2629</v>
      </c>
      <c r="G199" s="168" t="s">
        <v>7</v>
      </c>
      <c r="H199" s="156" t="s">
        <v>2627</v>
      </c>
      <c r="I199" s="69" t="s">
        <v>2500</v>
      </c>
      <c r="J199" s="122">
        <v>1</v>
      </c>
      <c r="K199" s="15">
        <v>496800</v>
      </c>
      <c r="L199" s="16">
        <f t="shared" si="24"/>
        <v>496800</v>
      </c>
      <c r="M199" s="16">
        <f t="shared" si="26"/>
        <v>49680</v>
      </c>
      <c r="N199" s="15">
        <f t="shared" si="27"/>
        <v>546480</v>
      </c>
      <c r="O199" s="5" t="s">
        <v>2590</v>
      </c>
      <c r="P199" s="9" t="s">
        <v>2636</v>
      </c>
      <c r="Q199" s="5">
        <v>45838</v>
      </c>
      <c r="R199" s="213"/>
    </row>
    <row r="200" spans="1:18" ht="16.5" customHeight="1">
      <c r="A200" t="s">
        <v>64</v>
      </c>
      <c r="B200" s="10" t="s">
        <v>1250</v>
      </c>
      <c r="C200" s="12" t="s">
        <v>1251</v>
      </c>
      <c r="D200" s="13">
        <v>45838</v>
      </c>
      <c r="E200" s="155" t="s">
        <v>2625</v>
      </c>
      <c r="F200" s="155" t="s">
        <v>236</v>
      </c>
      <c r="G200" s="168" t="s">
        <v>7</v>
      </c>
      <c r="H200" s="156" t="s">
        <v>2627</v>
      </c>
      <c r="I200" s="69" t="s">
        <v>2501</v>
      </c>
      <c r="J200" s="122">
        <v>1</v>
      </c>
      <c r="K200" s="15">
        <v>1515900</v>
      </c>
      <c r="L200" s="16">
        <f t="shared" ref="L200:L214" si="28">J200*K200</f>
        <v>1515900</v>
      </c>
      <c r="M200" s="16">
        <f t="shared" si="26"/>
        <v>151590</v>
      </c>
      <c r="N200" s="15">
        <f t="shared" si="27"/>
        <v>1667490</v>
      </c>
      <c r="O200" s="5" t="s">
        <v>2590</v>
      </c>
      <c r="P200" s="9" t="s">
        <v>2636</v>
      </c>
      <c r="Q200" s="5">
        <v>45838</v>
      </c>
      <c r="R200" s="213"/>
    </row>
    <row r="201" spans="1:18" ht="16.5" customHeight="1">
      <c r="A201" t="s">
        <v>64</v>
      </c>
      <c r="B201" s="10" t="s">
        <v>1735</v>
      </c>
      <c r="C201" s="12" t="s">
        <v>1295</v>
      </c>
      <c r="D201" s="13">
        <v>45838</v>
      </c>
      <c r="E201" s="155" t="s">
        <v>2625</v>
      </c>
      <c r="F201" s="155" t="s">
        <v>331</v>
      </c>
      <c r="G201" s="156" t="s">
        <v>7</v>
      </c>
      <c r="H201" s="156" t="s">
        <v>2627</v>
      </c>
      <c r="I201" s="69" t="s">
        <v>2502</v>
      </c>
      <c r="J201" s="124">
        <v>1</v>
      </c>
      <c r="K201" s="15">
        <v>405600</v>
      </c>
      <c r="L201" s="16">
        <f t="shared" si="28"/>
        <v>405600</v>
      </c>
      <c r="M201" s="16">
        <f t="shared" si="26"/>
        <v>40560</v>
      </c>
      <c r="N201" s="15">
        <f t="shared" si="27"/>
        <v>446160</v>
      </c>
      <c r="O201" s="5" t="s">
        <v>2590</v>
      </c>
      <c r="P201" s="9" t="s">
        <v>2636</v>
      </c>
      <c r="Q201" s="5">
        <v>45838</v>
      </c>
      <c r="R201" s="209"/>
    </row>
    <row r="202" spans="1:18" ht="16.5" customHeight="1">
      <c r="A202" t="s">
        <v>64</v>
      </c>
      <c r="B202" s="10" t="s">
        <v>1900</v>
      </c>
      <c r="C202" s="12" t="s">
        <v>1897</v>
      </c>
      <c r="D202" s="13">
        <v>45838</v>
      </c>
      <c r="E202" s="155" t="s">
        <v>2625</v>
      </c>
      <c r="F202" s="155" t="s">
        <v>1265</v>
      </c>
      <c r="G202" s="156" t="s">
        <v>7</v>
      </c>
      <c r="H202" s="156" t="s">
        <v>2627</v>
      </c>
      <c r="I202" s="69" t="s">
        <v>2503</v>
      </c>
      <c r="J202" s="122">
        <v>1</v>
      </c>
      <c r="K202" s="15">
        <f>11956560/1.1</f>
        <v>10869600</v>
      </c>
      <c r="L202" s="16">
        <f t="shared" si="28"/>
        <v>10869600</v>
      </c>
      <c r="M202" s="15">
        <f t="shared" si="26"/>
        <v>1086960</v>
      </c>
      <c r="N202" s="15">
        <f t="shared" si="27"/>
        <v>11956560</v>
      </c>
      <c r="O202" s="5" t="s">
        <v>2590</v>
      </c>
      <c r="P202" s="9" t="s">
        <v>2636</v>
      </c>
      <c r="Q202" s="5">
        <v>45838</v>
      </c>
      <c r="R202" s="209"/>
    </row>
    <row r="203" spans="1:18" ht="16.5" customHeight="1">
      <c r="A203" t="s">
        <v>64</v>
      </c>
      <c r="B203" s="10" t="s">
        <v>1618</v>
      </c>
      <c r="C203" s="12" t="s">
        <v>1620</v>
      </c>
      <c r="D203" s="13">
        <v>45838</v>
      </c>
      <c r="E203" s="155" t="s">
        <v>2625</v>
      </c>
      <c r="F203" s="155" t="s">
        <v>226</v>
      </c>
      <c r="G203" s="156" t="s">
        <v>7</v>
      </c>
      <c r="H203" s="156" t="s">
        <v>2627</v>
      </c>
      <c r="I203" s="69" t="s">
        <v>2504</v>
      </c>
      <c r="J203" s="122">
        <v>1</v>
      </c>
      <c r="K203" s="15">
        <v>1167600</v>
      </c>
      <c r="L203" s="16">
        <f t="shared" si="28"/>
        <v>1167600</v>
      </c>
      <c r="M203" s="16">
        <f t="shared" si="26"/>
        <v>116760</v>
      </c>
      <c r="N203" s="15">
        <f t="shared" si="27"/>
        <v>1284360</v>
      </c>
      <c r="O203" s="5" t="s">
        <v>2590</v>
      </c>
      <c r="P203" s="9" t="s">
        <v>2636</v>
      </c>
      <c r="Q203" s="5">
        <v>45747</v>
      </c>
      <c r="R203" s="213" t="s">
        <v>100</v>
      </c>
    </row>
    <row r="204" spans="1:18" ht="16.5" customHeight="1">
      <c r="A204" t="s">
        <v>64</v>
      </c>
      <c r="B204" s="10" t="s">
        <v>800</v>
      </c>
      <c r="C204" s="12" t="s">
        <v>732</v>
      </c>
      <c r="D204" s="13">
        <v>45838</v>
      </c>
      <c r="E204" s="155" t="s">
        <v>2625</v>
      </c>
      <c r="F204" s="155" t="s">
        <v>801</v>
      </c>
      <c r="G204" s="168" t="s">
        <v>7</v>
      </c>
      <c r="H204" s="156" t="s">
        <v>2627</v>
      </c>
      <c r="I204" s="69" t="s">
        <v>2491</v>
      </c>
      <c r="J204" s="122">
        <v>1</v>
      </c>
      <c r="K204" s="15">
        <v>820200</v>
      </c>
      <c r="L204" s="16">
        <f t="shared" si="28"/>
        <v>820200</v>
      </c>
      <c r="M204" s="16">
        <f t="shared" si="26"/>
        <v>82020</v>
      </c>
      <c r="N204" s="15">
        <f t="shared" si="27"/>
        <v>902220</v>
      </c>
      <c r="O204" s="5" t="s">
        <v>2590</v>
      </c>
      <c r="P204" s="9" t="s">
        <v>2636</v>
      </c>
      <c r="Q204" s="5">
        <v>45838</v>
      </c>
      <c r="R204" s="213"/>
    </row>
    <row r="205" spans="1:18" ht="16.5" customHeight="1">
      <c r="A205" t="s">
        <v>64</v>
      </c>
      <c r="B205" s="10" t="s">
        <v>1733</v>
      </c>
      <c r="C205" s="12" t="s">
        <v>1627</v>
      </c>
      <c r="D205" s="13">
        <v>45838</v>
      </c>
      <c r="E205" s="155" t="s">
        <v>2625</v>
      </c>
      <c r="F205" s="155" t="s">
        <v>242</v>
      </c>
      <c r="G205" s="156" t="s">
        <v>7</v>
      </c>
      <c r="H205" s="156" t="s">
        <v>2627</v>
      </c>
      <c r="I205" s="69" t="s">
        <v>2505</v>
      </c>
      <c r="J205" s="124">
        <v>1</v>
      </c>
      <c r="K205" s="15">
        <v>51300</v>
      </c>
      <c r="L205" s="16">
        <f t="shared" si="28"/>
        <v>51300</v>
      </c>
      <c r="M205" s="16">
        <f t="shared" si="26"/>
        <v>5130</v>
      </c>
      <c r="N205" s="15">
        <f t="shared" si="27"/>
        <v>56430</v>
      </c>
      <c r="O205" s="5" t="s">
        <v>2590</v>
      </c>
      <c r="P205" s="9" t="s">
        <v>2636</v>
      </c>
      <c r="Q205" s="5">
        <v>45748</v>
      </c>
      <c r="R205" s="209" t="s">
        <v>100</v>
      </c>
    </row>
    <row r="206" spans="1:18" ht="16.5" customHeight="1">
      <c r="A206" t="s">
        <v>64</v>
      </c>
      <c r="B206" s="10" t="s">
        <v>1734</v>
      </c>
      <c r="C206" s="12" t="s">
        <v>1711</v>
      </c>
      <c r="D206" s="13">
        <v>45838</v>
      </c>
      <c r="E206" s="155" t="s">
        <v>2625</v>
      </c>
      <c r="F206" s="155" t="s">
        <v>224</v>
      </c>
      <c r="G206" s="156" t="s">
        <v>7</v>
      </c>
      <c r="H206" s="156" t="s">
        <v>2627</v>
      </c>
      <c r="I206" s="69" t="s">
        <v>2506</v>
      </c>
      <c r="J206" s="124">
        <v>1</v>
      </c>
      <c r="K206" s="15">
        <v>420000</v>
      </c>
      <c r="L206" s="16">
        <f t="shared" si="28"/>
        <v>420000</v>
      </c>
      <c r="M206" s="16">
        <f t="shared" si="26"/>
        <v>42000</v>
      </c>
      <c r="N206" s="15">
        <f t="shared" si="27"/>
        <v>462000</v>
      </c>
      <c r="O206" s="5" t="s">
        <v>2590</v>
      </c>
      <c r="P206" s="9" t="s">
        <v>2636</v>
      </c>
      <c r="Q206" s="5">
        <v>45747</v>
      </c>
      <c r="R206" s="209" t="s">
        <v>100</v>
      </c>
    </row>
    <row r="207" spans="1:18" ht="16.5" customHeight="1">
      <c r="A207" t="s">
        <v>64</v>
      </c>
      <c r="B207" s="10" t="s">
        <v>1736</v>
      </c>
      <c r="C207" s="12" t="s">
        <v>1717</v>
      </c>
      <c r="D207" s="13">
        <v>45838</v>
      </c>
      <c r="E207" s="155" t="s">
        <v>2625</v>
      </c>
      <c r="F207" s="155" t="s">
        <v>1715</v>
      </c>
      <c r="G207" s="156" t="s">
        <v>7</v>
      </c>
      <c r="H207" s="156" t="s">
        <v>2627</v>
      </c>
      <c r="I207" s="69" t="s">
        <v>2507</v>
      </c>
      <c r="J207" s="124">
        <v>1</v>
      </c>
      <c r="K207" s="15">
        <v>53400</v>
      </c>
      <c r="L207" s="16">
        <f t="shared" si="28"/>
        <v>53400</v>
      </c>
      <c r="M207" s="16">
        <f t="shared" si="26"/>
        <v>5340</v>
      </c>
      <c r="N207" s="15">
        <f t="shared" si="27"/>
        <v>58740</v>
      </c>
      <c r="O207" s="5" t="s">
        <v>2590</v>
      </c>
      <c r="P207" s="9" t="s">
        <v>2636</v>
      </c>
      <c r="Q207" s="5">
        <v>45833</v>
      </c>
      <c r="R207" s="209"/>
    </row>
    <row r="208" spans="1:18" ht="16.5" customHeight="1">
      <c r="A208" t="s">
        <v>64</v>
      </c>
      <c r="B208" s="10" t="s">
        <v>2272</v>
      </c>
      <c r="C208" s="12" t="s">
        <v>2273</v>
      </c>
      <c r="D208" s="13">
        <v>45838</v>
      </c>
      <c r="E208" s="155" t="s">
        <v>2625</v>
      </c>
      <c r="F208" s="155" t="s">
        <v>234</v>
      </c>
      <c r="G208" s="168" t="s">
        <v>7</v>
      </c>
      <c r="H208" s="156" t="s">
        <v>2627</v>
      </c>
      <c r="I208" s="69" t="s">
        <v>2271</v>
      </c>
      <c r="J208" s="122">
        <v>1</v>
      </c>
      <c r="K208" s="15">
        <v>1086600</v>
      </c>
      <c r="L208" s="16">
        <f t="shared" si="28"/>
        <v>1086600</v>
      </c>
      <c r="M208" s="15">
        <f t="shared" si="26"/>
        <v>108660</v>
      </c>
      <c r="N208" s="15">
        <f t="shared" si="27"/>
        <v>1195260</v>
      </c>
      <c r="O208" s="5" t="s">
        <v>2590</v>
      </c>
      <c r="P208" s="9" t="s">
        <v>2636</v>
      </c>
      <c r="Q208" s="5">
        <v>45809</v>
      </c>
      <c r="R208" s="209"/>
    </row>
    <row r="209" spans="1:21" ht="16.5" customHeight="1">
      <c r="A209" t="s">
        <v>64</v>
      </c>
      <c r="B209" s="10" t="s">
        <v>1991</v>
      </c>
      <c r="C209" s="12" t="s">
        <v>1828</v>
      </c>
      <c r="D209" s="13">
        <v>45838</v>
      </c>
      <c r="E209" s="155" t="s">
        <v>2625</v>
      </c>
      <c r="F209" s="155" t="s">
        <v>2629</v>
      </c>
      <c r="G209" s="156" t="s">
        <v>7</v>
      </c>
      <c r="H209" s="156" t="s">
        <v>2627</v>
      </c>
      <c r="I209" s="69" t="s">
        <v>2508</v>
      </c>
      <c r="J209" s="124">
        <v>1</v>
      </c>
      <c r="K209" s="15">
        <v>1111200</v>
      </c>
      <c r="L209" s="16">
        <f t="shared" si="28"/>
        <v>1111200</v>
      </c>
      <c r="M209" s="16">
        <f t="shared" si="26"/>
        <v>111120</v>
      </c>
      <c r="N209" s="15">
        <f t="shared" si="27"/>
        <v>1222320</v>
      </c>
      <c r="O209" s="5" t="s">
        <v>2590</v>
      </c>
      <c r="P209" s="9" t="s">
        <v>2636</v>
      </c>
      <c r="Q209" s="5">
        <v>45838</v>
      </c>
      <c r="R209" s="209"/>
    </row>
    <row r="210" spans="1:21" ht="16.5" customHeight="1">
      <c r="A210" t="s">
        <v>64</v>
      </c>
      <c r="B210" s="10" t="s">
        <v>2017</v>
      </c>
      <c r="C210" s="12" t="s">
        <v>2019</v>
      </c>
      <c r="D210" s="13">
        <v>45838</v>
      </c>
      <c r="E210" s="155" t="s">
        <v>2625</v>
      </c>
      <c r="F210" s="155" t="s">
        <v>1833</v>
      </c>
      <c r="G210" s="156" t="s">
        <v>7</v>
      </c>
      <c r="H210" s="156" t="s">
        <v>2627</v>
      </c>
      <c r="I210" s="69" t="s">
        <v>2509</v>
      </c>
      <c r="J210" s="122">
        <v>1</v>
      </c>
      <c r="K210" s="15">
        <v>1189500</v>
      </c>
      <c r="L210" s="16">
        <f t="shared" si="28"/>
        <v>1189500</v>
      </c>
      <c r="M210" s="16">
        <f t="shared" si="26"/>
        <v>118950</v>
      </c>
      <c r="N210" s="15">
        <f t="shared" si="27"/>
        <v>1308450</v>
      </c>
      <c r="O210" s="5" t="s">
        <v>2590</v>
      </c>
      <c r="P210" s="9" t="s">
        <v>2636</v>
      </c>
      <c r="Q210" s="5">
        <v>45863</v>
      </c>
      <c r="R210" s="213" t="s">
        <v>147</v>
      </c>
    </row>
    <row r="211" spans="1:21" ht="16.5" customHeight="1">
      <c r="A211" t="s">
        <v>64</v>
      </c>
      <c r="B211" s="10" t="s">
        <v>2520</v>
      </c>
      <c r="C211" s="12" t="s">
        <v>2516</v>
      </c>
      <c r="D211" s="13">
        <v>45838</v>
      </c>
      <c r="E211" s="155" t="s">
        <v>2625</v>
      </c>
      <c r="F211" s="155" t="s">
        <v>2632</v>
      </c>
      <c r="G211" s="156" t="s">
        <v>7</v>
      </c>
      <c r="H211" s="156" t="s">
        <v>2627</v>
      </c>
      <c r="I211" s="69" t="s">
        <v>2521</v>
      </c>
      <c r="J211" s="122">
        <v>1</v>
      </c>
      <c r="K211" s="15">
        <v>55980</v>
      </c>
      <c r="L211" s="16">
        <f t="shared" si="28"/>
        <v>55980</v>
      </c>
      <c r="M211" s="16">
        <f t="shared" si="26"/>
        <v>5598</v>
      </c>
      <c r="N211" s="15">
        <f t="shared" si="27"/>
        <v>61578</v>
      </c>
      <c r="O211" s="5" t="s">
        <v>2590</v>
      </c>
      <c r="P211" s="9" t="s">
        <v>2636</v>
      </c>
      <c r="Q211" s="5">
        <v>45833</v>
      </c>
      <c r="R211" s="213"/>
    </row>
    <row r="212" spans="1:21" ht="16.5" customHeight="1">
      <c r="A212" t="s">
        <v>64</v>
      </c>
      <c r="B212" s="10" t="s">
        <v>2316</v>
      </c>
      <c r="C212" s="12" t="s">
        <v>2307</v>
      </c>
      <c r="D212" s="13">
        <v>45838</v>
      </c>
      <c r="E212" s="155" t="s">
        <v>2625</v>
      </c>
      <c r="F212" s="155" t="s">
        <v>224</v>
      </c>
      <c r="G212" s="156" t="s">
        <v>7</v>
      </c>
      <c r="H212" s="156" t="s">
        <v>2627</v>
      </c>
      <c r="I212" s="69" t="s">
        <v>2517</v>
      </c>
      <c r="J212" s="122">
        <v>1</v>
      </c>
      <c r="K212" s="15">
        <v>390300</v>
      </c>
      <c r="L212" s="16">
        <f t="shared" si="28"/>
        <v>390300</v>
      </c>
      <c r="M212" s="16">
        <f t="shared" si="26"/>
        <v>39030</v>
      </c>
      <c r="N212" s="15">
        <f t="shared" ref="N212:N213" si="29">SUM(L212:M212)</f>
        <v>429330</v>
      </c>
      <c r="O212" s="5" t="s">
        <v>2590</v>
      </c>
      <c r="P212" s="9" t="s">
        <v>2636</v>
      </c>
      <c r="Q212" s="5">
        <v>45838</v>
      </c>
      <c r="R212" s="209"/>
      <c r="U212" s="11"/>
    </row>
    <row r="213" spans="1:21" ht="16.5" customHeight="1">
      <c r="A213" t="s">
        <v>64</v>
      </c>
      <c r="B213" s="10"/>
      <c r="C213" s="12"/>
      <c r="D213" s="13"/>
      <c r="E213" s="155"/>
      <c r="F213" s="155"/>
      <c r="G213" s="156"/>
      <c r="H213" s="156"/>
      <c r="I213" s="69"/>
      <c r="J213" s="122"/>
      <c r="K213" s="15"/>
      <c r="L213" s="16">
        <f t="shared" si="28"/>
        <v>0</v>
      </c>
      <c r="M213" s="16">
        <f t="shared" si="26"/>
        <v>0</v>
      </c>
      <c r="N213" s="15">
        <f t="shared" si="29"/>
        <v>0</v>
      </c>
      <c r="O213" s="5"/>
      <c r="P213" s="9"/>
      <c r="Q213" s="5"/>
      <c r="R213" s="213"/>
    </row>
    <row r="214" spans="1:21" ht="16.5" customHeight="1">
      <c r="A214" t="s">
        <v>64</v>
      </c>
      <c r="B214" s="10"/>
      <c r="C214" s="12"/>
      <c r="D214" s="6"/>
      <c r="E214" s="163"/>
      <c r="F214" s="163"/>
      <c r="G214" s="169"/>
      <c r="H214" s="169"/>
      <c r="I214" s="163"/>
      <c r="J214" s="127"/>
      <c r="K214" s="15"/>
      <c r="L214" s="16">
        <f t="shared" si="28"/>
        <v>0</v>
      </c>
      <c r="M214" s="16">
        <f>ROUNDDOWN(L214*10%,0)</f>
        <v>0</v>
      </c>
      <c r="N214" s="15">
        <f t="shared" ref="N214" si="30">SUM(L214:M214)</f>
        <v>0</v>
      </c>
      <c r="O214" s="5"/>
      <c r="P214" s="9"/>
      <c r="Q214" s="5"/>
      <c r="R214" s="209"/>
    </row>
    <row r="215" spans="1:21" ht="30.75" customHeight="1" thickBot="1">
      <c r="A215" t="s">
        <v>64</v>
      </c>
      <c r="B215" s="262" t="s">
        <v>24</v>
      </c>
      <c r="C215" s="263"/>
      <c r="D215" s="263"/>
      <c r="E215" s="263"/>
      <c r="F215" s="263"/>
      <c r="G215" s="263"/>
      <c r="H215" s="263"/>
      <c r="I215" s="264"/>
      <c r="J215" s="128"/>
      <c r="K215" s="129"/>
      <c r="L215" s="130">
        <f>SUM(L5:L214)</f>
        <v>243890402.81818181</v>
      </c>
      <c r="M215" s="130">
        <f>SUM(M5:M214)</f>
        <v>24372495.881818183</v>
      </c>
      <c r="N215" s="130">
        <f>SUM(N5:N214)</f>
        <v>268262898.70000002</v>
      </c>
      <c r="O215" s="97"/>
      <c r="P215" s="178"/>
      <c r="Q215" s="97"/>
      <c r="R215" s="180"/>
    </row>
    <row r="216" spans="1:21" ht="16.5" customHeight="1">
      <c r="D216" s="236">
        <f>COUNTA(D5:D214)</f>
        <v>188</v>
      </c>
    </row>
    <row r="217" spans="1:21" ht="16.5" customHeight="1">
      <c r="K217" s="17" t="s">
        <v>46</v>
      </c>
      <c r="L217" s="131">
        <f>SUBTOTAL(109,L5:L214)</f>
        <v>243890402.81818181</v>
      </c>
      <c r="M217" s="131">
        <f>SUBTOTAL(109,M5:M214)</f>
        <v>24372495.881818183</v>
      </c>
      <c r="N217" s="131">
        <f>SUBTOTAL(109,N5:N214)</f>
        <v>268262898.70000002</v>
      </c>
    </row>
    <row r="218" spans="1:21" ht="16.5" customHeight="1">
      <c r="E218" t="s">
        <v>62</v>
      </c>
    </row>
    <row r="219" spans="1:21" s="66" customFormat="1" ht="16.5" customHeight="1">
      <c r="A219"/>
      <c r="B219" s="1"/>
      <c r="C219"/>
      <c r="D219" s="96"/>
      <c r="E219" t="s">
        <v>7</v>
      </c>
      <c r="F219" s="11">
        <f t="shared" ref="F219:F230" si="31">SUMIF($G$6:$G$214,E219,$L$6:$L$214)</f>
        <v>128486124</v>
      </c>
      <c r="G219" s="1"/>
      <c r="H219" s="1"/>
      <c r="I219"/>
      <c r="J219" s="17"/>
      <c r="K219" s="190" t="s">
        <v>42</v>
      </c>
      <c r="L219" s="17">
        <v>243590741</v>
      </c>
      <c r="M219" s="17">
        <v>24359062</v>
      </c>
      <c r="N219" s="17">
        <f>SUBTOTAL(9,L219:M219)</f>
        <v>267949803</v>
      </c>
      <c r="O219" s="96"/>
      <c r="P219"/>
      <c r="Q219" s="96"/>
      <c r="R219"/>
      <c r="S219"/>
      <c r="T219"/>
    </row>
    <row r="220" spans="1:21" s="66" customFormat="1">
      <c r="A220"/>
      <c r="B220" s="1"/>
      <c r="C220"/>
      <c r="D220" s="96"/>
      <c r="E220" t="s">
        <v>16</v>
      </c>
      <c r="F220" s="11">
        <f t="shared" si="31"/>
        <v>45876673</v>
      </c>
      <c r="G220" s="1"/>
      <c r="H220" s="1"/>
      <c r="I220"/>
      <c r="J220" s="17"/>
      <c r="K220" s="190" t="s">
        <v>43</v>
      </c>
      <c r="L220" s="17"/>
      <c r="M220" s="17"/>
      <c r="N220" s="17">
        <f t="shared" ref="N220:N221" si="32">SUBTOTAL(9,L220:M220)</f>
        <v>0</v>
      </c>
      <c r="O220" s="96"/>
      <c r="P220"/>
      <c r="Q220" s="96"/>
      <c r="R220"/>
      <c r="S220"/>
      <c r="T220"/>
    </row>
    <row r="221" spans="1:21" s="66" customFormat="1">
      <c r="A221"/>
      <c r="B221" s="1"/>
      <c r="C221"/>
      <c r="D221" s="96"/>
      <c r="E221" t="s">
        <v>28</v>
      </c>
      <c r="F221" s="11">
        <f t="shared" si="31"/>
        <v>0</v>
      </c>
      <c r="G221" s="1"/>
      <c r="H221" s="1"/>
      <c r="I221"/>
      <c r="J221" s="17"/>
      <c r="K221" s="190" t="s">
        <v>55</v>
      </c>
      <c r="L221" s="17"/>
      <c r="M221" s="17"/>
      <c r="N221" s="17">
        <f t="shared" si="32"/>
        <v>0</v>
      </c>
      <c r="O221" s="96"/>
      <c r="P221"/>
      <c r="Q221" s="96"/>
      <c r="R221"/>
      <c r="S221"/>
      <c r="T221"/>
    </row>
    <row r="222" spans="1:21" s="66" customFormat="1">
      <c r="A222"/>
      <c r="B222" s="1"/>
      <c r="C222"/>
      <c r="D222" s="96"/>
      <c r="E222" t="s">
        <v>15</v>
      </c>
      <c r="F222" s="11">
        <f t="shared" si="31"/>
        <v>0</v>
      </c>
      <c r="G222" s="1"/>
      <c r="H222" s="1"/>
      <c r="I222"/>
      <c r="J222" s="17"/>
      <c r="K222" s="17"/>
      <c r="L222" s="17"/>
      <c r="M222" s="17"/>
      <c r="N222" s="17"/>
      <c r="O222" s="96"/>
      <c r="P222"/>
      <c r="Q222" s="96"/>
      <c r="R222"/>
      <c r="S222"/>
      <c r="T222"/>
    </row>
    <row r="223" spans="1:21" s="66" customFormat="1">
      <c r="A223"/>
      <c r="B223" s="1"/>
      <c r="C223"/>
      <c r="D223" s="96"/>
      <c r="E223" t="s">
        <v>27</v>
      </c>
      <c r="F223" s="11">
        <f t="shared" si="31"/>
        <v>0</v>
      </c>
      <c r="G223" s="1"/>
      <c r="H223" s="1"/>
      <c r="I223"/>
      <c r="J223" s="17"/>
      <c r="K223" s="17"/>
      <c r="L223" s="131"/>
      <c r="M223" s="131"/>
      <c r="N223" s="131"/>
      <c r="O223" s="96"/>
      <c r="P223"/>
      <c r="Q223" s="96"/>
      <c r="R223"/>
      <c r="S223"/>
      <c r="T223"/>
    </row>
    <row r="224" spans="1:21" s="66" customFormat="1">
      <c r="A224"/>
      <c r="B224" s="1"/>
      <c r="C224"/>
      <c r="D224" s="96"/>
      <c r="E224" t="s">
        <v>41</v>
      </c>
      <c r="F224" s="11">
        <f t="shared" si="31"/>
        <v>66300922.818181813</v>
      </c>
      <c r="G224" s="1"/>
      <c r="H224" s="1"/>
      <c r="I224"/>
      <c r="J224" s="17"/>
      <c r="K224" s="17"/>
      <c r="L224" s="17"/>
      <c r="M224" s="17"/>
      <c r="N224" s="131"/>
      <c r="O224" s="96"/>
      <c r="P224"/>
      <c r="Q224" s="96"/>
      <c r="R224"/>
      <c r="S224"/>
      <c r="T224"/>
    </row>
    <row r="225" spans="1:20" s="66" customFormat="1">
      <c r="A225"/>
      <c r="B225" s="1"/>
      <c r="C225"/>
      <c r="D225" s="96"/>
      <c r="E225" t="s">
        <v>25</v>
      </c>
      <c r="F225" s="11">
        <f t="shared" si="31"/>
        <v>0</v>
      </c>
      <c r="G225" s="1"/>
      <c r="H225" s="1"/>
      <c r="I225"/>
      <c r="J225" s="17"/>
      <c r="K225" s="17"/>
      <c r="L225" s="17"/>
      <c r="M225" s="17"/>
      <c r="N225" s="131"/>
      <c r="O225" s="96"/>
      <c r="P225"/>
      <c r="Q225" s="96"/>
      <c r="R225"/>
      <c r="S225"/>
      <c r="T225"/>
    </row>
    <row r="226" spans="1:20" s="66" customFormat="1">
      <c r="A226"/>
      <c r="B226" s="1"/>
      <c r="C226"/>
      <c r="D226" s="96"/>
      <c r="E226" t="s">
        <v>36</v>
      </c>
      <c r="F226" s="11">
        <f t="shared" si="31"/>
        <v>0</v>
      </c>
      <c r="G226" s="1"/>
      <c r="H226" s="1"/>
      <c r="I226"/>
      <c r="J226" s="17"/>
      <c r="K226" s="17"/>
      <c r="L226" s="17"/>
      <c r="M226" s="17"/>
      <c r="N226" s="17"/>
      <c r="O226" s="96"/>
      <c r="P226"/>
      <c r="Q226" s="96"/>
      <c r="R226"/>
      <c r="S226"/>
      <c r="T226"/>
    </row>
    <row r="227" spans="1:20" s="66" customFormat="1">
      <c r="A227"/>
      <c r="B227" s="1"/>
      <c r="C227"/>
      <c r="D227" s="96"/>
      <c r="E227" t="s">
        <v>30</v>
      </c>
      <c r="F227" s="11">
        <f t="shared" si="31"/>
        <v>3155683</v>
      </c>
      <c r="G227" s="1"/>
      <c r="H227" s="1"/>
      <c r="I227"/>
      <c r="J227" s="17"/>
      <c r="K227" s="17"/>
      <c r="L227" s="17"/>
      <c r="M227" s="17"/>
      <c r="N227" s="17"/>
      <c r="O227" s="96"/>
      <c r="P227"/>
      <c r="Q227" s="96"/>
      <c r="R227"/>
      <c r="S227"/>
      <c r="T227"/>
    </row>
    <row r="228" spans="1:20" s="66" customFormat="1">
      <c r="A228"/>
      <c r="B228" s="1"/>
      <c r="C228"/>
      <c r="D228" s="96"/>
      <c r="E228" t="s">
        <v>37</v>
      </c>
      <c r="F228" s="11">
        <f t="shared" si="31"/>
        <v>0</v>
      </c>
      <c r="G228" s="1"/>
      <c r="H228" s="1"/>
      <c r="I228"/>
      <c r="J228" s="17"/>
      <c r="K228" s="17"/>
      <c r="L228" s="17"/>
      <c r="M228" s="17"/>
      <c r="N228" s="17"/>
      <c r="O228" s="96"/>
      <c r="P228"/>
      <c r="Q228" s="96"/>
      <c r="R228"/>
      <c r="S228"/>
      <c r="T228"/>
    </row>
    <row r="229" spans="1:20" s="66" customFormat="1">
      <c r="A229"/>
      <c r="B229" s="1"/>
      <c r="C229"/>
      <c r="D229" s="96"/>
      <c r="E229" t="s">
        <v>35</v>
      </c>
      <c r="F229" s="11">
        <f t="shared" si="31"/>
        <v>0</v>
      </c>
      <c r="G229" s="1"/>
      <c r="H229" s="1"/>
      <c r="I229"/>
      <c r="J229" s="17"/>
      <c r="K229" s="17"/>
      <c r="L229" s="17"/>
      <c r="M229" s="17"/>
      <c r="N229" s="17"/>
      <c r="O229" s="96"/>
      <c r="P229"/>
      <c r="Q229" s="96"/>
      <c r="R229"/>
      <c r="S229"/>
      <c r="T229"/>
    </row>
    <row r="230" spans="1:20" s="66" customFormat="1">
      <c r="A230"/>
      <c r="B230" s="1"/>
      <c r="C230"/>
      <c r="D230" s="96"/>
      <c r="E230" t="s">
        <v>80</v>
      </c>
      <c r="F230" s="11">
        <f t="shared" si="31"/>
        <v>0</v>
      </c>
      <c r="G230" s="1"/>
      <c r="H230" s="1"/>
      <c r="I230"/>
      <c r="J230" s="17"/>
      <c r="K230" s="17"/>
      <c r="L230" s="17"/>
      <c r="M230" s="17"/>
      <c r="N230" s="17"/>
      <c r="O230" s="96"/>
      <c r="P230"/>
      <c r="Q230" s="96"/>
      <c r="R230"/>
      <c r="S230"/>
      <c r="T230"/>
    </row>
    <row r="231" spans="1:20" s="66" customFormat="1">
      <c r="A231"/>
      <c r="B231" s="1"/>
      <c r="C231"/>
      <c r="D231" s="96"/>
      <c r="E231" s="171" t="s">
        <v>92</v>
      </c>
      <c r="F231" s="18">
        <f>SUM(F219:F230)</f>
        <v>243819402.81818181</v>
      </c>
      <c r="G231" s="1"/>
      <c r="H231" s="1"/>
      <c r="I231"/>
      <c r="J231" s="17"/>
      <c r="K231" s="17"/>
      <c r="L231" s="17"/>
      <c r="M231" s="17"/>
      <c r="N231" s="131"/>
      <c r="O231" s="96"/>
      <c r="P231"/>
      <c r="Q231" s="96"/>
      <c r="R231"/>
      <c r="S231"/>
      <c r="T231"/>
    </row>
    <row r="232" spans="1:20" s="66" customFormat="1">
      <c r="A232"/>
      <c r="B232" s="1"/>
      <c r="C232"/>
      <c r="D232" s="96"/>
      <c r="E232" s="171" t="s">
        <v>93</v>
      </c>
      <c r="F232" s="18">
        <f>F231-F230</f>
        <v>243819402.81818181</v>
      </c>
      <c r="G232" s="1"/>
      <c r="H232" s="1"/>
      <c r="I232"/>
      <c r="J232" s="17"/>
      <c r="K232" s="17"/>
      <c r="L232" s="131"/>
      <c r="M232" s="131"/>
      <c r="N232" s="131"/>
      <c r="O232" s="96"/>
      <c r="P232"/>
      <c r="Q232" s="96"/>
      <c r="R232"/>
      <c r="S232"/>
      <c r="T232"/>
    </row>
    <row r="233" spans="1:20" s="66" customFormat="1">
      <c r="A233"/>
      <c r="B233" s="1"/>
      <c r="C233"/>
      <c r="D233" s="96"/>
      <c r="E233" s="171"/>
      <c r="F233" s="172"/>
      <c r="G233" s="1"/>
      <c r="H233" s="1"/>
      <c r="I233"/>
      <c r="J233" s="17"/>
      <c r="K233" s="17"/>
      <c r="L233" s="17"/>
      <c r="M233" s="17"/>
      <c r="N233" s="17"/>
      <c r="O233" s="96"/>
      <c r="P233"/>
      <c r="Q233" s="96"/>
      <c r="R233"/>
      <c r="S233"/>
      <c r="T233"/>
    </row>
    <row r="234" spans="1:20" s="66" customFormat="1">
      <c r="A234"/>
      <c r="B234" s="1"/>
      <c r="C234"/>
      <c r="D234" s="96"/>
      <c r="E234"/>
      <c r="F234"/>
      <c r="G234" s="1"/>
      <c r="H234" s="1"/>
      <c r="I234"/>
      <c r="J234" s="17"/>
      <c r="K234" s="17"/>
      <c r="L234" s="131"/>
      <c r="M234" s="17"/>
      <c r="N234" s="17"/>
      <c r="O234" s="96"/>
      <c r="P234"/>
      <c r="Q234" s="96"/>
      <c r="R234"/>
      <c r="S234"/>
      <c r="T234"/>
    </row>
    <row r="235" spans="1:20">
      <c r="L235" s="191"/>
      <c r="M235" s="191"/>
      <c r="N235" s="191"/>
      <c r="O235" s="98"/>
    </row>
    <row r="236" spans="1:20">
      <c r="F236" s="170"/>
      <c r="L236" s="191"/>
      <c r="M236" s="191"/>
      <c r="N236" s="191"/>
      <c r="O236" s="98"/>
    </row>
    <row r="237" spans="1:20">
      <c r="F237" s="170"/>
      <c r="L237" s="192"/>
      <c r="M237" s="192"/>
      <c r="N237" s="192"/>
      <c r="O237" s="98"/>
    </row>
    <row r="238" spans="1:20" s="1" customFormat="1">
      <c r="C238"/>
      <c r="D238" s="96"/>
      <c r="E238"/>
      <c r="F238"/>
      <c r="I238"/>
      <c r="J238" s="17"/>
      <c r="K238" s="17"/>
      <c r="L238" s="17"/>
      <c r="M238" s="17"/>
      <c r="N238" s="131"/>
      <c r="O238" s="96"/>
      <c r="P238"/>
      <c r="Q238" s="96"/>
      <c r="R238"/>
    </row>
    <row r="239" spans="1:20">
      <c r="N239" s="131"/>
    </row>
    <row r="240" spans="1:20">
      <c r="N240" s="131"/>
    </row>
    <row r="241" spans="1:20">
      <c r="N241" s="131"/>
    </row>
    <row r="242" spans="1:20">
      <c r="N242" s="131"/>
    </row>
    <row r="243" spans="1:20">
      <c r="N243" s="193"/>
    </row>
    <row r="244" spans="1:20">
      <c r="F244" s="170"/>
      <c r="N244" s="193"/>
    </row>
    <row r="245" spans="1:20" s="66" customFormat="1">
      <c r="A245"/>
      <c r="B245" s="1"/>
      <c r="C245"/>
      <c r="D245" s="96"/>
      <c r="E245"/>
      <c r="F245" s="170"/>
      <c r="G245" s="1"/>
      <c r="H245" s="1"/>
      <c r="I245"/>
      <c r="J245" s="17"/>
      <c r="K245" s="17"/>
      <c r="L245" s="17"/>
      <c r="M245" s="17"/>
      <c r="N245" s="193"/>
      <c r="O245" s="96"/>
      <c r="P245"/>
      <c r="Q245" s="96"/>
      <c r="R245"/>
      <c r="S245"/>
      <c r="T245"/>
    </row>
    <row r="246" spans="1:20" s="66" customFormat="1">
      <c r="A246"/>
      <c r="B246" s="1"/>
      <c r="C246"/>
      <c r="D246" s="96"/>
      <c r="E246"/>
      <c r="F246" s="170"/>
      <c r="G246" s="1"/>
      <c r="H246" s="1"/>
      <c r="I246"/>
      <c r="J246" s="17"/>
      <c r="K246" s="17"/>
      <c r="L246" s="194"/>
      <c r="M246" s="194"/>
      <c r="N246" s="195"/>
      <c r="O246" s="96"/>
      <c r="P246"/>
      <c r="Q246" s="96"/>
      <c r="R246"/>
      <c r="S246"/>
      <c r="T246"/>
    </row>
    <row r="247" spans="1:20" s="66" customFormat="1">
      <c r="A247"/>
      <c r="B247" s="1"/>
      <c r="C247"/>
      <c r="D247" s="96"/>
      <c r="E247"/>
      <c r="F247" s="170"/>
      <c r="G247" s="1"/>
      <c r="H247" s="1"/>
      <c r="I247"/>
      <c r="J247" s="17"/>
      <c r="K247" s="17"/>
      <c r="L247" s="131"/>
      <c r="M247" s="131"/>
      <c r="N247" s="193"/>
      <c r="O247" s="96"/>
      <c r="P247"/>
      <c r="Q247" s="96"/>
      <c r="R247"/>
      <c r="S247"/>
      <c r="T247"/>
    </row>
    <row r="248" spans="1:20" s="66" customFormat="1">
      <c r="A248"/>
      <c r="B248" s="1"/>
      <c r="C248"/>
      <c r="D248" s="96"/>
      <c r="E248"/>
      <c r="F248"/>
      <c r="G248" s="1"/>
      <c r="H248" s="1"/>
      <c r="I248"/>
      <c r="J248" s="17"/>
      <c r="K248" s="17"/>
      <c r="L248" s="131"/>
      <c r="M248" s="131"/>
      <c r="N248" s="193"/>
      <c r="O248" s="96"/>
      <c r="P248"/>
      <c r="Q248" s="96"/>
      <c r="R248"/>
      <c r="S248"/>
      <c r="T248"/>
    </row>
    <row r="249" spans="1:20" s="66" customFormat="1">
      <c r="A249"/>
      <c r="B249" s="1"/>
      <c r="C249"/>
      <c r="D249" s="96"/>
      <c r="E249"/>
      <c r="F249"/>
      <c r="G249" s="1"/>
      <c r="H249" s="1"/>
      <c r="I249"/>
      <c r="J249" s="17"/>
      <c r="K249" s="17"/>
      <c r="L249" s="17"/>
      <c r="M249" s="17"/>
      <c r="N249" s="193"/>
      <c r="O249" s="96"/>
      <c r="P249"/>
      <c r="Q249" s="96"/>
      <c r="R249"/>
      <c r="S249"/>
      <c r="T249"/>
    </row>
    <row r="250" spans="1:20" s="66" customFormat="1">
      <c r="A250"/>
      <c r="B250" s="1"/>
      <c r="C250"/>
      <c r="D250" s="96"/>
      <c r="E250"/>
      <c r="F250"/>
      <c r="G250" s="1"/>
      <c r="H250" s="1"/>
      <c r="I250"/>
      <c r="J250" s="17"/>
      <c r="K250" s="17"/>
      <c r="L250" s="17"/>
      <c r="M250" s="17"/>
      <c r="N250" s="17"/>
      <c r="O250" s="96"/>
      <c r="P250"/>
      <c r="Q250" s="96"/>
      <c r="R250"/>
      <c r="S250"/>
      <c r="T250"/>
    </row>
    <row r="251" spans="1:20" s="66" customFormat="1">
      <c r="A251"/>
      <c r="B251" s="1"/>
      <c r="C251"/>
      <c r="D251" s="96"/>
      <c r="E251"/>
      <c r="F251"/>
      <c r="G251" s="1"/>
      <c r="H251" s="1"/>
      <c r="I251"/>
      <c r="J251" s="17"/>
      <c r="K251" s="17"/>
      <c r="L251" s="17"/>
      <c r="M251" s="17"/>
      <c r="N251" s="17"/>
      <c r="O251" s="96"/>
      <c r="P251"/>
      <c r="Q251" s="96"/>
      <c r="R251"/>
      <c r="S251"/>
      <c r="T251"/>
    </row>
    <row r="252" spans="1:20" s="66" customFormat="1">
      <c r="A252"/>
      <c r="B252" s="1"/>
      <c r="C252"/>
      <c r="D252" s="96"/>
      <c r="E252"/>
      <c r="F252"/>
      <c r="G252" s="1"/>
      <c r="H252" s="1"/>
      <c r="I252"/>
      <c r="J252" s="17"/>
      <c r="K252" s="17"/>
      <c r="L252" s="17"/>
      <c r="M252" s="17"/>
      <c r="N252" s="17"/>
      <c r="O252" s="96"/>
      <c r="P252"/>
      <c r="Q252" s="96"/>
      <c r="R252"/>
      <c r="S252"/>
      <c r="T252"/>
    </row>
    <row r="255" spans="1:20" s="66" customFormat="1">
      <c r="A255"/>
      <c r="B255" s="1"/>
      <c r="C255"/>
      <c r="D255" s="96"/>
      <c r="E255"/>
      <c r="F255"/>
      <c r="G255" s="1"/>
      <c r="H255" s="1"/>
      <c r="I255"/>
      <c r="J255" s="17"/>
      <c r="K255" s="17"/>
      <c r="L255" s="17"/>
      <c r="M255" s="17"/>
      <c r="N255" s="17"/>
      <c r="O255" s="96"/>
      <c r="P255"/>
      <c r="Q255" s="96"/>
      <c r="R255"/>
      <c r="S255"/>
      <c r="T255"/>
    </row>
    <row r="256" spans="1:20" s="66" customFormat="1">
      <c r="A256"/>
      <c r="B256" s="1"/>
      <c r="C256"/>
      <c r="D256" s="96"/>
      <c r="E256"/>
      <c r="F256"/>
      <c r="G256" s="1"/>
      <c r="H256" s="1"/>
      <c r="I256"/>
      <c r="J256" s="17"/>
      <c r="K256" s="17"/>
      <c r="L256" s="17"/>
      <c r="M256" s="17"/>
      <c r="N256" s="17"/>
      <c r="O256" s="96"/>
      <c r="P256"/>
      <c r="Q256" s="96"/>
      <c r="R256"/>
      <c r="S256"/>
      <c r="T256"/>
    </row>
    <row r="257" spans="1:20" s="66" customFormat="1">
      <c r="A257"/>
      <c r="B257" s="1"/>
      <c r="C257"/>
      <c r="D257" s="96"/>
      <c r="E257"/>
      <c r="F257"/>
      <c r="G257" s="1"/>
      <c r="H257" s="1"/>
      <c r="I257"/>
      <c r="J257" s="17"/>
      <c r="K257" s="17"/>
      <c r="L257" s="17"/>
      <c r="M257" s="17"/>
      <c r="N257" s="17"/>
      <c r="O257" s="96"/>
      <c r="P257"/>
      <c r="Q257" s="96"/>
      <c r="R257"/>
      <c r="S257"/>
      <c r="T257"/>
    </row>
    <row r="258" spans="1:20" s="66" customFormat="1">
      <c r="A258"/>
      <c r="B258" s="1"/>
      <c r="C258"/>
      <c r="D258" s="96"/>
      <c r="E258"/>
      <c r="F258"/>
      <c r="G258" s="1"/>
      <c r="H258" s="1"/>
      <c r="I258"/>
      <c r="J258" s="17"/>
      <c r="K258" s="17"/>
      <c r="L258" s="17"/>
      <c r="M258" s="17"/>
      <c r="N258" s="17"/>
      <c r="O258" s="96"/>
      <c r="P258"/>
      <c r="Q258" s="96"/>
      <c r="R258"/>
      <c r="S258"/>
      <c r="T258"/>
    </row>
    <row r="259" spans="1:20" s="66" customFormat="1">
      <c r="A259"/>
      <c r="B259" s="1"/>
      <c r="C259"/>
      <c r="D259" s="96"/>
      <c r="E259"/>
      <c r="F259"/>
      <c r="G259" s="1"/>
      <c r="H259" s="1"/>
      <c r="I259"/>
      <c r="J259" s="17"/>
      <c r="K259" s="17"/>
      <c r="L259" s="17"/>
      <c r="M259" s="17"/>
      <c r="N259" s="17"/>
      <c r="O259" s="96"/>
      <c r="P259"/>
      <c r="Q259" s="96"/>
      <c r="R259"/>
      <c r="S259"/>
      <c r="T259"/>
    </row>
    <row r="260" spans="1:20" s="66" customFormat="1">
      <c r="A260"/>
      <c r="B260" s="1"/>
      <c r="C260"/>
      <c r="D260" s="96"/>
      <c r="E260"/>
      <c r="F260"/>
      <c r="G260" s="1"/>
      <c r="H260" s="1"/>
      <c r="I260"/>
      <c r="J260" s="17"/>
      <c r="K260" s="17"/>
      <c r="L260" s="17"/>
      <c r="M260" s="17"/>
      <c r="N260" s="17"/>
      <c r="O260" s="96"/>
      <c r="P260"/>
      <c r="Q260" s="96"/>
      <c r="R260"/>
      <c r="S260"/>
      <c r="T260"/>
    </row>
  </sheetData>
  <autoFilter ref="A4:V232" xr:uid="{F8922398-EDFB-4196-9067-F87DB21F697D}"/>
  <dataConsolidate/>
  <mergeCells count="15">
    <mergeCell ref="Q3:Q4"/>
    <mergeCell ref="R3:R4"/>
    <mergeCell ref="B215:I215"/>
    <mergeCell ref="H3:H4"/>
    <mergeCell ref="I3:I4"/>
    <mergeCell ref="J3:J4"/>
    <mergeCell ref="K3:N3"/>
    <mergeCell ref="O3:O4"/>
    <mergeCell ref="P3:P4"/>
    <mergeCell ref="B3:B4"/>
    <mergeCell ref="C3:C4"/>
    <mergeCell ref="D3:D4"/>
    <mergeCell ref="E3:E4"/>
    <mergeCell ref="F3:F4"/>
    <mergeCell ref="G3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E0AF-D6B9-4AE0-987A-51CBD4A9120B}">
  <sheetPr codeName="Sheet8"/>
  <dimension ref="A1:O11"/>
  <sheetViews>
    <sheetView workbookViewId="0">
      <selection activeCell="H23" sqref="H23"/>
    </sheetView>
  </sheetViews>
  <sheetFormatPr defaultRowHeight="16.5"/>
  <cols>
    <col min="1" max="1" width="6.625" customWidth="1"/>
    <col min="2" max="2" width="11.125" bestFit="1" customWidth="1"/>
    <col min="3" max="3" width="28.875" bestFit="1" customWidth="1"/>
    <col min="4" max="4" width="17.375" hidden="1" customWidth="1"/>
    <col min="5" max="5" width="31.375" customWidth="1"/>
    <col min="6" max="6" width="9.875" bestFit="1" customWidth="1"/>
    <col min="7" max="7" width="12.75" customWidth="1"/>
    <col min="8" max="8" width="11.125" style="11" customWidth="1"/>
    <col min="9" max="9" width="12.375" style="11" customWidth="1"/>
    <col min="10" max="10" width="11.75" style="11" customWidth="1"/>
    <col min="11" max="11" width="12.375" style="11" customWidth="1"/>
    <col min="12" max="12" width="5.125" style="11" customWidth="1"/>
    <col min="13" max="13" width="12.375" style="11" customWidth="1"/>
    <col min="14" max="14" width="14.375" bestFit="1" customWidth="1"/>
    <col min="15" max="15" width="11" bestFit="1" customWidth="1"/>
    <col min="17" max="17" width="10.5" bestFit="1" customWidth="1"/>
  </cols>
  <sheetData>
    <row r="1" spans="1:15" ht="17.25" thickBot="1"/>
    <row r="2" spans="1:15" ht="33.75" thickBot="1">
      <c r="A2" s="45" t="s">
        <v>72</v>
      </c>
      <c r="B2" s="46" t="s">
        <v>160</v>
      </c>
      <c r="C2" s="47" t="s">
        <v>73</v>
      </c>
      <c r="D2" s="47" t="s">
        <v>2</v>
      </c>
      <c r="E2" s="48" t="s">
        <v>74</v>
      </c>
      <c r="F2" s="49" t="s">
        <v>75</v>
      </c>
      <c r="G2" s="50" t="s">
        <v>76</v>
      </c>
      <c r="H2" s="51" t="s">
        <v>89</v>
      </c>
      <c r="I2" s="52" t="s">
        <v>77</v>
      </c>
      <c r="J2" s="53" t="s">
        <v>88</v>
      </c>
      <c r="K2" s="54" t="s">
        <v>87</v>
      </c>
      <c r="L2" s="55"/>
      <c r="M2" s="45" t="s">
        <v>86</v>
      </c>
      <c r="N2" s="56" t="s">
        <v>78</v>
      </c>
      <c r="O2" s="57" t="s">
        <v>6</v>
      </c>
    </row>
    <row r="3" spans="1:15">
      <c r="A3" s="58"/>
      <c r="B3" s="35"/>
      <c r="C3" s="23"/>
      <c r="D3" s="36"/>
      <c r="E3" s="37"/>
      <c r="F3" s="38"/>
      <c r="G3" s="39"/>
      <c r="H3" s="29"/>
      <c r="I3" s="24"/>
      <c r="J3" s="24"/>
      <c r="K3" s="43"/>
      <c r="L3" s="43"/>
      <c r="M3" s="43"/>
      <c r="N3" s="23"/>
      <c r="O3" s="59"/>
    </row>
    <row r="4" spans="1:15">
      <c r="A4" s="60"/>
      <c r="B4" s="32"/>
      <c r="C4" s="21"/>
      <c r="D4" s="33"/>
      <c r="E4" s="34"/>
      <c r="F4" s="40"/>
      <c r="G4" s="41"/>
      <c r="H4" s="30"/>
      <c r="I4" s="22"/>
      <c r="J4" s="22"/>
      <c r="K4" s="44"/>
      <c r="L4" s="44"/>
      <c r="M4" s="44"/>
      <c r="N4" s="21"/>
      <c r="O4" s="61"/>
    </row>
    <row r="5" spans="1:15">
      <c r="A5" s="60"/>
      <c r="B5" s="32"/>
      <c r="C5" s="21"/>
      <c r="D5" s="33"/>
      <c r="E5" s="34"/>
      <c r="F5" s="40"/>
      <c r="G5" s="41"/>
      <c r="H5" s="30"/>
      <c r="I5" s="22"/>
      <c r="J5" s="22"/>
      <c r="K5" s="44"/>
      <c r="L5" s="44"/>
      <c r="M5" s="44"/>
      <c r="N5" s="21"/>
      <c r="O5" s="61"/>
    </row>
    <row r="6" spans="1:15">
      <c r="A6" s="60"/>
      <c r="B6" s="32"/>
      <c r="C6" s="21"/>
      <c r="D6" s="33"/>
      <c r="E6" s="34"/>
      <c r="F6" s="40"/>
      <c r="G6" s="41"/>
      <c r="H6" s="30"/>
      <c r="I6" s="22"/>
      <c r="J6" s="22"/>
      <c r="K6" s="44"/>
      <c r="L6" s="44"/>
      <c r="M6" s="44"/>
      <c r="N6" s="21"/>
      <c r="O6" s="61"/>
    </row>
    <row r="7" spans="1:15">
      <c r="A7" s="60"/>
      <c r="B7" s="32"/>
      <c r="C7" s="21"/>
      <c r="D7" s="33"/>
      <c r="E7" s="34"/>
      <c r="F7" s="40"/>
      <c r="G7" s="41"/>
      <c r="H7" s="30"/>
      <c r="I7" s="22"/>
      <c r="J7" s="22"/>
      <c r="K7" s="44"/>
      <c r="L7" s="44"/>
      <c r="M7" s="44"/>
      <c r="N7" s="21"/>
      <c r="O7" s="61"/>
    </row>
    <row r="8" spans="1:15">
      <c r="A8" s="60"/>
      <c r="B8" s="32"/>
      <c r="C8" s="21"/>
      <c r="D8" s="33"/>
      <c r="E8" s="34"/>
      <c r="F8" s="40"/>
      <c r="G8" s="41"/>
      <c r="H8" s="30"/>
      <c r="I8" s="22"/>
      <c r="J8" s="22"/>
      <c r="K8" s="44"/>
      <c r="L8" s="44"/>
      <c r="M8" s="44"/>
      <c r="N8" s="21"/>
      <c r="O8" s="61"/>
    </row>
    <row r="9" spans="1:15">
      <c r="A9" s="60"/>
      <c r="B9" s="32"/>
      <c r="C9" s="21"/>
      <c r="D9" s="33"/>
      <c r="E9" s="34"/>
      <c r="F9" s="40"/>
      <c r="G9" s="41"/>
      <c r="H9" s="30"/>
      <c r="I9" s="22"/>
      <c r="J9" s="22"/>
      <c r="K9" s="44"/>
      <c r="L9" s="44"/>
      <c r="M9" s="44"/>
      <c r="N9" s="21"/>
      <c r="O9" s="61"/>
    </row>
    <row r="10" spans="1:15" ht="17.25" thickBot="1">
      <c r="A10" s="25"/>
      <c r="B10" s="26"/>
      <c r="C10" s="26"/>
      <c r="D10" s="26"/>
      <c r="E10" s="26"/>
      <c r="F10" s="62"/>
      <c r="G10" s="63"/>
      <c r="H10" s="64"/>
      <c r="I10" s="27"/>
      <c r="J10" s="27"/>
      <c r="K10" s="42"/>
      <c r="L10" s="42"/>
      <c r="M10" s="42"/>
      <c r="N10" s="26"/>
      <c r="O10" s="28"/>
    </row>
    <row r="11" spans="1:15">
      <c r="B11">
        <f>COUNTA(B3:B10)</f>
        <v>0</v>
      </c>
      <c r="H11" s="31"/>
      <c r="I11" s="11">
        <f>SUM(I3:I10)</f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63F4-1275-4715-9684-32C0B21D3A08}">
  <sheetPr codeName="Sheet7"/>
  <dimension ref="A1:R52"/>
  <sheetViews>
    <sheetView workbookViewId="0">
      <pane ySplit="1" topLeftCell="A5" activePane="bottomLeft" state="frozen"/>
      <selection pane="bottomLeft" activeCell="E35" sqref="E35"/>
    </sheetView>
  </sheetViews>
  <sheetFormatPr defaultRowHeight="12"/>
  <cols>
    <col min="1" max="1" width="1" style="102" customWidth="1"/>
    <col min="2" max="2" width="10.375" style="102" customWidth="1"/>
    <col min="3" max="3" width="9.625" style="104" customWidth="1"/>
    <col min="4" max="4" width="10.875" style="102" customWidth="1"/>
    <col min="5" max="5" width="22.625" style="102" customWidth="1"/>
    <col min="6" max="6" width="20.75" style="102" customWidth="1"/>
    <col min="7" max="7" width="8.125" style="102" customWidth="1"/>
    <col min="8" max="8" width="12.5" style="102" customWidth="1"/>
    <col min="9" max="9" width="38.625" style="102" customWidth="1"/>
    <col min="10" max="10" width="6" style="102" customWidth="1"/>
    <col min="11" max="11" width="10.75" style="102" customWidth="1"/>
    <col min="12" max="12" width="14.25" style="102" bestFit="1" customWidth="1"/>
    <col min="13" max="13" width="12.75" style="102" bestFit="1" customWidth="1"/>
    <col min="14" max="14" width="14.25" style="102" bestFit="1" customWidth="1"/>
    <col min="15" max="15" width="9.875" style="102" customWidth="1"/>
    <col min="16" max="16" width="7.75" style="102" customWidth="1"/>
    <col min="17" max="17" width="10.875" style="102" customWidth="1"/>
    <col min="18" max="18" width="10.625" style="102" customWidth="1"/>
    <col min="19" max="19" width="9.25" style="102" bestFit="1" customWidth="1"/>
    <col min="20" max="20" width="10.5" style="102" bestFit="1" customWidth="1"/>
    <col min="21" max="16384" width="9" style="102"/>
  </cols>
  <sheetData>
    <row r="1" spans="1:18" ht="27" thickBot="1">
      <c r="B1" s="103" t="s">
        <v>645</v>
      </c>
    </row>
    <row r="2" spans="1:18" customFormat="1" ht="16.5" customHeight="1">
      <c r="A2" t="s">
        <v>64</v>
      </c>
      <c r="B2" s="294" t="s">
        <v>69</v>
      </c>
      <c r="C2" s="296" t="s">
        <v>68</v>
      </c>
      <c r="D2" s="281" t="s">
        <v>0</v>
      </c>
      <c r="E2" s="298" t="s">
        <v>1</v>
      </c>
      <c r="F2" s="300" t="s">
        <v>2</v>
      </c>
      <c r="G2" s="290" t="s">
        <v>12</v>
      </c>
      <c r="H2" s="292" t="s">
        <v>14</v>
      </c>
      <c r="I2" s="304" t="s">
        <v>3</v>
      </c>
      <c r="J2" s="306" t="s">
        <v>4</v>
      </c>
      <c r="K2" s="308" t="s">
        <v>5</v>
      </c>
      <c r="L2" s="309"/>
      <c r="M2" s="309"/>
      <c r="N2" s="310"/>
      <c r="O2" s="273" t="s">
        <v>54</v>
      </c>
      <c r="P2" s="292" t="s">
        <v>10</v>
      </c>
      <c r="Q2" s="311" t="s">
        <v>11</v>
      </c>
      <c r="R2" s="302" t="s">
        <v>6</v>
      </c>
    </row>
    <row r="3" spans="1:18" customFormat="1" ht="16.5">
      <c r="A3" t="s">
        <v>64</v>
      </c>
      <c r="B3" s="295"/>
      <c r="C3" s="297"/>
      <c r="D3" s="282"/>
      <c r="E3" s="299"/>
      <c r="F3" s="301"/>
      <c r="G3" s="291"/>
      <c r="H3" s="293"/>
      <c r="I3" s="305"/>
      <c r="J3" s="307"/>
      <c r="K3" s="3" t="s">
        <v>8</v>
      </c>
      <c r="L3" s="120" t="s">
        <v>17</v>
      </c>
      <c r="M3" s="121" t="s">
        <v>9</v>
      </c>
      <c r="N3" s="119" t="s">
        <v>18</v>
      </c>
      <c r="O3" s="274"/>
      <c r="P3" s="293"/>
      <c r="Q3" s="312"/>
      <c r="R3" s="303"/>
    </row>
    <row r="4" spans="1:18" customFormat="1" ht="16.5" customHeight="1">
      <c r="A4" t="s">
        <v>64</v>
      </c>
      <c r="B4" s="10"/>
      <c r="C4" s="12"/>
      <c r="D4" s="13"/>
      <c r="E4" s="2"/>
      <c r="F4" s="2"/>
      <c r="G4" s="4"/>
      <c r="H4" s="4"/>
      <c r="I4" s="69"/>
      <c r="J4" s="14"/>
      <c r="K4" s="15"/>
      <c r="L4" s="16">
        <f t="shared" ref="L4:L9" si="0">J4*K4</f>
        <v>0</v>
      </c>
      <c r="M4" s="16"/>
      <c r="N4" s="15">
        <f t="shared" ref="N4:N9" si="1">SUM(L4:M4)</f>
        <v>0</v>
      </c>
      <c r="O4" s="5"/>
      <c r="P4" s="9"/>
      <c r="Q4" s="67"/>
      <c r="R4" s="105"/>
    </row>
    <row r="5" spans="1:18" customFormat="1" ht="16.5" customHeight="1">
      <c r="A5" t="s">
        <v>64</v>
      </c>
      <c r="B5" s="10"/>
      <c r="C5" s="12"/>
      <c r="D5" s="13"/>
      <c r="E5" s="2"/>
      <c r="F5" s="2"/>
      <c r="G5" s="4"/>
      <c r="H5" s="4"/>
      <c r="I5" s="69"/>
      <c r="J5" s="14"/>
      <c r="K5" s="15"/>
      <c r="L5" s="16">
        <f t="shared" si="0"/>
        <v>0</v>
      </c>
      <c r="M5" s="16"/>
      <c r="N5" s="15">
        <f t="shared" si="1"/>
        <v>0</v>
      </c>
      <c r="O5" s="5"/>
      <c r="P5" s="9"/>
      <c r="Q5" s="67"/>
      <c r="R5" s="105"/>
    </row>
    <row r="6" spans="1:18" customFormat="1" ht="16.5" customHeight="1">
      <c r="A6" t="s">
        <v>64</v>
      </c>
      <c r="B6" s="10"/>
      <c r="C6" s="12"/>
      <c r="D6" s="13"/>
      <c r="E6" s="2"/>
      <c r="F6" s="2"/>
      <c r="G6" s="4"/>
      <c r="H6" s="4"/>
      <c r="I6" s="69"/>
      <c r="J6" s="14"/>
      <c r="K6" s="15"/>
      <c r="L6" s="16">
        <f t="shared" si="0"/>
        <v>0</v>
      </c>
      <c r="M6" s="16"/>
      <c r="N6" s="15">
        <f t="shared" si="1"/>
        <v>0</v>
      </c>
      <c r="O6" s="5"/>
      <c r="P6" s="9"/>
      <c r="Q6" s="67"/>
      <c r="R6" s="105"/>
    </row>
    <row r="7" spans="1:18" customFormat="1" ht="16.5" customHeight="1">
      <c r="A7" t="s">
        <v>64</v>
      </c>
      <c r="B7" s="10"/>
      <c r="C7" s="12"/>
      <c r="D7" s="13"/>
      <c r="E7" s="2"/>
      <c r="F7" s="2"/>
      <c r="G7" s="4"/>
      <c r="H7" s="4"/>
      <c r="I7" s="69"/>
      <c r="J7" s="14"/>
      <c r="K7" s="15"/>
      <c r="L7" s="16">
        <f t="shared" si="0"/>
        <v>0</v>
      </c>
      <c r="M7" s="16"/>
      <c r="N7" s="15">
        <f t="shared" si="1"/>
        <v>0</v>
      </c>
      <c r="O7" s="5"/>
      <c r="P7" s="9"/>
      <c r="Q7" s="67"/>
      <c r="R7" s="105"/>
    </row>
    <row r="8" spans="1:18" customFormat="1" ht="16.5" customHeight="1">
      <c r="A8" t="s">
        <v>64</v>
      </c>
      <c r="B8" s="10"/>
      <c r="C8" s="12"/>
      <c r="D8" s="13"/>
      <c r="E8" s="2"/>
      <c r="F8" s="2"/>
      <c r="G8" s="4"/>
      <c r="H8" s="4"/>
      <c r="I8" s="69"/>
      <c r="J8" s="14"/>
      <c r="K8" s="15"/>
      <c r="L8" s="16">
        <f t="shared" si="0"/>
        <v>0</v>
      </c>
      <c r="M8" s="16"/>
      <c r="N8" s="15">
        <f t="shared" si="1"/>
        <v>0</v>
      </c>
      <c r="O8" s="5"/>
      <c r="P8" s="9"/>
      <c r="Q8" s="67"/>
      <c r="R8" s="105"/>
    </row>
    <row r="9" spans="1:18" customFormat="1" ht="16.5" customHeight="1" thickBot="1">
      <c r="A9" t="s">
        <v>64</v>
      </c>
      <c r="B9" s="106"/>
      <c r="C9" s="107"/>
      <c r="D9" s="108"/>
      <c r="E9" s="109"/>
      <c r="F9" s="109"/>
      <c r="G9" s="110"/>
      <c r="H9" s="110"/>
      <c r="I9" s="111"/>
      <c r="J9" s="112"/>
      <c r="K9" s="113"/>
      <c r="L9" s="114">
        <f t="shared" si="0"/>
        <v>0</v>
      </c>
      <c r="M9" s="114"/>
      <c r="N9" s="113">
        <f t="shared" si="1"/>
        <v>0</v>
      </c>
      <c r="O9" s="228"/>
      <c r="P9" s="115"/>
      <c r="Q9" s="116"/>
      <c r="R9" s="117"/>
    </row>
    <row r="10" spans="1:18" customFormat="1" ht="16.5" customHeight="1" thickBot="1">
      <c r="A10" t="s">
        <v>64</v>
      </c>
      <c r="B10" s="262" t="s">
        <v>24</v>
      </c>
      <c r="C10" s="263"/>
      <c r="D10" s="263"/>
      <c r="E10" s="263"/>
      <c r="F10" s="263"/>
      <c r="G10" s="263"/>
      <c r="H10" s="263"/>
      <c r="I10" s="264"/>
      <c r="J10" s="128"/>
      <c r="K10" s="129"/>
      <c r="L10" s="130">
        <f>SUM(L4:L9)</f>
        <v>0</v>
      </c>
      <c r="M10" s="130">
        <f t="shared" ref="M10:N10" si="2">SUM(M4:M9)</f>
        <v>0</v>
      </c>
      <c r="N10" s="130">
        <f t="shared" si="2"/>
        <v>0</v>
      </c>
      <c r="O10" s="97"/>
      <c r="P10" s="178"/>
      <c r="Q10" s="97"/>
      <c r="R10" s="180"/>
    </row>
    <row r="11" spans="1:18">
      <c r="D11" s="102">
        <f>COUNTA(D4:D9)</f>
        <v>0</v>
      </c>
      <c r="L11" s="118"/>
      <c r="M11" s="118"/>
      <c r="N11" s="118"/>
    </row>
    <row r="12" spans="1:18">
      <c r="L12" s="118"/>
      <c r="M12" s="118"/>
      <c r="N12" s="118"/>
    </row>
    <row r="13" spans="1:18">
      <c r="L13" s="118"/>
      <c r="M13" s="118"/>
      <c r="N13" s="118"/>
    </row>
    <row r="14" spans="1:18" customFormat="1" ht="26.25">
      <c r="B14" s="135" t="s">
        <v>1429</v>
      </c>
      <c r="C14" s="136"/>
      <c r="D14" s="96"/>
      <c r="E14" s="202"/>
      <c r="G14" s="1"/>
      <c r="H14" s="1"/>
      <c r="J14" s="17"/>
      <c r="K14" s="17"/>
      <c r="L14" s="17"/>
      <c r="M14" s="17"/>
      <c r="N14" s="17"/>
      <c r="O14" s="95"/>
      <c r="Q14" s="96"/>
    </row>
    <row r="15" spans="1:18" customFormat="1" ht="17.25" thickBot="1">
      <c r="B15" s="137"/>
      <c r="C15" s="138"/>
      <c r="D15" s="96"/>
      <c r="G15" s="1"/>
      <c r="H15" s="1"/>
      <c r="J15" s="17"/>
      <c r="K15" s="17"/>
      <c r="L15" s="17"/>
      <c r="M15" s="17"/>
      <c r="N15" s="17"/>
      <c r="O15" s="96"/>
      <c r="Q15" s="96"/>
    </row>
    <row r="16" spans="1:18" customFormat="1" ht="16.5" customHeight="1">
      <c r="A16" t="s">
        <v>64</v>
      </c>
      <c r="B16" s="277" t="s">
        <v>69</v>
      </c>
      <c r="C16" s="279" t="s">
        <v>1431</v>
      </c>
      <c r="D16" s="281" t="s">
        <v>1430</v>
      </c>
      <c r="E16" s="283" t="s">
        <v>1</v>
      </c>
      <c r="F16" s="285" t="s">
        <v>2</v>
      </c>
      <c r="G16" s="287" t="s">
        <v>12</v>
      </c>
      <c r="H16" s="265" t="s">
        <v>1448</v>
      </c>
      <c r="I16" s="267" t="s">
        <v>1449</v>
      </c>
      <c r="J16" s="269" t="s">
        <v>4</v>
      </c>
      <c r="K16" s="271" t="s">
        <v>5</v>
      </c>
      <c r="L16" s="271"/>
      <c r="M16" s="271"/>
      <c r="N16" s="272"/>
      <c r="O16" s="273" t="s">
        <v>54</v>
      </c>
      <c r="P16" s="275" t="s">
        <v>10</v>
      </c>
      <c r="Q16" s="258" t="s">
        <v>11</v>
      </c>
      <c r="R16" s="260" t="s">
        <v>6</v>
      </c>
    </row>
    <row r="17" spans="1:18" customFormat="1" ht="16.5">
      <c r="A17" t="s">
        <v>64</v>
      </c>
      <c r="B17" s="278"/>
      <c r="C17" s="280"/>
      <c r="D17" s="282"/>
      <c r="E17" s="284"/>
      <c r="F17" s="286"/>
      <c r="G17" s="288"/>
      <c r="H17" s="266"/>
      <c r="I17" s="268"/>
      <c r="J17" s="270"/>
      <c r="K17" s="3" t="s">
        <v>8</v>
      </c>
      <c r="L17" s="184" t="s">
        <v>17</v>
      </c>
      <c r="M17" s="185" t="s">
        <v>9</v>
      </c>
      <c r="N17" s="186" t="s">
        <v>18</v>
      </c>
      <c r="O17" s="274"/>
      <c r="P17" s="276"/>
      <c r="Q17" s="259"/>
      <c r="R17" s="261"/>
    </row>
    <row r="18" spans="1:18" customFormat="1" ht="16.5" customHeight="1">
      <c r="A18" t="s">
        <v>64</v>
      </c>
      <c r="B18" s="10" t="s">
        <v>612</v>
      </c>
      <c r="C18" s="12">
        <v>6924</v>
      </c>
      <c r="D18" s="13">
        <v>45670</v>
      </c>
      <c r="E18" s="155" t="s">
        <v>2621</v>
      </c>
      <c r="F18" s="155" t="s">
        <v>94</v>
      </c>
      <c r="G18" s="156" t="s">
        <v>41</v>
      </c>
      <c r="H18" s="156" t="s">
        <v>1432</v>
      </c>
      <c r="I18" s="69" t="s">
        <v>1434</v>
      </c>
      <c r="J18" s="122">
        <v>5</v>
      </c>
      <c r="K18" s="15">
        <f>23182/5</f>
        <v>4636.3999999999996</v>
      </c>
      <c r="L18" s="16">
        <v>23182</v>
      </c>
      <c r="M18" s="16">
        <f>L18*10%</f>
        <v>2318.2000000000003</v>
      </c>
      <c r="N18" s="15">
        <f>SUM(L18:M18)</f>
        <v>25500.2</v>
      </c>
      <c r="O18" s="5">
        <v>45670</v>
      </c>
      <c r="P18" s="9" t="s">
        <v>2635</v>
      </c>
      <c r="Q18" s="5">
        <v>45673</v>
      </c>
      <c r="R18" s="213"/>
    </row>
    <row r="19" spans="1:18" customFormat="1" ht="16.5" customHeight="1">
      <c r="A19" t="s">
        <v>64</v>
      </c>
      <c r="B19" s="10" t="s">
        <v>612</v>
      </c>
      <c r="C19" s="12">
        <v>6924</v>
      </c>
      <c r="D19" s="13">
        <v>45670</v>
      </c>
      <c r="E19" s="155" t="s">
        <v>2622</v>
      </c>
      <c r="F19" s="155" t="s">
        <v>94</v>
      </c>
      <c r="G19" s="156" t="s">
        <v>41</v>
      </c>
      <c r="H19" s="156" t="s">
        <v>1432</v>
      </c>
      <c r="I19" s="69" t="s">
        <v>1433</v>
      </c>
      <c r="J19" s="122">
        <v>1</v>
      </c>
      <c r="K19" s="15">
        <f>22200/1.1</f>
        <v>20181.81818181818</v>
      </c>
      <c r="L19" s="16">
        <f>J19*K19</f>
        <v>20181.81818181818</v>
      </c>
      <c r="M19" s="16">
        <f>L19*10%</f>
        <v>2018.181818181818</v>
      </c>
      <c r="N19" s="15">
        <f>SUM(L19:M19)</f>
        <v>22200</v>
      </c>
      <c r="O19" s="5">
        <v>45670</v>
      </c>
      <c r="P19" s="9" t="s">
        <v>2635</v>
      </c>
      <c r="Q19" s="5">
        <v>45673</v>
      </c>
      <c r="R19" s="213"/>
    </row>
    <row r="20" spans="1:18" customFormat="1" ht="16.5" customHeight="1">
      <c r="A20" t="s">
        <v>64</v>
      </c>
      <c r="B20" s="10" t="s">
        <v>1436</v>
      </c>
      <c r="C20" s="12">
        <v>1913</v>
      </c>
      <c r="D20" s="13">
        <v>45698</v>
      </c>
      <c r="E20" s="155" t="s">
        <v>391</v>
      </c>
      <c r="F20" s="155" t="s">
        <v>1435</v>
      </c>
      <c r="G20" s="156" t="s">
        <v>41</v>
      </c>
      <c r="H20" s="156" t="s">
        <v>1441</v>
      </c>
      <c r="I20" s="69" t="s">
        <v>1437</v>
      </c>
      <c r="J20" s="122">
        <v>1</v>
      </c>
      <c r="K20" s="15">
        <v>271509.09090909088</v>
      </c>
      <c r="L20" s="16">
        <v>1063381.8181818181</v>
      </c>
      <c r="M20" s="16">
        <f>L20*10%</f>
        <v>106338.18181818182</v>
      </c>
      <c r="N20" s="15">
        <f>SUM(L20:M20)</f>
        <v>1169720</v>
      </c>
      <c r="O20" s="5">
        <f>D20</f>
        <v>45698</v>
      </c>
      <c r="P20" s="9" t="s">
        <v>2635</v>
      </c>
      <c r="Q20" s="5">
        <v>45698</v>
      </c>
      <c r="R20" s="213"/>
    </row>
    <row r="21" spans="1:18" customFormat="1" ht="16.5" customHeight="1">
      <c r="A21" t="s">
        <v>64</v>
      </c>
      <c r="B21" s="147"/>
      <c r="C21" s="145"/>
      <c r="D21" s="65"/>
      <c r="E21" s="160" t="s">
        <v>391</v>
      </c>
      <c r="F21" s="160" t="s">
        <v>1435</v>
      </c>
      <c r="G21" s="156" t="s">
        <v>41</v>
      </c>
      <c r="H21" s="156" t="s">
        <v>1442</v>
      </c>
      <c r="I21" s="69" t="s">
        <v>1438</v>
      </c>
      <c r="J21" s="122">
        <v>1</v>
      </c>
      <c r="K21" s="15">
        <v>391354.54545454541</v>
      </c>
      <c r="L21" s="125"/>
      <c r="M21" s="125"/>
      <c r="N21" s="126"/>
      <c r="O21" s="99"/>
      <c r="P21" s="176"/>
      <c r="Q21" s="99"/>
      <c r="R21" s="213"/>
    </row>
    <row r="22" spans="1:18" customFormat="1" ht="16.5" customHeight="1">
      <c r="A22" t="s">
        <v>64</v>
      </c>
      <c r="B22" s="147"/>
      <c r="C22" s="145"/>
      <c r="D22" s="65"/>
      <c r="E22" s="160" t="s">
        <v>391</v>
      </c>
      <c r="F22" s="160" t="s">
        <v>1435</v>
      </c>
      <c r="G22" s="156" t="s">
        <v>41</v>
      </c>
      <c r="H22" s="156" t="s">
        <v>1441</v>
      </c>
      <c r="I22" s="69" t="s">
        <v>1439</v>
      </c>
      <c r="J22" s="122">
        <v>1</v>
      </c>
      <c r="K22" s="15">
        <v>263200</v>
      </c>
      <c r="L22" s="125"/>
      <c r="M22" s="125"/>
      <c r="N22" s="126"/>
      <c r="O22" s="99"/>
      <c r="P22" s="176"/>
      <c r="Q22" s="99"/>
      <c r="R22" s="213"/>
    </row>
    <row r="23" spans="1:18" customFormat="1" ht="16.5" customHeight="1">
      <c r="A23" t="s">
        <v>64</v>
      </c>
      <c r="B23" s="147"/>
      <c r="C23" s="145"/>
      <c r="D23" s="65"/>
      <c r="E23" s="160" t="s">
        <v>391</v>
      </c>
      <c r="F23" s="160" t="s">
        <v>1435</v>
      </c>
      <c r="G23" s="156" t="s">
        <v>41</v>
      </c>
      <c r="H23" s="156" t="s">
        <v>1442</v>
      </c>
      <c r="I23" s="69" t="s">
        <v>1440</v>
      </c>
      <c r="J23" s="122">
        <v>1</v>
      </c>
      <c r="K23" s="15">
        <v>140209.09090909091</v>
      </c>
      <c r="L23" s="125"/>
      <c r="M23" s="125"/>
      <c r="N23" s="126"/>
      <c r="O23" s="99"/>
      <c r="P23" s="176"/>
      <c r="Q23" s="99"/>
      <c r="R23" s="213"/>
    </row>
    <row r="24" spans="1:18" customFormat="1" ht="16.5" customHeight="1">
      <c r="A24" t="s">
        <v>64</v>
      </c>
      <c r="B24" s="10" t="s">
        <v>1443</v>
      </c>
      <c r="C24" s="12">
        <v>6924</v>
      </c>
      <c r="D24" s="13">
        <v>45721</v>
      </c>
      <c r="E24" s="155" t="s">
        <v>2620</v>
      </c>
      <c r="F24" s="155" t="s">
        <v>94</v>
      </c>
      <c r="G24" s="156" t="s">
        <v>41</v>
      </c>
      <c r="H24" s="156" t="s">
        <v>1447</v>
      </c>
      <c r="I24" s="69" t="s">
        <v>1446</v>
      </c>
      <c r="J24" s="122">
        <v>1</v>
      </c>
      <c r="K24" s="15">
        <f>55210/1.1</f>
        <v>50190.909090909088</v>
      </c>
      <c r="L24" s="16">
        <f>J24*K24</f>
        <v>50190.909090909088</v>
      </c>
      <c r="M24" s="16">
        <f>L24*10%</f>
        <v>5019.090909090909</v>
      </c>
      <c r="N24" s="15">
        <f>SUM(L24:M24)</f>
        <v>55210</v>
      </c>
      <c r="O24" s="5">
        <f>D24</f>
        <v>45721</v>
      </c>
      <c r="P24" s="9" t="s">
        <v>2635</v>
      </c>
      <c r="Q24" s="5">
        <v>45733</v>
      </c>
      <c r="R24" s="213"/>
    </row>
    <row r="25" spans="1:18" customFormat="1" ht="16.5" customHeight="1">
      <c r="A25" t="s">
        <v>64</v>
      </c>
      <c r="B25" s="10" t="s">
        <v>1374</v>
      </c>
      <c r="C25" s="12">
        <v>6924</v>
      </c>
      <c r="D25" s="13">
        <v>45726</v>
      </c>
      <c r="E25" s="155" t="s">
        <v>391</v>
      </c>
      <c r="F25" s="155" t="s">
        <v>32</v>
      </c>
      <c r="G25" s="156" t="s">
        <v>41</v>
      </c>
      <c r="H25" s="156" t="s">
        <v>1444</v>
      </c>
      <c r="I25" s="69" t="s">
        <v>1445</v>
      </c>
      <c r="J25" s="122">
        <v>1</v>
      </c>
      <c r="K25" s="15">
        <f>314000/1.1</f>
        <v>285454.54545454541</v>
      </c>
      <c r="L25" s="16">
        <f>J25*K25</f>
        <v>285454.54545454541</v>
      </c>
      <c r="M25" s="16">
        <f>L25*10%</f>
        <v>28545.454545454544</v>
      </c>
      <c r="N25" s="15">
        <f>SUM(L25:M25)</f>
        <v>313999.99999999994</v>
      </c>
      <c r="O25" s="5">
        <f>D25</f>
        <v>45726</v>
      </c>
      <c r="P25" s="9" t="s">
        <v>2634</v>
      </c>
      <c r="Q25" s="5">
        <v>45673</v>
      </c>
      <c r="R25" s="213"/>
    </row>
    <row r="26" spans="1:18" customFormat="1" ht="16.5" customHeight="1">
      <c r="A26" t="s">
        <v>64</v>
      </c>
      <c r="B26" s="10" t="s">
        <v>1622</v>
      </c>
      <c r="C26" s="12">
        <v>6924</v>
      </c>
      <c r="D26" s="13">
        <v>45751</v>
      </c>
      <c r="E26" s="155" t="s">
        <v>391</v>
      </c>
      <c r="F26" s="155" t="s">
        <v>94</v>
      </c>
      <c r="G26" s="156" t="s">
        <v>41</v>
      </c>
      <c r="H26" s="156" t="s">
        <v>1693</v>
      </c>
      <c r="I26" s="69" t="s">
        <v>1695</v>
      </c>
      <c r="J26" s="122">
        <v>1</v>
      </c>
      <c r="K26" s="15">
        <v>235455</v>
      </c>
      <c r="L26" s="16">
        <f>J26*K26</f>
        <v>235455</v>
      </c>
      <c r="M26" s="16">
        <v>23545</v>
      </c>
      <c r="N26" s="15">
        <f>SUM(L26:M26)</f>
        <v>259000</v>
      </c>
      <c r="O26" s="5">
        <f>D26</f>
        <v>45751</v>
      </c>
      <c r="P26" s="9" t="s">
        <v>2635</v>
      </c>
      <c r="Q26" s="5">
        <v>45768</v>
      </c>
      <c r="R26" s="213"/>
    </row>
    <row r="27" spans="1:18" customFormat="1" ht="16.5" customHeight="1">
      <c r="A27" t="s">
        <v>64</v>
      </c>
      <c r="B27" s="10" t="s">
        <v>1622</v>
      </c>
      <c r="C27" s="12">
        <v>6924</v>
      </c>
      <c r="D27" s="13">
        <v>45754</v>
      </c>
      <c r="E27" s="155" t="s">
        <v>391</v>
      </c>
      <c r="F27" s="155" t="s">
        <v>94</v>
      </c>
      <c r="G27" s="156" t="s">
        <v>41</v>
      </c>
      <c r="H27" s="240" t="s">
        <v>1694</v>
      </c>
      <c r="I27" s="69" t="s">
        <v>1692</v>
      </c>
      <c r="J27" s="122">
        <v>1</v>
      </c>
      <c r="K27" s="15">
        <f>407000/1.1</f>
        <v>369999.99999999994</v>
      </c>
      <c r="L27" s="16">
        <v>370000</v>
      </c>
      <c r="M27" s="16">
        <f t="shared" ref="M27:M36" si="3">L27*10%</f>
        <v>37000</v>
      </c>
      <c r="N27" s="15">
        <f t="shared" ref="N27:N36" si="4">SUM(L27:M27)</f>
        <v>407000</v>
      </c>
      <c r="O27" s="5">
        <f t="shared" ref="O27:O36" si="5">D27</f>
        <v>45754</v>
      </c>
      <c r="P27" s="9" t="s">
        <v>2635</v>
      </c>
      <c r="Q27" s="5">
        <v>45768</v>
      </c>
      <c r="R27" s="213"/>
    </row>
    <row r="28" spans="1:18" customFormat="1" ht="16.5" customHeight="1">
      <c r="A28" t="s">
        <v>64</v>
      </c>
      <c r="B28" s="10" t="s">
        <v>1585</v>
      </c>
      <c r="C28" s="12">
        <v>6924</v>
      </c>
      <c r="D28" s="13">
        <v>45754</v>
      </c>
      <c r="E28" s="155" t="s">
        <v>2619</v>
      </c>
      <c r="F28" s="155" t="s">
        <v>327</v>
      </c>
      <c r="G28" s="156" t="s">
        <v>41</v>
      </c>
      <c r="H28" s="156" t="s">
        <v>1696</v>
      </c>
      <c r="I28" s="69" t="s">
        <v>1705</v>
      </c>
      <c r="J28" s="122">
        <v>1</v>
      </c>
      <c r="K28" s="15">
        <v>704545</v>
      </c>
      <c r="L28" s="16">
        <f t="shared" ref="L28:L36" si="6">J28*K28</f>
        <v>704545</v>
      </c>
      <c r="M28" s="16">
        <f t="shared" si="3"/>
        <v>70454.5</v>
      </c>
      <c r="N28" s="15">
        <f t="shared" si="4"/>
        <v>774999.5</v>
      </c>
      <c r="O28" s="5">
        <f t="shared" si="5"/>
        <v>45754</v>
      </c>
      <c r="P28" s="9" t="s">
        <v>2643</v>
      </c>
      <c r="Q28" s="5">
        <v>45761</v>
      </c>
      <c r="R28" s="213"/>
    </row>
    <row r="29" spans="1:18" customFormat="1" ht="16.5" customHeight="1">
      <c r="A29" t="s">
        <v>64</v>
      </c>
      <c r="B29" s="10" t="s">
        <v>1840</v>
      </c>
      <c r="C29" s="12">
        <v>6924</v>
      </c>
      <c r="D29" s="13">
        <v>45761</v>
      </c>
      <c r="E29" s="155" t="s">
        <v>2617</v>
      </c>
      <c r="F29" s="155" t="s">
        <v>94</v>
      </c>
      <c r="G29" s="156" t="s">
        <v>41</v>
      </c>
      <c r="H29" s="156" t="s">
        <v>1836</v>
      </c>
      <c r="I29" s="69" t="s">
        <v>1837</v>
      </c>
      <c r="J29" s="122">
        <v>40</v>
      </c>
      <c r="K29" s="15">
        <v>10818.181818181818</v>
      </c>
      <c r="L29" s="16">
        <v>592272</v>
      </c>
      <c r="M29" s="16">
        <v>59228</v>
      </c>
      <c r="N29" s="15">
        <f t="shared" si="4"/>
        <v>651500</v>
      </c>
      <c r="O29" s="5">
        <f t="shared" si="5"/>
        <v>45761</v>
      </c>
      <c r="P29" s="9" t="s">
        <v>2635</v>
      </c>
      <c r="Q29" s="5">
        <v>45768</v>
      </c>
      <c r="R29" s="213"/>
    </row>
    <row r="30" spans="1:18" customFormat="1" ht="16.5" customHeight="1">
      <c r="A30" t="s">
        <v>64</v>
      </c>
      <c r="B30" s="147"/>
      <c r="C30" s="145"/>
      <c r="D30" s="65"/>
      <c r="E30" s="160" t="s">
        <v>2617</v>
      </c>
      <c r="F30" s="160" t="s">
        <v>94</v>
      </c>
      <c r="G30" s="156" t="s">
        <v>41</v>
      </c>
      <c r="H30" s="156" t="s">
        <v>1838</v>
      </c>
      <c r="I30" s="69" t="s">
        <v>1839</v>
      </c>
      <c r="J30" s="122">
        <v>10</v>
      </c>
      <c r="K30" s="15">
        <v>14999.999999999998</v>
      </c>
      <c r="L30" s="125"/>
      <c r="M30" s="125"/>
      <c r="N30" s="126"/>
      <c r="O30" s="99"/>
      <c r="P30" s="176"/>
      <c r="Q30" s="99"/>
      <c r="R30" s="213"/>
    </row>
    <row r="31" spans="1:18" customFormat="1" ht="16.5" customHeight="1">
      <c r="A31" t="s">
        <v>64</v>
      </c>
      <c r="B31" s="147"/>
      <c r="C31" s="145"/>
      <c r="D31" s="65"/>
      <c r="E31" s="160" t="s">
        <v>2618</v>
      </c>
      <c r="F31" s="160" t="s">
        <v>94</v>
      </c>
      <c r="G31" s="156" t="s">
        <v>41</v>
      </c>
      <c r="H31" s="156" t="s">
        <v>1834</v>
      </c>
      <c r="I31" s="69" t="s">
        <v>1835</v>
      </c>
      <c r="J31" s="122">
        <v>1</v>
      </c>
      <c r="K31" s="15">
        <v>9545</v>
      </c>
      <c r="L31" s="125"/>
      <c r="M31" s="125"/>
      <c r="N31" s="126"/>
      <c r="O31" s="99"/>
      <c r="P31" s="176"/>
      <c r="Q31" s="99"/>
      <c r="R31" s="213"/>
    </row>
    <row r="32" spans="1:18" customFormat="1" ht="16.5" customHeight="1">
      <c r="A32" t="s">
        <v>64</v>
      </c>
      <c r="B32" s="10" t="s">
        <v>2187</v>
      </c>
      <c r="C32" s="12">
        <v>6924</v>
      </c>
      <c r="D32" s="13">
        <v>45793</v>
      </c>
      <c r="E32" s="155" t="s">
        <v>2616</v>
      </c>
      <c r="F32" s="155" t="s">
        <v>94</v>
      </c>
      <c r="G32" s="156" t="s">
        <v>41</v>
      </c>
      <c r="H32" s="156" t="s">
        <v>2189</v>
      </c>
      <c r="I32" s="69" t="s">
        <v>2188</v>
      </c>
      <c r="J32" s="122">
        <v>1</v>
      </c>
      <c r="K32" s="15">
        <v>135364</v>
      </c>
      <c r="L32" s="16">
        <f t="shared" si="6"/>
        <v>135364</v>
      </c>
      <c r="M32" s="16">
        <f t="shared" si="3"/>
        <v>13536.400000000001</v>
      </c>
      <c r="N32" s="15">
        <f t="shared" si="4"/>
        <v>148900.4</v>
      </c>
      <c r="O32" s="5">
        <f t="shared" si="5"/>
        <v>45793</v>
      </c>
      <c r="P32" s="9" t="s">
        <v>2635</v>
      </c>
      <c r="Q32" s="5">
        <v>45805</v>
      </c>
      <c r="R32" s="213"/>
    </row>
    <row r="33" spans="1:18" customFormat="1" ht="16.5" customHeight="1">
      <c r="A33" t="s">
        <v>64</v>
      </c>
      <c r="B33" s="10" t="s">
        <v>2279</v>
      </c>
      <c r="C33" s="12">
        <v>6924</v>
      </c>
      <c r="D33" s="13">
        <v>45803</v>
      </c>
      <c r="E33" s="155" t="s">
        <v>2194</v>
      </c>
      <c r="F33" s="155" t="s">
        <v>94</v>
      </c>
      <c r="G33" s="156" t="s">
        <v>41</v>
      </c>
      <c r="H33" s="156" t="s">
        <v>884</v>
      </c>
      <c r="I33" s="69" t="s">
        <v>2195</v>
      </c>
      <c r="J33" s="122">
        <v>1</v>
      </c>
      <c r="K33" s="15">
        <f>514000/1.1</f>
        <v>467272.72727272724</v>
      </c>
      <c r="L33" s="16">
        <f t="shared" si="6"/>
        <v>467272.72727272724</v>
      </c>
      <c r="M33" s="16">
        <f t="shared" si="3"/>
        <v>46727.272727272728</v>
      </c>
      <c r="N33" s="15">
        <f t="shared" si="4"/>
        <v>513999.99999999994</v>
      </c>
      <c r="O33" s="5">
        <f>D33</f>
        <v>45803</v>
      </c>
      <c r="P33" s="9" t="s">
        <v>2635</v>
      </c>
      <c r="Q33" s="5">
        <v>45828</v>
      </c>
      <c r="R33" s="213"/>
    </row>
    <row r="34" spans="1:18" customFormat="1" ht="16.5" customHeight="1">
      <c r="A34" t="s">
        <v>64</v>
      </c>
      <c r="B34" s="10" t="s">
        <v>2196</v>
      </c>
      <c r="C34" s="12">
        <v>6924</v>
      </c>
      <c r="D34" s="13">
        <v>45803</v>
      </c>
      <c r="E34" s="155" t="s">
        <v>2615</v>
      </c>
      <c r="F34" s="155" t="s">
        <v>327</v>
      </c>
      <c r="G34" s="156" t="s">
        <v>41</v>
      </c>
      <c r="H34" s="156" t="s">
        <v>2197</v>
      </c>
      <c r="I34" s="69" t="s">
        <v>2198</v>
      </c>
      <c r="J34" s="122">
        <v>1</v>
      </c>
      <c r="K34" s="15">
        <v>79764</v>
      </c>
      <c r="L34" s="16">
        <f t="shared" si="6"/>
        <v>79764</v>
      </c>
      <c r="M34" s="16">
        <f t="shared" si="3"/>
        <v>7976.4000000000005</v>
      </c>
      <c r="N34" s="15">
        <f t="shared" si="4"/>
        <v>87740.4</v>
      </c>
      <c r="O34" s="5">
        <f t="shared" si="5"/>
        <v>45803</v>
      </c>
      <c r="P34" s="9" t="s">
        <v>2643</v>
      </c>
      <c r="Q34" s="5">
        <v>45813</v>
      </c>
      <c r="R34" s="213"/>
    </row>
    <row r="35" spans="1:18" customFormat="1" ht="16.5" customHeight="1">
      <c r="A35" t="s">
        <v>64</v>
      </c>
      <c r="B35" s="10" t="s">
        <v>2343</v>
      </c>
      <c r="C35" s="12">
        <v>6924</v>
      </c>
      <c r="D35" s="13">
        <v>45824</v>
      </c>
      <c r="E35" s="155" t="s">
        <v>2614</v>
      </c>
      <c r="F35" s="155" t="s">
        <v>327</v>
      </c>
      <c r="G35" s="156" t="s">
        <v>41</v>
      </c>
      <c r="H35" s="156" t="s">
        <v>643</v>
      </c>
      <c r="I35" s="69" t="s">
        <v>2357</v>
      </c>
      <c r="J35" s="122">
        <v>1</v>
      </c>
      <c r="K35" s="15">
        <f>1014000/1.1</f>
        <v>921818.18181818177</v>
      </c>
      <c r="L35" s="16">
        <f t="shared" si="6"/>
        <v>921818.18181818177</v>
      </c>
      <c r="M35" s="16">
        <f t="shared" si="3"/>
        <v>92181.818181818177</v>
      </c>
      <c r="N35" s="15">
        <f t="shared" si="4"/>
        <v>1014000</v>
      </c>
      <c r="O35" s="5">
        <f t="shared" si="5"/>
        <v>45824</v>
      </c>
      <c r="P35" s="9" t="s">
        <v>2643</v>
      </c>
      <c r="Q35" s="5">
        <v>45853</v>
      </c>
      <c r="R35" s="213"/>
    </row>
    <row r="36" spans="1:18" customFormat="1" ht="16.5" customHeight="1">
      <c r="A36" t="s">
        <v>64</v>
      </c>
      <c r="B36" s="10" t="s">
        <v>2343</v>
      </c>
      <c r="C36" s="12">
        <v>6924</v>
      </c>
      <c r="D36" s="13">
        <v>45825</v>
      </c>
      <c r="E36" s="155" t="s">
        <v>2613</v>
      </c>
      <c r="F36" s="155" t="s">
        <v>327</v>
      </c>
      <c r="G36" s="156" t="s">
        <v>41</v>
      </c>
      <c r="H36" s="156" t="s">
        <v>643</v>
      </c>
      <c r="I36" s="69" t="s">
        <v>2358</v>
      </c>
      <c r="J36" s="122">
        <v>1</v>
      </c>
      <c r="K36" s="15">
        <v>120000</v>
      </c>
      <c r="L36" s="16">
        <f t="shared" si="6"/>
        <v>120000</v>
      </c>
      <c r="M36" s="16">
        <f t="shared" si="3"/>
        <v>12000</v>
      </c>
      <c r="N36" s="15">
        <f t="shared" si="4"/>
        <v>132000</v>
      </c>
      <c r="O36" s="5">
        <f t="shared" si="5"/>
        <v>45825</v>
      </c>
      <c r="P36" s="9" t="s">
        <v>2643</v>
      </c>
      <c r="Q36" s="5">
        <v>45853</v>
      </c>
      <c r="R36" s="213"/>
    </row>
    <row r="37" spans="1:18" customFormat="1" ht="16.5" customHeight="1">
      <c r="A37" t="s">
        <v>64</v>
      </c>
      <c r="B37" s="10" t="s">
        <v>2593</v>
      </c>
      <c r="C37" s="12">
        <v>6924</v>
      </c>
      <c r="D37" s="13">
        <v>45827</v>
      </c>
      <c r="E37" s="155" t="s">
        <v>2612</v>
      </c>
      <c r="F37" s="155" t="s">
        <v>2632</v>
      </c>
      <c r="G37" s="156" t="s">
        <v>41</v>
      </c>
      <c r="H37" s="156" t="s">
        <v>2591</v>
      </c>
      <c r="I37" s="69" t="s">
        <v>2592</v>
      </c>
      <c r="J37" s="122">
        <v>1</v>
      </c>
      <c r="K37" s="15">
        <f>350000/1.1</f>
        <v>318181.81818181818</v>
      </c>
      <c r="L37" s="16">
        <f t="shared" ref="L37" si="7">J37*K37</f>
        <v>318181.81818181818</v>
      </c>
      <c r="M37" s="16">
        <f t="shared" ref="M37" si="8">L37*10%</f>
        <v>31818.18181818182</v>
      </c>
      <c r="N37" s="15">
        <f t="shared" ref="N37" si="9">SUM(L37:M37)</f>
        <v>350000</v>
      </c>
      <c r="O37" s="5">
        <f t="shared" ref="O37" si="10">D37</f>
        <v>45827</v>
      </c>
      <c r="P37" s="9" t="s">
        <v>2643</v>
      </c>
      <c r="Q37" s="5">
        <v>45833</v>
      </c>
      <c r="R37" s="213"/>
    </row>
    <row r="38" spans="1:18" customFormat="1" ht="16.5" customHeight="1">
      <c r="A38" t="s">
        <v>64</v>
      </c>
      <c r="B38" s="10"/>
      <c r="C38" s="12"/>
      <c r="D38" s="13"/>
      <c r="E38" s="155"/>
      <c r="F38" s="155"/>
      <c r="G38" s="156"/>
      <c r="H38" s="156"/>
      <c r="I38" s="69"/>
      <c r="J38" s="124"/>
      <c r="K38" s="15"/>
      <c r="L38" s="16">
        <f t="shared" ref="L38:L43" si="11">J38*K38</f>
        <v>0</v>
      </c>
      <c r="M38" s="16">
        <f t="shared" ref="M38:M43" si="12">L38*10%</f>
        <v>0</v>
      </c>
      <c r="N38" s="15">
        <f t="shared" ref="N38:N43" si="13">SUM(L38:M38)</f>
        <v>0</v>
      </c>
      <c r="O38" s="5"/>
      <c r="P38" s="9"/>
      <c r="Q38" s="5"/>
      <c r="R38" s="209"/>
    </row>
    <row r="39" spans="1:18" customFormat="1" ht="16.5" customHeight="1">
      <c r="A39" t="s">
        <v>64</v>
      </c>
      <c r="B39" s="10"/>
      <c r="C39" s="12"/>
      <c r="D39" s="13"/>
      <c r="E39" s="155"/>
      <c r="F39" s="155"/>
      <c r="G39" s="156"/>
      <c r="H39" s="156"/>
      <c r="I39" s="69"/>
      <c r="J39" s="124"/>
      <c r="K39" s="15"/>
      <c r="L39" s="16">
        <f t="shared" si="11"/>
        <v>0</v>
      </c>
      <c r="M39" s="16">
        <f t="shared" si="12"/>
        <v>0</v>
      </c>
      <c r="N39" s="15">
        <f t="shared" si="13"/>
        <v>0</v>
      </c>
      <c r="O39" s="5"/>
      <c r="P39" s="9"/>
      <c r="Q39" s="5"/>
      <c r="R39" s="209"/>
    </row>
    <row r="40" spans="1:18" customFormat="1" ht="16.5" customHeight="1">
      <c r="A40" t="s">
        <v>64</v>
      </c>
      <c r="B40" s="10"/>
      <c r="C40" s="12"/>
      <c r="D40" s="13"/>
      <c r="E40" s="155"/>
      <c r="F40" s="155"/>
      <c r="G40" s="156"/>
      <c r="H40" s="156"/>
      <c r="I40" s="69"/>
      <c r="J40" s="124"/>
      <c r="K40" s="15"/>
      <c r="L40" s="16">
        <f t="shared" si="11"/>
        <v>0</v>
      </c>
      <c r="M40" s="16">
        <f t="shared" si="12"/>
        <v>0</v>
      </c>
      <c r="N40" s="15">
        <f t="shared" si="13"/>
        <v>0</v>
      </c>
      <c r="O40" s="5"/>
      <c r="P40" s="9"/>
      <c r="Q40" s="5"/>
      <c r="R40" s="209"/>
    </row>
    <row r="41" spans="1:18" customFormat="1" ht="16.5" customHeight="1">
      <c r="A41" t="s">
        <v>64</v>
      </c>
      <c r="B41" s="10"/>
      <c r="C41" s="12"/>
      <c r="D41" s="13"/>
      <c r="E41" s="155"/>
      <c r="F41" s="155"/>
      <c r="G41" s="156"/>
      <c r="H41" s="156"/>
      <c r="I41" s="69"/>
      <c r="J41" s="124"/>
      <c r="K41" s="15"/>
      <c r="L41" s="16">
        <f t="shared" si="11"/>
        <v>0</v>
      </c>
      <c r="M41" s="16">
        <f t="shared" si="12"/>
        <v>0</v>
      </c>
      <c r="N41" s="15">
        <f t="shared" si="13"/>
        <v>0</v>
      </c>
      <c r="O41" s="5"/>
      <c r="P41" s="9"/>
      <c r="Q41" s="5"/>
      <c r="R41" s="209"/>
    </row>
    <row r="42" spans="1:18" customFormat="1" ht="16.5" customHeight="1">
      <c r="A42" t="s">
        <v>64</v>
      </c>
      <c r="B42" s="10"/>
      <c r="C42" s="12"/>
      <c r="D42" s="13"/>
      <c r="E42" s="155"/>
      <c r="F42" s="155"/>
      <c r="G42" s="156"/>
      <c r="H42" s="156"/>
      <c r="I42" s="69"/>
      <c r="J42" s="124"/>
      <c r="K42" s="15"/>
      <c r="L42" s="16">
        <f t="shared" si="11"/>
        <v>0</v>
      </c>
      <c r="M42" s="16">
        <f t="shared" si="12"/>
        <v>0</v>
      </c>
      <c r="N42" s="15">
        <f t="shared" si="13"/>
        <v>0</v>
      </c>
      <c r="O42" s="5"/>
      <c r="P42" s="9"/>
      <c r="Q42" s="5"/>
      <c r="R42" s="209"/>
    </row>
    <row r="43" spans="1:18" customFormat="1" ht="16.5" customHeight="1">
      <c r="A43" t="s">
        <v>64</v>
      </c>
      <c r="B43" s="10"/>
      <c r="C43" s="12"/>
      <c r="D43" s="13"/>
      <c r="E43" s="155"/>
      <c r="F43" s="155"/>
      <c r="G43" s="156"/>
      <c r="H43" s="156"/>
      <c r="I43" s="69"/>
      <c r="J43" s="124"/>
      <c r="K43" s="15"/>
      <c r="L43" s="16">
        <f t="shared" si="11"/>
        <v>0</v>
      </c>
      <c r="M43" s="16">
        <f t="shared" si="12"/>
        <v>0</v>
      </c>
      <c r="N43" s="15">
        <f t="shared" si="13"/>
        <v>0</v>
      </c>
      <c r="O43" s="5"/>
      <c r="P43" s="9"/>
      <c r="Q43" s="5"/>
      <c r="R43" s="209"/>
    </row>
    <row r="44" spans="1:18" customFormat="1" ht="16.5" customHeight="1">
      <c r="A44" t="s">
        <v>64</v>
      </c>
      <c r="B44" s="10"/>
      <c r="C44" s="12"/>
      <c r="D44" s="6"/>
      <c r="E44" s="163"/>
      <c r="F44" s="163"/>
      <c r="G44" s="169"/>
      <c r="H44" s="169"/>
      <c r="I44" s="163"/>
      <c r="J44" s="127"/>
      <c r="K44" s="15"/>
      <c r="L44" s="16">
        <f>J44*K44</f>
        <v>0</v>
      </c>
      <c r="M44" s="16">
        <f>ROUNDDOWN(L44*10%,0)</f>
        <v>0</v>
      </c>
      <c r="N44" s="15">
        <f>SUM(L44:M44)</f>
        <v>0</v>
      </c>
      <c r="O44" s="5"/>
      <c r="P44" s="9"/>
      <c r="Q44" s="5"/>
      <c r="R44" s="209"/>
    </row>
    <row r="45" spans="1:18" customFormat="1" ht="16.5" customHeight="1" thickBot="1">
      <c r="A45" t="s">
        <v>64</v>
      </c>
      <c r="B45" s="262" t="s">
        <v>24</v>
      </c>
      <c r="C45" s="263"/>
      <c r="D45" s="263"/>
      <c r="E45" s="263"/>
      <c r="F45" s="263"/>
      <c r="G45" s="263"/>
      <c r="H45" s="263"/>
      <c r="I45" s="264"/>
      <c r="J45" s="128"/>
      <c r="K45" s="129"/>
      <c r="L45" s="130">
        <f>SUM(L18:L44)</f>
        <v>5387063.8181818184</v>
      </c>
      <c r="M45" s="130">
        <f>SUM(M18:M44)</f>
        <v>538706.68181818188</v>
      </c>
      <c r="N45" s="130">
        <f>SUM(N18:N44)</f>
        <v>5925770.5</v>
      </c>
      <c r="O45" s="97"/>
      <c r="P45" s="178"/>
      <c r="Q45" s="97"/>
      <c r="R45" s="180"/>
    </row>
    <row r="46" spans="1:18" customFormat="1" ht="16.5">
      <c r="D46" s="102">
        <f>COUNTA(D18:D44)</f>
        <v>15</v>
      </c>
    </row>
    <row r="47" spans="1:18">
      <c r="L47" s="118"/>
      <c r="M47" s="118"/>
      <c r="N47" s="118"/>
    </row>
    <row r="48" spans="1:18">
      <c r="L48" s="118"/>
      <c r="M48" s="118"/>
      <c r="N48" s="118"/>
    </row>
    <row r="49" spans="2:18" ht="12.75" thickBot="1">
      <c r="L49" s="118"/>
      <c r="M49" s="118"/>
      <c r="N49" s="118"/>
    </row>
    <row r="50" spans="2:18" s="229" customFormat="1" ht="24.95" customHeight="1" thickBot="1">
      <c r="B50" s="230"/>
      <c r="C50" s="231"/>
      <c r="D50" s="232">
        <f>SUM(D46,D11)</f>
        <v>15</v>
      </c>
      <c r="E50" s="289" t="s">
        <v>1451</v>
      </c>
      <c r="F50" s="289"/>
      <c r="G50" s="289"/>
      <c r="H50" s="289"/>
      <c r="I50" s="289"/>
      <c r="J50" s="232"/>
      <c r="K50" s="232"/>
      <c r="L50" s="233">
        <f>SUM(L11,L45)</f>
        <v>5387063.8181818184</v>
      </c>
      <c r="M50" s="233">
        <f>SUM(M11,M45)</f>
        <v>538706.68181818188</v>
      </c>
      <c r="N50" s="233">
        <f>SUM(N11,N45)</f>
        <v>5925770.5</v>
      </c>
      <c r="O50" s="232"/>
      <c r="P50" s="232"/>
      <c r="Q50" s="232"/>
      <c r="R50" s="234"/>
    </row>
    <row r="51" spans="2:18">
      <c r="L51" s="118"/>
      <c r="M51" s="118"/>
      <c r="N51" s="118"/>
    </row>
    <row r="52" spans="2:18">
      <c r="L52" s="118"/>
      <c r="M52" s="118"/>
      <c r="N52" s="118"/>
    </row>
  </sheetData>
  <mergeCells count="31">
    <mergeCell ref="R2:R3"/>
    <mergeCell ref="I2:I3"/>
    <mergeCell ref="J2:J3"/>
    <mergeCell ref="K2:N2"/>
    <mergeCell ref="O2:O3"/>
    <mergeCell ref="P2:P3"/>
    <mergeCell ref="Q2:Q3"/>
    <mergeCell ref="G16:G17"/>
    <mergeCell ref="G2:G3"/>
    <mergeCell ref="H2:H3"/>
    <mergeCell ref="B2:B3"/>
    <mergeCell ref="C2:C3"/>
    <mergeCell ref="D2:D3"/>
    <mergeCell ref="E2:E3"/>
    <mergeCell ref="F2:F3"/>
    <mergeCell ref="B45:I45"/>
    <mergeCell ref="B10:I10"/>
    <mergeCell ref="E50:I50"/>
    <mergeCell ref="Q16:Q17"/>
    <mergeCell ref="R16:R17"/>
    <mergeCell ref="H16:H17"/>
    <mergeCell ref="I16:I17"/>
    <mergeCell ref="J16:J17"/>
    <mergeCell ref="K16:N16"/>
    <mergeCell ref="O16:O17"/>
    <mergeCell ref="P16:P17"/>
    <mergeCell ref="B16:B17"/>
    <mergeCell ref="C16:C17"/>
    <mergeCell ref="D16:D17"/>
    <mergeCell ref="E16:E17"/>
    <mergeCell ref="F16:F17"/>
  </mergeCells>
  <phoneticPr fontId="2" type="noConversion"/>
  <pageMargins left="0.25" right="0.25" top="0.75" bottom="0.75" header="0.3" footer="0.3"/>
  <pageSetup paperSize="9"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Master</vt:lpstr>
      <vt:lpstr>분류</vt:lpstr>
      <vt:lpstr>1월</vt:lpstr>
      <vt:lpstr>2월</vt:lpstr>
      <vt:lpstr>3월</vt:lpstr>
      <vt:lpstr>4월</vt:lpstr>
      <vt:lpstr>5월</vt:lpstr>
      <vt:lpstr>6월</vt:lpstr>
      <vt:lpstr>수입</vt:lpstr>
      <vt:lpstr>현금,법인카드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Jyyoon</cp:lastModifiedBy>
  <cp:lastPrinted>2025-11-05T02:01:05Z</cp:lastPrinted>
  <dcterms:created xsi:type="dcterms:W3CDTF">2020-02-27T09:31:42Z</dcterms:created>
  <dcterms:modified xsi:type="dcterms:W3CDTF">2025-12-23T08:27:31Z</dcterms:modified>
</cp:coreProperties>
</file>